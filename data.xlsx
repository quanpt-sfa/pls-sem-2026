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Works\Data analysis\thay Sang\"/>
    </mc:Choice>
  </mc:AlternateContent>
  <xr:revisionPtr revIDLastSave="0" documentId="13_ncr:1_{97DE7278-8E3A-4801-91D2-E0D930B0576A}" xr6:coauthVersionLast="47" xr6:coauthVersionMax="47" xr10:uidLastSave="{00000000-0000-0000-0000-000000000000}"/>
  <bookViews>
    <workbookView xWindow="-108" yWindow="-108" windowWidth="23256" windowHeight="12456" activeTab="2" xr2:uid="{00000000-000D-0000-FFFF-FFFF00000000}"/>
  </bookViews>
  <sheets>
    <sheet name="Form Responses 1" sheetId="1" r:id="rId1"/>
    <sheet name="Code_book" sheetId="2" r:id="rId2"/>
    <sheet name="Data" sheetId="3" r:id="rId3"/>
    <sheet name="Sum_Certificate" sheetId="4" r:id="rId4"/>
    <sheet name="Certificate" sheetId="5" r:id="rId5"/>
    <sheet name="sort_by_com" sheetId="6" r:id="rId6"/>
    <sheet name="fixed_name" sheetId="7" r:id="rId7"/>
  </sheets>
  <definedNames>
    <definedName name="_xlnm._FilterDatabase" localSheetId="2" hidden="1">Data!$A$1:$BP$467</definedName>
    <definedName name="_xlnm._FilterDatabase" localSheetId="5" hidden="1">sort_by_com!$A$1:$F$497</definedName>
  </definedNames>
  <calcPr calcId="191029"/>
  <pivotCaches>
    <pivotCache cacheId="4"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1" i="6" l="1"/>
  <c r="E511" i="6"/>
  <c r="D511" i="6"/>
  <c r="C511" i="6"/>
  <c r="B511" i="6"/>
  <c r="A511" i="6"/>
  <c r="F510" i="6"/>
  <c r="E510" i="6"/>
  <c r="D510" i="6"/>
  <c r="C510" i="6"/>
  <c r="B510" i="6"/>
  <c r="A510" i="6"/>
  <c r="F509" i="6"/>
  <c r="E509" i="6"/>
  <c r="D509" i="6"/>
  <c r="C509" i="6"/>
  <c r="B509" i="6"/>
  <c r="A509" i="6"/>
  <c r="F508" i="6"/>
  <c r="E508" i="6"/>
  <c r="D508" i="6"/>
  <c r="C508" i="6"/>
  <c r="B508" i="6"/>
  <c r="A508" i="6"/>
  <c r="F507" i="6"/>
  <c r="E507" i="6"/>
  <c r="D507" i="6"/>
  <c r="C507" i="6"/>
  <c r="B507" i="6"/>
  <c r="A507" i="6"/>
  <c r="F506" i="6"/>
  <c r="E506" i="6"/>
  <c r="D506" i="6"/>
  <c r="C506" i="6"/>
  <c r="B506" i="6"/>
  <c r="A506" i="6"/>
  <c r="F505" i="6"/>
  <c r="E505" i="6"/>
  <c r="D505" i="6"/>
  <c r="C505" i="6"/>
  <c r="B505" i="6"/>
  <c r="A505" i="6"/>
  <c r="F504" i="6"/>
  <c r="E504" i="6"/>
  <c r="D504" i="6"/>
  <c r="C504" i="6"/>
  <c r="B504" i="6"/>
  <c r="A504" i="6"/>
  <c r="F503" i="6"/>
  <c r="E503" i="6"/>
  <c r="D503" i="6"/>
  <c r="C503" i="6"/>
  <c r="B503" i="6"/>
  <c r="A503" i="6"/>
  <c r="F502" i="6"/>
  <c r="E502" i="6"/>
  <c r="D502" i="6"/>
  <c r="C502" i="6"/>
  <c r="B502" i="6"/>
  <c r="A502" i="6"/>
  <c r="F501" i="6"/>
  <c r="E501" i="6"/>
  <c r="D501" i="6"/>
  <c r="C501" i="6"/>
  <c r="B501" i="6"/>
  <c r="A501" i="6"/>
  <c r="F500" i="6"/>
  <c r="E500" i="6"/>
  <c r="D500" i="6"/>
  <c r="C500" i="6"/>
  <c r="B500" i="6"/>
  <c r="A500" i="6"/>
  <c r="F499" i="6"/>
  <c r="E499" i="6"/>
  <c r="D499" i="6"/>
  <c r="C499" i="6"/>
  <c r="B499" i="6"/>
  <c r="A499" i="6"/>
  <c r="F498" i="6"/>
  <c r="E498" i="6"/>
  <c r="D498" i="6"/>
  <c r="C498" i="6"/>
  <c r="B498" i="6"/>
  <c r="A498" i="6"/>
  <c r="F497" i="6"/>
  <c r="E497" i="6"/>
  <c r="D497" i="6"/>
  <c r="C497" i="6"/>
  <c r="B497" i="6"/>
  <c r="A497" i="6"/>
  <c r="F496" i="6"/>
  <c r="E496" i="6"/>
  <c r="D496" i="6"/>
  <c r="C496" i="6"/>
  <c r="B496" i="6"/>
  <c r="A496" i="6"/>
  <c r="F495" i="6"/>
  <c r="E495" i="6"/>
  <c r="D495" i="6"/>
  <c r="C495" i="6"/>
  <c r="B495" i="6"/>
  <c r="A495" i="6"/>
  <c r="F494" i="6"/>
  <c r="E494" i="6"/>
  <c r="D494" i="6"/>
  <c r="C494" i="6"/>
  <c r="A494" i="6"/>
  <c r="F493" i="6"/>
  <c r="E493" i="6"/>
  <c r="D493" i="6"/>
  <c r="C493" i="6"/>
  <c r="B493" i="6"/>
  <c r="A493" i="6"/>
  <c r="F492" i="6"/>
  <c r="E492" i="6"/>
  <c r="D492" i="6"/>
  <c r="C492" i="6"/>
  <c r="B492" i="6"/>
  <c r="A492" i="6"/>
  <c r="F491" i="6"/>
  <c r="E491" i="6"/>
  <c r="D491" i="6"/>
  <c r="C491" i="6"/>
  <c r="B491" i="6"/>
  <c r="A491" i="6"/>
  <c r="F490" i="6"/>
  <c r="E490" i="6"/>
  <c r="D490" i="6"/>
  <c r="C490" i="6"/>
  <c r="B490" i="6"/>
  <c r="A490" i="6"/>
  <c r="F489" i="6"/>
  <c r="E489" i="6"/>
  <c r="D489" i="6"/>
  <c r="C489" i="6"/>
  <c r="B489" i="6"/>
  <c r="A489" i="6"/>
  <c r="F488" i="6"/>
  <c r="E488" i="6"/>
  <c r="D488" i="6"/>
  <c r="C488" i="6"/>
  <c r="B488" i="6"/>
  <c r="A488" i="6"/>
  <c r="F487" i="6"/>
  <c r="E487" i="6"/>
  <c r="D487" i="6"/>
  <c r="C487" i="6"/>
  <c r="B487" i="6"/>
  <c r="A487" i="6"/>
  <c r="F486" i="6"/>
  <c r="E486" i="6"/>
  <c r="D486" i="6"/>
  <c r="C486" i="6"/>
  <c r="B486" i="6"/>
  <c r="A486" i="6"/>
  <c r="F485" i="6"/>
  <c r="E485" i="6"/>
  <c r="D485" i="6"/>
  <c r="C485" i="6"/>
  <c r="B485" i="6"/>
  <c r="A485" i="6"/>
  <c r="F484" i="6"/>
  <c r="E484" i="6"/>
  <c r="D484" i="6"/>
  <c r="C484" i="6"/>
  <c r="B484" i="6"/>
  <c r="A484" i="6"/>
  <c r="F483" i="6"/>
  <c r="E483" i="6"/>
  <c r="D483" i="6"/>
  <c r="C483" i="6"/>
  <c r="B483" i="6"/>
  <c r="A483" i="6"/>
  <c r="F482" i="6"/>
  <c r="E482" i="6"/>
  <c r="D482" i="6"/>
  <c r="C482" i="6"/>
  <c r="B482" i="6"/>
  <c r="A482" i="6"/>
  <c r="F481" i="6"/>
  <c r="E481" i="6"/>
  <c r="D481" i="6"/>
  <c r="C481" i="6"/>
  <c r="B481" i="6"/>
  <c r="A481" i="6"/>
  <c r="F480" i="6"/>
  <c r="E480" i="6"/>
  <c r="D480" i="6"/>
  <c r="C480" i="6"/>
  <c r="B480" i="6"/>
  <c r="A480" i="6"/>
  <c r="F479" i="6"/>
  <c r="E479" i="6"/>
  <c r="D479" i="6"/>
  <c r="C479" i="6"/>
  <c r="B479" i="6"/>
  <c r="A479" i="6"/>
  <c r="F478" i="6"/>
  <c r="E478" i="6"/>
  <c r="D478" i="6"/>
  <c r="C478" i="6"/>
  <c r="B478" i="6"/>
  <c r="A478" i="6"/>
  <c r="F477" i="6"/>
  <c r="E477" i="6"/>
  <c r="D477" i="6"/>
  <c r="C477" i="6"/>
  <c r="B477" i="6"/>
  <c r="A477" i="6"/>
  <c r="F476" i="6"/>
  <c r="E476" i="6"/>
  <c r="D476" i="6"/>
  <c r="C476" i="6"/>
  <c r="A476" i="6"/>
  <c r="F475" i="6"/>
  <c r="E475" i="6"/>
  <c r="D475" i="6"/>
  <c r="C475" i="6"/>
  <c r="B475" i="6"/>
  <c r="A475" i="6"/>
  <c r="F474" i="6"/>
  <c r="E474" i="6"/>
  <c r="D474" i="6"/>
  <c r="C474" i="6"/>
  <c r="B474" i="6"/>
  <c r="A474" i="6"/>
  <c r="F473" i="6"/>
  <c r="E473" i="6"/>
  <c r="D473" i="6"/>
  <c r="C473" i="6"/>
  <c r="B473" i="6"/>
  <c r="A473" i="6"/>
  <c r="F472" i="6"/>
  <c r="E472" i="6"/>
  <c r="D472" i="6"/>
  <c r="C472" i="6"/>
  <c r="B472" i="6"/>
  <c r="A472" i="6"/>
  <c r="F471" i="6"/>
  <c r="E471" i="6"/>
  <c r="D471" i="6"/>
  <c r="C471" i="6"/>
  <c r="B471" i="6"/>
  <c r="A471" i="6"/>
  <c r="F470" i="6"/>
  <c r="E470" i="6"/>
  <c r="D470" i="6"/>
  <c r="C470" i="6"/>
  <c r="B470" i="6"/>
  <c r="A470" i="6"/>
  <c r="F469" i="6"/>
  <c r="E469" i="6"/>
  <c r="D469" i="6"/>
  <c r="C469" i="6"/>
  <c r="A469" i="6"/>
  <c r="F468" i="6"/>
  <c r="E468" i="6"/>
  <c r="D468" i="6"/>
  <c r="C468" i="6"/>
  <c r="B468" i="6"/>
  <c r="A468" i="6"/>
  <c r="F467" i="6"/>
  <c r="E467" i="6"/>
  <c r="D467" i="6"/>
  <c r="C467" i="6"/>
  <c r="B467" i="6"/>
  <c r="A467" i="6"/>
  <c r="F466" i="6"/>
  <c r="E466" i="6"/>
  <c r="D466" i="6"/>
  <c r="C466" i="6"/>
  <c r="B466" i="6"/>
  <c r="A466" i="6"/>
  <c r="F465" i="6"/>
  <c r="E465" i="6"/>
  <c r="D465" i="6"/>
  <c r="C465" i="6"/>
  <c r="B465" i="6"/>
  <c r="A465" i="6"/>
  <c r="F464" i="6"/>
  <c r="E464" i="6"/>
  <c r="D464" i="6"/>
  <c r="C464" i="6"/>
  <c r="B464" i="6"/>
  <c r="A464" i="6"/>
  <c r="F463" i="6"/>
  <c r="E463" i="6"/>
  <c r="D463" i="6"/>
  <c r="C463" i="6"/>
  <c r="B463" i="6"/>
  <c r="A463" i="6"/>
  <c r="F462" i="6"/>
  <c r="E462" i="6"/>
  <c r="D462" i="6"/>
  <c r="C462" i="6"/>
  <c r="B462" i="6"/>
  <c r="A462" i="6"/>
  <c r="F461" i="6"/>
  <c r="E461" i="6"/>
  <c r="D461" i="6"/>
  <c r="C461" i="6"/>
  <c r="B461" i="6"/>
  <c r="A461" i="6"/>
  <c r="F460" i="6"/>
  <c r="E460" i="6"/>
  <c r="D460" i="6"/>
  <c r="C460" i="6"/>
  <c r="B460" i="6"/>
  <c r="A460" i="6"/>
  <c r="F459" i="6"/>
  <c r="E459" i="6"/>
  <c r="D459" i="6"/>
  <c r="C459" i="6"/>
  <c r="B459" i="6"/>
  <c r="A459" i="6"/>
  <c r="F458" i="6"/>
  <c r="E458" i="6"/>
  <c r="D458" i="6"/>
  <c r="C458" i="6"/>
  <c r="B458" i="6"/>
  <c r="A458" i="6"/>
  <c r="F457" i="6"/>
  <c r="E457" i="6"/>
  <c r="D457" i="6"/>
  <c r="C457" i="6"/>
  <c r="B457" i="6"/>
  <c r="A457" i="6"/>
  <c r="F456" i="6"/>
  <c r="E456" i="6"/>
  <c r="D456" i="6"/>
  <c r="C456" i="6"/>
  <c r="B456" i="6"/>
  <c r="A456" i="6"/>
  <c r="F455" i="6"/>
  <c r="E455" i="6"/>
  <c r="D455" i="6"/>
  <c r="C455" i="6"/>
  <c r="B455" i="6"/>
  <c r="A455" i="6"/>
  <c r="F454" i="6"/>
  <c r="E454" i="6"/>
  <c r="D454" i="6"/>
  <c r="C454" i="6"/>
  <c r="A454" i="6"/>
  <c r="F453" i="6"/>
  <c r="E453" i="6"/>
  <c r="D453" i="6"/>
  <c r="C453" i="6"/>
  <c r="B453" i="6"/>
  <c r="A453" i="6"/>
  <c r="F452" i="6"/>
  <c r="E452" i="6"/>
  <c r="D452" i="6"/>
  <c r="C452" i="6"/>
  <c r="B452" i="6"/>
  <c r="A452" i="6"/>
  <c r="F451" i="6"/>
  <c r="E451" i="6"/>
  <c r="D451" i="6"/>
  <c r="C451" i="6"/>
  <c r="B451" i="6"/>
  <c r="A451" i="6"/>
  <c r="F450" i="6"/>
  <c r="E450" i="6"/>
  <c r="D450" i="6"/>
  <c r="C450" i="6"/>
  <c r="B450" i="6"/>
  <c r="A450" i="6"/>
  <c r="F449" i="6"/>
  <c r="E449" i="6"/>
  <c r="D449" i="6"/>
  <c r="C449" i="6"/>
  <c r="B449" i="6"/>
  <c r="A449" i="6"/>
  <c r="F448" i="6"/>
  <c r="E448" i="6"/>
  <c r="D448" i="6"/>
  <c r="C448" i="6"/>
  <c r="B448" i="6"/>
  <c r="A448" i="6"/>
  <c r="F447" i="6"/>
  <c r="E447" i="6"/>
  <c r="D447" i="6"/>
  <c r="C447" i="6"/>
  <c r="B447" i="6"/>
  <c r="A447" i="6"/>
  <c r="F446" i="6"/>
  <c r="E446" i="6"/>
  <c r="D446" i="6"/>
  <c r="C446" i="6"/>
  <c r="A446" i="6"/>
  <c r="F445" i="6"/>
  <c r="E445" i="6"/>
  <c r="D445" i="6"/>
  <c r="C445" i="6"/>
  <c r="A445" i="6"/>
  <c r="F444" i="6"/>
  <c r="E444" i="6"/>
  <c r="D444" i="6"/>
  <c r="C444" i="6"/>
  <c r="B444" i="6"/>
  <c r="A444" i="6"/>
  <c r="F443" i="6"/>
  <c r="E443" i="6"/>
  <c r="D443" i="6"/>
  <c r="C443" i="6"/>
  <c r="B443" i="6"/>
  <c r="A443" i="6"/>
  <c r="F442" i="6"/>
  <c r="E442" i="6"/>
  <c r="D442" i="6"/>
  <c r="C442" i="6"/>
  <c r="B442" i="6"/>
  <c r="A442" i="6"/>
  <c r="F441" i="6"/>
  <c r="E441" i="6"/>
  <c r="D441" i="6"/>
  <c r="C441" i="6"/>
  <c r="B441" i="6"/>
  <c r="A441" i="6"/>
  <c r="F440" i="6"/>
  <c r="E440" i="6"/>
  <c r="D440" i="6"/>
  <c r="C440" i="6"/>
  <c r="B440" i="6"/>
  <c r="A440" i="6"/>
  <c r="F439" i="6"/>
  <c r="E439" i="6"/>
  <c r="D439" i="6"/>
  <c r="C439" i="6"/>
  <c r="B439" i="6"/>
  <c r="A439" i="6"/>
  <c r="F438" i="6"/>
  <c r="E438" i="6"/>
  <c r="D438" i="6"/>
  <c r="C438" i="6"/>
  <c r="B438" i="6"/>
  <c r="A438" i="6"/>
  <c r="F437" i="6"/>
  <c r="E437" i="6"/>
  <c r="D437" i="6"/>
  <c r="C437" i="6"/>
  <c r="B437" i="6"/>
  <c r="A437" i="6"/>
  <c r="F436" i="6"/>
  <c r="E436" i="6"/>
  <c r="D436" i="6"/>
  <c r="C436" i="6"/>
  <c r="B436" i="6"/>
  <c r="A436" i="6"/>
  <c r="F435" i="6"/>
  <c r="E435" i="6"/>
  <c r="D435" i="6"/>
  <c r="C435" i="6"/>
  <c r="B435" i="6"/>
  <c r="A435" i="6"/>
  <c r="F434" i="6"/>
  <c r="E434" i="6"/>
  <c r="D434" i="6"/>
  <c r="C434" i="6"/>
  <c r="B434" i="6"/>
  <c r="A434" i="6"/>
  <c r="F433" i="6"/>
  <c r="E433" i="6"/>
  <c r="D433" i="6"/>
  <c r="C433" i="6"/>
  <c r="B433" i="6"/>
  <c r="A433" i="6"/>
  <c r="F432" i="6"/>
  <c r="E432" i="6"/>
  <c r="D432" i="6"/>
  <c r="C432" i="6"/>
  <c r="B432" i="6"/>
  <c r="A432" i="6"/>
  <c r="F431" i="6"/>
  <c r="E431" i="6"/>
  <c r="D431" i="6"/>
  <c r="C431" i="6"/>
  <c r="B431" i="6"/>
  <c r="A431" i="6"/>
  <c r="F430" i="6"/>
  <c r="E430" i="6"/>
  <c r="D430" i="6"/>
  <c r="C430" i="6"/>
  <c r="A430" i="6"/>
  <c r="F429" i="6"/>
  <c r="E429" i="6"/>
  <c r="D429" i="6"/>
  <c r="C429" i="6"/>
  <c r="A429" i="6"/>
  <c r="F428" i="6"/>
  <c r="E428" i="6"/>
  <c r="D428" i="6"/>
  <c r="C428" i="6"/>
  <c r="A428" i="6"/>
  <c r="F427" i="6"/>
  <c r="E427" i="6"/>
  <c r="D427" i="6"/>
  <c r="C427" i="6"/>
  <c r="B427" i="6"/>
  <c r="A427" i="6"/>
  <c r="F426" i="6"/>
  <c r="E426" i="6"/>
  <c r="D426" i="6"/>
  <c r="C426" i="6"/>
  <c r="B426" i="6"/>
  <c r="A426" i="6"/>
  <c r="F425" i="6"/>
  <c r="E425" i="6"/>
  <c r="D425" i="6"/>
  <c r="C425" i="6"/>
  <c r="B425" i="6"/>
  <c r="A425" i="6"/>
  <c r="F424" i="6"/>
  <c r="E424" i="6"/>
  <c r="D424" i="6"/>
  <c r="C424" i="6"/>
  <c r="A424" i="6"/>
  <c r="F423" i="6"/>
  <c r="E423" i="6"/>
  <c r="D423" i="6"/>
  <c r="C423" i="6"/>
  <c r="B423" i="6"/>
  <c r="A423" i="6"/>
  <c r="F422" i="6"/>
  <c r="E422" i="6"/>
  <c r="D422" i="6"/>
  <c r="C422" i="6"/>
  <c r="B422" i="6"/>
  <c r="A422" i="6"/>
  <c r="F421" i="6"/>
  <c r="E421" i="6"/>
  <c r="D421" i="6"/>
  <c r="C421" i="6"/>
  <c r="B421" i="6"/>
  <c r="A421" i="6"/>
  <c r="F420" i="6"/>
  <c r="E420" i="6"/>
  <c r="D420" i="6"/>
  <c r="C420" i="6"/>
  <c r="B420" i="6"/>
  <c r="A420" i="6"/>
  <c r="F419" i="6"/>
  <c r="E419" i="6"/>
  <c r="D419" i="6"/>
  <c r="C419" i="6"/>
  <c r="B419" i="6"/>
  <c r="A419" i="6"/>
  <c r="F418" i="6"/>
  <c r="E418" i="6"/>
  <c r="D418" i="6"/>
  <c r="C418" i="6"/>
  <c r="B418" i="6"/>
  <c r="A418" i="6"/>
  <c r="F417" i="6"/>
  <c r="E417" i="6"/>
  <c r="D417" i="6"/>
  <c r="C417" i="6"/>
  <c r="B417" i="6"/>
  <c r="A417" i="6"/>
  <c r="F416" i="6"/>
  <c r="E416" i="6"/>
  <c r="D416" i="6"/>
  <c r="C416" i="6"/>
  <c r="B416" i="6"/>
  <c r="A416" i="6"/>
  <c r="F415" i="6"/>
  <c r="E415" i="6"/>
  <c r="D415" i="6"/>
  <c r="C415" i="6"/>
  <c r="B415" i="6"/>
  <c r="A415" i="6"/>
  <c r="F414" i="6"/>
  <c r="E414" i="6"/>
  <c r="D414" i="6"/>
  <c r="C414" i="6"/>
  <c r="B414" i="6"/>
  <c r="A414" i="6"/>
  <c r="F413" i="6"/>
  <c r="E413" i="6"/>
  <c r="D413" i="6"/>
  <c r="C413" i="6"/>
  <c r="B413" i="6"/>
  <c r="A413" i="6"/>
  <c r="F412" i="6"/>
  <c r="E412" i="6"/>
  <c r="D412" i="6"/>
  <c r="C412" i="6"/>
  <c r="B412" i="6"/>
  <c r="A412" i="6"/>
  <c r="F411" i="6"/>
  <c r="E411" i="6"/>
  <c r="D411" i="6"/>
  <c r="C411" i="6"/>
  <c r="B411" i="6"/>
  <c r="A411" i="6"/>
  <c r="F410" i="6"/>
  <c r="E410" i="6"/>
  <c r="D410" i="6"/>
  <c r="C410" i="6"/>
  <c r="A410" i="6"/>
  <c r="F409" i="6"/>
  <c r="E409" i="6"/>
  <c r="D409" i="6"/>
  <c r="C409" i="6"/>
  <c r="A409" i="6"/>
  <c r="F408" i="6"/>
  <c r="E408" i="6"/>
  <c r="D408" i="6"/>
  <c r="C408" i="6"/>
  <c r="B408" i="6"/>
  <c r="A408" i="6"/>
  <c r="F407" i="6"/>
  <c r="E407" i="6"/>
  <c r="D407" i="6"/>
  <c r="C407" i="6"/>
  <c r="B407" i="6"/>
  <c r="A407" i="6"/>
  <c r="F406" i="6"/>
  <c r="E406" i="6"/>
  <c r="D406" i="6"/>
  <c r="C406" i="6"/>
  <c r="B406" i="6"/>
  <c r="A406" i="6"/>
  <c r="F405" i="6"/>
  <c r="E405" i="6"/>
  <c r="D405" i="6"/>
  <c r="C405" i="6"/>
  <c r="B405" i="6"/>
  <c r="A405" i="6"/>
  <c r="F404" i="6"/>
  <c r="E404" i="6"/>
  <c r="D404" i="6"/>
  <c r="C404" i="6"/>
  <c r="B404" i="6"/>
  <c r="A404" i="6"/>
  <c r="F403" i="6"/>
  <c r="E403" i="6"/>
  <c r="D403" i="6"/>
  <c r="C403" i="6"/>
  <c r="B403" i="6"/>
  <c r="A403" i="6"/>
  <c r="F402" i="6"/>
  <c r="E402" i="6"/>
  <c r="D402" i="6"/>
  <c r="C402" i="6"/>
  <c r="B402" i="6"/>
  <c r="A402" i="6"/>
  <c r="F401" i="6"/>
  <c r="E401" i="6"/>
  <c r="D401" i="6"/>
  <c r="C401" i="6"/>
  <c r="B401" i="6"/>
  <c r="A401" i="6"/>
  <c r="F400" i="6"/>
  <c r="E400" i="6"/>
  <c r="D400" i="6"/>
  <c r="C400" i="6"/>
  <c r="B400" i="6"/>
  <c r="A400" i="6"/>
  <c r="F399" i="6"/>
  <c r="E399" i="6"/>
  <c r="D399" i="6"/>
  <c r="C399" i="6"/>
  <c r="B399" i="6"/>
  <c r="A399" i="6"/>
  <c r="F398" i="6"/>
  <c r="E398" i="6"/>
  <c r="D398" i="6"/>
  <c r="C398" i="6"/>
  <c r="A398" i="6"/>
  <c r="F397" i="6"/>
  <c r="E397" i="6"/>
  <c r="D397" i="6"/>
  <c r="C397" i="6"/>
  <c r="B397" i="6"/>
  <c r="A397" i="6"/>
  <c r="F396" i="6"/>
  <c r="E396" i="6"/>
  <c r="D396" i="6"/>
  <c r="C396" i="6"/>
  <c r="B396" i="6"/>
  <c r="A396" i="6"/>
  <c r="F395" i="6"/>
  <c r="E395" i="6"/>
  <c r="D395" i="6"/>
  <c r="C395" i="6"/>
  <c r="B395" i="6"/>
  <c r="A395" i="6"/>
  <c r="F394" i="6"/>
  <c r="E394" i="6"/>
  <c r="D394" i="6"/>
  <c r="C394" i="6"/>
  <c r="B394" i="6"/>
  <c r="A394" i="6"/>
  <c r="F393" i="6"/>
  <c r="E393" i="6"/>
  <c r="D393" i="6"/>
  <c r="C393" i="6"/>
  <c r="B393" i="6"/>
  <c r="A393" i="6"/>
  <c r="F392" i="6"/>
  <c r="E392" i="6"/>
  <c r="D392" i="6"/>
  <c r="C392" i="6"/>
  <c r="B392" i="6"/>
  <c r="A392" i="6"/>
  <c r="F391" i="6"/>
  <c r="E391" i="6"/>
  <c r="D391" i="6"/>
  <c r="C391" i="6"/>
  <c r="B391" i="6"/>
  <c r="A391" i="6"/>
  <c r="F390" i="6"/>
  <c r="E390" i="6"/>
  <c r="D390" i="6"/>
  <c r="C390" i="6"/>
  <c r="B390" i="6"/>
  <c r="A390" i="6"/>
  <c r="F389" i="6"/>
  <c r="E389" i="6"/>
  <c r="D389" i="6"/>
  <c r="C389" i="6"/>
  <c r="B389" i="6"/>
  <c r="A389" i="6"/>
  <c r="F388" i="6"/>
  <c r="E388" i="6"/>
  <c r="D388" i="6"/>
  <c r="C388" i="6"/>
  <c r="B388" i="6"/>
  <c r="A388" i="6"/>
  <c r="F387" i="6"/>
  <c r="E387" i="6"/>
  <c r="D387" i="6"/>
  <c r="C387" i="6"/>
  <c r="B387" i="6"/>
  <c r="A387" i="6"/>
  <c r="F386" i="6"/>
  <c r="E386" i="6"/>
  <c r="D386" i="6"/>
  <c r="C386" i="6"/>
  <c r="B386" i="6"/>
  <c r="A386" i="6"/>
  <c r="F385" i="6"/>
  <c r="E385" i="6"/>
  <c r="D385" i="6"/>
  <c r="C385" i="6"/>
  <c r="B385" i="6"/>
  <c r="A385" i="6"/>
  <c r="F384" i="6"/>
  <c r="E384" i="6"/>
  <c r="D384" i="6"/>
  <c r="C384" i="6"/>
  <c r="B384" i="6"/>
  <c r="A384" i="6"/>
  <c r="F383" i="6"/>
  <c r="E383" i="6"/>
  <c r="D383" i="6"/>
  <c r="C383" i="6"/>
  <c r="B383" i="6"/>
  <c r="A383" i="6"/>
  <c r="F382" i="6"/>
  <c r="E382" i="6"/>
  <c r="D382" i="6"/>
  <c r="C382" i="6"/>
  <c r="B382" i="6"/>
  <c r="A382" i="6"/>
  <c r="F381" i="6"/>
  <c r="E381" i="6"/>
  <c r="D381" i="6"/>
  <c r="C381" i="6"/>
  <c r="B381" i="6"/>
  <c r="A381" i="6"/>
  <c r="F380" i="6"/>
  <c r="E380" i="6"/>
  <c r="D380" i="6"/>
  <c r="C380" i="6"/>
  <c r="A380" i="6"/>
  <c r="F379" i="6"/>
  <c r="E379" i="6"/>
  <c r="D379" i="6"/>
  <c r="C379" i="6"/>
  <c r="B379" i="6"/>
  <c r="A379" i="6"/>
  <c r="F378" i="6"/>
  <c r="E378" i="6"/>
  <c r="D378" i="6"/>
  <c r="C378" i="6"/>
  <c r="B378" i="6"/>
  <c r="A378" i="6"/>
  <c r="F377" i="6"/>
  <c r="E377" i="6"/>
  <c r="D377" i="6"/>
  <c r="C377" i="6"/>
  <c r="B377" i="6"/>
  <c r="A377" i="6"/>
  <c r="F376" i="6"/>
  <c r="E376" i="6"/>
  <c r="D376" i="6"/>
  <c r="C376" i="6"/>
  <c r="B376" i="6"/>
  <c r="A376" i="6"/>
  <c r="F375" i="6"/>
  <c r="E375" i="6"/>
  <c r="D375" i="6"/>
  <c r="C375" i="6"/>
  <c r="B375" i="6"/>
  <c r="A375" i="6"/>
  <c r="F374" i="6"/>
  <c r="E374" i="6"/>
  <c r="D374" i="6"/>
  <c r="C374" i="6"/>
  <c r="B374" i="6"/>
  <c r="A374" i="6"/>
  <c r="F373" i="6"/>
  <c r="E373" i="6"/>
  <c r="D373" i="6"/>
  <c r="C373" i="6"/>
  <c r="B373" i="6"/>
  <c r="A373" i="6"/>
  <c r="F372" i="6"/>
  <c r="E372" i="6"/>
  <c r="D372" i="6"/>
  <c r="C372" i="6"/>
  <c r="B372" i="6"/>
  <c r="A372" i="6"/>
  <c r="F371" i="6"/>
  <c r="E371" i="6"/>
  <c r="D371" i="6"/>
  <c r="C371" i="6"/>
  <c r="B371" i="6"/>
  <c r="A371" i="6"/>
  <c r="F370" i="6"/>
  <c r="E370" i="6"/>
  <c r="D370" i="6"/>
  <c r="C370" i="6"/>
  <c r="B370" i="6"/>
  <c r="A370" i="6"/>
  <c r="F369" i="6"/>
  <c r="E369" i="6"/>
  <c r="D369" i="6"/>
  <c r="C369" i="6"/>
  <c r="A369" i="6"/>
  <c r="F368" i="6"/>
  <c r="E368" i="6"/>
  <c r="D368" i="6"/>
  <c r="C368" i="6"/>
  <c r="B368" i="6"/>
  <c r="A368" i="6"/>
  <c r="F367" i="6"/>
  <c r="E367" i="6"/>
  <c r="D367" i="6"/>
  <c r="C367" i="6"/>
  <c r="B367" i="6"/>
  <c r="A367" i="6"/>
  <c r="F366" i="6"/>
  <c r="E366" i="6"/>
  <c r="D366" i="6"/>
  <c r="C366" i="6"/>
  <c r="B366" i="6"/>
  <c r="A366" i="6"/>
  <c r="F365" i="6"/>
  <c r="E365" i="6"/>
  <c r="D365" i="6"/>
  <c r="C365" i="6"/>
  <c r="A365" i="6"/>
  <c r="F364" i="6"/>
  <c r="E364" i="6"/>
  <c r="D364" i="6"/>
  <c r="C364" i="6"/>
  <c r="B364" i="6"/>
  <c r="A364" i="6"/>
  <c r="F363" i="6"/>
  <c r="E363" i="6"/>
  <c r="D363" i="6"/>
  <c r="C363" i="6"/>
  <c r="B363" i="6"/>
  <c r="A363" i="6"/>
  <c r="F362" i="6"/>
  <c r="E362" i="6"/>
  <c r="D362" i="6"/>
  <c r="C362" i="6"/>
  <c r="A362" i="6"/>
  <c r="F361" i="6"/>
  <c r="E361" i="6"/>
  <c r="D361" i="6"/>
  <c r="C361" i="6"/>
  <c r="B361" i="6"/>
  <c r="A361" i="6"/>
  <c r="F360" i="6"/>
  <c r="E360" i="6"/>
  <c r="D360" i="6"/>
  <c r="C360" i="6"/>
  <c r="B360" i="6"/>
  <c r="A360" i="6"/>
  <c r="F359" i="6"/>
  <c r="E359" i="6"/>
  <c r="D359" i="6"/>
  <c r="C359" i="6"/>
  <c r="B359" i="6"/>
  <c r="A359" i="6"/>
  <c r="F358" i="6"/>
  <c r="E358" i="6"/>
  <c r="D358" i="6"/>
  <c r="C358" i="6"/>
  <c r="B358" i="6"/>
  <c r="A358" i="6"/>
  <c r="F357" i="6"/>
  <c r="E357" i="6"/>
  <c r="D357" i="6"/>
  <c r="C357" i="6"/>
  <c r="B357" i="6"/>
  <c r="A357" i="6"/>
  <c r="F356" i="6"/>
  <c r="E356" i="6"/>
  <c r="D356" i="6"/>
  <c r="C356" i="6"/>
  <c r="B356" i="6"/>
  <c r="A356" i="6"/>
  <c r="F355" i="6"/>
  <c r="E355" i="6"/>
  <c r="D355" i="6"/>
  <c r="C355" i="6"/>
  <c r="B355" i="6"/>
  <c r="A355" i="6"/>
  <c r="F354" i="6"/>
  <c r="E354" i="6"/>
  <c r="D354" i="6"/>
  <c r="C354" i="6"/>
  <c r="B354" i="6"/>
  <c r="A354" i="6"/>
  <c r="F353" i="6"/>
  <c r="E353" i="6"/>
  <c r="D353" i="6"/>
  <c r="C353" i="6"/>
  <c r="B353" i="6"/>
  <c r="A353" i="6"/>
  <c r="F352" i="6"/>
  <c r="E352" i="6"/>
  <c r="D352" i="6"/>
  <c r="C352" i="6"/>
  <c r="A352" i="6"/>
  <c r="F351" i="6"/>
  <c r="E351" i="6"/>
  <c r="D351" i="6"/>
  <c r="C351" i="6"/>
  <c r="B351" i="6"/>
  <c r="A351" i="6"/>
  <c r="F350" i="6"/>
  <c r="E350" i="6"/>
  <c r="D350" i="6"/>
  <c r="C350" i="6"/>
  <c r="A350" i="6"/>
  <c r="F349" i="6"/>
  <c r="E349" i="6"/>
  <c r="D349" i="6"/>
  <c r="C349" i="6"/>
  <c r="B349" i="6"/>
  <c r="A349" i="6"/>
  <c r="F348" i="6"/>
  <c r="E348" i="6"/>
  <c r="D348" i="6"/>
  <c r="C348" i="6"/>
  <c r="B348" i="6"/>
  <c r="A348" i="6"/>
  <c r="F347" i="6"/>
  <c r="E347" i="6"/>
  <c r="D347" i="6"/>
  <c r="C347" i="6"/>
  <c r="B347" i="6"/>
  <c r="A347" i="6"/>
  <c r="F346" i="6"/>
  <c r="E346" i="6"/>
  <c r="D346" i="6"/>
  <c r="C346" i="6"/>
  <c r="B346" i="6"/>
  <c r="A346" i="6"/>
  <c r="F345" i="6"/>
  <c r="E345" i="6"/>
  <c r="D345" i="6"/>
  <c r="C345" i="6"/>
  <c r="B345" i="6"/>
  <c r="A345" i="6"/>
  <c r="F344" i="6"/>
  <c r="E344" i="6"/>
  <c r="D344" i="6"/>
  <c r="C344" i="6"/>
  <c r="A344" i="6"/>
  <c r="F343" i="6"/>
  <c r="E343" i="6"/>
  <c r="D343" i="6"/>
  <c r="C343" i="6"/>
  <c r="B343" i="6"/>
  <c r="A343" i="6"/>
  <c r="F342" i="6"/>
  <c r="E342" i="6"/>
  <c r="D342" i="6"/>
  <c r="C342" i="6"/>
  <c r="B342" i="6"/>
  <c r="A342" i="6"/>
  <c r="F341" i="6"/>
  <c r="E341" i="6"/>
  <c r="D341" i="6"/>
  <c r="C341" i="6"/>
  <c r="B341" i="6"/>
  <c r="A341" i="6"/>
  <c r="F340" i="6"/>
  <c r="E340" i="6"/>
  <c r="D340" i="6"/>
  <c r="C340" i="6"/>
  <c r="A340" i="6"/>
  <c r="F339" i="6"/>
  <c r="E339" i="6"/>
  <c r="D339" i="6"/>
  <c r="C339" i="6"/>
  <c r="B339" i="6"/>
  <c r="A339" i="6"/>
  <c r="F338" i="6"/>
  <c r="E338" i="6"/>
  <c r="D338" i="6"/>
  <c r="C338" i="6"/>
  <c r="B338" i="6"/>
  <c r="A338" i="6"/>
  <c r="F337" i="6"/>
  <c r="E337" i="6"/>
  <c r="D337" i="6"/>
  <c r="C337" i="6"/>
  <c r="B337" i="6"/>
  <c r="A337" i="6"/>
  <c r="F336" i="6"/>
  <c r="E336" i="6"/>
  <c r="D336" i="6"/>
  <c r="C336" i="6"/>
  <c r="A336" i="6"/>
  <c r="F335" i="6"/>
  <c r="E335" i="6"/>
  <c r="D335" i="6"/>
  <c r="C335" i="6"/>
  <c r="B335" i="6"/>
  <c r="A335" i="6"/>
  <c r="F334" i="6"/>
  <c r="E334" i="6"/>
  <c r="D334" i="6"/>
  <c r="C334" i="6"/>
  <c r="B334" i="6"/>
  <c r="A334" i="6"/>
  <c r="F333" i="6"/>
  <c r="E333" i="6"/>
  <c r="D333" i="6"/>
  <c r="C333" i="6"/>
  <c r="A333" i="6"/>
  <c r="F332" i="6"/>
  <c r="E332" i="6"/>
  <c r="D332" i="6"/>
  <c r="C332" i="6"/>
  <c r="B332" i="6"/>
  <c r="A332" i="6"/>
  <c r="F331" i="6"/>
  <c r="E331" i="6"/>
  <c r="D331" i="6"/>
  <c r="C331" i="6"/>
  <c r="B331" i="6"/>
  <c r="A331" i="6"/>
  <c r="F330" i="6"/>
  <c r="E330" i="6"/>
  <c r="D330" i="6"/>
  <c r="C330" i="6"/>
  <c r="B330" i="6"/>
  <c r="A330" i="6"/>
  <c r="F329" i="6"/>
  <c r="E329" i="6"/>
  <c r="D329" i="6"/>
  <c r="C329" i="6"/>
  <c r="B329" i="6"/>
  <c r="A329" i="6"/>
  <c r="F328" i="6"/>
  <c r="E328" i="6"/>
  <c r="D328" i="6"/>
  <c r="C328" i="6"/>
  <c r="B328" i="6"/>
  <c r="A328" i="6"/>
  <c r="F327" i="6"/>
  <c r="E327" i="6"/>
  <c r="D327" i="6"/>
  <c r="C327" i="6"/>
  <c r="B327" i="6"/>
  <c r="A327" i="6"/>
  <c r="F326" i="6"/>
  <c r="E326" i="6"/>
  <c r="D326" i="6"/>
  <c r="C326" i="6"/>
  <c r="B326" i="6"/>
  <c r="A326" i="6"/>
  <c r="F325" i="6"/>
  <c r="E325" i="6"/>
  <c r="D325" i="6"/>
  <c r="C325" i="6"/>
  <c r="B325" i="6"/>
  <c r="A325" i="6"/>
  <c r="F324" i="6"/>
  <c r="E324" i="6"/>
  <c r="D324" i="6"/>
  <c r="C324" i="6"/>
  <c r="B324" i="6"/>
  <c r="A324" i="6"/>
  <c r="F323" i="6"/>
  <c r="E323" i="6"/>
  <c r="D323" i="6"/>
  <c r="C323" i="6"/>
  <c r="B323" i="6"/>
  <c r="A323" i="6"/>
  <c r="F322" i="6"/>
  <c r="E322" i="6"/>
  <c r="D322" i="6"/>
  <c r="C322" i="6"/>
  <c r="B322" i="6"/>
  <c r="A322" i="6"/>
  <c r="F321" i="6"/>
  <c r="E321" i="6"/>
  <c r="D321" i="6"/>
  <c r="C321" i="6"/>
  <c r="A321" i="6"/>
  <c r="F320" i="6"/>
  <c r="E320" i="6"/>
  <c r="D320" i="6"/>
  <c r="C320" i="6"/>
  <c r="B320" i="6"/>
  <c r="A320" i="6"/>
  <c r="F319" i="6"/>
  <c r="E319" i="6"/>
  <c r="D319" i="6"/>
  <c r="C319" i="6"/>
  <c r="B319" i="6"/>
  <c r="A319" i="6"/>
  <c r="F318" i="6"/>
  <c r="E318" i="6"/>
  <c r="D318" i="6"/>
  <c r="C318" i="6"/>
  <c r="B318" i="6"/>
  <c r="A318" i="6"/>
  <c r="F317" i="6"/>
  <c r="E317" i="6"/>
  <c r="D317" i="6"/>
  <c r="C317" i="6"/>
  <c r="B317" i="6"/>
  <c r="A317" i="6"/>
  <c r="F316" i="6"/>
  <c r="E316" i="6"/>
  <c r="D316" i="6"/>
  <c r="C316" i="6"/>
  <c r="B316" i="6"/>
  <c r="A316" i="6"/>
  <c r="F315" i="6"/>
  <c r="E315" i="6"/>
  <c r="D315" i="6"/>
  <c r="C315" i="6"/>
  <c r="B315" i="6"/>
  <c r="A315" i="6"/>
  <c r="F314" i="6"/>
  <c r="E314" i="6"/>
  <c r="D314" i="6"/>
  <c r="C314" i="6"/>
  <c r="B314" i="6"/>
  <c r="A314" i="6"/>
  <c r="F313" i="6"/>
  <c r="E313" i="6"/>
  <c r="D313" i="6"/>
  <c r="C313" i="6"/>
  <c r="B313" i="6"/>
  <c r="A313" i="6"/>
  <c r="F312" i="6"/>
  <c r="E312" i="6"/>
  <c r="D312" i="6"/>
  <c r="C312" i="6"/>
  <c r="B312" i="6"/>
  <c r="A312" i="6"/>
  <c r="F311" i="6"/>
  <c r="E311" i="6"/>
  <c r="D311" i="6"/>
  <c r="C311" i="6"/>
  <c r="B311" i="6"/>
  <c r="A311" i="6"/>
  <c r="F310" i="6"/>
  <c r="E310" i="6"/>
  <c r="D310" i="6"/>
  <c r="C310" i="6"/>
  <c r="B310" i="6"/>
  <c r="A310" i="6"/>
  <c r="F309" i="6"/>
  <c r="E309" i="6"/>
  <c r="D309" i="6"/>
  <c r="C309" i="6"/>
  <c r="B309" i="6"/>
  <c r="A309" i="6"/>
  <c r="F308" i="6"/>
  <c r="E308" i="6"/>
  <c r="D308" i="6"/>
  <c r="C308" i="6"/>
  <c r="B308" i="6"/>
  <c r="A308" i="6"/>
  <c r="F307" i="6"/>
  <c r="E307" i="6"/>
  <c r="D307" i="6"/>
  <c r="C307" i="6"/>
  <c r="B307" i="6"/>
  <c r="A307" i="6"/>
  <c r="F306" i="6"/>
  <c r="E306" i="6"/>
  <c r="D306" i="6"/>
  <c r="C306" i="6"/>
  <c r="B306" i="6"/>
  <c r="A306" i="6"/>
  <c r="F305" i="6"/>
  <c r="E305" i="6"/>
  <c r="D305" i="6"/>
  <c r="C305" i="6"/>
  <c r="B305" i="6"/>
  <c r="A305" i="6"/>
  <c r="F304" i="6"/>
  <c r="E304" i="6"/>
  <c r="D304" i="6"/>
  <c r="C304" i="6"/>
  <c r="B304" i="6"/>
  <c r="A304" i="6"/>
  <c r="F303" i="6"/>
  <c r="E303" i="6"/>
  <c r="D303" i="6"/>
  <c r="C303" i="6"/>
  <c r="B303" i="6"/>
  <c r="A303" i="6"/>
  <c r="F302" i="6"/>
  <c r="E302" i="6"/>
  <c r="D302" i="6"/>
  <c r="C302" i="6"/>
  <c r="B302" i="6"/>
  <c r="A302" i="6"/>
  <c r="F301" i="6"/>
  <c r="E301" i="6"/>
  <c r="D301" i="6"/>
  <c r="C301" i="6"/>
  <c r="B301" i="6"/>
  <c r="A301" i="6"/>
  <c r="F300" i="6"/>
  <c r="E300" i="6"/>
  <c r="D300" i="6"/>
  <c r="C300" i="6"/>
  <c r="B300" i="6"/>
  <c r="A300" i="6"/>
  <c r="F299" i="6"/>
  <c r="E299" i="6"/>
  <c r="D299" i="6"/>
  <c r="C299" i="6"/>
  <c r="B299" i="6"/>
  <c r="A299" i="6"/>
  <c r="F298" i="6"/>
  <c r="E298" i="6"/>
  <c r="D298" i="6"/>
  <c r="C298" i="6"/>
  <c r="B298" i="6"/>
  <c r="A298" i="6"/>
  <c r="F297" i="6"/>
  <c r="E297" i="6"/>
  <c r="D297" i="6"/>
  <c r="C297" i="6"/>
  <c r="B297" i="6"/>
  <c r="A297" i="6"/>
  <c r="F296" i="6"/>
  <c r="E296" i="6"/>
  <c r="D296" i="6"/>
  <c r="C296" i="6"/>
  <c r="B296" i="6"/>
  <c r="A296" i="6"/>
  <c r="F295" i="6"/>
  <c r="E295" i="6"/>
  <c r="D295" i="6"/>
  <c r="C295" i="6"/>
  <c r="B295" i="6"/>
  <c r="A295" i="6"/>
  <c r="F294" i="6"/>
  <c r="E294" i="6"/>
  <c r="D294" i="6"/>
  <c r="C294" i="6"/>
  <c r="B294" i="6"/>
  <c r="A294" i="6"/>
  <c r="F293" i="6"/>
  <c r="E293" i="6"/>
  <c r="D293" i="6"/>
  <c r="C293" i="6"/>
  <c r="B293" i="6"/>
  <c r="A293" i="6"/>
  <c r="F292" i="6"/>
  <c r="E292" i="6"/>
  <c r="D292" i="6"/>
  <c r="C292" i="6"/>
  <c r="B292" i="6"/>
  <c r="A292" i="6"/>
  <c r="F291" i="6"/>
  <c r="E291" i="6"/>
  <c r="D291" i="6"/>
  <c r="C291" i="6"/>
  <c r="B291" i="6"/>
  <c r="A291" i="6"/>
  <c r="F290" i="6"/>
  <c r="E290" i="6"/>
  <c r="D290" i="6"/>
  <c r="C290" i="6"/>
  <c r="B290" i="6"/>
  <c r="A290" i="6"/>
  <c r="F289" i="6"/>
  <c r="E289" i="6"/>
  <c r="D289" i="6"/>
  <c r="C289" i="6"/>
  <c r="B289" i="6"/>
  <c r="A289" i="6"/>
  <c r="F288" i="6"/>
  <c r="E288" i="6"/>
  <c r="D288" i="6"/>
  <c r="C288" i="6"/>
  <c r="B288" i="6"/>
  <c r="A288" i="6"/>
  <c r="F287" i="6"/>
  <c r="E287" i="6"/>
  <c r="D287" i="6"/>
  <c r="C287" i="6"/>
  <c r="B287" i="6"/>
  <c r="A287" i="6"/>
  <c r="F286" i="6"/>
  <c r="E286" i="6"/>
  <c r="D286" i="6"/>
  <c r="C286" i="6"/>
  <c r="B286" i="6"/>
  <c r="A286" i="6"/>
  <c r="F285" i="6"/>
  <c r="E285" i="6"/>
  <c r="D285" i="6"/>
  <c r="C285" i="6"/>
  <c r="B285" i="6"/>
  <c r="A285" i="6"/>
  <c r="F284" i="6"/>
  <c r="E284" i="6"/>
  <c r="D284" i="6"/>
  <c r="C284" i="6"/>
  <c r="B284" i="6"/>
  <c r="A284" i="6"/>
  <c r="F283" i="6"/>
  <c r="E283" i="6"/>
  <c r="D283" i="6"/>
  <c r="C283" i="6"/>
  <c r="B283" i="6"/>
  <c r="A283" i="6"/>
  <c r="F282" i="6"/>
  <c r="E282" i="6"/>
  <c r="D282" i="6"/>
  <c r="C282" i="6"/>
  <c r="B282" i="6"/>
  <c r="A282" i="6"/>
  <c r="F281" i="6"/>
  <c r="E281" i="6"/>
  <c r="D281" i="6"/>
  <c r="C281" i="6"/>
  <c r="B281" i="6"/>
  <c r="A281" i="6"/>
  <c r="F280" i="6"/>
  <c r="E280" i="6"/>
  <c r="D280" i="6"/>
  <c r="C280" i="6"/>
  <c r="B280" i="6"/>
  <c r="A280" i="6"/>
  <c r="F279" i="6"/>
  <c r="E279" i="6"/>
  <c r="D279" i="6"/>
  <c r="C279" i="6"/>
  <c r="B279" i="6"/>
  <c r="A279" i="6"/>
  <c r="F278" i="6"/>
  <c r="E278" i="6"/>
  <c r="D278" i="6"/>
  <c r="C278" i="6"/>
  <c r="B278" i="6"/>
  <c r="A278" i="6"/>
  <c r="F277" i="6"/>
  <c r="E277" i="6"/>
  <c r="D277" i="6"/>
  <c r="C277" i="6"/>
  <c r="B277" i="6"/>
  <c r="A277" i="6"/>
  <c r="F276" i="6"/>
  <c r="E276" i="6"/>
  <c r="D276" i="6"/>
  <c r="C276" i="6"/>
  <c r="B276" i="6"/>
  <c r="A276" i="6"/>
  <c r="F275" i="6"/>
  <c r="E275" i="6"/>
  <c r="D275" i="6"/>
  <c r="C275" i="6"/>
  <c r="B275" i="6"/>
  <c r="A275" i="6"/>
  <c r="F274" i="6"/>
  <c r="E274" i="6"/>
  <c r="D274" i="6"/>
  <c r="C274" i="6"/>
  <c r="B274" i="6"/>
  <c r="A274" i="6"/>
  <c r="F273" i="6"/>
  <c r="E273" i="6"/>
  <c r="D273" i="6"/>
  <c r="C273" i="6"/>
  <c r="B273" i="6"/>
  <c r="A273" i="6"/>
  <c r="F272" i="6"/>
  <c r="E272" i="6"/>
  <c r="D272" i="6"/>
  <c r="C272" i="6"/>
  <c r="B272" i="6"/>
  <c r="A272" i="6"/>
  <c r="F271" i="6"/>
  <c r="E271" i="6"/>
  <c r="D271" i="6"/>
  <c r="C271" i="6"/>
  <c r="B271" i="6"/>
  <c r="A271" i="6"/>
  <c r="F270" i="6"/>
  <c r="E270" i="6"/>
  <c r="D270" i="6"/>
  <c r="C270" i="6"/>
  <c r="B270" i="6"/>
  <c r="A270" i="6"/>
  <c r="F269" i="6"/>
  <c r="E269" i="6"/>
  <c r="D269" i="6"/>
  <c r="C269" i="6"/>
  <c r="B269" i="6"/>
  <c r="A269" i="6"/>
  <c r="F268" i="6"/>
  <c r="E268" i="6"/>
  <c r="D268" i="6"/>
  <c r="C268" i="6"/>
  <c r="B268" i="6"/>
  <c r="A268" i="6"/>
  <c r="F267" i="6"/>
  <c r="E267" i="6"/>
  <c r="D267" i="6"/>
  <c r="C267" i="6"/>
  <c r="A267" i="6"/>
  <c r="F266" i="6"/>
  <c r="E266" i="6"/>
  <c r="D266" i="6"/>
  <c r="C266" i="6"/>
  <c r="B266" i="6"/>
  <c r="A266" i="6"/>
  <c r="F265" i="6"/>
  <c r="E265" i="6"/>
  <c r="D265" i="6"/>
  <c r="C265" i="6"/>
  <c r="B265" i="6"/>
  <c r="A265" i="6"/>
  <c r="F264" i="6"/>
  <c r="E264" i="6"/>
  <c r="D264" i="6"/>
  <c r="C264" i="6"/>
  <c r="B264" i="6"/>
  <c r="A264" i="6"/>
  <c r="F263" i="6"/>
  <c r="E263" i="6"/>
  <c r="D263" i="6"/>
  <c r="C263" i="6"/>
  <c r="B263" i="6"/>
  <c r="A263" i="6"/>
  <c r="F262" i="6"/>
  <c r="E262" i="6"/>
  <c r="D262" i="6"/>
  <c r="C262" i="6"/>
  <c r="B262" i="6"/>
  <c r="A262" i="6"/>
  <c r="F261" i="6"/>
  <c r="E261" i="6"/>
  <c r="D261" i="6"/>
  <c r="C261" i="6"/>
  <c r="B261" i="6"/>
  <c r="A261" i="6"/>
  <c r="F260" i="6"/>
  <c r="E260" i="6"/>
  <c r="D260" i="6"/>
  <c r="C260" i="6"/>
  <c r="B260" i="6"/>
  <c r="A260" i="6"/>
  <c r="F259" i="6"/>
  <c r="E259" i="6"/>
  <c r="D259" i="6"/>
  <c r="C259" i="6"/>
  <c r="B259" i="6"/>
  <c r="A259" i="6"/>
  <c r="F258" i="6"/>
  <c r="E258" i="6"/>
  <c r="D258" i="6"/>
  <c r="C258" i="6"/>
  <c r="B258" i="6"/>
  <c r="A258" i="6"/>
  <c r="F257" i="6"/>
  <c r="E257" i="6"/>
  <c r="D257" i="6"/>
  <c r="C257" i="6"/>
  <c r="B257" i="6"/>
  <c r="A257" i="6"/>
  <c r="F256" i="6"/>
  <c r="E256" i="6"/>
  <c r="D256" i="6"/>
  <c r="C256" i="6"/>
  <c r="B256" i="6"/>
  <c r="A256" i="6"/>
  <c r="F255" i="6"/>
  <c r="E255" i="6"/>
  <c r="D255" i="6"/>
  <c r="C255" i="6"/>
  <c r="B255" i="6"/>
  <c r="A255" i="6"/>
  <c r="F254" i="6"/>
  <c r="E254" i="6"/>
  <c r="D254" i="6"/>
  <c r="C254" i="6"/>
  <c r="B254" i="6"/>
  <c r="A254" i="6"/>
  <c r="F253" i="6"/>
  <c r="E253" i="6"/>
  <c r="D253" i="6"/>
  <c r="C253" i="6"/>
  <c r="B253" i="6"/>
  <c r="A253" i="6"/>
  <c r="F252" i="6"/>
  <c r="E252" i="6"/>
  <c r="D252" i="6"/>
  <c r="C252" i="6"/>
  <c r="B252" i="6"/>
  <c r="A252" i="6"/>
  <c r="F251" i="6"/>
  <c r="E251" i="6"/>
  <c r="D251" i="6"/>
  <c r="C251" i="6"/>
  <c r="B251" i="6"/>
  <c r="A251" i="6"/>
  <c r="F250" i="6"/>
  <c r="E250" i="6"/>
  <c r="D250" i="6"/>
  <c r="C250" i="6"/>
  <c r="B250" i="6"/>
  <c r="A250" i="6"/>
  <c r="F249" i="6"/>
  <c r="E249" i="6"/>
  <c r="D249" i="6"/>
  <c r="C249" i="6"/>
  <c r="B249" i="6"/>
  <c r="A249" i="6"/>
  <c r="F248" i="6"/>
  <c r="E248" i="6"/>
  <c r="D248" i="6"/>
  <c r="C248" i="6"/>
  <c r="B248" i="6"/>
  <c r="A248" i="6"/>
  <c r="F247" i="6"/>
  <c r="E247" i="6"/>
  <c r="D247" i="6"/>
  <c r="C247" i="6"/>
  <c r="B247" i="6"/>
  <c r="A247" i="6"/>
  <c r="F246" i="6"/>
  <c r="E246" i="6"/>
  <c r="D246" i="6"/>
  <c r="C246" i="6"/>
  <c r="B246" i="6"/>
  <c r="A246" i="6"/>
  <c r="F245" i="6"/>
  <c r="E245" i="6"/>
  <c r="D245" i="6"/>
  <c r="C245" i="6"/>
  <c r="B245" i="6"/>
  <c r="A245" i="6"/>
  <c r="F244" i="6"/>
  <c r="E244" i="6"/>
  <c r="D244" i="6"/>
  <c r="C244" i="6"/>
  <c r="B244" i="6"/>
  <c r="A244" i="6"/>
  <c r="F243" i="6"/>
  <c r="E243" i="6"/>
  <c r="D243" i="6"/>
  <c r="C243" i="6"/>
  <c r="B243" i="6"/>
  <c r="A243" i="6"/>
  <c r="F242" i="6"/>
  <c r="E242" i="6"/>
  <c r="D242" i="6"/>
  <c r="C242" i="6"/>
  <c r="B242" i="6"/>
  <c r="A242" i="6"/>
  <c r="F241" i="6"/>
  <c r="E241" i="6"/>
  <c r="D241" i="6"/>
  <c r="C241" i="6"/>
  <c r="B241" i="6"/>
  <c r="A241" i="6"/>
  <c r="F240" i="6"/>
  <c r="E240" i="6"/>
  <c r="D240" i="6"/>
  <c r="C240" i="6"/>
  <c r="B240" i="6"/>
  <c r="A240" i="6"/>
  <c r="F239" i="6"/>
  <c r="E239" i="6"/>
  <c r="D239" i="6"/>
  <c r="C239" i="6"/>
  <c r="B239" i="6"/>
  <c r="A239" i="6"/>
  <c r="F238" i="6"/>
  <c r="E238" i="6"/>
  <c r="D238" i="6"/>
  <c r="C238" i="6"/>
  <c r="B238" i="6"/>
  <c r="A238" i="6"/>
  <c r="F237" i="6"/>
  <c r="E237" i="6"/>
  <c r="D237" i="6"/>
  <c r="C237" i="6"/>
  <c r="B237" i="6"/>
  <c r="A237" i="6"/>
  <c r="F236" i="6"/>
  <c r="E236" i="6"/>
  <c r="D236" i="6"/>
  <c r="C236" i="6"/>
  <c r="B236" i="6"/>
  <c r="A236" i="6"/>
  <c r="F235" i="6"/>
  <c r="E235" i="6"/>
  <c r="D235" i="6"/>
  <c r="C235" i="6"/>
  <c r="B235" i="6"/>
  <c r="A235" i="6"/>
  <c r="F234" i="6"/>
  <c r="E234" i="6"/>
  <c r="D234" i="6"/>
  <c r="C234" i="6"/>
  <c r="A234" i="6"/>
  <c r="F233" i="6"/>
  <c r="E233" i="6"/>
  <c r="D233" i="6"/>
  <c r="C233" i="6"/>
  <c r="B233" i="6"/>
  <c r="A233" i="6"/>
  <c r="F232" i="6"/>
  <c r="E232" i="6"/>
  <c r="D232" i="6"/>
  <c r="C232" i="6"/>
  <c r="B232" i="6"/>
  <c r="A232" i="6"/>
  <c r="F231" i="6"/>
  <c r="E231" i="6"/>
  <c r="D231" i="6"/>
  <c r="C231" i="6"/>
  <c r="B231" i="6"/>
  <c r="A231" i="6"/>
  <c r="F230" i="6"/>
  <c r="E230" i="6"/>
  <c r="D230" i="6"/>
  <c r="C230" i="6"/>
  <c r="B230" i="6"/>
  <c r="A230" i="6"/>
  <c r="F229" i="6"/>
  <c r="E229" i="6"/>
  <c r="D229" i="6"/>
  <c r="C229" i="6"/>
  <c r="B229" i="6"/>
  <c r="A229" i="6"/>
  <c r="F228" i="6"/>
  <c r="E228" i="6"/>
  <c r="D228" i="6"/>
  <c r="C228" i="6"/>
  <c r="B228" i="6"/>
  <c r="A228" i="6"/>
  <c r="F227" i="6"/>
  <c r="E227" i="6"/>
  <c r="D227" i="6"/>
  <c r="C227" i="6"/>
  <c r="A227" i="6"/>
  <c r="F226" i="6"/>
  <c r="E226" i="6"/>
  <c r="D226" i="6"/>
  <c r="C226" i="6"/>
  <c r="B226" i="6"/>
  <c r="A226" i="6"/>
  <c r="F225" i="6"/>
  <c r="E225" i="6"/>
  <c r="D225" i="6"/>
  <c r="C225" i="6"/>
  <c r="B225" i="6"/>
  <c r="A225" i="6"/>
  <c r="F224" i="6"/>
  <c r="E224" i="6"/>
  <c r="D224" i="6"/>
  <c r="C224" i="6"/>
  <c r="B224" i="6"/>
  <c r="A224" i="6"/>
  <c r="F223" i="6"/>
  <c r="E223" i="6"/>
  <c r="D223" i="6"/>
  <c r="C223" i="6"/>
  <c r="A223" i="6"/>
  <c r="F222" i="6"/>
  <c r="E222" i="6"/>
  <c r="D222" i="6"/>
  <c r="C222" i="6"/>
  <c r="B222" i="6"/>
  <c r="A222" i="6"/>
  <c r="F221" i="6"/>
  <c r="E221" i="6"/>
  <c r="D221" i="6"/>
  <c r="C221" i="6"/>
  <c r="B221" i="6"/>
  <c r="A221" i="6"/>
  <c r="F220" i="6"/>
  <c r="E220" i="6"/>
  <c r="D220" i="6"/>
  <c r="C220" i="6"/>
  <c r="B220" i="6"/>
  <c r="A220" i="6"/>
  <c r="F219" i="6"/>
  <c r="E219" i="6"/>
  <c r="D219" i="6"/>
  <c r="C219" i="6"/>
  <c r="B219" i="6"/>
  <c r="A219" i="6"/>
  <c r="F218" i="6"/>
  <c r="E218" i="6"/>
  <c r="D218" i="6"/>
  <c r="C218" i="6"/>
  <c r="B218" i="6"/>
  <c r="A218" i="6"/>
  <c r="F217" i="6"/>
  <c r="E217" i="6"/>
  <c r="D217" i="6"/>
  <c r="C217" i="6"/>
  <c r="B217" i="6"/>
  <c r="A217" i="6"/>
  <c r="F216" i="6"/>
  <c r="E216" i="6"/>
  <c r="D216" i="6"/>
  <c r="C216" i="6"/>
  <c r="B216" i="6"/>
  <c r="A216" i="6"/>
  <c r="F215" i="6"/>
  <c r="E215" i="6"/>
  <c r="D215" i="6"/>
  <c r="C215" i="6"/>
  <c r="B215" i="6"/>
  <c r="A215" i="6"/>
  <c r="F214" i="6"/>
  <c r="E214" i="6"/>
  <c r="D214" i="6"/>
  <c r="C214" i="6"/>
  <c r="B214" i="6"/>
  <c r="A214" i="6"/>
  <c r="F213" i="6"/>
  <c r="E213" i="6"/>
  <c r="D213" i="6"/>
  <c r="C213" i="6"/>
  <c r="B213" i="6"/>
  <c r="A213" i="6"/>
  <c r="F212" i="6"/>
  <c r="E212" i="6"/>
  <c r="D212" i="6"/>
  <c r="C212" i="6"/>
  <c r="B212" i="6"/>
  <c r="A212" i="6"/>
  <c r="F211" i="6"/>
  <c r="E211" i="6"/>
  <c r="D211" i="6"/>
  <c r="C211" i="6"/>
  <c r="B211" i="6"/>
  <c r="A211" i="6"/>
  <c r="F210" i="6"/>
  <c r="E210" i="6"/>
  <c r="D210" i="6"/>
  <c r="C210" i="6"/>
  <c r="B210" i="6"/>
  <c r="A210" i="6"/>
  <c r="F209" i="6"/>
  <c r="E209" i="6"/>
  <c r="D209" i="6"/>
  <c r="C209" i="6"/>
  <c r="B209" i="6"/>
  <c r="A209" i="6"/>
  <c r="F208" i="6"/>
  <c r="E208" i="6"/>
  <c r="D208" i="6"/>
  <c r="C208" i="6"/>
  <c r="B208" i="6"/>
  <c r="A208" i="6"/>
  <c r="F207" i="6"/>
  <c r="E207" i="6"/>
  <c r="D207" i="6"/>
  <c r="C207" i="6"/>
  <c r="B207" i="6"/>
  <c r="A207" i="6"/>
  <c r="F206" i="6"/>
  <c r="E206" i="6"/>
  <c r="D206" i="6"/>
  <c r="C206" i="6"/>
  <c r="B206" i="6"/>
  <c r="A206" i="6"/>
  <c r="F205" i="6"/>
  <c r="E205" i="6"/>
  <c r="D205" i="6"/>
  <c r="C205" i="6"/>
  <c r="B205" i="6"/>
  <c r="A205" i="6"/>
  <c r="F204" i="6"/>
  <c r="E204" i="6"/>
  <c r="D204" i="6"/>
  <c r="C204" i="6"/>
  <c r="B204" i="6"/>
  <c r="A204" i="6"/>
  <c r="F203" i="6"/>
  <c r="E203" i="6"/>
  <c r="D203" i="6"/>
  <c r="C203" i="6"/>
  <c r="B203" i="6"/>
  <c r="A203" i="6"/>
  <c r="F202" i="6"/>
  <c r="E202" i="6"/>
  <c r="D202" i="6"/>
  <c r="C202" i="6"/>
  <c r="B202" i="6"/>
  <c r="A202" i="6"/>
  <c r="F201" i="6"/>
  <c r="E201" i="6"/>
  <c r="D201" i="6"/>
  <c r="C201" i="6"/>
  <c r="B201" i="6"/>
  <c r="A201" i="6"/>
  <c r="F200" i="6"/>
  <c r="E200" i="6"/>
  <c r="D200" i="6"/>
  <c r="C200" i="6"/>
  <c r="B200" i="6"/>
  <c r="A200" i="6"/>
  <c r="F199" i="6"/>
  <c r="E199" i="6"/>
  <c r="D199" i="6"/>
  <c r="C199" i="6"/>
  <c r="B199" i="6"/>
  <c r="A199" i="6"/>
  <c r="F198" i="6"/>
  <c r="E198" i="6"/>
  <c r="D198" i="6"/>
  <c r="C198" i="6"/>
  <c r="B198" i="6"/>
  <c r="A198" i="6"/>
  <c r="F197" i="6"/>
  <c r="E197" i="6"/>
  <c r="D197" i="6"/>
  <c r="C197" i="6"/>
  <c r="B197" i="6"/>
  <c r="A197" i="6"/>
  <c r="F196" i="6"/>
  <c r="E196" i="6"/>
  <c r="D196" i="6"/>
  <c r="C196" i="6"/>
  <c r="B196" i="6"/>
  <c r="A196" i="6"/>
  <c r="F195" i="6"/>
  <c r="E195" i="6"/>
  <c r="D195" i="6"/>
  <c r="C195" i="6"/>
  <c r="B195" i="6"/>
  <c r="A195" i="6"/>
  <c r="F194" i="6"/>
  <c r="E194" i="6"/>
  <c r="D194" i="6"/>
  <c r="C194" i="6"/>
  <c r="B194" i="6"/>
  <c r="A194" i="6"/>
  <c r="F193" i="6"/>
  <c r="E193" i="6"/>
  <c r="D193" i="6"/>
  <c r="C193" i="6"/>
  <c r="B193" i="6"/>
  <c r="A193" i="6"/>
  <c r="F192" i="6"/>
  <c r="E192" i="6"/>
  <c r="D192" i="6"/>
  <c r="C192" i="6"/>
  <c r="B192" i="6"/>
  <c r="A192" i="6"/>
  <c r="F191" i="6"/>
  <c r="E191" i="6"/>
  <c r="D191" i="6"/>
  <c r="C191" i="6"/>
  <c r="B191" i="6"/>
  <c r="A191" i="6"/>
  <c r="F190" i="6"/>
  <c r="E190" i="6"/>
  <c r="D190" i="6"/>
  <c r="C190" i="6"/>
  <c r="B190" i="6"/>
  <c r="A190" i="6"/>
  <c r="F189" i="6"/>
  <c r="E189" i="6"/>
  <c r="D189" i="6"/>
  <c r="C189" i="6"/>
  <c r="B189" i="6"/>
  <c r="A189" i="6"/>
  <c r="F188" i="6"/>
  <c r="E188" i="6"/>
  <c r="D188" i="6"/>
  <c r="C188" i="6"/>
  <c r="B188" i="6"/>
  <c r="A188" i="6"/>
  <c r="F187" i="6"/>
  <c r="E187" i="6"/>
  <c r="D187" i="6"/>
  <c r="C187" i="6"/>
  <c r="B187" i="6"/>
  <c r="A187" i="6"/>
  <c r="F186" i="6"/>
  <c r="E186" i="6"/>
  <c r="D186" i="6"/>
  <c r="C186" i="6"/>
  <c r="B186" i="6"/>
  <c r="A186" i="6"/>
  <c r="F185" i="6"/>
  <c r="E185" i="6"/>
  <c r="D185" i="6"/>
  <c r="C185" i="6"/>
  <c r="B185" i="6"/>
  <c r="A185" i="6"/>
  <c r="F184" i="6"/>
  <c r="E184" i="6"/>
  <c r="D184" i="6"/>
  <c r="C184" i="6"/>
  <c r="B184" i="6"/>
  <c r="A184" i="6"/>
  <c r="F183" i="6"/>
  <c r="E183" i="6"/>
  <c r="D183" i="6"/>
  <c r="C183" i="6"/>
  <c r="B183" i="6"/>
  <c r="A183" i="6"/>
  <c r="F182" i="6"/>
  <c r="E182" i="6"/>
  <c r="D182" i="6"/>
  <c r="C182" i="6"/>
  <c r="B182" i="6"/>
  <c r="A182" i="6"/>
  <c r="F181" i="6"/>
  <c r="E181" i="6"/>
  <c r="D181" i="6"/>
  <c r="C181" i="6"/>
  <c r="B181" i="6"/>
  <c r="A181" i="6"/>
  <c r="F180" i="6"/>
  <c r="E180" i="6"/>
  <c r="D180" i="6"/>
  <c r="C180" i="6"/>
  <c r="B180" i="6"/>
  <c r="A180" i="6"/>
  <c r="F179" i="6"/>
  <c r="E179" i="6"/>
  <c r="D179" i="6"/>
  <c r="C179" i="6"/>
  <c r="A179" i="6"/>
  <c r="F178" i="6"/>
  <c r="E178" i="6"/>
  <c r="D178" i="6"/>
  <c r="C178" i="6"/>
  <c r="A178" i="6"/>
  <c r="F177" i="6"/>
  <c r="E177" i="6"/>
  <c r="D177" i="6"/>
  <c r="C177" i="6"/>
  <c r="B177" i="6"/>
  <c r="A177" i="6"/>
  <c r="F176" i="6"/>
  <c r="E176" i="6"/>
  <c r="D176" i="6"/>
  <c r="C176" i="6"/>
  <c r="B176" i="6"/>
  <c r="A176" i="6"/>
  <c r="F175" i="6"/>
  <c r="E175" i="6"/>
  <c r="D175" i="6"/>
  <c r="C175" i="6"/>
  <c r="B175" i="6"/>
  <c r="A175" i="6"/>
  <c r="F174" i="6"/>
  <c r="E174" i="6"/>
  <c r="D174" i="6"/>
  <c r="C174" i="6"/>
  <c r="B174" i="6"/>
  <c r="A174" i="6"/>
  <c r="F173" i="6"/>
  <c r="E173" i="6"/>
  <c r="D173" i="6"/>
  <c r="C173" i="6"/>
  <c r="B173" i="6"/>
  <c r="A173" i="6"/>
  <c r="F172" i="6"/>
  <c r="E172" i="6"/>
  <c r="D172" i="6"/>
  <c r="C172" i="6"/>
  <c r="B172" i="6"/>
  <c r="A172" i="6"/>
  <c r="F171" i="6"/>
  <c r="E171" i="6"/>
  <c r="D171" i="6"/>
  <c r="C171" i="6"/>
  <c r="B171" i="6"/>
  <c r="A171" i="6"/>
  <c r="F170" i="6"/>
  <c r="E170" i="6"/>
  <c r="D170" i="6"/>
  <c r="C170" i="6"/>
  <c r="B170" i="6"/>
  <c r="A170" i="6"/>
  <c r="F169" i="6"/>
  <c r="E169" i="6"/>
  <c r="D169" i="6"/>
  <c r="C169" i="6"/>
  <c r="B169" i="6"/>
  <c r="A169" i="6"/>
  <c r="F168" i="6"/>
  <c r="E168" i="6"/>
  <c r="D168" i="6"/>
  <c r="C168" i="6"/>
  <c r="B168" i="6"/>
  <c r="A168" i="6"/>
  <c r="F167" i="6"/>
  <c r="E167" i="6"/>
  <c r="D167" i="6"/>
  <c r="C167" i="6"/>
  <c r="B167" i="6"/>
  <c r="A167" i="6"/>
  <c r="F166" i="6"/>
  <c r="E166" i="6"/>
  <c r="D166" i="6"/>
  <c r="C166" i="6"/>
  <c r="B166" i="6"/>
  <c r="A166" i="6"/>
  <c r="F165" i="6"/>
  <c r="E165" i="6"/>
  <c r="D165" i="6"/>
  <c r="C165" i="6"/>
  <c r="B165" i="6"/>
  <c r="A165" i="6"/>
  <c r="F164" i="6"/>
  <c r="E164" i="6"/>
  <c r="D164" i="6"/>
  <c r="C164" i="6"/>
  <c r="B164" i="6"/>
  <c r="A164" i="6"/>
  <c r="F163" i="6"/>
  <c r="E163" i="6"/>
  <c r="D163" i="6"/>
  <c r="C163" i="6"/>
  <c r="B163" i="6"/>
  <c r="A163" i="6"/>
  <c r="F162" i="6"/>
  <c r="E162" i="6"/>
  <c r="D162" i="6"/>
  <c r="C162" i="6"/>
  <c r="B162" i="6"/>
  <c r="A162" i="6"/>
  <c r="F161" i="6"/>
  <c r="E161" i="6"/>
  <c r="D161" i="6"/>
  <c r="C161" i="6"/>
  <c r="B161" i="6"/>
  <c r="A161" i="6"/>
  <c r="F160" i="6"/>
  <c r="E160" i="6"/>
  <c r="D160" i="6"/>
  <c r="C160" i="6"/>
  <c r="B160" i="6"/>
  <c r="A160" i="6"/>
  <c r="F159" i="6"/>
  <c r="E159" i="6"/>
  <c r="D159" i="6"/>
  <c r="C159" i="6"/>
  <c r="B159" i="6"/>
  <c r="A159" i="6"/>
  <c r="F158" i="6"/>
  <c r="E158" i="6"/>
  <c r="D158" i="6"/>
  <c r="C158" i="6"/>
  <c r="B158" i="6"/>
  <c r="A158" i="6"/>
  <c r="F157" i="6"/>
  <c r="E157" i="6"/>
  <c r="D157" i="6"/>
  <c r="C157" i="6"/>
  <c r="B157" i="6"/>
  <c r="A157" i="6"/>
  <c r="F156" i="6"/>
  <c r="E156" i="6"/>
  <c r="D156" i="6"/>
  <c r="C156" i="6"/>
  <c r="B156" i="6"/>
  <c r="A156" i="6"/>
  <c r="F155" i="6"/>
  <c r="E155" i="6"/>
  <c r="D155" i="6"/>
  <c r="C155" i="6"/>
  <c r="B155" i="6"/>
  <c r="A155" i="6"/>
  <c r="F154" i="6"/>
  <c r="E154" i="6"/>
  <c r="D154" i="6"/>
  <c r="C154" i="6"/>
  <c r="B154" i="6"/>
  <c r="A154" i="6"/>
  <c r="F153" i="6"/>
  <c r="E153" i="6"/>
  <c r="D153" i="6"/>
  <c r="C153" i="6"/>
  <c r="A153" i="6"/>
  <c r="F152" i="6"/>
  <c r="E152" i="6"/>
  <c r="D152" i="6"/>
  <c r="C152" i="6"/>
  <c r="B152" i="6"/>
  <c r="A152" i="6"/>
  <c r="F151" i="6"/>
  <c r="E151" i="6"/>
  <c r="D151" i="6"/>
  <c r="C151" i="6"/>
  <c r="B151" i="6"/>
  <c r="A151" i="6"/>
  <c r="F150" i="6"/>
  <c r="E150" i="6"/>
  <c r="D150" i="6"/>
  <c r="C150" i="6"/>
  <c r="B150" i="6"/>
  <c r="A150" i="6"/>
  <c r="F149" i="6"/>
  <c r="E149" i="6"/>
  <c r="D149" i="6"/>
  <c r="C149" i="6"/>
  <c r="B149" i="6"/>
  <c r="A149" i="6"/>
  <c r="F148" i="6"/>
  <c r="E148" i="6"/>
  <c r="D148" i="6"/>
  <c r="C148" i="6"/>
  <c r="B148" i="6"/>
  <c r="A148" i="6"/>
  <c r="F147" i="6"/>
  <c r="E147" i="6"/>
  <c r="D147" i="6"/>
  <c r="C147" i="6"/>
  <c r="B147" i="6"/>
  <c r="A147" i="6"/>
  <c r="F146" i="6"/>
  <c r="E146" i="6"/>
  <c r="D146" i="6"/>
  <c r="C146" i="6"/>
  <c r="B146" i="6"/>
  <c r="A146" i="6"/>
  <c r="F145" i="6"/>
  <c r="E145" i="6"/>
  <c r="D145" i="6"/>
  <c r="C145" i="6"/>
  <c r="B145" i="6"/>
  <c r="A145" i="6"/>
  <c r="F144" i="6"/>
  <c r="E144" i="6"/>
  <c r="D144" i="6"/>
  <c r="C144" i="6"/>
  <c r="B144" i="6"/>
  <c r="A144" i="6"/>
  <c r="F143" i="6"/>
  <c r="E143" i="6"/>
  <c r="D143" i="6"/>
  <c r="C143" i="6"/>
  <c r="B143" i="6"/>
  <c r="A143" i="6"/>
  <c r="F142" i="6"/>
  <c r="E142" i="6"/>
  <c r="D142" i="6"/>
  <c r="C142" i="6"/>
  <c r="B142" i="6"/>
  <c r="A142" i="6"/>
  <c r="F141" i="6"/>
  <c r="E141" i="6"/>
  <c r="D141" i="6"/>
  <c r="C141" i="6"/>
  <c r="B141" i="6"/>
  <c r="A141" i="6"/>
  <c r="F140" i="6"/>
  <c r="E140" i="6"/>
  <c r="D140" i="6"/>
  <c r="C140" i="6"/>
  <c r="A140" i="6"/>
  <c r="F139" i="6"/>
  <c r="E139" i="6"/>
  <c r="D139" i="6"/>
  <c r="C139" i="6"/>
  <c r="B139" i="6"/>
  <c r="A139" i="6"/>
  <c r="F138" i="6"/>
  <c r="E138" i="6"/>
  <c r="D138" i="6"/>
  <c r="C138" i="6"/>
  <c r="B138" i="6"/>
  <c r="A138" i="6"/>
  <c r="F137" i="6"/>
  <c r="E137" i="6"/>
  <c r="D137" i="6"/>
  <c r="C137" i="6"/>
  <c r="A137" i="6"/>
  <c r="F136" i="6"/>
  <c r="E136" i="6"/>
  <c r="D136" i="6"/>
  <c r="C136" i="6"/>
  <c r="B136" i="6"/>
  <c r="A136" i="6"/>
  <c r="F135" i="6"/>
  <c r="E135" i="6"/>
  <c r="D135" i="6"/>
  <c r="C135" i="6"/>
  <c r="B135" i="6"/>
  <c r="A135" i="6"/>
  <c r="F134" i="6"/>
  <c r="E134" i="6"/>
  <c r="D134" i="6"/>
  <c r="C134" i="6"/>
  <c r="B134" i="6"/>
  <c r="A134" i="6"/>
  <c r="F133" i="6"/>
  <c r="E133" i="6"/>
  <c r="D133" i="6"/>
  <c r="C133" i="6"/>
  <c r="B133" i="6"/>
  <c r="A133" i="6"/>
  <c r="F132" i="6"/>
  <c r="E132" i="6"/>
  <c r="D132" i="6"/>
  <c r="C132" i="6"/>
  <c r="B132" i="6"/>
  <c r="A132" i="6"/>
  <c r="F131" i="6"/>
  <c r="E131" i="6"/>
  <c r="D131" i="6"/>
  <c r="C131" i="6"/>
  <c r="B131" i="6"/>
  <c r="A131" i="6"/>
  <c r="F130" i="6"/>
  <c r="E130" i="6"/>
  <c r="D130" i="6"/>
  <c r="C130" i="6"/>
  <c r="B130" i="6"/>
  <c r="A130" i="6"/>
  <c r="F129" i="6"/>
  <c r="E129" i="6"/>
  <c r="D129" i="6"/>
  <c r="C129" i="6"/>
  <c r="B129" i="6"/>
  <c r="A129" i="6"/>
  <c r="F128" i="6"/>
  <c r="E128" i="6"/>
  <c r="D128" i="6"/>
  <c r="C128" i="6"/>
  <c r="B128" i="6"/>
  <c r="A128" i="6"/>
  <c r="F127" i="6"/>
  <c r="E127" i="6"/>
  <c r="D127" i="6"/>
  <c r="C127" i="6"/>
  <c r="A127" i="6"/>
  <c r="F126" i="6"/>
  <c r="E126" i="6"/>
  <c r="D126" i="6"/>
  <c r="C126" i="6"/>
  <c r="B126" i="6"/>
  <c r="A126" i="6"/>
  <c r="F125" i="6"/>
  <c r="E125" i="6"/>
  <c r="D125" i="6"/>
  <c r="C125" i="6"/>
  <c r="B125" i="6"/>
  <c r="A125" i="6"/>
  <c r="F124" i="6"/>
  <c r="E124" i="6"/>
  <c r="D124" i="6"/>
  <c r="C124" i="6"/>
  <c r="B124" i="6"/>
  <c r="A124" i="6"/>
  <c r="F123" i="6"/>
  <c r="E123" i="6"/>
  <c r="D123" i="6"/>
  <c r="C123" i="6"/>
  <c r="B123" i="6"/>
  <c r="A123" i="6"/>
  <c r="F122" i="6"/>
  <c r="E122" i="6"/>
  <c r="D122" i="6"/>
  <c r="C122" i="6"/>
  <c r="B122" i="6"/>
  <c r="A122" i="6"/>
  <c r="F121" i="6"/>
  <c r="E121" i="6"/>
  <c r="D121" i="6"/>
  <c r="C121" i="6"/>
  <c r="B121" i="6"/>
  <c r="A121" i="6"/>
  <c r="F120" i="6"/>
  <c r="E120" i="6"/>
  <c r="D120" i="6"/>
  <c r="C120" i="6"/>
  <c r="B120" i="6"/>
  <c r="A120" i="6"/>
  <c r="F119" i="6"/>
  <c r="E119" i="6"/>
  <c r="D119" i="6"/>
  <c r="C119" i="6"/>
  <c r="B119" i="6"/>
  <c r="A119" i="6"/>
  <c r="F118" i="6"/>
  <c r="E118" i="6"/>
  <c r="D118" i="6"/>
  <c r="C118" i="6"/>
  <c r="B118" i="6"/>
  <c r="A118" i="6"/>
  <c r="F117" i="6"/>
  <c r="E117" i="6"/>
  <c r="D117" i="6"/>
  <c r="C117" i="6"/>
  <c r="B117" i="6"/>
  <c r="A117" i="6"/>
  <c r="F116" i="6"/>
  <c r="E116" i="6"/>
  <c r="D116" i="6"/>
  <c r="C116" i="6"/>
  <c r="B116" i="6"/>
  <c r="A116" i="6"/>
  <c r="F115" i="6"/>
  <c r="E115" i="6"/>
  <c r="D115" i="6"/>
  <c r="C115" i="6"/>
  <c r="B115" i="6"/>
  <c r="A115" i="6"/>
  <c r="F114" i="6"/>
  <c r="E114" i="6"/>
  <c r="D114" i="6"/>
  <c r="C114" i="6"/>
  <c r="B114" i="6"/>
  <c r="A114" i="6"/>
  <c r="F113" i="6"/>
  <c r="E113" i="6"/>
  <c r="D113" i="6"/>
  <c r="C113" i="6"/>
  <c r="B113" i="6"/>
  <c r="A113" i="6"/>
  <c r="F112" i="6"/>
  <c r="E112" i="6"/>
  <c r="D112" i="6"/>
  <c r="C112" i="6"/>
  <c r="B112" i="6"/>
  <c r="A112" i="6"/>
  <c r="F111" i="6"/>
  <c r="E111" i="6"/>
  <c r="D111" i="6"/>
  <c r="C111" i="6"/>
  <c r="B111" i="6"/>
  <c r="A111" i="6"/>
  <c r="F110" i="6"/>
  <c r="E110" i="6"/>
  <c r="D110" i="6"/>
  <c r="C110" i="6"/>
  <c r="B110" i="6"/>
  <c r="A110" i="6"/>
  <c r="F109" i="6"/>
  <c r="E109" i="6"/>
  <c r="D109" i="6"/>
  <c r="C109" i="6"/>
  <c r="B109" i="6"/>
  <c r="A109" i="6"/>
  <c r="F108" i="6"/>
  <c r="E108" i="6"/>
  <c r="D108" i="6"/>
  <c r="C108" i="6"/>
  <c r="B108" i="6"/>
  <c r="A108" i="6"/>
  <c r="F107" i="6"/>
  <c r="E107" i="6"/>
  <c r="D107" i="6"/>
  <c r="C107" i="6"/>
  <c r="A107" i="6"/>
  <c r="F106" i="6"/>
  <c r="E106" i="6"/>
  <c r="D106" i="6"/>
  <c r="C106" i="6"/>
  <c r="B106" i="6"/>
  <c r="A106" i="6"/>
  <c r="F105" i="6"/>
  <c r="E105" i="6"/>
  <c r="D105" i="6"/>
  <c r="C105" i="6"/>
  <c r="B105" i="6"/>
  <c r="A105" i="6"/>
  <c r="F104" i="6"/>
  <c r="E104" i="6"/>
  <c r="D104" i="6"/>
  <c r="C104" i="6"/>
  <c r="B104" i="6"/>
  <c r="A104" i="6"/>
  <c r="F103" i="6"/>
  <c r="E103" i="6"/>
  <c r="D103" i="6"/>
  <c r="C103" i="6"/>
  <c r="B103" i="6"/>
  <c r="A103" i="6"/>
  <c r="F102" i="6"/>
  <c r="E102" i="6"/>
  <c r="D102" i="6"/>
  <c r="C102" i="6"/>
  <c r="A102" i="6"/>
  <c r="F101" i="6"/>
  <c r="E101" i="6"/>
  <c r="D101" i="6"/>
  <c r="C101" i="6"/>
  <c r="B101" i="6"/>
  <c r="A101" i="6"/>
  <c r="F100" i="6"/>
  <c r="E100" i="6"/>
  <c r="D100" i="6"/>
  <c r="C100" i="6"/>
  <c r="B100" i="6"/>
  <c r="A100" i="6"/>
  <c r="F99" i="6"/>
  <c r="E99" i="6"/>
  <c r="D99" i="6"/>
  <c r="C99" i="6"/>
  <c r="B99" i="6"/>
  <c r="A99" i="6"/>
  <c r="F98" i="6"/>
  <c r="E98" i="6"/>
  <c r="D98" i="6"/>
  <c r="C98" i="6"/>
  <c r="A98" i="6"/>
  <c r="F97" i="6"/>
  <c r="E97" i="6"/>
  <c r="D97" i="6"/>
  <c r="C97" i="6"/>
  <c r="B97" i="6"/>
  <c r="A97" i="6"/>
  <c r="F96" i="6"/>
  <c r="E96" i="6"/>
  <c r="D96" i="6"/>
  <c r="C96" i="6"/>
  <c r="B96" i="6"/>
  <c r="A96" i="6"/>
  <c r="F95" i="6"/>
  <c r="E95" i="6"/>
  <c r="D95" i="6"/>
  <c r="C95" i="6"/>
  <c r="B95" i="6"/>
  <c r="A95" i="6"/>
  <c r="F94" i="6"/>
  <c r="E94" i="6"/>
  <c r="D94" i="6"/>
  <c r="C94" i="6"/>
  <c r="B94" i="6"/>
  <c r="A94" i="6"/>
  <c r="F93" i="6"/>
  <c r="E93" i="6"/>
  <c r="D93" i="6"/>
  <c r="C93" i="6"/>
  <c r="B93" i="6"/>
  <c r="A93" i="6"/>
  <c r="F92" i="6"/>
  <c r="E92" i="6"/>
  <c r="D92" i="6"/>
  <c r="C92" i="6"/>
  <c r="B92" i="6"/>
  <c r="A92" i="6"/>
  <c r="F91" i="6"/>
  <c r="E91" i="6"/>
  <c r="D91" i="6"/>
  <c r="C91" i="6"/>
  <c r="B91" i="6"/>
  <c r="A91" i="6"/>
  <c r="F90" i="6"/>
  <c r="E90" i="6"/>
  <c r="D90" i="6"/>
  <c r="C90" i="6"/>
  <c r="B90" i="6"/>
  <c r="A90" i="6"/>
  <c r="F89" i="6"/>
  <c r="E89" i="6"/>
  <c r="D89" i="6"/>
  <c r="C89" i="6"/>
  <c r="B89" i="6"/>
  <c r="A89" i="6"/>
  <c r="F88" i="6"/>
  <c r="E88" i="6"/>
  <c r="D88" i="6"/>
  <c r="C88" i="6"/>
  <c r="B88" i="6"/>
  <c r="A88" i="6"/>
  <c r="F87" i="6"/>
  <c r="E87" i="6"/>
  <c r="D87" i="6"/>
  <c r="C87" i="6"/>
  <c r="B87" i="6"/>
  <c r="A87" i="6"/>
  <c r="F86" i="6"/>
  <c r="E86" i="6"/>
  <c r="D86" i="6"/>
  <c r="C86" i="6"/>
  <c r="B86" i="6"/>
  <c r="A86" i="6"/>
  <c r="F85" i="6"/>
  <c r="E85" i="6"/>
  <c r="D85" i="6"/>
  <c r="C85" i="6"/>
  <c r="B85" i="6"/>
  <c r="A85" i="6"/>
  <c r="F84" i="6"/>
  <c r="E84" i="6"/>
  <c r="D84" i="6"/>
  <c r="C84" i="6"/>
  <c r="B84" i="6"/>
  <c r="A84" i="6"/>
  <c r="F83" i="6"/>
  <c r="E83" i="6"/>
  <c r="D83" i="6"/>
  <c r="C83" i="6"/>
  <c r="B83" i="6"/>
  <c r="A83" i="6"/>
  <c r="F82" i="6"/>
  <c r="E82" i="6"/>
  <c r="D82" i="6"/>
  <c r="C82" i="6"/>
  <c r="B82" i="6"/>
  <c r="A82" i="6"/>
  <c r="F81" i="6"/>
  <c r="E81" i="6"/>
  <c r="D81" i="6"/>
  <c r="C81" i="6"/>
  <c r="A81" i="6"/>
  <c r="F80" i="6"/>
  <c r="E80" i="6"/>
  <c r="D80" i="6"/>
  <c r="C80" i="6"/>
  <c r="B80" i="6"/>
  <c r="A80" i="6"/>
  <c r="F79" i="6"/>
  <c r="E79" i="6"/>
  <c r="D79" i="6"/>
  <c r="C79" i="6"/>
  <c r="B79" i="6"/>
  <c r="A79" i="6"/>
  <c r="F78" i="6"/>
  <c r="E78" i="6"/>
  <c r="D78" i="6"/>
  <c r="C78" i="6"/>
  <c r="B78" i="6"/>
  <c r="A78" i="6"/>
  <c r="F77" i="6"/>
  <c r="E77" i="6"/>
  <c r="D77" i="6"/>
  <c r="C77" i="6"/>
  <c r="B77" i="6"/>
  <c r="A77" i="6"/>
  <c r="F76" i="6"/>
  <c r="E76" i="6"/>
  <c r="D76" i="6"/>
  <c r="C76" i="6"/>
  <c r="A76" i="6"/>
  <c r="F75" i="6"/>
  <c r="E75" i="6"/>
  <c r="D75" i="6"/>
  <c r="C75" i="6"/>
  <c r="B75" i="6"/>
  <c r="A75" i="6"/>
  <c r="F74" i="6"/>
  <c r="E74" i="6"/>
  <c r="D74" i="6"/>
  <c r="C74" i="6"/>
  <c r="B74" i="6"/>
  <c r="A74" i="6"/>
  <c r="F73" i="6"/>
  <c r="E73" i="6"/>
  <c r="D73" i="6"/>
  <c r="C73" i="6"/>
  <c r="B73" i="6"/>
  <c r="A73" i="6"/>
  <c r="F72" i="6"/>
  <c r="E72" i="6"/>
  <c r="D72" i="6"/>
  <c r="C72" i="6"/>
  <c r="B72" i="6"/>
  <c r="A72" i="6"/>
  <c r="F71" i="6"/>
  <c r="E71" i="6"/>
  <c r="D71" i="6"/>
  <c r="C71" i="6"/>
  <c r="B71" i="6"/>
  <c r="A71" i="6"/>
  <c r="F70" i="6"/>
  <c r="E70" i="6"/>
  <c r="D70" i="6"/>
  <c r="C70" i="6"/>
  <c r="B70" i="6"/>
  <c r="A70" i="6"/>
  <c r="F69" i="6"/>
  <c r="E69" i="6"/>
  <c r="D69" i="6"/>
  <c r="C69" i="6"/>
  <c r="B69" i="6"/>
  <c r="A69" i="6"/>
  <c r="F68" i="6"/>
  <c r="E68" i="6"/>
  <c r="D68" i="6"/>
  <c r="C68" i="6"/>
  <c r="B68" i="6"/>
  <c r="A68" i="6"/>
  <c r="F67" i="6"/>
  <c r="E67" i="6"/>
  <c r="D67" i="6"/>
  <c r="C67" i="6"/>
  <c r="B67" i="6"/>
  <c r="A67" i="6"/>
  <c r="F66" i="6"/>
  <c r="E66" i="6"/>
  <c r="D66" i="6"/>
  <c r="C66" i="6"/>
  <c r="B66" i="6"/>
  <c r="A66" i="6"/>
  <c r="F65" i="6"/>
  <c r="E65" i="6"/>
  <c r="D65" i="6"/>
  <c r="C65" i="6"/>
  <c r="B65" i="6"/>
  <c r="A65" i="6"/>
  <c r="F64" i="6"/>
  <c r="E64" i="6"/>
  <c r="D64" i="6"/>
  <c r="C64" i="6"/>
  <c r="B64" i="6"/>
  <c r="A64" i="6"/>
  <c r="F63" i="6"/>
  <c r="E63" i="6"/>
  <c r="D63" i="6"/>
  <c r="C63" i="6"/>
  <c r="B63" i="6"/>
  <c r="A63" i="6"/>
  <c r="F62" i="6"/>
  <c r="E62" i="6"/>
  <c r="D62" i="6"/>
  <c r="C62" i="6"/>
  <c r="B62" i="6"/>
  <c r="A62" i="6"/>
  <c r="F61" i="6"/>
  <c r="E61" i="6"/>
  <c r="D61" i="6"/>
  <c r="C61" i="6"/>
  <c r="B61" i="6"/>
  <c r="A61" i="6"/>
  <c r="F60" i="6"/>
  <c r="E60" i="6"/>
  <c r="D60" i="6"/>
  <c r="C60" i="6"/>
  <c r="B60" i="6"/>
  <c r="A60" i="6"/>
  <c r="F59" i="6"/>
  <c r="E59" i="6"/>
  <c r="D59" i="6"/>
  <c r="C59" i="6"/>
  <c r="B59" i="6"/>
  <c r="A59" i="6"/>
  <c r="F58" i="6"/>
  <c r="E58" i="6"/>
  <c r="D58" i="6"/>
  <c r="C58" i="6"/>
  <c r="B58" i="6"/>
  <c r="A58" i="6"/>
  <c r="F57" i="6"/>
  <c r="E57" i="6"/>
  <c r="D57" i="6"/>
  <c r="C57" i="6"/>
  <c r="A57" i="6"/>
  <c r="F56" i="6"/>
  <c r="E56" i="6"/>
  <c r="D56" i="6"/>
  <c r="C56" i="6"/>
  <c r="B56" i="6"/>
  <c r="A56" i="6"/>
  <c r="F55" i="6"/>
  <c r="E55" i="6"/>
  <c r="D55" i="6"/>
  <c r="C55" i="6"/>
  <c r="B55" i="6"/>
  <c r="A55" i="6"/>
  <c r="F54" i="6"/>
  <c r="E54" i="6"/>
  <c r="D54" i="6"/>
  <c r="C54" i="6"/>
  <c r="B54" i="6"/>
  <c r="A54" i="6"/>
  <c r="F53" i="6"/>
  <c r="E53" i="6"/>
  <c r="D53" i="6"/>
  <c r="C53" i="6"/>
  <c r="A53" i="6"/>
  <c r="F52" i="6"/>
  <c r="E52" i="6"/>
  <c r="D52" i="6"/>
  <c r="C52" i="6"/>
  <c r="B52" i="6"/>
  <c r="A52" i="6"/>
  <c r="F51" i="6"/>
  <c r="E51" i="6"/>
  <c r="D51" i="6"/>
  <c r="C51" i="6"/>
  <c r="B51" i="6"/>
  <c r="A51" i="6"/>
  <c r="F50" i="6"/>
  <c r="E50" i="6"/>
  <c r="D50" i="6"/>
  <c r="C50" i="6"/>
  <c r="B50" i="6"/>
  <c r="A50" i="6"/>
  <c r="F49" i="6"/>
  <c r="E49" i="6"/>
  <c r="D49" i="6"/>
  <c r="C49" i="6"/>
  <c r="B49" i="6"/>
  <c r="A49" i="6"/>
  <c r="F48" i="6"/>
  <c r="E48" i="6"/>
  <c r="D48" i="6"/>
  <c r="C48" i="6"/>
  <c r="B48" i="6"/>
  <c r="A48" i="6"/>
  <c r="F47" i="6"/>
  <c r="E47" i="6"/>
  <c r="D47" i="6"/>
  <c r="C47" i="6"/>
  <c r="B47" i="6"/>
  <c r="A47" i="6"/>
  <c r="F46" i="6"/>
  <c r="E46" i="6"/>
  <c r="D46" i="6"/>
  <c r="C46" i="6"/>
  <c r="B46" i="6"/>
  <c r="A46" i="6"/>
  <c r="F45" i="6"/>
  <c r="E45" i="6"/>
  <c r="D45" i="6"/>
  <c r="C45" i="6"/>
  <c r="B45" i="6"/>
  <c r="A45" i="6"/>
  <c r="F44" i="6"/>
  <c r="E44" i="6"/>
  <c r="D44" i="6"/>
  <c r="C44" i="6"/>
  <c r="B44" i="6"/>
  <c r="A44" i="6"/>
  <c r="F43" i="6"/>
  <c r="E43" i="6"/>
  <c r="D43" i="6"/>
  <c r="C43" i="6"/>
  <c r="B43" i="6"/>
  <c r="A43" i="6"/>
  <c r="F42" i="6"/>
  <c r="E42" i="6"/>
  <c r="D42" i="6"/>
  <c r="C42" i="6"/>
  <c r="A42" i="6"/>
  <c r="F41" i="6"/>
  <c r="E41" i="6"/>
  <c r="D41" i="6"/>
  <c r="C41" i="6"/>
  <c r="A41" i="6"/>
  <c r="F40" i="6"/>
  <c r="E40" i="6"/>
  <c r="D40" i="6"/>
  <c r="C40" i="6"/>
  <c r="A40" i="6"/>
  <c r="F39" i="6"/>
  <c r="E39" i="6"/>
  <c r="D39" i="6"/>
  <c r="C39" i="6"/>
  <c r="A39" i="6"/>
  <c r="F38" i="6"/>
  <c r="E38" i="6"/>
  <c r="D38" i="6"/>
  <c r="C38" i="6"/>
  <c r="B38" i="6"/>
  <c r="A38" i="6"/>
  <c r="F37" i="6"/>
  <c r="E37" i="6"/>
  <c r="D37" i="6"/>
  <c r="C37" i="6"/>
  <c r="B37" i="6"/>
  <c r="A37" i="6"/>
  <c r="F36" i="6"/>
  <c r="E36" i="6"/>
  <c r="D36" i="6"/>
  <c r="C36" i="6"/>
  <c r="B36" i="6"/>
  <c r="A36" i="6"/>
  <c r="F35" i="6"/>
  <c r="E35" i="6"/>
  <c r="D35" i="6"/>
  <c r="C35" i="6"/>
  <c r="B35" i="6"/>
  <c r="A35" i="6"/>
  <c r="F34" i="6"/>
  <c r="E34" i="6"/>
  <c r="D34" i="6"/>
  <c r="C34" i="6"/>
  <c r="B34" i="6"/>
  <c r="A34" i="6"/>
  <c r="F33" i="6"/>
  <c r="E33" i="6"/>
  <c r="D33" i="6"/>
  <c r="C33" i="6"/>
  <c r="B33" i="6"/>
  <c r="A33" i="6"/>
  <c r="F32" i="6"/>
  <c r="E32" i="6"/>
  <c r="D32" i="6"/>
  <c r="C32" i="6"/>
  <c r="B32" i="6"/>
  <c r="A32" i="6"/>
  <c r="F31" i="6"/>
  <c r="E31" i="6"/>
  <c r="D31" i="6"/>
  <c r="C31" i="6"/>
  <c r="B31" i="6"/>
  <c r="A31" i="6"/>
  <c r="F30" i="6"/>
  <c r="E30" i="6"/>
  <c r="D30" i="6"/>
  <c r="C30" i="6"/>
  <c r="B30" i="6"/>
  <c r="A30" i="6"/>
  <c r="F29" i="6"/>
  <c r="E29" i="6"/>
  <c r="D29" i="6"/>
  <c r="C29" i="6"/>
  <c r="B29" i="6"/>
  <c r="A29" i="6"/>
  <c r="F28" i="6"/>
  <c r="E28" i="6"/>
  <c r="D28" i="6"/>
  <c r="C28" i="6"/>
  <c r="B28" i="6"/>
  <c r="A28" i="6"/>
  <c r="F27" i="6"/>
  <c r="E27" i="6"/>
  <c r="D27" i="6"/>
  <c r="C27" i="6"/>
  <c r="B27" i="6"/>
  <c r="A27" i="6"/>
  <c r="F26" i="6"/>
  <c r="E26" i="6"/>
  <c r="D26" i="6"/>
  <c r="C26" i="6"/>
  <c r="B26" i="6"/>
  <c r="A26" i="6"/>
  <c r="F25" i="6"/>
  <c r="E25" i="6"/>
  <c r="D25" i="6"/>
  <c r="C25" i="6"/>
  <c r="B25" i="6"/>
  <c r="A25" i="6"/>
  <c r="F24" i="6"/>
  <c r="E24" i="6"/>
  <c r="D24" i="6"/>
  <c r="C24" i="6"/>
  <c r="B24" i="6"/>
  <c r="A24" i="6"/>
  <c r="F23" i="6"/>
  <c r="E23" i="6"/>
  <c r="D23" i="6"/>
  <c r="C23" i="6"/>
  <c r="B23" i="6"/>
  <c r="A23" i="6"/>
  <c r="F22" i="6"/>
  <c r="E22" i="6"/>
  <c r="D22" i="6"/>
  <c r="C22" i="6"/>
  <c r="A22" i="6"/>
  <c r="F21" i="6"/>
  <c r="E21" i="6"/>
  <c r="D21" i="6"/>
  <c r="C21" i="6"/>
  <c r="B21" i="6"/>
  <c r="A21" i="6"/>
  <c r="F20" i="6"/>
  <c r="E20" i="6"/>
  <c r="D20" i="6"/>
  <c r="C20" i="6"/>
  <c r="B20" i="6"/>
  <c r="A20" i="6"/>
  <c r="F19" i="6"/>
  <c r="E19" i="6"/>
  <c r="D19" i="6"/>
  <c r="C19" i="6"/>
  <c r="B19" i="6"/>
  <c r="A19" i="6"/>
  <c r="F18" i="6"/>
  <c r="E18" i="6"/>
  <c r="D18" i="6"/>
  <c r="C18" i="6"/>
  <c r="B18" i="6"/>
  <c r="A18" i="6"/>
  <c r="F17" i="6"/>
  <c r="E17" i="6"/>
  <c r="D17" i="6"/>
  <c r="C17" i="6"/>
  <c r="B17" i="6"/>
  <c r="A17" i="6"/>
  <c r="F16" i="6"/>
  <c r="E16" i="6"/>
  <c r="D16" i="6"/>
  <c r="C16" i="6"/>
  <c r="B16" i="6"/>
  <c r="A16" i="6"/>
  <c r="F15" i="6"/>
  <c r="E15" i="6"/>
  <c r="D15" i="6"/>
  <c r="C15" i="6"/>
  <c r="B15" i="6"/>
  <c r="A15" i="6"/>
  <c r="F14" i="6"/>
  <c r="E14" i="6"/>
  <c r="D14" i="6"/>
  <c r="C14" i="6"/>
  <c r="B14" i="6"/>
  <c r="A14" i="6"/>
  <c r="F13" i="6"/>
  <c r="E13" i="6"/>
  <c r="D13" i="6"/>
  <c r="C13" i="6"/>
  <c r="B13" i="6"/>
  <c r="A13" i="6"/>
  <c r="F12" i="6"/>
  <c r="E12" i="6"/>
  <c r="D12" i="6"/>
  <c r="C12" i="6"/>
  <c r="B12" i="6"/>
  <c r="A12" i="6"/>
  <c r="F11" i="6"/>
  <c r="E11" i="6"/>
  <c r="D11" i="6"/>
  <c r="C11" i="6"/>
  <c r="B11" i="6"/>
  <c r="A11" i="6"/>
  <c r="F10" i="6"/>
  <c r="E10" i="6"/>
  <c r="D10" i="6"/>
  <c r="C10" i="6"/>
  <c r="B10" i="6"/>
  <c r="A10" i="6"/>
  <c r="F9" i="6"/>
  <c r="E9" i="6"/>
  <c r="D9" i="6"/>
  <c r="C9" i="6"/>
  <c r="B9" i="6"/>
  <c r="A9" i="6"/>
  <c r="F8" i="6"/>
  <c r="E8" i="6"/>
  <c r="D8" i="6"/>
  <c r="C8" i="6"/>
  <c r="B8" i="6"/>
  <c r="A8" i="6"/>
  <c r="F7" i="6"/>
  <c r="E7" i="6"/>
  <c r="D7" i="6"/>
  <c r="C7" i="6"/>
  <c r="B7" i="6"/>
  <c r="A7" i="6"/>
  <c r="F6" i="6"/>
  <c r="E6" i="6"/>
  <c r="D6" i="6"/>
  <c r="C6" i="6"/>
  <c r="B6" i="6"/>
  <c r="A6" i="6"/>
  <c r="F5" i="6"/>
  <c r="E5" i="6"/>
  <c r="D5" i="6"/>
  <c r="C5" i="6"/>
  <c r="B5" i="6"/>
  <c r="A5" i="6"/>
  <c r="F4" i="6"/>
  <c r="E4" i="6"/>
  <c r="D4" i="6"/>
  <c r="C4" i="6"/>
  <c r="B4" i="6"/>
  <c r="A4" i="6"/>
  <c r="F3" i="6"/>
  <c r="E3" i="6"/>
  <c r="D3" i="6"/>
  <c r="C3" i="6"/>
  <c r="B3" i="6"/>
  <c r="A3" i="6"/>
  <c r="F2" i="6"/>
  <c r="E2" i="6"/>
  <c r="D2" i="6"/>
  <c r="C2" i="6"/>
  <c r="B2" i="6"/>
  <c r="A2" i="6"/>
  <c r="D683" i="5"/>
  <c r="C683" i="5"/>
  <c r="D682" i="5"/>
  <c r="C682" i="5"/>
  <c r="D681" i="5"/>
  <c r="C681" i="5"/>
  <c r="D680" i="5"/>
  <c r="C680" i="5"/>
  <c r="D679" i="5"/>
  <c r="C679" i="5"/>
  <c r="D678" i="5"/>
  <c r="C678" i="5"/>
  <c r="D677" i="5"/>
  <c r="C677" i="5"/>
  <c r="D676" i="5"/>
  <c r="C676" i="5"/>
  <c r="D675" i="5"/>
  <c r="C675" i="5"/>
  <c r="D674" i="5"/>
  <c r="C674" i="5"/>
  <c r="D673" i="5"/>
  <c r="C673" i="5"/>
  <c r="D672" i="5"/>
  <c r="C672" i="5"/>
  <c r="D671" i="5"/>
  <c r="C671" i="5"/>
  <c r="D670" i="5"/>
  <c r="C670" i="5"/>
  <c r="D669" i="5"/>
  <c r="C669" i="5"/>
  <c r="D668" i="5"/>
  <c r="C668" i="5"/>
  <c r="D667" i="5"/>
  <c r="C667" i="5"/>
  <c r="D666" i="5"/>
  <c r="C666" i="5"/>
  <c r="D665" i="5"/>
  <c r="C665" i="5"/>
  <c r="D664" i="5"/>
  <c r="C664" i="5"/>
  <c r="D663" i="5"/>
  <c r="C663" i="5"/>
  <c r="D662" i="5"/>
  <c r="C662" i="5"/>
  <c r="D661" i="5"/>
  <c r="C661" i="5"/>
  <c r="D660" i="5"/>
  <c r="C660" i="5"/>
  <c r="D659" i="5"/>
  <c r="C659" i="5"/>
  <c r="D658" i="5"/>
  <c r="C658" i="5"/>
  <c r="D657" i="5"/>
  <c r="C657" i="5"/>
  <c r="D656" i="5"/>
  <c r="C656" i="5"/>
  <c r="D655" i="5"/>
  <c r="C655" i="5"/>
  <c r="D654" i="5"/>
  <c r="C654" i="5"/>
  <c r="D653" i="5"/>
  <c r="C653" i="5"/>
  <c r="D652" i="5"/>
  <c r="C652" i="5"/>
  <c r="D651" i="5"/>
  <c r="C651" i="5"/>
  <c r="D650" i="5"/>
  <c r="C650" i="5"/>
  <c r="D649" i="5"/>
  <c r="C649" i="5"/>
  <c r="D648" i="5"/>
  <c r="C648" i="5"/>
  <c r="D647" i="5"/>
  <c r="C647" i="5"/>
  <c r="D646" i="5"/>
  <c r="C646" i="5"/>
  <c r="D645" i="5"/>
  <c r="C645" i="5"/>
  <c r="D644" i="5"/>
  <c r="C644" i="5"/>
  <c r="D643" i="5"/>
  <c r="C643" i="5"/>
  <c r="D642" i="5"/>
  <c r="C642" i="5"/>
  <c r="D641" i="5"/>
  <c r="C641" i="5"/>
  <c r="D640" i="5"/>
  <c r="C640" i="5"/>
  <c r="D639" i="5"/>
  <c r="C639" i="5"/>
  <c r="D638" i="5"/>
  <c r="C638" i="5"/>
  <c r="D637" i="5"/>
  <c r="C637" i="5"/>
  <c r="D636" i="5"/>
  <c r="C636" i="5"/>
  <c r="D635" i="5"/>
  <c r="C635" i="5"/>
  <c r="D634" i="5"/>
  <c r="C634" i="5"/>
  <c r="D633" i="5"/>
  <c r="C633" i="5"/>
  <c r="D632" i="5"/>
  <c r="C632" i="5"/>
  <c r="D631" i="5"/>
  <c r="C631" i="5"/>
  <c r="D630" i="5"/>
  <c r="C630" i="5"/>
  <c r="D629" i="5"/>
  <c r="C629" i="5"/>
  <c r="D628" i="5"/>
  <c r="C628" i="5"/>
  <c r="D627" i="5"/>
  <c r="C627" i="5"/>
  <c r="D626" i="5"/>
  <c r="C626" i="5"/>
  <c r="D625" i="5"/>
  <c r="C625" i="5"/>
  <c r="D624" i="5"/>
  <c r="C624" i="5"/>
  <c r="D623" i="5"/>
  <c r="C623" i="5"/>
  <c r="D622" i="5"/>
  <c r="C622" i="5"/>
  <c r="D621" i="5"/>
  <c r="C621" i="5"/>
  <c r="D620" i="5"/>
  <c r="C620" i="5"/>
  <c r="D619" i="5"/>
  <c r="C619" i="5"/>
  <c r="D618" i="5"/>
  <c r="C618" i="5"/>
  <c r="D617" i="5"/>
  <c r="C617" i="5"/>
  <c r="D616" i="5"/>
  <c r="C616" i="5"/>
  <c r="D615" i="5"/>
  <c r="C615" i="5"/>
  <c r="D614" i="5"/>
  <c r="C614" i="5"/>
  <c r="D613" i="5"/>
  <c r="C613" i="5"/>
  <c r="D612" i="5"/>
  <c r="C612" i="5"/>
  <c r="D611" i="5"/>
  <c r="C611" i="5"/>
  <c r="D610" i="5"/>
  <c r="C610" i="5"/>
  <c r="D609" i="5"/>
  <c r="C609" i="5"/>
  <c r="D608" i="5"/>
  <c r="C608" i="5"/>
  <c r="D607" i="5"/>
  <c r="C607" i="5"/>
  <c r="D606" i="5"/>
  <c r="C606" i="5"/>
  <c r="D605" i="5"/>
  <c r="C605" i="5"/>
  <c r="D604" i="5"/>
  <c r="C604" i="5"/>
  <c r="D603" i="5"/>
  <c r="C603" i="5"/>
  <c r="D602" i="5"/>
  <c r="C602" i="5"/>
  <c r="D601" i="5"/>
  <c r="C601" i="5"/>
  <c r="D600" i="5"/>
  <c r="C600" i="5"/>
  <c r="D599" i="5"/>
  <c r="C599" i="5"/>
  <c r="D598" i="5"/>
  <c r="C598" i="5"/>
  <c r="D597" i="5"/>
  <c r="C597" i="5"/>
  <c r="D596" i="5"/>
  <c r="C596" i="5"/>
  <c r="D595" i="5"/>
  <c r="C595" i="5"/>
  <c r="D594" i="5"/>
  <c r="C594" i="5"/>
  <c r="D593" i="5"/>
  <c r="C593" i="5"/>
  <c r="D592" i="5"/>
  <c r="C592" i="5"/>
  <c r="D591" i="5"/>
  <c r="C591" i="5"/>
  <c r="D590" i="5"/>
  <c r="C590" i="5"/>
  <c r="D589" i="5"/>
  <c r="C589" i="5"/>
  <c r="D588" i="5"/>
  <c r="C588" i="5"/>
  <c r="D587" i="5"/>
  <c r="C587" i="5"/>
  <c r="D586" i="5"/>
  <c r="C586" i="5"/>
  <c r="D585" i="5"/>
  <c r="C585" i="5"/>
  <c r="D584" i="5"/>
  <c r="C584" i="5"/>
  <c r="D583" i="5"/>
  <c r="C583" i="5"/>
  <c r="D582" i="5"/>
  <c r="C582" i="5"/>
  <c r="D581" i="5"/>
  <c r="C581" i="5"/>
  <c r="D580" i="5"/>
  <c r="C580" i="5"/>
  <c r="D579" i="5"/>
  <c r="C579" i="5"/>
  <c r="D578" i="5"/>
  <c r="C578" i="5"/>
  <c r="D577" i="5"/>
  <c r="C577" i="5"/>
  <c r="D576" i="5"/>
  <c r="C576" i="5"/>
  <c r="D575" i="5"/>
  <c r="C575" i="5"/>
  <c r="D574" i="5"/>
  <c r="C574" i="5"/>
  <c r="D573" i="5"/>
  <c r="C573" i="5"/>
  <c r="D572" i="5"/>
  <c r="C572" i="5"/>
  <c r="D571" i="5"/>
  <c r="C571" i="5"/>
  <c r="D570" i="5"/>
  <c r="C570" i="5"/>
  <c r="D569" i="5"/>
  <c r="C569" i="5"/>
  <c r="D568" i="5"/>
  <c r="C568" i="5"/>
  <c r="D567" i="5"/>
  <c r="C567" i="5"/>
  <c r="D566" i="5"/>
  <c r="C566" i="5"/>
  <c r="D565" i="5"/>
  <c r="C565" i="5"/>
  <c r="D564" i="5"/>
  <c r="C564" i="5"/>
  <c r="D563" i="5"/>
  <c r="C563" i="5"/>
  <c r="D562" i="5"/>
  <c r="C562" i="5"/>
  <c r="D561" i="5"/>
  <c r="C561" i="5"/>
  <c r="D560" i="5"/>
  <c r="C560" i="5"/>
  <c r="D559" i="5"/>
  <c r="C559" i="5"/>
  <c r="D558" i="5"/>
  <c r="C558" i="5"/>
  <c r="D557" i="5"/>
  <c r="C557" i="5"/>
  <c r="D556" i="5"/>
  <c r="C556" i="5"/>
  <c r="D555" i="5"/>
  <c r="C555" i="5"/>
  <c r="D554" i="5"/>
  <c r="C554" i="5"/>
  <c r="D553" i="5"/>
  <c r="C553" i="5"/>
  <c r="D552" i="5"/>
  <c r="C552" i="5"/>
  <c r="D551" i="5"/>
  <c r="C551" i="5"/>
  <c r="D550" i="5"/>
  <c r="C550" i="5"/>
  <c r="D549" i="5"/>
  <c r="C549" i="5"/>
  <c r="D548" i="5"/>
  <c r="C548" i="5"/>
  <c r="D547" i="5"/>
  <c r="C547" i="5"/>
  <c r="D546" i="5"/>
  <c r="C546" i="5"/>
  <c r="D545" i="5"/>
  <c r="C545" i="5"/>
  <c r="D544" i="5"/>
  <c r="C544" i="5"/>
  <c r="D543" i="5"/>
  <c r="C543" i="5"/>
  <c r="D542" i="5"/>
  <c r="C542" i="5"/>
  <c r="D541" i="5"/>
  <c r="C541" i="5"/>
  <c r="D540" i="5"/>
  <c r="C540" i="5"/>
  <c r="D539" i="5"/>
  <c r="C539" i="5"/>
  <c r="D538" i="5"/>
  <c r="C538" i="5"/>
  <c r="D537" i="5"/>
  <c r="C537" i="5"/>
  <c r="D536" i="5"/>
  <c r="C536" i="5"/>
  <c r="D535" i="5"/>
  <c r="C535" i="5"/>
  <c r="D534" i="5"/>
  <c r="C534" i="5"/>
  <c r="D533" i="5"/>
  <c r="C533" i="5"/>
  <c r="D532" i="5"/>
  <c r="C532" i="5"/>
  <c r="D531" i="5"/>
  <c r="C531" i="5"/>
  <c r="D530" i="5"/>
  <c r="C530" i="5"/>
  <c r="D529" i="5"/>
  <c r="C529" i="5"/>
  <c r="D528" i="5"/>
  <c r="C528" i="5"/>
  <c r="D527" i="5"/>
  <c r="C527" i="5"/>
  <c r="D526" i="5"/>
  <c r="C526" i="5"/>
  <c r="D525" i="5"/>
  <c r="C525" i="5"/>
  <c r="D524" i="5"/>
  <c r="C524" i="5"/>
  <c r="D523" i="5"/>
  <c r="C523" i="5"/>
  <c r="D522" i="5"/>
  <c r="C522" i="5"/>
  <c r="D521" i="5"/>
  <c r="C521" i="5"/>
  <c r="D520" i="5"/>
  <c r="C520" i="5"/>
  <c r="D519" i="5"/>
  <c r="C519" i="5"/>
  <c r="D518" i="5"/>
  <c r="C518" i="5"/>
  <c r="D517" i="5"/>
  <c r="C517" i="5"/>
  <c r="D516" i="5"/>
  <c r="C516" i="5"/>
  <c r="D515" i="5"/>
  <c r="C515" i="5"/>
  <c r="D514" i="5"/>
  <c r="C514" i="5"/>
  <c r="D513" i="5"/>
  <c r="C513" i="5"/>
  <c r="D512" i="5"/>
  <c r="C512" i="5"/>
  <c r="D511" i="5"/>
  <c r="C511" i="5"/>
  <c r="B511" i="5"/>
  <c r="A511" i="5"/>
  <c r="D510" i="5"/>
  <c r="C510" i="5"/>
  <c r="B510" i="5"/>
  <c r="A510" i="5"/>
  <c r="D509" i="5"/>
  <c r="C509" i="5"/>
  <c r="B509" i="5"/>
  <c r="A509" i="5"/>
  <c r="D508" i="5"/>
  <c r="C508" i="5"/>
  <c r="B508" i="5"/>
  <c r="A508" i="5"/>
  <c r="D507" i="5"/>
  <c r="C507" i="5"/>
  <c r="B507" i="5"/>
  <c r="A507" i="5"/>
  <c r="D506" i="5"/>
  <c r="C506" i="5"/>
  <c r="B506" i="5"/>
  <c r="A506" i="5"/>
  <c r="D505" i="5"/>
  <c r="C505" i="5"/>
  <c r="B505" i="5"/>
  <c r="A505" i="5"/>
  <c r="D504" i="5"/>
  <c r="C504" i="5"/>
  <c r="B504" i="5"/>
  <c r="A504" i="5"/>
  <c r="D503" i="5"/>
  <c r="C503" i="5"/>
  <c r="B503" i="5"/>
  <c r="A503" i="5"/>
  <c r="D502" i="5"/>
  <c r="C502" i="5"/>
  <c r="B502" i="5"/>
  <c r="A502" i="5"/>
  <c r="D501" i="5"/>
  <c r="C501" i="5"/>
  <c r="B501" i="5"/>
  <c r="A501" i="5"/>
  <c r="D500" i="5"/>
  <c r="C500" i="5"/>
  <c r="B500" i="5"/>
  <c r="A500" i="5"/>
  <c r="D499" i="5"/>
  <c r="C499" i="5"/>
  <c r="B499" i="5"/>
  <c r="A499" i="5"/>
  <c r="D498" i="5"/>
  <c r="C498" i="5"/>
  <c r="B498" i="5"/>
  <c r="A498" i="5"/>
  <c r="D497" i="5"/>
  <c r="C497" i="5"/>
  <c r="B497" i="5"/>
  <c r="A497" i="5"/>
  <c r="D496" i="5"/>
  <c r="C496" i="5"/>
  <c r="B496" i="5"/>
  <c r="A496" i="5"/>
  <c r="D495" i="5"/>
  <c r="C495" i="5"/>
  <c r="B495" i="5"/>
  <c r="A495" i="5"/>
  <c r="D494" i="5"/>
  <c r="C494" i="5"/>
  <c r="B494" i="5"/>
  <c r="A494" i="5"/>
  <c r="D493" i="5"/>
  <c r="C493" i="5"/>
  <c r="B493" i="5"/>
  <c r="A493" i="5"/>
  <c r="D492" i="5"/>
  <c r="C492" i="5"/>
  <c r="B492" i="5"/>
  <c r="A492" i="5"/>
  <c r="D491" i="5"/>
  <c r="C491" i="5"/>
  <c r="B491" i="5"/>
  <c r="A491" i="5"/>
  <c r="D490" i="5"/>
  <c r="C490" i="5"/>
  <c r="B490" i="5"/>
  <c r="A490" i="5"/>
  <c r="D489" i="5"/>
  <c r="C489" i="5"/>
  <c r="B489" i="5"/>
  <c r="A489" i="5"/>
  <c r="D488" i="5"/>
  <c r="C488" i="5"/>
  <c r="B488" i="5"/>
  <c r="A488" i="5"/>
  <c r="D487" i="5"/>
  <c r="C487" i="5"/>
  <c r="B487" i="5"/>
  <c r="A487" i="5"/>
  <c r="D486" i="5"/>
  <c r="C486" i="5"/>
  <c r="B486" i="5"/>
  <c r="A486" i="5"/>
  <c r="D485" i="5"/>
  <c r="C485" i="5"/>
  <c r="B485" i="5"/>
  <c r="A485" i="5"/>
  <c r="D484" i="5"/>
  <c r="C484" i="5"/>
  <c r="B484" i="5"/>
  <c r="A484" i="5"/>
  <c r="D483" i="5"/>
  <c r="C483" i="5"/>
  <c r="B483" i="5"/>
  <c r="A483" i="5"/>
  <c r="D482" i="5"/>
  <c r="C482" i="5"/>
  <c r="B482" i="5"/>
  <c r="A482" i="5"/>
  <c r="D481" i="5"/>
  <c r="C481" i="5"/>
  <c r="B481" i="5"/>
  <c r="A481" i="5"/>
  <c r="D480" i="5"/>
  <c r="C480" i="5"/>
  <c r="B480" i="5"/>
  <c r="A480" i="5"/>
  <c r="D479" i="5"/>
  <c r="C479" i="5"/>
  <c r="B479" i="5"/>
  <c r="A479" i="5"/>
  <c r="D478" i="5"/>
  <c r="C478" i="5"/>
  <c r="B478" i="5"/>
  <c r="A478" i="5"/>
  <c r="D477" i="5"/>
  <c r="C477" i="5"/>
  <c r="B477" i="5"/>
  <c r="A477" i="5"/>
  <c r="D476" i="5"/>
  <c r="C476" i="5"/>
  <c r="B476" i="5"/>
  <c r="A476" i="5"/>
  <c r="D475" i="5"/>
  <c r="C475" i="5"/>
  <c r="B475" i="5"/>
  <c r="A475" i="5"/>
  <c r="D474" i="5"/>
  <c r="C474" i="5"/>
  <c r="B474" i="5"/>
  <c r="A474" i="5"/>
  <c r="D473" i="5"/>
  <c r="C473" i="5"/>
  <c r="B473" i="5"/>
  <c r="A473" i="5"/>
  <c r="D472" i="5"/>
  <c r="C472" i="5"/>
  <c r="B472" i="5"/>
  <c r="A472" i="5"/>
  <c r="D471" i="5"/>
  <c r="C471" i="5"/>
  <c r="B471" i="5"/>
  <c r="A471" i="5"/>
  <c r="D470" i="5"/>
  <c r="C470" i="5"/>
  <c r="B470" i="5"/>
  <c r="A470" i="5"/>
  <c r="D469" i="5"/>
  <c r="C469" i="5"/>
  <c r="B469" i="5"/>
  <c r="A469" i="5"/>
  <c r="D468" i="5"/>
  <c r="C468" i="5"/>
  <c r="B468" i="5"/>
  <c r="A468" i="5"/>
  <c r="D467" i="5"/>
  <c r="C467" i="5"/>
  <c r="B467" i="5"/>
  <c r="A467" i="5"/>
  <c r="D466" i="5"/>
  <c r="C466" i="5"/>
  <c r="B466" i="5"/>
  <c r="A466" i="5"/>
  <c r="D465" i="5"/>
  <c r="C465" i="5"/>
  <c r="B465" i="5"/>
  <c r="A465" i="5"/>
  <c r="D464" i="5"/>
  <c r="C464" i="5"/>
  <c r="B464" i="5"/>
  <c r="A464" i="5"/>
  <c r="D463" i="5"/>
  <c r="C463" i="5"/>
  <c r="B463" i="5"/>
  <c r="A463" i="5"/>
  <c r="D462" i="5"/>
  <c r="C462" i="5"/>
  <c r="B462" i="5"/>
  <c r="A462" i="5"/>
  <c r="D461" i="5"/>
  <c r="C461" i="5"/>
  <c r="B461" i="5"/>
  <c r="A461" i="5"/>
  <c r="D460" i="5"/>
  <c r="C460" i="5"/>
  <c r="B460" i="5"/>
  <c r="A460" i="5"/>
  <c r="D459" i="5"/>
  <c r="C459" i="5"/>
  <c r="B459" i="5"/>
  <c r="A459" i="5"/>
  <c r="D458" i="5"/>
  <c r="C458" i="5"/>
  <c r="B458" i="5"/>
  <c r="A458" i="5"/>
  <c r="D457" i="5"/>
  <c r="C457" i="5"/>
  <c r="B457" i="5"/>
  <c r="A457" i="5"/>
  <c r="D456" i="5"/>
  <c r="C456" i="5"/>
  <c r="B456" i="5"/>
  <c r="A456" i="5"/>
  <c r="D455" i="5"/>
  <c r="C455" i="5"/>
  <c r="B455" i="5"/>
  <c r="A455" i="5"/>
  <c r="D454" i="5"/>
  <c r="C454" i="5"/>
  <c r="B454" i="5"/>
  <c r="A454" i="5"/>
  <c r="D453" i="5"/>
  <c r="C453" i="5"/>
  <c r="B453" i="5"/>
  <c r="A453" i="5"/>
  <c r="D452" i="5"/>
  <c r="C452" i="5"/>
  <c r="B452" i="5"/>
  <c r="A452" i="5"/>
  <c r="D451" i="5"/>
  <c r="C451" i="5"/>
  <c r="B451" i="5"/>
  <c r="A451" i="5"/>
  <c r="D450" i="5"/>
  <c r="C450" i="5"/>
  <c r="B450" i="5"/>
  <c r="A450" i="5"/>
  <c r="D449" i="5"/>
  <c r="C449" i="5"/>
  <c r="B449" i="5"/>
  <c r="A449" i="5"/>
  <c r="D448" i="5"/>
  <c r="C448" i="5"/>
  <c r="B448" i="5"/>
  <c r="A448" i="5"/>
  <c r="D447" i="5"/>
  <c r="C447" i="5"/>
  <c r="B447" i="5"/>
  <c r="A447" i="5"/>
  <c r="D446" i="5"/>
  <c r="C446" i="5"/>
  <c r="B446" i="5"/>
  <c r="A446" i="5"/>
  <c r="D445" i="5"/>
  <c r="C445" i="5"/>
  <c r="B445" i="5"/>
  <c r="A445" i="5"/>
  <c r="D444" i="5"/>
  <c r="C444" i="5"/>
  <c r="B444" i="5"/>
  <c r="A444" i="5"/>
  <c r="D443" i="5"/>
  <c r="C443" i="5"/>
  <c r="B443" i="5"/>
  <c r="A443" i="5"/>
  <c r="D442" i="5"/>
  <c r="C442" i="5"/>
  <c r="B442" i="5"/>
  <c r="A442" i="5"/>
  <c r="D441" i="5"/>
  <c r="C441" i="5"/>
  <c r="B441" i="5"/>
  <c r="A441" i="5"/>
  <c r="D440" i="5"/>
  <c r="C440" i="5"/>
  <c r="B440" i="5"/>
  <c r="A440" i="5"/>
  <c r="D439" i="5"/>
  <c r="C439" i="5"/>
  <c r="B439" i="5"/>
  <c r="A439" i="5"/>
  <c r="D438" i="5"/>
  <c r="C438" i="5"/>
  <c r="B438" i="5"/>
  <c r="A438" i="5"/>
  <c r="D437" i="5"/>
  <c r="C437" i="5"/>
  <c r="B437" i="5"/>
  <c r="A437" i="5"/>
  <c r="D436" i="5"/>
  <c r="C436" i="5"/>
  <c r="B436" i="5"/>
  <c r="A436" i="5"/>
  <c r="D435" i="5"/>
  <c r="C435" i="5"/>
  <c r="B435" i="5"/>
  <c r="A435" i="5"/>
  <c r="D434" i="5"/>
  <c r="C434" i="5"/>
  <c r="B434" i="5"/>
  <c r="A434" i="5"/>
  <c r="D433" i="5"/>
  <c r="C433" i="5"/>
  <c r="B433" i="5"/>
  <c r="A433" i="5"/>
  <c r="D432" i="5"/>
  <c r="C432" i="5"/>
  <c r="B432" i="5"/>
  <c r="A432" i="5"/>
  <c r="D431" i="5"/>
  <c r="C431" i="5"/>
  <c r="B431" i="5"/>
  <c r="A431" i="5"/>
  <c r="D430" i="5"/>
  <c r="C430" i="5"/>
  <c r="B430" i="5"/>
  <c r="A430" i="5"/>
  <c r="D429" i="5"/>
  <c r="C429" i="5"/>
  <c r="B429" i="5"/>
  <c r="A429" i="5"/>
  <c r="D428" i="5"/>
  <c r="C428" i="5"/>
  <c r="B428" i="5"/>
  <c r="A428" i="5"/>
  <c r="D427" i="5"/>
  <c r="C427" i="5"/>
  <c r="B427" i="5"/>
  <c r="A427" i="5"/>
  <c r="D426" i="5"/>
  <c r="C426" i="5"/>
  <c r="B426" i="5"/>
  <c r="A426" i="5"/>
  <c r="D425" i="5"/>
  <c r="C425" i="5"/>
  <c r="B425" i="5"/>
  <c r="A425" i="5"/>
  <c r="D424" i="5"/>
  <c r="C424" i="5"/>
  <c r="B424" i="5"/>
  <c r="A424" i="5"/>
  <c r="D423" i="5"/>
  <c r="C423" i="5"/>
  <c r="B423" i="5"/>
  <c r="A423" i="5"/>
  <c r="D422" i="5"/>
  <c r="C422" i="5"/>
  <c r="B422" i="5"/>
  <c r="A422" i="5"/>
  <c r="D421" i="5"/>
  <c r="C421" i="5"/>
  <c r="B421" i="5"/>
  <c r="A421" i="5"/>
  <c r="D420" i="5"/>
  <c r="C420" i="5"/>
  <c r="B420" i="5"/>
  <c r="A420" i="5"/>
  <c r="D419" i="5"/>
  <c r="C419" i="5"/>
  <c r="B419" i="5"/>
  <c r="A419" i="5"/>
  <c r="D418" i="5"/>
  <c r="C418" i="5"/>
  <c r="B418" i="5"/>
  <c r="A418" i="5"/>
  <c r="D417" i="5"/>
  <c r="C417" i="5"/>
  <c r="B417" i="5"/>
  <c r="A417" i="5"/>
  <c r="D416" i="5"/>
  <c r="C416" i="5"/>
  <c r="B416" i="5"/>
  <c r="A416" i="5"/>
  <c r="D415" i="5"/>
  <c r="C415" i="5"/>
  <c r="B415" i="5"/>
  <c r="A415" i="5"/>
  <c r="D414" i="5"/>
  <c r="C414" i="5"/>
  <c r="B414" i="5"/>
  <c r="A414" i="5"/>
  <c r="D413" i="5"/>
  <c r="C413" i="5"/>
  <c r="B413" i="5"/>
  <c r="A413" i="5"/>
  <c r="D412" i="5"/>
  <c r="C412" i="5"/>
  <c r="B412" i="5"/>
  <c r="A412" i="5"/>
  <c r="D411" i="5"/>
  <c r="C411" i="5"/>
  <c r="B411" i="5"/>
  <c r="A411" i="5"/>
  <c r="D410" i="5"/>
  <c r="C410" i="5"/>
  <c r="B410" i="5"/>
  <c r="A410" i="5"/>
  <c r="D409" i="5"/>
  <c r="C409" i="5"/>
  <c r="B409" i="5"/>
  <c r="A409" i="5"/>
  <c r="D408" i="5"/>
  <c r="C408" i="5"/>
  <c r="B408" i="5"/>
  <c r="A408" i="5"/>
  <c r="D407" i="5"/>
  <c r="C407" i="5"/>
  <c r="B407" i="5"/>
  <c r="A407" i="5"/>
  <c r="D406" i="5"/>
  <c r="C406" i="5"/>
  <c r="B406" i="5"/>
  <c r="A406" i="5"/>
  <c r="D405" i="5"/>
  <c r="C405" i="5"/>
  <c r="B405" i="5"/>
  <c r="A405" i="5"/>
  <c r="D404" i="5"/>
  <c r="C404" i="5"/>
  <c r="B404" i="5"/>
  <c r="A404" i="5"/>
  <c r="D403" i="5"/>
  <c r="C403" i="5"/>
  <c r="B403" i="5"/>
  <c r="A403" i="5"/>
  <c r="D402" i="5"/>
  <c r="C402" i="5"/>
  <c r="B402" i="5"/>
  <c r="A402" i="5"/>
  <c r="D401" i="5"/>
  <c r="C401" i="5"/>
  <c r="B401" i="5"/>
  <c r="A401" i="5"/>
  <c r="D400" i="5"/>
  <c r="C400" i="5"/>
  <c r="B400" i="5"/>
  <c r="A400" i="5"/>
  <c r="D399" i="5"/>
  <c r="C399" i="5"/>
  <c r="B399" i="5"/>
  <c r="A399" i="5"/>
  <c r="D398" i="5"/>
  <c r="C398" i="5"/>
  <c r="B398" i="5"/>
  <c r="A398" i="5"/>
  <c r="D397" i="5"/>
  <c r="C397" i="5"/>
  <c r="B397" i="5"/>
  <c r="A397" i="5"/>
  <c r="D396" i="5"/>
  <c r="C396" i="5"/>
  <c r="B396" i="5"/>
  <c r="A396" i="5"/>
  <c r="D395" i="5"/>
  <c r="C395" i="5"/>
  <c r="B395" i="5"/>
  <c r="A395" i="5"/>
  <c r="D394" i="5"/>
  <c r="C394" i="5"/>
  <c r="B394" i="5"/>
  <c r="A394" i="5"/>
  <c r="D393" i="5"/>
  <c r="C393" i="5"/>
  <c r="B393" i="5"/>
  <c r="A393" i="5"/>
  <c r="D392" i="5"/>
  <c r="C392" i="5"/>
  <c r="B392" i="5"/>
  <c r="A392" i="5"/>
  <c r="D391" i="5"/>
  <c r="C391" i="5"/>
  <c r="B391" i="5"/>
  <c r="A391" i="5"/>
  <c r="D390" i="5"/>
  <c r="C390" i="5"/>
  <c r="B390" i="5"/>
  <c r="A390" i="5"/>
  <c r="D389" i="5"/>
  <c r="C389" i="5"/>
  <c r="B389" i="5"/>
  <c r="A389" i="5"/>
  <c r="D388" i="5"/>
  <c r="C388" i="5"/>
  <c r="B388" i="5"/>
  <c r="A388" i="5"/>
  <c r="D387" i="5"/>
  <c r="C387" i="5"/>
  <c r="B387" i="5"/>
  <c r="A387" i="5"/>
  <c r="D386" i="5"/>
  <c r="C386" i="5"/>
  <c r="B386" i="5"/>
  <c r="A386" i="5"/>
  <c r="D385" i="5"/>
  <c r="C385" i="5"/>
  <c r="B385" i="5"/>
  <c r="A385" i="5"/>
  <c r="D384" i="5"/>
  <c r="C384" i="5"/>
  <c r="B384" i="5"/>
  <c r="A384" i="5"/>
  <c r="D383" i="5"/>
  <c r="C383" i="5"/>
  <c r="B383" i="5"/>
  <c r="A383" i="5"/>
  <c r="D382" i="5"/>
  <c r="C382" i="5"/>
  <c r="B382" i="5"/>
  <c r="A382" i="5"/>
  <c r="D381" i="5"/>
  <c r="C381" i="5"/>
  <c r="B381" i="5"/>
  <c r="A381" i="5"/>
  <c r="D380" i="5"/>
  <c r="C380" i="5"/>
  <c r="B380" i="5"/>
  <c r="A380" i="5"/>
  <c r="D379" i="5"/>
  <c r="C379" i="5"/>
  <c r="B379" i="5"/>
  <c r="A379" i="5"/>
  <c r="D378" i="5"/>
  <c r="C378" i="5"/>
  <c r="B378" i="5"/>
  <c r="A378" i="5"/>
  <c r="D377" i="5"/>
  <c r="C377" i="5"/>
  <c r="B377" i="5"/>
  <c r="A377" i="5"/>
  <c r="D376" i="5"/>
  <c r="C376" i="5"/>
  <c r="B376" i="5"/>
  <c r="A376" i="5"/>
  <c r="D375" i="5"/>
  <c r="C375" i="5"/>
  <c r="B375" i="5"/>
  <c r="A375" i="5"/>
  <c r="D374" i="5"/>
  <c r="C374" i="5"/>
  <c r="B374" i="5"/>
  <c r="A374" i="5"/>
  <c r="D373" i="5"/>
  <c r="C373" i="5"/>
  <c r="B373" i="5"/>
  <c r="A373" i="5"/>
  <c r="D372" i="5"/>
  <c r="C372" i="5"/>
  <c r="B372" i="5"/>
  <c r="A372" i="5"/>
  <c r="D371" i="5"/>
  <c r="C371" i="5"/>
  <c r="B371" i="5"/>
  <c r="A371" i="5"/>
  <c r="D370" i="5"/>
  <c r="C370" i="5"/>
  <c r="B370" i="5"/>
  <c r="A370" i="5"/>
  <c r="D369" i="5"/>
  <c r="C369" i="5"/>
  <c r="B369" i="5"/>
  <c r="A369" i="5"/>
  <c r="D368" i="5"/>
  <c r="C368" i="5"/>
  <c r="B368" i="5"/>
  <c r="A368" i="5"/>
  <c r="D367" i="5"/>
  <c r="C367" i="5"/>
  <c r="B367" i="5"/>
  <c r="A367" i="5"/>
  <c r="D366" i="5"/>
  <c r="C366" i="5"/>
  <c r="B366" i="5"/>
  <c r="A366" i="5"/>
  <c r="D365" i="5"/>
  <c r="C365" i="5"/>
  <c r="B365" i="5"/>
  <c r="A365" i="5"/>
  <c r="D364" i="5"/>
  <c r="C364" i="5"/>
  <c r="B364" i="5"/>
  <c r="A364" i="5"/>
  <c r="D363" i="5"/>
  <c r="C363" i="5"/>
  <c r="B363" i="5"/>
  <c r="A363" i="5"/>
  <c r="D362" i="5"/>
  <c r="C362" i="5"/>
  <c r="B362" i="5"/>
  <c r="A362" i="5"/>
  <c r="D361" i="5"/>
  <c r="C361" i="5"/>
  <c r="B361" i="5"/>
  <c r="A361" i="5"/>
  <c r="D360" i="5"/>
  <c r="C360" i="5"/>
  <c r="B360" i="5"/>
  <c r="A360" i="5"/>
  <c r="D359" i="5"/>
  <c r="C359" i="5"/>
  <c r="B359" i="5"/>
  <c r="A359" i="5"/>
  <c r="D358" i="5"/>
  <c r="C358" i="5"/>
  <c r="B358" i="5"/>
  <c r="A358" i="5"/>
  <c r="D357" i="5"/>
  <c r="C357" i="5"/>
  <c r="B357" i="5"/>
  <c r="A357" i="5"/>
  <c r="D356" i="5"/>
  <c r="C356" i="5"/>
  <c r="B356" i="5"/>
  <c r="A356" i="5"/>
  <c r="D355" i="5"/>
  <c r="C355" i="5"/>
  <c r="B355" i="5"/>
  <c r="A355" i="5"/>
  <c r="D354" i="5"/>
  <c r="C354" i="5"/>
  <c r="B354" i="5"/>
  <c r="A354" i="5"/>
  <c r="D353" i="5"/>
  <c r="C353" i="5"/>
  <c r="B353" i="5"/>
  <c r="A353" i="5"/>
  <c r="D352" i="5"/>
  <c r="C352" i="5"/>
  <c r="B352" i="5"/>
  <c r="A352" i="5"/>
  <c r="D351" i="5"/>
  <c r="C351" i="5"/>
  <c r="B351" i="5"/>
  <c r="A351" i="5"/>
  <c r="D350" i="5"/>
  <c r="C350" i="5"/>
  <c r="B350" i="5"/>
  <c r="A350" i="5"/>
  <c r="D349" i="5"/>
  <c r="C349" i="5"/>
  <c r="B349" i="5"/>
  <c r="A349" i="5"/>
  <c r="D348" i="5"/>
  <c r="C348" i="5"/>
  <c r="B348" i="5"/>
  <c r="A348" i="5"/>
  <c r="D347" i="5"/>
  <c r="C347" i="5"/>
  <c r="B347" i="5"/>
  <c r="A347" i="5"/>
  <c r="D346" i="5"/>
  <c r="C346" i="5"/>
  <c r="B346" i="5"/>
  <c r="A346" i="5"/>
  <c r="D345" i="5"/>
  <c r="C345" i="5"/>
  <c r="B345" i="5"/>
  <c r="A345" i="5"/>
  <c r="D344" i="5"/>
  <c r="C344" i="5"/>
  <c r="B344" i="5"/>
  <c r="A344" i="5"/>
  <c r="D343" i="5"/>
  <c r="C343" i="5"/>
  <c r="B343" i="5"/>
  <c r="A343" i="5"/>
  <c r="D342" i="5"/>
  <c r="C342" i="5"/>
  <c r="B342" i="5"/>
  <c r="A342" i="5"/>
  <c r="D341" i="5"/>
  <c r="C341" i="5"/>
  <c r="B341" i="5"/>
  <c r="A341" i="5"/>
  <c r="D340" i="5"/>
  <c r="C340" i="5"/>
  <c r="B340" i="5"/>
  <c r="A340" i="5"/>
  <c r="D339" i="5"/>
  <c r="C339" i="5"/>
  <c r="B339" i="5"/>
  <c r="A339" i="5"/>
  <c r="D338" i="5"/>
  <c r="C338" i="5"/>
  <c r="B338" i="5"/>
  <c r="A338" i="5"/>
  <c r="D337" i="5"/>
  <c r="C337" i="5"/>
  <c r="B337" i="5"/>
  <c r="A337" i="5"/>
  <c r="D336" i="5"/>
  <c r="C336" i="5"/>
  <c r="B336" i="5"/>
  <c r="A336" i="5"/>
  <c r="D335" i="5"/>
  <c r="C335" i="5"/>
  <c r="B335" i="5"/>
  <c r="A335" i="5"/>
  <c r="D334" i="5"/>
  <c r="C334" i="5"/>
  <c r="B334" i="5"/>
  <c r="A334" i="5"/>
  <c r="D333" i="5"/>
  <c r="C333" i="5"/>
  <c r="B333" i="5"/>
  <c r="A333" i="5"/>
  <c r="D332" i="5"/>
  <c r="C332" i="5"/>
  <c r="B332" i="5"/>
  <c r="A332" i="5"/>
  <c r="D331" i="5"/>
  <c r="C331" i="5"/>
  <c r="B331" i="5"/>
  <c r="A331" i="5"/>
  <c r="D330" i="5"/>
  <c r="C330" i="5"/>
  <c r="B330" i="5"/>
  <c r="A330" i="5"/>
  <c r="D329" i="5"/>
  <c r="C329" i="5"/>
  <c r="B329" i="5"/>
  <c r="A329" i="5"/>
  <c r="D328" i="5"/>
  <c r="C328" i="5"/>
  <c r="B328" i="5"/>
  <c r="A328" i="5"/>
  <c r="D327" i="5"/>
  <c r="C327" i="5"/>
  <c r="B327" i="5"/>
  <c r="A327" i="5"/>
  <c r="D326" i="5"/>
  <c r="C326" i="5"/>
  <c r="B326" i="5"/>
  <c r="A326" i="5"/>
  <c r="D325" i="5"/>
  <c r="C325" i="5"/>
  <c r="B325" i="5"/>
  <c r="A325" i="5"/>
  <c r="D324" i="5"/>
  <c r="C324" i="5"/>
  <c r="B324" i="5"/>
  <c r="A324" i="5"/>
  <c r="D323" i="5"/>
  <c r="C323" i="5"/>
  <c r="B323" i="5"/>
  <c r="A323" i="5"/>
  <c r="D322" i="5"/>
  <c r="C322" i="5"/>
  <c r="B322" i="5"/>
  <c r="A322" i="5"/>
  <c r="D321" i="5"/>
  <c r="C321" i="5"/>
  <c r="B321" i="5"/>
  <c r="A321" i="5"/>
  <c r="D320" i="5"/>
  <c r="C320" i="5"/>
  <c r="B320" i="5"/>
  <c r="A320" i="5"/>
  <c r="D319" i="5"/>
  <c r="C319" i="5"/>
  <c r="B319" i="5"/>
  <c r="A319" i="5"/>
  <c r="D318" i="5"/>
  <c r="C318" i="5"/>
  <c r="B318" i="5"/>
  <c r="A318" i="5"/>
  <c r="D317" i="5"/>
  <c r="C317" i="5"/>
  <c r="B317" i="5"/>
  <c r="A317" i="5"/>
  <c r="D316" i="5"/>
  <c r="C316" i="5"/>
  <c r="B316" i="5"/>
  <c r="A316" i="5"/>
  <c r="D315" i="5"/>
  <c r="C315" i="5"/>
  <c r="B315" i="5"/>
  <c r="A315" i="5"/>
  <c r="D314" i="5"/>
  <c r="C314" i="5"/>
  <c r="B314" i="5"/>
  <c r="A314" i="5"/>
  <c r="D313" i="5"/>
  <c r="C313" i="5"/>
  <c r="B313" i="5"/>
  <c r="A313" i="5"/>
  <c r="D312" i="5"/>
  <c r="C312" i="5"/>
  <c r="B312" i="5"/>
  <c r="A312" i="5"/>
  <c r="D311" i="5"/>
  <c r="C311" i="5"/>
  <c r="B311" i="5"/>
  <c r="A311" i="5"/>
  <c r="D310" i="5"/>
  <c r="C310" i="5"/>
  <c r="B310" i="5"/>
  <c r="A310" i="5"/>
  <c r="D309" i="5"/>
  <c r="C309" i="5"/>
  <c r="B309" i="5"/>
  <c r="A309" i="5"/>
  <c r="D308" i="5"/>
  <c r="C308" i="5"/>
  <c r="B308" i="5"/>
  <c r="A308" i="5"/>
  <c r="D307" i="5"/>
  <c r="C307" i="5"/>
  <c r="B307" i="5"/>
  <c r="A307" i="5"/>
  <c r="D306" i="5"/>
  <c r="C306" i="5"/>
  <c r="B306" i="5"/>
  <c r="A306" i="5"/>
  <c r="D305" i="5"/>
  <c r="C305" i="5"/>
  <c r="B305" i="5"/>
  <c r="A305" i="5"/>
  <c r="D304" i="5"/>
  <c r="C304" i="5"/>
  <c r="B304" i="5"/>
  <c r="A304" i="5"/>
  <c r="D303" i="5"/>
  <c r="C303" i="5"/>
  <c r="B303" i="5"/>
  <c r="A303" i="5"/>
  <c r="D302" i="5"/>
  <c r="C302" i="5"/>
  <c r="B302" i="5"/>
  <c r="A302" i="5"/>
  <c r="D301" i="5"/>
  <c r="C301" i="5"/>
  <c r="B301" i="5"/>
  <c r="A301" i="5"/>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92" i="5"/>
  <c r="C92" i="5"/>
  <c r="B92" i="5"/>
  <c r="A92" i="5"/>
  <c r="D91" i="5"/>
  <c r="C91" i="5"/>
  <c r="B91" i="5"/>
  <c r="A91" i="5"/>
  <c r="D90" i="5"/>
  <c r="C90" i="5"/>
  <c r="B90" i="5"/>
  <c r="A90" i="5"/>
  <c r="D89" i="5"/>
  <c r="C89" i="5"/>
  <c r="B89" i="5"/>
  <c r="A89" i="5"/>
  <c r="D88" i="5"/>
  <c r="C88" i="5"/>
  <c r="B88" i="5"/>
  <c r="A88" i="5"/>
  <c r="D87" i="5"/>
  <c r="C87" i="5"/>
  <c r="B87" i="5"/>
  <c r="A87" i="5"/>
  <c r="D86" i="5"/>
  <c r="C86" i="5"/>
  <c r="B86" i="5"/>
  <c r="A86" i="5"/>
  <c r="D85" i="5"/>
  <c r="C85" i="5"/>
  <c r="B85" i="5"/>
  <c r="A85" i="5"/>
  <c r="D84" i="5"/>
  <c r="C84" i="5"/>
  <c r="B84" i="5"/>
  <c r="A84" i="5"/>
  <c r="D83" i="5"/>
  <c r="C83" i="5"/>
  <c r="B83" i="5"/>
  <c r="A83"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67" i="5"/>
  <c r="C67" i="5"/>
  <c r="B67" i="5"/>
  <c r="A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D50" i="5"/>
  <c r="C50" i="5"/>
  <c r="B50" i="5"/>
  <c r="A50" i="5"/>
  <c r="D49" i="5"/>
  <c r="C49" i="5"/>
  <c r="B49" i="5"/>
  <c r="A49" i="5"/>
  <c r="D48" i="5"/>
  <c r="C48" i="5"/>
  <c r="B48" i="5"/>
  <c r="A48" i="5"/>
  <c r="D47" i="5"/>
  <c r="C47" i="5"/>
  <c r="B47" i="5"/>
  <c r="A47" i="5"/>
  <c r="D46" i="5"/>
  <c r="C46" i="5"/>
  <c r="B46" i="5"/>
  <c r="A46" i="5"/>
  <c r="D45" i="5"/>
  <c r="C45" i="5"/>
  <c r="B45" i="5"/>
  <c r="A45" i="5"/>
  <c r="D44" i="5"/>
  <c r="C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D26" i="5"/>
  <c r="C26" i="5"/>
  <c r="B26" i="5"/>
  <c r="A26" i="5"/>
  <c r="D25" i="5"/>
  <c r="C25" i="5"/>
  <c r="B25" i="5"/>
  <c r="A25" i="5"/>
  <c r="D24" i="5"/>
  <c r="C24" i="5"/>
  <c r="B24" i="5"/>
  <c r="A24" i="5"/>
  <c r="D23" i="5"/>
  <c r="C23" i="5"/>
  <c r="B23" i="5"/>
  <c r="A23" i="5"/>
  <c r="D22" i="5"/>
  <c r="C22" i="5"/>
  <c r="B22" i="5"/>
  <c r="A22" i="5"/>
  <c r="D21" i="5"/>
  <c r="C21" i="5"/>
  <c r="B21" i="5"/>
  <c r="A21" i="5"/>
  <c r="D20" i="5"/>
  <c r="C20" i="5"/>
  <c r="B20" i="5"/>
  <c r="A20" i="5"/>
  <c r="D19" i="5"/>
  <c r="C19" i="5"/>
  <c r="B19" i="5"/>
  <c r="A19" i="5"/>
  <c r="D18" i="5"/>
  <c r="C18" i="5"/>
  <c r="B18" i="5"/>
  <c r="A18" i="5"/>
  <c r="D17" i="5"/>
  <c r="C17" i="5"/>
  <c r="B17" i="5"/>
  <c r="A17" i="5"/>
  <c r="D16" i="5"/>
  <c r="C16" i="5"/>
  <c r="B16" i="5"/>
  <c r="A16" i="5"/>
  <c r="D15" i="5"/>
  <c r="C15" i="5"/>
  <c r="B15" i="5"/>
  <c r="A15" i="5"/>
  <c r="D14" i="5"/>
  <c r="C14" i="5"/>
  <c r="B14" i="5"/>
  <c r="A14" i="5"/>
  <c r="D13" i="5"/>
  <c r="C13" i="5"/>
  <c r="B13" i="5"/>
  <c r="A13" i="5"/>
  <c r="D12" i="5"/>
  <c r="C12" i="5"/>
  <c r="B12" i="5"/>
  <c r="A12" i="5"/>
  <c r="D11" i="5"/>
  <c r="C11" i="5"/>
  <c r="B11" i="5"/>
  <c r="A11" i="5"/>
  <c r="D10" i="5"/>
  <c r="C10" i="5"/>
  <c r="B10" i="5"/>
  <c r="A10" i="5"/>
  <c r="D9" i="5"/>
  <c r="C9" i="5"/>
  <c r="B9" i="5"/>
  <c r="A9" i="5"/>
  <c r="D8" i="5"/>
  <c r="C8" i="5"/>
  <c r="B8" i="5"/>
  <c r="A8" i="5"/>
  <c r="D7" i="5"/>
  <c r="C7" i="5"/>
  <c r="B7" i="5"/>
  <c r="A7" i="5"/>
  <c r="D6" i="5"/>
  <c r="C6" i="5"/>
  <c r="B6" i="5"/>
  <c r="A6" i="5"/>
  <c r="D5" i="5"/>
  <c r="C5" i="5"/>
  <c r="B5" i="5"/>
  <c r="A5" i="5"/>
  <c r="D4" i="5"/>
  <c r="C4" i="5"/>
  <c r="B4" i="5"/>
  <c r="A4" i="5"/>
  <c r="D3" i="5"/>
  <c r="C3" i="5"/>
  <c r="B3" i="5"/>
  <c r="A3" i="5"/>
  <c r="D2" i="5"/>
  <c r="C2" i="5"/>
  <c r="B2" i="5"/>
  <c r="A2" i="5"/>
  <c r="B1" i="5"/>
  <c r="A1" i="5"/>
  <c r="BP467" i="3"/>
  <c r="BO467" i="3"/>
  <c r="BN467" i="3"/>
  <c r="BM467" i="3"/>
  <c r="BL467" i="3"/>
  <c r="BK467" i="3"/>
  <c r="BJ467" i="3"/>
  <c r="BI467" i="3"/>
  <c r="BH467" i="3"/>
  <c r="BG467" i="3"/>
  <c r="BF467" i="3"/>
  <c r="BE467" i="3"/>
  <c r="BD467" i="3"/>
  <c r="BC467" i="3"/>
  <c r="BB467" i="3"/>
  <c r="BA467" i="3"/>
  <c r="AZ467" i="3"/>
  <c r="AY467" i="3"/>
  <c r="AX467" i="3"/>
  <c r="AW467" i="3"/>
  <c r="AV467" i="3"/>
  <c r="AU467" i="3"/>
  <c r="AT467" i="3"/>
  <c r="AS467" i="3"/>
  <c r="AR467" i="3"/>
  <c r="AQ467" i="3"/>
  <c r="AP467" i="3"/>
  <c r="AO467" i="3"/>
  <c r="AN467" i="3"/>
  <c r="AM467" i="3"/>
  <c r="AL467" i="3"/>
  <c r="AK467" i="3"/>
  <c r="AJ467" i="3"/>
  <c r="AI467" i="3"/>
  <c r="AH467" i="3"/>
  <c r="AG467" i="3"/>
  <c r="AF467" i="3"/>
  <c r="AE467" i="3"/>
  <c r="AD467" i="3"/>
  <c r="AC467" i="3"/>
  <c r="AB467" i="3"/>
  <c r="AA467" i="3"/>
  <c r="Z467" i="3"/>
  <c r="Y467" i="3"/>
  <c r="X467" i="3"/>
  <c r="W467" i="3"/>
  <c r="V467" i="3"/>
  <c r="U467" i="3"/>
  <c r="T467" i="3"/>
  <c r="S467" i="3"/>
  <c r="R467" i="3"/>
  <c r="Q467" i="3"/>
  <c r="P467" i="3"/>
  <c r="O467" i="3"/>
  <c r="N467" i="3"/>
  <c r="M467" i="3"/>
  <c r="L467" i="3"/>
  <c r="K467" i="3"/>
  <c r="J467" i="3"/>
  <c r="I467" i="3"/>
  <c r="H467" i="3"/>
  <c r="G467" i="3"/>
  <c r="F467" i="3"/>
  <c r="E467" i="3"/>
  <c r="D467" i="3"/>
  <c r="C467" i="3"/>
  <c r="B467" i="3"/>
  <c r="A467" i="3"/>
  <c r="BP466" i="3"/>
  <c r="BO466" i="3"/>
  <c r="BN466" i="3"/>
  <c r="BM466" i="3"/>
  <c r="BL466" i="3"/>
  <c r="BK466" i="3"/>
  <c r="BJ466" i="3"/>
  <c r="BI466" i="3"/>
  <c r="BH466" i="3"/>
  <c r="BG466" i="3"/>
  <c r="BF466" i="3"/>
  <c r="BE466" i="3"/>
  <c r="BD466" i="3"/>
  <c r="BC466" i="3"/>
  <c r="BB466" i="3"/>
  <c r="BA466" i="3"/>
  <c r="AZ466" i="3"/>
  <c r="AY466" i="3"/>
  <c r="AX466" i="3"/>
  <c r="AW466" i="3"/>
  <c r="AV466" i="3"/>
  <c r="AU466" i="3"/>
  <c r="AT466" i="3"/>
  <c r="AS466" i="3"/>
  <c r="AR466" i="3"/>
  <c r="AQ466" i="3"/>
  <c r="AP466" i="3"/>
  <c r="AO466" i="3"/>
  <c r="AN466" i="3"/>
  <c r="AM466" i="3"/>
  <c r="AL466" i="3"/>
  <c r="AK466" i="3"/>
  <c r="AJ466" i="3"/>
  <c r="AI466" i="3"/>
  <c r="AH466" i="3"/>
  <c r="AG466" i="3"/>
  <c r="AF466" i="3"/>
  <c r="AE466" i="3"/>
  <c r="AD466" i="3"/>
  <c r="AC466" i="3"/>
  <c r="AB466" i="3"/>
  <c r="AA466" i="3"/>
  <c r="Z466" i="3"/>
  <c r="Y466" i="3"/>
  <c r="X466" i="3"/>
  <c r="W466" i="3"/>
  <c r="V466" i="3"/>
  <c r="U466" i="3"/>
  <c r="T466" i="3"/>
  <c r="S466" i="3"/>
  <c r="R466" i="3"/>
  <c r="Q466" i="3"/>
  <c r="P466" i="3"/>
  <c r="O466" i="3"/>
  <c r="N466" i="3"/>
  <c r="M466" i="3"/>
  <c r="L466" i="3"/>
  <c r="K466" i="3"/>
  <c r="J466" i="3"/>
  <c r="I466" i="3"/>
  <c r="H466" i="3"/>
  <c r="G466" i="3"/>
  <c r="F466" i="3"/>
  <c r="E466" i="3"/>
  <c r="D466" i="3"/>
  <c r="C466" i="3"/>
  <c r="B466" i="3"/>
  <c r="A466" i="3"/>
  <c r="BP465" i="3"/>
  <c r="BO465" i="3"/>
  <c r="BN465" i="3"/>
  <c r="BM465" i="3"/>
  <c r="BL465" i="3"/>
  <c r="BK465" i="3"/>
  <c r="BJ465" i="3"/>
  <c r="BI465" i="3"/>
  <c r="BH465" i="3"/>
  <c r="BG465" i="3"/>
  <c r="BF465" i="3"/>
  <c r="BE465" i="3"/>
  <c r="BD465" i="3"/>
  <c r="BC465" i="3"/>
  <c r="BB465" i="3"/>
  <c r="BA465" i="3"/>
  <c r="AZ465" i="3"/>
  <c r="AY465" i="3"/>
  <c r="AX465" i="3"/>
  <c r="AW465" i="3"/>
  <c r="AV465" i="3"/>
  <c r="AU465" i="3"/>
  <c r="AT465" i="3"/>
  <c r="AS465" i="3"/>
  <c r="AR465" i="3"/>
  <c r="AQ465" i="3"/>
  <c r="AP465" i="3"/>
  <c r="AO465" i="3"/>
  <c r="AN465" i="3"/>
  <c r="AM465" i="3"/>
  <c r="AL465" i="3"/>
  <c r="AK465" i="3"/>
  <c r="AJ465" i="3"/>
  <c r="AI465" i="3"/>
  <c r="AH465" i="3"/>
  <c r="AG465" i="3"/>
  <c r="AF465" i="3"/>
  <c r="AE465" i="3"/>
  <c r="AD465" i="3"/>
  <c r="AC465" i="3"/>
  <c r="AB465" i="3"/>
  <c r="AA465" i="3"/>
  <c r="Z465" i="3"/>
  <c r="Y465" i="3"/>
  <c r="X465" i="3"/>
  <c r="W465" i="3"/>
  <c r="V465" i="3"/>
  <c r="U465" i="3"/>
  <c r="T465" i="3"/>
  <c r="S465" i="3"/>
  <c r="R465" i="3"/>
  <c r="Q465" i="3"/>
  <c r="P465" i="3"/>
  <c r="O465" i="3"/>
  <c r="N465" i="3"/>
  <c r="M465" i="3"/>
  <c r="L465" i="3"/>
  <c r="K465" i="3"/>
  <c r="J465" i="3"/>
  <c r="I465" i="3"/>
  <c r="H465" i="3"/>
  <c r="G465" i="3"/>
  <c r="F465" i="3"/>
  <c r="E465" i="3"/>
  <c r="D465" i="3"/>
  <c r="C465" i="3"/>
  <c r="B465" i="3"/>
  <c r="A465" i="3"/>
  <c r="BP464" i="3"/>
  <c r="BO464" i="3"/>
  <c r="BN464" i="3"/>
  <c r="BM464" i="3"/>
  <c r="BL464" i="3"/>
  <c r="BK464" i="3"/>
  <c r="BJ464" i="3"/>
  <c r="BI464" i="3"/>
  <c r="BH464" i="3"/>
  <c r="BG464" i="3"/>
  <c r="BF464" i="3"/>
  <c r="BE464" i="3"/>
  <c r="BD464" i="3"/>
  <c r="BC464" i="3"/>
  <c r="BB464" i="3"/>
  <c r="BA464" i="3"/>
  <c r="AZ464" i="3"/>
  <c r="AY464" i="3"/>
  <c r="AX464" i="3"/>
  <c r="AW464" i="3"/>
  <c r="AV464" i="3"/>
  <c r="AU464" i="3"/>
  <c r="AT464" i="3"/>
  <c r="AS464" i="3"/>
  <c r="AR464" i="3"/>
  <c r="AQ464" i="3"/>
  <c r="AP464" i="3"/>
  <c r="AO464" i="3"/>
  <c r="AN464" i="3"/>
  <c r="AM464" i="3"/>
  <c r="AL464" i="3"/>
  <c r="AK464" i="3"/>
  <c r="AJ464" i="3"/>
  <c r="AI464" i="3"/>
  <c r="AH464" i="3"/>
  <c r="AG464" i="3"/>
  <c r="AF464" i="3"/>
  <c r="AE464" i="3"/>
  <c r="AD464" i="3"/>
  <c r="AC464" i="3"/>
  <c r="AB464" i="3"/>
  <c r="AA464" i="3"/>
  <c r="Z464" i="3"/>
  <c r="Y464" i="3"/>
  <c r="X464" i="3"/>
  <c r="W464" i="3"/>
  <c r="V464" i="3"/>
  <c r="U464" i="3"/>
  <c r="T464" i="3"/>
  <c r="S464" i="3"/>
  <c r="R464" i="3"/>
  <c r="Q464" i="3"/>
  <c r="P464" i="3"/>
  <c r="O464" i="3"/>
  <c r="N464" i="3"/>
  <c r="M464" i="3"/>
  <c r="L464" i="3"/>
  <c r="K464" i="3"/>
  <c r="J464" i="3"/>
  <c r="I464" i="3"/>
  <c r="H464" i="3"/>
  <c r="G464" i="3"/>
  <c r="F464" i="3"/>
  <c r="E464" i="3"/>
  <c r="D464" i="3"/>
  <c r="C464" i="3"/>
  <c r="B464" i="3"/>
  <c r="A464" i="3"/>
  <c r="BP463" i="3"/>
  <c r="BO463" i="3"/>
  <c r="BN463" i="3"/>
  <c r="BM463" i="3"/>
  <c r="BL463" i="3"/>
  <c r="BK463" i="3"/>
  <c r="BJ463" i="3"/>
  <c r="BI463" i="3"/>
  <c r="BH463" i="3"/>
  <c r="BG463" i="3"/>
  <c r="BF463" i="3"/>
  <c r="BE463" i="3"/>
  <c r="BD463" i="3"/>
  <c r="BC463" i="3"/>
  <c r="BB463" i="3"/>
  <c r="BA463" i="3"/>
  <c r="AZ463" i="3"/>
  <c r="AY463" i="3"/>
  <c r="AX463" i="3"/>
  <c r="AW463" i="3"/>
  <c r="AV463" i="3"/>
  <c r="AU463" i="3"/>
  <c r="AT463" i="3"/>
  <c r="AS463" i="3"/>
  <c r="AR463" i="3"/>
  <c r="AQ463" i="3"/>
  <c r="AP463" i="3"/>
  <c r="AO463" i="3"/>
  <c r="AN463" i="3"/>
  <c r="AM463" i="3"/>
  <c r="AL463" i="3"/>
  <c r="AK463" i="3"/>
  <c r="AJ463" i="3"/>
  <c r="AI463" i="3"/>
  <c r="AH463" i="3"/>
  <c r="AG463" i="3"/>
  <c r="AF463" i="3"/>
  <c r="AE463" i="3"/>
  <c r="AD463" i="3"/>
  <c r="AC463" i="3"/>
  <c r="AB463" i="3"/>
  <c r="AA463" i="3"/>
  <c r="Z463" i="3"/>
  <c r="Y463" i="3"/>
  <c r="X463" i="3"/>
  <c r="W463" i="3"/>
  <c r="V463" i="3"/>
  <c r="U463" i="3"/>
  <c r="T463" i="3"/>
  <c r="S463" i="3"/>
  <c r="R463" i="3"/>
  <c r="Q463" i="3"/>
  <c r="P463" i="3"/>
  <c r="O463" i="3"/>
  <c r="N463" i="3"/>
  <c r="M463" i="3"/>
  <c r="L463" i="3"/>
  <c r="K463" i="3"/>
  <c r="J463" i="3"/>
  <c r="I463" i="3"/>
  <c r="H463" i="3"/>
  <c r="G463" i="3"/>
  <c r="F463" i="3"/>
  <c r="E463" i="3"/>
  <c r="D463" i="3"/>
  <c r="C463" i="3"/>
  <c r="B463" i="3"/>
  <c r="A463" i="3"/>
  <c r="BP462" i="3"/>
  <c r="BO462" i="3"/>
  <c r="BN462" i="3"/>
  <c r="BM462" i="3"/>
  <c r="BL462" i="3"/>
  <c r="BK462" i="3"/>
  <c r="BJ462" i="3"/>
  <c r="BI462" i="3"/>
  <c r="BH462" i="3"/>
  <c r="BG462" i="3"/>
  <c r="BF462" i="3"/>
  <c r="BE462" i="3"/>
  <c r="BD462" i="3"/>
  <c r="BC462" i="3"/>
  <c r="BB462" i="3"/>
  <c r="BA462" i="3"/>
  <c r="AZ462" i="3"/>
  <c r="AY462" i="3"/>
  <c r="AX462" i="3"/>
  <c r="AW462" i="3"/>
  <c r="AV462" i="3"/>
  <c r="AU462" i="3"/>
  <c r="AT462" i="3"/>
  <c r="AS462" i="3"/>
  <c r="AR462" i="3"/>
  <c r="AQ462" i="3"/>
  <c r="AP462" i="3"/>
  <c r="AO462" i="3"/>
  <c r="AN462" i="3"/>
  <c r="AM462" i="3"/>
  <c r="AL462" i="3"/>
  <c r="AK462" i="3"/>
  <c r="AJ462" i="3"/>
  <c r="AI462" i="3"/>
  <c r="AH462" i="3"/>
  <c r="AG462" i="3"/>
  <c r="AF462" i="3"/>
  <c r="AE462" i="3"/>
  <c r="AD462" i="3"/>
  <c r="AC462" i="3"/>
  <c r="AB462" i="3"/>
  <c r="AA462" i="3"/>
  <c r="Z462" i="3"/>
  <c r="Y462" i="3"/>
  <c r="X462" i="3"/>
  <c r="W462" i="3"/>
  <c r="V462" i="3"/>
  <c r="U462" i="3"/>
  <c r="T462" i="3"/>
  <c r="S462" i="3"/>
  <c r="R462" i="3"/>
  <c r="Q462" i="3"/>
  <c r="P462" i="3"/>
  <c r="O462" i="3"/>
  <c r="N462" i="3"/>
  <c r="M462" i="3"/>
  <c r="L462" i="3"/>
  <c r="K462" i="3"/>
  <c r="J462" i="3"/>
  <c r="I462" i="3"/>
  <c r="H462" i="3"/>
  <c r="G462" i="3"/>
  <c r="F462" i="3"/>
  <c r="E462" i="3"/>
  <c r="D462" i="3"/>
  <c r="C462" i="3"/>
  <c r="B462" i="3"/>
  <c r="A462" i="3"/>
  <c r="BP461" i="3"/>
  <c r="BO461" i="3"/>
  <c r="BN461" i="3"/>
  <c r="BM461" i="3"/>
  <c r="BL461" i="3"/>
  <c r="BK461" i="3"/>
  <c r="BJ461" i="3"/>
  <c r="BI461" i="3"/>
  <c r="BH461" i="3"/>
  <c r="BG461" i="3"/>
  <c r="BF461" i="3"/>
  <c r="BE461" i="3"/>
  <c r="BD461" i="3"/>
  <c r="BC461" i="3"/>
  <c r="BB461" i="3"/>
  <c r="BA461" i="3"/>
  <c r="AZ461" i="3"/>
  <c r="AY461" i="3"/>
  <c r="AX461" i="3"/>
  <c r="AW461" i="3"/>
  <c r="AV461" i="3"/>
  <c r="AU461" i="3"/>
  <c r="AT461" i="3"/>
  <c r="AS461" i="3"/>
  <c r="AR461" i="3"/>
  <c r="AQ461" i="3"/>
  <c r="AP461" i="3"/>
  <c r="AO461" i="3"/>
  <c r="AN461" i="3"/>
  <c r="AM461" i="3"/>
  <c r="AL461" i="3"/>
  <c r="AK461" i="3"/>
  <c r="AJ461" i="3"/>
  <c r="AI461" i="3"/>
  <c r="AH461" i="3"/>
  <c r="AG461" i="3"/>
  <c r="AF461" i="3"/>
  <c r="AE461" i="3"/>
  <c r="AD461" i="3"/>
  <c r="AC461" i="3"/>
  <c r="AB461" i="3"/>
  <c r="AA461" i="3"/>
  <c r="Z461" i="3"/>
  <c r="Y461" i="3"/>
  <c r="X461" i="3"/>
  <c r="W461" i="3"/>
  <c r="V461" i="3"/>
  <c r="U461" i="3"/>
  <c r="T461" i="3"/>
  <c r="S461" i="3"/>
  <c r="R461" i="3"/>
  <c r="Q461" i="3"/>
  <c r="P461" i="3"/>
  <c r="O461" i="3"/>
  <c r="N461" i="3"/>
  <c r="M461" i="3"/>
  <c r="L461" i="3"/>
  <c r="K461" i="3"/>
  <c r="J461" i="3"/>
  <c r="I461" i="3"/>
  <c r="H461" i="3"/>
  <c r="G461" i="3"/>
  <c r="F461" i="3"/>
  <c r="E461" i="3"/>
  <c r="D461" i="3"/>
  <c r="C461" i="3"/>
  <c r="B461" i="3"/>
  <c r="A461" i="3"/>
  <c r="BP460" i="3"/>
  <c r="BO460" i="3"/>
  <c r="BN460" i="3"/>
  <c r="BM460" i="3"/>
  <c r="BL460" i="3"/>
  <c r="BK460" i="3"/>
  <c r="BJ460" i="3"/>
  <c r="BI460" i="3"/>
  <c r="BH460" i="3"/>
  <c r="BG460" i="3"/>
  <c r="BF460" i="3"/>
  <c r="BE460" i="3"/>
  <c r="BD460" i="3"/>
  <c r="BC460" i="3"/>
  <c r="BB460" i="3"/>
  <c r="BA460" i="3"/>
  <c r="AZ460" i="3"/>
  <c r="AY460" i="3"/>
  <c r="AX460" i="3"/>
  <c r="AW460" i="3"/>
  <c r="AV460" i="3"/>
  <c r="AU460" i="3"/>
  <c r="AT460" i="3"/>
  <c r="AS460" i="3"/>
  <c r="AR460" i="3"/>
  <c r="AQ460" i="3"/>
  <c r="AP460" i="3"/>
  <c r="AO460" i="3"/>
  <c r="AN460" i="3"/>
  <c r="AM460" i="3"/>
  <c r="AL460" i="3"/>
  <c r="AK460" i="3"/>
  <c r="AJ460" i="3"/>
  <c r="AI460" i="3"/>
  <c r="AH460" i="3"/>
  <c r="AG460" i="3"/>
  <c r="AF460" i="3"/>
  <c r="AE460" i="3"/>
  <c r="AD460" i="3"/>
  <c r="AC460" i="3"/>
  <c r="AB460" i="3"/>
  <c r="AA460" i="3"/>
  <c r="Z460" i="3"/>
  <c r="Y460" i="3"/>
  <c r="X460" i="3"/>
  <c r="W460" i="3"/>
  <c r="V460" i="3"/>
  <c r="U460" i="3"/>
  <c r="T460" i="3"/>
  <c r="S460" i="3"/>
  <c r="R460" i="3"/>
  <c r="Q460" i="3"/>
  <c r="P460" i="3"/>
  <c r="O460" i="3"/>
  <c r="N460" i="3"/>
  <c r="M460" i="3"/>
  <c r="L460" i="3"/>
  <c r="K460" i="3"/>
  <c r="J460" i="3"/>
  <c r="I460" i="3"/>
  <c r="H460" i="3"/>
  <c r="G460" i="3"/>
  <c r="F460" i="3"/>
  <c r="E460" i="3"/>
  <c r="D460" i="3"/>
  <c r="C460" i="3"/>
  <c r="B460" i="3"/>
  <c r="A460" i="3"/>
  <c r="BP459" i="3"/>
  <c r="BO459" i="3"/>
  <c r="BN459" i="3"/>
  <c r="BM459" i="3"/>
  <c r="BL459" i="3"/>
  <c r="BK459" i="3"/>
  <c r="BJ459" i="3"/>
  <c r="BI459" i="3"/>
  <c r="BH459" i="3"/>
  <c r="BG459" i="3"/>
  <c r="BF459" i="3"/>
  <c r="BE459" i="3"/>
  <c r="BD459" i="3"/>
  <c r="BC459" i="3"/>
  <c r="BB459" i="3"/>
  <c r="BA459" i="3"/>
  <c r="AZ459" i="3"/>
  <c r="AY459" i="3"/>
  <c r="AX459" i="3"/>
  <c r="AW459" i="3"/>
  <c r="AV459" i="3"/>
  <c r="AU459" i="3"/>
  <c r="AT459" i="3"/>
  <c r="AS459" i="3"/>
  <c r="AR459" i="3"/>
  <c r="AQ459" i="3"/>
  <c r="AP459" i="3"/>
  <c r="AO459" i="3"/>
  <c r="AN459" i="3"/>
  <c r="AM459" i="3"/>
  <c r="AL459" i="3"/>
  <c r="AK459" i="3"/>
  <c r="AJ459" i="3"/>
  <c r="AI459" i="3"/>
  <c r="AH459" i="3"/>
  <c r="AG459" i="3"/>
  <c r="AF459" i="3"/>
  <c r="AE459" i="3"/>
  <c r="AD459" i="3"/>
  <c r="AC459" i="3"/>
  <c r="AB459" i="3"/>
  <c r="AA459" i="3"/>
  <c r="Z459" i="3"/>
  <c r="Y459" i="3"/>
  <c r="X459" i="3"/>
  <c r="W459" i="3"/>
  <c r="V459" i="3"/>
  <c r="U459" i="3"/>
  <c r="T459" i="3"/>
  <c r="S459" i="3"/>
  <c r="R459" i="3"/>
  <c r="Q459" i="3"/>
  <c r="P459" i="3"/>
  <c r="O459" i="3"/>
  <c r="N459" i="3"/>
  <c r="M459" i="3"/>
  <c r="L459" i="3"/>
  <c r="K459" i="3"/>
  <c r="J459" i="3"/>
  <c r="I459" i="3"/>
  <c r="H459" i="3"/>
  <c r="G459" i="3"/>
  <c r="F459" i="3"/>
  <c r="E459" i="3"/>
  <c r="D459" i="3"/>
  <c r="C459" i="3"/>
  <c r="B459" i="3"/>
  <c r="A459" i="3"/>
  <c r="BP458" i="3"/>
  <c r="BO458" i="3"/>
  <c r="BN458" i="3"/>
  <c r="BM458" i="3"/>
  <c r="BL458" i="3"/>
  <c r="BK458" i="3"/>
  <c r="BJ458" i="3"/>
  <c r="BI458" i="3"/>
  <c r="BH458" i="3"/>
  <c r="BG458" i="3"/>
  <c r="BF458" i="3"/>
  <c r="BE458" i="3"/>
  <c r="BD458" i="3"/>
  <c r="BC458" i="3"/>
  <c r="BB458" i="3"/>
  <c r="BA458" i="3"/>
  <c r="AZ458" i="3"/>
  <c r="AY458" i="3"/>
  <c r="AX458" i="3"/>
  <c r="AW458" i="3"/>
  <c r="AV458" i="3"/>
  <c r="AU458" i="3"/>
  <c r="AT458" i="3"/>
  <c r="AS458" i="3"/>
  <c r="AR458" i="3"/>
  <c r="AQ458" i="3"/>
  <c r="AP458" i="3"/>
  <c r="AO458" i="3"/>
  <c r="AN458" i="3"/>
  <c r="AM458" i="3"/>
  <c r="AL458" i="3"/>
  <c r="AK458" i="3"/>
  <c r="AJ458" i="3"/>
  <c r="AI458" i="3"/>
  <c r="AH458" i="3"/>
  <c r="AG458" i="3"/>
  <c r="AF458" i="3"/>
  <c r="AE458" i="3"/>
  <c r="AD458" i="3"/>
  <c r="AC458" i="3"/>
  <c r="AB458" i="3"/>
  <c r="AA458" i="3"/>
  <c r="Z458" i="3"/>
  <c r="Y458" i="3"/>
  <c r="X458" i="3"/>
  <c r="W458" i="3"/>
  <c r="V458" i="3"/>
  <c r="U458" i="3"/>
  <c r="T458" i="3"/>
  <c r="S458" i="3"/>
  <c r="R458" i="3"/>
  <c r="Q458" i="3"/>
  <c r="P458" i="3"/>
  <c r="O458" i="3"/>
  <c r="N458" i="3"/>
  <c r="M458" i="3"/>
  <c r="L458" i="3"/>
  <c r="K458" i="3"/>
  <c r="J458" i="3"/>
  <c r="I458" i="3"/>
  <c r="H458" i="3"/>
  <c r="G458" i="3"/>
  <c r="F458" i="3"/>
  <c r="E458" i="3"/>
  <c r="D458" i="3"/>
  <c r="B458" i="3"/>
  <c r="A458" i="3"/>
  <c r="BP457" i="3"/>
  <c r="BO457" i="3"/>
  <c r="BN457" i="3"/>
  <c r="BM457" i="3"/>
  <c r="BL457" i="3"/>
  <c r="BK457" i="3"/>
  <c r="BJ457" i="3"/>
  <c r="BI457" i="3"/>
  <c r="BH457" i="3"/>
  <c r="BG457" i="3"/>
  <c r="BF457" i="3"/>
  <c r="BE457" i="3"/>
  <c r="BD457" i="3"/>
  <c r="BC457" i="3"/>
  <c r="BB457" i="3"/>
  <c r="BA457" i="3"/>
  <c r="AZ457" i="3"/>
  <c r="AY457" i="3"/>
  <c r="AX457" i="3"/>
  <c r="AW457" i="3"/>
  <c r="AV457" i="3"/>
  <c r="AU457" i="3"/>
  <c r="AT457" i="3"/>
  <c r="AS457" i="3"/>
  <c r="AR457" i="3"/>
  <c r="AQ457" i="3"/>
  <c r="AP457" i="3"/>
  <c r="AO457" i="3"/>
  <c r="AN457" i="3"/>
  <c r="AM457" i="3"/>
  <c r="AL457" i="3"/>
  <c r="AK457" i="3"/>
  <c r="AJ457" i="3"/>
  <c r="AI457" i="3"/>
  <c r="AH457" i="3"/>
  <c r="AG457" i="3"/>
  <c r="AF457" i="3"/>
  <c r="AE457" i="3"/>
  <c r="AD457" i="3"/>
  <c r="AC457" i="3"/>
  <c r="AB457" i="3"/>
  <c r="AA457" i="3"/>
  <c r="Z457" i="3"/>
  <c r="Y457" i="3"/>
  <c r="X457" i="3"/>
  <c r="W457" i="3"/>
  <c r="V457" i="3"/>
  <c r="U457" i="3"/>
  <c r="T457" i="3"/>
  <c r="S457" i="3"/>
  <c r="R457" i="3"/>
  <c r="Q457" i="3"/>
  <c r="P457" i="3"/>
  <c r="O457" i="3"/>
  <c r="N457" i="3"/>
  <c r="M457" i="3"/>
  <c r="L457" i="3"/>
  <c r="K457" i="3"/>
  <c r="J457" i="3"/>
  <c r="I457" i="3"/>
  <c r="H457" i="3"/>
  <c r="G457" i="3"/>
  <c r="F457" i="3"/>
  <c r="E457" i="3"/>
  <c r="D457" i="3"/>
  <c r="C457" i="3"/>
  <c r="B457" i="3"/>
  <c r="A457" i="3"/>
  <c r="BP456" i="3"/>
  <c r="BO456" i="3"/>
  <c r="BN456" i="3"/>
  <c r="BM456" i="3"/>
  <c r="BL456" i="3"/>
  <c r="BK456" i="3"/>
  <c r="BJ456" i="3"/>
  <c r="BI456" i="3"/>
  <c r="BH456" i="3"/>
  <c r="BG456" i="3"/>
  <c r="BF456" i="3"/>
  <c r="BE456" i="3"/>
  <c r="BD456" i="3"/>
  <c r="BC456" i="3"/>
  <c r="BB456" i="3"/>
  <c r="BA456" i="3"/>
  <c r="AZ456" i="3"/>
  <c r="AY456" i="3"/>
  <c r="AX456" i="3"/>
  <c r="AW456" i="3"/>
  <c r="AV456" i="3"/>
  <c r="AU456" i="3"/>
  <c r="AT456" i="3"/>
  <c r="AS456" i="3"/>
  <c r="AR456" i="3"/>
  <c r="AQ456" i="3"/>
  <c r="AP456" i="3"/>
  <c r="AO456" i="3"/>
  <c r="AN456" i="3"/>
  <c r="AM456" i="3"/>
  <c r="AL456" i="3"/>
  <c r="AK456" i="3"/>
  <c r="AJ456" i="3"/>
  <c r="AI456" i="3"/>
  <c r="AH456" i="3"/>
  <c r="AG456" i="3"/>
  <c r="AF456" i="3"/>
  <c r="AE456" i="3"/>
  <c r="AD456" i="3"/>
  <c r="AC456" i="3"/>
  <c r="AB456" i="3"/>
  <c r="AA456" i="3"/>
  <c r="Z456" i="3"/>
  <c r="Y456" i="3"/>
  <c r="X456" i="3"/>
  <c r="W456" i="3"/>
  <c r="V456" i="3"/>
  <c r="U456" i="3"/>
  <c r="T456" i="3"/>
  <c r="S456" i="3"/>
  <c r="R456" i="3"/>
  <c r="Q456" i="3"/>
  <c r="P456" i="3"/>
  <c r="O456" i="3"/>
  <c r="N456" i="3"/>
  <c r="M456" i="3"/>
  <c r="L456" i="3"/>
  <c r="K456" i="3"/>
  <c r="J456" i="3"/>
  <c r="I456" i="3"/>
  <c r="H456" i="3"/>
  <c r="G456" i="3"/>
  <c r="F456" i="3"/>
  <c r="E456" i="3"/>
  <c r="D456" i="3"/>
  <c r="C456" i="3"/>
  <c r="B456" i="3"/>
  <c r="A456" i="3"/>
  <c r="BP455" i="3"/>
  <c r="BO455" i="3"/>
  <c r="BN455" i="3"/>
  <c r="BM455" i="3"/>
  <c r="BL455" i="3"/>
  <c r="BK455" i="3"/>
  <c r="BJ455" i="3"/>
  <c r="BI455" i="3"/>
  <c r="BH455" i="3"/>
  <c r="BG455" i="3"/>
  <c r="BF455" i="3"/>
  <c r="BE455" i="3"/>
  <c r="BD455" i="3"/>
  <c r="BC455" i="3"/>
  <c r="BB455" i="3"/>
  <c r="BA455" i="3"/>
  <c r="AZ455" i="3"/>
  <c r="AY455" i="3"/>
  <c r="AX455" i="3"/>
  <c r="AW455" i="3"/>
  <c r="AV455" i="3"/>
  <c r="AU455" i="3"/>
  <c r="AT455" i="3"/>
  <c r="AS455" i="3"/>
  <c r="AR455" i="3"/>
  <c r="AQ455" i="3"/>
  <c r="AP455" i="3"/>
  <c r="AO455" i="3"/>
  <c r="AN455" i="3"/>
  <c r="AM455" i="3"/>
  <c r="AL455" i="3"/>
  <c r="AK455" i="3"/>
  <c r="AJ455" i="3"/>
  <c r="AI455" i="3"/>
  <c r="AH455" i="3"/>
  <c r="AG455" i="3"/>
  <c r="AF455" i="3"/>
  <c r="AE455" i="3"/>
  <c r="AD455" i="3"/>
  <c r="AC455" i="3"/>
  <c r="AB455" i="3"/>
  <c r="AA455" i="3"/>
  <c r="Z455" i="3"/>
  <c r="Y455" i="3"/>
  <c r="X455" i="3"/>
  <c r="W455" i="3"/>
  <c r="V455" i="3"/>
  <c r="U455" i="3"/>
  <c r="T455" i="3"/>
  <c r="S455" i="3"/>
  <c r="R455" i="3"/>
  <c r="Q455" i="3"/>
  <c r="P455" i="3"/>
  <c r="O455" i="3"/>
  <c r="N455" i="3"/>
  <c r="M455" i="3"/>
  <c r="L455" i="3"/>
  <c r="K455" i="3"/>
  <c r="J455" i="3"/>
  <c r="I455" i="3"/>
  <c r="H455" i="3"/>
  <c r="G455" i="3"/>
  <c r="F455" i="3"/>
  <c r="E455" i="3"/>
  <c r="D455" i="3"/>
  <c r="C455" i="3"/>
  <c r="B455" i="3"/>
  <c r="A455" i="3"/>
  <c r="BP454" i="3"/>
  <c r="BO454" i="3"/>
  <c r="BN454" i="3"/>
  <c r="BM454" i="3"/>
  <c r="BL454" i="3"/>
  <c r="BK454" i="3"/>
  <c r="BJ454" i="3"/>
  <c r="BI454" i="3"/>
  <c r="BH454" i="3"/>
  <c r="BG454" i="3"/>
  <c r="BF454" i="3"/>
  <c r="BE454" i="3"/>
  <c r="BD454" i="3"/>
  <c r="BC454" i="3"/>
  <c r="BB454" i="3"/>
  <c r="BA454" i="3"/>
  <c r="AZ454" i="3"/>
  <c r="AY454" i="3"/>
  <c r="AX454" i="3"/>
  <c r="AW454" i="3"/>
  <c r="AV454" i="3"/>
  <c r="AU454" i="3"/>
  <c r="AT454" i="3"/>
  <c r="AS454" i="3"/>
  <c r="AR454" i="3"/>
  <c r="AQ454" i="3"/>
  <c r="AP454" i="3"/>
  <c r="AO454" i="3"/>
  <c r="AN454" i="3"/>
  <c r="AM454" i="3"/>
  <c r="AL454" i="3"/>
  <c r="AK454" i="3"/>
  <c r="AJ454" i="3"/>
  <c r="AI454" i="3"/>
  <c r="AH454" i="3"/>
  <c r="AG454" i="3"/>
  <c r="AF454" i="3"/>
  <c r="AE454" i="3"/>
  <c r="AD454" i="3"/>
  <c r="AC454" i="3"/>
  <c r="AB454" i="3"/>
  <c r="AA454" i="3"/>
  <c r="Z454" i="3"/>
  <c r="Y454" i="3"/>
  <c r="X454" i="3"/>
  <c r="W454" i="3"/>
  <c r="V454" i="3"/>
  <c r="U454" i="3"/>
  <c r="T454" i="3"/>
  <c r="S454" i="3"/>
  <c r="R454" i="3"/>
  <c r="Q454" i="3"/>
  <c r="P454" i="3"/>
  <c r="O454" i="3"/>
  <c r="N454" i="3"/>
  <c r="M454" i="3"/>
  <c r="L454" i="3"/>
  <c r="K454" i="3"/>
  <c r="J454" i="3"/>
  <c r="I454" i="3"/>
  <c r="H454" i="3"/>
  <c r="G454" i="3"/>
  <c r="F454" i="3"/>
  <c r="E454" i="3"/>
  <c r="D454" i="3"/>
  <c r="C454" i="3"/>
  <c r="B454" i="3"/>
  <c r="A454" i="3"/>
  <c r="BP453" i="3"/>
  <c r="BO453" i="3"/>
  <c r="BN453" i="3"/>
  <c r="BM453" i="3"/>
  <c r="BL453" i="3"/>
  <c r="BK453" i="3"/>
  <c r="BJ453" i="3"/>
  <c r="BI453" i="3"/>
  <c r="BH453" i="3"/>
  <c r="BG453" i="3"/>
  <c r="BF453" i="3"/>
  <c r="BE453" i="3"/>
  <c r="BD453" i="3"/>
  <c r="BC453" i="3"/>
  <c r="BB453" i="3"/>
  <c r="BA453" i="3"/>
  <c r="AZ453" i="3"/>
  <c r="AY453" i="3"/>
  <c r="AX453" i="3"/>
  <c r="AW453" i="3"/>
  <c r="AV453" i="3"/>
  <c r="AU453" i="3"/>
  <c r="AT453" i="3"/>
  <c r="AS453" i="3"/>
  <c r="AR453" i="3"/>
  <c r="AQ453" i="3"/>
  <c r="AP453" i="3"/>
  <c r="AO453" i="3"/>
  <c r="AN453" i="3"/>
  <c r="AM453" i="3"/>
  <c r="AL453" i="3"/>
  <c r="AK453" i="3"/>
  <c r="AJ453" i="3"/>
  <c r="AI453" i="3"/>
  <c r="AH453" i="3"/>
  <c r="AG453" i="3"/>
  <c r="AF453" i="3"/>
  <c r="AE453" i="3"/>
  <c r="AD453" i="3"/>
  <c r="AC453" i="3"/>
  <c r="AB453" i="3"/>
  <c r="AA453" i="3"/>
  <c r="Z453" i="3"/>
  <c r="Y453" i="3"/>
  <c r="X453" i="3"/>
  <c r="W453" i="3"/>
  <c r="V453" i="3"/>
  <c r="U453" i="3"/>
  <c r="T453" i="3"/>
  <c r="S453" i="3"/>
  <c r="R453" i="3"/>
  <c r="Q453" i="3"/>
  <c r="P453" i="3"/>
  <c r="O453" i="3"/>
  <c r="N453" i="3"/>
  <c r="M453" i="3"/>
  <c r="L453" i="3"/>
  <c r="K453" i="3"/>
  <c r="J453" i="3"/>
  <c r="I453" i="3"/>
  <c r="H453" i="3"/>
  <c r="G453" i="3"/>
  <c r="F453" i="3"/>
  <c r="E453" i="3"/>
  <c r="D453" i="3"/>
  <c r="C453" i="3"/>
  <c r="B453" i="3"/>
  <c r="A453" i="3"/>
  <c r="BP452" i="3"/>
  <c r="BO452" i="3"/>
  <c r="BN452" i="3"/>
  <c r="BM452" i="3"/>
  <c r="BL452" i="3"/>
  <c r="BK452" i="3"/>
  <c r="BJ452" i="3"/>
  <c r="BI452" i="3"/>
  <c r="BH452" i="3"/>
  <c r="BG452" i="3"/>
  <c r="BF452" i="3"/>
  <c r="BE452" i="3"/>
  <c r="BD452" i="3"/>
  <c r="BC452" i="3"/>
  <c r="BB452" i="3"/>
  <c r="BA452" i="3"/>
  <c r="AZ452" i="3"/>
  <c r="AY452" i="3"/>
  <c r="AX452" i="3"/>
  <c r="AW452" i="3"/>
  <c r="AV452" i="3"/>
  <c r="AU452" i="3"/>
  <c r="AT452" i="3"/>
  <c r="AS452" i="3"/>
  <c r="AR452" i="3"/>
  <c r="AQ452" i="3"/>
  <c r="AP452" i="3"/>
  <c r="AO452" i="3"/>
  <c r="AN452" i="3"/>
  <c r="AM452" i="3"/>
  <c r="AL452" i="3"/>
  <c r="AK452" i="3"/>
  <c r="AJ452" i="3"/>
  <c r="AI452" i="3"/>
  <c r="AH452" i="3"/>
  <c r="AG452" i="3"/>
  <c r="AF452" i="3"/>
  <c r="AE452" i="3"/>
  <c r="AD452" i="3"/>
  <c r="AC452" i="3"/>
  <c r="AB452" i="3"/>
  <c r="AA452" i="3"/>
  <c r="Z452" i="3"/>
  <c r="Y452" i="3"/>
  <c r="X452" i="3"/>
  <c r="W452" i="3"/>
  <c r="V452" i="3"/>
  <c r="U452" i="3"/>
  <c r="T452" i="3"/>
  <c r="S452" i="3"/>
  <c r="R452" i="3"/>
  <c r="Q452" i="3"/>
  <c r="P452" i="3"/>
  <c r="O452" i="3"/>
  <c r="N452" i="3"/>
  <c r="M452" i="3"/>
  <c r="L452" i="3"/>
  <c r="K452" i="3"/>
  <c r="J452" i="3"/>
  <c r="I452" i="3"/>
  <c r="H452" i="3"/>
  <c r="G452" i="3"/>
  <c r="F452" i="3"/>
  <c r="E452" i="3"/>
  <c r="D452" i="3"/>
  <c r="B452" i="3"/>
  <c r="A452" i="3"/>
  <c r="BP451" i="3"/>
  <c r="BO451" i="3"/>
  <c r="BN451" i="3"/>
  <c r="BM451" i="3"/>
  <c r="BL451" i="3"/>
  <c r="BK451" i="3"/>
  <c r="BJ451" i="3"/>
  <c r="BI451" i="3"/>
  <c r="BH451" i="3"/>
  <c r="BG451" i="3"/>
  <c r="BF451" i="3"/>
  <c r="BE451" i="3"/>
  <c r="BD451" i="3"/>
  <c r="BC451" i="3"/>
  <c r="BB451" i="3"/>
  <c r="BA451" i="3"/>
  <c r="AZ451" i="3"/>
  <c r="AY451" i="3"/>
  <c r="AX451" i="3"/>
  <c r="AW451" i="3"/>
  <c r="AV451" i="3"/>
  <c r="AU451" i="3"/>
  <c r="AT451" i="3"/>
  <c r="AS451" i="3"/>
  <c r="AR451" i="3"/>
  <c r="AQ451" i="3"/>
  <c r="AP451" i="3"/>
  <c r="AO451" i="3"/>
  <c r="AN451" i="3"/>
  <c r="AM451" i="3"/>
  <c r="AL451" i="3"/>
  <c r="AK451" i="3"/>
  <c r="AJ451" i="3"/>
  <c r="AI451" i="3"/>
  <c r="AH451" i="3"/>
  <c r="AG451" i="3"/>
  <c r="AF451" i="3"/>
  <c r="AE451" i="3"/>
  <c r="AD451" i="3"/>
  <c r="AC451" i="3"/>
  <c r="AB451" i="3"/>
  <c r="AA451" i="3"/>
  <c r="Z451" i="3"/>
  <c r="Y451" i="3"/>
  <c r="X451" i="3"/>
  <c r="W451" i="3"/>
  <c r="V451" i="3"/>
  <c r="U451" i="3"/>
  <c r="T451" i="3"/>
  <c r="S451" i="3"/>
  <c r="R451" i="3"/>
  <c r="Q451" i="3"/>
  <c r="P451" i="3"/>
  <c r="O451" i="3"/>
  <c r="N451" i="3"/>
  <c r="M451" i="3"/>
  <c r="L451" i="3"/>
  <c r="K451" i="3"/>
  <c r="J451" i="3"/>
  <c r="I451" i="3"/>
  <c r="H451" i="3"/>
  <c r="G451" i="3"/>
  <c r="F451" i="3"/>
  <c r="E451" i="3"/>
  <c r="D451" i="3"/>
  <c r="B451" i="3"/>
  <c r="A451" i="3"/>
  <c r="BP450" i="3"/>
  <c r="BO450" i="3"/>
  <c r="BN450" i="3"/>
  <c r="BM450" i="3"/>
  <c r="BL450" i="3"/>
  <c r="BK450" i="3"/>
  <c r="BJ450" i="3"/>
  <c r="BI450" i="3"/>
  <c r="BH450" i="3"/>
  <c r="BG450" i="3"/>
  <c r="BF450" i="3"/>
  <c r="BE450" i="3"/>
  <c r="BD450" i="3"/>
  <c r="BC450" i="3"/>
  <c r="BB450" i="3"/>
  <c r="BA450" i="3"/>
  <c r="AZ450" i="3"/>
  <c r="AY450" i="3"/>
  <c r="AX450" i="3"/>
  <c r="AW450" i="3"/>
  <c r="AV450" i="3"/>
  <c r="AU450" i="3"/>
  <c r="AT450" i="3"/>
  <c r="AS450" i="3"/>
  <c r="AR450" i="3"/>
  <c r="AQ450" i="3"/>
  <c r="AP450" i="3"/>
  <c r="AO450" i="3"/>
  <c r="AN450" i="3"/>
  <c r="AM450" i="3"/>
  <c r="AL450" i="3"/>
  <c r="AK450" i="3"/>
  <c r="AJ450" i="3"/>
  <c r="AI450" i="3"/>
  <c r="AH450" i="3"/>
  <c r="AG450" i="3"/>
  <c r="AF450" i="3"/>
  <c r="AE450" i="3"/>
  <c r="AD450" i="3"/>
  <c r="AC450" i="3"/>
  <c r="AB450" i="3"/>
  <c r="AA450" i="3"/>
  <c r="Z450" i="3"/>
  <c r="Y450" i="3"/>
  <c r="X450" i="3"/>
  <c r="W450" i="3"/>
  <c r="V450" i="3"/>
  <c r="U450" i="3"/>
  <c r="T450" i="3"/>
  <c r="S450" i="3"/>
  <c r="R450" i="3"/>
  <c r="Q450" i="3"/>
  <c r="P450" i="3"/>
  <c r="O450" i="3"/>
  <c r="N450" i="3"/>
  <c r="M450" i="3"/>
  <c r="L450" i="3"/>
  <c r="K450" i="3"/>
  <c r="J450" i="3"/>
  <c r="I450" i="3"/>
  <c r="H450" i="3"/>
  <c r="G450" i="3"/>
  <c r="F450" i="3"/>
  <c r="E450" i="3"/>
  <c r="D450" i="3"/>
  <c r="C450" i="3"/>
  <c r="B450" i="3"/>
  <c r="A450" i="3"/>
  <c r="BP449" i="3"/>
  <c r="BO449" i="3"/>
  <c r="BN449" i="3"/>
  <c r="BM449" i="3"/>
  <c r="BL449" i="3"/>
  <c r="BK449" i="3"/>
  <c r="BJ449" i="3"/>
  <c r="BI449" i="3"/>
  <c r="BH449" i="3"/>
  <c r="BG449" i="3"/>
  <c r="BF449" i="3"/>
  <c r="BE449" i="3"/>
  <c r="BD449" i="3"/>
  <c r="BC449" i="3"/>
  <c r="BB449" i="3"/>
  <c r="BA449" i="3"/>
  <c r="AZ449" i="3"/>
  <c r="AY449" i="3"/>
  <c r="AX449" i="3"/>
  <c r="AW449" i="3"/>
  <c r="AV449" i="3"/>
  <c r="AU449" i="3"/>
  <c r="AT449" i="3"/>
  <c r="AS449" i="3"/>
  <c r="AR449" i="3"/>
  <c r="AQ449" i="3"/>
  <c r="AP449" i="3"/>
  <c r="AO449" i="3"/>
  <c r="AN449" i="3"/>
  <c r="AM449" i="3"/>
  <c r="AL449" i="3"/>
  <c r="AK449" i="3"/>
  <c r="AJ449" i="3"/>
  <c r="AI449" i="3"/>
  <c r="AH449" i="3"/>
  <c r="AG449" i="3"/>
  <c r="AF449" i="3"/>
  <c r="AE449" i="3"/>
  <c r="AD449" i="3"/>
  <c r="AC449" i="3"/>
  <c r="AB449" i="3"/>
  <c r="AA449" i="3"/>
  <c r="Z449" i="3"/>
  <c r="Y449" i="3"/>
  <c r="X449" i="3"/>
  <c r="W449" i="3"/>
  <c r="V449" i="3"/>
  <c r="U449" i="3"/>
  <c r="T449" i="3"/>
  <c r="S449" i="3"/>
  <c r="R449" i="3"/>
  <c r="Q449" i="3"/>
  <c r="P449" i="3"/>
  <c r="O449" i="3"/>
  <c r="N449" i="3"/>
  <c r="M449" i="3"/>
  <c r="L449" i="3"/>
  <c r="K449" i="3"/>
  <c r="J449" i="3"/>
  <c r="I449" i="3"/>
  <c r="H449" i="3"/>
  <c r="G449" i="3"/>
  <c r="F449" i="3"/>
  <c r="E449" i="3"/>
  <c r="D449" i="3"/>
  <c r="C449" i="3"/>
  <c r="B449" i="3"/>
  <c r="A449" i="3"/>
  <c r="BP448" i="3"/>
  <c r="BO448" i="3"/>
  <c r="BN448" i="3"/>
  <c r="BM448" i="3"/>
  <c r="BL448" i="3"/>
  <c r="BK448" i="3"/>
  <c r="BJ448" i="3"/>
  <c r="BI448" i="3"/>
  <c r="BH448" i="3"/>
  <c r="BG448" i="3"/>
  <c r="BF448" i="3"/>
  <c r="BE448" i="3"/>
  <c r="BD448" i="3"/>
  <c r="BC448" i="3"/>
  <c r="BB448" i="3"/>
  <c r="BA448" i="3"/>
  <c r="AZ448" i="3"/>
  <c r="AY448" i="3"/>
  <c r="AX448" i="3"/>
  <c r="AW448" i="3"/>
  <c r="AV448" i="3"/>
  <c r="AU448" i="3"/>
  <c r="AT448" i="3"/>
  <c r="AS448" i="3"/>
  <c r="AR448" i="3"/>
  <c r="AQ448" i="3"/>
  <c r="AP448" i="3"/>
  <c r="AO448" i="3"/>
  <c r="AN448" i="3"/>
  <c r="AM448" i="3"/>
  <c r="AL448" i="3"/>
  <c r="AK448" i="3"/>
  <c r="AJ448" i="3"/>
  <c r="AI448" i="3"/>
  <c r="AH448" i="3"/>
  <c r="AG448" i="3"/>
  <c r="AF448" i="3"/>
  <c r="AE448" i="3"/>
  <c r="AD448" i="3"/>
  <c r="AC448" i="3"/>
  <c r="AB448" i="3"/>
  <c r="AA448" i="3"/>
  <c r="Z448" i="3"/>
  <c r="Y448" i="3"/>
  <c r="X448" i="3"/>
  <c r="W448" i="3"/>
  <c r="V448" i="3"/>
  <c r="U448" i="3"/>
  <c r="T448" i="3"/>
  <c r="S448" i="3"/>
  <c r="R448" i="3"/>
  <c r="Q448" i="3"/>
  <c r="P448" i="3"/>
  <c r="O448" i="3"/>
  <c r="N448" i="3"/>
  <c r="M448" i="3"/>
  <c r="L448" i="3"/>
  <c r="K448" i="3"/>
  <c r="J448" i="3"/>
  <c r="I448" i="3"/>
  <c r="H448" i="3"/>
  <c r="G448" i="3"/>
  <c r="F448" i="3"/>
  <c r="E448" i="3"/>
  <c r="D448" i="3"/>
  <c r="C448" i="3"/>
  <c r="B448" i="3"/>
  <c r="A448" i="3"/>
  <c r="BP447" i="3"/>
  <c r="BO447" i="3"/>
  <c r="BN447" i="3"/>
  <c r="BM447" i="3"/>
  <c r="BL447" i="3"/>
  <c r="BK447" i="3"/>
  <c r="BJ447" i="3"/>
  <c r="BI447" i="3"/>
  <c r="BH447" i="3"/>
  <c r="BG447" i="3"/>
  <c r="BF447" i="3"/>
  <c r="BE447" i="3"/>
  <c r="BD447" i="3"/>
  <c r="BC447" i="3"/>
  <c r="BB447" i="3"/>
  <c r="BA447" i="3"/>
  <c r="AZ447" i="3"/>
  <c r="AY447" i="3"/>
  <c r="AX447" i="3"/>
  <c r="AW447" i="3"/>
  <c r="AV447" i="3"/>
  <c r="AU447" i="3"/>
  <c r="AT447" i="3"/>
  <c r="AS447" i="3"/>
  <c r="AR447" i="3"/>
  <c r="AQ447" i="3"/>
  <c r="AP447" i="3"/>
  <c r="AO447" i="3"/>
  <c r="AN447" i="3"/>
  <c r="AM447" i="3"/>
  <c r="AL447" i="3"/>
  <c r="AK447" i="3"/>
  <c r="AJ447" i="3"/>
  <c r="AI447" i="3"/>
  <c r="AH447" i="3"/>
  <c r="AG447" i="3"/>
  <c r="AF447" i="3"/>
  <c r="AE447" i="3"/>
  <c r="AD447" i="3"/>
  <c r="AC447" i="3"/>
  <c r="AB447" i="3"/>
  <c r="AA447" i="3"/>
  <c r="Z447" i="3"/>
  <c r="Y447" i="3"/>
  <c r="X447" i="3"/>
  <c r="W447" i="3"/>
  <c r="V447" i="3"/>
  <c r="U447" i="3"/>
  <c r="T447" i="3"/>
  <c r="S447" i="3"/>
  <c r="R447" i="3"/>
  <c r="Q447" i="3"/>
  <c r="P447" i="3"/>
  <c r="O447" i="3"/>
  <c r="N447" i="3"/>
  <c r="M447" i="3"/>
  <c r="L447" i="3"/>
  <c r="K447" i="3"/>
  <c r="J447" i="3"/>
  <c r="I447" i="3"/>
  <c r="H447" i="3"/>
  <c r="G447" i="3"/>
  <c r="F447" i="3"/>
  <c r="E447" i="3"/>
  <c r="D447" i="3"/>
  <c r="C447" i="3"/>
  <c r="B447" i="3"/>
  <c r="A447" i="3"/>
  <c r="BP446" i="3"/>
  <c r="BO446" i="3"/>
  <c r="BN446" i="3"/>
  <c r="BM446" i="3"/>
  <c r="BL446" i="3"/>
  <c r="BK446" i="3"/>
  <c r="BJ446" i="3"/>
  <c r="BI446" i="3"/>
  <c r="BH446" i="3"/>
  <c r="BG446" i="3"/>
  <c r="BF446" i="3"/>
  <c r="BE446" i="3"/>
  <c r="BD446" i="3"/>
  <c r="BC446" i="3"/>
  <c r="BB446" i="3"/>
  <c r="BA446" i="3"/>
  <c r="AZ446" i="3"/>
  <c r="AY446" i="3"/>
  <c r="AX446" i="3"/>
  <c r="AW446" i="3"/>
  <c r="AV446" i="3"/>
  <c r="AU446" i="3"/>
  <c r="AT446" i="3"/>
  <c r="AS446" i="3"/>
  <c r="AR446" i="3"/>
  <c r="AQ446" i="3"/>
  <c r="AP446" i="3"/>
  <c r="AO446" i="3"/>
  <c r="AN446" i="3"/>
  <c r="AM446" i="3"/>
  <c r="AL446" i="3"/>
  <c r="AK446" i="3"/>
  <c r="AJ446" i="3"/>
  <c r="AI446" i="3"/>
  <c r="AH446" i="3"/>
  <c r="AG446" i="3"/>
  <c r="AF446" i="3"/>
  <c r="AE446" i="3"/>
  <c r="AD446" i="3"/>
  <c r="AC446" i="3"/>
  <c r="AB446" i="3"/>
  <c r="AA446" i="3"/>
  <c r="Z446" i="3"/>
  <c r="Y446" i="3"/>
  <c r="X446" i="3"/>
  <c r="W446" i="3"/>
  <c r="V446" i="3"/>
  <c r="U446" i="3"/>
  <c r="T446" i="3"/>
  <c r="S446" i="3"/>
  <c r="R446" i="3"/>
  <c r="Q446" i="3"/>
  <c r="P446" i="3"/>
  <c r="O446" i="3"/>
  <c r="N446" i="3"/>
  <c r="M446" i="3"/>
  <c r="L446" i="3"/>
  <c r="K446" i="3"/>
  <c r="J446" i="3"/>
  <c r="I446" i="3"/>
  <c r="H446" i="3"/>
  <c r="G446" i="3"/>
  <c r="F446" i="3"/>
  <c r="E446" i="3"/>
  <c r="D446" i="3"/>
  <c r="C446" i="3"/>
  <c r="B446" i="3"/>
  <c r="A446" i="3"/>
  <c r="BP445" i="3"/>
  <c r="BO445" i="3"/>
  <c r="BN445" i="3"/>
  <c r="BM445" i="3"/>
  <c r="BL445" i="3"/>
  <c r="BK445" i="3"/>
  <c r="BJ445" i="3"/>
  <c r="BI445" i="3"/>
  <c r="BH445" i="3"/>
  <c r="BG445" i="3"/>
  <c r="BF445" i="3"/>
  <c r="BE445" i="3"/>
  <c r="BD445" i="3"/>
  <c r="BC445" i="3"/>
  <c r="BB445" i="3"/>
  <c r="BA445" i="3"/>
  <c r="AZ445" i="3"/>
  <c r="AY445" i="3"/>
  <c r="AX445" i="3"/>
  <c r="AW445" i="3"/>
  <c r="AV445" i="3"/>
  <c r="AU445" i="3"/>
  <c r="AT445" i="3"/>
  <c r="AS445" i="3"/>
  <c r="AR445" i="3"/>
  <c r="AQ445" i="3"/>
  <c r="AP445" i="3"/>
  <c r="AO445" i="3"/>
  <c r="AN445" i="3"/>
  <c r="AM445" i="3"/>
  <c r="AL445" i="3"/>
  <c r="AK445" i="3"/>
  <c r="AJ445" i="3"/>
  <c r="AI445" i="3"/>
  <c r="AH445" i="3"/>
  <c r="AG445" i="3"/>
  <c r="AF445" i="3"/>
  <c r="AE445" i="3"/>
  <c r="AD445" i="3"/>
  <c r="AC445" i="3"/>
  <c r="AB445" i="3"/>
  <c r="AA445" i="3"/>
  <c r="Z445" i="3"/>
  <c r="Y445" i="3"/>
  <c r="X445" i="3"/>
  <c r="W445" i="3"/>
  <c r="V445" i="3"/>
  <c r="U445" i="3"/>
  <c r="T445" i="3"/>
  <c r="S445" i="3"/>
  <c r="R445" i="3"/>
  <c r="Q445" i="3"/>
  <c r="P445" i="3"/>
  <c r="O445" i="3"/>
  <c r="N445" i="3"/>
  <c r="M445" i="3"/>
  <c r="L445" i="3"/>
  <c r="K445" i="3"/>
  <c r="J445" i="3"/>
  <c r="I445" i="3"/>
  <c r="H445" i="3"/>
  <c r="G445" i="3"/>
  <c r="F445" i="3"/>
  <c r="E445" i="3"/>
  <c r="D445" i="3"/>
  <c r="B445" i="3"/>
  <c r="A445" i="3"/>
  <c r="BP444" i="3"/>
  <c r="BO444" i="3"/>
  <c r="BN444" i="3"/>
  <c r="BM444" i="3"/>
  <c r="BL444" i="3"/>
  <c r="BK444" i="3"/>
  <c r="BJ444" i="3"/>
  <c r="BI444" i="3"/>
  <c r="BH444" i="3"/>
  <c r="BG444" i="3"/>
  <c r="BF444" i="3"/>
  <c r="BE444" i="3"/>
  <c r="BD444" i="3"/>
  <c r="BC444" i="3"/>
  <c r="BB444" i="3"/>
  <c r="BA444" i="3"/>
  <c r="AZ444" i="3"/>
  <c r="AY444" i="3"/>
  <c r="AX444" i="3"/>
  <c r="AW444" i="3"/>
  <c r="AV444" i="3"/>
  <c r="AU444" i="3"/>
  <c r="AT444" i="3"/>
  <c r="AS444" i="3"/>
  <c r="AR444" i="3"/>
  <c r="AQ444" i="3"/>
  <c r="AP444" i="3"/>
  <c r="AO444" i="3"/>
  <c r="AN444" i="3"/>
  <c r="AM444" i="3"/>
  <c r="AL444" i="3"/>
  <c r="AK444" i="3"/>
  <c r="AJ444" i="3"/>
  <c r="AI444" i="3"/>
  <c r="AH444" i="3"/>
  <c r="AG444" i="3"/>
  <c r="AF444" i="3"/>
  <c r="AE444" i="3"/>
  <c r="AD444" i="3"/>
  <c r="AC444" i="3"/>
  <c r="AB444" i="3"/>
  <c r="AA444" i="3"/>
  <c r="Z444" i="3"/>
  <c r="Y444" i="3"/>
  <c r="X444" i="3"/>
  <c r="W444" i="3"/>
  <c r="V444" i="3"/>
  <c r="U444" i="3"/>
  <c r="T444" i="3"/>
  <c r="S444" i="3"/>
  <c r="R444" i="3"/>
  <c r="Q444" i="3"/>
  <c r="P444" i="3"/>
  <c r="O444" i="3"/>
  <c r="N444" i="3"/>
  <c r="M444" i="3"/>
  <c r="L444" i="3"/>
  <c r="K444" i="3"/>
  <c r="J444" i="3"/>
  <c r="I444" i="3"/>
  <c r="H444" i="3"/>
  <c r="G444" i="3"/>
  <c r="F444" i="3"/>
  <c r="E444" i="3"/>
  <c r="D444" i="3"/>
  <c r="C444" i="3"/>
  <c r="B444" i="3"/>
  <c r="A444" i="3"/>
  <c r="BP443" i="3"/>
  <c r="BO443" i="3"/>
  <c r="BN443" i="3"/>
  <c r="BM443" i="3"/>
  <c r="BL443" i="3"/>
  <c r="BK443" i="3"/>
  <c r="BJ443" i="3"/>
  <c r="BI443" i="3"/>
  <c r="BH443" i="3"/>
  <c r="BG443" i="3"/>
  <c r="BF443" i="3"/>
  <c r="BE443" i="3"/>
  <c r="BD443" i="3"/>
  <c r="BC443" i="3"/>
  <c r="BB443" i="3"/>
  <c r="BA443" i="3"/>
  <c r="AZ443" i="3"/>
  <c r="AY443" i="3"/>
  <c r="AX443" i="3"/>
  <c r="AW443" i="3"/>
  <c r="AV443" i="3"/>
  <c r="AU443" i="3"/>
  <c r="AT443" i="3"/>
  <c r="AS443" i="3"/>
  <c r="AR443" i="3"/>
  <c r="AQ443" i="3"/>
  <c r="AP443" i="3"/>
  <c r="AO443" i="3"/>
  <c r="AN443" i="3"/>
  <c r="AM443" i="3"/>
  <c r="AL443" i="3"/>
  <c r="AK443" i="3"/>
  <c r="AJ443" i="3"/>
  <c r="AI443" i="3"/>
  <c r="AH443" i="3"/>
  <c r="AG443" i="3"/>
  <c r="AF443" i="3"/>
  <c r="AE443" i="3"/>
  <c r="AD443" i="3"/>
  <c r="AC443" i="3"/>
  <c r="AB443" i="3"/>
  <c r="AA443" i="3"/>
  <c r="Z443" i="3"/>
  <c r="Y443" i="3"/>
  <c r="X443" i="3"/>
  <c r="W443" i="3"/>
  <c r="V443" i="3"/>
  <c r="U443" i="3"/>
  <c r="T443" i="3"/>
  <c r="S443" i="3"/>
  <c r="R443" i="3"/>
  <c r="Q443" i="3"/>
  <c r="P443" i="3"/>
  <c r="O443" i="3"/>
  <c r="N443" i="3"/>
  <c r="M443" i="3"/>
  <c r="L443" i="3"/>
  <c r="K443" i="3"/>
  <c r="J443" i="3"/>
  <c r="I443" i="3"/>
  <c r="H443" i="3"/>
  <c r="G443" i="3"/>
  <c r="F443" i="3"/>
  <c r="E443" i="3"/>
  <c r="D443" i="3"/>
  <c r="C443" i="3"/>
  <c r="B443" i="3"/>
  <c r="A443" i="3"/>
  <c r="BP442" i="3"/>
  <c r="BO442" i="3"/>
  <c r="BN442" i="3"/>
  <c r="BM442" i="3"/>
  <c r="BL442" i="3"/>
  <c r="BK442" i="3"/>
  <c r="BJ442" i="3"/>
  <c r="BI442" i="3"/>
  <c r="BH442" i="3"/>
  <c r="BG442" i="3"/>
  <c r="BF442" i="3"/>
  <c r="BE442" i="3"/>
  <c r="BD442" i="3"/>
  <c r="BC442" i="3"/>
  <c r="BB442" i="3"/>
  <c r="BA442" i="3"/>
  <c r="AZ442" i="3"/>
  <c r="AY442" i="3"/>
  <c r="AX442" i="3"/>
  <c r="AW442" i="3"/>
  <c r="AV442" i="3"/>
  <c r="AU442" i="3"/>
  <c r="AT442" i="3"/>
  <c r="AS442" i="3"/>
  <c r="AR442" i="3"/>
  <c r="AQ442" i="3"/>
  <c r="AP442" i="3"/>
  <c r="AO442" i="3"/>
  <c r="AN442" i="3"/>
  <c r="AM442" i="3"/>
  <c r="AL442" i="3"/>
  <c r="AK442" i="3"/>
  <c r="AJ442" i="3"/>
  <c r="AI442" i="3"/>
  <c r="AH442" i="3"/>
  <c r="AG442" i="3"/>
  <c r="AF442" i="3"/>
  <c r="AE442" i="3"/>
  <c r="AD442" i="3"/>
  <c r="AC442" i="3"/>
  <c r="AB442" i="3"/>
  <c r="AA442" i="3"/>
  <c r="Z442" i="3"/>
  <c r="Y442" i="3"/>
  <c r="X442" i="3"/>
  <c r="W442" i="3"/>
  <c r="V442" i="3"/>
  <c r="U442" i="3"/>
  <c r="T442" i="3"/>
  <c r="S442" i="3"/>
  <c r="R442" i="3"/>
  <c r="Q442" i="3"/>
  <c r="P442" i="3"/>
  <c r="O442" i="3"/>
  <c r="N442" i="3"/>
  <c r="M442" i="3"/>
  <c r="L442" i="3"/>
  <c r="K442" i="3"/>
  <c r="J442" i="3"/>
  <c r="I442" i="3"/>
  <c r="H442" i="3"/>
  <c r="G442" i="3"/>
  <c r="F442" i="3"/>
  <c r="E442" i="3"/>
  <c r="D442" i="3"/>
  <c r="C442" i="3"/>
  <c r="B442" i="3"/>
  <c r="A442" i="3"/>
  <c r="BP441" i="3"/>
  <c r="BO441" i="3"/>
  <c r="BN441" i="3"/>
  <c r="BM441" i="3"/>
  <c r="BL441" i="3"/>
  <c r="BK441" i="3"/>
  <c r="BJ441" i="3"/>
  <c r="BI441" i="3"/>
  <c r="BH441" i="3"/>
  <c r="BG441" i="3"/>
  <c r="BF441" i="3"/>
  <c r="BE441" i="3"/>
  <c r="BD441" i="3"/>
  <c r="BC441" i="3"/>
  <c r="BB441" i="3"/>
  <c r="BA441" i="3"/>
  <c r="AZ441" i="3"/>
  <c r="AY441" i="3"/>
  <c r="AX441" i="3"/>
  <c r="AW441" i="3"/>
  <c r="AV441" i="3"/>
  <c r="AU441" i="3"/>
  <c r="AT441" i="3"/>
  <c r="AS441" i="3"/>
  <c r="AR441" i="3"/>
  <c r="AQ441" i="3"/>
  <c r="AP441" i="3"/>
  <c r="AO441" i="3"/>
  <c r="AN441" i="3"/>
  <c r="AM441" i="3"/>
  <c r="AL441" i="3"/>
  <c r="AK441" i="3"/>
  <c r="AJ441" i="3"/>
  <c r="AI441" i="3"/>
  <c r="AH441" i="3"/>
  <c r="AG441" i="3"/>
  <c r="AF441" i="3"/>
  <c r="AE441" i="3"/>
  <c r="AD441" i="3"/>
  <c r="AC441" i="3"/>
  <c r="AB441" i="3"/>
  <c r="AA441" i="3"/>
  <c r="Z441" i="3"/>
  <c r="Y441" i="3"/>
  <c r="X441" i="3"/>
  <c r="W441" i="3"/>
  <c r="V441" i="3"/>
  <c r="U441" i="3"/>
  <c r="T441" i="3"/>
  <c r="S441" i="3"/>
  <c r="R441" i="3"/>
  <c r="Q441" i="3"/>
  <c r="P441" i="3"/>
  <c r="O441" i="3"/>
  <c r="N441" i="3"/>
  <c r="M441" i="3"/>
  <c r="L441" i="3"/>
  <c r="K441" i="3"/>
  <c r="J441" i="3"/>
  <c r="I441" i="3"/>
  <c r="H441" i="3"/>
  <c r="G441" i="3"/>
  <c r="F441" i="3"/>
  <c r="E441" i="3"/>
  <c r="D441" i="3"/>
  <c r="C441" i="3"/>
  <c r="B441" i="3"/>
  <c r="A441" i="3"/>
  <c r="BP440" i="3"/>
  <c r="BO440" i="3"/>
  <c r="BN440" i="3"/>
  <c r="BM440" i="3"/>
  <c r="BL440" i="3"/>
  <c r="BK440" i="3"/>
  <c r="BJ440" i="3"/>
  <c r="BI440" i="3"/>
  <c r="BH440" i="3"/>
  <c r="BG440" i="3"/>
  <c r="BF440" i="3"/>
  <c r="BE440" i="3"/>
  <c r="BD440" i="3"/>
  <c r="BC440" i="3"/>
  <c r="BB440" i="3"/>
  <c r="BA440" i="3"/>
  <c r="AZ440" i="3"/>
  <c r="AY440" i="3"/>
  <c r="AX440" i="3"/>
  <c r="AW440" i="3"/>
  <c r="AV440" i="3"/>
  <c r="AU440" i="3"/>
  <c r="AT440" i="3"/>
  <c r="AS440" i="3"/>
  <c r="AR440" i="3"/>
  <c r="AQ440" i="3"/>
  <c r="AP440" i="3"/>
  <c r="AO440" i="3"/>
  <c r="AN440" i="3"/>
  <c r="AM440" i="3"/>
  <c r="AL440" i="3"/>
  <c r="AK440" i="3"/>
  <c r="AJ440" i="3"/>
  <c r="AI440" i="3"/>
  <c r="AH440" i="3"/>
  <c r="AG440" i="3"/>
  <c r="AF440" i="3"/>
  <c r="AE440" i="3"/>
  <c r="AD440" i="3"/>
  <c r="AC440" i="3"/>
  <c r="AB440" i="3"/>
  <c r="AA440" i="3"/>
  <c r="Z440" i="3"/>
  <c r="Y440" i="3"/>
  <c r="X440" i="3"/>
  <c r="W440" i="3"/>
  <c r="V440" i="3"/>
  <c r="U440" i="3"/>
  <c r="T440" i="3"/>
  <c r="S440" i="3"/>
  <c r="R440" i="3"/>
  <c r="Q440" i="3"/>
  <c r="P440" i="3"/>
  <c r="O440" i="3"/>
  <c r="N440" i="3"/>
  <c r="M440" i="3"/>
  <c r="L440" i="3"/>
  <c r="K440" i="3"/>
  <c r="J440" i="3"/>
  <c r="I440" i="3"/>
  <c r="H440" i="3"/>
  <c r="G440" i="3"/>
  <c r="F440" i="3"/>
  <c r="E440" i="3"/>
  <c r="D440" i="3"/>
  <c r="C440" i="3"/>
  <c r="B440" i="3"/>
  <c r="A440" i="3"/>
  <c r="BP439" i="3"/>
  <c r="BO439" i="3"/>
  <c r="BN439" i="3"/>
  <c r="BM439" i="3"/>
  <c r="BL439" i="3"/>
  <c r="BK439" i="3"/>
  <c r="BJ439" i="3"/>
  <c r="BI439" i="3"/>
  <c r="BH439" i="3"/>
  <c r="BG439" i="3"/>
  <c r="BF439" i="3"/>
  <c r="BE439" i="3"/>
  <c r="BD439" i="3"/>
  <c r="BC439" i="3"/>
  <c r="BB439" i="3"/>
  <c r="BA439" i="3"/>
  <c r="AZ439" i="3"/>
  <c r="AY439" i="3"/>
  <c r="AX439" i="3"/>
  <c r="AW439" i="3"/>
  <c r="AV439" i="3"/>
  <c r="AU439" i="3"/>
  <c r="AT439" i="3"/>
  <c r="AS439" i="3"/>
  <c r="AR439" i="3"/>
  <c r="AQ439" i="3"/>
  <c r="AP439" i="3"/>
  <c r="AO439" i="3"/>
  <c r="AN439" i="3"/>
  <c r="AM439" i="3"/>
  <c r="AL439" i="3"/>
  <c r="AK439" i="3"/>
  <c r="AJ439" i="3"/>
  <c r="AI439" i="3"/>
  <c r="AH439" i="3"/>
  <c r="AG439" i="3"/>
  <c r="AF439" i="3"/>
  <c r="AE439" i="3"/>
  <c r="AD439" i="3"/>
  <c r="AC439" i="3"/>
  <c r="AB439" i="3"/>
  <c r="AA439" i="3"/>
  <c r="Z439" i="3"/>
  <c r="Y439" i="3"/>
  <c r="X439" i="3"/>
  <c r="W439" i="3"/>
  <c r="V439" i="3"/>
  <c r="U439" i="3"/>
  <c r="T439" i="3"/>
  <c r="S439" i="3"/>
  <c r="R439" i="3"/>
  <c r="Q439" i="3"/>
  <c r="P439" i="3"/>
  <c r="O439" i="3"/>
  <c r="N439" i="3"/>
  <c r="M439" i="3"/>
  <c r="L439" i="3"/>
  <c r="K439" i="3"/>
  <c r="J439" i="3"/>
  <c r="I439" i="3"/>
  <c r="H439" i="3"/>
  <c r="G439" i="3"/>
  <c r="F439" i="3"/>
  <c r="E439" i="3"/>
  <c r="D439" i="3"/>
  <c r="C439" i="3"/>
  <c r="B439" i="3"/>
  <c r="A439" i="3"/>
  <c r="BP438" i="3"/>
  <c r="BO438" i="3"/>
  <c r="BN438" i="3"/>
  <c r="BM438" i="3"/>
  <c r="BL438" i="3"/>
  <c r="BK438" i="3"/>
  <c r="BJ438" i="3"/>
  <c r="BI438" i="3"/>
  <c r="BH438" i="3"/>
  <c r="BG438" i="3"/>
  <c r="BF438" i="3"/>
  <c r="BE438" i="3"/>
  <c r="BD438" i="3"/>
  <c r="BC438" i="3"/>
  <c r="BB438" i="3"/>
  <c r="BA438" i="3"/>
  <c r="AZ438" i="3"/>
  <c r="AY438" i="3"/>
  <c r="AX438" i="3"/>
  <c r="AW438" i="3"/>
  <c r="AV438" i="3"/>
  <c r="AU438" i="3"/>
  <c r="AT438" i="3"/>
  <c r="AS438" i="3"/>
  <c r="AR438" i="3"/>
  <c r="AQ438" i="3"/>
  <c r="AP438" i="3"/>
  <c r="AO438" i="3"/>
  <c r="AN438" i="3"/>
  <c r="AM438" i="3"/>
  <c r="AL438" i="3"/>
  <c r="AK438" i="3"/>
  <c r="AJ438" i="3"/>
  <c r="AI438" i="3"/>
  <c r="AH438" i="3"/>
  <c r="AG438" i="3"/>
  <c r="AF438" i="3"/>
  <c r="AE438" i="3"/>
  <c r="AD438" i="3"/>
  <c r="AC438" i="3"/>
  <c r="AB438" i="3"/>
  <c r="AA438" i="3"/>
  <c r="Z438" i="3"/>
  <c r="Y438" i="3"/>
  <c r="X438" i="3"/>
  <c r="W438" i="3"/>
  <c r="V438" i="3"/>
  <c r="U438" i="3"/>
  <c r="T438" i="3"/>
  <c r="S438" i="3"/>
  <c r="R438" i="3"/>
  <c r="Q438" i="3"/>
  <c r="P438" i="3"/>
  <c r="O438" i="3"/>
  <c r="N438" i="3"/>
  <c r="M438" i="3"/>
  <c r="L438" i="3"/>
  <c r="K438" i="3"/>
  <c r="J438" i="3"/>
  <c r="I438" i="3"/>
  <c r="H438" i="3"/>
  <c r="G438" i="3"/>
  <c r="F438" i="3"/>
  <c r="E438" i="3"/>
  <c r="D438" i="3"/>
  <c r="C438" i="3"/>
  <c r="B438" i="3"/>
  <c r="A438" i="3"/>
  <c r="BP437" i="3"/>
  <c r="BO437" i="3"/>
  <c r="BN437" i="3"/>
  <c r="BM437" i="3"/>
  <c r="BL437" i="3"/>
  <c r="BK437" i="3"/>
  <c r="BJ437" i="3"/>
  <c r="BI437" i="3"/>
  <c r="BH437" i="3"/>
  <c r="BG437" i="3"/>
  <c r="BF437" i="3"/>
  <c r="BE437" i="3"/>
  <c r="BD437" i="3"/>
  <c r="BC437" i="3"/>
  <c r="BB437" i="3"/>
  <c r="BA437" i="3"/>
  <c r="AZ437" i="3"/>
  <c r="AY437" i="3"/>
  <c r="AX437" i="3"/>
  <c r="AW437" i="3"/>
  <c r="AV437" i="3"/>
  <c r="AU437" i="3"/>
  <c r="AT437" i="3"/>
  <c r="AS437" i="3"/>
  <c r="AR437" i="3"/>
  <c r="AQ437" i="3"/>
  <c r="AP437" i="3"/>
  <c r="AO437" i="3"/>
  <c r="AN437" i="3"/>
  <c r="AM437" i="3"/>
  <c r="AL437" i="3"/>
  <c r="AK437" i="3"/>
  <c r="AJ437" i="3"/>
  <c r="AI437" i="3"/>
  <c r="AH437" i="3"/>
  <c r="AG437" i="3"/>
  <c r="AF437" i="3"/>
  <c r="AE437" i="3"/>
  <c r="AD437" i="3"/>
  <c r="AC437" i="3"/>
  <c r="AB437" i="3"/>
  <c r="AA437" i="3"/>
  <c r="Z437" i="3"/>
  <c r="Y437" i="3"/>
  <c r="X437" i="3"/>
  <c r="W437" i="3"/>
  <c r="V437" i="3"/>
  <c r="U437" i="3"/>
  <c r="T437" i="3"/>
  <c r="S437" i="3"/>
  <c r="R437" i="3"/>
  <c r="Q437" i="3"/>
  <c r="P437" i="3"/>
  <c r="O437" i="3"/>
  <c r="N437" i="3"/>
  <c r="M437" i="3"/>
  <c r="L437" i="3"/>
  <c r="K437" i="3"/>
  <c r="J437" i="3"/>
  <c r="I437" i="3"/>
  <c r="H437" i="3"/>
  <c r="G437" i="3"/>
  <c r="F437" i="3"/>
  <c r="E437" i="3"/>
  <c r="D437" i="3"/>
  <c r="C437" i="3"/>
  <c r="B437" i="3"/>
  <c r="A437" i="3"/>
  <c r="BP436" i="3"/>
  <c r="BO436" i="3"/>
  <c r="BN436" i="3"/>
  <c r="BM436" i="3"/>
  <c r="BL436" i="3"/>
  <c r="BK436" i="3"/>
  <c r="BJ436" i="3"/>
  <c r="BI436" i="3"/>
  <c r="BH436" i="3"/>
  <c r="BG436" i="3"/>
  <c r="BF436" i="3"/>
  <c r="BE436" i="3"/>
  <c r="BD436" i="3"/>
  <c r="BC436" i="3"/>
  <c r="BB436" i="3"/>
  <c r="BA436" i="3"/>
  <c r="AZ436" i="3"/>
  <c r="AY436" i="3"/>
  <c r="AX436" i="3"/>
  <c r="AW436" i="3"/>
  <c r="AV436" i="3"/>
  <c r="AU436" i="3"/>
  <c r="AT436" i="3"/>
  <c r="AS436" i="3"/>
  <c r="AR436" i="3"/>
  <c r="AQ436" i="3"/>
  <c r="AP436" i="3"/>
  <c r="AO436" i="3"/>
  <c r="AN436" i="3"/>
  <c r="AM436" i="3"/>
  <c r="AL436" i="3"/>
  <c r="AK436" i="3"/>
  <c r="AJ436" i="3"/>
  <c r="AI436" i="3"/>
  <c r="AH436" i="3"/>
  <c r="AG436" i="3"/>
  <c r="AF436" i="3"/>
  <c r="AE436" i="3"/>
  <c r="AD436" i="3"/>
  <c r="AC436" i="3"/>
  <c r="AB436" i="3"/>
  <c r="AA436" i="3"/>
  <c r="Z436" i="3"/>
  <c r="Y436" i="3"/>
  <c r="X436" i="3"/>
  <c r="W436" i="3"/>
  <c r="V436" i="3"/>
  <c r="U436" i="3"/>
  <c r="T436" i="3"/>
  <c r="S436" i="3"/>
  <c r="R436" i="3"/>
  <c r="Q436" i="3"/>
  <c r="P436" i="3"/>
  <c r="O436" i="3"/>
  <c r="N436" i="3"/>
  <c r="M436" i="3"/>
  <c r="L436" i="3"/>
  <c r="K436" i="3"/>
  <c r="J436" i="3"/>
  <c r="I436" i="3"/>
  <c r="H436" i="3"/>
  <c r="G436" i="3"/>
  <c r="F436" i="3"/>
  <c r="E436" i="3"/>
  <c r="D436" i="3"/>
  <c r="C436" i="3"/>
  <c r="B436" i="3"/>
  <c r="A436" i="3"/>
  <c r="BP435" i="3"/>
  <c r="BO435" i="3"/>
  <c r="BN435" i="3"/>
  <c r="BM435" i="3"/>
  <c r="BL435" i="3"/>
  <c r="BK435" i="3"/>
  <c r="BJ435" i="3"/>
  <c r="BI435" i="3"/>
  <c r="BH435" i="3"/>
  <c r="BG435" i="3"/>
  <c r="BF435" i="3"/>
  <c r="BE435" i="3"/>
  <c r="BD435" i="3"/>
  <c r="BC435" i="3"/>
  <c r="BB435" i="3"/>
  <c r="BA435" i="3"/>
  <c r="AZ435" i="3"/>
  <c r="AY435" i="3"/>
  <c r="AX435" i="3"/>
  <c r="AW435" i="3"/>
  <c r="AV435" i="3"/>
  <c r="AU435" i="3"/>
  <c r="AT435" i="3"/>
  <c r="AS435" i="3"/>
  <c r="AR435" i="3"/>
  <c r="AQ435" i="3"/>
  <c r="AP435" i="3"/>
  <c r="AO435" i="3"/>
  <c r="AN435" i="3"/>
  <c r="AM435" i="3"/>
  <c r="AL435" i="3"/>
  <c r="AK435" i="3"/>
  <c r="AJ435" i="3"/>
  <c r="AI435" i="3"/>
  <c r="AH435" i="3"/>
  <c r="AG435" i="3"/>
  <c r="AF435" i="3"/>
  <c r="AE435" i="3"/>
  <c r="AD435" i="3"/>
  <c r="AC435" i="3"/>
  <c r="AB435" i="3"/>
  <c r="AA435" i="3"/>
  <c r="Z435" i="3"/>
  <c r="Y435" i="3"/>
  <c r="X435" i="3"/>
  <c r="W435" i="3"/>
  <c r="V435" i="3"/>
  <c r="U435" i="3"/>
  <c r="T435" i="3"/>
  <c r="S435" i="3"/>
  <c r="R435" i="3"/>
  <c r="Q435" i="3"/>
  <c r="P435" i="3"/>
  <c r="O435" i="3"/>
  <c r="N435" i="3"/>
  <c r="M435" i="3"/>
  <c r="L435" i="3"/>
  <c r="K435" i="3"/>
  <c r="J435" i="3"/>
  <c r="I435" i="3"/>
  <c r="H435" i="3"/>
  <c r="G435" i="3"/>
  <c r="F435" i="3"/>
  <c r="E435" i="3"/>
  <c r="D435" i="3"/>
  <c r="C435" i="3"/>
  <c r="B435" i="3"/>
  <c r="A435" i="3"/>
  <c r="BP434" i="3"/>
  <c r="BO434" i="3"/>
  <c r="BN434" i="3"/>
  <c r="BM434" i="3"/>
  <c r="BL434" i="3"/>
  <c r="BK434" i="3"/>
  <c r="BJ434" i="3"/>
  <c r="BI434" i="3"/>
  <c r="BH434" i="3"/>
  <c r="BG434" i="3"/>
  <c r="BF434" i="3"/>
  <c r="BE434" i="3"/>
  <c r="BD434" i="3"/>
  <c r="BC434" i="3"/>
  <c r="BB434" i="3"/>
  <c r="BA434" i="3"/>
  <c r="AZ434" i="3"/>
  <c r="AY434" i="3"/>
  <c r="AX434" i="3"/>
  <c r="AW434" i="3"/>
  <c r="AV434" i="3"/>
  <c r="AU434" i="3"/>
  <c r="AT434" i="3"/>
  <c r="AS434" i="3"/>
  <c r="AR434" i="3"/>
  <c r="AQ434" i="3"/>
  <c r="AP434" i="3"/>
  <c r="AO434" i="3"/>
  <c r="AN434" i="3"/>
  <c r="AM434" i="3"/>
  <c r="AL434" i="3"/>
  <c r="AK434" i="3"/>
  <c r="AJ434" i="3"/>
  <c r="AI434" i="3"/>
  <c r="AH434" i="3"/>
  <c r="AG434" i="3"/>
  <c r="AF434" i="3"/>
  <c r="AE434" i="3"/>
  <c r="AD434" i="3"/>
  <c r="AC434" i="3"/>
  <c r="AB434" i="3"/>
  <c r="AA434" i="3"/>
  <c r="Z434" i="3"/>
  <c r="Y434" i="3"/>
  <c r="X434" i="3"/>
  <c r="W434" i="3"/>
  <c r="V434" i="3"/>
  <c r="U434" i="3"/>
  <c r="T434" i="3"/>
  <c r="S434" i="3"/>
  <c r="R434" i="3"/>
  <c r="Q434" i="3"/>
  <c r="P434" i="3"/>
  <c r="O434" i="3"/>
  <c r="N434" i="3"/>
  <c r="M434" i="3"/>
  <c r="L434" i="3"/>
  <c r="K434" i="3"/>
  <c r="J434" i="3"/>
  <c r="I434" i="3"/>
  <c r="H434" i="3"/>
  <c r="G434" i="3"/>
  <c r="F434" i="3"/>
  <c r="E434" i="3"/>
  <c r="D434" i="3"/>
  <c r="C434" i="3"/>
  <c r="B434" i="3"/>
  <c r="A434" i="3"/>
  <c r="BP433" i="3"/>
  <c r="BO433" i="3"/>
  <c r="BN433" i="3"/>
  <c r="BM433" i="3"/>
  <c r="BL433" i="3"/>
  <c r="BK433" i="3"/>
  <c r="BJ433" i="3"/>
  <c r="BI433" i="3"/>
  <c r="BH433" i="3"/>
  <c r="BG433" i="3"/>
  <c r="BF433" i="3"/>
  <c r="BE433" i="3"/>
  <c r="BD433" i="3"/>
  <c r="BC433" i="3"/>
  <c r="BB433" i="3"/>
  <c r="BA433" i="3"/>
  <c r="AZ433" i="3"/>
  <c r="AY433" i="3"/>
  <c r="AX433" i="3"/>
  <c r="AW433" i="3"/>
  <c r="AV433" i="3"/>
  <c r="AU433" i="3"/>
  <c r="AT433" i="3"/>
  <c r="AS433" i="3"/>
  <c r="AR433" i="3"/>
  <c r="AQ433" i="3"/>
  <c r="AP433" i="3"/>
  <c r="AO433" i="3"/>
  <c r="AN433" i="3"/>
  <c r="AM433" i="3"/>
  <c r="AL433" i="3"/>
  <c r="AK433" i="3"/>
  <c r="AJ433" i="3"/>
  <c r="AI433" i="3"/>
  <c r="AH433" i="3"/>
  <c r="AG433" i="3"/>
  <c r="AF433" i="3"/>
  <c r="AE433" i="3"/>
  <c r="AD433" i="3"/>
  <c r="AC433" i="3"/>
  <c r="AB433" i="3"/>
  <c r="AA433" i="3"/>
  <c r="Z433" i="3"/>
  <c r="Y433" i="3"/>
  <c r="X433" i="3"/>
  <c r="W433" i="3"/>
  <c r="V433" i="3"/>
  <c r="U433" i="3"/>
  <c r="T433" i="3"/>
  <c r="S433" i="3"/>
  <c r="R433" i="3"/>
  <c r="Q433" i="3"/>
  <c r="P433" i="3"/>
  <c r="O433" i="3"/>
  <c r="N433" i="3"/>
  <c r="M433" i="3"/>
  <c r="L433" i="3"/>
  <c r="K433" i="3"/>
  <c r="J433" i="3"/>
  <c r="I433" i="3"/>
  <c r="H433" i="3"/>
  <c r="G433" i="3"/>
  <c r="F433" i="3"/>
  <c r="E433" i="3"/>
  <c r="D433" i="3"/>
  <c r="C433" i="3"/>
  <c r="B433" i="3"/>
  <c r="A433" i="3"/>
  <c r="BP432" i="3"/>
  <c r="BO432" i="3"/>
  <c r="BN432" i="3"/>
  <c r="BM432" i="3"/>
  <c r="BL432" i="3"/>
  <c r="BK432" i="3"/>
  <c r="BJ432" i="3"/>
  <c r="BI432" i="3"/>
  <c r="BH432" i="3"/>
  <c r="BG432" i="3"/>
  <c r="BF432" i="3"/>
  <c r="BE432" i="3"/>
  <c r="BD432" i="3"/>
  <c r="BC432" i="3"/>
  <c r="BB432" i="3"/>
  <c r="BA432" i="3"/>
  <c r="AZ432" i="3"/>
  <c r="AY432" i="3"/>
  <c r="AX432" i="3"/>
  <c r="AW432" i="3"/>
  <c r="AV432" i="3"/>
  <c r="AU432" i="3"/>
  <c r="AT432" i="3"/>
  <c r="AS432" i="3"/>
  <c r="AR432" i="3"/>
  <c r="AQ432" i="3"/>
  <c r="AP432" i="3"/>
  <c r="AO432" i="3"/>
  <c r="AN432" i="3"/>
  <c r="AM432" i="3"/>
  <c r="AL432" i="3"/>
  <c r="AK432" i="3"/>
  <c r="AJ432" i="3"/>
  <c r="AI432" i="3"/>
  <c r="AH432" i="3"/>
  <c r="AG432" i="3"/>
  <c r="AF432" i="3"/>
  <c r="AE432" i="3"/>
  <c r="AD432" i="3"/>
  <c r="AC432" i="3"/>
  <c r="AB432" i="3"/>
  <c r="AA432" i="3"/>
  <c r="Z432" i="3"/>
  <c r="Y432" i="3"/>
  <c r="X432" i="3"/>
  <c r="W432" i="3"/>
  <c r="V432" i="3"/>
  <c r="U432" i="3"/>
  <c r="T432" i="3"/>
  <c r="S432" i="3"/>
  <c r="R432" i="3"/>
  <c r="Q432" i="3"/>
  <c r="P432" i="3"/>
  <c r="O432" i="3"/>
  <c r="N432" i="3"/>
  <c r="M432" i="3"/>
  <c r="L432" i="3"/>
  <c r="K432" i="3"/>
  <c r="J432" i="3"/>
  <c r="I432" i="3"/>
  <c r="H432" i="3"/>
  <c r="G432" i="3"/>
  <c r="F432" i="3"/>
  <c r="E432" i="3"/>
  <c r="D432" i="3"/>
  <c r="C432" i="3"/>
  <c r="B432" i="3"/>
  <c r="A432" i="3"/>
  <c r="BP431" i="3"/>
  <c r="BO431" i="3"/>
  <c r="BN431" i="3"/>
  <c r="BM431" i="3"/>
  <c r="BL431" i="3"/>
  <c r="BK431" i="3"/>
  <c r="BJ431" i="3"/>
  <c r="BI431" i="3"/>
  <c r="BH431" i="3"/>
  <c r="BG431" i="3"/>
  <c r="BF431" i="3"/>
  <c r="BE431" i="3"/>
  <c r="BD431" i="3"/>
  <c r="BC431" i="3"/>
  <c r="BB431" i="3"/>
  <c r="BA431" i="3"/>
  <c r="AZ431" i="3"/>
  <c r="AY431" i="3"/>
  <c r="AX431" i="3"/>
  <c r="AW431" i="3"/>
  <c r="AV431" i="3"/>
  <c r="AU431" i="3"/>
  <c r="AT431" i="3"/>
  <c r="AS431" i="3"/>
  <c r="AR431" i="3"/>
  <c r="AQ431" i="3"/>
  <c r="AP431" i="3"/>
  <c r="AO431" i="3"/>
  <c r="AN431" i="3"/>
  <c r="AM431" i="3"/>
  <c r="AL431" i="3"/>
  <c r="AK431" i="3"/>
  <c r="AJ431" i="3"/>
  <c r="AI431" i="3"/>
  <c r="AH431" i="3"/>
  <c r="AG431" i="3"/>
  <c r="AF431" i="3"/>
  <c r="AE431" i="3"/>
  <c r="AD431" i="3"/>
  <c r="AC431" i="3"/>
  <c r="AB431" i="3"/>
  <c r="AA431" i="3"/>
  <c r="Z431" i="3"/>
  <c r="Y431" i="3"/>
  <c r="X431" i="3"/>
  <c r="W431" i="3"/>
  <c r="V431" i="3"/>
  <c r="U431" i="3"/>
  <c r="T431" i="3"/>
  <c r="S431" i="3"/>
  <c r="R431" i="3"/>
  <c r="Q431" i="3"/>
  <c r="P431" i="3"/>
  <c r="O431" i="3"/>
  <c r="N431" i="3"/>
  <c r="M431" i="3"/>
  <c r="L431" i="3"/>
  <c r="K431" i="3"/>
  <c r="J431" i="3"/>
  <c r="I431" i="3"/>
  <c r="H431" i="3"/>
  <c r="G431" i="3"/>
  <c r="F431" i="3"/>
  <c r="E431" i="3"/>
  <c r="D431" i="3"/>
  <c r="C431" i="3"/>
  <c r="B431" i="3"/>
  <c r="A431" i="3"/>
  <c r="BP430" i="3"/>
  <c r="BO430" i="3"/>
  <c r="BN430" i="3"/>
  <c r="BM430" i="3"/>
  <c r="BL430" i="3"/>
  <c r="BK430" i="3"/>
  <c r="BJ430" i="3"/>
  <c r="BI430" i="3"/>
  <c r="BH430" i="3"/>
  <c r="BG430" i="3"/>
  <c r="BF430" i="3"/>
  <c r="BE430" i="3"/>
  <c r="BD430" i="3"/>
  <c r="BC430" i="3"/>
  <c r="BB430" i="3"/>
  <c r="BA430" i="3"/>
  <c r="AZ430" i="3"/>
  <c r="AY430" i="3"/>
  <c r="AX430" i="3"/>
  <c r="AW430" i="3"/>
  <c r="AV430" i="3"/>
  <c r="AU430" i="3"/>
  <c r="AT430" i="3"/>
  <c r="AS430" i="3"/>
  <c r="AR430" i="3"/>
  <c r="AQ430" i="3"/>
  <c r="AP430" i="3"/>
  <c r="AO430" i="3"/>
  <c r="AN430" i="3"/>
  <c r="AM430" i="3"/>
  <c r="AL430" i="3"/>
  <c r="AK430" i="3"/>
  <c r="AJ430" i="3"/>
  <c r="AI430" i="3"/>
  <c r="AH430" i="3"/>
  <c r="AG430" i="3"/>
  <c r="AF430" i="3"/>
  <c r="AE430" i="3"/>
  <c r="AD430" i="3"/>
  <c r="AC430" i="3"/>
  <c r="AB430" i="3"/>
  <c r="AA430" i="3"/>
  <c r="Z430" i="3"/>
  <c r="Y430" i="3"/>
  <c r="X430" i="3"/>
  <c r="W430" i="3"/>
  <c r="V430" i="3"/>
  <c r="U430" i="3"/>
  <c r="T430" i="3"/>
  <c r="S430" i="3"/>
  <c r="R430" i="3"/>
  <c r="Q430" i="3"/>
  <c r="P430" i="3"/>
  <c r="O430" i="3"/>
  <c r="N430" i="3"/>
  <c r="M430" i="3"/>
  <c r="L430" i="3"/>
  <c r="K430" i="3"/>
  <c r="J430" i="3"/>
  <c r="I430" i="3"/>
  <c r="H430" i="3"/>
  <c r="G430" i="3"/>
  <c r="F430" i="3"/>
  <c r="E430" i="3"/>
  <c r="D430" i="3"/>
  <c r="C430" i="3"/>
  <c r="B430" i="3"/>
  <c r="A430" i="3"/>
  <c r="BP429" i="3"/>
  <c r="BO429" i="3"/>
  <c r="BN429" i="3"/>
  <c r="BM429" i="3"/>
  <c r="BL429" i="3"/>
  <c r="BK429" i="3"/>
  <c r="BJ429" i="3"/>
  <c r="BI429" i="3"/>
  <c r="BH429" i="3"/>
  <c r="BG429" i="3"/>
  <c r="BF429" i="3"/>
  <c r="BE429" i="3"/>
  <c r="BD429" i="3"/>
  <c r="BC429" i="3"/>
  <c r="BB429" i="3"/>
  <c r="BA429" i="3"/>
  <c r="AZ429" i="3"/>
  <c r="AY429" i="3"/>
  <c r="AX429" i="3"/>
  <c r="AW429" i="3"/>
  <c r="AV429" i="3"/>
  <c r="AU429" i="3"/>
  <c r="AT429" i="3"/>
  <c r="AS429" i="3"/>
  <c r="AR429" i="3"/>
  <c r="AQ429" i="3"/>
  <c r="AP429" i="3"/>
  <c r="AO429" i="3"/>
  <c r="AN429" i="3"/>
  <c r="AM429" i="3"/>
  <c r="AL429" i="3"/>
  <c r="AK429" i="3"/>
  <c r="AJ429" i="3"/>
  <c r="AI429" i="3"/>
  <c r="AH429" i="3"/>
  <c r="AG429" i="3"/>
  <c r="AF429" i="3"/>
  <c r="AE429" i="3"/>
  <c r="AD429" i="3"/>
  <c r="AC429" i="3"/>
  <c r="AB429" i="3"/>
  <c r="AA429" i="3"/>
  <c r="Z429" i="3"/>
  <c r="Y429" i="3"/>
  <c r="X429" i="3"/>
  <c r="W429" i="3"/>
  <c r="V429" i="3"/>
  <c r="U429" i="3"/>
  <c r="T429" i="3"/>
  <c r="S429" i="3"/>
  <c r="R429" i="3"/>
  <c r="Q429" i="3"/>
  <c r="P429" i="3"/>
  <c r="O429" i="3"/>
  <c r="N429" i="3"/>
  <c r="M429" i="3"/>
  <c r="L429" i="3"/>
  <c r="K429" i="3"/>
  <c r="J429" i="3"/>
  <c r="I429" i="3"/>
  <c r="H429" i="3"/>
  <c r="G429" i="3"/>
  <c r="F429" i="3"/>
  <c r="E429" i="3"/>
  <c r="D429" i="3"/>
  <c r="C429" i="3"/>
  <c r="B429" i="3"/>
  <c r="A429" i="3"/>
  <c r="BP428" i="3"/>
  <c r="BO428" i="3"/>
  <c r="BN428" i="3"/>
  <c r="BM428" i="3"/>
  <c r="BL428" i="3"/>
  <c r="BK428" i="3"/>
  <c r="BJ428" i="3"/>
  <c r="BI428" i="3"/>
  <c r="BH428" i="3"/>
  <c r="BG428" i="3"/>
  <c r="BF428" i="3"/>
  <c r="BE428" i="3"/>
  <c r="BD428" i="3"/>
  <c r="BC428" i="3"/>
  <c r="BB428" i="3"/>
  <c r="BA428" i="3"/>
  <c r="AZ428" i="3"/>
  <c r="AY428" i="3"/>
  <c r="AX428" i="3"/>
  <c r="AW428" i="3"/>
  <c r="AV428" i="3"/>
  <c r="AU428" i="3"/>
  <c r="AT428" i="3"/>
  <c r="AS428" i="3"/>
  <c r="AR428" i="3"/>
  <c r="AQ428" i="3"/>
  <c r="AP428" i="3"/>
  <c r="AO428" i="3"/>
  <c r="AN428" i="3"/>
  <c r="AM428" i="3"/>
  <c r="AL428" i="3"/>
  <c r="AK428" i="3"/>
  <c r="AJ428" i="3"/>
  <c r="AI428" i="3"/>
  <c r="AH428" i="3"/>
  <c r="AG428" i="3"/>
  <c r="AF428" i="3"/>
  <c r="AE428" i="3"/>
  <c r="AD428" i="3"/>
  <c r="AC428" i="3"/>
  <c r="AB428" i="3"/>
  <c r="AA428" i="3"/>
  <c r="Z428" i="3"/>
  <c r="Y428" i="3"/>
  <c r="X428" i="3"/>
  <c r="W428" i="3"/>
  <c r="V428" i="3"/>
  <c r="U428" i="3"/>
  <c r="T428" i="3"/>
  <c r="S428" i="3"/>
  <c r="R428" i="3"/>
  <c r="Q428" i="3"/>
  <c r="P428" i="3"/>
  <c r="O428" i="3"/>
  <c r="N428" i="3"/>
  <c r="M428" i="3"/>
  <c r="L428" i="3"/>
  <c r="K428" i="3"/>
  <c r="J428" i="3"/>
  <c r="I428" i="3"/>
  <c r="H428" i="3"/>
  <c r="G428" i="3"/>
  <c r="F428" i="3"/>
  <c r="E428" i="3"/>
  <c r="D428" i="3"/>
  <c r="C428" i="3"/>
  <c r="B428" i="3"/>
  <c r="A428" i="3"/>
  <c r="BP427" i="3"/>
  <c r="BO427" i="3"/>
  <c r="BN427" i="3"/>
  <c r="BM427" i="3"/>
  <c r="BL427" i="3"/>
  <c r="BK427" i="3"/>
  <c r="BJ427" i="3"/>
  <c r="BI427" i="3"/>
  <c r="BH427" i="3"/>
  <c r="BG427" i="3"/>
  <c r="BF427" i="3"/>
  <c r="BE427" i="3"/>
  <c r="BD427" i="3"/>
  <c r="BC427" i="3"/>
  <c r="BB427" i="3"/>
  <c r="BA427" i="3"/>
  <c r="AZ427" i="3"/>
  <c r="AY427" i="3"/>
  <c r="AX427" i="3"/>
  <c r="AW427" i="3"/>
  <c r="AV427" i="3"/>
  <c r="AU427" i="3"/>
  <c r="AT427" i="3"/>
  <c r="AS427" i="3"/>
  <c r="AR427" i="3"/>
  <c r="AQ427" i="3"/>
  <c r="AP427" i="3"/>
  <c r="AO427" i="3"/>
  <c r="AN427" i="3"/>
  <c r="AM427" i="3"/>
  <c r="AL427" i="3"/>
  <c r="AK427" i="3"/>
  <c r="AJ427" i="3"/>
  <c r="AI427" i="3"/>
  <c r="AH427" i="3"/>
  <c r="AG427" i="3"/>
  <c r="AF427" i="3"/>
  <c r="AE427" i="3"/>
  <c r="AD427" i="3"/>
  <c r="AC427" i="3"/>
  <c r="AB427" i="3"/>
  <c r="AA427" i="3"/>
  <c r="Z427" i="3"/>
  <c r="Y427" i="3"/>
  <c r="X427" i="3"/>
  <c r="W427" i="3"/>
  <c r="V427" i="3"/>
  <c r="U427" i="3"/>
  <c r="T427" i="3"/>
  <c r="S427" i="3"/>
  <c r="R427" i="3"/>
  <c r="Q427" i="3"/>
  <c r="P427" i="3"/>
  <c r="O427" i="3"/>
  <c r="N427" i="3"/>
  <c r="M427" i="3"/>
  <c r="L427" i="3"/>
  <c r="K427" i="3"/>
  <c r="J427" i="3"/>
  <c r="I427" i="3"/>
  <c r="H427" i="3"/>
  <c r="G427" i="3"/>
  <c r="F427" i="3"/>
  <c r="E427" i="3"/>
  <c r="D427" i="3"/>
  <c r="C427" i="3"/>
  <c r="B427" i="3"/>
  <c r="A427" i="3"/>
  <c r="BP426" i="3"/>
  <c r="BO426" i="3"/>
  <c r="BN426" i="3"/>
  <c r="BM426" i="3"/>
  <c r="BL426" i="3"/>
  <c r="BK426" i="3"/>
  <c r="BJ426" i="3"/>
  <c r="BI426" i="3"/>
  <c r="BH426" i="3"/>
  <c r="BG426" i="3"/>
  <c r="BF426" i="3"/>
  <c r="BE426" i="3"/>
  <c r="BD426" i="3"/>
  <c r="BC426" i="3"/>
  <c r="BB426" i="3"/>
  <c r="BA426" i="3"/>
  <c r="AZ426" i="3"/>
  <c r="AY426" i="3"/>
  <c r="AX426" i="3"/>
  <c r="AW426" i="3"/>
  <c r="AV426" i="3"/>
  <c r="AU426" i="3"/>
  <c r="AT426" i="3"/>
  <c r="AS426" i="3"/>
  <c r="AR426" i="3"/>
  <c r="AQ426" i="3"/>
  <c r="AP426" i="3"/>
  <c r="AO426" i="3"/>
  <c r="AN426" i="3"/>
  <c r="AM426" i="3"/>
  <c r="AL426" i="3"/>
  <c r="AK426" i="3"/>
  <c r="AJ426" i="3"/>
  <c r="AI426" i="3"/>
  <c r="AH426" i="3"/>
  <c r="AG426" i="3"/>
  <c r="AF426" i="3"/>
  <c r="AE426" i="3"/>
  <c r="AD426" i="3"/>
  <c r="AC426" i="3"/>
  <c r="AB426" i="3"/>
  <c r="AA426" i="3"/>
  <c r="Z426" i="3"/>
  <c r="Y426" i="3"/>
  <c r="X426" i="3"/>
  <c r="W426" i="3"/>
  <c r="V426" i="3"/>
  <c r="U426" i="3"/>
  <c r="T426" i="3"/>
  <c r="S426" i="3"/>
  <c r="R426" i="3"/>
  <c r="Q426" i="3"/>
  <c r="P426" i="3"/>
  <c r="O426" i="3"/>
  <c r="N426" i="3"/>
  <c r="M426" i="3"/>
  <c r="L426" i="3"/>
  <c r="K426" i="3"/>
  <c r="J426" i="3"/>
  <c r="I426" i="3"/>
  <c r="H426" i="3"/>
  <c r="G426" i="3"/>
  <c r="F426" i="3"/>
  <c r="E426" i="3"/>
  <c r="D426" i="3"/>
  <c r="C426" i="3"/>
  <c r="B426" i="3"/>
  <c r="A426" i="3"/>
  <c r="BP425" i="3"/>
  <c r="BO425" i="3"/>
  <c r="BN425" i="3"/>
  <c r="BM425" i="3"/>
  <c r="BL425" i="3"/>
  <c r="BK425" i="3"/>
  <c r="BJ425" i="3"/>
  <c r="BI425" i="3"/>
  <c r="BH425" i="3"/>
  <c r="BG425" i="3"/>
  <c r="BF425" i="3"/>
  <c r="BE425" i="3"/>
  <c r="BD425" i="3"/>
  <c r="BC425" i="3"/>
  <c r="BB425" i="3"/>
  <c r="BA425" i="3"/>
  <c r="AZ425" i="3"/>
  <c r="AY425" i="3"/>
  <c r="AX425" i="3"/>
  <c r="AW425" i="3"/>
  <c r="AV425" i="3"/>
  <c r="AU425" i="3"/>
  <c r="AT425" i="3"/>
  <c r="AS425" i="3"/>
  <c r="AR425" i="3"/>
  <c r="AQ425" i="3"/>
  <c r="AP425" i="3"/>
  <c r="AO425" i="3"/>
  <c r="AN425" i="3"/>
  <c r="AM425" i="3"/>
  <c r="AL425" i="3"/>
  <c r="AK425" i="3"/>
  <c r="AJ425" i="3"/>
  <c r="AI425" i="3"/>
  <c r="AH425" i="3"/>
  <c r="AG425" i="3"/>
  <c r="AF425" i="3"/>
  <c r="AE425" i="3"/>
  <c r="AD425" i="3"/>
  <c r="AC425" i="3"/>
  <c r="AB425" i="3"/>
  <c r="AA425" i="3"/>
  <c r="Z425" i="3"/>
  <c r="Y425" i="3"/>
  <c r="X425" i="3"/>
  <c r="W425" i="3"/>
  <c r="V425" i="3"/>
  <c r="U425" i="3"/>
  <c r="T425" i="3"/>
  <c r="S425" i="3"/>
  <c r="R425" i="3"/>
  <c r="Q425" i="3"/>
  <c r="P425" i="3"/>
  <c r="O425" i="3"/>
  <c r="N425" i="3"/>
  <c r="M425" i="3"/>
  <c r="L425" i="3"/>
  <c r="K425" i="3"/>
  <c r="J425" i="3"/>
  <c r="I425" i="3"/>
  <c r="H425" i="3"/>
  <c r="G425" i="3"/>
  <c r="F425" i="3"/>
  <c r="E425" i="3"/>
  <c r="D425" i="3"/>
  <c r="C425" i="3"/>
  <c r="B425" i="3"/>
  <c r="A425" i="3"/>
  <c r="BP424" i="3"/>
  <c r="BO424" i="3"/>
  <c r="BN424" i="3"/>
  <c r="BM424" i="3"/>
  <c r="BL424" i="3"/>
  <c r="BK424" i="3"/>
  <c r="BJ424" i="3"/>
  <c r="BI424" i="3"/>
  <c r="BH424" i="3"/>
  <c r="BG424" i="3"/>
  <c r="BF424" i="3"/>
  <c r="BE424" i="3"/>
  <c r="BD424" i="3"/>
  <c r="BC424" i="3"/>
  <c r="BB424" i="3"/>
  <c r="BA424" i="3"/>
  <c r="AZ424" i="3"/>
  <c r="AY424" i="3"/>
  <c r="AX424" i="3"/>
  <c r="AW424" i="3"/>
  <c r="AV424" i="3"/>
  <c r="AU424" i="3"/>
  <c r="AT424" i="3"/>
  <c r="AS424" i="3"/>
  <c r="AR424" i="3"/>
  <c r="AQ424" i="3"/>
  <c r="AP424" i="3"/>
  <c r="AO424" i="3"/>
  <c r="AN424" i="3"/>
  <c r="AM424" i="3"/>
  <c r="AL424" i="3"/>
  <c r="AK424" i="3"/>
  <c r="AJ424" i="3"/>
  <c r="AI424" i="3"/>
  <c r="AH424" i="3"/>
  <c r="AG424" i="3"/>
  <c r="AF424" i="3"/>
  <c r="AE424" i="3"/>
  <c r="AD424" i="3"/>
  <c r="AC424" i="3"/>
  <c r="AB424" i="3"/>
  <c r="AA424" i="3"/>
  <c r="Z424" i="3"/>
  <c r="Y424" i="3"/>
  <c r="X424" i="3"/>
  <c r="W424" i="3"/>
  <c r="V424" i="3"/>
  <c r="U424" i="3"/>
  <c r="T424" i="3"/>
  <c r="S424" i="3"/>
  <c r="R424" i="3"/>
  <c r="Q424" i="3"/>
  <c r="P424" i="3"/>
  <c r="O424" i="3"/>
  <c r="N424" i="3"/>
  <c r="M424" i="3"/>
  <c r="L424" i="3"/>
  <c r="K424" i="3"/>
  <c r="J424" i="3"/>
  <c r="I424" i="3"/>
  <c r="H424" i="3"/>
  <c r="G424" i="3"/>
  <c r="F424" i="3"/>
  <c r="E424" i="3"/>
  <c r="D424" i="3"/>
  <c r="C424" i="3"/>
  <c r="B424" i="3"/>
  <c r="A424" i="3"/>
  <c r="BP423" i="3"/>
  <c r="BO423" i="3"/>
  <c r="BN423" i="3"/>
  <c r="BM423" i="3"/>
  <c r="BL423" i="3"/>
  <c r="BK423" i="3"/>
  <c r="BJ423" i="3"/>
  <c r="BI423" i="3"/>
  <c r="BH423" i="3"/>
  <c r="BG423" i="3"/>
  <c r="BF423" i="3"/>
  <c r="BE423" i="3"/>
  <c r="BD423" i="3"/>
  <c r="BC423" i="3"/>
  <c r="BB423" i="3"/>
  <c r="BA423" i="3"/>
  <c r="AZ423" i="3"/>
  <c r="AY423" i="3"/>
  <c r="AX423" i="3"/>
  <c r="AW423" i="3"/>
  <c r="AV423" i="3"/>
  <c r="AU423" i="3"/>
  <c r="AT423" i="3"/>
  <c r="AS423" i="3"/>
  <c r="AR423" i="3"/>
  <c r="AQ423" i="3"/>
  <c r="AP423" i="3"/>
  <c r="AO423" i="3"/>
  <c r="AN423" i="3"/>
  <c r="AM423" i="3"/>
  <c r="AL423" i="3"/>
  <c r="AK423" i="3"/>
  <c r="AJ423" i="3"/>
  <c r="AI423" i="3"/>
  <c r="AH423" i="3"/>
  <c r="AG423" i="3"/>
  <c r="AF423" i="3"/>
  <c r="AE423" i="3"/>
  <c r="AD423" i="3"/>
  <c r="AC423" i="3"/>
  <c r="AB423" i="3"/>
  <c r="AA423" i="3"/>
  <c r="Z423" i="3"/>
  <c r="Y423" i="3"/>
  <c r="X423" i="3"/>
  <c r="W423" i="3"/>
  <c r="V423" i="3"/>
  <c r="U423" i="3"/>
  <c r="T423" i="3"/>
  <c r="S423" i="3"/>
  <c r="R423" i="3"/>
  <c r="Q423" i="3"/>
  <c r="P423" i="3"/>
  <c r="O423" i="3"/>
  <c r="N423" i="3"/>
  <c r="M423" i="3"/>
  <c r="L423" i="3"/>
  <c r="K423" i="3"/>
  <c r="J423" i="3"/>
  <c r="I423" i="3"/>
  <c r="H423" i="3"/>
  <c r="G423" i="3"/>
  <c r="F423" i="3"/>
  <c r="E423" i="3"/>
  <c r="D423" i="3"/>
  <c r="C423" i="3"/>
  <c r="B423" i="3"/>
  <c r="A423" i="3"/>
  <c r="BP422" i="3"/>
  <c r="BO422" i="3"/>
  <c r="BN422" i="3"/>
  <c r="BM422" i="3"/>
  <c r="BL422" i="3"/>
  <c r="BK422" i="3"/>
  <c r="BJ422" i="3"/>
  <c r="BI422" i="3"/>
  <c r="BH422" i="3"/>
  <c r="BG422" i="3"/>
  <c r="BF422" i="3"/>
  <c r="BE422" i="3"/>
  <c r="BD422" i="3"/>
  <c r="BC422" i="3"/>
  <c r="BB422" i="3"/>
  <c r="BA422" i="3"/>
  <c r="AZ422" i="3"/>
  <c r="AY422" i="3"/>
  <c r="AX422" i="3"/>
  <c r="AW422" i="3"/>
  <c r="AV422" i="3"/>
  <c r="AU422" i="3"/>
  <c r="AT422" i="3"/>
  <c r="AS422" i="3"/>
  <c r="AR422" i="3"/>
  <c r="AQ422" i="3"/>
  <c r="AP422" i="3"/>
  <c r="AO422" i="3"/>
  <c r="AN422" i="3"/>
  <c r="AM422" i="3"/>
  <c r="AL422" i="3"/>
  <c r="AK422" i="3"/>
  <c r="AJ422" i="3"/>
  <c r="AI422" i="3"/>
  <c r="AH422" i="3"/>
  <c r="AG422" i="3"/>
  <c r="AF422" i="3"/>
  <c r="AE422" i="3"/>
  <c r="AD422" i="3"/>
  <c r="AC422" i="3"/>
  <c r="AB422" i="3"/>
  <c r="AA422" i="3"/>
  <c r="Z422" i="3"/>
  <c r="Y422" i="3"/>
  <c r="X422" i="3"/>
  <c r="W422" i="3"/>
  <c r="V422" i="3"/>
  <c r="U422" i="3"/>
  <c r="T422" i="3"/>
  <c r="S422" i="3"/>
  <c r="R422" i="3"/>
  <c r="Q422" i="3"/>
  <c r="P422" i="3"/>
  <c r="O422" i="3"/>
  <c r="N422" i="3"/>
  <c r="M422" i="3"/>
  <c r="L422" i="3"/>
  <c r="K422" i="3"/>
  <c r="J422" i="3"/>
  <c r="I422" i="3"/>
  <c r="H422" i="3"/>
  <c r="G422" i="3"/>
  <c r="F422" i="3"/>
  <c r="E422" i="3"/>
  <c r="D422" i="3"/>
  <c r="C422" i="3"/>
  <c r="B422" i="3"/>
  <c r="A422" i="3"/>
  <c r="BP421" i="3"/>
  <c r="BO421" i="3"/>
  <c r="BN421" i="3"/>
  <c r="BM421" i="3"/>
  <c r="BL421" i="3"/>
  <c r="BK421" i="3"/>
  <c r="BJ421" i="3"/>
  <c r="BI421" i="3"/>
  <c r="BH421" i="3"/>
  <c r="BG421" i="3"/>
  <c r="BF421" i="3"/>
  <c r="BE421" i="3"/>
  <c r="BD421" i="3"/>
  <c r="BC421" i="3"/>
  <c r="BB421" i="3"/>
  <c r="BA421" i="3"/>
  <c r="AZ421" i="3"/>
  <c r="AY421" i="3"/>
  <c r="AX421" i="3"/>
  <c r="AW421" i="3"/>
  <c r="AV421" i="3"/>
  <c r="AU421" i="3"/>
  <c r="AT421" i="3"/>
  <c r="AS421" i="3"/>
  <c r="AR421" i="3"/>
  <c r="AQ421" i="3"/>
  <c r="AP421" i="3"/>
  <c r="AO421" i="3"/>
  <c r="AN421" i="3"/>
  <c r="AM421" i="3"/>
  <c r="AL421" i="3"/>
  <c r="AK421" i="3"/>
  <c r="AJ421" i="3"/>
  <c r="AI421" i="3"/>
  <c r="AH421" i="3"/>
  <c r="AG421" i="3"/>
  <c r="AF421" i="3"/>
  <c r="AE421" i="3"/>
  <c r="AD421" i="3"/>
  <c r="AC421" i="3"/>
  <c r="AB421" i="3"/>
  <c r="AA421" i="3"/>
  <c r="Z421" i="3"/>
  <c r="Y421" i="3"/>
  <c r="X421" i="3"/>
  <c r="W421" i="3"/>
  <c r="V421" i="3"/>
  <c r="U421" i="3"/>
  <c r="T421" i="3"/>
  <c r="S421" i="3"/>
  <c r="R421" i="3"/>
  <c r="Q421" i="3"/>
  <c r="P421" i="3"/>
  <c r="O421" i="3"/>
  <c r="N421" i="3"/>
  <c r="M421" i="3"/>
  <c r="L421" i="3"/>
  <c r="K421" i="3"/>
  <c r="J421" i="3"/>
  <c r="I421" i="3"/>
  <c r="H421" i="3"/>
  <c r="G421" i="3"/>
  <c r="F421" i="3"/>
  <c r="E421" i="3"/>
  <c r="D421" i="3"/>
  <c r="C421" i="3"/>
  <c r="B421" i="3"/>
  <c r="A421" i="3"/>
  <c r="BP420" i="3"/>
  <c r="BO420" i="3"/>
  <c r="BN420" i="3"/>
  <c r="BM420" i="3"/>
  <c r="BL420" i="3"/>
  <c r="BK420" i="3"/>
  <c r="BJ420" i="3"/>
  <c r="BI420" i="3"/>
  <c r="BH420" i="3"/>
  <c r="BG420" i="3"/>
  <c r="BF420" i="3"/>
  <c r="BE420" i="3"/>
  <c r="BD420" i="3"/>
  <c r="BC420" i="3"/>
  <c r="BB420" i="3"/>
  <c r="BA420" i="3"/>
  <c r="AZ420" i="3"/>
  <c r="AY420" i="3"/>
  <c r="AX420" i="3"/>
  <c r="AW420" i="3"/>
  <c r="AV420" i="3"/>
  <c r="AU420" i="3"/>
  <c r="AT420" i="3"/>
  <c r="AS420" i="3"/>
  <c r="AR420" i="3"/>
  <c r="AQ420" i="3"/>
  <c r="AP420" i="3"/>
  <c r="AO420" i="3"/>
  <c r="AN420" i="3"/>
  <c r="AM420" i="3"/>
  <c r="AL420" i="3"/>
  <c r="AK420" i="3"/>
  <c r="AJ420" i="3"/>
  <c r="AI420" i="3"/>
  <c r="AH420" i="3"/>
  <c r="AG420" i="3"/>
  <c r="AF420" i="3"/>
  <c r="AE420" i="3"/>
  <c r="AD420" i="3"/>
  <c r="AC420" i="3"/>
  <c r="AB420" i="3"/>
  <c r="AA420" i="3"/>
  <c r="Z420" i="3"/>
  <c r="Y420" i="3"/>
  <c r="X420" i="3"/>
  <c r="W420" i="3"/>
  <c r="V420" i="3"/>
  <c r="U420" i="3"/>
  <c r="T420" i="3"/>
  <c r="S420" i="3"/>
  <c r="R420" i="3"/>
  <c r="Q420" i="3"/>
  <c r="P420" i="3"/>
  <c r="O420" i="3"/>
  <c r="N420" i="3"/>
  <c r="M420" i="3"/>
  <c r="L420" i="3"/>
  <c r="K420" i="3"/>
  <c r="J420" i="3"/>
  <c r="I420" i="3"/>
  <c r="H420" i="3"/>
  <c r="G420" i="3"/>
  <c r="F420" i="3"/>
  <c r="E420" i="3"/>
  <c r="D420" i="3"/>
  <c r="C420" i="3"/>
  <c r="B420" i="3"/>
  <c r="A420" i="3"/>
  <c r="BP419" i="3"/>
  <c r="BO419" i="3"/>
  <c r="BN419" i="3"/>
  <c r="BM419" i="3"/>
  <c r="BL419" i="3"/>
  <c r="BK419" i="3"/>
  <c r="BJ419" i="3"/>
  <c r="BI419" i="3"/>
  <c r="BH419" i="3"/>
  <c r="BG419" i="3"/>
  <c r="BF419" i="3"/>
  <c r="BE419" i="3"/>
  <c r="BD419" i="3"/>
  <c r="BC419" i="3"/>
  <c r="BB419" i="3"/>
  <c r="BA419" i="3"/>
  <c r="AZ419" i="3"/>
  <c r="AY419" i="3"/>
  <c r="AX419" i="3"/>
  <c r="AW419" i="3"/>
  <c r="AV419" i="3"/>
  <c r="AU419" i="3"/>
  <c r="AT419" i="3"/>
  <c r="AS419" i="3"/>
  <c r="AR419" i="3"/>
  <c r="AQ419" i="3"/>
  <c r="AP419" i="3"/>
  <c r="AO419" i="3"/>
  <c r="AN419" i="3"/>
  <c r="AM419" i="3"/>
  <c r="AL419" i="3"/>
  <c r="AK419" i="3"/>
  <c r="AJ419" i="3"/>
  <c r="AI419" i="3"/>
  <c r="AH419" i="3"/>
  <c r="AG419" i="3"/>
  <c r="AF419" i="3"/>
  <c r="AE419" i="3"/>
  <c r="AD419" i="3"/>
  <c r="AC419" i="3"/>
  <c r="AB419" i="3"/>
  <c r="AA419" i="3"/>
  <c r="Z419" i="3"/>
  <c r="Y419" i="3"/>
  <c r="X419" i="3"/>
  <c r="W419" i="3"/>
  <c r="V419" i="3"/>
  <c r="U419" i="3"/>
  <c r="T419" i="3"/>
  <c r="S419" i="3"/>
  <c r="R419" i="3"/>
  <c r="Q419" i="3"/>
  <c r="P419" i="3"/>
  <c r="O419" i="3"/>
  <c r="N419" i="3"/>
  <c r="M419" i="3"/>
  <c r="L419" i="3"/>
  <c r="K419" i="3"/>
  <c r="J419" i="3"/>
  <c r="I419" i="3"/>
  <c r="H419" i="3"/>
  <c r="G419" i="3"/>
  <c r="F419" i="3"/>
  <c r="E419" i="3"/>
  <c r="D419" i="3"/>
  <c r="C419" i="3"/>
  <c r="B419" i="3"/>
  <c r="A419" i="3"/>
  <c r="BP418" i="3"/>
  <c r="BO418" i="3"/>
  <c r="BN418" i="3"/>
  <c r="BM418" i="3"/>
  <c r="BL418" i="3"/>
  <c r="BK418" i="3"/>
  <c r="BJ418" i="3"/>
  <c r="BI418" i="3"/>
  <c r="BH418" i="3"/>
  <c r="BG418" i="3"/>
  <c r="BF418" i="3"/>
  <c r="BE418" i="3"/>
  <c r="BD418" i="3"/>
  <c r="BC418" i="3"/>
  <c r="BB418" i="3"/>
  <c r="BA418" i="3"/>
  <c r="AZ418" i="3"/>
  <c r="AY418" i="3"/>
  <c r="AX418" i="3"/>
  <c r="AW418" i="3"/>
  <c r="AV418" i="3"/>
  <c r="AU418" i="3"/>
  <c r="AT418" i="3"/>
  <c r="AS418" i="3"/>
  <c r="AR418" i="3"/>
  <c r="AQ418" i="3"/>
  <c r="AP418" i="3"/>
  <c r="AO418" i="3"/>
  <c r="AN418" i="3"/>
  <c r="AM418" i="3"/>
  <c r="AL418" i="3"/>
  <c r="AK418" i="3"/>
  <c r="AJ418" i="3"/>
  <c r="AI418" i="3"/>
  <c r="AH418" i="3"/>
  <c r="AG418" i="3"/>
  <c r="AF418" i="3"/>
  <c r="AE418" i="3"/>
  <c r="AD418" i="3"/>
  <c r="AC418" i="3"/>
  <c r="AB418" i="3"/>
  <c r="AA418" i="3"/>
  <c r="Z418" i="3"/>
  <c r="Y418" i="3"/>
  <c r="X418" i="3"/>
  <c r="W418" i="3"/>
  <c r="V418" i="3"/>
  <c r="U418" i="3"/>
  <c r="T418" i="3"/>
  <c r="S418" i="3"/>
  <c r="R418" i="3"/>
  <c r="Q418" i="3"/>
  <c r="P418" i="3"/>
  <c r="O418" i="3"/>
  <c r="N418" i="3"/>
  <c r="M418" i="3"/>
  <c r="L418" i="3"/>
  <c r="K418" i="3"/>
  <c r="J418" i="3"/>
  <c r="I418" i="3"/>
  <c r="H418" i="3"/>
  <c r="G418" i="3"/>
  <c r="F418" i="3"/>
  <c r="E418" i="3"/>
  <c r="D418" i="3"/>
  <c r="C418" i="3"/>
  <c r="B418" i="3"/>
  <c r="A418" i="3"/>
  <c r="BP417" i="3"/>
  <c r="BO417" i="3"/>
  <c r="BN417" i="3"/>
  <c r="BM417" i="3"/>
  <c r="BL417" i="3"/>
  <c r="BK417" i="3"/>
  <c r="BJ417" i="3"/>
  <c r="BI417" i="3"/>
  <c r="BH417" i="3"/>
  <c r="BG417" i="3"/>
  <c r="BF417" i="3"/>
  <c r="BE417" i="3"/>
  <c r="BD417" i="3"/>
  <c r="BC417" i="3"/>
  <c r="BB417" i="3"/>
  <c r="BA417" i="3"/>
  <c r="AZ417" i="3"/>
  <c r="AY417" i="3"/>
  <c r="AX417" i="3"/>
  <c r="AW417" i="3"/>
  <c r="AV417" i="3"/>
  <c r="AU417" i="3"/>
  <c r="AT417" i="3"/>
  <c r="AS417" i="3"/>
  <c r="AR417" i="3"/>
  <c r="AQ417" i="3"/>
  <c r="AP417" i="3"/>
  <c r="AO417" i="3"/>
  <c r="AN417" i="3"/>
  <c r="AM417" i="3"/>
  <c r="AL417" i="3"/>
  <c r="AK417" i="3"/>
  <c r="AJ417" i="3"/>
  <c r="AI417" i="3"/>
  <c r="AH417" i="3"/>
  <c r="AG417" i="3"/>
  <c r="AF417" i="3"/>
  <c r="AE417" i="3"/>
  <c r="AD417" i="3"/>
  <c r="AC417" i="3"/>
  <c r="AB417" i="3"/>
  <c r="AA417" i="3"/>
  <c r="Z417" i="3"/>
  <c r="Y417" i="3"/>
  <c r="X417" i="3"/>
  <c r="W417" i="3"/>
  <c r="V417" i="3"/>
  <c r="U417" i="3"/>
  <c r="T417" i="3"/>
  <c r="S417" i="3"/>
  <c r="R417" i="3"/>
  <c r="Q417" i="3"/>
  <c r="P417" i="3"/>
  <c r="O417" i="3"/>
  <c r="N417" i="3"/>
  <c r="M417" i="3"/>
  <c r="L417" i="3"/>
  <c r="K417" i="3"/>
  <c r="J417" i="3"/>
  <c r="I417" i="3"/>
  <c r="H417" i="3"/>
  <c r="G417" i="3"/>
  <c r="F417" i="3"/>
  <c r="E417" i="3"/>
  <c r="D417" i="3"/>
  <c r="C417" i="3"/>
  <c r="B417" i="3"/>
  <c r="A417" i="3"/>
  <c r="BP416" i="3"/>
  <c r="BO416" i="3"/>
  <c r="BN416" i="3"/>
  <c r="BM416" i="3"/>
  <c r="BL416" i="3"/>
  <c r="BK416" i="3"/>
  <c r="BJ416" i="3"/>
  <c r="BI416" i="3"/>
  <c r="BH416" i="3"/>
  <c r="BG416" i="3"/>
  <c r="BF416" i="3"/>
  <c r="BE416" i="3"/>
  <c r="BD416" i="3"/>
  <c r="BC416" i="3"/>
  <c r="BB416" i="3"/>
  <c r="BA416" i="3"/>
  <c r="AZ416" i="3"/>
  <c r="AY416" i="3"/>
  <c r="AX416" i="3"/>
  <c r="AW416" i="3"/>
  <c r="AV416" i="3"/>
  <c r="AU416" i="3"/>
  <c r="AT416" i="3"/>
  <c r="AS416" i="3"/>
  <c r="AR416" i="3"/>
  <c r="AQ416" i="3"/>
  <c r="AP416" i="3"/>
  <c r="AO416" i="3"/>
  <c r="AN416" i="3"/>
  <c r="AM416" i="3"/>
  <c r="AL416" i="3"/>
  <c r="AK416" i="3"/>
  <c r="AJ416" i="3"/>
  <c r="AI416" i="3"/>
  <c r="AH416" i="3"/>
  <c r="AG416" i="3"/>
  <c r="AF416" i="3"/>
  <c r="AE416" i="3"/>
  <c r="AD416" i="3"/>
  <c r="AC416" i="3"/>
  <c r="AB416" i="3"/>
  <c r="AA416" i="3"/>
  <c r="Z416" i="3"/>
  <c r="Y416" i="3"/>
  <c r="X416" i="3"/>
  <c r="W416" i="3"/>
  <c r="V416" i="3"/>
  <c r="U416" i="3"/>
  <c r="T416" i="3"/>
  <c r="S416" i="3"/>
  <c r="R416" i="3"/>
  <c r="Q416" i="3"/>
  <c r="P416" i="3"/>
  <c r="O416" i="3"/>
  <c r="N416" i="3"/>
  <c r="M416" i="3"/>
  <c r="L416" i="3"/>
  <c r="K416" i="3"/>
  <c r="J416" i="3"/>
  <c r="I416" i="3"/>
  <c r="H416" i="3"/>
  <c r="G416" i="3"/>
  <c r="F416" i="3"/>
  <c r="E416" i="3"/>
  <c r="D416" i="3"/>
  <c r="C416" i="3"/>
  <c r="B416" i="3"/>
  <c r="A416" i="3"/>
  <c r="BP415" i="3"/>
  <c r="BO415" i="3"/>
  <c r="BN415" i="3"/>
  <c r="BM415" i="3"/>
  <c r="BL415" i="3"/>
  <c r="BK415" i="3"/>
  <c r="BJ415" i="3"/>
  <c r="BI415" i="3"/>
  <c r="BH415" i="3"/>
  <c r="BG415" i="3"/>
  <c r="BF415" i="3"/>
  <c r="BE415" i="3"/>
  <c r="BD415" i="3"/>
  <c r="BC415" i="3"/>
  <c r="BB415" i="3"/>
  <c r="BA415" i="3"/>
  <c r="AZ415" i="3"/>
  <c r="AY415" i="3"/>
  <c r="AX415" i="3"/>
  <c r="AW415" i="3"/>
  <c r="AV415" i="3"/>
  <c r="AU415" i="3"/>
  <c r="AT415" i="3"/>
  <c r="AS415" i="3"/>
  <c r="AR415" i="3"/>
  <c r="AQ415" i="3"/>
  <c r="AP415" i="3"/>
  <c r="AO415" i="3"/>
  <c r="AN415" i="3"/>
  <c r="AM415" i="3"/>
  <c r="AL415" i="3"/>
  <c r="AK415" i="3"/>
  <c r="AJ415" i="3"/>
  <c r="AI415" i="3"/>
  <c r="AH415" i="3"/>
  <c r="AG415" i="3"/>
  <c r="AF415" i="3"/>
  <c r="AE415" i="3"/>
  <c r="AD415" i="3"/>
  <c r="AC415" i="3"/>
  <c r="AB415" i="3"/>
  <c r="AA415" i="3"/>
  <c r="Z415" i="3"/>
  <c r="Y415" i="3"/>
  <c r="X415" i="3"/>
  <c r="W415" i="3"/>
  <c r="V415" i="3"/>
  <c r="U415" i="3"/>
  <c r="T415" i="3"/>
  <c r="S415" i="3"/>
  <c r="R415" i="3"/>
  <c r="Q415" i="3"/>
  <c r="P415" i="3"/>
  <c r="O415" i="3"/>
  <c r="N415" i="3"/>
  <c r="M415" i="3"/>
  <c r="L415" i="3"/>
  <c r="K415" i="3"/>
  <c r="J415" i="3"/>
  <c r="I415" i="3"/>
  <c r="H415" i="3"/>
  <c r="G415" i="3"/>
  <c r="F415" i="3"/>
  <c r="E415" i="3"/>
  <c r="D415" i="3"/>
  <c r="C415" i="3"/>
  <c r="B415" i="3"/>
  <c r="A415" i="3"/>
  <c r="BP414" i="3"/>
  <c r="BO414" i="3"/>
  <c r="BN414" i="3"/>
  <c r="BM414" i="3"/>
  <c r="BL414" i="3"/>
  <c r="BK414" i="3"/>
  <c r="BJ414" i="3"/>
  <c r="BI414" i="3"/>
  <c r="BH414" i="3"/>
  <c r="BG414" i="3"/>
  <c r="BF414" i="3"/>
  <c r="BE414" i="3"/>
  <c r="BD414" i="3"/>
  <c r="BC414" i="3"/>
  <c r="BB414" i="3"/>
  <c r="BA414" i="3"/>
  <c r="AZ414" i="3"/>
  <c r="AY414" i="3"/>
  <c r="AX414" i="3"/>
  <c r="AW414" i="3"/>
  <c r="AV414" i="3"/>
  <c r="AU414" i="3"/>
  <c r="AT414" i="3"/>
  <c r="AS414" i="3"/>
  <c r="AR414" i="3"/>
  <c r="AQ414" i="3"/>
  <c r="AP414" i="3"/>
  <c r="AO414" i="3"/>
  <c r="AN414" i="3"/>
  <c r="AM414" i="3"/>
  <c r="AL414" i="3"/>
  <c r="AK414" i="3"/>
  <c r="AJ414" i="3"/>
  <c r="AI414" i="3"/>
  <c r="AH414" i="3"/>
  <c r="AG414" i="3"/>
  <c r="AF414" i="3"/>
  <c r="AE414" i="3"/>
  <c r="AD414" i="3"/>
  <c r="AC414" i="3"/>
  <c r="AB414" i="3"/>
  <c r="AA414" i="3"/>
  <c r="Z414" i="3"/>
  <c r="Y414" i="3"/>
  <c r="X414" i="3"/>
  <c r="W414" i="3"/>
  <c r="V414" i="3"/>
  <c r="U414" i="3"/>
  <c r="T414" i="3"/>
  <c r="S414" i="3"/>
  <c r="R414" i="3"/>
  <c r="Q414" i="3"/>
  <c r="P414" i="3"/>
  <c r="O414" i="3"/>
  <c r="N414" i="3"/>
  <c r="M414" i="3"/>
  <c r="L414" i="3"/>
  <c r="K414" i="3"/>
  <c r="J414" i="3"/>
  <c r="I414" i="3"/>
  <c r="H414" i="3"/>
  <c r="G414" i="3"/>
  <c r="F414" i="3"/>
  <c r="E414" i="3"/>
  <c r="D414" i="3"/>
  <c r="C414" i="3"/>
  <c r="B414" i="3"/>
  <c r="A414" i="3"/>
  <c r="BP413" i="3"/>
  <c r="BO413" i="3"/>
  <c r="BN413" i="3"/>
  <c r="BM413" i="3"/>
  <c r="BL413" i="3"/>
  <c r="BK413" i="3"/>
  <c r="BJ413" i="3"/>
  <c r="BI413" i="3"/>
  <c r="BH413" i="3"/>
  <c r="BG413" i="3"/>
  <c r="BF413" i="3"/>
  <c r="BE413" i="3"/>
  <c r="BD413" i="3"/>
  <c r="BC413" i="3"/>
  <c r="BB413" i="3"/>
  <c r="BA413" i="3"/>
  <c r="AZ413" i="3"/>
  <c r="AY413" i="3"/>
  <c r="AX413" i="3"/>
  <c r="AW413" i="3"/>
  <c r="AV413" i="3"/>
  <c r="AU413" i="3"/>
  <c r="AT413" i="3"/>
  <c r="AS413" i="3"/>
  <c r="AR413" i="3"/>
  <c r="AQ413" i="3"/>
  <c r="AP413" i="3"/>
  <c r="AO413" i="3"/>
  <c r="AN413" i="3"/>
  <c r="AM413" i="3"/>
  <c r="AL413" i="3"/>
  <c r="AK413" i="3"/>
  <c r="AJ413" i="3"/>
  <c r="AI413" i="3"/>
  <c r="AH413" i="3"/>
  <c r="AG413" i="3"/>
  <c r="AF413" i="3"/>
  <c r="AE413" i="3"/>
  <c r="AD413" i="3"/>
  <c r="AC413" i="3"/>
  <c r="AB413" i="3"/>
  <c r="AA413" i="3"/>
  <c r="Z413" i="3"/>
  <c r="Y413" i="3"/>
  <c r="X413" i="3"/>
  <c r="W413" i="3"/>
  <c r="V413" i="3"/>
  <c r="U413" i="3"/>
  <c r="T413" i="3"/>
  <c r="S413" i="3"/>
  <c r="R413" i="3"/>
  <c r="Q413" i="3"/>
  <c r="P413" i="3"/>
  <c r="O413" i="3"/>
  <c r="N413" i="3"/>
  <c r="M413" i="3"/>
  <c r="L413" i="3"/>
  <c r="K413" i="3"/>
  <c r="J413" i="3"/>
  <c r="I413" i="3"/>
  <c r="H413" i="3"/>
  <c r="G413" i="3"/>
  <c r="F413" i="3"/>
  <c r="E413" i="3"/>
  <c r="D413" i="3"/>
  <c r="C413" i="3"/>
  <c r="B413" i="3"/>
  <c r="A413" i="3"/>
  <c r="BP412" i="3"/>
  <c r="BO412" i="3"/>
  <c r="BN412" i="3"/>
  <c r="BM412" i="3"/>
  <c r="BL412" i="3"/>
  <c r="BK412" i="3"/>
  <c r="BJ412" i="3"/>
  <c r="BI412" i="3"/>
  <c r="BH412" i="3"/>
  <c r="BG412" i="3"/>
  <c r="BF412" i="3"/>
  <c r="BE412" i="3"/>
  <c r="BD412" i="3"/>
  <c r="BC412" i="3"/>
  <c r="BB412" i="3"/>
  <c r="BA412" i="3"/>
  <c r="AZ412" i="3"/>
  <c r="AY412" i="3"/>
  <c r="AX412" i="3"/>
  <c r="AW412" i="3"/>
  <c r="AV412" i="3"/>
  <c r="AU412" i="3"/>
  <c r="AT412" i="3"/>
  <c r="AS412" i="3"/>
  <c r="AR412" i="3"/>
  <c r="AQ412" i="3"/>
  <c r="AP412" i="3"/>
  <c r="AO412" i="3"/>
  <c r="AN412" i="3"/>
  <c r="AM412" i="3"/>
  <c r="AL412" i="3"/>
  <c r="AK412" i="3"/>
  <c r="AJ412" i="3"/>
  <c r="AI412" i="3"/>
  <c r="AH412" i="3"/>
  <c r="AG412" i="3"/>
  <c r="AF412" i="3"/>
  <c r="AE412" i="3"/>
  <c r="AD412" i="3"/>
  <c r="AC412" i="3"/>
  <c r="AB412" i="3"/>
  <c r="AA412" i="3"/>
  <c r="Z412" i="3"/>
  <c r="Y412" i="3"/>
  <c r="X412" i="3"/>
  <c r="W412" i="3"/>
  <c r="V412" i="3"/>
  <c r="U412" i="3"/>
  <c r="T412" i="3"/>
  <c r="S412" i="3"/>
  <c r="R412" i="3"/>
  <c r="Q412" i="3"/>
  <c r="P412" i="3"/>
  <c r="O412" i="3"/>
  <c r="N412" i="3"/>
  <c r="M412" i="3"/>
  <c r="L412" i="3"/>
  <c r="K412" i="3"/>
  <c r="J412" i="3"/>
  <c r="I412" i="3"/>
  <c r="H412" i="3"/>
  <c r="G412" i="3"/>
  <c r="F412" i="3"/>
  <c r="E412" i="3"/>
  <c r="D412" i="3"/>
  <c r="C412" i="3"/>
  <c r="B412" i="3"/>
  <c r="A412" i="3"/>
  <c r="BP411" i="3"/>
  <c r="BO411" i="3"/>
  <c r="BN411" i="3"/>
  <c r="BM411" i="3"/>
  <c r="BL411" i="3"/>
  <c r="BK411" i="3"/>
  <c r="BJ411" i="3"/>
  <c r="BI411" i="3"/>
  <c r="BH411" i="3"/>
  <c r="BG411" i="3"/>
  <c r="BF411" i="3"/>
  <c r="BE411" i="3"/>
  <c r="BD411" i="3"/>
  <c r="BC411" i="3"/>
  <c r="BB411" i="3"/>
  <c r="BA411" i="3"/>
  <c r="AZ411" i="3"/>
  <c r="AY411" i="3"/>
  <c r="AX411" i="3"/>
  <c r="AW411" i="3"/>
  <c r="AV411" i="3"/>
  <c r="AU411" i="3"/>
  <c r="AT411" i="3"/>
  <c r="AS411" i="3"/>
  <c r="AR411" i="3"/>
  <c r="AQ411" i="3"/>
  <c r="AP411" i="3"/>
  <c r="AO411" i="3"/>
  <c r="AN411" i="3"/>
  <c r="AM411" i="3"/>
  <c r="AL411" i="3"/>
  <c r="AK411" i="3"/>
  <c r="AJ411" i="3"/>
  <c r="AI411" i="3"/>
  <c r="AH411" i="3"/>
  <c r="AG411" i="3"/>
  <c r="AF411" i="3"/>
  <c r="AE411" i="3"/>
  <c r="AD411" i="3"/>
  <c r="AC411" i="3"/>
  <c r="AB411" i="3"/>
  <c r="AA411" i="3"/>
  <c r="Z411" i="3"/>
  <c r="Y411" i="3"/>
  <c r="X411" i="3"/>
  <c r="W411" i="3"/>
  <c r="V411" i="3"/>
  <c r="U411" i="3"/>
  <c r="T411" i="3"/>
  <c r="S411" i="3"/>
  <c r="R411" i="3"/>
  <c r="Q411" i="3"/>
  <c r="P411" i="3"/>
  <c r="O411" i="3"/>
  <c r="N411" i="3"/>
  <c r="M411" i="3"/>
  <c r="L411" i="3"/>
  <c r="K411" i="3"/>
  <c r="J411" i="3"/>
  <c r="I411" i="3"/>
  <c r="H411" i="3"/>
  <c r="G411" i="3"/>
  <c r="F411" i="3"/>
  <c r="E411" i="3"/>
  <c r="D411" i="3"/>
  <c r="C411" i="3"/>
  <c r="B411" i="3"/>
  <c r="A411" i="3"/>
  <c r="BP410" i="3"/>
  <c r="BO410" i="3"/>
  <c r="BN410" i="3"/>
  <c r="BM410" i="3"/>
  <c r="BL410" i="3"/>
  <c r="BK410" i="3"/>
  <c r="BJ410" i="3"/>
  <c r="BI410" i="3"/>
  <c r="BH410" i="3"/>
  <c r="BG410" i="3"/>
  <c r="BF410" i="3"/>
  <c r="BE410" i="3"/>
  <c r="BD410" i="3"/>
  <c r="BC410" i="3"/>
  <c r="BB410" i="3"/>
  <c r="BA410" i="3"/>
  <c r="AZ410" i="3"/>
  <c r="AY410" i="3"/>
  <c r="AX410" i="3"/>
  <c r="AW410" i="3"/>
  <c r="AV410" i="3"/>
  <c r="AU410" i="3"/>
  <c r="AT410" i="3"/>
  <c r="AS410" i="3"/>
  <c r="AR410" i="3"/>
  <c r="AQ410" i="3"/>
  <c r="AP410" i="3"/>
  <c r="AO410" i="3"/>
  <c r="AN410" i="3"/>
  <c r="AM410" i="3"/>
  <c r="AL410" i="3"/>
  <c r="AK410" i="3"/>
  <c r="AJ410" i="3"/>
  <c r="AI410" i="3"/>
  <c r="AH410" i="3"/>
  <c r="AG410" i="3"/>
  <c r="AF410" i="3"/>
  <c r="AE410" i="3"/>
  <c r="AD410" i="3"/>
  <c r="AC410" i="3"/>
  <c r="AB410" i="3"/>
  <c r="AA410" i="3"/>
  <c r="Z410" i="3"/>
  <c r="Y410" i="3"/>
  <c r="X410" i="3"/>
  <c r="W410" i="3"/>
  <c r="V410" i="3"/>
  <c r="U410" i="3"/>
  <c r="T410" i="3"/>
  <c r="S410" i="3"/>
  <c r="R410" i="3"/>
  <c r="Q410" i="3"/>
  <c r="P410" i="3"/>
  <c r="O410" i="3"/>
  <c r="N410" i="3"/>
  <c r="M410" i="3"/>
  <c r="L410" i="3"/>
  <c r="K410" i="3"/>
  <c r="J410" i="3"/>
  <c r="I410" i="3"/>
  <c r="H410" i="3"/>
  <c r="G410" i="3"/>
  <c r="F410" i="3"/>
  <c r="E410" i="3"/>
  <c r="D410" i="3"/>
  <c r="C410" i="3"/>
  <c r="B410" i="3"/>
  <c r="A410" i="3"/>
  <c r="BP409" i="3"/>
  <c r="BO409" i="3"/>
  <c r="BN409" i="3"/>
  <c r="BM409" i="3"/>
  <c r="BL409" i="3"/>
  <c r="BK409" i="3"/>
  <c r="BJ409" i="3"/>
  <c r="BI409" i="3"/>
  <c r="BH409" i="3"/>
  <c r="BG409" i="3"/>
  <c r="BF409" i="3"/>
  <c r="BE409" i="3"/>
  <c r="BD409" i="3"/>
  <c r="BC409" i="3"/>
  <c r="BB409" i="3"/>
  <c r="BA409" i="3"/>
  <c r="AZ409" i="3"/>
  <c r="AY409" i="3"/>
  <c r="AX409" i="3"/>
  <c r="AW409" i="3"/>
  <c r="AV409" i="3"/>
  <c r="AU409" i="3"/>
  <c r="AT409" i="3"/>
  <c r="AS409" i="3"/>
  <c r="AR409" i="3"/>
  <c r="AQ409" i="3"/>
  <c r="AP409" i="3"/>
  <c r="AO409" i="3"/>
  <c r="AN409" i="3"/>
  <c r="AM409" i="3"/>
  <c r="AL409" i="3"/>
  <c r="AK409" i="3"/>
  <c r="AJ409" i="3"/>
  <c r="AI409" i="3"/>
  <c r="AH409" i="3"/>
  <c r="AG409" i="3"/>
  <c r="AF409" i="3"/>
  <c r="AE409" i="3"/>
  <c r="AD409" i="3"/>
  <c r="AC409" i="3"/>
  <c r="AB409" i="3"/>
  <c r="AA409" i="3"/>
  <c r="Z409" i="3"/>
  <c r="Y409" i="3"/>
  <c r="X409" i="3"/>
  <c r="W409" i="3"/>
  <c r="V409" i="3"/>
  <c r="U409" i="3"/>
  <c r="T409" i="3"/>
  <c r="S409" i="3"/>
  <c r="R409" i="3"/>
  <c r="Q409" i="3"/>
  <c r="P409" i="3"/>
  <c r="O409" i="3"/>
  <c r="N409" i="3"/>
  <c r="M409" i="3"/>
  <c r="L409" i="3"/>
  <c r="K409" i="3"/>
  <c r="J409" i="3"/>
  <c r="I409" i="3"/>
  <c r="H409" i="3"/>
  <c r="G409" i="3"/>
  <c r="F409" i="3"/>
  <c r="E409" i="3"/>
  <c r="D409" i="3"/>
  <c r="C409" i="3"/>
  <c r="B409" i="3"/>
  <c r="A409" i="3"/>
  <c r="BP408" i="3"/>
  <c r="BO408" i="3"/>
  <c r="BN408" i="3"/>
  <c r="BM408" i="3"/>
  <c r="BL408" i="3"/>
  <c r="BK408" i="3"/>
  <c r="BJ408" i="3"/>
  <c r="BI408" i="3"/>
  <c r="BH408" i="3"/>
  <c r="BG408" i="3"/>
  <c r="BF408" i="3"/>
  <c r="BE408" i="3"/>
  <c r="BD408" i="3"/>
  <c r="BC408" i="3"/>
  <c r="BB408" i="3"/>
  <c r="BA408" i="3"/>
  <c r="AZ408" i="3"/>
  <c r="AY408" i="3"/>
  <c r="AX408" i="3"/>
  <c r="AW408" i="3"/>
  <c r="AV408" i="3"/>
  <c r="AU408" i="3"/>
  <c r="AT408" i="3"/>
  <c r="AS408" i="3"/>
  <c r="AR408" i="3"/>
  <c r="AQ408" i="3"/>
  <c r="AP408" i="3"/>
  <c r="AO408" i="3"/>
  <c r="AN408" i="3"/>
  <c r="AM408" i="3"/>
  <c r="AL408" i="3"/>
  <c r="AK408" i="3"/>
  <c r="AJ408" i="3"/>
  <c r="AI408" i="3"/>
  <c r="AH408" i="3"/>
  <c r="AG408" i="3"/>
  <c r="AF408" i="3"/>
  <c r="AE408" i="3"/>
  <c r="AD408" i="3"/>
  <c r="AC408" i="3"/>
  <c r="AB408" i="3"/>
  <c r="AA408" i="3"/>
  <c r="Z408" i="3"/>
  <c r="Y408" i="3"/>
  <c r="X408" i="3"/>
  <c r="W408" i="3"/>
  <c r="V408" i="3"/>
  <c r="U408" i="3"/>
  <c r="T408" i="3"/>
  <c r="S408" i="3"/>
  <c r="R408" i="3"/>
  <c r="Q408" i="3"/>
  <c r="P408" i="3"/>
  <c r="O408" i="3"/>
  <c r="N408" i="3"/>
  <c r="M408" i="3"/>
  <c r="L408" i="3"/>
  <c r="K408" i="3"/>
  <c r="J408" i="3"/>
  <c r="I408" i="3"/>
  <c r="H408" i="3"/>
  <c r="G408" i="3"/>
  <c r="F408" i="3"/>
  <c r="E408" i="3"/>
  <c r="D408" i="3"/>
  <c r="C408" i="3"/>
  <c r="B408" i="3"/>
  <c r="A408" i="3"/>
  <c r="BP407" i="3"/>
  <c r="BO407" i="3"/>
  <c r="BN407" i="3"/>
  <c r="BM407" i="3"/>
  <c r="BL407" i="3"/>
  <c r="BK407" i="3"/>
  <c r="BJ407" i="3"/>
  <c r="BI407" i="3"/>
  <c r="BH407" i="3"/>
  <c r="BG407" i="3"/>
  <c r="BF407" i="3"/>
  <c r="BE407" i="3"/>
  <c r="BD407" i="3"/>
  <c r="BC407" i="3"/>
  <c r="BB407" i="3"/>
  <c r="BA407" i="3"/>
  <c r="AZ407" i="3"/>
  <c r="AY407" i="3"/>
  <c r="AX407" i="3"/>
  <c r="AW407" i="3"/>
  <c r="AV407" i="3"/>
  <c r="AU407" i="3"/>
  <c r="AT407" i="3"/>
  <c r="AS407" i="3"/>
  <c r="AR407" i="3"/>
  <c r="AQ407" i="3"/>
  <c r="AP407" i="3"/>
  <c r="AO407" i="3"/>
  <c r="AN407" i="3"/>
  <c r="AM407" i="3"/>
  <c r="AL407" i="3"/>
  <c r="AK407" i="3"/>
  <c r="AJ407" i="3"/>
  <c r="AI407" i="3"/>
  <c r="AH407" i="3"/>
  <c r="AG407" i="3"/>
  <c r="AF407" i="3"/>
  <c r="AE407" i="3"/>
  <c r="AD407" i="3"/>
  <c r="AC407" i="3"/>
  <c r="AB407" i="3"/>
  <c r="AA407" i="3"/>
  <c r="Z407" i="3"/>
  <c r="Y407" i="3"/>
  <c r="X407" i="3"/>
  <c r="W407" i="3"/>
  <c r="V407" i="3"/>
  <c r="U407" i="3"/>
  <c r="T407" i="3"/>
  <c r="S407" i="3"/>
  <c r="R407" i="3"/>
  <c r="Q407" i="3"/>
  <c r="P407" i="3"/>
  <c r="O407" i="3"/>
  <c r="N407" i="3"/>
  <c r="M407" i="3"/>
  <c r="L407" i="3"/>
  <c r="K407" i="3"/>
  <c r="J407" i="3"/>
  <c r="I407" i="3"/>
  <c r="H407" i="3"/>
  <c r="G407" i="3"/>
  <c r="F407" i="3"/>
  <c r="E407" i="3"/>
  <c r="D407" i="3"/>
  <c r="C407" i="3"/>
  <c r="B407" i="3"/>
  <c r="A407" i="3"/>
  <c r="BP406" i="3"/>
  <c r="BO406" i="3"/>
  <c r="BN406" i="3"/>
  <c r="BM406" i="3"/>
  <c r="BL406" i="3"/>
  <c r="BK406" i="3"/>
  <c r="BJ406" i="3"/>
  <c r="BI406" i="3"/>
  <c r="BH406" i="3"/>
  <c r="BG406" i="3"/>
  <c r="BF406" i="3"/>
  <c r="BE406" i="3"/>
  <c r="BD406" i="3"/>
  <c r="BC406" i="3"/>
  <c r="BB406" i="3"/>
  <c r="BA406" i="3"/>
  <c r="AZ406" i="3"/>
  <c r="AY406" i="3"/>
  <c r="AX406" i="3"/>
  <c r="AW406" i="3"/>
  <c r="AV406" i="3"/>
  <c r="AU406" i="3"/>
  <c r="AT406" i="3"/>
  <c r="AS406" i="3"/>
  <c r="AR406" i="3"/>
  <c r="AQ406" i="3"/>
  <c r="AP406" i="3"/>
  <c r="AO406" i="3"/>
  <c r="AN406" i="3"/>
  <c r="AM406" i="3"/>
  <c r="AL406" i="3"/>
  <c r="AK406" i="3"/>
  <c r="AJ406" i="3"/>
  <c r="AI406" i="3"/>
  <c r="AH406" i="3"/>
  <c r="AG406" i="3"/>
  <c r="AF406" i="3"/>
  <c r="AE406" i="3"/>
  <c r="AD406" i="3"/>
  <c r="AC406" i="3"/>
  <c r="AB406" i="3"/>
  <c r="AA406" i="3"/>
  <c r="Z406" i="3"/>
  <c r="Y406" i="3"/>
  <c r="X406" i="3"/>
  <c r="W406" i="3"/>
  <c r="V406" i="3"/>
  <c r="U406" i="3"/>
  <c r="T406" i="3"/>
  <c r="S406" i="3"/>
  <c r="R406" i="3"/>
  <c r="Q406" i="3"/>
  <c r="P406" i="3"/>
  <c r="O406" i="3"/>
  <c r="N406" i="3"/>
  <c r="M406" i="3"/>
  <c r="L406" i="3"/>
  <c r="K406" i="3"/>
  <c r="J406" i="3"/>
  <c r="I406" i="3"/>
  <c r="H406" i="3"/>
  <c r="G406" i="3"/>
  <c r="F406" i="3"/>
  <c r="E406" i="3"/>
  <c r="D406" i="3"/>
  <c r="C406" i="3"/>
  <c r="B406" i="3"/>
  <c r="A406" i="3"/>
  <c r="BP405" i="3"/>
  <c r="BO405" i="3"/>
  <c r="BN405" i="3"/>
  <c r="BM405" i="3"/>
  <c r="BL405" i="3"/>
  <c r="BK405" i="3"/>
  <c r="BJ405" i="3"/>
  <c r="BI405" i="3"/>
  <c r="BH405" i="3"/>
  <c r="BG405" i="3"/>
  <c r="BF405" i="3"/>
  <c r="BE405" i="3"/>
  <c r="BD405" i="3"/>
  <c r="BC405" i="3"/>
  <c r="BB405" i="3"/>
  <c r="BA405" i="3"/>
  <c r="AZ405" i="3"/>
  <c r="AY405" i="3"/>
  <c r="AX405" i="3"/>
  <c r="AW405" i="3"/>
  <c r="AV405" i="3"/>
  <c r="AU405" i="3"/>
  <c r="AT405" i="3"/>
  <c r="AS405" i="3"/>
  <c r="AR405" i="3"/>
  <c r="AQ405" i="3"/>
  <c r="AP405" i="3"/>
  <c r="AO405" i="3"/>
  <c r="AN405" i="3"/>
  <c r="AM405" i="3"/>
  <c r="AL405" i="3"/>
  <c r="AK405" i="3"/>
  <c r="AJ405" i="3"/>
  <c r="AI405" i="3"/>
  <c r="AH405" i="3"/>
  <c r="AG405" i="3"/>
  <c r="AF405" i="3"/>
  <c r="AE405" i="3"/>
  <c r="AD405" i="3"/>
  <c r="AC405" i="3"/>
  <c r="AB405" i="3"/>
  <c r="AA405" i="3"/>
  <c r="Z405" i="3"/>
  <c r="Y405" i="3"/>
  <c r="X405" i="3"/>
  <c r="W405" i="3"/>
  <c r="V405" i="3"/>
  <c r="U405" i="3"/>
  <c r="T405" i="3"/>
  <c r="S405" i="3"/>
  <c r="R405" i="3"/>
  <c r="Q405" i="3"/>
  <c r="P405" i="3"/>
  <c r="O405" i="3"/>
  <c r="N405" i="3"/>
  <c r="M405" i="3"/>
  <c r="L405" i="3"/>
  <c r="K405" i="3"/>
  <c r="J405" i="3"/>
  <c r="I405" i="3"/>
  <c r="H405" i="3"/>
  <c r="G405" i="3"/>
  <c r="F405" i="3"/>
  <c r="E405" i="3"/>
  <c r="D405" i="3"/>
  <c r="C405" i="3"/>
  <c r="B405" i="3"/>
  <c r="A405" i="3"/>
  <c r="BP404" i="3"/>
  <c r="BO404" i="3"/>
  <c r="BN404" i="3"/>
  <c r="BM404" i="3"/>
  <c r="BL404" i="3"/>
  <c r="BK404" i="3"/>
  <c r="BJ404" i="3"/>
  <c r="BI404" i="3"/>
  <c r="BH404" i="3"/>
  <c r="BG404" i="3"/>
  <c r="BF404" i="3"/>
  <c r="BE404" i="3"/>
  <c r="BD404" i="3"/>
  <c r="BC404" i="3"/>
  <c r="BB404" i="3"/>
  <c r="BA404" i="3"/>
  <c r="AZ404" i="3"/>
  <c r="AY404" i="3"/>
  <c r="AX404" i="3"/>
  <c r="AW404" i="3"/>
  <c r="AV404" i="3"/>
  <c r="AU404" i="3"/>
  <c r="AT404" i="3"/>
  <c r="AS404" i="3"/>
  <c r="AR404" i="3"/>
  <c r="AQ404" i="3"/>
  <c r="AP404" i="3"/>
  <c r="AO404" i="3"/>
  <c r="AN404" i="3"/>
  <c r="AM404" i="3"/>
  <c r="AL404" i="3"/>
  <c r="AK404" i="3"/>
  <c r="AJ404" i="3"/>
  <c r="AI404" i="3"/>
  <c r="AH404" i="3"/>
  <c r="AG404" i="3"/>
  <c r="AF404" i="3"/>
  <c r="AE404" i="3"/>
  <c r="AD404" i="3"/>
  <c r="AC404" i="3"/>
  <c r="AB404" i="3"/>
  <c r="AA404" i="3"/>
  <c r="Z404" i="3"/>
  <c r="Y404" i="3"/>
  <c r="X404" i="3"/>
  <c r="W404" i="3"/>
  <c r="V404" i="3"/>
  <c r="U404" i="3"/>
  <c r="T404" i="3"/>
  <c r="S404" i="3"/>
  <c r="R404" i="3"/>
  <c r="Q404" i="3"/>
  <c r="P404" i="3"/>
  <c r="O404" i="3"/>
  <c r="N404" i="3"/>
  <c r="M404" i="3"/>
  <c r="L404" i="3"/>
  <c r="K404" i="3"/>
  <c r="J404" i="3"/>
  <c r="I404" i="3"/>
  <c r="H404" i="3"/>
  <c r="G404" i="3"/>
  <c r="F404" i="3"/>
  <c r="E404" i="3"/>
  <c r="D404" i="3"/>
  <c r="C404" i="3"/>
  <c r="B404" i="3"/>
  <c r="A404" i="3"/>
  <c r="BP403" i="3"/>
  <c r="BO403" i="3"/>
  <c r="BN403" i="3"/>
  <c r="BM403" i="3"/>
  <c r="BL403" i="3"/>
  <c r="BK403" i="3"/>
  <c r="BJ403" i="3"/>
  <c r="BI403" i="3"/>
  <c r="BH403" i="3"/>
  <c r="BG403" i="3"/>
  <c r="BF403" i="3"/>
  <c r="BE403" i="3"/>
  <c r="BD403" i="3"/>
  <c r="BC403" i="3"/>
  <c r="BB403" i="3"/>
  <c r="BA403" i="3"/>
  <c r="AZ403" i="3"/>
  <c r="AY403" i="3"/>
  <c r="AX403" i="3"/>
  <c r="AW403" i="3"/>
  <c r="AV403" i="3"/>
  <c r="AU403" i="3"/>
  <c r="AT403" i="3"/>
  <c r="AS403" i="3"/>
  <c r="AR403" i="3"/>
  <c r="AQ403" i="3"/>
  <c r="AP403" i="3"/>
  <c r="AO403" i="3"/>
  <c r="AN403" i="3"/>
  <c r="AM403" i="3"/>
  <c r="AL403" i="3"/>
  <c r="AK403" i="3"/>
  <c r="AJ403" i="3"/>
  <c r="AI403" i="3"/>
  <c r="AH403" i="3"/>
  <c r="AG403" i="3"/>
  <c r="AF403" i="3"/>
  <c r="AE403" i="3"/>
  <c r="AD403" i="3"/>
  <c r="AC403" i="3"/>
  <c r="AB403" i="3"/>
  <c r="AA403" i="3"/>
  <c r="Z403" i="3"/>
  <c r="Y403" i="3"/>
  <c r="X403" i="3"/>
  <c r="W403" i="3"/>
  <c r="V403" i="3"/>
  <c r="U403" i="3"/>
  <c r="T403" i="3"/>
  <c r="S403" i="3"/>
  <c r="R403" i="3"/>
  <c r="Q403" i="3"/>
  <c r="P403" i="3"/>
  <c r="O403" i="3"/>
  <c r="N403" i="3"/>
  <c r="M403" i="3"/>
  <c r="L403" i="3"/>
  <c r="K403" i="3"/>
  <c r="J403" i="3"/>
  <c r="I403" i="3"/>
  <c r="H403" i="3"/>
  <c r="G403" i="3"/>
  <c r="F403" i="3"/>
  <c r="E403" i="3"/>
  <c r="D403" i="3"/>
  <c r="C403" i="3"/>
  <c r="B403" i="3"/>
  <c r="A403" i="3"/>
  <c r="BP402" i="3"/>
  <c r="BO402" i="3"/>
  <c r="BN402" i="3"/>
  <c r="BM402" i="3"/>
  <c r="BL402" i="3"/>
  <c r="BK402" i="3"/>
  <c r="BJ402" i="3"/>
  <c r="BI402" i="3"/>
  <c r="BH402" i="3"/>
  <c r="BG402" i="3"/>
  <c r="BF402" i="3"/>
  <c r="BE402" i="3"/>
  <c r="BD402" i="3"/>
  <c r="BC402" i="3"/>
  <c r="BB402" i="3"/>
  <c r="BA402" i="3"/>
  <c r="AZ402" i="3"/>
  <c r="AY402" i="3"/>
  <c r="AX402" i="3"/>
  <c r="AW402" i="3"/>
  <c r="AV402" i="3"/>
  <c r="AU402" i="3"/>
  <c r="AT402" i="3"/>
  <c r="AS402" i="3"/>
  <c r="AR402" i="3"/>
  <c r="AQ402" i="3"/>
  <c r="AP402" i="3"/>
  <c r="AO402" i="3"/>
  <c r="AN402" i="3"/>
  <c r="AM402" i="3"/>
  <c r="AL402" i="3"/>
  <c r="AK402" i="3"/>
  <c r="AJ402" i="3"/>
  <c r="AI402" i="3"/>
  <c r="AH402" i="3"/>
  <c r="AG402" i="3"/>
  <c r="AF402" i="3"/>
  <c r="AE402" i="3"/>
  <c r="AD402" i="3"/>
  <c r="AC402" i="3"/>
  <c r="AB402" i="3"/>
  <c r="AA402" i="3"/>
  <c r="Z402" i="3"/>
  <c r="Y402" i="3"/>
  <c r="X402" i="3"/>
  <c r="W402" i="3"/>
  <c r="V402" i="3"/>
  <c r="U402" i="3"/>
  <c r="T402" i="3"/>
  <c r="S402" i="3"/>
  <c r="R402" i="3"/>
  <c r="Q402" i="3"/>
  <c r="P402" i="3"/>
  <c r="O402" i="3"/>
  <c r="N402" i="3"/>
  <c r="M402" i="3"/>
  <c r="L402" i="3"/>
  <c r="K402" i="3"/>
  <c r="J402" i="3"/>
  <c r="I402" i="3"/>
  <c r="H402" i="3"/>
  <c r="G402" i="3"/>
  <c r="F402" i="3"/>
  <c r="E402" i="3"/>
  <c r="D402" i="3"/>
  <c r="C402" i="3"/>
  <c r="B402" i="3"/>
  <c r="A402" i="3"/>
  <c r="BP401" i="3"/>
  <c r="BO401" i="3"/>
  <c r="BN401" i="3"/>
  <c r="BM401" i="3"/>
  <c r="BL401" i="3"/>
  <c r="BK401" i="3"/>
  <c r="BJ401" i="3"/>
  <c r="BI401" i="3"/>
  <c r="BH401" i="3"/>
  <c r="BG401" i="3"/>
  <c r="BF401" i="3"/>
  <c r="BE401" i="3"/>
  <c r="BD401" i="3"/>
  <c r="BC401" i="3"/>
  <c r="BB401" i="3"/>
  <c r="BA401" i="3"/>
  <c r="AZ401" i="3"/>
  <c r="AY401" i="3"/>
  <c r="AX401" i="3"/>
  <c r="AW401" i="3"/>
  <c r="AV401" i="3"/>
  <c r="AU401" i="3"/>
  <c r="AT401" i="3"/>
  <c r="AS401" i="3"/>
  <c r="AR401" i="3"/>
  <c r="AQ401" i="3"/>
  <c r="AP401" i="3"/>
  <c r="AO401" i="3"/>
  <c r="AN401" i="3"/>
  <c r="AM401" i="3"/>
  <c r="AL401" i="3"/>
  <c r="AK401" i="3"/>
  <c r="AJ401" i="3"/>
  <c r="AI401" i="3"/>
  <c r="AH401" i="3"/>
  <c r="AG401" i="3"/>
  <c r="AF401" i="3"/>
  <c r="AE401" i="3"/>
  <c r="AD401" i="3"/>
  <c r="AC401" i="3"/>
  <c r="AB401" i="3"/>
  <c r="AA401" i="3"/>
  <c r="Z401" i="3"/>
  <c r="Y401" i="3"/>
  <c r="X401" i="3"/>
  <c r="W401" i="3"/>
  <c r="V401" i="3"/>
  <c r="U401" i="3"/>
  <c r="T401" i="3"/>
  <c r="S401" i="3"/>
  <c r="R401" i="3"/>
  <c r="Q401" i="3"/>
  <c r="P401" i="3"/>
  <c r="O401" i="3"/>
  <c r="N401" i="3"/>
  <c r="M401" i="3"/>
  <c r="L401" i="3"/>
  <c r="K401" i="3"/>
  <c r="J401" i="3"/>
  <c r="I401" i="3"/>
  <c r="H401" i="3"/>
  <c r="G401" i="3"/>
  <c r="F401" i="3"/>
  <c r="E401" i="3"/>
  <c r="D401" i="3"/>
  <c r="C401" i="3"/>
  <c r="B401" i="3"/>
  <c r="A401" i="3"/>
  <c r="BP400" i="3"/>
  <c r="BO400" i="3"/>
  <c r="BN400" i="3"/>
  <c r="BM400" i="3"/>
  <c r="BL400" i="3"/>
  <c r="BK400" i="3"/>
  <c r="BJ400" i="3"/>
  <c r="BI400" i="3"/>
  <c r="BH400" i="3"/>
  <c r="BG400" i="3"/>
  <c r="BF400" i="3"/>
  <c r="BE400" i="3"/>
  <c r="BD400" i="3"/>
  <c r="BC400" i="3"/>
  <c r="BB400" i="3"/>
  <c r="BA400" i="3"/>
  <c r="AZ400" i="3"/>
  <c r="AY400" i="3"/>
  <c r="AX400" i="3"/>
  <c r="AW400" i="3"/>
  <c r="AV400" i="3"/>
  <c r="AU400" i="3"/>
  <c r="AT400" i="3"/>
  <c r="AS400" i="3"/>
  <c r="AR400" i="3"/>
  <c r="AQ400" i="3"/>
  <c r="AP400" i="3"/>
  <c r="AO400" i="3"/>
  <c r="AN400" i="3"/>
  <c r="AM400" i="3"/>
  <c r="AL400" i="3"/>
  <c r="AK400" i="3"/>
  <c r="AJ400" i="3"/>
  <c r="AI400" i="3"/>
  <c r="AH400" i="3"/>
  <c r="AG400" i="3"/>
  <c r="AF400" i="3"/>
  <c r="AE400" i="3"/>
  <c r="AD400" i="3"/>
  <c r="AC400" i="3"/>
  <c r="AB400" i="3"/>
  <c r="AA400" i="3"/>
  <c r="Z400" i="3"/>
  <c r="Y400" i="3"/>
  <c r="X400" i="3"/>
  <c r="W400" i="3"/>
  <c r="V400" i="3"/>
  <c r="U400" i="3"/>
  <c r="T400" i="3"/>
  <c r="S400" i="3"/>
  <c r="R400" i="3"/>
  <c r="Q400" i="3"/>
  <c r="P400" i="3"/>
  <c r="O400" i="3"/>
  <c r="N400" i="3"/>
  <c r="M400" i="3"/>
  <c r="L400" i="3"/>
  <c r="K400" i="3"/>
  <c r="J400" i="3"/>
  <c r="I400" i="3"/>
  <c r="H400" i="3"/>
  <c r="G400" i="3"/>
  <c r="F400" i="3"/>
  <c r="E400" i="3"/>
  <c r="D400" i="3"/>
  <c r="C400" i="3"/>
  <c r="B400" i="3"/>
  <c r="A400" i="3"/>
  <c r="BP399" i="3"/>
  <c r="BO399" i="3"/>
  <c r="BN399" i="3"/>
  <c r="BM399" i="3"/>
  <c r="BL399" i="3"/>
  <c r="BK399" i="3"/>
  <c r="BJ399" i="3"/>
  <c r="BI399" i="3"/>
  <c r="BH399" i="3"/>
  <c r="BG399" i="3"/>
  <c r="BF399" i="3"/>
  <c r="BE399" i="3"/>
  <c r="BD399" i="3"/>
  <c r="BC399" i="3"/>
  <c r="BB399" i="3"/>
  <c r="BA399" i="3"/>
  <c r="AZ399" i="3"/>
  <c r="AY399" i="3"/>
  <c r="AX399" i="3"/>
  <c r="AW399" i="3"/>
  <c r="AV399" i="3"/>
  <c r="AU399" i="3"/>
  <c r="AT399" i="3"/>
  <c r="AS399" i="3"/>
  <c r="AR399" i="3"/>
  <c r="AQ399" i="3"/>
  <c r="AP399" i="3"/>
  <c r="AO399" i="3"/>
  <c r="AN399" i="3"/>
  <c r="AM399" i="3"/>
  <c r="AL399" i="3"/>
  <c r="AK399" i="3"/>
  <c r="AJ399" i="3"/>
  <c r="AI399" i="3"/>
  <c r="AH399" i="3"/>
  <c r="AG399" i="3"/>
  <c r="AF399" i="3"/>
  <c r="AE399" i="3"/>
  <c r="AD399" i="3"/>
  <c r="AC399" i="3"/>
  <c r="AB399" i="3"/>
  <c r="AA399" i="3"/>
  <c r="Z399" i="3"/>
  <c r="Y399" i="3"/>
  <c r="X399" i="3"/>
  <c r="W399" i="3"/>
  <c r="V399" i="3"/>
  <c r="U399" i="3"/>
  <c r="T399" i="3"/>
  <c r="S399" i="3"/>
  <c r="R399" i="3"/>
  <c r="Q399" i="3"/>
  <c r="P399" i="3"/>
  <c r="O399" i="3"/>
  <c r="N399" i="3"/>
  <c r="M399" i="3"/>
  <c r="L399" i="3"/>
  <c r="K399" i="3"/>
  <c r="J399" i="3"/>
  <c r="I399" i="3"/>
  <c r="H399" i="3"/>
  <c r="G399" i="3"/>
  <c r="F399" i="3"/>
  <c r="E399" i="3"/>
  <c r="D399" i="3"/>
  <c r="C399" i="3"/>
  <c r="B399" i="3"/>
  <c r="A399" i="3"/>
  <c r="BP398" i="3"/>
  <c r="BO398" i="3"/>
  <c r="BN398" i="3"/>
  <c r="BM398" i="3"/>
  <c r="BL398" i="3"/>
  <c r="BK398" i="3"/>
  <c r="BJ398" i="3"/>
  <c r="BI398" i="3"/>
  <c r="BH398" i="3"/>
  <c r="BG398" i="3"/>
  <c r="BF398" i="3"/>
  <c r="BE398" i="3"/>
  <c r="BD398" i="3"/>
  <c r="BC398" i="3"/>
  <c r="BB398" i="3"/>
  <c r="BA398" i="3"/>
  <c r="AZ398" i="3"/>
  <c r="AY398" i="3"/>
  <c r="AX398" i="3"/>
  <c r="AW398" i="3"/>
  <c r="AV398" i="3"/>
  <c r="AU398" i="3"/>
  <c r="AT398" i="3"/>
  <c r="AS398" i="3"/>
  <c r="AR398" i="3"/>
  <c r="AQ398" i="3"/>
  <c r="AP398" i="3"/>
  <c r="AO398" i="3"/>
  <c r="AN398" i="3"/>
  <c r="AM398" i="3"/>
  <c r="AL398" i="3"/>
  <c r="AK398" i="3"/>
  <c r="AJ398" i="3"/>
  <c r="AI398" i="3"/>
  <c r="AH398" i="3"/>
  <c r="AG398" i="3"/>
  <c r="AF398" i="3"/>
  <c r="AE398" i="3"/>
  <c r="AD398" i="3"/>
  <c r="AC398" i="3"/>
  <c r="AB398" i="3"/>
  <c r="AA398" i="3"/>
  <c r="Z398" i="3"/>
  <c r="Y398" i="3"/>
  <c r="X398" i="3"/>
  <c r="W398" i="3"/>
  <c r="V398" i="3"/>
  <c r="U398" i="3"/>
  <c r="T398" i="3"/>
  <c r="S398" i="3"/>
  <c r="R398" i="3"/>
  <c r="Q398" i="3"/>
  <c r="P398" i="3"/>
  <c r="O398" i="3"/>
  <c r="N398" i="3"/>
  <c r="M398" i="3"/>
  <c r="L398" i="3"/>
  <c r="K398" i="3"/>
  <c r="J398" i="3"/>
  <c r="I398" i="3"/>
  <c r="H398" i="3"/>
  <c r="G398" i="3"/>
  <c r="F398" i="3"/>
  <c r="E398" i="3"/>
  <c r="D398" i="3"/>
  <c r="C398" i="3"/>
  <c r="B398" i="3"/>
  <c r="A398" i="3"/>
  <c r="BP397" i="3"/>
  <c r="BO397" i="3"/>
  <c r="BN397" i="3"/>
  <c r="BM397" i="3"/>
  <c r="BL397" i="3"/>
  <c r="BK397" i="3"/>
  <c r="BJ397" i="3"/>
  <c r="BI397" i="3"/>
  <c r="BH397" i="3"/>
  <c r="BG397" i="3"/>
  <c r="BF397" i="3"/>
  <c r="BE397" i="3"/>
  <c r="BD397" i="3"/>
  <c r="BC397" i="3"/>
  <c r="BB397" i="3"/>
  <c r="BA397" i="3"/>
  <c r="AZ397" i="3"/>
  <c r="AY397" i="3"/>
  <c r="AX397" i="3"/>
  <c r="AW397" i="3"/>
  <c r="AV397" i="3"/>
  <c r="AU397" i="3"/>
  <c r="AT397" i="3"/>
  <c r="AS397" i="3"/>
  <c r="AR397" i="3"/>
  <c r="AQ397" i="3"/>
  <c r="AP397" i="3"/>
  <c r="AO397" i="3"/>
  <c r="AN397" i="3"/>
  <c r="AM397" i="3"/>
  <c r="AL397" i="3"/>
  <c r="AK397" i="3"/>
  <c r="AJ397" i="3"/>
  <c r="AI397" i="3"/>
  <c r="AH397" i="3"/>
  <c r="AG397" i="3"/>
  <c r="AF397" i="3"/>
  <c r="AE397" i="3"/>
  <c r="AD397" i="3"/>
  <c r="AC397" i="3"/>
  <c r="AB397" i="3"/>
  <c r="AA397" i="3"/>
  <c r="Z397" i="3"/>
  <c r="Y397" i="3"/>
  <c r="X397" i="3"/>
  <c r="W397" i="3"/>
  <c r="V397" i="3"/>
  <c r="U397" i="3"/>
  <c r="T397" i="3"/>
  <c r="S397" i="3"/>
  <c r="R397" i="3"/>
  <c r="Q397" i="3"/>
  <c r="P397" i="3"/>
  <c r="O397" i="3"/>
  <c r="N397" i="3"/>
  <c r="M397" i="3"/>
  <c r="L397" i="3"/>
  <c r="K397" i="3"/>
  <c r="J397" i="3"/>
  <c r="I397" i="3"/>
  <c r="H397" i="3"/>
  <c r="G397" i="3"/>
  <c r="F397" i="3"/>
  <c r="E397" i="3"/>
  <c r="D397" i="3"/>
  <c r="C397" i="3"/>
  <c r="B397" i="3"/>
  <c r="A397" i="3"/>
  <c r="BP396" i="3"/>
  <c r="BO396" i="3"/>
  <c r="BN396" i="3"/>
  <c r="BM396" i="3"/>
  <c r="BL396" i="3"/>
  <c r="BK396" i="3"/>
  <c r="BJ396" i="3"/>
  <c r="BI396" i="3"/>
  <c r="BH396" i="3"/>
  <c r="BG396" i="3"/>
  <c r="BF396" i="3"/>
  <c r="BE396" i="3"/>
  <c r="BD396" i="3"/>
  <c r="BC396" i="3"/>
  <c r="BB396" i="3"/>
  <c r="BA396" i="3"/>
  <c r="AZ396" i="3"/>
  <c r="AY396" i="3"/>
  <c r="AX396" i="3"/>
  <c r="AW396" i="3"/>
  <c r="AV396" i="3"/>
  <c r="AU396" i="3"/>
  <c r="AT396" i="3"/>
  <c r="AS396" i="3"/>
  <c r="AR396" i="3"/>
  <c r="AQ396" i="3"/>
  <c r="AP396" i="3"/>
  <c r="AO396" i="3"/>
  <c r="AN396" i="3"/>
  <c r="AM396" i="3"/>
  <c r="AL396" i="3"/>
  <c r="AK396" i="3"/>
  <c r="AJ396" i="3"/>
  <c r="AI396" i="3"/>
  <c r="AH396" i="3"/>
  <c r="AG396" i="3"/>
  <c r="AF396" i="3"/>
  <c r="AE396" i="3"/>
  <c r="AD396" i="3"/>
  <c r="AC396" i="3"/>
  <c r="AB396" i="3"/>
  <c r="AA396" i="3"/>
  <c r="Z396" i="3"/>
  <c r="Y396" i="3"/>
  <c r="X396" i="3"/>
  <c r="W396" i="3"/>
  <c r="V396" i="3"/>
  <c r="U396" i="3"/>
  <c r="T396" i="3"/>
  <c r="S396" i="3"/>
  <c r="R396" i="3"/>
  <c r="Q396" i="3"/>
  <c r="P396" i="3"/>
  <c r="O396" i="3"/>
  <c r="N396" i="3"/>
  <c r="M396" i="3"/>
  <c r="L396" i="3"/>
  <c r="K396" i="3"/>
  <c r="J396" i="3"/>
  <c r="I396" i="3"/>
  <c r="H396" i="3"/>
  <c r="G396" i="3"/>
  <c r="F396" i="3"/>
  <c r="E396" i="3"/>
  <c r="D396" i="3"/>
  <c r="C396" i="3"/>
  <c r="B396" i="3"/>
  <c r="A396" i="3"/>
  <c r="BP395" i="3"/>
  <c r="BO395" i="3"/>
  <c r="BN395" i="3"/>
  <c r="BM395" i="3"/>
  <c r="BL395" i="3"/>
  <c r="BK395" i="3"/>
  <c r="BJ395" i="3"/>
  <c r="BI395" i="3"/>
  <c r="BH395" i="3"/>
  <c r="BG395" i="3"/>
  <c r="BF395" i="3"/>
  <c r="BE395" i="3"/>
  <c r="BD395" i="3"/>
  <c r="BC395" i="3"/>
  <c r="BB395" i="3"/>
  <c r="BA395" i="3"/>
  <c r="AZ395" i="3"/>
  <c r="AY395" i="3"/>
  <c r="AX395" i="3"/>
  <c r="AW395" i="3"/>
  <c r="AV395" i="3"/>
  <c r="AU395" i="3"/>
  <c r="AT395" i="3"/>
  <c r="AS395" i="3"/>
  <c r="AR395" i="3"/>
  <c r="AQ395" i="3"/>
  <c r="AP395" i="3"/>
  <c r="AO395" i="3"/>
  <c r="AN395" i="3"/>
  <c r="AM395" i="3"/>
  <c r="AL395" i="3"/>
  <c r="AK395" i="3"/>
  <c r="AJ395" i="3"/>
  <c r="AI395" i="3"/>
  <c r="AH395" i="3"/>
  <c r="AG395" i="3"/>
  <c r="AF395" i="3"/>
  <c r="AE395" i="3"/>
  <c r="AD395" i="3"/>
  <c r="AC395" i="3"/>
  <c r="AB395" i="3"/>
  <c r="AA395" i="3"/>
  <c r="Z395" i="3"/>
  <c r="Y395" i="3"/>
  <c r="X395" i="3"/>
  <c r="W395" i="3"/>
  <c r="V395" i="3"/>
  <c r="U395" i="3"/>
  <c r="T395" i="3"/>
  <c r="S395" i="3"/>
  <c r="R395" i="3"/>
  <c r="Q395" i="3"/>
  <c r="P395" i="3"/>
  <c r="O395" i="3"/>
  <c r="N395" i="3"/>
  <c r="M395" i="3"/>
  <c r="L395" i="3"/>
  <c r="K395" i="3"/>
  <c r="J395" i="3"/>
  <c r="I395" i="3"/>
  <c r="H395" i="3"/>
  <c r="G395" i="3"/>
  <c r="F395" i="3"/>
  <c r="E395" i="3"/>
  <c r="D395" i="3"/>
  <c r="C395" i="3"/>
  <c r="B395" i="3"/>
  <c r="A395" i="3"/>
  <c r="BP394" i="3"/>
  <c r="BO394" i="3"/>
  <c r="BN394" i="3"/>
  <c r="BM394" i="3"/>
  <c r="BL394" i="3"/>
  <c r="BK394" i="3"/>
  <c r="BJ394" i="3"/>
  <c r="BI394" i="3"/>
  <c r="BH394" i="3"/>
  <c r="BG394" i="3"/>
  <c r="BF394" i="3"/>
  <c r="BE394" i="3"/>
  <c r="BD394" i="3"/>
  <c r="BC394" i="3"/>
  <c r="BB394" i="3"/>
  <c r="BA394" i="3"/>
  <c r="AZ394" i="3"/>
  <c r="AY394" i="3"/>
  <c r="AX394" i="3"/>
  <c r="AW394" i="3"/>
  <c r="AV394" i="3"/>
  <c r="AU394" i="3"/>
  <c r="AT394" i="3"/>
  <c r="AS394" i="3"/>
  <c r="AR394" i="3"/>
  <c r="AQ394" i="3"/>
  <c r="AP394" i="3"/>
  <c r="AO394" i="3"/>
  <c r="AN394" i="3"/>
  <c r="AM394" i="3"/>
  <c r="AL394" i="3"/>
  <c r="AK394" i="3"/>
  <c r="AJ394" i="3"/>
  <c r="AI394" i="3"/>
  <c r="AH394" i="3"/>
  <c r="AG394" i="3"/>
  <c r="AF394" i="3"/>
  <c r="AE394" i="3"/>
  <c r="AD394" i="3"/>
  <c r="AC394" i="3"/>
  <c r="AB394" i="3"/>
  <c r="AA394" i="3"/>
  <c r="Z394" i="3"/>
  <c r="Y394" i="3"/>
  <c r="X394" i="3"/>
  <c r="W394" i="3"/>
  <c r="V394" i="3"/>
  <c r="U394" i="3"/>
  <c r="T394" i="3"/>
  <c r="S394" i="3"/>
  <c r="R394" i="3"/>
  <c r="Q394" i="3"/>
  <c r="P394" i="3"/>
  <c r="O394" i="3"/>
  <c r="N394" i="3"/>
  <c r="M394" i="3"/>
  <c r="L394" i="3"/>
  <c r="K394" i="3"/>
  <c r="J394" i="3"/>
  <c r="I394" i="3"/>
  <c r="H394" i="3"/>
  <c r="G394" i="3"/>
  <c r="F394" i="3"/>
  <c r="E394" i="3"/>
  <c r="D394" i="3"/>
  <c r="C394" i="3"/>
  <c r="B394" i="3"/>
  <c r="A394" i="3"/>
  <c r="BP393" i="3"/>
  <c r="BO393" i="3"/>
  <c r="BN393" i="3"/>
  <c r="BM393" i="3"/>
  <c r="BL393" i="3"/>
  <c r="BK393" i="3"/>
  <c r="BJ393" i="3"/>
  <c r="BI393" i="3"/>
  <c r="BH393" i="3"/>
  <c r="BG393" i="3"/>
  <c r="BF393" i="3"/>
  <c r="BE393" i="3"/>
  <c r="BD393" i="3"/>
  <c r="BC393" i="3"/>
  <c r="BB393" i="3"/>
  <c r="BA393" i="3"/>
  <c r="AZ393" i="3"/>
  <c r="AY393" i="3"/>
  <c r="AX393" i="3"/>
  <c r="AW393" i="3"/>
  <c r="AV393" i="3"/>
  <c r="AU393" i="3"/>
  <c r="AT393" i="3"/>
  <c r="AS393" i="3"/>
  <c r="AR393" i="3"/>
  <c r="AQ393" i="3"/>
  <c r="AP393" i="3"/>
  <c r="AO393" i="3"/>
  <c r="AN393" i="3"/>
  <c r="AM393" i="3"/>
  <c r="AL393" i="3"/>
  <c r="AK393" i="3"/>
  <c r="AJ393" i="3"/>
  <c r="AI393" i="3"/>
  <c r="AH393" i="3"/>
  <c r="AG393" i="3"/>
  <c r="AF393" i="3"/>
  <c r="AE393" i="3"/>
  <c r="AD393" i="3"/>
  <c r="AC393" i="3"/>
  <c r="AB393" i="3"/>
  <c r="AA393" i="3"/>
  <c r="Z393" i="3"/>
  <c r="Y393" i="3"/>
  <c r="X393" i="3"/>
  <c r="W393" i="3"/>
  <c r="V393" i="3"/>
  <c r="U393" i="3"/>
  <c r="T393" i="3"/>
  <c r="S393" i="3"/>
  <c r="R393" i="3"/>
  <c r="Q393" i="3"/>
  <c r="P393" i="3"/>
  <c r="O393" i="3"/>
  <c r="N393" i="3"/>
  <c r="M393" i="3"/>
  <c r="L393" i="3"/>
  <c r="K393" i="3"/>
  <c r="J393" i="3"/>
  <c r="I393" i="3"/>
  <c r="H393" i="3"/>
  <c r="G393" i="3"/>
  <c r="F393" i="3"/>
  <c r="E393" i="3"/>
  <c r="D393" i="3"/>
  <c r="C393" i="3"/>
  <c r="B393" i="3"/>
  <c r="A393" i="3"/>
  <c r="BP392" i="3"/>
  <c r="BO392" i="3"/>
  <c r="BN392" i="3"/>
  <c r="BM392" i="3"/>
  <c r="BL392" i="3"/>
  <c r="BK392" i="3"/>
  <c r="BJ392" i="3"/>
  <c r="BI392" i="3"/>
  <c r="BH392" i="3"/>
  <c r="BG392" i="3"/>
  <c r="BF392" i="3"/>
  <c r="BE392" i="3"/>
  <c r="BD392" i="3"/>
  <c r="BC392" i="3"/>
  <c r="BB392" i="3"/>
  <c r="BA392" i="3"/>
  <c r="AZ392" i="3"/>
  <c r="AY392" i="3"/>
  <c r="AX392" i="3"/>
  <c r="AW392" i="3"/>
  <c r="AV392" i="3"/>
  <c r="AU392" i="3"/>
  <c r="AT392" i="3"/>
  <c r="AS392" i="3"/>
  <c r="AR392" i="3"/>
  <c r="AQ392" i="3"/>
  <c r="AP392" i="3"/>
  <c r="AO392" i="3"/>
  <c r="AN392" i="3"/>
  <c r="AM392" i="3"/>
  <c r="AL392" i="3"/>
  <c r="AK392" i="3"/>
  <c r="AJ392" i="3"/>
  <c r="AI392" i="3"/>
  <c r="AH392" i="3"/>
  <c r="AG392" i="3"/>
  <c r="AF392" i="3"/>
  <c r="AE392" i="3"/>
  <c r="AD392" i="3"/>
  <c r="AC392" i="3"/>
  <c r="AB392" i="3"/>
  <c r="AA392" i="3"/>
  <c r="Z392" i="3"/>
  <c r="Y392" i="3"/>
  <c r="X392" i="3"/>
  <c r="W392" i="3"/>
  <c r="V392" i="3"/>
  <c r="U392" i="3"/>
  <c r="T392" i="3"/>
  <c r="S392" i="3"/>
  <c r="R392" i="3"/>
  <c r="Q392" i="3"/>
  <c r="P392" i="3"/>
  <c r="O392" i="3"/>
  <c r="N392" i="3"/>
  <c r="M392" i="3"/>
  <c r="L392" i="3"/>
  <c r="K392" i="3"/>
  <c r="J392" i="3"/>
  <c r="I392" i="3"/>
  <c r="H392" i="3"/>
  <c r="G392" i="3"/>
  <c r="F392" i="3"/>
  <c r="E392" i="3"/>
  <c r="D392" i="3"/>
  <c r="C392" i="3"/>
  <c r="B392" i="3"/>
  <c r="A392" i="3"/>
  <c r="BP391" i="3"/>
  <c r="BO391" i="3"/>
  <c r="BN391" i="3"/>
  <c r="BM391" i="3"/>
  <c r="BL391" i="3"/>
  <c r="BK391" i="3"/>
  <c r="BJ391" i="3"/>
  <c r="BI391" i="3"/>
  <c r="BH391" i="3"/>
  <c r="BG391" i="3"/>
  <c r="BF391" i="3"/>
  <c r="BE391" i="3"/>
  <c r="BD391" i="3"/>
  <c r="BC391" i="3"/>
  <c r="BB391" i="3"/>
  <c r="BA391" i="3"/>
  <c r="AZ391" i="3"/>
  <c r="AY391" i="3"/>
  <c r="AX391" i="3"/>
  <c r="AW391" i="3"/>
  <c r="AV391" i="3"/>
  <c r="AU391" i="3"/>
  <c r="AT391" i="3"/>
  <c r="AS391" i="3"/>
  <c r="AR391" i="3"/>
  <c r="AQ391" i="3"/>
  <c r="AP391" i="3"/>
  <c r="AO391" i="3"/>
  <c r="AN391" i="3"/>
  <c r="AM391" i="3"/>
  <c r="AL391" i="3"/>
  <c r="AK391" i="3"/>
  <c r="AJ391" i="3"/>
  <c r="AI391" i="3"/>
  <c r="AH391" i="3"/>
  <c r="AG391" i="3"/>
  <c r="AF391" i="3"/>
  <c r="AE391" i="3"/>
  <c r="AD391" i="3"/>
  <c r="AC391" i="3"/>
  <c r="AB391" i="3"/>
  <c r="AA391" i="3"/>
  <c r="Z391" i="3"/>
  <c r="Y391" i="3"/>
  <c r="X391" i="3"/>
  <c r="W391" i="3"/>
  <c r="V391" i="3"/>
  <c r="U391" i="3"/>
  <c r="T391" i="3"/>
  <c r="S391" i="3"/>
  <c r="R391" i="3"/>
  <c r="Q391" i="3"/>
  <c r="P391" i="3"/>
  <c r="O391" i="3"/>
  <c r="N391" i="3"/>
  <c r="M391" i="3"/>
  <c r="L391" i="3"/>
  <c r="K391" i="3"/>
  <c r="J391" i="3"/>
  <c r="I391" i="3"/>
  <c r="H391" i="3"/>
  <c r="G391" i="3"/>
  <c r="F391" i="3"/>
  <c r="E391" i="3"/>
  <c r="D391" i="3"/>
  <c r="C391" i="3"/>
  <c r="B391" i="3"/>
  <c r="A391" i="3"/>
  <c r="BP390" i="3"/>
  <c r="BO390" i="3"/>
  <c r="BN390" i="3"/>
  <c r="BM390" i="3"/>
  <c r="BL390" i="3"/>
  <c r="BK390" i="3"/>
  <c r="BJ390" i="3"/>
  <c r="BI390" i="3"/>
  <c r="BH390" i="3"/>
  <c r="BG390" i="3"/>
  <c r="BF390" i="3"/>
  <c r="BE390" i="3"/>
  <c r="BD390" i="3"/>
  <c r="BC390" i="3"/>
  <c r="BB390" i="3"/>
  <c r="BA390" i="3"/>
  <c r="AZ390" i="3"/>
  <c r="AY390" i="3"/>
  <c r="AX390" i="3"/>
  <c r="AW390" i="3"/>
  <c r="AV390" i="3"/>
  <c r="AU390" i="3"/>
  <c r="AT390" i="3"/>
  <c r="AS390" i="3"/>
  <c r="AR390" i="3"/>
  <c r="AQ390" i="3"/>
  <c r="AP390" i="3"/>
  <c r="AO390" i="3"/>
  <c r="AN390" i="3"/>
  <c r="AM390" i="3"/>
  <c r="AL390" i="3"/>
  <c r="AK390" i="3"/>
  <c r="AJ390" i="3"/>
  <c r="AI390" i="3"/>
  <c r="AH390" i="3"/>
  <c r="AG390" i="3"/>
  <c r="AF390" i="3"/>
  <c r="AE390" i="3"/>
  <c r="AD390" i="3"/>
  <c r="AC390" i="3"/>
  <c r="AB390" i="3"/>
  <c r="AA390" i="3"/>
  <c r="Z390" i="3"/>
  <c r="Y390" i="3"/>
  <c r="X390" i="3"/>
  <c r="W390" i="3"/>
  <c r="V390" i="3"/>
  <c r="U390" i="3"/>
  <c r="T390" i="3"/>
  <c r="S390" i="3"/>
  <c r="R390" i="3"/>
  <c r="Q390" i="3"/>
  <c r="P390" i="3"/>
  <c r="O390" i="3"/>
  <c r="N390" i="3"/>
  <c r="M390" i="3"/>
  <c r="L390" i="3"/>
  <c r="K390" i="3"/>
  <c r="J390" i="3"/>
  <c r="I390" i="3"/>
  <c r="H390" i="3"/>
  <c r="G390" i="3"/>
  <c r="F390" i="3"/>
  <c r="E390" i="3"/>
  <c r="D390" i="3"/>
  <c r="C390" i="3"/>
  <c r="B390" i="3"/>
  <c r="A390" i="3"/>
  <c r="BP389" i="3"/>
  <c r="BO389" i="3"/>
  <c r="BN389" i="3"/>
  <c r="BM389" i="3"/>
  <c r="BL389" i="3"/>
  <c r="BK389" i="3"/>
  <c r="BJ389" i="3"/>
  <c r="BI389" i="3"/>
  <c r="BH389" i="3"/>
  <c r="BG389" i="3"/>
  <c r="BF389" i="3"/>
  <c r="BE389" i="3"/>
  <c r="BD389" i="3"/>
  <c r="BC389" i="3"/>
  <c r="BB389" i="3"/>
  <c r="BA389" i="3"/>
  <c r="AZ389" i="3"/>
  <c r="AY389" i="3"/>
  <c r="AX389" i="3"/>
  <c r="AW389" i="3"/>
  <c r="AV389" i="3"/>
  <c r="AU389" i="3"/>
  <c r="AT389" i="3"/>
  <c r="AS389" i="3"/>
  <c r="AR389" i="3"/>
  <c r="AQ389" i="3"/>
  <c r="AP389" i="3"/>
  <c r="AO389" i="3"/>
  <c r="AN389" i="3"/>
  <c r="AM389" i="3"/>
  <c r="AL389" i="3"/>
  <c r="AK389" i="3"/>
  <c r="AJ389" i="3"/>
  <c r="AI389" i="3"/>
  <c r="AH389" i="3"/>
  <c r="AG389" i="3"/>
  <c r="AF389" i="3"/>
  <c r="AE389" i="3"/>
  <c r="AD389" i="3"/>
  <c r="AC389" i="3"/>
  <c r="AB389" i="3"/>
  <c r="AA389" i="3"/>
  <c r="Z389" i="3"/>
  <c r="Y389" i="3"/>
  <c r="X389" i="3"/>
  <c r="W389" i="3"/>
  <c r="V389" i="3"/>
  <c r="U389" i="3"/>
  <c r="T389" i="3"/>
  <c r="S389" i="3"/>
  <c r="R389" i="3"/>
  <c r="Q389" i="3"/>
  <c r="P389" i="3"/>
  <c r="O389" i="3"/>
  <c r="N389" i="3"/>
  <c r="M389" i="3"/>
  <c r="L389" i="3"/>
  <c r="K389" i="3"/>
  <c r="J389" i="3"/>
  <c r="I389" i="3"/>
  <c r="H389" i="3"/>
  <c r="G389" i="3"/>
  <c r="F389" i="3"/>
  <c r="E389" i="3"/>
  <c r="D389" i="3"/>
  <c r="C389" i="3"/>
  <c r="B389" i="3"/>
  <c r="A389" i="3"/>
  <c r="BP388" i="3"/>
  <c r="BO388" i="3"/>
  <c r="BN388" i="3"/>
  <c r="BM388" i="3"/>
  <c r="BL388" i="3"/>
  <c r="BK388" i="3"/>
  <c r="BJ388" i="3"/>
  <c r="BI388" i="3"/>
  <c r="BH388" i="3"/>
  <c r="BG388" i="3"/>
  <c r="BF388" i="3"/>
  <c r="BE388" i="3"/>
  <c r="BD388" i="3"/>
  <c r="BC388" i="3"/>
  <c r="BB388" i="3"/>
  <c r="BA388" i="3"/>
  <c r="AZ388" i="3"/>
  <c r="AY388" i="3"/>
  <c r="AX388" i="3"/>
  <c r="AW388" i="3"/>
  <c r="AV388" i="3"/>
  <c r="AU388" i="3"/>
  <c r="AT388" i="3"/>
  <c r="AS388" i="3"/>
  <c r="AR388" i="3"/>
  <c r="AQ388" i="3"/>
  <c r="AP388" i="3"/>
  <c r="AO388" i="3"/>
  <c r="AN388" i="3"/>
  <c r="AM388" i="3"/>
  <c r="AL388" i="3"/>
  <c r="AK388" i="3"/>
  <c r="AJ388" i="3"/>
  <c r="AI388" i="3"/>
  <c r="AH388" i="3"/>
  <c r="AG388" i="3"/>
  <c r="AF388" i="3"/>
  <c r="AE388" i="3"/>
  <c r="AD388" i="3"/>
  <c r="AC388" i="3"/>
  <c r="AB388" i="3"/>
  <c r="AA388" i="3"/>
  <c r="Z388" i="3"/>
  <c r="Y388" i="3"/>
  <c r="X388" i="3"/>
  <c r="W388" i="3"/>
  <c r="V388" i="3"/>
  <c r="U388" i="3"/>
  <c r="T388" i="3"/>
  <c r="S388" i="3"/>
  <c r="R388" i="3"/>
  <c r="Q388" i="3"/>
  <c r="P388" i="3"/>
  <c r="O388" i="3"/>
  <c r="N388" i="3"/>
  <c r="M388" i="3"/>
  <c r="L388" i="3"/>
  <c r="K388" i="3"/>
  <c r="J388" i="3"/>
  <c r="I388" i="3"/>
  <c r="H388" i="3"/>
  <c r="G388" i="3"/>
  <c r="F388" i="3"/>
  <c r="E388" i="3"/>
  <c r="D388" i="3"/>
  <c r="C388" i="3"/>
  <c r="B388" i="3"/>
  <c r="A388" i="3"/>
  <c r="BP387" i="3"/>
  <c r="BO387" i="3"/>
  <c r="BN387" i="3"/>
  <c r="BM387" i="3"/>
  <c r="BL387" i="3"/>
  <c r="BK387" i="3"/>
  <c r="BJ387" i="3"/>
  <c r="BI387" i="3"/>
  <c r="BH387" i="3"/>
  <c r="BG387" i="3"/>
  <c r="BF387" i="3"/>
  <c r="BE387" i="3"/>
  <c r="BD387" i="3"/>
  <c r="BC387" i="3"/>
  <c r="BB387" i="3"/>
  <c r="BA387" i="3"/>
  <c r="AZ387" i="3"/>
  <c r="AY387" i="3"/>
  <c r="AX387" i="3"/>
  <c r="AW387" i="3"/>
  <c r="AV387" i="3"/>
  <c r="AU387" i="3"/>
  <c r="AT387" i="3"/>
  <c r="AS387" i="3"/>
  <c r="AR387" i="3"/>
  <c r="AQ387" i="3"/>
  <c r="AP387" i="3"/>
  <c r="AO387" i="3"/>
  <c r="AN387" i="3"/>
  <c r="AM387" i="3"/>
  <c r="AL387" i="3"/>
  <c r="AK387" i="3"/>
  <c r="AJ387" i="3"/>
  <c r="AI387" i="3"/>
  <c r="AH387" i="3"/>
  <c r="AG387" i="3"/>
  <c r="AF387" i="3"/>
  <c r="AE387" i="3"/>
  <c r="AD387" i="3"/>
  <c r="AC387" i="3"/>
  <c r="AB387" i="3"/>
  <c r="AA387" i="3"/>
  <c r="Z387" i="3"/>
  <c r="Y387" i="3"/>
  <c r="X387" i="3"/>
  <c r="W387" i="3"/>
  <c r="V387" i="3"/>
  <c r="U387" i="3"/>
  <c r="T387" i="3"/>
  <c r="S387" i="3"/>
  <c r="R387" i="3"/>
  <c r="Q387" i="3"/>
  <c r="P387" i="3"/>
  <c r="O387" i="3"/>
  <c r="N387" i="3"/>
  <c r="M387" i="3"/>
  <c r="L387" i="3"/>
  <c r="K387" i="3"/>
  <c r="J387" i="3"/>
  <c r="I387" i="3"/>
  <c r="H387" i="3"/>
  <c r="G387" i="3"/>
  <c r="F387" i="3"/>
  <c r="E387" i="3"/>
  <c r="D387" i="3"/>
  <c r="C387" i="3"/>
  <c r="B387" i="3"/>
  <c r="A387" i="3"/>
  <c r="BP386" i="3"/>
  <c r="BO386" i="3"/>
  <c r="BN386" i="3"/>
  <c r="BM386" i="3"/>
  <c r="BL386" i="3"/>
  <c r="BK386" i="3"/>
  <c r="BJ386" i="3"/>
  <c r="BI386" i="3"/>
  <c r="BH386" i="3"/>
  <c r="BG386" i="3"/>
  <c r="BF386" i="3"/>
  <c r="BE386" i="3"/>
  <c r="BD386" i="3"/>
  <c r="BC386" i="3"/>
  <c r="BB386" i="3"/>
  <c r="BA386" i="3"/>
  <c r="AZ386" i="3"/>
  <c r="AY386" i="3"/>
  <c r="AX386" i="3"/>
  <c r="AW386" i="3"/>
  <c r="AV386" i="3"/>
  <c r="AU386" i="3"/>
  <c r="AT386" i="3"/>
  <c r="AS386" i="3"/>
  <c r="AR386" i="3"/>
  <c r="AQ386" i="3"/>
  <c r="AP386" i="3"/>
  <c r="AO386" i="3"/>
  <c r="AN386" i="3"/>
  <c r="AM386" i="3"/>
  <c r="AL386" i="3"/>
  <c r="AK386" i="3"/>
  <c r="AJ386" i="3"/>
  <c r="AI386" i="3"/>
  <c r="AH386" i="3"/>
  <c r="AG386" i="3"/>
  <c r="AF386" i="3"/>
  <c r="AE386" i="3"/>
  <c r="AD386" i="3"/>
  <c r="AC386" i="3"/>
  <c r="AB386" i="3"/>
  <c r="AA386" i="3"/>
  <c r="Z386" i="3"/>
  <c r="Y386" i="3"/>
  <c r="X386" i="3"/>
  <c r="W386" i="3"/>
  <c r="V386" i="3"/>
  <c r="U386" i="3"/>
  <c r="T386" i="3"/>
  <c r="S386" i="3"/>
  <c r="R386" i="3"/>
  <c r="Q386" i="3"/>
  <c r="P386" i="3"/>
  <c r="O386" i="3"/>
  <c r="N386" i="3"/>
  <c r="M386" i="3"/>
  <c r="L386" i="3"/>
  <c r="K386" i="3"/>
  <c r="J386" i="3"/>
  <c r="I386" i="3"/>
  <c r="H386" i="3"/>
  <c r="G386" i="3"/>
  <c r="F386" i="3"/>
  <c r="E386" i="3"/>
  <c r="D386" i="3"/>
  <c r="C386" i="3"/>
  <c r="B386" i="3"/>
  <c r="A386" i="3"/>
  <c r="BP385" i="3"/>
  <c r="BO385" i="3"/>
  <c r="BN385" i="3"/>
  <c r="BM385" i="3"/>
  <c r="BL385" i="3"/>
  <c r="BK385" i="3"/>
  <c r="BJ385" i="3"/>
  <c r="BI385" i="3"/>
  <c r="BH385" i="3"/>
  <c r="BG385" i="3"/>
  <c r="BF385" i="3"/>
  <c r="BE385" i="3"/>
  <c r="BD385" i="3"/>
  <c r="BC385" i="3"/>
  <c r="BB385" i="3"/>
  <c r="BA385" i="3"/>
  <c r="AZ385" i="3"/>
  <c r="AY385" i="3"/>
  <c r="AX385" i="3"/>
  <c r="AW385" i="3"/>
  <c r="AV385" i="3"/>
  <c r="AU385" i="3"/>
  <c r="AT385" i="3"/>
  <c r="AS385" i="3"/>
  <c r="AR385" i="3"/>
  <c r="AQ385" i="3"/>
  <c r="AP385" i="3"/>
  <c r="AO385" i="3"/>
  <c r="AN385" i="3"/>
  <c r="AM385" i="3"/>
  <c r="AL385" i="3"/>
  <c r="AK385" i="3"/>
  <c r="AJ385" i="3"/>
  <c r="AI385" i="3"/>
  <c r="AH385" i="3"/>
  <c r="AG385" i="3"/>
  <c r="AF385" i="3"/>
  <c r="AE385" i="3"/>
  <c r="AD385" i="3"/>
  <c r="AC385" i="3"/>
  <c r="AB385" i="3"/>
  <c r="AA385" i="3"/>
  <c r="Z385" i="3"/>
  <c r="Y385" i="3"/>
  <c r="X385" i="3"/>
  <c r="W385" i="3"/>
  <c r="V385" i="3"/>
  <c r="U385" i="3"/>
  <c r="T385" i="3"/>
  <c r="S385" i="3"/>
  <c r="R385" i="3"/>
  <c r="Q385" i="3"/>
  <c r="P385" i="3"/>
  <c r="O385" i="3"/>
  <c r="N385" i="3"/>
  <c r="M385" i="3"/>
  <c r="L385" i="3"/>
  <c r="K385" i="3"/>
  <c r="J385" i="3"/>
  <c r="I385" i="3"/>
  <c r="H385" i="3"/>
  <c r="G385" i="3"/>
  <c r="F385" i="3"/>
  <c r="E385" i="3"/>
  <c r="D385" i="3"/>
  <c r="C385" i="3"/>
  <c r="B385" i="3"/>
  <c r="A385" i="3"/>
  <c r="BP384" i="3"/>
  <c r="BO384" i="3"/>
  <c r="BN384" i="3"/>
  <c r="BM384" i="3"/>
  <c r="BL384" i="3"/>
  <c r="BK384" i="3"/>
  <c r="BJ384" i="3"/>
  <c r="BI384" i="3"/>
  <c r="BH384" i="3"/>
  <c r="BG384" i="3"/>
  <c r="BF384" i="3"/>
  <c r="BE384" i="3"/>
  <c r="BD384" i="3"/>
  <c r="BC384" i="3"/>
  <c r="BB384" i="3"/>
  <c r="BA384" i="3"/>
  <c r="AZ384" i="3"/>
  <c r="AY384" i="3"/>
  <c r="AX384" i="3"/>
  <c r="AW384" i="3"/>
  <c r="AV384" i="3"/>
  <c r="AU384" i="3"/>
  <c r="AT384" i="3"/>
  <c r="AS384" i="3"/>
  <c r="AR384" i="3"/>
  <c r="AQ384" i="3"/>
  <c r="AP384" i="3"/>
  <c r="AO384" i="3"/>
  <c r="AN384" i="3"/>
  <c r="AM384" i="3"/>
  <c r="AL384" i="3"/>
  <c r="AK384" i="3"/>
  <c r="AJ384" i="3"/>
  <c r="AI384" i="3"/>
  <c r="AH384" i="3"/>
  <c r="AG384" i="3"/>
  <c r="AF384" i="3"/>
  <c r="AE384" i="3"/>
  <c r="AD384" i="3"/>
  <c r="AC384" i="3"/>
  <c r="AB384" i="3"/>
  <c r="AA384" i="3"/>
  <c r="Z384" i="3"/>
  <c r="Y384" i="3"/>
  <c r="X384" i="3"/>
  <c r="W384" i="3"/>
  <c r="V384" i="3"/>
  <c r="U384" i="3"/>
  <c r="T384" i="3"/>
  <c r="S384" i="3"/>
  <c r="R384" i="3"/>
  <c r="Q384" i="3"/>
  <c r="P384" i="3"/>
  <c r="O384" i="3"/>
  <c r="N384" i="3"/>
  <c r="M384" i="3"/>
  <c r="L384" i="3"/>
  <c r="K384" i="3"/>
  <c r="J384" i="3"/>
  <c r="I384" i="3"/>
  <c r="H384" i="3"/>
  <c r="G384" i="3"/>
  <c r="F384" i="3"/>
  <c r="E384" i="3"/>
  <c r="D384" i="3"/>
  <c r="C384" i="3"/>
  <c r="B384" i="3"/>
  <c r="A384" i="3"/>
  <c r="BP383" i="3"/>
  <c r="BO383" i="3"/>
  <c r="BN383" i="3"/>
  <c r="BM383" i="3"/>
  <c r="BL383" i="3"/>
  <c r="BK383" i="3"/>
  <c r="BJ383" i="3"/>
  <c r="BI383" i="3"/>
  <c r="BH383" i="3"/>
  <c r="BG383" i="3"/>
  <c r="BF383" i="3"/>
  <c r="BE383" i="3"/>
  <c r="BD383" i="3"/>
  <c r="BC383" i="3"/>
  <c r="BB383" i="3"/>
  <c r="BA383" i="3"/>
  <c r="AZ383" i="3"/>
  <c r="AY383" i="3"/>
  <c r="AX383" i="3"/>
  <c r="AW383" i="3"/>
  <c r="AV383" i="3"/>
  <c r="AU383" i="3"/>
  <c r="AT383" i="3"/>
  <c r="AS383" i="3"/>
  <c r="AR383" i="3"/>
  <c r="AQ383" i="3"/>
  <c r="AP383" i="3"/>
  <c r="AO383" i="3"/>
  <c r="AN383" i="3"/>
  <c r="AM383" i="3"/>
  <c r="AL383" i="3"/>
  <c r="AK383" i="3"/>
  <c r="AJ383" i="3"/>
  <c r="AI383" i="3"/>
  <c r="AH383" i="3"/>
  <c r="AG383" i="3"/>
  <c r="AF383" i="3"/>
  <c r="AE383" i="3"/>
  <c r="AD383" i="3"/>
  <c r="AC383" i="3"/>
  <c r="AB383" i="3"/>
  <c r="AA383" i="3"/>
  <c r="Z383" i="3"/>
  <c r="Y383" i="3"/>
  <c r="X383" i="3"/>
  <c r="W383" i="3"/>
  <c r="V383" i="3"/>
  <c r="U383" i="3"/>
  <c r="T383" i="3"/>
  <c r="S383" i="3"/>
  <c r="R383" i="3"/>
  <c r="Q383" i="3"/>
  <c r="P383" i="3"/>
  <c r="O383" i="3"/>
  <c r="N383" i="3"/>
  <c r="M383" i="3"/>
  <c r="L383" i="3"/>
  <c r="K383" i="3"/>
  <c r="J383" i="3"/>
  <c r="I383" i="3"/>
  <c r="H383" i="3"/>
  <c r="G383" i="3"/>
  <c r="F383" i="3"/>
  <c r="E383" i="3"/>
  <c r="D383" i="3"/>
  <c r="B383" i="3"/>
  <c r="A383" i="3"/>
  <c r="BP382" i="3"/>
  <c r="BO382" i="3"/>
  <c r="BN382" i="3"/>
  <c r="BM382" i="3"/>
  <c r="BL382" i="3"/>
  <c r="BK382" i="3"/>
  <c r="BJ382" i="3"/>
  <c r="BI382" i="3"/>
  <c r="BH382" i="3"/>
  <c r="BG382" i="3"/>
  <c r="BF382" i="3"/>
  <c r="BE382" i="3"/>
  <c r="BD382" i="3"/>
  <c r="BC382" i="3"/>
  <c r="BB382" i="3"/>
  <c r="BA382" i="3"/>
  <c r="AZ382" i="3"/>
  <c r="AY382" i="3"/>
  <c r="AX382" i="3"/>
  <c r="AW382" i="3"/>
  <c r="AV382" i="3"/>
  <c r="AU382" i="3"/>
  <c r="AT382" i="3"/>
  <c r="AS382" i="3"/>
  <c r="AR382" i="3"/>
  <c r="AQ382" i="3"/>
  <c r="AP382" i="3"/>
  <c r="AO382" i="3"/>
  <c r="AN382" i="3"/>
  <c r="AM382" i="3"/>
  <c r="AL382" i="3"/>
  <c r="AK382" i="3"/>
  <c r="AJ382" i="3"/>
  <c r="AI382" i="3"/>
  <c r="AH382" i="3"/>
  <c r="AG382" i="3"/>
  <c r="AF382" i="3"/>
  <c r="AE382" i="3"/>
  <c r="AD382" i="3"/>
  <c r="AC382" i="3"/>
  <c r="AB382" i="3"/>
  <c r="AA382" i="3"/>
  <c r="Z382" i="3"/>
  <c r="Y382" i="3"/>
  <c r="X382" i="3"/>
  <c r="W382" i="3"/>
  <c r="V382" i="3"/>
  <c r="U382" i="3"/>
  <c r="T382" i="3"/>
  <c r="S382" i="3"/>
  <c r="R382" i="3"/>
  <c r="Q382" i="3"/>
  <c r="P382" i="3"/>
  <c r="O382" i="3"/>
  <c r="N382" i="3"/>
  <c r="M382" i="3"/>
  <c r="L382" i="3"/>
  <c r="K382" i="3"/>
  <c r="J382" i="3"/>
  <c r="I382" i="3"/>
  <c r="H382" i="3"/>
  <c r="G382" i="3"/>
  <c r="F382" i="3"/>
  <c r="E382" i="3"/>
  <c r="D382" i="3"/>
  <c r="C382" i="3"/>
  <c r="B382" i="3"/>
  <c r="A382" i="3"/>
  <c r="BP381" i="3"/>
  <c r="BO381" i="3"/>
  <c r="BN381" i="3"/>
  <c r="BM381" i="3"/>
  <c r="BL381" i="3"/>
  <c r="BK381" i="3"/>
  <c r="BJ381" i="3"/>
  <c r="BI381" i="3"/>
  <c r="BH381" i="3"/>
  <c r="BG381" i="3"/>
  <c r="BF381" i="3"/>
  <c r="BE381" i="3"/>
  <c r="BD381" i="3"/>
  <c r="BC381" i="3"/>
  <c r="BB381" i="3"/>
  <c r="BA381" i="3"/>
  <c r="AZ381" i="3"/>
  <c r="AY381" i="3"/>
  <c r="AX381" i="3"/>
  <c r="AW381" i="3"/>
  <c r="AV381" i="3"/>
  <c r="AU381" i="3"/>
  <c r="AT381" i="3"/>
  <c r="AS381" i="3"/>
  <c r="AR381" i="3"/>
  <c r="AQ381" i="3"/>
  <c r="AP381" i="3"/>
  <c r="AO381" i="3"/>
  <c r="AN381" i="3"/>
  <c r="AM381" i="3"/>
  <c r="AL381" i="3"/>
  <c r="AK381" i="3"/>
  <c r="AJ381" i="3"/>
  <c r="AI381" i="3"/>
  <c r="AH381" i="3"/>
  <c r="AG381" i="3"/>
  <c r="AF381" i="3"/>
  <c r="AE381" i="3"/>
  <c r="AD381" i="3"/>
  <c r="AC381" i="3"/>
  <c r="AB381" i="3"/>
  <c r="AA381" i="3"/>
  <c r="Z381" i="3"/>
  <c r="Y381" i="3"/>
  <c r="X381" i="3"/>
  <c r="W381" i="3"/>
  <c r="V381" i="3"/>
  <c r="U381" i="3"/>
  <c r="T381" i="3"/>
  <c r="S381" i="3"/>
  <c r="R381" i="3"/>
  <c r="Q381" i="3"/>
  <c r="P381" i="3"/>
  <c r="O381" i="3"/>
  <c r="N381" i="3"/>
  <c r="M381" i="3"/>
  <c r="L381" i="3"/>
  <c r="K381" i="3"/>
  <c r="J381" i="3"/>
  <c r="I381" i="3"/>
  <c r="H381" i="3"/>
  <c r="G381" i="3"/>
  <c r="F381" i="3"/>
  <c r="E381" i="3"/>
  <c r="D381" i="3"/>
  <c r="C381" i="3"/>
  <c r="B381" i="3"/>
  <c r="A381" i="3"/>
  <c r="BP380" i="3"/>
  <c r="BO380" i="3"/>
  <c r="BN380" i="3"/>
  <c r="BM380" i="3"/>
  <c r="BL380" i="3"/>
  <c r="BK380" i="3"/>
  <c r="BJ380" i="3"/>
  <c r="BI380" i="3"/>
  <c r="BH380" i="3"/>
  <c r="BG380" i="3"/>
  <c r="BF380" i="3"/>
  <c r="BE380" i="3"/>
  <c r="BD380" i="3"/>
  <c r="BC380" i="3"/>
  <c r="BB380" i="3"/>
  <c r="BA380" i="3"/>
  <c r="AZ380" i="3"/>
  <c r="AY380" i="3"/>
  <c r="AX380" i="3"/>
  <c r="AW380" i="3"/>
  <c r="AV380" i="3"/>
  <c r="AU380" i="3"/>
  <c r="AT380" i="3"/>
  <c r="AS380" i="3"/>
  <c r="AR380" i="3"/>
  <c r="AQ380" i="3"/>
  <c r="AP380" i="3"/>
  <c r="AO380" i="3"/>
  <c r="AN380" i="3"/>
  <c r="AM380" i="3"/>
  <c r="AL380" i="3"/>
  <c r="AK380" i="3"/>
  <c r="AJ380" i="3"/>
  <c r="AI380" i="3"/>
  <c r="AH380" i="3"/>
  <c r="AG380" i="3"/>
  <c r="AF380" i="3"/>
  <c r="AE380" i="3"/>
  <c r="AD380" i="3"/>
  <c r="AC380" i="3"/>
  <c r="AB380" i="3"/>
  <c r="AA380" i="3"/>
  <c r="Z380" i="3"/>
  <c r="Y380" i="3"/>
  <c r="X380" i="3"/>
  <c r="W380" i="3"/>
  <c r="V380" i="3"/>
  <c r="U380" i="3"/>
  <c r="T380" i="3"/>
  <c r="S380" i="3"/>
  <c r="R380" i="3"/>
  <c r="Q380" i="3"/>
  <c r="P380" i="3"/>
  <c r="O380" i="3"/>
  <c r="N380" i="3"/>
  <c r="M380" i="3"/>
  <c r="L380" i="3"/>
  <c r="K380" i="3"/>
  <c r="J380" i="3"/>
  <c r="I380" i="3"/>
  <c r="H380" i="3"/>
  <c r="G380" i="3"/>
  <c r="F380" i="3"/>
  <c r="E380" i="3"/>
  <c r="D380" i="3"/>
  <c r="C380" i="3"/>
  <c r="B380" i="3"/>
  <c r="A380" i="3"/>
  <c r="BP379" i="3"/>
  <c r="BO379" i="3"/>
  <c r="BN379" i="3"/>
  <c r="BM379" i="3"/>
  <c r="BL379" i="3"/>
  <c r="BK379" i="3"/>
  <c r="BJ379" i="3"/>
  <c r="BI379" i="3"/>
  <c r="BH379" i="3"/>
  <c r="BG379" i="3"/>
  <c r="BF379" i="3"/>
  <c r="BE379" i="3"/>
  <c r="BD379" i="3"/>
  <c r="BC379" i="3"/>
  <c r="BB379" i="3"/>
  <c r="BA379" i="3"/>
  <c r="AZ379" i="3"/>
  <c r="AY379" i="3"/>
  <c r="AX379" i="3"/>
  <c r="AW379" i="3"/>
  <c r="AV379" i="3"/>
  <c r="AU379" i="3"/>
  <c r="AT379" i="3"/>
  <c r="AS379" i="3"/>
  <c r="AR379" i="3"/>
  <c r="AQ379" i="3"/>
  <c r="AP379" i="3"/>
  <c r="AO379" i="3"/>
  <c r="AN379" i="3"/>
  <c r="AM379" i="3"/>
  <c r="AL379" i="3"/>
  <c r="AK379" i="3"/>
  <c r="AJ379" i="3"/>
  <c r="AI379" i="3"/>
  <c r="AH379" i="3"/>
  <c r="AG379" i="3"/>
  <c r="AF379" i="3"/>
  <c r="AE379" i="3"/>
  <c r="AD379" i="3"/>
  <c r="AC379" i="3"/>
  <c r="AB379" i="3"/>
  <c r="AA379" i="3"/>
  <c r="Z379" i="3"/>
  <c r="Y379" i="3"/>
  <c r="X379" i="3"/>
  <c r="W379" i="3"/>
  <c r="V379" i="3"/>
  <c r="U379" i="3"/>
  <c r="T379" i="3"/>
  <c r="S379" i="3"/>
  <c r="R379" i="3"/>
  <c r="Q379" i="3"/>
  <c r="P379" i="3"/>
  <c r="O379" i="3"/>
  <c r="N379" i="3"/>
  <c r="M379" i="3"/>
  <c r="L379" i="3"/>
  <c r="K379" i="3"/>
  <c r="J379" i="3"/>
  <c r="I379" i="3"/>
  <c r="H379" i="3"/>
  <c r="G379" i="3"/>
  <c r="F379" i="3"/>
  <c r="E379" i="3"/>
  <c r="D379" i="3"/>
  <c r="C379" i="3"/>
  <c r="B379" i="3"/>
  <c r="A379" i="3"/>
  <c r="BP378" i="3"/>
  <c r="BO378" i="3"/>
  <c r="BN378" i="3"/>
  <c r="BM378" i="3"/>
  <c r="BL378" i="3"/>
  <c r="BK378" i="3"/>
  <c r="BJ378" i="3"/>
  <c r="BI378" i="3"/>
  <c r="BH378" i="3"/>
  <c r="BG378" i="3"/>
  <c r="BF378" i="3"/>
  <c r="BE378" i="3"/>
  <c r="BD378" i="3"/>
  <c r="BC378" i="3"/>
  <c r="BB378" i="3"/>
  <c r="BA378" i="3"/>
  <c r="AZ378" i="3"/>
  <c r="AY378" i="3"/>
  <c r="AX378" i="3"/>
  <c r="AW378" i="3"/>
  <c r="AV378" i="3"/>
  <c r="AU378" i="3"/>
  <c r="AT378" i="3"/>
  <c r="AS378" i="3"/>
  <c r="AR378" i="3"/>
  <c r="AQ378" i="3"/>
  <c r="AP378" i="3"/>
  <c r="AO378" i="3"/>
  <c r="AN378" i="3"/>
  <c r="AM378" i="3"/>
  <c r="AL378" i="3"/>
  <c r="AK378" i="3"/>
  <c r="AJ378" i="3"/>
  <c r="AI378" i="3"/>
  <c r="AH378" i="3"/>
  <c r="AG378" i="3"/>
  <c r="AF378" i="3"/>
  <c r="AE378" i="3"/>
  <c r="AD378" i="3"/>
  <c r="AC378" i="3"/>
  <c r="AB378" i="3"/>
  <c r="AA378" i="3"/>
  <c r="Z378" i="3"/>
  <c r="Y378" i="3"/>
  <c r="X378" i="3"/>
  <c r="W378" i="3"/>
  <c r="V378" i="3"/>
  <c r="U378" i="3"/>
  <c r="T378" i="3"/>
  <c r="S378" i="3"/>
  <c r="R378" i="3"/>
  <c r="Q378" i="3"/>
  <c r="P378" i="3"/>
  <c r="O378" i="3"/>
  <c r="N378" i="3"/>
  <c r="M378" i="3"/>
  <c r="L378" i="3"/>
  <c r="K378" i="3"/>
  <c r="J378" i="3"/>
  <c r="I378" i="3"/>
  <c r="H378" i="3"/>
  <c r="G378" i="3"/>
  <c r="F378" i="3"/>
  <c r="E378" i="3"/>
  <c r="D378" i="3"/>
  <c r="C378" i="3"/>
  <c r="B378" i="3"/>
  <c r="A378" i="3"/>
  <c r="BP377" i="3"/>
  <c r="BO377" i="3"/>
  <c r="BN377" i="3"/>
  <c r="BM377" i="3"/>
  <c r="BL377" i="3"/>
  <c r="BK377" i="3"/>
  <c r="BJ377" i="3"/>
  <c r="BI377" i="3"/>
  <c r="BH377" i="3"/>
  <c r="BG377" i="3"/>
  <c r="BF377" i="3"/>
  <c r="BE377" i="3"/>
  <c r="BD377" i="3"/>
  <c r="BC377" i="3"/>
  <c r="BB377" i="3"/>
  <c r="BA377" i="3"/>
  <c r="AZ377" i="3"/>
  <c r="AY377" i="3"/>
  <c r="AX377" i="3"/>
  <c r="AW377" i="3"/>
  <c r="AV377" i="3"/>
  <c r="AU377" i="3"/>
  <c r="AT377" i="3"/>
  <c r="AS377" i="3"/>
  <c r="AR377" i="3"/>
  <c r="AQ377" i="3"/>
  <c r="AP377" i="3"/>
  <c r="AO377" i="3"/>
  <c r="AN377" i="3"/>
  <c r="AM377" i="3"/>
  <c r="AL377" i="3"/>
  <c r="AK377" i="3"/>
  <c r="AJ377" i="3"/>
  <c r="AI377" i="3"/>
  <c r="AH377" i="3"/>
  <c r="AG377" i="3"/>
  <c r="AF377" i="3"/>
  <c r="AE377" i="3"/>
  <c r="AD377" i="3"/>
  <c r="AC377" i="3"/>
  <c r="AB377" i="3"/>
  <c r="AA377" i="3"/>
  <c r="Z377" i="3"/>
  <c r="Y377" i="3"/>
  <c r="X377" i="3"/>
  <c r="W377" i="3"/>
  <c r="V377" i="3"/>
  <c r="U377" i="3"/>
  <c r="T377" i="3"/>
  <c r="S377" i="3"/>
  <c r="R377" i="3"/>
  <c r="Q377" i="3"/>
  <c r="P377" i="3"/>
  <c r="O377" i="3"/>
  <c r="N377" i="3"/>
  <c r="M377" i="3"/>
  <c r="L377" i="3"/>
  <c r="K377" i="3"/>
  <c r="J377" i="3"/>
  <c r="I377" i="3"/>
  <c r="H377" i="3"/>
  <c r="G377" i="3"/>
  <c r="F377" i="3"/>
  <c r="E377" i="3"/>
  <c r="D377" i="3"/>
  <c r="C377" i="3"/>
  <c r="B377" i="3"/>
  <c r="A377" i="3"/>
  <c r="BP376" i="3"/>
  <c r="BO376" i="3"/>
  <c r="BN376" i="3"/>
  <c r="BM376" i="3"/>
  <c r="BL376" i="3"/>
  <c r="BK376" i="3"/>
  <c r="BJ376" i="3"/>
  <c r="BI376" i="3"/>
  <c r="BH376" i="3"/>
  <c r="BG376" i="3"/>
  <c r="BF376" i="3"/>
  <c r="BE376" i="3"/>
  <c r="BD376" i="3"/>
  <c r="BC376" i="3"/>
  <c r="BB376" i="3"/>
  <c r="BA376" i="3"/>
  <c r="AZ376" i="3"/>
  <c r="AY376" i="3"/>
  <c r="AX376" i="3"/>
  <c r="AW376" i="3"/>
  <c r="AV376" i="3"/>
  <c r="AU376" i="3"/>
  <c r="AT376" i="3"/>
  <c r="AS376" i="3"/>
  <c r="AR376" i="3"/>
  <c r="AQ376" i="3"/>
  <c r="AP376" i="3"/>
  <c r="AO376" i="3"/>
  <c r="AN376" i="3"/>
  <c r="AM376" i="3"/>
  <c r="AL376" i="3"/>
  <c r="AK376" i="3"/>
  <c r="AJ376" i="3"/>
  <c r="AI376" i="3"/>
  <c r="AH376" i="3"/>
  <c r="AG376" i="3"/>
  <c r="AF376" i="3"/>
  <c r="AE376" i="3"/>
  <c r="AD376" i="3"/>
  <c r="AC376" i="3"/>
  <c r="AB376" i="3"/>
  <c r="AA376" i="3"/>
  <c r="Z376" i="3"/>
  <c r="Y376" i="3"/>
  <c r="X376" i="3"/>
  <c r="W376" i="3"/>
  <c r="V376" i="3"/>
  <c r="U376" i="3"/>
  <c r="T376" i="3"/>
  <c r="S376" i="3"/>
  <c r="R376" i="3"/>
  <c r="Q376" i="3"/>
  <c r="P376" i="3"/>
  <c r="O376" i="3"/>
  <c r="N376" i="3"/>
  <c r="M376" i="3"/>
  <c r="L376" i="3"/>
  <c r="K376" i="3"/>
  <c r="J376" i="3"/>
  <c r="I376" i="3"/>
  <c r="H376" i="3"/>
  <c r="G376" i="3"/>
  <c r="F376" i="3"/>
  <c r="E376" i="3"/>
  <c r="D376" i="3"/>
  <c r="C376" i="3"/>
  <c r="B376" i="3"/>
  <c r="A376" i="3"/>
  <c r="BP375" i="3"/>
  <c r="BO375" i="3"/>
  <c r="BN375" i="3"/>
  <c r="BM375" i="3"/>
  <c r="BL375" i="3"/>
  <c r="BK375" i="3"/>
  <c r="BJ375" i="3"/>
  <c r="BI375" i="3"/>
  <c r="BH375" i="3"/>
  <c r="BG375" i="3"/>
  <c r="BF375" i="3"/>
  <c r="BE375" i="3"/>
  <c r="BD375" i="3"/>
  <c r="BC375" i="3"/>
  <c r="BB375" i="3"/>
  <c r="BA375" i="3"/>
  <c r="AZ375" i="3"/>
  <c r="AY375" i="3"/>
  <c r="AX375" i="3"/>
  <c r="AW375" i="3"/>
  <c r="AV375" i="3"/>
  <c r="AU375" i="3"/>
  <c r="AT375" i="3"/>
  <c r="AS375" i="3"/>
  <c r="AR375" i="3"/>
  <c r="AQ375" i="3"/>
  <c r="AP375" i="3"/>
  <c r="AO375" i="3"/>
  <c r="AN375" i="3"/>
  <c r="AM375" i="3"/>
  <c r="AL375" i="3"/>
  <c r="AK375" i="3"/>
  <c r="AJ375" i="3"/>
  <c r="AI375" i="3"/>
  <c r="AH375" i="3"/>
  <c r="AG375" i="3"/>
  <c r="AF375" i="3"/>
  <c r="AE375" i="3"/>
  <c r="AD375" i="3"/>
  <c r="AC375" i="3"/>
  <c r="AB375" i="3"/>
  <c r="AA375" i="3"/>
  <c r="Z375" i="3"/>
  <c r="Y375" i="3"/>
  <c r="X375" i="3"/>
  <c r="W375" i="3"/>
  <c r="V375" i="3"/>
  <c r="U375" i="3"/>
  <c r="T375" i="3"/>
  <c r="S375" i="3"/>
  <c r="R375" i="3"/>
  <c r="Q375" i="3"/>
  <c r="P375" i="3"/>
  <c r="O375" i="3"/>
  <c r="N375" i="3"/>
  <c r="M375" i="3"/>
  <c r="L375" i="3"/>
  <c r="K375" i="3"/>
  <c r="J375" i="3"/>
  <c r="I375" i="3"/>
  <c r="H375" i="3"/>
  <c r="G375" i="3"/>
  <c r="F375" i="3"/>
  <c r="E375" i="3"/>
  <c r="D375" i="3"/>
  <c r="C375" i="3"/>
  <c r="B375" i="3"/>
  <c r="A375" i="3"/>
  <c r="BP374" i="3"/>
  <c r="BO374" i="3"/>
  <c r="BN374" i="3"/>
  <c r="BM374" i="3"/>
  <c r="BL374" i="3"/>
  <c r="BK374" i="3"/>
  <c r="BJ374" i="3"/>
  <c r="BI374" i="3"/>
  <c r="BH374" i="3"/>
  <c r="BG374" i="3"/>
  <c r="BF374" i="3"/>
  <c r="BE374" i="3"/>
  <c r="BD374" i="3"/>
  <c r="BC374" i="3"/>
  <c r="BB374" i="3"/>
  <c r="BA374" i="3"/>
  <c r="AZ374" i="3"/>
  <c r="AY374" i="3"/>
  <c r="AX374" i="3"/>
  <c r="AW374" i="3"/>
  <c r="AV374" i="3"/>
  <c r="AU374" i="3"/>
  <c r="AT374" i="3"/>
  <c r="AS374" i="3"/>
  <c r="AR374" i="3"/>
  <c r="AQ374" i="3"/>
  <c r="AP374" i="3"/>
  <c r="AO374" i="3"/>
  <c r="AN374" i="3"/>
  <c r="AM374" i="3"/>
  <c r="AL374" i="3"/>
  <c r="AK374" i="3"/>
  <c r="AJ374" i="3"/>
  <c r="AI374" i="3"/>
  <c r="AH374" i="3"/>
  <c r="AG374" i="3"/>
  <c r="AF374" i="3"/>
  <c r="AE374" i="3"/>
  <c r="AD374" i="3"/>
  <c r="AC374" i="3"/>
  <c r="AB374" i="3"/>
  <c r="AA374" i="3"/>
  <c r="Z374" i="3"/>
  <c r="Y374" i="3"/>
  <c r="X374" i="3"/>
  <c r="W374" i="3"/>
  <c r="V374" i="3"/>
  <c r="U374" i="3"/>
  <c r="T374" i="3"/>
  <c r="S374" i="3"/>
  <c r="R374" i="3"/>
  <c r="Q374" i="3"/>
  <c r="P374" i="3"/>
  <c r="O374" i="3"/>
  <c r="N374" i="3"/>
  <c r="M374" i="3"/>
  <c r="L374" i="3"/>
  <c r="K374" i="3"/>
  <c r="J374" i="3"/>
  <c r="I374" i="3"/>
  <c r="H374" i="3"/>
  <c r="G374" i="3"/>
  <c r="F374" i="3"/>
  <c r="E374" i="3"/>
  <c r="D374" i="3"/>
  <c r="C374" i="3"/>
  <c r="B374" i="3"/>
  <c r="A374" i="3"/>
  <c r="BP373" i="3"/>
  <c r="BO373" i="3"/>
  <c r="BN373" i="3"/>
  <c r="BM373" i="3"/>
  <c r="BL373" i="3"/>
  <c r="BK373" i="3"/>
  <c r="BJ373" i="3"/>
  <c r="BI373" i="3"/>
  <c r="BH373" i="3"/>
  <c r="BG373" i="3"/>
  <c r="BF373" i="3"/>
  <c r="BE373" i="3"/>
  <c r="BD373" i="3"/>
  <c r="BC373" i="3"/>
  <c r="BB373" i="3"/>
  <c r="BA373" i="3"/>
  <c r="AZ373" i="3"/>
  <c r="AY373" i="3"/>
  <c r="AX373" i="3"/>
  <c r="AW373" i="3"/>
  <c r="AV373" i="3"/>
  <c r="AU373" i="3"/>
  <c r="AT373" i="3"/>
  <c r="AS373" i="3"/>
  <c r="AR373" i="3"/>
  <c r="AQ373" i="3"/>
  <c r="AP373" i="3"/>
  <c r="AO373" i="3"/>
  <c r="AN373" i="3"/>
  <c r="AM373" i="3"/>
  <c r="AL373" i="3"/>
  <c r="AK373" i="3"/>
  <c r="AJ373" i="3"/>
  <c r="AI373" i="3"/>
  <c r="AH373" i="3"/>
  <c r="AG373" i="3"/>
  <c r="AF373" i="3"/>
  <c r="AE373" i="3"/>
  <c r="AD373" i="3"/>
  <c r="AC373" i="3"/>
  <c r="AB373" i="3"/>
  <c r="AA373" i="3"/>
  <c r="Z373" i="3"/>
  <c r="Y373" i="3"/>
  <c r="X373" i="3"/>
  <c r="W373" i="3"/>
  <c r="V373" i="3"/>
  <c r="U373" i="3"/>
  <c r="T373" i="3"/>
  <c r="S373" i="3"/>
  <c r="R373" i="3"/>
  <c r="Q373" i="3"/>
  <c r="P373" i="3"/>
  <c r="O373" i="3"/>
  <c r="N373" i="3"/>
  <c r="M373" i="3"/>
  <c r="L373" i="3"/>
  <c r="K373" i="3"/>
  <c r="J373" i="3"/>
  <c r="I373" i="3"/>
  <c r="H373" i="3"/>
  <c r="G373" i="3"/>
  <c r="F373" i="3"/>
  <c r="E373" i="3"/>
  <c r="D373" i="3"/>
  <c r="C373" i="3"/>
  <c r="B373" i="3"/>
  <c r="A373" i="3"/>
  <c r="BP372" i="3"/>
  <c r="BO372" i="3"/>
  <c r="BN372" i="3"/>
  <c r="BM372" i="3"/>
  <c r="BL372" i="3"/>
  <c r="BK372" i="3"/>
  <c r="BJ372" i="3"/>
  <c r="BI372" i="3"/>
  <c r="BH372" i="3"/>
  <c r="BG372" i="3"/>
  <c r="BF372" i="3"/>
  <c r="BE372" i="3"/>
  <c r="BD372" i="3"/>
  <c r="BC372" i="3"/>
  <c r="BB372" i="3"/>
  <c r="BA372" i="3"/>
  <c r="AZ372" i="3"/>
  <c r="AY372" i="3"/>
  <c r="AX372" i="3"/>
  <c r="AW372" i="3"/>
  <c r="AV372" i="3"/>
  <c r="AU372" i="3"/>
  <c r="AT372" i="3"/>
  <c r="AS372" i="3"/>
  <c r="AR372" i="3"/>
  <c r="AQ372" i="3"/>
  <c r="AP372" i="3"/>
  <c r="AO372" i="3"/>
  <c r="AN372" i="3"/>
  <c r="AM372" i="3"/>
  <c r="AL372" i="3"/>
  <c r="AK372" i="3"/>
  <c r="AJ372" i="3"/>
  <c r="AI372" i="3"/>
  <c r="AH372" i="3"/>
  <c r="AG372" i="3"/>
  <c r="AF372" i="3"/>
  <c r="AE372" i="3"/>
  <c r="AD372" i="3"/>
  <c r="AC372" i="3"/>
  <c r="AB372" i="3"/>
  <c r="AA372" i="3"/>
  <c r="Z372" i="3"/>
  <c r="Y372" i="3"/>
  <c r="X372" i="3"/>
  <c r="W372" i="3"/>
  <c r="V372" i="3"/>
  <c r="U372" i="3"/>
  <c r="T372" i="3"/>
  <c r="S372" i="3"/>
  <c r="R372" i="3"/>
  <c r="Q372" i="3"/>
  <c r="P372" i="3"/>
  <c r="O372" i="3"/>
  <c r="N372" i="3"/>
  <c r="M372" i="3"/>
  <c r="L372" i="3"/>
  <c r="K372" i="3"/>
  <c r="J372" i="3"/>
  <c r="I372" i="3"/>
  <c r="H372" i="3"/>
  <c r="G372" i="3"/>
  <c r="F372" i="3"/>
  <c r="E372" i="3"/>
  <c r="D372" i="3"/>
  <c r="C372" i="3"/>
  <c r="B372" i="3"/>
  <c r="A372" i="3"/>
  <c r="BP371" i="3"/>
  <c r="BO371" i="3"/>
  <c r="BN371" i="3"/>
  <c r="BM371" i="3"/>
  <c r="BL371" i="3"/>
  <c r="BK371" i="3"/>
  <c r="BJ371" i="3"/>
  <c r="BI371" i="3"/>
  <c r="BH371" i="3"/>
  <c r="BG371" i="3"/>
  <c r="BF371" i="3"/>
  <c r="BE371" i="3"/>
  <c r="BD371" i="3"/>
  <c r="BC371" i="3"/>
  <c r="BB371" i="3"/>
  <c r="BA371" i="3"/>
  <c r="AZ371" i="3"/>
  <c r="AY371" i="3"/>
  <c r="AX371" i="3"/>
  <c r="AW371" i="3"/>
  <c r="AV371" i="3"/>
  <c r="AU371" i="3"/>
  <c r="AT371" i="3"/>
  <c r="AS371" i="3"/>
  <c r="AR371" i="3"/>
  <c r="AQ371" i="3"/>
  <c r="AP371" i="3"/>
  <c r="AO371" i="3"/>
  <c r="AN371" i="3"/>
  <c r="AM371" i="3"/>
  <c r="AL371" i="3"/>
  <c r="AK371" i="3"/>
  <c r="AJ371" i="3"/>
  <c r="AI371" i="3"/>
  <c r="AH371" i="3"/>
  <c r="AG371" i="3"/>
  <c r="AF371" i="3"/>
  <c r="AE371" i="3"/>
  <c r="AD371" i="3"/>
  <c r="AC371" i="3"/>
  <c r="AB371" i="3"/>
  <c r="AA371" i="3"/>
  <c r="Z371" i="3"/>
  <c r="Y371" i="3"/>
  <c r="X371" i="3"/>
  <c r="W371" i="3"/>
  <c r="V371" i="3"/>
  <c r="U371" i="3"/>
  <c r="T371" i="3"/>
  <c r="S371" i="3"/>
  <c r="R371" i="3"/>
  <c r="Q371" i="3"/>
  <c r="P371" i="3"/>
  <c r="O371" i="3"/>
  <c r="N371" i="3"/>
  <c r="M371" i="3"/>
  <c r="L371" i="3"/>
  <c r="K371" i="3"/>
  <c r="J371" i="3"/>
  <c r="I371" i="3"/>
  <c r="H371" i="3"/>
  <c r="G371" i="3"/>
  <c r="F371" i="3"/>
  <c r="E371" i="3"/>
  <c r="D371" i="3"/>
  <c r="B371" i="3"/>
  <c r="A371" i="3"/>
  <c r="BP370" i="3"/>
  <c r="BO370" i="3"/>
  <c r="BN370" i="3"/>
  <c r="BM370" i="3"/>
  <c r="BL370" i="3"/>
  <c r="BK370" i="3"/>
  <c r="BJ370" i="3"/>
  <c r="BI370" i="3"/>
  <c r="BH370" i="3"/>
  <c r="BG370" i="3"/>
  <c r="BF370" i="3"/>
  <c r="BE370" i="3"/>
  <c r="BD370" i="3"/>
  <c r="BC370" i="3"/>
  <c r="BB370" i="3"/>
  <c r="BA370" i="3"/>
  <c r="AZ370" i="3"/>
  <c r="AY370" i="3"/>
  <c r="AX370" i="3"/>
  <c r="AW370" i="3"/>
  <c r="AV370" i="3"/>
  <c r="AU370" i="3"/>
  <c r="AT370" i="3"/>
  <c r="AS370" i="3"/>
  <c r="AR370" i="3"/>
  <c r="AQ370" i="3"/>
  <c r="AP370" i="3"/>
  <c r="AO370" i="3"/>
  <c r="AN370" i="3"/>
  <c r="AM370" i="3"/>
  <c r="AL370" i="3"/>
  <c r="AK370" i="3"/>
  <c r="AJ370" i="3"/>
  <c r="AI370" i="3"/>
  <c r="AH370" i="3"/>
  <c r="AG370" i="3"/>
  <c r="AF370" i="3"/>
  <c r="AE370" i="3"/>
  <c r="AD370" i="3"/>
  <c r="AC370" i="3"/>
  <c r="AB370" i="3"/>
  <c r="AA370" i="3"/>
  <c r="Z370" i="3"/>
  <c r="Y370" i="3"/>
  <c r="X370" i="3"/>
  <c r="W370" i="3"/>
  <c r="V370" i="3"/>
  <c r="U370" i="3"/>
  <c r="T370" i="3"/>
  <c r="S370" i="3"/>
  <c r="R370" i="3"/>
  <c r="Q370" i="3"/>
  <c r="P370" i="3"/>
  <c r="O370" i="3"/>
  <c r="N370" i="3"/>
  <c r="M370" i="3"/>
  <c r="L370" i="3"/>
  <c r="K370" i="3"/>
  <c r="J370" i="3"/>
  <c r="I370" i="3"/>
  <c r="H370" i="3"/>
  <c r="G370" i="3"/>
  <c r="F370" i="3"/>
  <c r="E370" i="3"/>
  <c r="D370" i="3"/>
  <c r="C370" i="3"/>
  <c r="B370" i="3"/>
  <c r="A370" i="3"/>
  <c r="BP369" i="3"/>
  <c r="BO369" i="3"/>
  <c r="BN369" i="3"/>
  <c r="BM369" i="3"/>
  <c r="BL369" i="3"/>
  <c r="BK369" i="3"/>
  <c r="BJ369" i="3"/>
  <c r="BI369" i="3"/>
  <c r="BH369" i="3"/>
  <c r="BG369" i="3"/>
  <c r="BF369" i="3"/>
  <c r="BE369" i="3"/>
  <c r="BD369" i="3"/>
  <c r="BC369" i="3"/>
  <c r="BB369" i="3"/>
  <c r="BA369" i="3"/>
  <c r="AZ369" i="3"/>
  <c r="AY369" i="3"/>
  <c r="AX369" i="3"/>
  <c r="AW369" i="3"/>
  <c r="AV369" i="3"/>
  <c r="AU369" i="3"/>
  <c r="AT369" i="3"/>
  <c r="AS369" i="3"/>
  <c r="AR369" i="3"/>
  <c r="AQ369" i="3"/>
  <c r="AP369" i="3"/>
  <c r="AO369" i="3"/>
  <c r="AN369" i="3"/>
  <c r="AM369" i="3"/>
  <c r="AL369" i="3"/>
  <c r="AK369" i="3"/>
  <c r="AJ369" i="3"/>
  <c r="AI369" i="3"/>
  <c r="AH369" i="3"/>
  <c r="AG369" i="3"/>
  <c r="AF369" i="3"/>
  <c r="AE369" i="3"/>
  <c r="AD369" i="3"/>
  <c r="AC369" i="3"/>
  <c r="AB369" i="3"/>
  <c r="AA369" i="3"/>
  <c r="Z369" i="3"/>
  <c r="Y369" i="3"/>
  <c r="X369" i="3"/>
  <c r="W369" i="3"/>
  <c r="V369" i="3"/>
  <c r="U369" i="3"/>
  <c r="T369" i="3"/>
  <c r="S369" i="3"/>
  <c r="R369" i="3"/>
  <c r="Q369" i="3"/>
  <c r="P369" i="3"/>
  <c r="O369" i="3"/>
  <c r="N369" i="3"/>
  <c r="M369" i="3"/>
  <c r="L369" i="3"/>
  <c r="K369" i="3"/>
  <c r="J369" i="3"/>
  <c r="I369" i="3"/>
  <c r="H369" i="3"/>
  <c r="G369" i="3"/>
  <c r="F369" i="3"/>
  <c r="E369" i="3"/>
  <c r="D369" i="3"/>
  <c r="C369" i="3"/>
  <c r="B369" i="3"/>
  <c r="A369" i="3"/>
  <c r="BP368" i="3"/>
  <c r="BO368" i="3"/>
  <c r="BN368" i="3"/>
  <c r="BM368" i="3"/>
  <c r="BL368" i="3"/>
  <c r="BK368" i="3"/>
  <c r="BJ368" i="3"/>
  <c r="BI368" i="3"/>
  <c r="BH368" i="3"/>
  <c r="BG368" i="3"/>
  <c r="BF368" i="3"/>
  <c r="BE368" i="3"/>
  <c r="BD368" i="3"/>
  <c r="BC368" i="3"/>
  <c r="BB368" i="3"/>
  <c r="BA368" i="3"/>
  <c r="AZ368" i="3"/>
  <c r="AY368" i="3"/>
  <c r="AX368" i="3"/>
  <c r="AW368" i="3"/>
  <c r="AV368" i="3"/>
  <c r="AU368" i="3"/>
  <c r="AT368" i="3"/>
  <c r="AS368" i="3"/>
  <c r="AR368" i="3"/>
  <c r="AQ368" i="3"/>
  <c r="AP368" i="3"/>
  <c r="AO368" i="3"/>
  <c r="AN368" i="3"/>
  <c r="AM368" i="3"/>
  <c r="AL368" i="3"/>
  <c r="AK368" i="3"/>
  <c r="AJ368" i="3"/>
  <c r="AI368" i="3"/>
  <c r="AH368" i="3"/>
  <c r="AG368" i="3"/>
  <c r="AF368" i="3"/>
  <c r="AE368" i="3"/>
  <c r="AD368" i="3"/>
  <c r="AC368" i="3"/>
  <c r="AB368" i="3"/>
  <c r="AA368" i="3"/>
  <c r="Z368" i="3"/>
  <c r="Y368" i="3"/>
  <c r="X368" i="3"/>
  <c r="W368" i="3"/>
  <c r="V368" i="3"/>
  <c r="U368" i="3"/>
  <c r="T368" i="3"/>
  <c r="S368" i="3"/>
  <c r="R368" i="3"/>
  <c r="Q368" i="3"/>
  <c r="P368" i="3"/>
  <c r="O368" i="3"/>
  <c r="N368" i="3"/>
  <c r="M368" i="3"/>
  <c r="L368" i="3"/>
  <c r="K368" i="3"/>
  <c r="J368" i="3"/>
  <c r="I368" i="3"/>
  <c r="H368" i="3"/>
  <c r="G368" i="3"/>
  <c r="F368" i="3"/>
  <c r="E368" i="3"/>
  <c r="D368" i="3"/>
  <c r="C368" i="3"/>
  <c r="B368" i="3"/>
  <c r="A368" i="3"/>
  <c r="BP367" i="3"/>
  <c r="BO367" i="3"/>
  <c r="BN367" i="3"/>
  <c r="BM367" i="3"/>
  <c r="BL367" i="3"/>
  <c r="BK367" i="3"/>
  <c r="BJ367" i="3"/>
  <c r="BI367" i="3"/>
  <c r="BH367" i="3"/>
  <c r="BG367" i="3"/>
  <c r="BF367" i="3"/>
  <c r="BE367" i="3"/>
  <c r="BD367" i="3"/>
  <c r="BC367" i="3"/>
  <c r="BB367" i="3"/>
  <c r="BA367" i="3"/>
  <c r="AZ367" i="3"/>
  <c r="AY367" i="3"/>
  <c r="AX367" i="3"/>
  <c r="AW367" i="3"/>
  <c r="AV367" i="3"/>
  <c r="AU367" i="3"/>
  <c r="AT367" i="3"/>
  <c r="AS367" i="3"/>
  <c r="AR367" i="3"/>
  <c r="AQ367" i="3"/>
  <c r="AP367" i="3"/>
  <c r="AO367" i="3"/>
  <c r="AN367" i="3"/>
  <c r="AM367" i="3"/>
  <c r="AL367" i="3"/>
  <c r="AK367" i="3"/>
  <c r="AJ367" i="3"/>
  <c r="AI367" i="3"/>
  <c r="AH367" i="3"/>
  <c r="AG367" i="3"/>
  <c r="AF367" i="3"/>
  <c r="AE367" i="3"/>
  <c r="AD367" i="3"/>
  <c r="AC367" i="3"/>
  <c r="AB367" i="3"/>
  <c r="AA367" i="3"/>
  <c r="Z367" i="3"/>
  <c r="Y367" i="3"/>
  <c r="X367" i="3"/>
  <c r="W367" i="3"/>
  <c r="V367" i="3"/>
  <c r="U367" i="3"/>
  <c r="T367" i="3"/>
  <c r="S367" i="3"/>
  <c r="R367" i="3"/>
  <c r="Q367" i="3"/>
  <c r="P367" i="3"/>
  <c r="O367" i="3"/>
  <c r="N367" i="3"/>
  <c r="M367" i="3"/>
  <c r="L367" i="3"/>
  <c r="K367" i="3"/>
  <c r="J367" i="3"/>
  <c r="I367" i="3"/>
  <c r="H367" i="3"/>
  <c r="G367" i="3"/>
  <c r="F367" i="3"/>
  <c r="E367" i="3"/>
  <c r="D367" i="3"/>
  <c r="C367" i="3"/>
  <c r="B367" i="3"/>
  <c r="A367" i="3"/>
  <c r="BP366" i="3"/>
  <c r="BO366" i="3"/>
  <c r="BN366" i="3"/>
  <c r="BM366" i="3"/>
  <c r="BL366" i="3"/>
  <c r="BK366" i="3"/>
  <c r="BJ366" i="3"/>
  <c r="BI366" i="3"/>
  <c r="BH366" i="3"/>
  <c r="BG366" i="3"/>
  <c r="BF366" i="3"/>
  <c r="BE366" i="3"/>
  <c r="BD366" i="3"/>
  <c r="BC366" i="3"/>
  <c r="BB366" i="3"/>
  <c r="BA366" i="3"/>
  <c r="AZ366" i="3"/>
  <c r="AY366" i="3"/>
  <c r="AX366" i="3"/>
  <c r="AW366" i="3"/>
  <c r="AV366" i="3"/>
  <c r="AU366" i="3"/>
  <c r="AT366" i="3"/>
  <c r="AS366" i="3"/>
  <c r="AR366" i="3"/>
  <c r="AQ366" i="3"/>
  <c r="AP366" i="3"/>
  <c r="AO366" i="3"/>
  <c r="AN366" i="3"/>
  <c r="AM366" i="3"/>
  <c r="AL366" i="3"/>
  <c r="AK366" i="3"/>
  <c r="AJ366" i="3"/>
  <c r="AI366" i="3"/>
  <c r="AH366" i="3"/>
  <c r="AG366" i="3"/>
  <c r="AF366" i="3"/>
  <c r="AE366" i="3"/>
  <c r="AD366" i="3"/>
  <c r="AC366" i="3"/>
  <c r="AB366" i="3"/>
  <c r="AA366" i="3"/>
  <c r="Z366" i="3"/>
  <c r="Y366" i="3"/>
  <c r="X366" i="3"/>
  <c r="W366" i="3"/>
  <c r="V366" i="3"/>
  <c r="U366" i="3"/>
  <c r="T366" i="3"/>
  <c r="S366" i="3"/>
  <c r="R366" i="3"/>
  <c r="Q366" i="3"/>
  <c r="P366" i="3"/>
  <c r="O366" i="3"/>
  <c r="N366" i="3"/>
  <c r="M366" i="3"/>
  <c r="L366" i="3"/>
  <c r="K366" i="3"/>
  <c r="J366" i="3"/>
  <c r="I366" i="3"/>
  <c r="H366" i="3"/>
  <c r="G366" i="3"/>
  <c r="F366" i="3"/>
  <c r="E366" i="3"/>
  <c r="D366" i="3"/>
  <c r="C366" i="3"/>
  <c r="B366" i="3"/>
  <c r="A366" i="3"/>
  <c r="BP365" i="3"/>
  <c r="BO365" i="3"/>
  <c r="BN365" i="3"/>
  <c r="BM365" i="3"/>
  <c r="BL365" i="3"/>
  <c r="BK365" i="3"/>
  <c r="BJ365" i="3"/>
  <c r="BI365" i="3"/>
  <c r="BH365" i="3"/>
  <c r="BG365" i="3"/>
  <c r="BF365" i="3"/>
  <c r="BE365" i="3"/>
  <c r="BD365" i="3"/>
  <c r="BC365" i="3"/>
  <c r="BB365" i="3"/>
  <c r="BA365" i="3"/>
  <c r="AZ365" i="3"/>
  <c r="AY365" i="3"/>
  <c r="AX365" i="3"/>
  <c r="AW365" i="3"/>
  <c r="AV365" i="3"/>
  <c r="AU365" i="3"/>
  <c r="AT365" i="3"/>
  <c r="AS365" i="3"/>
  <c r="AR365" i="3"/>
  <c r="AQ365" i="3"/>
  <c r="AP365" i="3"/>
  <c r="AO365" i="3"/>
  <c r="AN365" i="3"/>
  <c r="AM365" i="3"/>
  <c r="AL365" i="3"/>
  <c r="AK365" i="3"/>
  <c r="AJ365" i="3"/>
  <c r="AI365" i="3"/>
  <c r="AH365" i="3"/>
  <c r="AG365" i="3"/>
  <c r="AF365" i="3"/>
  <c r="AE365" i="3"/>
  <c r="AD365" i="3"/>
  <c r="AC365" i="3"/>
  <c r="AB365" i="3"/>
  <c r="AA365" i="3"/>
  <c r="Z365" i="3"/>
  <c r="Y365" i="3"/>
  <c r="X365" i="3"/>
  <c r="W365" i="3"/>
  <c r="V365" i="3"/>
  <c r="U365" i="3"/>
  <c r="T365" i="3"/>
  <c r="S365" i="3"/>
  <c r="R365" i="3"/>
  <c r="Q365" i="3"/>
  <c r="P365" i="3"/>
  <c r="O365" i="3"/>
  <c r="N365" i="3"/>
  <c r="M365" i="3"/>
  <c r="L365" i="3"/>
  <c r="K365" i="3"/>
  <c r="J365" i="3"/>
  <c r="I365" i="3"/>
  <c r="H365" i="3"/>
  <c r="G365" i="3"/>
  <c r="F365" i="3"/>
  <c r="E365" i="3"/>
  <c r="D365" i="3"/>
  <c r="C365" i="3"/>
  <c r="B365" i="3"/>
  <c r="A365" i="3"/>
  <c r="BP364" i="3"/>
  <c r="BO364" i="3"/>
  <c r="BN364" i="3"/>
  <c r="BM364" i="3"/>
  <c r="BL364" i="3"/>
  <c r="BK364" i="3"/>
  <c r="BJ364" i="3"/>
  <c r="BI364" i="3"/>
  <c r="BH364" i="3"/>
  <c r="BG364" i="3"/>
  <c r="BF364" i="3"/>
  <c r="BE364" i="3"/>
  <c r="BD364" i="3"/>
  <c r="BC364" i="3"/>
  <c r="BB364" i="3"/>
  <c r="BA364" i="3"/>
  <c r="AZ364" i="3"/>
  <c r="AY364" i="3"/>
  <c r="AX364" i="3"/>
  <c r="AW364" i="3"/>
  <c r="AV364" i="3"/>
  <c r="AU364" i="3"/>
  <c r="AT364" i="3"/>
  <c r="AS364" i="3"/>
  <c r="AR364" i="3"/>
  <c r="AQ364" i="3"/>
  <c r="AP364" i="3"/>
  <c r="AO364" i="3"/>
  <c r="AN364" i="3"/>
  <c r="AM364" i="3"/>
  <c r="AL364" i="3"/>
  <c r="AK364" i="3"/>
  <c r="AJ364" i="3"/>
  <c r="AI364" i="3"/>
  <c r="AH364" i="3"/>
  <c r="AG364" i="3"/>
  <c r="AF364" i="3"/>
  <c r="AE364" i="3"/>
  <c r="AD364" i="3"/>
  <c r="AC364" i="3"/>
  <c r="AB364" i="3"/>
  <c r="AA364" i="3"/>
  <c r="Z364" i="3"/>
  <c r="Y364" i="3"/>
  <c r="X364" i="3"/>
  <c r="W364" i="3"/>
  <c r="V364" i="3"/>
  <c r="U364" i="3"/>
  <c r="T364" i="3"/>
  <c r="S364" i="3"/>
  <c r="R364" i="3"/>
  <c r="Q364" i="3"/>
  <c r="P364" i="3"/>
  <c r="O364" i="3"/>
  <c r="N364" i="3"/>
  <c r="M364" i="3"/>
  <c r="L364" i="3"/>
  <c r="K364" i="3"/>
  <c r="J364" i="3"/>
  <c r="I364" i="3"/>
  <c r="H364" i="3"/>
  <c r="G364" i="3"/>
  <c r="F364" i="3"/>
  <c r="E364" i="3"/>
  <c r="D364" i="3"/>
  <c r="C364" i="3"/>
  <c r="B364" i="3"/>
  <c r="A364" i="3"/>
  <c r="BP363" i="3"/>
  <c r="BO363" i="3"/>
  <c r="BN363" i="3"/>
  <c r="BM363" i="3"/>
  <c r="BL363" i="3"/>
  <c r="BK363" i="3"/>
  <c r="BJ363" i="3"/>
  <c r="BI363" i="3"/>
  <c r="BH363" i="3"/>
  <c r="BG363" i="3"/>
  <c r="BF363" i="3"/>
  <c r="BE363" i="3"/>
  <c r="BD363" i="3"/>
  <c r="BC363" i="3"/>
  <c r="BB363" i="3"/>
  <c r="BA363" i="3"/>
  <c r="AZ363" i="3"/>
  <c r="AY363" i="3"/>
  <c r="AX363" i="3"/>
  <c r="AW363" i="3"/>
  <c r="AV363" i="3"/>
  <c r="AU363" i="3"/>
  <c r="AT363" i="3"/>
  <c r="AS363" i="3"/>
  <c r="AR363" i="3"/>
  <c r="AQ363" i="3"/>
  <c r="AP363" i="3"/>
  <c r="AO363" i="3"/>
  <c r="AN363" i="3"/>
  <c r="AM363" i="3"/>
  <c r="AL363" i="3"/>
  <c r="AK363" i="3"/>
  <c r="AJ363" i="3"/>
  <c r="AI363" i="3"/>
  <c r="AH363" i="3"/>
  <c r="AG363" i="3"/>
  <c r="AF363" i="3"/>
  <c r="AE363" i="3"/>
  <c r="AD363" i="3"/>
  <c r="AC363" i="3"/>
  <c r="AB363" i="3"/>
  <c r="AA363" i="3"/>
  <c r="Z363" i="3"/>
  <c r="Y363" i="3"/>
  <c r="X363" i="3"/>
  <c r="W363" i="3"/>
  <c r="V363" i="3"/>
  <c r="U363" i="3"/>
  <c r="T363" i="3"/>
  <c r="S363" i="3"/>
  <c r="R363" i="3"/>
  <c r="Q363" i="3"/>
  <c r="P363" i="3"/>
  <c r="O363" i="3"/>
  <c r="N363" i="3"/>
  <c r="M363" i="3"/>
  <c r="L363" i="3"/>
  <c r="K363" i="3"/>
  <c r="J363" i="3"/>
  <c r="I363" i="3"/>
  <c r="H363" i="3"/>
  <c r="G363" i="3"/>
  <c r="F363" i="3"/>
  <c r="E363" i="3"/>
  <c r="D363" i="3"/>
  <c r="C363" i="3"/>
  <c r="B363" i="3"/>
  <c r="A363" i="3"/>
  <c r="BP362" i="3"/>
  <c r="BO362" i="3"/>
  <c r="BN362" i="3"/>
  <c r="BM362" i="3"/>
  <c r="BL362" i="3"/>
  <c r="BK362" i="3"/>
  <c r="BJ362" i="3"/>
  <c r="BI362" i="3"/>
  <c r="BH362" i="3"/>
  <c r="BG362" i="3"/>
  <c r="BF362" i="3"/>
  <c r="BE362" i="3"/>
  <c r="BD362" i="3"/>
  <c r="BC362" i="3"/>
  <c r="BB362" i="3"/>
  <c r="BA362" i="3"/>
  <c r="AZ362" i="3"/>
  <c r="AY362" i="3"/>
  <c r="AX362" i="3"/>
  <c r="AW362" i="3"/>
  <c r="AV362" i="3"/>
  <c r="AU362" i="3"/>
  <c r="AT362" i="3"/>
  <c r="AS362" i="3"/>
  <c r="AR362" i="3"/>
  <c r="AQ362" i="3"/>
  <c r="AP362" i="3"/>
  <c r="AO362" i="3"/>
  <c r="AN362" i="3"/>
  <c r="AM362" i="3"/>
  <c r="AL362" i="3"/>
  <c r="AK362" i="3"/>
  <c r="AJ362" i="3"/>
  <c r="AI362" i="3"/>
  <c r="AH362" i="3"/>
  <c r="AG362" i="3"/>
  <c r="AF362" i="3"/>
  <c r="AE362" i="3"/>
  <c r="AD362" i="3"/>
  <c r="AC362" i="3"/>
  <c r="AB362" i="3"/>
  <c r="AA362" i="3"/>
  <c r="Z362" i="3"/>
  <c r="Y362" i="3"/>
  <c r="X362" i="3"/>
  <c r="W362" i="3"/>
  <c r="V362" i="3"/>
  <c r="U362" i="3"/>
  <c r="T362" i="3"/>
  <c r="S362" i="3"/>
  <c r="R362" i="3"/>
  <c r="Q362" i="3"/>
  <c r="P362" i="3"/>
  <c r="O362" i="3"/>
  <c r="N362" i="3"/>
  <c r="M362" i="3"/>
  <c r="L362" i="3"/>
  <c r="K362" i="3"/>
  <c r="J362" i="3"/>
  <c r="I362" i="3"/>
  <c r="H362" i="3"/>
  <c r="G362" i="3"/>
  <c r="F362" i="3"/>
  <c r="E362" i="3"/>
  <c r="D362" i="3"/>
  <c r="C362" i="3"/>
  <c r="B362" i="3"/>
  <c r="A362" i="3"/>
  <c r="BP361" i="3"/>
  <c r="BO361" i="3"/>
  <c r="BN361" i="3"/>
  <c r="BM361" i="3"/>
  <c r="BL361" i="3"/>
  <c r="BK361" i="3"/>
  <c r="BJ361" i="3"/>
  <c r="BI361" i="3"/>
  <c r="BH361" i="3"/>
  <c r="BG361" i="3"/>
  <c r="BF361" i="3"/>
  <c r="BE361" i="3"/>
  <c r="BD361" i="3"/>
  <c r="BC361" i="3"/>
  <c r="BB361" i="3"/>
  <c r="BA361" i="3"/>
  <c r="AZ361" i="3"/>
  <c r="AY361" i="3"/>
  <c r="AX361" i="3"/>
  <c r="AW361" i="3"/>
  <c r="AV361" i="3"/>
  <c r="AU361" i="3"/>
  <c r="AT361" i="3"/>
  <c r="AS361" i="3"/>
  <c r="AR361" i="3"/>
  <c r="AQ361" i="3"/>
  <c r="AP361" i="3"/>
  <c r="AO361" i="3"/>
  <c r="AN361" i="3"/>
  <c r="AM361" i="3"/>
  <c r="AL361" i="3"/>
  <c r="AK361" i="3"/>
  <c r="AJ361" i="3"/>
  <c r="AI361" i="3"/>
  <c r="AH361" i="3"/>
  <c r="AG361" i="3"/>
  <c r="AF361" i="3"/>
  <c r="AE361" i="3"/>
  <c r="AD361" i="3"/>
  <c r="AC361" i="3"/>
  <c r="AB361" i="3"/>
  <c r="AA361" i="3"/>
  <c r="Z361" i="3"/>
  <c r="Y361" i="3"/>
  <c r="X361" i="3"/>
  <c r="W361" i="3"/>
  <c r="V361" i="3"/>
  <c r="U361" i="3"/>
  <c r="T361" i="3"/>
  <c r="S361" i="3"/>
  <c r="R361" i="3"/>
  <c r="Q361" i="3"/>
  <c r="P361" i="3"/>
  <c r="O361" i="3"/>
  <c r="N361" i="3"/>
  <c r="M361" i="3"/>
  <c r="L361" i="3"/>
  <c r="K361" i="3"/>
  <c r="J361" i="3"/>
  <c r="I361" i="3"/>
  <c r="H361" i="3"/>
  <c r="G361" i="3"/>
  <c r="F361" i="3"/>
  <c r="E361" i="3"/>
  <c r="D361" i="3"/>
  <c r="C361" i="3"/>
  <c r="B361" i="3"/>
  <c r="A361" i="3"/>
  <c r="BP360" i="3"/>
  <c r="BO360" i="3"/>
  <c r="BN360" i="3"/>
  <c r="BM360" i="3"/>
  <c r="BL360" i="3"/>
  <c r="BK360" i="3"/>
  <c r="BJ360" i="3"/>
  <c r="BI360" i="3"/>
  <c r="BH360" i="3"/>
  <c r="BG360" i="3"/>
  <c r="BF360" i="3"/>
  <c r="BE360" i="3"/>
  <c r="BD360" i="3"/>
  <c r="BC360" i="3"/>
  <c r="BB360" i="3"/>
  <c r="BA360" i="3"/>
  <c r="AZ360" i="3"/>
  <c r="AY360" i="3"/>
  <c r="AX360" i="3"/>
  <c r="AW360" i="3"/>
  <c r="AV360" i="3"/>
  <c r="AU360" i="3"/>
  <c r="AT360" i="3"/>
  <c r="AS360" i="3"/>
  <c r="AR360" i="3"/>
  <c r="AQ360" i="3"/>
  <c r="AP360" i="3"/>
  <c r="AO360" i="3"/>
  <c r="AN360" i="3"/>
  <c r="AM360" i="3"/>
  <c r="AL360" i="3"/>
  <c r="AK360" i="3"/>
  <c r="AJ360" i="3"/>
  <c r="AI360" i="3"/>
  <c r="AH360" i="3"/>
  <c r="AG360" i="3"/>
  <c r="AF360" i="3"/>
  <c r="AE360" i="3"/>
  <c r="AD360" i="3"/>
  <c r="AC360" i="3"/>
  <c r="AB360" i="3"/>
  <c r="AA360" i="3"/>
  <c r="Z360" i="3"/>
  <c r="Y360" i="3"/>
  <c r="X360" i="3"/>
  <c r="W360" i="3"/>
  <c r="V360" i="3"/>
  <c r="U360" i="3"/>
  <c r="T360" i="3"/>
  <c r="S360" i="3"/>
  <c r="R360" i="3"/>
  <c r="Q360" i="3"/>
  <c r="P360" i="3"/>
  <c r="O360" i="3"/>
  <c r="N360" i="3"/>
  <c r="M360" i="3"/>
  <c r="L360" i="3"/>
  <c r="K360" i="3"/>
  <c r="J360" i="3"/>
  <c r="I360" i="3"/>
  <c r="H360" i="3"/>
  <c r="G360" i="3"/>
  <c r="F360" i="3"/>
  <c r="E360" i="3"/>
  <c r="D360" i="3"/>
  <c r="C360" i="3"/>
  <c r="B360" i="3"/>
  <c r="A360" i="3"/>
  <c r="BP359" i="3"/>
  <c r="BO359" i="3"/>
  <c r="BN359" i="3"/>
  <c r="BM359" i="3"/>
  <c r="BL359" i="3"/>
  <c r="BK359" i="3"/>
  <c r="BJ359" i="3"/>
  <c r="BI359" i="3"/>
  <c r="BH359" i="3"/>
  <c r="BG359" i="3"/>
  <c r="BF359" i="3"/>
  <c r="BE359" i="3"/>
  <c r="BD359" i="3"/>
  <c r="BC359" i="3"/>
  <c r="BB359" i="3"/>
  <c r="BA359" i="3"/>
  <c r="AZ359" i="3"/>
  <c r="AY359" i="3"/>
  <c r="AX359" i="3"/>
  <c r="AW359" i="3"/>
  <c r="AV359" i="3"/>
  <c r="AU359" i="3"/>
  <c r="AT359" i="3"/>
  <c r="AS359" i="3"/>
  <c r="AR359" i="3"/>
  <c r="AQ359" i="3"/>
  <c r="AP359" i="3"/>
  <c r="AO359" i="3"/>
  <c r="AN359" i="3"/>
  <c r="AM359" i="3"/>
  <c r="AL359" i="3"/>
  <c r="AK359" i="3"/>
  <c r="AJ359" i="3"/>
  <c r="AI359" i="3"/>
  <c r="AH359" i="3"/>
  <c r="AG359" i="3"/>
  <c r="AF359" i="3"/>
  <c r="AE359" i="3"/>
  <c r="AD359" i="3"/>
  <c r="AC359" i="3"/>
  <c r="AB359" i="3"/>
  <c r="AA359" i="3"/>
  <c r="Z359" i="3"/>
  <c r="Y359" i="3"/>
  <c r="X359" i="3"/>
  <c r="W359" i="3"/>
  <c r="V359" i="3"/>
  <c r="U359" i="3"/>
  <c r="T359" i="3"/>
  <c r="S359" i="3"/>
  <c r="R359" i="3"/>
  <c r="Q359" i="3"/>
  <c r="P359" i="3"/>
  <c r="O359" i="3"/>
  <c r="N359" i="3"/>
  <c r="M359" i="3"/>
  <c r="L359" i="3"/>
  <c r="K359" i="3"/>
  <c r="J359" i="3"/>
  <c r="I359" i="3"/>
  <c r="H359" i="3"/>
  <c r="G359" i="3"/>
  <c r="F359" i="3"/>
  <c r="E359" i="3"/>
  <c r="D359" i="3"/>
  <c r="C359" i="3"/>
  <c r="B359" i="3"/>
  <c r="A359" i="3"/>
  <c r="BP358" i="3"/>
  <c r="BO358" i="3"/>
  <c r="BN358" i="3"/>
  <c r="BM358" i="3"/>
  <c r="BL358" i="3"/>
  <c r="BK358" i="3"/>
  <c r="BJ358" i="3"/>
  <c r="BI358" i="3"/>
  <c r="BH358" i="3"/>
  <c r="BG358" i="3"/>
  <c r="BF358" i="3"/>
  <c r="BE358" i="3"/>
  <c r="BD358" i="3"/>
  <c r="BC358" i="3"/>
  <c r="BB358" i="3"/>
  <c r="BA358" i="3"/>
  <c r="AZ358" i="3"/>
  <c r="AY358" i="3"/>
  <c r="AX358" i="3"/>
  <c r="AW358" i="3"/>
  <c r="AV358" i="3"/>
  <c r="AU358" i="3"/>
  <c r="AT358" i="3"/>
  <c r="AS358" i="3"/>
  <c r="AR358" i="3"/>
  <c r="AQ358" i="3"/>
  <c r="AP358" i="3"/>
  <c r="AO358" i="3"/>
  <c r="AN358" i="3"/>
  <c r="AM358" i="3"/>
  <c r="AL358" i="3"/>
  <c r="AK358" i="3"/>
  <c r="AJ358" i="3"/>
  <c r="AI358" i="3"/>
  <c r="AH358" i="3"/>
  <c r="AG358" i="3"/>
  <c r="AF358" i="3"/>
  <c r="AE358" i="3"/>
  <c r="AD358" i="3"/>
  <c r="AC358" i="3"/>
  <c r="AB358" i="3"/>
  <c r="AA358" i="3"/>
  <c r="Z358" i="3"/>
  <c r="Y358" i="3"/>
  <c r="X358" i="3"/>
  <c r="W358" i="3"/>
  <c r="V358" i="3"/>
  <c r="U358" i="3"/>
  <c r="T358" i="3"/>
  <c r="S358" i="3"/>
  <c r="R358" i="3"/>
  <c r="Q358" i="3"/>
  <c r="P358" i="3"/>
  <c r="O358" i="3"/>
  <c r="N358" i="3"/>
  <c r="M358" i="3"/>
  <c r="L358" i="3"/>
  <c r="K358" i="3"/>
  <c r="J358" i="3"/>
  <c r="I358" i="3"/>
  <c r="H358" i="3"/>
  <c r="G358" i="3"/>
  <c r="F358" i="3"/>
  <c r="E358" i="3"/>
  <c r="D358" i="3"/>
  <c r="C358" i="3"/>
  <c r="B358" i="3"/>
  <c r="A358" i="3"/>
  <c r="BP357" i="3"/>
  <c r="BO357" i="3"/>
  <c r="BN357" i="3"/>
  <c r="BM357" i="3"/>
  <c r="BL357" i="3"/>
  <c r="BK357" i="3"/>
  <c r="BJ357" i="3"/>
  <c r="BI357" i="3"/>
  <c r="BH357" i="3"/>
  <c r="BG357" i="3"/>
  <c r="BF357" i="3"/>
  <c r="BE357" i="3"/>
  <c r="BD357" i="3"/>
  <c r="BC357" i="3"/>
  <c r="BB357" i="3"/>
  <c r="BA357" i="3"/>
  <c r="AZ357" i="3"/>
  <c r="AY357" i="3"/>
  <c r="AX357" i="3"/>
  <c r="AW357" i="3"/>
  <c r="AV357" i="3"/>
  <c r="AU357" i="3"/>
  <c r="AT357" i="3"/>
  <c r="AS357" i="3"/>
  <c r="AR357" i="3"/>
  <c r="AQ357" i="3"/>
  <c r="AP357" i="3"/>
  <c r="AO357" i="3"/>
  <c r="AN357" i="3"/>
  <c r="AM357" i="3"/>
  <c r="AL357" i="3"/>
  <c r="AK357" i="3"/>
  <c r="AJ357" i="3"/>
  <c r="AI357" i="3"/>
  <c r="AH357" i="3"/>
  <c r="AG357" i="3"/>
  <c r="AF357" i="3"/>
  <c r="AE357" i="3"/>
  <c r="AD357" i="3"/>
  <c r="AC357" i="3"/>
  <c r="AB357" i="3"/>
  <c r="AA357" i="3"/>
  <c r="Z357" i="3"/>
  <c r="Y357" i="3"/>
  <c r="X357" i="3"/>
  <c r="W357" i="3"/>
  <c r="V357" i="3"/>
  <c r="U357" i="3"/>
  <c r="T357" i="3"/>
  <c r="S357" i="3"/>
  <c r="R357" i="3"/>
  <c r="Q357" i="3"/>
  <c r="P357" i="3"/>
  <c r="O357" i="3"/>
  <c r="N357" i="3"/>
  <c r="M357" i="3"/>
  <c r="L357" i="3"/>
  <c r="K357" i="3"/>
  <c r="J357" i="3"/>
  <c r="I357" i="3"/>
  <c r="H357" i="3"/>
  <c r="G357" i="3"/>
  <c r="F357" i="3"/>
  <c r="E357" i="3"/>
  <c r="D357" i="3"/>
  <c r="C357" i="3"/>
  <c r="B357" i="3"/>
  <c r="A357" i="3"/>
  <c r="BP356" i="3"/>
  <c r="BO356" i="3"/>
  <c r="BN356" i="3"/>
  <c r="BM356" i="3"/>
  <c r="BL356" i="3"/>
  <c r="BK356" i="3"/>
  <c r="BJ356" i="3"/>
  <c r="BI356" i="3"/>
  <c r="BH356" i="3"/>
  <c r="BG356" i="3"/>
  <c r="BF356" i="3"/>
  <c r="BE356" i="3"/>
  <c r="BD356" i="3"/>
  <c r="BC356" i="3"/>
  <c r="BB356" i="3"/>
  <c r="BA356" i="3"/>
  <c r="AZ356" i="3"/>
  <c r="AY356" i="3"/>
  <c r="AX356" i="3"/>
  <c r="AW356" i="3"/>
  <c r="AV356" i="3"/>
  <c r="AU356" i="3"/>
  <c r="AT356" i="3"/>
  <c r="AS356" i="3"/>
  <c r="AR356" i="3"/>
  <c r="AQ356" i="3"/>
  <c r="AP356" i="3"/>
  <c r="AO356" i="3"/>
  <c r="AN356" i="3"/>
  <c r="AM356" i="3"/>
  <c r="AL356" i="3"/>
  <c r="AK356" i="3"/>
  <c r="AJ356" i="3"/>
  <c r="AI356" i="3"/>
  <c r="AH356" i="3"/>
  <c r="AG356" i="3"/>
  <c r="AF356" i="3"/>
  <c r="AE356" i="3"/>
  <c r="AD356" i="3"/>
  <c r="AC356" i="3"/>
  <c r="AB356" i="3"/>
  <c r="AA356" i="3"/>
  <c r="Z356" i="3"/>
  <c r="Y356" i="3"/>
  <c r="X356" i="3"/>
  <c r="W356" i="3"/>
  <c r="V356" i="3"/>
  <c r="U356" i="3"/>
  <c r="T356" i="3"/>
  <c r="S356" i="3"/>
  <c r="R356" i="3"/>
  <c r="Q356" i="3"/>
  <c r="P356" i="3"/>
  <c r="O356" i="3"/>
  <c r="N356" i="3"/>
  <c r="M356" i="3"/>
  <c r="L356" i="3"/>
  <c r="K356" i="3"/>
  <c r="J356" i="3"/>
  <c r="I356" i="3"/>
  <c r="H356" i="3"/>
  <c r="G356" i="3"/>
  <c r="F356" i="3"/>
  <c r="E356" i="3"/>
  <c r="D356" i="3"/>
  <c r="C356" i="3"/>
  <c r="B356" i="3"/>
  <c r="A356" i="3"/>
  <c r="BP355" i="3"/>
  <c r="BO355" i="3"/>
  <c r="BN355" i="3"/>
  <c r="BM355" i="3"/>
  <c r="BL355" i="3"/>
  <c r="BK355" i="3"/>
  <c r="BJ355" i="3"/>
  <c r="BI355" i="3"/>
  <c r="BH355" i="3"/>
  <c r="BG355" i="3"/>
  <c r="BF355" i="3"/>
  <c r="BE355" i="3"/>
  <c r="BD355" i="3"/>
  <c r="BC355" i="3"/>
  <c r="BB355" i="3"/>
  <c r="BA355" i="3"/>
  <c r="AZ355" i="3"/>
  <c r="AY355" i="3"/>
  <c r="AX355" i="3"/>
  <c r="AW355" i="3"/>
  <c r="AV355" i="3"/>
  <c r="AU355" i="3"/>
  <c r="AT355" i="3"/>
  <c r="AS355" i="3"/>
  <c r="AR355" i="3"/>
  <c r="AQ355" i="3"/>
  <c r="AP355" i="3"/>
  <c r="AO355" i="3"/>
  <c r="AN355" i="3"/>
  <c r="AM355" i="3"/>
  <c r="AL355" i="3"/>
  <c r="AK355" i="3"/>
  <c r="AJ355" i="3"/>
  <c r="AI355" i="3"/>
  <c r="AH355" i="3"/>
  <c r="AG355" i="3"/>
  <c r="AF355" i="3"/>
  <c r="AE355" i="3"/>
  <c r="AD355" i="3"/>
  <c r="AC355" i="3"/>
  <c r="AB355" i="3"/>
  <c r="AA355" i="3"/>
  <c r="Z355" i="3"/>
  <c r="Y355" i="3"/>
  <c r="X355" i="3"/>
  <c r="W355" i="3"/>
  <c r="V355" i="3"/>
  <c r="U355" i="3"/>
  <c r="T355" i="3"/>
  <c r="S355" i="3"/>
  <c r="R355" i="3"/>
  <c r="Q355" i="3"/>
  <c r="P355" i="3"/>
  <c r="O355" i="3"/>
  <c r="N355" i="3"/>
  <c r="M355" i="3"/>
  <c r="L355" i="3"/>
  <c r="K355" i="3"/>
  <c r="J355" i="3"/>
  <c r="I355" i="3"/>
  <c r="H355" i="3"/>
  <c r="G355" i="3"/>
  <c r="F355" i="3"/>
  <c r="E355" i="3"/>
  <c r="D355" i="3"/>
  <c r="C355" i="3"/>
  <c r="B355" i="3"/>
  <c r="A355" i="3"/>
  <c r="BP354" i="3"/>
  <c r="BO354" i="3"/>
  <c r="BN354" i="3"/>
  <c r="BM354" i="3"/>
  <c r="BL354" i="3"/>
  <c r="BK354" i="3"/>
  <c r="BJ354" i="3"/>
  <c r="BI354" i="3"/>
  <c r="BH354" i="3"/>
  <c r="BG354" i="3"/>
  <c r="BF354" i="3"/>
  <c r="BE354" i="3"/>
  <c r="BD354" i="3"/>
  <c r="BC354" i="3"/>
  <c r="BB354" i="3"/>
  <c r="BA354" i="3"/>
  <c r="AZ354" i="3"/>
  <c r="AY354" i="3"/>
  <c r="AX354" i="3"/>
  <c r="AW354" i="3"/>
  <c r="AV354" i="3"/>
  <c r="AU354" i="3"/>
  <c r="AT354" i="3"/>
  <c r="AS354" i="3"/>
  <c r="AR354" i="3"/>
  <c r="AQ354" i="3"/>
  <c r="AP354" i="3"/>
  <c r="AO354" i="3"/>
  <c r="AN354" i="3"/>
  <c r="AM354" i="3"/>
  <c r="AL354" i="3"/>
  <c r="AK354" i="3"/>
  <c r="AJ354" i="3"/>
  <c r="AI354" i="3"/>
  <c r="AH354" i="3"/>
  <c r="AG354" i="3"/>
  <c r="AF354" i="3"/>
  <c r="AE354" i="3"/>
  <c r="AD354" i="3"/>
  <c r="AC354" i="3"/>
  <c r="AB354" i="3"/>
  <c r="AA354" i="3"/>
  <c r="Z354" i="3"/>
  <c r="Y354" i="3"/>
  <c r="X354" i="3"/>
  <c r="W354" i="3"/>
  <c r="V354" i="3"/>
  <c r="U354" i="3"/>
  <c r="T354" i="3"/>
  <c r="S354" i="3"/>
  <c r="R354" i="3"/>
  <c r="Q354" i="3"/>
  <c r="P354" i="3"/>
  <c r="O354" i="3"/>
  <c r="N354" i="3"/>
  <c r="M354" i="3"/>
  <c r="L354" i="3"/>
  <c r="K354" i="3"/>
  <c r="J354" i="3"/>
  <c r="I354" i="3"/>
  <c r="H354" i="3"/>
  <c r="G354" i="3"/>
  <c r="F354" i="3"/>
  <c r="E354" i="3"/>
  <c r="D354" i="3"/>
  <c r="C354" i="3"/>
  <c r="B354" i="3"/>
  <c r="A354" i="3"/>
  <c r="BP353" i="3"/>
  <c r="BO353" i="3"/>
  <c r="BN353" i="3"/>
  <c r="BM353" i="3"/>
  <c r="BL353" i="3"/>
  <c r="BK353" i="3"/>
  <c r="BJ353" i="3"/>
  <c r="BI353" i="3"/>
  <c r="BH353" i="3"/>
  <c r="BG353" i="3"/>
  <c r="BF353" i="3"/>
  <c r="BE353" i="3"/>
  <c r="BD353" i="3"/>
  <c r="BC353" i="3"/>
  <c r="BB353" i="3"/>
  <c r="BA353" i="3"/>
  <c r="AZ353" i="3"/>
  <c r="AY353" i="3"/>
  <c r="AX353" i="3"/>
  <c r="AW353" i="3"/>
  <c r="AV353" i="3"/>
  <c r="AU353" i="3"/>
  <c r="AT353" i="3"/>
  <c r="AS353" i="3"/>
  <c r="AR353" i="3"/>
  <c r="AQ353" i="3"/>
  <c r="AP353" i="3"/>
  <c r="AO353" i="3"/>
  <c r="AN353" i="3"/>
  <c r="AM353" i="3"/>
  <c r="AL353" i="3"/>
  <c r="AK353" i="3"/>
  <c r="AJ353" i="3"/>
  <c r="AI353" i="3"/>
  <c r="AH353" i="3"/>
  <c r="AG353" i="3"/>
  <c r="AF353" i="3"/>
  <c r="AE353" i="3"/>
  <c r="AD353" i="3"/>
  <c r="AC353" i="3"/>
  <c r="AB353" i="3"/>
  <c r="AA353" i="3"/>
  <c r="Z353" i="3"/>
  <c r="Y353" i="3"/>
  <c r="X353" i="3"/>
  <c r="W353" i="3"/>
  <c r="V353" i="3"/>
  <c r="U353" i="3"/>
  <c r="T353" i="3"/>
  <c r="S353" i="3"/>
  <c r="R353" i="3"/>
  <c r="Q353" i="3"/>
  <c r="P353" i="3"/>
  <c r="O353" i="3"/>
  <c r="N353" i="3"/>
  <c r="M353" i="3"/>
  <c r="L353" i="3"/>
  <c r="K353" i="3"/>
  <c r="J353" i="3"/>
  <c r="I353" i="3"/>
  <c r="H353" i="3"/>
  <c r="G353" i="3"/>
  <c r="F353" i="3"/>
  <c r="E353" i="3"/>
  <c r="D353" i="3"/>
  <c r="C353" i="3"/>
  <c r="B353" i="3"/>
  <c r="A353" i="3"/>
  <c r="BP352" i="3"/>
  <c r="BO352" i="3"/>
  <c r="BN352" i="3"/>
  <c r="BM352" i="3"/>
  <c r="BL352" i="3"/>
  <c r="BK352" i="3"/>
  <c r="BJ352" i="3"/>
  <c r="BI352" i="3"/>
  <c r="BH352" i="3"/>
  <c r="BG352" i="3"/>
  <c r="BF352" i="3"/>
  <c r="BE352" i="3"/>
  <c r="BD352" i="3"/>
  <c r="BC352" i="3"/>
  <c r="BB352" i="3"/>
  <c r="BA352" i="3"/>
  <c r="AZ352" i="3"/>
  <c r="AY352" i="3"/>
  <c r="AX352" i="3"/>
  <c r="AW352" i="3"/>
  <c r="AV352" i="3"/>
  <c r="AU352" i="3"/>
  <c r="AT352" i="3"/>
  <c r="AS352" i="3"/>
  <c r="AR352" i="3"/>
  <c r="AQ352" i="3"/>
  <c r="AP352" i="3"/>
  <c r="AO352" i="3"/>
  <c r="AN352" i="3"/>
  <c r="AM352" i="3"/>
  <c r="AL352" i="3"/>
  <c r="AK352" i="3"/>
  <c r="AJ352" i="3"/>
  <c r="AI352" i="3"/>
  <c r="AH352" i="3"/>
  <c r="AG352" i="3"/>
  <c r="AF352" i="3"/>
  <c r="AE352" i="3"/>
  <c r="AD352" i="3"/>
  <c r="AC352" i="3"/>
  <c r="AB352" i="3"/>
  <c r="AA352" i="3"/>
  <c r="Z352" i="3"/>
  <c r="Y352" i="3"/>
  <c r="X352" i="3"/>
  <c r="W352" i="3"/>
  <c r="V352" i="3"/>
  <c r="U352" i="3"/>
  <c r="T352" i="3"/>
  <c r="S352" i="3"/>
  <c r="R352" i="3"/>
  <c r="Q352" i="3"/>
  <c r="P352" i="3"/>
  <c r="O352" i="3"/>
  <c r="N352" i="3"/>
  <c r="M352" i="3"/>
  <c r="L352" i="3"/>
  <c r="K352" i="3"/>
  <c r="J352" i="3"/>
  <c r="I352" i="3"/>
  <c r="H352" i="3"/>
  <c r="G352" i="3"/>
  <c r="F352" i="3"/>
  <c r="E352" i="3"/>
  <c r="D352" i="3"/>
  <c r="C352" i="3"/>
  <c r="B352" i="3"/>
  <c r="A352" i="3"/>
  <c r="BP351" i="3"/>
  <c r="BO351" i="3"/>
  <c r="BN351" i="3"/>
  <c r="BM351" i="3"/>
  <c r="BL351" i="3"/>
  <c r="BK351" i="3"/>
  <c r="BJ351" i="3"/>
  <c r="BI351" i="3"/>
  <c r="BH351" i="3"/>
  <c r="BG351" i="3"/>
  <c r="BF351" i="3"/>
  <c r="BE351" i="3"/>
  <c r="BD351" i="3"/>
  <c r="BC351" i="3"/>
  <c r="BB351" i="3"/>
  <c r="BA351" i="3"/>
  <c r="AZ351" i="3"/>
  <c r="AY351" i="3"/>
  <c r="AX351" i="3"/>
  <c r="AW351" i="3"/>
  <c r="AV351" i="3"/>
  <c r="AU351" i="3"/>
  <c r="AT351" i="3"/>
  <c r="AS351" i="3"/>
  <c r="AR351" i="3"/>
  <c r="AQ351" i="3"/>
  <c r="AP351" i="3"/>
  <c r="AO351" i="3"/>
  <c r="AN351" i="3"/>
  <c r="AM351" i="3"/>
  <c r="AL351" i="3"/>
  <c r="AK351" i="3"/>
  <c r="AJ351" i="3"/>
  <c r="AI351" i="3"/>
  <c r="AH351" i="3"/>
  <c r="AG351" i="3"/>
  <c r="AF351" i="3"/>
  <c r="AE351" i="3"/>
  <c r="AD351" i="3"/>
  <c r="AC351" i="3"/>
  <c r="AB351" i="3"/>
  <c r="AA351" i="3"/>
  <c r="Z351" i="3"/>
  <c r="Y351" i="3"/>
  <c r="X351" i="3"/>
  <c r="W351" i="3"/>
  <c r="V351" i="3"/>
  <c r="U351" i="3"/>
  <c r="T351" i="3"/>
  <c r="S351" i="3"/>
  <c r="R351" i="3"/>
  <c r="Q351" i="3"/>
  <c r="P351" i="3"/>
  <c r="O351" i="3"/>
  <c r="N351" i="3"/>
  <c r="M351" i="3"/>
  <c r="L351" i="3"/>
  <c r="K351" i="3"/>
  <c r="J351" i="3"/>
  <c r="I351" i="3"/>
  <c r="H351" i="3"/>
  <c r="G351" i="3"/>
  <c r="F351" i="3"/>
  <c r="E351" i="3"/>
  <c r="D351" i="3"/>
  <c r="C351" i="3"/>
  <c r="B351" i="3"/>
  <c r="A351" i="3"/>
  <c r="BP350" i="3"/>
  <c r="BO350" i="3"/>
  <c r="BN350" i="3"/>
  <c r="BM350" i="3"/>
  <c r="BL350" i="3"/>
  <c r="BK350" i="3"/>
  <c r="BJ350" i="3"/>
  <c r="BI350" i="3"/>
  <c r="BH350" i="3"/>
  <c r="BG350" i="3"/>
  <c r="BF350" i="3"/>
  <c r="BE350" i="3"/>
  <c r="BD350" i="3"/>
  <c r="BC350" i="3"/>
  <c r="BB350" i="3"/>
  <c r="BA350" i="3"/>
  <c r="AZ350" i="3"/>
  <c r="AY350" i="3"/>
  <c r="AX350" i="3"/>
  <c r="AW350" i="3"/>
  <c r="AV350" i="3"/>
  <c r="AU350" i="3"/>
  <c r="AT350" i="3"/>
  <c r="AS350" i="3"/>
  <c r="AR350" i="3"/>
  <c r="AQ350" i="3"/>
  <c r="AP350" i="3"/>
  <c r="AO350" i="3"/>
  <c r="AN350" i="3"/>
  <c r="AM350" i="3"/>
  <c r="AL350" i="3"/>
  <c r="AK350" i="3"/>
  <c r="AJ350" i="3"/>
  <c r="AI350" i="3"/>
  <c r="AH350" i="3"/>
  <c r="AG350" i="3"/>
  <c r="AF350" i="3"/>
  <c r="AE350" i="3"/>
  <c r="AD350" i="3"/>
  <c r="AC350" i="3"/>
  <c r="AB350" i="3"/>
  <c r="AA350" i="3"/>
  <c r="Z350" i="3"/>
  <c r="Y350" i="3"/>
  <c r="X350" i="3"/>
  <c r="W350" i="3"/>
  <c r="V350" i="3"/>
  <c r="U350" i="3"/>
  <c r="T350" i="3"/>
  <c r="S350" i="3"/>
  <c r="R350" i="3"/>
  <c r="Q350" i="3"/>
  <c r="P350" i="3"/>
  <c r="O350" i="3"/>
  <c r="N350" i="3"/>
  <c r="M350" i="3"/>
  <c r="L350" i="3"/>
  <c r="K350" i="3"/>
  <c r="J350" i="3"/>
  <c r="I350" i="3"/>
  <c r="H350" i="3"/>
  <c r="G350" i="3"/>
  <c r="F350" i="3"/>
  <c r="E350" i="3"/>
  <c r="D350" i="3"/>
  <c r="C350" i="3"/>
  <c r="B350" i="3"/>
  <c r="A350" i="3"/>
  <c r="BP349" i="3"/>
  <c r="BO349" i="3"/>
  <c r="BN349" i="3"/>
  <c r="BM349" i="3"/>
  <c r="BL349" i="3"/>
  <c r="BK349" i="3"/>
  <c r="BJ349" i="3"/>
  <c r="BI349" i="3"/>
  <c r="BH349" i="3"/>
  <c r="BG349" i="3"/>
  <c r="BF349" i="3"/>
  <c r="BE349" i="3"/>
  <c r="BD349" i="3"/>
  <c r="BC349" i="3"/>
  <c r="BB349" i="3"/>
  <c r="BA349" i="3"/>
  <c r="AZ349" i="3"/>
  <c r="AY349" i="3"/>
  <c r="AX349" i="3"/>
  <c r="AW349" i="3"/>
  <c r="AV349" i="3"/>
  <c r="AU349" i="3"/>
  <c r="AT349" i="3"/>
  <c r="AS349" i="3"/>
  <c r="AR349" i="3"/>
  <c r="AQ349" i="3"/>
  <c r="AP349" i="3"/>
  <c r="AO349" i="3"/>
  <c r="AN349" i="3"/>
  <c r="AM349" i="3"/>
  <c r="AL349" i="3"/>
  <c r="AK349" i="3"/>
  <c r="AJ349" i="3"/>
  <c r="AI349" i="3"/>
  <c r="AH349" i="3"/>
  <c r="AG349" i="3"/>
  <c r="AF349" i="3"/>
  <c r="AE349" i="3"/>
  <c r="AD349" i="3"/>
  <c r="AC349" i="3"/>
  <c r="AB349" i="3"/>
  <c r="AA349" i="3"/>
  <c r="Z349" i="3"/>
  <c r="Y349" i="3"/>
  <c r="X349" i="3"/>
  <c r="W349" i="3"/>
  <c r="V349" i="3"/>
  <c r="U349" i="3"/>
  <c r="T349" i="3"/>
  <c r="S349" i="3"/>
  <c r="R349" i="3"/>
  <c r="Q349" i="3"/>
  <c r="P349" i="3"/>
  <c r="O349" i="3"/>
  <c r="N349" i="3"/>
  <c r="M349" i="3"/>
  <c r="L349" i="3"/>
  <c r="K349" i="3"/>
  <c r="J349" i="3"/>
  <c r="I349" i="3"/>
  <c r="H349" i="3"/>
  <c r="G349" i="3"/>
  <c r="F349" i="3"/>
  <c r="E349" i="3"/>
  <c r="D349" i="3"/>
  <c r="C349" i="3"/>
  <c r="B349" i="3"/>
  <c r="A349" i="3"/>
  <c r="BP348" i="3"/>
  <c r="BO348" i="3"/>
  <c r="BN348" i="3"/>
  <c r="BM348" i="3"/>
  <c r="BL348" i="3"/>
  <c r="BK348" i="3"/>
  <c r="BJ348" i="3"/>
  <c r="BI348" i="3"/>
  <c r="BH348" i="3"/>
  <c r="BG348" i="3"/>
  <c r="BF348" i="3"/>
  <c r="BE348" i="3"/>
  <c r="BD348" i="3"/>
  <c r="BC348" i="3"/>
  <c r="BB348" i="3"/>
  <c r="BA348" i="3"/>
  <c r="AZ348" i="3"/>
  <c r="AY348" i="3"/>
  <c r="AX348" i="3"/>
  <c r="AW348" i="3"/>
  <c r="AV348" i="3"/>
  <c r="AU348" i="3"/>
  <c r="AT348" i="3"/>
  <c r="AS348" i="3"/>
  <c r="AR348" i="3"/>
  <c r="AQ348" i="3"/>
  <c r="AP348" i="3"/>
  <c r="AO348" i="3"/>
  <c r="AN348" i="3"/>
  <c r="AM348" i="3"/>
  <c r="AL348" i="3"/>
  <c r="AK348" i="3"/>
  <c r="AJ348" i="3"/>
  <c r="AI348" i="3"/>
  <c r="AH348" i="3"/>
  <c r="AG348" i="3"/>
  <c r="AF348" i="3"/>
  <c r="AE348" i="3"/>
  <c r="AD348" i="3"/>
  <c r="AC348" i="3"/>
  <c r="AB348" i="3"/>
  <c r="AA348" i="3"/>
  <c r="Z348" i="3"/>
  <c r="Y348" i="3"/>
  <c r="X348" i="3"/>
  <c r="W348" i="3"/>
  <c r="V348" i="3"/>
  <c r="U348" i="3"/>
  <c r="T348" i="3"/>
  <c r="S348" i="3"/>
  <c r="R348" i="3"/>
  <c r="Q348" i="3"/>
  <c r="P348" i="3"/>
  <c r="O348" i="3"/>
  <c r="N348" i="3"/>
  <c r="M348" i="3"/>
  <c r="L348" i="3"/>
  <c r="K348" i="3"/>
  <c r="J348" i="3"/>
  <c r="I348" i="3"/>
  <c r="H348" i="3"/>
  <c r="G348" i="3"/>
  <c r="F348" i="3"/>
  <c r="E348" i="3"/>
  <c r="D348" i="3"/>
  <c r="C348" i="3"/>
  <c r="B348" i="3"/>
  <c r="A348" i="3"/>
  <c r="BP347" i="3"/>
  <c r="BO347" i="3"/>
  <c r="BN347" i="3"/>
  <c r="BM347" i="3"/>
  <c r="BL347" i="3"/>
  <c r="BK347" i="3"/>
  <c r="BJ347" i="3"/>
  <c r="BI347" i="3"/>
  <c r="BH347" i="3"/>
  <c r="BG347" i="3"/>
  <c r="BF347" i="3"/>
  <c r="BE347" i="3"/>
  <c r="BD347" i="3"/>
  <c r="BC347" i="3"/>
  <c r="BB347" i="3"/>
  <c r="BA347" i="3"/>
  <c r="AZ347" i="3"/>
  <c r="AY347" i="3"/>
  <c r="AX347" i="3"/>
  <c r="AW347" i="3"/>
  <c r="AV347" i="3"/>
  <c r="AU347" i="3"/>
  <c r="AT347" i="3"/>
  <c r="AS347" i="3"/>
  <c r="AR347" i="3"/>
  <c r="AQ347" i="3"/>
  <c r="AP347" i="3"/>
  <c r="AO347" i="3"/>
  <c r="AN347" i="3"/>
  <c r="AM347" i="3"/>
  <c r="AL347" i="3"/>
  <c r="AK347" i="3"/>
  <c r="AJ347" i="3"/>
  <c r="AI347" i="3"/>
  <c r="AH347" i="3"/>
  <c r="AG347" i="3"/>
  <c r="AF347" i="3"/>
  <c r="AE347" i="3"/>
  <c r="AD347" i="3"/>
  <c r="AC347" i="3"/>
  <c r="AB347" i="3"/>
  <c r="AA347" i="3"/>
  <c r="Z347" i="3"/>
  <c r="Y347" i="3"/>
  <c r="X347" i="3"/>
  <c r="W347" i="3"/>
  <c r="V347" i="3"/>
  <c r="U347" i="3"/>
  <c r="T347" i="3"/>
  <c r="S347" i="3"/>
  <c r="R347" i="3"/>
  <c r="Q347" i="3"/>
  <c r="P347" i="3"/>
  <c r="O347" i="3"/>
  <c r="N347" i="3"/>
  <c r="M347" i="3"/>
  <c r="L347" i="3"/>
  <c r="K347" i="3"/>
  <c r="J347" i="3"/>
  <c r="I347" i="3"/>
  <c r="H347" i="3"/>
  <c r="G347" i="3"/>
  <c r="F347" i="3"/>
  <c r="E347" i="3"/>
  <c r="D347" i="3"/>
  <c r="C347" i="3"/>
  <c r="B347" i="3"/>
  <c r="A347" i="3"/>
  <c r="BP346" i="3"/>
  <c r="BO346" i="3"/>
  <c r="BN346" i="3"/>
  <c r="BM346" i="3"/>
  <c r="BL346" i="3"/>
  <c r="BK346" i="3"/>
  <c r="BJ346" i="3"/>
  <c r="BI346" i="3"/>
  <c r="BH346" i="3"/>
  <c r="BG346" i="3"/>
  <c r="BF346" i="3"/>
  <c r="BE346" i="3"/>
  <c r="BD346" i="3"/>
  <c r="BC346" i="3"/>
  <c r="BB346" i="3"/>
  <c r="BA346" i="3"/>
  <c r="AZ346" i="3"/>
  <c r="AY346" i="3"/>
  <c r="AX346" i="3"/>
  <c r="AW346" i="3"/>
  <c r="AV346" i="3"/>
  <c r="AU346" i="3"/>
  <c r="AT346" i="3"/>
  <c r="AS346" i="3"/>
  <c r="AR346" i="3"/>
  <c r="AQ346" i="3"/>
  <c r="AP346" i="3"/>
  <c r="AO346" i="3"/>
  <c r="AN346" i="3"/>
  <c r="AM346" i="3"/>
  <c r="AL346" i="3"/>
  <c r="AK346" i="3"/>
  <c r="AJ346" i="3"/>
  <c r="AI346" i="3"/>
  <c r="AH346" i="3"/>
  <c r="AG346" i="3"/>
  <c r="AF346" i="3"/>
  <c r="AE346" i="3"/>
  <c r="AD346" i="3"/>
  <c r="AC346" i="3"/>
  <c r="AB346" i="3"/>
  <c r="AA346" i="3"/>
  <c r="Z346" i="3"/>
  <c r="Y346" i="3"/>
  <c r="X346" i="3"/>
  <c r="W346" i="3"/>
  <c r="V346" i="3"/>
  <c r="U346" i="3"/>
  <c r="T346" i="3"/>
  <c r="S346" i="3"/>
  <c r="R346" i="3"/>
  <c r="Q346" i="3"/>
  <c r="P346" i="3"/>
  <c r="O346" i="3"/>
  <c r="N346" i="3"/>
  <c r="M346" i="3"/>
  <c r="L346" i="3"/>
  <c r="K346" i="3"/>
  <c r="J346" i="3"/>
  <c r="I346" i="3"/>
  <c r="H346" i="3"/>
  <c r="G346" i="3"/>
  <c r="F346" i="3"/>
  <c r="E346" i="3"/>
  <c r="D346" i="3"/>
  <c r="C346" i="3"/>
  <c r="B346" i="3"/>
  <c r="A346" i="3"/>
  <c r="BP345" i="3"/>
  <c r="BO345" i="3"/>
  <c r="BN345" i="3"/>
  <c r="BM345" i="3"/>
  <c r="BL345" i="3"/>
  <c r="BK345" i="3"/>
  <c r="BJ345" i="3"/>
  <c r="BI345" i="3"/>
  <c r="BH345" i="3"/>
  <c r="BG345" i="3"/>
  <c r="BF345" i="3"/>
  <c r="BE345" i="3"/>
  <c r="BD345" i="3"/>
  <c r="BC345" i="3"/>
  <c r="BB345" i="3"/>
  <c r="BA345" i="3"/>
  <c r="AZ345" i="3"/>
  <c r="AY345" i="3"/>
  <c r="AX345" i="3"/>
  <c r="AW345" i="3"/>
  <c r="AV345" i="3"/>
  <c r="AU345" i="3"/>
  <c r="AT345" i="3"/>
  <c r="AS345" i="3"/>
  <c r="AR345" i="3"/>
  <c r="AQ345" i="3"/>
  <c r="AP345" i="3"/>
  <c r="AO345" i="3"/>
  <c r="AN345" i="3"/>
  <c r="AM345" i="3"/>
  <c r="AL345" i="3"/>
  <c r="AK345" i="3"/>
  <c r="AJ345" i="3"/>
  <c r="AI345" i="3"/>
  <c r="AH345" i="3"/>
  <c r="AG345" i="3"/>
  <c r="AF345" i="3"/>
  <c r="AE345" i="3"/>
  <c r="AD345" i="3"/>
  <c r="AC345" i="3"/>
  <c r="AB345" i="3"/>
  <c r="AA345" i="3"/>
  <c r="Z345" i="3"/>
  <c r="Y345" i="3"/>
  <c r="X345" i="3"/>
  <c r="W345" i="3"/>
  <c r="V345" i="3"/>
  <c r="U345" i="3"/>
  <c r="T345" i="3"/>
  <c r="S345" i="3"/>
  <c r="R345" i="3"/>
  <c r="Q345" i="3"/>
  <c r="P345" i="3"/>
  <c r="O345" i="3"/>
  <c r="N345" i="3"/>
  <c r="M345" i="3"/>
  <c r="L345" i="3"/>
  <c r="K345" i="3"/>
  <c r="J345" i="3"/>
  <c r="I345" i="3"/>
  <c r="H345" i="3"/>
  <c r="G345" i="3"/>
  <c r="F345" i="3"/>
  <c r="E345" i="3"/>
  <c r="D345" i="3"/>
  <c r="C345" i="3"/>
  <c r="B345" i="3"/>
  <c r="A345" i="3"/>
  <c r="BP344" i="3"/>
  <c r="BO344" i="3"/>
  <c r="BN344" i="3"/>
  <c r="BM344" i="3"/>
  <c r="BL344" i="3"/>
  <c r="BK344" i="3"/>
  <c r="BJ344" i="3"/>
  <c r="BI344" i="3"/>
  <c r="BH344" i="3"/>
  <c r="BG344" i="3"/>
  <c r="BF344" i="3"/>
  <c r="BE344" i="3"/>
  <c r="BD344" i="3"/>
  <c r="BC344" i="3"/>
  <c r="BB344" i="3"/>
  <c r="BA344" i="3"/>
  <c r="AZ344" i="3"/>
  <c r="AY344" i="3"/>
  <c r="AX344" i="3"/>
  <c r="AW344" i="3"/>
  <c r="AV344" i="3"/>
  <c r="AU344" i="3"/>
  <c r="AT344" i="3"/>
  <c r="AS344" i="3"/>
  <c r="AR344" i="3"/>
  <c r="AQ344" i="3"/>
  <c r="AP344" i="3"/>
  <c r="AO344" i="3"/>
  <c r="AN344" i="3"/>
  <c r="AM344" i="3"/>
  <c r="AL344" i="3"/>
  <c r="AK344" i="3"/>
  <c r="AJ344" i="3"/>
  <c r="AI344" i="3"/>
  <c r="AH344" i="3"/>
  <c r="AG344" i="3"/>
  <c r="AF344" i="3"/>
  <c r="AE344" i="3"/>
  <c r="AD344" i="3"/>
  <c r="AC344" i="3"/>
  <c r="AB344" i="3"/>
  <c r="AA344" i="3"/>
  <c r="Z344" i="3"/>
  <c r="Y344" i="3"/>
  <c r="X344" i="3"/>
  <c r="W344" i="3"/>
  <c r="V344" i="3"/>
  <c r="U344" i="3"/>
  <c r="T344" i="3"/>
  <c r="S344" i="3"/>
  <c r="R344" i="3"/>
  <c r="Q344" i="3"/>
  <c r="P344" i="3"/>
  <c r="O344" i="3"/>
  <c r="N344" i="3"/>
  <c r="M344" i="3"/>
  <c r="L344" i="3"/>
  <c r="K344" i="3"/>
  <c r="J344" i="3"/>
  <c r="I344" i="3"/>
  <c r="H344" i="3"/>
  <c r="G344" i="3"/>
  <c r="F344" i="3"/>
  <c r="E344" i="3"/>
  <c r="D344" i="3"/>
  <c r="C344" i="3"/>
  <c r="B344" i="3"/>
  <c r="A344" i="3"/>
  <c r="BP343" i="3"/>
  <c r="BO343" i="3"/>
  <c r="BN343" i="3"/>
  <c r="BM343" i="3"/>
  <c r="BL343" i="3"/>
  <c r="BK343" i="3"/>
  <c r="BJ343" i="3"/>
  <c r="BI343" i="3"/>
  <c r="BH343" i="3"/>
  <c r="BG343" i="3"/>
  <c r="BF343" i="3"/>
  <c r="BE343" i="3"/>
  <c r="BD343" i="3"/>
  <c r="BC343" i="3"/>
  <c r="BB343" i="3"/>
  <c r="BA343" i="3"/>
  <c r="AZ343" i="3"/>
  <c r="AY343" i="3"/>
  <c r="AX343" i="3"/>
  <c r="AW343" i="3"/>
  <c r="AV343" i="3"/>
  <c r="AU343" i="3"/>
  <c r="AT343" i="3"/>
  <c r="AS343" i="3"/>
  <c r="AR343" i="3"/>
  <c r="AQ343" i="3"/>
  <c r="AP343" i="3"/>
  <c r="AO343" i="3"/>
  <c r="AN343" i="3"/>
  <c r="AM343" i="3"/>
  <c r="AL343" i="3"/>
  <c r="AK343" i="3"/>
  <c r="AJ343" i="3"/>
  <c r="AI343" i="3"/>
  <c r="AH343" i="3"/>
  <c r="AG343" i="3"/>
  <c r="AF343" i="3"/>
  <c r="AE343" i="3"/>
  <c r="AD343" i="3"/>
  <c r="AC343" i="3"/>
  <c r="AB343" i="3"/>
  <c r="AA343" i="3"/>
  <c r="Z343" i="3"/>
  <c r="Y343" i="3"/>
  <c r="X343" i="3"/>
  <c r="W343" i="3"/>
  <c r="V343" i="3"/>
  <c r="U343" i="3"/>
  <c r="T343" i="3"/>
  <c r="S343" i="3"/>
  <c r="R343" i="3"/>
  <c r="Q343" i="3"/>
  <c r="P343" i="3"/>
  <c r="O343" i="3"/>
  <c r="N343" i="3"/>
  <c r="M343" i="3"/>
  <c r="L343" i="3"/>
  <c r="K343" i="3"/>
  <c r="J343" i="3"/>
  <c r="I343" i="3"/>
  <c r="H343" i="3"/>
  <c r="G343" i="3"/>
  <c r="F343" i="3"/>
  <c r="E343" i="3"/>
  <c r="D343" i="3"/>
  <c r="C343" i="3"/>
  <c r="B343" i="3"/>
  <c r="A343" i="3"/>
  <c r="BP342" i="3"/>
  <c r="BO342" i="3"/>
  <c r="BN342" i="3"/>
  <c r="BM342" i="3"/>
  <c r="BL342" i="3"/>
  <c r="BK342" i="3"/>
  <c r="BJ342" i="3"/>
  <c r="BI342" i="3"/>
  <c r="BH342" i="3"/>
  <c r="BG342" i="3"/>
  <c r="BF342" i="3"/>
  <c r="BE342" i="3"/>
  <c r="BD342" i="3"/>
  <c r="BC342" i="3"/>
  <c r="BB342" i="3"/>
  <c r="BA342" i="3"/>
  <c r="AZ342" i="3"/>
  <c r="AY342" i="3"/>
  <c r="AX342" i="3"/>
  <c r="AW342" i="3"/>
  <c r="AV342" i="3"/>
  <c r="AU342" i="3"/>
  <c r="AT342" i="3"/>
  <c r="AS342" i="3"/>
  <c r="AR342" i="3"/>
  <c r="AQ342" i="3"/>
  <c r="AP342" i="3"/>
  <c r="AO342" i="3"/>
  <c r="AN342" i="3"/>
  <c r="AM342" i="3"/>
  <c r="AL342" i="3"/>
  <c r="AK342" i="3"/>
  <c r="AJ342" i="3"/>
  <c r="AI342" i="3"/>
  <c r="AH342" i="3"/>
  <c r="AG342" i="3"/>
  <c r="AF342" i="3"/>
  <c r="AE342" i="3"/>
  <c r="AD342" i="3"/>
  <c r="AC342" i="3"/>
  <c r="AB342" i="3"/>
  <c r="AA342" i="3"/>
  <c r="Z342" i="3"/>
  <c r="Y342" i="3"/>
  <c r="X342" i="3"/>
  <c r="W342" i="3"/>
  <c r="V342" i="3"/>
  <c r="U342" i="3"/>
  <c r="T342" i="3"/>
  <c r="S342" i="3"/>
  <c r="R342" i="3"/>
  <c r="Q342" i="3"/>
  <c r="P342" i="3"/>
  <c r="O342" i="3"/>
  <c r="N342" i="3"/>
  <c r="M342" i="3"/>
  <c r="L342" i="3"/>
  <c r="K342" i="3"/>
  <c r="J342" i="3"/>
  <c r="I342" i="3"/>
  <c r="H342" i="3"/>
  <c r="G342" i="3"/>
  <c r="F342" i="3"/>
  <c r="E342" i="3"/>
  <c r="D342" i="3"/>
  <c r="C342" i="3"/>
  <c r="B342" i="3"/>
  <c r="A342" i="3"/>
  <c r="BP341" i="3"/>
  <c r="BO341" i="3"/>
  <c r="BN341" i="3"/>
  <c r="BM341" i="3"/>
  <c r="BL341" i="3"/>
  <c r="BK341" i="3"/>
  <c r="BJ341" i="3"/>
  <c r="BI341" i="3"/>
  <c r="BH341" i="3"/>
  <c r="BG341" i="3"/>
  <c r="BF341" i="3"/>
  <c r="BE341" i="3"/>
  <c r="BD341" i="3"/>
  <c r="BC341" i="3"/>
  <c r="BB341" i="3"/>
  <c r="BA341" i="3"/>
  <c r="AZ341" i="3"/>
  <c r="AY341" i="3"/>
  <c r="AX341" i="3"/>
  <c r="AW341" i="3"/>
  <c r="AV341" i="3"/>
  <c r="AU341" i="3"/>
  <c r="AT341" i="3"/>
  <c r="AS341" i="3"/>
  <c r="AR341" i="3"/>
  <c r="AQ341" i="3"/>
  <c r="AP341" i="3"/>
  <c r="AO341" i="3"/>
  <c r="AN341" i="3"/>
  <c r="AM341" i="3"/>
  <c r="AL341" i="3"/>
  <c r="AK341" i="3"/>
  <c r="AJ341" i="3"/>
  <c r="AI341" i="3"/>
  <c r="AH341" i="3"/>
  <c r="AG341" i="3"/>
  <c r="AF341" i="3"/>
  <c r="AE341" i="3"/>
  <c r="AD341" i="3"/>
  <c r="AC341" i="3"/>
  <c r="AB341" i="3"/>
  <c r="AA341" i="3"/>
  <c r="Z341" i="3"/>
  <c r="Y341" i="3"/>
  <c r="X341" i="3"/>
  <c r="W341" i="3"/>
  <c r="V341" i="3"/>
  <c r="U341" i="3"/>
  <c r="T341" i="3"/>
  <c r="S341" i="3"/>
  <c r="R341" i="3"/>
  <c r="Q341" i="3"/>
  <c r="P341" i="3"/>
  <c r="O341" i="3"/>
  <c r="N341" i="3"/>
  <c r="M341" i="3"/>
  <c r="L341" i="3"/>
  <c r="K341" i="3"/>
  <c r="J341" i="3"/>
  <c r="I341" i="3"/>
  <c r="H341" i="3"/>
  <c r="G341" i="3"/>
  <c r="F341" i="3"/>
  <c r="E341" i="3"/>
  <c r="D341" i="3"/>
  <c r="C341" i="3"/>
  <c r="B341" i="3"/>
  <c r="A341" i="3"/>
  <c r="BP340" i="3"/>
  <c r="BO340" i="3"/>
  <c r="BN340" i="3"/>
  <c r="BM340" i="3"/>
  <c r="BL340" i="3"/>
  <c r="BK340" i="3"/>
  <c r="BJ340" i="3"/>
  <c r="BI340" i="3"/>
  <c r="BH340" i="3"/>
  <c r="BG340" i="3"/>
  <c r="BF340" i="3"/>
  <c r="BE340" i="3"/>
  <c r="BD340" i="3"/>
  <c r="BC340" i="3"/>
  <c r="BB340" i="3"/>
  <c r="BA340" i="3"/>
  <c r="AZ340" i="3"/>
  <c r="AY340" i="3"/>
  <c r="AX340" i="3"/>
  <c r="AW340" i="3"/>
  <c r="AV340" i="3"/>
  <c r="AU340" i="3"/>
  <c r="AT340" i="3"/>
  <c r="AS340" i="3"/>
  <c r="AR340" i="3"/>
  <c r="AQ340" i="3"/>
  <c r="AP340" i="3"/>
  <c r="AO340" i="3"/>
  <c r="AN340" i="3"/>
  <c r="AM340" i="3"/>
  <c r="AL340" i="3"/>
  <c r="AK340" i="3"/>
  <c r="AJ340" i="3"/>
  <c r="AI340" i="3"/>
  <c r="AH340" i="3"/>
  <c r="AG340" i="3"/>
  <c r="AF340" i="3"/>
  <c r="AE340" i="3"/>
  <c r="AD340" i="3"/>
  <c r="AC340" i="3"/>
  <c r="AB340" i="3"/>
  <c r="AA340" i="3"/>
  <c r="Z340" i="3"/>
  <c r="Y340" i="3"/>
  <c r="X340" i="3"/>
  <c r="W340" i="3"/>
  <c r="V340" i="3"/>
  <c r="U340" i="3"/>
  <c r="T340" i="3"/>
  <c r="S340" i="3"/>
  <c r="R340" i="3"/>
  <c r="Q340" i="3"/>
  <c r="P340" i="3"/>
  <c r="O340" i="3"/>
  <c r="N340" i="3"/>
  <c r="M340" i="3"/>
  <c r="L340" i="3"/>
  <c r="K340" i="3"/>
  <c r="J340" i="3"/>
  <c r="I340" i="3"/>
  <c r="H340" i="3"/>
  <c r="G340" i="3"/>
  <c r="F340" i="3"/>
  <c r="E340" i="3"/>
  <c r="D340" i="3"/>
  <c r="C340" i="3"/>
  <c r="B340" i="3"/>
  <c r="A340" i="3"/>
  <c r="BP339" i="3"/>
  <c r="BO339" i="3"/>
  <c r="BN339" i="3"/>
  <c r="BM339" i="3"/>
  <c r="BL339" i="3"/>
  <c r="BK339" i="3"/>
  <c r="BJ339" i="3"/>
  <c r="BI339" i="3"/>
  <c r="BH339" i="3"/>
  <c r="BG339" i="3"/>
  <c r="BF339" i="3"/>
  <c r="BE339" i="3"/>
  <c r="BD339" i="3"/>
  <c r="BC339" i="3"/>
  <c r="BB339" i="3"/>
  <c r="BA339" i="3"/>
  <c r="AZ339" i="3"/>
  <c r="AY339" i="3"/>
  <c r="AX339" i="3"/>
  <c r="AW339" i="3"/>
  <c r="AV339" i="3"/>
  <c r="AU339" i="3"/>
  <c r="AT339" i="3"/>
  <c r="AS339" i="3"/>
  <c r="AR339" i="3"/>
  <c r="AQ339" i="3"/>
  <c r="AP339" i="3"/>
  <c r="AO339" i="3"/>
  <c r="AN339" i="3"/>
  <c r="AM339" i="3"/>
  <c r="AL339" i="3"/>
  <c r="AK339" i="3"/>
  <c r="AJ339" i="3"/>
  <c r="AI339" i="3"/>
  <c r="AH339" i="3"/>
  <c r="AG339" i="3"/>
  <c r="AF339" i="3"/>
  <c r="AE339" i="3"/>
  <c r="AD339" i="3"/>
  <c r="AC339" i="3"/>
  <c r="AB339" i="3"/>
  <c r="AA339" i="3"/>
  <c r="Z339" i="3"/>
  <c r="Y339" i="3"/>
  <c r="X339" i="3"/>
  <c r="W339" i="3"/>
  <c r="V339" i="3"/>
  <c r="U339" i="3"/>
  <c r="T339" i="3"/>
  <c r="S339" i="3"/>
  <c r="R339" i="3"/>
  <c r="Q339" i="3"/>
  <c r="P339" i="3"/>
  <c r="O339" i="3"/>
  <c r="N339" i="3"/>
  <c r="M339" i="3"/>
  <c r="L339" i="3"/>
  <c r="K339" i="3"/>
  <c r="J339" i="3"/>
  <c r="I339" i="3"/>
  <c r="H339" i="3"/>
  <c r="G339" i="3"/>
  <c r="F339" i="3"/>
  <c r="E339" i="3"/>
  <c r="D339" i="3"/>
  <c r="C339" i="3"/>
  <c r="B339" i="3"/>
  <c r="A339" i="3"/>
  <c r="BP338" i="3"/>
  <c r="BO338" i="3"/>
  <c r="BN338" i="3"/>
  <c r="BM338" i="3"/>
  <c r="BL338" i="3"/>
  <c r="BK338" i="3"/>
  <c r="BJ338" i="3"/>
  <c r="BI338" i="3"/>
  <c r="BH338" i="3"/>
  <c r="BG338" i="3"/>
  <c r="BF338" i="3"/>
  <c r="BE338" i="3"/>
  <c r="BD338" i="3"/>
  <c r="BC338" i="3"/>
  <c r="BB338" i="3"/>
  <c r="BA338" i="3"/>
  <c r="AZ338" i="3"/>
  <c r="AY338" i="3"/>
  <c r="AX338" i="3"/>
  <c r="AW338" i="3"/>
  <c r="AV338" i="3"/>
  <c r="AU338" i="3"/>
  <c r="AT338" i="3"/>
  <c r="AS338" i="3"/>
  <c r="AR338" i="3"/>
  <c r="AQ338" i="3"/>
  <c r="AP338" i="3"/>
  <c r="AO338" i="3"/>
  <c r="AN338" i="3"/>
  <c r="AM338" i="3"/>
  <c r="AL338" i="3"/>
  <c r="AK338" i="3"/>
  <c r="AJ338" i="3"/>
  <c r="AI338" i="3"/>
  <c r="AH338" i="3"/>
  <c r="AG338" i="3"/>
  <c r="AF338" i="3"/>
  <c r="AE338" i="3"/>
  <c r="AD338" i="3"/>
  <c r="AC338" i="3"/>
  <c r="AB338" i="3"/>
  <c r="AA338" i="3"/>
  <c r="Z338" i="3"/>
  <c r="Y338" i="3"/>
  <c r="X338" i="3"/>
  <c r="W338" i="3"/>
  <c r="V338" i="3"/>
  <c r="U338" i="3"/>
  <c r="T338" i="3"/>
  <c r="S338" i="3"/>
  <c r="R338" i="3"/>
  <c r="Q338" i="3"/>
  <c r="P338" i="3"/>
  <c r="O338" i="3"/>
  <c r="N338" i="3"/>
  <c r="M338" i="3"/>
  <c r="L338" i="3"/>
  <c r="K338" i="3"/>
  <c r="J338" i="3"/>
  <c r="I338" i="3"/>
  <c r="H338" i="3"/>
  <c r="G338" i="3"/>
  <c r="F338" i="3"/>
  <c r="E338" i="3"/>
  <c r="D338" i="3"/>
  <c r="C338" i="3"/>
  <c r="B338" i="3"/>
  <c r="A338" i="3"/>
  <c r="BP337" i="3"/>
  <c r="BO337" i="3"/>
  <c r="BN337" i="3"/>
  <c r="BM337" i="3"/>
  <c r="BL337" i="3"/>
  <c r="BK337" i="3"/>
  <c r="BJ337" i="3"/>
  <c r="BI337" i="3"/>
  <c r="BH337" i="3"/>
  <c r="BG337" i="3"/>
  <c r="BF337" i="3"/>
  <c r="BE337" i="3"/>
  <c r="BD337" i="3"/>
  <c r="BC337" i="3"/>
  <c r="BB337" i="3"/>
  <c r="BA337" i="3"/>
  <c r="AZ337" i="3"/>
  <c r="AY337" i="3"/>
  <c r="AX337" i="3"/>
  <c r="AW337" i="3"/>
  <c r="AV337" i="3"/>
  <c r="AU337" i="3"/>
  <c r="AT337" i="3"/>
  <c r="AS337" i="3"/>
  <c r="AR337" i="3"/>
  <c r="AQ337" i="3"/>
  <c r="AP337" i="3"/>
  <c r="AO337" i="3"/>
  <c r="AN337" i="3"/>
  <c r="AM337" i="3"/>
  <c r="AL337" i="3"/>
  <c r="AK337" i="3"/>
  <c r="AJ337" i="3"/>
  <c r="AI337" i="3"/>
  <c r="AH337" i="3"/>
  <c r="AG337" i="3"/>
  <c r="AF337" i="3"/>
  <c r="AE337" i="3"/>
  <c r="AD337" i="3"/>
  <c r="AC337" i="3"/>
  <c r="AB337" i="3"/>
  <c r="AA337" i="3"/>
  <c r="Z337" i="3"/>
  <c r="Y337" i="3"/>
  <c r="X337" i="3"/>
  <c r="W337" i="3"/>
  <c r="V337" i="3"/>
  <c r="U337" i="3"/>
  <c r="T337" i="3"/>
  <c r="S337" i="3"/>
  <c r="R337" i="3"/>
  <c r="Q337" i="3"/>
  <c r="P337" i="3"/>
  <c r="O337" i="3"/>
  <c r="N337" i="3"/>
  <c r="M337" i="3"/>
  <c r="L337" i="3"/>
  <c r="K337" i="3"/>
  <c r="J337" i="3"/>
  <c r="I337" i="3"/>
  <c r="H337" i="3"/>
  <c r="G337" i="3"/>
  <c r="F337" i="3"/>
  <c r="E337" i="3"/>
  <c r="D337" i="3"/>
  <c r="C337" i="3"/>
  <c r="B337" i="3"/>
  <c r="A337" i="3"/>
  <c r="BP336" i="3"/>
  <c r="BO336" i="3"/>
  <c r="BN336" i="3"/>
  <c r="BM336" i="3"/>
  <c r="BL336" i="3"/>
  <c r="BK336" i="3"/>
  <c r="BJ336" i="3"/>
  <c r="BI336" i="3"/>
  <c r="BH336" i="3"/>
  <c r="BG336" i="3"/>
  <c r="BF336" i="3"/>
  <c r="BE336" i="3"/>
  <c r="BD336" i="3"/>
  <c r="BC336" i="3"/>
  <c r="BB336" i="3"/>
  <c r="BA336" i="3"/>
  <c r="AZ336" i="3"/>
  <c r="AY336" i="3"/>
  <c r="AX336" i="3"/>
  <c r="AW336" i="3"/>
  <c r="AV336" i="3"/>
  <c r="AU336" i="3"/>
  <c r="AT336" i="3"/>
  <c r="AS336" i="3"/>
  <c r="AR336" i="3"/>
  <c r="AQ336" i="3"/>
  <c r="AP336" i="3"/>
  <c r="AO336" i="3"/>
  <c r="AN336" i="3"/>
  <c r="AM336" i="3"/>
  <c r="AL336" i="3"/>
  <c r="AK336" i="3"/>
  <c r="AJ336" i="3"/>
  <c r="AI336" i="3"/>
  <c r="AH336" i="3"/>
  <c r="AG336" i="3"/>
  <c r="AF336" i="3"/>
  <c r="AE336" i="3"/>
  <c r="AD336" i="3"/>
  <c r="AC336" i="3"/>
  <c r="AB336" i="3"/>
  <c r="AA336" i="3"/>
  <c r="Z336" i="3"/>
  <c r="Y336" i="3"/>
  <c r="X336" i="3"/>
  <c r="W336" i="3"/>
  <c r="V336" i="3"/>
  <c r="U336" i="3"/>
  <c r="T336" i="3"/>
  <c r="S336" i="3"/>
  <c r="R336" i="3"/>
  <c r="Q336" i="3"/>
  <c r="P336" i="3"/>
  <c r="O336" i="3"/>
  <c r="N336" i="3"/>
  <c r="M336" i="3"/>
  <c r="L336" i="3"/>
  <c r="K336" i="3"/>
  <c r="J336" i="3"/>
  <c r="I336" i="3"/>
  <c r="H336" i="3"/>
  <c r="G336" i="3"/>
  <c r="F336" i="3"/>
  <c r="E336" i="3"/>
  <c r="D336" i="3"/>
  <c r="C336" i="3"/>
  <c r="B336" i="3"/>
  <c r="A336" i="3"/>
  <c r="BP335" i="3"/>
  <c r="BO335" i="3"/>
  <c r="BN335" i="3"/>
  <c r="BM335" i="3"/>
  <c r="BL335" i="3"/>
  <c r="BK335" i="3"/>
  <c r="BJ335" i="3"/>
  <c r="BI335" i="3"/>
  <c r="BH335" i="3"/>
  <c r="BG335" i="3"/>
  <c r="BF335" i="3"/>
  <c r="BE335" i="3"/>
  <c r="BD335" i="3"/>
  <c r="BC335" i="3"/>
  <c r="BB335" i="3"/>
  <c r="BA335" i="3"/>
  <c r="AZ335" i="3"/>
  <c r="AY335" i="3"/>
  <c r="AX335" i="3"/>
  <c r="AW335" i="3"/>
  <c r="AV335" i="3"/>
  <c r="AU335" i="3"/>
  <c r="AT335" i="3"/>
  <c r="AS335" i="3"/>
  <c r="AR335" i="3"/>
  <c r="AQ335" i="3"/>
  <c r="AP335" i="3"/>
  <c r="AO335" i="3"/>
  <c r="AN335" i="3"/>
  <c r="AM335" i="3"/>
  <c r="AL335" i="3"/>
  <c r="AK335" i="3"/>
  <c r="AJ335" i="3"/>
  <c r="AI335" i="3"/>
  <c r="AH335" i="3"/>
  <c r="AG335" i="3"/>
  <c r="AF335" i="3"/>
  <c r="AE335" i="3"/>
  <c r="AD335" i="3"/>
  <c r="AC335" i="3"/>
  <c r="AB335" i="3"/>
  <c r="AA335" i="3"/>
  <c r="Z335" i="3"/>
  <c r="Y335" i="3"/>
  <c r="X335" i="3"/>
  <c r="W335" i="3"/>
  <c r="V335" i="3"/>
  <c r="U335" i="3"/>
  <c r="T335" i="3"/>
  <c r="S335" i="3"/>
  <c r="R335" i="3"/>
  <c r="Q335" i="3"/>
  <c r="P335" i="3"/>
  <c r="O335" i="3"/>
  <c r="N335" i="3"/>
  <c r="M335" i="3"/>
  <c r="L335" i="3"/>
  <c r="K335" i="3"/>
  <c r="J335" i="3"/>
  <c r="I335" i="3"/>
  <c r="H335" i="3"/>
  <c r="G335" i="3"/>
  <c r="F335" i="3"/>
  <c r="E335" i="3"/>
  <c r="D335" i="3"/>
  <c r="B335" i="3"/>
  <c r="A335" i="3"/>
  <c r="BP334" i="3"/>
  <c r="BO334" i="3"/>
  <c r="BN334" i="3"/>
  <c r="BM334" i="3"/>
  <c r="BL334" i="3"/>
  <c r="BK334" i="3"/>
  <c r="BJ334" i="3"/>
  <c r="BI334" i="3"/>
  <c r="BH334" i="3"/>
  <c r="BG334" i="3"/>
  <c r="BF334" i="3"/>
  <c r="BE334" i="3"/>
  <c r="BD334" i="3"/>
  <c r="BC334" i="3"/>
  <c r="BB334" i="3"/>
  <c r="BA334" i="3"/>
  <c r="AZ334" i="3"/>
  <c r="AY334" i="3"/>
  <c r="AX334" i="3"/>
  <c r="AW334" i="3"/>
  <c r="AV334" i="3"/>
  <c r="AU334" i="3"/>
  <c r="AT334" i="3"/>
  <c r="AS334" i="3"/>
  <c r="AR334" i="3"/>
  <c r="AQ334" i="3"/>
  <c r="AP334" i="3"/>
  <c r="AO334" i="3"/>
  <c r="AN334" i="3"/>
  <c r="AM334" i="3"/>
  <c r="AL334" i="3"/>
  <c r="AK334" i="3"/>
  <c r="AJ334" i="3"/>
  <c r="AI334" i="3"/>
  <c r="AH334" i="3"/>
  <c r="AG334" i="3"/>
  <c r="AF334" i="3"/>
  <c r="AE334" i="3"/>
  <c r="AD334" i="3"/>
  <c r="AC334" i="3"/>
  <c r="AB334" i="3"/>
  <c r="AA334" i="3"/>
  <c r="Z334" i="3"/>
  <c r="Y334" i="3"/>
  <c r="X334" i="3"/>
  <c r="W334" i="3"/>
  <c r="V334" i="3"/>
  <c r="U334" i="3"/>
  <c r="T334" i="3"/>
  <c r="S334" i="3"/>
  <c r="R334" i="3"/>
  <c r="Q334" i="3"/>
  <c r="P334" i="3"/>
  <c r="O334" i="3"/>
  <c r="N334" i="3"/>
  <c r="M334" i="3"/>
  <c r="L334" i="3"/>
  <c r="K334" i="3"/>
  <c r="J334" i="3"/>
  <c r="I334" i="3"/>
  <c r="H334" i="3"/>
  <c r="G334" i="3"/>
  <c r="F334" i="3"/>
  <c r="E334" i="3"/>
  <c r="D334" i="3"/>
  <c r="C334" i="3"/>
  <c r="B334" i="3"/>
  <c r="A334" i="3"/>
  <c r="BP333" i="3"/>
  <c r="BO333" i="3"/>
  <c r="BN333" i="3"/>
  <c r="BM333" i="3"/>
  <c r="BL333" i="3"/>
  <c r="BK333" i="3"/>
  <c r="BJ333" i="3"/>
  <c r="BI333" i="3"/>
  <c r="BH333" i="3"/>
  <c r="BG333" i="3"/>
  <c r="BF333" i="3"/>
  <c r="BE333" i="3"/>
  <c r="BD333" i="3"/>
  <c r="BC333" i="3"/>
  <c r="BB333" i="3"/>
  <c r="BA333" i="3"/>
  <c r="AZ333" i="3"/>
  <c r="AY333" i="3"/>
  <c r="AX333" i="3"/>
  <c r="AW333" i="3"/>
  <c r="AV333" i="3"/>
  <c r="AU333" i="3"/>
  <c r="AT333" i="3"/>
  <c r="AS333" i="3"/>
  <c r="AR333" i="3"/>
  <c r="AQ333" i="3"/>
  <c r="AP333" i="3"/>
  <c r="AO333" i="3"/>
  <c r="AN333" i="3"/>
  <c r="AM333" i="3"/>
  <c r="AL333" i="3"/>
  <c r="AK333" i="3"/>
  <c r="AJ333" i="3"/>
  <c r="AI333" i="3"/>
  <c r="AH333" i="3"/>
  <c r="AG333" i="3"/>
  <c r="AF333" i="3"/>
  <c r="AE333" i="3"/>
  <c r="AD333" i="3"/>
  <c r="AC333" i="3"/>
  <c r="AB333" i="3"/>
  <c r="AA333" i="3"/>
  <c r="Z333" i="3"/>
  <c r="Y333" i="3"/>
  <c r="X333" i="3"/>
  <c r="W333" i="3"/>
  <c r="V333" i="3"/>
  <c r="U333" i="3"/>
  <c r="T333" i="3"/>
  <c r="S333" i="3"/>
  <c r="R333" i="3"/>
  <c r="Q333" i="3"/>
  <c r="P333" i="3"/>
  <c r="O333" i="3"/>
  <c r="N333" i="3"/>
  <c r="M333" i="3"/>
  <c r="L333" i="3"/>
  <c r="K333" i="3"/>
  <c r="J333" i="3"/>
  <c r="I333" i="3"/>
  <c r="H333" i="3"/>
  <c r="G333" i="3"/>
  <c r="F333" i="3"/>
  <c r="E333" i="3"/>
  <c r="D333" i="3"/>
  <c r="C333" i="3"/>
  <c r="B333" i="3"/>
  <c r="A333" i="3"/>
  <c r="BP332" i="3"/>
  <c r="BO332" i="3"/>
  <c r="BN332" i="3"/>
  <c r="BM332" i="3"/>
  <c r="BL332" i="3"/>
  <c r="BK332" i="3"/>
  <c r="BJ332" i="3"/>
  <c r="BI332" i="3"/>
  <c r="BH332" i="3"/>
  <c r="BG332" i="3"/>
  <c r="BF332" i="3"/>
  <c r="BE332" i="3"/>
  <c r="BD332" i="3"/>
  <c r="BC332" i="3"/>
  <c r="BB332" i="3"/>
  <c r="BA332" i="3"/>
  <c r="AZ332" i="3"/>
  <c r="AY332" i="3"/>
  <c r="AX332" i="3"/>
  <c r="AW332" i="3"/>
  <c r="AV332" i="3"/>
  <c r="AU332" i="3"/>
  <c r="AT332" i="3"/>
  <c r="AS332" i="3"/>
  <c r="AR332" i="3"/>
  <c r="AQ332" i="3"/>
  <c r="AP332" i="3"/>
  <c r="AO332" i="3"/>
  <c r="AN332" i="3"/>
  <c r="AM332" i="3"/>
  <c r="AL332" i="3"/>
  <c r="AK332" i="3"/>
  <c r="AJ332" i="3"/>
  <c r="AI332" i="3"/>
  <c r="AH332" i="3"/>
  <c r="AG332" i="3"/>
  <c r="AF332" i="3"/>
  <c r="AE332" i="3"/>
  <c r="AD332" i="3"/>
  <c r="AC332" i="3"/>
  <c r="AB332" i="3"/>
  <c r="AA332" i="3"/>
  <c r="Z332" i="3"/>
  <c r="Y332" i="3"/>
  <c r="X332" i="3"/>
  <c r="W332" i="3"/>
  <c r="V332" i="3"/>
  <c r="U332" i="3"/>
  <c r="T332" i="3"/>
  <c r="S332" i="3"/>
  <c r="R332" i="3"/>
  <c r="Q332" i="3"/>
  <c r="P332" i="3"/>
  <c r="O332" i="3"/>
  <c r="N332" i="3"/>
  <c r="M332" i="3"/>
  <c r="L332" i="3"/>
  <c r="K332" i="3"/>
  <c r="J332" i="3"/>
  <c r="I332" i="3"/>
  <c r="H332" i="3"/>
  <c r="G332" i="3"/>
  <c r="F332" i="3"/>
  <c r="E332" i="3"/>
  <c r="D332" i="3"/>
  <c r="C332" i="3"/>
  <c r="B332" i="3"/>
  <c r="A332" i="3"/>
  <c r="BP331" i="3"/>
  <c r="BO331" i="3"/>
  <c r="BN331" i="3"/>
  <c r="BM331" i="3"/>
  <c r="BL331" i="3"/>
  <c r="BK331" i="3"/>
  <c r="BJ331" i="3"/>
  <c r="BI331" i="3"/>
  <c r="BH331" i="3"/>
  <c r="BG331" i="3"/>
  <c r="BF331" i="3"/>
  <c r="BE331" i="3"/>
  <c r="BD331" i="3"/>
  <c r="BC331" i="3"/>
  <c r="BB331" i="3"/>
  <c r="BA331" i="3"/>
  <c r="AZ331" i="3"/>
  <c r="AY331" i="3"/>
  <c r="AX331" i="3"/>
  <c r="AW331" i="3"/>
  <c r="AV331" i="3"/>
  <c r="AU331" i="3"/>
  <c r="AT331" i="3"/>
  <c r="AS331" i="3"/>
  <c r="AR331" i="3"/>
  <c r="AQ331" i="3"/>
  <c r="AP331" i="3"/>
  <c r="AO331" i="3"/>
  <c r="AN331" i="3"/>
  <c r="AM331" i="3"/>
  <c r="AL331" i="3"/>
  <c r="AK331" i="3"/>
  <c r="AJ331" i="3"/>
  <c r="AI331" i="3"/>
  <c r="AH331" i="3"/>
  <c r="AG331" i="3"/>
  <c r="AF331" i="3"/>
  <c r="AE331" i="3"/>
  <c r="AD331" i="3"/>
  <c r="AC331" i="3"/>
  <c r="AB331" i="3"/>
  <c r="AA331" i="3"/>
  <c r="Z331" i="3"/>
  <c r="Y331" i="3"/>
  <c r="X331" i="3"/>
  <c r="W331" i="3"/>
  <c r="V331" i="3"/>
  <c r="U331" i="3"/>
  <c r="T331" i="3"/>
  <c r="S331" i="3"/>
  <c r="R331" i="3"/>
  <c r="Q331" i="3"/>
  <c r="P331" i="3"/>
  <c r="O331" i="3"/>
  <c r="N331" i="3"/>
  <c r="M331" i="3"/>
  <c r="L331" i="3"/>
  <c r="K331" i="3"/>
  <c r="J331" i="3"/>
  <c r="I331" i="3"/>
  <c r="H331" i="3"/>
  <c r="G331" i="3"/>
  <c r="F331" i="3"/>
  <c r="E331" i="3"/>
  <c r="D331" i="3"/>
  <c r="C331" i="3"/>
  <c r="B331" i="3"/>
  <c r="A331" i="3"/>
  <c r="BP330" i="3"/>
  <c r="BO330" i="3"/>
  <c r="BN330" i="3"/>
  <c r="BM330" i="3"/>
  <c r="BL330" i="3"/>
  <c r="BK330" i="3"/>
  <c r="BJ330" i="3"/>
  <c r="BI330" i="3"/>
  <c r="BH330" i="3"/>
  <c r="BG330" i="3"/>
  <c r="BF330" i="3"/>
  <c r="BE330" i="3"/>
  <c r="BD330" i="3"/>
  <c r="BC330" i="3"/>
  <c r="BB330" i="3"/>
  <c r="BA330" i="3"/>
  <c r="AZ330" i="3"/>
  <c r="AY330" i="3"/>
  <c r="AX330" i="3"/>
  <c r="AW330" i="3"/>
  <c r="AV330" i="3"/>
  <c r="AU330" i="3"/>
  <c r="AT330" i="3"/>
  <c r="AS330" i="3"/>
  <c r="AR330" i="3"/>
  <c r="AQ330" i="3"/>
  <c r="AP330" i="3"/>
  <c r="AO330" i="3"/>
  <c r="AN330" i="3"/>
  <c r="AM330" i="3"/>
  <c r="AL330" i="3"/>
  <c r="AK330" i="3"/>
  <c r="AJ330" i="3"/>
  <c r="AI330" i="3"/>
  <c r="AH330" i="3"/>
  <c r="AG330" i="3"/>
  <c r="AF330" i="3"/>
  <c r="AE330" i="3"/>
  <c r="AD330" i="3"/>
  <c r="AC330" i="3"/>
  <c r="AB330" i="3"/>
  <c r="AA330" i="3"/>
  <c r="Z330" i="3"/>
  <c r="Y330" i="3"/>
  <c r="X330" i="3"/>
  <c r="W330" i="3"/>
  <c r="V330" i="3"/>
  <c r="U330" i="3"/>
  <c r="T330" i="3"/>
  <c r="S330" i="3"/>
  <c r="R330" i="3"/>
  <c r="Q330" i="3"/>
  <c r="P330" i="3"/>
  <c r="O330" i="3"/>
  <c r="N330" i="3"/>
  <c r="M330" i="3"/>
  <c r="L330" i="3"/>
  <c r="K330" i="3"/>
  <c r="J330" i="3"/>
  <c r="I330" i="3"/>
  <c r="H330" i="3"/>
  <c r="G330" i="3"/>
  <c r="F330" i="3"/>
  <c r="E330" i="3"/>
  <c r="D330" i="3"/>
  <c r="C330" i="3"/>
  <c r="B330" i="3"/>
  <c r="A330" i="3"/>
  <c r="BP329" i="3"/>
  <c r="BO329" i="3"/>
  <c r="BN329" i="3"/>
  <c r="BM329" i="3"/>
  <c r="BL329" i="3"/>
  <c r="BK329" i="3"/>
  <c r="BJ329" i="3"/>
  <c r="BI329" i="3"/>
  <c r="BH329" i="3"/>
  <c r="BG329" i="3"/>
  <c r="BF329" i="3"/>
  <c r="BE329" i="3"/>
  <c r="BD329" i="3"/>
  <c r="BC329" i="3"/>
  <c r="BB329" i="3"/>
  <c r="BA329" i="3"/>
  <c r="AZ329" i="3"/>
  <c r="AY329" i="3"/>
  <c r="AX329" i="3"/>
  <c r="AW329" i="3"/>
  <c r="AV329" i="3"/>
  <c r="AU329" i="3"/>
  <c r="AT329" i="3"/>
  <c r="AS329" i="3"/>
  <c r="AR329" i="3"/>
  <c r="AQ329" i="3"/>
  <c r="AP329" i="3"/>
  <c r="AO329" i="3"/>
  <c r="AN329" i="3"/>
  <c r="AM329" i="3"/>
  <c r="AL329" i="3"/>
  <c r="AK329" i="3"/>
  <c r="AJ329" i="3"/>
  <c r="AI329" i="3"/>
  <c r="AH329" i="3"/>
  <c r="AG329" i="3"/>
  <c r="AF329" i="3"/>
  <c r="AE329" i="3"/>
  <c r="AD329" i="3"/>
  <c r="AC329" i="3"/>
  <c r="AB329" i="3"/>
  <c r="AA329" i="3"/>
  <c r="Z329" i="3"/>
  <c r="Y329" i="3"/>
  <c r="X329" i="3"/>
  <c r="W329" i="3"/>
  <c r="V329" i="3"/>
  <c r="U329" i="3"/>
  <c r="T329" i="3"/>
  <c r="S329" i="3"/>
  <c r="R329" i="3"/>
  <c r="Q329" i="3"/>
  <c r="P329" i="3"/>
  <c r="O329" i="3"/>
  <c r="N329" i="3"/>
  <c r="M329" i="3"/>
  <c r="L329" i="3"/>
  <c r="K329" i="3"/>
  <c r="J329" i="3"/>
  <c r="I329" i="3"/>
  <c r="H329" i="3"/>
  <c r="G329" i="3"/>
  <c r="F329" i="3"/>
  <c r="E329" i="3"/>
  <c r="D329" i="3"/>
  <c r="B329" i="3"/>
  <c r="A329" i="3"/>
  <c r="BP328" i="3"/>
  <c r="BO328" i="3"/>
  <c r="BN328" i="3"/>
  <c r="BM328" i="3"/>
  <c r="BL328" i="3"/>
  <c r="BK328" i="3"/>
  <c r="BJ328" i="3"/>
  <c r="BI328" i="3"/>
  <c r="BH328" i="3"/>
  <c r="BG328" i="3"/>
  <c r="BF328" i="3"/>
  <c r="BE328" i="3"/>
  <c r="BD328" i="3"/>
  <c r="BC328" i="3"/>
  <c r="BB328" i="3"/>
  <c r="BA328" i="3"/>
  <c r="AZ328" i="3"/>
  <c r="AY328" i="3"/>
  <c r="AX328" i="3"/>
  <c r="AW328" i="3"/>
  <c r="AV328" i="3"/>
  <c r="AU328" i="3"/>
  <c r="AT328" i="3"/>
  <c r="AS328" i="3"/>
  <c r="AR328" i="3"/>
  <c r="AQ328" i="3"/>
  <c r="AP328" i="3"/>
  <c r="AO328" i="3"/>
  <c r="AN328" i="3"/>
  <c r="AM328" i="3"/>
  <c r="AL328" i="3"/>
  <c r="AK328" i="3"/>
  <c r="AJ328" i="3"/>
  <c r="AI328" i="3"/>
  <c r="AH328" i="3"/>
  <c r="AG328" i="3"/>
  <c r="AF328" i="3"/>
  <c r="AE328" i="3"/>
  <c r="AD328" i="3"/>
  <c r="AC328" i="3"/>
  <c r="AB328" i="3"/>
  <c r="AA328" i="3"/>
  <c r="Z328" i="3"/>
  <c r="Y328" i="3"/>
  <c r="X328" i="3"/>
  <c r="W328" i="3"/>
  <c r="V328" i="3"/>
  <c r="U328" i="3"/>
  <c r="T328" i="3"/>
  <c r="S328" i="3"/>
  <c r="R328" i="3"/>
  <c r="Q328" i="3"/>
  <c r="P328" i="3"/>
  <c r="O328" i="3"/>
  <c r="N328" i="3"/>
  <c r="M328" i="3"/>
  <c r="L328" i="3"/>
  <c r="K328" i="3"/>
  <c r="J328" i="3"/>
  <c r="I328" i="3"/>
  <c r="H328" i="3"/>
  <c r="G328" i="3"/>
  <c r="F328" i="3"/>
  <c r="E328" i="3"/>
  <c r="D328" i="3"/>
  <c r="C328" i="3"/>
  <c r="B328" i="3"/>
  <c r="A328" i="3"/>
  <c r="BP327" i="3"/>
  <c r="BO327" i="3"/>
  <c r="BN327" i="3"/>
  <c r="BM327" i="3"/>
  <c r="BL327" i="3"/>
  <c r="BK327" i="3"/>
  <c r="BJ327" i="3"/>
  <c r="BI327" i="3"/>
  <c r="BH327" i="3"/>
  <c r="BG327" i="3"/>
  <c r="BF327" i="3"/>
  <c r="BE327" i="3"/>
  <c r="BD327" i="3"/>
  <c r="BC327" i="3"/>
  <c r="BB327" i="3"/>
  <c r="BA327" i="3"/>
  <c r="AZ327" i="3"/>
  <c r="AY327" i="3"/>
  <c r="AX327" i="3"/>
  <c r="AW327" i="3"/>
  <c r="AV327" i="3"/>
  <c r="AU327" i="3"/>
  <c r="AT327" i="3"/>
  <c r="AS327" i="3"/>
  <c r="AR327" i="3"/>
  <c r="AQ327" i="3"/>
  <c r="AP327" i="3"/>
  <c r="AO327" i="3"/>
  <c r="AN327" i="3"/>
  <c r="AM327" i="3"/>
  <c r="AL327" i="3"/>
  <c r="AK327" i="3"/>
  <c r="AJ327" i="3"/>
  <c r="AI327" i="3"/>
  <c r="AH327" i="3"/>
  <c r="AG327" i="3"/>
  <c r="AF327" i="3"/>
  <c r="AE327" i="3"/>
  <c r="AD327" i="3"/>
  <c r="AC327" i="3"/>
  <c r="AB327" i="3"/>
  <c r="AA327" i="3"/>
  <c r="Z327" i="3"/>
  <c r="Y327" i="3"/>
  <c r="X327" i="3"/>
  <c r="W327" i="3"/>
  <c r="V327" i="3"/>
  <c r="U327" i="3"/>
  <c r="T327" i="3"/>
  <c r="S327" i="3"/>
  <c r="R327" i="3"/>
  <c r="Q327" i="3"/>
  <c r="P327" i="3"/>
  <c r="O327" i="3"/>
  <c r="N327" i="3"/>
  <c r="M327" i="3"/>
  <c r="L327" i="3"/>
  <c r="K327" i="3"/>
  <c r="J327" i="3"/>
  <c r="I327" i="3"/>
  <c r="H327" i="3"/>
  <c r="G327" i="3"/>
  <c r="F327" i="3"/>
  <c r="E327" i="3"/>
  <c r="D327" i="3"/>
  <c r="C327" i="3"/>
  <c r="B327" i="3"/>
  <c r="A327" i="3"/>
  <c r="BP326" i="3"/>
  <c r="BO326" i="3"/>
  <c r="BN326" i="3"/>
  <c r="BM326" i="3"/>
  <c r="BL326" i="3"/>
  <c r="BK326" i="3"/>
  <c r="BJ326" i="3"/>
  <c r="BI326" i="3"/>
  <c r="BH326" i="3"/>
  <c r="BG326" i="3"/>
  <c r="BF326" i="3"/>
  <c r="BE326" i="3"/>
  <c r="BD326" i="3"/>
  <c r="BC326" i="3"/>
  <c r="BB326" i="3"/>
  <c r="BA326" i="3"/>
  <c r="AZ326" i="3"/>
  <c r="AY326" i="3"/>
  <c r="AX326" i="3"/>
  <c r="AW326" i="3"/>
  <c r="AV326" i="3"/>
  <c r="AU326" i="3"/>
  <c r="AT326" i="3"/>
  <c r="AS326" i="3"/>
  <c r="AR326" i="3"/>
  <c r="AQ326" i="3"/>
  <c r="AP326" i="3"/>
  <c r="AO326" i="3"/>
  <c r="AN326" i="3"/>
  <c r="AM326" i="3"/>
  <c r="AL326" i="3"/>
  <c r="AK326" i="3"/>
  <c r="AJ326" i="3"/>
  <c r="AI326" i="3"/>
  <c r="AH326" i="3"/>
  <c r="AG326" i="3"/>
  <c r="AF326" i="3"/>
  <c r="AE326" i="3"/>
  <c r="AD326" i="3"/>
  <c r="AC326" i="3"/>
  <c r="AB326" i="3"/>
  <c r="AA326" i="3"/>
  <c r="Z326" i="3"/>
  <c r="Y326" i="3"/>
  <c r="X326" i="3"/>
  <c r="W326" i="3"/>
  <c r="V326" i="3"/>
  <c r="U326" i="3"/>
  <c r="T326" i="3"/>
  <c r="S326" i="3"/>
  <c r="R326" i="3"/>
  <c r="Q326" i="3"/>
  <c r="P326" i="3"/>
  <c r="O326" i="3"/>
  <c r="N326" i="3"/>
  <c r="M326" i="3"/>
  <c r="L326" i="3"/>
  <c r="K326" i="3"/>
  <c r="J326" i="3"/>
  <c r="I326" i="3"/>
  <c r="H326" i="3"/>
  <c r="G326" i="3"/>
  <c r="F326" i="3"/>
  <c r="E326" i="3"/>
  <c r="D326" i="3"/>
  <c r="C326" i="3"/>
  <c r="B326" i="3"/>
  <c r="A326" i="3"/>
  <c r="BP325" i="3"/>
  <c r="BO325" i="3"/>
  <c r="BN325" i="3"/>
  <c r="BM325" i="3"/>
  <c r="BL325" i="3"/>
  <c r="BK325" i="3"/>
  <c r="BJ325" i="3"/>
  <c r="BI325" i="3"/>
  <c r="BH325" i="3"/>
  <c r="BG325" i="3"/>
  <c r="BF325" i="3"/>
  <c r="BE325" i="3"/>
  <c r="BD325" i="3"/>
  <c r="BC325" i="3"/>
  <c r="BB325" i="3"/>
  <c r="BA325" i="3"/>
  <c r="AZ325" i="3"/>
  <c r="AY325" i="3"/>
  <c r="AX325" i="3"/>
  <c r="AW325" i="3"/>
  <c r="AV325" i="3"/>
  <c r="AU325" i="3"/>
  <c r="AT325" i="3"/>
  <c r="AS325" i="3"/>
  <c r="AR325" i="3"/>
  <c r="AQ325" i="3"/>
  <c r="AP325" i="3"/>
  <c r="AO325" i="3"/>
  <c r="AN325" i="3"/>
  <c r="AM325" i="3"/>
  <c r="AL325" i="3"/>
  <c r="AK325" i="3"/>
  <c r="AJ325" i="3"/>
  <c r="AI325" i="3"/>
  <c r="AH325" i="3"/>
  <c r="AG325" i="3"/>
  <c r="AF325" i="3"/>
  <c r="AE325" i="3"/>
  <c r="AD325" i="3"/>
  <c r="AC325" i="3"/>
  <c r="AB325" i="3"/>
  <c r="AA325" i="3"/>
  <c r="Z325" i="3"/>
  <c r="Y325" i="3"/>
  <c r="X325" i="3"/>
  <c r="W325" i="3"/>
  <c r="V325" i="3"/>
  <c r="U325" i="3"/>
  <c r="T325" i="3"/>
  <c r="S325" i="3"/>
  <c r="R325" i="3"/>
  <c r="Q325" i="3"/>
  <c r="P325" i="3"/>
  <c r="O325" i="3"/>
  <c r="N325" i="3"/>
  <c r="M325" i="3"/>
  <c r="L325" i="3"/>
  <c r="K325" i="3"/>
  <c r="J325" i="3"/>
  <c r="I325" i="3"/>
  <c r="H325" i="3"/>
  <c r="G325" i="3"/>
  <c r="F325" i="3"/>
  <c r="E325" i="3"/>
  <c r="D325" i="3"/>
  <c r="C325" i="3"/>
  <c r="B325" i="3"/>
  <c r="A325" i="3"/>
  <c r="BP324" i="3"/>
  <c r="BO324" i="3"/>
  <c r="BN324" i="3"/>
  <c r="BM324" i="3"/>
  <c r="BL324" i="3"/>
  <c r="BK324" i="3"/>
  <c r="BJ324" i="3"/>
  <c r="BI324" i="3"/>
  <c r="BH324" i="3"/>
  <c r="BG324" i="3"/>
  <c r="BF324" i="3"/>
  <c r="BE324" i="3"/>
  <c r="BD324" i="3"/>
  <c r="BC324" i="3"/>
  <c r="BB324" i="3"/>
  <c r="BA324" i="3"/>
  <c r="AZ324" i="3"/>
  <c r="AY324" i="3"/>
  <c r="AX324" i="3"/>
  <c r="AW324" i="3"/>
  <c r="AV324" i="3"/>
  <c r="AU324" i="3"/>
  <c r="AT324" i="3"/>
  <c r="AS324" i="3"/>
  <c r="AR324" i="3"/>
  <c r="AQ324" i="3"/>
  <c r="AP324" i="3"/>
  <c r="AO324" i="3"/>
  <c r="AN324" i="3"/>
  <c r="AM324" i="3"/>
  <c r="AL324" i="3"/>
  <c r="AK324" i="3"/>
  <c r="AJ324" i="3"/>
  <c r="AI324" i="3"/>
  <c r="AH324" i="3"/>
  <c r="AG324" i="3"/>
  <c r="AF324" i="3"/>
  <c r="AE324" i="3"/>
  <c r="AD324" i="3"/>
  <c r="AC324" i="3"/>
  <c r="AB324" i="3"/>
  <c r="AA324" i="3"/>
  <c r="Z324" i="3"/>
  <c r="Y324" i="3"/>
  <c r="X324" i="3"/>
  <c r="W324" i="3"/>
  <c r="V324" i="3"/>
  <c r="U324" i="3"/>
  <c r="T324" i="3"/>
  <c r="S324" i="3"/>
  <c r="R324" i="3"/>
  <c r="Q324" i="3"/>
  <c r="P324" i="3"/>
  <c r="O324" i="3"/>
  <c r="N324" i="3"/>
  <c r="M324" i="3"/>
  <c r="L324" i="3"/>
  <c r="K324" i="3"/>
  <c r="J324" i="3"/>
  <c r="I324" i="3"/>
  <c r="H324" i="3"/>
  <c r="G324" i="3"/>
  <c r="F324" i="3"/>
  <c r="E324" i="3"/>
  <c r="D324" i="3"/>
  <c r="C324" i="3"/>
  <c r="B324" i="3"/>
  <c r="A324" i="3"/>
  <c r="BP323" i="3"/>
  <c r="BO323" i="3"/>
  <c r="BN323" i="3"/>
  <c r="BM323" i="3"/>
  <c r="BL323" i="3"/>
  <c r="BK323" i="3"/>
  <c r="BJ323" i="3"/>
  <c r="BI323" i="3"/>
  <c r="BH323" i="3"/>
  <c r="BG323" i="3"/>
  <c r="BF323" i="3"/>
  <c r="BE323" i="3"/>
  <c r="BD323" i="3"/>
  <c r="BC323" i="3"/>
  <c r="BB323" i="3"/>
  <c r="BA323" i="3"/>
  <c r="AZ323" i="3"/>
  <c r="AY323" i="3"/>
  <c r="AX323" i="3"/>
  <c r="AW323" i="3"/>
  <c r="AV323" i="3"/>
  <c r="AU323" i="3"/>
  <c r="AT323" i="3"/>
  <c r="AS323" i="3"/>
  <c r="AR323" i="3"/>
  <c r="AQ323" i="3"/>
  <c r="AP323" i="3"/>
  <c r="AO323" i="3"/>
  <c r="AN323" i="3"/>
  <c r="AM323" i="3"/>
  <c r="AL323" i="3"/>
  <c r="AK323" i="3"/>
  <c r="AJ323" i="3"/>
  <c r="AI323" i="3"/>
  <c r="AH323" i="3"/>
  <c r="AG323" i="3"/>
  <c r="AF323" i="3"/>
  <c r="AE323" i="3"/>
  <c r="AD323" i="3"/>
  <c r="AC323" i="3"/>
  <c r="AB323" i="3"/>
  <c r="AA323" i="3"/>
  <c r="Z323" i="3"/>
  <c r="Y323" i="3"/>
  <c r="X323" i="3"/>
  <c r="W323" i="3"/>
  <c r="V323" i="3"/>
  <c r="U323" i="3"/>
  <c r="T323" i="3"/>
  <c r="S323" i="3"/>
  <c r="R323" i="3"/>
  <c r="Q323" i="3"/>
  <c r="P323" i="3"/>
  <c r="O323" i="3"/>
  <c r="N323" i="3"/>
  <c r="M323" i="3"/>
  <c r="L323" i="3"/>
  <c r="K323" i="3"/>
  <c r="J323" i="3"/>
  <c r="I323" i="3"/>
  <c r="H323" i="3"/>
  <c r="G323" i="3"/>
  <c r="F323" i="3"/>
  <c r="E323" i="3"/>
  <c r="D323" i="3"/>
  <c r="C323" i="3"/>
  <c r="B323" i="3"/>
  <c r="A323" i="3"/>
  <c r="BP322" i="3"/>
  <c r="BO322" i="3"/>
  <c r="BN322" i="3"/>
  <c r="BM322" i="3"/>
  <c r="BL322" i="3"/>
  <c r="BK322" i="3"/>
  <c r="BJ322" i="3"/>
  <c r="BI322" i="3"/>
  <c r="BH322" i="3"/>
  <c r="BG322" i="3"/>
  <c r="BF322" i="3"/>
  <c r="BE322" i="3"/>
  <c r="BD322" i="3"/>
  <c r="BC322" i="3"/>
  <c r="BB322" i="3"/>
  <c r="BA322" i="3"/>
  <c r="AZ322" i="3"/>
  <c r="AY322" i="3"/>
  <c r="AX322" i="3"/>
  <c r="AW322" i="3"/>
  <c r="AV322" i="3"/>
  <c r="AU322" i="3"/>
  <c r="AT322" i="3"/>
  <c r="AS322" i="3"/>
  <c r="AR322" i="3"/>
  <c r="AQ322" i="3"/>
  <c r="AP322" i="3"/>
  <c r="AO322" i="3"/>
  <c r="AN322" i="3"/>
  <c r="AM322" i="3"/>
  <c r="AL322" i="3"/>
  <c r="AK322" i="3"/>
  <c r="AJ322" i="3"/>
  <c r="AI322" i="3"/>
  <c r="AH322" i="3"/>
  <c r="AG322" i="3"/>
  <c r="AF322" i="3"/>
  <c r="AE322" i="3"/>
  <c r="AD322" i="3"/>
  <c r="AC322" i="3"/>
  <c r="AB322" i="3"/>
  <c r="AA322" i="3"/>
  <c r="Z322" i="3"/>
  <c r="Y322" i="3"/>
  <c r="X322" i="3"/>
  <c r="W322" i="3"/>
  <c r="V322" i="3"/>
  <c r="U322" i="3"/>
  <c r="T322" i="3"/>
  <c r="S322" i="3"/>
  <c r="R322" i="3"/>
  <c r="Q322" i="3"/>
  <c r="P322" i="3"/>
  <c r="O322" i="3"/>
  <c r="N322" i="3"/>
  <c r="M322" i="3"/>
  <c r="L322" i="3"/>
  <c r="K322" i="3"/>
  <c r="J322" i="3"/>
  <c r="I322" i="3"/>
  <c r="H322" i="3"/>
  <c r="G322" i="3"/>
  <c r="F322" i="3"/>
  <c r="E322" i="3"/>
  <c r="D322" i="3"/>
  <c r="B322" i="3"/>
  <c r="A322" i="3"/>
  <c r="BP321" i="3"/>
  <c r="BO321" i="3"/>
  <c r="BN321" i="3"/>
  <c r="BM321" i="3"/>
  <c r="BL321" i="3"/>
  <c r="BK321" i="3"/>
  <c r="BJ321" i="3"/>
  <c r="BI321" i="3"/>
  <c r="BH321" i="3"/>
  <c r="BG321" i="3"/>
  <c r="BF321" i="3"/>
  <c r="BE321" i="3"/>
  <c r="BD321" i="3"/>
  <c r="BC321" i="3"/>
  <c r="BB321" i="3"/>
  <c r="BA321" i="3"/>
  <c r="AZ321" i="3"/>
  <c r="AY321" i="3"/>
  <c r="AX321" i="3"/>
  <c r="AW321" i="3"/>
  <c r="AV321" i="3"/>
  <c r="AU321" i="3"/>
  <c r="AT321" i="3"/>
  <c r="AS321" i="3"/>
  <c r="AR321" i="3"/>
  <c r="AQ321" i="3"/>
  <c r="AP321" i="3"/>
  <c r="AO321" i="3"/>
  <c r="AN321" i="3"/>
  <c r="AM321" i="3"/>
  <c r="AL321" i="3"/>
  <c r="AK321" i="3"/>
  <c r="AJ321" i="3"/>
  <c r="AI321" i="3"/>
  <c r="AH321" i="3"/>
  <c r="AG321" i="3"/>
  <c r="AF321" i="3"/>
  <c r="AE321" i="3"/>
  <c r="AD321" i="3"/>
  <c r="AC321" i="3"/>
  <c r="AB321" i="3"/>
  <c r="AA321" i="3"/>
  <c r="Z321" i="3"/>
  <c r="Y321" i="3"/>
  <c r="X321" i="3"/>
  <c r="W321" i="3"/>
  <c r="V321" i="3"/>
  <c r="U321" i="3"/>
  <c r="T321" i="3"/>
  <c r="S321" i="3"/>
  <c r="R321" i="3"/>
  <c r="Q321" i="3"/>
  <c r="P321" i="3"/>
  <c r="O321" i="3"/>
  <c r="N321" i="3"/>
  <c r="M321" i="3"/>
  <c r="L321" i="3"/>
  <c r="K321" i="3"/>
  <c r="J321" i="3"/>
  <c r="I321" i="3"/>
  <c r="H321" i="3"/>
  <c r="G321" i="3"/>
  <c r="F321" i="3"/>
  <c r="E321" i="3"/>
  <c r="D321" i="3"/>
  <c r="C321" i="3"/>
  <c r="B321" i="3"/>
  <c r="A321" i="3"/>
  <c r="BP320" i="3"/>
  <c r="BO320" i="3"/>
  <c r="BN320" i="3"/>
  <c r="BM320" i="3"/>
  <c r="BL320" i="3"/>
  <c r="BK320" i="3"/>
  <c r="BJ320" i="3"/>
  <c r="BI320" i="3"/>
  <c r="BH320" i="3"/>
  <c r="BG320" i="3"/>
  <c r="BF320" i="3"/>
  <c r="BE320" i="3"/>
  <c r="BD320" i="3"/>
  <c r="BC320" i="3"/>
  <c r="BB320" i="3"/>
  <c r="BA320" i="3"/>
  <c r="AZ320" i="3"/>
  <c r="AY320" i="3"/>
  <c r="AX320" i="3"/>
  <c r="AW320" i="3"/>
  <c r="AV320" i="3"/>
  <c r="AU320" i="3"/>
  <c r="AT320" i="3"/>
  <c r="AS320" i="3"/>
  <c r="AR320" i="3"/>
  <c r="AQ320" i="3"/>
  <c r="AP320" i="3"/>
  <c r="AO320" i="3"/>
  <c r="AN320" i="3"/>
  <c r="AM320" i="3"/>
  <c r="AL320" i="3"/>
  <c r="AK320" i="3"/>
  <c r="AJ320" i="3"/>
  <c r="AI320" i="3"/>
  <c r="AH320" i="3"/>
  <c r="AG320" i="3"/>
  <c r="AF320" i="3"/>
  <c r="AE320" i="3"/>
  <c r="AD320" i="3"/>
  <c r="AC320" i="3"/>
  <c r="AB320" i="3"/>
  <c r="AA320" i="3"/>
  <c r="Z320" i="3"/>
  <c r="Y320" i="3"/>
  <c r="X320" i="3"/>
  <c r="W320" i="3"/>
  <c r="V320" i="3"/>
  <c r="U320" i="3"/>
  <c r="T320" i="3"/>
  <c r="S320" i="3"/>
  <c r="R320" i="3"/>
  <c r="Q320" i="3"/>
  <c r="P320" i="3"/>
  <c r="O320" i="3"/>
  <c r="N320" i="3"/>
  <c r="M320" i="3"/>
  <c r="L320" i="3"/>
  <c r="K320" i="3"/>
  <c r="J320" i="3"/>
  <c r="I320" i="3"/>
  <c r="H320" i="3"/>
  <c r="G320" i="3"/>
  <c r="F320" i="3"/>
  <c r="E320" i="3"/>
  <c r="D320" i="3"/>
  <c r="C320" i="3"/>
  <c r="B320" i="3"/>
  <c r="A320" i="3"/>
  <c r="BP319" i="3"/>
  <c r="BO319" i="3"/>
  <c r="BN319" i="3"/>
  <c r="BM319" i="3"/>
  <c r="BL319" i="3"/>
  <c r="BK319" i="3"/>
  <c r="BJ319" i="3"/>
  <c r="BI319" i="3"/>
  <c r="BH319" i="3"/>
  <c r="BG319" i="3"/>
  <c r="BF319" i="3"/>
  <c r="BE319" i="3"/>
  <c r="BD319" i="3"/>
  <c r="BC319" i="3"/>
  <c r="BB319" i="3"/>
  <c r="BA319" i="3"/>
  <c r="AZ319" i="3"/>
  <c r="AY319" i="3"/>
  <c r="AX319" i="3"/>
  <c r="AW319" i="3"/>
  <c r="AV319" i="3"/>
  <c r="AU319" i="3"/>
  <c r="AT319" i="3"/>
  <c r="AS319" i="3"/>
  <c r="AR319" i="3"/>
  <c r="AQ319" i="3"/>
  <c r="AP319" i="3"/>
  <c r="AO319" i="3"/>
  <c r="AN319" i="3"/>
  <c r="AM319" i="3"/>
  <c r="AL319" i="3"/>
  <c r="AK319" i="3"/>
  <c r="AJ319" i="3"/>
  <c r="AI319" i="3"/>
  <c r="AH319" i="3"/>
  <c r="AG319" i="3"/>
  <c r="AF319" i="3"/>
  <c r="AE319" i="3"/>
  <c r="AD319" i="3"/>
  <c r="AC319" i="3"/>
  <c r="AB319" i="3"/>
  <c r="AA319" i="3"/>
  <c r="Z319" i="3"/>
  <c r="Y319" i="3"/>
  <c r="X319" i="3"/>
  <c r="W319" i="3"/>
  <c r="V319" i="3"/>
  <c r="U319" i="3"/>
  <c r="T319" i="3"/>
  <c r="S319" i="3"/>
  <c r="R319" i="3"/>
  <c r="Q319" i="3"/>
  <c r="P319" i="3"/>
  <c r="O319" i="3"/>
  <c r="N319" i="3"/>
  <c r="M319" i="3"/>
  <c r="L319" i="3"/>
  <c r="K319" i="3"/>
  <c r="J319" i="3"/>
  <c r="I319" i="3"/>
  <c r="H319" i="3"/>
  <c r="G319" i="3"/>
  <c r="F319" i="3"/>
  <c r="E319" i="3"/>
  <c r="D319" i="3"/>
  <c r="C319" i="3"/>
  <c r="B319" i="3"/>
  <c r="A319" i="3"/>
  <c r="BP318" i="3"/>
  <c r="BO318" i="3"/>
  <c r="BN318" i="3"/>
  <c r="BM318" i="3"/>
  <c r="BL318" i="3"/>
  <c r="BK318" i="3"/>
  <c r="BJ318" i="3"/>
  <c r="BI318" i="3"/>
  <c r="BH318" i="3"/>
  <c r="BG318" i="3"/>
  <c r="BF318" i="3"/>
  <c r="BE318" i="3"/>
  <c r="BD318" i="3"/>
  <c r="BC318" i="3"/>
  <c r="BB318" i="3"/>
  <c r="BA318" i="3"/>
  <c r="AZ318" i="3"/>
  <c r="AY318" i="3"/>
  <c r="AX318" i="3"/>
  <c r="AW318" i="3"/>
  <c r="AV318" i="3"/>
  <c r="AU318" i="3"/>
  <c r="AT318" i="3"/>
  <c r="AS318" i="3"/>
  <c r="AR318" i="3"/>
  <c r="AQ318" i="3"/>
  <c r="AP318" i="3"/>
  <c r="AO318" i="3"/>
  <c r="AN318" i="3"/>
  <c r="AM318" i="3"/>
  <c r="AL318" i="3"/>
  <c r="AK318" i="3"/>
  <c r="AJ318" i="3"/>
  <c r="AI318" i="3"/>
  <c r="AH318" i="3"/>
  <c r="AG318" i="3"/>
  <c r="AF318" i="3"/>
  <c r="AE318" i="3"/>
  <c r="AD318" i="3"/>
  <c r="AC318" i="3"/>
  <c r="AB318" i="3"/>
  <c r="AA318" i="3"/>
  <c r="Z318" i="3"/>
  <c r="Y318" i="3"/>
  <c r="X318" i="3"/>
  <c r="W318" i="3"/>
  <c r="V318" i="3"/>
  <c r="U318" i="3"/>
  <c r="T318" i="3"/>
  <c r="S318" i="3"/>
  <c r="R318" i="3"/>
  <c r="Q318" i="3"/>
  <c r="P318" i="3"/>
  <c r="O318" i="3"/>
  <c r="N318" i="3"/>
  <c r="M318" i="3"/>
  <c r="L318" i="3"/>
  <c r="K318" i="3"/>
  <c r="J318" i="3"/>
  <c r="I318" i="3"/>
  <c r="H318" i="3"/>
  <c r="G318" i="3"/>
  <c r="F318" i="3"/>
  <c r="E318" i="3"/>
  <c r="D318" i="3"/>
  <c r="C318" i="3"/>
  <c r="B318" i="3"/>
  <c r="A318" i="3"/>
  <c r="BP317" i="3"/>
  <c r="BO317" i="3"/>
  <c r="BN317" i="3"/>
  <c r="BM317" i="3"/>
  <c r="BL317" i="3"/>
  <c r="BK317" i="3"/>
  <c r="BJ317" i="3"/>
  <c r="BI317" i="3"/>
  <c r="BH317" i="3"/>
  <c r="BG317" i="3"/>
  <c r="BF317" i="3"/>
  <c r="BE317" i="3"/>
  <c r="BD317" i="3"/>
  <c r="BC317" i="3"/>
  <c r="BB317" i="3"/>
  <c r="BA317" i="3"/>
  <c r="AZ317" i="3"/>
  <c r="AY317" i="3"/>
  <c r="AX317" i="3"/>
  <c r="AW317" i="3"/>
  <c r="AV317" i="3"/>
  <c r="AU317" i="3"/>
  <c r="AT317" i="3"/>
  <c r="AS317" i="3"/>
  <c r="AR317" i="3"/>
  <c r="AQ317" i="3"/>
  <c r="AP317" i="3"/>
  <c r="AO317" i="3"/>
  <c r="AN317" i="3"/>
  <c r="AM317" i="3"/>
  <c r="AL317" i="3"/>
  <c r="AK317" i="3"/>
  <c r="AJ317" i="3"/>
  <c r="AI317" i="3"/>
  <c r="AH317" i="3"/>
  <c r="AG317" i="3"/>
  <c r="AF317" i="3"/>
  <c r="AE317" i="3"/>
  <c r="AD317" i="3"/>
  <c r="AC317" i="3"/>
  <c r="AB317" i="3"/>
  <c r="AA317" i="3"/>
  <c r="Z317" i="3"/>
  <c r="Y317" i="3"/>
  <c r="X317" i="3"/>
  <c r="W317" i="3"/>
  <c r="V317" i="3"/>
  <c r="U317" i="3"/>
  <c r="T317" i="3"/>
  <c r="S317" i="3"/>
  <c r="R317" i="3"/>
  <c r="Q317" i="3"/>
  <c r="P317" i="3"/>
  <c r="O317" i="3"/>
  <c r="N317" i="3"/>
  <c r="M317" i="3"/>
  <c r="L317" i="3"/>
  <c r="K317" i="3"/>
  <c r="J317" i="3"/>
  <c r="I317" i="3"/>
  <c r="H317" i="3"/>
  <c r="G317" i="3"/>
  <c r="F317" i="3"/>
  <c r="E317" i="3"/>
  <c r="D317" i="3"/>
  <c r="C317" i="3"/>
  <c r="B317" i="3"/>
  <c r="A317" i="3"/>
  <c r="BP316" i="3"/>
  <c r="BO316" i="3"/>
  <c r="BN316" i="3"/>
  <c r="BM316" i="3"/>
  <c r="BL316" i="3"/>
  <c r="BK316" i="3"/>
  <c r="BJ316" i="3"/>
  <c r="BI316" i="3"/>
  <c r="BH316" i="3"/>
  <c r="BG316" i="3"/>
  <c r="BF316" i="3"/>
  <c r="BE316" i="3"/>
  <c r="BD316" i="3"/>
  <c r="BC316" i="3"/>
  <c r="BB316" i="3"/>
  <c r="BA316" i="3"/>
  <c r="AZ316" i="3"/>
  <c r="AY316" i="3"/>
  <c r="AX316" i="3"/>
  <c r="AW316" i="3"/>
  <c r="AV316" i="3"/>
  <c r="AU316" i="3"/>
  <c r="AT316" i="3"/>
  <c r="AS316" i="3"/>
  <c r="AR316" i="3"/>
  <c r="AQ316" i="3"/>
  <c r="AP316" i="3"/>
  <c r="AO316" i="3"/>
  <c r="AN316" i="3"/>
  <c r="AM316" i="3"/>
  <c r="AL316" i="3"/>
  <c r="AK316" i="3"/>
  <c r="AJ316" i="3"/>
  <c r="AI316" i="3"/>
  <c r="AH316" i="3"/>
  <c r="AG316" i="3"/>
  <c r="AF316" i="3"/>
  <c r="AE316" i="3"/>
  <c r="AD316" i="3"/>
  <c r="AC316" i="3"/>
  <c r="AB316" i="3"/>
  <c r="AA316" i="3"/>
  <c r="Z316" i="3"/>
  <c r="Y316" i="3"/>
  <c r="X316" i="3"/>
  <c r="W316" i="3"/>
  <c r="V316" i="3"/>
  <c r="U316" i="3"/>
  <c r="T316" i="3"/>
  <c r="S316" i="3"/>
  <c r="R316" i="3"/>
  <c r="Q316" i="3"/>
  <c r="P316" i="3"/>
  <c r="O316" i="3"/>
  <c r="N316" i="3"/>
  <c r="M316" i="3"/>
  <c r="L316" i="3"/>
  <c r="K316" i="3"/>
  <c r="J316" i="3"/>
  <c r="I316" i="3"/>
  <c r="H316" i="3"/>
  <c r="G316" i="3"/>
  <c r="F316" i="3"/>
  <c r="E316" i="3"/>
  <c r="D316" i="3"/>
  <c r="C316" i="3"/>
  <c r="B316" i="3"/>
  <c r="A316" i="3"/>
  <c r="BP315" i="3"/>
  <c r="BO315" i="3"/>
  <c r="BN315" i="3"/>
  <c r="BM315" i="3"/>
  <c r="BL315" i="3"/>
  <c r="BK315" i="3"/>
  <c r="BJ315" i="3"/>
  <c r="BI315" i="3"/>
  <c r="BH315" i="3"/>
  <c r="BG315" i="3"/>
  <c r="BF315" i="3"/>
  <c r="BE315" i="3"/>
  <c r="BD315" i="3"/>
  <c r="BC315" i="3"/>
  <c r="BB315" i="3"/>
  <c r="BA315" i="3"/>
  <c r="AZ315" i="3"/>
  <c r="AY315" i="3"/>
  <c r="AX315" i="3"/>
  <c r="AW315" i="3"/>
  <c r="AV315" i="3"/>
  <c r="AU315" i="3"/>
  <c r="AT315" i="3"/>
  <c r="AS315" i="3"/>
  <c r="AR315" i="3"/>
  <c r="AQ315" i="3"/>
  <c r="AP315" i="3"/>
  <c r="AO315" i="3"/>
  <c r="AN315" i="3"/>
  <c r="AM315" i="3"/>
  <c r="AL315" i="3"/>
  <c r="AK315" i="3"/>
  <c r="AJ315" i="3"/>
  <c r="AI315" i="3"/>
  <c r="AH315" i="3"/>
  <c r="AG315" i="3"/>
  <c r="AF315" i="3"/>
  <c r="AE315" i="3"/>
  <c r="AD315" i="3"/>
  <c r="AC315" i="3"/>
  <c r="AB315" i="3"/>
  <c r="AA315" i="3"/>
  <c r="Z315" i="3"/>
  <c r="Y315" i="3"/>
  <c r="X315" i="3"/>
  <c r="W315" i="3"/>
  <c r="V315" i="3"/>
  <c r="U315" i="3"/>
  <c r="T315" i="3"/>
  <c r="S315" i="3"/>
  <c r="R315" i="3"/>
  <c r="Q315" i="3"/>
  <c r="P315" i="3"/>
  <c r="O315" i="3"/>
  <c r="N315" i="3"/>
  <c r="M315" i="3"/>
  <c r="L315" i="3"/>
  <c r="K315" i="3"/>
  <c r="J315" i="3"/>
  <c r="I315" i="3"/>
  <c r="H315" i="3"/>
  <c r="G315" i="3"/>
  <c r="F315" i="3"/>
  <c r="E315" i="3"/>
  <c r="D315" i="3"/>
  <c r="C315" i="3"/>
  <c r="B315" i="3"/>
  <c r="A315" i="3"/>
  <c r="BP314" i="3"/>
  <c r="BO314" i="3"/>
  <c r="BN314" i="3"/>
  <c r="BM314" i="3"/>
  <c r="BL314" i="3"/>
  <c r="BK314" i="3"/>
  <c r="BJ314" i="3"/>
  <c r="BI314" i="3"/>
  <c r="BH314" i="3"/>
  <c r="BG314" i="3"/>
  <c r="BF314" i="3"/>
  <c r="BE314" i="3"/>
  <c r="BD314" i="3"/>
  <c r="BC314" i="3"/>
  <c r="BB314" i="3"/>
  <c r="BA314" i="3"/>
  <c r="AZ314" i="3"/>
  <c r="AY314" i="3"/>
  <c r="AX314" i="3"/>
  <c r="AW314" i="3"/>
  <c r="AV314" i="3"/>
  <c r="AU314" i="3"/>
  <c r="AT314" i="3"/>
  <c r="AS314" i="3"/>
  <c r="AR314" i="3"/>
  <c r="AQ314" i="3"/>
  <c r="AP314" i="3"/>
  <c r="AO314" i="3"/>
  <c r="AN314" i="3"/>
  <c r="AM314" i="3"/>
  <c r="AL314" i="3"/>
  <c r="AK314" i="3"/>
  <c r="AJ314" i="3"/>
  <c r="AI314" i="3"/>
  <c r="AH314" i="3"/>
  <c r="AG314" i="3"/>
  <c r="AF314" i="3"/>
  <c r="AE314" i="3"/>
  <c r="AD314" i="3"/>
  <c r="AC314" i="3"/>
  <c r="AB314" i="3"/>
  <c r="AA314" i="3"/>
  <c r="Z314" i="3"/>
  <c r="Y314" i="3"/>
  <c r="X314" i="3"/>
  <c r="W314" i="3"/>
  <c r="V314" i="3"/>
  <c r="U314" i="3"/>
  <c r="T314" i="3"/>
  <c r="S314" i="3"/>
  <c r="R314" i="3"/>
  <c r="Q314" i="3"/>
  <c r="P314" i="3"/>
  <c r="O314" i="3"/>
  <c r="N314" i="3"/>
  <c r="M314" i="3"/>
  <c r="L314" i="3"/>
  <c r="K314" i="3"/>
  <c r="J314" i="3"/>
  <c r="I314" i="3"/>
  <c r="H314" i="3"/>
  <c r="G314" i="3"/>
  <c r="F314" i="3"/>
  <c r="E314" i="3"/>
  <c r="D314" i="3"/>
  <c r="C314" i="3"/>
  <c r="B314" i="3"/>
  <c r="A314" i="3"/>
  <c r="BP313" i="3"/>
  <c r="BO313" i="3"/>
  <c r="BN313" i="3"/>
  <c r="BM313" i="3"/>
  <c r="BL313" i="3"/>
  <c r="BK313" i="3"/>
  <c r="BJ313" i="3"/>
  <c r="BI313" i="3"/>
  <c r="BH313" i="3"/>
  <c r="BG313" i="3"/>
  <c r="BF313" i="3"/>
  <c r="BE313" i="3"/>
  <c r="BD313" i="3"/>
  <c r="BC313" i="3"/>
  <c r="BB313" i="3"/>
  <c r="BA313" i="3"/>
  <c r="AZ313" i="3"/>
  <c r="AY313" i="3"/>
  <c r="AX313" i="3"/>
  <c r="AW313" i="3"/>
  <c r="AV313" i="3"/>
  <c r="AU313" i="3"/>
  <c r="AT313" i="3"/>
  <c r="AS313" i="3"/>
  <c r="AR313" i="3"/>
  <c r="AQ313" i="3"/>
  <c r="AP313" i="3"/>
  <c r="AO313" i="3"/>
  <c r="AN313" i="3"/>
  <c r="AM313" i="3"/>
  <c r="AL313" i="3"/>
  <c r="AK313" i="3"/>
  <c r="AJ313" i="3"/>
  <c r="AI313" i="3"/>
  <c r="AH313" i="3"/>
  <c r="AG313" i="3"/>
  <c r="AF313" i="3"/>
  <c r="AE313" i="3"/>
  <c r="AD313" i="3"/>
  <c r="AC313" i="3"/>
  <c r="AB313" i="3"/>
  <c r="AA313" i="3"/>
  <c r="Z313" i="3"/>
  <c r="Y313" i="3"/>
  <c r="X313" i="3"/>
  <c r="W313" i="3"/>
  <c r="V313" i="3"/>
  <c r="U313" i="3"/>
  <c r="T313" i="3"/>
  <c r="S313" i="3"/>
  <c r="R313" i="3"/>
  <c r="Q313" i="3"/>
  <c r="P313" i="3"/>
  <c r="O313" i="3"/>
  <c r="N313" i="3"/>
  <c r="M313" i="3"/>
  <c r="L313" i="3"/>
  <c r="K313" i="3"/>
  <c r="J313" i="3"/>
  <c r="I313" i="3"/>
  <c r="H313" i="3"/>
  <c r="G313" i="3"/>
  <c r="F313" i="3"/>
  <c r="E313" i="3"/>
  <c r="D313" i="3"/>
  <c r="C313" i="3"/>
  <c r="B313" i="3"/>
  <c r="A313" i="3"/>
  <c r="BP312" i="3"/>
  <c r="BO312" i="3"/>
  <c r="BN312" i="3"/>
  <c r="BM312" i="3"/>
  <c r="BL312" i="3"/>
  <c r="BK312" i="3"/>
  <c r="BJ312" i="3"/>
  <c r="BI312" i="3"/>
  <c r="BH312" i="3"/>
  <c r="BG312" i="3"/>
  <c r="BF312" i="3"/>
  <c r="BE312" i="3"/>
  <c r="BD312" i="3"/>
  <c r="BC312" i="3"/>
  <c r="BB312" i="3"/>
  <c r="BA312" i="3"/>
  <c r="AZ312" i="3"/>
  <c r="AY312" i="3"/>
  <c r="AX312" i="3"/>
  <c r="AW312" i="3"/>
  <c r="AV312" i="3"/>
  <c r="AU312" i="3"/>
  <c r="AT312" i="3"/>
  <c r="AS312" i="3"/>
  <c r="AR312" i="3"/>
  <c r="AQ312" i="3"/>
  <c r="AP312" i="3"/>
  <c r="AO312" i="3"/>
  <c r="AN312" i="3"/>
  <c r="AM312" i="3"/>
  <c r="AL312" i="3"/>
  <c r="AK312" i="3"/>
  <c r="AJ312" i="3"/>
  <c r="AI312" i="3"/>
  <c r="AH312" i="3"/>
  <c r="AG312" i="3"/>
  <c r="AF312" i="3"/>
  <c r="AE312" i="3"/>
  <c r="AD312" i="3"/>
  <c r="AC312" i="3"/>
  <c r="AB312" i="3"/>
  <c r="AA312" i="3"/>
  <c r="Z312" i="3"/>
  <c r="Y312" i="3"/>
  <c r="X312" i="3"/>
  <c r="W312" i="3"/>
  <c r="V312" i="3"/>
  <c r="U312" i="3"/>
  <c r="T312" i="3"/>
  <c r="S312" i="3"/>
  <c r="R312" i="3"/>
  <c r="Q312" i="3"/>
  <c r="P312" i="3"/>
  <c r="O312" i="3"/>
  <c r="N312" i="3"/>
  <c r="M312" i="3"/>
  <c r="L312" i="3"/>
  <c r="K312" i="3"/>
  <c r="J312" i="3"/>
  <c r="I312" i="3"/>
  <c r="H312" i="3"/>
  <c r="G312" i="3"/>
  <c r="F312" i="3"/>
  <c r="E312" i="3"/>
  <c r="D312" i="3"/>
  <c r="C312" i="3"/>
  <c r="B312" i="3"/>
  <c r="A312" i="3"/>
  <c r="BP311" i="3"/>
  <c r="BO311" i="3"/>
  <c r="BN311" i="3"/>
  <c r="BM311" i="3"/>
  <c r="BL311" i="3"/>
  <c r="BK311" i="3"/>
  <c r="BJ311" i="3"/>
  <c r="BI311" i="3"/>
  <c r="BH311" i="3"/>
  <c r="BG311" i="3"/>
  <c r="BF311" i="3"/>
  <c r="BE311" i="3"/>
  <c r="BD311" i="3"/>
  <c r="BC311" i="3"/>
  <c r="BB311" i="3"/>
  <c r="BA311" i="3"/>
  <c r="AZ311" i="3"/>
  <c r="AY311" i="3"/>
  <c r="AX311" i="3"/>
  <c r="AW311" i="3"/>
  <c r="AV311" i="3"/>
  <c r="AU311" i="3"/>
  <c r="AT311" i="3"/>
  <c r="AS311" i="3"/>
  <c r="AR311" i="3"/>
  <c r="AQ311" i="3"/>
  <c r="AP311" i="3"/>
  <c r="AO311" i="3"/>
  <c r="AN311" i="3"/>
  <c r="AM311" i="3"/>
  <c r="AL311" i="3"/>
  <c r="AK311" i="3"/>
  <c r="AJ311" i="3"/>
  <c r="AI311" i="3"/>
  <c r="AH311" i="3"/>
  <c r="AG311" i="3"/>
  <c r="AF311" i="3"/>
  <c r="AE311" i="3"/>
  <c r="AD311" i="3"/>
  <c r="AC311" i="3"/>
  <c r="AB311" i="3"/>
  <c r="AA311" i="3"/>
  <c r="Z311" i="3"/>
  <c r="Y311" i="3"/>
  <c r="X311" i="3"/>
  <c r="W311" i="3"/>
  <c r="V311" i="3"/>
  <c r="U311" i="3"/>
  <c r="T311" i="3"/>
  <c r="S311" i="3"/>
  <c r="R311" i="3"/>
  <c r="Q311" i="3"/>
  <c r="P311" i="3"/>
  <c r="O311" i="3"/>
  <c r="N311" i="3"/>
  <c r="M311" i="3"/>
  <c r="L311" i="3"/>
  <c r="K311" i="3"/>
  <c r="J311" i="3"/>
  <c r="I311" i="3"/>
  <c r="H311" i="3"/>
  <c r="G311" i="3"/>
  <c r="F311" i="3"/>
  <c r="E311" i="3"/>
  <c r="D311" i="3"/>
  <c r="C311" i="3"/>
  <c r="B311" i="3"/>
  <c r="A311" i="3"/>
  <c r="BP310" i="3"/>
  <c r="BO310" i="3"/>
  <c r="BN310" i="3"/>
  <c r="BM310" i="3"/>
  <c r="BL310" i="3"/>
  <c r="BK310" i="3"/>
  <c r="BJ310" i="3"/>
  <c r="BI310" i="3"/>
  <c r="BH310" i="3"/>
  <c r="BG310" i="3"/>
  <c r="BF310" i="3"/>
  <c r="BE310" i="3"/>
  <c r="BD310" i="3"/>
  <c r="BC310" i="3"/>
  <c r="BB310" i="3"/>
  <c r="BA310" i="3"/>
  <c r="AZ310" i="3"/>
  <c r="AY310" i="3"/>
  <c r="AX310" i="3"/>
  <c r="AW310" i="3"/>
  <c r="AV310" i="3"/>
  <c r="AU310" i="3"/>
  <c r="AT310" i="3"/>
  <c r="AS310" i="3"/>
  <c r="AR310" i="3"/>
  <c r="AQ310" i="3"/>
  <c r="AP310" i="3"/>
  <c r="AO310" i="3"/>
  <c r="AN310" i="3"/>
  <c r="AM310" i="3"/>
  <c r="AL310" i="3"/>
  <c r="AK310" i="3"/>
  <c r="AJ310" i="3"/>
  <c r="AI310" i="3"/>
  <c r="AH310" i="3"/>
  <c r="AG310" i="3"/>
  <c r="AF310" i="3"/>
  <c r="AE310" i="3"/>
  <c r="AD310" i="3"/>
  <c r="AC310" i="3"/>
  <c r="AB310" i="3"/>
  <c r="AA310" i="3"/>
  <c r="Z310" i="3"/>
  <c r="Y310" i="3"/>
  <c r="X310" i="3"/>
  <c r="W310" i="3"/>
  <c r="V310" i="3"/>
  <c r="U310" i="3"/>
  <c r="T310" i="3"/>
  <c r="S310" i="3"/>
  <c r="R310" i="3"/>
  <c r="Q310" i="3"/>
  <c r="P310" i="3"/>
  <c r="O310" i="3"/>
  <c r="N310" i="3"/>
  <c r="M310" i="3"/>
  <c r="L310" i="3"/>
  <c r="K310" i="3"/>
  <c r="J310" i="3"/>
  <c r="I310" i="3"/>
  <c r="H310" i="3"/>
  <c r="G310" i="3"/>
  <c r="F310" i="3"/>
  <c r="E310" i="3"/>
  <c r="D310" i="3"/>
  <c r="C310" i="3"/>
  <c r="B310" i="3"/>
  <c r="A310" i="3"/>
  <c r="BP309" i="3"/>
  <c r="BO309" i="3"/>
  <c r="BN309" i="3"/>
  <c r="BM309" i="3"/>
  <c r="BL309" i="3"/>
  <c r="BK309" i="3"/>
  <c r="BJ309" i="3"/>
  <c r="BI309" i="3"/>
  <c r="BH309" i="3"/>
  <c r="BG309" i="3"/>
  <c r="BF309" i="3"/>
  <c r="BE309" i="3"/>
  <c r="BD309" i="3"/>
  <c r="BC309" i="3"/>
  <c r="BB309" i="3"/>
  <c r="BA309" i="3"/>
  <c r="AZ309" i="3"/>
  <c r="AY309" i="3"/>
  <c r="AX309" i="3"/>
  <c r="AW309" i="3"/>
  <c r="AV309" i="3"/>
  <c r="AU309" i="3"/>
  <c r="AT309" i="3"/>
  <c r="AS309" i="3"/>
  <c r="AR309" i="3"/>
  <c r="AQ309" i="3"/>
  <c r="AP309" i="3"/>
  <c r="AO309" i="3"/>
  <c r="AN309" i="3"/>
  <c r="AM309" i="3"/>
  <c r="AL309" i="3"/>
  <c r="AK309" i="3"/>
  <c r="AJ309" i="3"/>
  <c r="AI309" i="3"/>
  <c r="AH309" i="3"/>
  <c r="AG309" i="3"/>
  <c r="AF309" i="3"/>
  <c r="AE309" i="3"/>
  <c r="AD309" i="3"/>
  <c r="AC309" i="3"/>
  <c r="AB309" i="3"/>
  <c r="AA309" i="3"/>
  <c r="Z309" i="3"/>
  <c r="Y309" i="3"/>
  <c r="X309" i="3"/>
  <c r="W309" i="3"/>
  <c r="V309" i="3"/>
  <c r="U309" i="3"/>
  <c r="T309" i="3"/>
  <c r="S309" i="3"/>
  <c r="R309" i="3"/>
  <c r="Q309" i="3"/>
  <c r="P309" i="3"/>
  <c r="O309" i="3"/>
  <c r="N309" i="3"/>
  <c r="M309" i="3"/>
  <c r="L309" i="3"/>
  <c r="K309" i="3"/>
  <c r="J309" i="3"/>
  <c r="I309" i="3"/>
  <c r="H309" i="3"/>
  <c r="G309" i="3"/>
  <c r="F309" i="3"/>
  <c r="E309" i="3"/>
  <c r="D309" i="3"/>
  <c r="C309" i="3"/>
  <c r="B309" i="3"/>
  <c r="A309" i="3"/>
  <c r="BP308" i="3"/>
  <c r="BO308" i="3"/>
  <c r="BN308" i="3"/>
  <c r="BM308" i="3"/>
  <c r="BL308" i="3"/>
  <c r="BK308" i="3"/>
  <c r="BJ308" i="3"/>
  <c r="BI308" i="3"/>
  <c r="BH308" i="3"/>
  <c r="BG308" i="3"/>
  <c r="BF308" i="3"/>
  <c r="BE308" i="3"/>
  <c r="BD308" i="3"/>
  <c r="BC308" i="3"/>
  <c r="BB308" i="3"/>
  <c r="BA308" i="3"/>
  <c r="AZ308" i="3"/>
  <c r="AY308" i="3"/>
  <c r="AX308" i="3"/>
  <c r="AW308" i="3"/>
  <c r="AV308" i="3"/>
  <c r="AU308" i="3"/>
  <c r="AT308" i="3"/>
  <c r="AS308" i="3"/>
  <c r="AR308" i="3"/>
  <c r="AQ308" i="3"/>
  <c r="AP308" i="3"/>
  <c r="AO308" i="3"/>
  <c r="AN308" i="3"/>
  <c r="AM308" i="3"/>
  <c r="AL308" i="3"/>
  <c r="AK308" i="3"/>
  <c r="AJ308" i="3"/>
  <c r="AI308" i="3"/>
  <c r="AH308" i="3"/>
  <c r="AG308" i="3"/>
  <c r="AF308" i="3"/>
  <c r="AE308" i="3"/>
  <c r="AD308" i="3"/>
  <c r="AC308" i="3"/>
  <c r="AB308" i="3"/>
  <c r="AA308" i="3"/>
  <c r="Z308" i="3"/>
  <c r="Y308" i="3"/>
  <c r="X308" i="3"/>
  <c r="W308" i="3"/>
  <c r="V308" i="3"/>
  <c r="U308" i="3"/>
  <c r="T308" i="3"/>
  <c r="S308" i="3"/>
  <c r="R308" i="3"/>
  <c r="Q308" i="3"/>
  <c r="P308" i="3"/>
  <c r="O308" i="3"/>
  <c r="N308" i="3"/>
  <c r="M308" i="3"/>
  <c r="L308" i="3"/>
  <c r="K308" i="3"/>
  <c r="J308" i="3"/>
  <c r="I308" i="3"/>
  <c r="H308" i="3"/>
  <c r="G308" i="3"/>
  <c r="F308" i="3"/>
  <c r="E308" i="3"/>
  <c r="D308" i="3"/>
  <c r="C308" i="3"/>
  <c r="B308" i="3"/>
  <c r="A308" i="3"/>
  <c r="BP307" i="3"/>
  <c r="BO307" i="3"/>
  <c r="BN307" i="3"/>
  <c r="BM307" i="3"/>
  <c r="BL307" i="3"/>
  <c r="BK307" i="3"/>
  <c r="BJ307" i="3"/>
  <c r="BI307" i="3"/>
  <c r="BH307" i="3"/>
  <c r="BG307" i="3"/>
  <c r="BF307" i="3"/>
  <c r="BE307" i="3"/>
  <c r="BD307" i="3"/>
  <c r="BC307" i="3"/>
  <c r="BB307" i="3"/>
  <c r="BA307" i="3"/>
  <c r="AZ307" i="3"/>
  <c r="AY307" i="3"/>
  <c r="AX307" i="3"/>
  <c r="AW307" i="3"/>
  <c r="AV307" i="3"/>
  <c r="AU307" i="3"/>
  <c r="AT307" i="3"/>
  <c r="AS307" i="3"/>
  <c r="AR307" i="3"/>
  <c r="AQ307" i="3"/>
  <c r="AP307" i="3"/>
  <c r="AO307" i="3"/>
  <c r="AN307" i="3"/>
  <c r="AM307" i="3"/>
  <c r="AL307" i="3"/>
  <c r="AK307" i="3"/>
  <c r="AJ307" i="3"/>
  <c r="AI307" i="3"/>
  <c r="AH307" i="3"/>
  <c r="AG307" i="3"/>
  <c r="AF307" i="3"/>
  <c r="AE307" i="3"/>
  <c r="AD307" i="3"/>
  <c r="AC307" i="3"/>
  <c r="AB307" i="3"/>
  <c r="AA307" i="3"/>
  <c r="Z307" i="3"/>
  <c r="Y307" i="3"/>
  <c r="X307" i="3"/>
  <c r="W307" i="3"/>
  <c r="V307" i="3"/>
  <c r="U307" i="3"/>
  <c r="T307" i="3"/>
  <c r="S307" i="3"/>
  <c r="R307" i="3"/>
  <c r="Q307" i="3"/>
  <c r="P307" i="3"/>
  <c r="O307" i="3"/>
  <c r="N307" i="3"/>
  <c r="M307" i="3"/>
  <c r="L307" i="3"/>
  <c r="K307" i="3"/>
  <c r="J307" i="3"/>
  <c r="I307" i="3"/>
  <c r="H307" i="3"/>
  <c r="G307" i="3"/>
  <c r="F307" i="3"/>
  <c r="E307" i="3"/>
  <c r="D307" i="3"/>
  <c r="B307" i="3"/>
  <c r="A307" i="3"/>
  <c r="BP306" i="3"/>
  <c r="BO306" i="3"/>
  <c r="BN306" i="3"/>
  <c r="BM306" i="3"/>
  <c r="BL306" i="3"/>
  <c r="BK306" i="3"/>
  <c r="BJ306" i="3"/>
  <c r="BI306" i="3"/>
  <c r="BH306" i="3"/>
  <c r="BG306" i="3"/>
  <c r="BF306" i="3"/>
  <c r="BE306" i="3"/>
  <c r="BD306" i="3"/>
  <c r="BC306" i="3"/>
  <c r="BB306" i="3"/>
  <c r="BA306" i="3"/>
  <c r="AZ306" i="3"/>
  <c r="AY306" i="3"/>
  <c r="AX306" i="3"/>
  <c r="AW306" i="3"/>
  <c r="AV306" i="3"/>
  <c r="AU306" i="3"/>
  <c r="AT306" i="3"/>
  <c r="AS306" i="3"/>
  <c r="AR306" i="3"/>
  <c r="AQ306" i="3"/>
  <c r="AP306" i="3"/>
  <c r="AO306" i="3"/>
  <c r="AN306" i="3"/>
  <c r="AM306" i="3"/>
  <c r="AL306" i="3"/>
  <c r="AK306" i="3"/>
  <c r="AJ306" i="3"/>
  <c r="AI306" i="3"/>
  <c r="AH306" i="3"/>
  <c r="AG306" i="3"/>
  <c r="AF306" i="3"/>
  <c r="AE306" i="3"/>
  <c r="AD306" i="3"/>
  <c r="AC306" i="3"/>
  <c r="AB306" i="3"/>
  <c r="AA306" i="3"/>
  <c r="Z306" i="3"/>
  <c r="Y306" i="3"/>
  <c r="X306" i="3"/>
  <c r="W306" i="3"/>
  <c r="V306" i="3"/>
  <c r="U306" i="3"/>
  <c r="T306" i="3"/>
  <c r="S306" i="3"/>
  <c r="R306" i="3"/>
  <c r="Q306" i="3"/>
  <c r="P306" i="3"/>
  <c r="O306" i="3"/>
  <c r="N306" i="3"/>
  <c r="M306" i="3"/>
  <c r="L306" i="3"/>
  <c r="K306" i="3"/>
  <c r="J306" i="3"/>
  <c r="I306" i="3"/>
  <c r="H306" i="3"/>
  <c r="G306" i="3"/>
  <c r="F306" i="3"/>
  <c r="E306" i="3"/>
  <c r="D306" i="3"/>
  <c r="C306" i="3"/>
  <c r="B306" i="3"/>
  <c r="A306" i="3"/>
  <c r="BP305" i="3"/>
  <c r="BO305" i="3"/>
  <c r="BN305" i="3"/>
  <c r="BM305" i="3"/>
  <c r="BL305" i="3"/>
  <c r="BK305" i="3"/>
  <c r="BJ305" i="3"/>
  <c r="BI305" i="3"/>
  <c r="BH305" i="3"/>
  <c r="BG305" i="3"/>
  <c r="BF305" i="3"/>
  <c r="BE305" i="3"/>
  <c r="BD305" i="3"/>
  <c r="BC305" i="3"/>
  <c r="BB305" i="3"/>
  <c r="BA305" i="3"/>
  <c r="AZ305" i="3"/>
  <c r="AY305" i="3"/>
  <c r="AX305" i="3"/>
  <c r="AW305" i="3"/>
  <c r="AV305" i="3"/>
  <c r="AU305" i="3"/>
  <c r="AT305" i="3"/>
  <c r="AS305" i="3"/>
  <c r="AR305" i="3"/>
  <c r="AQ305" i="3"/>
  <c r="AP305" i="3"/>
  <c r="AO305" i="3"/>
  <c r="AN305" i="3"/>
  <c r="AM305" i="3"/>
  <c r="AL305" i="3"/>
  <c r="AK305" i="3"/>
  <c r="AJ305" i="3"/>
  <c r="AI305" i="3"/>
  <c r="AH305" i="3"/>
  <c r="AG305" i="3"/>
  <c r="AF305" i="3"/>
  <c r="AE305" i="3"/>
  <c r="AD305" i="3"/>
  <c r="AC305" i="3"/>
  <c r="AB305" i="3"/>
  <c r="AA305" i="3"/>
  <c r="Z305" i="3"/>
  <c r="Y305" i="3"/>
  <c r="X305" i="3"/>
  <c r="W305" i="3"/>
  <c r="V305" i="3"/>
  <c r="U305" i="3"/>
  <c r="T305" i="3"/>
  <c r="S305" i="3"/>
  <c r="R305" i="3"/>
  <c r="Q305" i="3"/>
  <c r="P305" i="3"/>
  <c r="O305" i="3"/>
  <c r="N305" i="3"/>
  <c r="M305" i="3"/>
  <c r="L305" i="3"/>
  <c r="K305" i="3"/>
  <c r="J305" i="3"/>
  <c r="I305" i="3"/>
  <c r="H305" i="3"/>
  <c r="G305" i="3"/>
  <c r="F305" i="3"/>
  <c r="E305" i="3"/>
  <c r="D305" i="3"/>
  <c r="C305" i="3"/>
  <c r="B305" i="3"/>
  <c r="A305" i="3"/>
  <c r="BP304" i="3"/>
  <c r="BO304" i="3"/>
  <c r="BN304" i="3"/>
  <c r="BM304" i="3"/>
  <c r="BL304" i="3"/>
  <c r="BK304" i="3"/>
  <c r="BJ304" i="3"/>
  <c r="BI304" i="3"/>
  <c r="BH304" i="3"/>
  <c r="BG304" i="3"/>
  <c r="BF304" i="3"/>
  <c r="BE304" i="3"/>
  <c r="BD304" i="3"/>
  <c r="BC304" i="3"/>
  <c r="BB304" i="3"/>
  <c r="BA304" i="3"/>
  <c r="AZ304" i="3"/>
  <c r="AY304" i="3"/>
  <c r="AX304" i="3"/>
  <c r="AW304" i="3"/>
  <c r="AV304" i="3"/>
  <c r="AU304" i="3"/>
  <c r="AT304" i="3"/>
  <c r="AS304" i="3"/>
  <c r="AR304" i="3"/>
  <c r="AQ304" i="3"/>
  <c r="AP304" i="3"/>
  <c r="AO304" i="3"/>
  <c r="AN304" i="3"/>
  <c r="AM304" i="3"/>
  <c r="AL304" i="3"/>
  <c r="AK304" i="3"/>
  <c r="AJ304" i="3"/>
  <c r="AI304" i="3"/>
  <c r="AH304" i="3"/>
  <c r="AG304" i="3"/>
  <c r="AF304" i="3"/>
  <c r="AE304" i="3"/>
  <c r="AD304" i="3"/>
  <c r="AC304" i="3"/>
  <c r="AB304" i="3"/>
  <c r="AA304" i="3"/>
  <c r="Z304" i="3"/>
  <c r="Y304" i="3"/>
  <c r="X304" i="3"/>
  <c r="W304" i="3"/>
  <c r="V304" i="3"/>
  <c r="U304" i="3"/>
  <c r="T304" i="3"/>
  <c r="S304" i="3"/>
  <c r="R304" i="3"/>
  <c r="Q304" i="3"/>
  <c r="P304" i="3"/>
  <c r="O304" i="3"/>
  <c r="N304" i="3"/>
  <c r="M304" i="3"/>
  <c r="L304" i="3"/>
  <c r="K304" i="3"/>
  <c r="J304" i="3"/>
  <c r="I304" i="3"/>
  <c r="H304" i="3"/>
  <c r="G304" i="3"/>
  <c r="F304" i="3"/>
  <c r="E304" i="3"/>
  <c r="D304" i="3"/>
  <c r="C304" i="3"/>
  <c r="B304" i="3"/>
  <c r="A304" i="3"/>
  <c r="BP303" i="3"/>
  <c r="BO303" i="3"/>
  <c r="BN303" i="3"/>
  <c r="BM303" i="3"/>
  <c r="BL303" i="3"/>
  <c r="BK303" i="3"/>
  <c r="BJ303" i="3"/>
  <c r="BI303" i="3"/>
  <c r="BH303" i="3"/>
  <c r="BG303" i="3"/>
  <c r="BF303" i="3"/>
  <c r="BE303" i="3"/>
  <c r="BD303" i="3"/>
  <c r="BC303" i="3"/>
  <c r="BB303" i="3"/>
  <c r="BA303" i="3"/>
  <c r="AZ303" i="3"/>
  <c r="AY303" i="3"/>
  <c r="AX303" i="3"/>
  <c r="AW303" i="3"/>
  <c r="AV303" i="3"/>
  <c r="AU303" i="3"/>
  <c r="AT303" i="3"/>
  <c r="AS303" i="3"/>
  <c r="AR303" i="3"/>
  <c r="AQ303" i="3"/>
  <c r="AP303" i="3"/>
  <c r="AO303" i="3"/>
  <c r="AN303" i="3"/>
  <c r="AM303" i="3"/>
  <c r="AL303" i="3"/>
  <c r="AK303" i="3"/>
  <c r="AJ303" i="3"/>
  <c r="AI303" i="3"/>
  <c r="AH303" i="3"/>
  <c r="AG303" i="3"/>
  <c r="AF303" i="3"/>
  <c r="AE303" i="3"/>
  <c r="AD303" i="3"/>
  <c r="AC303" i="3"/>
  <c r="AB303" i="3"/>
  <c r="AA303" i="3"/>
  <c r="Z303" i="3"/>
  <c r="Y303" i="3"/>
  <c r="X303" i="3"/>
  <c r="W303" i="3"/>
  <c r="V303" i="3"/>
  <c r="U303" i="3"/>
  <c r="T303" i="3"/>
  <c r="S303" i="3"/>
  <c r="R303" i="3"/>
  <c r="Q303" i="3"/>
  <c r="P303" i="3"/>
  <c r="O303" i="3"/>
  <c r="N303" i="3"/>
  <c r="M303" i="3"/>
  <c r="L303" i="3"/>
  <c r="K303" i="3"/>
  <c r="J303" i="3"/>
  <c r="I303" i="3"/>
  <c r="H303" i="3"/>
  <c r="G303" i="3"/>
  <c r="F303" i="3"/>
  <c r="E303" i="3"/>
  <c r="D303" i="3"/>
  <c r="C303" i="3"/>
  <c r="B303" i="3"/>
  <c r="A303" i="3"/>
  <c r="BP302" i="3"/>
  <c r="BO302" i="3"/>
  <c r="BN302" i="3"/>
  <c r="BM302" i="3"/>
  <c r="BL302" i="3"/>
  <c r="BK302" i="3"/>
  <c r="BJ302" i="3"/>
  <c r="BI302" i="3"/>
  <c r="BH302" i="3"/>
  <c r="BG302" i="3"/>
  <c r="BF302" i="3"/>
  <c r="BE302" i="3"/>
  <c r="BD302" i="3"/>
  <c r="BC302" i="3"/>
  <c r="BB302" i="3"/>
  <c r="BA302" i="3"/>
  <c r="AZ302" i="3"/>
  <c r="AY302" i="3"/>
  <c r="AX302" i="3"/>
  <c r="AW302" i="3"/>
  <c r="AV302" i="3"/>
  <c r="AU302" i="3"/>
  <c r="AT302" i="3"/>
  <c r="AS302" i="3"/>
  <c r="AR302" i="3"/>
  <c r="AQ302" i="3"/>
  <c r="AP302" i="3"/>
  <c r="AO302" i="3"/>
  <c r="AN302" i="3"/>
  <c r="AM302" i="3"/>
  <c r="AL302" i="3"/>
  <c r="AK302" i="3"/>
  <c r="AJ302" i="3"/>
  <c r="AI302" i="3"/>
  <c r="AH302" i="3"/>
  <c r="AG302" i="3"/>
  <c r="AF302" i="3"/>
  <c r="AE302" i="3"/>
  <c r="AD302" i="3"/>
  <c r="AC302" i="3"/>
  <c r="AB302" i="3"/>
  <c r="AA302" i="3"/>
  <c r="Z302" i="3"/>
  <c r="Y302" i="3"/>
  <c r="X302" i="3"/>
  <c r="W302" i="3"/>
  <c r="V302" i="3"/>
  <c r="U302" i="3"/>
  <c r="T302" i="3"/>
  <c r="S302" i="3"/>
  <c r="R302" i="3"/>
  <c r="Q302" i="3"/>
  <c r="P302" i="3"/>
  <c r="O302" i="3"/>
  <c r="N302" i="3"/>
  <c r="M302" i="3"/>
  <c r="L302" i="3"/>
  <c r="K302" i="3"/>
  <c r="J302" i="3"/>
  <c r="I302" i="3"/>
  <c r="H302" i="3"/>
  <c r="G302" i="3"/>
  <c r="F302" i="3"/>
  <c r="E302" i="3"/>
  <c r="D302" i="3"/>
  <c r="C302" i="3"/>
  <c r="B302" i="3"/>
  <c r="A302" i="3"/>
  <c r="BP301" i="3"/>
  <c r="BO301" i="3"/>
  <c r="BN301" i="3"/>
  <c r="BM301" i="3"/>
  <c r="BL301" i="3"/>
  <c r="BK301" i="3"/>
  <c r="BJ301" i="3"/>
  <c r="BI301" i="3"/>
  <c r="BH301" i="3"/>
  <c r="BG301" i="3"/>
  <c r="BF301" i="3"/>
  <c r="BE301" i="3"/>
  <c r="BD301" i="3"/>
  <c r="BC301" i="3"/>
  <c r="BB301" i="3"/>
  <c r="BA301" i="3"/>
  <c r="AZ301" i="3"/>
  <c r="AY301" i="3"/>
  <c r="AX301" i="3"/>
  <c r="AW301" i="3"/>
  <c r="AV301" i="3"/>
  <c r="AU301" i="3"/>
  <c r="AT301" i="3"/>
  <c r="AS301" i="3"/>
  <c r="AR301" i="3"/>
  <c r="AQ301" i="3"/>
  <c r="AP301" i="3"/>
  <c r="AO301" i="3"/>
  <c r="AN301" i="3"/>
  <c r="AM301" i="3"/>
  <c r="AL301" i="3"/>
  <c r="AK301" i="3"/>
  <c r="AJ301" i="3"/>
  <c r="AI301" i="3"/>
  <c r="AH301" i="3"/>
  <c r="AG301" i="3"/>
  <c r="AF301" i="3"/>
  <c r="AE301" i="3"/>
  <c r="AD301" i="3"/>
  <c r="AC301" i="3"/>
  <c r="AB301" i="3"/>
  <c r="AA301" i="3"/>
  <c r="Z301" i="3"/>
  <c r="Y301" i="3"/>
  <c r="X301" i="3"/>
  <c r="W301" i="3"/>
  <c r="V301" i="3"/>
  <c r="U301" i="3"/>
  <c r="T301" i="3"/>
  <c r="S301" i="3"/>
  <c r="R301" i="3"/>
  <c r="Q301" i="3"/>
  <c r="P301" i="3"/>
  <c r="O301" i="3"/>
  <c r="N301" i="3"/>
  <c r="M301" i="3"/>
  <c r="L301" i="3"/>
  <c r="K301" i="3"/>
  <c r="J301" i="3"/>
  <c r="I301" i="3"/>
  <c r="H301" i="3"/>
  <c r="G301" i="3"/>
  <c r="F301" i="3"/>
  <c r="E301" i="3"/>
  <c r="D301" i="3"/>
  <c r="C301" i="3"/>
  <c r="B301" i="3"/>
  <c r="A301" i="3"/>
  <c r="BP300" i="3"/>
  <c r="BO300" i="3"/>
  <c r="BN300" i="3"/>
  <c r="BM300" i="3"/>
  <c r="BL300" i="3"/>
  <c r="BK300" i="3"/>
  <c r="BJ300" i="3"/>
  <c r="BI300" i="3"/>
  <c r="BH300" i="3"/>
  <c r="BG300" i="3"/>
  <c r="BF300" i="3"/>
  <c r="BE300" i="3"/>
  <c r="BD300" i="3"/>
  <c r="BC300" i="3"/>
  <c r="BB300" i="3"/>
  <c r="BA300" i="3"/>
  <c r="AZ300" i="3"/>
  <c r="AY300" i="3"/>
  <c r="AX300" i="3"/>
  <c r="AW300" i="3"/>
  <c r="AV300" i="3"/>
  <c r="AU300" i="3"/>
  <c r="AT300" i="3"/>
  <c r="AS300" i="3"/>
  <c r="AR300" i="3"/>
  <c r="AQ300" i="3"/>
  <c r="AP300" i="3"/>
  <c r="AO300" i="3"/>
  <c r="AN300" i="3"/>
  <c r="AM300" i="3"/>
  <c r="AL300" i="3"/>
  <c r="AK300" i="3"/>
  <c r="AJ300" i="3"/>
  <c r="AI300" i="3"/>
  <c r="AH300" i="3"/>
  <c r="AG300" i="3"/>
  <c r="AF300" i="3"/>
  <c r="AE300" i="3"/>
  <c r="AD300" i="3"/>
  <c r="AC300" i="3"/>
  <c r="AB300" i="3"/>
  <c r="AA300" i="3"/>
  <c r="Z300" i="3"/>
  <c r="Y300" i="3"/>
  <c r="X300" i="3"/>
  <c r="W300" i="3"/>
  <c r="V300" i="3"/>
  <c r="U300" i="3"/>
  <c r="T300" i="3"/>
  <c r="S300" i="3"/>
  <c r="R300" i="3"/>
  <c r="Q300" i="3"/>
  <c r="P300" i="3"/>
  <c r="O300" i="3"/>
  <c r="N300" i="3"/>
  <c r="M300" i="3"/>
  <c r="L300" i="3"/>
  <c r="K300" i="3"/>
  <c r="J300" i="3"/>
  <c r="I300" i="3"/>
  <c r="H300" i="3"/>
  <c r="G300" i="3"/>
  <c r="F300" i="3"/>
  <c r="E300" i="3"/>
  <c r="D300" i="3"/>
  <c r="C300" i="3"/>
  <c r="B300" i="3"/>
  <c r="A300" i="3"/>
  <c r="BP299" i="3"/>
  <c r="BO299" i="3"/>
  <c r="BN299" i="3"/>
  <c r="BM299" i="3"/>
  <c r="BL299" i="3"/>
  <c r="BK299" i="3"/>
  <c r="BJ299" i="3"/>
  <c r="BI299" i="3"/>
  <c r="BH299" i="3"/>
  <c r="BG299" i="3"/>
  <c r="BF299" i="3"/>
  <c r="BE299" i="3"/>
  <c r="BD299" i="3"/>
  <c r="BC299" i="3"/>
  <c r="BB299" i="3"/>
  <c r="BA299" i="3"/>
  <c r="AZ299" i="3"/>
  <c r="AY299" i="3"/>
  <c r="AX299" i="3"/>
  <c r="AW299" i="3"/>
  <c r="AV299" i="3"/>
  <c r="AU299" i="3"/>
  <c r="AT299" i="3"/>
  <c r="AS299" i="3"/>
  <c r="AR299" i="3"/>
  <c r="AQ299" i="3"/>
  <c r="AP299" i="3"/>
  <c r="AO299" i="3"/>
  <c r="AN299" i="3"/>
  <c r="AM299" i="3"/>
  <c r="AL299" i="3"/>
  <c r="AK299" i="3"/>
  <c r="AJ299" i="3"/>
  <c r="AI299" i="3"/>
  <c r="AH299" i="3"/>
  <c r="AG299" i="3"/>
  <c r="AF299" i="3"/>
  <c r="AE299" i="3"/>
  <c r="AD299" i="3"/>
  <c r="AC299" i="3"/>
  <c r="AB299" i="3"/>
  <c r="AA299" i="3"/>
  <c r="Z299" i="3"/>
  <c r="Y299" i="3"/>
  <c r="X299" i="3"/>
  <c r="W299" i="3"/>
  <c r="V299" i="3"/>
  <c r="U299" i="3"/>
  <c r="T299" i="3"/>
  <c r="S299" i="3"/>
  <c r="R299" i="3"/>
  <c r="Q299" i="3"/>
  <c r="P299" i="3"/>
  <c r="O299" i="3"/>
  <c r="N299" i="3"/>
  <c r="M299" i="3"/>
  <c r="L299" i="3"/>
  <c r="K299" i="3"/>
  <c r="J299" i="3"/>
  <c r="I299" i="3"/>
  <c r="H299" i="3"/>
  <c r="G299" i="3"/>
  <c r="F299" i="3"/>
  <c r="E299" i="3"/>
  <c r="D299" i="3"/>
  <c r="C299" i="3"/>
  <c r="B299" i="3"/>
  <c r="A299" i="3"/>
  <c r="BP298" i="3"/>
  <c r="BO298" i="3"/>
  <c r="BN298" i="3"/>
  <c r="BM298" i="3"/>
  <c r="BL298" i="3"/>
  <c r="BK298" i="3"/>
  <c r="BJ298" i="3"/>
  <c r="BI298" i="3"/>
  <c r="BH298" i="3"/>
  <c r="BG298" i="3"/>
  <c r="BF298" i="3"/>
  <c r="BE298" i="3"/>
  <c r="BD298" i="3"/>
  <c r="BC298" i="3"/>
  <c r="BB298" i="3"/>
  <c r="BA298" i="3"/>
  <c r="AZ298" i="3"/>
  <c r="AY298" i="3"/>
  <c r="AX298" i="3"/>
  <c r="AW298" i="3"/>
  <c r="AV298" i="3"/>
  <c r="AU298" i="3"/>
  <c r="AT298" i="3"/>
  <c r="AS298" i="3"/>
  <c r="AR298" i="3"/>
  <c r="AQ298" i="3"/>
  <c r="AP298" i="3"/>
  <c r="AO298" i="3"/>
  <c r="AN298" i="3"/>
  <c r="AM298" i="3"/>
  <c r="AL298" i="3"/>
  <c r="AK298" i="3"/>
  <c r="AJ298" i="3"/>
  <c r="AI298" i="3"/>
  <c r="AH298" i="3"/>
  <c r="AG298" i="3"/>
  <c r="AF298" i="3"/>
  <c r="AE298" i="3"/>
  <c r="AD298" i="3"/>
  <c r="AC298" i="3"/>
  <c r="AB298" i="3"/>
  <c r="AA298" i="3"/>
  <c r="Z298" i="3"/>
  <c r="Y298" i="3"/>
  <c r="X298" i="3"/>
  <c r="W298" i="3"/>
  <c r="V298" i="3"/>
  <c r="U298" i="3"/>
  <c r="T298" i="3"/>
  <c r="S298" i="3"/>
  <c r="R298" i="3"/>
  <c r="Q298" i="3"/>
  <c r="P298" i="3"/>
  <c r="O298" i="3"/>
  <c r="N298" i="3"/>
  <c r="M298" i="3"/>
  <c r="L298" i="3"/>
  <c r="K298" i="3"/>
  <c r="J298" i="3"/>
  <c r="I298" i="3"/>
  <c r="H298" i="3"/>
  <c r="G298" i="3"/>
  <c r="F298" i="3"/>
  <c r="E298" i="3"/>
  <c r="D298" i="3"/>
  <c r="C298" i="3"/>
  <c r="B298" i="3"/>
  <c r="A298" i="3"/>
  <c r="BP297" i="3"/>
  <c r="BO297" i="3"/>
  <c r="BN297" i="3"/>
  <c r="BM297" i="3"/>
  <c r="BL297" i="3"/>
  <c r="BK297" i="3"/>
  <c r="BJ297" i="3"/>
  <c r="BI297" i="3"/>
  <c r="BH297" i="3"/>
  <c r="BG297" i="3"/>
  <c r="BF297" i="3"/>
  <c r="BE297" i="3"/>
  <c r="BD297" i="3"/>
  <c r="BC297" i="3"/>
  <c r="BB297" i="3"/>
  <c r="BA297" i="3"/>
  <c r="AZ297" i="3"/>
  <c r="AY297" i="3"/>
  <c r="AX297" i="3"/>
  <c r="AW297" i="3"/>
  <c r="AV297" i="3"/>
  <c r="AU297" i="3"/>
  <c r="AT297" i="3"/>
  <c r="AS297" i="3"/>
  <c r="AR297" i="3"/>
  <c r="AQ297" i="3"/>
  <c r="AP297" i="3"/>
  <c r="AO297" i="3"/>
  <c r="AN297" i="3"/>
  <c r="AM297" i="3"/>
  <c r="AL297" i="3"/>
  <c r="AK297" i="3"/>
  <c r="AJ297" i="3"/>
  <c r="AI297" i="3"/>
  <c r="AH297" i="3"/>
  <c r="AG297" i="3"/>
  <c r="AF297" i="3"/>
  <c r="AE297" i="3"/>
  <c r="AD297" i="3"/>
  <c r="AC297" i="3"/>
  <c r="AB297" i="3"/>
  <c r="AA297" i="3"/>
  <c r="Z297" i="3"/>
  <c r="Y297" i="3"/>
  <c r="X297" i="3"/>
  <c r="W297" i="3"/>
  <c r="V297" i="3"/>
  <c r="U297" i="3"/>
  <c r="T297" i="3"/>
  <c r="S297" i="3"/>
  <c r="R297" i="3"/>
  <c r="Q297" i="3"/>
  <c r="P297" i="3"/>
  <c r="O297" i="3"/>
  <c r="N297" i="3"/>
  <c r="M297" i="3"/>
  <c r="L297" i="3"/>
  <c r="K297" i="3"/>
  <c r="J297" i="3"/>
  <c r="I297" i="3"/>
  <c r="H297" i="3"/>
  <c r="G297" i="3"/>
  <c r="F297" i="3"/>
  <c r="E297" i="3"/>
  <c r="D297" i="3"/>
  <c r="C297" i="3"/>
  <c r="B297" i="3"/>
  <c r="A297" i="3"/>
  <c r="BP296" i="3"/>
  <c r="BO296" i="3"/>
  <c r="BN296" i="3"/>
  <c r="BM296" i="3"/>
  <c r="BL296" i="3"/>
  <c r="BK296" i="3"/>
  <c r="BJ296" i="3"/>
  <c r="BI296" i="3"/>
  <c r="BH296" i="3"/>
  <c r="BG296" i="3"/>
  <c r="BF296" i="3"/>
  <c r="BE296" i="3"/>
  <c r="BD296" i="3"/>
  <c r="BC296" i="3"/>
  <c r="BB296" i="3"/>
  <c r="BA296" i="3"/>
  <c r="AZ296" i="3"/>
  <c r="AY296" i="3"/>
  <c r="AX296" i="3"/>
  <c r="AW296" i="3"/>
  <c r="AV296" i="3"/>
  <c r="AU296" i="3"/>
  <c r="AT296" i="3"/>
  <c r="AS296" i="3"/>
  <c r="AR296" i="3"/>
  <c r="AQ296" i="3"/>
  <c r="AP296" i="3"/>
  <c r="AO296" i="3"/>
  <c r="AN296" i="3"/>
  <c r="AM296" i="3"/>
  <c r="AL296" i="3"/>
  <c r="AK296" i="3"/>
  <c r="AJ296" i="3"/>
  <c r="AI296" i="3"/>
  <c r="AH296" i="3"/>
  <c r="AG296" i="3"/>
  <c r="AF296" i="3"/>
  <c r="AE296" i="3"/>
  <c r="AD296" i="3"/>
  <c r="AC296" i="3"/>
  <c r="AB296" i="3"/>
  <c r="AA296" i="3"/>
  <c r="Z296" i="3"/>
  <c r="Y296" i="3"/>
  <c r="X296" i="3"/>
  <c r="W296" i="3"/>
  <c r="V296" i="3"/>
  <c r="U296" i="3"/>
  <c r="T296" i="3"/>
  <c r="S296" i="3"/>
  <c r="R296" i="3"/>
  <c r="Q296" i="3"/>
  <c r="P296" i="3"/>
  <c r="O296" i="3"/>
  <c r="N296" i="3"/>
  <c r="M296" i="3"/>
  <c r="L296" i="3"/>
  <c r="K296" i="3"/>
  <c r="J296" i="3"/>
  <c r="I296" i="3"/>
  <c r="H296" i="3"/>
  <c r="G296" i="3"/>
  <c r="F296" i="3"/>
  <c r="E296" i="3"/>
  <c r="D296" i="3"/>
  <c r="C296" i="3"/>
  <c r="B296" i="3"/>
  <c r="A296" i="3"/>
  <c r="BP295" i="3"/>
  <c r="BO295" i="3"/>
  <c r="BN295" i="3"/>
  <c r="BM295" i="3"/>
  <c r="BL295" i="3"/>
  <c r="BK295" i="3"/>
  <c r="BJ295" i="3"/>
  <c r="BI295" i="3"/>
  <c r="BH295" i="3"/>
  <c r="BG295" i="3"/>
  <c r="BF295" i="3"/>
  <c r="BE295" i="3"/>
  <c r="BD295" i="3"/>
  <c r="BC295" i="3"/>
  <c r="BB295" i="3"/>
  <c r="BA295" i="3"/>
  <c r="AZ295" i="3"/>
  <c r="AY295" i="3"/>
  <c r="AX295" i="3"/>
  <c r="AW295" i="3"/>
  <c r="AV295" i="3"/>
  <c r="AU295" i="3"/>
  <c r="AT295" i="3"/>
  <c r="AS295" i="3"/>
  <c r="AR295" i="3"/>
  <c r="AQ295" i="3"/>
  <c r="AP295" i="3"/>
  <c r="AO295" i="3"/>
  <c r="AN295" i="3"/>
  <c r="AM295" i="3"/>
  <c r="AL295" i="3"/>
  <c r="AK295" i="3"/>
  <c r="AJ295" i="3"/>
  <c r="AI295" i="3"/>
  <c r="AH295" i="3"/>
  <c r="AG295" i="3"/>
  <c r="AF295" i="3"/>
  <c r="AE295" i="3"/>
  <c r="AD295" i="3"/>
  <c r="AC295" i="3"/>
  <c r="AB295" i="3"/>
  <c r="AA295" i="3"/>
  <c r="Z295" i="3"/>
  <c r="Y295" i="3"/>
  <c r="X295" i="3"/>
  <c r="W295" i="3"/>
  <c r="V295" i="3"/>
  <c r="U295" i="3"/>
  <c r="T295" i="3"/>
  <c r="S295" i="3"/>
  <c r="R295" i="3"/>
  <c r="Q295" i="3"/>
  <c r="P295" i="3"/>
  <c r="O295" i="3"/>
  <c r="N295" i="3"/>
  <c r="M295" i="3"/>
  <c r="L295" i="3"/>
  <c r="K295" i="3"/>
  <c r="J295" i="3"/>
  <c r="I295" i="3"/>
  <c r="H295" i="3"/>
  <c r="G295" i="3"/>
  <c r="F295" i="3"/>
  <c r="E295" i="3"/>
  <c r="D295" i="3"/>
  <c r="C295" i="3"/>
  <c r="B295" i="3"/>
  <c r="A295" i="3"/>
  <c r="BP294" i="3"/>
  <c r="BO294" i="3"/>
  <c r="BN294" i="3"/>
  <c r="BM294" i="3"/>
  <c r="BL294" i="3"/>
  <c r="BK294" i="3"/>
  <c r="BJ294" i="3"/>
  <c r="BI294" i="3"/>
  <c r="BH294" i="3"/>
  <c r="BG294" i="3"/>
  <c r="BF294" i="3"/>
  <c r="BE294" i="3"/>
  <c r="BD294" i="3"/>
  <c r="BC294" i="3"/>
  <c r="BB294" i="3"/>
  <c r="BA294" i="3"/>
  <c r="AZ294" i="3"/>
  <c r="AY294" i="3"/>
  <c r="AX294" i="3"/>
  <c r="AW294" i="3"/>
  <c r="AV294" i="3"/>
  <c r="AU294" i="3"/>
  <c r="AT294" i="3"/>
  <c r="AS294" i="3"/>
  <c r="AR294" i="3"/>
  <c r="AQ294" i="3"/>
  <c r="AP294" i="3"/>
  <c r="AO294" i="3"/>
  <c r="AN294" i="3"/>
  <c r="AM294" i="3"/>
  <c r="AL294" i="3"/>
  <c r="AK294" i="3"/>
  <c r="AJ294" i="3"/>
  <c r="AI294" i="3"/>
  <c r="AH294" i="3"/>
  <c r="AG294" i="3"/>
  <c r="AF294" i="3"/>
  <c r="AE294" i="3"/>
  <c r="AD294" i="3"/>
  <c r="AC294" i="3"/>
  <c r="AB294" i="3"/>
  <c r="AA294" i="3"/>
  <c r="Z294" i="3"/>
  <c r="Y294" i="3"/>
  <c r="X294" i="3"/>
  <c r="W294" i="3"/>
  <c r="V294" i="3"/>
  <c r="U294" i="3"/>
  <c r="T294" i="3"/>
  <c r="S294" i="3"/>
  <c r="R294" i="3"/>
  <c r="Q294" i="3"/>
  <c r="P294" i="3"/>
  <c r="O294" i="3"/>
  <c r="N294" i="3"/>
  <c r="M294" i="3"/>
  <c r="L294" i="3"/>
  <c r="K294" i="3"/>
  <c r="J294" i="3"/>
  <c r="I294" i="3"/>
  <c r="H294" i="3"/>
  <c r="G294" i="3"/>
  <c r="F294" i="3"/>
  <c r="E294" i="3"/>
  <c r="D294" i="3"/>
  <c r="C294" i="3"/>
  <c r="B294" i="3"/>
  <c r="A294" i="3"/>
  <c r="BP293" i="3"/>
  <c r="BO293" i="3"/>
  <c r="BN293" i="3"/>
  <c r="BM293" i="3"/>
  <c r="BL293" i="3"/>
  <c r="BK293" i="3"/>
  <c r="BJ293" i="3"/>
  <c r="BI293" i="3"/>
  <c r="BH293" i="3"/>
  <c r="BG293" i="3"/>
  <c r="BF293" i="3"/>
  <c r="BE293" i="3"/>
  <c r="BD293" i="3"/>
  <c r="BC293" i="3"/>
  <c r="BB293" i="3"/>
  <c r="BA293" i="3"/>
  <c r="AZ293" i="3"/>
  <c r="AY293" i="3"/>
  <c r="AX293" i="3"/>
  <c r="AW293" i="3"/>
  <c r="AV293" i="3"/>
  <c r="AU293" i="3"/>
  <c r="AT293" i="3"/>
  <c r="AS293" i="3"/>
  <c r="AR293" i="3"/>
  <c r="AQ293" i="3"/>
  <c r="AP293" i="3"/>
  <c r="AO293" i="3"/>
  <c r="AN293" i="3"/>
  <c r="AM293" i="3"/>
  <c r="AL293" i="3"/>
  <c r="AK293" i="3"/>
  <c r="AJ293" i="3"/>
  <c r="AI293" i="3"/>
  <c r="AH293" i="3"/>
  <c r="AG293" i="3"/>
  <c r="AF293" i="3"/>
  <c r="AE293" i="3"/>
  <c r="AD293" i="3"/>
  <c r="AC293" i="3"/>
  <c r="AB293" i="3"/>
  <c r="AA293" i="3"/>
  <c r="Z293" i="3"/>
  <c r="Y293" i="3"/>
  <c r="X293" i="3"/>
  <c r="W293" i="3"/>
  <c r="V293" i="3"/>
  <c r="U293" i="3"/>
  <c r="T293" i="3"/>
  <c r="S293" i="3"/>
  <c r="R293" i="3"/>
  <c r="Q293" i="3"/>
  <c r="P293" i="3"/>
  <c r="O293" i="3"/>
  <c r="N293" i="3"/>
  <c r="M293" i="3"/>
  <c r="L293" i="3"/>
  <c r="K293" i="3"/>
  <c r="J293" i="3"/>
  <c r="I293" i="3"/>
  <c r="H293" i="3"/>
  <c r="G293" i="3"/>
  <c r="F293" i="3"/>
  <c r="E293" i="3"/>
  <c r="D293" i="3"/>
  <c r="C293" i="3"/>
  <c r="B293" i="3"/>
  <c r="A293" i="3"/>
  <c r="BP292" i="3"/>
  <c r="BO292" i="3"/>
  <c r="BN292" i="3"/>
  <c r="BM292" i="3"/>
  <c r="BL292" i="3"/>
  <c r="BK292" i="3"/>
  <c r="BJ292" i="3"/>
  <c r="BI292" i="3"/>
  <c r="BH292" i="3"/>
  <c r="BG292" i="3"/>
  <c r="BF292" i="3"/>
  <c r="BE292" i="3"/>
  <c r="BD292" i="3"/>
  <c r="BC292" i="3"/>
  <c r="BB292" i="3"/>
  <c r="BA292" i="3"/>
  <c r="AZ292" i="3"/>
  <c r="AY292" i="3"/>
  <c r="AX292" i="3"/>
  <c r="AW292" i="3"/>
  <c r="AV292" i="3"/>
  <c r="AU292" i="3"/>
  <c r="AT292" i="3"/>
  <c r="AS292" i="3"/>
  <c r="AR292" i="3"/>
  <c r="AQ292" i="3"/>
  <c r="AP292" i="3"/>
  <c r="AO292" i="3"/>
  <c r="AN292" i="3"/>
  <c r="AM292" i="3"/>
  <c r="AL292" i="3"/>
  <c r="AK292" i="3"/>
  <c r="AJ292" i="3"/>
  <c r="AI292" i="3"/>
  <c r="AH292" i="3"/>
  <c r="AG292" i="3"/>
  <c r="AF292" i="3"/>
  <c r="AE292" i="3"/>
  <c r="AD292" i="3"/>
  <c r="AC292" i="3"/>
  <c r="AB292" i="3"/>
  <c r="AA292" i="3"/>
  <c r="Z292" i="3"/>
  <c r="Y292" i="3"/>
  <c r="X292" i="3"/>
  <c r="W292" i="3"/>
  <c r="V292" i="3"/>
  <c r="U292" i="3"/>
  <c r="T292" i="3"/>
  <c r="S292" i="3"/>
  <c r="R292" i="3"/>
  <c r="Q292" i="3"/>
  <c r="P292" i="3"/>
  <c r="O292" i="3"/>
  <c r="N292" i="3"/>
  <c r="M292" i="3"/>
  <c r="L292" i="3"/>
  <c r="K292" i="3"/>
  <c r="J292" i="3"/>
  <c r="I292" i="3"/>
  <c r="H292" i="3"/>
  <c r="G292" i="3"/>
  <c r="F292" i="3"/>
  <c r="E292" i="3"/>
  <c r="D292" i="3"/>
  <c r="C292" i="3"/>
  <c r="B292" i="3"/>
  <c r="A292" i="3"/>
  <c r="BP291" i="3"/>
  <c r="BO291" i="3"/>
  <c r="BN291" i="3"/>
  <c r="BM291" i="3"/>
  <c r="BL291" i="3"/>
  <c r="BK291" i="3"/>
  <c r="BJ291" i="3"/>
  <c r="BI291" i="3"/>
  <c r="BH291" i="3"/>
  <c r="BG291" i="3"/>
  <c r="BF291" i="3"/>
  <c r="BE291" i="3"/>
  <c r="BD291" i="3"/>
  <c r="BC291" i="3"/>
  <c r="BB291" i="3"/>
  <c r="BA291" i="3"/>
  <c r="AZ291" i="3"/>
  <c r="AY291" i="3"/>
  <c r="AX291" i="3"/>
  <c r="AW291" i="3"/>
  <c r="AV291" i="3"/>
  <c r="AU291" i="3"/>
  <c r="AT291" i="3"/>
  <c r="AS291" i="3"/>
  <c r="AR291" i="3"/>
  <c r="AQ291" i="3"/>
  <c r="AP291" i="3"/>
  <c r="AO291" i="3"/>
  <c r="AN291" i="3"/>
  <c r="AM291" i="3"/>
  <c r="AL291" i="3"/>
  <c r="AK291" i="3"/>
  <c r="AJ291" i="3"/>
  <c r="AI291" i="3"/>
  <c r="AH291" i="3"/>
  <c r="AG291" i="3"/>
  <c r="AF291" i="3"/>
  <c r="AE291" i="3"/>
  <c r="AD291" i="3"/>
  <c r="AC291" i="3"/>
  <c r="AB291" i="3"/>
  <c r="AA291" i="3"/>
  <c r="Z291" i="3"/>
  <c r="Y291" i="3"/>
  <c r="X291" i="3"/>
  <c r="W291" i="3"/>
  <c r="V291" i="3"/>
  <c r="U291" i="3"/>
  <c r="T291" i="3"/>
  <c r="S291" i="3"/>
  <c r="R291" i="3"/>
  <c r="Q291" i="3"/>
  <c r="P291" i="3"/>
  <c r="O291" i="3"/>
  <c r="N291" i="3"/>
  <c r="M291" i="3"/>
  <c r="L291" i="3"/>
  <c r="K291" i="3"/>
  <c r="J291" i="3"/>
  <c r="I291" i="3"/>
  <c r="H291" i="3"/>
  <c r="G291" i="3"/>
  <c r="F291" i="3"/>
  <c r="E291" i="3"/>
  <c r="D291" i="3"/>
  <c r="C291" i="3"/>
  <c r="B291" i="3"/>
  <c r="A291" i="3"/>
  <c r="BP290" i="3"/>
  <c r="BO290" i="3"/>
  <c r="BN290" i="3"/>
  <c r="BM290" i="3"/>
  <c r="BL290" i="3"/>
  <c r="BK290" i="3"/>
  <c r="BJ290" i="3"/>
  <c r="BI290" i="3"/>
  <c r="BH290" i="3"/>
  <c r="BG290" i="3"/>
  <c r="BF290" i="3"/>
  <c r="BE290" i="3"/>
  <c r="BD290" i="3"/>
  <c r="BC290" i="3"/>
  <c r="BB290" i="3"/>
  <c r="BA290" i="3"/>
  <c r="AZ290" i="3"/>
  <c r="AY290" i="3"/>
  <c r="AX290" i="3"/>
  <c r="AW290" i="3"/>
  <c r="AV290" i="3"/>
  <c r="AU290" i="3"/>
  <c r="AT290" i="3"/>
  <c r="AS290" i="3"/>
  <c r="AR290" i="3"/>
  <c r="AQ290" i="3"/>
  <c r="AP290" i="3"/>
  <c r="AO290" i="3"/>
  <c r="AN290" i="3"/>
  <c r="AM290" i="3"/>
  <c r="AL290" i="3"/>
  <c r="AK290" i="3"/>
  <c r="AJ290" i="3"/>
  <c r="AI290" i="3"/>
  <c r="AH290" i="3"/>
  <c r="AG290" i="3"/>
  <c r="AF290" i="3"/>
  <c r="AE290" i="3"/>
  <c r="AD290" i="3"/>
  <c r="AC290" i="3"/>
  <c r="AB290" i="3"/>
  <c r="AA290" i="3"/>
  <c r="Z290" i="3"/>
  <c r="Y290" i="3"/>
  <c r="X290" i="3"/>
  <c r="W290" i="3"/>
  <c r="V290" i="3"/>
  <c r="U290" i="3"/>
  <c r="T290" i="3"/>
  <c r="S290" i="3"/>
  <c r="R290" i="3"/>
  <c r="Q290" i="3"/>
  <c r="P290" i="3"/>
  <c r="O290" i="3"/>
  <c r="N290" i="3"/>
  <c r="M290" i="3"/>
  <c r="L290" i="3"/>
  <c r="K290" i="3"/>
  <c r="J290" i="3"/>
  <c r="I290" i="3"/>
  <c r="H290" i="3"/>
  <c r="G290" i="3"/>
  <c r="F290" i="3"/>
  <c r="E290" i="3"/>
  <c r="D290" i="3"/>
  <c r="C290" i="3"/>
  <c r="B290" i="3"/>
  <c r="A290" i="3"/>
  <c r="BP289" i="3"/>
  <c r="BO289" i="3"/>
  <c r="BN289" i="3"/>
  <c r="BM289" i="3"/>
  <c r="BL289" i="3"/>
  <c r="BK289" i="3"/>
  <c r="BJ289" i="3"/>
  <c r="BI289" i="3"/>
  <c r="BH289" i="3"/>
  <c r="BG289" i="3"/>
  <c r="BF289" i="3"/>
  <c r="BE289" i="3"/>
  <c r="BD289" i="3"/>
  <c r="BC289" i="3"/>
  <c r="BB289" i="3"/>
  <c r="BA289" i="3"/>
  <c r="AZ289" i="3"/>
  <c r="AY289" i="3"/>
  <c r="AX289" i="3"/>
  <c r="AW289" i="3"/>
  <c r="AV289" i="3"/>
  <c r="AU289" i="3"/>
  <c r="AT289" i="3"/>
  <c r="AS289" i="3"/>
  <c r="AR289" i="3"/>
  <c r="AQ289" i="3"/>
  <c r="AP289" i="3"/>
  <c r="AO289" i="3"/>
  <c r="AN289" i="3"/>
  <c r="AM289" i="3"/>
  <c r="AL289" i="3"/>
  <c r="AK289" i="3"/>
  <c r="AJ289" i="3"/>
  <c r="AI289" i="3"/>
  <c r="AH289" i="3"/>
  <c r="AG289" i="3"/>
  <c r="AF289" i="3"/>
  <c r="AE289" i="3"/>
  <c r="AD289" i="3"/>
  <c r="AC289" i="3"/>
  <c r="AB289" i="3"/>
  <c r="AA289" i="3"/>
  <c r="Z289" i="3"/>
  <c r="Y289" i="3"/>
  <c r="X289" i="3"/>
  <c r="W289" i="3"/>
  <c r="V289" i="3"/>
  <c r="U289" i="3"/>
  <c r="T289" i="3"/>
  <c r="S289" i="3"/>
  <c r="R289" i="3"/>
  <c r="Q289" i="3"/>
  <c r="P289" i="3"/>
  <c r="O289" i="3"/>
  <c r="N289" i="3"/>
  <c r="M289" i="3"/>
  <c r="L289" i="3"/>
  <c r="K289" i="3"/>
  <c r="J289" i="3"/>
  <c r="I289" i="3"/>
  <c r="H289" i="3"/>
  <c r="G289" i="3"/>
  <c r="F289" i="3"/>
  <c r="E289" i="3"/>
  <c r="D289" i="3"/>
  <c r="C289" i="3"/>
  <c r="B289" i="3"/>
  <c r="A289" i="3"/>
  <c r="BP288" i="3"/>
  <c r="BO288" i="3"/>
  <c r="BN288" i="3"/>
  <c r="BM288" i="3"/>
  <c r="BL288" i="3"/>
  <c r="BK288" i="3"/>
  <c r="BJ288" i="3"/>
  <c r="BI288" i="3"/>
  <c r="BH288" i="3"/>
  <c r="BG288" i="3"/>
  <c r="BF288" i="3"/>
  <c r="BE288" i="3"/>
  <c r="BD288" i="3"/>
  <c r="BC288" i="3"/>
  <c r="BB288" i="3"/>
  <c r="BA288" i="3"/>
  <c r="AZ288" i="3"/>
  <c r="AY288" i="3"/>
  <c r="AX288" i="3"/>
  <c r="AW288" i="3"/>
  <c r="AV288" i="3"/>
  <c r="AU288" i="3"/>
  <c r="AT288" i="3"/>
  <c r="AS288" i="3"/>
  <c r="AR288" i="3"/>
  <c r="AQ288" i="3"/>
  <c r="AP288" i="3"/>
  <c r="AO288" i="3"/>
  <c r="AN288" i="3"/>
  <c r="AM288" i="3"/>
  <c r="AL288" i="3"/>
  <c r="AK288" i="3"/>
  <c r="AJ288" i="3"/>
  <c r="AI288" i="3"/>
  <c r="AH288" i="3"/>
  <c r="AG288" i="3"/>
  <c r="AF288" i="3"/>
  <c r="AE288" i="3"/>
  <c r="AD288" i="3"/>
  <c r="AC288" i="3"/>
  <c r="AB288" i="3"/>
  <c r="AA288" i="3"/>
  <c r="Z288" i="3"/>
  <c r="Y288" i="3"/>
  <c r="X288" i="3"/>
  <c r="W288" i="3"/>
  <c r="V288" i="3"/>
  <c r="U288" i="3"/>
  <c r="T288" i="3"/>
  <c r="S288" i="3"/>
  <c r="R288" i="3"/>
  <c r="Q288" i="3"/>
  <c r="P288" i="3"/>
  <c r="O288" i="3"/>
  <c r="N288" i="3"/>
  <c r="M288" i="3"/>
  <c r="L288" i="3"/>
  <c r="K288" i="3"/>
  <c r="J288" i="3"/>
  <c r="I288" i="3"/>
  <c r="H288" i="3"/>
  <c r="G288" i="3"/>
  <c r="F288" i="3"/>
  <c r="E288" i="3"/>
  <c r="D288" i="3"/>
  <c r="C288" i="3"/>
  <c r="B288" i="3"/>
  <c r="A288" i="3"/>
  <c r="BP287" i="3"/>
  <c r="BO287" i="3"/>
  <c r="BN287" i="3"/>
  <c r="BM287" i="3"/>
  <c r="BL287" i="3"/>
  <c r="BK287" i="3"/>
  <c r="BJ287" i="3"/>
  <c r="BI287" i="3"/>
  <c r="BH287" i="3"/>
  <c r="BG287" i="3"/>
  <c r="BF287" i="3"/>
  <c r="BE287" i="3"/>
  <c r="BD287" i="3"/>
  <c r="BC287" i="3"/>
  <c r="BB287" i="3"/>
  <c r="BA287" i="3"/>
  <c r="AZ287" i="3"/>
  <c r="AY287" i="3"/>
  <c r="AX287" i="3"/>
  <c r="AW287" i="3"/>
  <c r="AV287" i="3"/>
  <c r="AU287" i="3"/>
  <c r="AT287" i="3"/>
  <c r="AS287" i="3"/>
  <c r="AR287" i="3"/>
  <c r="AQ287" i="3"/>
  <c r="AP287" i="3"/>
  <c r="AO287" i="3"/>
  <c r="AN287" i="3"/>
  <c r="AM287" i="3"/>
  <c r="AL287" i="3"/>
  <c r="AK287" i="3"/>
  <c r="AJ287" i="3"/>
  <c r="AI287" i="3"/>
  <c r="AH287" i="3"/>
  <c r="AG287" i="3"/>
  <c r="AF287" i="3"/>
  <c r="AE287" i="3"/>
  <c r="AD287" i="3"/>
  <c r="AC287" i="3"/>
  <c r="AB287" i="3"/>
  <c r="AA287" i="3"/>
  <c r="Z287" i="3"/>
  <c r="Y287" i="3"/>
  <c r="X287" i="3"/>
  <c r="W287" i="3"/>
  <c r="V287" i="3"/>
  <c r="U287" i="3"/>
  <c r="T287" i="3"/>
  <c r="S287" i="3"/>
  <c r="R287" i="3"/>
  <c r="Q287" i="3"/>
  <c r="P287" i="3"/>
  <c r="O287" i="3"/>
  <c r="N287" i="3"/>
  <c r="M287" i="3"/>
  <c r="L287" i="3"/>
  <c r="K287" i="3"/>
  <c r="J287" i="3"/>
  <c r="I287" i="3"/>
  <c r="H287" i="3"/>
  <c r="G287" i="3"/>
  <c r="F287" i="3"/>
  <c r="E287" i="3"/>
  <c r="D287" i="3"/>
  <c r="C287" i="3"/>
  <c r="B287" i="3"/>
  <c r="A287" i="3"/>
  <c r="BP286" i="3"/>
  <c r="BO286" i="3"/>
  <c r="BN286" i="3"/>
  <c r="BM286" i="3"/>
  <c r="BL286" i="3"/>
  <c r="BK286" i="3"/>
  <c r="BJ286" i="3"/>
  <c r="BI286" i="3"/>
  <c r="BH286" i="3"/>
  <c r="BG286" i="3"/>
  <c r="BF286" i="3"/>
  <c r="BE286" i="3"/>
  <c r="BD286" i="3"/>
  <c r="BC286" i="3"/>
  <c r="BB286" i="3"/>
  <c r="BA286" i="3"/>
  <c r="AZ286" i="3"/>
  <c r="AY286" i="3"/>
  <c r="AX286" i="3"/>
  <c r="AW286" i="3"/>
  <c r="AV286" i="3"/>
  <c r="AU286" i="3"/>
  <c r="AT286" i="3"/>
  <c r="AS286" i="3"/>
  <c r="AR286" i="3"/>
  <c r="AQ286" i="3"/>
  <c r="AP286" i="3"/>
  <c r="AO286" i="3"/>
  <c r="AN286" i="3"/>
  <c r="AM286" i="3"/>
  <c r="AL286" i="3"/>
  <c r="AK286" i="3"/>
  <c r="AJ286" i="3"/>
  <c r="AI286" i="3"/>
  <c r="AH286" i="3"/>
  <c r="AG286" i="3"/>
  <c r="AF286" i="3"/>
  <c r="AE286" i="3"/>
  <c r="AD286" i="3"/>
  <c r="AC286" i="3"/>
  <c r="AB286" i="3"/>
  <c r="AA286" i="3"/>
  <c r="Z286" i="3"/>
  <c r="Y286" i="3"/>
  <c r="X286" i="3"/>
  <c r="W286" i="3"/>
  <c r="V286" i="3"/>
  <c r="U286" i="3"/>
  <c r="T286" i="3"/>
  <c r="S286" i="3"/>
  <c r="R286" i="3"/>
  <c r="Q286" i="3"/>
  <c r="P286" i="3"/>
  <c r="O286" i="3"/>
  <c r="N286" i="3"/>
  <c r="M286" i="3"/>
  <c r="L286" i="3"/>
  <c r="K286" i="3"/>
  <c r="J286" i="3"/>
  <c r="I286" i="3"/>
  <c r="H286" i="3"/>
  <c r="G286" i="3"/>
  <c r="F286" i="3"/>
  <c r="E286" i="3"/>
  <c r="D286" i="3"/>
  <c r="C286" i="3"/>
  <c r="B286" i="3"/>
  <c r="A286" i="3"/>
  <c r="BP285" i="3"/>
  <c r="BO285" i="3"/>
  <c r="BN285" i="3"/>
  <c r="BM285" i="3"/>
  <c r="BL285" i="3"/>
  <c r="BK285" i="3"/>
  <c r="BJ285" i="3"/>
  <c r="BI285" i="3"/>
  <c r="BH285" i="3"/>
  <c r="BG285" i="3"/>
  <c r="BF285" i="3"/>
  <c r="BE285" i="3"/>
  <c r="BD285" i="3"/>
  <c r="BC285" i="3"/>
  <c r="BB285" i="3"/>
  <c r="BA285" i="3"/>
  <c r="AZ285" i="3"/>
  <c r="AY285" i="3"/>
  <c r="AX285" i="3"/>
  <c r="AW285" i="3"/>
  <c r="AV285" i="3"/>
  <c r="AU285" i="3"/>
  <c r="AT285" i="3"/>
  <c r="AS285" i="3"/>
  <c r="AR285" i="3"/>
  <c r="AQ285" i="3"/>
  <c r="AP285" i="3"/>
  <c r="AO285" i="3"/>
  <c r="AN285" i="3"/>
  <c r="AM285" i="3"/>
  <c r="AL285" i="3"/>
  <c r="AK285" i="3"/>
  <c r="AJ285" i="3"/>
  <c r="AI285" i="3"/>
  <c r="AH285" i="3"/>
  <c r="AG285" i="3"/>
  <c r="AF285" i="3"/>
  <c r="AE285" i="3"/>
  <c r="AD285" i="3"/>
  <c r="AC285" i="3"/>
  <c r="AB285" i="3"/>
  <c r="AA285" i="3"/>
  <c r="Z285" i="3"/>
  <c r="Y285" i="3"/>
  <c r="X285" i="3"/>
  <c r="W285" i="3"/>
  <c r="V285" i="3"/>
  <c r="U285" i="3"/>
  <c r="T285" i="3"/>
  <c r="S285" i="3"/>
  <c r="R285" i="3"/>
  <c r="Q285" i="3"/>
  <c r="P285" i="3"/>
  <c r="O285" i="3"/>
  <c r="N285" i="3"/>
  <c r="M285" i="3"/>
  <c r="L285" i="3"/>
  <c r="K285" i="3"/>
  <c r="J285" i="3"/>
  <c r="I285" i="3"/>
  <c r="H285" i="3"/>
  <c r="G285" i="3"/>
  <c r="F285" i="3"/>
  <c r="E285" i="3"/>
  <c r="D285" i="3"/>
  <c r="C285" i="3"/>
  <c r="B285" i="3"/>
  <c r="A285" i="3"/>
  <c r="BP284" i="3"/>
  <c r="BO284" i="3"/>
  <c r="BN284" i="3"/>
  <c r="BM284" i="3"/>
  <c r="BL284" i="3"/>
  <c r="BK284" i="3"/>
  <c r="BJ284" i="3"/>
  <c r="BI284" i="3"/>
  <c r="BH284" i="3"/>
  <c r="BG284" i="3"/>
  <c r="BF284" i="3"/>
  <c r="BE284" i="3"/>
  <c r="BD284" i="3"/>
  <c r="BC284" i="3"/>
  <c r="BB284" i="3"/>
  <c r="BA284" i="3"/>
  <c r="AZ284" i="3"/>
  <c r="AY284" i="3"/>
  <c r="AX284" i="3"/>
  <c r="AW284" i="3"/>
  <c r="AV284" i="3"/>
  <c r="AU284" i="3"/>
  <c r="AT284" i="3"/>
  <c r="AS284" i="3"/>
  <c r="AR284" i="3"/>
  <c r="AQ284" i="3"/>
  <c r="AP284" i="3"/>
  <c r="AO284" i="3"/>
  <c r="AN284" i="3"/>
  <c r="AM284" i="3"/>
  <c r="AL284" i="3"/>
  <c r="AK284" i="3"/>
  <c r="AJ284" i="3"/>
  <c r="AI284" i="3"/>
  <c r="AH284" i="3"/>
  <c r="AG284" i="3"/>
  <c r="AF284" i="3"/>
  <c r="AE284" i="3"/>
  <c r="AD284" i="3"/>
  <c r="AC284" i="3"/>
  <c r="AB284" i="3"/>
  <c r="AA284" i="3"/>
  <c r="Z284" i="3"/>
  <c r="Y284" i="3"/>
  <c r="X284" i="3"/>
  <c r="W284" i="3"/>
  <c r="V284" i="3"/>
  <c r="U284" i="3"/>
  <c r="T284" i="3"/>
  <c r="S284" i="3"/>
  <c r="R284" i="3"/>
  <c r="Q284" i="3"/>
  <c r="P284" i="3"/>
  <c r="O284" i="3"/>
  <c r="N284" i="3"/>
  <c r="M284" i="3"/>
  <c r="L284" i="3"/>
  <c r="K284" i="3"/>
  <c r="J284" i="3"/>
  <c r="I284" i="3"/>
  <c r="H284" i="3"/>
  <c r="G284" i="3"/>
  <c r="F284" i="3"/>
  <c r="E284" i="3"/>
  <c r="D284" i="3"/>
  <c r="B284" i="3"/>
  <c r="A284" i="3"/>
  <c r="BP283" i="3"/>
  <c r="BO283" i="3"/>
  <c r="BN283" i="3"/>
  <c r="BM283" i="3"/>
  <c r="BL283" i="3"/>
  <c r="BK283" i="3"/>
  <c r="BJ283" i="3"/>
  <c r="BI283" i="3"/>
  <c r="BH283" i="3"/>
  <c r="BG283" i="3"/>
  <c r="BF283" i="3"/>
  <c r="BE283" i="3"/>
  <c r="BD283" i="3"/>
  <c r="BC283" i="3"/>
  <c r="BB283" i="3"/>
  <c r="BA283" i="3"/>
  <c r="AZ283" i="3"/>
  <c r="AY283" i="3"/>
  <c r="AX283" i="3"/>
  <c r="AW283" i="3"/>
  <c r="AV283" i="3"/>
  <c r="AU283" i="3"/>
  <c r="AT283" i="3"/>
  <c r="AS283" i="3"/>
  <c r="AR283" i="3"/>
  <c r="AQ283" i="3"/>
  <c r="AP283" i="3"/>
  <c r="AO283" i="3"/>
  <c r="AN283" i="3"/>
  <c r="AM283" i="3"/>
  <c r="AL283" i="3"/>
  <c r="AK283" i="3"/>
  <c r="AJ283" i="3"/>
  <c r="AI283" i="3"/>
  <c r="AH283" i="3"/>
  <c r="AG283" i="3"/>
  <c r="AF283" i="3"/>
  <c r="AE283" i="3"/>
  <c r="AD283" i="3"/>
  <c r="AC283" i="3"/>
  <c r="AB283" i="3"/>
  <c r="AA283" i="3"/>
  <c r="Z283" i="3"/>
  <c r="Y283" i="3"/>
  <c r="X283" i="3"/>
  <c r="W283" i="3"/>
  <c r="V283" i="3"/>
  <c r="U283" i="3"/>
  <c r="T283" i="3"/>
  <c r="S283" i="3"/>
  <c r="R283" i="3"/>
  <c r="Q283" i="3"/>
  <c r="P283" i="3"/>
  <c r="O283" i="3"/>
  <c r="N283" i="3"/>
  <c r="M283" i="3"/>
  <c r="L283" i="3"/>
  <c r="K283" i="3"/>
  <c r="J283" i="3"/>
  <c r="I283" i="3"/>
  <c r="H283" i="3"/>
  <c r="G283" i="3"/>
  <c r="F283" i="3"/>
  <c r="E283" i="3"/>
  <c r="D283" i="3"/>
  <c r="C283" i="3"/>
  <c r="B283" i="3"/>
  <c r="A283" i="3"/>
  <c r="BP282" i="3"/>
  <c r="BO282" i="3"/>
  <c r="BN282" i="3"/>
  <c r="BM282" i="3"/>
  <c r="BL282" i="3"/>
  <c r="BK282" i="3"/>
  <c r="BJ282" i="3"/>
  <c r="BI282" i="3"/>
  <c r="BH282" i="3"/>
  <c r="BG282" i="3"/>
  <c r="BF282" i="3"/>
  <c r="BE282" i="3"/>
  <c r="BD282" i="3"/>
  <c r="BC282" i="3"/>
  <c r="BB282" i="3"/>
  <c r="BA282" i="3"/>
  <c r="AZ282" i="3"/>
  <c r="AY282" i="3"/>
  <c r="AX282" i="3"/>
  <c r="AW282" i="3"/>
  <c r="AV282" i="3"/>
  <c r="AU282" i="3"/>
  <c r="AT282" i="3"/>
  <c r="AS282" i="3"/>
  <c r="AR282" i="3"/>
  <c r="AQ282" i="3"/>
  <c r="AP282" i="3"/>
  <c r="AO282" i="3"/>
  <c r="AN282" i="3"/>
  <c r="AM282" i="3"/>
  <c r="AL282" i="3"/>
  <c r="AK282" i="3"/>
  <c r="AJ282" i="3"/>
  <c r="AI282" i="3"/>
  <c r="AH282" i="3"/>
  <c r="AG282" i="3"/>
  <c r="AF282" i="3"/>
  <c r="AE282" i="3"/>
  <c r="AD282" i="3"/>
  <c r="AC282" i="3"/>
  <c r="AB282" i="3"/>
  <c r="AA282" i="3"/>
  <c r="Z282" i="3"/>
  <c r="Y282" i="3"/>
  <c r="X282" i="3"/>
  <c r="W282" i="3"/>
  <c r="V282" i="3"/>
  <c r="U282" i="3"/>
  <c r="T282" i="3"/>
  <c r="S282" i="3"/>
  <c r="R282" i="3"/>
  <c r="Q282" i="3"/>
  <c r="P282" i="3"/>
  <c r="O282" i="3"/>
  <c r="N282" i="3"/>
  <c r="M282" i="3"/>
  <c r="L282" i="3"/>
  <c r="K282" i="3"/>
  <c r="J282" i="3"/>
  <c r="I282" i="3"/>
  <c r="H282" i="3"/>
  <c r="G282" i="3"/>
  <c r="F282" i="3"/>
  <c r="E282" i="3"/>
  <c r="D282" i="3"/>
  <c r="C282" i="3"/>
  <c r="B282" i="3"/>
  <c r="A282" i="3"/>
  <c r="BP281" i="3"/>
  <c r="BO281" i="3"/>
  <c r="BN281" i="3"/>
  <c r="BM281" i="3"/>
  <c r="BL281" i="3"/>
  <c r="BK281" i="3"/>
  <c r="BJ281" i="3"/>
  <c r="BI281" i="3"/>
  <c r="BH281" i="3"/>
  <c r="BG281" i="3"/>
  <c r="BF281" i="3"/>
  <c r="BE281" i="3"/>
  <c r="BD281" i="3"/>
  <c r="BC281" i="3"/>
  <c r="BB281" i="3"/>
  <c r="BA281" i="3"/>
  <c r="AZ281" i="3"/>
  <c r="AY281" i="3"/>
  <c r="AX281" i="3"/>
  <c r="AW281" i="3"/>
  <c r="AV281" i="3"/>
  <c r="AU281" i="3"/>
  <c r="AT281" i="3"/>
  <c r="AS281" i="3"/>
  <c r="AR281" i="3"/>
  <c r="AQ281" i="3"/>
  <c r="AP281" i="3"/>
  <c r="AO281" i="3"/>
  <c r="AN281" i="3"/>
  <c r="AM281" i="3"/>
  <c r="AL281" i="3"/>
  <c r="AK281" i="3"/>
  <c r="AJ281" i="3"/>
  <c r="AI281" i="3"/>
  <c r="AH281" i="3"/>
  <c r="AG281" i="3"/>
  <c r="AF281" i="3"/>
  <c r="AE281" i="3"/>
  <c r="AD281" i="3"/>
  <c r="AC281" i="3"/>
  <c r="AB281" i="3"/>
  <c r="AA281" i="3"/>
  <c r="Z281" i="3"/>
  <c r="Y281" i="3"/>
  <c r="X281" i="3"/>
  <c r="W281" i="3"/>
  <c r="V281" i="3"/>
  <c r="U281" i="3"/>
  <c r="T281" i="3"/>
  <c r="S281" i="3"/>
  <c r="R281" i="3"/>
  <c r="Q281" i="3"/>
  <c r="P281" i="3"/>
  <c r="O281" i="3"/>
  <c r="N281" i="3"/>
  <c r="M281" i="3"/>
  <c r="L281" i="3"/>
  <c r="K281" i="3"/>
  <c r="J281" i="3"/>
  <c r="I281" i="3"/>
  <c r="H281" i="3"/>
  <c r="G281" i="3"/>
  <c r="F281" i="3"/>
  <c r="E281" i="3"/>
  <c r="D281" i="3"/>
  <c r="C281" i="3"/>
  <c r="B281" i="3"/>
  <c r="A281" i="3"/>
  <c r="BP280" i="3"/>
  <c r="BO280" i="3"/>
  <c r="BN280" i="3"/>
  <c r="BM280" i="3"/>
  <c r="BL280" i="3"/>
  <c r="BK280" i="3"/>
  <c r="BJ280" i="3"/>
  <c r="BI280" i="3"/>
  <c r="BH280" i="3"/>
  <c r="BG280" i="3"/>
  <c r="BF280" i="3"/>
  <c r="BE280" i="3"/>
  <c r="BD280" i="3"/>
  <c r="BC280" i="3"/>
  <c r="BB280" i="3"/>
  <c r="BA280" i="3"/>
  <c r="AZ280" i="3"/>
  <c r="AY280" i="3"/>
  <c r="AX280" i="3"/>
  <c r="AW280" i="3"/>
  <c r="AV280" i="3"/>
  <c r="AU280" i="3"/>
  <c r="AT280" i="3"/>
  <c r="AS280" i="3"/>
  <c r="AR280" i="3"/>
  <c r="AQ280" i="3"/>
  <c r="AP280" i="3"/>
  <c r="AO280" i="3"/>
  <c r="AN280" i="3"/>
  <c r="AM280" i="3"/>
  <c r="AL280" i="3"/>
  <c r="AK280" i="3"/>
  <c r="AJ280" i="3"/>
  <c r="AI280" i="3"/>
  <c r="AH280" i="3"/>
  <c r="AG280" i="3"/>
  <c r="AF280" i="3"/>
  <c r="AE280" i="3"/>
  <c r="AD280" i="3"/>
  <c r="AC280" i="3"/>
  <c r="AB280" i="3"/>
  <c r="AA280" i="3"/>
  <c r="Z280" i="3"/>
  <c r="Y280" i="3"/>
  <c r="X280" i="3"/>
  <c r="W280" i="3"/>
  <c r="V280" i="3"/>
  <c r="U280" i="3"/>
  <c r="T280" i="3"/>
  <c r="S280" i="3"/>
  <c r="R280" i="3"/>
  <c r="Q280" i="3"/>
  <c r="P280" i="3"/>
  <c r="O280" i="3"/>
  <c r="N280" i="3"/>
  <c r="M280" i="3"/>
  <c r="L280" i="3"/>
  <c r="K280" i="3"/>
  <c r="J280" i="3"/>
  <c r="I280" i="3"/>
  <c r="H280" i="3"/>
  <c r="G280" i="3"/>
  <c r="F280" i="3"/>
  <c r="E280" i="3"/>
  <c r="D280" i="3"/>
  <c r="C280" i="3"/>
  <c r="B280" i="3"/>
  <c r="A280" i="3"/>
  <c r="BP279" i="3"/>
  <c r="BO279" i="3"/>
  <c r="BN279" i="3"/>
  <c r="BM279" i="3"/>
  <c r="BL279" i="3"/>
  <c r="BK279" i="3"/>
  <c r="BJ279" i="3"/>
  <c r="BI279" i="3"/>
  <c r="BH279" i="3"/>
  <c r="BG279" i="3"/>
  <c r="BF279" i="3"/>
  <c r="BE279" i="3"/>
  <c r="BD279" i="3"/>
  <c r="BC279" i="3"/>
  <c r="BB279" i="3"/>
  <c r="BA279" i="3"/>
  <c r="AZ279" i="3"/>
  <c r="AY279" i="3"/>
  <c r="AX279" i="3"/>
  <c r="AW279" i="3"/>
  <c r="AV279" i="3"/>
  <c r="AU279" i="3"/>
  <c r="AT279" i="3"/>
  <c r="AS279" i="3"/>
  <c r="AR279" i="3"/>
  <c r="AQ279" i="3"/>
  <c r="AP279" i="3"/>
  <c r="AO279" i="3"/>
  <c r="AN279" i="3"/>
  <c r="AM279" i="3"/>
  <c r="AL279" i="3"/>
  <c r="AK279" i="3"/>
  <c r="AJ279" i="3"/>
  <c r="AI279" i="3"/>
  <c r="AH279" i="3"/>
  <c r="AG279" i="3"/>
  <c r="AF279" i="3"/>
  <c r="AE279" i="3"/>
  <c r="AD279" i="3"/>
  <c r="AC279" i="3"/>
  <c r="AB279" i="3"/>
  <c r="AA279" i="3"/>
  <c r="Z279" i="3"/>
  <c r="Y279" i="3"/>
  <c r="X279" i="3"/>
  <c r="W279" i="3"/>
  <c r="V279" i="3"/>
  <c r="U279" i="3"/>
  <c r="T279" i="3"/>
  <c r="S279" i="3"/>
  <c r="R279" i="3"/>
  <c r="Q279" i="3"/>
  <c r="P279" i="3"/>
  <c r="O279" i="3"/>
  <c r="N279" i="3"/>
  <c r="M279" i="3"/>
  <c r="L279" i="3"/>
  <c r="K279" i="3"/>
  <c r="J279" i="3"/>
  <c r="I279" i="3"/>
  <c r="H279" i="3"/>
  <c r="G279" i="3"/>
  <c r="F279" i="3"/>
  <c r="E279" i="3"/>
  <c r="D279" i="3"/>
  <c r="C279" i="3"/>
  <c r="B279" i="3"/>
  <c r="A279" i="3"/>
  <c r="BP278" i="3"/>
  <c r="BO278" i="3"/>
  <c r="BN278" i="3"/>
  <c r="BM278" i="3"/>
  <c r="BL278" i="3"/>
  <c r="BK278" i="3"/>
  <c r="BJ278" i="3"/>
  <c r="BI278" i="3"/>
  <c r="BH278" i="3"/>
  <c r="BG278" i="3"/>
  <c r="BF278" i="3"/>
  <c r="BE278" i="3"/>
  <c r="BD278" i="3"/>
  <c r="BC278" i="3"/>
  <c r="BB278" i="3"/>
  <c r="BA278" i="3"/>
  <c r="AZ278" i="3"/>
  <c r="AY278" i="3"/>
  <c r="AX278" i="3"/>
  <c r="AW278" i="3"/>
  <c r="AV278" i="3"/>
  <c r="AU278" i="3"/>
  <c r="AT278" i="3"/>
  <c r="AS278" i="3"/>
  <c r="AR278" i="3"/>
  <c r="AQ278" i="3"/>
  <c r="AP278" i="3"/>
  <c r="AO278" i="3"/>
  <c r="AN278" i="3"/>
  <c r="AM278" i="3"/>
  <c r="AL278" i="3"/>
  <c r="AK278" i="3"/>
  <c r="AJ278" i="3"/>
  <c r="AI278" i="3"/>
  <c r="AH278" i="3"/>
  <c r="AG278" i="3"/>
  <c r="AF278" i="3"/>
  <c r="AE278" i="3"/>
  <c r="AD278" i="3"/>
  <c r="AC278" i="3"/>
  <c r="AB278" i="3"/>
  <c r="AA278" i="3"/>
  <c r="Z278" i="3"/>
  <c r="Y278" i="3"/>
  <c r="X278" i="3"/>
  <c r="W278" i="3"/>
  <c r="V278" i="3"/>
  <c r="U278" i="3"/>
  <c r="T278" i="3"/>
  <c r="S278" i="3"/>
  <c r="R278" i="3"/>
  <c r="Q278" i="3"/>
  <c r="P278" i="3"/>
  <c r="O278" i="3"/>
  <c r="N278" i="3"/>
  <c r="M278" i="3"/>
  <c r="L278" i="3"/>
  <c r="K278" i="3"/>
  <c r="J278" i="3"/>
  <c r="I278" i="3"/>
  <c r="H278" i="3"/>
  <c r="G278" i="3"/>
  <c r="F278" i="3"/>
  <c r="E278" i="3"/>
  <c r="D278" i="3"/>
  <c r="C278" i="3"/>
  <c r="B278" i="3"/>
  <c r="A278" i="3"/>
  <c r="BP277" i="3"/>
  <c r="BO277" i="3"/>
  <c r="BN277" i="3"/>
  <c r="BM277" i="3"/>
  <c r="BL277" i="3"/>
  <c r="BK277" i="3"/>
  <c r="BJ277" i="3"/>
  <c r="BI277" i="3"/>
  <c r="BH277" i="3"/>
  <c r="BG277" i="3"/>
  <c r="BF277" i="3"/>
  <c r="BE277" i="3"/>
  <c r="BD277" i="3"/>
  <c r="BC277" i="3"/>
  <c r="BB277" i="3"/>
  <c r="BA277" i="3"/>
  <c r="AZ277" i="3"/>
  <c r="AY277" i="3"/>
  <c r="AX277" i="3"/>
  <c r="AW277" i="3"/>
  <c r="AV277" i="3"/>
  <c r="AU277" i="3"/>
  <c r="AT277" i="3"/>
  <c r="AS277" i="3"/>
  <c r="AR277" i="3"/>
  <c r="AQ277" i="3"/>
  <c r="AP277" i="3"/>
  <c r="AO277" i="3"/>
  <c r="AN277" i="3"/>
  <c r="AM277" i="3"/>
  <c r="AL277" i="3"/>
  <c r="AK277" i="3"/>
  <c r="AJ277" i="3"/>
  <c r="AI277" i="3"/>
  <c r="AH277" i="3"/>
  <c r="AG277" i="3"/>
  <c r="AF277" i="3"/>
  <c r="AE277" i="3"/>
  <c r="AD277" i="3"/>
  <c r="AC277" i="3"/>
  <c r="AB277" i="3"/>
  <c r="AA277" i="3"/>
  <c r="Z277" i="3"/>
  <c r="Y277" i="3"/>
  <c r="X277" i="3"/>
  <c r="W277" i="3"/>
  <c r="V277" i="3"/>
  <c r="U277" i="3"/>
  <c r="T277" i="3"/>
  <c r="S277" i="3"/>
  <c r="R277" i="3"/>
  <c r="Q277" i="3"/>
  <c r="P277" i="3"/>
  <c r="O277" i="3"/>
  <c r="N277" i="3"/>
  <c r="M277" i="3"/>
  <c r="L277" i="3"/>
  <c r="K277" i="3"/>
  <c r="J277" i="3"/>
  <c r="I277" i="3"/>
  <c r="H277" i="3"/>
  <c r="G277" i="3"/>
  <c r="F277" i="3"/>
  <c r="E277" i="3"/>
  <c r="D277" i="3"/>
  <c r="C277" i="3"/>
  <c r="B277" i="3"/>
  <c r="A277" i="3"/>
  <c r="BP276" i="3"/>
  <c r="BO276" i="3"/>
  <c r="BN276" i="3"/>
  <c r="BM276" i="3"/>
  <c r="BL276" i="3"/>
  <c r="BK276" i="3"/>
  <c r="BJ276" i="3"/>
  <c r="BI276" i="3"/>
  <c r="BH276" i="3"/>
  <c r="BG276" i="3"/>
  <c r="BF276" i="3"/>
  <c r="BE276" i="3"/>
  <c r="BD276" i="3"/>
  <c r="BC276" i="3"/>
  <c r="BB276" i="3"/>
  <c r="BA276" i="3"/>
  <c r="AZ276" i="3"/>
  <c r="AY276" i="3"/>
  <c r="AX276" i="3"/>
  <c r="AW276" i="3"/>
  <c r="AV276" i="3"/>
  <c r="AU276" i="3"/>
  <c r="AT276" i="3"/>
  <c r="AS276" i="3"/>
  <c r="AR276" i="3"/>
  <c r="AQ276" i="3"/>
  <c r="AP276" i="3"/>
  <c r="AO276" i="3"/>
  <c r="AN276" i="3"/>
  <c r="AM276" i="3"/>
  <c r="AL276" i="3"/>
  <c r="AK276" i="3"/>
  <c r="AJ276" i="3"/>
  <c r="AI276" i="3"/>
  <c r="AH276" i="3"/>
  <c r="AG276" i="3"/>
  <c r="AF276" i="3"/>
  <c r="AE276" i="3"/>
  <c r="AD276" i="3"/>
  <c r="AC276" i="3"/>
  <c r="AB276" i="3"/>
  <c r="AA276" i="3"/>
  <c r="Z276" i="3"/>
  <c r="Y276" i="3"/>
  <c r="X276" i="3"/>
  <c r="W276" i="3"/>
  <c r="V276" i="3"/>
  <c r="U276" i="3"/>
  <c r="T276" i="3"/>
  <c r="S276" i="3"/>
  <c r="R276" i="3"/>
  <c r="Q276" i="3"/>
  <c r="P276" i="3"/>
  <c r="O276" i="3"/>
  <c r="N276" i="3"/>
  <c r="M276" i="3"/>
  <c r="L276" i="3"/>
  <c r="K276" i="3"/>
  <c r="J276" i="3"/>
  <c r="I276" i="3"/>
  <c r="H276" i="3"/>
  <c r="G276" i="3"/>
  <c r="F276" i="3"/>
  <c r="E276" i="3"/>
  <c r="D276" i="3"/>
  <c r="C276" i="3"/>
  <c r="B276" i="3"/>
  <c r="A276" i="3"/>
  <c r="BP275" i="3"/>
  <c r="BO275" i="3"/>
  <c r="BN275" i="3"/>
  <c r="BM275" i="3"/>
  <c r="BL275" i="3"/>
  <c r="BK275" i="3"/>
  <c r="BJ275" i="3"/>
  <c r="BI275" i="3"/>
  <c r="BH275" i="3"/>
  <c r="BG275" i="3"/>
  <c r="BF275" i="3"/>
  <c r="BE275" i="3"/>
  <c r="BD275" i="3"/>
  <c r="BC275" i="3"/>
  <c r="BB275" i="3"/>
  <c r="BA275" i="3"/>
  <c r="AZ275" i="3"/>
  <c r="AY275" i="3"/>
  <c r="AX275" i="3"/>
  <c r="AW275" i="3"/>
  <c r="AV275" i="3"/>
  <c r="AU275" i="3"/>
  <c r="AT275" i="3"/>
  <c r="AS275" i="3"/>
  <c r="AR275" i="3"/>
  <c r="AQ275" i="3"/>
  <c r="AP275" i="3"/>
  <c r="AO275" i="3"/>
  <c r="AN275" i="3"/>
  <c r="AM275" i="3"/>
  <c r="AL275" i="3"/>
  <c r="AK275" i="3"/>
  <c r="AJ275" i="3"/>
  <c r="AI275" i="3"/>
  <c r="AH275" i="3"/>
  <c r="AG275" i="3"/>
  <c r="AF275" i="3"/>
  <c r="AE275" i="3"/>
  <c r="AD275" i="3"/>
  <c r="AC275" i="3"/>
  <c r="AB275" i="3"/>
  <c r="AA275" i="3"/>
  <c r="Z275" i="3"/>
  <c r="Y275" i="3"/>
  <c r="X275" i="3"/>
  <c r="W275" i="3"/>
  <c r="V275" i="3"/>
  <c r="U275" i="3"/>
  <c r="T275" i="3"/>
  <c r="S275" i="3"/>
  <c r="R275" i="3"/>
  <c r="Q275" i="3"/>
  <c r="P275" i="3"/>
  <c r="O275" i="3"/>
  <c r="N275" i="3"/>
  <c r="M275" i="3"/>
  <c r="L275" i="3"/>
  <c r="K275" i="3"/>
  <c r="J275" i="3"/>
  <c r="I275" i="3"/>
  <c r="H275" i="3"/>
  <c r="G275" i="3"/>
  <c r="F275" i="3"/>
  <c r="E275" i="3"/>
  <c r="D275" i="3"/>
  <c r="C275" i="3"/>
  <c r="B275" i="3"/>
  <c r="A275" i="3"/>
  <c r="BP274" i="3"/>
  <c r="BO274" i="3"/>
  <c r="BN274" i="3"/>
  <c r="BM274" i="3"/>
  <c r="BL274" i="3"/>
  <c r="BK274" i="3"/>
  <c r="BJ274" i="3"/>
  <c r="BI274" i="3"/>
  <c r="BH274" i="3"/>
  <c r="BG274" i="3"/>
  <c r="BF274" i="3"/>
  <c r="BE274" i="3"/>
  <c r="BD274" i="3"/>
  <c r="BC274" i="3"/>
  <c r="BB274" i="3"/>
  <c r="BA274" i="3"/>
  <c r="AZ274" i="3"/>
  <c r="AY274" i="3"/>
  <c r="AX274" i="3"/>
  <c r="AW274" i="3"/>
  <c r="AV274" i="3"/>
  <c r="AU274" i="3"/>
  <c r="AT274" i="3"/>
  <c r="AS274" i="3"/>
  <c r="AR274" i="3"/>
  <c r="AQ274" i="3"/>
  <c r="AP274" i="3"/>
  <c r="AO274" i="3"/>
  <c r="AN274" i="3"/>
  <c r="AM274" i="3"/>
  <c r="AL274" i="3"/>
  <c r="AK274" i="3"/>
  <c r="AJ274" i="3"/>
  <c r="AI274" i="3"/>
  <c r="AH274" i="3"/>
  <c r="AG274" i="3"/>
  <c r="AF274" i="3"/>
  <c r="AE274" i="3"/>
  <c r="AD274" i="3"/>
  <c r="AC274" i="3"/>
  <c r="AB274" i="3"/>
  <c r="AA274" i="3"/>
  <c r="Z274" i="3"/>
  <c r="Y274" i="3"/>
  <c r="X274" i="3"/>
  <c r="W274" i="3"/>
  <c r="V274" i="3"/>
  <c r="U274" i="3"/>
  <c r="T274" i="3"/>
  <c r="S274" i="3"/>
  <c r="R274" i="3"/>
  <c r="Q274" i="3"/>
  <c r="P274" i="3"/>
  <c r="O274" i="3"/>
  <c r="N274" i="3"/>
  <c r="M274" i="3"/>
  <c r="L274" i="3"/>
  <c r="K274" i="3"/>
  <c r="J274" i="3"/>
  <c r="I274" i="3"/>
  <c r="H274" i="3"/>
  <c r="G274" i="3"/>
  <c r="F274" i="3"/>
  <c r="E274" i="3"/>
  <c r="D274" i="3"/>
  <c r="C274" i="3"/>
  <c r="B274" i="3"/>
  <c r="A274" i="3"/>
  <c r="BP273" i="3"/>
  <c r="BO273" i="3"/>
  <c r="BN273" i="3"/>
  <c r="BM273" i="3"/>
  <c r="BL273" i="3"/>
  <c r="BK273" i="3"/>
  <c r="BJ273" i="3"/>
  <c r="BI273" i="3"/>
  <c r="BH273" i="3"/>
  <c r="BG273" i="3"/>
  <c r="BF273" i="3"/>
  <c r="BE273" i="3"/>
  <c r="BD273" i="3"/>
  <c r="BC273" i="3"/>
  <c r="BB273" i="3"/>
  <c r="BA273" i="3"/>
  <c r="AZ273" i="3"/>
  <c r="AY273" i="3"/>
  <c r="AX273" i="3"/>
  <c r="AW273" i="3"/>
  <c r="AV273" i="3"/>
  <c r="AU273" i="3"/>
  <c r="AT273" i="3"/>
  <c r="AS273" i="3"/>
  <c r="AR273" i="3"/>
  <c r="AQ273" i="3"/>
  <c r="AP273" i="3"/>
  <c r="AO273" i="3"/>
  <c r="AN273" i="3"/>
  <c r="AM273" i="3"/>
  <c r="AL273" i="3"/>
  <c r="AK273" i="3"/>
  <c r="AJ273" i="3"/>
  <c r="AI273" i="3"/>
  <c r="AH273" i="3"/>
  <c r="AG273" i="3"/>
  <c r="AF273" i="3"/>
  <c r="AE273" i="3"/>
  <c r="AD273" i="3"/>
  <c r="AC273" i="3"/>
  <c r="AB273" i="3"/>
  <c r="AA273" i="3"/>
  <c r="Z273" i="3"/>
  <c r="Y273" i="3"/>
  <c r="X273" i="3"/>
  <c r="W273" i="3"/>
  <c r="V273" i="3"/>
  <c r="U273" i="3"/>
  <c r="T273" i="3"/>
  <c r="S273" i="3"/>
  <c r="R273" i="3"/>
  <c r="Q273" i="3"/>
  <c r="P273" i="3"/>
  <c r="O273" i="3"/>
  <c r="N273" i="3"/>
  <c r="M273" i="3"/>
  <c r="L273" i="3"/>
  <c r="K273" i="3"/>
  <c r="J273" i="3"/>
  <c r="I273" i="3"/>
  <c r="H273" i="3"/>
  <c r="G273" i="3"/>
  <c r="F273" i="3"/>
  <c r="E273" i="3"/>
  <c r="D273" i="3"/>
  <c r="C273" i="3"/>
  <c r="B273" i="3"/>
  <c r="A273" i="3"/>
  <c r="BP272" i="3"/>
  <c r="BO272" i="3"/>
  <c r="BN272" i="3"/>
  <c r="BM272" i="3"/>
  <c r="BL272" i="3"/>
  <c r="BK272" i="3"/>
  <c r="BJ272" i="3"/>
  <c r="BI272" i="3"/>
  <c r="BH272" i="3"/>
  <c r="BG272" i="3"/>
  <c r="BF272" i="3"/>
  <c r="BE272" i="3"/>
  <c r="BD272" i="3"/>
  <c r="BC272" i="3"/>
  <c r="BB272" i="3"/>
  <c r="BA272" i="3"/>
  <c r="AZ272" i="3"/>
  <c r="AY272" i="3"/>
  <c r="AX272" i="3"/>
  <c r="AW272" i="3"/>
  <c r="AV272" i="3"/>
  <c r="AU272" i="3"/>
  <c r="AT272" i="3"/>
  <c r="AS272" i="3"/>
  <c r="AR272" i="3"/>
  <c r="AQ272" i="3"/>
  <c r="AP272" i="3"/>
  <c r="AO272" i="3"/>
  <c r="AN272" i="3"/>
  <c r="AM272" i="3"/>
  <c r="AL272" i="3"/>
  <c r="AK272" i="3"/>
  <c r="AJ272" i="3"/>
  <c r="AI272" i="3"/>
  <c r="AH272" i="3"/>
  <c r="AG272" i="3"/>
  <c r="AF272" i="3"/>
  <c r="AE272" i="3"/>
  <c r="AD272" i="3"/>
  <c r="AC272" i="3"/>
  <c r="AB272" i="3"/>
  <c r="AA272" i="3"/>
  <c r="Z272" i="3"/>
  <c r="Y272" i="3"/>
  <c r="X272" i="3"/>
  <c r="W272" i="3"/>
  <c r="V272" i="3"/>
  <c r="U272" i="3"/>
  <c r="T272" i="3"/>
  <c r="S272" i="3"/>
  <c r="R272" i="3"/>
  <c r="Q272" i="3"/>
  <c r="P272" i="3"/>
  <c r="O272" i="3"/>
  <c r="N272" i="3"/>
  <c r="M272" i="3"/>
  <c r="L272" i="3"/>
  <c r="K272" i="3"/>
  <c r="J272" i="3"/>
  <c r="I272" i="3"/>
  <c r="H272" i="3"/>
  <c r="G272" i="3"/>
  <c r="F272" i="3"/>
  <c r="E272" i="3"/>
  <c r="D272" i="3"/>
  <c r="C272" i="3"/>
  <c r="B272" i="3"/>
  <c r="A272" i="3"/>
  <c r="BP271" i="3"/>
  <c r="BO271" i="3"/>
  <c r="BN271" i="3"/>
  <c r="BM271" i="3"/>
  <c r="BL271" i="3"/>
  <c r="BK271" i="3"/>
  <c r="BJ271" i="3"/>
  <c r="BI271" i="3"/>
  <c r="BH271" i="3"/>
  <c r="BG271" i="3"/>
  <c r="BF271" i="3"/>
  <c r="BE271" i="3"/>
  <c r="BD271" i="3"/>
  <c r="BC271" i="3"/>
  <c r="BB271" i="3"/>
  <c r="BA271" i="3"/>
  <c r="AZ271" i="3"/>
  <c r="AY271" i="3"/>
  <c r="AX271" i="3"/>
  <c r="AW271" i="3"/>
  <c r="AV271" i="3"/>
  <c r="AU271" i="3"/>
  <c r="AT271" i="3"/>
  <c r="AS271" i="3"/>
  <c r="AR271" i="3"/>
  <c r="AQ271" i="3"/>
  <c r="AP271" i="3"/>
  <c r="AO271" i="3"/>
  <c r="AN271" i="3"/>
  <c r="AM271" i="3"/>
  <c r="AL271" i="3"/>
  <c r="AK271" i="3"/>
  <c r="AJ271" i="3"/>
  <c r="AI271" i="3"/>
  <c r="AH271" i="3"/>
  <c r="AG271" i="3"/>
  <c r="AF271" i="3"/>
  <c r="AE271" i="3"/>
  <c r="AD271" i="3"/>
  <c r="AC271" i="3"/>
  <c r="AB271" i="3"/>
  <c r="AA271" i="3"/>
  <c r="Z271" i="3"/>
  <c r="Y271" i="3"/>
  <c r="X271" i="3"/>
  <c r="W271" i="3"/>
  <c r="V271" i="3"/>
  <c r="U271" i="3"/>
  <c r="T271" i="3"/>
  <c r="S271" i="3"/>
  <c r="R271" i="3"/>
  <c r="Q271" i="3"/>
  <c r="P271" i="3"/>
  <c r="O271" i="3"/>
  <c r="N271" i="3"/>
  <c r="M271" i="3"/>
  <c r="L271" i="3"/>
  <c r="K271" i="3"/>
  <c r="J271" i="3"/>
  <c r="I271" i="3"/>
  <c r="H271" i="3"/>
  <c r="G271" i="3"/>
  <c r="F271" i="3"/>
  <c r="E271" i="3"/>
  <c r="D271" i="3"/>
  <c r="C271" i="3"/>
  <c r="B271" i="3"/>
  <c r="A271" i="3"/>
  <c r="BP270" i="3"/>
  <c r="BO270" i="3"/>
  <c r="BN270" i="3"/>
  <c r="BM270" i="3"/>
  <c r="BL270" i="3"/>
  <c r="BK270" i="3"/>
  <c r="BJ270" i="3"/>
  <c r="BI270" i="3"/>
  <c r="BH270" i="3"/>
  <c r="BG270" i="3"/>
  <c r="BF270" i="3"/>
  <c r="BE270" i="3"/>
  <c r="BD270" i="3"/>
  <c r="BC270" i="3"/>
  <c r="BB270" i="3"/>
  <c r="BA270" i="3"/>
  <c r="AZ270" i="3"/>
  <c r="AY270" i="3"/>
  <c r="AX270" i="3"/>
  <c r="AW270" i="3"/>
  <c r="AV270" i="3"/>
  <c r="AU270" i="3"/>
  <c r="AT270" i="3"/>
  <c r="AS270" i="3"/>
  <c r="AR270" i="3"/>
  <c r="AQ270" i="3"/>
  <c r="AP270" i="3"/>
  <c r="AO270" i="3"/>
  <c r="AN270" i="3"/>
  <c r="AM270" i="3"/>
  <c r="AL270" i="3"/>
  <c r="AK270" i="3"/>
  <c r="AJ270" i="3"/>
  <c r="AI270" i="3"/>
  <c r="AH270" i="3"/>
  <c r="AG270" i="3"/>
  <c r="AF270" i="3"/>
  <c r="AE270" i="3"/>
  <c r="AD270" i="3"/>
  <c r="AC270" i="3"/>
  <c r="AB270" i="3"/>
  <c r="AA270" i="3"/>
  <c r="Z270" i="3"/>
  <c r="Y270" i="3"/>
  <c r="X270" i="3"/>
  <c r="W270" i="3"/>
  <c r="V270" i="3"/>
  <c r="U270" i="3"/>
  <c r="T270" i="3"/>
  <c r="S270" i="3"/>
  <c r="R270" i="3"/>
  <c r="Q270" i="3"/>
  <c r="P270" i="3"/>
  <c r="O270" i="3"/>
  <c r="N270" i="3"/>
  <c r="M270" i="3"/>
  <c r="L270" i="3"/>
  <c r="K270" i="3"/>
  <c r="J270" i="3"/>
  <c r="I270" i="3"/>
  <c r="H270" i="3"/>
  <c r="G270" i="3"/>
  <c r="F270" i="3"/>
  <c r="E270" i="3"/>
  <c r="D270" i="3"/>
  <c r="C270" i="3"/>
  <c r="B270" i="3"/>
  <c r="A270" i="3"/>
  <c r="BP269" i="3"/>
  <c r="BO269" i="3"/>
  <c r="BN269" i="3"/>
  <c r="BM269" i="3"/>
  <c r="BL269" i="3"/>
  <c r="BK269" i="3"/>
  <c r="BJ269" i="3"/>
  <c r="BI269" i="3"/>
  <c r="BH269" i="3"/>
  <c r="BG269" i="3"/>
  <c r="BF269" i="3"/>
  <c r="BE269" i="3"/>
  <c r="BD269" i="3"/>
  <c r="BC269" i="3"/>
  <c r="BB269" i="3"/>
  <c r="BA269" i="3"/>
  <c r="AZ269" i="3"/>
  <c r="AY269" i="3"/>
  <c r="AX269" i="3"/>
  <c r="AW269" i="3"/>
  <c r="AV269" i="3"/>
  <c r="AU269" i="3"/>
  <c r="AT269" i="3"/>
  <c r="AS269" i="3"/>
  <c r="AR269" i="3"/>
  <c r="AQ269" i="3"/>
  <c r="AP269" i="3"/>
  <c r="AO269" i="3"/>
  <c r="AN269" i="3"/>
  <c r="AM269" i="3"/>
  <c r="AL269" i="3"/>
  <c r="AK269" i="3"/>
  <c r="AJ269" i="3"/>
  <c r="AI269" i="3"/>
  <c r="AH269" i="3"/>
  <c r="AG269" i="3"/>
  <c r="AF269" i="3"/>
  <c r="AE269" i="3"/>
  <c r="AD269" i="3"/>
  <c r="AC269" i="3"/>
  <c r="AB269" i="3"/>
  <c r="AA269" i="3"/>
  <c r="Z269" i="3"/>
  <c r="Y269" i="3"/>
  <c r="X269" i="3"/>
  <c r="W269" i="3"/>
  <c r="V269" i="3"/>
  <c r="U269" i="3"/>
  <c r="T269" i="3"/>
  <c r="S269" i="3"/>
  <c r="R269" i="3"/>
  <c r="Q269" i="3"/>
  <c r="P269" i="3"/>
  <c r="O269" i="3"/>
  <c r="N269" i="3"/>
  <c r="M269" i="3"/>
  <c r="L269" i="3"/>
  <c r="K269" i="3"/>
  <c r="J269" i="3"/>
  <c r="I269" i="3"/>
  <c r="H269" i="3"/>
  <c r="G269" i="3"/>
  <c r="F269" i="3"/>
  <c r="E269" i="3"/>
  <c r="D269" i="3"/>
  <c r="C269" i="3"/>
  <c r="B269" i="3"/>
  <c r="A269" i="3"/>
  <c r="BP268" i="3"/>
  <c r="BO268" i="3"/>
  <c r="BN268" i="3"/>
  <c r="BM268" i="3"/>
  <c r="BL268" i="3"/>
  <c r="BK268" i="3"/>
  <c r="BJ268" i="3"/>
  <c r="BI268" i="3"/>
  <c r="BH268" i="3"/>
  <c r="BG268" i="3"/>
  <c r="BF268" i="3"/>
  <c r="BE268" i="3"/>
  <c r="BD268" i="3"/>
  <c r="BC268" i="3"/>
  <c r="BB268" i="3"/>
  <c r="BA268" i="3"/>
  <c r="AZ268" i="3"/>
  <c r="AY268" i="3"/>
  <c r="AX268" i="3"/>
  <c r="AW268" i="3"/>
  <c r="AV268" i="3"/>
  <c r="AU268" i="3"/>
  <c r="AT268" i="3"/>
  <c r="AS268" i="3"/>
  <c r="AR268" i="3"/>
  <c r="AQ268" i="3"/>
  <c r="AP268" i="3"/>
  <c r="AO268" i="3"/>
  <c r="AN268" i="3"/>
  <c r="AM268" i="3"/>
  <c r="AL268" i="3"/>
  <c r="AK268" i="3"/>
  <c r="AJ268" i="3"/>
  <c r="AI268" i="3"/>
  <c r="AH268" i="3"/>
  <c r="AG268" i="3"/>
  <c r="AF268" i="3"/>
  <c r="AE268" i="3"/>
  <c r="AD268" i="3"/>
  <c r="AC268" i="3"/>
  <c r="AB268" i="3"/>
  <c r="AA268" i="3"/>
  <c r="Z268" i="3"/>
  <c r="Y268" i="3"/>
  <c r="X268" i="3"/>
  <c r="W268" i="3"/>
  <c r="V268" i="3"/>
  <c r="U268" i="3"/>
  <c r="T268" i="3"/>
  <c r="S268" i="3"/>
  <c r="R268" i="3"/>
  <c r="Q268" i="3"/>
  <c r="P268" i="3"/>
  <c r="O268" i="3"/>
  <c r="N268" i="3"/>
  <c r="M268" i="3"/>
  <c r="L268" i="3"/>
  <c r="K268" i="3"/>
  <c r="J268" i="3"/>
  <c r="I268" i="3"/>
  <c r="H268" i="3"/>
  <c r="G268" i="3"/>
  <c r="F268" i="3"/>
  <c r="E268" i="3"/>
  <c r="D268" i="3"/>
  <c r="C268" i="3"/>
  <c r="B268" i="3"/>
  <c r="A268" i="3"/>
  <c r="BP267" i="3"/>
  <c r="BO267" i="3"/>
  <c r="BN267" i="3"/>
  <c r="BM267" i="3"/>
  <c r="BL267" i="3"/>
  <c r="BK267" i="3"/>
  <c r="BJ267" i="3"/>
  <c r="BI267" i="3"/>
  <c r="BH267" i="3"/>
  <c r="BG267" i="3"/>
  <c r="BF267" i="3"/>
  <c r="BE267" i="3"/>
  <c r="BD267" i="3"/>
  <c r="BC267" i="3"/>
  <c r="BB267" i="3"/>
  <c r="BA267" i="3"/>
  <c r="AZ267" i="3"/>
  <c r="AY267" i="3"/>
  <c r="AX267" i="3"/>
  <c r="AW267" i="3"/>
  <c r="AV267" i="3"/>
  <c r="AU267" i="3"/>
  <c r="AT267" i="3"/>
  <c r="AS267" i="3"/>
  <c r="AR267" i="3"/>
  <c r="AQ267" i="3"/>
  <c r="AP267" i="3"/>
  <c r="AO267" i="3"/>
  <c r="AN267" i="3"/>
  <c r="AM267" i="3"/>
  <c r="AL267" i="3"/>
  <c r="AK267" i="3"/>
  <c r="AJ267" i="3"/>
  <c r="AI267" i="3"/>
  <c r="AH267" i="3"/>
  <c r="AG267" i="3"/>
  <c r="AF267" i="3"/>
  <c r="AE267" i="3"/>
  <c r="AD267" i="3"/>
  <c r="AC267" i="3"/>
  <c r="AB267" i="3"/>
  <c r="AA267" i="3"/>
  <c r="Z267" i="3"/>
  <c r="Y267" i="3"/>
  <c r="X267" i="3"/>
  <c r="W267" i="3"/>
  <c r="V267" i="3"/>
  <c r="U267" i="3"/>
  <c r="T267" i="3"/>
  <c r="S267" i="3"/>
  <c r="R267" i="3"/>
  <c r="Q267" i="3"/>
  <c r="P267" i="3"/>
  <c r="O267" i="3"/>
  <c r="N267" i="3"/>
  <c r="M267" i="3"/>
  <c r="L267" i="3"/>
  <c r="K267" i="3"/>
  <c r="J267" i="3"/>
  <c r="I267" i="3"/>
  <c r="H267" i="3"/>
  <c r="G267" i="3"/>
  <c r="F267" i="3"/>
  <c r="E267" i="3"/>
  <c r="D267" i="3"/>
  <c r="C267" i="3"/>
  <c r="B267" i="3"/>
  <c r="A267" i="3"/>
  <c r="BP266" i="3"/>
  <c r="BO266" i="3"/>
  <c r="BN266" i="3"/>
  <c r="BM266" i="3"/>
  <c r="BL266" i="3"/>
  <c r="BK266" i="3"/>
  <c r="BJ266" i="3"/>
  <c r="BI266" i="3"/>
  <c r="BH266" i="3"/>
  <c r="BG266" i="3"/>
  <c r="BF266" i="3"/>
  <c r="BE266" i="3"/>
  <c r="BD266" i="3"/>
  <c r="BC266" i="3"/>
  <c r="BB266" i="3"/>
  <c r="BA266" i="3"/>
  <c r="AZ266" i="3"/>
  <c r="AY266" i="3"/>
  <c r="AX266" i="3"/>
  <c r="AW266" i="3"/>
  <c r="AV266" i="3"/>
  <c r="AU266" i="3"/>
  <c r="AT266" i="3"/>
  <c r="AS266" i="3"/>
  <c r="AR266" i="3"/>
  <c r="AQ266" i="3"/>
  <c r="AP266" i="3"/>
  <c r="AO266" i="3"/>
  <c r="AN266" i="3"/>
  <c r="AM266" i="3"/>
  <c r="AL266" i="3"/>
  <c r="AK266" i="3"/>
  <c r="AJ266" i="3"/>
  <c r="AI266" i="3"/>
  <c r="AH266" i="3"/>
  <c r="AG266" i="3"/>
  <c r="AF266" i="3"/>
  <c r="AE266" i="3"/>
  <c r="AD266" i="3"/>
  <c r="AC266" i="3"/>
  <c r="AB266" i="3"/>
  <c r="AA266" i="3"/>
  <c r="Z266" i="3"/>
  <c r="Y266" i="3"/>
  <c r="X266" i="3"/>
  <c r="W266" i="3"/>
  <c r="V266" i="3"/>
  <c r="U266" i="3"/>
  <c r="T266" i="3"/>
  <c r="S266" i="3"/>
  <c r="R266" i="3"/>
  <c r="Q266" i="3"/>
  <c r="P266" i="3"/>
  <c r="O266" i="3"/>
  <c r="N266" i="3"/>
  <c r="M266" i="3"/>
  <c r="L266" i="3"/>
  <c r="K266" i="3"/>
  <c r="J266" i="3"/>
  <c r="I266" i="3"/>
  <c r="H266" i="3"/>
  <c r="G266" i="3"/>
  <c r="F266" i="3"/>
  <c r="E266" i="3"/>
  <c r="D266" i="3"/>
  <c r="C266" i="3"/>
  <c r="B266" i="3"/>
  <c r="A266" i="3"/>
  <c r="BP265" i="3"/>
  <c r="BO265" i="3"/>
  <c r="BN265" i="3"/>
  <c r="BM265" i="3"/>
  <c r="BL265" i="3"/>
  <c r="BK265" i="3"/>
  <c r="BJ265" i="3"/>
  <c r="BI265" i="3"/>
  <c r="BH265" i="3"/>
  <c r="BG265" i="3"/>
  <c r="BF265" i="3"/>
  <c r="BE265" i="3"/>
  <c r="BD265" i="3"/>
  <c r="BC265" i="3"/>
  <c r="BB265" i="3"/>
  <c r="BA265" i="3"/>
  <c r="AZ265" i="3"/>
  <c r="AY265" i="3"/>
  <c r="AX265" i="3"/>
  <c r="AW265" i="3"/>
  <c r="AV265" i="3"/>
  <c r="AU265" i="3"/>
  <c r="AT265" i="3"/>
  <c r="AS265" i="3"/>
  <c r="AR265" i="3"/>
  <c r="AQ265" i="3"/>
  <c r="AP265" i="3"/>
  <c r="AO265" i="3"/>
  <c r="AN265" i="3"/>
  <c r="AM265" i="3"/>
  <c r="AL265" i="3"/>
  <c r="AK265" i="3"/>
  <c r="AJ265" i="3"/>
  <c r="AI265" i="3"/>
  <c r="AH265" i="3"/>
  <c r="AG265" i="3"/>
  <c r="AF265" i="3"/>
  <c r="AE265" i="3"/>
  <c r="AD265" i="3"/>
  <c r="AC265" i="3"/>
  <c r="AB265" i="3"/>
  <c r="AA265" i="3"/>
  <c r="Z265" i="3"/>
  <c r="Y265" i="3"/>
  <c r="X265" i="3"/>
  <c r="W265" i="3"/>
  <c r="V265" i="3"/>
  <c r="U265" i="3"/>
  <c r="T265" i="3"/>
  <c r="S265" i="3"/>
  <c r="R265" i="3"/>
  <c r="Q265" i="3"/>
  <c r="P265" i="3"/>
  <c r="O265" i="3"/>
  <c r="N265" i="3"/>
  <c r="M265" i="3"/>
  <c r="L265" i="3"/>
  <c r="K265" i="3"/>
  <c r="J265" i="3"/>
  <c r="I265" i="3"/>
  <c r="H265" i="3"/>
  <c r="G265" i="3"/>
  <c r="F265" i="3"/>
  <c r="E265" i="3"/>
  <c r="D265" i="3"/>
  <c r="C265" i="3"/>
  <c r="B265" i="3"/>
  <c r="A265" i="3"/>
  <c r="BP264" i="3"/>
  <c r="BO264" i="3"/>
  <c r="BN264" i="3"/>
  <c r="BM264" i="3"/>
  <c r="BL264" i="3"/>
  <c r="BK264" i="3"/>
  <c r="BJ264" i="3"/>
  <c r="BI264" i="3"/>
  <c r="BH264" i="3"/>
  <c r="BG264" i="3"/>
  <c r="BF264" i="3"/>
  <c r="BE264" i="3"/>
  <c r="BD264" i="3"/>
  <c r="BC264" i="3"/>
  <c r="BB264" i="3"/>
  <c r="BA264" i="3"/>
  <c r="AZ264" i="3"/>
  <c r="AY264" i="3"/>
  <c r="AX264" i="3"/>
  <c r="AW264" i="3"/>
  <c r="AV264" i="3"/>
  <c r="AU264" i="3"/>
  <c r="AT264" i="3"/>
  <c r="AS264" i="3"/>
  <c r="AR264" i="3"/>
  <c r="AQ264" i="3"/>
  <c r="AP264" i="3"/>
  <c r="AO264" i="3"/>
  <c r="AN264" i="3"/>
  <c r="AM264" i="3"/>
  <c r="AL264" i="3"/>
  <c r="AK264" i="3"/>
  <c r="AJ264" i="3"/>
  <c r="AI264" i="3"/>
  <c r="AH264" i="3"/>
  <c r="AG264" i="3"/>
  <c r="AF264" i="3"/>
  <c r="AE264" i="3"/>
  <c r="AD264" i="3"/>
  <c r="AC264" i="3"/>
  <c r="AB264" i="3"/>
  <c r="AA264" i="3"/>
  <c r="Z264" i="3"/>
  <c r="Y264" i="3"/>
  <c r="X264" i="3"/>
  <c r="W264" i="3"/>
  <c r="V264" i="3"/>
  <c r="U264" i="3"/>
  <c r="T264" i="3"/>
  <c r="S264" i="3"/>
  <c r="R264" i="3"/>
  <c r="Q264" i="3"/>
  <c r="P264" i="3"/>
  <c r="O264" i="3"/>
  <c r="N264" i="3"/>
  <c r="M264" i="3"/>
  <c r="L264" i="3"/>
  <c r="K264" i="3"/>
  <c r="J264" i="3"/>
  <c r="I264" i="3"/>
  <c r="H264" i="3"/>
  <c r="G264" i="3"/>
  <c r="F264" i="3"/>
  <c r="E264" i="3"/>
  <c r="D264" i="3"/>
  <c r="C264" i="3"/>
  <c r="B264" i="3"/>
  <c r="A264" i="3"/>
  <c r="BP263" i="3"/>
  <c r="BO263" i="3"/>
  <c r="BN263" i="3"/>
  <c r="BM263" i="3"/>
  <c r="BL263" i="3"/>
  <c r="BK263" i="3"/>
  <c r="BJ263" i="3"/>
  <c r="BI263" i="3"/>
  <c r="BH263" i="3"/>
  <c r="BG263" i="3"/>
  <c r="BF263" i="3"/>
  <c r="BE263" i="3"/>
  <c r="BD263" i="3"/>
  <c r="BC263" i="3"/>
  <c r="BB263" i="3"/>
  <c r="BA263" i="3"/>
  <c r="AZ263" i="3"/>
  <c r="AY263" i="3"/>
  <c r="AX263" i="3"/>
  <c r="AW263" i="3"/>
  <c r="AV263" i="3"/>
  <c r="AU263" i="3"/>
  <c r="AT263" i="3"/>
  <c r="AS263" i="3"/>
  <c r="AR263" i="3"/>
  <c r="AQ263" i="3"/>
  <c r="AP263" i="3"/>
  <c r="AO263" i="3"/>
  <c r="AN263" i="3"/>
  <c r="AM263" i="3"/>
  <c r="AL263" i="3"/>
  <c r="AK263" i="3"/>
  <c r="AJ263" i="3"/>
  <c r="AI263" i="3"/>
  <c r="AH263" i="3"/>
  <c r="AG263" i="3"/>
  <c r="AF263" i="3"/>
  <c r="AE263" i="3"/>
  <c r="AD263" i="3"/>
  <c r="AC263" i="3"/>
  <c r="AB263" i="3"/>
  <c r="AA263" i="3"/>
  <c r="Z263" i="3"/>
  <c r="Y263" i="3"/>
  <c r="X263" i="3"/>
  <c r="W263" i="3"/>
  <c r="V263" i="3"/>
  <c r="U263" i="3"/>
  <c r="T263" i="3"/>
  <c r="S263" i="3"/>
  <c r="R263" i="3"/>
  <c r="Q263" i="3"/>
  <c r="P263" i="3"/>
  <c r="O263" i="3"/>
  <c r="N263" i="3"/>
  <c r="M263" i="3"/>
  <c r="L263" i="3"/>
  <c r="K263" i="3"/>
  <c r="J263" i="3"/>
  <c r="I263" i="3"/>
  <c r="H263" i="3"/>
  <c r="G263" i="3"/>
  <c r="F263" i="3"/>
  <c r="E263" i="3"/>
  <c r="D263" i="3"/>
  <c r="C263" i="3"/>
  <c r="B263" i="3"/>
  <c r="A263" i="3"/>
  <c r="BP262" i="3"/>
  <c r="BO262" i="3"/>
  <c r="BN262" i="3"/>
  <c r="BM262" i="3"/>
  <c r="BL262" i="3"/>
  <c r="BK262" i="3"/>
  <c r="BJ262" i="3"/>
  <c r="BI262" i="3"/>
  <c r="BH262" i="3"/>
  <c r="BG262" i="3"/>
  <c r="BF262" i="3"/>
  <c r="BE262" i="3"/>
  <c r="BD262" i="3"/>
  <c r="BC262" i="3"/>
  <c r="BB262" i="3"/>
  <c r="BA262" i="3"/>
  <c r="AZ262" i="3"/>
  <c r="AY262" i="3"/>
  <c r="AX262" i="3"/>
  <c r="AW262" i="3"/>
  <c r="AV262" i="3"/>
  <c r="AU262" i="3"/>
  <c r="AT262" i="3"/>
  <c r="AS262" i="3"/>
  <c r="AR262" i="3"/>
  <c r="AQ262" i="3"/>
  <c r="AP262" i="3"/>
  <c r="AO262" i="3"/>
  <c r="AN262" i="3"/>
  <c r="AM262" i="3"/>
  <c r="AL262" i="3"/>
  <c r="AK262" i="3"/>
  <c r="AJ262" i="3"/>
  <c r="AI262" i="3"/>
  <c r="AH262" i="3"/>
  <c r="AG262" i="3"/>
  <c r="AF262" i="3"/>
  <c r="AE262" i="3"/>
  <c r="AD262" i="3"/>
  <c r="AC262" i="3"/>
  <c r="AB262" i="3"/>
  <c r="AA262" i="3"/>
  <c r="Z262" i="3"/>
  <c r="Y262" i="3"/>
  <c r="X262" i="3"/>
  <c r="W262" i="3"/>
  <c r="V262" i="3"/>
  <c r="U262" i="3"/>
  <c r="T262" i="3"/>
  <c r="S262" i="3"/>
  <c r="R262" i="3"/>
  <c r="Q262" i="3"/>
  <c r="P262" i="3"/>
  <c r="O262" i="3"/>
  <c r="N262" i="3"/>
  <c r="M262" i="3"/>
  <c r="L262" i="3"/>
  <c r="K262" i="3"/>
  <c r="J262" i="3"/>
  <c r="I262" i="3"/>
  <c r="H262" i="3"/>
  <c r="G262" i="3"/>
  <c r="F262" i="3"/>
  <c r="E262" i="3"/>
  <c r="D262" i="3"/>
  <c r="C262" i="3"/>
  <c r="B262" i="3"/>
  <c r="A262" i="3"/>
  <c r="BP261" i="3"/>
  <c r="BO261" i="3"/>
  <c r="BN261" i="3"/>
  <c r="BM261" i="3"/>
  <c r="BL261" i="3"/>
  <c r="BK261" i="3"/>
  <c r="BJ261" i="3"/>
  <c r="BI261" i="3"/>
  <c r="BH261" i="3"/>
  <c r="BG261" i="3"/>
  <c r="BF261" i="3"/>
  <c r="BE261" i="3"/>
  <c r="BD261" i="3"/>
  <c r="BC261" i="3"/>
  <c r="BB261" i="3"/>
  <c r="BA261" i="3"/>
  <c r="AZ261" i="3"/>
  <c r="AY261" i="3"/>
  <c r="AX261" i="3"/>
  <c r="AW261" i="3"/>
  <c r="AV261" i="3"/>
  <c r="AU261" i="3"/>
  <c r="AT261" i="3"/>
  <c r="AS261" i="3"/>
  <c r="AR261" i="3"/>
  <c r="AQ261" i="3"/>
  <c r="AP261" i="3"/>
  <c r="AO261" i="3"/>
  <c r="AN261" i="3"/>
  <c r="AM261" i="3"/>
  <c r="AL261" i="3"/>
  <c r="AK261" i="3"/>
  <c r="AJ261" i="3"/>
  <c r="AI261" i="3"/>
  <c r="AH261" i="3"/>
  <c r="AG261" i="3"/>
  <c r="AF261" i="3"/>
  <c r="AE261" i="3"/>
  <c r="AD261" i="3"/>
  <c r="AC261" i="3"/>
  <c r="AB261" i="3"/>
  <c r="AA261" i="3"/>
  <c r="Z261" i="3"/>
  <c r="Y261" i="3"/>
  <c r="X261" i="3"/>
  <c r="W261" i="3"/>
  <c r="V261" i="3"/>
  <c r="U261" i="3"/>
  <c r="T261" i="3"/>
  <c r="S261" i="3"/>
  <c r="R261" i="3"/>
  <c r="Q261" i="3"/>
  <c r="P261" i="3"/>
  <c r="O261" i="3"/>
  <c r="N261" i="3"/>
  <c r="M261" i="3"/>
  <c r="L261" i="3"/>
  <c r="K261" i="3"/>
  <c r="J261" i="3"/>
  <c r="I261" i="3"/>
  <c r="H261" i="3"/>
  <c r="G261" i="3"/>
  <c r="F261" i="3"/>
  <c r="E261" i="3"/>
  <c r="D261" i="3"/>
  <c r="C261" i="3"/>
  <c r="B261" i="3"/>
  <c r="A261" i="3"/>
  <c r="BP260" i="3"/>
  <c r="BO260" i="3"/>
  <c r="BN260" i="3"/>
  <c r="BM260" i="3"/>
  <c r="BL260" i="3"/>
  <c r="BK260" i="3"/>
  <c r="BJ260" i="3"/>
  <c r="BI260" i="3"/>
  <c r="BH260" i="3"/>
  <c r="BG260" i="3"/>
  <c r="BF260" i="3"/>
  <c r="BE260" i="3"/>
  <c r="BD260" i="3"/>
  <c r="BC260" i="3"/>
  <c r="BB260" i="3"/>
  <c r="BA260" i="3"/>
  <c r="AZ260" i="3"/>
  <c r="AY260" i="3"/>
  <c r="AX260" i="3"/>
  <c r="AW260" i="3"/>
  <c r="AV260" i="3"/>
  <c r="AU260" i="3"/>
  <c r="AT260" i="3"/>
  <c r="AS260" i="3"/>
  <c r="AR260" i="3"/>
  <c r="AQ260" i="3"/>
  <c r="AP260" i="3"/>
  <c r="AO260" i="3"/>
  <c r="AN260" i="3"/>
  <c r="AM260" i="3"/>
  <c r="AL260" i="3"/>
  <c r="AK260" i="3"/>
  <c r="AJ260" i="3"/>
  <c r="AI260" i="3"/>
  <c r="AH260" i="3"/>
  <c r="AG260" i="3"/>
  <c r="AF260" i="3"/>
  <c r="AE260" i="3"/>
  <c r="AD260" i="3"/>
  <c r="AC260" i="3"/>
  <c r="AB260" i="3"/>
  <c r="AA260" i="3"/>
  <c r="Z260" i="3"/>
  <c r="Y260" i="3"/>
  <c r="X260" i="3"/>
  <c r="W260" i="3"/>
  <c r="V260" i="3"/>
  <c r="U260" i="3"/>
  <c r="T260" i="3"/>
  <c r="S260" i="3"/>
  <c r="R260" i="3"/>
  <c r="Q260" i="3"/>
  <c r="P260" i="3"/>
  <c r="O260" i="3"/>
  <c r="N260" i="3"/>
  <c r="M260" i="3"/>
  <c r="L260" i="3"/>
  <c r="K260" i="3"/>
  <c r="J260" i="3"/>
  <c r="I260" i="3"/>
  <c r="H260" i="3"/>
  <c r="G260" i="3"/>
  <c r="F260" i="3"/>
  <c r="E260" i="3"/>
  <c r="D260" i="3"/>
  <c r="C260" i="3"/>
  <c r="B260" i="3"/>
  <c r="A260" i="3"/>
  <c r="BP259" i="3"/>
  <c r="BO259" i="3"/>
  <c r="BN259" i="3"/>
  <c r="BM259" i="3"/>
  <c r="BL259" i="3"/>
  <c r="BK259" i="3"/>
  <c r="BJ259" i="3"/>
  <c r="BI259" i="3"/>
  <c r="BH259" i="3"/>
  <c r="BG259" i="3"/>
  <c r="BF259" i="3"/>
  <c r="BE259" i="3"/>
  <c r="BD259" i="3"/>
  <c r="BC259" i="3"/>
  <c r="BB259" i="3"/>
  <c r="BA259" i="3"/>
  <c r="AZ259" i="3"/>
  <c r="AY259" i="3"/>
  <c r="AX259" i="3"/>
  <c r="AW259" i="3"/>
  <c r="AV259" i="3"/>
  <c r="AU259" i="3"/>
  <c r="AT259" i="3"/>
  <c r="AS259" i="3"/>
  <c r="AR259" i="3"/>
  <c r="AQ259" i="3"/>
  <c r="AP259" i="3"/>
  <c r="AO259" i="3"/>
  <c r="AN259" i="3"/>
  <c r="AM259" i="3"/>
  <c r="AL259" i="3"/>
  <c r="AK259" i="3"/>
  <c r="AJ259" i="3"/>
  <c r="AI259" i="3"/>
  <c r="AH259" i="3"/>
  <c r="AG259" i="3"/>
  <c r="AF259" i="3"/>
  <c r="AE259" i="3"/>
  <c r="AD259" i="3"/>
  <c r="AC259" i="3"/>
  <c r="AB259" i="3"/>
  <c r="AA259" i="3"/>
  <c r="Z259" i="3"/>
  <c r="Y259" i="3"/>
  <c r="X259" i="3"/>
  <c r="W259" i="3"/>
  <c r="V259" i="3"/>
  <c r="U259" i="3"/>
  <c r="T259" i="3"/>
  <c r="S259" i="3"/>
  <c r="R259" i="3"/>
  <c r="Q259" i="3"/>
  <c r="P259" i="3"/>
  <c r="O259" i="3"/>
  <c r="N259" i="3"/>
  <c r="M259" i="3"/>
  <c r="L259" i="3"/>
  <c r="K259" i="3"/>
  <c r="J259" i="3"/>
  <c r="I259" i="3"/>
  <c r="H259" i="3"/>
  <c r="G259" i="3"/>
  <c r="F259" i="3"/>
  <c r="E259" i="3"/>
  <c r="D259" i="3"/>
  <c r="C259" i="3"/>
  <c r="B259" i="3"/>
  <c r="A259" i="3"/>
  <c r="BP258" i="3"/>
  <c r="BO258" i="3"/>
  <c r="BN258" i="3"/>
  <c r="BM258" i="3"/>
  <c r="BL258" i="3"/>
  <c r="BK258" i="3"/>
  <c r="BJ258" i="3"/>
  <c r="BI258" i="3"/>
  <c r="BH258" i="3"/>
  <c r="BG258" i="3"/>
  <c r="BF258" i="3"/>
  <c r="BE258" i="3"/>
  <c r="BD258" i="3"/>
  <c r="BC258" i="3"/>
  <c r="BB258" i="3"/>
  <c r="BA258" i="3"/>
  <c r="AZ258" i="3"/>
  <c r="AY258" i="3"/>
  <c r="AX258" i="3"/>
  <c r="AW258" i="3"/>
  <c r="AV258" i="3"/>
  <c r="AU258" i="3"/>
  <c r="AT258" i="3"/>
  <c r="AS258" i="3"/>
  <c r="AR258" i="3"/>
  <c r="AQ258" i="3"/>
  <c r="AP258" i="3"/>
  <c r="AO258" i="3"/>
  <c r="AN258" i="3"/>
  <c r="AM258" i="3"/>
  <c r="AL258" i="3"/>
  <c r="AK258" i="3"/>
  <c r="AJ258" i="3"/>
  <c r="AI258" i="3"/>
  <c r="AH258" i="3"/>
  <c r="AG258" i="3"/>
  <c r="AF258" i="3"/>
  <c r="AE258" i="3"/>
  <c r="AD258" i="3"/>
  <c r="AC258" i="3"/>
  <c r="AB258" i="3"/>
  <c r="AA258" i="3"/>
  <c r="Z258" i="3"/>
  <c r="Y258" i="3"/>
  <c r="X258" i="3"/>
  <c r="W258" i="3"/>
  <c r="V258" i="3"/>
  <c r="U258" i="3"/>
  <c r="T258" i="3"/>
  <c r="S258" i="3"/>
  <c r="R258" i="3"/>
  <c r="Q258" i="3"/>
  <c r="P258" i="3"/>
  <c r="O258" i="3"/>
  <c r="N258" i="3"/>
  <c r="M258" i="3"/>
  <c r="L258" i="3"/>
  <c r="K258" i="3"/>
  <c r="J258" i="3"/>
  <c r="I258" i="3"/>
  <c r="H258" i="3"/>
  <c r="G258" i="3"/>
  <c r="F258" i="3"/>
  <c r="E258" i="3"/>
  <c r="D258" i="3"/>
  <c r="C258" i="3"/>
  <c r="B258" i="3"/>
  <c r="A258" i="3"/>
  <c r="BP257" i="3"/>
  <c r="BO257" i="3"/>
  <c r="BN257" i="3"/>
  <c r="BM257" i="3"/>
  <c r="BL257" i="3"/>
  <c r="BK257" i="3"/>
  <c r="BJ257" i="3"/>
  <c r="BI257" i="3"/>
  <c r="BH257" i="3"/>
  <c r="BG257" i="3"/>
  <c r="BF257" i="3"/>
  <c r="BE257" i="3"/>
  <c r="BD257" i="3"/>
  <c r="BC257" i="3"/>
  <c r="BB257" i="3"/>
  <c r="BA257" i="3"/>
  <c r="AZ257" i="3"/>
  <c r="AY257" i="3"/>
  <c r="AX257" i="3"/>
  <c r="AW257" i="3"/>
  <c r="AV257" i="3"/>
  <c r="AU257" i="3"/>
  <c r="AT257" i="3"/>
  <c r="AS257" i="3"/>
  <c r="AR257" i="3"/>
  <c r="AQ257" i="3"/>
  <c r="AP257" i="3"/>
  <c r="AO257" i="3"/>
  <c r="AN257" i="3"/>
  <c r="AM257" i="3"/>
  <c r="AL257" i="3"/>
  <c r="AK257" i="3"/>
  <c r="AJ257" i="3"/>
  <c r="AI257" i="3"/>
  <c r="AH257" i="3"/>
  <c r="AG257" i="3"/>
  <c r="AF257" i="3"/>
  <c r="AE257" i="3"/>
  <c r="AD257" i="3"/>
  <c r="AC257" i="3"/>
  <c r="AB257" i="3"/>
  <c r="AA257" i="3"/>
  <c r="Z257" i="3"/>
  <c r="Y257" i="3"/>
  <c r="X257" i="3"/>
  <c r="W257" i="3"/>
  <c r="V257" i="3"/>
  <c r="U257" i="3"/>
  <c r="T257" i="3"/>
  <c r="S257" i="3"/>
  <c r="R257" i="3"/>
  <c r="Q257" i="3"/>
  <c r="P257" i="3"/>
  <c r="O257" i="3"/>
  <c r="N257" i="3"/>
  <c r="M257" i="3"/>
  <c r="L257" i="3"/>
  <c r="K257" i="3"/>
  <c r="J257" i="3"/>
  <c r="I257" i="3"/>
  <c r="H257" i="3"/>
  <c r="G257" i="3"/>
  <c r="F257" i="3"/>
  <c r="E257" i="3"/>
  <c r="D257" i="3"/>
  <c r="C257" i="3"/>
  <c r="B257" i="3"/>
  <c r="A257" i="3"/>
  <c r="BP256" i="3"/>
  <c r="BO256" i="3"/>
  <c r="BN256" i="3"/>
  <c r="BM256" i="3"/>
  <c r="BL256" i="3"/>
  <c r="BK256" i="3"/>
  <c r="BJ256" i="3"/>
  <c r="BI256" i="3"/>
  <c r="BH256" i="3"/>
  <c r="BG256" i="3"/>
  <c r="BF256" i="3"/>
  <c r="BE256" i="3"/>
  <c r="BD256" i="3"/>
  <c r="BC256" i="3"/>
  <c r="BB256" i="3"/>
  <c r="BA256" i="3"/>
  <c r="AZ256" i="3"/>
  <c r="AY256" i="3"/>
  <c r="AX256" i="3"/>
  <c r="AW256" i="3"/>
  <c r="AV256" i="3"/>
  <c r="AU256" i="3"/>
  <c r="AT256" i="3"/>
  <c r="AS256" i="3"/>
  <c r="AR256" i="3"/>
  <c r="AQ256" i="3"/>
  <c r="AP256" i="3"/>
  <c r="AO256" i="3"/>
  <c r="AN256" i="3"/>
  <c r="AM256" i="3"/>
  <c r="AL256" i="3"/>
  <c r="AK256" i="3"/>
  <c r="AJ256" i="3"/>
  <c r="AI256" i="3"/>
  <c r="AH256" i="3"/>
  <c r="AG256" i="3"/>
  <c r="AF256" i="3"/>
  <c r="AE256" i="3"/>
  <c r="AD256" i="3"/>
  <c r="AC256" i="3"/>
  <c r="AB256" i="3"/>
  <c r="AA256" i="3"/>
  <c r="Z256" i="3"/>
  <c r="Y256" i="3"/>
  <c r="X256" i="3"/>
  <c r="W256" i="3"/>
  <c r="V256" i="3"/>
  <c r="U256" i="3"/>
  <c r="T256" i="3"/>
  <c r="S256" i="3"/>
  <c r="R256" i="3"/>
  <c r="Q256" i="3"/>
  <c r="P256" i="3"/>
  <c r="O256" i="3"/>
  <c r="N256" i="3"/>
  <c r="M256" i="3"/>
  <c r="L256" i="3"/>
  <c r="K256" i="3"/>
  <c r="J256" i="3"/>
  <c r="I256" i="3"/>
  <c r="H256" i="3"/>
  <c r="G256" i="3"/>
  <c r="F256" i="3"/>
  <c r="E256" i="3"/>
  <c r="D256" i="3"/>
  <c r="C256" i="3"/>
  <c r="B256" i="3"/>
  <c r="A256" i="3"/>
  <c r="BP255" i="3"/>
  <c r="BO255" i="3"/>
  <c r="BN255" i="3"/>
  <c r="BM255" i="3"/>
  <c r="BL255" i="3"/>
  <c r="BK255" i="3"/>
  <c r="BJ255" i="3"/>
  <c r="BI255" i="3"/>
  <c r="BH255" i="3"/>
  <c r="BG255" i="3"/>
  <c r="BF255" i="3"/>
  <c r="BE255" i="3"/>
  <c r="BD255" i="3"/>
  <c r="BC255" i="3"/>
  <c r="BB255" i="3"/>
  <c r="BA255" i="3"/>
  <c r="AZ255" i="3"/>
  <c r="AY255" i="3"/>
  <c r="AX255" i="3"/>
  <c r="AW255" i="3"/>
  <c r="AV255" i="3"/>
  <c r="AU255" i="3"/>
  <c r="AT255" i="3"/>
  <c r="AS255" i="3"/>
  <c r="AR255" i="3"/>
  <c r="AQ255" i="3"/>
  <c r="AP255" i="3"/>
  <c r="AO255" i="3"/>
  <c r="AN255" i="3"/>
  <c r="AM255" i="3"/>
  <c r="AL255" i="3"/>
  <c r="AK255" i="3"/>
  <c r="AJ255" i="3"/>
  <c r="AI255" i="3"/>
  <c r="AH255" i="3"/>
  <c r="AG255" i="3"/>
  <c r="AF255" i="3"/>
  <c r="AE255" i="3"/>
  <c r="AD255" i="3"/>
  <c r="AC255" i="3"/>
  <c r="AB255" i="3"/>
  <c r="AA255" i="3"/>
  <c r="Z255" i="3"/>
  <c r="Y255" i="3"/>
  <c r="X255" i="3"/>
  <c r="W255" i="3"/>
  <c r="V255" i="3"/>
  <c r="U255" i="3"/>
  <c r="T255" i="3"/>
  <c r="S255" i="3"/>
  <c r="R255" i="3"/>
  <c r="Q255" i="3"/>
  <c r="P255" i="3"/>
  <c r="O255" i="3"/>
  <c r="N255" i="3"/>
  <c r="M255" i="3"/>
  <c r="L255" i="3"/>
  <c r="K255" i="3"/>
  <c r="J255" i="3"/>
  <c r="I255" i="3"/>
  <c r="H255" i="3"/>
  <c r="G255" i="3"/>
  <c r="F255" i="3"/>
  <c r="E255" i="3"/>
  <c r="D255" i="3"/>
  <c r="C255" i="3"/>
  <c r="B255" i="3"/>
  <c r="A255" i="3"/>
  <c r="BP254" i="3"/>
  <c r="BO254" i="3"/>
  <c r="BN254" i="3"/>
  <c r="BM254" i="3"/>
  <c r="BL254" i="3"/>
  <c r="BK254" i="3"/>
  <c r="BJ254" i="3"/>
  <c r="BI254" i="3"/>
  <c r="BH254" i="3"/>
  <c r="BG254" i="3"/>
  <c r="BF254" i="3"/>
  <c r="BE254" i="3"/>
  <c r="BD254" i="3"/>
  <c r="BC254" i="3"/>
  <c r="BB254" i="3"/>
  <c r="BA254" i="3"/>
  <c r="AZ254" i="3"/>
  <c r="AY254" i="3"/>
  <c r="AX254" i="3"/>
  <c r="AW254" i="3"/>
  <c r="AV254" i="3"/>
  <c r="AU254" i="3"/>
  <c r="AT254" i="3"/>
  <c r="AS254" i="3"/>
  <c r="AR254" i="3"/>
  <c r="AQ254" i="3"/>
  <c r="AP254" i="3"/>
  <c r="AO254" i="3"/>
  <c r="AN254" i="3"/>
  <c r="AM254" i="3"/>
  <c r="AL254" i="3"/>
  <c r="AK254" i="3"/>
  <c r="AJ254" i="3"/>
  <c r="AI254" i="3"/>
  <c r="AH254" i="3"/>
  <c r="AG254" i="3"/>
  <c r="AF254" i="3"/>
  <c r="AE254" i="3"/>
  <c r="AD254" i="3"/>
  <c r="AC254" i="3"/>
  <c r="AB254" i="3"/>
  <c r="AA254" i="3"/>
  <c r="Z254" i="3"/>
  <c r="Y254" i="3"/>
  <c r="X254" i="3"/>
  <c r="W254" i="3"/>
  <c r="V254" i="3"/>
  <c r="U254" i="3"/>
  <c r="T254" i="3"/>
  <c r="S254" i="3"/>
  <c r="R254" i="3"/>
  <c r="Q254" i="3"/>
  <c r="P254" i="3"/>
  <c r="O254" i="3"/>
  <c r="N254" i="3"/>
  <c r="M254" i="3"/>
  <c r="L254" i="3"/>
  <c r="K254" i="3"/>
  <c r="J254" i="3"/>
  <c r="I254" i="3"/>
  <c r="H254" i="3"/>
  <c r="G254" i="3"/>
  <c r="F254" i="3"/>
  <c r="E254" i="3"/>
  <c r="D254" i="3"/>
  <c r="C254" i="3"/>
  <c r="B254" i="3"/>
  <c r="A254" i="3"/>
  <c r="BP253" i="3"/>
  <c r="BO253" i="3"/>
  <c r="BN253" i="3"/>
  <c r="BM253" i="3"/>
  <c r="BL253" i="3"/>
  <c r="BK253" i="3"/>
  <c r="BJ253" i="3"/>
  <c r="BI253" i="3"/>
  <c r="BH253" i="3"/>
  <c r="BG253" i="3"/>
  <c r="BF253" i="3"/>
  <c r="BE253" i="3"/>
  <c r="BD253" i="3"/>
  <c r="BC253" i="3"/>
  <c r="BB253" i="3"/>
  <c r="BA253" i="3"/>
  <c r="AZ253" i="3"/>
  <c r="AY253" i="3"/>
  <c r="AX253" i="3"/>
  <c r="AW253" i="3"/>
  <c r="AV253" i="3"/>
  <c r="AU253" i="3"/>
  <c r="AT253" i="3"/>
  <c r="AS253" i="3"/>
  <c r="AR253" i="3"/>
  <c r="AQ253" i="3"/>
  <c r="AP253" i="3"/>
  <c r="AO253" i="3"/>
  <c r="AN253" i="3"/>
  <c r="AM253" i="3"/>
  <c r="AL253" i="3"/>
  <c r="AK253" i="3"/>
  <c r="AJ253" i="3"/>
  <c r="AI253" i="3"/>
  <c r="AH253" i="3"/>
  <c r="AG253" i="3"/>
  <c r="AF253" i="3"/>
  <c r="AE253" i="3"/>
  <c r="AD253" i="3"/>
  <c r="AC253" i="3"/>
  <c r="AB253" i="3"/>
  <c r="AA253" i="3"/>
  <c r="Z253" i="3"/>
  <c r="Y253" i="3"/>
  <c r="X253" i="3"/>
  <c r="W253" i="3"/>
  <c r="V253" i="3"/>
  <c r="U253" i="3"/>
  <c r="T253" i="3"/>
  <c r="S253" i="3"/>
  <c r="R253" i="3"/>
  <c r="Q253" i="3"/>
  <c r="P253" i="3"/>
  <c r="O253" i="3"/>
  <c r="N253" i="3"/>
  <c r="M253" i="3"/>
  <c r="L253" i="3"/>
  <c r="K253" i="3"/>
  <c r="J253" i="3"/>
  <c r="I253" i="3"/>
  <c r="H253" i="3"/>
  <c r="G253" i="3"/>
  <c r="F253" i="3"/>
  <c r="E253" i="3"/>
  <c r="D253" i="3"/>
  <c r="C253" i="3"/>
  <c r="B253" i="3"/>
  <c r="A253" i="3"/>
  <c r="BP252" i="3"/>
  <c r="BO252" i="3"/>
  <c r="BN252" i="3"/>
  <c r="BM252" i="3"/>
  <c r="BL252" i="3"/>
  <c r="BK252" i="3"/>
  <c r="BJ252" i="3"/>
  <c r="BI252" i="3"/>
  <c r="BH252" i="3"/>
  <c r="BG252" i="3"/>
  <c r="BF252" i="3"/>
  <c r="BE252" i="3"/>
  <c r="BD252" i="3"/>
  <c r="BC252" i="3"/>
  <c r="BB252" i="3"/>
  <c r="BA252" i="3"/>
  <c r="AZ252" i="3"/>
  <c r="AY252" i="3"/>
  <c r="AX252" i="3"/>
  <c r="AW252" i="3"/>
  <c r="AV252" i="3"/>
  <c r="AU252" i="3"/>
  <c r="AT252" i="3"/>
  <c r="AS252" i="3"/>
  <c r="AR252" i="3"/>
  <c r="AQ252" i="3"/>
  <c r="AP252" i="3"/>
  <c r="AO252" i="3"/>
  <c r="AN252" i="3"/>
  <c r="AM252" i="3"/>
  <c r="AL252" i="3"/>
  <c r="AK252" i="3"/>
  <c r="AJ252" i="3"/>
  <c r="AI252" i="3"/>
  <c r="AH252" i="3"/>
  <c r="AG252" i="3"/>
  <c r="AF252" i="3"/>
  <c r="AE252" i="3"/>
  <c r="AD252" i="3"/>
  <c r="AC252" i="3"/>
  <c r="AB252" i="3"/>
  <c r="AA252" i="3"/>
  <c r="Z252" i="3"/>
  <c r="Y252" i="3"/>
  <c r="X252" i="3"/>
  <c r="W252" i="3"/>
  <c r="V252" i="3"/>
  <c r="U252" i="3"/>
  <c r="T252" i="3"/>
  <c r="S252" i="3"/>
  <c r="R252" i="3"/>
  <c r="Q252" i="3"/>
  <c r="P252" i="3"/>
  <c r="O252" i="3"/>
  <c r="N252" i="3"/>
  <c r="M252" i="3"/>
  <c r="L252" i="3"/>
  <c r="K252" i="3"/>
  <c r="J252" i="3"/>
  <c r="I252" i="3"/>
  <c r="H252" i="3"/>
  <c r="G252" i="3"/>
  <c r="F252" i="3"/>
  <c r="E252" i="3"/>
  <c r="D252" i="3"/>
  <c r="C252" i="3"/>
  <c r="B252" i="3"/>
  <c r="A252" i="3"/>
  <c r="BP251" i="3"/>
  <c r="BO251" i="3"/>
  <c r="BN251" i="3"/>
  <c r="BM251" i="3"/>
  <c r="BL251" i="3"/>
  <c r="BK251" i="3"/>
  <c r="BJ251" i="3"/>
  <c r="BI251" i="3"/>
  <c r="BH251" i="3"/>
  <c r="BG251" i="3"/>
  <c r="BF251" i="3"/>
  <c r="BE251" i="3"/>
  <c r="BD251" i="3"/>
  <c r="BC251" i="3"/>
  <c r="BB251" i="3"/>
  <c r="BA251" i="3"/>
  <c r="AZ251" i="3"/>
  <c r="AY251" i="3"/>
  <c r="AX251" i="3"/>
  <c r="AW251" i="3"/>
  <c r="AV251" i="3"/>
  <c r="AU251" i="3"/>
  <c r="AT251" i="3"/>
  <c r="AS251" i="3"/>
  <c r="AR251" i="3"/>
  <c r="AQ251" i="3"/>
  <c r="AP251" i="3"/>
  <c r="AO251" i="3"/>
  <c r="AN251" i="3"/>
  <c r="AM251" i="3"/>
  <c r="AL251" i="3"/>
  <c r="AK251" i="3"/>
  <c r="AJ251" i="3"/>
  <c r="AI251" i="3"/>
  <c r="AH251" i="3"/>
  <c r="AG251" i="3"/>
  <c r="AF251" i="3"/>
  <c r="AE251" i="3"/>
  <c r="AD251" i="3"/>
  <c r="AC251" i="3"/>
  <c r="AB251" i="3"/>
  <c r="AA251" i="3"/>
  <c r="Z251" i="3"/>
  <c r="Y251" i="3"/>
  <c r="X251" i="3"/>
  <c r="W251" i="3"/>
  <c r="V251" i="3"/>
  <c r="U251" i="3"/>
  <c r="T251" i="3"/>
  <c r="S251" i="3"/>
  <c r="R251" i="3"/>
  <c r="Q251" i="3"/>
  <c r="P251" i="3"/>
  <c r="O251" i="3"/>
  <c r="N251" i="3"/>
  <c r="M251" i="3"/>
  <c r="L251" i="3"/>
  <c r="K251" i="3"/>
  <c r="J251" i="3"/>
  <c r="I251" i="3"/>
  <c r="H251" i="3"/>
  <c r="G251" i="3"/>
  <c r="F251" i="3"/>
  <c r="E251" i="3"/>
  <c r="D251" i="3"/>
  <c r="C251" i="3"/>
  <c r="B251" i="3"/>
  <c r="A251" i="3"/>
  <c r="BP250" i="3"/>
  <c r="BO250" i="3"/>
  <c r="BN250" i="3"/>
  <c r="BM250" i="3"/>
  <c r="BL250" i="3"/>
  <c r="BK250" i="3"/>
  <c r="BJ250" i="3"/>
  <c r="BI250" i="3"/>
  <c r="BH250" i="3"/>
  <c r="BG250" i="3"/>
  <c r="BF250" i="3"/>
  <c r="BE250" i="3"/>
  <c r="BD250" i="3"/>
  <c r="BC250" i="3"/>
  <c r="BB250" i="3"/>
  <c r="BA250" i="3"/>
  <c r="AZ250" i="3"/>
  <c r="AY250" i="3"/>
  <c r="AX250" i="3"/>
  <c r="AW250" i="3"/>
  <c r="AV250" i="3"/>
  <c r="AU250" i="3"/>
  <c r="AT250" i="3"/>
  <c r="AS250" i="3"/>
  <c r="AR250" i="3"/>
  <c r="AQ250" i="3"/>
  <c r="AP250" i="3"/>
  <c r="AO250" i="3"/>
  <c r="AN250" i="3"/>
  <c r="AM250" i="3"/>
  <c r="AL250" i="3"/>
  <c r="AK250" i="3"/>
  <c r="AJ250" i="3"/>
  <c r="AI250" i="3"/>
  <c r="AH250" i="3"/>
  <c r="AG250" i="3"/>
  <c r="AF250" i="3"/>
  <c r="AE250" i="3"/>
  <c r="AD250" i="3"/>
  <c r="AC250" i="3"/>
  <c r="AB250" i="3"/>
  <c r="AA250" i="3"/>
  <c r="Z250" i="3"/>
  <c r="Y250" i="3"/>
  <c r="X250" i="3"/>
  <c r="W250" i="3"/>
  <c r="V250" i="3"/>
  <c r="U250" i="3"/>
  <c r="T250" i="3"/>
  <c r="S250" i="3"/>
  <c r="R250" i="3"/>
  <c r="Q250" i="3"/>
  <c r="P250" i="3"/>
  <c r="O250" i="3"/>
  <c r="N250" i="3"/>
  <c r="M250" i="3"/>
  <c r="L250" i="3"/>
  <c r="K250" i="3"/>
  <c r="J250" i="3"/>
  <c r="I250" i="3"/>
  <c r="H250" i="3"/>
  <c r="G250" i="3"/>
  <c r="F250" i="3"/>
  <c r="E250" i="3"/>
  <c r="D250" i="3"/>
  <c r="C250" i="3"/>
  <c r="B250" i="3"/>
  <c r="A250" i="3"/>
  <c r="BP249" i="3"/>
  <c r="BO249" i="3"/>
  <c r="BN249" i="3"/>
  <c r="BM249" i="3"/>
  <c r="BL249" i="3"/>
  <c r="BK249" i="3"/>
  <c r="BJ249" i="3"/>
  <c r="BI249" i="3"/>
  <c r="BH249" i="3"/>
  <c r="BG249" i="3"/>
  <c r="BF249" i="3"/>
  <c r="BE249" i="3"/>
  <c r="BD249" i="3"/>
  <c r="BC249" i="3"/>
  <c r="BB249" i="3"/>
  <c r="BA249" i="3"/>
  <c r="AZ249" i="3"/>
  <c r="AY249" i="3"/>
  <c r="AX249" i="3"/>
  <c r="AW249" i="3"/>
  <c r="AV249" i="3"/>
  <c r="AU249" i="3"/>
  <c r="AT249" i="3"/>
  <c r="AS249" i="3"/>
  <c r="AR249" i="3"/>
  <c r="AQ249" i="3"/>
  <c r="AP249" i="3"/>
  <c r="AO249" i="3"/>
  <c r="AN249" i="3"/>
  <c r="AM249" i="3"/>
  <c r="AL249" i="3"/>
  <c r="AK249" i="3"/>
  <c r="AJ249" i="3"/>
  <c r="AI249" i="3"/>
  <c r="AH249" i="3"/>
  <c r="AG249" i="3"/>
  <c r="AF249" i="3"/>
  <c r="AE249" i="3"/>
  <c r="AD249" i="3"/>
  <c r="AC249" i="3"/>
  <c r="AB249" i="3"/>
  <c r="AA249" i="3"/>
  <c r="Z249" i="3"/>
  <c r="Y249" i="3"/>
  <c r="X249" i="3"/>
  <c r="W249" i="3"/>
  <c r="V249" i="3"/>
  <c r="U249" i="3"/>
  <c r="T249" i="3"/>
  <c r="S249" i="3"/>
  <c r="R249" i="3"/>
  <c r="Q249" i="3"/>
  <c r="P249" i="3"/>
  <c r="O249" i="3"/>
  <c r="N249" i="3"/>
  <c r="M249" i="3"/>
  <c r="L249" i="3"/>
  <c r="K249" i="3"/>
  <c r="J249" i="3"/>
  <c r="I249" i="3"/>
  <c r="H249" i="3"/>
  <c r="G249" i="3"/>
  <c r="F249" i="3"/>
  <c r="E249" i="3"/>
  <c r="D249" i="3"/>
  <c r="C249" i="3"/>
  <c r="B249" i="3"/>
  <c r="A249" i="3"/>
  <c r="BP248" i="3"/>
  <c r="BO248" i="3"/>
  <c r="BN248" i="3"/>
  <c r="BM248" i="3"/>
  <c r="BL248" i="3"/>
  <c r="BK248" i="3"/>
  <c r="BJ248" i="3"/>
  <c r="BI248" i="3"/>
  <c r="BH248" i="3"/>
  <c r="BG248" i="3"/>
  <c r="BF248" i="3"/>
  <c r="BE248" i="3"/>
  <c r="BD248" i="3"/>
  <c r="BC248" i="3"/>
  <c r="BB248" i="3"/>
  <c r="BA248" i="3"/>
  <c r="AZ248" i="3"/>
  <c r="AY248" i="3"/>
  <c r="AX248" i="3"/>
  <c r="AW248" i="3"/>
  <c r="AV248" i="3"/>
  <c r="AU248" i="3"/>
  <c r="AT248" i="3"/>
  <c r="AS248" i="3"/>
  <c r="AR248" i="3"/>
  <c r="AQ248" i="3"/>
  <c r="AP248" i="3"/>
  <c r="AO248" i="3"/>
  <c r="AN248" i="3"/>
  <c r="AM248" i="3"/>
  <c r="AL248" i="3"/>
  <c r="AK248" i="3"/>
  <c r="AJ248" i="3"/>
  <c r="AI248" i="3"/>
  <c r="AH248" i="3"/>
  <c r="AG248" i="3"/>
  <c r="AF248" i="3"/>
  <c r="AE248" i="3"/>
  <c r="AD248" i="3"/>
  <c r="AC248" i="3"/>
  <c r="AB248" i="3"/>
  <c r="AA248" i="3"/>
  <c r="Z248" i="3"/>
  <c r="Y248" i="3"/>
  <c r="X248" i="3"/>
  <c r="W248" i="3"/>
  <c r="V248" i="3"/>
  <c r="U248" i="3"/>
  <c r="T248" i="3"/>
  <c r="S248" i="3"/>
  <c r="R248" i="3"/>
  <c r="Q248" i="3"/>
  <c r="P248" i="3"/>
  <c r="O248" i="3"/>
  <c r="N248" i="3"/>
  <c r="M248" i="3"/>
  <c r="L248" i="3"/>
  <c r="K248" i="3"/>
  <c r="J248" i="3"/>
  <c r="I248" i="3"/>
  <c r="H248" i="3"/>
  <c r="G248" i="3"/>
  <c r="F248" i="3"/>
  <c r="E248" i="3"/>
  <c r="D248" i="3"/>
  <c r="C248" i="3"/>
  <c r="B248" i="3"/>
  <c r="A248" i="3"/>
  <c r="BP247" i="3"/>
  <c r="BO247" i="3"/>
  <c r="BN247" i="3"/>
  <c r="BM247" i="3"/>
  <c r="BL247" i="3"/>
  <c r="BK247" i="3"/>
  <c r="BJ247" i="3"/>
  <c r="BI247" i="3"/>
  <c r="BH247" i="3"/>
  <c r="BG247" i="3"/>
  <c r="BF247" i="3"/>
  <c r="BE247" i="3"/>
  <c r="BD247" i="3"/>
  <c r="BC247" i="3"/>
  <c r="BB247" i="3"/>
  <c r="BA247" i="3"/>
  <c r="AZ247" i="3"/>
  <c r="AY247" i="3"/>
  <c r="AX247" i="3"/>
  <c r="AW247" i="3"/>
  <c r="AV247" i="3"/>
  <c r="AU247" i="3"/>
  <c r="AT247" i="3"/>
  <c r="AS247" i="3"/>
  <c r="AR247" i="3"/>
  <c r="AQ247" i="3"/>
  <c r="AP247" i="3"/>
  <c r="AO247" i="3"/>
  <c r="AN247" i="3"/>
  <c r="AM247" i="3"/>
  <c r="AL247" i="3"/>
  <c r="AK247" i="3"/>
  <c r="AJ247" i="3"/>
  <c r="AI247" i="3"/>
  <c r="AH247" i="3"/>
  <c r="AG247" i="3"/>
  <c r="AF247" i="3"/>
  <c r="AE247" i="3"/>
  <c r="AD247" i="3"/>
  <c r="AC247" i="3"/>
  <c r="AB247" i="3"/>
  <c r="AA247" i="3"/>
  <c r="Z247" i="3"/>
  <c r="Y247" i="3"/>
  <c r="X247" i="3"/>
  <c r="W247" i="3"/>
  <c r="V247" i="3"/>
  <c r="U247" i="3"/>
  <c r="T247" i="3"/>
  <c r="S247" i="3"/>
  <c r="R247" i="3"/>
  <c r="Q247" i="3"/>
  <c r="P247" i="3"/>
  <c r="O247" i="3"/>
  <c r="N247" i="3"/>
  <c r="M247" i="3"/>
  <c r="L247" i="3"/>
  <c r="K247" i="3"/>
  <c r="J247" i="3"/>
  <c r="I247" i="3"/>
  <c r="H247" i="3"/>
  <c r="G247" i="3"/>
  <c r="F247" i="3"/>
  <c r="E247" i="3"/>
  <c r="D247" i="3"/>
  <c r="C247" i="3"/>
  <c r="B247" i="3"/>
  <c r="A247" i="3"/>
  <c r="BP246" i="3"/>
  <c r="BO246" i="3"/>
  <c r="BN246" i="3"/>
  <c r="BM246" i="3"/>
  <c r="BL246" i="3"/>
  <c r="BK246" i="3"/>
  <c r="BJ246" i="3"/>
  <c r="BI246" i="3"/>
  <c r="BH246" i="3"/>
  <c r="BG246" i="3"/>
  <c r="BF246" i="3"/>
  <c r="BE246" i="3"/>
  <c r="BD246" i="3"/>
  <c r="BC246" i="3"/>
  <c r="BB246" i="3"/>
  <c r="BA246" i="3"/>
  <c r="AZ246" i="3"/>
  <c r="AY246" i="3"/>
  <c r="AX246" i="3"/>
  <c r="AW246" i="3"/>
  <c r="AV246" i="3"/>
  <c r="AU246" i="3"/>
  <c r="AT246" i="3"/>
  <c r="AS246" i="3"/>
  <c r="AR246" i="3"/>
  <c r="AQ246" i="3"/>
  <c r="AP246" i="3"/>
  <c r="AO246" i="3"/>
  <c r="AN246" i="3"/>
  <c r="AM246" i="3"/>
  <c r="AL246" i="3"/>
  <c r="AK246" i="3"/>
  <c r="AJ246" i="3"/>
  <c r="AI246" i="3"/>
  <c r="AH246" i="3"/>
  <c r="AG246" i="3"/>
  <c r="AF246" i="3"/>
  <c r="AE246" i="3"/>
  <c r="AD246" i="3"/>
  <c r="AC246" i="3"/>
  <c r="AB246" i="3"/>
  <c r="AA246" i="3"/>
  <c r="Z246" i="3"/>
  <c r="Y246" i="3"/>
  <c r="X246" i="3"/>
  <c r="W246" i="3"/>
  <c r="V246" i="3"/>
  <c r="U246" i="3"/>
  <c r="T246" i="3"/>
  <c r="S246" i="3"/>
  <c r="R246" i="3"/>
  <c r="Q246" i="3"/>
  <c r="P246" i="3"/>
  <c r="O246" i="3"/>
  <c r="N246" i="3"/>
  <c r="M246" i="3"/>
  <c r="L246" i="3"/>
  <c r="K246" i="3"/>
  <c r="J246" i="3"/>
  <c r="I246" i="3"/>
  <c r="H246" i="3"/>
  <c r="G246" i="3"/>
  <c r="F246" i="3"/>
  <c r="E246" i="3"/>
  <c r="D246" i="3"/>
  <c r="B246" i="3"/>
  <c r="A246" i="3"/>
  <c r="BP245" i="3"/>
  <c r="BO245" i="3"/>
  <c r="BN245" i="3"/>
  <c r="BM245" i="3"/>
  <c r="BL245" i="3"/>
  <c r="BK245" i="3"/>
  <c r="BJ245" i="3"/>
  <c r="BI245" i="3"/>
  <c r="BH245" i="3"/>
  <c r="BG245" i="3"/>
  <c r="BF245" i="3"/>
  <c r="BE245" i="3"/>
  <c r="BD245" i="3"/>
  <c r="BC245" i="3"/>
  <c r="BB245" i="3"/>
  <c r="BA245" i="3"/>
  <c r="AZ245" i="3"/>
  <c r="AY245" i="3"/>
  <c r="AX245" i="3"/>
  <c r="AW245" i="3"/>
  <c r="AV245" i="3"/>
  <c r="AU245" i="3"/>
  <c r="AT245" i="3"/>
  <c r="AS245" i="3"/>
  <c r="AR245" i="3"/>
  <c r="AQ245" i="3"/>
  <c r="AP245" i="3"/>
  <c r="AO245" i="3"/>
  <c r="AN245" i="3"/>
  <c r="AM245" i="3"/>
  <c r="AL245" i="3"/>
  <c r="AK245" i="3"/>
  <c r="AJ245" i="3"/>
  <c r="AI245" i="3"/>
  <c r="AH245" i="3"/>
  <c r="AG245" i="3"/>
  <c r="AF245" i="3"/>
  <c r="AE245" i="3"/>
  <c r="AD245" i="3"/>
  <c r="AC245" i="3"/>
  <c r="AB245" i="3"/>
  <c r="AA245" i="3"/>
  <c r="Z245" i="3"/>
  <c r="Y245" i="3"/>
  <c r="X245" i="3"/>
  <c r="W245" i="3"/>
  <c r="V245" i="3"/>
  <c r="U245" i="3"/>
  <c r="T245" i="3"/>
  <c r="S245" i="3"/>
  <c r="R245" i="3"/>
  <c r="Q245" i="3"/>
  <c r="P245" i="3"/>
  <c r="O245" i="3"/>
  <c r="N245" i="3"/>
  <c r="M245" i="3"/>
  <c r="L245" i="3"/>
  <c r="K245" i="3"/>
  <c r="J245" i="3"/>
  <c r="I245" i="3"/>
  <c r="H245" i="3"/>
  <c r="G245" i="3"/>
  <c r="F245" i="3"/>
  <c r="E245" i="3"/>
  <c r="D245" i="3"/>
  <c r="B245" i="3"/>
  <c r="A245" i="3"/>
  <c r="BP244" i="3"/>
  <c r="BO244" i="3"/>
  <c r="BN244" i="3"/>
  <c r="BM244" i="3"/>
  <c r="BL244" i="3"/>
  <c r="BK244" i="3"/>
  <c r="BJ244" i="3"/>
  <c r="BI244" i="3"/>
  <c r="BH244" i="3"/>
  <c r="BG244" i="3"/>
  <c r="BF244" i="3"/>
  <c r="BE244" i="3"/>
  <c r="BD244" i="3"/>
  <c r="BC244" i="3"/>
  <c r="BB244" i="3"/>
  <c r="BA244" i="3"/>
  <c r="AZ244" i="3"/>
  <c r="AY244" i="3"/>
  <c r="AX244" i="3"/>
  <c r="AW244" i="3"/>
  <c r="AV244" i="3"/>
  <c r="AU244" i="3"/>
  <c r="AT244" i="3"/>
  <c r="AS244" i="3"/>
  <c r="AR244" i="3"/>
  <c r="AQ244" i="3"/>
  <c r="AP244" i="3"/>
  <c r="AO244" i="3"/>
  <c r="AN244" i="3"/>
  <c r="AM244" i="3"/>
  <c r="AL244" i="3"/>
  <c r="AK244" i="3"/>
  <c r="AJ244" i="3"/>
  <c r="AI244" i="3"/>
  <c r="AH244" i="3"/>
  <c r="AG244" i="3"/>
  <c r="AF244" i="3"/>
  <c r="AE244" i="3"/>
  <c r="AD244" i="3"/>
  <c r="AC244" i="3"/>
  <c r="AB244" i="3"/>
  <c r="AA244" i="3"/>
  <c r="Z244" i="3"/>
  <c r="Y244" i="3"/>
  <c r="X244" i="3"/>
  <c r="W244" i="3"/>
  <c r="V244" i="3"/>
  <c r="U244" i="3"/>
  <c r="T244" i="3"/>
  <c r="S244" i="3"/>
  <c r="R244" i="3"/>
  <c r="Q244" i="3"/>
  <c r="P244" i="3"/>
  <c r="O244" i="3"/>
  <c r="N244" i="3"/>
  <c r="M244" i="3"/>
  <c r="L244" i="3"/>
  <c r="K244" i="3"/>
  <c r="J244" i="3"/>
  <c r="I244" i="3"/>
  <c r="H244" i="3"/>
  <c r="G244" i="3"/>
  <c r="F244" i="3"/>
  <c r="E244" i="3"/>
  <c r="D244" i="3"/>
  <c r="C244" i="3"/>
  <c r="B244" i="3"/>
  <c r="A244" i="3"/>
  <c r="BP243" i="3"/>
  <c r="BO243" i="3"/>
  <c r="BN243" i="3"/>
  <c r="BM243" i="3"/>
  <c r="BL243" i="3"/>
  <c r="BK243" i="3"/>
  <c r="BJ243" i="3"/>
  <c r="BI243" i="3"/>
  <c r="BH243" i="3"/>
  <c r="BG243" i="3"/>
  <c r="BF243" i="3"/>
  <c r="BE243" i="3"/>
  <c r="BD243" i="3"/>
  <c r="BC243" i="3"/>
  <c r="BB243" i="3"/>
  <c r="BA243" i="3"/>
  <c r="AZ243" i="3"/>
  <c r="AY243" i="3"/>
  <c r="AX243" i="3"/>
  <c r="AW243" i="3"/>
  <c r="AV243" i="3"/>
  <c r="AU243" i="3"/>
  <c r="AT243" i="3"/>
  <c r="AS243" i="3"/>
  <c r="AR243" i="3"/>
  <c r="AQ243" i="3"/>
  <c r="AP243" i="3"/>
  <c r="AO243" i="3"/>
  <c r="AN243" i="3"/>
  <c r="AM243" i="3"/>
  <c r="AL243" i="3"/>
  <c r="AK243" i="3"/>
  <c r="AJ243" i="3"/>
  <c r="AI243" i="3"/>
  <c r="AH243" i="3"/>
  <c r="AG243" i="3"/>
  <c r="AF243" i="3"/>
  <c r="AE243" i="3"/>
  <c r="AD243" i="3"/>
  <c r="AC243" i="3"/>
  <c r="AB243" i="3"/>
  <c r="AA243" i="3"/>
  <c r="Z243" i="3"/>
  <c r="Y243" i="3"/>
  <c r="X243" i="3"/>
  <c r="W243" i="3"/>
  <c r="V243" i="3"/>
  <c r="U243" i="3"/>
  <c r="T243" i="3"/>
  <c r="S243" i="3"/>
  <c r="R243" i="3"/>
  <c r="Q243" i="3"/>
  <c r="P243" i="3"/>
  <c r="O243" i="3"/>
  <c r="N243" i="3"/>
  <c r="M243" i="3"/>
  <c r="L243" i="3"/>
  <c r="K243" i="3"/>
  <c r="J243" i="3"/>
  <c r="I243" i="3"/>
  <c r="H243" i="3"/>
  <c r="G243" i="3"/>
  <c r="F243" i="3"/>
  <c r="E243" i="3"/>
  <c r="D243" i="3"/>
  <c r="C243" i="3"/>
  <c r="B243" i="3"/>
  <c r="A243" i="3"/>
  <c r="BP242" i="3"/>
  <c r="BO242" i="3"/>
  <c r="BN242" i="3"/>
  <c r="BM242" i="3"/>
  <c r="BL242" i="3"/>
  <c r="BK242" i="3"/>
  <c r="BJ242" i="3"/>
  <c r="BI242" i="3"/>
  <c r="BH242" i="3"/>
  <c r="BG242" i="3"/>
  <c r="BF242" i="3"/>
  <c r="BE242" i="3"/>
  <c r="BD242" i="3"/>
  <c r="BC242" i="3"/>
  <c r="BB242" i="3"/>
  <c r="BA242" i="3"/>
  <c r="AZ242" i="3"/>
  <c r="AY242" i="3"/>
  <c r="AX242" i="3"/>
  <c r="AW242" i="3"/>
  <c r="AV242" i="3"/>
  <c r="AU242" i="3"/>
  <c r="AT242" i="3"/>
  <c r="AS242" i="3"/>
  <c r="AR242" i="3"/>
  <c r="AQ242" i="3"/>
  <c r="AP242" i="3"/>
  <c r="AO242" i="3"/>
  <c r="AN242" i="3"/>
  <c r="AM242" i="3"/>
  <c r="AL242" i="3"/>
  <c r="AK242" i="3"/>
  <c r="AJ242" i="3"/>
  <c r="AI242" i="3"/>
  <c r="AH242" i="3"/>
  <c r="AG242" i="3"/>
  <c r="AF242" i="3"/>
  <c r="AE242" i="3"/>
  <c r="AD242" i="3"/>
  <c r="AC242" i="3"/>
  <c r="AB242" i="3"/>
  <c r="AA242" i="3"/>
  <c r="Z242" i="3"/>
  <c r="Y242" i="3"/>
  <c r="X242" i="3"/>
  <c r="W242" i="3"/>
  <c r="V242" i="3"/>
  <c r="U242" i="3"/>
  <c r="T242" i="3"/>
  <c r="S242" i="3"/>
  <c r="R242" i="3"/>
  <c r="Q242" i="3"/>
  <c r="P242" i="3"/>
  <c r="O242" i="3"/>
  <c r="N242" i="3"/>
  <c r="M242" i="3"/>
  <c r="L242" i="3"/>
  <c r="K242" i="3"/>
  <c r="J242" i="3"/>
  <c r="I242" i="3"/>
  <c r="H242" i="3"/>
  <c r="G242" i="3"/>
  <c r="F242" i="3"/>
  <c r="E242" i="3"/>
  <c r="D242" i="3"/>
  <c r="C242" i="3"/>
  <c r="B242" i="3"/>
  <c r="A242" i="3"/>
  <c r="BP241" i="3"/>
  <c r="BO241" i="3"/>
  <c r="BN241" i="3"/>
  <c r="BM241" i="3"/>
  <c r="BL241" i="3"/>
  <c r="BK241" i="3"/>
  <c r="BJ241" i="3"/>
  <c r="BI241" i="3"/>
  <c r="BH241" i="3"/>
  <c r="BG241" i="3"/>
  <c r="BF241" i="3"/>
  <c r="BE241" i="3"/>
  <c r="BD241" i="3"/>
  <c r="BC241" i="3"/>
  <c r="BB241" i="3"/>
  <c r="BA241" i="3"/>
  <c r="AZ241" i="3"/>
  <c r="AY241" i="3"/>
  <c r="AX241" i="3"/>
  <c r="AW241" i="3"/>
  <c r="AV241" i="3"/>
  <c r="AU241" i="3"/>
  <c r="AT241" i="3"/>
  <c r="AS241" i="3"/>
  <c r="AR241" i="3"/>
  <c r="AQ241" i="3"/>
  <c r="AP241" i="3"/>
  <c r="AO241" i="3"/>
  <c r="AN241" i="3"/>
  <c r="AM241" i="3"/>
  <c r="AL241" i="3"/>
  <c r="AK241" i="3"/>
  <c r="AJ241" i="3"/>
  <c r="AI241" i="3"/>
  <c r="AH241" i="3"/>
  <c r="AG241" i="3"/>
  <c r="AF241" i="3"/>
  <c r="AE241" i="3"/>
  <c r="AD241" i="3"/>
  <c r="AC241" i="3"/>
  <c r="AB241" i="3"/>
  <c r="AA241" i="3"/>
  <c r="Z241" i="3"/>
  <c r="Y241" i="3"/>
  <c r="X241" i="3"/>
  <c r="W241" i="3"/>
  <c r="V241" i="3"/>
  <c r="U241" i="3"/>
  <c r="T241" i="3"/>
  <c r="S241" i="3"/>
  <c r="R241" i="3"/>
  <c r="Q241" i="3"/>
  <c r="P241" i="3"/>
  <c r="O241" i="3"/>
  <c r="N241" i="3"/>
  <c r="M241" i="3"/>
  <c r="L241" i="3"/>
  <c r="K241" i="3"/>
  <c r="J241" i="3"/>
  <c r="I241" i="3"/>
  <c r="H241" i="3"/>
  <c r="G241" i="3"/>
  <c r="F241" i="3"/>
  <c r="E241" i="3"/>
  <c r="D241" i="3"/>
  <c r="C241" i="3"/>
  <c r="B241" i="3"/>
  <c r="A241" i="3"/>
  <c r="BP240" i="3"/>
  <c r="BO240" i="3"/>
  <c r="BN240" i="3"/>
  <c r="BM240" i="3"/>
  <c r="BL240" i="3"/>
  <c r="BK240" i="3"/>
  <c r="BJ240" i="3"/>
  <c r="BI240" i="3"/>
  <c r="BH240" i="3"/>
  <c r="BG240" i="3"/>
  <c r="BF240" i="3"/>
  <c r="BE240" i="3"/>
  <c r="BD240" i="3"/>
  <c r="BC240" i="3"/>
  <c r="BB240" i="3"/>
  <c r="BA240" i="3"/>
  <c r="AZ240" i="3"/>
  <c r="AY240" i="3"/>
  <c r="AX240" i="3"/>
  <c r="AW240" i="3"/>
  <c r="AV240" i="3"/>
  <c r="AU240" i="3"/>
  <c r="AT240" i="3"/>
  <c r="AS240" i="3"/>
  <c r="AR240" i="3"/>
  <c r="AQ240" i="3"/>
  <c r="AP240" i="3"/>
  <c r="AO240" i="3"/>
  <c r="AN240" i="3"/>
  <c r="AM240" i="3"/>
  <c r="AL240" i="3"/>
  <c r="AK240" i="3"/>
  <c r="AJ240" i="3"/>
  <c r="AI240" i="3"/>
  <c r="AH240" i="3"/>
  <c r="AG240" i="3"/>
  <c r="AF240" i="3"/>
  <c r="AE240" i="3"/>
  <c r="AD240" i="3"/>
  <c r="AC240" i="3"/>
  <c r="AB240" i="3"/>
  <c r="AA240" i="3"/>
  <c r="Z240" i="3"/>
  <c r="Y240" i="3"/>
  <c r="X240" i="3"/>
  <c r="W240" i="3"/>
  <c r="V240" i="3"/>
  <c r="U240" i="3"/>
  <c r="T240" i="3"/>
  <c r="S240" i="3"/>
  <c r="R240" i="3"/>
  <c r="Q240" i="3"/>
  <c r="P240" i="3"/>
  <c r="O240" i="3"/>
  <c r="N240" i="3"/>
  <c r="M240" i="3"/>
  <c r="L240" i="3"/>
  <c r="K240" i="3"/>
  <c r="J240" i="3"/>
  <c r="I240" i="3"/>
  <c r="H240" i="3"/>
  <c r="G240" i="3"/>
  <c r="F240" i="3"/>
  <c r="E240" i="3"/>
  <c r="D240" i="3"/>
  <c r="C240" i="3"/>
  <c r="B240" i="3"/>
  <c r="A240" i="3"/>
  <c r="BP239" i="3"/>
  <c r="BO239" i="3"/>
  <c r="BN239" i="3"/>
  <c r="BM239" i="3"/>
  <c r="BL239" i="3"/>
  <c r="BK239" i="3"/>
  <c r="BJ239" i="3"/>
  <c r="BI239" i="3"/>
  <c r="BH239" i="3"/>
  <c r="BG239" i="3"/>
  <c r="BF239" i="3"/>
  <c r="BE239" i="3"/>
  <c r="BD239" i="3"/>
  <c r="BC239" i="3"/>
  <c r="BB239" i="3"/>
  <c r="BA239" i="3"/>
  <c r="AZ239" i="3"/>
  <c r="AY239" i="3"/>
  <c r="AX239" i="3"/>
  <c r="AW239" i="3"/>
  <c r="AV239" i="3"/>
  <c r="AU239" i="3"/>
  <c r="AT239" i="3"/>
  <c r="AS239" i="3"/>
  <c r="AR239" i="3"/>
  <c r="AQ239" i="3"/>
  <c r="AP239" i="3"/>
  <c r="AO239" i="3"/>
  <c r="AN239" i="3"/>
  <c r="AM239" i="3"/>
  <c r="AL239" i="3"/>
  <c r="AK239" i="3"/>
  <c r="AJ239" i="3"/>
  <c r="AI239" i="3"/>
  <c r="AH239" i="3"/>
  <c r="AG239" i="3"/>
  <c r="AF239" i="3"/>
  <c r="AE239" i="3"/>
  <c r="AD239" i="3"/>
  <c r="AC239" i="3"/>
  <c r="AB239" i="3"/>
  <c r="AA239" i="3"/>
  <c r="Z239" i="3"/>
  <c r="Y239" i="3"/>
  <c r="X239" i="3"/>
  <c r="W239" i="3"/>
  <c r="V239" i="3"/>
  <c r="U239" i="3"/>
  <c r="T239" i="3"/>
  <c r="S239" i="3"/>
  <c r="R239" i="3"/>
  <c r="Q239" i="3"/>
  <c r="P239" i="3"/>
  <c r="O239" i="3"/>
  <c r="N239" i="3"/>
  <c r="M239" i="3"/>
  <c r="L239" i="3"/>
  <c r="K239" i="3"/>
  <c r="J239" i="3"/>
  <c r="I239" i="3"/>
  <c r="H239" i="3"/>
  <c r="G239" i="3"/>
  <c r="F239" i="3"/>
  <c r="E239" i="3"/>
  <c r="D239" i="3"/>
  <c r="C239" i="3"/>
  <c r="B239" i="3"/>
  <c r="A239" i="3"/>
  <c r="BP238" i="3"/>
  <c r="BO238" i="3"/>
  <c r="BN238" i="3"/>
  <c r="BM238" i="3"/>
  <c r="BL238" i="3"/>
  <c r="BK238" i="3"/>
  <c r="BJ238" i="3"/>
  <c r="BI238" i="3"/>
  <c r="BH238" i="3"/>
  <c r="BG238" i="3"/>
  <c r="BF238" i="3"/>
  <c r="BE238" i="3"/>
  <c r="BD238" i="3"/>
  <c r="BC238" i="3"/>
  <c r="BB238" i="3"/>
  <c r="BA238" i="3"/>
  <c r="AZ238" i="3"/>
  <c r="AY238" i="3"/>
  <c r="AX238" i="3"/>
  <c r="AW238" i="3"/>
  <c r="AV238" i="3"/>
  <c r="AU238" i="3"/>
  <c r="AT238" i="3"/>
  <c r="AS238" i="3"/>
  <c r="AR238" i="3"/>
  <c r="AQ238" i="3"/>
  <c r="AP238" i="3"/>
  <c r="AO238" i="3"/>
  <c r="AN238" i="3"/>
  <c r="AM238" i="3"/>
  <c r="AL238" i="3"/>
  <c r="AK238" i="3"/>
  <c r="AJ238" i="3"/>
  <c r="AI238" i="3"/>
  <c r="AH238" i="3"/>
  <c r="AG238" i="3"/>
  <c r="AF238" i="3"/>
  <c r="AE238" i="3"/>
  <c r="AD238" i="3"/>
  <c r="AC238" i="3"/>
  <c r="AB238" i="3"/>
  <c r="AA238" i="3"/>
  <c r="Z238" i="3"/>
  <c r="Y238" i="3"/>
  <c r="X238" i="3"/>
  <c r="W238" i="3"/>
  <c r="V238" i="3"/>
  <c r="U238" i="3"/>
  <c r="T238" i="3"/>
  <c r="S238" i="3"/>
  <c r="R238" i="3"/>
  <c r="Q238" i="3"/>
  <c r="P238" i="3"/>
  <c r="O238" i="3"/>
  <c r="N238" i="3"/>
  <c r="M238" i="3"/>
  <c r="L238" i="3"/>
  <c r="K238" i="3"/>
  <c r="J238" i="3"/>
  <c r="I238" i="3"/>
  <c r="H238" i="3"/>
  <c r="G238" i="3"/>
  <c r="F238" i="3"/>
  <c r="E238" i="3"/>
  <c r="D238" i="3"/>
  <c r="C238" i="3"/>
  <c r="B238" i="3"/>
  <c r="A238" i="3"/>
  <c r="BP237" i="3"/>
  <c r="BO237" i="3"/>
  <c r="BN237" i="3"/>
  <c r="BM237" i="3"/>
  <c r="BL237" i="3"/>
  <c r="BK237" i="3"/>
  <c r="BJ237" i="3"/>
  <c r="BI237" i="3"/>
  <c r="BH237" i="3"/>
  <c r="BG237" i="3"/>
  <c r="BF237" i="3"/>
  <c r="BE237" i="3"/>
  <c r="BD237" i="3"/>
  <c r="BC237" i="3"/>
  <c r="BB237" i="3"/>
  <c r="BA237" i="3"/>
  <c r="AZ237" i="3"/>
  <c r="AY237" i="3"/>
  <c r="AX237" i="3"/>
  <c r="AW237" i="3"/>
  <c r="AV237" i="3"/>
  <c r="AU237" i="3"/>
  <c r="AT237" i="3"/>
  <c r="AS237" i="3"/>
  <c r="AR237" i="3"/>
  <c r="AQ237" i="3"/>
  <c r="AP237" i="3"/>
  <c r="AO237" i="3"/>
  <c r="AN237" i="3"/>
  <c r="AM237" i="3"/>
  <c r="AL237" i="3"/>
  <c r="AK237" i="3"/>
  <c r="AJ237" i="3"/>
  <c r="AI237" i="3"/>
  <c r="AH237" i="3"/>
  <c r="AG237" i="3"/>
  <c r="AF237" i="3"/>
  <c r="AE237" i="3"/>
  <c r="AD237" i="3"/>
  <c r="AC237" i="3"/>
  <c r="AB237" i="3"/>
  <c r="AA237" i="3"/>
  <c r="Z237" i="3"/>
  <c r="Y237" i="3"/>
  <c r="X237" i="3"/>
  <c r="W237" i="3"/>
  <c r="V237" i="3"/>
  <c r="U237" i="3"/>
  <c r="T237" i="3"/>
  <c r="S237" i="3"/>
  <c r="R237" i="3"/>
  <c r="Q237" i="3"/>
  <c r="P237" i="3"/>
  <c r="O237" i="3"/>
  <c r="N237" i="3"/>
  <c r="M237" i="3"/>
  <c r="L237" i="3"/>
  <c r="K237" i="3"/>
  <c r="J237" i="3"/>
  <c r="I237" i="3"/>
  <c r="H237" i="3"/>
  <c r="G237" i="3"/>
  <c r="F237" i="3"/>
  <c r="E237" i="3"/>
  <c r="D237" i="3"/>
  <c r="C237" i="3"/>
  <c r="B237" i="3"/>
  <c r="A237" i="3"/>
  <c r="BP236" i="3"/>
  <c r="BO236" i="3"/>
  <c r="BN236" i="3"/>
  <c r="BM236" i="3"/>
  <c r="BL236" i="3"/>
  <c r="BK236" i="3"/>
  <c r="BJ236" i="3"/>
  <c r="BI236" i="3"/>
  <c r="BH236" i="3"/>
  <c r="BG236" i="3"/>
  <c r="BF236" i="3"/>
  <c r="BE236" i="3"/>
  <c r="BD236" i="3"/>
  <c r="BC236" i="3"/>
  <c r="BB236" i="3"/>
  <c r="BA236" i="3"/>
  <c r="AZ236" i="3"/>
  <c r="AY236" i="3"/>
  <c r="AX236" i="3"/>
  <c r="AW236" i="3"/>
  <c r="AV236" i="3"/>
  <c r="AU236" i="3"/>
  <c r="AT236" i="3"/>
  <c r="AS236" i="3"/>
  <c r="AR236" i="3"/>
  <c r="AQ236" i="3"/>
  <c r="AP236" i="3"/>
  <c r="AO236" i="3"/>
  <c r="AN236" i="3"/>
  <c r="AM236" i="3"/>
  <c r="AL236" i="3"/>
  <c r="AK236" i="3"/>
  <c r="AJ236" i="3"/>
  <c r="AI236" i="3"/>
  <c r="AH236" i="3"/>
  <c r="AG236" i="3"/>
  <c r="AF236" i="3"/>
  <c r="AE236" i="3"/>
  <c r="AD236" i="3"/>
  <c r="AC236" i="3"/>
  <c r="AB236" i="3"/>
  <c r="AA236" i="3"/>
  <c r="Z236" i="3"/>
  <c r="Y236" i="3"/>
  <c r="X236" i="3"/>
  <c r="W236" i="3"/>
  <c r="V236" i="3"/>
  <c r="U236" i="3"/>
  <c r="T236" i="3"/>
  <c r="S236" i="3"/>
  <c r="R236" i="3"/>
  <c r="Q236" i="3"/>
  <c r="P236" i="3"/>
  <c r="O236" i="3"/>
  <c r="N236" i="3"/>
  <c r="M236" i="3"/>
  <c r="L236" i="3"/>
  <c r="K236" i="3"/>
  <c r="J236" i="3"/>
  <c r="I236" i="3"/>
  <c r="H236" i="3"/>
  <c r="G236" i="3"/>
  <c r="F236" i="3"/>
  <c r="E236" i="3"/>
  <c r="D236" i="3"/>
  <c r="C236" i="3"/>
  <c r="B236" i="3"/>
  <c r="A236" i="3"/>
  <c r="BP235" i="3"/>
  <c r="BO235" i="3"/>
  <c r="BN235" i="3"/>
  <c r="BM235" i="3"/>
  <c r="BL235" i="3"/>
  <c r="BK235" i="3"/>
  <c r="BJ235" i="3"/>
  <c r="BI235" i="3"/>
  <c r="BH235" i="3"/>
  <c r="BG235" i="3"/>
  <c r="BF235" i="3"/>
  <c r="BE235" i="3"/>
  <c r="BD235" i="3"/>
  <c r="BC235" i="3"/>
  <c r="BB235" i="3"/>
  <c r="BA235" i="3"/>
  <c r="AZ235" i="3"/>
  <c r="AY235" i="3"/>
  <c r="AX235" i="3"/>
  <c r="AW235" i="3"/>
  <c r="AV235" i="3"/>
  <c r="AU235" i="3"/>
  <c r="AT235" i="3"/>
  <c r="AS235" i="3"/>
  <c r="AR235" i="3"/>
  <c r="AQ235" i="3"/>
  <c r="AP235" i="3"/>
  <c r="AO235" i="3"/>
  <c r="AN235" i="3"/>
  <c r="AM235" i="3"/>
  <c r="AL235" i="3"/>
  <c r="AK235" i="3"/>
  <c r="AJ235" i="3"/>
  <c r="AI235" i="3"/>
  <c r="AH235" i="3"/>
  <c r="AG235" i="3"/>
  <c r="AF235" i="3"/>
  <c r="AE235" i="3"/>
  <c r="AD235" i="3"/>
  <c r="AC235" i="3"/>
  <c r="AB235" i="3"/>
  <c r="AA235" i="3"/>
  <c r="Z235" i="3"/>
  <c r="Y235" i="3"/>
  <c r="X235" i="3"/>
  <c r="W235" i="3"/>
  <c r="V235" i="3"/>
  <c r="U235" i="3"/>
  <c r="T235" i="3"/>
  <c r="S235" i="3"/>
  <c r="R235" i="3"/>
  <c r="Q235" i="3"/>
  <c r="P235" i="3"/>
  <c r="O235" i="3"/>
  <c r="N235" i="3"/>
  <c r="M235" i="3"/>
  <c r="L235" i="3"/>
  <c r="K235" i="3"/>
  <c r="J235" i="3"/>
  <c r="I235" i="3"/>
  <c r="H235" i="3"/>
  <c r="G235" i="3"/>
  <c r="F235" i="3"/>
  <c r="E235" i="3"/>
  <c r="D235" i="3"/>
  <c r="C235" i="3"/>
  <c r="B235" i="3"/>
  <c r="A235" i="3"/>
  <c r="BP234" i="3"/>
  <c r="BO234" i="3"/>
  <c r="BN234" i="3"/>
  <c r="BM234" i="3"/>
  <c r="BL234" i="3"/>
  <c r="BK234" i="3"/>
  <c r="BJ234" i="3"/>
  <c r="BI234" i="3"/>
  <c r="BH234" i="3"/>
  <c r="BG234" i="3"/>
  <c r="BF234" i="3"/>
  <c r="BE234" i="3"/>
  <c r="BD234" i="3"/>
  <c r="BC234" i="3"/>
  <c r="BB234" i="3"/>
  <c r="BA234" i="3"/>
  <c r="AZ234" i="3"/>
  <c r="AY234" i="3"/>
  <c r="AX234" i="3"/>
  <c r="AW234" i="3"/>
  <c r="AV234" i="3"/>
  <c r="AU234" i="3"/>
  <c r="AT234" i="3"/>
  <c r="AS234" i="3"/>
  <c r="AR234" i="3"/>
  <c r="AQ234" i="3"/>
  <c r="AP234" i="3"/>
  <c r="AO234" i="3"/>
  <c r="AN234" i="3"/>
  <c r="AM234" i="3"/>
  <c r="AL234" i="3"/>
  <c r="AK234" i="3"/>
  <c r="AJ234" i="3"/>
  <c r="AI234" i="3"/>
  <c r="AH234" i="3"/>
  <c r="AG234" i="3"/>
  <c r="AF234" i="3"/>
  <c r="AE234" i="3"/>
  <c r="AD234" i="3"/>
  <c r="AC234" i="3"/>
  <c r="AB234" i="3"/>
  <c r="AA234" i="3"/>
  <c r="Z234" i="3"/>
  <c r="Y234" i="3"/>
  <c r="X234" i="3"/>
  <c r="W234" i="3"/>
  <c r="V234" i="3"/>
  <c r="U234" i="3"/>
  <c r="T234" i="3"/>
  <c r="S234" i="3"/>
  <c r="R234" i="3"/>
  <c r="Q234" i="3"/>
  <c r="P234" i="3"/>
  <c r="O234" i="3"/>
  <c r="N234" i="3"/>
  <c r="M234" i="3"/>
  <c r="L234" i="3"/>
  <c r="K234" i="3"/>
  <c r="J234" i="3"/>
  <c r="I234" i="3"/>
  <c r="H234" i="3"/>
  <c r="G234" i="3"/>
  <c r="F234" i="3"/>
  <c r="E234" i="3"/>
  <c r="D234" i="3"/>
  <c r="C234" i="3"/>
  <c r="B234" i="3"/>
  <c r="A234" i="3"/>
  <c r="BP233" i="3"/>
  <c r="BO233" i="3"/>
  <c r="BN233" i="3"/>
  <c r="BM233" i="3"/>
  <c r="BL233" i="3"/>
  <c r="BK233" i="3"/>
  <c r="BJ233" i="3"/>
  <c r="BI233" i="3"/>
  <c r="BH233" i="3"/>
  <c r="BG233" i="3"/>
  <c r="BF233" i="3"/>
  <c r="BE233" i="3"/>
  <c r="BD233" i="3"/>
  <c r="BC233" i="3"/>
  <c r="BB233" i="3"/>
  <c r="BA233" i="3"/>
  <c r="AZ233" i="3"/>
  <c r="AY233" i="3"/>
  <c r="AX233" i="3"/>
  <c r="AW233" i="3"/>
  <c r="AV233" i="3"/>
  <c r="AU233" i="3"/>
  <c r="AT233" i="3"/>
  <c r="AS233" i="3"/>
  <c r="AR233" i="3"/>
  <c r="AQ233" i="3"/>
  <c r="AP233" i="3"/>
  <c r="AO233" i="3"/>
  <c r="AN233" i="3"/>
  <c r="AM233" i="3"/>
  <c r="AL233" i="3"/>
  <c r="AK233" i="3"/>
  <c r="AJ233" i="3"/>
  <c r="AI233" i="3"/>
  <c r="AH233" i="3"/>
  <c r="AG233" i="3"/>
  <c r="AF233" i="3"/>
  <c r="AE233" i="3"/>
  <c r="AD233" i="3"/>
  <c r="AC233" i="3"/>
  <c r="AB233" i="3"/>
  <c r="AA233" i="3"/>
  <c r="Z233" i="3"/>
  <c r="Y233" i="3"/>
  <c r="X233" i="3"/>
  <c r="W233" i="3"/>
  <c r="V233" i="3"/>
  <c r="U233" i="3"/>
  <c r="T233" i="3"/>
  <c r="S233" i="3"/>
  <c r="R233" i="3"/>
  <c r="Q233" i="3"/>
  <c r="P233" i="3"/>
  <c r="O233" i="3"/>
  <c r="N233" i="3"/>
  <c r="M233" i="3"/>
  <c r="L233" i="3"/>
  <c r="K233" i="3"/>
  <c r="J233" i="3"/>
  <c r="I233" i="3"/>
  <c r="H233" i="3"/>
  <c r="G233" i="3"/>
  <c r="F233" i="3"/>
  <c r="E233" i="3"/>
  <c r="D233" i="3"/>
  <c r="C233" i="3"/>
  <c r="B233" i="3"/>
  <c r="A233" i="3"/>
  <c r="BP232" i="3"/>
  <c r="BO232" i="3"/>
  <c r="BN232" i="3"/>
  <c r="BM232" i="3"/>
  <c r="BL232" i="3"/>
  <c r="BK232" i="3"/>
  <c r="BJ232" i="3"/>
  <c r="BI232" i="3"/>
  <c r="BH232" i="3"/>
  <c r="BG232" i="3"/>
  <c r="BF232" i="3"/>
  <c r="BE232" i="3"/>
  <c r="BD232" i="3"/>
  <c r="BC232" i="3"/>
  <c r="BB232" i="3"/>
  <c r="BA232" i="3"/>
  <c r="AZ232" i="3"/>
  <c r="AY232" i="3"/>
  <c r="AX232" i="3"/>
  <c r="AW232" i="3"/>
  <c r="AV232" i="3"/>
  <c r="AU232" i="3"/>
  <c r="AT232" i="3"/>
  <c r="AS232" i="3"/>
  <c r="AR232" i="3"/>
  <c r="AQ232" i="3"/>
  <c r="AP232" i="3"/>
  <c r="AO232" i="3"/>
  <c r="AN232" i="3"/>
  <c r="AM232" i="3"/>
  <c r="AL232" i="3"/>
  <c r="AK232" i="3"/>
  <c r="AJ232" i="3"/>
  <c r="AI232" i="3"/>
  <c r="AH232" i="3"/>
  <c r="AG232" i="3"/>
  <c r="AF232" i="3"/>
  <c r="AE232" i="3"/>
  <c r="AD232" i="3"/>
  <c r="AC232" i="3"/>
  <c r="AB232" i="3"/>
  <c r="AA232" i="3"/>
  <c r="Z232" i="3"/>
  <c r="Y232" i="3"/>
  <c r="X232" i="3"/>
  <c r="W232" i="3"/>
  <c r="V232" i="3"/>
  <c r="U232" i="3"/>
  <c r="T232" i="3"/>
  <c r="S232" i="3"/>
  <c r="R232" i="3"/>
  <c r="Q232" i="3"/>
  <c r="P232" i="3"/>
  <c r="O232" i="3"/>
  <c r="N232" i="3"/>
  <c r="M232" i="3"/>
  <c r="L232" i="3"/>
  <c r="K232" i="3"/>
  <c r="J232" i="3"/>
  <c r="I232" i="3"/>
  <c r="H232" i="3"/>
  <c r="G232" i="3"/>
  <c r="F232" i="3"/>
  <c r="E232" i="3"/>
  <c r="D232" i="3"/>
  <c r="B232" i="3"/>
  <c r="A232" i="3"/>
  <c r="BP231" i="3"/>
  <c r="BO231" i="3"/>
  <c r="BN231" i="3"/>
  <c r="BM231" i="3"/>
  <c r="BL231" i="3"/>
  <c r="BK231" i="3"/>
  <c r="BJ231" i="3"/>
  <c r="BI231" i="3"/>
  <c r="BH231" i="3"/>
  <c r="BG231" i="3"/>
  <c r="BF231" i="3"/>
  <c r="BE231" i="3"/>
  <c r="BD231" i="3"/>
  <c r="BC231" i="3"/>
  <c r="BB231" i="3"/>
  <c r="BA231" i="3"/>
  <c r="AZ231" i="3"/>
  <c r="AY231" i="3"/>
  <c r="AX231" i="3"/>
  <c r="AW231" i="3"/>
  <c r="AV231" i="3"/>
  <c r="AU231" i="3"/>
  <c r="AT231" i="3"/>
  <c r="AS231" i="3"/>
  <c r="AR231" i="3"/>
  <c r="AQ231" i="3"/>
  <c r="AP231" i="3"/>
  <c r="AO231" i="3"/>
  <c r="AN231" i="3"/>
  <c r="AM231" i="3"/>
  <c r="AL231" i="3"/>
  <c r="AK231" i="3"/>
  <c r="AJ231" i="3"/>
  <c r="AI231" i="3"/>
  <c r="AH231" i="3"/>
  <c r="AG231" i="3"/>
  <c r="AF231" i="3"/>
  <c r="AE231" i="3"/>
  <c r="AD231" i="3"/>
  <c r="AC231" i="3"/>
  <c r="AB231" i="3"/>
  <c r="AA231" i="3"/>
  <c r="Z231" i="3"/>
  <c r="Y231" i="3"/>
  <c r="X231" i="3"/>
  <c r="W231" i="3"/>
  <c r="V231" i="3"/>
  <c r="U231" i="3"/>
  <c r="T231" i="3"/>
  <c r="S231" i="3"/>
  <c r="R231" i="3"/>
  <c r="Q231" i="3"/>
  <c r="P231" i="3"/>
  <c r="O231" i="3"/>
  <c r="N231" i="3"/>
  <c r="M231" i="3"/>
  <c r="L231" i="3"/>
  <c r="K231" i="3"/>
  <c r="J231" i="3"/>
  <c r="I231" i="3"/>
  <c r="H231" i="3"/>
  <c r="G231" i="3"/>
  <c r="F231" i="3"/>
  <c r="E231" i="3"/>
  <c r="D231" i="3"/>
  <c r="C231" i="3"/>
  <c r="B231" i="3"/>
  <c r="A231" i="3"/>
  <c r="BP230" i="3"/>
  <c r="BO230" i="3"/>
  <c r="BN230" i="3"/>
  <c r="BM230" i="3"/>
  <c r="BL230" i="3"/>
  <c r="BK230" i="3"/>
  <c r="BJ230" i="3"/>
  <c r="BI230" i="3"/>
  <c r="BH230" i="3"/>
  <c r="BG230" i="3"/>
  <c r="BF230" i="3"/>
  <c r="BE230" i="3"/>
  <c r="BD230" i="3"/>
  <c r="BC230" i="3"/>
  <c r="BB230" i="3"/>
  <c r="BA230" i="3"/>
  <c r="AZ230" i="3"/>
  <c r="AY230" i="3"/>
  <c r="AX230" i="3"/>
  <c r="AW230" i="3"/>
  <c r="AV230" i="3"/>
  <c r="AU230" i="3"/>
  <c r="AT230" i="3"/>
  <c r="AS230" i="3"/>
  <c r="AR230" i="3"/>
  <c r="AQ230" i="3"/>
  <c r="AP230" i="3"/>
  <c r="AO230" i="3"/>
  <c r="AN230" i="3"/>
  <c r="AM230" i="3"/>
  <c r="AL230" i="3"/>
  <c r="AK230" i="3"/>
  <c r="AJ230" i="3"/>
  <c r="AI230" i="3"/>
  <c r="AH230" i="3"/>
  <c r="AG230" i="3"/>
  <c r="AF230" i="3"/>
  <c r="AE230" i="3"/>
  <c r="AD230" i="3"/>
  <c r="AC230" i="3"/>
  <c r="AB230" i="3"/>
  <c r="AA230" i="3"/>
  <c r="Z230" i="3"/>
  <c r="Y230" i="3"/>
  <c r="X230" i="3"/>
  <c r="W230" i="3"/>
  <c r="V230" i="3"/>
  <c r="U230" i="3"/>
  <c r="T230" i="3"/>
  <c r="S230" i="3"/>
  <c r="R230" i="3"/>
  <c r="Q230" i="3"/>
  <c r="P230" i="3"/>
  <c r="O230" i="3"/>
  <c r="N230" i="3"/>
  <c r="M230" i="3"/>
  <c r="L230" i="3"/>
  <c r="K230" i="3"/>
  <c r="J230" i="3"/>
  <c r="I230" i="3"/>
  <c r="H230" i="3"/>
  <c r="G230" i="3"/>
  <c r="F230" i="3"/>
  <c r="E230" i="3"/>
  <c r="D230" i="3"/>
  <c r="C230" i="3"/>
  <c r="B230" i="3"/>
  <c r="A230" i="3"/>
  <c r="BP229" i="3"/>
  <c r="BO229" i="3"/>
  <c r="BN229" i="3"/>
  <c r="BM229" i="3"/>
  <c r="BL229" i="3"/>
  <c r="BK229" i="3"/>
  <c r="BJ229" i="3"/>
  <c r="BI229" i="3"/>
  <c r="BH229" i="3"/>
  <c r="BG229" i="3"/>
  <c r="BF229" i="3"/>
  <c r="BE229" i="3"/>
  <c r="BD229" i="3"/>
  <c r="BC229" i="3"/>
  <c r="BB229" i="3"/>
  <c r="BA229" i="3"/>
  <c r="AZ229" i="3"/>
  <c r="AY229" i="3"/>
  <c r="AX229" i="3"/>
  <c r="AW229" i="3"/>
  <c r="AV229" i="3"/>
  <c r="AU229" i="3"/>
  <c r="AT229" i="3"/>
  <c r="AS229" i="3"/>
  <c r="AR229" i="3"/>
  <c r="AQ229" i="3"/>
  <c r="AP229" i="3"/>
  <c r="AO229" i="3"/>
  <c r="AN229" i="3"/>
  <c r="AM229" i="3"/>
  <c r="AL229" i="3"/>
  <c r="AK229" i="3"/>
  <c r="AJ229" i="3"/>
  <c r="AI229" i="3"/>
  <c r="AH229" i="3"/>
  <c r="AG229" i="3"/>
  <c r="AF229" i="3"/>
  <c r="AE229" i="3"/>
  <c r="AD229" i="3"/>
  <c r="AC229" i="3"/>
  <c r="AB229" i="3"/>
  <c r="AA229" i="3"/>
  <c r="Z229" i="3"/>
  <c r="Y229" i="3"/>
  <c r="X229" i="3"/>
  <c r="W229" i="3"/>
  <c r="V229" i="3"/>
  <c r="U229" i="3"/>
  <c r="T229" i="3"/>
  <c r="S229" i="3"/>
  <c r="R229" i="3"/>
  <c r="Q229" i="3"/>
  <c r="P229" i="3"/>
  <c r="O229" i="3"/>
  <c r="N229" i="3"/>
  <c r="M229" i="3"/>
  <c r="L229" i="3"/>
  <c r="K229" i="3"/>
  <c r="J229" i="3"/>
  <c r="I229" i="3"/>
  <c r="H229" i="3"/>
  <c r="G229" i="3"/>
  <c r="F229" i="3"/>
  <c r="E229" i="3"/>
  <c r="D229" i="3"/>
  <c r="C229" i="3"/>
  <c r="B229" i="3"/>
  <c r="A229" i="3"/>
  <c r="BP228" i="3"/>
  <c r="BO228" i="3"/>
  <c r="BN228" i="3"/>
  <c r="BM228" i="3"/>
  <c r="BL228" i="3"/>
  <c r="BK228" i="3"/>
  <c r="BJ228" i="3"/>
  <c r="BI228" i="3"/>
  <c r="BH228" i="3"/>
  <c r="BG228" i="3"/>
  <c r="BF228" i="3"/>
  <c r="BE228" i="3"/>
  <c r="BD228" i="3"/>
  <c r="BC228" i="3"/>
  <c r="BB228" i="3"/>
  <c r="BA228" i="3"/>
  <c r="AZ228" i="3"/>
  <c r="AY228" i="3"/>
  <c r="AX228" i="3"/>
  <c r="AW228" i="3"/>
  <c r="AV228" i="3"/>
  <c r="AU228" i="3"/>
  <c r="AT228" i="3"/>
  <c r="AS228" i="3"/>
  <c r="AR228" i="3"/>
  <c r="AQ228" i="3"/>
  <c r="AP228" i="3"/>
  <c r="AO228" i="3"/>
  <c r="AN228" i="3"/>
  <c r="AM228" i="3"/>
  <c r="AL228" i="3"/>
  <c r="AK228" i="3"/>
  <c r="AJ228" i="3"/>
  <c r="AI228" i="3"/>
  <c r="AH228" i="3"/>
  <c r="AG228" i="3"/>
  <c r="AF228" i="3"/>
  <c r="AE228" i="3"/>
  <c r="AD228" i="3"/>
  <c r="AC228" i="3"/>
  <c r="AB228" i="3"/>
  <c r="AA228" i="3"/>
  <c r="Z228" i="3"/>
  <c r="Y228" i="3"/>
  <c r="X228" i="3"/>
  <c r="W228" i="3"/>
  <c r="V228" i="3"/>
  <c r="U228" i="3"/>
  <c r="T228" i="3"/>
  <c r="S228" i="3"/>
  <c r="R228" i="3"/>
  <c r="Q228" i="3"/>
  <c r="P228" i="3"/>
  <c r="O228" i="3"/>
  <c r="N228" i="3"/>
  <c r="M228" i="3"/>
  <c r="L228" i="3"/>
  <c r="K228" i="3"/>
  <c r="J228" i="3"/>
  <c r="I228" i="3"/>
  <c r="H228" i="3"/>
  <c r="G228" i="3"/>
  <c r="F228" i="3"/>
  <c r="E228" i="3"/>
  <c r="D228" i="3"/>
  <c r="C228" i="3"/>
  <c r="B228" i="3"/>
  <c r="A228" i="3"/>
  <c r="BP227" i="3"/>
  <c r="BO227" i="3"/>
  <c r="BN227" i="3"/>
  <c r="BM227" i="3"/>
  <c r="BL227" i="3"/>
  <c r="BK227" i="3"/>
  <c r="BJ227" i="3"/>
  <c r="BI227" i="3"/>
  <c r="BH227" i="3"/>
  <c r="BG227" i="3"/>
  <c r="BF227" i="3"/>
  <c r="BE227" i="3"/>
  <c r="BD227" i="3"/>
  <c r="BC227" i="3"/>
  <c r="BB227" i="3"/>
  <c r="BA227" i="3"/>
  <c r="AZ227" i="3"/>
  <c r="AY227" i="3"/>
  <c r="AX227" i="3"/>
  <c r="AW227" i="3"/>
  <c r="AV227" i="3"/>
  <c r="AU227" i="3"/>
  <c r="AT227" i="3"/>
  <c r="AS227" i="3"/>
  <c r="AR227" i="3"/>
  <c r="AQ227" i="3"/>
  <c r="AP227" i="3"/>
  <c r="AO227" i="3"/>
  <c r="AN227" i="3"/>
  <c r="AM227" i="3"/>
  <c r="AL227" i="3"/>
  <c r="AK227" i="3"/>
  <c r="AJ227" i="3"/>
  <c r="AI227" i="3"/>
  <c r="AH227" i="3"/>
  <c r="AG227" i="3"/>
  <c r="AF227" i="3"/>
  <c r="AE227" i="3"/>
  <c r="AD227" i="3"/>
  <c r="AC227" i="3"/>
  <c r="AB227" i="3"/>
  <c r="AA227" i="3"/>
  <c r="Z227" i="3"/>
  <c r="Y227" i="3"/>
  <c r="X227" i="3"/>
  <c r="W227" i="3"/>
  <c r="V227" i="3"/>
  <c r="U227" i="3"/>
  <c r="T227" i="3"/>
  <c r="S227" i="3"/>
  <c r="R227" i="3"/>
  <c r="Q227" i="3"/>
  <c r="P227" i="3"/>
  <c r="O227" i="3"/>
  <c r="N227" i="3"/>
  <c r="M227" i="3"/>
  <c r="L227" i="3"/>
  <c r="K227" i="3"/>
  <c r="J227" i="3"/>
  <c r="I227" i="3"/>
  <c r="H227" i="3"/>
  <c r="G227" i="3"/>
  <c r="F227" i="3"/>
  <c r="E227" i="3"/>
  <c r="D227" i="3"/>
  <c r="C227" i="3"/>
  <c r="B227" i="3"/>
  <c r="A227" i="3"/>
  <c r="BP226" i="3"/>
  <c r="BO226" i="3"/>
  <c r="BN226" i="3"/>
  <c r="BM226" i="3"/>
  <c r="BL226" i="3"/>
  <c r="BK226" i="3"/>
  <c r="BJ226" i="3"/>
  <c r="BI226" i="3"/>
  <c r="BH226" i="3"/>
  <c r="BG226" i="3"/>
  <c r="BF226" i="3"/>
  <c r="BE226" i="3"/>
  <c r="BD226" i="3"/>
  <c r="BC226" i="3"/>
  <c r="BB226" i="3"/>
  <c r="BA226" i="3"/>
  <c r="AZ226" i="3"/>
  <c r="AY226" i="3"/>
  <c r="AX226" i="3"/>
  <c r="AW226" i="3"/>
  <c r="AV226" i="3"/>
  <c r="AU226" i="3"/>
  <c r="AT226" i="3"/>
  <c r="AS226" i="3"/>
  <c r="AR226" i="3"/>
  <c r="AQ226" i="3"/>
  <c r="AP226" i="3"/>
  <c r="AO226" i="3"/>
  <c r="AN226" i="3"/>
  <c r="AM226" i="3"/>
  <c r="AL226" i="3"/>
  <c r="AK226" i="3"/>
  <c r="AJ226" i="3"/>
  <c r="AI226" i="3"/>
  <c r="AH226" i="3"/>
  <c r="AG226" i="3"/>
  <c r="AF226" i="3"/>
  <c r="AE226" i="3"/>
  <c r="AD226" i="3"/>
  <c r="AC226" i="3"/>
  <c r="AB226" i="3"/>
  <c r="AA226" i="3"/>
  <c r="Z226" i="3"/>
  <c r="Y226" i="3"/>
  <c r="X226" i="3"/>
  <c r="W226" i="3"/>
  <c r="V226" i="3"/>
  <c r="U226" i="3"/>
  <c r="T226" i="3"/>
  <c r="S226" i="3"/>
  <c r="R226" i="3"/>
  <c r="Q226" i="3"/>
  <c r="P226" i="3"/>
  <c r="O226" i="3"/>
  <c r="N226" i="3"/>
  <c r="M226" i="3"/>
  <c r="L226" i="3"/>
  <c r="K226" i="3"/>
  <c r="J226" i="3"/>
  <c r="I226" i="3"/>
  <c r="H226" i="3"/>
  <c r="G226" i="3"/>
  <c r="F226" i="3"/>
  <c r="E226" i="3"/>
  <c r="D226" i="3"/>
  <c r="C226" i="3"/>
  <c r="B226" i="3"/>
  <c r="A226" i="3"/>
  <c r="BP225" i="3"/>
  <c r="BO225" i="3"/>
  <c r="BN225" i="3"/>
  <c r="BM225" i="3"/>
  <c r="BL225" i="3"/>
  <c r="BK225" i="3"/>
  <c r="BJ225" i="3"/>
  <c r="BI225" i="3"/>
  <c r="BH225" i="3"/>
  <c r="BG225" i="3"/>
  <c r="BF225" i="3"/>
  <c r="BE225" i="3"/>
  <c r="BD225" i="3"/>
  <c r="BC225" i="3"/>
  <c r="BB225" i="3"/>
  <c r="BA225" i="3"/>
  <c r="AZ225" i="3"/>
  <c r="AY225" i="3"/>
  <c r="AX225" i="3"/>
  <c r="AW225" i="3"/>
  <c r="AV225" i="3"/>
  <c r="AU225" i="3"/>
  <c r="AT225" i="3"/>
  <c r="AS225" i="3"/>
  <c r="AR225" i="3"/>
  <c r="AQ225" i="3"/>
  <c r="AP225" i="3"/>
  <c r="AO225" i="3"/>
  <c r="AN225" i="3"/>
  <c r="AM225" i="3"/>
  <c r="AL225" i="3"/>
  <c r="AK225" i="3"/>
  <c r="AJ225" i="3"/>
  <c r="AI225" i="3"/>
  <c r="AH225" i="3"/>
  <c r="AG225" i="3"/>
  <c r="AF225" i="3"/>
  <c r="AE225" i="3"/>
  <c r="AD225" i="3"/>
  <c r="AC225" i="3"/>
  <c r="AB225" i="3"/>
  <c r="AA225" i="3"/>
  <c r="Z225" i="3"/>
  <c r="Y225" i="3"/>
  <c r="X225" i="3"/>
  <c r="W225" i="3"/>
  <c r="V225" i="3"/>
  <c r="U225" i="3"/>
  <c r="T225" i="3"/>
  <c r="S225" i="3"/>
  <c r="R225" i="3"/>
  <c r="Q225" i="3"/>
  <c r="P225" i="3"/>
  <c r="O225" i="3"/>
  <c r="N225" i="3"/>
  <c r="M225" i="3"/>
  <c r="L225" i="3"/>
  <c r="K225" i="3"/>
  <c r="J225" i="3"/>
  <c r="I225" i="3"/>
  <c r="H225" i="3"/>
  <c r="G225" i="3"/>
  <c r="F225" i="3"/>
  <c r="E225" i="3"/>
  <c r="D225" i="3"/>
  <c r="C225" i="3"/>
  <c r="B225" i="3"/>
  <c r="A225" i="3"/>
  <c r="BP224" i="3"/>
  <c r="BO224" i="3"/>
  <c r="BN224" i="3"/>
  <c r="BM224" i="3"/>
  <c r="BL224" i="3"/>
  <c r="BK224" i="3"/>
  <c r="BJ224" i="3"/>
  <c r="BI224" i="3"/>
  <c r="BH224" i="3"/>
  <c r="BG224" i="3"/>
  <c r="BF224" i="3"/>
  <c r="BE224" i="3"/>
  <c r="BD224" i="3"/>
  <c r="BC224" i="3"/>
  <c r="BB224" i="3"/>
  <c r="BA224" i="3"/>
  <c r="AZ224" i="3"/>
  <c r="AY224" i="3"/>
  <c r="AX224" i="3"/>
  <c r="AW224" i="3"/>
  <c r="AV224" i="3"/>
  <c r="AU224" i="3"/>
  <c r="AT224" i="3"/>
  <c r="AS224" i="3"/>
  <c r="AR224" i="3"/>
  <c r="AQ224" i="3"/>
  <c r="AP224" i="3"/>
  <c r="AO224" i="3"/>
  <c r="AN224" i="3"/>
  <c r="AM224" i="3"/>
  <c r="AL224" i="3"/>
  <c r="AK224" i="3"/>
  <c r="AJ224" i="3"/>
  <c r="AI224" i="3"/>
  <c r="AH224" i="3"/>
  <c r="AG224" i="3"/>
  <c r="AF224" i="3"/>
  <c r="AE224" i="3"/>
  <c r="AD224" i="3"/>
  <c r="AC224" i="3"/>
  <c r="AB224" i="3"/>
  <c r="AA224" i="3"/>
  <c r="Z224" i="3"/>
  <c r="Y224" i="3"/>
  <c r="X224" i="3"/>
  <c r="W224" i="3"/>
  <c r="V224" i="3"/>
  <c r="U224" i="3"/>
  <c r="T224" i="3"/>
  <c r="S224" i="3"/>
  <c r="R224" i="3"/>
  <c r="Q224" i="3"/>
  <c r="P224" i="3"/>
  <c r="O224" i="3"/>
  <c r="N224" i="3"/>
  <c r="M224" i="3"/>
  <c r="L224" i="3"/>
  <c r="K224" i="3"/>
  <c r="J224" i="3"/>
  <c r="I224" i="3"/>
  <c r="H224" i="3"/>
  <c r="G224" i="3"/>
  <c r="F224" i="3"/>
  <c r="E224" i="3"/>
  <c r="D224" i="3"/>
  <c r="C224" i="3"/>
  <c r="B224" i="3"/>
  <c r="A224" i="3"/>
  <c r="BP223" i="3"/>
  <c r="BO223" i="3"/>
  <c r="BN223" i="3"/>
  <c r="BM223" i="3"/>
  <c r="BL223" i="3"/>
  <c r="BK223" i="3"/>
  <c r="BJ223" i="3"/>
  <c r="BI223" i="3"/>
  <c r="BH223" i="3"/>
  <c r="BG223" i="3"/>
  <c r="BF223" i="3"/>
  <c r="BE223" i="3"/>
  <c r="BD223" i="3"/>
  <c r="BC223" i="3"/>
  <c r="BB223" i="3"/>
  <c r="BA223" i="3"/>
  <c r="AZ223" i="3"/>
  <c r="AY223" i="3"/>
  <c r="AX223" i="3"/>
  <c r="AW223" i="3"/>
  <c r="AV223" i="3"/>
  <c r="AU223" i="3"/>
  <c r="AT223" i="3"/>
  <c r="AS223" i="3"/>
  <c r="AR223" i="3"/>
  <c r="AQ223" i="3"/>
  <c r="AP223" i="3"/>
  <c r="AO223" i="3"/>
  <c r="AN223" i="3"/>
  <c r="AM223" i="3"/>
  <c r="AL223" i="3"/>
  <c r="AK223" i="3"/>
  <c r="AJ223" i="3"/>
  <c r="AI223" i="3"/>
  <c r="AH223" i="3"/>
  <c r="AG223" i="3"/>
  <c r="AF223" i="3"/>
  <c r="AE223" i="3"/>
  <c r="AD223" i="3"/>
  <c r="AC223" i="3"/>
  <c r="AB223" i="3"/>
  <c r="AA223" i="3"/>
  <c r="Z223" i="3"/>
  <c r="Y223" i="3"/>
  <c r="X223" i="3"/>
  <c r="W223" i="3"/>
  <c r="V223" i="3"/>
  <c r="U223" i="3"/>
  <c r="T223" i="3"/>
  <c r="S223" i="3"/>
  <c r="R223" i="3"/>
  <c r="Q223" i="3"/>
  <c r="P223" i="3"/>
  <c r="O223" i="3"/>
  <c r="N223" i="3"/>
  <c r="M223" i="3"/>
  <c r="L223" i="3"/>
  <c r="K223" i="3"/>
  <c r="J223" i="3"/>
  <c r="I223" i="3"/>
  <c r="H223" i="3"/>
  <c r="G223" i="3"/>
  <c r="F223" i="3"/>
  <c r="E223" i="3"/>
  <c r="D223" i="3"/>
  <c r="C223" i="3"/>
  <c r="B223" i="3"/>
  <c r="A223" i="3"/>
  <c r="BP222" i="3"/>
  <c r="BO222" i="3"/>
  <c r="BN222" i="3"/>
  <c r="BM222" i="3"/>
  <c r="BL222" i="3"/>
  <c r="BK222" i="3"/>
  <c r="BJ222" i="3"/>
  <c r="BI222" i="3"/>
  <c r="BH222" i="3"/>
  <c r="BG222" i="3"/>
  <c r="BF222" i="3"/>
  <c r="BE222" i="3"/>
  <c r="BD222" i="3"/>
  <c r="BC222" i="3"/>
  <c r="BB222" i="3"/>
  <c r="BA222" i="3"/>
  <c r="AZ222" i="3"/>
  <c r="AY222" i="3"/>
  <c r="AX222" i="3"/>
  <c r="AW222" i="3"/>
  <c r="AV222" i="3"/>
  <c r="AU222" i="3"/>
  <c r="AT222" i="3"/>
  <c r="AS222" i="3"/>
  <c r="AR222" i="3"/>
  <c r="AQ222" i="3"/>
  <c r="AP222" i="3"/>
  <c r="AO222" i="3"/>
  <c r="AN222" i="3"/>
  <c r="AM222" i="3"/>
  <c r="AL222" i="3"/>
  <c r="AK222" i="3"/>
  <c r="AJ222" i="3"/>
  <c r="AI222" i="3"/>
  <c r="AH222" i="3"/>
  <c r="AG222" i="3"/>
  <c r="AF222" i="3"/>
  <c r="AE222" i="3"/>
  <c r="AD222" i="3"/>
  <c r="AC222" i="3"/>
  <c r="AB222" i="3"/>
  <c r="AA222" i="3"/>
  <c r="Z222" i="3"/>
  <c r="Y222" i="3"/>
  <c r="X222" i="3"/>
  <c r="W222" i="3"/>
  <c r="V222" i="3"/>
  <c r="U222" i="3"/>
  <c r="T222" i="3"/>
  <c r="S222" i="3"/>
  <c r="R222" i="3"/>
  <c r="Q222" i="3"/>
  <c r="P222" i="3"/>
  <c r="O222" i="3"/>
  <c r="N222" i="3"/>
  <c r="M222" i="3"/>
  <c r="L222" i="3"/>
  <c r="K222" i="3"/>
  <c r="J222" i="3"/>
  <c r="I222" i="3"/>
  <c r="H222" i="3"/>
  <c r="G222" i="3"/>
  <c r="F222" i="3"/>
  <c r="E222" i="3"/>
  <c r="D222" i="3"/>
  <c r="C222" i="3"/>
  <c r="B222" i="3"/>
  <c r="A222" i="3"/>
  <c r="BP221" i="3"/>
  <c r="BO221" i="3"/>
  <c r="BN221" i="3"/>
  <c r="BM221" i="3"/>
  <c r="BL221" i="3"/>
  <c r="BK221" i="3"/>
  <c r="BJ221" i="3"/>
  <c r="BI221" i="3"/>
  <c r="BH221" i="3"/>
  <c r="BG221" i="3"/>
  <c r="BF221" i="3"/>
  <c r="BE221" i="3"/>
  <c r="BD221" i="3"/>
  <c r="BC221" i="3"/>
  <c r="BB221" i="3"/>
  <c r="BA221" i="3"/>
  <c r="AZ221" i="3"/>
  <c r="AY221" i="3"/>
  <c r="AX221" i="3"/>
  <c r="AW221" i="3"/>
  <c r="AV221" i="3"/>
  <c r="AU221" i="3"/>
  <c r="AT221" i="3"/>
  <c r="AS221" i="3"/>
  <c r="AR221" i="3"/>
  <c r="AQ221" i="3"/>
  <c r="AP221" i="3"/>
  <c r="AO221" i="3"/>
  <c r="AN221" i="3"/>
  <c r="AM221" i="3"/>
  <c r="AL221" i="3"/>
  <c r="AK221" i="3"/>
  <c r="AJ221" i="3"/>
  <c r="AI221" i="3"/>
  <c r="AH221" i="3"/>
  <c r="AG221" i="3"/>
  <c r="AF221" i="3"/>
  <c r="AE221" i="3"/>
  <c r="AD221" i="3"/>
  <c r="AC221" i="3"/>
  <c r="AB221" i="3"/>
  <c r="AA221" i="3"/>
  <c r="Z221" i="3"/>
  <c r="Y221" i="3"/>
  <c r="X221" i="3"/>
  <c r="W221" i="3"/>
  <c r="V221" i="3"/>
  <c r="U221" i="3"/>
  <c r="T221" i="3"/>
  <c r="S221" i="3"/>
  <c r="R221" i="3"/>
  <c r="Q221" i="3"/>
  <c r="P221" i="3"/>
  <c r="O221" i="3"/>
  <c r="N221" i="3"/>
  <c r="M221" i="3"/>
  <c r="L221" i="3"/>
  <c r="K221" i="3"/>
  <c r="J221" i="3"/>
  <c r="I221" i="3"/>
  <c r="H221" i="3"/>
  <c r="G221" i="3"/>
  <c r="F221" i="3"/>
  <c r="E221" i="3"/>
  <c r="D221" i="3"/>
  <c r="C221" i="3"/>
  <c r="B221" i="3"/>
  <c r="A221" i="3"/>
  <c r="BP220" i="3"/>
  <c r="BO220" i="3"/>
  <c r="BN220" i="3"/>
  <c r="BM220" i="3"/>
  <c r="BL220" i="3"/>
  <c r="BK220" i="3"/>
  <c r="BJ220" i="3"/>
  <c r="BI220" i="3"/>
  <c r="BH220" i="3"/>
  <c r="BG220" i="3"/>
  <c r="BF220" i="3"/>
  <c r="BE220" i="3"/>
  <c r="BD220" i="3"/>
  <c r="BC220" i="3"/>
  <c r="BB220" i="3"/>
  <c r="BA220" i="3"/>
  <c r="AZ220" i="3"/>
  <c r="AY220" i="3"/>
  <c r="AX220" i="3"/>
  <c r="AW220" i="3"/>
  <c r="AV220" i="3"/>
  <c r="AU220" i="3"/>
  <c r="AT220" i="3"/>
  <c r="AS220" i="3"/>
  <c r="AR220" i="3"/>
  <c r="AQ220" i="3"/>
  <c r="AP220" i="3"/>
  <c r="AO220" i="3"/>
  <c r="AN220" i="3"/>
  <c r="AM220" i="3"/>
  <c r="AL220" i="3"/>
  <c r="AK220" i="3"/>
  <c r="AJ220" i="3"/>
  <c r="AI220" i="3"/>
  <c r="AH220" i="3"/>
  <c r="AG220" i="3"/>
  <c r="AF220" i="3"/>
  <c r="AE220" i="3"/>
  <c r="AD220" i="3"/>
  <c r="AC220" i="3"/>
  <c r="AB220" i="3"/>
  <c r="AA220" i="3"/>
  <c r="Z220" i="3"/>
  <c r="Y220" i="3"/>
  <c r="X220" i="3"/>
  <c r="W220" i="3"/>
  <c r="V220" i="3"/>
  <c r="U220" i="3"/>
  <c r="T220" i="3"/>
  <c r="S220" i="3"/>
  <c r="R220" i="3"/>
  <c r="Q220" i="3"/>
  <c r="P220" i="3"/>
  <c r="O220" i="3"/>
  <c r="N220" i="3"/>
  <c r="M220" i="3"/>
  <c r="L220" i="3"/>
  <c r="K220" i="3"/>
  <c r="J220" i="3"/>
  <c r="I220" i="3"/>
  <c r="H220" i="3"/>
  <c r="G220" i="3"/>
  <c r="F220" i="3"/>
  <c r="E220" i="3"/>
  <c r="D220" i="3"/>
  <c r="C220" i="3"/>
  <c r="B220" i="3"/>
  <c r="A220" i="3"/>
  <c r="BP219" i="3"/>
  <c r="BO219" i="3"/>
  <c r="BN219" i="3"/>
  <c r="BM219" i="3"/>
  <c r="BL219" i="3"/>
  <c r="BK219" i="3"/>
  <c r="BJ219" i="3"/>
  <c r="BI219" i="3"/>
  <c r="BH219" i="3"/>
  <c r="BG219" i="3"/>
  <c r="BF219" i="3"/>
  <c r="BE219" i="3"/>
  <c r="BD219" i="3"/>
  <c r="BC219" i="3"/>
  <c r="BB219" i="3"/>
  <c r="BA219" i="3"/>
  <c r="AZ219" i="3"/>
  <c r="AY219" i="3"/>
  <c r="AX219" i="3"/>
  <c r="AW219" i="3"/>
  <c r="AV219" i="3"/>
  <c r="AU219" i="3"/>
  <c r="AT219" i="3"/>
  <c r="AS219" i="3"/>
  <c r="AR219" i="3"/>
  <c r="AQ219" i="3"/>
  <c r="AP219" i="3"/>
  <c r="AO219" i="3"/>
  <c r="AN219" i="3"/>
  <c r="AM219" i="3"/>
  <c r="AL219" i="3"/>
  <c r="AK219" i="3"/>
  <c r="AJ219" i="3"/>
  <c r="AI219" i="3"/>
  <c r="AH219" i="3"/>
  <c r="AG219" i="3"/>
  <c r="AF219" i="3"/>
  <c r="AE219" i="3"/>
  <c r="AD219" i="3"/>
  <c r="AC219" i="3"/>
  <c r="AB219" i="3"/>
  <c r="AA219" i="3"/>
  <c r="Z219" i="3"/>
  <c r="Y219" i="3"/>
  <c r="X219" i="3"/>
  <c r="W219" i="3"/>
  <c r="V219" i="3"/>
  <c r="U219" i="3"/>
  <c r="T219" i="3"/>
  <c r="S219" i="3"/>
  <c r="R219" i="3"/>
  <c r="Q219" i="3"/>
  <c r="P219" i="3"/>
  <c r="O219" i="3"/>
  <c r="N219" i="3"/>
  <c r="M219" i="3"/>
  <c r="L219" i="3"/>
  <c r="K219" i="3"/>
  <c r="J219" i="3"/>
  <c r="I219" i="3"/>
  <c r="H219" i="3"/>
  <c r="G219" i="3"/>
  <c r="F219" i="3"/>
  <c r="E219" i="3"/>
  <c r="D219" i="3"/>
  <c r="C219" i="3"/>
  <c r="B219" i="3"/>
  <c r="A219" i="3"/>
  <c r="BP218" i="3"/>
  <c r="BO218" i="3"/>
  <c r="BN218" i="3"/>
  <c r="BM218" i="3"/>
  <c r="BL218" i="3"/>
  <c r="BK218" i="3"/>
  <c r="BJ218" i="3"/>
  <c r="BI218" i="3"/>
  <c r="BH218" i="3"/>
  <c r="BG218" i="3"/>
  <c r="BF218" i="3"/>
  <c r="BE218" i="3"/>
  <c r="BD218" i="3"/>
  <c r="BC218" i="3"/>
  <c r="BB218" i="3"/>
  <c r="BA218" i="3"/>
  <c r="AZ218" i="3"/>
  <c r="AY218" i="3"/>
  <c r="AX218" i="3"/>
  <c r="AW218" i="3"/>
  <c r="AV218" i="3"/>
  <c r="AU218" i="3"/>
  <c r="AT218" i="3"/>
  <c r="AS218" i="3"/>
  <c r="AR218" i="3"/>
  <c r="AQ218" i="3"/>
  <c r="AP218" i="3"/>
  <c r="AO218" i="3"/>
  <c r="AN218" i="3"/>
  <c r="AM218" i="3"/>
  <c r="AL218" i="3"/>
  <c r="AK218" i="3"/>
  <c r="AJ218" i="3"/>
  <c r="AI218" i="3"/>
  <c r="AH218" i="3"/>
  <c r="AG218" i="3"/>
  <c r="AF218" i="3"/>
  <c r="AE218" i="3"/>
  <c r="AD218" i="3"/>
  <c r="AC218" i="3"/>
  <c r="AB218" i="3"/>
  <c r="AA218" i="3"/>
  <c r="Z218" i="3"/>
  <c r="Y218" i="3"/>
  <c r="X218" i="3"/>
  <c r="W218" i="3"/>
  <c r="V218" i="3"/>
  <c r="U218" i="3"/>
  <c r="T218" i="3"/>
  <c r="S218" i="3"/>
  <c r="R218" i="3"/>
  <c r="Q218" i="3"/>
  <c r="P218" i="3"/>
  <c r="O218" i="3"/>
  <c r="N218" i="3"/>
  <c r="M218" i="3"/>
  <c r="L218" i="3"/>
  <c r="K218" i="3"/>
  <c r="J218" i="3"/>
  <c r="I218" i="3"/>
  <c r="H218" i="3"/>
  <c r="G218" i="3"/>
  <c r="F218" i="3"/>
  <c r="E218" i="3"/>
  <c r="D218" i="3"/>
  <c r="C218" i="3"/>
  <c r="B218" i="3"/>
  <c r="A218" i="3"/>
  <c r="BP217" i="3"/>
  <c r="BO217" i="3"/>
  <c r="BN217" i="3"/>
  <c r="BM217" i="3"/>
  <c r="BL217" i="3"/>
  <c r="BK217" i="3"/>
  <c r="BJ217" i="3"/>
  <c r="BI217" i="3"/>
  <c r="BH217" i="3"/>
  <c r="BG217" i="3"/>
  <c r="BF217" i="3"/>
  <c r="BE217" i="3"/>
  <c r="BD217" i="3"/>
  <c r="BC217" i="3"/>
  <c r="BB217" i="3"/>
  <c r="BA217" i="3"/>
  <c r="AZ217" i="3"/>
  <c r="AY217" i="3"/>
  <c r="AX217" i="3"/>
  <c r="AW217" i="3"/>
  <c r="AV217" i="3"/>
  <c r="AU217" i="3"/>
  <c r="AT217" i="3"/>
  <c r="AS217" i="3"/>
  <c r="AR217" i="3"/>
  <c r="AQ217" i="3"/>
  <c r="AP217" i="3"/>
  <c r="AO217" i="3"/>
  <c r="AN217" i="3"/>
  <c r="AM217" i="3"/>
  <c r="AL217" i="3"/>
  <c r="AK217" i="3"/>
  <c r="AJ217" i="3"/>
  <c r="AI217" i="3"/>
  <c r="AH217" i="3"/>
  <c r="AG217" i="3"/>
  <c r="AF217" i="3"/>
  <c r="AE217" i="3"/>
  <c r="AD217" i="3"/>
  <c r="AC217" i="3"/>
  <c r="AB217" i="3"/>
  <c r="AA217" i="3"/>
  <c r="Z217" i="3"/>
  <c r="Y217" i="3"/>
  <c r="X217" i="3"/>
  <c r="W217" i="3"/>
  <c r="V217" i="3"/>
  <c r="U217" i="3"/>
  <c r="T217" i="3"/>
  <c r="S217" i="3"/>
  <c r="R217" i="3"/>
  <c r="Q217" i="3"/>
  <c r="P217" i="3"/>
  <c r="O217" i="3"/>
  <c r="N217" i="3"/>
  <c r="M217" i="3"/>
  <c r="L217" i="3"/>
  <c r="K217" i="3"/>
  <c r="J217" i="3"/>
  <c r="I217" i="3"/>
  <c r="H217" i="3"/>
  <c r="G217" i="3"/>
  <c r="F217" i="3"/>
  <c r="E217" i="3"/>
  <c r="D217" i="3"/>
  <c r="C217" i="3"/>
  <c r="B217" i="3"/>
  <c r="A217" i="3"/>
  <c r="BP216" i="3"/>
  <c r="BO216" i="3"/>
  <c r="BN216" i="3"/>
  <c r="BM216" i="3"/>
  <c r="BL216" i="3"/>
  <c r="BK216" i="3"/>
  <c r="BJ216" i="3"/>
  <c r="BI216" i="3"/>
  <c r="BH216" i="3"/>
  <c r="BG216" i="3"/>
  <c r="BF216" i="3"/>
  <c r="BE216" i="3"/>
  <c r="BD216" i="3"/>
  <c r="BC216" i="3"/>
  <c r="BB216" i="3"/>
  <c r="BA216" i="3"/>
  <c r="AZ216" i="3"/>
  <c r="AY216" i="3"/>
  <c r="AX216" i="3"/>
  <c r="AW216" i="3"/>
  <c r="AV216" i="3"/>
  <c r="AU216" i="3"/>
  <c r="AT216" i="3"/>
  <c r="AS216" i="3"/>
  <c r="AR216" i="3"/>
  <c r="AQ216" i="3"/>
  <c r="AP216" i="3"/>
  <c r="AO216" i="3"/>
  <c r="AN216" i="3"/>
  <c r="AM216" i="3"/>
  <c r="AL216" i="3"/>
  <c r="AK216" i="3"/>
  <c r="AJ216" i="3"/>
  <c r="AI216" i="3"/>
  <c r="AH216" i="3"/>
  <c r="AG216" i="3"/>
  <c r="AF216" i="3"/>
  <c r="AE216" i="3"/>
  <c r="AD216" i="3"/>
  <c r="AC216" i="3"/>
  <c r="AB216" i="3"/>
  <c r="AA216" i="3"/>
  <c r="Z216" i="3"/>
  <c r="Y216" i="3"/>
  <c r="X216" i="3"/>
  <c r="W216" i="3"/>
  <c r="V216" i="3"/>
  <c r="U216" i="3"/>
  <c r="T216" i="3"/>
  <c r="S216" i="3"/>
  <c r="R216" i="3"/>
  <c r="Q216" i="3"/>
  <c r="P216" i="3"/>
  <c r="O216" i="3"/>
  <c r="N216" i="3"/>
  <c r="M216" i="3"/>
  <c r="L216" i="3"/>
  <c r="K216" i="3"/>
  <c r="J216" i="3"/>
  <c r="I216" i="3"/>
  <c r="H216" i="3"/>
  <c r="G216" i="3"/>
  <c r="F216" i="3"/>
  <c r="E216" i="3"/>
  <c r="D216" i="3"/>
  <c r="C216" i="3"/>
  <c r="B216" i="3"/>
  <c r="A216" i="3"/>
  <c r="BP215" i="3"/>
  <c r="BO215" i="3"/>
  <c r="BN215" i="3"/>
  <c r="BM215" i="3"/>
  <c r="BL215" i="3"/>
  <c r="BK215" i="3"/>
  <c r="BJ215" i="3"/>
  <c r="BI215" i="3"/>
  <c r="BH215" i="3"/>
  <c r="BG215" i="3"/>
  <c r="BF215" i="3"/>
  <c r="BE215" i="3"/>
  <c r="BD215" i="3"/>
  <c r="BC215" i="3"/>
  <c r="BB215" i="3"/>
  <c r="BA215" i="3"/>
  <c r="AZ215" i="3"/>
  <c r="AY215" i="3"/>
  <c r="AX215" i="3"/>
  <c r="AW215" i="3"/>
  <c r="AV215" i="3"/>
  <c r="AU215" i="3"/>
  <c r="AT215" i="3"/>
  <c r="AS215" i="3"/>
  <c r="AR215" i="3"/>
  <c r="AQ215" i="3"/>
  <c r="AP215" i="3"/>
  <c r="AO215" i="3"/>
  <c r="AN215" i="3"/>
  <c r="AM215" i="3"/>
  <c r="AL215" i="3"/>
  <c r="AK215" i="3"/>
  <c r="AJ215" i="3"/>
  <c r="AI215" i="3"/>
  <c r="AH215" i="3"/>
  <c r="AG215" i="3"/>
  <c r="AF215" i="3"/>
  <c r="AE215" i="3"/>
  <c r="AD215" i="3"/>
  <c r="AC215" i="3"/>
  <c r="AB215" i="3"/>
  <c r="AA215" i="3"/>
  <c r="Z215" i="3"/>
  <c r="Y215" i="3"/>
  <c r="X215" i="3"/>
  <c r="W215" i="3"/>
  <c r="V215" i="3"/>
  <c r="U215" i="3"/>
  <c r="T215" i="3"/>
  <c r="S215" i="3"/>
  <c r="R215" i="3"/>
  <c r="Q215" i="3"/>
  <c r="P215" i="3"/>
  <c r="O215" i="3"/>
  <c r="N215" i="3"/>
  <c r="M215" i="3"/>
  <c r="L215" i="3"/>
  <c r="K215" i="3"/>
  <c r="J215" i="3"/>
  <c r="I215" i="3"/>
  <c r="H215" i="3"/>
  <c r="G215" i="3"/>
  <c r="F215" i="3"/>
  <c r="E215" i="3"/>
  <c r="D215" i="3"/>
  <c r="C215" i="3"/>
  <c r="B215" i="3"/>
  <c r="A215" i="3"/>
  <c r="BP214" i="3"/>
  <c r="BO214" i="3"/>
  <c r="BN214" i="3"/>
  <c r="BM214" i="3"/>
  <c r="BL214" i="3"/>
  <c r="BK214" i="3"/>
  <c r="BJ214" i="3"/>
  <c r="BI214" i="3"/>
  <c r="BH214" i="3"/>
  <c r="BG214" i="3"/>
  <c r="BF214" i="3"/>
  <c r="BE214" i="3"/>
  <c r="BD214" i="3"/>
  <c r="BC214" i="3"/>
  <c r="BB214" i="3"/>
  <c r="BA214" i="3"/>
  <c r="AZ214" i="3"/>
  <c r="AY214" i="3"/>
  <c r="AX214" i="3"/>
  <c r="AW214" i="3"/>
  <c r="AV214" i="3"/>
  <c r="AU214" i="3"/>
  <c r="AT214" i="3"/>
  <c r="AS214" i="3"/>
  <c r="AR214" i="3"/>
  <c r="AQ214" i="3"/>
  <c r="AP214" i="3"/>
  <c r="AO214" i="3"/>
  <c r="AN214" i="3"/>
  <c r="AM214" i="3"/>
  <c r="AL214" i="3"/>
  <c r="AK214" i="3"/>
  <c r="AJ214" i="3"/>
  <c r="AI214" i="3"/>
  <c r="AH214" i="3"/>
  <c r="AG214" i="3"/>
  <c r="AF214" i="3"/>
  <c r="AE214" i="3"/>
  <c r="AD214" i="3"/>
  <c r="AC214" i="3"/>
  <c r="AB214" i="3"/>
  <c r="AA214" i="3"/>
  <c r="Z214" i="3"/>
  <c r="Y214" i="3"/>
  <c r="X214" i="3"/>
  <c r="W214" i="3"/>
  <c r="V214" i="3"/>
  <c r="U214" i="3"/>
  <c r="T214" i="3"/>
  <c r="S214" i="3"/>
  <c r="R214" i="3"/>
  <c r="Q214" i="3"/>
  <c r="P214" i="3"/>
  <c r="O214" i="3"/>
  <c r="N214" i="3"/>
  <c r="M214" i="3"/>
  <c r="L214" i="3"/>
  <c r="K214" i="3"/>
  <c r="J214" i="3"/>
  <c r="I214" i="3"/>
  <c r="H214" i="3"/>
  <c r="G214" i="3"/>
  <c r="F214" i="3"/>
  <c r="E214" i="3"/>
  <c r="D214" i="3"/>
  <c r="C214" i="3"/>
  <c r="B214" i="3"/>
  <c r="A214" i="3"/>
  <c r="BP213" i="3"/>
  <c r="BO213" i="3"/>
  <c r="BN213" i="3"/>
  <c r="BM213" i="3"/>
  <c r="BL213" i="3"/>
  <c r="BK213" i="3"/>
  <c r="BJ213" i="3"/>
  <c r="BI213" i="3"/>
  <c r="BH213" i="3"/>
  <c r="BG213" i="3"/>
  <c r="BF213" i="3"/>
  <c r="BE213" i="3"/>
  <c r="BD213" i="3"/>
  <c r="BC213" i="3"/>
  <c r="BB213" i="3"/>
  <c r="BA213" i="3"/>
  <c r="AZ213" i="3"/>
  <c r="AY213" i="3"/>
  <c r="AX213" i="3"/>
  <c r="AW213" i="3"/>
  <c r="AV213" i="3"/>
  <c r="AU213" i="3"/>
  <c r="AT213" i="3"/>
  <c r="AS213" i="3"/>
  <c r="AR213" i="3"/>
  <c r="AQ213" i="3"/>
  <c r="AP213" i="3"/>
  <c r="AO213" i="3"/>
  <c r="AN213" i="3"/>
  <c r="AM213" i="3"/>
  <c r="AL213" i="3"/>
  <c r="AK213" i="3"/>
  <c r="AJ213" i="3"/>
  <c r="AI213" i="3"/>
  <c r="AH213" i="3"/>
  <c r="AG213" i="3"/>
  <c r="AF213" i="3"/>
  <c r="AE213" i="3"/>
  <c r="AD213" i="3"/>
  <c r="AC213" i="3"/>
  <c r="AB213" i="3"/>
  <c r="AA213" i="3"/>
  <c r="Z213" i="3"/>
  <c r="Y213" i="3"/>
  <c r="X213" i="3"/>
  <c r="W213" i="3"/>
  <c r="V213" i="3"/>
  <c r="U213" i="3"/>
  <c r="T213" i="3"/>
  <c r="S213" i="3"/>
  <c r="R213" i="3"/>
  <c r="Q213" i="3"/>
  <c r="P213" i="3"/>
  <c r="O213" i="3"/>
  <c r="N213" i="3"/>
  <c r="M213" i="3"/>
  <c r="L213" i="3"/>
  <c r="K213" i="3"/>
  <c r="J213" i="3"/>
  <c r="I213" i="3"/>
  <c r="H213" i="3"/>
  <c r="G213" i="3"/>
  <c r="F213" i="3"/>
  <c r="E213" i="3"/>
  <c r="D213" i="3"/>
  <c r="C213" i="3"/>
  <c r="B213" i="3"/>
  <c r="A213" i="3"/>
  <c r="BP212" i="3"/>
  <c r="BO212" i="3"/>
  <c r="BN212" i="3"/>
  <c r="BM212" i="3"/>
  <c r="BL212" i="3"/>
  <c r="BK212" i="3"/>
  <c r="BJ212" i="3"/>
  <c r="BI212" i="3"/>
  <c r="BH212" i="3"/>
  <c r="BG212" i="3"/>
  <c r="BF212" i="3"/>
  <c r="BE212" i="3"/>
  <c r="BD212" i="3"/>
  <c r="BC212" i="3"/>
  <c r="BB212" i="3"/>
  <c r="BA212" i="3"/>
  <c r="AZ212" i="3"/>
  <c r="AY212" i="3"/>
  <c r="AX212" i="3"/>
  <c r="AW212" i="3"/>
  <c r="AV212" i="3"/>
  <c r="AU212" i="3"/>
  <c r="AT212" i="3"/>
  <c r="AS212" i="3"/>
  <c r="AR212" i="3"/>
  <c r="AQ212" i="3"/>
  <c r="AP212" i="3"/>
  <c r="AO212" i="3"/>
  <c r="AN212" i="3"/>
  <c r="AM212" i="3"/>
  <c r="AL212" i="3"/>
  <c r="AK212" i="3"/>
  <c r="AJ212" i="3"/>
  <c r="AI212" i="3"/>
  <c r="AH212" i="3"/>
  <c r="AG212" i="3"/>
  <c r="AF212" i="3"/>
  <c r="AE212" i="3"/>
  <c r="AD212" i="3"/>
  <c r="AC212" i="3"/>
  <c r="AB212" i="3"/>
  <c r="AA212" i="3"/>
  <c r="Z212" i="3"/>
  <c r="Y212" i="3"/>
  <c r="X212" i="3"/>
  <c r="W212" i="3"/>
  <c r="V212" i="3"/>
  <c r="U212" i="3"/>
  <c r="T212" i="3"/>
  <c r="S212" i="3"/>
  <c r="R212" i="3"/>
  <c r="Q212" i="3"/>
  <c r="P212" i="3"/>
  <c r="O212" i="3"/>
  <c r="N212" i="3"/>
  <c r="M212" i="3"/>
  <c r="L212" i="3"/>
  <c r="K212" i="3"/>
  <c r="J212" i="3"/>
  <c r="I212" i="3"/>
  <c r="H212" i="3"/>
  <c r="G212" i="3"/>
  <c r="F212" i="3"/>
  <c r="E212" i="3"/>
  <c r="D212" i="3"/>
  <c r="C212" i="3"/>
  <c r="B212" i="3"/>
  <c r="A212" i="3"/>
  <c r="BP211" i="3"/>
  <c r="BO211" i="3"/>
  <c r="BN211" i="3"/>
  <c r="BM211" i="3"/>
  <c r="BL211" i="3"/>
  <c r="BK211" i="3"/>
  <c r="BJ211" i="3"/>
  <c r="BI211" i="3"/>
  <c r="BH211" i="3"/>
  <c r="BG211" i="3"/>
  <c r="BF211" i="3"/>
  <c r="BE211" i="3"/>
  <c r="BD211" i="3"/>
  <c r="BC211" i="3"/>
  <c r="BB211" i="3"/>
  <c r="BA211" i="3"/>
  <c r="AZ211" i="3"/>
  <c r="AY211" i="3"/>
  <c r="AX211" i="3"/>
  <c r="AW211" i="3"/>
  <c r="AV211" i="3"/>
  <c r="AU211" i="3"/>
  <c r="AT211" i="3"/>
  <c r="AS211" i="3"/>
  <c r="AR211" i="3"/>
  <c r="AQ211" i="3"/>
  <c r="AP211" i="3"/>
  <c r="AO211" i="3"/>
  <c r="AN211" i="3"/>
  <c r="AM211" i="3"/>
  <c r="AL211" i="3"/>
  <c r="AK211" i="3"/>
  <c r="AJ211" i="3"/>
  <c r="AI211" i="3"/>
  <c r="AH211" i="3"/>
  <c r="AG211" i="3"/>
  <c r="AF211" i="3"/>
  <c r="AE211" i="3"/>
  <c r="AD211" i="3"/>
  <c r="AC211" i="3"/>
  <c r="AB211" i="3"/>
  <c r="AA211" i="3"/>
  <c r="Z211" i="3"/>
  <c r="Y211" i="3"/>
  <c r="X211" i="3"/>
  <c r="W211" i="3"/>
  <c r="V211" i="3"/>
  <c r="U211" i="3"/>
  <c r="T211" i="3"/>
  <c r="S211" i="3"/>
  <c r="R211" i="3"/>
  <c r="Q211" i="3"/>
  <c r="P211" i="3"/>
  <c r="O211" i="3"/>
  <c r="N211" i="3"/>
  <c r="M211" i="3"/>
  <c r="L211" i="3"/>
  <c r="K211" i="3"/>
  <c r="J211" i="3"/>
  <c r="I211" i="3"/>
  <c r="H211" i="3"/>
  <c r="G211" i="3"/>
  <c r="F211" i="3"/>
  <c r="E211" i="3"/>
  <c r="D211" i="3"/>
  <c r="C211" i="3"/>
  <c r="B211" i="3"/>
  <c r="A211" i="3"/>
  <c r="BP210" i="3"/>
  <c r="BO210" i="3"/>
  <c r="BN210" i="3"/>
  <c r="BM210" i="3"/>
  <c r="BL210" i="3"/>
  <c r="BK210" i="3"/>
  <c r="BJ210" i="3"/>
  <c r="BI210" i="3"/>
  <c r="BH210" i="3"/>
  <c r="BG210" i="3"/>
  <c r="BF210" i="3"/>
  <c r="BE210" i="3"/>
  <c r="BD210" i="3"/>
  <c r="BC210" i="3"/>
  <c r="BB210" i="3"/>
  <c r="BA210" i="3"/>
  <c r="AZ210" i="3"/>
  <c r="AY210" i="3"/>
  <c r="AX210" i="3"/>
  <c r="AW210" i="3"/>
  <c r="AV210" i="3"/>
  <c r="AU210" i="3"/>
  <c r="AT210" i="3"/>
  <c r="AS210" i="3"/>
  <c r="AR210" i="3"/>
  <c r="AQ210" i="3"/>
  <c r="AP210" i="3"/>
  <c r="AO210" i="3"/>
  <c r="AN210" i="3"/>
  <c r="AM210" i="3"/>
  <c r="AL210" i="3"/>
  <c r="AK210" i="3"/>
  <c r="AJ210" i="3"/>
  <c r="AI210" i="3"/>
  <c r="AH210" i="3"/>
  <c r="AG210" i="3"/>
  <c r="AF210" i="3"/>
  <c r="AE210" i="3"/>
  <c r="AD210" i="3"/>
  <c r="AC210" i="3"/>
  <c r="AB210" i="3"/>
  <c r="AA210" i="3"/>
  <c r="Z210" i="3"/>
  <c r="Y210" i="3"/>
  <c r="X210" i="3"/>
  <c r="W210" i="3"/>
  <c r="V210" i="3"/>
  <c r="U210" i="3"/>
  <c r="T210" i="3"/>
  <c r="S210" i="3"/>
  <c r="R210" i="3"/>
  <c r="Q210" i="3"/>
  <c r="P210" i="3"/>
  <c r="O210" i="3"/>
  <c r="N210" i="3"/>
  <c r="M210" i="3"/>
  <c r="L210" i="3"/>
  <c r="K210" i="3"/>
  <c r="J210" i="3"/>
  <c r="I210" i="3"/>
  <c r="H210" i="3"/>
  <c r="G210" i="3"/>
  <c r="F210" i="3"/>
  <c r="E210" i="3"/>
  <c r="D210" i="3"/>
  <c r="C210" i="3"/>
  <c r="B210" i="3"/>
  <c r="A210" i="3"/>
  <c r="BP209" i="3"/>
  <c r="BO209" i="3"/>
  <c r="BN209" i="3"/>
  <c r="BM209" i="3"/>
  <c r="BL209" i="3"/>
  <c r="BK209" i="3"/>
  <c r="BJ209" i="3"/>
  <c r="BI209" i="3"/>
  <c r="BH209" i="3"/>
  <c r="BG209" i="3"/>
  <c r="BF209" i="3"/>
  <c r="BE209" i="3"/>
  <c r="BD209" i="3"/>
  <c r="BC209" i="3"/>
  <c r="BB209" i="3"/>
  <c r="BA209" i="3"/>
  <c r="AZ209" i="3"/>
  <c r="AY209" i="3"/>
  <c r="AX209" i="3"/>
  <c r="AW209" i="3"/>
  <c r="AV209" i="3"/>
  <c r="AU209" i="3"/>
  <c r="AT209" i="3"/>
  <c r="AS209" i="3"/>
  <c r="AR209" i="3"/>
  <c r="AQ209" i="3"/>
  <c r="AP209" i="3"/>
  <c r="AO209" i="3"/>
  <c r="AN209" i="3"/>
  <c r="AM209" i="3"/>
  <c r="AL209" i="3"/>
  <c r="AK209" i="3"/>
  <c r="AJ209" i="3"/>
  <c r="AI209" i="3"/>
  <c r="AH209" i="3"/>
  <c r="AG209" i="3"/>
  <c r="AF209" i="3"/>
  <c r="AE209" i="3"/>
  <c r="AD209" i="3"/>
  <c r="AC209" i="3"/>
  <c r="AB209" i="3"/>
  <c r="AA209" i="3"/>
  <c r="Z209" i="3"/>
  <c r="Y209" i="3"/>
  <c r="X209" i="3"/>
  <c r="W209" i="3"/>
  <c r="V209" i="3"/>
  <c r="U209" i="3"/>
  <c r="T209" i="3"/>
  <c r="S209" i="3"/>
  <c r="R209" i="3"/>
  <c r="Q209" i="3"/>
  <c r="P209" i="3"/>
  <c r="O209" i="3"/>
  <c r="N209" i="3"/>
  <c r="M209" i="3"/>
  <c r="L209" i="3"/>
  <c r="K209" i="3"/>
  <c r="J209" i="3"/>
  <c r="I209" i="3"/>
  <c r="H209" i="3"/>
  <c r="G209" i="3"/>
  <c r="F209" i="3"/>
  <c r="E209" i="3"/>
  <c r="D209" i="3"/>
  <c r="C209" i="3"/>
  <c r="B209" i="3"/>
  <c r="A209" i="3"/>
  <c r="BP208" i="3"/>
  <c r="BO208" i="3"/>
  <c r="BN208" i="3"/>
  <c r="BM208" i="3"/>
  <c r="BL208" i="3"/>
  <c r="BK208" i="3"/>
  <c r="BJ208" i="3"/>
  <c r="BI208" i="3"/>
  <c r="BH208" i="3"/>
  <c r="BG208" i="3"/>
  <c r="BF208" i="3"/>
  <c r="BE208" i="3"/>
  <c r="BD208" i="3"/>
  <c r="BC208" i="3"/>
  <c r="BB208" i="3"/>
  <c r="BA208" i="3"/>
  <c r="AZ208" i="3"/>
  <c r="AY208" i="3"/>
  <c r="AX208" i="3"/>
  <c r="AW208" i="3"/>
  <c r="AV208" i="3"/>
  <c r="AU208" i="3"/>
  <c r="AT208" i="3"/>
  <c r="AS208" i="3"/>
  <c r="AR208" i="3"/>
  <c r="AQ208" i="3"/>
  <c r="AP208" i="3"/>
  <c r="AO208" i="3"/>
  <c r="AN208" i="3"/>
  <c r="AM208" i="3"/>
  <c r="AL208" i="3"/>
  <c r="AK208" i="3"/>
  <c r="AJ208" i="3"/>
  <c r="AI208" i="3"/>
  <c r="AH208" i="3"/>
  <c r="AG208" i="3"/>
  <c r="AF208" i="3"/>
  <c r="AE208" i="3"/>
  <c r="AD208" i="3"/>
  <c r="AC208" i="3"/>
  <c r="AB208" i="3"/>
  <c r="AA208" i="3"/>
  <c r="Z208" i="3"/>
  <c r="Y208" i="3"/>
  <c r="X208" i="3"/>
  <c r="W208" i="3"/>
  <c r="V208" i="3"/>
  <c r="U208" i="3"/>
  <c r="T208" i="3"/>
  <c r="S208" i="3"/>
  <c r="R208" i="3"/>
  <c r="Q208" i="3"/>
  <c r="P208" i="3"/>
  <c r="O208" i="3"/>
  <c r="N208" i="3"/>
  <c r="M208" i="3"/>
  <c r="L208" i="3"/>
  <c r="K208" i="3"/>
  <c r="J208" i="3"/>
  <c r="I208" i="3"/>
  <c r="H208" i="3"/>
  <c r="G208" i="3"/>
  <c r="F208" i="3"/>
  <c r="E208" i="3"/>
  <c r="D208" i="3"/>
  <c r="C208" i="3"/>
  <c r="B208" i="3"/>
  <c r="A208" i="3"/>
  <c r="BP207" i="3"/>
  <c r="BO207" i="3"/>
  <c r="BN207" i="3"/>
  <c r="BM207" i="3"/>
  <c r="BL207" i="3"/>
  <c r="BK207" i="3"/>
  <c r="BJ207" i="3"/>
  <c r="BI207" i="3"/>
  <c r="BH207" i="3"/>
  <c r="BG207" i="3"/>
  <c r="BF207" i="3"/>
  <c r="BE207" i="3"/>
  <c r="BD207" i="3"/>
  <c r="BC207" i="3"/>
  <c r="BB207" i="3"/>
  <c r="BA207" i="3"/>
  <c r="AZ207" i="3"/>
  <c r="AY207" i="3"/>
  <c r="AX207" i="3"/>
  <c r="AW207" i="3"/>
  <c r="AV207" i="3"/>
  <c r="AU207" i="3"/>
  <c r="AT207" i="3"/>
  <c r="AS207" i="3"/>
  <c r="AR207" i="3"/>
  <c r="AQ207" i="3"/>
  <c r="AP207" i="3"/>
  <c r="AO207" i="3"/>
  <c r="AN207" i="3"/>
  <c r="AM207" i="3"/>
  <c r="AL207" i="3"/>
  <c r="AK207" i="3"/>
  <c r="AJ207" i="3"/>
  <c r="AI207" i="3"/>
  <c r="AH207" i="3"/>
  <c r="AG207" i="3"/>
  <c r="AF207" i="3"/>
  <c r="AE207" i="3"/>
  <c r="AD207" i="3"/>
  <c r="AC207" i="3"/>
  <c r="AB207" i="3"/>
  <c r="AA207" i="3"/>
  <c r="Z207" i="3"/>
  <c r="Y207" i="3"/>
  <c r="X207" i="3"/>
  <c r="W207" i="3"/>
  <c r="V207" i="3"/>
  <c r="U207" i="3"/>
  <c r="T207" i="3"/>
  <c r="S207" i="3"/>
  <c r="R207" i="3"/>
  <c r="Q207" i="3"/>
  <c r="P207" i="3"/>
  <c r="O207" i="3"/>
  <c r="N207" i="3"/>
  <c r="M207" i="3"/>
  <c r="L207" i="3"/>
  <c r="K207" i="3"/>
  <c r="J207" i="3"/>
  <c r="I207" i="3"/>
  <c r="H207" i="3"/>
  <c r="G207" i="3"/>
  <c r="F207" i="3"/>
  <c r="E207" i="3"/>
  <c r="D207" i="3"/>
  <c r="C207" i="3"/>
  <c r="B207" i="3"/>
  <c r="A207" i="3"/>
  <c r="BP206" i="3"/>
  <c r="BO206" i="3"/>
  <c r="BN206" i="3"/>
  <c r="BM206" i="3"/>
  <c r="BL206" i="3"/>
  <c r="BK206" i="3"/>
  <c r="BJ206" i="3"/>
  <c r="BI206" i="3"/>
  <c r="BH206" i="3"/>
  <c r="BG206" i="3"/>
  <c r="BF206" i="3"/>
  <c r="BE206" i="3"/>
  <c r="BD206" i="3"/>
  <c r="BC206" i="3"/>
  <c r="BB206" i="3"/>
  <c r="BA206" i="3"/>
  <c r="AZ206" i="3"/>
  <c r="AY206" i="3"/>
  <c r="AX206" i="3"/>
  <c r="AW206" i="3"/>
  <c r="AV206" i="3"/>
  <c r="AU206" i="3"/>
  <c r="AT206" i="3"/>
  <c r="AS206" i="3"/>
  <c r="AR206" i="3"/>
  <c r="AQ206" i="3"/>
  <c r="AP206" i="3"/>
  <c r="AO206" i="3"/>
  <c r="AN206" i="3"/>
  <c r="AM206" i="3"/>
  <c r="AL206" i="3"/>
  <c r="AK206" i="3"/>
  <c r="AJ206" i="3"/>
  <c r="AI206" i="3"/>
  <c r="AH206" i="3"/>
  <c r="AG206" i="3"/>
  <c r="AF206" i="3"/>
  <c r="AE206" i="3"/>
  <c r="AD206" i="3"/>
  <c r="AC206" i="3"/>
  <c r="AB206" i="3"/>
  <c r="AA206" i="3"/>
  <c r="Z206" i="3"/>
  <c r="Y206" i="3"/>
  <c r="X206" i="3"/>
  <c r="W206" i="3"/>
  <c r="V206" i="3"/>
  <c r="U206" i="3"/>
  <c r="T206" i="3"/>
  <c r="S206" i="3"/>
  <c r="R206" i="3"/>
  <c r="Q206" i="3"/>
  <c r="P206" i="3"/>
  <c r="O206" i="3"/>
  <c r="N206" i="3"/>
  <c r="M206" i="3"/>
  <c r="L206" i="3"/>
  <c r="K206" i="3"/>
  <c r="J206" i="3"/>
  <c r="I206" i="3"/>
  <c r="H206" i="3"/>
  <c r="G206" i="3"/>
  <c r="F206" i="3"/>
  <c r="E206" i="3"/>
  <c r="D206" i="3"/>
  <c r="C206" i="3"/>
  <c r="B206" i="3"/>
  <c r="A206" i="3"/>
  <c r="BP205" i="3"/>
  <c r="BO205" i="3"/>
  <c r="BN205" i="3"/>
  <c r="BM205" i="3"/>
  <c r="BL205" i="3"/>
  <c r="BK205" i="3"/>
  <c r="BJ205" i="3"/>
  <c r="BI205" i="3"/>
  <c r="BH205" i="3"/>
  <c r="BG205" i="3"/>
  <c r="BF205" i="3"/>
  <c r="BE205" i="3"/>
  <c r="BD205" i="3"/>
  <c r="BC205" i="3"/>
  <c r="BB205" i="3"/>
  <c r="BA205" i="3"/>
  <c r="AZ205" i="3"/>
  <c r="AY205" i="3"/>
  <c r="AX205" i="3"/>
  <c r="AW205" i="3"/>
  <c r="AV205" i="3"/>
  <c r="AU205" i="3"/>
  <c r="AT205" i="3"/>
  <c r="AS205" i="3"/>
  <c r="AR205" i="3"/>
  <c r="AQ205" i="3"/>
  <c r="AP205" i="3"/>
  <c r="AO205" i="3"/>
  <c r="AN205" i="3"/>
  <c r="AM205" i="3"/>
  <c r="AL205" i="3"/>
  <c r="AK205" i="3"/>
  <c r="AJ205" i="3"/>
  <c r="AI205" i="3"/>
  <c r="AH205" i="3"/>
  <c r="AG205" i="3"/>
  <c r="AF205" i="3"/>
  <c r="AE205" i="3"/>
  <c r="AD205" i="3"/>
  <c r="AC205" i="3"/>
  <c r="AB205" i="3"/>
  <c r="AA205" i="3"/>
  <c r="Z205" i="3"/>
  <c r="Y205" i="3"/>
  <c r="X205" i="3"/>
  <c r="W205" i="3"/>
  <c r="V205" i="3"/>
  <c r="U205" i="3"/>
  <c r="T205" i="3"/>
  <c r="S205" i="3"/>
  <c r="R205" i="3"/>
  <c r="Q205" i="3"/>
  <c r="P205" i="3"/>
  <c r="O205" i="3"/>
  <c r="N205" i="3"/>
  <c r="M205" i="3"/>
  <c r="L205" i="3"/>
  <c r="K205" i="3"/>
  <c r="J205" i="3"/>
  <c r="I205" i="3"/>
  <c r="H205" i="3"/>
  <c r="G205" i="3"/>
  <c r="F205" i="3"/>
  <c r="E205" i="3"/>
  <c r="D205" i="3"/>
  <c r="C205" i="3"/>
  <c r="B205" i="3"/>
  <c r="A205" i="3"/>
  <c r="BP204" i="3"/>
  <c r="BO204" i="3"/>
  <c r="BN204" i="3"/>
  <c r="BM204" i="3"/>
  <c r="BL204" i="3"/>
  <c r="BK204" i="3"/>
  <c r="BJ204" i="3"/>
  <c r="BI204" i="3"/>
  <c r="BH204" i="3"/>
  <c r="BG204" i="3"/>
  <c r="BF204" i="3"/>
  <c r="BE204" i="3"/>
  <c r="BD204" i="3"/>
  <c r="BC204" i="3"/>
  <c r="BB204" i="3"/>
  <c r="BA204" i="3"/>
  <c r="AZ204" i="3"/>
  <c r="AY204" i="3"/>
  <c r="AX204" i="3"/>
  <c r="AW204" i="3"/>
  <c r="AV204" i="3"/>
  <c r="AU204" i="3"/>
  <c r="AT204" i="3"/>
  <c r="AS204" i="3"/>
  <c r="AR204" i="3"/>
  <c r="AQ204" i="3"/>
  <c r="AP204" i="3"/>
  <c r="AO204" i="3"/>
  <c r="AN204" i="3"/>
  <c r="AM204" i="3"/>
  <c r="AL204" i="3"/>
  <c r="AK204" i="3"/>
  <c r="AJ204" i="3"/>
  <c r="AI204" i="3"/>
  <c r="AH204" i="3"/>
  <c r="AG204" i="3"/>
  <c r="AF204" i="3"/>
  <c r="AE204" i="3"/>
  <c r="AD204" i="3"/>
  <c r="AC204" i="3"/>
  <c r="AB204" i="3"/>
  <c r="AA204" i="3"/>
  <c r="Z204" i="3"/>
  <c r="Y204" i="3"/>
  <c r="X204" i="3"/>
  <c r="W204" i="3"/>
  <c r="V204" i="3"/>
  <c r="U204" i="3"/>
  <c r="T204" i="3"/>
  <c r="S204" i="3"/>
  <c r="R204" i="3"/>
  <c r="Q204" i="3"/>
  <c r="P204" i="3"/>
  <c r="O204" i="3"/>
  <c r="N204" i="3"/>
  <c r="M204" i="3"/>
  <c r="L204" i="3"/>
  <c r="K204" i="3"/>
  <c r="J204" i="3"/>
  <c r="I204" i="3"/>
  <c r="H204" i="3"/>
  <c r="G204" i="3"/>
  <c r="F204" i="3"/>
  <c r="E204" i="3"/>
  <c r="D204" i="3"/>
  <c r="C204" i="3"/>
  <c r="B204" i="3"/>
  <c r="A204" i="3"/>
  <c r="BP203" i="3"/>
  <c r="BO203" i="3"/>
  <c r="BN203" i="3"/>
  <c r="BM203" i="3"/>
  <c r="BL203" i="3"/>
  <c r="BK203" i="3"/>
  <c r="BJ203" i="3"/>
  <c r="BI203" i="3"/>
  <c r="BH203" i="3"/>
  <c r="BG203" i="3"/>
  <c r="BF203" i="3"/>
  <c r="BE203" i="3"/>
  <c r="BD203" i="3"/>
  <c r="BC203" i="3"/>
  <c r="BB203" i="3"/>
  <c r="BA203" i="3"/>
  <c r="AZ203" i="3"/>
  <c r="AY203" i="3"/>
  <c r="AX203" i="3"/>
  <c r="AW203" i="3"/>
  <c r="AV203" i="3"/>
  <c r="AU203" i="3"/>
  <c r="AT203" i="3"/>
  <c r="AS203" i="3"/>
  <c r="AR203" i="3"/>
  <c r="AQ203" i="3"/>
  <c r="AP203" i="3"/>
  <c r="AO203" i="3"/>
  <c r="AN203" i="3"/>
  <c r="AM203" i="3"/>
  <c r="AL203" i="3"/>
  <c r="AK203" i="3"/>
  <c r="AJ203" i="3"/>
  <c r="AI203" i="3"/>
  <c r="AH203" i="3"/>
  <c r="AG203" i="3"/>
  <c r="AF203" i="3"/>
  <c r="AE203" i="3"/>
  <c r="AD203" i="3"/>
  <c r="AC203" i="3"/>
  <c r="AB203" i="3"/>
  <c r="AA203" i="3"/>
  <c r="Z203" i="3"/>
  <c r="Y203" i="3"/>
  <c r="X203" i="3"/>
  <c r="W203" i="3"/>
  <c r="V203" i="3"/>
  <c r="U203" i="3"/>
  <c r="T203" i="3"/>
  <c r="S203" i="3"/>
  <c r="R203" i="3"/>
  <c r="Q203" i="3"/>
  <c r="P203" i="3"/>
  <c r="O203" i="3"/>
  <c r="N203" i="3"/>
  <c r="M203" i="3"/>
  <c r="L203" i="3"/>
  <c r="K203" i="3"/>
  <c r="J203" i="3"/>
  <c r="I203" i="3"/>
  <c r="H203" i="3"/>
  <c r="G203" i="3"/>
  <c r="F203" i="3"/>
  <c r="E203" i="3"/>
  <c r="D203" i="3"/>
  <c r="C203" i="3"/>
  <c r="B203" i="3"/>
  <c r="A203" i="3"/>
  <c r="BP202" i="3"/>
  <c r="BO202" i="3"/>
  <c r="BN202" i="3"/>
  <c r="BM202" i="3"/>
  <c r="BL202" i="3"/>
  <c r="BK202" i="3"/>
  <c r="BJ202" i="3"/>
  <c r="BI202" i="3"/>
  <c r="BH202" i="3"/>
  <c r="BG202" i="3"/>
  <c r="BF202" i="3"/>
  <c r="BE202" i="3"/>
  <c r="BD202" i="3"/>
  <c r="BC202" i="3"/>
  <c r="BB202" i="3"/>
  <c r="BA202" i="3"/>
  <c r="AZ202" i="3"/>
  <c r="AY202" i="3"/>
  <c r="AX202" i="3"/>
  <c r="AW202" i="3"/>
  <c r="AV202" i="3"/>
  <c r="AU202" i="3"/>
  <c r="AT202" i="3"/>
  <c r="AS202" i="3"/>
  <c r="AR202" i="3"/>
  <c r="AQ202" i="3"/>
  <c r="AP202" i="3"/>
  <c r="AO202" i="3"/>
  <c r="AN202" i="3"/>
  <c r="AM202" i="3"/>
  <c r="AL202" i="3"/>
  <c r="AK202" i="3"/>
  <c r="AJ202" i="3"/>
  <c r="AI202" i="3"/>
  <c r="AH202" i="3"/>
  <c r="AG202" i="3"/>
  <c r="AF202" i="3"/>
  <c r="AE202" i="3"/>
  <c r="AD202" i="3"/>
  <c r="AC202" i="3"/>
  <c r="AB202" i="3"/>
  <c r="AA202" i="3"/>
  <c r="Z202" i="3"/>
  <c r="Y202" i="3"/>
  <c r="X202" i="3"/>
  <c r="W202" i="3"/>
  <c r="V202" i="3"/>
  <c r="U202" i="3"/>
  <c r="T202" i="3"/>
  <c r="S202" i="3"/>
  <c r="R202" i="3"/>
  <c r="Q202" i="3"/>
  <c r="P202" i="3"/>
  <c r="O202" i="3"/>
  <c r="N202" i="3"/>
  <c r="M202" i="3"/>
  <c r="L202" i="3"/>
  <c r="K202" i="3"/>
  <c r="J202" i="3"/>
  <c r="I202" i="3"/>
  <c r="H202" i="3"/>
  <c r="G202" i="3"/>
  <c r="F202" i="3"/>
  <c r="E202" i="3"/>
  <c r="D202" i="3"/>
  <c r="C202" i="3"/>
  <c r="B202" i="3"/>
  <c r="A202" i="3"/>
  <c r="BP201" i="3"/>
  <c r="BO201" i="3"/>
  <c r="BN201" i="3"/>
  <c r="BM201" i="3"/>
  <c r="BL201" i="3"/>
  <c r="BK201" i="3"/>
  <c r="BJ201" i="3"/>
  <c r="BI201" i="3"/>
  <c r="BH201" i="3"/>
  <c r="BG201" i="3"/>
  <c r="BF201" i="3"/>
  <c r="BE201" i="3"/>
  <c r="BD201" i="3"/>
  <c r="BC201" i="3"/>
  <c r="BB201" i="3"/>
  <c r="BA201" i="3"/>
  <c r="AZ201" i="3"/>
  <c r="AY201" i="3"/>
  <c r="AX201" i="3"/>
  <c r="AW201" i="3"/>
  <c r="AV201" i="3"/>
  <c r="AU201" i="3"/>
  <c r="AT201" i="3"/>
  <c r="AS201" i="3"/>
  <c r="AR201" i="3"/>
  <c r="AQ201" i="3"/>
  <c r="AP201" i="3"/>
  <c r="AO201" i="3"/>
  <c r="AN201" i="3"/>
  <c r="AM201" i="3"/>
  <c r="AL201" i="3"/>
  <c r="AK201" i="3"/>
  <c r="AJ201" i="3"/>
  <c r="AI201" i="3"/>
  <c r="AH201" i="3"/>
  <c r="AG201" i="3"/>
  <c r="AF201" i="3"/>
  <c r="AE201" i="3"/>
  <c r="AD201" i="3"/>
  <c r="AC201" i="3"/>
  <c r="AB201" i="3"/>
  <c r="AA201" i="3"/>
  <c r="Z201" i="3"/>
  <c r="Y201" i="3"/>
  <c r="X201" i="3"/>
  <c r="W201" i="3"/>
  <c r="V201" i="3"/>
  <c r="U201" i="3"/>
  <c r="T201" i="3"/>
  <c r="S201" i="3"/>
  <c r="R201" i="3"/>
  <c r="Q201" i="3"/>
  <c r="P201" i="3"/>
  <c r="O201" i="3"/>
  <c r="N201" i="3"/>
  <c r="M201" i="3"/>
  <c r="L201" i="3"/>
  <c r="K201" i="3"/>
  <c r="J201" i="3"/>
  <c r="I201" i="3"/>
  <c r="H201" i="3"/>
  <c r="G201" i="3"/>
  <c r="F201" i="3"/>
  <c r="E201" i="3"/>
  <c r="D201" i="3"/>
  <c r="C201" i="3"/>
  <c r="B201" i="3"/>
  <c r="A201" i="3"/>
  <c r="BP200" i="3"/>
  <c r="BO200" i="3"/>
  <c r="BN200" i="3"/>
  <c r="BM200" i="3"/>
  <c r="BL200" i="3"/>
  <c r="BK200" i="3"/>
  <c r="BJ200" i="3"/>
  <c r="BI200" i="3"/>
  <c r="BH200" i="3"/>
  <c r="BG200" i="3"/>
  <c r="BF200" i="3"/>
  <c r="BE200" i="3"/>
  <c r="BD200" i="3"/>
  <c r="BC200" i="3"/>
  <c r="BB200" i="3"/>
  <c r="BA200" i="3"/>
  <c r="AZ200" i="3"/>
  <c r="AY200" i="3"/>
  <c r="AX200" i="3"/>
  <c r="AW200" i="3"/>
  <c r="AV200" i="3"/>
  <c r="AU200" i="3"/>
  <c r="AT200" i="3"/>
  <c r="AS200" i="3"/>
  <c r="AR200" i="3"/>
  <c r="AQ200" i="3"/>
  <c r="AP200" i="3"/>
  <c r="AO200" i="3"/>
  <c r="AN200" i="3"/>
  <c r="AM200" i="3"/>
  <c r="AL200" i="3"/>
  <c r="AK200" i="3"/>
  <c r="AJ200" i="3"/>
  <c r="AI200" i="3"/>
  <c r="AH200" i="3"/>
  <c r="AG200" i="3"/>
  <c r="AF200" i="3"/>
  <c r="AE200" i="3"/>
  <c r="AD200" i="3"/>
  <c r="AC200" i="3"/>
  <c r="AB200" i="3"/>
  <c r="AA200" i="3"/>
  <c r="Z200" i="3"/>
  <c r="Y200" i="3"/>
  <c r="X200" i="3"/>
  <c r="W200" i="3"/>
  <c r="V200" i="3"/>
  <c r="U200" i="3"/>
  <c r="T200" i="3"/>
  <c r="S200" i="3"/>
  <c r="R200" i="3"/>
  <c r="Q200" i="3"/>
  <c r="P200" i="3"/>
  <c r="O200" i="3"/>
  <c r="N200" i="3"/>
  <c r="M200" i="3"/>
  <c r="L200" i="3"/>
  <c r="K200" i="3"/>
  <c r="J200" i="3"/>
  <c r="I200" i="3"/>
  <c r="H200" i="3"/>
  <c r="G200" i="3"/>
  <c r="F200" i="3"/>
  <c r="E200" i="3"/>
  <c r="D200" i="3"/>
  <c r="C200" i="3"/>
  <c r="B200" i="3"/>
  <c r="A200" i="3"/>
  <c r="BP199" i="3"/>
  <c r="BO199" i="3"/>
  <c r="BN199" i="3"/>
  <c r="BM199" i="3"/>
  <c r="BL199" i="3"/>
  <c r="BK199" i="3"/>
  <c r="BJ199" i="3"/>
  <c r="BI199" i="3"/>
  <c r="BH199" i="3"/>
  <c r="BG199" i="3"/>
  <c r="BF199" i="3"/>
  <c r="BE199" i="3"/>
  <c r="BD199" i="3"/>
  <c r="BC199" i="3"/>
  <c r="BB199" i="3"/>
  <c r="BA199" i="3"/>
  <c r="AZ199" i="3"/>
  <c r="AY199" i="3"/>
  <c r="AX199" i="3"/>
  <c r="AW199" i="3"/>
  <c r="AV199" i="3"/>
  <c r="AU199" i="3"/>
  <c r="AT199" i="3"/>
  <c r="AS199" i="3"/>
  <c r="AR199" i="3"/>
  <c r="AQ199" i="3"/>
  <c r="AP199" i="3"/>
  <c r="AO199" i="3"/>
  <c r="AN199" i="3"/>
  <c r="AM199" i="3"/>
  <c r="AL199" i="3"/>
  <c r="AK199" i="3"/>
  <c r="AJ199" i="3"/>
  <c r="AI199" i="3"/>
  <c r="AH199" i="3"/>
  <c r="AG199" i="3"/>
  <c r="AF199" i="3"/>
  <c r="AE199" i="3"/>
  <c r="AD199" i="3"/>
  <c r="AC199" i="3"/>
  <c r="AB199" i="3"/>
  <c r="AA199" i="3"/>
  <c r="Z199" i="3"/>
  <c r="Y199" i="3"/>
  <c r="X199" i="3"/>
  <c r="W199" i="3"/>
  <c r="V199" i="3"/>
  <c r="U199" i="3"/>
  <c r="T199" i="3"/>
  <c r="S199" i="3"/>
  <c r="R199" i="3"/>
  <c r="Q199" i="3"/>
  <c r="P199" i="3"/>
  <c r="O199" i="3"/>
  <c r="N199" i="3"/>
  <c r="M199" i="3"/>
  <c r="L199" i="3"/>
  <c r="K199" i="3"/>
  <c r="J199" i="3"/>
  <c r="I199" i="3"/>
  <c r="H199" i="3"/>
  <c r="G199" i="3"/>
  <c r="F199" i="3"/>
  <c r="E199" i="3"/>
  <c r="D199" i="3"/>
  <c r="C199" i="3"/>
  <c r="B199" i="3"/>
  <c r="A199" i="3"/>
  <c r="BP198" i="3"/>
  <c r="BO198" i="3"/>
  <c r="BN198" i="3"/>
  <c r="BM198" i="3"/>
  <c r="BL198" i="3"/>
  <c r="BK198" i="3"/>
  <c r="BJ198" i="3"/>
  <c r="BI198" i="3"/>
  <c r="BH198" i="3"/>
  <c r="BG198" i="3"/>
  <c r="BF198" i="3"/>
  <c r="BE198" i="3"/>
  <c r="BD198" i="3"/>
  <c r="BC198" i="3"/>
  <c r="BB198" i="3"/>
  <c r="BA198" i="3"/>
  <c r="AZ198" i="3"/>
  <c r="AY198" i="3"/>
  <c r="AX198" i="3"/>
  <c r="AW198" i="3"/>
  <c r="AV198" i="3"/>
  <c r="AU198" i="3"/>
  <c r="AT198" i="3"/>
  <c r="AS198" i="3"/>
  <c r="AR198" i="3"/>
  <c r="AQ198" i="3"/>
  <c r="AP198" i="3"/>
  <c r="AO198" i="3"/>
  <c r="AN198" i="3"/>
  <c r="AM198" i="3"/>
  <c r="AL198" i="3"/>
  <c r="AK198" i="3"/>
  <c r="AJ198" i="3"/>
  <c r="AI198" i="3"/>
  <c r="AH198" i="3"/>
  <c r="AG198" i="3"/>
  <c r="AF198" i="3"/>
  <c r="AE198" i="3"/>
  <c r="AD198" i="3"/>
  <c r="AC198" i="3"/>
  <c r="AB198" i="3"/>
  <c r="AA198" i="3"/>
  <c r="Z198" i="3"/>
  <c r="Y198" i="3"/>
  <c r="X198" i="3"/>
  <c r="W198" i="3"/>
  <c r="V198" i="3"/>
  <c r="U198" i="3"/>
  <c r="T198" i="3"/>
  <c r="S198" i="3"/>
  <c r="R198" i="3"/>
  <c r="Q198" i="3"/>
  <c r="P198" i="3"/>
  <c r="O198" i="3"/>
  <c r="N198" i="3"/>
  <c r="M198" i="3"/>
  <c r="L198" i="3"/>
  <c r="K198" i="3"/>
  <c r="J198" i="3"/>
  <c r="I198" i="3"/>
  <c r="H198" i="3"/>
  <c r="G198" i="3"/>
  <c r="F198" i="3"/>
  <c r="E198" i="3"/>
  <c r="D198" i="3"/>
  <c r="C198" i="3"/>
  <c r="B198" i="3"/>
  <c r="A198" i="3"/>
  <c r="BP197" i="3"/>
  <c r="BO197" i="3"/>
  <c r="BN197" i="3"/>
  <c r="BM197" i="3"/>
  <c r="BL197" i="3"/>
  <c r="BK197" i="3"/>
  <c r="BJ197" i="3"/>
  <c r="BI197" i="3"/>
  <c r="BH197" i="3"/>
  <c r="BG197" i="3"/>
  <c r="BF197" i="3"/>
  <c r="BE197" i="3"/>
  <c r="BD197" i="3"/>
  <c r="BC197" i="3"/>
  <c r="BB197" i="3"/>
  <c r="BA197" i="3"/>
  <c r="AZ197" i="3"/>
  <c r="AY197" i="3"/>
  <c r="AX197" i="3"/>
  <c r="AW197" i="3"/>
  <c r="AV197" i="3"/>
  <c r="AU197" i="3"/>
  <c r="AT197" i="3"/>
  <c r="AS197" i="3"/>
  <c r="AR197" i="3"/>
  <c r="AQ197" i="3"/>
  <c r="AP197" i="3"/>
  <c r="AO197" i="3"/>
  <c r="AN197" i="3"/>
  <c r="AM197" i="3"/>
  <c r="AL197" i="3"/>
  <c r="AK197" i="3"/>
  <c r="AJ197" i="3"/>
  <c r="AI197" i="3"/>
  <c r="AH197" i="3"/>
  <c r="AG197" i="3"/>
  <c r="AF197" i="3"/>
  <c r="AE197" i="3"/>
  <c r="AD197" i="3"/>
  <c r="AC197" i="3"/>
  <c r="AB197" i="3"/>
  <c r="AA197" i="3"/>
  <c r="Z197" i="3"/>
  <c r="Y197" i="3"/>
  <c r="X197" i="3"/>
  <c r="W197" i="3"/>
  <c r="V197" i="3"/>
  <c r="U197" i="3"/>
  <c r="T197" i="3"/>
  <c r="S197" i="3"/>
  <c r="R197" i="3"/>
  <c r="Q197" i="3"/>
  <c r="P197" i="3"/>
  <c r="O197" i="3"/>
  <c r="N197" i="3"/>
  <c r="M197" i="3"/>
  <c r="L197" i="3"/>
  <c r="K197" i="3"/>
  <c r="J197" i="3"/>
  <c r="I197" i="3"/>
  <c r="H197" i="3"/>
  <c r="G197" i="3"/>
  <c r="F197" i="3"/>
  <c r="E197" i="3"/>
  <c r="D197" i="3"/>
  <c r="C197" i="3"/>
  <c r="B197" i="3"/>
  <c r="A197" i="3"/>
  <c r="BP196" i="3"/>
  <c r="BO196" i="3"/>
  <c r="BN196" i="3"/>
  <c r="BM196" i="3"/>
  <c r="BL196" i="3"/>
  <c r="BK196" i="3"/>
  <c r="BJ196" i="3"/>
  <c r="BI196" i="3"/>
  <c r="BH196" i="3"/>
  <c r="BG196" i="3"/>
  <c r="BF196" i="3"/>
  <c r="BE196" i="3"/>
  <c r="BD196" i="3"/>
  <c r="BC196" i="3"/>
  <c r="BB196" i="3"/>
  <c r="BA196" i="3"/>
  <c r="AZ196" i="3"/>
  <c r="AY196" i="3"/>
  <c r="AX196" i="3"/>
  <c r="AW196" i="3"/>
  <c r="AV196" i="3"/>
  <c r="AU196" i="3"/>
  <c r="AT196" i="3"/>
  <c r="AS196" i="3"/>
  <c r="AR196" i="3"/>
  <c r="AQ196" i="3"/>
  <c r="AP196" i="3"/>
  <c r="AO196" i="3"/>
  <c r="AN196" i="3"/>
  <c r="AM196" i="3"/>
  <c r="AL196" i="3"/>
  <c r="AK196" i="3"/>
  <c r="AJ196" i="3"/>
  <c r="AI196" i="3"/>
  <c r="AH196" i="3"/>
  <c r="AG196" i="3"/>
  <c r="AF196" i="3"/>
  <c r="AE196" i="3"/>
  <c r="AD196" i="3"/>
  <c r="AC196" i="3"/>
  <c r="AB196" i="3"/>
  <c r="AA196" i="3"/>
  <c r="Z196" i="3"/>
  <c r="Y196" i="3"/>
  <c r="X196" i="3"/>
  <c r="W196" i="3"/>
  <c r="V196" i="3"/>
  <c r="U196" i="3"/>
  <c r="T196" i="3"/>
  <c r="S196" i="3"/>
  <c r="R196" i="3"/>
  <c r="Q196" i="3"/>
  <c r="P196" i="3"/>
  <c r="O196" i="3"/>
  <c r="N196" i="3"/>
  <c r="M196" i="3"/>
  <c r="L196" i="3"/>
  <c r="K196" i="3"/>
  <c r="J196" i="3"/>
  <c r="I196" i="3"/>
  <c r="H196" i="3"/>
  <c r="G196" i="3"/>
  <c r="F196" i="3"/>
  <c r="E196" i="3"/>
  <c r="D196" i="3"/>
  <c r="C196" i="3"/>
  <c r="B196" i="3"/>
  <c r="A196" i="3"/>
  <c r="BP195" i="3"/>
  <c r="BO195" i="3"/>
  <c r="BN195" i="3"/>
  <c r="BM195" i="3"/>
  <c r="BL195" i="3"/>
  <c r="BK195" i="3"/>
  <c r="BJ195" i="3"/>
  <c r="BI195" i="3"/>
  <c r="BH195" i="3"/>
  <c r="BG195" i="3"/>
  <c r="BF195" i="3"/>
  <c r="BE195" i="3"/>
  <c r="BD195" i="3"/>
  <c r="BC195" i="3"/>
  <c r="BB195" i="3"/>
  <c r="BA195" i="3"/>
  <c r="AZ195" i="3"/>
  <c r="AY195" i="3"/>
  <c r="AX195" i="3"/>
  <c r="AW195" i="3"/>
  <c r="AV195" i="3"/>
  <c r="AU195" i="3"/>
  <c r="AT195" i="3"/>
  <c r="AS195" i="3"/>
  <c r="AR195" i="3"/>
  <c r="AQ195" i="3"/>
  <c r="AP195"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E195" i="3"/>
  <c r="D195" i="3"/>
  <c r="C195" i="3"/>
  <c r="B195" i="3"/>
  <c r="A195" i="3"/>
  <c r="BP194" i="3"/>
  <c r="BO194" i="3"/>
  <c r="BN194" i="3"/>
  <c r="BM194" i="3"/>
  <c r="BL194" i="3"/>
  <c r="BK194" i="3"/>
  <c r="BJ194" i="3"/>
  <c r="BI194" i="3"/>
  <c r="BH194" i="3"/>
  <c r="BG194" i="3"/>
  <c r="BF194" i="3"/>
  <c r="BE194" i="3"/>
  <c r="BD194" i="3"/>
  <c r="BC194" i="3"/>
  <c r="BB194" i="3"/>
  <c r="BA194" i="3"/>
  <c r="AZ194" i="3"/>
  <c r="AY194" i="3"/>
  <c r="AX194" i="3"/>
  <c r="AW194" i="3"/>
  <c r="AV194" i="3"/>
  <c r="AU194" i="3"/>
  <c r="AT194" i="3"/>
  <c r="AS194" i="3"/>
  <c r="AR194" i="3"/>
  <c r="AQ194" i="3"/>
  <c r="AP194" i="3"/>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E194" i="3"/>
  <c r="D194" i="3"/>
  <c r="C194" i="3"/>
  <c r="B194" i="3"/>
  <c r="A194" i="3"/>
  <c r="BP193" i="3"/>
  <c r="BO193" i="3"/>
  <c r="BN193" i="3"/>
  <c r="BM193" i="3"/>
  <c r="BL193" i="3"/>
  <c r="BK193" i="3"/>
  <c r="BJ193" i="3"/>
  <c r="BI193" i="3"/>
  <c r="BH193" i="3"/>
  <c r="BG193" i="3"/>
  <c r="BF193" i="3"/>
  <c r="BE193" i="3"/>
  <c r="BD193" i="3"/>
  <c r="BC193" i="3"/>
  <c r="BB193" i="3"/>
  <c r="BA193" i="3"/>
  <c r="AZ193" i="3"/>
  <c r="AY193" i="3"/>
  <c r="AX193" i="3"/>
  <c r="AW193" i="3"/>
  <c r="AV193" i="3"/>
  <c r="AU193" i="3"/>
  <c r="AT193" i="3"/>
  <c r="AS193" i="3"/>
  <c r="AR193" i="3"/>
  <c r="AQ193" i="3"/>
  <c r="AP193" i="3"/>
  <c r="AO193" i="3"/>
  <c r="AN193" i="3"/>
  <c r="AM193" i="3"/>
  <c r="AL193" i="3"/>
  <c r="AK193" i="3"/>
  <c r="AJ193" i="3"/>
  <c r="AI193" i="3"/>
  <c r="AH193" i="3"/>
  <c r="AG193" i="3"/>
  <c r="AF193" i="3"/>
  <c r="AE193" i="3"/>
  <c r="AD193" i="3"/>
  <c r="AC193" i="3"/>
  <c r="AB193" i="3"/>
  <c r="AA193" i="3"/>
  <c r="Z193" i="3"/>
  <c r="Y193" i="3"/>
  <c r="X193" i="3"/>
  <c r="W193" i="3"/>
  <c r="V193" i="3"/>
  <c r="U193" i="3"/>
  <c r="T193" i="3"/>
  <c r="S193" i="3"/>
  <c r="R193" i="3"/>
  <c r="Q193" i="3"/>
  <c r="P193" i="3"/>
  <c r="O193" i="3"/>
  <c r="N193" i="3"/>
  <c r="M193" i="3"/>
  <c r="L193" i="3"/>
  <c r="K193" i="3"/>
  <c r="J193" i="3"/>
  <c r="I193" i="3"/>
  <c r="H193" i="3"/>
  <c r="G193" i="3"/>
  <c r="F193" i="3"/>
  <c r="E193" i="3"/>
  <c r="D193" i="3"/>
  <c r="C193" i="3"/>
  <c r="B193" i="3"/>
  <c r="A193" i="3"/>
  <c r="BP192" i="3"/>
  <c r="BO192" i="3"/>
  <c r="BN192" i="3"/>
  <c r="BM192" i="3"/>
  <c r="BL192" i="3"/>
  <c r="BK192" i="3"/>
  <c r="BJ192" i="3"/>
  <c r="BI192" i="3"/>
  <c r="BH192" i="3"/>
  <c r="BG192" i="3"/>
  <c r="BF192" i="3"/>
  <c r="BE192" i="3"/>
  <c r="BD192" i="3"/>
  <c r="BC192" i="3"/>
  <c r="BB192" i="3"/>
  <c r="BA192" i="3"/>
  <c r="AZ192" i="3"/>
  <c r="AY192" i="3"/>
  <c r="AX192" i="3"/>
  <c r="AW192" i="3"/>
  <c r="AV192" i="3"/>
  <c r="AU192" i="3"/>
  <c r="AT192" i="3"/>
  <c r="AS192" i="3"/>
  <c r="AR192" i="3"/>
  <c r="AQ192" i="3"/>
  <c r="AP192"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E192" i="3"/>
  <c r="D192" i="3"/>
  <c r="C192" i="3"/>
  <c r="B192" i="3"/>
  <c r="A192" i="3"/>
  <c r="BP191" i="3"/>
  <c r="BO191" i="3"/>
  <c r="BN191" i="3"/>
  <c r="BM191" i="3"/>
  <c r="BL191" i="3"/>
  <c r="BK191" i="3"/>
  <c r="BJ191" i="3"/>
  <c r="BI191" i="3"/>
  <c r="BH191" i="3"/>
  <c r="BG191" i="3"/>
  <c r="BF191" i="3"/>
  <c r="BE191" i="3"/>
  <c r="BD191" i="3"/>
  <c r="BC191" i="3"/>
  <c r="BB191" i="3"/>
  <c r="BA191" i="3"/>
  <c r="AZ191" i="3"/>
  <c r="AY191" i="3"/>
  <c r="AX191" i="3"/>
  <c r="AW191" i="3"/>
  <c r="AV191" i="3"/>
  <c r="AU191" i="3"/>
  <c r="AT191" i="3"/>
  <c r="AS191" i="3"/>
  <c r="AR191" i="3"/>
  <c r="AQ191" i="3"/>
  <c r="AP191"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E191" i="3"/>
  <c r="D191" i="3"/>
  <c r="C191" i="3"/>
  <c r="B191" i="3"/>
  <c r="A191" i="3"/>
  <c r="BP190" i="3"/>
  <c r="BO190" i="3"/>
  <c r="BN190" i="3"/>
  <c r="BM190" i="3"/>
  <c r="BL190" i="3"/>
  <c r="BK190" i="3"/>
  <c r="BJ190" i="3"/>
  <c r="BI190" i="3"/>
  <c r="BH190" i="3"/>
  <c r="BG190" i="3"/>
  <c r="BF190" i="3"/>
  <c r="BE190" i="3"/>
  <c r="BD190" i="3"/>
  <c r="BC190" i="3"/>
  <c r="BB190" i="3"/>
  <c r="BA190" i="3"/>
  <c r="AZ190" i="3"/>
  <c r="AY190" i="3"/>
  <c r="AX190" i="3"/>
  <c r="AW190" i="3"/>
  <c r="AV190" i="3"/>
  <c r="AU190" i="3"/>
  <c r="AT190" i="3"/>
  <c r="AS190" i="3"/>
  <c r="AR190" i="3"/>
  <c r="AQ190" i="3"/>
  <c r="AP190" i="3"/>
  <c r="AO190" i="3"/>
  <c r="AN190" i="3"/>
  <c r="AM190" i="3"/>
  <c r="AL190" i="3"/>
  <c r="AK190" i="3"/>
  <c r="AJ190" i="3"/>
  <c r="AI190" i="3"/>
  <c r="AH190" i="3"/>
  <c r="AG190" i="3"/>
  <c r="AF190" i="3"/>
  <c r="AE190" i="3"/>
  <c r="AD190" i="3"/>
  <c r="AC190" i="3"/>
  <c r="AB190" i="3"/>
  <c r="AA190" i="3"/>
  <c r="Z190" i="3"/>
  <c r="Y190" i="3"/>
  <c r="X190" i="3"/>
  <c r="W190" i="3"/>
  <c r="V190" i="3"/>
  <c r="U190" i="3"/>
  <c r="T190" i="3"/>
  <c r="S190" i="3"/>
  <c r="R190" i="3"/>
  <c r="Q190" i="3"/>
  <c r="P190" i="3"/>
  <c r="O190" i="3"/>
  <c r="N190" i="3"/>
  <c r="M190" i="3"/>
  <c r="L190" i="3"/>
  <c r="K190" i="3"/>
  <c r="J190" i="3"/>
  <c r="I190" i="3"/>
  <c r="H190" i="3"/>
  <c r="G190" i="3"/>
  <c r="F190" i="3"/>
  <c r="E190" i="3"/>
  <c r="D190" i="3"/>
  <c r="C190" i="3"/>
  <c r="B190" i="3"/>
  <c r="A190" i="3"/>
  <c r="BP189" i="3"/>
  <c r="BO189" i="3"/>
  <c r="BN189" i="3"/>
  <c r="BM189" i="3"/>
  <c r="BL189" i="3"/>
  <c r="BK189" i="3"/>
  <c r="BJ189" i="3"/>
  <c r="BI189" i="3"/>
  <c r="BH189" i="3"/>
  <c r="BG189" i="3"/>
  <c r="BF189" i="3"/>
  <c r="BE189" i="3"/>
  <c r="BD189" i="3"/>
  <c r="BC189" i="3"/>
  <c r="BB189" i="3"/>
  <c r="BA189" i="3"/>
  <c r="AZ189" i="3"/>
  <c r="AY189" i="3"/>
  <c r="AX189" i="3"/>
  <c r="AW189" i="3"/>
  <c r="AV189" i="3"/>
  <c r="AU189" i="3"/>
  <c r="AT189" i="3"/>
  <c r="AS189" i="3"/>
  <c r="AR189" i="3"/>
  <c r="AQ189" i="3"/>
  <c r="AP189" i="3"/>
  <c r="AO189" i="3"/>
  <c r="AN189" i="3"/>
  <c r="AM189" i="3"/>
  <c r="AL189" i="3"/>
  <c r="AK189" i="3"/>
  <c r="AJ189" i="3"/>
  <c r="AI189" i="3"/>
  <c r="AH189" i="3"/>
  <c r="AG189" i="3"/>
  <c r="AF189" i="3"/>
  <c r="AE189" i="3"/>
  <c r="AD189" i="3"/>
  <c r="AC189" i="3"/>
  <c r="AB189" i="3"/>
  <c r="AA189" i="3"/>
  <c r="Z189" i="3"/>
  <c r="Y189" i="3"/>
  <c r="X189" i="3"/>
  <c r="W189" i="3"/>
  <c r="V189" i="3"/>
  <c r="U189" i="3"/>
  <c r="T189" i="3"/>
  <c r="S189" i="3"/>
  <c r="R189" i="3"/>
  <c r="Q189" i="3"/>
  <c r="P189" i="3"/>
  <c r="O189" i="3"/>
  <c r="N189" i="3"/>
  <c r="M189" i="3"/>
  <c r="L189" i="3"/>
  <c r="K189" i="3"/>
  <c r="J189" i="3"/>
  <c r="I189" i="3"/>
  <c r="H189" i="3"/>
  <c r="G189" i="3"/>
  <c r="F189" i="3"/>
  <c r="E189" i="3"/>
  <c r="D189" i="3"/>
  <c r="C189" i="3"/>
  <c r="B189" i="3"/>
  <c r="A189" i="3"/>
  <c r="BP188" i="3"/>
  <c r="BO188" i="3"/>
  <c r="BN188" i="3"/>
  <c r="BM188" i="3"/>
  <c r="BL188" i="3"/>
  <c r="BK188" i="3"/>
  <c r="BJ188" i="3"/>
  <c r="BI188" i="3"/>
  <c r="BH188" i="3"/>
  <c r="BG188" i="3"/>
  <c r="BF188" i="3"/>
  <c r="BE188" i="3"/>
  <c r="BD188" i="3"/>
  <c r="BC188" i="3"/>
  <c r="BB188" i="3"/>
  <c r="BA188" i="3"/>
  <c r="AZ188" i="3"/>
  <c r="AY188" i="3"/>
  <c r="AX188" i="3"/>
  <c r="AW188" i="3"/>
  <c r="AV188" i="3"/>
  <c r="AU188" i="3"/>
  <c r="AT188" i="3"/>
  <c r="AS188" i="3"/>
  <c r="AR188" i="3"/>
  <c r="AQ188" i="3"/>
  <c r="AP188" i="3"/>
  <c r="AO188" i="3"/>
  <c r="AN188" i="3"/>
  <c r="AM188" i="3"/>
  <c r="AL188" i="3"/>
  <c r="AK188" i="3"/>
  <c r="AJ188" i="3"/>
  <c r="AI188" i="3"/>
  <c r="AH188" i="3"/>
  <c r="AG188" i="3"/>
  <c r="AF188" i="3"/>
  <c r="AE188" i="3"/>
  <c r="AD188" i="3"/>
  <c r="AC188" i="3"/>
  <c r="AB188" i="3"/>
  <c r="AA188" i="3"/>
  <c r="Z188" i="3"/>
  <c r="Y188" i="3"/>
  <c r="X188" i="3"/>
  <c r="W188" i="3"/>
  <c r="V188" i="3"/>
  <c r="U188" i="3"/>
  <c r="T188" i="3"/>
  <c r="S188" i="3"/>
  <c r="R188" i="3"/>
  <c r="Q188" i="3"/>
  <c r="P188" i="3"/>
  <c r="O188" i="3"/>
  <c r="N188" i="3"/>
  <c r="M188" i="3"/>
  <c r="L188" i="3"/>
  <c r="K188" i="3"/>
  <c r="J188" i="3"/>
  <c r="I188" i="3"/>
  <c r="H188" i="3"/>
  <c r="G188" i="3"/>
  <c r="F188" i="3"/>
  <c r="E188" i="3"/>
  <c r="D188" i="3"/>
  <c r="C188" i="3"/>
  <c r="B188" i="3"/>
  <c r="A188" i="3"/>
  <c r="BP187" i="3"/>
  <c r="BO187" i="3"/>
  <c r="BN187" i="3"/>
  <c r="BM187" i="3"/>
  <c r="BL187" i="3"/>
  <c r="BK187" i="3"/>
  <c r="BJ187" i="3"/>
  <c r="BI187" i="3"/>
  <c r="BH187" i="3"/>
  <c r="BG187" i="3"/>
  <c r="BF187" i="3"/>
  <c r="BE187" i="3"/>
  <c r="BD187" i="3"/>
  <c r="BC187" i="3"/>
  <c r="BB187" i="3"/>
  <c r="BA187" i="3"/>
  <c r="AZ187" i="3"/>
  <c r="AY187" i="3"/>
  <c r="AX187" i="3"/>
  <c r="AW187" i="3"/>
  <c r="AV187" i="3"/>
  <c r="AU187" i="3"/>
  <c r="AT187" i="3"/>
  <c r="AS187" i="3"/>
  <c r="AR187" i="3"/>
  <c r="AQ187" i="3"/>
  <c r="AP187" i="3"/>
  <c r="AO187" i="3"/>
  <c r="AN187" i="3"/>
  <c r="AM187" i="3"/>
  <c r="AL187" i="3"/>
  <c r="AK187" i="3"/>
  <c r="AJ187" i="3"/>
  <c r="AI187" i="3"/>
  <c r="AH187" i="3"/>
  <c r="AG187" i="3"/>
  <c r="AF187" i="3"/>
  <c r="AE187" i="3"/>
  <c r="AD187" i="3"/>
  <c r="AC187" i="3"/>
  <c r="AB187" i="3"/>
  <c r="AA187" i="3"/>
  <c r="Z187" i="3"/>
  <c r="Y187" i="3"/>
  <c r="X187" i="3"/>
  <c r="W187" i="3"/>
  <c r="V187" i="3"/>
  <c r="U187" i="3"/>
  <c r="T187" i="3"/>
  <c r="S187" i="3"/>
  <c r="R187" i="3"/>
  <c r="Q187" i="3"/>
  <c r="P187" i="3"/>
  <c r="O187" i="3"/>
  <c r="N187" i="3"/>
  <c r="M187" i="3"/>
  <c r="L187" i="3"/>
  <c r="K187" i="3"/>
  <c r="J187" i="3"/>
  <c r="I187" i="3"/>
  <c r="H187" i="3"/>
  <c r="G187" i="3"/>
  <c r="F187" i="3"/>
  <c r="E187" i="3"/>
  <c r="D187" i="3"/>
  <c r="C187" i="3"/>
  <c r="B187" i="3"/>
  <c r="A187" i="3"/>
  <c r="BP186" i="3"/>
  <c r="BO186" i="3"/>
  <c r="BN186" i="3"/>
  <c r="BM186" i="3"/>
  <c r="BL186" i="3"/>
  <c r="BK186" i="3"/>
  <c r="BJ186" i="3"/>
  <c r="BI186" i="3"/>
  <c r="BH186" i="3"/>
  <c r="BG186" i="3"/>
  <c r="BF186" i="3"/>
  <c r="BE186" i="3"/>
  <c r="BD186" i="3"/>
  <c r="BC186" i="3"/>
  <c r="BB186" i="3"/>
  <c r="BA186" i="3"/>
  <c r="AZ186" i="3"/>
  <c r="AY186" i="3"/>
  <c r="AX186" i="3"/>
  <c r="AW186" i="3"/>
  <c r="AV186" i="3"/>
  <c r="AU186" i="3"/>
  <c r="AT186" i="3"/>
  <c r="AS186" i="3"/>
  <c r="AR186" i="3"/>
  <c r="AQ186" i="3"/>
  <c r="AP186" i="3"/>
  <c r="AO186" i="3"/>
  <c r="AN186" i="3"/>
  <c r="AM186" i="3"/>
  <c r="AL186" i="3"/>
  <c r="AK186" i="3"/>
  <c r="AJ186" i="3"/>
  <c r="AI186" i="3"/>
  <c r="AH186" i="3"/>
  <c r="AG186" i="3"/>
  <c r="AF186" i="3"/>
  <c r="AE186" i="3"/>
  <c r="AD186" i="3"/>
  <c r="AC186" i="3"/>
  <c r="AB186" i="3"/>
  <c r="AA186" i="3"/>
  <c r="Z186" i="3"/>
  <c r="Y186" i="3"/>
  <c r="X186" i="3"/>
  <c r="W186" i="3"/>
  <c r="V186" i="3"/>
  <c r="U186" i="3"/>
  <c r="T186" i="3"/>
  <c r="S186" i="3"/>
  <c r="R186" i="3"/>
  <c r="Q186" i="3"/>
  <c r="P186" i="3"/>
  <c r="O186" i="3"/>
  <c r="N186" i="3"/>
  <c r="M186" i="3"/>
  <c r="L186" i="3"/>
  <c r="K186" i="3"/>
  <c r="J186" i="3"/>
  <c r="I186" i="3"/>
  <c r="H186" i="3"/>
  <c r="G186" i="3"/>
  <c r="F186" i="3"/>
  <c r="E186" i="3"/>
  <c r="D186" i="3"/>
  <c r="C186" i="3"/>
  <c r="B186" i="3"/>
  <c r="A186" i="3"/>
  <c r="BP185" i="3"/>
  <c r="BO185" i="3"/>
  <c r="BN185" i="3"/>
  <c r="BM185" i="3"/>
  <c r="BL185" i="3"/>
  <c r="BK185" i="3"/>
  <c r="BJ185" i="3"/>
  <c r="BI185" i="3"/>
  <c r="BH185" i="3"/>
  <c r="BG185" i="3"/>
  <c r="BF185" i="3"/>
  <c r="BE185" i="3"/>
  <c r="BD185" i="3"/>
  <c r="BC185" i="3"/>
  <c r="BB185" i="3"/>
  <c r="BA185" i="3"/>
  <c r="AZ185" i="3"/>
  <c r="AY185" i="3"/>
  <c r="AX185" i="3"/>
  <c r="AW185" i="3"/>
  <c r="AV185" i="3"/>
  <c r="AU185" i="3"/>
  <c r="AT185" i="3"/>
  <c r="AS185" i="3"/>
  <c r="AR185" i="3"/>
  <c r="AQ185" i="3"/>
  <c r="AP185"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E185" i="3"/>
  <c r="D185" i="3"/>
  <c r="C185" i="3"/>
  <c r="B185" i="3"/>
  <c r="A185" i="3"/>
  <c r="BP184" i="3"/>
  <c r="BO184" i="3"/>
  <c r="BN184" i="3"/>
  <c r="BM184" i="3"/>
  <c r="BL184" i="3"/>
  <c r="BK184" i="3"/>
  <c r="BJ184" i="3"/>
  <c r="BI184" i="3"/>
  <c r="BH184" i="3"/>
  <c r="BG184" i="3"/>
  <c r="BF184" i="3"/>
  <c r="BE184" i="3"/>
  <c r="BD184" i="3"/>
  <c r="BC184" i="3"/>
  <c r="BB184" i="3"/>
  <c r="BA184" i="3"/>
  <c r="AZ184" i="3"/>
  <c r="AY184" i="3"/>
  <c r="AX184" i="3"/>
  <c r="AW184" i="3"/>
  <c r="AV184" i="3"/>
  <c r="AU184" i="3"/>
  <c r="AT184" i="3"/>
  <c r="AS184" i="3"/>
  <c r="AR184" i="3"/>
  <c r="AQ184" i="3"/>
  <c r="AP184" i="3"/>
  <c r="AO184" i="3"/>
  <c r="AN184" i="3"/>
  <c r="AM184" i="3"/>
  <c r="AL184" i="3"/>
  <c r="AK184" i="3"/>
  <c r="AJ184" i="3"/>
  <c r="AI184" i="3"/>
  <c r="AH184" i="3"/>
  <c r="AG184" i="3"/>
  <c r="AF184" i="3"/>
  <c r="AE184" i="3"/>
  <c r="AD184" i="3"/>
  <c r="AC184" i="3"/>
  <c r="AB184" i="3"/>
  <c r="AA184" i="3"/>
  <c r="Z184" i="3"/>
  <c r="Y184" i="3"/>
  <c r="X184" i="3"/>
  <c r="W184" i="3"/>
  <c r="V184" i="3"/>
  <c r="U184" i="3"/>
  <c r="T184" i="3"/>
  <c r="S184" i="3"/>
  <c r="R184" i="3"/>
  <c r="Q184" i="3"/>
  <c r="P184" i="3"/>
  <c r="O184" i="3"/>
  <c r="N184" i="3"/>
  <c r="M184" i="3"/>
  <c r="L184" i="3"/>
  <c r="K184" i="3"/>
  <c r="J184" i="3"/>
  <c r="I184" i="3"/>
  <c r="H184" i="3"/>
  <c r="G184" i="3"/>
  <c r="F184" i="3"/>
  <c r="E184" i="3"/>
  <c r="D184" i="3"/>
  <c r="C184" i="3"/>
  <c r="B184" i="3"/>
  <c r="A184" i="3"/>
  <c r="BP183" i="3"/>
  <c r="BO183" i="3"/>
  <c r="BN183" i="3"/>
  <c r="BM183" i="3"/>
  <c r="BL183" i="3"/>
  <c r="BK183" i="3"/>
  <c r="BJ183" i="3"/>
  <c r="BI183" i="3"/>
  <c r="BH183" i="3"/>
  <c r="BG183" i="3"/>
  <c r="BF183" i="3"/>
  <c r="BE183" i="3"/>
  <c r="BD183" i="3"/>
  <c r="BC183" i="3"/>
  <c r="BB183" i="3"/>
  <c r="BA183" i="3"/>
  <c r="AZ183" i="3"/>
  <c r="AY183" i="3"/>
  <c r="AX183" i="3"/>
  <c r="AW183" i="3"/>
  <c r="AV183" i="3"/>
  <c r="AU183" i="3"/>
  <c r="AT183" i="3"/>
  <c r="AS183" i="3"/>
  <c r="AR183" i="3"/>
  <c r="AQ183" i="3"/>
  <c r="AP183" i="3"/>
  <c r="AO183" i="3"/>
  <c r="AN183" i="3"/>
  <c r="AM183" i="3"/>
  <c r="AL183" i="3"/>
  <c r="AK183" i="3"/>
  <c r="AJ183" i="3"/>
  <c r="AI183" i="3"/>
  <c r="AH183" i="3"/>
  <c r="AG183" i="3"/>
  <c r="AF183" i="3"/>
  <c r="AE183" i="3"/>
  <c r="AD183" i="3"/>
  <c r="AC183" i="3"/>
  <c r="AB183" i="3"/>
  <c r="AA183" i="3"/>
  <c r="Z183" i="3"/>
  <c r="Y183" i="3"/>
  <c r="X183" i="3"/>
  <c r="W183" i="3"/>
  <c r="V183" i="3"/>
  <c r="U183" i="3"/>
  <c r="T183" i="3"/>
  <c r="S183" i="3"/>
  <c r="R183" i="3"/>
  <c r="Q183" i="3"/>
  <c r="P183" i="3"/>
  <c r="O183" i="3"/>
  <c r="N183" i="3"/>
  <c r="M183" i="3"/>
  <c r="L183" i="3"/>
  <c r="K183" i="3"/>
  <c r="J183" i="3"/>
  <c r="I183" i="3"/>
  <c r="H183" i="3"/>
  <c r="G183" i="3"/>
  <c r="F183" i="3"/>
  <c r="E183" i="3"/>
  <c r="D183" i="3"/>
  <c r="C183" i="3"/>
  <c r="B183" i="3"/>
  <c r="A183" i="3"/>
  <c r="BP182" i="3"/>
  <c r="BO182" i="3"/>
  <c r="BN182" i="3"/>
  <c r="BM182" i="3"/>
  <c r="BL182" i="3"/>
  <c r="BK182" i="3"/>
  <c r="BJ182" i="3"/>
  <c r="BI182" i="3"/>
  <c r="BH182" i="3"/>
  <c r="BG182" i="3"/>
  <c r="BF182" i="3"/>
  <c r="BE182" i="3"/>
  <c r="BD182" i="3"/>
  <c r="BC182" i="3"/>
  <c r="BB182" i="3"/>
  <c r="BA182" i="3"/>
  <c r="AZ182" i="3"/>
  <c r="AY182" i="3"/>
  <c r="AX182" i="3"/>
  <c r="AW182" i="3"/>
  <c r="AV182" i="3"/>
  <c r="AU182" i="3"/>
  <c r="AT182" i="3"/>
  <c r="AS182" i="3"/>
  <c r="AR182" i="3"/>
  <c r="AQ182" i="3"/>
  <c r="AP182"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E182" i="3"/>
  <c r="D182" i="3"/>
  <c r="C182" i="3"/>
  <c r="B182" i="3"/>
  <c r="A182" i="3"/>
  <c r="BP181" i="3"/>
  <c r="BO181" i="3"/>
  <c r="BN181" i="3"/>
  <c r="BM181" i="3"/>
  <c r="BL181" i="3"/>
  <c r="BK181" i="3"/>
  <c r="BJ181" i="3"/>
  <c r="BI181" i="3"/>
  <c r="BH181" i="3"/>
  <c r="BG181" i="3"/>
  <c r="BF181" i="3"/>
  <c r="BE181" i="3"/>
  <c r="BD181" i="3"/>
  <c r="BC181" i="3"/>
  <c r="BB181" i="3"/>
  <c r="BA181" i="3"/>
  <c r="AZ181" i="3"/>
  <c r="AY181" i="3"/>
  <c r="AX181" i="3"/>
  <c r="AW181" i="3"/>
  <c r="AV181" i="3"/>
  <c r="AU181" i="3"/>
  <c r="AT181" i="3"/>
  <c r="AS181" i="3"/>
  <c r="AR181" i="3"/>
  <c r="AQ181" i="3"/>
  <c r="AP181"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F181" i="3"/>
  <c r="E181" i="3"/>
  <c r="D181" i="3"/>
  <c r="C181" i="3"/>
  <c r="B181" i="3"/>
  <c r="A181" i="3"/>
  <c r="BP180" i="3"/>
  <c r="BO180" i="3"/>
  <c r="BN180" i="3"/>
  <c r="BM180" i="3"/>
  <c r="BL180" i="3"/>
  <c r="BK180" i="3"/>
  <c r="BJ180" i="3"/>
  <c r="BI180" i="3"/>
  <c r="BH180" i="3"/>
  <c r="BG180" i="3"/>
  <c r="BF180" i="3"/>
  <c r="BE180" i="3"/>
  <c r="BD180" i="3"/>
  <c r="BC180" i="3"/>
  <c r="BB180" i="3"/>
  <c r="BA180" i="3"/>
  <c r="AZ180" i="3"/>
  <c r="AY180" i="3"/>
  <c r="AX180" i="3"/>
  <c r="AW180" i="3"/>
  <c r="AV180" i="3"/>
  <c r="AU180" i="3"/>
  <c r="AT180" i="3"/>
  <c r="AS180" i="3"/>
  <c r="AR180" i="3"/>
  <c r="AQ180" i="3"/>
  <c r="AP180" i="3"/>
  <c r="AO180" i="3"/>
  <c r="AN180" i="3"/>
  <c r="AM180" i="3"/>
  <c r="AL180" i="3"/>
  <c r="AK180" i="3"/>
  <c r="AJ180" i="3"/>
  <c r="AI180" i="3"/>
  <c r="AH180" i="3"/>
  <c r="AG180" i="3"/>
  <c r="AF180" i="3"/>
  <c r="AE180" i="3"/>
  <c r="AD180" i="3"/>
  <c r="AC180" i="3"/>
  <c r="AB180" i="3"/>
  <c r="AA180" i="3"/>
  <c r="Z180" i="3"/>
  <c r="Y180" i="3"/>
  <c r="X180" i="3"/>
  <c r="W180" i="3"/>
  <c r="V180" i="3"/>
  <c r="U180" i="3"/>
  <c r="T180" i="3"/>
  <c r="S180" i="3"/>
  <c r="R180" i="3"/>
  <c r="Q180" i="3"/>
  <c r="P180" i="3"/>
  <c r="O180" i="3"/>
  <c r="N180" i="3"/>
  <c r="M180" i="3"/>
  <c r="L180" i="3"/>
  <c r="K180" i="3"/>
  <c r="J180" i="3"/>
  <c r="I180" i="3"/>
  <c r="H180" i="3"/>
  <c r="G180" i="3"/>
  <c r="F180" i="3"/>
  <c r="E180" i="3"/>
  <c r="D180" i="3"/>
  <c r="C180" i="3"/>
  <c r="B180" i="3"/>
  <c r="A180" i="3"/>
  <c r="BP179" i="3"/>
  <c r="BO179" i="3"/>
  <c r="BN179" i="3"/>
  <c r="BM179" i="3"/>
  <c r="BL179" i="3"/>
  <c r="BK179" i="3"/>
  <c r="BJ179" i="3"/>
  <c r="BI179" i="3"/>
  <c r="BH179" i="3"/>
  <c r="BG179" i="3"/>
  <c r="BF179" i="3"/>
  <c r="BE179" i="3"/>
  <c r="BD179" i="3"/>
  <c r="BC179" i="3"/>
  <c r="BB179" i="3"/>
  <c r="BA179" i="3"/>
  <c r="AZ179" i="3"/>
  <c r="AY179" i="3"/>
  <c r="AX179" i="3"/>
  <c r="AW179" i="3"/>
  <c r="AV179" i="3"/>
  <c r="AU179" i="3"/>
  <c r="AT179" i="3"/>
  <c r="AS179" i="3"/>
  <c r="AR179" i="3"/>
  <c r="AQ179" i="3"/>
  <c r="AP179"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E179" i="3"/>
  <c r="D179" i="3"/>
  <c r="C179" i="3"/>
  <c r="B179" i="3"/>
  <c r="A179" i="3"/>
  <c r="BP178" i="3"/>
  <c r="BO178" i="3"/>
  <c r="BN178" i="3"/>
  <c r="BM178" i="3"/>
  <c r="BL178" i="3"/>
  <c r="BK178" i="3"/>
  <c r="BJ178" i="3"/>
  <c r="BI178" i="3"/>
  <c r="BH178" i="3"/>
  <c r="BG178" i="3"/>
  <c r="BF178" i="3"/>
  <c r="BE178" i="3"/>
  <c r="BD178" i="3"/>
  <c r="BC178" i="3"/>
  <c r="BB178" i="3"/>
  <c r="BA178" i="3"/>
  <c r="AZ178" i="3"/>
  <c r="AY178" i="3"/>
  <c r="AX178" i="3"/>
  <c r="AW178" i="3"/>
  <c r="AV178" i="3"/>
  <c r="AU178" i="3"/>
  <c r="AT178" i="3"/>
  <c r="AS178" i="3"/>
  <c r="AR178" i="3"/>
  <c r="AQ178" i="3"/>
  <c r="AP178" i="3"/>
  <c r="AO178" i="3"/>
  <c r="AN178" i="3"/>
  <c r="AM178" i="3"/>
  <c r="AL178" i="3"/>
  <c r="AK178" i="3"/>
  <c r="AJ178" i="3"/>
  <c r="AI178" i="3"/>
  <c r="AH178" i="3"/>
  <c r="AG178" i="3"/>
  <c r="AF178" i="3"/>
  <c r="AE178" i="3"/>
  <c r="AD178" i="3"/>
  <c r="AC178" i="3"/>
  <c r="AB178" i="3"/>
  <c r="AA178" i="3"/>
  <c r="Z178" i="3"/>
  <c r="Y178" i="3"/>
  <c r="X178" i="3"/>
  <c r="W178" i="3"/>
  <c r="V178" i="3"/>
  <c r="U178" i="3"/>
  <c r="T178" i="3"/>
  <c r="S178" i="3"/>
  <c r="R178" i="3"/>
  <c r="Q178" i="3"/>
  <c r="P178" i="3"/>
  <c r="O178" i="3"/>
  <c r="N178" i="3"/>
  <c r="M178" i="3"/>
  <c r="L178" i="3"/>
  <c r="K178" i="3"/>
  <c r="J178" i="3"/>
  <c r="I178" i="3"/>
  <c r="H178" i="3"/>
  <c r="G178" i="3"/>
  <c r="F178" i="3"/>
  <c r="E178" i="3"/>
  <c r="D178" i="3"/>
  <c r="B178" i="3"/>
  <c r="A178" i="3"/>
  <c r="BP177" i="3"/>
  <c r="BO177" i="3"/>
  <c r="BN177" i="3"/>
  <c r="BM177" i="3"/>
  <c r="BL177" i="3"/>
  <c r="BK177" i="3"/>
  <c r="BJ177" i="3"/>
  <c r="BI177" i="3"/>
  <c r="BH177" i="3"/>
  <c r="BG177" i="3"/>
  <c r="BF177" i="3"/>
  <c r="BE177" i="3"/>
  <c r="BD177" i="3"/>
  <c r="BC177" i="3"/>
  <c r="BB177" i="3"/>
  <c r="BA177" i="3"/>
  <c r="AZ177" i="3"/>
  <c r="AY177" i="3"/>
  <c r="AX177" i="3"/>
  <c r="AW177" i="3"/>
  <c r="AV177" i="3"/>
  <c r="AU177" i="3"/>
  <c r="AT177" i="3"/>
  <c r="AS177" i="3"/>
  <c r="AR177" i="3"/>
  <c r="AQ177" i="3"/>
  <c r="AP177" i="3"/>
  <c r="AO177" i="3"/>
  <c r="AN177" i="3"/>
  <c r="AM177" i="3"/>
  <c r="AL177" i="3"/>
  <c r="AK177" i="3"/>
  <c r="AJ177" i="3"/>
  <c r="AI177" i="3"/>
  <c r="AH177" i="3"/>
  <c r="AG177" i="3"/>
  <c r="AF177" i="3"/>
  <c r="AE177" i="3"/>
  <c r="AD177" i="3"/>
  <c r="AC177" i="3"/>
  <c r="AB177" i="3"/>
  <c r="AA177" i="3"/>
  <c r="Z177" i="3"/>
  <c r="Y177" i="3"/>
  <c r="X177" i="3"/>
  <c r="W177" i="3"/>
  <c r="V177" i="3"/>
  <c r="U177" i="3"/>
  <c r="T177" i="3"/>
  <c r="S177" i="3"/>
  <c r="R177" i="3"/>
  <c r="Q177" i="3"/>
  <c r="P177" i="3"/>
  <c r="O177" i="3"/>
  <c r="N177" i="3"/>
  <c r="M177" i="3"/>
  <c r="L177" i="3"/>
  <c r="K177" i="3"/>
  <c r="J177" i="3"/>
  <c r="I177" i="3"/>
  <c r="H177" i="3"/>
  <c r="G177" i="3"/>
  <c r="F177" i="3"/>
  <c r="E177" i="3"/>
  <c r="D177" i="3"/>
  <c r="C177" i="3"/>
  <c r="B177" i="3"/>
  <c r="A177" i="3"/>
  <c r="BP176" i="3"/>
  <c r="BO176" i="3"/>
  <c r="BN176" i="3"/>
  <c r="BM176" i="3"/>
  <c r="BL176" i="3"/>
  <c r="BK176" i="3"/>
  <c r="BJ176" i="3"/>
  <c r="BI176" i="3"/>
  <c r="BH176" i="3"/>
  <c r="BG176" i="3"/>
  <c r="BF176" i="3"/>
  <c r="BE176" i="3"/>
  <c r="BD176" i="3"/>
  <c r="BC176" i="3"/>
  <c r="BB176" i="3"/>
  <c r="BA176" i="3"/>
  <c r="AZ176" i="3"/>
  <c r="AY176" i="3"/>
  <c r="AX176" i="3"/>
  <c r="AW176" i="3"/>
  <c r="AV176" i="3"/>
  <c r="AU176" i="3"/>
  <c r="AT176" i="3"/>
  <c r="AS176" i="3"/>
  <c r="AR176" i="3"/>
  <c r="AQ176" i="3"/>
  <c r="AP176" i="3"/>
  <c r="AO176" i="3"/>
  <c r="AN176" i="3"/>
  <c r="AM176" i="3"/>
  <c r="AL176" i="3"/>
  <c r="AK176" i="3"/>
  <c r="AJ176" i="3"/>
  <c r="AI176" i="3"/>
  <c r="AH176" i="3"/>
  <c r="AG176" i="3"/>
  <c r="AF176" i="3"/>
  <c r="AE176" i="3"/>
  <c r="AD176" i="3"/>
  <c r="AC176" i="3"/>
  <c r="AB176" i="3"/>
  <c r="AA176" i="3"/>
  <c r="Z176" i="3"/>
  <c r="Y176" i="3"/>
  <c r="X176" i="3"/>
  <c r="W176" i="3"/>
  <c r="V176" i="3"/>
  <c r="U176" i="3"/>
  <c r="T176" i="3"/>
  <c r="S176" i="3"/>
  <c r="R176" i="3"/>
  <c r="Q176" i="3"/>
  <c r="P176" i="3"/>
  <c r="O176" i="3"/>
  <c r="N176" i="3"/>
  <c r="M176" i="3"/>
  <c r="L176" i="3"/>
  <c r="K176" i="3"/>
  <c r="J176" i="3"/>
  <c r="I176" i="3"/>
  <c r="H176" i="3"/>
  <c r="G176" i="3"/>
  <c r="F176" i="3"/>
  <c r="E176" i="3"/>
  <c r="D176" i="3"/>
  <c r="C176" i="3"/>
  <c r="B176" i="3"/>
  <c r="A176" i="3"/>
  <c r="BP175" i="3"/>
  <c r="BO175" i="3"/>
  <c r="BN175" i="3"/>
  <c r="BM175" i="3"/>
  <c r="BL175" i="3"/>
  <c r="BK175" i="3"/>
  <c r="BJ175" i="3"/>
  <c r="BI175" i="3"/>
  <c r="BH175" i="3"/>
  <c r="BG175" i="3"/>
  <c r="BF175" i="3"/>
  <c r="BE175" i="3"/>
  <c r="BD175" i="3"/>
  <c r="BC175" i="3"/>
  <c r="BB175" i="3"/>
  <c r="BA175" i="3"/>
  <c r="AZ175" i="3"/>
  <c r="AY175" i="3"/>
  <c r="AX175" i="3"/>
  <c r="AW175" i="3"/>
  <c r="AV175" i="3"/>
  <c r="AU175" i="3"/>
  <c r="AT175" i="3"/>
  <c r="AS175" i="3"/>
  <c r="AR175" i="3"/>
  <c r="AQ175" i="3"/>
  <c r="AP175" i="3"/>
  <c r="AO175" i="3"/>
  <c r="AN175" i="3"/>
  <c r="AM175" i="3"/>
  <c r="AL175" i="3"/>
  <c r="AK175" i="3"/>
  <c r="AJ175" i="3"/>
  <c r="AI175" i="3"/>
  <c r="AH175" i="3"/>
  <c r="AG175" i="3"/>
  <c r="AF175" i="3"/>
  <c r="AE175" i="3"/>
  <c r="AD175" i="3"/>
  <c r="AC175" i="3"/>
  <c r="AB175" i="3"/>
  <c r="AA175" i="3"/>
  <c r="Z175" i="3"/>
  <c r="Y175" i="3"/>
  <c r="X175" i="3"/>
  <c r="W175" i="3"/>
  <c r="V175" i="3"/>
  <c r="U175" i="3"/>
  <c r="T175" i="3"/>
  <c r="S175" i="3"/>
  <c r="R175" i="3"/>
  <c r="Q175" i="3"/>
  <c r="P175" i="3"/>
  <c r="O175" i="3"/>
  <c r="N175" i="3"/>
  <c r="M175" i="3"/>
  <c r="L175" i="3"/>
  <c r="K175" i="3"/>
  <c r="J175" i="3"/>
  <c r="I175" i="3"/>
  <c r="H175" i="3"/>
  <c r="G175" i="3"/>
  <c r="F175" i="3"/>
  <c r="E175" i="3"/>
  <c r="D175" i="3"/>
  <c r="C175" i="3"/>
  <c r="B175" i="3"/>
  <c r="A175" i="3"/>
  <c r="BP174" i="3"/>
  <c r="BO174" i="3"/>
  <c r="BN174" i="3"/>
  <c r="BM174" i="3"/>
  <c r="BL174" i="3"/>
  <c r="BK174" i="3"/>
  <c r="BJ174" i="3"/>
  <c r="BI174" i="3"/>
  <c r="BH174" i="3"/>
  <c r="BG174" i="3"/>
  <c r="BF174" i="3"/>
  <c r="BE174" i="3"/>
  <c r="BD174" i="3"/>
  <c r="BC174" i="3"/>
  <c r="BB174" i="3"/>
  <c r="BA174" i="3"/>
  <c r="AZ174" i="3"/>
  <c r="AY174" i="3"/>
  <c r="AX174" i="3"/>
  <c r="AW174" i="3"/>
  <c r="AV174" i="3"/>
  <c r="AU174" i="3"/>
  <c r="AT174" i="3"/>
  <c r="AS174" i="3"/>
  <c r="AR174" i="3"/>
  <c r="AQ174" i="3"/>
  <c r="AP174" i="3"/>
  <c r="AO174" i="3"/>
  <c r="AN174" i="3"/>
  <c r="AM174" i="3"/>
  <c r="AL174" i="3"/>
  <c r="AK174" i="3"/>
  <c r="AJ174" i="3"/>
  <c r="AI174" i="3"/>
  <c r="AH174" i="3"/>
  <c r="AG174" i="3"/>
  <c r="AF174" i="3"/>
  <c r="AE174" i="3"/>
  <c r="AD174" i="3"/>
  <c r="AC174" i="3"/>
  <c r="AB174" i="3"/>
  <c r="AA174" i="3"/>
  <c r="Z174" i="3"/>
  <c r="Y174" i="3"/>
  <c r="X174" i="3"/>
  <c r="W174" i="3"/>
  <c r="V174" i="3"/>
  <c r="U174" i="3"/>
  <c r="T174" i="3"/>
  <c r="S174" i="3"/>
  <c r="R174" i="3"/>
  <c r="Q174" i="3"/>
  <c r="P174" i="3"/>
  <c r="O174" i="3"/>
  <c r="N174" i="3"/>
  <c r="M174" i="3"/>
  <c r="L174" i="3"/>
  <c r="K174" i="3"/>
  <c r="J174" i="3"/>
  <c r="I174" i="3"/>
  <c r="H174" i="3"/>
  <c r="G174" i="3"/>
  <c r="F174" i="3"/>
  <c r="E174" i="3"/>
  <c r="D174" i="3"/>
  <c r="C174" i="3"/>
  <c r="B174" i="3"/>
  <c r="A174" i="3"/>
  <c r="BP173" i="3"/>
  <c r="BO173" i="3"/>
  <c r="BN173" i="3"/>
  <c r="BM173" i="3"/>
  <c r="BL173" i="3"/>
  <c r="BK173" i="3"/>
  <c r="BJ173" i="3"/>
  <c r="BI173" i="3"/>
  <c r="BH173" i="3"/>
  <c r="BG173" i="3"/>
  <c r="BF173" i="3"/>
  <c r="BE173" i="3"/>
  <c r="BD173" i="3"/>
  <c r="BC173" i="3"/>
  <c r="BB173" i="3"/>
  <c r="BA173" i="3"/>
  <c r="AZ173" i="3"/>
  <c r="AY173" i="3"/>
  <c r="AX173" i="3"/>
  <c r="AW173" i="3"/>
  <c r="AV173" i="3"/>
  <c r="AU173" i="3"/>
  <c r="AT173" i="3"/>
  <c r="AS173" i="3"/>
  <c r="AR173" i="3"/>
  <c r="AQ173" i="3"/>
  <c r="AP173" i="3"/>
  <c r="AO173" i="3"/>
  <c r="AN173" i="3"/>
  <c r="AM173" i="3"/>
  <c r="AL173" i="3"/>
  <c r="AK173" i="3"/>
  <c r="AJ173" i="3"/>
  <c r="AI173" i="3"/>
  <c r="AH173" i="3"/>
  <c r="AG173" i="3"/>
  <c r="AF173" i="3"/>
  <c r="AE173" i="3"/>
  <c r="AD173" i="3"/>
  <c r="AC173" i="3"/>
  <c r="AB173" i="3"/>
  <c r="AA173" i="3"/>
  <c r="Z173" i="3"/>
  <c r="Y173" i="3"/>
  <c r="X173" i="3"/>
  <c r="W173" i="3"/>
  <c r="V173" i="3"/>
  <c r="U173" i="3"/>
  <c r="T173" i="3"/>
  <c r="S173" i="3"/>
  <c r="R173" i="3"/>
  <c r="Q173" i="3"/>
  <c r="P173" i="3"/>
  <c r="O173" i="3"/>
  <c r="N173" i="3"/>
  <c r="M173" i="3"/>
  <c r="L173" i="3"/>
  <c r="K173" i="3"/>
  <c r="J173" i="3"/>
  <c r="I173" i="3"/>
  <c r="H173" i="3"/>
  <c r="G173" i="3"/>
  <c r="F173" i="3"/>
  <c r="E173" i="3"/>
  <c r="D173" i="3"/>
  <c r="C173" i="3"/>
  <c r="B173" i="3"/>
  <c r="A173" i="3"/>
  <c r="BP172" i="3"/>
  <c r="BO172" i="3"/>
  <c r="BN172" i="3"/>
  <c r="BM172" i="3"/>
  <c r="BL172" i="3"/>
  <c r="BK172" i="3"/>
  <c r="BJ172" i="3"/>
  <c r="BI172" i="3"/>
  <c r="BH172" i="3"/>
  <c r="BG172" i="3"/>
  <c r="BF172" i="3"/>
  <c r="BE172" i="3"/>
  <c r="BD172" i="3"/>
  <c r="BC172" i="3"/>
  <c r="BB172" i="3"/>
  <c r="BA172" i="3"/>
  <c r="AZ172" i="3"/>
  <c r="AY172" i="3"/>
  <c r="AX172" i="3"/>
  <c r="AW172" i="3"/>
  <c r="AV172" i="3"/>
  <c r="AU172" i="3"/>
  <c r="AT172" i="3"/>
  <c r="AS172" i="3"/>
  <c r="AR172" i="3"/>
  <c r="AQ172" i="3"/>
  <c r="AP172" i="3"/>
  <c r="AO172" i="3"/>
  <c r="AN172" i="3"/>
  <c r="AM172" i="3"/>
  <c r="AL172" i="3"/>
  <c r="AK172" i="3"/>
  <c r="AJ172" i="3"/>
  <c r="AI172" i="3"/>
  <c r="AH172" i="3"/>
  <c r="AG172" i="3"/>
  <c r="AF172" i="3"/>
  <c r="AE172" i="3"/>
  <c r="AD172" i="3"/>
  <c r="AC172" i="3"/>
  <c r="AB172" i="3"/>
  <c r="AA172" i="3"/>
  <c r="Z172" i="3"/>
  <c r="Y172" i="3"/>
  <c r="X172" i="3"/>
  <c r="W172" i="3"/>
  <c r="V172" i="3"/>
  <c r="U172" i="3"/>
  <c r="T172" i="3"/>
  <c r="S172" i="3"/>
  <c r="R172" i="3"/>
  <c r="Q172" i="3"/>
  <c r="P172" i="3"/>
  <c r="O172" i="3"/>
  <c r="N172" i="3"/>
  <c r="M172" i="3"/>
  <c r="L172" i="3"/>
  <c r="K172" i="3"/>
  <c r="J172" i="3"/>
  <c r="I172" i="3"/>
  <c r="H172" i="3"/>
  <c r="G172" i="3"/>
  <c r="F172" i="3"/>
  <c r="E172" i="3"/>
  <c r="D172" i="3"/>
  <c r="C172" i="3"/>
  <c r="B172" i="3"/>
  <c r="A172" i="3"/>
  <c r="BP171" i="3"/>
  <c r="BO171" i="3"/>
  <c r="BN171" i="3"/>
  <c r="BM171" i="3"/>
  <c r="BL171" i="3"/>
  <c r="BK171" i="3"/>
  <c r="BJ171" i="3"/>
  <c r="BI171" i="3"/>
  <c r="BH171" i="3"/>
  <c r="BG171" i="3"/>
  <c r="BF171" i="3"/>
  <c r="BE171" i="3"/>
  <c r="BD171" i="3"/>
  <c r="BC171" i="3"/>
  <c r="BB171" i="3"/>
  <c r="BA171" i="3"/>
  <c r="AZ171" i="3"/>
  <c r="AY171" i="3"/>
  <c r="AX171" i="3"/>
  <c r="AW171" i="3"/>
  <c r="AV171" i="3"/>
  <c r="AU171" i="3"/>
  <c r="AT171" i="3"/>
  <c r="AS171" i="3"/>
  <c r="AR171" i="3"/>
  <c r="AQ171" i="3"/>
  <c r="AP171" i="3"/>
  <c r="AO171" i="3"/>
  <c r="AN171" i="3"/>
  <c r="AM171" i="3"/>
  <c r="AL171" i="3"/>
  <c r="AK171" i="3"/>
  <c r="AJ171" i="3"/>
  <c r="AI171" i="3"/>
  <c r="AH171" i="3"/>
  <c r="AG171" i="3"/>
  <c r="AF171" i="3"/>
  <c r="AE171" i="3"/>
  <c r="AD171" i="3"/>
  <c r="AC171" i="3"/>
  <c r="AB171" i="3"/>
  <c r="AA171" i="3"/>
  <c r="Z171" i="3"/>
  <c r="Y171" i="3"/>
  <c r="X171" i="3"/>
  <c r="W171" i="3"/>
  <c r="V171" i="3"/>
  <c r="U171" i="3"/>
  <c r="T171" i="3"/>
  <c r="S171" i="3"/>
  <c r="R171" i="3"/>
  <c r="Q171" i="3"/>
  <c r="P171" i="3"/>
  <c r="O171" i="3"/>
  <c r="N171" i="3"/>
  <c r="M171" i="3"/>
  <c r="L171" i="3"/>
  <c r="K171" i="3"/>
  <c r="J171" i="3"/>
  <c r="I171" i="3"/>
  <c r="H171" i="3"/>
  <c r="G171" i="3"/>
  <c r="F171" i="3"/>
  <c r="E171" i="3"/>
  <c r="D171" i="3"/>
  <c r="C171" i="3"/>
  <c r="B171" i="3"/>
  <c r="A171" i="3"/>
  <c r="BP170" i="3"/>
  <c r="BO170" i="3"/>
  <c r="BN170" i="3"/>
  <c r="BM170" i="3"/>
  <c r="BL170" i="3"/>
  <c r="BK170" i="3"/>
  <c r="BJ170" i="3"/>
  <c r="BI170" i="3"/>
  <c r="BH170" i="3"/>
  <c r="BG170" i="3"/>
  <c r="BF170" i="3"/>
  <c r="BE170" i="3"/>
  <c r="BD170" i="3"/>
  <c r="BC170" i="3"/>
  <c r="BB170" i="3"/>
  <c r="BA170" i="3"/>
  <c r="AZ170" i="3"/>
  <c r="AY170" i="3"/>
  <c r="AX170" i="3"/>
  <c r="AW170" i="3"/>
  <c r="AV170" i="3"/>
  <c r="AU170" i="3"/>
  <c r="AT170" i="3"/>
  <c r="AS170" i="3"/>
  <c r="AR170" i="3"/>
  <c r="AQ170" i="3"/>
  <c r="AP170" i="3"/>
  <c r="AO170" i="3"/>
  <c r="AN170" i="3"/>
  <c r="AM170" i="3"/>
  <c r="AL170" i="3"/>
  <c r="AK170" i="3"/>
  <c r="AJ170" i="3"/>
  <c r="AI170" i="3"/>
  <c r="AH170" i="3"/>
  <c r="AG170" i="3"/>
  <c r="AF170" i="3"/>
  <c r="AE170" i="3"/>
  <c r="AD170" i="3"/>
  <c r="AC170" i="3"/>
  <c r="AB170" i="3"/>
  <c r="AA170" i="3"/>
  <c r="Z170" i="3"/>
  <c r="Y170" i="3"/>
  <c r="X170" i="3"/>
  <c r="W170" i="3"/>
  <c r="V170" i="3"/>
  <c r="U170" i="3"/>
  <c r="T170" i="3"/>
  <c r="S170" i="3"/>
  <c r="R170" i="3"/>
  <c r="Q170" i="3"/>
  <c r="P170" i="3"/>
  <c r="O170" i="3"/>
  <c r="N170" i="3"/>
  <c r="M170" i="3"/>
  <c r="L170" i="3"/>
  <c r="K170" i="3"/>
  <c r="J170" i="3"/>
  <c r="I170" i="3"/>
  <c r="H170" i="3"/>
  <c r="G170" i="3"/>
  <c r="F170" i="3"/>
  <c r="E170" i="3"/>
  <c r="D170" i="3"/>
  <c r="C170" i="3"/>
  <c r="B170" i="3"/>
  <c r="A170" i="3"/>
  <c r="BP169" i="3"/>
  <c r="BO169" i="3"/>
  <c r="BN169" i="3"/>
  <c r="BM169" i="3"/>
  <c r="BL169" i="3"/>
  <c r="BK169" i="3"/>
  <c r="BJ169" i="3"/>
  <c r="BI169" i="3"/>
  <c r="BH169" i="3"/>
  <c r="BG169" i="3"/>
  <c r="BF169" i="3"/>
  <c r="BE169" i="3"/>
  <c r="BD169" i="3"/>
  <c r="BC169" i="3"/>
  <c r="BB169" i="3"/>
  <c r="BA169" i="3"/>
  <c r="AZ169" i="3"/>
  <c r="AY169" i="3"/>
  <c r="AX169" i="3"/>
  <c r="AW169" i="3"/>
  <c r="AV169" i="3"/>
  <c r="AU169" i="3"/>
  <c r="AT169" i="3"/>
  <c r="AS169" i="3"/>
  <c r="AR169" i="3"/>
  <c r="AQ169" i="3"/>
  <c r="AP169" i="3"/>
  <c r="AO169" i="3"/>
  <c r="AN169" i="3"/>
  <c r="AM169" i="3"/>
  <c r="AL169" i="3"/>
  <c r="AK169" i="3"/>
  <c r="AJ169" i="3"/>
  <c r="AI169" i="3"/>
  <c r="AH169" i="3"/>
  <c r="AG169" i="3"/>
  <c r="AF169" i="3"/>
  <c r="AE169" i="3"/>
  <c r="AD169" i="3"/>
  <c r="AC169" i="3"/>
  <c r="AB169" i="3"/>
  <c r="AA169" i="3"/>
  <c r="Z169" i="3"/>
  <c r="Y169" i="3"/>
  <c r="X169" i="3"/>
  <c r="W169" i="3"/>
  <c r="V169" i="3"/>
  <c r="U169" i="3"/>
  <c r="T169" i="3"/>
  <c r="S169" i="3"/>
  <c r="R169" i="3"/>
  <c r="Q169" i="3"/>
  <c r="P169" i="3"/>
  <c r="O169" i="3"/>
  <c r="N169" i="3"/>
  <c r="M169" i="3"/>
  <c r="L169" i="3"/>
  <c r="K169" i="3"/>
  <c r="J169" i="3"/>
  <c r="I169" i="3"/>
  <c r="H169" i="3"/>
  <c r="G169" i="3"/>
  <c r="F169" i="3"/>
  <c r="E169" i="3"/>
  <c r="D169" i="3"/>
  <c r="C169" i="3"/>
  <c r="B169" i="3"/>
  <c r="A169" i="3"/>
  <c r="BP168" i="3"/>
  <c r="BO168" i="3"/>
  <c r="BN168" i="3"/>
  <c r="BM168" i="3"/>
  <c r="BL168" i="3"/>
  <c r="BK168" i="3"/>
  <c r="BJ168" i="3"/>
  <c r="BI168" i="3"/>
  <c r="BH168" i="3"/>
  <c r="BG168" i="3"/>
  <c r="BF168" i="3"/>
  <c r="BE168" i="3"/>
  <c r="BD168" i="3"/>
  <c r="BC168" i="3"/>
  <c r="BB168" i="3"/>
  <c r="BA168" i="3"/>
  <c r="AZ168" i="3"/>
  <c r="AY168" i="3"/>
  <c r="AX168" i="3"/>
  <c r="AW168" i="3"/>
  <c r="AV168" i="3"/>
  <c r="AU168" i="3"/>
  <c r="AT168" i="3"/>
  <c r="AS168" i="3"/>
  <c r="AR168" i="3"/>
  <c r="AQ168" i="3"/>
  <c r="AP168" i="3"/>
  <c r="AO168" i="3"/>
  <c r="AN168" i="3"/>
  <c r="AM168" i="3"/>
  <c r="AL168" i="3"/>
  <c r="AK168" i="3"/>
  <c r="AJ168" i="3"/>
  <c r="AI168" i="3"/>
  <c r="AH168" i="3"/>
  <c r="AG168" i="3"/>
  <c r="AF168" i="3"/>
  <c r="AE168" i="3"/>
  <c r="AD168" i="3"/>
  <c r="AC168" i="3"/>
  <c r="AB168" i="3"/>
  <c r="AA168" i="3"/>
  <c r="Z168" i="3"/>
  <c r="Y168" i="3"/>
  <c r="X168" i="3"/>
  <c r="W168" i="3"/>
  <c r="V168" i="3"/>
  <c r="U168" i="3"/>
  <c r="T168" i="3"/>
  <c r="S168" i="3"/>
  <c r="R168" i="3"/>
  <c r="Q168" i="3"/>
  <c r="P168" i="3"/>
  <c r="O168" i="3"/>
  <c r="N168" i="3"/>
  <c r="M168" i="3"/>
  <c r="L168" i="3"/>
  <c r="K168" i="3"/>
  <c r="J168" i="3"/>
  <c r="I168" i="3"/>
  <c r="H168" i="3"/>
  <c r="G168" i="3"/>
  <c r="F168" i="3"/>
  <c r="E168" i="3"/>
  <c r="D168" i="3"/>
  <c r="C168" i="3"/>
  <c r="B168" i="3"/>
  <c r="A168" i="3"/>
  <c r="BP167" i="3"/>
  <c r="BO167" i="3"/>
  <c r="BN167" i="3"/>
  <c r="BM167" i="3"/>
  <c r="BL167" i="3"/>
  <c r="BK167" i="3"/>
  <c r="BJ167" i="3"/>
  <c r="BI167" i="3"/>
  <c r="BH167" i="3"/>
  <c r="BG167" i="3"/>
  <c r="BF167" i="3"/>
  <c r="BE167" i="3"/>
  <c r="BD167" i="3"/>
  <c r="BC167" i="3"/>
  <c r="BB167" i="3"/>
  <c r="BA167" i="3"/>
  <c r="AZ167" i="3"/>
  <c r="AY167" i="3"/>
  <c r="AX167" i="3"/>
  <c r="AW167" i="3"/>
  <c r="AV167" i="3"/>
  <c r="AU167" i="3"/>
  <c r="AT167" i="3"/>
  <c r="AS167" i="3"/>
  <c r="AR167" i="3"/>
  <c r="AQ167" i="3"/>
  <c r="AP167" i="3"/>
  <c r="AO167" i="3"/>
  <c r="AN167" i="3"/>
  <c r="AM167" i="3"/>
  <c r="AL167" i="3"/>
  <c r="AK167" i="3"/>
  <c r="AJ167" i="3"/>
  <c r="AI167" i="3"/>
  <c r="AH167" i="3"/>
  <c r="AG167" i="3"/>
  <c r="AF167" i="3"/>
  <c r="AE167" i="3"/>
  <c r="AD167" i="3"/>
  <c r="AC167" i="3"/>
  <c r="AB167" i="3"/>
  <c r="AA167" i="3"/>
  <c r="Z167" i="3"/>
  <c r="Y167" i="3"/>
  <c r="X167" i="3"/>
  <c r="W167" i="3"/>
  <c r="V167" i="3"/>
  <c r="U167" i="3"/>
  <c r="T167" i="3"/>
  <c r="S167" i="3"/>
  <c r="R167" i="3"/>
  <c r="Q167" i="3"/>
  <c r="P167" i="3"/>
  <c r="O167" i="3"/>
  <c r="N167" i="3"/>
  <c r="M167" i="3"/>
  <c r="L167" i="3"/>
  <c r="K167" i="3"/>
  <c r="J167" i="3"/>
  <c r="I167" i="3"/>
  <c r="H167" i="3"/>
  <c r="G167" i="3"/>
  <c r="F167" i="3"/>
  <c r="E167" i="3"/>
  <c r="D167" i="3"/>
  <c r="C167" i="3"/>
  <c r="B167" i="3"/>
  <c r="A167" i="3"/>
  <c r="BP166" i="3"/>
  <c r="BO166" i="3"/>
  <c r="BN166" i="3"/>
  <c r="BM166" i="3"/>
  <c r="BL166" i="3"/>
  <c r="BK166" i="3"/>
  <c r="BJ166" i="3"/>
  <c r="BI166" i="3"/>
  <c r="BH166" i="3"/>
  <c r="BG166" i="3"/>
  <c r="BF166" i="3"/>
  <c r="BE166" i="3"/>
  <c r="BD166" i="3"/>
  <c r="BC166" i="3"/>
  <c r="BB166" i="3"/>
  <c r="BA166" i="3"/>
  <c r="AZ166" i="3"/>
  <c r="AY166" i="3"/>
  <c r="AX166" i="3"/>
  <c r="AW166" i="3"/>
  <c r="AV166" i="3"/>
  <c r="AU166" i="3"/>
  <c r="AT166" i="3"/>
  <c r="AS166" i="3"/>
  <c r="AR166" i="3"/>
  <c r="AQ166" i="3"/>
  <c r="AP166" i="3"/>
  <c r="AO166" i="3"/>
  <c r="AN166" i="3"/>
  <c r="AM166" i="3"/>
  <c r="AL166" i="3"/>
  <c r="AK166" i="3"/>
  <c r="AJ166" i="3"/>
  <c r="AI166" i="3"/>
  <c r="AH166" i="3"/>
  <c r="AG166" i="3"/>
  <c r="AF166" i="3"/>
  <c r="AE166" i="3"/>
  <c r="AD166" i="3"/>
  <c r="AC166" i="3"/>
  <c r="AB166" i="3"/>
  <c r="AA166" i="3"/>
  <c r="Z166" i="3"/>
  <c r="Y166" i="3"/>
  <c r="X166" i="3"/>
  <c r="W166" i="3"/>
  <c r="V166" i="3"/>
  <c r="U166" i="3"/>
  <c r="T166" i="3"/>
  <c r="S166" i="3"/>
  <c r="R166" i="3"/>
  <c r="Q166" i="3"/>
  <c r="P166" i="3"/>
  <c r="O166" i="3"/>
  <c r="N166" i="3"/>
  <c r="M166" i="3"/>
  <c r="L166" i="3"/>
  <c r="K166" i="3"/>
  <c r="J166" i="3"/>
  <c r="I166" i="3"/>
  <c r="H166" i="3"/>
  <c r="G166" i="3"/>
  <c r="F166" i="3"/>
  <c r="E166" i="3"/>
  <c r="D166" i="3"/>
  <c r="C166" i="3"/>
  <c r="B166" i="3"/>
  <c r="A166" i="3"/>
  <c r="BP165" i="3"/>
  <c r="BO165" i="3"/>
  <c r="BN165" i="3"/>
  <c r="BM165" i="3"/>
  <c r="BL165" i="3"/>
  <c r="BK165" i="3"/>
  <c r="BJ165" i="3"/>
  <c r="BI165" i="3"/>
  <c r="BH165" i="3"/>
  <c r="BG165" i="3"/>
  <c r="BF165" i="3"/>
  <c r="BE165" i="3"/>
  <c r="BD165" i="3"/>
  <c r="BC165" i="3"/>
  <c r="BB165" i="3"/>
  <c r="BA165" i="3"/>
  <c r="AZ165" i="3"/>
  <c r="AY165" i="3"/>
  <c r="AX165" i="3"/>
  <c r="AW165" i="3"/>
  <c r="AV165" i="3"/>
  <c r="AU165" i="3"/>
  <c r="AT165" i="3"/>
  <c r="AS165" i="3"/>
  <c r="AR165" i="3"/>
  <c r="AQ165" i="3"/>
  <c r="AP165" i="3"/>
  <c r="AO165" i="3"/>
  <c r="AN165" i="3"/>
  <c r="AM165" i="3"/>
  <c r="AL165" i="3"/>
  <c r="AK165" i="3"/>
  <c r="AJ165" i="3"/>
  <c r="AI165" i="3"/>
  <c r="AH165" i="3"/>
  <c r="AG165" i="3"/>
  <c r="AF165" i="3"/>
  <c r="AE165" i="3"/>
  <c r="AD165" i="3"/>
  <c r="AC165" i="3"/>
  <c r="AB165" i="3"/>
  <c r="AA165" i="3"/>
  <c r="Z165" i="3"/>
  <c r="Y165" i="3"/>
  <c r="X165" i="3"/>
  <c r="W165" i="3"/>
  <c r="V165" i="3"/>
  <c r="U165" i="3"/>
  <c r="T165" i="3"/>
  <c r="S165" i="3"/>
  <c r="R165" i="3"/>
  <c r="Q165" i="3"/>
  <c r="P165" i="3"/>
  <c r="O165" i="3"/>
  <c r="N165" i="3"/>
  <c r="M165" i="3"/>
  <c r="L165" i="3"/>
  <c r="K165" i="3"/>
  <c r="J165" i="3"/>
  <c r="I165" i="3"/>
  <c r="H165" i="3"/>
  <c r="G165" i="3"/>
  <c r="F165" i="3"/>
  <c r="E165" i="3"/>
  <c r="D165" i="3"/>
  <c r="B165" i="3"/>
  <c r="A165" i="3"/>
  <c r="BP164" i="3"/>
  <c r="BO164" i="3"/>
  <c r="BN164" i="3"/>
  <c r="BM164" i="3"/>
  <c r="BL164" i="3"/>
  <c r="BK164" i="3"/>
  <c r="BJ164" i="3"/>
  <c r="BI164" i="3"/>
  <c r="BH164" i="3"/>
  <c r="BG164" i="3"/>
  <c r="BF164" i="3"/>
  <c r="BE164" i="3"/>
  <c r="BD164" i="3"/>
  <c r="BC164" i="3"/>
  <c r="BB164" i="3"/>
  <c r="BA164" i="3"/>
  <c r="AZ164" i="3"/>
  <c r="AY164" i="3"/>
  <c r="AX164" i="3"/>
  <c r="AW164" i="3"/>
  <c r="AV164" i="3"/>
  <c r="AU164" i="3"/>
  <c r="AT164" i="3"/>
  <c r="AS164" i="3"/>
  <c r="AR164" i="3"/>
  <c r="AQ164" i="3"/>
  <c r="AP164" i="3"/>
  <c r="AO164" i="3"/>
  <c r="AN164" i="3"/>
  <c r="AM164" i="3"/>
  <c r="AL164" i="3"/>
  <c r="AK164" i="3"/>
  <c r="AJ164" i="3"/>
  <c r="AI164" i="3"/>
  <c r="AH164" i="3"/>
  <c r="AG164" i="3"/>
  <c r="AF164" i="3"/>
  <c r="AE164" i="3"/>
  <c r="AD164" i="3"/>
  <c r="AC164" i="3"/>
  <c r="AB164" i="3"/>
  <c r="AA164" i="3"/>
  <c r="Z164" i="3"/>
  <c r="Y164" i="3"/>
  <c r="X164" i="3"/>
  <c r="W164" i="3"/>
  <c r="V164" i="3"/>
  <c r="U164" i="3"/>
  <c r="T164" i="3"/>
  <c r="S164" i="3"/>
  <c r="R164" i="3"/>
  <c r="Q164" i="3"/>
  <c r="P164" i="3"/>
  <c r="O164" i="3"/>
  <c r="N164" i="3"/>
  <c r="M164" i="3"/>
  <c r="L164" i="3"/>
  <c r="K164" i="3"/>
  <c r="J164" i="3"/>
  <c r="I164" i="3"/>
  <c r="H164" i="3"/>
  <c r="G164" i="3"/>
  <c r="F164" i="3"/>
  <c r="E164" i="3"/>
  <c r="D164" i="3"/>
  <c r="C164" i="3"/>
  <c r="B164" i="3"/>
  <c r="A164" i="3"/>
  <c r="BP163" i="3"/>
  <c r="BO163" i="3"/>
  <c r="BN163" i="3"/>
  <c r="BM163" i="3"/>
  <c r="BL163" i="3"/>
  <c r="BK163" i="3"/>
  <c r="BJ163" i="3"/>
  <c r="BI163" i="3"/>
  <c r="BH163" i="3"/>
  <c r="BG163" i="3"/>
  <c r="BF163" i="3"/>
  <c r="BE163" i="3"/>
  <c r="BD163" i="3"/>
  <c r="BC163" i="3"/>
  <c r="BB163" i="3"/>
  <c r="BA163" i="3"/>
  <c r="AZ163" i="3"/>
  <c r="AY163" i="3"/>
  <c r="AX163" i="3"/>
  <c r="AW163" i="3"/>
  <c r="AV163" i="3"/>
  <c r="AU163" i="3"/>
  <c r="AT163" i="3"/>
  <c r="AS163" i="3"/>
  <c r="AR163" i="3"/>
  <c r="AQ163" i="3"/>
  <c r="AP163" i="3"/>
  <c r="AO163" i="3"/>
  <c r="AN163" i="3"/>
  <c r="AM163" i="3"/>
  <c r="AL163" i="3"/>
  <c r="AK163" i="3"/>
  <c r="AJ163" i="3"/>
  <c r="AI163" i="3"/>
  <c r="AH163" i="3"/>
  <c r="AG163" i="3"/>
  <c r="AF163" i="3"/>
  <c r="AE163" i="3"/>
  <c r="AD163" i="3"/>
  <c r="AC163" i="3"/>
  <c r="AB163" i="3"/>
  <c r="AA163" i="3"/>
  <c r="Z163" i="3"/>
  <c r="Y163" i="3"/>
  <c r="X163" i="3"/>
  <c r="W163" i="3"/>
  <c r="V163" i="3"/>
  <c r="U163" i="3"/>
  <c r="T163" i="3"/>
  <c r="S163" i="3"/>
  <c r="R163" i="3"/>
  <c r="Q163" i="3"/>
  <c r="P163" i="3"/>
  <c r="O163" i="3"/>
  <c r="N163" i="3"/>
  <c r="M163" i="3"/>
  <c r="L163" i="3"/>
  <c r="K163" i="3"/>
  <c r="J163" i="3"/>
  <c r="I163" i="3"/>
  <c r="H163" i="3"/>
  <c r="G163" i="3"/>
  <c r="F163" i="3"/>
  <c r="E163" i="3"/>
  <c r="D163" i="3"/>
  <c r="B163" i="3"/>
  <c r="A163" i="3"/>
  <c r="BP162" i="3"/>
  <c r="BO162" i="3"/>
  <c r="BN162" i="3"/>
  <c r="BM162" i="3"/>
  <c r="BL162" i="3"/>
  <c r="BK162" i="3"/>
  <c r="BJ162" i="3"/>
  <c r="BI162" i="3"/>
  <c r="BH162" i="3"/>
  <c r="BG162" i="3"/>
  <c r="BF162" i="3"/>
  <c r="BE162" i="3"/>
  <c r="BD162" i="3"/>
  <c r="BC162" i="3"/>
  <c r="BB162" i="3"/>
  <c r="BA162" i="3"/>
  <c r="AZ162" i="3"/>
  <c r="AY162" i="3"/>
  <c r="AX162" i="3"/>
  <c r="AW162" i="3"/>
  <c r="AV162" i="3"/>
  <c r="AU162" i="3"/>
  <c r="AT162" i="3"/>
  <c r="AS162" i="3"/>
  <c r="AR162" i="3"/>
  <c r="AQ162" i="3"/>
  <c r="AP162" i="3"/>
  <c r="AO162" i="3"/>
  <c r="AN162" i="3"/>
  <c r="AM162" i="3"/>
  <c r="AL162" i="3"/>
  <c r="AK162" i="3"/>
  <c r="AJ162" i="3"/>
  <c r="AI162" i="3"/>
  <c r="AH162" i="3"/>
  <c r="AG162" i="3"/>
  <c r="AF162" i="3"/>
  <c r="AE162" i="3"/>
  <c r="AD162" i="3"/>
  <c r="AC162" i="3"/>
  <c r="AB162" i="3"/>
  <c r="AA162" i="3"/>
  <c r="Z162" i="3"/>
  <c r="Y162" i="3"/>
  <c r="X162" i="3"/>
  <c r="W162" i="3"/>
  <c r="V162" i="3"/>
  <c r="U162" i="3"/>
  <c r="T162" i="3"/>
  <c r="S162" i="3"/>
  <c r="R162" i="3"/>
  <c r="Q162" i="3"/>
  <c r="P162" i="3"/>
  <c r="O162" i="3"/>
  <c r="N162" i="3"/>
  <c r="M162" i="3"/>
  <c r="L162" i="3"/>
  <c r="K162" i="3"/>
  <c r="J162" i="3"/>
  <c r="I162" i="3"/>
  <c r="H162" i="3"/>
  <c r="G162" i="3"/>
  <c r="F162" i="3"/>
  <c r="E162" i="3"/>
  <c r="D162" i="3"/>
  <c r="C162" i="3"/>
  <c r="B162" i="3"/>
  <c r="A162" i="3"/>
  <c r="BP161" i="3"/>
  <c r="BO161" i="3"/>
  <c r="BN161" i="3"/>
  <c r="BM161" i="3"/>
  <c r="BL161" i="3"/>
  <c r="BK161" i="3"/>
  <c r="BJ161" i="3"/>
  <c r="BI161" i="3"/>
  <c r="BH161" i="3"/>
  <c r="BG161" i="3"/>
  <c r="BF161" i="3"/>
  <c r="BE161" i="3"/>
  <c r="BD161" i="3"/>
  <c r="BC161" i="3"/>
  <c r="BB161" i="3"/>
  <c r="BA161" i="3"/>
  <c r="AZ161" i="3"/>
  <c r="AY161" i="3"/>
  <c r="AX161" i="3"/>
  <c r="AW161" i="3"/>
  <c r="AV161" i="3"/>
  <c r="AU161" i="3"/>
  <c r="AT161" i="3"/>
  <c r="AS161" i="3"/>
  <c r="AR161" i="3"/>
  <c r="AQ161" i="3"/>
  <c r="AP161" i="3"/>
  <c r="AO161" i="3"/>
  <c r="AN161" i="3"/>
  <c r="AM161" i="3"/>
  <c r="AL161" i="3"/>
  <c r="AK161" i="3"/>
  <c r="AJ161" i="3"/>
  <c r="AI161" i="3"/>
  <c r="AH161" i="3"/>
  <c r="AG161" i="3"/>
  <c r="AF161" i="3"/>
  <c r="AE161" i="3"/>
  <c r="AD161" i="3"/>
  <c r="AC161" i="3"/>
  <c r="AB161" i="3"/>
  <c r="AA161" i="3"/>
  <c r="Z161" i="3"/>
  <c r="Y161" i="3"/>
  <c r="X161" i="3"/>
  <c r="W161" i="3"/>
  <c r="V161" i="3"/>
  <c r="U161" i="3"/>
  <c r="T161" i="3"/>
  <c r="S161" i="3"/>
  <c r="R161" i="3"/>
  <c r="Q161" i="3"/>
  <c r="P161" i="3"/>
  <c r="O161" i="3"/>
  <c r="N161" i="3"/>
  <c r="M161" i="3"/>
  <c r="L161" i="3"/>
  <c r="K161" i="3"/>
  <c r="J161" i="3"/>
  <c r="I161" i="3"/>
  <c r="H161" i="3"/>
  <c r="G161" i="3"/>
  <c r="F161" i="3"/>
  <c r="E161" i="3"/>
  <c r="D161" i="3"/>
  <c r="C161" i="3"/>
  <c r="B161" i="3"/>
  <c r="A161" i="3"/>
  <c r="BP160" i="3"/>
  <c r="BO160" i="3"/>
  <c r="BN160" i="3"/>
  <c r="BM160" i="3"/>
  <c r="BL160" i="3"/>
  <c r="BK160" i="3"/>
  <c r="BJ160" i="3"/>
  <c r="BI160" i="3"/>
  <c r="BH160" i="3"/>
  <c r="BG160" i="3"/>
  <c r="BF160" i="3"/>
  <c r="BE160" i="3"/>
  <c r="BD160" i="3"/>
  <c r="BC160" i="3"/>
  <c r="BB160" i="3"/>
  <c r="BA160" i="3"/>
  <c r="AZ160" i="3"/>
  <c r="AY160" i="3"/>
  <c r="AX160" i="3"/>
  <c r="AW160" i="3"/>
  <c r="AV160" i="3"/>
  <c r="AU160" i="3"/>
  <c r="AT160" i="3"/>
  <c r="AS160" i="3"/>
  <c r="AR160" i="3"/>
  <c r="AQ160" i="3"/>
  <c r="AP160" i="3"/>
  <c r="AO160" i="3"/>
  <c r="AN160" i="3"/>
  <c r="AM160" i="3"/>
  <c r="AL160" i="3"/>
  <c r="AK160" i="3"/>
  <c r="AJ160" i="3"/>
  <c r="AI160" i="3"/>
  <c r="AH160" i="3"/>
  <c r="AG160" i="3"/>
  <c r="AF160" i="3"/>
  <c r="AE160" i="3"/>
  <c r="AD160" i="3"/>
  <c r="AC160" i="3"/>
  <c r="AB160" i="3"/>
  <c r="AA160" i="3"/>
  <c r="Z160" i="3"/>
  <c r="Y160" i="3"/>
  <c r="X160" i="3"/>
  <c r="W160" i="3"/>
  <c r="V160" i="3"/>
  <c r="U160" i="3"/>
  <c r="T160" i="3"/>
  <c r="S160" i="3"/>
  <c r="R160" i="3"/>
  <c r="Q160" i="3"/>
  <c r="P160" i="3"/>
  <c r="O160" i="3"/>
  <c r="N160" i="3"/>
  <c r="M160" i="3"/>
  <c r="L160" i="3"/>
  <c r="K160" i="3"/>
  <c r="J160" i="3"/>
  <c r="I160" i="3"/>
  <c r="H160" i="3"/>
  <c r="G160" i="3"/>
  <c r="F160" i="3"/>
  <c r="E160" i="3"/>
  <c r="D160" i="3"/>
  <c r="C160" i="3"/>
  <c r="B160" i="3"/>
  <c r="A160" i="3"/>
  <c r="BP159" i="3"/>
  <c r="BO159" i="3"/>
  <c r="BN159" i="3"/>
  <c r="BM159" i="3"/>
  <c r="BL159" i="3"/>
  <c r="BK159" i="3"/>
  <c r="BJ159" i="3"/>
  <c r="BI159" i="3"/>
  <c r="BH159" i="3"/>
  <c r="BG159" i="3"/>
  <c r="BF159" i="3"/>
  <c r="BE159" i="3"/>
  <c r="BD159" i="3"/>
  <c r="BC159" i="3"/>
  <c r="BB159" i="3"/>
  <c r="BA159" i="3"/>
  <c r="AZ159" i="3"/>
  <c r="AY159" i="3"/>
  <c r="AX159" i="3"/>
  <c r="AW159" i="3"/>
  <c r="AV159" i="3"/>
  <c r="AU159" i="3"/>
  <c r="AT159" i="3"/>
  <c r="AS159" i="3"/>
  <c r="AR159" i="3"/>
  <c r="AQ159" i="3"/>
  <c r="AP159" i="3"/>
  <c r="AO159" i="3"/>
  <c r="AN159" i="3"/>
  <c r="AM159" i="3"/>
  <c r="AL159" i="3"/>
  <c r="AK159" i="3"/>
  <c r="AJ159" i="3"/>
  <c r="AI159" i="3"/>
  <c r="AH159" i="3"/>
  <c r="AG159" i="3"/>
  <c r="AF159" i="3"/>
  <c r="AE159" i="3"/>
  <c r="AD159" i="3"/>
  <c r="AC159" i="3"/>
  <c r="AB159" i="3"/>
  <c r="AA159" i="3"/>
  <c r="Z159" i="3"/>
  <c r="Y159" i="3"/>
  <c r="X159" i="3"/>
  <c r="W159" i="3"/>
  <c r="V159" i="3"/>
  <c r="U159" i="3"/>
  <c r="T159" i="3"/>
  <c r="S159" i="3"/>
  <c r="R159" i="3"/>
  <c r="Q159" i="3"/>
  <c r="P159" i="3"/>
  <c r="O159" i="3"/>
  <c r="N159" i="3"/>
  <c r="M159" i="3"/>
  <c r="L159" i="3"/>
  <c r="K159" i="3"/>
  <c r="J159" i="3"/>
  <c r="I159" i="3"/>
  <c r="H159" i="3"/>
  <c r="G159" i="3"/>
  <c r="F159" i="3"/>
  <c r="E159" i="3"/>
  <c r="D159" i="3"/>
  <c r="B159" i="3"/>
  <c r="A159" i="3"/>
  <c r="BP158" i="3"/>
  <c r="BO158" i="3"/>
  <c r="BN158" i="3"/>
  <c r="BM158" i="3"/>
  <c r="BL158" i="3"/>
  <c r="BK158" i="3"/>
  <c r="BJ158" i="3"/>
  <c r="BI158" i="3"/>
  <c r="BH158" i="3"/>
  <c r="BG158" i="3"/>
  <c r="BF158" i="3"/>
  <c r="BE158" i="3"/>
  <c r="BD158" i="3"/>
  <c r="BC158" i="3"/>
  <c r="BB158" i="3"/>
  <c r="BA158" i="3"/>
  <c r="AZ158" i="3"/>
  <c r="AY158" i="3"/>
  <c r="AX158" i="3"/>
  <c r="AW158" i="3"/>
  <c r="AV158" i="3"/>
  <c r="AU158" i="3"/>
  <c r="AT158" i="3"/>
  <c r="AS158" i="3"/>
  <c r="AR158" i="3"/>
  <c r="AQ158" i="3"/>
  <c r="AP158" i="3"/>
  <c r="AO158" i="3"/>
  <c r="AN158" i="3"/>
  <c r="AM158" i="3"/>
  <c r="AL158" i="3"/>
  <c r="AK158" i="3"/>
  <c r="AJ158" i="3"/>
  <c r="AI158" i="3"/>
  <c r="AH158" i="3"/>
  <c r="AG158" i="3"/>
  <c r="AF158" i="3"/>
  <c r="AE158" i="3"/>
  <c r="AD158" i="3"/>
  <c r="AC158" i="3"/>
  <c r="AB158" i="3"/>
  <c r="AA158" i="3"/>
  <c r="Z158" i="3"/>
  <c r="Y158" i="3"/>
  <c r="X158" i="3"/>
  <c r="W158" i="3"/>
  <c r="V158" i="3"/>
  <c r="U158" i="3"/>
  <c r="T158" i="3"/>
  <c r="S158" i="3"/>
  <c r="R158" i="3"/>
  <c r="Q158" i="3"/>
  <c r="P158" i="3"/>
  <c r="O158" i="3"/>
  <c r="N158" i="3"/>
  <c r="M158" i="3"/>
  <c r="L158" i="3"/>
  <c r="K158" i="3"/>
  <c r="J158" i="3"/>
  <c r="I158" i="3"/>
  <c r="H158" i="3"/>
  <c r="G158" i="3"/>
  <c r="F158" i="3"/>
  <c r="E158" i="3"/>
  <c r="D158" i="3"/>
  <c r="C158" i="3"/>
  <c r="B158" i="3"/>
  <c r="A158" i="3"/>
  <c r="BP157" i="3"/>
  <c r="BO157" i="3"/>
  <c r="BN157" i="3"/>
  <c r="BM157" i="3"/>
  <c r="BL157" i="3"/>
  <c r="BK157" i="3"/>
  <c r="BJ157" i="3"/>
  <c r="BI157" i="3"/>
  <c r="BH157" i="3"/>
  <c r="BG157" i="3"/>
  <c r="BF157" i="3"/>
  <c r="BE157" i="3"/>
  <c r="BD157" i="3"/>
  <c r="BC157" i="3"/>
  <c r="BB157" i="3"/>
  <c r="BA157" i="3"/>
  <c r="AZ157" i="3"/>
  <c r="AY157" i="3"/>
  <c r="AX157" i="3"/>
  <c r="AW157" i="3"/>
  <c r="AV157" i="3"/>
  <c r="AU157" i="3"/>
  <c r="AT157" i="3"/>
  <c r="AS157" i="3"/>
  <c r="AR157" i="3"/>
  <c r="AQ157" i="3"/>
  <c r="AP157" i="3"/>
  <c r="AO157" i="3"/>
  <c r="AN157" i="3"/>
  <c r="AM157" i="3"/>
  <c r="AL157" i="3"/>
  <c r="AK157" i="3"/>
  <c r="AJ157" i="3"/>
  <c r="AI157" i="3"/>
  <c r="AH157" i="3"/>
  <c r="AG157" i="3"/>
  <c r="AF157" i="3"/>
  <c r="AE157" i="3"/>
  <c r="AD157" i="3"/>
  <c r="AC157" i="3"/>
  <c r="AB157" i="3"/>
  <c r="AA157" i="3"/>
  <c r="Z157" i="3"/>
  <c r="Y157" i="3"/>
  <c r="X157" i="3"/>
  <c r="W157" i="3"/>
  <c r="V157" i="3"/>
  <c r="U157" i="3"/>
  <c r="T157" i="3"/>
  <c r="S157" i="3"/>
  <c r="R157" i="3"/>
  <c r="Q157" i="3"/>
  <c r="P157" i="3"/>
  <c r="O157" i="3"/>
  <c r="N157" i="3"/>
  <c r="M157" i="3"/>
  <c r="L157" i="3"/>
  <c r="K157" i="3"/>
  <c r="J157" i="3"/>
  <c r="I157" i="3"/>
  <c r="H157" i="3"/>
  <c r="G157" i="3"/>
  <c r="F157" i="3"/>
  <c r="E157" i="3"/>
  <c r="D157" i="3"/>
  <c r="C157" i="3"/>
  <c r="B157" i="3"/>
  <c r="A157" i="3"/>
  <c r="BP156" i="3"/>
  <c r="BO156" i="3"/>
  <c r="BN156" i="3"/>
  <c r="BM156" i="3"/>
  <c r="BL156" i="3"/>
  <c r="BK156" i="3"/>
  <c r="BJ156" i="3"/>
  <c r="BI156" i="3"/>
  <c r="BH156" i="3"/>
  <c r="BG156" i="3"/>
  <c r="BF156" i="3"/>
  <c r="BE156" i="3"/>
  <c r="BD156" i="3"/>
  <c r="BC156" i="3"/>
  <c r="BB156" i="3"/>
  <c r="BA156" i="3"/>
  <c r="AZ156" i="3"/>
  <c r="AY156" i="3"/>
  <c r="AX156" i="3"/>
  <c r="AW156" i="3"/>
  <c r="AV156" i="3"/>
  <c r="AU156" i="3"/>
  <c r="AT156" i="3"/>
  <c r="AS156" i="3"/>
  <c r="AR156" i="3"/>
  <c r="AQ156" i="3"/>
  <c r="AP156" i="3"/>
  <c r="AO156" i="3"/>
  <c r="AN156" i="3"/>
  <c r="AM156" i="3"/>
  <c r="AL156" i="3"/>
  <c r="AK156" i="3"/>
  <c r="AJ156" i="3"/>
  <c r="AI156" i="3"/>
  <c r="AH156" i="3"/>
  <c r="AG156" i="3"/>
  <c r="AF156" i="3"/>
  <c r="AE156" i="3"/>
  <c r="AD156" i="3"/>
  <c r="AC156" i="3"/>
  <c r="AB156" i="3"/>
  <c r="AA156" i="3"/>
  <c r="Z156" i="3"/>
  <c r="Y156" i="3"/>
  <c r="X156" i="3"/>
  <c r="W156" i="3"/>
  <c r="V156" i="3"/>
  <c r="U156" i="3"/>
  <c r="T156" i="3"/>
  <c r="S156" i="3"/>
  <c r="R156" i="3"/>
  <c r="Q156" i="3"/>
  <c r="P156" i="3"/>
  <c r="O156" i="3"/>
  <c r="N156" i="3"/>
  <c r="M156" i="3"/>
  <c r="L156" i="3"/>
  <c r="K156" i="3"/>
  <c r="J156" i="3"/>
  <c r="I156" i="3"/>
  <c r="H156" i="3"/>
  <c r="G156" i="3"/>
  <c r="F156" i="3"/>
  <c r="E156" i="3"/>
  <c r="D156" i="3"/>
  <c r="C156" i="3"/>
  <c r="B156" i="3"/>
  <c r="A156" i="3"/>
  <c r="BP155" i="3"/>
  <c r="BO155" i="3"/>
  <c r="BN155" i="3"/>
  <c r="BM155" i="3"/>
  <c r="BL155" i="3"/>
  <c r="BK155" i="3"/>
  <c r="BJ155" i="3"/>
  <c r="BI155" i="3"/>
  <c r="BH155" i="3"/>
  <c r="BG155" i="3"/>
  <c r="BF155" i="3"/>
  <c r="BE155" i="3"/>
  <c r="BD155" i="3"/>
  <c r="BC155" i="3"/>
  <c r="BB155" i="3"/>
  <c r="BA155" i="3"/>
  <c r="AZ155" i="3"/>
  <c r="AY155" i="3"/>
  <c r="AX155" i="3"/>
  <c r="AW155" i="3"/>
  <c r="AV155" i="3"/>
  <c r="AU155" i="3"/>
  <c r="AT155" i="3"/>
  <c r="AS155" i="3"/>
  <c r="AR155" i="3"/>
  <c r="AQ155" i="3"/>
  <c r="AP155" i="3"/>
  <c r="AO155" i="3"/>
  <c r="AN155" i="3"/>
  <c r="AM155" i="3"/>
  <c r="AL155" i="3"/>
  <c r="AK155" i="3"/>
  <c r="AJ155" i="3"/>
  <c r="AI155" i="3"/>
  <c r="AH155" i="3"/>
  <c r="AG155" i="3"/>
  <c r="AF155" i="3"/>
  <c r="AE155" i="3"/>
  <c r="AD155" i="3"/>
  <c r="AC155" i="3"/>
  <c r="AB155" i="3"/>
  <c r="AA155" i="3"/>
  <c r="Z155" i="3"/>
  <c r="Y155" i="3"/>
  <c r="X155" i="3"/>
  <c r="W155" i="3"/>
  <c r="V155" i="3"/>
  <c r="U155" i="3"/>
  <c r="T155" i="3"/>
  <c r="S155" i="3"/>
  <c r="R155" i="3"/>
  <c r="Q155" i="3"/>
  <c r="P155" i="3"/>
  <c r="O155" i="3"/>
  <c r="N155" i="3"/>
  <c r="M155" i="3"/>
  <c r="L155" i="3"/>
  <c r="K155" i="3"/>
  <c r="J155" i="3"/>
  <c r="I155" i="3"/>
  <c r="H155" i="3"/>
  <c r="G155" i="3"/>
  <c r="F155" i="3"/>
  <c r="E155" i="3"/>
  <c r="D155" i="3"/>
  <c r="B155" i="3"/>
  <c r="A155" i="3"/>
  <c r="BP154" i="3"/>
  <c r="BO154" i="3"/>
  <c r="BN154" i="3"/>
  <c r="BM154" i="3"/>
  <c r="BL154" i="3"/>
  <c r="BK154" i="3"/>
  <c r="BJ154" i="3"/>
  <c r="BI154" i="3"/>
  <c r="BH154" i="3"/>
  <c r="BG154" i="3"/>
  <c r="BF154" i="3"/>
  <c r="BE154" i="3"/>
  <c r="BD154" i="3"/>
  <c r="BC154" i="3"/>
  <c r="BB154" i="3"/>
  <c r="BA154" i="3"/>
  <c r="AZ154" i="3"/>
  <c r="AY154" i="3"/>
  <c r="AX154" i="3"/>
  <c r="AW154" i="3"/>
  <c r="AV154" i="3"/>
  <c r="AU154" i="3"/>
  <c r="AT154" i="3"/>
  <c r="AS154" i="3"/>
  <c r="AR154" i="3"/>
  <c r="AQ154" i="3"/>
  <c r="AP154" i="3"/>
  <c r="AO154" i="3"/>
  <c r="AN154" i="3"/>
  <c r="AM154" i="3"/>
  <c r="AL154" i="3"/>
  <c r="AK154" i="3"/>
  <c r="AJ154" i="3"/>
  <c r="AI154" i="3"/>
  <c r="AH154" i="3"/>
  <c r="AG154" i="3"/>
  <c r="AF154" i="3"/>
  <c r="AE154" i="3"/>
  <c r="AD154" i="3"/>
  <c r="AC154" i="3"/>
  <c r="AB154" i="3"/>
  <c r="AA154" i="3"/>
  <c r="Z154" i="3"/>
  <c r="Y154" i="3"/>
  <c r="X154" i="3"/>
  <c r="W154" i="3"/>
  <c r="V154" i="3"/>
  <c r="U154" i="3"/>
  <c r="T154" i="3"/>
  <c r="S154" i="3"/>
  <c r="R154" i="3"/>
  <c r="Q154" i="3"/>
  <c r="P154" i="3"/>
  <c r="O154" i="3"/>
  <c r="N154" i="3"/>
  <c r="M154" i="3"/>
  <c r="L154" i="3"/>
  <c r="K154" i="3"/>
  <c r="J154" i="3"/>
  <c r="I154" i="3"/>
  <c r="H154" i="3"/>
  <c r="G154" i="3"/>
  <c r="F154" i="3"/>
  <c r="E154" i="3"/>
  <c r="D154" i="3"/>
  <c r="C154" i="3"/>
  <c r="B154" i="3"/>
  <c r="A154" i="3"/>
  <c r="BP153" i="3"/>
  <c r="BO153" i="3"/>
  <c r="BN153" i="3"/>
  <c r="BM153" i="3"/>
  <c r="BL153" i="3"/>
  <c r="BK153" i="3"/>
  <c r="BJ153" i="3"/>
  <c r="BI153" i="3"/>
  <c r="BH153" i="3"/>
  <c r="BG153" i="3"/>
  <c r="BF153" i="3"/>
  <c r="BE153" i="3"/>
  <c r="BD153" i="3"/>
  <c r="BC153" i="3"/>
  <c r="BB153" i="3"/>
  <c r="BA153" i="3"/>
  <c r="AZ153" i="3"/>
  <c r="AY153" i="3"/>
  <c r="AX153" i="3"/>
  <c r="AW153" i="3"/>
  <c r="AV153" i="3"/>
  <c r="AU153" i="3"/>
  <c r="AT153" i="3"/>
  <c r="AS153" i="3"/>
  <c r="AR153" i="3"/>
  <c r="AQ153" i="3"/>
  <c r="AP153" i="3"/>
  <c r="AO153" i="3"/>
  <c r="AN153" i="3"/>
  <c r="AM153" i="3"/>
  <c r="AL153" i="3"/>
  <c r="AK153" i="3"/>
  <c r="AJ153" i="3"/>
  <c r="AI153" i="3"/>
  <c r="AH153" i="3"/>
  <c r="AG153" i="3"/>
  <c r="AF153" i="3"/>
  <c r="AE153" i="3"/>
  <c r="AD153" i="3"/>
  <c r="AC153" i="3"/>
  <c r="AB153" i="3"/>
  <c r="AA153" i="3"/>
  <c r="Z153" i="3"/>
  <c r="Y153" i="3"/>
  <c r="X153" i="3"/>
  <c r="W153" i="3"/>
  <c r="V153" i="3"/>
  <c r="U153" i="3"/>
  <c r="T153" i="3"/>
  <c r="S153" i="3"/>
  <c r="R153" i="3"/>
  <c r="Q153" i="3"/>
  <c r="P153" i="3"/>
  <c r="O153" i="3"/>
  <c r="N153" i="3"/>
  <c r="M153" i="3"/>
  <c r="L153" i="3"/>
  <c r="K153" i="3"/>
  <c r="J153" i="3"/>
  <c r="I153" i="3"/>
  <c r="H153" i="3"/>
  <c r="G153" i="3"/>
  <c r="F153" i="3"/>
  <c r="E153" i="3"/>
  <c r="D153" i="3"/>
  <c r="C153" i="3"/>
  <c r="B153" i="3"/>
  <c r="A153" i="3"/>
  <c r="BP152" i="3"/>
  <c r="BO152" i="3"/>
  <c r="BN152" i="3"/>
  <c r="BM152" i="3"/>
  <c r="BL152" i="3"/>
  <c r="BK152" i="3"/>
  <c r="BJ152" i="3"/>
  <c r="BI152" i="3"/>
  <c r="BH152" i="3"/>
  <c r="BG152" i="3"/>
  <c r="BF152" i="3"/>
  <c r="BE152" i="3"/>
  <c r="BD152" i="3"/>
  <c r="BC152" i="3"/>
  <c r="BB152" i="3"/>
  <c r="BA152" i="3"/>
  <c r="AZ152" i="3"/>
  <c r="AY152" i="3"/>
  <c r="AX152" i="3"/>
  <c r="AW152" i="3"/>
  <c r="AV152" i="3"/>
  <c r="AU152" i="3"/>
  <c r="AT152" i="3"/>
  <c r="AS152" i="3"/>
  <c r="AR152" i="3"/>
  <c r="AQ152" i="3"/>
  <c r="AP152" i="3"/>
  <c r="AO152" i="3"/>
  <c r="AN152" i="3"/>
  <c r="AM152" i="3"/>
  <c r="AL152" i="3"/>
  <c r="AK152" i="3"/>
  <c r="AJ152" i="3"/>
  <c r="AI152" i="3"/>
  <c r="AH152" i="3"/>
  <c r="AG152" i="3"/>
  <c r="AF152" i="3"/>
  <c r="AE152" i="3"/>
  <c r="AD152" i="3"/>
  <c r="AC152" i="3"/>
  <c r="AB152" i="3"/>
  <c r="AA152" i="3"/>
  <c r="Z152" i="3"/>
  <c r="Y152" i="3"/>
  <c r="X152" i="3"/>
  <c r="W152" i="3"/>
  <c r="V152" i="3"/>
  <c r="U152" i="3"/>
  <c r="T152" i="3"/>
  <c r="S152" i="3"/>
  <c r="R152" i="3"/>
  <c r="Q152" i="3"/>
  <c r="P152" i="3"/>
  <c r="O152" i="3"/>
  <c r="N152" i="3"/>
  <c r="M152" i="3"/>
  <c r="L152" i="3"/>
  <c r="K152" i="3"/>
  <c r="J152" i="3"/>
  <c r="I152" i="3"/>
  <c r="H152" i="3"/>
  <c r="G152" i="3"/>
  <c r="F152" i="3"/>
  <c r="E152" i="3"/>
  <c r="D152" i="3"/>
  <c r="C152" i="3"/>
  <c r="B152" i="3"/>
  <c r="A152" i="3"/>
  <c r="BP151" i="3"/>
  <c r="BO151" i="3"/>
  <c r="BN151" i="3"/>
  <c r="BM151" i="3"/>
  <c r="BL151" i="3"/>
  <c r="BK151" i="3"/>
  <c r="BJ151" i="3"/>
  <c r="BI151" i="3"/>
  <c r="BH151" i="3"/>
  <c r="BG151" i="3"/>
  <c r="BF151" i="3"/>
  <c r="BE151" i="3"/>
  <c r="BD151" i="3"/>
  <c r="BC151" i="3"/>
  <c r="BB151" i="3"/>
  <c r="BA151" i="3"/>
  <c r="AZ151" i="3"/>
  <c r="AY151" i="3"/>
  <c r="AX151" i="3"/>
  <c r="AW151" i="3"/>
  <c r="AV151" i="3"/>
  <c r="AU151" i="3"/>
  <c r="AT151" i="3"/>
  <c r="AS151" i="3"/>
  <c r="AR151" i="3"/>
  <c r="AQ151" i="3"/>
  <c r="AP151" i="3"/>
  <c r="AO151" i="3"/>
  <c r="AN151" i="3"/>
  <c r="AM151" i="3"/>
  <c r="AL151" i="3"/>
  <c r="AK151" i="3"/>
  <c r="AJ151" i="3"/>
  <c r="AI151" i="3"/>
  <c r="AH151" i="3"/>
  <c r="AG151" i="3"/>
  <c r="AF151" i="3"/>
  <c r="AE151" i="3"/>
  <c r="AD151" i="3"/>
  <c r="AC151" i="3"/>
  <c r="AB151" i="3"/>
  <c r="AA151" i="3"/>
  <c r="Z151" i="3"/>
  <c r="Y151" i="3"/>
  <c r="X151" i="3"/>
  <c r="W151" i="3"/>
  <c r="V151" i="3"/>
  <c r="U151" i="3"/>
  <c r="T151" i="3"/>
  <c r="S151" i="3"/>
  <c r="R151" i="3"/>
  <c r="Q151" i="3"/>
  <c r="P151" i="3"/>
  <c r="O151" i="3"/>
  <c r="N151" i="3"/>
  <c r="M151" i="3"/>
  <c r="L151" i="3"/>
  <c r="K151" i="3"/>
  <c r="J151" i="3"/>
  <c r="I151" i="3"/>
  <c r="H151" i="3"/>
  <c r="G151" i="3"/>
  <c r="F151" i="3"/>
  <c r="E151" i="3"/>
  <c r="D151" i="3"/>
  <c r="C151" i="3"/>
  <c r="B151" i="3"/>
  <c r="A151" i="3"/>
  <c r="BP150" i="3"/>
  <c r="BO150" i="3"/>
  <c r="BN150" i="3"/>
  <c r="BM150" i="3"/>
  <c r="BL150" i="3"/>
  <c r="BK150" i="3"/>
  <c r="BJ150" i="3"/>
  <c r="BI150" i="3"/>
  <c r="BH150" i="3"/>
  <c r="BG150" i="3"/>
  <c r="BF150" i="3"/>
  <c r="BE150" i="3"/>
  <c r="BD150" i="3"/>
  <c r="BC150" i="3"/>
  <c r="BB150" i="3"/>
  <c r="BA150" i="3"/>
  <c r="AZ150" i="3"/>
  <c r="AY150" i="3"/>
  <c r="AX150" i="3"/>
  <c r="AW150" i="3"/>
  <c r="AV150" i="3"/>
  <c r="AU150" i="3"/>
  <c r="AT150" i="3"/>
  <c r="AS150" i="3"/>
  <c r="AR150" i="3"/>
  <c r="AQ150" i="3"/>
  <c r="AP150" i="3"/>
  <c r="AO150" i="3"/>
  <c r="AN150" i="3"/>
  <c r="AM150" i="3"/>
  <c r="AL150" i="3"/>
  <c r="AK150" i="3"/>
  <c r="AJ150" i="3"/>
  <c r="AI150" i="3"/>
  <c r="AH150" i="3"/>
  <c r="AG150" i="3"/>
  <c r="AF150" i="3"/>
  <c r="AE150" i="3"/>
  <c r="AD150" i="3"/>
  <c r="AC150" i="3"/>
  <c r="AB150" i="3"/>
  <c r="AA150" i="3"/>
  <c r="Z150" i="3"/>
  <c r="Y150" i="3"/>
  <c r="X150" i="3"/>
  <c r="W150" i="3"/>
  <c r="V150" i="3"/>
  <c r="U150" i="3"/>
  <c r="T150" i="3"/>
  <c r="S150" i="3"/>
  <c r="R150" i="3"/>
  <c r="Q150" i="3"/>
  <c r="P150" i="3"/>
  <c r="O150" i="3"/>
  <c r="N150" i="3"/>
  <c r="M150" i="3"/>
  <c r="L150" i="3"/>
  <c r="K150" i="3"/>
  <c r="J150" i="3"/>
  <c r="I150" i="3"/>
  <c r="H150" i="3"/>
  <c r="G150" i="3"/>
  <c r="F150" i="3"/>
  <c r="E150" i="3"/>
  <c r="D150" i="3"/>
  <c r="C150" i="3"/>
  <c r="B150" i="3"/>
  <c r="A150" i="3"/>
  <c r="BP149" i="3"/>
  <c r="BO149" i="3"/>
  <c r="BN149" i="3"/>
  <c r="BM149" i="3"/>
  <c r="BL149" i="3"/>
  <c r="BK149" i="3"/>
  <c r="BJ149" i="3"/>
  <c r="BI149" i="3"/>
  <c r="BH149" i="3"/>
  <c r="BG149" i="3"/>
  <c r="BF149" i="3"/>
  <c r="BE149" i="3"/>
  <c r="BD149" i="3"/>
  <c r="BC149" i="3"/>
  <c r="BB149" i="3"/>
  <c r="BA149" i="3"/>
  <c r="AZ149" i="3"/>
  <c r="AY149" i="3"/>
  <c r="AX149" i="3"/>
  <c r="AW149" i="3"/>
  <c r="AV149" i="3"/>
  <c r="AU149" i="3"/>
  <c r="AT149" i="3"/>
  <c r="AS149" i="3"/>
  <c r="AR149" i="3"/>
  <c r="AQ149" i="3"/>
  <c r="AP149" i="3"/>
  <c r="AO149" i="3"/>
  <c r="AN149" i="3"/>
  <c r="AM149" i="3"/>
  <c r="AL149" i="3"/>
  <c r="AK149" i="3"/>
  <c r="AJ149" i="3"/>
  <c r="AI149" i="3"/>
  <c r="AH149" i="3"/>
  <c r="AG149" i="3"/>
  <c r="AF149" i="3"/>
  <c r="AE149" i="3"/>
  <c r="AD149" i="3"/>
  <c r="AC149" i="3"/>
  <c r="AB149" i="3"/>
  <c r="AA149" i="3"/>
  <c r="Z149" i="3"/>
  <c r="Y149" i="3"/>
  <c r="X149" i="3"/>
  <c r="W149" i="3"/>
  <c r="V149" i="3"/>
  <c r="U149" i="3"/>
  <c r="T149" i="3"/>
  <c r="S149" i="3"/>
  <c r="R149" i="3"/>
  <c r="Q149" i="3"/>
  <c r="P149" i="3"/>
  <c r="O149" i="3"/>
  <c r="N149" i="3"/>
  <c r="M149" i="3"/>
  <c r="L149" i="3"/>
  <c r="K149" i="3"/>
  <c r="J149" i="3"/>
  <c r="I149" i="3"/>
  <c r="H149" i="3"/>
  <c r="G149" i="3"/>
  <c r="F149" i="3"/>
  <c r="E149" i="3"/>
  <c r="D149" i="3"/>
  <c r="C149" i="3"/>
  <c r="B149" i="3"/>
  <c r="A149" i="3"/>
  <c r="BP148" i="3"/>
  <c r="BO148" i="3"/>
  <c r="BN148" i="3"/>
  <c r="BM148" i="3"/>
  <c r="BL148" i="3"/>
  <c r="BK148" i="3"/>
  <c r="BJ148" i="3"/>
  <c r="BI148" i="3"/>
  <c r="BH148" i="3"/>
  <c r="BG148" i="3"/>
  <c r="BF148" i="3"/>
  <c r="BE148" i="3"/>
  <c r="BD148" i="3"/>
  <c r="BC148" i="3"/>
  <c r="BB148" i="3"/>
  <c r="BA148" i="3"/>
  <c r="AZ148" i="3"/>
  <c r="AY148" i="3"/>
  <c r="AX148" i="3"/>
  <c r="AW148" i="3"/>
  <c r="AV148" i="3"/>
  <c r="AU148" i="3"/>
  <c r="AT148" i="3"/>
  <c r="AS148" i="3"/>
  <c r="AR148" i="3"/>
  <c r="AQ148" i="3"/>
  <c r="AP148" i="3"/>
  <c r="AO148" i="3"/>
  <c r="AN148" i="3"/>
  <c r="AM148" i="3"/>
  <c r="AL148" i="3"/>
  <c r="AK148" i="3"/>
  <c r="AJ148" i="3"/>
  <c r="AI148" i="3"/>
  <c r="AH148" i="3"/>
  <c r="AG148" i="3"/>
  <c r="AF148" i="3"/>
  <c r="AE148" i="3"/>
  <c r="AD148" i="3"/>
  <c r="AC148" i="3"/>
  <c r="AB148" i="3"/>
  <c r="AA148" i="3"/>
  <c r="Z148" i="3"/>
  <c r="Y148" i="3"/>
  <c r="X148" i="3"/>
  <c r="W148" i="3"/>
  <c r="V148" i="3"/>
  <c r="U148" i="3"/>
  <c r="T148" i="3"/>
  <c r="S148" i="3"/>
  <c r="R148" i="3"/>
  <c r="Q148" i="3"/>
  <c r="P148" i="3"/>
  <c r="O148" i="3"/>
  <c r="N148" i="3"/>
  <c r="M148" i="3"/>
  <c r="L148" i="3"/>
  <c r="K148" i="3"/>
  <c r="J148" i="3"/>
  <c r="I148" i="3"/>
  <c r="H148" i="3"/>
  <c r="G148" i="3"/>
  <c r="F148" i="3"/>
  <c r="E148" i="3"/>
  <c r="D148" i="3"/>
  <c r="C148" i="3"/>
  <c r="B148" i="3"/>
  <c r="A148" i="3"/>
  <c r="BP147" i="3"/>
  <c r="BO147" i="3"/>
  <c r="BN147" i="3"/>
  <c r="BM147" i="3"/>
  <c r="BL147" i="3"/>
  <c r="BK147" i="3"/>
  <c r="BJ147" i="3"/>
  <c r="BI147" i="3"/>
  <c r="BH147" i="3"/>
  <c r="BG147" i="3"/>
  <c r="BF147" i="3"/>
  <c r="BE147" i="3"/>
  <c r="BD147" i="3"/>
  <c r="BC147" i="3"/>
  <c r="BB147" i="3"/>
  <c r="BA147" i="3"/>
  <c r="AZ147" i="3"/>
  <c r="AY147" i="3"/>
  <c r="AX147" i="3"/>
  <c r="AW147" i="3"/>
  <c r="AV147" i="3"/>
  <c r="AU147" i="3"/>
  <c r="AT147" i="3"/>
  <c r="AS147" i="3"/>
  <c r="AR147" i="3"/>
  <c r="AQ147" i="3"/>
  <c r="AP147" i="3"/>
  <c r="AO147" i="3"/>
  <c r="AN147" i="3"/>
  <c r="AM147" i="3"/>
  <c r="AL147" i="3"/>
  <c r="AK147" i="3"/>
  <c r="AJ147" i="3"/>
  <c r="AI147" i="3"/>
  <c r="AH147" i="3"/>
  <c r="AG147" i="3"/>
  <c r="AF147" i="3"/>
  <c r="AE147" i="3"/>
  <c r="AD147" i="3"/>
  <c r="AC147" i="3"/>
  <c r="AB147" i="3"/>
  <c r="AA147" i="3"/>
  <c r="Z147" i="3"/>
  <c r="Y147" i="3"/>
  <c r="X147" i="3"/>
  <c r="W147" i="3"/>
  <c r="V147" i="3"/>
  <c r="U147" i="3"/>
  <c r="T147" i="3"/>
  <c r="S147" i="3"/>
  <c r="R147" i="3"/>
  <c r="Q147" i="3"/>
  <c r="P147" i="3"/>
  <c r="O147" i="3"/>
  <c r="N147" i="3"/>
  <c r="M147" i="3"/>
  <c r="L147" i="3"/>
  <c r="K147" i="3"/>
  <c r="J147" i="3"/>
  <c r="I147" i="3"/>
  <c r="H147" i="3"/>
  <c r="G147" i="3"/>
  <c r="F147" i="3"/>
  <c r="E147" i="3"/>
  <c r="D147" i="3"/>
  <c r="C147" i="3"/>
  <c r="B147" i="3"/>
  <c r="A147" i="3"/>
  <c r="BP146" i="3"/>
  <c r="BO146" i="3"/>
  <c r="BN146" i="3"/>
  <c r="BM146" i="3"/>
  <c r="BL146" i="3"/>
  <c r="BK146" i="3"/>
  <c r="BJ146" i="3"/>
  <c r="BI146" i="3"/>
  <c r="BH146" i="3"/>
  <c r="BG146" i="3"/>
  <c r="BF146" i="3"/>
  <c r="BE146" i="3"/>
  <c r="BD146" i="3"/>
  <c r="BC146" i="3"/>
  <c r="BB146" i="3"/>
  <c r="BA146" i="3"/>
  <c r="AZ146" i="3"/>
  <c r="AY146" i="3"/>
  <c r="AX146" i="3"/>
  <c r="AW146" i="3"/>
  <c r="AV146" i="3"/>
  <c r="AU146" i="3"/>
  <c r="AT146" i="3"/>
  <c r="AS146" i="3"/>
  <c r="AR146" i="3"/>
  <c r="AQ146" i="3"/>
  <c r="AP146" i="3"/>
  <c r="AO146" i="3"/>
  <c r="AN146" i="3"/>
  <c r="AM146" i="3"/>
  <c r="AL146" i="3"/>
  <c r="AK146" i="3"/>
  <c r="AJ146" i="3"/>
  <c r="AI146" i="3"/>
  <c r="AH146" i="3"/>
  <c r="AG146" i="3"/>
  <c r="AF146" i="3"/>
  <c r="AE146" i="3"/>
  <c r="AD146" i="3"/>
  <c r="AC146" i="3"/>
  <c r="AB146" i="3"/>
  <c r="AA146" i="3"/>
  <c r="Z146" i="3"/>
  <c r="Y146" i="3"/>
  <c r="X146" i="3"/>
  <c r="W146" i="3"/>
  <c r="V146" i="3"/>
  <c r="U146" i="3"/>
  <c r="T146" i="3"/>
  <c r="S146" i="3"/>
  <c r="R146" i="3"/>
  <c r="Q146" i="3"/>
  <c r="P146" i="3"/>
  <c r="O146" i="3"/>
  <c r="N146" i="3"/>
  <c r="M146" i="3"/>
  <c r="L146" i="3"/>
  <c r="K146" i="3"/>
  <c r="J146" i="3"/>
  <c r="I146" i="3"/>
  <c r="H146" i="3"/>
  <c r="G146" i="3"/>
  <c r="F146" i="3"/>
  <c r="E146" i="3"/>
  <c r="D146" i="3"/>
  <c r="C146" i="3"/>
  <c r="B146" i="3"/>
  <c r="A146" i="3"/>
  <c r="BP145" i="3"/>
  <c r="BO145" i="3"/>
  <c r="BN145" i="3"/>
  <c r="BM145" i="3"/>
  <c r="BL145" i="3"/>
  <c r="BK145" i="3"/>
  <c r="BJ145" i="3"/>
  <c r="BI145" i="3"/>
  <c r="BH145" i="3"/>
  <c r="BG145" i="3"/>
  <c r="BF145" i="3"/>
  <c r="BE145" i="3"/>
  <c r="BD145" i="3"/>
  <c r="BC145" i="3"/>
  <c r="BB145" i="3"/>
  <c r="BA145" i="3"/>
  <c r="AZ145" i="3"/>
  <c r="AY145" i="3"/>
  <c r="AX145" i="3"/>
  <c r="AW145" i="3"/>
  <c r="AV145" i="3"/>
  <c r="AU145" i="3"/>
  <c r="AT145" i="3"/>
  <c r="AS145" i="3"/>
  <c r="AR145" i="3"/>
  <c r="AQ145" i="3"/>
  <c r="AP145" i="3"/>
  <c r="AO145" i="3"/>
  <c r="AN145" i="3"/>
  <c r="AM145" i="3"/>
  <c r="AL145" i="3"/>
  <c r="AK145" i="3"/>
  <c r="AJ145" i="3"/>
  <c r="AI145" i="3"/>
  <c r="AH145" i="3"/>
  <c r="AG145" i="3"/>
  <c r="AF145" i="3"/>
  <c r="AE145" i="3"/>
  <c r="AD145" i="3"/>
  <c r="AC145" i="3"/>
  <c r="AB145" i="3"/>
  <c r="AA145" i="3"/>
  <c r="Z145" i="3"/>
  <c r="Y145" i="3"/>
  <c r="X145" i="3"/>
  <c r="W145" i="3"/>
  <c r="V145" i="3"/>
  <c r="U145" i="3"/>
  <c r="T145" i="3"/>
  <c r="S145" i="3"/>
  <c r="R145" i="3"/>
  <c r="Q145" i="3"/>
  <c r="P145" i="3"/>
  <c r="O145" i="3"/>
  <c r="N145" i="3"/>
  <c r="M145" i="3"/>
  <c r="L145" i="3"/>
  <c r="K145" i="3"/>
  <c r="J145" i="3"/>
  <c r="I145" i="3"/>
  <c r="H145" i="3"/>
  <c r="G145" i="3"/>
  <c r="F145" i="3"/>
  <c r="E145" i="3"/>
  <c r="D145" i="3"/>
  <c r="C145" i="3"/>
  <c r="B145" i="3"/>
  <c r="A145" i="3"/>
  <c r="BP144" i="3"/>
  <c r="BO144" i="3"/>
  <c r="BN144" i="3"/>
  <c r="BM144" i="3"/>
  <c r="BL144" i="3"/>
  <c r="BK144" i="3"/>
  <c r="BJ144" i="3"/>
  <c r="BI144" i="3"/>
  <c r="BH144" i="3"/>
  <c r="BG144" i="3"/>
  <c r="BF144" i="3"/>
  <c r="BE144" i="3"/>
  <c r="BD144" i="3"/>
  <c r="BC144" i="3"/>
  <c r="BB144" i="3"/>
  <c r="BA144" i="3"/>
  <c r="AZ144" i="3"/>
  <c r="AY144" i="3"/>
  <c r="AX144" i="3"/>
  <c r="AW144" i="3"/>
  <c r="AV144" i="3"/>
  <c r="AU144" i="3"/>
  <c r="AT144" i="3"/>
  <c r="AS144" i="3"/>
  <c r="AR144" i="3"/>
  <c r="AQ144" i="3"/>
  <c r="AP144" i="3"/>
  <c r="AO144" i="3"/>
  <c r="AN144" i="3"/>
  <c r="AM144" i="3"/>
  <c r="AL144" i="3"/>
  <c r="AK144" i="3"/>
  <c r="AJ144" i="3"/>
  <c r="AI144" i="3"/>
  <c r="AH144" i="3"/>
  <c r="AG144" i="3"/>
  <c r="AF144" i="3"/>
  <c r="AE144" i="3"/>
  <c r="AD144" i="3"/>
  <c r="AC144" i="3"/>
  <c r="AB144" i="3"/>
  <c r="AA144" i="3"/>
  <c r="Z144" i="3"/>
  <c r="Y144" i="3"/>
  <c r="X144" i="3"/>
  <c r="W144" i="3"/>
  <c r="V144" i="3"/>
  <c r="U144" i="3"/>
  <c r="T144" i="3"/>
  <c r="S144" i="3"/>
  <c r="R144" i="3"/>
  <c r="Q144" i="3"/>
  <c r="P144" i="3"/>
  <c r="O144" i="3"/>
  <c r="N144" i="3"/>
  <c r="M144" i="3"/>
  <c r="L144" i="3"/>
  <c r="K144" i="3"/>
  <c r="J144" i="3"/>
  <c r="I144" i="3"/>
  <c r="H144" i="3"/>
  <c r="G144" i="3"/>
  <c r="F144" i="3"/>
  <c r="E144" i="3"/>
  <c r="D144" i="3"/>
  <c r="B144" i="3"/>
  <c r="A144" i="3"/>
  <c r="BP143" i="3"/>
  <c r="BO143" i="3"/>
  <c r="BN143" i="3"/>
  <c r="BM143" i="3"/>
  <c r="BL143" i="3"/>
  <c r="BK143" i="3"/>
  <c r="BJ143" i="3"/>
  <c r="BI143" i="3"/>
  <c r="BH143" i="3"/>
  <c r="BG143" i="3"/>
  <c r="BF143" i="3"/>
  <c r="BE143" i="3"/>
  <c r="BD143" i="3"/>
  <c r="BC143" i="3"/>
  <c r="BB143" i="3"/>
  <c r="BA143" i="3"/>
  <c r="AZ143" i="3"/>
  <c r="AY143" i="3"/>
  <c r="AX143" i="3"/>
  <c r="AW143" i="3"/>
  <c r="AV143" i="3"/>
  <c r="AU143" i="3"/>
  <c r="AT143" i="3"/>
  <c r="AS143" i="3"/>
  <c r="AR143" i="3"/>
  <c r="AQ143" i="3"/>
  <c r="AP143" i="3"/>
  <c r="AO143" i="3"/>
  <c r="AN143" i="3"/>
  <c r="AM143" i="3"/>
  <c r="AL143" i="3"/>
  <c r="AK143" i="3"/>
  <c r="AJ143" i="3"/>
  <c r="AI143" i="3"/>
  <c r="AH143" i="3"/>
  <c r="AG143" i="3"/>
  <c r="AF143" i="3"/>
  <c r="AE143" i="3"/>
  <c r="AD143" i="3"/>
  <c r="AC143" i="3"/>
  <c r="AB143" i="3"/>
  <c r="AA143" i="3"/>
  <c r="Z143" i="3"/>
  <c r="Y143" i="3"/>
  <c r="X143" i="3"/>
  <c r="W143" i="3"/>
  <c r="V143" i="3"/>
  <c r="U143" i="3"/>
  <c r="T143" i="3"/>
  <c r="S143" i="3"/>
  <c r="R143" i="3"/>
  <c r="Q143" i="3"/>
  <c r="P143" i="3"/>
  <c r="O143" i="3"/>
  <c r="N143" i="3"/>
  <c r="M143" i="3"/>
  <c r="L143" i="3"/>
  <c r="K143" i="3"/>
  <c r="J143" i="3"/>
  <c r="I143" i="3"/>
  <c r="H143" i="3"/>
  <c r="G143" i="3"/>
  <c r="F143" i="3"/>
  <c r="E143" i="3"/>
  <c r="D143" i="3"/>
  <c r="B143" i="3"/>
  <c r="A143" i="3"/>
  <c r="BP142" i="3"/>
  <c r="BO142" i="3"/>
  <c r="BN142" i="3"/>
  <c r="BM142" i="3"/>
  <c r="BL142" i="3"/>
  <c r="BK142" i="3"/>
  <c r="BJ142" i="3"/>
  <c r="BI142" i="3"/>
  <c r="BH142" i="3"/>
  <c r="BG142" i="3"/>
  <c r="BF142" i="3"/>
  <c r="BE142" i="3"/>
  <c r="BD142" i="3"/>
  <c r="BC142" i="3"/>
  <c r="BB142" i="3"/>
  <c r="BA142" i="3"/>
  <c r="AZ142" i="3"/>
  <c r="AY142" i="3"/>
  <c r="AX142" i="3"/>
  <c r="AW142" i="3"/>
  <c r="AV142" i="3"/>
  <c r="AU142" i="3"/>
  <c r="AT142" i="3"/>
  <c r="AS142" i="3"/>
  <c r="AR142" i="3"/>
  <c r="AQ142" i="3"/>
  <c r="AP142" i="3"/>
  <c r="AO142" i="3"/>
  <c r="AN142" i="3"/>
  <c r="AM142" i="3"/>
  <c r="AL142" i="3"/>
  <c r="AK142" i="3"/>
  <c r="AJ142" i="3"/>
  <c r="AI142" i="3"/>
  <c r="AH142" i="3"/>
  <c r="AG142" i="3"/>
  <c r="AF142" i="3"/>
  <c r="AE142" i="3"/>
  <c r="AD142" i="3"/>
  <c r="AC142" i="3"/>
  <c r="AB142" i="3"/>
  <c r="AA142" i="3"/>
  <c r="Z142" i="3"/>
  <c r="Y142" i="3"/>
  <c r="X142" i="3"/>
  <c r="W142" i="3"/>
  <c r="V142" i="3"/>
  <c r="U142" i="3"/>
  <c r="T142" i="3"/>
  <c r="S142" i="3"/>
  <c r="R142" i="3"/>
  <c r="Q142" i="3"/>
  <c r="P142" i="3"/>
  <c r="O142" i="3"/>
  <c r="N142" i="3"/>
  <c r="M142" i="3"/>
  <c r="L142" i="3"/>
  <c r="K142" i="3"/>
  <c r="J142" i="3"/>
  <c r="I142" i="3"/>
  <c r="H142" i="3"/>
  <c r="G142" i="3"/>
  <c r="F142" i="3"/>
  <c r="E142" i="3"/>
  <c r="D142" i="3"/>
  <c r="B142" i="3"/>
  <c r="A142" i="3"/>
  <c r="BP141" i="3"/>
  <c r="BO141" i="3"/>
  <c r="BN141" i="3"/>
  <c r="BM141" i="3"/>
  <c r="BL141" i="3"/>
  <c r="BK141" i="3"/>
  <c r="BJ141" i="3"/>
  <c r="BI141" i="3"/>
  <c r="BH141" i="3"/>
  <c r="BG141" i="3"/>
  <c r="BF141" i="3"/>
  <c r="BE141" i="3"/>
  <c r="BD141" i="3"/>
  <c r="BC141" i="3"/>
  <c r="BB141" i="3"/>
  <c r="BA141" i="3"/>
  <c r="AZ141" i="3"/>
  <c r="AY141" i="3"/>
  <c r="AX141" i="3"/>
  <c r="AW141" i="3"/>
  <c r="AV141" i="3"/>
  <c r="AU141" i="3"/>
  <c r="AT141" i="3"/>
  <c r="AS141" i="3"/>
  <c r="AR141" i="3"/>
  <c r="AQ141" i="3"/>
  <c r="AP141" i="3"/>
  <c r="AO141" i="3"/>
  <c r="AN141" i="3"/>
  <c r="AM141" i="3"/>
  <c r="AL141" i="3"/>
  <c r="AK141" i="3"/>
  <c r="AJ141" i="3"/>
  <c r="AI141" i="3"/>
  <c r="AH141" i="3"/>
  <c r="AG141" i="3"/>
  <c r="AF141" i="3"/>
  <c r="AE141" i="3"/>
  <c r="AD141" i="3"/>
  <c r="AC141" i="3"/>
  <c r="AB141" i="3"/>
  <c r="AA141" i="3"/>
  <c r="Z141" i="3"/>
  <c r="Y141" i="3"/>
  <c r="X141" i="3"/>
  <c r="W141" i="3"/>
  <c r="V141" i="3"/>
  <c r="U141" i="3"/>
  <c r="T141" i="3"/>
  <c r="S141" i="3"/>
  <c r="R141" i="3"/>
  <c r="Q141" i="3"/>
  <c r="P141" i="3"/>
  <c r="O141" i="3"/>
  <c r="N141" i="3"/>
  <c r="M141" i="3"/>
  <c r="L141" i="3"/>
  <c r="K141" i="3"/>
  <c r="J141" i="3"/>
  <c r="I141" i="3"/>
  <c r="H141" i="3"/>
  <c r="G141" i="3"/>
  <c r="F141" i="3"/>
  <c r="E141" i="3"/>
  <c r="D141" i="3"/>
  <c r="B141" i="3"/>
  <c r="A141" i="3"/>
  <c r="BP140" i="3"/>
  <c r="BO140" i="3"/>
  <c r="BN140" i="3"/>
  <c r="BM140" i="3"/>
  <c r="BL140" i="3"/>
  <c r="BK140" i="3"/>
  <c r="BJ140" i="3"/>
  <c r="BI140" i="3"/>
  <c r="BH140" i="3"/>
  <c r="BG140" i="3"/>
  <c r="BF140" i="3"/>
  <c r="BE140" i="3"/>
  <c r="BD140" i="3"/>
  <c r="BC140" i="3"/>
  <c r="BB140" i="3"/>
  <c r="BA140" i="3"/>
  <c r="AZ140" i="3"/>
  <c r="AY140" i="3"/>
  <c r="AX140" i="3"/>
  <c r="AW140" i="3"/>
  <c r="AV140" i="3"/>
  <c r="AU140" i="3"/>
  <c r="AT140" i="3"/>
  <c r="AS140" i="3"/>
  <c r="AR140" i="3"/>
  <c r="AQ140" i="3"/>
  <c r="AP140" i="3"/>
  <c r="AO140" i="3"/>
  <c r="AN140" i="3"/>
  <c r="AM140" i="3"/>
  <c r="AL140" i="3"/>
  <c r="AK140" i="3"/>
  <c r="AJ140" i="3"/>
  <c r="AI140" i="3"/>
  <c r="AH140" i="3"/>
  <c r="AG140" i="3"/>
  <c r="AF140" i="3"/>
  <c r="AE140" i="3"/>
  <c r="AD140" i="3"/>
  <c r="AC140" i="3"/>
  <c r="AB140" i="3"/>
  <c r="AA140" i="3"/>
  <c r="Z140" i="3"/>
  <c r="Y140" i="3"/>
  <c r="X140" i="3"/>
  <c r="W140" i="3"/>
  <c r="V140" i="3"/>
  <c r="U140" i="3"/>
  <c r="T140" i="3"/>
  <c r="S140" i="3"/>
  <c r="R140" i="3"/>
  <c r="Q140" i="3"/>
  <c r="P140" i="3"/>
  <c r="O140" i="3"/>
  <c r="N140" i="3"/>
  <c r="M140" i="3"/>
  <c r="L140" i="3"/>
  <c r="K140" i="3"/>
  <c r="J140" i="3"/>
  <c r="I140" i="3"/>
  <c r="H140" i="3"/>
  <c r="G140" i="3"/>
  <c r="F140" i="3"/>
  <c r="E140" i="3"/>
  <c r="D140" i="3"/>
  <c r="B140" i="3"/>
  <c r="A140" i="3"/>
  <c r="BP139" i="3"/>
  <c r="BO139" i="3"/>
  <c r="BN139" i="3"/>
  <c r="BM139" i="3"/>
  <c r="BL139" i="3"/>
  <c r="BK139" i="3"/>
  <c r="BJ139" i="3"/>
  <c r="BI139" i="3"/>
  <c r="BH139" i="3"/>
  <c r="BG139" i="3"/>
  <c r="BF139" i="3"/>
  <c r="BE139" i="3"/>
  <c r="BD139" i="3"/>
  <c r="BC139" i="3"/>
  <c r="BB139" i="3"/>
  <c r="BA139" i="3"/>
  <c r="AZ139" i="3"/>
  <c r="AY139" i="3"/>
  <c r="AX139" i="3"/>
  <c r="AW139" i="3"/>
  <c r="AV139" i="3"/>
  <c r="AU139" i="3"/>
  <c r="AT139" i="3"/>
  <c r="AS139" i="3"/>
  <c r="AR139" i="3"/>
  <c r="AQ139" i="3"/>
  <c r="AP139" i="3"/>
  <c r="AO139" i="3"/>
  <c r="AN139" i="3"/>
  <c r="AM139" i="3"/>
  <c r="AL139" i="3"/>
  <c r="AK139" i="3"/>
  <c r="AJ139" i="3"/>
  <c r="AI139" i="3"/>
  <c r="AH139" i="3"/>
  <c r="AG139" i="3"/>
  <c r="AF139" i="3"/>
  <c r="AE139" i="3"/>
  <c r="AD139" i="3"/>
  <c r="AC139" i="3"/>
  <c r="AB139" i="3"/>
  <c r="AA139" i="3"/>
  <c r="Z139" i="3"/>
  <c r="Y139" i="3"/>
  <c r="X139" i="3"/>
  <c r="W139" i="3"/>
  <c r="V139" i="3"/>
  <c r="U139" i="3"/>
  <c r="T139" i="3"/>
  <c r="S139" i="3"/>
  <c r="R139" i="3"/>
  <c r="Q139" i="3"/>
  <c r="P139" i="3"/>
  <c r="O139" i="3"/>
  <c r="N139" i="3"/>
  <c r="M139" i="3"/>
  <c r="L139" i="3"/>
  <c r="K139" i="3"/>
  <c r="J139" i="3"/>
  <c r="I139" i="3"/>
  <c r="H139" i="3"/>
  <c r="G139" i="3"/>
  <c r="F139" i="3"/>
  <c r="E139" i="3"/>
  <c r="D139" i="3"/>
  <c r="B139" i="3"/>
  <c r="A139" i="3"/>
  <c r="BP138" i="3"/>
  <c r="BO138" i="3"/>
  <c r="BN138" i="3"/>
  <c r="BM138" i="3"/>
  <c r="BL138" i="3"/>
  <c r="BK138" i="3"/>
  <c r="BJ138" i="3"/>
  <c r="BI138" i="3"/>
  <c r="BH138" i="3"/>
  <c r="BG138" i="3"/>
  <c r="BF138" i="3"/>
  <c r="BE138" i="3"/>
  <c r="BD138" i="3"/>
  <c r="BC138" i="3"/>
  <c r="BB138" i="3"/>
  <c r="BA138" i="3"/>
  <c r="AZ138" i="3"/>
  <c r="AY138" i="3"/>
  <c r="AX138" i="3"/>
  <c r="AW138" i="3"/>
  <c r="AV138" i="3"/>
  <c r="AU138" i="3"/>
  <c r="AT138" i="3"/>
  <c r="AS138" i="3"/>
  <c r="AR138" i="3"/>
  <c r="AQ138" i="3"/>
  <c r="AP138" i="3"/>
  <c r="AO138" i="3"/>
  <c r="AN138" i="3"/>
  <c r="AM138" i="3"/>
  <c r="AL138" i="3"/>
  <c r="AK138" i="3"/>
  <c r="AJ138" i="3"/>
  <c r="AI138" i="3"/>
  <c r="AH138" i="3"/>
  <c r="AG138" i="3"/>
  <c r="AF138" i="3"/>
  <c r="AE138" i="3"/>
  <c r="AD138" i="3"/>
  <c r="AC138" i="3"/>
  <c r="AB138" i="3"/>
  <c r="AA138" i="3"/>
  <c r="Z138" i="3"/>
  <c r="Y138" i="3"/>
  <c r="X138" i="3"/>
  <c r="W138" i="3"/>
  <c r="V138" i="3"/>
  <c r="U138" i="3"/>
  <c r="T138" i="3"/>
  <c r="S138" i="3"/>
  <c r="R138" i="3"/>
  <c r="Q138" i="3"/>
  <c r="P138" i="3"/>
  <c r="O138" i="3"/>
  <c r="N138" i="3"/>
  <c r="M138" i="3"/>
  <c r="L138" i="3"/>
  <c r="K138" i="3"/>
  <c r="J138" i="3"/>
  <c r="I138" i="3"/>
  <c r="H138" i="3"/>
  <c r="G138" i="3"/>
  <c r="F138" i="3"/>
  <c r="E138" i="3"/>
  <c r="D138" i="3"/>
  <c r="B138" i="3"/>
  <c r="A138" i="3"/>
  <c r="BP137" i="3"/>
  <c r="BO137" i="3"/>
  <c r="BN137" i="3"/>
  <c r="BM137" i="3"/>
  <c r="BL137" i="3"/>
  <c r="BK137" i="3"/>
  <c r="BJ137" i="3"/>
  <c r="BI137" i="3"/>
  <c r="BH137" i="3"/>
  <c r="BG137" i="3"/>
  <c r="BF137" i="3"/>
  <c r="BE137" i="3"/>
  <c r="BD137" i="3"/>
  <c r="BC137" i="3"/>
  <c r="BB137" i="3"/>
  <c r="BA137" i="3"/>
  <c r="AZ137" i="3"/>
  <c r="AY137" i="3"/>
  <c r="AX137" i="3"/>
  <c r="AW137" i="3"/>
  <c r="AV137" i="3"/>
  <c r="AU137" i="3"/>
  <c r="AT137" i="3"/>
  <c r="AS137" i="3"/>
  <c r="AR137" i="3"/>
  <c r="AQ137" i="3"/>
  <c r="AP137" i="3"/>
  <c r="AO137" i="3"/>
  <c r="AN137" i="3"/>
  <c r="AM137" i="3"/>
  <c r="AL137" i="3"/>
  <c r="AK137" i="3"/>
  <c r="AJ137" i="3"/>
  <c r="AI137" i="3"/>
  <c r="AH137" i="3"/>
  <c r="AG137" i="3"/>
  <c r="AF137" i="3"/>
  <c r="AE137" i="3"/>
  <c r="AD137" i="3"/>
  <c r="AC137" i="3"/>
  <c r="AB137" i="3"/>
  <c r="AA137" i="3"/>
  <c r="Z137" i="3"/>
  <c r="Y137" i="3"/>
  <c r="X137" i="3"/>
  <c r="W137" i="3"/>
  <c r="V137" i="3"/>
  <c r="U137" i="3"/>
  <c r="T137" i="3"/>
  <c r="S137" i="3"/>
  <c r="R137" i="3"/>
  <c r="Q137" i="3"/>
  <c r="P137" i="3"/>
  <c r="O137" i="3"/>
  <c r="N137" i="3"/>
  <c r="M137" i="3"/>
  <c r="L137" i="3"/>
  <c r="K137" i="3"/>
  <c r="J137" i="3"/>
  <c r="I137" i="3"/>
  <c r="H137" i="3"/>
  <c r="G137" i="3"/>
  <c r="F137" i="3"/>
  <c r="E137" i="3"/>
  <c r="D137" i="3"/>
  <c r="C137" i="3"/>
  <c r="B137" i="3"/>
  <c r="A137" i="3"/>
  <c r="BP136" i="3"/>
  <c r="BO136" i="3"/>
  <c r="BN136" i="3"/>
  <c r="BM136" i="3"/>
  <c r="BL136" i="3"/>
  <c r="BK136" i="3"/>
  <c r="BJ136" i="3"/>
  <c r="BI136" i="3"/>
  <c r="BH136" i="3"/>
  <c r="BG136" i="3"/>
  <c r="BF136" i="3"/>
  <c r="BE136" i="3"/>
  <c r="BD136" i="3"/>
  <c r="BC136" i="3"/>
  <c r="BB136" i="3"/>
  <c r="BA136" i="3"/>
  <c r="AZ136" i="3"/>
  <c r="AY136" i="3"/>
  <c r="AX136" i="3"/>
  <c r="AW136" i="3"/>
  <c r="AV136" i="3"/>
  <c r="AU136" i="3"/>
  <c r="AT136" i="3"/>
  <c r="AS136" i="3"/>
  <c r="AR136" i="3"/>
  <c r="AQ136" i="3"/>
  <c r="AP136" i="3"/>
  <c r="AO136" i="3"/>
  <c r="AN136" i="3"/>
  <c r="AM136" i="3"/>
  <c r="AL136" i="3"/>
  <c r="AK136" i="3"/>
  <c r="AJ136" i="3"/>
  <c r="AI136" i="3"/>
  <c r="AH136" i="3"/>
  <c r="AG136" i="3"/>
  <c r="AF136" i="3"/>
  <c r="AE136" i="3"/>
  <c r="AD136" i="3"/>
  <c r="AC136" i="3"/>
  <c r="AB136" i="3"/>
  <c r="AA136" i="3"/>
  <c r="Z136" i="3"/>
  <c r="Y136" i="3"/>
  <c r="X136" i="3"/>
  <c r="W136" i="3"/>
  <c r="V136" i="3"/>
  <c r="U136" i="3"/>
  <c r="T136" i="3"/>
  <c r="S136" i="3"/>
  <c r="R136" i="3"/>
  <c r="Q136" i="3"/>
  <c r="P136" i="3"/>
  <c r="O136" i="3"/>
  <c r="N136" i="3"/>
  <c r="M136" i="3"/>
  <c r="L136" i="3"/>
  <c r="K136" i="3"/>
  <c r="J136" i="3"/>
  <c r="I136" i="3"/>
  <c r="H136" i="3"/>
  <c r="G136" i="3"/>
  <c r="F136" i="3"/>
  <c r="E136" i="3"/>
  <c r="D136" i="3"/>
  <c r="C136" i="3"/>
  <c r="B136" i="3"/>
  <c r="A136" i="3"/>
  <c r="BP135" i="3"/>
  <c r="BO135" i="3"/>
  <c r="BN135" i="3"/>
  <c r="BM135" i="3"/>
  <c r="BL135" i="3"/>
  <c r="BK135" i="3"/>
  <c r="BJ135" i="3"/>
  <c r="BI135" i="3"/>
  <c r="BH135" i="3"/>
  <c r="BG135" i="3"/>
  <c r="BF135" i="3"/>
  <c r="BE135" i="3"/>
  <c r="BD135" i="3"/>
  <c r="BC135" i="3"/>
  <c r="BB135" i="3"/>
  <c r="BA135" i="3"/>
  <c r="AZ135" i="3"/>
  <c r="AY135" i="3"/>
  <c r="AX135" i="3"/>
  <c r="AW135" i="3"/>
  <c r="AV135" i="3"/>
  <c r="AU135" i="3"/>
  <c r="AT135" i="3"/>
  <c r="AS135" i="3"/>
  <c r="AR135" i="3"/>
  <c r="AQ135" i="3"/>
  <c r="AP135" i="3"/>
  <c r="AO135" i="3"/>
  <c r="AN135" i="3"/>
  <c r="AM135" i="3"/>
  <c r="AL135" i="3"/>
  <c r="AK135" i="3"/>
  <c r="AJ135" i="3"/>
  <c r="AI135" i="3"/>
  <c r="AH135" i="3"/>
  <c r="AG135" i="3"/>
  <c r="AF135" i="3"/>
  <c r="AE135" i="3"/>
  <c r="AD135" i="3"/>
  <c r="AC135" i="3"/>
  <c r="AB135" i="3"/>
  <c r="AA135" i="3"/>
  <c r="Z135" i="3"/>
  <c r="Y135" i="3"/>
  <c r="X135" i="3"/>
  <c r="W135" i="3"/>
  <c r="V135" i="3"/>
  <c r="U135" i="3"/>
  <c r="T135" i="3"/>
  <c r="S135" i="3"/>
  <c r="R135" i="3"/>
  <c r="Q135" i="3"/>
  <c r="P135" i="3"/>
  <c r="O135" i="3"/>
  <c r="N135" i="3"/>
  <c r="M135" i="3"/>
  <c r="L135" i="3"/>
  <c r="K135" i="3"/>
  <c r="J135" i="3"/>
  <c r="I135" i="3"/>
  <c r="H135" i="3"/>
  <c r="G135" i="3"/>
  <c r="F135" i="3"/>
  <c r="E135" i="3"/>
  <c r="D135" i="3"/>
  <c r="C135" i="3"/>
  <c r="B135" i="3"/>
  <c r="A135" i="3"/>
  <c r="BP134" i="3"/>
  <c r="BO134" i="3"/>
  <c r="BN134" i="3"/>
  <c r="BM134" i="3"/>
  <c r="BL134" i="3"/>
  <c r="BK134" i="3"/>
  <c r="BJ134" i="3"/>
  <c r="BI134" i="3"/>
  <c r="BH134" i="3"/>
  <c r="BG134" i="3"/>
  <c r="BF134" i="3"/>
  <c r="BE134" i="3"/>
  <c r="BD134" i="3"/>
  <c r="BC134" i="3"/>
  <c r="BB134" i="3"/>
  <c r="BA134" i="3"/>
  <c r="AZ134" i="3"/>
  <c r="AY134" i="3"/>
  <c r="AX134" i="3"/>
  <c r="AW134" i="3"/>
  <c r="AV134" i="3"/>
  <c r="AU134" i="3"/>
  <c r="AT134" i="3"/>
  <c r="AS134" i="3"/>
  <c r="AR134" i="3"/>
  <c r="AQ134" i="3"/>
  <c r="AP134" i="3"/>
  <c r="AO134" i="3"/>
  <c r="AN134" i="3"/>
  <c r="AM134" i="3"/>
  <c r="AL134" i="3"/>
  <c r="AK134" i="3"/>
  <c r="AJ134" i="3"/>
  <c r="AI134" i="3"/>
  <c r="AH134" i="3"/>
  <c r="AG134" i="3"/>
  <c r="AF134" i="3"/>
  <c r="AE134" i="3"/>
  <c r="AD134" i="3"/>
  <c r="AC134" i="3"/>
  <c r="AB134" i="3"/>
  <c r="AA134" i="3"/>
  <c r="Z134" i="3"/>
  <c r="Y134" i="3"/>
  <c r="X134" i="3"/>
  <c r="W134" i="3"/>
  <c r="V134" i="3"/>
  <c r="U134" i="3"/>
  <c r="T134" i="3"/>
  <c r="S134" i="3"/>
  <c r="R134" i="3"/>
  <c r="Q134" i="3"/>
  <c r="P134" i="3"/>
  <c r="O134" i="3"/>
  <c r="N134" i="3"/>
  <c r="M134" i="3"/>
  <c r="L134" i="3"/>
  <c r="K134" i="3"/>
  <c r="J134" i="3"/>
  <c r="I134" i="3"/>
  <c r="H134" i="3"/>
  <c r="G134" i="3"/>
  <c r="F134" i="3"/>
  <c r="E134" i="3"/>
  <c r="D134" i="3"/>
  <c r="B134" i="3"/>
  <c r="A134" i="3"/>
  <c r="BP133" i="3"/>
  <c r="BO133" i="3"/>
  <c r="BN133" i="3"/>
  <c r="BM133" i="3"/>
  <c r="BL133" i="3"/>
  <c r="BK133" i="3"/>
  <c r="BJ133" i="3"/>
  <c r="BI133" i="3"/>
  <c r="BH133" i="3"/>
  <c r="BG133" i="3"/>
  <c r="BF133" i="3"/>
  <c r="BE133" i="3"/>
  <c r="BD133" i="3"/>
  <c r="BC133" i="3"/>
  <c r="BB133" i="3"/>
  <c r="BA133" i="3"/>
  <c r="AZ133" i="3"/>
  <c r="AY133" i="3"/>
  <c r="AX133" i="3"/>
  <c r="AW133" i="3"/>
  <c r="AV133" i="3"/>
  <c r="AU133" i="3"/>
  <c r="AT133" i="3"/>
  <c r="AS133" i="3"/>
  <c r="AR133" i="3"/>
  <c r="AQ133" i="3"/>
  <c r="AP133" i="3"/>
  <c r="AO133" i="3"/>
  <c r="AN133" i="3"/>
  <c r="AM133" i="3"/>
  <c r="AL133" i="3"/>
  <c r="AK133" i="3"/>
  <c r="AJ133" i="3"/>
  <c r="AI133" i="3"/>
  <c r="AH133" i="3"/>
  <c r="AG133" i="3"/>
  <c r="AF133" i="3"/>
  <c r="AE133" i="3"/>
  <c r="AD133" i="3"/>
  <c r="AC133" i="3"/>
  <c r="AB133" i="3"/>
  <c r="AA133" i="3"/>
  <c r="Z133" i="3"/>
  <c r="Y133" i="3"/>
  <c r="X133" i="3"/>
  <c r="W133" i="3"/>
  <c r="V133" i="3"/>
  <c r="U133" i="3"/>
  <c r="T133" i="3"/>
  <c r="S133" i="3"/>
  <c r="R133" i="3"/>
  <c r="Q133" i="3"/>
  <c r="P133" i="3"/>
  <c r="O133" i="3"/>
  <c r="N133" i="3"/>
  <c r="M133" i="3"/>
  <c r="L133" i="3"/>
  <c r="K133" i="3"/>
  <c r="J133" i="3"/>
  <c r="I133" i="3"/>
  <c r="H133" i="3"/>
  <c r="G133" i="3"/>
  <c r="F133" i="3"/>
  <c r="E133" i="3"/>
  <c r="D133" i="3"/>
  <c r="C133" i="3"/>
  <c r="B133" i="3"/>
  <c r="A133" i="3"/>
  <c r="BP132" i="3"/>
  <c r="BO132" i="3"/>
  <c r="BN132" i="3"/>
  <c r="BM132" i="3"/>
  <c r="BL132" i="3"/>
  <c r="BK132" i="3"/>
  <c r="BJ132" i="3"/>
  <c r="BI132" i="3"/>
  <c r="BH132" i="3"/>
  <c r="BG132" i="3"/>
  <c r="BF132" i="3"/>
  <c r="BE132" i="3"/>
  <c r="BD132" i="3"/>
  <c r="BC132" i="3"/>
  <c r="BB132" i="3"/>
  <c r="BA132" i="3"/>
  <c r="AZ132" i="3"/>
  <c r="AY132" i="3"/>
  <c r="AX132" i="3"/>
  <c r="AW132" i="3"/>
  <c r="AV132" i="3"/>
  <c r="AU132" i="3"/>
  <c r="AT132" i="3"/>
  <c r="AS132" i="3"/>
  <c r="AR132" i="3"/>
  <c r="AQ132" i="3"/>
  <c r="AP132" i="3"/>
  <c r="AO132" i="3"/>
  <c r="AN132" i="3"/>
  <c r="AM132" i="3"/>
  <c r="AL132" i="3"/>
  <c r="AK132" i="3"/>
  <c r="AJ132" i="3"/>
  <c r="AI132" i="3"/>
  <c r="AH132" i="3"/>
  <c r="AG132" i="3"/>
  <c r="AF132" i="3"/>
  <c r="AE132" i="3"/>
  <c r="AD132" i="3"/>
  <c r="AC132" i="3"/>
  <c r="AB132" i="3"/>
  <c r="AA132" i="3"/>
  <c r="Z132" i="3"/>
  <c r="Y132" i="3"/>
  <c r="X132" i="3"/>
  <c r="W132" i="3"/>
  <c r="V132" i="3"/>
  <c r="U132" i="3"/>
  <c r="T132" i="3"/>
  <c r="S132" i="3"/>
  <c r="R132" i="3"/>
  <c r="Q132" i="3"/>
  <c r="P132" i="3"/>
  <c r="O132" i="3"/>
  <c r="N132" i="3"/>
  <c r="M132" i="3"/>
  <c r="L132" i="3"/>
  <c r="K132" i="3"/>
  <c r="J132" i="3"/>
  <c r="I132" i="3"/>
  <c r="H132" i="3"/>
  <c r="G132" i="3"/>
  <c r="F132" i="3"/>
  <c r="E132" i="3"/>
  <c r="D132" i="3"/>
  <c r="B132" i="3"/>
  <c r="A132" i="3"/>
  <c r="BP131" i="3"/>
  <c r="BO131" i="3"/>
  <c r="BN131" i="3"/>
  <c r="BM131" i="3"/>
  <c r="BL131" i="3"/>
  <c r="BK131" i="3"/>
  <c r="BJ131" i="3"/>
  <c r="BI131" i="3"/>
  <c r="BH131" i="3"/>
  <c r="BG131" i="3"/>
  <c r="BF131" i="3"/>
  <c r="BE131" i="3"/>
  <c r="BD131" i="3"/>
  <c r="BC131" i="3"/>
  <c r="BB131" i="3"/>
  <c r="BA131" i="3"/>
  <c r="AZ131" i="3"/>
  <c r="AY131" i="3"/>
  <c r="AX131" i="3"/>
  <c r="AW131" i="3"/>
  <c r="AV131" i="3"/>
  <c r="AU131" i="3"/>
  <c r="AT131" i="3"/>
  <c r="AS131" i="3"/>
  <c r="AR131" i="3"/>
  <c r="AQ131" i="3"/>
  <c r="AP131" i="3"/>
  <c r="AO131" i="3"/>
  <c r="AN131" i="3"/>
  <c r="AM131" i="3"/>
  <c r="AL131" i="3"/>
  <c r="AK131" i="3"/>
  <c r="AJ131" i="3"/>
  <c r="AI131" i="3"/>
  <c r="AH131" i="3"/>
  <c r="AG131" i="3"/>
  <c r="AF131" i="3"/>
  <c r="AE131" i="3"/>
  <c r="AD131" i="3"/>
  <c r="AC131" i="3"/>
  <c r="AB131" i="3"/>
  <c r="AA131" i="3"/>
  <c r="Z131" i="3"/>
  <c r="Y131" i="3"/>
  <c r="X131" i="3"/>
  <c r="W131" i="3"/>
  <c r="V131" i="3"/>
  <c r="U131" i="3"/>
  <c r="T131" i="3"/>
  <c r="S131" i="3"/>
  <c r="R131" i="3"/>
  <c r="Q131" i="3"/>
  <c r="P131" i="3"/>
  <c r="O131" i="3"/>
  <c r="N131" i="3"/>
  <c r="M131" i="3"/>
  <c r="L131" i="3"/>
  <c r="K131" i="3"/>
  <c r="J131" i="3"/>
  <c r="I131" i="3"/>
  <c r="H131" i="3"/>
  <c r="G131" i="3"/>
  <c r="F131" i="3"/>
  <c r="E131" i="3"/>
  <c r="D131" i="3"/>
  <c r="C131" i="3"/>
  <c r="B131" i="3"/>
  <c r="A131" i="3"/>
  <c r="BP130" i="3"/>
  <c r="BO130" i="3"/>
  <c r="BN130" i="3"/>
  <c r="BM130" i="3"/>
  <c r="BL130" i="3"/>
  <c r="BK130" i="3"/>
  <c r="BJ130" i="3"/>
  <c r="BI130" i="3"/>
  <c r="BH130" i="3"/>
  <c r="BG130" i="3"/>
  <c r="BF130" i="3"/>
  <c r="BE130" i="3"/>
  <c r="BD130" i="3"/>
  <c r="BC130" i="3"/>
  <c r="BB130" i="3"/>
  <c r="BA130" i="3"/>
  <c r="AZ130" i="3"/>
  <c r="AY130" i="3"/>
  <c r="AX130" i="3"/>
  <c r="AW130" i="3"/>
  <c r="AV130" i="3"/>
  <c r="AU130" i="3"/>
  <c r="AT130" i="3"/>
  <c r="AS130" i="3"/>
  <c r="AR130" i="3"/>
  <c r="AQ130" i="3"/>
  <c r="AP130" i="3"/>
  <c r="AO130" i="3"/>
  <c r="AN130" i="3"/>
  <c r="AM130" i="3"/>
  <c r="AL130" i="3"/>
  <c r="AK130" i="3"/>
  <c r="AJ130" i="3"/>
  <c r="AI130" i="3"/>
  <c r="AH130" i="3"/>
  <c r="AG130" i="3"/>
  <c r="AF130" i="3"/>
  <c r="AE130" i="3"/>
  <c r="AD130" i="3"/>
  <c r="AC130" i="3"/>
  <c r="AB130" i="3"/>
  <c r="AA130" i="3"/>
  <c r="Z130" i="3"/>
  <c r="Y130" i="3"/>
  <c r="X130" i="3"/>
  <c r="W130" i="3"/>
  <c r="V130" i="3"/>
  <c r="U130" i="3"/>
  <c r="T130" i="3"/>
  <c r="S130" i="3"/>
  <c r="R130" i="3"/>
  <c r="Q130" i="3"/>
  <c r="P130" i="3"/>
  <c r="O130" i="3"/>
  <c r="N130" i="3"/>
  <c r="M130" i="3"/>
  <c r="L130" i="3"/>
  <c r="K130" i="3"/>
  <c r="J130" i="3"/>
  <c r="I130" i="3"/>
  <c r="H130" i="3"/>
  <c r="G130" i="3"/>
  <c r="F130" i="3"/>
  <c r="E130" i="3"/>
  <c r="D130" i="3"/>
  <c r="C130" i="3"/>
  <c r="B130" i="3"/>
  <c r="A130" i="3"/>
  <c r="BP129" i="3"/>
  <c r="BO129" i="3"/>
  <c r="BN129" i="3"/>
  <c r="BM129" i="3"/>
  <c r="BL129" i="3"/>
  <c r="BK129" i="3"/>
  <c r="BJ129" i="3"/>
  <c r="BI129" i="3"/>
  <c r="BH129" i="3"/>
  <c r="BG129" i="3"/>
  <c r="BF129" i="3"/>
  <c r="BE129" i="3"/>
  <c r="BD129" i="3"/>
  <c r="BC129" i="3"/>
  <c r="BB129" i="3"/>
  <c r="BA129" i="3"/>
  <c r="AZ129" i="3"/>
  <c r="AY129" i="3"/>
  <c r="AX129" i="3"/>
  <c r="AW129" i="3"/>
  <c r="AV129" i="3"/>
  <c r="AU129" i="3"/>
  <c r="AT129" i="3"/>
  <c r="AS129" i="3"/>
  <c r="AR129" i="3"/>
  <c r="AQ129" i="3"/>
  <c r="AP129" i="3"/>
  <c r="AO129" i="3"/>
  <c r="AN129" i="3"/>
  <c r="AM129" i="3"/>
  <c r="AL129" i="3"/>
  <c r="AK129" i="3"/>
  <c r="AJ129" i="3"/>
  <c r="AI129" i="3"/>
  <c r="AH129" i="3"/>
  <c r="AG129" i="3"/>
  <c r="AF129" i="3"/>
  <c r="AE129" i="3"/>
  <c r="AD129" i="3"/>
  <c r="AC129" i="3"/>
  <c r="AB129" i="3"/>
  <c r="AA129" i="3"/>
  <c r="Z129" i="3"/>
  <c r="Y129" i="3"/>
  <c r="X129" i="3"/>
  <c r="W129" i="3"/>
  <c r="V129" i="3"/>
  <c r="U129" i="3"/>
  <c r="T129" i="3"/>
  <c r="S129" i="3"/>
  <c r="R129" i="3"/>
  <c r="Q129" i="3"/>
  <c r="P129" i="3"/>
  <c r="O129" i="3"/>
  <c r="N129" i="3"/>
  <c r="M129" i="3"/>
  <c r="L129" i="3"/>
  <c r="K129" i="3"/>
  <c r="J129" i="3"/>
  <c r="I129" i="3"/>
  <c r="H129" i="3"/>
  <c r="G129" i="3"/>
  <c r="F129" i="3"/>
  <c r="E129" i="3"/>
  <c r="D129" i="3"/>
  <c r="C129" i="3"/>
  <c r="B129" i="3"/>
  <c r="A129" i="3"/>
  <c r="BP128" i="3"/>
  <c r="BO128" i="3"/>
  <c r="BN128" i="3"/>
  <c r="BM128" i="3"/>
  <c r="BL128" i="3"/>
  <c r="BK128" i="3"/>
  <c r="BJ128" i="3"/>
  <c r="BI128" i="3"/>
  <c r="BH128" i="3"/>
  <c r="BG128" i="3"/>
  <c r="BF128" i="3"/>
  <c r="BE128" i="3"/>
  <c r="BD128" i="3"/>
  <c r="BC128" i="3"/>
  <c r="BB128" i="3"/>
  <c r="BA128" i="3"/>
  <c r="AZ128" i="3"/>
  <c r="AY128" i="3"/>
  <c r="AX128" i="3"/>
  <c r="AW128" i="3"/>
  <c r="AV128" i="3"/>
  <c r="AU128" i="3"/>
  <c r="AT128" i="3"/>
  <c r="AS128" i="3"/>
  <c r="AR128" i="3"/>
  <c r="AQ128" i="3"/>
  <c r="AP128" i="3"/>
  <c r="AO128" i="3"/>
  <c r="AN128" i="3"/>
  <c r="AM128" i="3"/>
  <c r="AL128" i="3"/>
  <c r="AK128" i="3"/>
  <c r="AJ128" i="3"/>
  <c r="AI128" i="3"/>
  <c r="AH128" i="3"/>
  <c r="AG128" i="3"/>
  <c r="AF128" i="3"/>
  <c r="AE128" i="3"/>
  <c r="AD128" i="3"/>
  <c r="AC128" i="3"/>
  <c r="AB128" i="3"/>
  <c r="AA128" i="3"/>
  <c r="Z128" i="3"/>
  <c r="Y128" i="3"/>
  <c r="X128" i="3"/>
  <c r="W128" i="3"/>
  <c r="V128" i="3"/>
  <c r="U128" i="3"/>
  <c r="T128" i="3"/>
  <c r="S128" i="3"/>
  <c r="R128" i="3"/>
  <c r="Q128" i="3"/>
  <c r="P128" i="3"/>
  <c r="O128" i="3"/>
  <c r="N128" i="3"/>
  <c r="M128" i="3"/>
  <c r="L128" i="3"/>
  <c r="K128" i="3"/>
  <c r="J128" i="3"/>
  <c r="I128" i="3"/>
  <c r="H128" i="3"/>
  <c r="G128" i="3"/>
  <c r="F128" i="3"/>
  <c r="E128" i="3"/>
  <c r="D128" i="3"/>
  <c r="C128" i="3"/>
  <c r="B128" i="3"/>
  <c r="A128" i="3"/>
  <c r="BP127" i="3"/>
  <c r="BO127" i="3"/>
  <c r="BN127" i="3"/>
  <c r="BM127" i="3"/>
  <c r="BL127" i="3"/>
  <c r="BK127" i="3"/>
  <c r="BJ127" i="3"/>
  <c r="BI127" i="3"/>
  <c r="BH127" i="3"/>
  <c r="BG127" i="3"/>
  <c r="BF127" i="3"/>
  <c r="BE127" i="3"/>
  <c r="BD127" i="3"/>
  <c r="BC127" i="3"/>
  <c r="BB127" i="3"/>
  <c r="BA127" i="3"/>
  <c r="AZ127" i="3"/>
  <c r="AY127" i="3"/>
  <c r="AX127" i="3"/>
  <c r="AW127" i="3"/>
  <c r="AV127" i="3"/>
  <c r="AU127" i="3"/>
  <c r="AT127" i="3"/>
  <c r="AS127" i="3"/>
  <c r="AR127" i="3"/>
  <c r="AQ127" i="3"/>
  <c r="AP127" i="3"/>
  <c r="AO127" i="3"/>
  <c r="AN127" i="3"/>
  <c r="AM127" i="3"/>
  <c r="AL127" i="3"/>
  <c r="AK127" i="3"/>
  <c r="AJ127" i="3"/>
  <c r="AI127" i="3"/>
  <c r="AH127" i="3"/>
  <c r="AG127" i="3"/>
  <c r="AF127" i="3"/>
  <c r="AE127" i="3"/>
  <c r="AD127" i="3"/>
  <c r="AC127" i="3"/>
  <c r="AB127" i="3"/>
  <c r="AA127" i="3"/>
  <c r="Z127" i="3"/>
  <c r="Y127" i="3"/>
  <c r="X127" i="3"/>
  <c r="W127" i="3"/>
  <c r="V127" i="3"/>
  <c r="U127" i="3"/>
  <c r="T127" i="3"/>
  <c r="S127" i="3"/>
  <c r="R127" i="3"/>
  <c r="Q127" i="3"/>
  <c r="P127" i="3"/>
  <c r="O127" i="3"/>
  <c r="N127" i="3"/>
  <c r="M127" i="3"/>
  <c r="L127" i="3"/>
  <c r="K127" i="3"/>
  <c r="J127" i="3"/>
  <c r="I127" i="3"/>
  <c r="H127" i="3"/>
  <c r="G127" i="3"/>
  <c r="F127" i="3"/>
  <c r="E127" i="3"/>
  <c r="D127" i="3"/>
  <c r="C127" i="3"/>
  <c r="B127" i="3"/>
  <c r="A127" i="3"/>
  <c r="BP126" i="3"/>
  <c r="BO126" i="3"/>
  <c r="BN126" i="3"/>
  <c r="BM126" i="3"/>
  <c r="BL126" i="3"/>
  <c r="BK126" i="3"/>
  <c r="BJ126" i="3"/>
  <c r="BI126" i="3"/>
  <c r="BH126" i="3"/>
  <c r="BG126" i="3"/>
  <c r="BF126" i="3"/>
  <c r="BE126" i="3"/>
  <c r="BD126" i="3"/>
  <c r="BC126" i="3"/>
  <c r="BB126" i="3"/>
  <c r="BA126" i="3"/>
  <c r="AZ126" i="3"/>
  <c r="AY126" i="3"/>
  <c r="AX126" i="3"/>
  <c r="AW126" i="3"/>
  <c r="AV126" i="3"/>
  <c r="AU126" i="3"/>
  <c r="AT126" i="3"/>
  <c r="AS126" i="3"/>
  <c r="AR126" i="3"/>
  <c r="AQ126" i="3"/>
  <c r="AP126" i="3"/>
  <c r="AO126" i="3"/>
  <c r="AN126" i="3"/>
  <c r="AM126" i="3"/>
  <c r="AL126" i="3"/>
  <c r="AK126" i="3"/>
  <c r="AJ126" i="3"/>
  <c r="AI126" i="3"/>
  <c r="AH126" i="3"/>
  <c r="AG126" i="3"/>
  <c r="AF126" i="3"/>
  <c r="AE126" i="3"/>
  <c r="AD126" i="3"/>
  <c r="AC126" i="3"/>
  <c r="AB126" i="3"/>
  <c r="AA126" i="3"/>
  <c r="Z126" i="3"/>
  <c r="Y126" i="3"/>
  <c r="X126" i="3"/>
  <c r="W126" i="3"/>
  <c r="V126" i="3"/>
  <c r="U126" i="3"/>
  <c r="T126" i="3"/>
  <c r="S126" i="3"/>
  <c r="R126" i="3"/>
  <c r="Q126" i="3"/>
  <c r="P126" i="3"/>
  <c r="O126" i="3"/>
  <c r="N126" i="3"/>
  <c r="M126" i="3"/>
  <c r="L126" i="3"/>
  <c r="K126" i="3"/>
  <c r="J126" i="3"/>
  <c r="I126" i="3"/>
  <c r="H126" i="3"/>
  <c r="G126" i="3"/>
  <c r="F126" i="3"/>
  <c r="E126" i="3"/>
  <c r="D126" i="3"/>
  <c r="C126" i="3"/>
  <c r="B126" i="3"/>
  <c r="A126" i="3"/>
  <c r="BP125" i="3"/>
  <c r="BO125" i="3"/>
  <c r="BN125" i="3"/>
  <c r="BM125" i="3"/>
  <c r="BL125" i="3"/>
  <c r="BK125" i="3"/>
  <c r="BJ125" i="3"/>
  <c r="BI125" i="3"/>
  <c r="BH125" i="3"/>
  <c r="BG125" i="3"/>
  <c r="BF125" i="3"/>
  <c r="BE125" i="3"/>
  <c r="BD125" i="3"/>
  <c r="BC125" i="3"/>
  <c r="BB125" i="3"/>
  <c r="BA125" i="3"/>
  <c r="AZ125" i="3"/>
  <c r="AY125" i="3"/>
  <c r="AX125" i="3"/>
  <c r="AW125" i="3"/>
  <c r="AV125" i="3"/>
  <c r="AU125" i="3"/>
  <c r="AT125" i="3"/>
  <c r="AS125" i="3"/>
  <c r="AR125" i="3"/>
  <c r="AQ125" i="3"/>
  <c r="AP125" i="3"/>
  <c r="AO125" i="3"/>
  <c r="AN125" i="3"/>
  <c r="AM125" i="3"/>
  <c r="AL125" i="3"/>
  <c r="AK125" i="3"/>
  <c r="AJ125" i="3"/>
  <c r="AI125" i="3"/>
  <c r="AH125" i="3"/>
  <c r="AG125" i="3"/>
  <c r="AF125" i="3"/>
  <c r="AE125" i="3"/>
  <c r="AD125" i="3"/>
  <c r="AC125" i="3"/>
  <c r="AB125" i="3"/>
  <c r="AA125" i="3"/>
  <c r="Z125" i="3"/>
  <c r="Y125" i="3"/>
  <c r="X125" i="3"/>
  <c r="W125" i="3"/>
  <c r="V125" i="3"/>
  <c r="U125" i="3"/>
  <c r="T125" i="3"/>
  <c r="S125" i="3"/>
  <c r="R125" i="3"/>
  <c r="Q125" i="3"/>
  <c r="P125" i="3"/>
  <c r="O125" i="3"/>
  <c r="N125" i="3"/>
  <c r="M125" i="3"/>
  <c r="L125" i="3"/>
  <c r="K125" i="3"/>
  <c r="J125" i="3"/>
  <c r="I125" i="3"/>
  <c r="H125" i="3"/>
  <c r="G125" i="3"/>
  <c r="F125" i="3"/>
  <c r="E125" i="3"/>
  <c r="D125" i="3"/>
  <c r="C125" i="3"/>
  <c r="B125" i="3"/>
  <c r="A125" i="3"/>
  <c r="BP124" i="3"/>
  <c r="BO124" i="3"/>
  <c r="BN124" i="3"/>
  <c r="BM124" i="3"/>
  <c r="BL124" i="3"/>
  <c r="BK124" i="3"/>
  <c r="BJ124" i="3"/>
  <c r="BI124" i="3"/>
  <c r="BH124" i="3"/>
  <c r="BG124" i="3"/>
  <c r="BF124" i="3"/>
  <c r="BE124" i="3"/>
  <c r="BD124" i="3"/>
  <c r="BC124" i="3"/>
  <c r="BB124" i="3"/>
  <c r="BA124" i="3"/>
  <c r="AZ124" i="3"/>
  <c r="AY124" i="3"/>
  <c r="AX124" i="3"/>
  <c r="AW124" i="3"/>
  <c r="AV124" i="3"/>
  <c r="AU124" i="3"/>
  <c r="AT124" i="3"/>
  <c r="AS124" i="3"/>
  <c r="AR124" i="3"/>
  <c r="AQ124" i="3"/>
  <c r="AP124" i="3"/>
  <c r="AO124" i="3"/>
  <c r="AN124" i="3"/>
  <c r="AM124" i="3"/>
  <c r="AL124" i="3"/>
  <c r="AK124" i="3"/>
  <c r="AJ124" i="3"/>
  <c r="AI124" i="3"/>
  <c r="AH124" i="3"/>
  <c r="AG124" i="3"/>
  <c r="AF124" i="3"/>
  <c r="AE124" i="3"/>
  <c r="AD124" i="3"/>
  <c r="AC124" i="3"/>
  <c r="AB124" i="3"/>
  <c r="AA124" i="3"/>
  <c r="Z124" i="3"/>
  <c r="Y124" i="3"/>
  <c r="X124" i="3"/>
  <c r="W124" i="3"/>
  <c r="V124" i="3"/>
  <c r="U124" i="3"/>
  <c r="T124" i="3"/>
  <c r="S124" i="3"/>
  <c r="R124" i="3"/>
  <c r="Q124" i="3"/>
  <c r="P124" i="3"/>
  <c r="O124" i="3"/>
  <c r="N124" i="3"/>
  <c r="M124" i="3"/>
  <c r="L124" i="3"/>
  <c r="K124" i="3"/>
  <c r="J124" i="3"/>
  <c r="I124" i="3"/>
  <c r="H124" i="3"/>
  <c r="G124" i="3"/>
  <c r="F124" i="3"/>
  <c r="E124" i="3"/>
  <c r="D124" i="3"/>
  <c r="C124" i="3"/>
  <c r="B124" i="3"/>
  <c r="A124" i="3"/>
  <c r="BP123" i="3"/>
  <c r="BO123" i="3"/>
  <c r="BN123" i="3"/>
  <c r="BM123" i="3"/>
  <c r="BL123" i="3"/>
  <c r="BK123" i="3"/>
  <c r="BJ123" i="3"/>
  <c r="BI123" i="3"/>
  <c r="BH123" i="3"/>
  <c r="BG123" i="3"/>
  <c r="BF123" i="3"/>
  <c r="BE123" i="3"/>
  <c r="BD123" i="3"/>
  <c r="BC123" i="3"/>
  <c r="BB123" i="3"/>
  <c r="BA123" i="3"/>
  <c r="AZ123" i="3"/>
  <c r="AY123" i="3"/>
  <c r="AX123" i="3"/>
  <c r="AW123" i="3"/>
  <c r="AV123" i="3"/>
  <c r="AU123" i="3"/>
  <c r="AT123" i="3"/>
  <c r="AS123" i="3"/>
  <c r="AR123" i="3"/>
  <c r="AQ123" i="3"/>
  <c r="AP123" i="3"/>
  <c r="AO123" i="3"/>
  <c r="AN123" i="3"/>
  <c r="AM123" i="3"/>
  <c r="AL123" i="3"/>
  <c r="AK123" i="3"/>
  <c r="AJ123" i="3"/>
  <c r="AI123" i="3"/>
  <c r="AH123" i="3"/>
  <c r="AG123" i="3"/>
  <c r="AF123" i="3"/>
  <c r="AE123" i="3"/>
  <c r="AD123" i="3"/>
  <c r="AC123" i="3"/>
  <c r="AB123" i="3"/>
  <c r="AA123" i="3"/>
  <c r="Z123" i="3"/>
  <c r="Y123" i="3"/>
  <c r="X123" i="3"/>
  <c r="W123" i="3"/>
  <c r="V123" i="3"/>
  <c r="U123" i="3"/>
  <c r="T123" i="3"/>
  <c r="S123" i="3"/>
  <c r="R123" i="3"/>
  <c r="Q123" i="3"/>
  <c r="P123" i="3"/>
  <c r="O123" i="3"/>
  <c r="N123" i="3"/>
  <c r="M123" i="3"/>
  <c r="L123" i="3"/>
  <c r="K123" i="3"/>
  <c r="J123" i="3"/>
  <c r="I123" i="3"/>
  <c r="H123" i="3"/>
  <c r="G123" i="3"/>
  <c r="F123" i="3"/>
  <c r="E123" i="3"/>
  <c r="D123" i="3"/>
  <c r="C123" i="3"/>
  <c r="B123" i="3"/>
  <c r="A123" i="3"/>
  <c r="BP122" i="3"/>
  <c r="BO122" i="3"/>
  <c r="BN122" i="3"/>
  <c r="BM122" i="3"/>
  <c r="BL122" i="3"/>
  <c r="BK122" i="3"/>
  <c r="BJ122" i="3"/>
  <c r="BI122" i="3"/>
  <c r="BH122" i="3"/>
  <c r="BG122" i="3"/>
  <c r="BF122" i="3"/>
  <c r="BE122" i="3"/>
  <c r="BD122" i="3"/>
  <c r="BC122" i="3"/>
  <c r="BB122" i="3"/>
  <c r="BA122" i="3"/>
  <c r="AZ122" i="3"/>
  <c r="AY122" i="3"/>
  <c r="AX122" i="3"/>
  <c r="AW122" i="3"/>
  <c r="AV122" i="3"/>
  <c r="AU122" i="3"/>
  <c r="AT122" i="3"/>
  <c r="AS122" i="3"/>
  <c r="AR122" i="3"/>
  <c r="AQ122" i="3"/>
  <c r="AP122" i="3"/>
  <c r="AO122" i="3"/>
  <c r="AN122" i="3"/>
  <c r="AM122" i="3"/>
  <c r="AL122" i="3"/>
  <c r="AK122" i="3"/>
  <c r="AJ122" i="3"/>
  <c r="AI122" i="3"/>
  <c r="AH122" i="3"/>
  <c r="AG122" i="3"/>
  <c r="AF122" i="3"/>
  <c r="AE122" i="3"/>
  <c r="AD122" i="3"/>
  <c r="AC122" i="3"/>
  <c r="AB122" i="3"/>
  <c r="AA122" i="3"/>
  <c r="Z122" i="3"/>
  <c r="Y122" i="3"/>
  <c r="X122" i="3"/>
  <c r="W122" i="3"/>
  <c r="V122" i="3"/>
  <c r="U122" i="3"/>
  <c r="T122" i="3"/>
  <c r="S122" i="3"/>
  <c r="R122" i="3"/>
  <c r="Q122" i="3"/>
  <c r="P122" i="3"/>
  <c r="O122" i="3"/>
  <c r="N122" i="3"/>
  <c r="M122" i="3"/>
  <c r="L122" i="3"/>
  <c r="K122" i="3"/>
  <c r="J122" i="3"/>
  <c r="I122" i="3"/>
  <c r="H122" i="3"/>
  <c r="G122" i="3"/>
  <c r="F122" i="3"/>
  <c r="E122" i="3"/>
  <c r="D122" i="3"/>
  <c r="B122" i="3"/>
  <c r="A122" i="3"/>
  <c r="BP121" i="3"/>
  <c r="BO121" i="3"/>
  <c r="BN121" i="3"/>
  <c r="BM121" i="3"/>
  <c r="BL121" i="3"/>
  <c r="BK121" i="3"/>
  <c r="BJ121" i="3"/>
  <c r="BI121" i="3"/>
  <c r="BH121" i="3"/>
  <c r="BG121" i="3"/>
  <c r="BF121" i="3"/>
  <c r="BE121" i="3"/>
  <c r="BD121" i="3"/>
  <c r="BC121" i="3"/>
  <c r="BB121" i="3"/>
  <c r="BA121" i="3"/>
  <c r="AZ121" i="3"/>
  <c r="AY121" i="3"/>
  <c r="AX121" i="3"/>
  <c r="AW121" i="3"/>
  <c r="AV121" i="3"/>
  <c r="AU121" i="3"/>
  <c r="AT121" i="3"/>
  <c r="AS121" i="3"/>
  <c r="AR121" i="3"/>
  <c r="AQ121" i="3"/>
  <c r="AP121" i="3"/>
  <c r="AO121" i="3"/>
  <c r="AN121" i="3"/>
  <c r="AM121" i="3"/>
  <c r="AL121" i="3"/>
  <c r="AK121" i="3"/>
  <c r="AJ121" i="3"/>
  <c r="AI121" i="3"/>
  <c r="AH121" i="3"/>
  <c r="AG121" i="3"/>
  <c r="AF121" i="3"/>
  <c r="AE121" i="3"/>
  <c r="AD121" i="3"/>
  <c r="AC121" i="3"/>
  <c r="AB121" i="3"/>
  <c r="AA121" i="3"/>
  <c r="Z121" i="3"/>
  <c r="Y121" i="3"/>
  <c r="X121" i="3"/>
  <c r="W121" i="3"/>
  <c r="V121" i="3"/>
  <c r="U121" i="3"/>
  <c r="T121" i="3"/>
  <c r="S121" i="3"/>
  <c r="R121" i="3"/>
  <c r="Q121" i="3"/>
  <c r="P121" i="3"/>
  <c r="O121" i="3"/>
  <c r="N121" i="3"/>
  <c r="M121" i="3"/>
  <c r="L121" i="3"/>
  <c r="K121" i="3"/>
  <c r="J121" i="3"/>
  <c r="I121" i="3"/>
  <c r="H121" i="3"/>
  <c r="G121" i="3"/>
  <c r="F121" i="3"/>
  <c r="E121" i="3"/>
  <c r="D121" i="3"/>
  <c r="C121" i="3"/>
  <c r="B121" i="3"/>
  <c r="A121" i="3"/>
  <c r="BP120" i="3"/>
  <c r="BO120" i="3"/>
  <c r="BN120" i="3"/>
  <c r="BM120" i="3"/>
  <c r="BL120" i="3"/>
  <c r="BK120" i="3"/>
  <c r="BJ120" i="3"/>
  <c r="BI120" i="3"/>
  <c r="BH120" i="3"/>
  <c r="BG120" i="3"/>
  <c r="BF120" i="3"/>
  <c r="BE120" i="3"/>
  <c r="BD120" i="3"/>
  <c r="BC120" i="3"/>
  <c r="BB120" i="3"/>
  <c r="BA120" i="3"/>
  <c r="AZ120" i="3"/>
  <c r="AY120" i="3"/>
  <c r="AX120" i="3"/>
  <c r="AW120" i="3"/>
  <c r="AV120" i="3"/>
  <c r="AU120" i="3"/>
  <c r="AT120" i="3"/>
  <c r="AS120" i="3"/>
  <c r="AR120" i="3"/>
  <c r="AQ120" i="3"/>
  <c r="AP120" i="3"/>
  <c r="AO120" i="3"/>
  <c r="AN120" i="3"/>
  <c r="AM120" i="3"/>
  <c r="AL120" i="3"/>
  <c r="AK120" i="3"/>
  <c r="AJ120" i="3"/>
  <c r="AI120" i="3"/>
  <c r="AH120" i="3"/>
  <c r="AG120" i="3"/>
  <c r="AF120" i="3"/>
  <c r="AE120" i="3"/>
  <c r="AD120" i="3"/>
  <c r="AC120" i="3"/>
  <c r="AB120" i="3"/>
  <c r="AA120" i="3"/>
  <c r="Z120" i="3"/>
  <c r="Y120" i="3"/>
  <c r="X120" i="3"/>
  <c r="W120" i="3"/>
  <c r="V120" i="3"/>
  <c r="U120" i="3"/>
  <c r="T120" i="3"/>
  <c r="S120" i="3"/>
  <c r="R120" i="3"/>
  <c r="Q120" i="3"/>
  <c r="P120" i="3"/>
  <c r="O120" i="3"/>
  <c r="N120" i="3"/>
  <c r="M120" i="3"/>
  <c r="L120" i="3"/>
  <c r="K120" i="3"/>
  <c r="J120" i="3"/>
  <c r="I120" i="3"/>
  <c r="H120" i="3"/>
  <c r="G120" i="3"/>
  <c r="F120" i="3"/>
  <c r="E120" i="3"/>
  <c r="D120" i="3"/>
  <c r="C120" i="3"/>
  <c r="B120" i="3"/>
  <c r="A120" i="3"/>
  <c r="BP119" i="3"/>
  <c r="BO119" i="3"/>
  <c r="BN119" i="3"/>
  <c r="BM119" i="3"/>
  <c r="BL119" i="3"/>
  <c r="BK119" i="3"/>
  <c r="BJ119" i="3"/>
  <c r="BI119" i="3"/>
  <c r="BH119" i="3"/>
  <c r="BG119" i="3"/>
  <c r="BF119" i="3"/>
  <c r="BE119" i="3"/>
  <c r="BD119" i="3"/>
  <c r="BC119" i="3"/>
  <c r="BB119" i="3"/>
  <c r="BA119" i="3"/>
  <c r="AZ119" i="3"/>
  <c r="AY119" i="3"/>
  <c r="AX119" i="3"/>
  <c r="AW119" i="3"/>
  <c r="AV119" i="3"/>
  <c r="AU119" i="3"/>
  <c r="AT119" i="3"/>
  <c r="AS119" i="3"/>
  <c r="AR119" i="3"/>
  <c r="AQ119" i="3"/>
  <c r="AP119" i="3"/>
  <c r="AO119" i="3"/>
  <c r="AN119" i="3"/>
  <c r="AM119" i="3"/>
  <c r="AL119" i="3"/>
  <c r="AK119" i="3"/>
  <c r="AJ119" i="3"/>
  <c r="AI119" i="3"/>
  <c r="AH119" i="3"/>
  <c r="AG119" i="3"/>
  <c r="AF119" i="3"/>
  <c r="AE119" i="3"/>
  <c r="AD119" i="3"/>
  <c r="AC119" i="3"/>
  <c r="AB119" i="3"/>
  <c r="AA119" i="3"/>
  <c r="Z119" i="3"/>
  <c r="Y119" i="3"/>
  <c r="X119" i="3"/>
  <c r="W119" i="3"/>
  <c r="V119" i="3"/>
  <c r="U119" i="3"/>
  <c r="T119" i="3"/>
  <c r="S119" i="3"/>
  <c r="R119" i="3"/>
  <c r="Q119" i="3"/>
  <c r="P119" i="3"/>
  <c r="O119" i="3"/>
  <c r="N119" i="3"/>
  <c r="M119" i="3"/>
  <c r="L119" i="3"/>
  <c r="K119" i="3"/>
  <c r="J119" i="3"/>
  <c r="I119" i="3"/>
  <c r="H119" i="3"/>
  <c r="G119" i="3"/>
  <c r="F119" i="3"/>
  <c r="E119" i="3"/>
  <c r="D119" i="3"/>
  <c r="C119" i="3"/>
  <c r="B119" i="3"/>
  <c r="A119" i="3"/>
  <c r="BP118" i="3"/>
  <c r="BO118" i="3"/>
  <c r="BN118" i="3"/>
  <c r="BM118" i="3"/>
  <c r="BL118" i="3"/>
  <c r="BK118" i="3"/>
  <c r="BJ118" i="3"/>
  <c r="BI118" i="3"/>
  <c r="BH118" i="3"/>
  <c r="BG118" i="3"/>
  <c r="BF118" i="3"/>
  <c r="BE118" i="3"/>
  <c r="BD118" i="3"/>
  <c r="BC118" i="3"/>
  <c r="BB118" i="3"/>
  <c r="BA118" i="3"/>
  <c r="AZ118" i="3"/>
  <c r="AY118" i="3"/>
  <c r="AX118" i="3"/>
  <c r="AW118" i="3"/>
  <c r="AV118" i="3"/>
  <c r="AU118" i="3"/>
  <c r="AT118" i="3"/>
  <c r="AS118" i="3"/>
  <c r="AR118" i="3"/>
  <c r="AQ118" i="3"/>
  <c r="AP118" i="3"/>
  <c r="AO118" i="3"/>
  <c r="AN118" i="3"/>
  <c r="AM118" i="3"/>
  <c r="AL118" i="3"/>
  <c r="AK118" i="3"/>
  <c r="AJ118" i="3"/>
  <c r="AI118" i="3"/>
  <c r="AH118" i="3"/>
  <c r="AG118" i="3"/>
  <c r="AF118" i="3"/>
  <c r="AE118" i="3"/>
  <c r="AD118" i="3"/>
  <c r="AC118" i="3"/>
  <c r="AB118" i="3"/>
  <c r="AA118" i="3"/>
  <c r="Z118" i="3"/>
  <c r="Y118" i="3"/>
  <c r="X118" i="3"/>
  <c r="W118" i="3"/>
  <c r="V118" i="3"/>
  <c r="U118" i="3"/>
  <c r="T118" i="3"/>
  <c r="S118" i="3"/>
  <c r="R118" i="3"/>
  <c r="Q118" i="3"/>
  <c r="P118" i="3"/>
  <c r="O118" i="3"/>
  <c r="N118" i="3"/>
  <c r="M118" i="3"/>
  <c r="L118" i="3"/>
  <c r="K118" i="3"/>
  <c r="J118" i="3"/>
  <c r="I118" i="3"/>
  <c r="H118" i="3"/>
  <c r="G118" i="3"/>
  <c r="F118" i="3"/>
  <c r="E118" i="3"/>
  <c r="D118" i="3"/>
  <c r="C118" i="3"/>
  <c r="B118" i="3"/>
  <c r="A118" i="3"/>
  <c r="BP117" i="3"/>
  <c r="BO117" i="3"/>
  <c r="BN117" i="3"/>
  <c r="BM117" i="3"/>
  <c r="BL117" i="3"/>
  <c r="BK117" i="3"/>
  <c r="BJ117" i="3"/>
  <c r="BI117" i="3"/>
  <c r="BH117" i="3"/>
  <c r="BG117" i="3"/>
  <c r="BF117" i="3"/>
  <c r="BE117" i="3"/>
  <c r="BD117" i="3"/>
  <c r="BC117" i="3"/>
  <c r="BB117" i="3"/>
  <c r="BA117" i="3"/>
  <c r="AZ117" i="3"/>
  <c r="AY117" i="3"/>
  <c r="AX117" i="3"/>
  <c r="AW117" i="3"/>
  <c r="AV117" i="3"/>
  <c r="AU117" i="3"/>
  <c r="AT117" i="3"/>
  <c r="AS117" i="3"/>
  <c r="AR117" i="3"/>
  <c r="AQ117" i="3"/>
  <c r="AP117" i="3"/>
  <c r="AO117" i="3"/>
  <c r="AN117" i="3"/>
  <c r="AM117" i="3"/>
  <c r="AL117" i="3"/>
  <c r="AK117" i="3"/>
  <c r="AJ117" i="3"/>
  <c r="AI117" i="3"/>
  <c r="AH117" i="3"/>
  <c r="AG117" i="3"/>
  <c r="AF117" i="3"/>
  <c r="AE117" i="3"/>
  <c r="AD117" i="3"/>
  <c r="AC117" i="3"/>
  <c r="AB117" i="3"/>
  <c r="AA117" i="3"/>
  <c r="Z117" i="3"/>
  <c r="Y117" i="3"/>
  <c r="X117" i="3"/>
  <c r="W117" i="3"/>
  <c r="V117" i="3"/>
  <c r="U117" i="3"/>
  <c r="T117" i="3"/>
  <c r="S117" i="3"/>
  <c r="R117" i="3"/>
  <c r="Q117" i="3"/>
  <c r="P117" i="3"/>
  <c r="O117" i="3"/>
  <c r="N117" i="3"/>
  <c r="M117" i="3"/>
  <c r="L117" i="3"/>
  <c r="K117" i="3"/>
  <c r="J117" i="3"/>
  <c r="I117" i="3"/>
  <c r="H117" i="3"/>
  <c r="G117" i="3"/>
  <c r="F117" i="3"/>
  <c r="E117" i="3"/>
  <c r="D117" i="3"/>
  <c r="C117" i="3"/>
  <c r="B117" i="3"/>
  <c r="A117" i="3"/>
  <c r="BP116" i="3"/>
  <c r="BO116" i="3"/>
  <c r="BN116" i="3"/>
  <c r="BM116" i="3"/>
  <c r="BL116" i="3"/>
  <c r="BK116" i="3"/>
  <c r="BJ116" i="3"/>
  <c r="BI116" i="3"/>
  <c r="BH116" i="3"/>
  <c r="BG116" i="3"/>
  <c r="BF116" i="3"/>
  <c r="BE116" i="3"/>
  <c r="BD116" i="3"/>
  <c r="BC116" i="3"/>
  <c r="BB116" i="3"/>
  <c r="BA116" i="3"/>
  <c r="AZ116" i="3"/>
  <c r="AY116" i="3"/>
  <c r="AX116" i="3"/>
  <c r="AW116" i="3"/>
  <c r="AV116" i="3"/>
  <c r="AU116" i="3"/>
  <c r="AT116" i="3"/>
  <c r="AS116" i="3"/>
  <c r="AR116" i="3"/>
  <c r="AQ116" i="3"/>
  <c r="AP116" i="3"/>
  <c r="AO116" i="3"/>
  <c r="AN116" i="3"/>
  <c r="AM116" i="3"/>
  <c r="AL116" i="3"/>
  <c r="AK116" i="3"/>
  <c r="AJ116" i="3"/>
  <c r="AI116" i="3"/>
  <c r="AH116" i="3"/>
  <c r="AG116" i="3"/>
  <c r="AF116" i="3"/>
  <c r="AE116" i="3"/>
  <c r="AD116" i="3"/>
  <c r="AC116" i="3"/>
  <c r="AB116" i="3"/>
  <c r="AA116" i="3"/>
  <c r="Z116" i="3"/>
  <c r="Y116" i="3"/>
  <c r="X116" i="3"/>
  <c r="W116" i="3"/>
  <c r="V116" i="3"/>
  <c r="U116" i="3"/>
  <c r="T116" i="3"/>
  <c r="S116" i="3"/>
  <c r="R116" i="3"/>
  <c r="Q116" i="3"/>
  <c r="P116" i="3"/>
  <c r="O116" i="3"/>
  <c r="N116" i="3"/>
  <c r="M116" i="3"/>
  <c r="L116" i="3"/>
  <c r="K116" i="3"/>
  <c r="J116" i="3"/>
  <c r="I116" i="3"/>
  <c r="H116" i="3"/>
  <c r="G116" i="3"/>
  <c r="F116" i="3"/>
  <c r="E116" i="3"/>
  <c r="D116" i="3"/>
  <c r="C116" i="3"/>
  <c r="B116" i="3"/>
  <c r="A116" i="3"/>
  <c r="BP115" i="3"/>
  <c r="BO115" i="3"/>
  <c r="BN115" i="3"/>
  <c r="BM115" i="3"/>
  <c r="BL115" i="3"/>
  <c r="BK115" i="3"/>
  <c r="BJ115" i="3"/>
  <c r="BI115" i="3"/>
  <c r="BH115" i="3"/>
  <c r="BG115" i="3"/>
  <c r="BF115" i="3"/>
  <c r="BE115" i="3"/>
  <c r="BD115" i="3"/>
  <c r="BC115" i="3"/>
  <c r="BB115" i="3"/>
  <c r="BA115" i="3"/>
  <c r="AZ115" i="3"/>
  <c r="AY115" i="3"/>
  <c r="AX115" i="3"/>
  <c r="AW115" i="3"/>
  <c r="AV115" i="3"/>
  <c r="AU115" i="3"/>
  <c r="AT115" i="3"/>
  <c r="AS115" i="3"/>
  <c r="AR115" i="3"/>
  <c r="AQ115" i="3"/>
  <c r="AP115" i="3"/>
  <c r="AO115" i="3"/>
  <c r="AN115" i="3"/>
  <c r="AM115" i="3"/>
  <c r="AL115" i="3"/>
  <c r="AK115" i="3"/>
  <c r="AJ115" i="3"/>
  <c r="AI115" i="3"/>
  <c r="AH115" i="3"/>
  <c r="AG115" i="3"/>
  <c r="AF115" i="3"/>
  <c r="AE115" i="3"/>
  <c r="AD115" i="3"/>
  <c r="AC115" i="3"/>
  <c r="AB115" i="3"/>
  <c r="AA115" i="3"/>
  <c r="Z115" i="3"/>
  <c r="Y115" i="3"/>
  <c r="X115" i="3"/>
  <c r="W115" i="3"/>
  <c r="V115" i="3"/>
  <c r="U115" i="3"/>
  <c r="T115" i="3"/>
  <c r="S115" i="3"/>
  <c r="R115" i="3"/>
  <c r="Q115" i="3"/>
  <c r="P115" i="3"/>
  <c r="O115" i="3"/>
  <c r="N115" i="3"/>
  <c r="M115" i="3"/>
  <c r="L115" i="3"/>
  <c r="K115" i="3"/>
  <c r="J115" i="3"/>
  <c r="I115" i="3"/>
  <c r="H115" i="3"/>
  <c r="G115" i="3"/>
  <c r="F115" i="3"/>
  <c r="E115" i="3"/>
  <c r="D115" i="3"/>
  <c r="C115" i="3"/>
  <c r="B115" i="3"/>
  <c r="A115" i="3"/>
  <c r="BP114" i="3"/>
  <c r="BO114" i="3"/>
  <c r="BN114" i="3"/>
  <c r="BM114" i="3"/>
  <c r="BL114" i="3"/>
  <c r="BK114" i="3"/>
  <c r="BJ114" i="3"/>
  <c r="BI114" i="3"/>
  <c r="BH114" i="3"/>
  <c r="BG114" i="3"/>
  <c r="BF114" i="3"/>
  <c r="BE114" i="3"/>
  <c r="BD114" i="3"/>
  <c r="BC114" i="3"/>
  <c r="BB114" i="3"/>
  <c r="BA114" i="3"/>
  <c r="AZ114" i="3"/>
  <c r="AY114" i="3"/>
  <c r="AX114" i="3"/>
  <c r="AW114" i="3"/>
  <c r="AV114" i="3"/>
  <c r="AU114" i="3"/>
  <c r="AT114" i="3"/>
  <c r="AS114" i="3"/>
  <c r="AR114" i="3"/>
  <c r="AQ114" i="3"/>
  <c r="AP114" i="3"/>
  <c r="AO114" i="3"/>
  <c r="AN114" i="3"/>
  <c r="AM114" i="3"/>
  <c r="AL114" i="3"/>
  <c r="AK114" i="3"/>
  <c r="AJ114" i="3"/>
  <c r="AI114" i="3"/>
  <c r="AH114" i="3"/>
  <c r="AG114" i="3"/>
  <c r="AF114" i="3"/>
  <c r="AE114" i="3"/>
  <c r="AD114" i="3"/>
  <c r="AC114" i="3"/>
  <c r="AB114" i="3"/>
  <c r="AA114" i="3"/>
  <c r="Z114" i="3"/>
  <c r="Y114" i="3"/>
  <c r="X114" i="3"/>
  <c r="W114" i="3"/>
  <c r="V114" i="3"/>
  <c r="U114" i="3"/>
  <c r="T114" i="3"/>
  <c r="S114" i="3"/>
  <c r="R114" i="3"/>
  <c r="Q114" i="3"/>
  <c r="P114" i="3"/>
  <c r="O114" i="3"/>
  <c r="N114" i="3"/>
  <c r="M114" i="3"/>
  <c r="L114" i="3"/>
  <c r="K114" i="3"/>
  <c r="J114" i="3"/>
  <c r="I114" i="3"/>
  <c r="H114" i="3"/>
  <c r="G114" i="3"/>
  <c r="F114" i="3"/>
  <c r="E114" i="3"/>
  <c r="D114" i="3"/>
  <c r="C114" i="3"/>
  <c r="B114" i="3"/>
  <c r="A114" i="3"/>
  <c r="BP113" i="3"/>
  <c r="BO113" i="3"/>
  <c r="BN113" i="3"/>
  <c r="BM113" i="3"/>
  <c r="BL113" i="3"/>
  <c r="BK113" i="3"/>
  <c r="BJ113" i="3"/>
  <c r="BI113" i="3"/>
  <c r="BH113" i="3"/>
  <c r="BG113" i="3"/>
  <c r="BF113" i="3"/>
  <c r="BE113" i="3"/>
  <c r="BD113" i="3"/>
  <c r="BC113" i="3"/>
  <c r="BB113" i="3"/>
  <c r="BA113" i="3"/>
  <c r="AZ113" i="3"/>
  <c r="AY113" i="3"/>
  <c r="AX113" i="3"/>
  <c r="AW113" i="3"/>
  <c r="AV113" i="3"/>
  <c r="AU113" i="3"/>
  <c r="AT113" i="3"/>
  <c r="AS113" i="3"/>
  <c r="AR113" i="3"/>
  <c r="AQ113" i="3"/>
  <c r="AP113" i="3"/>
  <c r="AO113" i="3"/>
  <c r="AN113" i="3"/>
  <c r="AM113" i="3"/>
  <c r="AL113" i="3"/>
  <c r="AK113" i="3"/>
  <c r="AJ113" i="3"/>
  <c r="AI113" i="3"/>
  <c r="AH113" i="3"/>
  <c r="AG113" i="3"/>
  <c r="AF113" i="3"/>
  <c r="AE113" i="3"/>
  <c r="AD113" i="3"/>
  <c r="AC113" i="3"/>
  <c r="AB113" i="3"/>
  <c r="AA113" i="3"/>
  <c r="Z113" i="3"/>
  <c r="Y113" i="3"/>
  <c r="X113" i="3"/>
  <c r="W113" i="3"/>
  <c r="V113" i="3"/>
  <c r="U113" i="3"/>
  <c r="T113" i="3"/>
  <c r="S113" i="3"/>
  <c r="R113" i="3"/>
  <c r="Q113" i="3"/>
  <c r="P113" i="3"/>
  <c r="O113" i="3"/>
  <c r="N113" i="3"/>
  <c r="M113" i="3"/>
  <c r="L113" i="3"/>
  <c r="K113" i="3"/>
  <c r="J113" i="3"/>
  <c r="I113" i="3"/>
  <c r="H113" i="3"/>
  <c r="G113" i="3"/>
  <c r="F113" i="3"/>
  <c r="E113" i="3"/>
  <c r="D113" i="3"/>
  <c r="C113" i="3"/>
  <c r="B113" i="3"/>
  <c r="A113" i="3"/>
  <c r="BP112" i="3"/>
  <c r="BO112" i="3"/>
  <c r="BN112" i="3"/>
  <c r="BM112" i="3"/>
  <c r="BL112" i="3"/>
  <c r="BK112" i="3"/>
  <c r="BJ112" i="3"/>
  <c r="BI112" i="3"/>
  <c r="BH112" i="3"/>
  <c r="BG112" i="3"/>
  <c r="BF112" i="3"/>
  <c r="BE112" i="3"/>
  <c r="BD112" i="3"/>
  <c r="BC112" i="3"/>
  <c r="BB112" i="3"/>
  <c r="BA112" i="3"/>
  <c r="AZ112" i="3"/>
  <c r="AY112" i="3"/>
  <c r="AX112" i="3"/>
  <c r="AW112" i="3"/>
  <c r="AV112" i="3"/>
  <c r="AU112" i="3"/>
  <c r="AT112" i="3"/>
  <c r="AS112" i="3"/>
  <c r="AR112" i="3"/>
  <c r="AQ112" i="3"/>
  <c r="AP112" i="3"/>
  <c r="AO112" i="3"/>
  <c r="AN112" i="3"/>
  <c r="AM112" i="3"/>
  <c r="AL112" i="3"/>
  <c r="AK112" i="3"/>
  <c r="AJ112" i="3"/>
  <c r="AI112" i="3"/>
  <c r="AH112" i="3"/>
  <c r="AG112" i="3"/>
  <c r="AF112" i="3"/>
  <c r="AE112" i="3"/>
  <c r="AD112" i="3"/>
  <c r="AC112" i="3"/>
  <c r="AB112" i="3"/>
  <c r="AA112" i="3"/>
  <c r="Z112" i="3"/>
  <c r="Y112" i="3"/>
  <c r="X112" i="3"/>
  <c r="W112" i="3"/>
  <c r="V112" i="3"/>
  <c r="U112" i="3"/>
  <c r="T112" i="3"/>
  <c r="S112" i="3"/>
  <c r="R112" i="3"/>
  <c r="Q112" i="3"/>
  <c r="P112" i="3"/>
  <c r="O112" i="3"/>
  <c r="N112" i="3"/>
  <c r="M112" i="3"/>
  <c r="L112" i="3"/>
  <c r="K112" i="3"/>
  <c r="J112" i="3"/>
  <c r="I112" i="3"/>
  <c r="H112" i="3"/>
  <c r="G112" i="3"/>
  <c r="F112" i="3"/>
  <c r="E112" i="3"/>
  <c r="D112" i="3"/>
  <c r="C112" i="3"/>
  <c r="B112" i="3"/>
  <c r="A112" i="3"/>
  <c r="BP111" i="3"/>
  <c r="BO111" i="3"/>
  <c r="BN111" i="3"/>
  <c r="BM111" i="3"/>
  <c r="BL111" i="3"/>
  <c r="BK111" i="3"/>
  <c r="BJ111" i="3"/>
  <c r="BI111" i="3"/>
  <c r="BH111" i="3"/>
  <c r="BG111" i="3"/>
  <c r="BF111" i="3"/>
  <c r="BE111" i="3"/>
  <c r="BD111" i="3"/>
  <c r="BC111" i="3"/>
  <c r="BB111" i="3"/>
  <c r="BA111" i="3"/>
  <c r="AZ111" i="3"/>
  <c r="AY111" i="3"/>
  <c r="AX111" i="3"/>
  <c r="AW111" i="3"/>
  <c r="AV111" i="3"/>
  <c r="AU111" i="3"/>
  <c r="AT111" i="3"/>
  <c r="AS111" i="3"/>
  <c r="AR111" i="3"/>
  <c r="AQ111" i="3"/>
  <c r="AP111" i="3"/>
  <c r="AO111" i="3"/>
  <c r="AN111" i="3"/>
  <c r="AM111" i="3"/>
  <c r="AL111" i="3"/>
  <c r="AK111" i="3"/>
  <c r="AJ111" i="3"/>
  <c r="AI111" i="3"/>
  <c r="AH111" i="3"/>
  <c r="AG111" i="3"/>
  <c r="AF111" i="3"/>
  <c r="AE111" i="3"/>
  <c r="AD111" i="3"/>
  <c r="AC111" i="3"/>
  <c r="AB111" i="3"/>
  <c r="AA111" i="3"/>
  <c r="Z111" i="3"/>
  <c r="Y111" i="3"/>
  <c r="X111" i="3"/>
  <c r="W111" i="3"/>
  <c r="V111" i="3"/>
  <c r="U111" i="3"/>
  <c r="T111" i="3"/>
  <c r="S111" i="3"/>
  <c r="R111" i="3"/>
  <c r="Q111" i="3"/>
  <c r="P111" i="3"/>
  <c r="O111" i="3"/>
  <c r="N111" i="3"/>
  <c r="M111" i="3"/>
  <c r="L111" i="3"/>
  <c r="K111" i="3"/>
  <c r="J111" i="3"/>
  <c r="I111" i="3"/>
  <c r="H111" i="3"/>
  <c r="G111" i="3"/>
  <c r="F111" i="3"/>
  <c r="E111" i="3"/>
  <c r="D111" i="3"/>
  <c r="B111" i="3"/>
  <c r="A111" i="3"/>
  <c r="BP110" i="3"/>
  <c r="BO110" i="3"/>
  <c r="BN110" i="3"/>
  <c r="BM110" i="3"/>
  <c r="BL110" i="3"/>
  <c r="BK110" i="3"/>
  <c r="BJ110" i="3"/>
  <c r="BI110" i="3"/>
  <c r="BH110" i="3"/>
  <c r="BG110" i="3"/>
  <c r="BF110" i="3"/>
  <c r="BE110" i="3"/>
  <c r="BD110" i="3"/>
  <c r="BC110" i="3"/>
  <c r="BB110" i="3"/>
  <c r="BA110" i="3"/>
  <c r="AZ110" i="3"/>
  <c r="AY110" i="3"/>
  <c r="AX110" i="3"/>
  <c r="AW110" i="3"/>
  <c r="AV110" i="3"/>
  <c r="AU110" i="3"/>
  <c r="AT110" i="3"/>
  <c r="AS110" i="3"/>
  <c r="AR110" i="3"/>
  <c r="AQ110" i="3"/>
  <c r="AP110" i="3"/>
  <c r="AO110" i="3"/>
  <c r="AN110" i="3"/>
  <c r="AM110" i="3"/>
  <c r="AL110" i="3"/>
  <c r="AK110" i="3"/>
  <c r="AJ110" i="3"/>
  <c r="AI110" i="3"/>
  <c r="AH110" i="3"/>
  <c r="AG110" i="3"/>
  <c r="AF110" i="3"/>
  <c r="AE110" i="3"/>
  <c r="AD110" i="3"/>
  <c r="AC110" i="3"/>
  <c r="AB110" i="3"/>
  <c r="AA110" i="3"/>
  <c r="Z110" i="3"/>
  <c r="Y110" i="3"/>
  <c r="X110" i="3"/>
  <c r="W110" i="3"/>
  <c r="V110" i="3"/>
  <c r="U110" i="3"/>
  <c r="T110" i="3"/>
  <c r="S110" i="3"/>
  <c r="R110" i="3"/>
  <c r="Q110" i="3"/>
  <c r="P110" i="3"/>
  <c r="O110" i="3"/>
  <c r="N110" i="3"/>
  <c r="M110" i="3"/>
  <c r="L110" i="3"/>
  <c r="K110" i="3"/>
  <c r="J110" i="3"/>
  <c r="I110" i="3"/>
  <c r="H110" i="3"/>
  <c r="G110" i="3"/>
  <c r="F110" i="3"/>
  <c r="E110" i="3"/>
  <c r="D110" i="3"/>
  <c r="B110" i="3"/>
  <c r="A110" i="3"/>
  <c r="BP109" i="3"/>
  <c r="BO109" i="3"/>
  <c r="BN109" i="3"/>
  <c r="BM109" i="3"/>
  <c r="BL109" i="3"/>
  <c r="BK109" i="3"/>
  <c r="BJ109" i="3"/>
  <c r="BI109" i="3"/>
  <c r="BH109" i="3"/>
  <c r="BG109" i="3"/>
  <c r="BF109" i="3"/>
  <c r="BE109" i="3"/>
  <c r="BD109" i="3"/>
  <c r="BC109" i="3"/>
  <c r="BB109" i="3"/>
  <c r="BA109" i="3"/>
  <c r="AZ109" i="3"/>
  <c r="AY109" i="3"/>
  <c r="AX109" i="3"/>
  <c r="AW109" i="3"/>
  <c r="AV109" i="3"/>
  <c r="AU109" i="3"/>
  <c r="AT109" i="3"/>
  <c r="AS109" i="3"/>
  <c r="AR109" i="3"/>
  <c r="AQ109" i="3"/>
  <c r="AP109" i="3"/>
  <c r="AO109" i="3"/>
  <c r="AN109" i="3"/>
  <c r="AM109" i="3"/>
  <c r="AL109" i="3"/>
  <c r="AK109" i="3"/>
  <c r="AJ109" i="3"/>
  <c r="AI109" i="3"/>
  <c r="AH109" i="3"/>
  <c r="AG109" i="3"/>
  <c r="AF109" i="3"/>
  <c r="AE109" i="3"/>
  <c r="AD109" i="3"/>
  <c r="AC109" i="3"/>
  <c r="AB109" i="3"/>
  <c r="AA109" i="3"/>
  <c r="Z109" i="3"/>
  <c r="Y109" i="3"/>
  <c r="X109" i="3"/>
  <c r="W109" i="3"/>
  <c r="V109" i="3"/>
  <c r="U109" i="3"/>
  <c r="T109" i="3"/>
  <c r="S109" i="3"/>
  <c r="R109" i="3"/>
  <c r="Q109" i="3"/>
  <c r="P109" i="3"/>
  <c r="O109" i="3"/>
  <c r="N109" i="3"/>
  <c r="M109" i="3"/>
  <c r="L109" i="3"/>
  <c r="K109" i="3"/>
  <c r="J109" i="3"/>
  <c r="I109" i="3"/>
  <c r="H109" i="3"/>
  <c r="G109" i="3"/>
  <c r="F109" i="3"/>
  <c r="E109" i="3"/>
  <c r="D109" i="3"/>
  <c r="B109" i="3"/>
  <c r="A109" i="3"/>
  <c r="BP108" i="3"/>
  <c r="BO108" i="3"/>
  <c r="BN108" i="3"/>
  <c r="BM108" i="3"/>
  <c r="BL108" i="3"/>
  <c r="BK108" i="3"/>
  <c r="BJ108" i="3"/>
  <c r="BI108" i="3"/>
  <c r="BH108" i="3"/>
  <c r="BG108" i="3"/>
  <c r="BF108" i="3"/>
  <c r="BE108" i="3"/>
  <c r="BD108" i="3"/>
  <c r="BC108" i="3"/>
  <c r="BB108" i="3"/>
  <c r="BA108" i="3"/>
  <c r="AZ108" i="3"/>
  <c r="AY108" i="3"/>
  <c r="AX108" i="3"/>
  <c r="AW108" i="3"/>
  <c r="AV108" i="3"/>
  <c r="AU108" i="3"/>
  <c r="AT108" i="3"/>
  <c r="AS108" i="3"/>
  <c r="AR108" i="3"/>
  <c r="AQ108" i="3"/>
  <c r="AP108" i="3"/>
  <c r="AO108" i="3"/>
  <c r="AN108" i="3"/>
  <c r="AM108" i="3"/>
  <c r="AL108" i="3"/>
  <c r="AK108" i="3"/>
  <c r="AJ108" i="3"/>
  <c r="AI108" i="3"/>
  <c r="AH108" i="3"/>
  <c r="AG108" i="3"/>
  <c r="AF108" i="3"/>
  <c r="AE108" i="3"/>
  <c r="AD108" i="3"/>
  <c r="AC108" i="3"/>
  <c r="AB108" i="3"/>
  <c r="AA108" i="3"/>
  <c r="Z108" i="3"/>
  <c r="Y108" i="3"/>
  <c r="X108" i="3"/>
  <c r="W108" i="3"/>
  <c r="V108" i="3"/>
  <c r="U108" i="3"/>
  <c r="T108" i="3"/>
  <c r="S108" i="3"/>
  <c r="R108" i="3"/>
  <c r="Q108" i="3"/>
  <c r="P108" i="3"/>
  <c r="O108" i="3"/>
  <c r="N108" i="3"/>
  <c r="M108" i="3"/>
  <c r="L108" i="3"/>
  <c r="K108" i="3"/>
  <c r="J108" i="3"/>
  <c r="I108" i="3"/>
  <c r="H108" i="3"/>
  <c r="G108" i="3"/>
  <c r="F108" i="3"/>
  <c r="E108" i="3"/>
  <c r="D108" i="3"/>
  <c r="C108" i="3"/>
  <c r="B108" i="3"/>
  <c r="A108" i="3"/>
  <c r="BP107" i="3"/>
  <c r="BO107" i="3"/>
  <c r="BN107" i="3"/>
  <c r="BM107" i="3"/>
  <c r="BL107" i="3"/>
  <c r="BK107" i="3"/>
  <c r="BJ107" i="3"/>
  <c r="BI107" i="3"/>
  <c r="BH107" i="3"/>
  <c r="BG107" i="3"/>
  <c r="BF107" i="3"/>
  <c r="BE107" i="3"/>
  <c r="BD107" i="3"/>
  <c r="BC107" i="3"/>
  <c r="BB107" i="3"/>
  <c r="BA107" i="3"/>
  <c r="AZ107" i="3"/>
  <c r="AY107" i="3"/>
  <c r="AX107" i="3"/>
  <c r="AW107" i="3"/>
  <c r="AV107" i="3"/>
  <c r="AU107" i="3"/>
  <c r="AT107" i="3"/>
  <c r="AS107" i="3"/>
  <c r="AR107" i="3"/>
  <c r="AQ107" i="3"/>
  <c r="AP107" i="3"/>
  <c r="AO107" i="3"/>
  <c r="AN107" i="3"/>
  <c r="AM107" i="3"/>
  <c r="AL107" i="3"/>
  <c r="AK107" i="3"/>
  <c r="AJ107" i="3"/>
  <c r="AI107" i="3"/>
  <c r="AH107" i="3"/>
  <c r="AG107" i="3"/>
  <c r="AF107" i="3"/>
  <c r="AE107" i="3"/>
  <c r="AD107" i="3"/>
  <c r="AC107" i="3"/>
  <c r="AB107" i="3"/>
  <c r="AA107" i="3"/>
  <c r="Z107" i="3"/>
  <c r="Y107" i="3"/>
  <c r="X107" i="3"/>
  <c r="W107" i="3"/>
  <c r="V107" i="3"/>
  <c r="U107" i="3"/>
  <c r="T107" i="3"/>
  <c r="S107" i="3"/>
  <c r="R107" i="3"/>
  <c r="Q107" i="3"/>
  <c r="P107" i="3"/>
  <c r="O107" i="3"/>
  <c r="N107" i="3"/>
  <c r="M107" i="3"/>
  <c r="L107" i="3"/>
  <c r="K107" i="3"/>
  <c r="J107" i="3"/>
  <c r="I107" i="3"/>
  <c r="H107" i="3"/>
  <c r="G107" i="3"/>
  <c r="F107" i="3"/>
  <c r="E107" i="3"/>
  <c r="D107" i="3"/>
  <c r="C107" i="3"/>
  <c r="B107" i="3"/>
  <c r="A107" i="3"/>
  <c r="BP106" i="3"/>
  <c r="BO106" i="3"/>
  <c r="BN106" i="3"/>
  <c r="BM106" i="3"/>
  <c r="BL106" i="3"/>
  <c r="BK106" i="3"/>
  <c r="BJ106" i="3"/>
  <c r="BI106" i="3"/>
  <c r="BH106" i="3"/>
  <c r="BG106" i="3"/>
  <c r="BF106" i="3"/>
  <c r="BE106" i="3"/>
  <c r="BD106" i="3"/>
  <c r="BC106" i="3"/>
  <c r="BB106" i="3"/>
  <c r="BA106" i="3"/>
  <c r="AZ106" i="3"/>
  <c r="AY106" i="3"/>
  <c r="AX106" i="3"/>
  <c r="AW106" i="3"/>
  <c r="AV106" i="3"/>
  <c r="AU106" i="3"/>
  <c r="AT106" i="3"/>
  <c r="AS106" i="3"/>
  <c r="AR106" i="3"/>
  <c r="AQ106" i="3"/>
  <c r="AP106" i="3"/>
  <c r="AO106" i="3"/>
  <c r="AN106" i="3"/>
  <c r="AM106" i="3"/>
  <c r="AL106" i="3"/>
  <c r="AK106" i="3"/>
  <c r="AJ106" i="3"/>
  <c r="AI106" i="3"/>
  <c r="AH106" i="3"/>
  <c r="AG106" i="3"/>
  <c r="AF106" i="3"/>
  <c r="AE106" i="3"/>
  <c r="AD106" i="3"/>
  <c r="AC106" i="3"/>
  <c r="AB106" i="3"/>
  <c r="AA106" i="3"/>
  <c r="Z106" i="3"/>
  <c r="Y106" i="3"/>
  <c r="X106" i="3"/>
  <c r="W106" i="3"/>
  <c r="V106" i="3"/>
  <c r="U106" i="3"/>
  <c r="T106" i="3"/>
  <c r="S106" i="3"/>
  <c r="R106" i="3"/>
  <c r="Q106" i="3"/>
  <c r="P106" i="3"/>
  <c r="O106" i="3"/>
  <c r="N106" i="3"/>
  <c r="M106" i="3"/>
  <c r="L106" i="3"/>
  <c r="K106" i="3"/>
  <c r="J106" i="3"/>
  <c r="I106" i="3"/>
  <c r="H106" i="3"/>
  <c r="G106" i="3"/>
  <c r="F106" i="3"/>
  <c r="E106" i="3"/>
  <c r="D106" i="3"/>
  <c r="C106" i="3"/>
  <c r="B106" i="3"/>
  <c r="A106" i="3"/>
  <c r="BP105" i="3"/>
  <c r="BO105" i="3"/>
  <c r="BN105" i="3"/>
  <c r="BM105" i="3"/>
  <c r="BL105" i="3"/>
  <c r="BK105" i="3"/>
  <c r="BJ105" i="3"/>
  <c r="BI105" i="3"/>
  <c r="BH105" i="3"/>
  <c r="BG105" i="3"/>
  <c r="BF105" i="3"/>
  <c r="BE105" i="3"/>
  <c r="BD105" i="3"/>
  <c r="BC105" i="3"/>
  <c r="BB105" i="3"/>
  <c r="BA105" i="3"/>
  <c r="AZ105" i="3"/>
  <c r="AY105" i="3"/>
  <c r="AX105" i="3"/>
  <c r="AW105" i="3"/>
  <c r="AV105" i="3"/>
  <c r="AU105" i="3"/>
  <c r="AT105" i="3"/>
  <c r="AS105" i="3"/>
  <c r="AR105" i="3"/>
  <c r="AQ105" i="3"/>
  <c r="AP105" i="3"/>
  <c r="AO105" i="3"/>
  <c r="AN105" i="3"/>
  <c r="AM105" i="3"/>
  <c r="AL105" i="3"/>
  <c r="AK105" i="3"/>
  <c r="AJ105" i="3"/>
  <c r="AI105" i="3"/>
  <c r="AH105" i="3"/>
  <c r="AG105" i="3"/>
  <c r="AF105" i="3"/>
  <c r="AE105" i="3"/>
  <c r="AD105" i="3"/>
  <c r="AC105" i="3"/>
  <c r="AB105" i="3"/>
  <c r="AA105" i="3"/>
  <c r="Z105" i="3"/>
  <c r="Y105" i="3"/>
  <c r="X105" i="3"/>
  <c r="W105" i="3"/>
  <c r="V105" i="3"/>
  <c r="U105" i="3"/>
  <c r="T105" i="3"/>
  <c r="S105" i="3"/>
  <c r="R105" i="3"/>
  <c r="Q105" i="3"/>
  <c r="P105" i="3"/>
  <c r="O105" i="3"/>
  <c r="N105" i="3"/>
  <c r="M105" i="3"/>
  <c r="L105" i="3"/>
  <c r="K105" i="3"/>
  <c r="J105" i="3"/>
  <c r="I105" i="3"/>
  <c r="H105" i="3"/>
  <c r="G105" i="3"/>
  <c r="F105" i="3"/>
  <c r="E105" i="3"/>
  <c r="D105" i="3"/>
  <c r="C105" i="3"/>
  <c r="B105" i="3"/>
  <c r="A105" i="3"/>
  <c r="BP104" i="3"/>
  <c r="BO104" i="3"/>
  <c r="BN104" i="3"/>
  <c r="BM104" i="3"/>
  <c r="BL104" i="3"/>
  <c r="BK104" i="3"/>
  <c r="BJ104" i="3"/>
  <c r="BI104" i="3"/>
  <c r="BH104" i="3"/>
  <c r="BG104" i="3"/>
  <c r="BF104" i="3"/>
  <c r="BE104" i="3"/>
  <c r="BD104" i="3"/>
  <c r="BC104" i="3"/>
  <c r="BB104" i="3"/>
  <c r="BA104" i="3"/>
  <c r="AZ104" i="3"/>
  <c r="AY104" i="3"/>
  <c r="AX104" i="3"/>
  <c r="AW104" i="3"/>
  <c r="AV104" i="3"/>
  <c r="AU104" i="3"/>
  <c r="AT104" i="3"/>
  <c r="AS104" i="3"/>
  <c r="AR104" i="3"/>
  <c r="AQ104" i="3"/>
  <c r="AP104" i="3"/>
  <c r="AO104" i="3"/>
  <c r="AN104" i="3"/>
  <c r="AM104" i="3"/>
  <c r="AL104" i="3"/>
  <c r="AK104" i="3"/>
  <c r="AJ104" i="3"/>
  <c r="AI104" i="3"/>
  <c r="AH104" i="3"/>
  <c r="AG104" i="3"/>
  <c r="AF104" i="3"/>
  <c r="AE104" i="3"/>
  <c r="AD104" i="3"/>
  <c r="AC104" i="3"/>
  <c r="AB104" i="3"/>
  <c r="AA104" i="3"/>
  <c r="Z104" i="3"/>
  <c r="Y104" i="3"/>
  <c r="X104" i="3"/>
  <c r="W104" i="3"/>
  <c r="V104" i="3"/>
  <c r="U104" i="3"/>
  <c r="T104" i="3"/>
  <c r="S104" i="3"/>
  <c r="R104" i="3"/>
  <c r="Q104" i="3"/>
  <c r="P104" i="3"/>
  <c r="O104" i="3"/>
  <c r="N104" i="3"/>
  <c r="M104" i="3"/>
  <c r="L104" i="3"/>
  <c r="K104" i="3"/>
  <c r="J104" i="3"/>
  <c r="I104" i="3"/>
  <c r="H104" i="3"/>
  <c r="G104" i="3"/>
  <c r="F104" i="3"/>
  <c r="E104" i="3"/>
  <c r="D104" i="3"/>
  <c r="C104" i="3"/>
  <c r="B104" i="3"/>
  <c r="A104" i="3"/>
  <c r="BP103" i="3"/>
  <c r="BO103" i="3"/>
  <c r="BN103" i="3"/>
  <c r="BM103" i="3"/>
  <c r="BL103" i="3"/>
  <c r="BK103" i="3"/>
  <c r="BJ103" i="3"/>
  <c r="BI103" i="3"/>
  <c r="BH103" i="3"/>
  <c r="BG103" i="3"/>
  <c r="BF103" i="3"/>
  <c r="BE103" i="3"/>
  <c r="BD103" i="3"/>
  <c r="BC103" i="3"/>
  <c r="BB103" i="3"/>
  <c r="BA103" i="3"/>
  <c r="AZ103" i="3"/>
  <c r="AY103" i="3"/>
  <c r="AX103" i="3"/>
  <c r="AW103" i="3"/>
  <c r="AV103" i="3"/>
  <c r="AU103" i="3"/>
  <c r="AT103" i="3"/>
  <c r="AS103" i="3"/>
  <c r="AR103" i="3"/>
  <c r="AQ103" i="3"/>
  <c r="AP103" i="3"/>
  <c r="AO103" i="3"/>
  <c r="AN103" i="3"/>
  <c r="AM103" i="3"/>
  <c r="AL103" i="3"/>
  <c r="AK103" i="3"/>
  <c r="AJ103" i="3"/>
  <c r="AI103" i="3"/>
  <c r="AH103" i="3"/>
  <c r="AG103" i="3"/>
  <c r="AF103" i="3"/>
  <c r="AE103" i="3"/>
  <c r="AD103" i="3"/>
  <c r="AC103" i="3"/>
  <c r="AB103" i="3"/>
  <c r="AA103" i="3"/>
  <c r="Z103" i="3"/>
  <c r="Y103" i="3"/>
  <c r="X103" i="3"/>
  <c r="W103" i="3"/>
  <c r="V103" i="3"/>
  <c r="U103" i="3"/>
  <c r="T103" i="3"/>
  <c r="S103" i="3"/>
  <c r="R103" i="3"/>
  <c r="Q103" i="3"/>
  <c r="P103" i="3"/>
  <c r="O103" i="3"/>
  <c r="N103" i="3"/>
  <c r="M103" i="3"/>
  <c r="L103" i="3"/>
  <c r="K103" i="3"/>
  <c r="J103" i="3"/>
  <c r="I103" i="3"/>
  <c r="H103" i="3"/>
  <c r="G103" i="3"/>
  <c r="F103" i="3"/>
  <c r="E103" i="3"/>
  <c r="D103" i="3"/>
  <c r="C103" i="3"/>
  <c r="B103" i="3"/>
  <c r="A103" i="3"/>
  <c r="BP102" i="3"/>
  <c r="BO102" i="3"/>
  <c r="BN102" i="3"/>
  <c r="BM102" i="3"/>
  <c r="BL102" i="3"/>
  <c r="BK102" i="3"/>
  <c r="BJ102" i="3"/>
  <c r="BI102" i="3"/>
  <c r="BH102" i="3"/>
  <c r="BG102" i="3"/>
  <c r="BF102" i="3"/>
  <c r="BE102" i="3"/>
  <c r="BD102" i="3"/>
  <c r="BC102" i="3"/>
  <c r="BB102" i="3"/>
  <c r="BA102" i="3"/>
  <c r="AZ102" i="3"/>
  <c r="AY102" i="3"/>
  <c r="AX102" i="3"/>
  <c r="AW102" i="3"/>
  <c r="AV102" i="3"/>
  <c r="AU102" i="3"/>
  <c r="AT102" i="3"/>
  <c r="AS102" i="3"/>
  <c r="AR102" i="3"/>
  <c r="AQ102" i="3"/>
  <c r="AP102" i="3"/>
  <c r="AO102" i="3"/>
  <c r="AN102" i="3"/>
  <c r="AM102" i="3"/>
  <c r="AL102" i="3"/>
  <c r="AK102" i="3"/>
  <c r="AJ102" i="3"/>
  <c r="AI102" i="3"/>
  <c r="AH102" i="3"/>
  <c r="AG102" i="3"/>
  <c r="AF102" i="3"/>
  <c r="AE102" i="3"/>
  <c r="AD102" i="3"/>
  <c r="AC102" i="3"/>
  <c r="AB102" i="3"/>
  <c r="AA102" i="3"/>
  <c r="Z102" i="3"/>
  <c r="Y102" i="3"/>
  <c r="X102" i="3"/>
  <c r="W102" i="3"/>
  <c r="V102" i="3"/>
  <c r="U102" i="3"/>
  <c r="T102" i="3"/>
  <c r="S102" i="3"/>
  <c r="R102" i="3"/>
  <c r="Q102" i="3"/>
  <c r="P102" i="3"/>
  <c r="O102" i="3"/>
  <c r="N102" i="3"/>
  <c r="M102" i="3"/>
  <c r="L102" i="3"/>
  <c r="K102" i="3"/>
  <c r="J102" i="3"/>
  <c r="I102" i="3"/>
  <c r="H102" i="3"/>
  <c r="G102" i="3"/>
  <c r="F102" i="3"/>
  <c r="E102" i="3"/>
  <c r="D102" i="3"/>
  <c r="C102" i="3"/>
  <c r="B102" i="3"/>
  <c r="A102" i="3"/>
  <c r="BP101" i="3"/>
  <c r="BO101" i="3"/>
  <c r="BN101" i="3"/>
  <c r="BM101" i="3"/>
  <c r="BL101" i="3"/>
  <c r="BK101" i="3"/>
  <c r="BJ101" i="3"/>
  <c r="BI101" i="3"/>
  <c r="BH101" i="3"/>
  <c r="BG101" i="3"/>
  <c r="BF101" i="3"/>
  <c r="BE101" i="3"/>
  <c r="BD101" i="3"/>
  <c r="BC101" i="3"/>
  <c r="BB101" i="3"/>
  <c r="BA101" i="3"/>
  <c r="AZ101" i="3"/>
  <c r="AY101" i="3"/>
  <c r="AX101" i="3"/>
  <c r="AW101" i="3"/>
  <c r="AV101" i="3"/>
  <c r="AU101" i="3"/>
  <c r="AT101" i="3"/>
  <c r="AS101" i="3"/>
  <c r="AR101" i="3"/>
  <c r="AQ101" i="3"/>
  <c r="AP101" i="3"/>
  <c r="AO101" i="3"/>
  <c r="AN101" i="3"/>
  <c r="AM101" i="3"/>
  <c r="AL101" i="3"/>
  <c r="AK101" i="3"/>
  <c r="AJ101" i="3"/>
  <c r="AI101" i="3"/>
  <c r="AH101" i="3"/>
  <c r="AG101" i="3"/>
  <c r="AF101" i="3"/>
  <c r="AE101" i="3"/>
  <c r="AD101" i="3"/>
  <c r="AC101" i="3"/>
  <c r="AB101" i="3"/>
  <c r="AA101" i="3"/>
  <c r="Z101" i="3"/>
  <c r="Y101" i="3"/>
  <c r="X101" i="3"/>
  <c r="W101" i="3"/>
  <c r="V101" i="3"/>
  <c r="U101" i="3"/>
  <c r="T101" i="3"/>
  <c r="S101" i="3"/>
  <c r="R101" i="3"/>
  <c r="Q101" i="3"/>
  <c r="P101" i="3"/>
  <c r="O101" i="3"/>
  <c r="N101" i="3"/>
  <c r="M101" i="3"/>
  <c r="L101" i="3"/>
  <c r="K101" i="3"/>
  <c r="J101" i="3"/>
  <c r="I101" i="3"/>
  <c r="H101" i="3"/>
  <c r="G101" i="3"/>
  <c r="F101" i="3"/>
  <c r="E101" i="3"/>
  <c r="D101" i="3"/>
  <c r="C101" i="3"/>
  <c r="B101" i="3"/>
  <c r="A101" i="3"/>
  <c r="BP100" i="3"/>
  <c r="BO100" i="3"/>
  <c r="BN100" i="3"/>
  <c r="BM100" i="3"/>
  <c r="BL100" i="3"/>
  <c r="BK100" i="3"/>
  <c r="BJ100" i="3"/>
  <c r="BI100" i="3"/>
  <c r="BH100" i="3"/>
  <c r="BG100" i="3"/>
  <c r="BF100" i="3"/>
  <c r="BE100" i="3"/>
  <c r="BD100" i="3"/>
  <c r="BC100" i="3"/>
  <c r="BB100" i="3"/>
  <c r="BA100" i="3"/>
  <c r="AZ100" i="3"/>
  <c r="AY100" i="3"/>
  <c r="AX100" i="3"/>
  <c r="AW100" i="3"/>
  <c r="AV100" i="3"/>
  <c r="AU100" i="3"/>
  <c r="AT100" i="3"/>
  <c r="AS100" i="3"/>
  <c r="AR100" i="3"/>
  <c r="AQ100" i="3"/>
  <c r="AP100" i="3"/>
  <c r="AO100" i="3"/>
  <c r="AN100" i="3"/>
  <c r="AM100" i="3"/>
  <c r="AL100" i="3"/>
  <c r="AK100" i="3"/>
  <c r="AJ100" i="3"/>
  <c r="AI100" i="3"/>
  <c r="AH100" i="3"/>
  <c r="AG100" i="3"/>
  <c r="AF100" i="3"/>
  <c r="AE100" i="3"/>
  <c r="AD100" i="3"/>
  <c r="AC100" i="3"/>
  <c r="AB100" i="3"/>
  <c r="AA100" i="3"/>
  <c r="Z100" i="3"/>
  <c r="Y100" i="3"/>
  <c r="X100" i="3"/>
  <c r="W100" i="3"/>
  <c r="V100" i="3"/>
  <c r="U100" i="3"/>
  <c r="T100" i="3"/>
  <c r="S100" i="3"/>
  <c r="R100" i="3"/>
  <c r="Q100" i="3"/>
  <c r="P100" i="3"/>
  <c r="O100" i="3"/>
  <c r="N100" i="3"/>
  <c r="M100" i="3"/>
  <c r="L100" i="3"/>
  <c r="K100" i="3"/>
  <c r="J100" i="3"/>
  <c r="I100" i="3"/>
  <c r="H100" i="3"/>
  <c r="G100" i="3"/>
  <c r="F100" i="3"/>
  <c r="E100" i="3"/>
  <c r="D100" i="3"/>
  <c r="C100" i="3"/>
  <c r="B100" i="3"/>
  <c r="A100" i="3"/>
  <c r="BP99" i="3"/>
  <c r="BO99" i="3"/>
  <c r="BN99" i="3"/>
  <c r="BM99" i="3"/>
  <c r="BL99" i="3"/>
  <c r="BK99" i="3"/>
  <c r="BJ99" i="3"/>
  <c r="BI99" i="3"/>
  <c r="BH99" i="3"/>
  <c r="BG99" i="3"/>
  <c r="BF99" i="3"/>
  <c r="BE99" i="3"/>
  <c r="BD99" i="3"/>
  <c r="BC99" i="3"/>
  <c r="BB99" i="3"/>
  <c r="BA99" i="3"/>
  <c r="AZ99" i="3"/>
  <c r="AY99" i="3"/>
  <c r="AX99" i="3"/>
  <c r="AW99" i="3"/>
  <c r="AV99" i="3"/>
  <c r="AU99" i="3"/>
  <c r="AT99" i="3"/>
  <c r="AS99" i="3"/>
  <c r="AR99" i="3"/>
  <c r="AQ99" i="3"/>
  <c r="AP99" i="3"/>
  <c r="AO99" i="3"/>
  <c r="AN99" i="3"/>
  <c r="AM99" i="3"/>
  <c r="AL99" i="3"/>
  <c r="AK99" i="3"/>
  <c r="AJ99" i="3"/>
  <c r="AI99" i="3"/>
  <c r="AH99" i="3"/>
  <c r="AG99" i="3"/>
  <c r="AF99" i="3"/>
  <c r="AE99" i="3"/>
  <c r="AD99" i="3"/>
  <c r="AC99" i="3"/>
  <c r="AB99" i="3"/>
  <c r="AA99" i="3"/>
  <c r="Z99" i="3"/>
  <c r="Y99" i="3"/>
  <c r="X99" i="3"/>
  <c r="W99" i="3"/>
  <c r="V99" i="3"/>
  <c r="U99" i="3"/>
  <c r="T99" i="3"/>
  <c r="S99" i="3"/>
  <c r="R99" i="3"/>
  <c r="Q99" i="3"/>
  <c r="P99" i="3"/>
  <c r="O99" i="3"/>
  <c r="N99" i="3"/>
  <c r="M99" i="3"/>
  <c r="L99" i="3"/>
  <c r="K99" i="3"/>
  <c r="J99" i="3"/>
  <c r="I99" i="3"/>
  <c r="H99" i="3"/>
  <c r="G99" i="3"/>
  <c r="F99" i="3"/>
  <c r="E99" i="3"/>
  <c r="D99" i="3"/>
  <c r="C99" i="3"/>
  <c r="B99" i="3"/>
  <c r="A99" i="3"/>
  <c r="BP98" i="3"/>
  <c r="BO98" i="3"/>
  <c r="BN98" i="3"/>
  <c r="BM98" i="3"/>
  <c r="BL98" i="3"/>
  <c r="BK98" i="3"/>
  <c r="BJ98" i="3"/>
  <c r="BI98" i="3"/>
  <c r="BH98" i="3"/>
  <c r="BG98" i="3"/>
  <c r="BF98" i="3"/>
  <c r="BE98" i="3"/>
  <c r="BD98" i="3"/>
  <c r="BC98" i="3"/>
  <c r="BB98" i="3"/>
  <c r="BA98" i="3"/>
  <c r="AZ98" i="3"/>
  <c r="AY98" i="3"/>
  <c r="AX98" i="3"/>
  <c r="AW98" i="3"/>
  <c r="AV98" i="3"/>
  <c r="AU98" i="3"/>
  <c r="AT98" i="3"/>
  <c r="AS98" i="3"/>
  <c r="AR98" i="3"/>
  <c r="AQ98" i="3"/>
  <c r="AP98" i="3"/>
  <c r="AO98" i="3"/>
  <c r="AN98" i="3"/>
  <c r="AM98" i="3"/>
  <c r="AL98" i="3"/>
  <c r="AK98" i="3"/>
  <c r="AJ98" i="3"/>
  <c r="AI98" i="3"/>
  <c r="AH98" i="3"/>
  <c r="AG98" i="3"/>
  <c r="AF98" i="3"/>
  <c r="AE98" i="3"/>
  <c r="AD98" i="3"/>
  <c r="AC98" i="3"/>
  <c r="AB98" i="3"/>
  <c r="AA98" i="3"/>
  <c r="Z98" i="3"/>
  <c r="Y98" i="3"/>
  <c r="X98" i="3"/>
  <c r="W98" i="3"/>
  <c r="V98" i="3"/>
  <c r="U98" i="3"/>
  <c r="T98" i="3"/>
  <c r="S98" i="3"/>
  <c r="R98" i="3"/>
  <c r="Q98" i="3"/>
  <c r="P98" i="3"/>
  <c r="O98" i="3"/>
  <c r="N98" i="3"/>
  <c r="M98" i="3"/>
  <c r="L98" i="3"/>
  <c r="K98" i="3"/>
  <c r="J98" i="3"/>
  <c r="I98" i="3"/>
  <c r="H98" i="3"/>
  <c r="G98" i="3"/>
  <c r="F98" i="3"/>
  <c r="E98" i="3"/>
  <c r="D98" i="3"/>
  <c r="C98" i="3"/>
  <c r="B98" i="3"/>
  <c r="A98" i="3"/>
  <c r="BP97" i="3"/>
  <c r="BO97" i="3"/>
  <c r="BN97" i="3"/>
  <c r="BM97" i="3"/>
  <c r="BL97" i="3"/>
  <c r="BK97" i="3"/>
  <c r="BJ97" i="3"/>
  <c r="BI97" i="3"/>
  <c r="BH97" i="3"/>
  <c r="BG97" i="3"/>
  <c r="BF97" i="3"/>
  <c r="BE97" i="3"/>
  <c r="BD97" i="3"/>
  <c r="BC97" i="3"/>
  <c r="BB97" i="3"/>
  <c r="BA97" i="3"/>
  <c r="AZ97" i="3"/>
  <c r="AY97" i="3"/>
  <c r="AX97" i="3"/>
  <c r="AW97" i="3"/>
  <c r="AV97" i="3"/>
  <c r="AU97" i="3"/>
  <c r="AT97" i="3"/>
  <c r="AS97" i="3"/>
  <c r="AR97" i="3"/>
  <c r="AQ97" i="3"/>
  <c r="AP97" i="3"/>
  <c r="AO97" i="3"/>
  <c r="AN97" i="3"/>
  <c r="AM97" i="3"/>
  <c r="AL97" i="3"/>
  <c r="AK97" i="3"/>
  <c r="AJ97" i="3"/>
  <c r="AI97" i="3"/>
  <c r="AH97" i="3"/>
  <c r="AG97" i="3"/>
  <c r="AF97" i="3"/>
  <c r="AE97" i="3"/>
  <c r="AD97" i="3"/>
  <c r="AC97" i="3"/>
  <c r="AB97" i="3"/>
  <c r="AA97" i="3"/>
  <c r="Z97" i="3"/>
  <c r="Y97" i="3"/>
  <c r="X97" i="3"/>
  <c r="W97" i="3"/>
  <c r="V97" i="3"/>
  <c r="U97" i="3"/>
  <c r="T97" i="3"/>
  <c r="S97" i="3"/>
  <c r="R97" i="3"/>
  <c r="Q97" i="3"/>
  <c r="P97" i="3"/>
  <c r="O97" i="3"/>
  <c r="N97" i="3"/>
  <c r="M97" i="3"/>
  <c r="L97" i="3"/>
  <c r="K97" i="3"/>
  <c r="J97" i="3"/>
  <c r="I97" i="3"/>
  <c r="H97" i="3"/>
  <c r="G97" i="3"/>
  <c r="F97" i="3"/>
  <c r="E97" i="3"/>
  <c r="D97" i="3"/>
  <c r="B97" i="3"/>
  <c r="A97" i="3"/>
  <c r="BP96" i="3"/>
  <c r="BO96" i="3"/>
  <c r="BN96" i="3"/>
  <c r="BM96" i="3"/>
  <c r="BL96" i="3"/>
  <c r="BK96" i="3"/>
  <c r="BJ96" i="3"/>
  <c r="BI96" i="3"/>
  <c r="BH96" i="3"/>
  <c r="BG96" i="3"/>
  <c r="BF96" i="3"/>
  <c r="BE96" i="3"/>
  <c r="BD96" i="3"/>
  <c r="BC96" i="3"/>
  <c r="BB96" i="3"/>
  <c r="BA96" i="3"/>
  <c r="AZ96" i="3"/>
  <c r="AY96" i="3"/>
  <c r="AX96" i="3"/>
  <c r="AW96" i="3"/>
  <c r="AV96" i="3"/>
  <c r="AU96" i="3"/>
  <c r="AT96" i="3"/>
  <c r="AS96" i="3"/>
  <c r="AR96" i="3"/>
  <c r="AQ96" i="3"/>
  <c r="AP96" i="3"/>
  <c r="AO96" i="3"/>
  <c r="AN96" i="3"/>
  <c r="AM96" i="3"/>
  <c r="AL96" i="3"/>
  <c r="AK96" i="3"/>
  <c r="AJ96" i="3"/>
  <c r="AI96" i="3"/>
  <c r="AH96" i="3"/>
  <c r="AG96" i="3"/>
  <c r="AF96" i="3"/>
  <c r="AE96" i="3"/>
  <c r="AD96" i="3"/>
  <c r="AC96" i="3"/>
  <c r="AB96" i="3"/>
  <c r="AA96" i="3"/>
  <c r="Z96" i="3"/>
  <c r="Y96" i="3"/>
  <c r="X96" i="3"/>
  <c r="W96" i="3"/>
  <c r="V96" i="3"/>
  <c r="U96" i="3"/>
  <c r="T96" i="3"/>
  <c r="S96" i="3"/>
  <c r="R96" i="3"/>
  <c r="Q96" i="3"/>
  <c r="P96" i="3"/>
  <c r="O96" i="3"/>
  <c r="N96" i="3"/>
  <c r="M96" i="3"/>
  <c r="L96" i="3"/>
  <c r="K96" i="3"/>
  <c r="J96" i="3"/>
  <c r="I96" i="3"/>
  <c r="H96" i="3"/>
  <c r="G96" i="3"/>
  <c r="F96" i="3"/>
  <c r="E96" i="3"/>
  <c r="D96" i="3"/>
  <c r="C96" i="3"/>
  <c r="B96" i="3"/>
  <c r="A96" i="3"/>
  <c r="BP95" i="3"/>
  <c r="BO95" i="3"/>
  <c r="BN95" i="3"/>
  <c r="BM95" i="3"/>
  <c r="BL95" i="3"/>
  <c r="BK95" i="3"/>
  <c r="BJ95" i="3"/>
  <c r="BI95" i="3"/>
  <c r="BH95" i="3"/>
  <c r="BG95" i="3"/>
  <c r="BF95" i="3"/>
  <c r="BE95" i="3"/>
  <c r="BD95" i="3"/>
  <c r="BC95" i="3"/>
  <c r="BB95" i="3"/>
  <c r="BA95" i="3"/>
  <c r="AZ95" i="3"/>
  <c r="AY95" i="3"/>
  <c r="AX95" i="3"/>
  <c r="AW95" i="3"/>
  <c r="AV95" i="3"/>
  <c r="AU95" i="3"/>
  <c r="AT95" i="3"/>
  <c r="AS95" i="3"/>
  <c r="AR95" i="3"/>
  <c r="AQ95" i="3"/>
  <c r="AP95" i="3"/>
  <c r="AO95" i="3"/>
  <c r="AN95" i="3"/>
  <c r="AM95" i="3"/>
  <c r="AL95" i="3"/>
  <c r="AK95" i="3"/>
  <c r="AJ95" i="3"/>
  <c r="AI95" i="3"/>
  <c r="AH95" i="3"/>
  <c r="AG95" i="3"/>
  <c r="AF95" i="3"/>
  <c r="AE95" i="3"/>
  <c r="AD95" i="3"/>
  <c r="AC95" i="3"/>
  <c r="AB95" i="3"/>
  <c r="AA95" i="3"/>
  <c r="Z95" i="3"/>
  <c r="Y95" i="3"/>
  <c r="X95" i="3"/>
  <c r="W95" i="3"/>
  <c r="V95" i="3"/>
  <c r="U95" i="3"/>
  <c r="T95" i="3"/>
  <c r="S95" i="3"/>
  <c r="R95" i="3"/>
  <c r="Q95" i="3"/>
  <c r="P95" i="3"/>
  <c r="O95" i="3"/>
  <c r="N95" i="3"/>
  <c r="M95" i="3"/>
  <c r="L95" i="3"/>
  <c r="K95" i="3"/>
  <c r="J95" i="3"/>
  <c r="I95" i="3"/>
  <c r="H95" i="3"/>
  <c r="G95" i="3"/>
  <c r="F95" i="3"/>
  <c r="E95" i="3"/>
  <c r="D95" i="3"/>
  <c r="C95" i="3"/>
  <c r="B95" i="3"/>
  <c r="A95" i="3"/>
  <c r="BP94" i="3"/>
  <c r="BO94" i="3"/>
  <c r="BN94" i="3"/>
  <c r="BM94" i="3"/>
  <c r="BL94" i="3"/>
  <c r="BK94" i="3"/>
  <c r="BJ94" i="3"/>
  <c r="BI94" i="3"/>
  <c r="BH94" i="3"/>
  <c r="BG94" i="3"/>
  <c r="BF94" i="3"/>
  <c r="BE94" i="3"/>
  <c r="BD94" i="3"/>
  <c r="BC94" i="3"/>
  <c r="BB94" i="3"/>
  <c r="BA94" i="3"/>
  <c r="AZ94" i="3"/>
  <c r="AY94" i="3"/>
  <c r="AX94" i="3"/>
  <c r="AW94" i="3"/>
  <c r="AV94" i="3"/>
  <c r="AU94" i="3"/>
  <c r="AT94" i="3"/>
  <c r="AS94" i="3"/>
  <c r="AR94" i="3"/>
  <c r="AQ94" i="3"/>
  <c r="AP94" i="3"/>
  <c r="AO94" i="3"/>
  <c r="AN94" i="3"/>
  <c r="AM94" i="3"/>
  <c r="AL94" i="3"/>
  <c r="AK94" i="3"/>
  <c r="AJ94" i="3"/>
  <c r="AI94" i="3"/>
  <c r="AH94" i="3"/>
  <c r="AG94" i="3"/>
  <c r="AF94" i="3"/>
  <c r="AE94" i="3"/>
  <c r="AD94" i="3"/>
  <c r="AC94" i="3"/>
  <c r="AB94" i="3"/>
  <c r="AA94" i="3"/>
  <c r="Z94" i="3"/>
  <c r="Y94" i="3"/>
  <c r="X94" i="3"/>
  <c r="W94" i="3"/>
  <c r="V94" i="3"/>
  <c r="U94" i="3"/>
  <c r="T94" i="3"/>
  <c r="S94" i="3"/>
  <c r="R94" i="3"/>
  <c r="Q94" i="3"/>
  <c r="P94" i="3"/>
  <c r="O94" i="3"/>
  <c r="N94" i="3"/>
  <c r="M94" i="3"/>
  <c r="L94" i="3"/>
  <c r="K94" i="3"/>
  <c r="J94" i="3"/>
  <c r="I94" i="3"/>
  <c r="H94" i="3"/>
  <c r="G94" i="3"/>
  <c r="F94" i="3"/>
  <c r="E94" i="3"/>
  <c r="D94" i="3"/>
  <c r="B94" i="3"/>
  <c r="A94" i="3"/>
  <c r="BP93" i="3"/>
  <c r="BO93" i="3"/>
  <c r="BN93" i="3"/>
  <c r="BM93" i="3"/>
  <c r="BL93" i="3"/>
  <c r="BK93" i="3"/>
  <c r="BJ93" i="3"/>
  <c r="BI93" i="3"/>
  <c r="BH93" i="3"/>
  <c r="BG93" i="3"/>
  <c r="BF93" i="3"/>
  <c r="BE93" i="3"/>
  <c r="BD93" i="3"/>
  <c r="BC93" i="3"/>
  <c r="BB93" i="3"/>
  <c r="BA93" i="3"/>
  <c r="AZ93" i="3"/>
  <c r="AY93" i="3"/>
  <c r="AX93" i="3"/>
  <c r="AW93" i="3"/>
  <c r="AV93" i="3"/>
  <c r="AU93" i="3"/>
  <c r="AT93" i="3"/>
  <c r="AS93" i="3"/>
  <c r="AR93" i="3"/>
  <c r="AQ93" i="3"/>
  <c r="AP93" i="3"/>
  <c r="AO93" i="3"/>
  <c r="AN93" i="3"/>
  <c r="AM93" i="3"/>
  <c r="AL93" i="3"/>
  <c r="AK93" i="3"/>
  <c r="AJ93" i="3"/>
  <c r="AI93" i="3"/>
  <c r="AH93" i="3"/>
  <c r="AG93" i="3"/>
  <c r="AF93" i="3"/>
  <c r="AE93" i="3"/>
  <c r="AD93" i="3"/>
  <c r="AC93" i="3"/>
  <c r="AB93" i="3"/>
  <c r="AA93" i="3"/>
  <c r="Z93" i="3"/>
  <c r="Y93" i="3"/>
  <c r="X93" i="3"/>
  <c r="W93" i="3"/>
  <c r="V93" i="3"/>
  <c r="U93" i="3"/>
  <c r="T93" i="3"/>
  <c r="S93" i="3"/>
  <c r="R93" i="3"/>
  <c r="Q93" i="3"/>
  <c r="P93" i="3"/>
  <c r="O93" i="3"/>
  <c r="N93" i="3"/>
  <c r="M93" i="3"/>
  <c r="L93" i="3"/>
  <c r="K93" i="3"/>
  <c r="J93" i="3"/>
  <c r="I93" i="3"/>
  <c r="H93" i="3"/>
  <c r="G93" i="3"/>
  <c r="F93" i="3"/>
  <c r="E93" i="3"/>
  <c r="D93" i="3"/>
  <c r="C93" i="3"/>
  <c r="B93" i="3"/>
  <c r="A93" i="3"/>
  <c r="BP92" i="3"/>
  <c r="BO92" i="3"/>
  <c r="BN92" i="3"/>
  <c r="BM92" i="3"/>
  <c r="BL92" i="3"/>
  <c r="BK92" i="3"/>
  <c r="BJ92" i="3"/>
  <c r="BI92" i="3"/>
  <c r="BH92" i="3"/>
  <c r="BG92" i="3"/>
  <c r="BF92" i="3"/>
  <c r="BE92" i="3"/>
  <c r="BD92" i="3"/>
  <c r="BC92" i="3"/>
  <c r="BB92" i="3"/>
  <c r="BA92" i="3"/>
  <c r="AZ92" i="3"/>
  <c r="AY92" i="3"/>
  <c r="AX92" i="3"/>
  <c r="AW92" i="3"/>
  <c r="AV92" i="3"/>
  <c r="AU92" i="3"/>
  <c r="AT92" i="3"/>
  <c r="AS92" i="3"/>
  <c r="AR92" i="3"/>
  <c r="AQ92" i="3"/>
  <c r="AP92" i="3"/>
  <c r="AO92" i="3"/>
  <c r="AN92" i="3"/>
  <c r="AM92" i="3"/>
  <c r="AL92" i="3"/>
  <c r="AK92" i="3"/>
  <c r="AJ92" i="3"/>
  <c r="AI92" i="3"/>
  <c r="AH92" i="3"/>
  <c r="AG92" i="3"/>
  <c r="AF92" i="3"/>
  <c r="AE92" i="3"/>
  <c r="AD92" i="3"/>
  <c r="AC92" i="3"/>
  <c r="AB92" i="3"/>
  <c r="AA92" i="3"/>
  <c r="Z92" i="3"/>
  <c r="Y92" i="3"/>
  <c r="X92" i="3"/>
  <c r="W92" i="3"/>
  <c r="V92" i="3"/>
  <c r="U92" i="3"/>
  <c r="T92" i="3"/>
  <c r="S92" i="3"/>
  <c r="R92" i="3"/>
  <c r="Q92" i="3"/>
  <c r="P92" i="3"/>
  <c r="O92" i="3"/>
  <c r="N92" i="3"/>
  <c r="M92" i="3"/>
  <c r="L92" i="3"/>
  <c r="K92" i="3"/>
  <c r="J92" i="3"/>
  <c r="I92" i="3"/>
  <c r="H92" i="3"/>
  <c r="G92" i="3"/>
  <c r="F92" i="3"/>
  <c r="E92" i="3"/>
  <c r="D92" i="3"/>
  <c r="C92" i="3"/>
  <c r="B92" i="3"/>
  <c r="A92" i="3"/>
  <c r="BP91" i="3"/>
  <c r="BO91" i="3"/>
  <c r="BN91" i="3"/>
  <c r="BM91" i="3"/>
  <c r="BL91" i="3"/>
  <c r="BK91" i="3"/>
  <c r="BJ91" i="3"/>
  <c r="BI91" i="3"/>
  <c r="BH91" i="3"/>
  <c r="BG91" i="3"/>
  <c r="BF91" i="3"/>
  <c r="BE91" i="3"/>
  <c r="BD91" i="3"/>
  <c r="BC91" i="3"/>
  <c r="BB91" i="3"/>
  <c r="BA91" i="3"/>
  <c r="AZ91" i="3"/>
  <c r="AY91" i="3"/>
  <c r="AX91" i="3"/>
  <c r="AW91" i="3"/>
  <c r="AV91" i="3"/>
  <c r="AU91" i="3"/>
  <c r="AT91" i="3"/>
  <c r="AS91" i="3"/>
  <c r="AR91" i="3"/>
  <c r="AQ91" i="3"/>
  <c r="AP91" i="3"/>
  <c r="AO91" i="3"/>
  <c r="AN91" i="3"/>
  <c r="AM91" i="3"/>
  <c r="AL91" i="3"/>
  <c r="AK91" i="3"/>
  <c r="AJ91" i="3"/>
  <c r="AI91" i="3"/>
  <c r="AH91" i="3"/>
  <c r="AG91" i="3"/>
  <c r="AF91" i="3"/>
  <c r="AE91" i="3"/>
  <c r="AD91" i="3"/>
  <c r="AC91" i="3"/>
  <c r="AB91" i="3"/>
  <c r="AA91" i="3"/>
  <c r="Z91" i="3"/>
  <c r="Y91" i="3"/>
  <c r="X91" i="3"/>
  <c r="W91" i="3"/>
  <c r="V91" i="3"/>
  <c r="U91" i="3"/>
  <c r="T91" i="3"/>
  <c r="S91" i="3"/>
  <c r="R91" i="3"/>
  <c r="Q91" i="3"/>
  <c r="P91" i="3"/>
  <c r="O91" i="3"/>
  <c r="N91" i="3"/>
  <c r="M91" i="3"/>
  <c r="L91" i="3"/>
  <c r="K91" i="3"/>
  <c r="J91" i="3"/>
  <c r="I91" i="3"/>
  <c r="H91" i="3"/>
  <c r="G91" i="3"/>
  <c r="F91" i="3"/>
  <c r="E91" i="3"/>
  <c r="D91" i="3"/>
  <c r="C91" i="3"/>
  <c r="B91" i="3"/>
  <c r="A91" i="3"/>
  <c r="BP90" i="3"/>
  <c r="BO90" i="3"/>
  <c r="BN90" i="3"/>
  <c r="BM90" i="3"/>
  <c r="BL90" i="3"/>
  <c r="BK90" i="3"/>
  <c r="BJ90" i="3"/>
  <c r="BI90" i="3"/>
  <c r="BH90" i="3"/>
  <c r="BG90" i="3"/>
  <c r="BF90" i="3"/>
  <c r="BE90" i="3"/>
  <c r="BD90" i="3"/>
  <c r="BC90" i="3"/>
  <c r="BB90" i="3"/>
  <c r="BA90" i="3"/>
  <c r="AZ90" i="3"/>
  <c r="AY90" i="3"/>
  <c r="AX90" i="3"/>
  <c r="AW90" i="3"/>
  <c r="AV90" i="3"/>
  <c r="AU90" i="3"/>
  <c r="AT90" i="3"/>
  <c r="AS90" i="3"/>
  <c r="AR90" i="3"/>
  <c r="AQ90" i="3"/>
  <c r="AP90" i="3"/>
  <c r="AO90" i="3"/>
  <c r="AN90" i="3"/>
  <c r="AM90" i="3"/>
  <c r="AL90" i="3"/>
  <c r="AK90" i="3"/>
  <c r="AJ90" i="3"/>
  <c r="AI90" i="3"/>
  <c r="AH90" i="3"/>
  <c r="AG90" i="3"/>
  <c r="AF90" i="3"/>
  <c r="AE90" i="3"/>
  <c r="AD90" i="3"/>
  <c r="AC90" i="3"/>
  <c r="AB90" i="3"/>
  <c r="AA90" i="3"/>
  <c r="Z90" i="3"/>
  <c r="Y90" i="3"/>
  <c r="X90" i="3"/>
  <c r="W90" i="3"/>
  <c r="V90" i="3"/>
  <c r="U90" i="3"/>
  <c r="T90" i="3"/>
  <c r="S90" i="3"/>
  <c r="R90" i="3"/>
  <c r="Q90" i="3"/>
  <c r="P90" i="3"/>
  <c r="O90" i="3"/>
  <c r="N90" i="3"/>
  <c r="M90" i="3"/>
  <c r="L90" i="3"/>
  <c r="K90" i="3"/>
  <c r="J90" i="3"/>
  <c r="I90" i="3"/>
  <c r="H90" i="3"/>
  <c r="G90" i="3"/>
  <c r="F90" i="3"/>
  <c r="E90" i="3"/>
  <c r="D90" i="3"/>
  <c r="B90" i="3"/>
  <c r="A90" i="3"/>
  <c r="BP89" i="3"/>
  <c r="BO89" i="3"/>
  <c r="BN89" i="3"/>
  <c r="BM89" i="3"/>
  <c r="BL89" i="3"/>
  <c r="BK89" i="3"/>
  <c r="BJ89" i="3"/>
  <c r="BI89" i="3"/>
  <c r="BH89" i="3"/>
  <c r="BG89" i="3"/>
  <c r="BF89" i="3"/>
  <c r="BE89" i="3"/>
  <c r="BD89" i="3"/>
  <c r="BC89" i="3"/>
  <c r="BB89" i="3"/>
  <c r="BA89" i="3"/>
  <c r="AZ89" i="3"/>
  <c r="AY89" i="3"/>
  <c r="AX89" i="3"/>
  <c r="AW89" i="3"/>
  <c r="AV89" i="3"/>
  <c r="AU89" i="3"/>
  <c r="AT89" i="3"/>
  <c r="AS89" i="3"/>
  <c r="AR89" i="3"/>
  <c r="AQ89" i="3"/>
  <c r="AP89" i="3"/>
  <c r="AO89" i="3"/>
  <c r="AN89" i="3"/>
  <c r="AM89" i="3"/>
  <c r="AL89" i="3"/>
  <c r="AK89" i="3"/>
  <c r="AJ89" i="3"/>
  <c r="AI89" i="3"/>
  <c r="AH89" i="3"/>
  <c r="AG89" i="3"/>
  <c r="AF89" i="3"/>
  <c r="AE89" i="3"/>
  <c r="AD89" i="3"/>
  <c r="AC89" i="3"/>
  <c r="AB89" i="3"/>
  <c r="AA89" i="3"/>
  <c r="Z89" i="3"/>
  <c r="Y89" i="3"/>
  <c r="X89" i="3"/>
  <c r="W89" i="3"/>
  <c r="V89" i="3"/>
  <c r="U89" i="3"/>
  <c r="T89" i="3"/>
  <c r="S89" i="3"/>
  <c r="R89" i="3"/>
  <c r="Q89" i="3"/>
  <c r="P89" i="3"/>
  <c r="O89" i="3"/>
  <c r="N89" i="3"/>
  <c r="M89" i="3"/>
  <c r="L89" i="3"/>
  <c r="K89" i="3"/>
  <c r="J89" i="3"/>
  <c r="I89" i="3"/>
  <c r="H89" i="3"/>
  <c r="G89" i="3"/>
  <c r="F89" i="3"/>
  <c r="E89" i="3"/>
  <c r="D89" i="3"/>
  <c r="C89" i="3"/>
  <c r="B89" i="3"/>
  <c r="A89" i="3"/>
  <c r="BP88" i="3"/>
  <c r="BO88" i="3"/>
  <c r="BN88" i="3"/>
  <c r="BM88" i="3"/>
  <c r="BL88" i="3"/>
  <c r="BK88" i="3"/>
  <c r="BJ88" i="3"/>
  <c r="BI88" i="3"/>
  <c r="BH88" i="3"/>
  <c r="BG88" i="3"/>
  <c r="BF88" i="3"/>
  <c r="BE88" i="3"/>
  <c r="BD88" i="3"/>
  <c r="BC88" i="3"/>
  <c r="BB88" i="3"/>
  <c r="BA88" i="3"/>
  <c r="AZ88" i="3"/>
  <c r="AY88" i="3"/>
  <c r="AX88" i="3"/>
  <c r="AW88" i="3"/>
  <c r="AV88" i="3"/>
  <c r="AU88" i="3"/>
  <c r="AT88" i="3"/>
  <c r="AS88" i="3"/>
  <c r="AR88" i="3"/>
  <c r="AQ88" i="3"/>
  <c r="AP88" i="3"/>
  <c r="AO88" i="3"/>
  <c r="AN88" i="3"/>
  <c r="AM88" i="3"/>
  <c r="AL88" i="3"/>
  <c r="AK88" i="3"/>
  <c r="AJ88" i="3"/>
  <c r="AI88" i="3"/>
  <c r="AH88" i="3"/>
  <c r="AG88" i="3"/>
  <c r="AF88" i="3"/>
  <c r="AE88" i="3"/>
  <c r="AD88" i="3"/>
  <c r="AC88" i="3"/>
  <c r="AB88" i="3"/>
  <c r="AA88" i="3"/>
  <c r="Z88" i="3"/>
  <c r="Y88" i="3"/>
  <c r="X88" i="3"/>
  <c r="W88" i="3"/>
  <c r="V88" i="3"/>
  <c r="U88" i="3"/>
  <c r="T88" i="3"/>
  <c r="S88" i="3"/>
  <c r="R88" i="3"/>
  <c r="Q88" i="3"/>
  <c r="P88" i="3"/>
  <c r="O88" i="3"/>
  <c r="N88" i="3"/>
  <c r="M88" i="3"/>
  <c r="L88" i="3"/>
  <c r="K88" i="3"/>
  <c r="J88" i="3"/>
  <c r="I88" i="3"/>
  <c r="H88" i="3"/>
  <c r="G88" i="3"/>
  <c r="F88" i="3"/>
  <c r="E88" i="3"/>
  <c r="D88" i="3"/>
  <c r="C88" i="3"/>
  <c r="B88" i="3"/>
  <c r="A88" i="3"/>
  <c r="BP87" i="3"/>
  <c r="BO87" i="3"/>
  <c r="BN87" i="3"/>
  <c r="BM87" i="3"/>
  <c r="BL87" i="3"/>
  <c r="BK87" i="3"/>
  <c r="BJ87" i="3"/>
  <c r="BI87" i="3"/>
  <c r="BH87" i="3"/>
  <c r="BG87" i="3"/>
  <c r="BF87" i="3"/>
  <c r="BE87" i="3"/>
  <c r="BD87" i="3"/>
  <c r="BC87" i="3"/>
  <c r="BB87" i="3"/>
  <c r="BA87" i="3"/>
  <c r="AZ87" i="3"/>
  <c r="AY87" i="3"/>
  <c r="AX87" i="3"/>
  <c r="AW87" i="3"/>
  <c r="AV87" i="3"/>
  <c r="AU87" i="3"/>
  <c r="AT87" i="3"/>
  <c r="AS87" i="3"/>
  <c r="AR87" i="3"/>
  <c r="AQ87" i="3"/>
  <c r="AP87" i="3"/>
  <c r="AO87" i="3"/>
  <c r="AN87" i="3"/>
  <c r="AM87" i="3"/>
  <c r="AL87" i="3"/>
  <c r="AK87" i="3"/>
  <c r="AJ87" i="3"/>
  <c r="AI87" i="3"/>
  <c r="AH87" i="3"/>
  <c r="AG87" i="3"/>
  <c r="AF87" i="3"/>
  <c r="AE87" i="3"/>
  <c r="AD87" i="3"/>
  <c r="AC87" i="3"/>
  <c r="AB87" i="3"/>
  <c r="AA87" i="3"/>
  <c r="Z87" i="3"/>
  <c r="Y87" i="3"/>
  <c r="X87" i="3"/>
  <c r="W87" i="3"/>
  <c r="V87" i="3"/>
  <c r="U87" i="3"/>
  <c r="T87" i="3"/>
  <c r="S87" i="3"/>
  <c r="R87" i="3"/>
  <c r="Q87" i="3"/>
  <c r="P87" i="3"/>
  <c r="O87" i="3"/>
  <c r="N87" i="3"/>
  <c r="M87" i="3"/>
  <c r="L87" i="3"/>
  <c r="K87" i="3"/>
  <c r="J87" i="3"/>
  <c r="I87" i="3"/>
  <c r="H87" i="3"/>
  <c r="G87" i="3"/>
  <c r="F87" i="3"/>
  <c r="E87" i="3"/>
  <c r="D87" i="3"/>
  <c r="C87" i="3"/>
  <c r="B87" i="3"/>
  <c r="A87" i="3"/>
  <c r="BP86" i="3"/>
  <c r="BO86" i="3"/>
  <c r="BN86" i="3"/>
  <c r="BM86" i="3"/>
  <c r="BL86" i="3"/>
  <c r="BK86" i="3"/>
  <c r="BJ86" i="3"/>
  <c r="BI86" i="3"/>
  <c r="BH86" i="3"/>
  <c r="BG86" i="3"/>
  <c r="BF86" i="3"/>
  <c r="BE86" i="3"/>
  <c r="BD86" i="3"/>
  <c r="BC86" i="3"/>
  <c r="BB86" i="3"/>
  <c r="BA86" i="3"/>
  <c r="AZ86" i="3"/>
  <c r="AY86" i="3"/>
  <c r="AX86" i="3"/>
  <c r="AW86" i="3"/>
  <c r="AV86" i="3"/>
  <c r="AU86" i="3"/>
  <c r="AT86" i="3"/>
  <c r="AS86" i="3"/>
  <c r="AR86" i="3"/>
  <c r="AQ86" i="3"/>
  <c r="AP86" i="3"/>
  <c r="AO86" i="3"/>
  <c r="AN86" i="3"/>
  <c r="AM86" i="3"/>
  <c r="AL86" i="3"/>
  <c r="AK86" i="3"/>
  <c r="AJ86" i="3"/>
  <c r="AI86" i="3"/>
  <c r="AH86" i="3"/>
  <c r="AG86" i="3"/>
  <c r="AF86" i="3"/>
  <c r="AE86" i="3"/>
  <c r="AD86" i="3"/>
  <c r="AC86" i="3"/>
  <c r="AB86" i="3"/>
  <c r="AA86" i="3"/>
  <c r="Z86" i="3"/>
  <c r="Y86" i="3"/>
  <c r="X86" i="3"/>
  <c r="W86" i="3"/>
  <c r="V86" i="3"/>
  <c r="U86" i="3"/>
  <c r="T86" i="3"/>
  <c r="S86" i="3"/>
  <c r="R86" i="3"/>
  <c r="Q86" i="3"/>
  <c r="P86" i="3"/>
  <c r="O86" i="3"/>
  <c r="N86" i="3"/>
  <c r="M86" i="3"/>
  <c r="L86" i="3"/>
  <c r="K86" i="3"/>
  <c r="J86" i="3"/>
  <c r="I86" i="3"/>
  <c r="H86" i="3"/>
  <c r="G86" i="3"/>
  <c r="F86" i="3"/>
  <c r="E86" i="3"/>
  <c r="D86" i="3"/>
  <c r="C86" i="3"/>
  <c r="B86" i="3"/>
  <c r="A86" i="3"/>
  <c r="BP85" i="3"/>
  <c r="BO85" i="3"/>
  <c r="BN85" i="3"/>
  <c r="BM85" i="3"/>
  <c r="BL85" i="3"/>
  <c r="BK85" i="3"/>
  <c r="BJ85" i="3"/>
  <c r="BI85" i="3"/>
  <c r="BH85" i="3"/>
  <c r="BG85" i="3"/>
  <c r="BF85" i="3"/>
  <c r="BE85" i="3"/>
  <c r="BD85" i="3"/>
  <c r="BC85" i="3"/>
  <c r="BB85" i="3"/>
  <c r="BA85" i="3"/>
  <c r="AZ85" i="3"/>
  <c r="AY85" i="3"/>
  <c r="AX85" i="3"/>
  <c r="AW85" i="3"/>
  <c r="AV85" i="3"/>
  <c r="AU85" i="3"/>
  <c r="AT85" i="3"/>
  <c r="AS85" i="3"/>
  <c r="AR85" i="3"/>
  <c r="AQ85" i="3"/>
  <c r="AP85" i="3"/>
  <c r="AO85" i="3"/>
  <c r="AN85" i="3"/>
  <c r="AM85" i="3"/>
  <c r="AL85" i="3"/>
  <c r="AK85" i="3"/>
  <c r="AJ85" i="3"/>
  <c r="AI85" i="3"/>
  <c r="AH85" i="3"/>
  <c r="AG85" i="3"/>
  <c r="AF85" i="3"/>
  <c r="AE85" i="3"/>
  <c r="AD85" i="3"/>
  <c r="AC85" i="3"/>
  <c r="AB85" i="3"/>
  <c r="AA85" i="3"/>
  <c r="Z85" i="3"/>
  <c r="Y85" i="3"/>
  <c r="X85" i="3"/>
  <c r="W85" i="3"/>
  <c r="V85" i="3"/>
  <c r="U85" i="3"/>
  <c r="T85" i="3"/>
  <c r="S85" i="3"/>
  <c r="R85" i="3"/>
  <c r="Q85" i="3"/>
  <c r="P85" i="3"/>
  <c r="O85" i="3"/>
  <c r="N85" i="3"/>
  <c r="M85" i="3"/>
  <c r="L85" i="3"/>
  <c r="K85" i="3"/>
  <c r="J85" i="3"/>
  <c r="I85" i="3"/>
  <c r="H85" i="3"/>
  <c r="G85" i="3"/>
  <c r="F85" i="3"/>
  <c r="E85" i="3"/>
  <c r="D85" i="3"/>
  <c r="C85" i="3"/>
  <c r="B85" i="3"/>
  <c r="A85" i="3"/>
  <c r="BP84" i="3"/>
  <c r="BO84" i="3"/>
  <c r="BN84" i="3"/>
  <c r="BM84" i="3"/>
  <c r="BL84" i="3"/>
  <c r="BK84" i="3"/>
  <c r="BJ84" i="3"/>
  <c r="BI84" i="3"/>
  <c r="BH84" i="3"/>
  <c r="BG84" i="3"/>
  <c r="BF84" i="3"/>
  <c r="BE84" i="3"/>
  <c r="BD84" i="3"/>
  <c r="BC84" i="3"/>
  <c r="BB84" i="3"/>
  <c r="BA84" i="3"/>
  <c r="AZ84" i="3"/>
  <c r="AY84" i="3"/>
  <c r="AX84" i="3"/>
  <c r="AW84" i="3"/>
  <c r="AV84" i="3"/>
  <c r="AU84" i="3"/>
  <c r="AT84" i="3"/>
  <c r="AS84" i="3"/>
  <c r="AR84" i="3"/>
  <c r="AQ84" i="3"/>
  <c r="AP84" i="3"/>
  <c r="AO84" i="3"/>
  <c r="AN84" i="3"/>
  <c r="AM84" i="3"/>
  <c r="AL84" i="3"/>
  <c r="AK84" i="3"/>
  <c r="AJ84" i="3"/>
  <c r="AI84" i="3"/>
  <c r="AH84" i="3"/>
  <c r="AG84" i="3"/>
  <c r="AF84" i="3"/>
  <c r="AE84" i="3"/>
  <c r="AD84" i="3"/>
  <c r="AC84" i="3"/>
  <c r="AB84" i="3"/>
  <c r="AA84" i="3"/>
  <c r="Z84" i="3"/>
  <c r="Y84" i="3"/>
  <c r="X84" i="3"/>
  <c r="W84" i="3"/>
  <c r="V84" i="3"/>
  <c r="U84" i="3"/>
  <c r="T84" i="3"/>
  <c r="S84" i="3"/>
  <c r="R84" i="3"/>
  <c r="Q84" i="3"/>
  <c r="P84" i="3"/>
  <c r="O84" i="3"/>
  <c r="N84" i="3"/>
  <c r="M84" i="3"/>
  <c r="L84" i="3"/>
  <c r="K84" i="3"/>
  <c r="J84" i="3"/>
  <c r="I84" i="3"/>
  <c r="H84" i="3"/>
  <c r="G84" i="3"/>
  <c r="F84" i="3"/>
  <c r="E84" i="3"/>
  <c r="D84" i="3"/>
  <c r="C84" i="3"/>
  <c r="B84" i="3"/>
  <c r="A84" i="3"/>
  <c r="BP83" i="3"/>
  <c r="BO83" i="3"/>
  <c r="BN83" i="3"/>
  <c r="BM83" i="3"/>
  <c r="BL83" i="3"/>
  <c r="BK83" i="3"/>
  <c r="BJ83" i="3"/>
  <c r="BI83" i="3"/>
  <c r="BH83" i="3"/>
  <c r="BG83" i="3"/>
  <c r="BF83" i="3"/>
  <c r="BE83" i="3"/>
  <c r="BD83" i="3"/>
  <c r="BC83" i="3"/>
  <c r="BB83" i="3"/>
  <c r="BA83" i="3"/>
  <c r="AZ83" i="3"/>
  <c r="AY83" i="3"/>
  <c r="AX83" i="3"/>
  <c r="AW83" i="3"/>
  <c r="AV83" i="3"/>
  <c r="AU83" i="3"/>
  <c r="AT83" i="3"/>
  <c r="AS83" i="3"/>
  <c r="AR83" i="3"/>
  <c r="AQ83" i="3"/>
  <c r="AP83" i="3"/>
  <c r="AO83" i="3"/>
  <c r="AN83" i="3"/>
  <c r="AM83" i="3"/>
  <c r="AL83" i="3"/>
  <c r="AK83" i="3"/>
  <c r="AJ83" i="3"/>
  <c r="AI83" i="3"/>
  <c r="AH83" i="3"/>
  <c r="AG83" i="3"/>
  <c r="AF83" i="3"/>
  <c r="AE83" i="3"/>
  <c r="AD83" i="3"/>
  <c r="AC83" i="3"/>
  <c r="AB83" i="3"/>
  <c r="AA83" i="3"/>
  <c r="Z83" i="3"/>
  <c r="Y83" i="3"/>
  <c r="X83" i="3"/>
  <c r="W83" i="3"/>
  <c r="V83" i="3"/>
  <c r="U83" i="3"/>
  <c r="T83" i="3"/>
  <c r="S83" i="3"/>
  <c r="R83" i="3"/>
  <c r="Q83" i="3"/>
  <c r="P83" i="3"/>
  <c r="O83" i="3"/>
  <c r="N83" i="3"/>
  <c r="M83" i="3"/>
  <c r="L83" i="3"/>
  <c r="K83" i="3"/>
  <c r="J83" i="3"/>
  <c r="I83" i="3"/>
  <c r="H83" i="3"/>
  <c r="G83" i="3"/>
  <c r="F83" i="3"/>
  <c r="E83" i="3"/>
  <c r="D83" i="3"/>
  <c r="C83" i="3"/>
  <c r="B83" i="3"/>
  <c r="A83" i="3"/>
  <c r="BP82" i="3"/>
  <c r="BO82" i="3"/>
  <c r="BN82" i="3"/>
  <c r="BM82" i="3"/>
  <c r="BL82" i="3"/>
  <c r="BK82" i="3"/>
  <c r="BJ82" i="3"/>
  <c r="BI82" i="3"/>
  <c r="BH82" i="3"/>
  <c r="BG82" i="3"/>
  <c r="BF82" i="3"/>
  <c r="BE82" i="3"/>
  <c r="BD82" i="3"/>
  <c r="BC82" i="3"/>
  <c r="BB82" i="3"/>
  <c r="BA82" i="3"/>
  <c r="AZ82" i="3"/>
  <c r="AY82" i="3"/>
  <c r="AX82" i="3"/>
  <c r="AW82" i="3"/>
  <c r="AV82" i="3"/>
  <c r="AU82" i="3"/>
  <c r="AT82" i="3"/>
  <c r="AS82" i="3"/>
  <c r="AR82" i="3"/>
  <c r="AQ82" i="3"/>
  <c r="AP82" i="3"/>
  <c r="AO82" i="3"/>
  <c r="AN82" i="3"/>
  <c r="AM82" i="3"/>
  <c r="AL82" i="3"/>
  <c r="AK82" i="3"/>
  <c r="AJ82" i="3"/>
  <c r="AI82" i="3"/>
  <c r="AH82" i="3"/>
  <c r="AG82" i="3"/>
  <c r="AF82" i="3"/>
  <c r="AE82" i="3"/>
  <c r="AD82" i="3"/>
  <c r="AC82" i="3"/>
  <c r="AB82" i="3"/>
  <c r="AA82" i="3"/>
  <c r="Z82" i="3"/>
  <c r="Y82" i="3"/>
  <c r="X82" i="3"/>
  <c r="W82" i="3"/>
  <c r="V82" i="3"/>
  <c r="U82" i="3"/>
  <c r="T82" i="3"/>
  <c r="S82" i="3"/>
  <c r="R82" i="3"/>
  <c r="Q82" i="3"/>
  <c r="P82" i="3"/>
  <c r="O82" i="3"/>
  <c r="N82" i="3"/>
  <c r="M82" i="3"/>
  <c r="L82" i="3"/>
  <c r="K82" i="3"/>
  <c r="J82" i="3"/>
  <c r="I82" i="3"/>
  <c r="H82" i="3"/>
  <c r="G82" i="3"/>
  <c r="F82" i="3"/>
  <c r="E82" i="3"/>
  <c r="D82" i="3"/>
  <c r="C82" i="3"/>
  <c r="B82" i="3"/>
  <c r="A82" i="3"/>
  <c r="BP81" i="3"/>
  <c r="BO81" i="3"/>
  <c r="BN81" i="3"/>
  <c r="BM81" i="3"/>
  <c r="BL81" i="3"/>
  <c r="BK81" i="3"/>
  <c r="BJ81" i="3"/>
  <c r="BI81" i="3"/>
  <c r="BH81" i="3"/>
  <c r="BG81" i="3"/>
  <c r="BF81" i="3"/>
  <c r="BE81" i="3"/>
  <c r="BD81" i="3"/>
  <c r="BC81" i="3"/>
  <c r="BB81" i="3"/>
  <c r="BA81" i="3"/>
  <c r="AZ81" i="3"/>
  <c r="AY81" i="3"/>
  <c r="AX81" i="3"/>
  <c r="AW81" i="3"/>
  <c r="AV81" i="3"/>
  <c r="AU81" i="3"/>
  <c r="AT81" i="3"/>
  <c r="AS81" i="3"/>
  <c r="AR81" i="3"/>
  <c r="AQ81" i="3"/>
  <c r="AP81" i="3"/>
  <c r="AO81" i="3"/>
  <c r="AN81" i="3"/>
  <c r="AM81" i="3"/>
  <c r="AL81" i="3"/>
  <c r="AK81" i="3"/>
  <c r="AJ81" i="3"/>
  <c r="AI81" i="3"/>
  <c r="AH81" i="3"/>
  <c r="AG81" i="3"/>
  <c r="AF81" i="3"/>
  <c r="AE81" i="3"/>
  <c r="AD81" i="3"/>
  <c r="AC81" i="3"/>
  <c r="AB81" i="3"/>
  <c r="AA81" i="3"/>
  <c r="Z81" i="3"/>
  <c r="Y81" i="3"/>
  <c r="X81" i="3"/>
  <c r="W81" i="3"/>
  <c r="V81" i="3"/>
  <c r="U81" i="3"/>
  <c r="T81" i="3"/>
  <c r="S81" i="3"/>
  <c r="R81" i="3"/>
  <c r="Q81" i="3"/>
  <c r="P81" i="3"/>
  <c r="O81" i="3"/>
  <c r="N81" i="3"/>
  <c r="M81" i="3"/>
  <c r="L81" i="3"/>
  <c r="K81" i="3"/>
  <c r="J81" i="3"/>
  <c r="I81" i="3"/>
  <c r="H81" i="3"/>
  <c r="G81" i="3"/>
  <c r="F81" i="3"/>
  <c r="E81" i="3"/>
  <c r="D81" i="3"/>
  <c r="C81" i="3"/>
  <c r="B81" i="3"/>
  <c r="A81" i="3"/>
  <c r="BP80" i="3"/>
  <c r="BO80" i="3"/>
  <c r="BN80" i="3"/>
  <c r="BM80" i="3"/>
  <c r="BL80" i="3"/>
  <c r="BK80" i="3"/>
  <c r="BJ80" i="3"/>
  <c r="BI80" i="3"/>
  <c r="BH80" i="3"/>
  <c r="BG80" i="3"/>
  <c r="BF80" i="3"/>
  <c r="BE80" i="3"/>
  <c r="BD80" i="3"/>
  <c r="BC80" i="3"/>
  <c r="BB80" i="3"/>
  <c r="BA80" i="3"/>
  <c r="AZ80" i="3"/>
  <c r="AY80" i="3"/>
  <c r="AX80" i="3"/>
  <c r="AW80" i="3"/>
  <c r="AV80" i="3"/>
  <c r="AU80" i="3"/>
  <c r="AT80" i="3"/>
  <c r="AS80" i="3"/>
  <c r="AR80" i="3"/>
  <c r="AQ80" i="3"/>
  <c r="AP80" i="3"/>
  <c r="AO80" i="3"/>
  <c r="AN80" i="3"/>
  <c r="AM80" i="3"/>
  <c r="AL80" i="3"/>
  <c r="AK80" i="3"/>
  <c r="AJ80" i="3"/>
  <c r="AI80" i="3"/>
  <c r="AH80" i="3"/>
  <c r="AG80" i="3"/>
  <c r="AF80" i="3"/>
  <c r="AE80" i="3"/>
  <c r="AD80" i="3"/>
  <c r="AC80" i="3"/>
  <c r="AB80" i="3"/>
  <c r="AA80" i="3"/>
  <c r="Z80" i="3"/>
  <c r="Y80" i="3"/>
  <c r="X80" i="3"/>
  <c r="W80" i="3"/>
  <c r="V80" i="3"/>
  <c r="U80" i="3"/>
  <c r="T80" i="3"/>
  <c r="S80" i="3"/>
  <c r="R80" i="3"/>
  <c r="Q80" i="3"/>
  <c r="P80" i="3"/>
  <c r="O80" i="3"/>
  <c r="N80" i="3"/>
  <c r="M80" i="3"/>
  <c r="L80" i="3"/>
  <c r="K80" i="3"/>
  <c r="J80" i="3"/>
  <c r="I80" i="3"/>
  <c r="H80" i="3"/>
  <c r="G80" i="3"/>
  <c r="F80" i="3"/>
  <c r="E80" i="3"/>
  <c r="D80" i="3"/>
  <c r="C80" i="3"/>
  <c r="B80" i="3"/>
  <c r="A80" i="3"/>
  <c r="BP79" i="3"/>
  <c r="BO79" i="3"/>
  <c r="BN79" i="3"/>
  <c r="BM79" i="3"/>
  <c r="BL79" i="3"/>
  <c r="BK79" i="3"/>
  <c r="BJ79" i="3"/>
  <c r="BI79" i="3"/>
  <c r="BH79" i="3"/>
  <c r="BG79" i="3"/>
  <c r="BF79" i="3"/>
  <c r="BE79" i="3"/>
  <c r="BD79" i="3"/>
  <c r="BC79" i="3"/>
  <c r="BB79" i="3"/>
  <c r="BA79" i="3"/>
  <c r="AZ79" i="3"/>
  <c r="AY79" i="3"/>
  <c r="AX79" i="3"/>
  <c r="AW79" i="3"/>
  <c r="AV79" i="3"/>
  <c r="AU79" i="3"/>
  <c r="AT79" i="3"/>
  <c r="AS79" i="3"/>
  <c r="AR79" i="3"/>
  <c r="AQ79" i="3"/>
  <c r="AP79" i="3"/>
  <c r="AO79" i="3"/>
  <c r="AN79" i="3"/>
  <c r="AM79" i="3"/>
  <c r="AL79" i="3"/>
  <c r="AK79" i="3"/>
  <c r="AJ79" i="3"/>
  <c r="AI79" i="3"/>
  <c r="AH79" i="3"/>
  <c r="AG79" i="3"/>
  <c r="AF79" i="3"/>
  <c r="AE79" i="3"/>
  <c r="AD79" i="3"/>
  <c r="AC79" i="3"/>
  <c r="AB79" i="3"/>
  <c r="AA79" i="3"/>
  <c r="Z79" i="3"/>
  <c r="Y79" i="3"/>
  <c r="X79" i="3"/>
  <c r="W79" i="3"/>
  <c r="V79" i="3"/>
  <c r="U79" i="3"/>
  <c r="T79" i="3"/>
  <c r="S79" i="3"/>
  <c r="R79" i="3"/>
  <c r="Q79" i="3"/>
  <c r="P79" i="3"/>
  <c r="O79" i="3"/>
  <c r="N79" i="3"/>
  <c r="M79" i="3"/>
  <c r="L79" i="3"/>
  <c r="K79" i="3"/>
  <c r="J79" i="3"/>
  <c r="I79" i="3"/>
  <c r="H79" i="3"/>
  <c r="G79" i="3"/>
  <c r="F79" i="3"/>
  <c r="E79" i="3"/>
  <c r="D79" i="3"/>
  <c r="C79" i="3"/>
  <c r="B79" i="3"/>
  <c r="A79" i="3"/>
  <c r="BP78" i="3"/>
  <c r="BO78" i="3"/>
  <c r="BN78" i="3"/>
  <c r="BM78" i="3"/>
  <c r="BL78" i="3"/>
  <c r="BK78" i="3"/>
  <c r="BJ78" i="3"/>
  <c r="BI78" i="3"/>
  <c r="BH78" i="3"/>
  <c r="BG78" i="3"/>
  <c r="BF78" i="3"/>
  <c r="BE78" i="3"/>
  <c r="BD78" i="3"/>
  <c r="BC78" i="3"/>
  <c r="BB78" i="3"/>
  <c r="BA78" i="3"/>
  <c r="AZ78" i="3"/>
  <c r="AY78" i="3"/>
  <c r="AX78" i="3"/>
  <c r="AW78" i="3"/>
  <c r="AV78" i="3"/>
  <c r="AU78" i="3"/>
  <c r="AT78" i="3"/>
  <c r="AS78" i="3"/>
  <c r="AR78" i="3"/>
  <c r="AQ78" i="3"/>
  <c r="AP78" i="3"/>
  <c r="AO78" i="3"/>
  <c r="AN78" i="3"/>
  <c r="AM78" i="3"/>
  <c r="AL78" i="3"/>
  <c r="AK78" i="3"/>
  <c r="AJ78" i="3"/>
  <c r="AI78" i="3"/>
  <c r="AH78" i="3"/>
  <c r="AG78" i="3"/>
  <c r="AF78" i="3"/>
  <c r="AE78" i="3"/>
  <c r="AD78" i="3"/>
  <c r="AC78" i="3"/>
  <c r="AB78" i="3"/>
  <c r="AA78" i="3"/>
  <c r="Z78" i="3"/>
  <c r="Y78" i="3"/>
  <c r="X78" i="3"/>
  <c r="W78" i="3"/>
  <c r="V78" i="3"/>
  <c r="U78" i="3"/>
  <c r="T78" i="3"/>
  <c r="S78" i="3"/>
  <c r="R78" i="3"/>
  <c r="Q78" i="3"/>
  <c r="P78" i="3"/>
  <c r="O78" i="3"/>
  <c r="N78" i="3"/>
  <c r="M78" i="3"/>
  <c r="L78" i="3"/>
  <c r="K78" i="3"/>
  <c r="J78" i="3"/>
  <c r="I78" i="3"/>
  <c r="H78" i="3"/>
  <c r="G78" i="3"/>
  <c r="F78" i="3"/>
  <c r="E78" i="3"/>
  <c r="D78" i="3"/>
  <c r="C78" i="3"/>
  <c r="B78" i="3"/>
  <c r="A78" i="3"/>
  <c r="BP77" i="3"/>
  <c r="BO77" i="3"/>
  <c r="BN77" i="3"/>
  <c r="BM77" i="3"/>
  <c r="BL77" i="3"/>
  <c r="BK77" i="3"/>
  <c r="BJ77" i="3"/>
  <c r="BI77" i="3"/>
  <c r="BH77" i="3"/>
  <c r="BG77" i="3"/>
  <c r="BF77" i="3"/>
  <c r="BE77" i="3"/>
  <c r="BD77" i="3"/>
  <c r="BC77" i="3"/>
  <c r="BB77" i="3"/>
  <c r="BA77" i="3"/>
  <c r="AZ77" i="3"/>
  <c r="AY77" i="3"/>
  <c r="AX77" i="3"/>
  <c r="AW77" i="3"/>
  <c r="AV77" i="3"/>
  <c r="AU77" i="3"/>
  <c r="AT77" i="3"/>
  <c r="AS77" i="3"/>
  <c r="AR77" i="3"/>
  <c r="AQ77" i="3"/>
  <c r="AP77" i="3"/>
  <c r="AO77" i="3"/>
  <c r="AN77" i="3"/>
  <c r="AM77" i="3"/>
  <c r="AL77" i="3"/>
  <c r="AK77" i="3"/>
  <c r="AJ77" i="3"/>
  <c r="AI77" i="3"/>
  <c r="AH77" i="3"/>
  <c r="AG77" i="3"/>
  <c r="AF77" i="3"/>
  <c r="AE77" i="3"/>
  <c r="AD77" i="3"/>
  <c r="AC77" i="3"/>
  <c r="AB77" i="3"/>
  <c r="AA77" i="3"/>
  <c r="Z77" i="3"/>
  <c r="Y77" i="3"/>
  <c r="X77" i="3"/>
  <c r="W77" i="3"/>
  <c r="V77" i="3"/>
  <c r="U77" i="3"/>
  <c r="T77" i="3"/>
  <c r="S77" i="3"/>
  <c r="R77" i="3"/>
  <c r="Q77" i="3"/>
  <c r="P77" i="3"/>
  <c r="O77" i="3"/>
  <c r="N77" i="3"/>
  <c r="M77" i="3"/>
  <c r="L77" i="3"/>
  <c r="K77" i="3"/>
  <c r="J77" i="3"/>
  <c r="I77" i="3"/>
  <c r="H77" i="3"/>
  <c r="G77" i="3"/>
  <c r="F77" i="3"/>
  <c r="E77" i="3"/>
  <c r="D77" i="3"/>
  <c r="C77" i="3"/>
  <c r="B77" i="3"/>
  <c r="A77" i="3"/>
  <c r="BP76" i="3"/>
  <c r="BO76" i="3"/>
  <c r="BN76" i="3"/>
  <c r="BM76" i="3"/>
  <c r="BL76" i="3"/>
  <c r="BK76" i="3"/>
  <c r="BJ76" i="3"/>
  <c r="BI76" i="3"/>
  <c r="BH76" i="3"/>
  <c r="BG76" i="3"/>
  <c r="BF76" i="3"/>
  <c r="BE76" i="3"/>
  <c r="BD76" i="3"/>
  <c r="BC76" i="3"/>
  <c r="BB76" i="3"/>
  <c r="BA76" i="3"/>
  <c r="AZ76" i="3"/>
  <c r="AY76" i="3"/>
  <c r="AX76" i="3"/>
  <c r="AW76" i="3"/>
  <c r="AV76" i="3"/>
  <c r="AU76" i="3"/>
  <c r="AT76" i="3"/>
  <c r="AS76" i="3"/>
  <c r="AR76" i="3"/>
  <c r="AQ76" i="3"/>
  <c r="AP76" i="3"/>
  <c r="AO76" i="3"/>
  <c r="AN76" i="3"/>
  <c r="AM76" i="3"/>
  <c r="AL76" i="3"/>
  <c r="AK76" i="3"/>
  <c r="AJ76" i="3"/>
  <c r="AI76" i="3"/>
  <c r="AH76" i="3"/>
  <c r="AG76" i="3"/>
  <c r="AF76" i="3"/>
  <c r="AE76" i="3"/>
  <c r="AD76" i="3"/>
  <c r="AC76" i="3"/>
  <c r="AB76" i="3"/>
  <c r="AA76" i="3"/>
  <c r="Z76" i="3"/>
  <c r="Y76" i="3"/>
  <c r="X76" i="3"/>
  <c r="W76" i="3"/>
  <c r="V76" i="3"/>
  <c r="U76" i="3"/>
  <c r="T76" i="3"/>
  <c r="S76" i="3"/>
  <c r="R76" i="3"/>
  <c r="Q76" i="3"/>
  <c r="P76" i="3"/>
  <c r="O76" i="3"/>
  <c r="N76" i="3"/>
  <c r="M76" i="3"/>
  <c r="L76" i="3"/>
  <c r="K76" i="3"/>
  <c r="J76" i="3"/>
  <c r="I76" i="3"/>
  <c r="H76" i="3"/>
  <c r="G76" i="3"/>
  <c r="F76" i="3"/>
  <c r="E76" i="3"/>
  <c r="D76" i="3"/>
  <c r="C76" i="3"/>
  <c r="B76" i="3"/>
  <c r="A76" i="3"/>
  <c r="BP75" i="3"/>
  <c r="BO75" i="3"/>
  <c r="BN75" i="3"/>
  <c r="BM75" i="3"/>
  <c r="BL75" i="3"/>
  <c r="BK75" i="3"/>
  <c r="BJ75" i="3"/>
  <c r="BI75" i="3"/>
  <c r="BH75" i="3"/>
  <c r="BG75" i="3"/>
  <c r="BF75" i="3"/>
  <c r="BE75" i="3"/>
  <c r="BD75" i="3"/>
  <c r="BC75" i="3"/>
  <c r="BB75" i="3"/>
  <c r="BA75" i="3"/>
  <c r="AZ75"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J75" i="3"/>
  <c r="I75" i="3"/>
  <c r="H75" i="3"/>
  <c r="G75" i="3"/>
  <c r="F75" i="3"/>
  <c r="E75" i="3"/>
  <c r="D75" i="3"/>
  <c r="C75" i="3"/>
  <c r="B75" i="3"/>
  <c r="A75" i="3"/>
  <c r="BP74" i="3"/>
  <c r="BO74" i="3"/>
  <c r="BN74" i="3"/>
  <c r="BM74" i="3"/>
  <c r="BL74" i="3"/>
  <c r="BK74" i="3"/>
  <c r="BJ74" i="3"/>
  <c r="BI74" i="3"/>
  <c r="BH74" i="3"/>
  <c r="BG74" i="3"/>
  <c r="BF74" i="3"/>
  <c r="BE74" i="3"/>
  <c r="BD74" i="3"/>
  <c r="BC74" i="3"/>
  <c r="BB74" i="3"/>
  <c r="BA74" i="3"/>
  <c r="AZ74" i="3"/>
  <c r="AY74" i="3"/>
  <c r="AX74" i="3"/>
  <c r="AW74" i="3"/>
  <c r="AV74" i="3"/>
  <c r="AU74" i="3"/>
  <c r="AT74" i="3"/>
  <c r="AS74" i="3"/>
  <c r="AR74" i="3"/>
  <c r="AQ74" i="3"/>
  <c r="AP74" i="3"/>
  <c r="AO74" i="3"/>
  <c r="AN74" i="3"/>
  <c r="AM74" i="3"/>
  <c r="AL74"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J74" i="3"/>
  <c r="I74" i="3"/>
  <c r="H74" i="3"/>
  <c r="G74" i="3"/>
  <c r="F74" i="3"/>
  <c r="E74" i="3"/>
  <c r="D74" i="3"/>
  <c r="C74" i="3"/>
  <c r="B74" i="3"/>
  <c r="A74" i="3"/>
  <c r="BP73" i="3"/>
  <c r="BO73" i="3"/>
  <c r="BN73" i="3"/>
  <c r="BM73" i="3"/>
  <c r="BL73" i="3"/>
  <c r="BK73" i="3"/>
  <c r="BJ73" i="3"/>
  <c r="BI73" i="3"/>
  <c r="BH73" i="3"/>
  <c r="BG73" i="3"/>
  <c r="BF73" i="3"/>
  <c r="BE73" i="3"/>
  <c r="BD73" i="3"/>
  <c r="BC73" i="3"/>
  <c r="BB73" i="3"/>
  <c r="BA73" i="3"/>
  <c r="AZ73" i="3"/>
  <c r="AY73" i="3"/>
  <c r="AX73" i="3"/>
  <c r="AW73" i="3"/>
  <c r="AV73" i="3"/>
  <c r="AU73" i="3"/>
  <c r="AT73" i="3"/>
  <c r="AS73" i="3"/>
  <c r="AR73" i="3"/>
  <c r="AQ73" i="3"/>
  <c r="AP73" i="3"/>
  <c r="AO73" i="3"/>
  <c r="AN73" i="3"/>
  <c r="AM73" i="3"/>
  <c r="AL73" i="3"/>
  <c r="AK73" i="3"/>
  <c r="AJ73" i="3"/>
  <c r="AI73" i="3"/>
  <c r="AH73" i="3"/>
  <c r="AG73" i="3"/>
  <c r="AF73" i="3"/>
  <c r="AE73" i="3"/>
  <c r="AD73" i="3"/>
  <c r="AC73" i="3"/>
  <c r="AB73" i="3"/>
  <c r="AA73" i="3"/>
  <c r="Z73" i="3"/>
  <c r="Y73" i="3"/>
  <c r="X73" i="3"/>
  <c r="W73" i="3"/>
  <c r="V73" i="3"/>
  <c r="U73" i="3"/>
  <c r="T73" i="3"/>
  <c r="S73" i="3"/>
  <c r="R73" i="3"/>
  <c r="Q73" i="3"/>
  <c r="P73" i="3"/>
  <c r="O73" i="3"/>
  <c r="N73" i="3"/>
  <c r="M73" i="3"/>
  <c r="L73" i="3"/>
  <c r="K73" i="3"/>
  <c r="J73" i="3"/>
  <c r="I73" i="3"/>
  <c r="H73" i="3"/>
  <c r="G73" i="3"/>
  <c r="F73" i="3"/>
  <c r="E73" i="3"/>
  <c r="D73" i="3"/>
  <c r="C73" i="3"/>
  <c r="B73" i="3"/>
  <c r="A73" i="3"/>
  <c r="BP72" i="3"/>
  <c r="BO72" i="3"/>
  <c r="BN72" i="3"/>
  <c r="BM72" i="3"/>
  <c r="BL72" i="3"/>
  <c r="BK72" i="3"/>
  <c r="BJ72" i="3"/>
  <c r="BI72" i="3"/>
  <c r="BH72" i="3"/>
  <c r="BG72" i="3"/>
  <c r="BF72" i="3"/>
  <c r="BE72" i="3"/>
  <c r="BD72" i="3"/>
  <c r="BC72" i="3"/>
  <c r="BB72" i="3"/>
  <c r="BA72" i="3"/>
  <c r="AZ72" i="3"/>
  <c r="AY72" i="3"/>
  <c r="AX72" i="3"/>
  <c r="AW72" i="3"/>
  <c r="AV72" i="3"/>
  <c r="AU72" i="3"/>
  <c r="AT72"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R72" i="3"/>
  <c r="Q72" i="3"/>
  <c r="P72" i="3"/>
  <c r="O72" i="3"/>
  <c r="N72" i="3"/>
  <c r="M72" i="3"/>
  <c r="L72" i="3"/>
  <c r="K72" i="3"/>
  <c r="J72" i="3"/>
  <c r="I72" i="3"/>
  <c r="H72" i="3"/>
  <c r="G72" i="3"/>
  <c r="F72" i="3"/>
  <c r="E72" i="3"/>
  <c r="D72" i="3"/>
  <c r="C72" i="3"/>
  <c r="B72" i="3"/>
  <c r="A72" i="3"/>
  <c r="BP71" i="3"/>
  <c r="BO71" i="3"/>
  <c r="BN71" i="3"/>
  <c r="BM71" i="3"/>
  <c r="BL71" i="3"/>
  <c r="BK71" i="3"/>
  <c r="BJ71" i="3"/>
  <c r="BI71" i="3"/>
  <c r="BH71" i="3"/>
  <c r="BG71" i="3"/>
  <c r="BF71" i="3"/>
  <c r="BE71" i="3"/>
  <c r="BD71" i="3"/>
  <c r="BC71" i="3"/>
  <c r="BB71" i="3"/>
  <c r="BA71" i="3"/>
  <c r="AZ71" i="3"/>
  <c r="AY71" i="3"/>
  <c r="AX71" i="3"/>
  <c r="AW71" i="3"/>
  <c r="AV71" i="3"/>
  <c r="AU71" i="3"/>
  <c r="AT71" i="3"/>
  <c r="AS71" i="3"/>
  <c r="AR71" i="3"/>
  <c r="AQ71" i="3"/>
  <c r="AP71" i="3"/>
  <c r="AO71" i="3"/>
  <c r="AN71" i="3"/>
  <c r="AM71" i="3"/>
  <c r="AL71" i="3"/>
  <c r="AK71" i="3"/>
  <c r="AJ71" i="3"/>
  <c r="AI71" i="3"/>
  <c r="AH71" i="3"/>
  <c r="AG71" i="3"/>
  <c r="AF71" i="3"/>
  <c r="AE71" i="3"/>
  <c r="AD71" i="3"/>
  <c r="AC71" i="3"/>
  <c r="AB71" i="3"/>
  <c r="AA71" i="3"/>
  <c r="Z71" i="3"/>
  <c r="Y71" i="3"/>
  <c r="X71" i="3"/>
  <c r="W71" i="3"/>
  <c r="V71" i="3"/>
  <c r="U71" i="3"/>
  <c r="T71" i="3"/>
  <c r="S71" i="3"/>
  <c r="R71" i="3"/>
  <c r="Q71" i="3"/>
  <c r="P71" i="3"/>
  <c r="O71" i="3"/>
  <c r="N71" i="3"/>
  <c r="M71" i="3"/>
  <c r="L71" i="3"/>
  <c r="K71" i="3"/>
  <c r="J71" i="3"/>
  <c r="I71" i="3"/>
  <c r="H71" i="3"/>
  <c r="G71" i="3"/>
  <c r="F71" i="3"/>
  <c r="E71" i="3"/>
  <c r="D71" i="3"/>
  <c r="C71" i="3"/>
  <c r="B71" i="3"/>
  <c r="A71" i="3"/>
  <c r="BP70" i="3"/>
  <c r="BO70" i="3"/>
  <c r="BN70" i="3"/>
  <c r="BM70" i="3"/>
  <c r="BL70" i="3"/>
  <c r="BK70" i="3"/>
  <c r="BJ70" i="3"/>
  <c r="BI70" i="3"/>
  <c r="BH70" i="3"/>
  <c r="BG70" i="3"/>
  <c r="BF70" i="3"/>
  <c r="BE70" i="3"/>
  <c r="BD70" i="3"/>
  <c r="BC70" i="3"/>
  <c r="BB70" i="3"/>
  <c r="BA70" i="3"/>
  <c r="AZ70" i="3"/>
  <c r="AY70" i="3"/>
  <c r="AX70" i="3"/>
  <c r="AW70" i="3"/>
  <c r="AV70" i="3"/>
  <c r="AU70" i="3"/>
  <c r="AT70" i="3"/>
  <c r="AS70" i="3"/>
  <c r="AR70" i="3"/>
  <c r="AQ70" i="3"/>
  <c r="AP70" i="3"/>
  <c r="AO70" i="3"/>
  <c r="AN70" i="3"/>
  <c r="AM70" i="3"/>
  <c r="AL70" i="3"/>
  <c r="AK70" i="3"/>
  <c r="AJ70" i="3"/>
  <c r="AI70" i="3"/>
  <c r="AH70" i="3"/>
  <c r="AG70" i="3"/>
  <c r="AF70" i="3"/>
  <c r="AE70" i="3"/>
  <c r="AD70" i="3"/>
  <c r="AC70" i="3"/>
  <c r="AB70" i="3"/>
  <c r="AA70" i="3"/>
  <c r="Z70" i="3"/>
  <c r="Y70" i="3"/>
  <c r="X70" i="3"/>
  <c r="W70" i="3"/>
  <c r="V70" i="3"/>
  <c r="U70" i="3"/>
  <c r="T70" i="3"/>
  <c r="S70" i="3"/>
  <c r="R70" i="3"/>
  <c r="Q70" i="3"/>
  <c r="P70" i="3"/>
  <c r="O70" i="3"/>
  <c r="N70" i="3"/>
  <c r="M70" i="3"/>
  <c r="L70" i="3"/>
  <c r="K70" i="3"/>
  <c r="J70" i="3"/>
  <c r="I70" i="3"/>
  <c r="H70" i="3"/>
  <c r="G70" i="3"/>
  <c r="F70" i="3"/>
  <c r="E70" i="3"/>
  <c r="D70" i="3"/>
  <c r="C70" i="3"/>
  <c r="B70" i="3"/>
  <c r="A70" i="3"/>
  <c r="BP69" i="3"/>
  <c r="BO69" i="3"/>
  <c r="BN69" i="3"/>
  <c r="BM69" i="3"/>
  <c r="BL69" i="3"/>
  <c r="BK69" i="3"/>
  <c r="BJ69" i="3"/>
  <c r="BI69" i="3"/>
  <c r="BH69" i="3"/>
  <c r="BG69" i="3"/>
  <c r="BF69" i="3"/>
  <c r="BE69" i="3"/>
  <c r="BD69" i="3"/>
  <c r="BC69" i="3"/>
  <c r="BB69" i="3"/>
  <c r="BA69" i="3"/>
  <c r="AZ69" i="3"/>
  <c r="AY69" i="3"/>
  <c r="AX69" i="3"/>
  <c r="AW69" i="3"/>
  <c r="AV69" i="3"/>
  <c r="AU69" i="3"/>
  <c r="AT69" i="3"/>
  <c r="AS69" i="3"/>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J69" i="3"/>
  <c r="I69" i="3"/>
  <c r="H69" i="3"/>
  <c r="G69" i="3"/>
  <c r="F69" i="3"/>
  <c r="E69" i="3"/>
  <c r="D69" i="3"/>
  <c r="C69" i="3"/>
  <c r="B69" i="3"/>
  <c r="A69" i="3"/>
  <c r="BP68" i="3"/>
  <c r="BO68" i="3"/>
  <c r="BN68" i="3"/>
  <c r="BM68" i="3"/>
  <c r="BL68" i="3"/>
  <c r="BK68" i="3"/>
  <c r="BJ68" i="3"/>
  <c r="BI68" i="3"/>
  <c r="BH68" i="3"/>
  <c r="BG68" i="3"/>
  <c r="BF68" i="3"/>
  <c r="BE68" i="3"/>
  <c r="BD68" i="3"/>
  <c r="BC68" i="3"/>
  <c r="BB68" i="3"/>
  <c r="BA68" i="3"/>
  <c r="AZ68" i="3"/>
  <c r="AY68" i="3"/>
  <c r="AX68" i="3"/>
  <c r="AW68" i="3"/>
  <c r="AV68" i="3"/>
  <c r="AU68" i="3"/>
  <c r="AT68" i="3"/>
  <c r="AS68" i="3"/>
  <c r="AR68" i="3"/>
  <c r="AQ68" i="3"/>
  <c r="AP68" i="3"/>
  <c r="AO68" i="3"/>
  <c r="AN68" i="3"/>
  <c r="AM68" i="3"/>
  <c r="AL68" i="3"/>
  <c r="AK68" i="3"/>
  <c r="AJ68" i="3"/>
  <c r="AI68" i="3"/>
  <c r="AH68" i="3"/>
  <c r="AG68" i="3"/>
  <c r="AF68" i="3"/>
  <c r="AE68" i="3"/>
  <c r="AD68" i="3"/>
  <c r="AC68" i="3"/>
  <c r="AB68" i="3"/>
  <c r="AA68" i="3"/>
  <c r="Z68" i="3"/>
  <c r="Y68" i="3"/>
  <c r="X68" i="3"/>
  <c r="W68" i="3"/>
  <c r="V68" i="3"/>
  <c r="U68" i="3"/>
  <c r="T68" i="3"/>
  <c r="S68" i="3"/>
  <c r="R68" i="3"/>
  <c r="Q68" i="3"/>
  <c r="P68" i="3"/>
  <c r="O68" i="3"/>
  <c r="N68" i="3"/>
  <c r="M68" i="3"/>
  <c r="L68" i="3"/>
  <c r="K68" i="3"/>
  <c r="J68" i="3"/>
  <c r="I68" i="3"/>
  <c r="H68" i="3"/>
  <c r="G68" i="3"/>
  <c r="F68" i="3"/>
  <c r="E68" i="3"/>
  <c r="D68" i="3"/>
  <c r="C68" i="3"/>
  <c r="B68" i="3"/>
  <c r="A68" i="3"/>
  <c r="BP67" i="3"/>
  <c r="BO67" i="3"/>
  <c r="BN67" i="3"/>
  <c r="BM67" i="3"/>
  <c r="BL67" i="3"/>
  <c r="BK67" i="3"/>
  <c r="BJ67" i="3"/>
  <c r="BI67" i="3"/>
  <c r="BH67" i="3"/>
  <c r="BG67" i="3"/>
  <c r="BF67" i="3"/>
  <c r="BE67" i="3"/>
  <c r="BD67" i="3"/>
  <c r="BC67" i="3"/>
  <c r="BB67" i="3"/>
  <c r="BA67" i="3"/>
  <c r="AZ67" i="3"/>
  <c r="AY67" i="3"/>
  <c r="AX67" i="3"/>
  <c r="AW67" i="3"/>
  <c r="AV67" i="3"/>
  <c r="AU67" i="3"/>
  <c r="AT67" i="3"/>
  <c r="AS67" i="3"/>
  <c r="AR67" i="3"/>
  <c r="AQ67" i="3"/>
  <c r="AP67" i="3"/>
  <c r="AO67" i="3"/>
  <c r="AN67" i="3"/>
  <c r="AM67" i="3"/>
  <c r="AL67" i="3"/>
  <c r="AK67" i="3"/>
  <c r="AJ67" i="3"/>
  <c r="AI67" i="3"/>
  <c r="AH67" i="3"/>
  <c r="AG67" i="3"/>
  <c r="AF67" i="3"/>
  <c r="AE67" i="3"/>
  <c r="AD67" i="3"/>
  <c r="AC67" i="3"/>
  <c r="AB67" i="3"/>
  <c r="AA67" i="3"/>
  <c r="Z67" i="3"/>
  <c r="Y67" i="3"/>
  <c r="X67" i="3"/>
  <c r="W67" i="3"/>
  <c r="V67" i="3"/>
  <c r="U67" i="3"/>
  <c r="T67" i="3"/>
  <c r="S67" i="3"/>
  <c r="R67" i="3"/>
  <c r="Q67" i="3"/>
  <c r="P67" i="3"/>
  <c r="O67" i="3"/>
  <c r="N67" i="3"/>
  <c r="M67" i="3"/>
  <c r="L67" i="3"/>
  <c r="K67" i="3"/>
  <c r="J67" i="3"/>
  <c r="I67" i="3"/>
  <c r="H67" i="3"/>
  <c r="G67" i="3"/>
  <c r="F67" i="3"/>
  <c r="E67" i="3"/>
  <c r="D67" i="3"/>
  <c r="C67" i="3"/>
  <c r="B67" i="3"/>
  <c r="A67" i="3"/>
  <c r="BP66" i="3"/>
  <c r="BO66" i="3"/>
  <c r="BN66" i="3"/>
  <c r="BM66" i="3"/>
  <c r="BL66" i="3"/>
  <c r="BK66" i="3"/>
  <c r="BJ66" i="3"/>
  <c r="BI66" i="3"/>
  <c r="BH66" i="3"/>
  <c r="BG66" i="3"/>
  <c r="BF66" i="3"/>
  <c r="BE66" i="3"/>
  <c r="BD66" i="3"/>
  <c r="BC66" i="3"/>
  <c r="BB66" i="3"/>
  <c r="BA66" i="3"/>
  <c r="AZ66" i="3"/>
  <c r="AY66" i="3"/>
  <c r="AX66" i="3"/>
  <c r="AW66" i="3"/>
  <c r="AV66" i="3"/>
  <c r="AU66" i="3"/>
  <c r="AT66" i="3"/>
  <c r="AS66" i="3"/>
  <c r="AR66" i="3"/>
  <c r="AQ66" i="3"/>
  <c r="AP66" i="3"/>
  <c r="AO66" i="3"/>
  <c r="AN66" i="3"/>
  <c r="AM66" i="3"/>
  <c r="AL66" i="3"/>
  <c r="AK66" i="3"/>
  <c r="AJ66" i="3"/>
  <c r="AI66" i="3"/>
  <c r="AH66" i="3"/>
  <c r="AG66" i="3"/>
  <c r="AF66" i="3"/>
  <c r="AE66" i="3"/>
  <c r="AD66" i="3"/>
  <c r="AC66" i="3"/>
  <c r="AB66" i="3"/>
  <c r="AA66" i="3"/>
  <c r="Z66" i="3"/>
  <c r="Y66" i="3"/>
  <c r="X66" i="3"/>
  <c r="W66" i="3"/>
  <c r="V66" i="3"/>
  <c r="U66" i="3"/>
  <c r="T66" i="3"/>
  <c r="S66" i="3"/>
  <c r="R66" i="3"/>
  <c r="Q66" i="3"/>
  <c r="P66" i="3"/>
  <c r="O66" i="3"/>
  <c r="N66" i="3"/>
  <c r="M66" i="3"/>
  <c r="L66" i="3"/>
  <c r="K66" i="3"/>
  <c r="J66" i="3"/>
  <c r="I66" i="3"/>
  <c r="H66" i="3"/>
  <c r="G66" i="3"/>
  <c r="F66" i="3"/>
  <c r="E66" i="3"/>
  <c r="D66" i="3"/>
  <c r="C66" i="3"/>
  <c r="B66" i="3"/>
  <c r="A66" i="3"/>
  <c r="BP65" i="3"/>
  <c r="BO65" i="3"/>
  <c r="BN65" i="3"/>
  <c r="BM65" i="3"/>
  <c r="BL65" i="3"/>
  <c r="BK65" i="3"/>
  <c r="BJ65" i="3"/>
  <c r="BI65" i="3"/>
  <c r="BH65" i="3"/>
  <c r="BG65" i="3"/>
  <c r="BF65" i="3"/>
  <c r="BE65" i="3"/>
  <c r="BD65" i="3"/>
  <c r="BC65" i="3"/>
  <c r="BB65" i="3"/>
  <c r="BA65" i="3"/>
  <c r="AZ65" i="3"/>
  <c r="AY65" i="3"/>
  <c r="AX65" i="3"/>
  <c r="AW65" i="3"/>
  <c r="AV65" i="3"/>
  <c r="AU65" i="3"/>
  <c r="AT65" i="3"/>
  <c r="AS65" i="3"/>
  <c r="AR65" i="3"/>
  <c r="AQ65" i="3"/>
  <c r="AP65" i="3"/>
  <c r="AO65" i="3"/>
  <c r="AN65" i="3"/>
  <c r="AM65" i="3"/>
  <c r="AL65" i="3"/>
  <c r="AK65" i="3"/>
  <c r="AJ65" i="3"/>
  <c r="AI65" i="3"/>
  <c r="AH65" i="3"/>
  <c r="AG65" i="3"/>
  <c r="AF65" i="3"/>
  <c r="AE65" i="3"/>
  <c r="AD65" i="3"/>
  <c r="AC65" i="3"/>
  <c r="AB65" i="3"/>
  <c r="AA65" i="3"/>
  <c r="Z65" i="3"/>
  <c r="Y65" i="3"/>
  <c r="X65" i="3"/>
  <c r="W65" i="3"/>
  <c r="V65" i="3"/>
  <c r="U65" i="3"/>
  <c r="T65" i="3"/>
  <c r="S65" i="3"/>
  <c r="R65" i="3"/>
  <c r="Q65" i="3"/>
  <c r="P65" i="3"/>
  <c r="O65" i="3"/>
  <c r="N65" i="3"/>
  <c r="M65" i="3"/>
  <c r="L65" i="3"/>
  <c r="K65" i="3"/>
  <c r="J65" i="3"/>
  <c r="I65" i="3"/>
  <c r="H65" i="3"/>
  <c r="G65" i="3"/>
  <c r="F65" i="3"/>
  <c r="E65" i="3"/>
  <c r="D65" i="3"/>
  <c r="C65" i="3"/>
  <c r="B65" i="3"/>
  <c r="A65" i="3"/>
  <c r="BP64" i="3"/>
  <c r="BO64" i="3"/>
  <c r="BN64" i="3"/>
  <c r="BM64" i="3"/>
  <c r="BL64" i="3"/>
  <c r="BK64" i="3"/>
  <c r="BJ64" i="3"/>
  <c r="BI64" i="3"/>
  <c r="BH64" i="3"/>
  <c r="BG64" i="3"/>
  <c r="BF64" i="3"/>
  <c r="BE64" i="3"/>
  <c r="BD64" i="3"/>
  <c r="BC64" i="3"/>
  <c r="BB64" i="3"/>
  <c r="BA64" i="3"/>
  <c r="AZ64" i="3"/>
  <c r="AY64" i="3"/>
  <c r="AX64" i="3"/>
  <c r="AW64" i="3"/>
  <c r="AV64" i="3"/>
  <c r="AU64" i="3"/>
  <c r="AT64" i="3"/>
  <c r="AS64" i="3"/>
  <c r="AR64" i="3"/>
  <c r="AQ64" i="3"/>
  <c r="AP64" i="3"/>
  <c r="AO64" i="3"/>
  <c r="AN64" i="3"/>
  <c r="AM64" i="3"/>
  <c r="AL64" i="3"/>
  <c r="AK64" i="3"/>
  <c r="AJ64" i="3"/>
  <c r="AI64" i="3"/>
  <c r="AH64" i="3"/>
  <c r="AG64" i="3"/>
  <c r="AF64" i="3"/>
  <c r="AE64" i="3"/>
  <c r="AD64" i="3"/>
  <c r="AC64" i="3"/>
  <c r="AB64" i="3"/>
  <c r="AA64" i="3"/>
  <c r="Z64" i="3"/>
  <c r="Y64" i="3"/>
  <c r="X64" i="3"/>
  <c r="W64" i="3"/>
  <c r="V64" i="3"/>
  <c r="U64" i="3"/>
  <c r="T64" i="3"/>
  <c r="S64" i="3"/>
  <c r="R64" i="3"/>
  <c r="Q64" i="3"/>
  <c r="P64" i="3"/>
  <c r="O64" i="3"/>
  <c r="N64" i="3"/>
  <c r="M64" i="3"/>
  <c r="L64" i="3"/>
  <c r="K64" i="3"/>
  <c r="J64" i="3"/>
  <c r="I64" i="3"/>
  <c r="H64" i="3"/>
  <c r="G64" i="3"/>
  <c r="F64" i="3"/>
  <c r="E64" i="3"/>
  <c r="D64" i="3"/>
  <c r="C64" i="3"/>
  <c r="B64" i="3"/>
  <c r="A64" i="3"/>
  <c r="BP63" i="3"/>
  <c r="BO63" i="3"/>
  <c r="BN63" i="3"/>
  <c r="BM63" i="3"/>
  <c r="BL63" i="3"/>
  <c r="BK63" i="3"/>
  <c r="BJ63" i="3"/>
  <c r="BI63" i="3"/>
  <c r="BH63" i="3"/>
  <c r="BG63" i="3"/>
  <c r="BF63" i="3"/>
  <c r="BE63" i="3"/>
  <c r="BD63" i="3"/>
  <c r="BC63" i="3"/>
  <c r="BB63" i="3"/>
  <c r="BA63" i="3"/>
  <c r="AZ63" i="3"/>
  <c r="AY63" i="3"/>
  <c r="AX63" i="3"/>
  <c r="AW63" i="3"/>
  <c r="AV63" i="3"/>
  <c r="AU63" i="3"/>
  <c r="AT63"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R63" i="3"/>
  <c r="Q63" i="3"/>
  <c r="P63" i="3"/>
  <c r="O63" i="3"/>
  <c r="N63" i="3"/>
  <c r="M63" i="3"/>
  <c r="L63" i="3"/>
  <c r="K63" i="3"/>
  <c r="J63" i="3"/>
  <c r="I63" i="3"/>
  <c r="H63" i="3"/>
  <c r="G63" i="3"/>
  <c r="F63" i="3"/>
  <c r="E63" i="3"/>
  <c r="D63" i="3"/>
  <c r="C63" i="3"/>
  <c r="B63" i="3"/>
  <c r="A63" i="3"/>
  <c r="BP62" i="3"/>
  <c r="BO62" i="3"/>
  <c r="BN62" i="3"/>
  <c r="BM62" i="3"/>
  <c r="BL62" i="3"/>
  <c r="BK62" i="3"/>
  <c r="BJ62" i="3"/>
  <c r="BI62" i="3"/>
  <c r="BH62" i="3"/>
  <c r="BG62" i="3"/>
  <c r="BF62" i="3"/>
  <c r="BE62" i="3"/>
  <c r="BD62" i="3"/>
  <c r="BC62" i="3"/>
  <c r="BB62" i="3"/>
  <c r="BA62" i="3"/>
  <c r="AZ62" i="3"/>
  <c r="AY62" i="3"/>
  <c r="AX62" i="3"/>
  <c r="AW62" i="3"/>
  <c r="AV62" i="3"/>
  <c r="AU62"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D62" i="3"/>
  <c r="B62" i="3"/>
  <c r="A62" i="3"/>
  <c r="BP61" i="3"/>
  <c r="BO61" i="3"/>
  <c r="BN61" i="3"/>
  <c r="BM61" i="3"/>
  <c r="BL61" i="3"/>
  <c r="BK61" i="3"/>
  <c r="BJ61" i="3"/>
  <c r="BI61" i="3"/>
  <c r="BH61" i="3"/>
  <c r="BG61" i="3"/>
  <c r="BF61" i="3"/>
  <c r="BE61" i="3"/>
  <c r="BD61" i="3"/>
  <c r="BC61" i="3"/>
  <c r="BB61" i="3"/>
  <c r="BA61" i="3"/>
  <c r="AZ61" i="3"/>
  <c r="AY61" i="3"/>
  <c r="AX61" i="3"/>
  <c r="AW61" i="3"/>
  <c r="AV61" i="3"/>
  <c r="AU61" i="3"/>
  <c r="AT61" i="3"/>
  <c r="AS61" i="3"/>
  <c r="AR61" i="3"/>
  <c r="AQ61" i="3"/>
  <c r="AP61" i="3"/>
  <c r="AO61" i="3"/>
  <c r="AN61" i="3"/>
  <c r="AM61" i="3"/>
  <c r="AL61" i="3"/>
  <c r="AK61" i="3"/>
  <c r="AJ61" i="3"/>
  <c r="AI61" i="3"/>
  <c r="AH61" i="3"/>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D61" i="3"/>
  <c r="C61" i="3"/>
  <c r="B61" i="3"/>
  <c r="A61" i="3"/>
  <c r="BP60" i="3"/>
  <c r="BO60" i="3"/>
  <c r="BN60" i="3"/>
  <c r="BM60" i="3"/>
  <c r="BL60" i="3"/>
  <c r="BK60" i="3"/>
  <c r="BJ60" i="3"/>
  <c r="BI60" i="3"/>
  <c r="BH60" i="3"/>
  <c r="BG60" i="3"/>
  <c r="BF60" i="3"/>
  <c r="BE60" i="3"/>
  <c r="BD60" i="3"/>
  <c r="BC60" i="3"/>
  <c r="BB60" i="3"/>
  <c r="BA60" i="3"/>
  <c r="AZ60" i="3"/>
  <c r="AY60" i="3"/>
  <c r="AX60"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B60" i="3"/>
  <c r="A60" i="3"/>
  <c r="BP59" i="3"/>
  <c r="BO59" i="3"/>
  <c r="BN59" i="3"/>
  <c r="BM59" i="3"/>
  <c r="BL59" i="3"/>
  <c r="BK59" i="3"/>
  <c r="BJ59" i="3"/>
  <c r="BI59" i="3"/>
  <c r="BH59" i="3"/>
  <c r="BG59" i="3"/>
  <c r="BF59" i="3"/>
  <c r="BE59" i="3"/>
  <c r="BD59" i="3"/>
  <c r="BC59" i="3"/>
  <c r="BB59" i="3"/>
  <c r="BA59" i="3"/>
  <c r="AZ59" i="3"/>
  <c r="AY59" i="3"/>
  <c r="AX59" i="3"/>
  <c r="AW59" i="3"/>
  <c r="AV59" i="3"/>
  <c r="AU59" i="3"/>
  <c r="AT59"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D59" i="3"/>
  <c r="C59" i="3"/>
  <c r="B59" i="3"/>
  <c r="A59" i="3"/>
  <c r="BP58" i="3"/>
  <c r="BO58" i="3"/>
  <c r="BN58" i="3"/>
  <c r="BM58" i="3"/>
  <c r="BL58" i="3"/>
  <c r="BK58" i="3"/>
  <c r="BJ58" i="3"/>
  <c r="BI58" i="3"/>
  <c r="BH58" i="3"/>
  <c r="BG58" i="3"/>
  <c r="BF58" i="3"/>
  <c r="BE58" i="3"/>
  <c r="BD58" i="3"/>
  <c r="BC58" i="3"/>
  <c r="BB58" i="3"/>
  <c r="BA58" i="3"/>
  <c r="AZ58" i="3"/>
  <c r="AY58" i="3"/>
  <c r="AX58" i="3"/>
  <c r="AW58" i="3"/>
  <c r="AV58" i="3"/>
  <c r="AU58" i="3"/>
  <c r="AT58"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D58" i="3"/>
  <c r="C58" i="3"/>
  <c r="B58" i="3"/>
  <c r="A58" i="3"/>
  <c r="BP57" i="3"/>
  <c r="BO57" i="3"/>
  <c r="BN57" i="3"/>
  <c r="BM57" i="3"/>
  <c r="BL57" i="3"/>
  <c r="BK57" i="3"/>
  <c r="BJ57" i="3"/>
  <c r="BI57" i="3"/>
  <c r="BH57" i="3"/>
  <c r="BG57" i="3"/>
  <c r="BF57" i="3"/>
  <c r="BE57" i="3"/>
  <c r="BD57" i="3"/>
  <c r="BC57" i="3"/>
  <c r="BB57" i="3"/>
  <c r="BA57" i="3"/>
  <c r="AZ57" i="3"/>
  <c r="AY57" i="3"/>
  <c r="AX57" i="3"/>
  <c r="AW57" i="3"/>
  <c r="AV57" i="3"/>
  <c r="AU57"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D57" i="3"/>
  <c r="C57" i="3"/>
  <c r="B57" i="3"/>
  <c r="A57" i="3"/>
  <c r="BP56" i="3"/>
  <c r="BO56" i="3"/>
  <c r="BN56" i="3"/>
  <c r="BM56" i="3"/>
  <c r="BL56" i="3"/>
  <c r="BK56" i="3"/>
  <c r="BJ56" i="3"/>
  <c r="BI56" i="3"/>
  <c r="BH56" i="3"/>
  <c r="BG56" i="3"/>
  <c r="BF56" i="3"/>
  <c r="BE56" i="3"/>
  <c r="BD56" i="3"/>
  <c r="BC56" i="3"/>
  <c r="BB56" i="3"/>
  <c r="BA56" i="3"/>
  <c r="AZ56" i="3"/>
  <c r="AY56" i="3"/>
  <c r="AX56" i="3"/>
  <c r="AW56" i="3"/>
  <c r="AV56" i="3"/>
  <c r="AU56" i="3"/>
  <c r="AT56" i="3"/>
  <c r="AS56" i="3"/>
  <c r="AR56" i="3"/>
  <c r="AQ56" i="3"/>
  <c r="AP56" i="3"/>
  <c r="AO56" i="3"/>
  <c r="AN56" i="3"/>
  <c r="AM56" i="3"/>
  <c r="AL56" i="3"/>
  <c r="AK56" i="3"/>
  <c r="AJ56" i="3"/>
  <c r="AI56" i="3"/>
  <c r="AH56" i="3"/>
  <c r="AG56" i="3"/>
  <c r="AF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D56" i="3"/>
  <c r="C56" i="3"/>
  <c r="B56" i="3"/>
  <c r="A56" i="3"/>
  <c r="BP55" i="3"/>
  <c r="BO55" i="3"/>
  <c r="BN55" i="3"/>
  <c r="BM55" i="3"/>
  <c r="BL55" i="3"/>
  <c r="BK55" i="3"/>
  <c r="BJ55" i="3"/>
  <c r="BI55" i="3"/>
  <c r="BH55" i="3"/>
  <c r="BG55" i="3"/>
  <c r="BF55" i="3"/>
  <c r="BE55" i="3"/>
  <c r="BD55" i="3"/>
  <c r="BC55" i="3"/>
  <c r="BB55" i="3"/>
  <c r="BA55" i="3"/>
  <c r="AZ55" i="3"/>
  <c r="AY55" i="3"/>
  <c r="AX55" i="3"/>
  <c r="AW55" i="3"/>
  <c r="AV55" i="3"/>
  <c r="AU55" i="3"/>
  <c r="AT55" i="3"/>
  <c r="AS55" i="3"/>
  <c r="AR55" i="3"/>
  <c r="AQ55" i="3"/>
  <c r="AP55" i="3"/>
  <c r="AO55" i="3"/>
  <c r="AN55" i="3"/>
  <c r="AM55" i="3"/>
  <c r="AL55" i="3"/>
  <c r="AK55" i="3"/>
  <c r="AJ55" i="3"/>
  <c r="AI55" i="3"/>
  <c r="AH55" i="3"/>
  <c r="AG55" i="3"/>
  <c r="AF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D55" i="3"/>
  <c r="C55" i="3"/>
  <c r="B55" i="3"/>
  <c r="A55" i="3"/>
  <c r="BP54" i="3"/>
  <c r="BO54" i="3"/>
  <c r="BN54" i="3"/>
  <c r="BM54" i="3"/>
  <c r="BL54" i="3"/>
  <c r="BK54" i="3"/>
  <c r="BJ54" i="3"/>
  <c r="BI54" i="3"/>
  <c r="BH54" i="3"/>
  <c r="BG54" i="3"/>
  <c r="BF54" i="3"/>
  <c r="BE54" i="3"/>
  <c r="BD54" i="3"/>
  <c r="BC54"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B54" i="3"/>
  <c r="A54" i="3"/>
  <c r="BP53" i="3"/>
  <c r="BO53" i="3"/>
  <c r="BN53" i="3"/>
  <c r="BM53" i="3"/>
  <c r="BL53" i="3"/>
  <c r="BK53" i="3"/>
  <c r="BJ53" i="3"/>
  <c r="BI53" i="3"/>
  <c r="BH53" i="3"/>
  <c r="BG53" i="3"/>
  <c r="BF53" i="3"/>
  <c r="BE53" i="3"/>
  <c r="BD53" i="3"/>
  <c r="BC53" i="3"/>
  <c r="BB53" i="3"/>
  <c r="BA53" i="3"/>
  <c r="AZ53" i="3"/>
  <c r="AY53" i="3"/>
  <c r="AX53" i="3"/>
  <c r="AW53" i="3"/>
  <c r="AV53" i="3"/>
  <c r="AU53"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C53" i="3"/>
  <c r="B53" i="3"/>
  <c r="A53" i="3"/>
  <c r="BP52" i="3"/>
  <c r="BO52" i="3"/>
  <c r="BN52" i="3"/>
  <c r="BM52" i="3"/>
  <c r="BL52" i="3"/>
  <c r="BK52" i="3"/>
  <c r="BJ52" i="3"/>
  <c r="BI52" i="3"/>
  <c r="BH52" i="3"/>
  <c r="BG52" i="3"/>
  <c r="BF52" i="3"/>
  <c r="BE52" i="3"/>
  <c r="BD52" i="3"/>
  <c r="BC52" i="3"/>
  <c r="BB52" i="3"/>
  <c r="BA52" i="3"/>
  <c r="AZ52" i="3"/>
  <c r="AY52" i="3"/>
  <c r="AX52" i="3"/>
  <c r="AW52" i="3"/>
  <c r="AV52" i="3"/>
  <c r="AU52"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 r="C52" i="3"/>
  <c r="B52" i="3"/>
  <c r="A52" i="3"/>
  <c r="BP51" i="3"/>
  <c r="BO51" i="3"/>
  <c r="BN51" i="3"/>
  <c r="BM51" i="3"/>
  <c r="BL51" i="3"/>
  <c r="BK51" i="3"/>
  <c r="BJ51" i="3"/>
  <c r="BI51" i="3"/>
  <c r="BH51" i="3"/>
  <c r="BG51" i="3"/>
  <c r="BF51" i="3"/>
  <c r="BE51" i="3"/>
  <c r="BD51" i="3"/>
  <c r="BC51" i="3"/>
  <c r="BB51" i="3"/>
  <c r="BA51" i="3"/>
  <c r="AZ51" i="3"/>
  <c r="AY51" i="3"/>
  <c r="AX51"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B51" i="3"/>
  <c r="A51" i="3"/>
  <c r="BP50" i="3"/>
  <c r="BO50" i="3"/>
  <c r="BN50" i="3"/>
  <c r="BM50" i="3"/>
  <c r="BL50" i="3"/>
  <c r="BK50" i="3"/>
  <c r="BJ50" i="3"/>
  <c r="BI50" i="3"/>
  <c r="BH50" i="3"/>
  <c r="BG50" i="3"/>
  <c r="BF50" i="3"/>
  <c r="BE50" i="3"/>
  <c r="BD50" i="3"/>
  <c r="BC50" i="3"/>
  <c r="BB50" i="3"/>
  <c r="BA50" i="3"/>
  <c r="AZ50" i="3"/>
  <c r="AY50" i="3"/>
  <c r="AX50"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C50" i="3"/>
  <c r="B50" i="3"/>
  <c r="A50" i="3"/>
  <c r="BP49" i="3"/>
  <c r="BO49" i="3"/>
  <c r="BN49" i="3"/>
  <c r="BM49" i="3"/>
  <c r="BL49" i="3"/>
  <c r="BK49" i="3"/>
  <c r="BJ49" i="3"/>
  <c r="BI49" i="3"/>
  <c r="BH49" i="3"/>
  <c r="BG49" i="3"/>
  <c r="BF49" i="3"/>
  <c r="BE49" i="3"/>
  <c r="BD49" i="3"/>
  <c r="BC49" i="3"/>
  <c r="BB49" i="3"/>
  <c r="BA49" i="3"/>
  <c r="AZ49" i="3"/>
  <c r="AY49" i="3"/>
  <c r="AX49"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C49" i="3"/>
  <c r="B49" i="3"/>
  <c r="A49" i="3"/>
  <c r="BP48" i="3"/>
  <c r="BO48" i="3"/>
  <c r="BN48" i="3"/>
  <c r="BM48" i="3"/>
  <c r="BL48" i="3"/>
  <c r="BK48" i="3"/>
  <c r="BJ48" i="3"/>
  <c r="BI48" i="3"/>
  <c r="BH48" i="3"/>
  <c r="BG48" i="3"/>
  <c r="BF48" i="3"/>
  <c r="BE48" i="3"/>
  <c r="BD48" i="3"/>
  <c r="BC48" i="3"/>
  <c r="BB48" i="3"/>
  <c r="BA48" i="3"/>
  <c r="AZ48" i="3"/>
  <c r="AY48" i="3"/>
  <c r="AX48"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C48" i="3"/>
  <c r="B48" i="3"/>
  <c r="A48" i="3"/>
  <c r="BP47" i="3"/>
  <c r="BO47" i="3"/>
  <c r="BN47" i="3"/>
  <c r="BM47" i="3"/>
  <c r="BL47" i="3"/>
  <c r="BK47" i="3"/>
  <c r="BJ47" i="3"/>
  <c r="BI47" i="3"/>
  <c r="BH47" i="3"/>
  <c r="BG47" i="3"/>
  <c r="BF47" i="3"/>
  <c r="BE47" i="3"/>
  <c r="BD47" i="3"/>
  <c r="BC47"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C47" i="3"/>
  <c r="B47" i="3"/>
  <c r="A47" i="3"/>
  <c r="BP46" i="3"/>
  <c r="BO46" i="3"/>
  <c r="BN46" i="3"/>
  <c r="BM46" i="3"/>
  <c r="BL46" i="3"/>
  <c r="BK46" i="3"/>
  <c r="BJ46" i="3"/>
  <c r="BI46" i="3"/>
  <c r="BH46" i="3"/>
  <c r="BG46" i="3"/>
  <c r="BF46" i="3"/>
  <c r="BE46" i="3"/>
  <c r="BD46" i="3"/>
  <c r="BC46"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C46" i="3"/>
  <c r="B46" i="3"/>
  <c r="A46" i="3"/>
  <c r="BP45" i="3"/>
  <c r="BO45" i="3"/>
  <c r="BN45" i="3"/>
  <c r="BM45" i="3"/>
  <c r="BL45" i="3"/>
  <c r="BK45" i="3"/>
  <c r="BJ45" i="3"/>
  <c r="BI45" i="3"/>
  <c r="BH45" i="3"/>
  <c r="BG45" i="3"/>
  <c r="BF45" i="3"/>
  <c r="BE45" i="3"/>
  <c r="BD45" i="3"/>
  <c r="BC45"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B45" i="3"/>
  <c r="A45" i="3"/>
  <c r="BP44" i="3"/>
  <c r="BO44" i="3"/>
  <c r="BN44" i="3"/>
  <c r="BM44" i="3"/>
  <c r="BL44" i="3"/>
  <c r="BK44" i="3"/>
  <c r="BJ44" i="3"/>
  <c r="BI44" i="3"/>
  <c r="BH44" i="3"/>
  <c r="BG44" i="3"/>
  <c r="BF44" i="3"/>
  <c r="BE44" i="3"/>
  <c r="BD44" i="3"/>
  <c r="BC44" i="3"/>
  <c r="BB44" i="3"/>
  <c r="BA44" i="3"/>
  <c r="AZ44" i="3"/>
  <c r="AY44" i="3"/>
  <c r="AX44"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D44" i="3"/>
  <c r="C44" i="3"/>
  <c r="B44" i="3"/>
  <c r="A44" i="3"/>
  <c r="BP43" i="3"/>
  <c r="BO43" i="3"/>
  <c r="BN43" i="3"/>
  <c r="BM43" i="3"/>
  <c r="BL43" i="3"/>
  <c r="BK43" i="3"/>
  <c r="BJ43" i="3"/>
  <c r="BI43" i="3"/>
  <c r="BH43" i="3"/>
  <c r="BG43" i="3"/>
  <c r="BF43" i="3"/>
  <c r="BE43" i="3"/>
  <c r="BD43" i="3"/>
  <c r="BC43" i="3"/>
  <c r="BB43" i="3"/>
  <c r="BA43" i="3"/>
  <c r="AZ43" i="3"/>
  <c r="AY43" i="3"/>
  <c r="AX43" i="3"/>
  <c r="AW43" i="3"/>
  <c r="AV43" i="3"/>
  <c r="AU43" i="3"/>
  <c r="AT43" i="3"/>
  <c r="AS43" i="3"/>
  <c r="AR43" i="3"/>
  <c r="AQ43" i="3"/>
  <c r="AP43" i="3"/>
  <c r="AO43" i="3"/>
  <c r="AN43" i="3"/>
  <c r="AM43" i="3"/>
  <c r="AL43" i="3"/>
  <c r="AK43" i="3"/>
  <c r="AJ43" i="3"/>
  <c r="AI43" i="3"/>
  <c r="AH43" i="3"/>
  <c r="AG43" i="3"/>
  <c r="AF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D43" i="3"/>
  <c r="C43" i="3"/>
  <c r="B43" i="3"/>
  <c r="A43" i="3"/>
  <c r="BP42" i="3"/>
  <c r="BO42" i="3"/>
  <c r="BN42" i="3"/>
  <c r="BM42" i="3"/>
  <c r="BL42" i="3"/>
  <c r="BK42" i="3"/>
  <c r="BJ42" i="3"/>
  <c r="BI42" i="3"/>
  <c r="BH42" i="3"/>
  <c r="BG42" i="3"/>
  <c r="BF42" i="3"/>
  <c r="BE42" i="3"/>
  <c r="BD42" i="3"/>
  <c r="BC42" i="3"/>
  <c r="BB42" i="3"/>
  <c r="BA42" i="3"/>
  <c r="AZ42" i="3"/>
  <c r="AY42" i="3"/>
  <c r="AX42" i="3"/>
  <c r="AW42" i="3"/>
  <c r="AV42" i="3"/>
  <c r="AU42"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B42" i="3"/>
  <c r="A42" i="3"/>
  <c r="BP41" i="3"/>
  <c r="BO41" i="3"/>
  <c r="BN41" i="3"/>
  <c r="BM41" i="3"/>
  <c r="BL41" i="3"/>
  <c r="BK41" i="3"/>
  <c r="BJ41" i="3"/>
  <c r="BI41" i="3"/>
  <c r="BH41" i="3"/>
  <c r="BG41" i="3"/>
  <c r="BF41" i="3"/>
  <c r="BE41" i="3"/>
  <c r="BD41" i="3"/>
  <c r="BC41" i="3"/>
  <c r="BB41" i="3"/>
  <c r="BA41" i="3"/>
  <c r="AZ41" i="3"/>
  <c r="AY41" i="3"/>
  <c r="AX41"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B41" i="3"/>
  <c r="A41" i="3"/>
  <c r="BP40" i="3"/>
  <c r="BO40" i="3"/>
  <c r="BN40" i="3"/>
  <c r="BM40" i="3"/>
  <c r="BL40" i="3"/>
  <c r="BK40" i="3"/>
  <c r="BJ40" i="3"/>
  <c r="BI40" i="3"/>
  <c r="BH40" i="3"/>
  <c r="BG40" i="3"/>
  <c r="BF40" i="3"/>
  <c r="BE40" i="3"/>
  <c r="BD40" i="3"/>
  <c r="BC40" i="3"/>
  <c r="BB40" i="3"/>
  <c r="BA40" i="3"/>
  <c r="AZ40" i="3"/>
  <c r="AY40" i="3"/>
  <c r="AX40" i="3"/>
  <c r="AW40" i="3"/>
  <c r="AV40" i="3"/>
  <c r="AU40" i="3"/>
  <c r="AT40" i="3"/>
  <c r="AS40" i="3"/>
  <c r="AR40" i="3"/>
  <c r="AQ40" i="3"/>
  <c r="AP40" i="3"/>
  <c r="AO40" i="3"/>
  <c r="AN40" i="3"/>
  <c r="AM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D40" i="3"/>
  <c r="B40" i="3"/>
  <c r="A40" i="3"/>
  <c r="BP39" i="3"/>
  <c r="BO39" i="3"/>
  <c r="BN39" i="3"/>
  <c r="BM39" i="3"/>
  <c r="BL39" i="3"/>
  <c r="BK39" i="3"/>
  <c r="BJ39" i="3"/>
  <c r="BI39" i="3"/>
  <c r="BH39" i="3"/>
  <c r="BG39" i="3"/>
  <c r="BF39" i="3"/>
  <c r="BE39" i="3"/>
  <c r="BD39"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B39" i="3"/>
  <c r="A39" i="3"/>
  <c r="BP38" i="3"/>
  <c r="BO38" i="3"/>
  <c r="BN38" i="3"/>
  <c r="BM38" i="3"/>
  <c r="BL38" i="3"/>
  <c r="BK38" i="3"/>
  <c r="BJ38" i="3"/>
  <c r="BI38" i="3"/>
  <c r="BH38" i="3"/>
  <c r="BG38" i="3"/>
  <c r="BF38" i="3"/>
  <c r="BE38" i="3"/>
  <c r="BD38" i="3"/>
  <c r="BC38" i="3"/>
  <c r="BB38" i="3"/>
  <c r="BA38" i="3"/>
  <c r="AZ38" i="3"/>
  <c r="AY38" i="3"/>
  <c r="AX38"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B38" i="3"/>
  <c r="A38" i="3"/>
  <c r="BP37" i="3"/>
  <c r="BO37" i="3"/>
  <c r="BN37" i="3"/>
  <c r="BM37" i="3"/>
  <c r="BL37" i="3"/>
  <c r="BK37" i="3"/>
  <c r="BJ37" i="3"/>
  <c r="BI37" i="3"/>
  <c r="BH37" i="3"/>
  <c r="BG37" i="3"/>
  <c r="BF37" i="3"/>
  <c r="BE37" i="3"/>
  <c r="BD37" i="3"/>
  <c r="BC37" i="3"/>
  <c r="BB37" i="3"/>
  <c r="BA37" i="3"/>
  <c r="AZ37" i="3"/>
  <c r="AY37" i="3"/>
  <c r="AX37"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D37" i="3"/>
  <c r="C37" i="3"/>
  <c r="B37" i="3"/>
  <c r="A37" i="3"/>
  <c r="BP36" i="3"/>
  <c r="BO36" i="3"/>
  <c r="BN36" i="3"/>
  <c r="BM36" i="3"/>
  <c r="BL36" i="3"/>
  <c r="BK36" i="3"/>
  <c r="BJ36" i="3"/>
  <c r="BI36" i="3"/>
  <c r="BH36" i="3"/>
  <c r="BG36" i="3"/>
  <c r="BF36" i="3"/>
  <c r="BE36" i="3"/>
  <c r="BD36" i="3"/>
  <c r="BC36" i="3"/>
  <c r="BB36" i="3"/>
  <c r="BA36" i="3"/>
  <c r="AZ36" i="3"/>
  <c r="AY36" i="3"/>
  <c r="AX36"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D36" i="3"/>
  <c r="C36" i="3"/>
  <c r="B36" i="3"/>
  <c r="A36" i="3"/>
  <c r="BP35" i="3"/>
  <c r="BO35" i="3"/>
  <c r="BN35" i="3"/>
  <c r="BM35" i="3"/>
  <c r="BL35" i="3"/>
  <c r="BK35" i="3"/>
  <c r="BJ35" i="3"/>
  <c r="BI35" i="3"/>
  <c r="BH35" i="3"/>
  <c r="BG35" i="3"/>
  <c r="BF35" i="3"/>
  <c r="BE35" i="3"/>
  <c r="BD35" i="3"/>
  <c r="BC35" i="3"/>
  <c r="BB35" i="3"/>
  <c r="BA35" i="3"/>
  <c r="AZ35" i="3"/>
  <c r="AY35" i="3"/>
  <c r="AX35"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D35" i="3"/>
  <c r="C35" i="3"/>
  <c r="B35" i="3"/>
  <c r="A35" i="3"/>
  <c r="BP34" i="3"/>
  <c r="BO34" i="3"/>
  <c r="BN34" i="3"/>
  <c r="BM34" i="3"/>
  <c r="BL34" i="3"/>
  <c r="BK34" i="3"/>
  <c r="BJ34" i="3"/>
  <c r="BI34" i="3"/>
  <c r="BH34" i="3"/>
  <c r="BG34" i="3"/>
  <c r="BF34" i="3"/>
  <c r="BE34" i="3"/>
  <c r="BD34" i="3"/>
  <c r="BC34" i="3"/>
  <c r="BB34" i="3"/>
  <c r="BA34" i="3"/>
  <c r="AZ34" i="3"/>
  <c r="AY34" i="3"/>
  <c r="AX34"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C34" i="3"/>
  <c r="B34" i="3"/>
  <c r="A34" i="3"/>
  <c r="BP33" i="3"/>
  <c r="BO33" i="3"/>
  <c r="BN33" i="3"/>
  <c r="BM33" i="3"/>
  <c r="BL33" i="3"/>
  <c r="BK33" i="3"/>
  <c r="BJ33" i="3"/>
  <c r="BI33" i="3"/>
  <c r="BH33" i="3"/>
  <c r="BG33" i="3"/>
  <c r="BF33" i="3"/>
  <c r="BE33" i="3"/>
  <c r="BD33" i="3"/>
  <c r="BC33" i="3"/>
  <c r="BB33" i="3"/>
  <c r="BA33" i="3"/>
  <c r="AZ33" i="3"/>
  <c r="AY33" i="3"/>
  <c r="AX33" i="3"/>
  <c r="AW33" i="3"/>
  <c r="AV33" i="3"/>
  <c r="AU33" i="3"/>
  <c r="AT33" i="3"/>
  <c r="AS33" i="3"/>
  <c r="AR33" i="3"/>
  <c r="AQ33" i="3"/>
  <c r="AP33" i="3"/>
  <c r="AO33" i="3"/>
  <c r="AN33" i="3"/>
  <c r="AM33" i="3"/>
  <c r="AL33"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B33" i="3"/>
  <c r="A33" i="3"/>
  <c r="BP32" i="3"/>
  <c r="BO32" i="3"/>
  <c r="BN32" i="3"/>
  <c r="BM32" i="3"/>
  <c r="BL32" i="3"/>
  <c r="BK32" i="3"/>
  <c r="BJ32" i="3"/>
  <c r="BI32" i="3"/>
  <c r="BH32" i="3"/>
  <c r="BG32" i="3"/>
  <c r="BF32" i="3"/>
  <c r="BE32" i="3"/>
  <c r="BD32" i="3"/>
  <c r="BC32" i="3"/>
  <c r="BB32" i="3"/>
  <c r="BA32" i="3"/>
  <c r="AZ32" i="3"/>
  <c r="AY32" i="3"/>
  <c r="AX32"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B32" i="3"/>
  <c r="A32" i="3"/>
  <c r="BP31" i="3"/>
  <c r="BO31" i="3"/>
  <c r="BN31" i="3"/>
  <c r="BM31" i="3"/>
  <c r="BL31" i="3"/>
  <c r="BK31" i="3"/>
  <c r="BJ31" i="3"/>
  <c r="BI31" i="3"/>
  <c r="BH31" i="3"/>
  <c r="BG31" i="3"/>
  <c r="BF31" i="3"/>
  <c r="BE31" i="3"/>
  <c r="BD31" i="3"/>
  <c r="BC31" i="3"/>
  <c r="BB31" i="3"/>
  <c r="BA31" i="3"/>
  <c r="AZ31" i="3"/>
  <c r="AY31" i="3"/>
  <c r="AX31"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B31" i="3"/>
  <c r="A31" i="3"/>
  <c r="BP30" i="3"/>
  <c r="BO30" i="3"/>
  <c r="BN30" i="3"/>
  <c r="BM30" i="3"/>
  <c r="BL30" i="3"/>
  <c r="BK30" i="3"/>
  <c r="BJ30" i="3"/>
  <c r="BI30" i="3"/>
  <c r="BH30" i="3"/>
  <c r="BG30" i="3"/>
  <c r="BF30" i="3"/>
  <c r="BE30" i="3"/>
  <c r="BD30" i="3"/>
  <c r="BC30" i="3"/>
  <c r="BB30" i="3"/>
  <c r="BA30" i="3"/>
  <c r="AZ30" i="3"/>
  <c r="AY30" i="3"/>
  <c r="AX30"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B30" i="3"/>
  <c r="A30" i="3"/>
  <c r="BP29" i="3"/>
  <c r="BO29" i="3"/>
  <c r="BN29" i="3"/>
  <c r="BM29" i="3"/>
  <c r="BL29" i="3"/>
  <c r="BK29" i="3"/>
  <c r="BJ29" i="3"/>
  <c r="BI29" i="3"/>
  <c r="BH29" i="3"/>
  <c r="BG29" i="3"/>
  <c r="BF29" i="3"/>
  <c r="BE29" i="3"/>
  <c r="BD29" i="3"/>
  <c r="BC29" i="3"/>
  <c r="BB29" i="3"/>
  <c r="BA29" i="3"/>
  <c r="AZ29" i="3"/>
  <c r="AY29" i="3"/>
  <c r="AX29"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B29" i="3"/>
  <c r="A29" i="3"/>
  <c r="BP28" i="3"/>
  <c r="BO28" i="3"/>
  <c r="BN28" i="3"/>
  <c r="BM28" i="3"/>
  <c r="BL28" i="3"/>
  <c r="BK28" i="3"/>
  <c r="BJ28" i="3"/>
  <c r="BI28" i="3"/>
  <c r="BH28" i="3"/>
  <c r="BG28" i="3"/>
  <c r="BF28" i="3"/>
  <c r="BE28" i="3"/>
  <c r="BD28"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B28" i="3"/>
  <c r="A28" i="3"/>
  <c r="BP27" i="3"/>
  <c r="BO27" i="3"/>
  <c r="BN27" i="3"/>
  <c r="BM27" i="3"/>
  <c r="BL27" i="3"/>
  <c r="BK27" i="3"/>
  <c r="BJ27" i="3"/>
  <c r="BI27" i="3"/>
  <c r="BH27" i="3"/>
  <c r="BG27" i="3"/>
  <c r="BF27" i="3"/>
  <c r="BE27" i="3"/>
  <c r="BD27" i="3"/>
  <c r="BC27" i="3"/>
  <c r="BB27" i="3"/>
  <c r="BA27" i="3"/>
  <c r="AZ27" i="3"/>
  <c r="AY27" i="3"/>
  <c r="AX27"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B27" i="3"/>
  <c r="A27" i="3"/>
  <c r="BP26" i="3"/>
  <c r="BO26" i="3"/>
  <c r="BN26" i="3"/>
  <c r="BM26" i="3"/>
  <c r="BL26" i="3"/>
  <c r="BK26" i="3"/>
  <c r="BJ26" i="3"/>
  <c r="BI26" i="3"/>
  <c r="BH26" i="3"/>
  <c r="BG26" i="3"/>
  <c r="BF26" i="3"/>
  <c r="BE26" i="3"/>
  <c r="BD26" i="3"/>
  <c r="BC26" i="3"/>
  <c r="BB26" i="3"/>
  <c r="BA26" i="3"/>
  <c r="AZ26" i="3"/>
  <c r="AY26" i="3"/>
  <c r="AX26" i="3"/>
  <c r="AW26" i="3"/>
  <c r="AV26" i="3"/>
  <c r="AU26" i="3"/>
  <c r="AT26" i="3"/>
  <c r="AS26" i="3"/>
  <c r="AR26" i="3"/>
  <c r="AQ26" i="3"/>
  <c r="AP26" i="3"/>
  <c r="AO26" i="3"/>
  <c r="AN26" i="3"/>
  <c r="AM26" i="3"/>
  <c r="AL26" i="3"/>
  <c r="AK26" i="3"/>
  <c r="AJ26" i="3"/>
  <c r="AI26" i="3"/>
  <c r="AH26" i="3"/>
  <c r="AG26" i="3"/>
  <c r="AF26" i="3"/>
  <c r="AE26" i="3"/>
  <c r="AD26" i="3"/>
  <c r="AC26" i="3"/>
  <c r="AB26" i="3"/>
  <c r="AA26" i="3"/>
  <c r="Z26" i="3"/>
  <c r="Y26" i="3"/>
  <c r="X26" i="3"/>
  <c r="W26" i="3"/>
  <c r="V26" i="3"/>
  <c r="U26" i="3"/>
  <c r="T26" i="3"/>
  <c r="S26" i="3"/>
  <c r="R26" i="3"/>
  <c r="Q26" i="3"/>
  <c r="P26" i="3"/>
  <c r="O26" i="3"/>
  <c r="N26" i="3"/>
  <c r="M26" i="3"/>
  <c r="L26" i="3"/>
  <c r="K26" i="3"/>
  <c r="J26" i="3"/>
  <c r="I26" i="3"/>
  <c r="H26" i="3"/>
  <c r="G26" i="3"/>
  <c r="F26" i="3"/>
  <c r="E26" i="3"/>
  <c r="D26" i="3"/>
  <c r="B26" i="3"/>
  <c r="A26"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B25" i="3"/>
  <c r="A25" i="3"/>
  <c r="BP24" i="3"/>
  <c r="BO24" i="3"/>
  <c r="BN24" i="3"/>
  <c r="BM24" i="3"/>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B24" i="3"/>
  <c r="A24" i="3"/>
  <c r="BP23" i="3"/>
  <c r="BO23" i="3"/>
  <c r="BN23" i="3"/>
  <c r="BM23" i="3"/>
  <c r="BL23" i="3"/>
  <c r="BK23" i="3"/>
  <c r="BJ23" i="3"/>
  <c r="BI23" i="3"/>
  <c r="BH23" i="3"/>
  <c r="BG23" i="3"/>
  <c r="BF23" i="3"/>
  <c r="BE23" i="3"/>
  <c r="BD23" i="3"/>
  <c r="BC23" i="3"/>
  <c r="BB23" i="3"/>
  <c r="BA23" i="3"/>
  <c r="AZ23" i="3"/>
  <c r="AY23" i="3"/>
  <c r="AX23"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B23" i="3"/>
  <c r="A23"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D22" i="3"/>
  <c r="C22" i="3"/>
  <c r="B22" i="3"/>
  <c r="A22" i="3"/>
  <c r="BP21" i="3"/>
  <c r="BO21" i="3"/>
  <c r="BN21" i="3"/>
  <c r="BM21" i="3"/>
  <c r="BL21" i="3"/>
  <c r="BK21" i="3"/>
  <c r="BJ21" i="3"/>
  <c r="BI21" i="3"/>
  <c r="BH21" i="3"/>
  <c r="BG21" i="3"/>
  <c r="BF21" i="3"/>
  <c r="BE21" i="3"/>
  <c r="BD21"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D21" i="3"/>
  <c r="C21" i="3"/>
  <c r="B21" i="3"/>
  <c r="A21" i="3"/>
  <c r="BP20" i="3"/>
  <c r="BO20" i="3"/>
  <c r="BN20" i="3"/>
  <c r="BM20" i="3"/>
  <c r="BL20" i="3"/>
  <c r="BK20" i="3"/>
  <c r="BJ20" i="3"/>
  <c r="BI20" i="3"/>
  <c r="BH20" i="3"/>
  <c r="BG20" i="3"/>
  <c r="BF20" i="3"/>
  <c r="BE20" i="3"/>
  <c r="BD20" i="3"/>
  <c r="BC20" i="3"/>
  <c r="BB20" i="3"/>
  <c r="BA20" i="3"/>
  <c r="AZ20" i="3"/>
  <c r="AY20" i="3"/>
  <c r="AX20" i="3"/>
  <c r="AW20" i="3"/>
  <c r="AV20" i="3"/>
  <c r="AU20" i="3"/>
  <c r="AT20" i="3"/>
  <c r="AS20" i="3"/>
  <c r="AR20" i="3"/>
  <c r="AQ20" i="3"/>
  <c r="AP20" i="3"/>
  <c r="AO20" i="3"/>
  <c r="AN20" i="3"/>
  <c r="AM20" i="3"/>
  <c r="AL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D20" i="3"/>
  <c r="C20" i="3"/>
  <c r="B20" i="3"/>
  <c r="A20" i="3"/>
  <c r="BP19" i="3"/>
  <c r="BO19" i="3"/>
  <c r="BN19" i="3"/>
  <c r="BM19"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B19" i="3"/>
  <c r="A19" i="3"/>
  <c r="BP18" i="3"/>
  <c r="BO18" i="3"/>
  <c r="BN18" i="3"/>
  <c r="BM18" i="3"/>
  <c r="BL18" i="3"/>
  <c r="BK18" i="3"/>
  <c r="BJ18" i="3"/>
  <c r="BI18" i="3"/>
  <c r="BH18" i="3"/>
  <c r="BG18" i="3"/>
  <c r="BF18" i="3"/>
  <c r="BE18" i="3"/>
  <c r="BD18" i="3"/>
  <c r="BC18" i="3"/>
  <c r="BB18" i="3"/>
  <c r="BA18" i="3"/>
  <c r="AZ18" i="3"/>
  <c r="AY18" i="3"/>
  <c r="AX18" i="3"/>
  <c r="AW18" i="3"/>
  <c r="AV18" i="3"/>
  <c r="AU18" i="3"/>
  <c r="AT18" i="3"/>
  <c r="AS18" i="3"/>
  <c r="AR18" i="3"/>
  <c r="AQ18" i="3"/>
  <c r="AP18" i="3"/>
  <c r="AO18" i="3"/>
  <c r="AN18" i="3"/>
  <c r="AM18" i="3"/>
  <c r="AL18" i="3"/>
  <c r="AK18" i="3"/>
  <c r="AJ18" i="3"/>
  <c r="AI18" i="3"/>
  <c r="AH18" i="3"/>
  <c r="AG18" i="3"/>
  <c r="AF18" i="3"/>
  <c r="AE18" i="3"/>
  <c r="AD18" i="3"/>
  <c r="AC18" i="3"/>
  <c r="AB18" i="3"/>
  <c r="AA18" i="3"/>
  <c r="Z18" i="3"/>
  <c r="Y18" i="3"/>
  <c r="X18" i="3"/>
  <c r="W18" i="3"/>
  <c r="V18" i="3"/>
  <c r="U18" i="3"/>
  <c r="T18" i="3"/>
  <c r="S18" i="3"/>
  <c r="R18" i="3"/>
  <c r="Q18" i="3"/>
  <c r="P18" i="3"/>
  <c r="O18" i="3"/>
  <c r="N18" i="3"/>
  <c r="M18" i="3"/>
  <c r="L18" i="3"/>
  <c r="K18" i="3"/>
  <c r="J18" i="3"/>
  <c r="I18" i="3"/>
  <c r="H18" i="3"/>
  <c r="G18" i="3"/>
  <c r="F18" i="3"/>
  <c r="E18" i="3"/>
  <c r="D18" i="3"/>
  <c r="C18" i="3"/>
  <c r="B18" i="3"/>
  <c r="A18" i="3"/>
  <c r="BP17" i="3"/>
  <c r="BO17" i="3"/>
  <c r="BN17" i="3"/>
  <c r="BM17" i="3"/>
  <c r="BL17" i="3"/>
  <c r="BK17" i="3"/>
  <c r="BJ17" i="3"/>
  <c r="BI17" i="3"/>
  <c r="BH17" i="3"/>
  <c r="BG17" i="3"/>
  <c r="BF17" i="3"/>
  <c r="BE17" i="3"/>
  <c r="BD17"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17" i="3"/>
  <c r="BP16" i="3"/>
  <c r="BO16" i="3"/>
  <c r="BN16" i="3"/>
  <c r="BM16" i="3"/>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B16" i="3"/>
  <c r="A16"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E15" i="3"/>
  <c r="D15" i="3"/>
  <c r="C15" i="3"/>
  <c r="B15" i="3"/>
  <c r="A15"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B14" i="3"/>
  <c r="A14" i="3"/>
  <c r="BP13" i="3"/>
  <c r="BO13" i="3"/>
  <c r="BN13" i="3"/>
  <c r="BM13"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D13" i="3"/>
  <c r="C13" i="3"/>
  <c r="B13" i="3"/>
  <c r="A13" i="3"/>
  <c r="BP12" i="3"/>
  <c r="BO12" i="3"/>
  <c r="BN12" i="3"/>
  <c r="BM12" i="3"/>
  <c r="BL12" i="3"/>
  <c r="BK12" i="3"/>
  <c r="BJ12" i="3"/>
  <c r="BI12" i="3"/>
  <c r="BH12" i="3"/>
  <c r="BG12" i="3"/>
  <c r="BF12" i="3"/>
  <c r="BE12" i="3"/>
  <c r="BD12"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D12" i="3"/>
  <c r="C12" i="3"/>
  <c r="B12" i="3"/>
  <c r="A12" i="3"/>
  <c r="BP11" i="3"/>
  <c r="BO11" i="3"/>
  <c r="BN11" i="3"/>
  <c r="BM11" i="3"/>
  <c r="BL11" i="3"/>
  <c r="BK11" i="3"/>
  <c r="BJ11" i="3"/>
  <c r="BI11" i="3"/>
  <c r="BH11" i="3"/>
  <c r="BG11" i="3"/>
  <c r="BF11" i="3"/>
  <c r="BE11" i="3"/>
  <c r="BD11"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B11" i="3"/>
  <c r="A11" i="3"/>
  <c r="BP10" i="3"/>
  <c r="BO10" i="3"/>
  <c r="BN10" i="3"/>
  <c r="BM10" i="3"/>
  <c r="BL10" i="3"/>
  <c r="BK10" i="3"/>
  <c r="BJ10" i="3"/>
  <c r="BI10" i="3"/>
  <c r="BH10" i="3"/>
  <c r="BG10" i="3"/>
  <c r="BF10" i="3"/>
  <c r="BE10" i="3"/>
  <c r="BD10" i="3"/>
  <c r="BC10"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D10" i="3"/>
  <c r="B10" i="3"/>
  <c r="A10"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C9" i="3"/>
  <c r="B9" i="3"/>
  <c r="A9"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C8" i="3"/>
  <c r="B8" i="3"/>
  <c r="A8"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C7" i="3"/>
  <c r="B7" i="3"/>
  <c r="A7" i="3"/>
  <c r="BP6" i="3"/>
  <c r="BO6" i="3"/>
  <c r="BN6" i="3"/>
  <c r="BM6" i="3"/>
  <c r="BL6" i="3"/>
  <c r="BK6" i="3"/>
  <c r="BJ6" i="3"/>
  <c r="BI6" i="3"/>
  <c r="BH6" i="3"/>
  <c r="BG6" i="3"/>
  <c r="BF6" i="3"/>
  <c r="BE6" i="3"/>
  <c r="BD6" i="3"/>
  <c r="BC6"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C6" i="3"/>
  <c r="B6" i="3"/>
  <c r="A6"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C5" i="3"/>
  <c r="B5" i="3"/>
  <c r="A5"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C4" i="3"/>
  <c r="B4" i="3"/>
  <c r="A4" i="3"/>
  <c r="BP3" i="3"/>
  <c r="BO3" i="3"/>
  <c r="BN3" i="3"/>
  <c r="BM3" i="3"/>
  <c r="BL3" i="3"/>
  <c r="BK3" i="3"/>
  <c r="BJ3" i="3"/>
  <c r="BI3" i="3"/>
  <c r="BH3" i="3"/>
  <c r="BG3" i="3"/>
  <c r="BF3" i="3"/>
  <c r="BE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I3" i="3"/>
  <c r="H3" i="3"/>
  <c r="G3" i="3"/>
  <c r="F3" i="3"/>
  <c r="E3" i="3"/>
  <c r="D3" i="3"/>
  <c r="C3" i="3"/>
  <c r="B3" i="3"/>
  <c r="A3" i="3"/>
  <c r="BP2" i="3"/>
  <c r="BO2" i="3"/>
  <c r="BN2" i="3"/>
  <c r="BM2" i="3"/>
  <c r="BL2" i="3"/>
  <c r="BK2" i="3"/>
  <c r="BJ2" i="3"/>
  <c r="BI2" i="3"/>
  <c r="BH2" i="3"/>
  <c r="BG2" i="3"/>
  <c r="BF2" i="3"/>
  <c r="BE2" i="3"/>
  <c r="BD2" i="3"/>
  <c r="BC2"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E2" i="3"/>
  <c r="D2" i="3"/>
  <c r="C2" i="3"/>
  <c r="B2" i="3"/>
  <c r="A2" i="3"/>
</calcChain>
</file>

<file path=xl/sharedStrings.xml><?xml version="1.0" encoding="utf-8"?>
<sst xmlns="http://schemas.openxmlformats.org/spreadsheetml/2006/main" count="4960" uniqueCount="1626">
  <si>
    <t>Timestamp</t>
  </si>
  <si>
    <t>Họ và tên</t>
  </si>
  <si>
    <t>Giới tính</t>
  </si>
  <si>
    <t>Đơn vị công tác</t>
  </si>
  <si>
    <t>Trình độ, chứng chỉ bằng cấp chuyên môn (có thể đánh nhiều lựa chọn, nếu có chứng chỉ chuyên môn khác xin vui lòng chọn Other rồi nhập tên chứng chỉ)</t>
  </si>
  <si>
    <t>Số năm kinh nghiệm</t>
  </si>
  <si>
    <t>Vị trí công tác hiện nay</t>
  </si>
  <si>
    <r>
      <rPr>
        <b/>
        <sz val="10"/>
        <color theme="1"/>
        <rFont val="Arial"/>
        <family val="2"/>
      </rPr>
      <t>Đối với năng lực kiểm toán viên (Auditor Competence - COM)</t>
    </r>
    <r>
      <rPr>
        <sz val="10"/>
        <color theme="1"/>
        <rFont val="Arial"/>
        <family val="2"/>
      </rPr>
      <t xml:space="preserve"> [Kiểm toán viên có kiến thức vững vàng về kế toán và kiểm toán cần thiết cho việc thực hiện các cuộc kiểm toán.]</t>
    </r>
  </si>
  <si>
    <r>
      <rPr>
        <b/>
        <sz val="10"/>
        <color theme="1"/>
        <rFont val="Arial"/>
        <family val="2"/>
      </rPr>
      <t>Đối với năng lực kiểm toán viên (Auditor Competence - COM)</t>
    </r>
    <r>
      <rPr>
        <sz val="10"/>
        <color theme="1"/>
        <rFont val="Arial"/>
        <family val="2"/>
      </rPr>
      <t xml:space="preserve"> [Kiểm toán viên có kiến thức tổng quát về các lĩnh vực liên quan như luật, tài chính, thuế và quản lý, phục vụ hiệu quả cho công việc kiểm toán.]</t>
    </r>
  </si>
  <si>
    <r>
      <rPr>
        <b/>
        <sz val="10"/>
        <color theme="1"/>
        <rFont val="Arial"/>
        <family val="2"/>
      </rPr>
      <t>Đối với năng lực kiểm toán viên (Auditor Competence - COM)</t>
    </r>
    <r>
      <rPr>
        <sz val="10"/>
        <color theme="1"/>
        <rFont val="Arial"/>
        <family val="2"/>
      </rPr>
      <t xml:space="preserve"> [Kiểm toán viên hiểu rõ hoạt động kinh doanh và môi trường hoạt động của khách hàng mà kiểm toán viên thực hiện kiểm toán.]</t>
    </r>
  </si>
  <si>
    <r>
      <rPr>
        <b/>
        <sz val="10"/>
        <color theme="1"/>
        <rFont val="Arial"/>
        <family val="2"/>
      </rPr>
      <t>Đối với năng lực kiểm toán viên (Auditor Competence - COM)</t>
    </r>
    <r>
      <rPr>
        <sz val="10"/>
        <color theme="1"/>
        <rFont val="Arial"/>
        <family val="2"/>
      </rPr>
      <t xml:space="preserve"> [Kiểm toán viên đã tham gia nhiều cuộc kiểm toán.]</t>
    </r>
  </si>
  <si>
    <r>
      <rPr>
        <b/>
        <sz val="10"/>
        <color theme="1"/>
        <rFont val="Arial"/>
        <family val="2"/>
      </rPr>
      <t>Đối với năng lực kiểm toán viên (Auditor Competence - COM)</t>
    </r>
    <r>
      <rPr>
        <sz val="10"/>
        <color theme="1"/>
        <rFont val="Arial"/>
        <family val="2"/>
      </rPr>
      <t xml:space="preserve"> [Trong quá trình thực hiện kiểm toán tại khách hàng, kiểm toán viên phải yêu cầu và xem xét kỹ các quy trình kinh doanh của khách hàng, nhằm bảo đảm sự phù hợp với các kiểm tra chọn mẫu.]</t>
    </r>
  </si>
  <si>
    <r>
      <rPr>
        <b/>
        <sz val="10"/>
        <color theme="1"/>
        <rFont val="Arial"/>
        <family val="2"/>
      </rPr>
      <t>Đối với năng lực kiểm toán viên (Auditor Competence - COM)</t>
    </r>
    <r>
      <rPr>
        <sz val="10"/>
        <color theme="1"/>
        <rFont val="Arial"/>
        <family val="2"/>
      </rPr>
      <t xml:space="preserve"> [Trong nhiệm vụ kiểm toán, kiểm toán viên được kỳ vọng sử dụng phần mềm kiểm toán để thực hiện chọn mẫu một cách hiệu quả.]</t>
    </r>
  </si>
  <si>
    <r>
      <rPr>
        <b/>
        <sz val="10"/>
        <color theme="1"/>
        <rFont val="Arial"/>
        <family val="2"/>
      </rPr>
      <t>Đối với năng lực kiểm toán viên (Auditor Competence - COM)</t>
    </r>
    <r>
      <rPr>
        <sz val="10"/>
        <color theme="1"/>
        <rFont val="Arial"/>
        <family val="2"/>
      </rPr>
      <t xml:space="preserve"> [Kiểm toán viên có khả năng sử dụng phần mềm kiểm toán theo quy định và hướng dẫn của công ty.]</t>
    </r>
  </si>
  <si>
    <r>
      <rPr>
        <b/>
        <sz val="10"/>
        <color theme="1"/>
        <rFont val="Arial"/>
        <family val="2"/>
      </rPr>
      <t>Đối với năng lực kiểm toán viên (Auditor Competence - COM)</t>
    </r>
    <r>
      <rPr>
        <sz val="10"/>
        <color theme="1"/>
        <rFont val="Arial"/>
        <family val="2"/>
      </rPr>
      <t xml:space="preserve"> [Sau khi hoàn tất thủ tục kiểm toán, kiểm toán viên phải rút ra kết luận dựa trên dữ liệu trong tài liệu làm việc.]</t>
    </r>
  </si>
  <si>
    <r>
      <rPr>
        <b/>
        <sz val="10"/>
        <color theme="1"/>
        <rFont val="Arial"/>
        <family val="2"/>
      </rPr>
      <t>Đối với năng lực kiểm toán viên (Auditor Competence - COM)</t>
    </r>
    <r>
      <rPr>
        <sz val="10"/>
        <color theme="1"/>
        <rFont val="Arial"/>
        <family val="2"/>
      </rPr>
      <t xml:space="preserve"> [Kiểm toán viên tham gia đầy đủ các chương trình cập nhật kiến thức nghề nghiệp theo quy định của Bộ Tài chính.]</t>
    </r>
  </si>
  <si>
    <r>
      <rPr>
        <b/>
        <sz val="10"/>
        <color theme="1"/>
        <rFont val="Arial"/>
        <family val="2"/>
      </rPr>
      <t>Đối với hoài nghi nghề nghiệp (Professional Skepticism - PS)</t>
    </r>
    <r>
      <rPr>
        <sz val="10"/>
        <color theme="1"/>
        <rFont val="Arial"/>
        <family val="2"/>
      </rPr>
      <t xml:space="preserve"> [Kiểm toán viên thường xuyên đặt câu hỏi về tính hợp lý của thông tin do khách hàng cung cấp.]</t>
    </r>
  </si>
  <si>
    <r>
      <rPr>
        <b/>
        <sz val="10"/>
        <color theme="1"/>
        <rFont val="Arial"/>
        <family val="2"/>
      </rPr>
      <t>Đối với hoài nghi nghề nghiệp (Professional Skepticism - PS)</t>
    </r>
    <r>
      <rPr>
        <sz val="10"/>
        <color theme="1"/>
        <rFont val="Arial"/>
        <family val="2"/>
      </rPr>
      <t xml:space="preserve"> [Kiểm toán viên luôn yêu cầu bằng chứng kiểm toán đầy đủ và thích hợp để xác minh các trình bày của khách hàng.]</t>
    </r>
  </si>
  <si>
    <r>
      <rPr>
        <b/>
        <sz val="10"/>
        <color theme="1"/>
        <rFont val="Arial"/>
        <family val="2"/>
      </rPr>
      <t>Đối với hoài nghi nghề nghiệp (Professional Skepticism - PS)</t>
    </r>
    <r>
      <rPr>
        <sz val="10"/>
        <color theme="1"/>
        <rFont val="Arial"/>
        <family val="2"/>
      </rPr>
      <t xml:space="preserve"> [Kiểm toán viên thận trọng khi đánh giá độ tin cậy của thông tin thu thập được từ khách hàng.]</t>
    </r>
  </si>
  <si>
    <r>
      <rPr>
        <b/>
        <sz val="10"/>
        <color theme="1"/>
        <rFont val="Arial"/>
        <family val="2"/>
      </rPr>
      <t>Đối với hoài nghi nghề nghiệp (Professional Skepticism - PS)</t>
    </r>
    <r>
      <rPr>
        <sz val="10"/>
        <color theme="1"/>
        <rFont val="Arial"/>
        <family val="2"/>
      </rPr>
      <t xml:space="preserve"> [Kiểm toán viên không nên mặc định rằng thông tin do khách hàng cung cấp là chính xác nếu chưa được kiểm chứng.]</t>
    </r>
  </si>
  <si>
    <r>
      <rPr>
        <b/>
        <sz val="10"/>
        <color theme="1"/>
        <rFont val="Arial"/>
        <family val="2"/>
      </rPr>
      <t>Đối với hoài nghi nghề nghiệp (Professional Skepticism - PS)</t>
    </r>
    <r>
      <rPr>
        <sz val="10"/>
        <color theme="1"/>
        <rFont val="Arial"/>
        <family val="2"/>
      </rPr>
      <t xml:space="preserve"> [Kiểm toán viên đánh giá một cách độc lập các thông tin do khách hàng cung cấp thay vì chỉ dựa vào sự tin tưởng.]</t>
    </r>
  </si>
  <si>
    <r>
      <rPr>
        <b/>
        <sz val="10"/>
        <color theme="1"/>
        <rFont val="Arial"/>
        <family val="2"/>
      </rPr>
      <t>Đối với động lực (Motivation - MO)</t>
    </r>
    <r>
      <rPr>
        <sz val="10"/>
        <color theme="1"/>
        <rFont val="Arial"/>
        <family val="2"/>
      </rPr>
      <t xml:space="preserve"> [Kiểm toán viên thấy hứng thú với công việc kiểm toán]</t>
    </r>
  </si>
  <si>
    <r>
      <rPr>
        <b/>
        <sz val="10"/>
        <color theme="1"/>
        <rFont val="Arial"/>
        <family val="2"/>
      </rPr>
      <t>Đối với động lực (Motivation - MO)</t>
    </r>
    <r>
      <rPr>
        <sz val="10"/>
        <color theme="1"/>
        <rFont val="Arial"/>
        <family val="2"/>
      </rPr>
      <t xml:space="preserve"> [Kiểm toán viên cảm thấy công việc kiểm toán có ý nghĩa đối với bản thân]</t>
    </r>
  </si>
  <si>
    <r>
      <rPr>
        <b/>
        <sz val="10"/>
        <color theme="1"/>
        <rFont val="Arial"/>
        <family val="2"/>
      </rPr>
      <t>Đối với động lực (Motivation - MO)</t>
    </r>
    <r>
      <rPr>
        <sz val="10"/>
        <color theme="1"/>
        <rFont val="Arial"/>
        <family val="2"/>
      </rPr>
      <t xml:space="preserve"> [Kiểm toán viên cảm thấy không thoải mái khi làm việc thiếu động lực.]</t>
    </r>
  </si>
  <si>
    <r>
      <rPr>
        <b/>
        <sz val="10"/>
        <color theme="1"/>
        <rFont val="Arial"/>
        <family val="2"/>
      </rPr>
      <t>Đối với động lực (Motivation - MO)</t>
    </r>
    <r>
      <rPr>
        <sz val="10"/>
        <color theme="1"/>
        <rFont val="Arial"/>
        <family val="2"/>
      </rPr>
      <t xml:space="preserve"> [Kiểm toán viên được người khác tôn trọng hơn (cấp trên, đồng nghiệp, gia đình, khách hàng…) khi làm việc có động lực.]</t>
    </r>
  </si>
  <si>
    <r>
      <rPr>
        <b/>
        <sz val="10"/>
        <color theme="1"/>
        <rFont val="Arial"/>
        <family val="2"/>
      </rPr>
      <t>Đối với động lực (Motivation - MO)</t>
    </r>
    <r>
      <rPr>
        <sz val="10"/>
        <color theme="1"/>
        <rFont val="Arial"/>
        <family val="2"/>
      </rPr>
      <t xml:space="preserve"> [Kiểm toán viên có thể mất việc, nếu không nỗ lực trong công việc.]</t>
    </r>
  </si>
  <si>
    <r>
      <rPr>
        <b/>
        <sz val="10"/>
        <color theme="1"/>
        <rFont val="Arial"/>
        <family val="2"/>
      </rPr>
      <t>Đối với áp lực quỹ thời gian (Time budget pressure - TP)</t>
    </r>
    <r>
      <rPr>
        <sz val="10"/>
        <color theme="1"/>
        <rFont val="Arial"/>
        <family val="2"/>
      </rPr>
      <t xml:space="preserve"> [Kiểm toán viên nhận thấy quỹ thời gian kiểm toán là một trở ngại cho việc thực hiện hoặc hoàn thành một số thủ tục kiểm toán.]</t>
    </r>
  </si>
  <si>
    <r>
      <rPr>
        <b/>
        <sz val="10"/>
        <color theme="1"/>
        <rFont val="Arial"/>
        <family val="2"/>
      </rPr>
      <t>Đối với áp lực quỹ thời gian (Time budget pressure - TP)</t>
    </r>
    <r>
      <rPr>
        <sz val="10"/>
        <color theme="1"/>
        <rFont val="Arial"/>
        <family val="2"/>
      </rPr>
      <t xml:space="preserve"> [Kiểm toán viên nhận thấy việc thực hiện hoặc hoàn thành một số thủ tục kiểm toán trong giới hạn thời gian là khó để đạt được.]</t>
    </r>
  </si>
  <si>
    <r>
      <rPr>
        <b/>
        <sz val="10"/>
        <color theme="1"/>
        <rFont val="Arial"/>
        <family val="2"/>
      </rPr>
      <t>Đối với áp lực quỹ thời gian (Time budget pressure - TP)</t>
    </r>
    <r>
      <rPr>
        <sz val="10"/>
        <color theme="1"/>
        <rFont val="Arial"/>
        <family val="2"/>
      </rPr>
      <t xml:space="preserve"> [Kiểm toán viên thường phải rút ngắn thời gian dành cho một số thủ tục kiểm toán để hoàn thành công việc đúng hạn.]</t>
    </r>
  </si>
  <si>
    <r>
      <rPr>
        <b/>
        <sz val="10"/>
        <color theme="1"/>
        <rFont val="Arial"/>
        <family val="2"/>
      </rPr>
      <t>Đối với áp lực quỹ thời gian (Time budget pressure - TP)</t>
    </r>
    <r>
      <rPr>
        <sz val="10"/>
        <color theme="1"/>
        <rFont val="Arial"/>
        <family val="2"/>
      </rPr>
      <t xml:space="preserve"> [Áp lực hoàn thành kiểm toán đúng hạn khiến kiểm toán viên phải làm việc với cường độ cao.]</t>
    </r>
  </si>
  <si>
    <r>
      <rPr>
        <b/>
        <sz val="10"/>
        <color theme="1"/>
        <rFont val="Arial"/>
        <family val="2"/>
      </rPr>
      <t>Đối với sử dụng công nghệ thông tin (Use Information Technology - IT)</t>
    </r>
    <r>
      <rPr>
        <sz val="10"/>
        <color theme="1"/>
        <rFont val="Arial"/>
        <family val="2"/>
      </rPr>
      <t xml:space="preserve"> [Sử dụng CNTT trong công việc giúp kiểm toán viên hoàn thành nhiệm vụ nhanh hơn]</t>
    </r>
  </si>
  <si>
    <r>
      <rPr>
        <b/>
        <sz val="10"/>
        <color theme="1"/>
        <rFont val="Arial"/>
        <family val="2"/>
      </rPr>
      <t>Đối với sử dụng công nghệ thông tin (Use Information Technology - IT)</t>
    </r>
    <r>
      <rPr>
        <sz val="10"/>
        <color theme="1"/>
        <rFont val="Arial"/>
        <family val="2"/>
      </rPr>
      <t xml:space="preserve"> [Sử dụng CNTT có thể nâng cao hiệu quả trong thực hiện các nhiệm vụ công việc của kiểm toán viên]</t>
    </r>
  </si>
  <si>
    <r>
      <rPr>
        <b/>
        <sz val="10"/>
        <color theme="1"/>
        <rFont val="Arial"/>
        <family val="2"/>
      </rPr>
      <t>Đối với sử dụng công nghệ thông tin (Use Information Technology - IT)</t>
    </r>
    <r>
      <rPr>
        <sz val="10"/>
        <color theme="1"/>
        <rFont val="Arial"/>
        <family val="2"/>
      </rPr>
      <t xml:space="preserve"> [Sử dụng CNTT giúp kiểm toán viên phân tích dữ liệu và thu thập bằng chứng kiểm toán hiệu quả hơn.]</t>
    </r>
  </si>
  <si>
    <r>
      <rPr>
        <b/>
        <sz val="10"/>
        <color theme="1"/>
        <rFont val="Arial"/>
        <family val="2"/>
      </rPr>
      <t>Đối với sử dụng công nghệ thông tin (Use Information Technology - IT)</t>
    </r>
    <r>
      <rPr>
        <sz val="10"/>
        <color theme="1"/>
        <rFont val="Arial"/>
        <family val="2"/>
      </rPr>
      <t xml:space="preserve"> [Sử dụng CNTT có thể làm tăng đáng kể chất lượng xét đoán của kiểm toán viên.]</t>
    </r>
  </si>
  <si>
    <r>
      <rPr>
        <b/>
        <sz val="10"/>
        <color theme="1"/>
        <rFont val="Arial"/>
        <family val="2"/>
      </rPr>
      <t>Đối với Văn hóa đạo đức doanh nghiệp (Corporate Ethical Values - CEV)</t>
    </r>
    <r>
      <rPr>
        <sz val="10"/>
        <color theme="1"/>
        <rFont val="Arial"/>
        <family val="2"/>
      </rPr>
      <t xml:space="preserve"> [Các nhà quản lý trong công ty luôn thể hiện hành vi đạo đức trong công việc.]</t>
    </r>
  </si>
  <si>
    <r>
      <rPr>
        <b/>
        <sz val="10"/>
        <color theme="1"/>
        <rFont val="Arial"/>
        <family val="2"/>
      </rPr>
      <t>Đối với Văn hóa đạo đức doanh nghiệp (Corporate Ethical Values - CEV)</t>
    </r>
    <r>
      <rPr>
        <sz val="10"/>
        <color theme="1"/>
        <rFont val="Arial"/>
        <family val="2"/>
      </rPr>
      <t xml:space="preserve"> [Sự thành công trong công ty được xây dựng dựa trên các hành vi trung thực và đạo đức.]</t>
    </r>
  </si>
  <si>
    <r>
      <rPr>
        <b/>
        <sz val="10"/>
        <color theme="1"/>
        <rFont val="Arial"/>
        <family val="2"/>
      </rPr>
      <t>Đối với Văn hóa đạo đức doanh nghiệp (Corporate Ethical Values - CEV)</t>
    </r>
    <r>
      <rPr>
        <sz val="10"/>
        <color theme="1"/>
        <rFont val="Arial"/>
        <family val="2"/>
      </rPr>
      <t xml:space="preserve"> [Ban lãnh đạo cấp cao thường xuyên nhấn mạnh tầm quan trọng của việc tuân thủ chuẩn mực đạo đức nghề nghiệp.]</t>
    </r>
  </si>
  <si>
    <r>
      <rPr>
        <b/>
        <sz val="10"/>
        <color theme="1"/>
        <rFont val="Arial"/>
        <family val="2"/>
      </rPr>
      <t>Đối với Văn hóa đạo đức doanh nghiệp (Corporate Ethical Values - CEV)</t>
    </r>
    <r>
      <rPr>
        <sz val="10"/>
        <color theme="1"/>
        <rFont val="Arial"/>
        <family val="2"/>
      </rPr>
      <t xml:space="preserve"> [Công ty có cơ chế xử lý rõ ràng đối với các hành vi phi đạo đức của nhà quản lý.]</t>
    </r>
  </si>
  <si>
    <r>
      <rPr>
        <b/>
        <sz val="10"/>
        <color theme="1"/>
        <rFont val="Arial"/>
        <family val="2"/>
      </rPr>
      <t>Đối với Văn hóa đạo đức doanh nghiệp (Corporate Ethical Values - CEV)</t>
    </r>
    <r>
      <rPr>
        <sz val="10"/>
        <color theme="1"/>
        <rFont val="Arial"/>
        <family val="2"/>
      </rPr>
      <t xml:space="preserve"> [Trong công ty, nguyên tắc đạo đức luôn được đặt cao hơn lợi ích kinh doanh.]</t>
    </r>
  </si>
  <si>
    <r>
      <rPr>
        <b/>
        <sz val="10"/>
        <color theme="1"/>
        <rFont val="Arial"/>
        <family val="2"/>
      </rPr>
      <t>Đối với Quản trị doanh nghiệp của khách hàng  (Corporate Governance - CG)</t>
    </r>
    <r>
      <rPr>
        <sz val="10"/>
        <color theme="1"/>
        <rFont val="Arial"/>
        <family val="2"/>
      </rPr>
      <t xml:space="preserve"> [Thành viên HĐQT có chuyên môn tài chính phù hợp.]</t>
    </r>
  </si>
  <si>
    <r>
      <rPr>
        <b/>
        <sz val="10"/>
        <color theme="1"/>
        <rFont val="Arial"/>
        <family val="2"/>
      </rPr>
      <t>Đối với Quản trị doanh nghiệp của khách hàng  (Corporate Governance - CG)</t>
    </r>
    <r>
      <rPr>
        <sz val="10"/>
        <color theme="1"/>
        <rFont val="Arial"/>
        <family val="2"/>
      </rPr>
      <t xml:space="preserve"> [Một số thành viên HĐQT có kinh nghiệm về kế toán.]</t>
    </r>
  </si>
  <si>
    <r>
      <rPr>
        <b/>
        <sz val="10"/>
        <color theme="1"/>
        <rFont val="Arial"/>
        <family val="2"/>
      </rPr>
      <t>Đối với Quản trị doanh nghiệp của khách hàng  (Corporate Governance - CG)</t>
    </r>
    <r>
      <rPr>
        <sz val="10"/>
        <color theme="1"/>
        <rFont val="Arial"/>
        <family val="2"/>
      </rPr>
      <t xml:space="preserve"> [Một số thành viên HĐQT có kinh nghiệm trong lĩnh vực kinh doanh của doanh nghiệp.]</t>
    </r>
  </si>
  <si>
    <r>
      <rPr>
        <b/>
        <sz val="10"/>
        <color theme="1"/>
        <rFont val="Arial"/>
        <family val="2"/>
      </rPr>
      <t>Đối với Quản trị doanh nghiệp của khách hàng  (Corporate Governance - CG)</t>
    </r>
    <r>
      <rPr>
        <sz val="10"/>
        <color theme="1"/>
        <rFont val="Arial"/>
        <family val="2"/>
      </rPr>
      <t xml:space="preserve"> [Thành viên HĐQT không có xung đột lợi ích cá nhân.]</t>
    </r>
  </si>
  <si>
    <r>
      <rPr>
        <b/>
        <sz val="10"/>
        <color theme="1"/>
        <rFont val="Arial"/>
        <family val="2"/>
      </rPr>
      <t>Đối với Quản trị doanh nghiệp của khách hàng  (Corporate Governance - CG)</t>
    </r>
    <r>
      <rPr>
        <sz val="10"/>
        <color theme="1"/>
        <rFont val="Arial"/>
        <family val="2"/>
      </rPr>
      <t xml:space="preserve"> [Các nhà quản lý của công ty không gây ảnh hưởng để HĐQT đưa ra quyết định có lợi cho họ.]</t>
    </r>
  </si>
  <si>
    <r>
      <rPr>
        <b/>
        <sz val="10"/>
        <color theme="1"/>
        <rFont val="Arial"/>
        <family val="2"/>
      </rPr>
      <t>Đối với Quản trị doanh nghiệp của khách hàng  (Corporate Governance - CG)</t>
    </r>
    <r>
      <rPr>
        <sz val="10"/>
        <color theme="1"/>
        <rFont val="Arial"/>
        <family val="2"/>
      </rPr>
      <t xml:space="preserve"> [Phần lớn thành viên HĐQT không tham gia điều hành hàng ngày.]</t>
    </r>
  </si>
  <si>
    <r>
      <rPr>
        <b/>
        <sz val="10"/>
        <color theme="1"/>
        <rFont val="Arial"/>
        <family val="2"/>
      </rPr>
      <t>Đối với Quản trị doanh nghiệp của khách hàng  (Corporate Governance - CG)</t>
    </r>
    <r>
      <rPr>
        <sz val="10"/>
        <color theme="1"/>
        <rFont val="Arial"/>
        <family val="2"/>
      </rPr>
      <t xml:space="preserve"> [HĐQT giám sát nhà quản lý để bảo vệ lợi ích cổ đông.]</t>
    </r>
  </si>
  <si>
    <r>
      <rPr>
        <b/>
        <sz val="10"/>
        <color theme="1"/>
        <rFont val="Arial"/>
        <family val="2"/>
      </rPr>
      <t>Đối với Quản trị doanh nghiệp của khách hàng  (Corporate Governance - CG)</t>
    </r>
    <r>
      <rPr>
        <sz val="10"/>
        <color theme="1"/>
        <rFont val="Arial"/>
        <family val="2"/>
      </rPr>
      <t xml:space="preserve"> [HĐQT thực hiện hiệu quả quyền bổ nhiệm và bãi nhiệm giám đốc điều hành/quản lý.]</t>
    </r>
  </si>
  <si>
    <r>
      <rPr>
        <b/>
        <sz val="10"/>
        <color theme="1"/>
        <rFont val="Arial"/>
        <family val="2"/>
      </rPr>
      <t>Đối với Quản trị doanh nghiệp của khách hàng  (Corporate Governance - CG)</t>
    </r>
    <r>
      <rPr>
        <sz val="10"/>
        <color theme="1"/>
        <rFont val="Arial"/>
        <family val="2"/>
      </rPr>
      <t xml:space="preserve"> [HĐQT thường xuyên đánh giá hiệu quả hoạt động của ban điều hành.]</t>
    </r>
  </si>
  <si>
    <r>
      <rPr>
        <b/>
        <sz val="10"/>
        <color theme="1"/>
        <rFont val="Arial"/>
        <family val="2"/>
      </rPr>
      <t>Đối với đạo đức nghề nghiệp (Professional Ethics - ETH)</t>
    </r>
    <r>
      <rPr>
        <sz val="10"/>
        <color theme="1"/>
        <rFont val="Arial"/>
        <family val="2"/>
      </rPr>
      <t xml:space="preserve"> [Phẩm chất của kiểm toán viên như tính chính trực, trung thực và độc lập, là nền tảng cho hành vi đạo đức.]</t>
    </r>
  </si>
  <si>
    <r>
      <rPr>
        <b/>
        <sz val="10"/>
        <color theme="1"/>
        <rFont val="Arial"/>
        <family val="2"/>
      </rPr>
      <t>Đối với đạo đức nghề nghiệp (Professional Ethics - ETH)</t>
    </r>
    <r>
      <rPr>
        <sz val="10"/>
        <color theme="1"/>
        <rFont val="Arial"/>
        <family val="2"/>
      </rPr>
      <t xml:space="preserve"> [Chuẩn mực đạo đức yêu cầu kiểm toán viên phải có đầy đủ kiến thức, kỹ năng và chuyên môn cần thiêt để thực hiện công việc hiệu quả.]</t>
    </r>
  </si>
  <si>
    <r>
      <rPr>
        <b/>
        <sz val="10"/>
        <color theme="1"/>
        <rFont val="Arial"/>
        <family val="2"/>
      </rPr>
      <t>Đối với đạo đức nghề nghiệp (Professional Ethics - ETH)</t>
    </r>
    <r>
      <rPr>
        <sz val="10"/>
        <color theme="1"/>
        <rFont val="Arial"/>
        <family val="2"/>
      </rPr>
      <t xml:space="preserve"> [Kiểm toán viên có trách nhiệm với cả khách hàng và công chúng để đảm bảo tính chính xác, minh bạch của thông tin tài chính.]</t>
    </r>
  </si>
  <si>
    <r>
      <rPr>
        <b/>
        <sz val="10"/>
        <color theme="1"/>
        <rFont val="Arial"/>
        <family val="2"/>
      </rPr>
      <t>Đối với đạo đức nghề nghiệp (Professional Ethics - ETH)</t>
    </r>
    <r>
      <rPr>
        <sz val="10"/>
        <color theme="1"/>
        <rFont val="Arial"/>
        <family val="2"/>
      </rPr>
      <t xml:space="preserve"> [Kiểm toán viên tuân thủ bộ quy tắc ứng xử nghề nghiệp trong mọi hoạt động kiểm toán.]</t>
    </r>
  </si>
  <si>
    <r>
      <rPr>
        <b/>
        <sz val="10"/>
        <color theme="1"/>
        <rFont val="Arial"/>
        <family val="2"/>
      </rPr>
      <t>Đối với sự phức tạp nhiệm vụ (Task complexity - TC)</t>
    </r>
    <r>
      <rPr>
        <sz val="10"/>
        <color theme="1"/>
        <rFont val="Arial"/>
        <family val="2"/>
      </rPr>
      <t xml:space="preserve"> [Kiểm toán viên đưa ra ý kiến kiểm toán trong trường hợp có sự không chắc chắn về khả năng giảm giá trị tài sản là một nhiệm vụ phức tap.]</t>
    </r>
  </si>
  <si>
    <r>
      <rPr>
        <b/>
        <sz val="10"/>
        <color theme="1"/>
        <rFont val="Arial"/>
        <family val="2"/>
      </rPr>
      <t>Đối với sự phức tạp nhiệm vụ (Task complexity - TC)</t>
    </r>
    <r>
      <rPr>
        <sz val="10"/>
        <color theme="1"/>
        <rFont val="Arial"/>
        <family val="2"/>
      </rPr>
      <t xml:space="preserve"> [Kiểm toán viên xử lý điều chỉnh kiểm toán còn tranh cãi về việc thuyết minh hay yêu cầu điều chỉnh là một nhiệm vụ phức tạp.]</t>
    </r>
  </si>
  <si>
    <r>
      <rPr>
        <b/>
        <sz val="10"/>
        <color theme="1"/>
        <rFont val="Arial"/>
        <family val="2"/>
      </rPr>
      <t>Đối với sự phức tạp nhiệm vụ (Task complexity - TC)</t>
    </r>
    <r>
      <rPr>
        <sz val="10"/>
        <color theme="1"/>
        <rFont val="Arial"/>
        <family val="2"/>
      </rPr>
      <t xml:space="preserve"> [Kiểm toán viên đánh giá hiệu quả hoạt động hệ thống kiểm soát nội bộ là một nhiệm vụ phức tạp.]</t>
    </r>
  </si>
  <si>
    <r>
      <rPr>
        <b/>
        <sz val="10"/>
        <color theme="1"/>
        <rFont val="Arial"/>
        <family val="2"/>
      </rPr>
      <t>Đối với sự phức tạp nhiệm vụ (Task complexity - TC)</t>
    </r>
    <r>
      <rPr>
        <sz val="10"/>
        <color theme="1"/>
        <rFont val="Arial"/>
        <family val="2"/>
      </rPr>
      <t xml:space="preserve"> [Kiểm toán viên xác định mức sai sót tối đa có thể chấp nhận trong thử nghiệm tuân thủ là một nhiệm vụ phức tạp.]</t>
    </r>
  </si>
  <si>
    <r>
      <rPr>
        <b/>
        <sz val="10"/>
        <color theme="1"/>
        <rFont val="Arial"/>
        <family val="2"/>
      </rPr>
      <t>Đối với sự phức tạp nhiệm vụ (Task complexity - TC)</t>
    </r>
    <r>
      <rPr>
        <sz val="10"/>
        <color theme="1"/>
        <rFont val="Arial"/>
        <family val="2"/>
      </rPr>
      <t xml:space="preserve"> [Kiểm toán viên ước tính tỷ lệ sai sót dự kiến của tổng thể cho thử nghiệm tuân thủ là một nhiệm vụ phức tạp.]</t>
    </r>
  </si>
  <si>
    <r>
      <rPr>
        <b/>
        <sz val="10"/>
        <color theme="1"/>
        <rFont val="Arial"/>
        <family val="2"/>
      </rPr>
      <t>Đối với sự phức tạp nhiệm vụ (Task complexity - TC)</t>
    </r>
    <r>
      <rPr>
        <sz val="10"/>
        <color theme="1"/>
        <rFont val="Arial"/>
        <family val="2"/>
      </rPr>
      <t xml:space="preserve"> [Kiểm toán viên xác định cỡ mẫu thử nghiệm tuân thủ là một nhiệm vụ phức tạp.]</t>
    </r>
  </si>
  <si>
    <r>
      <rPr>
        <b/>
        <sz val="10"/>
        <color theme="1"/>
        <rFont val="Arial"/>
        <family val="2"/>
      </rPr>
      <t>Đối với xét đoán kiểm toán (Audit judgment - AJ)</t>
    </r>
    <r>
      <rPr>
        <sz val="10"/>
        <color theme="1"/>
        <rFont val="Arial"/>
        <family val="2"/>
      </rPr>
      <t xml:space="preserve"> [Kiểm toán viên đánh giá mức độ cần thiết phải kiểm tra các giao dịch hoặc nghiệp vụ của khách hàng.]</t>
    </r>
  </si>
  <si>
    <r>
      <rPr>
        <b/>
        <sz val="10"/>
        <color theme="1"/>
        <rFont val="Arial"/>
        <family val="2"/>
      </rPr>
      <t>Đối với xét đoán kiểm toán (Audit judgment - AJ)</t>
    </r>
    <r>
      <rPr>
        <sz val="10"/>
        <color theme="1"/>
        <rFont val="Arial"/>
        <family val="2"/>
      </rPr>
      <t xml:space="preserve"> [Kiểm toán viên đánh giá mức độ rủi ro sai sót trọng yếu của các khoản mục trên báo cáo tài chính khách hàng.]</t>
    </r>
  </si>
  <si>
    <r>
      <rPr>
        <b/>
        <sz val="10"/>
        <color theme="1"/>
        <rFont val="Arial"/>
        <family val="2"/>
      </rPr>
      <t>Đối với xét đoán kiểm toán (Audit judgment - AJ)</t>
    </r>
    <r>
      <rPr>
        <sz val="10"/>
        <color theme="1"/>
        <rFont val="Arial"/>
        <family val="2"/>
      </rPr>
      <t xml:space="preserve"> [Kiểm toán viên đánh giá tính đầy đủ và độ tin cậy của bằng chứng kiểm toán trước khi đưa ra kết luận.]</t>
    </r>
  </si>
  <si>
    <r>
      <rPr>
        <b/>
        <sz val="10"/>
        <color theme="1"/>
        <rFont val="Arial"/>
        <family val="2"/>
      </rPr>
      <t>Đối với chất lượng kiểm toán (Audit quality - AQ)</t>
    </r>
    <r>
      <rPr>
        <sz val="10"/>
        <color theme="1"/>
        <rFont val="Arial"/>
        <family val="2"/>
      </rPr>
      <t xml:space="preserve"> [Công ty kiểm toán thường xuyên cải thiện quy trình nhằm giảm thiểu các điểm yếu được cơ quan quản lý phát hiện.]</t>
    </r>
  </si>
  <si>
    <r>
      <rPr>
        <b/>
        <sz val="10"/>
        <color theme="1"/>
        <rFont val="Arial"/>
        <family val="2"/>
      </rPr>
      <t>Đối với chất lượng kiểm toán (Audit quality - AQ)</t>
    </r>
    <r>
      <rPr>
        <sz val="10"/>
        <color theme="1"/>
        <rFont val="Arial"/>
        <family val="2"/>
      </rPr>
      <t xml:space="preserve"> [Việc công bố kết quả kiểm tra của cơ quan quản lý khuyến khích kiểm toán viên nâng cao chất lượng kiểm toán.]</t>
    </r>
  </si>
  <si>
    <r>
      <rPr>
        <b/>
        <sz val="10"/>
        <color theme="1"/>
        <rFont val="Arial"/>
        <family val="2"/>
      </rPr>
      <t>Đối với chất lượng kiểm toán (Audit quality - AQ)</t>
    </r>
    <r>
      <rPr>
        <sz val="10"/>
        <color theme="1"/>
        <rFont val="Arial"/>
        <family val="2"/>
      </rPr>
      <t xml:space="preserve"> [Kiểm toán viên luôn thực hiện công việc cẩn trọng để hạn chế việc khách hàng phải điều chỉnh lại báo cáo tài chính hoặc phát hành lại ý kiến kiểm toán.]</t>
    </r>
  </si>
  <si>
    <r>
      <rPr>
        <b/>
        <sz val="10"/>
        <color theme="1"/>
        <rFont val="Arial"/>
        <family val="2"/>
      </rPr>
      <t>Đối với chất lượng kiểm toán (Audit quality - AQ)</t>
    </r>
    <r>
      <rPr>
        <sz val="10"/>
        <color theme="1"/>
        <rFont val="Arial"/>
        <family val="2"/>
      </rPr>
      <t xml:space="preserve"> [Kiểm toán viên tuân thủ chuẩn mực kiểm toán để hạn chế sai phạm và rủi ro pháp lý trong kiểm toán.]</t>
    </r>
  </si>
  <si>
    <r>
      <rPr>
        <b/>
        <sz val="10"/>
        <color theme="1"/>
        <rFont val="Arial"/>
        <family val="2"/>
      </rPr>
      <t>Đối với chất lượng kiểm toán (Audit quality - AQ)</t>
    </r>
    <r>
      <rPr>
        <sz val="10"/>
        <color theme="1"/>
        <rFont val="Arial"/>
        <family val="2"/>
      </rPr>
      <t xml:space="preserve"> [Kiểm toán viên của công ty thường xuyên phát hiện và báo cáo các điểm yếu trong kiểm soát nội bộ của khách hàng thông qua Thư quản lý.]</t>
    </r>
  </si>
  <si>
    <r>
      <rPr>
        <b/>
        <sz val="10"/>
        <color theme="1"/>
        <rFont val="Arial"/>
        <family val="2"/>
      </rPr>
      <t>Đối với chất lượng kiểm toán (Audit quality - AQ)</t>
    </r>
    <r>
      <rPr>
        <sz val="10"/>
        <color theme="1"/>
        <rFont val="Arial"/>
        <family val="2"/>
      </rPr>
      <t xml:space="preserve"> [Kiểm toán viên luôn nỗ lực phát hành báo cáo kiểm toán độc lập đáng tin cậy, hữu ích và kịp thời.]</t>
    </r>
  </si>
  <si>
    <t>Responder ID</t>
  </si>
  <si>
    <t>Nguyễn Thanh Hồng</t>
  </si>
  <si>
    <t>Nam</t>
  </si>
  <si>
    <t>Công ty TNHH Kiểm toán và Tư vấn Chuẩn Việt</t>
  </si>
  <si>
    <t>Sau đại học, Chứng chỉ Kiểm toán viên</t>
  </si>
  <si>
    <t>Trên 20 năm</t>
  </si>
  <si>
    <t>Ban giám đốc</t>
  </si>
  <si>
    <t>2_ABaOnucyA0OfArirpwozcUbgBq7a2pCXGekPb74X2dZh1hSRz6_dRw-IaSVecI-U1Q</t>
  </si>
  <si>
    <t>Trang Ngọc Quí</t>
  </si>
  <si>
    <t>Công ty TNHH Kiểm toán và Tư vấn Chuẩn VIệt</t>
  </si>
  <si>
    <t>Đại học</t>
  </si>
  <si>
    <t>Từ 3 đến 5 năm</t>
  </si>
  <si>
    <t>Trợ lý kiểm toán</t>
  </si>
  <si>
    <t>2_ABaOnufn_N38SITZCrLWScnITcXthmzx-Y4ddsBdIC1ULBtgD1jeqnjEZfL6gnX0eQ</t>
  </si>
  <si>
    <t>Trần Văn Hiệp</t>
  </si>
  <si>
    <t>Trên 10 đến 15 năm</t>
  </si>
  <si>
    <t>Kiểm toán viên/Trưởng nhóm</t>
  </si>
  <si>
    <t>2_ABaOnuezf9brWEWKpeOpOwob8vUTak-hcbN7soiM220x67FnztNYbQTz9GB2ljXzlw</t>
  </si>
  <si>
    <t>Nguyễn Thị Hồng Yến</t>
  </si>
  <si>
    <t>Nữ</t>
  </si>
  <si>
    <t>Chứng chỉ Kiểm toán viên</t>
  </si>
  <si>
    <t>Trên 5 đến 10 năm</t>
  </si>
  <si>
    <t>2_ABaOnuei91-2GcOZTHhaoGWKhwZj_y-mPzugCYXIvb-PgRrNAHkUDWAdDjzIXXv_cg</t>
  </si>
  <si>
    <t>Nguyễn Hồng Phúc</t>
  </si>
  <si>
    <t>Trưởng phòng</t>
  </si>
  <si>
    <t>2_ABaOnucGK-jgVzLJQ9jtJxrX2D9DxT5CIalnRxlYdkIpqyQO2b7wFv4pY-yeazHvQg</t>
  </si>
  <si>
    <t>Nguyễn Thị Kim Ngân</t>
  </si>
  <si>
    <t>Công ty TNHH Kiểm Toán và Tư Vấn Chuẩn Việt</t>
  </si>
  <si>
    <t>2_ABaOnufTsD36kd5aEcPnkbYSlZmnQXV4XsPShZHzoWt5YlVoPeji_Q0Vh9c1NOZlyQ</t>
  </si>
  <si>
    <t>Nguyễn Thị Hồng Trân</t>
  </si>
  <si>
    <t>2_ABaOnucnhpF1D0gs7rgu_rtMnRVpUAV049-DyjtW65TSaEAQfoNB0VlpfLI_E_nmFw</t>
  </si>
  <si>
    <t>NGUYỄN ĐAN ANH</t>
  </si>
  <si>
    <t>CÔNG TY TNHH KIỂM TOÁN VÀ TƯ VẤN CHUẨN VIỆT</t>
  </si>
  <si>
    <t>2_ABaOnufaMcfhspG98R1ShQx10pKMmq_t4SnRxEO9U0HdGVObWv-qbsOEXB90mSbseQ</t>
  </si>
  <si>
    <t>2_ABaOnufnGHzWy-WgRsr1bwfmKUfwiPkNEqFwHyFH5E2Fh4AAXCft77vRcldCtGbGgg</t>
  </si>
  <si>
    <t>NGUYỄN THỊ TUYẾT VÂN</t>
  </si>
  <si>
    <t>Trên 15 đến 20 năm</t>
  </si>
  <si>
    <t>2_ABaOnueuG_XkuyjUrCy9crcBgsdlA_zfSb8RofXEYkQPzgKtMh3XkXvaxJ36LaXRhQ</t>
  </si>
  <si>
    <t>Phạm Minh Hằng</t>
  </si>
  <si>
    <t>Công ty TNHH Kiểm toán ES</t>
  </si>
  <si>
    <t>2_ABaOnud90VqlzXlN8NANERrsJNNLG6PN-iCD1EY1ycIGhmabAXVVxuVYCJ3IoB5xrQ</t>
  </si>
  <si>
    <t>hai.nguyen@es.com.vn</t>
  </si>
  <si>
    <t>2_ABaOnucXl57VKypm1DowSxvPh9ZI5SQ7A01mNmKCr_FjOQX1uRioEEA-X0g49y_pXA</t>
  </si>
  <si>
    <t>Hoàng Đức</t>
  </si>
  <si>
    <t>Công ty TNHH kiểm toán ES</t>
  </si>
  <si>
    <t>2_ABaOnudJJtmIx6_aqG2bf2g2R6KQHTP5c0Q6ytMCqhP92djMFqHi8S_8gvGGRLmy1A</t>
  </si>
  <si>
    <t>Đoàn Thị Nhàn</t>
  </si>
  <si>
    <t>2_ABaOnucwXvipOj1Glas4MnGOtOX4BB1cDoDvUa_kuGVUMUVxgZON1sJhWhDc_DIHuA</t>
  </si>
  <si>
    <t>Nguyễn Diệu Linh</t>
  </si>
  <si>
    <t>2_ABaOnuf8umykjX3xKyCdEvfO9mdjI3kFPlRIXL6oX_W6zvPuVplXB4f4wQYlOBKgXg</t>
  </si>
  <si>
    <t>Lê Văn Trắng</t>
  </si>
  <si>
    <t>Công Ty TNHH Kiểm Toán I.T.O</t>
  </si>
  <si>
    <t>Đại học, Chứng chỉ Kiểm toán viên</t>
  </si>
  <si>
    <t>2_ABaOnueTmIvQgiczgKIimUWGVsZXjQ_rmP4xYtdvyPeUuAmgho-sL5t96YeQtL0UhA</t>
  </si>
  <si>
    <t>Đỗ Hoàng Mai Hương</t>
  </si>
  <si>
    <t>2_ABaOnue-W7z73JeXe-cl8xw4JtbJ_mEOZP3t4QhU2hdFfeLirWhum17UDIxe6a9dfQ</t>
  </si>
  <si>
    <t>Lê Thị Cẩm</t>
  </si>
  <si>
    <t>2_ABaOnueudbFrT36reFmevD8yYmGeTIv_IfTX4oOFzjndbFn_A6EPKb00Ts0d2yJbvQ</t>
  </si>
  <si>
    <t>Nguyễn Bá Thiện</t>
  </si>
  <si>
    <t>Công ty TNHH Kiểm toán và Dịch vụ tư vấn Hà Nội</t>
  </si>
  <si>
    <t>2_ABaOnuflwNU-EqHZ8BJhsXiGQ3tfyg9C8gUBN2crITwH_K4TYOBU6OO3evbuGPhlJg</t>
  </si>
  <si>
    <t>Thạch Hoàng Lâm Phúc</t>
  </si>
  <si>
    <t>ES Group</t>
  </si>
  <si>
    <t>2_ABaOnufEhDHb2ceq2XJ8ii8pdRgPgTTEpGYinfti4oxhhCQbBbKVOADaYPZPvFzvvQ</t>
  </si>
  <si>
    <t>Nguyễn Thúy Hằng</t>
  </si>
  <si>
    <t>2_ABaOnudS7zXGIT8zwEQUNobK7FHC_CedHTkhZUMWD3TesoAdkcRj74nDfrLBour7Pw</t>
  </si>
  <si>
    <t>Nguyễn Như Yến</t>
  </si>
  <si>
    <t>Công ty TNHH Kiểm toán và Dịch vụ tin học Moore AISC</t>
  </si>
  <si>
    <t>2_ABaOnucbFrEY5SVX0suAsNypzBkQ0vNUKltfFnT7OZhJ9QR2q8lugF22mfEbkgsaQQ</t>
  </si>
  <si>
    <t>Trình Quốc Việt</t>
  </si>
  <si>
    <t>Công ty TNHH kiểm toán Thái Bình Dương</t>
  </si>
  <si>
    <t>2_ABaOnudXyJQeH9669Q5fgWEJ5zoCxb1J7GHc7xCPWvGUHFIL00Dvmxeygmv65N6QXg</t>
  </si>
  <si>
    <t>Lê Thị Bích Nga</t>
  </si>
  <si>
    <t>Công ty TNHH Kiểm toán KMF</t>
  </si>
  <si>
    <t>Sau đại học</t>
  </si>
  <si>
    <t>2_ABaOnufBJySDSod0ZzuK-Td5iFiJdo-tV0USCtMbJJjl6hh53eWLru7aW5XNS1oxjg</t>
  </si>
  <si>
    <t>Công ty TNHH Kiểm toán và DVTH MOORE AISC</t>
  </si>
  <si>
    <t>2_ABaOnudrOLv1zMWukse6gqnPCQ0MjWuW4RP9JcYjPPpqPTkglFC43ISmdVhyVU-fRQ</t>
  </si>
  <si>
    <t>Ngô Thị Thùy Vân</t>
  </si>
  <si>
    <t>2_ABaOnufUsI6rl_9AzOMVJGGmEW_Dvx0DW6kDWlM10D7SQiUtx0YR9flLTP9WSFkmMA</t>
  </si>
  <si>
    <t>Nguyễn Thị Huyền Trang</t>
  </si>
  <si>
    <t>Công ty TNHH Kiểm Toán Quốc Tế - Chi nhánh Sài Gòn</t>
  </si>
  <si>
    <t>2_ABaOnufDWZbeYqUhTqfMpV6burq0NC_TFYG1TgTt-DanLFogPsZQ97s5mSWuscZRdA</t>
  </si>
  <si>
    <t>Nguyễn Thành Đại</t>
  </si>
  <si>
    <t>Công ty TNHH Kiểm toán FAC</t>
  </si>
  <si>
    <t>2_ABaOnud_4trULQTJ8HjOMUhbKZiqOb2QAZqz4J6h4teCbY2hMR2nGElNsRVeVQY2QQ</t>
  </si>
  <si>
    <t>Võ Thị Xuân Quỳnh</t>
  </si>
  <si>
    <t>Moore AISC</t>
  </si>
  <si>
    <t>2_ABaOnucLy0-NZMTB0BgSbySRDhLcAOu0a4ujjz-pp8yeJ05qpKWqJyocpJVyrpaPEA</t>
  </si>
  <si>
    <t>Nguyễn Quang Thông</t>
  </si>
  <si>
    <t>FAC-CN Đệ Nhất</t>
  </si>
  <si>
    <t>2_ABaOnueSQLuJRKuJ8Pi9Cc2PTYT5EtBb9kBPFfoCE17oh0uAI2cDfWStr5fKeKcxZA</t>
  </si>
  <si>
    <t>Hà Thị Mỹ Duyên</t>
  </si>
  <si>
    <t>Công ty CP Du lịch Thành Thành Công</t>
  </si>
  <si>
    <t>2_ABaOnucGkoBO21qQJcvsPQLIPPWTbxTD34u2KE6VhbN0brrxx_cNtxZ5FBRU5g7mSQ</t>
  </si>
  <si>
    <t>Lê Trung Hiếu</t>
  </si>
  <si>
    <t>EY Việt Nam</t>
  </si>
  <si>
    <t>Đại học, Chứng chỉ Kiểm toán viên, CPA Aus</t>
  </si>
  <si>
    <t>2_ABaOnucZn0HGwSx6YxsNg52U2Idvhdaj_pYwqDXk5PZqZmBAWxC_r9x0FxFc7IwYxg</t>
  </si>
  <si>
    <t>Hoàng Thái Tân</t>
  </si>
  <si>
    <t>2_ABaOnufcsC9cS6xjacnjORilw7rk8LUU76NPUz9rDM60DVH9_qowgFC-ILrOdEDCPA</t>
  </si>
  <si>
    <t>Nguyễn Thanh Thịnh</t>
  </si>
  <si>
    <t>Công ty TNHH Kiểm toán Thái Bình Dương</t>
  </si>
  <si>
    <t>2_ABaOnuelv1IKa9c8ysPvZxZeMm_tVJ3qtl7z9iYRG8_vobvsFL6DIjipofvfW9UdNg</t>
  </si>
  <si>
    <t>Phạm Đức Thắng</t>
  </si>
  <si>
    <t>Công ty TNHH Kiểm toán DFK Việt Nam</t>
  </si>
  <si>
    <t>2_ABaOnudmicRj8ewv935db0WMYcKRjjbwNzRjSaGgn_yyMB5jONAdSaOU8qrzF1IUvg</t>
  </si>
  <si>
    <t>Phan Thị Tố Trinh</t>
  </si>
  <si>
    <t>Công ty TNHH Kiểm toán Thái Bình Dương - CN Miền TRung</t>
  </si>
  <si>
    <t>2_ABaOnueJpppp5UdcCC-xjz3wZmhoDY0y2W0CrIzeWCyMBwzxr_919Gky_VJwM6UZKw</t>
  </si>
  <si>
    <t>Đào Thị Ngọc Tuyền</t>
  </si>
  <si>
    <t>Công ty TNHH Kiểm toán FAC - Chi nhánh Đệ Nhất</t>
  </si>
  <si>
    <t>2_ABaOnufzAfUHRIhZ940Sajos-Liaibs3pZ_22BoUevP2074aQsl2MINJsCoOm4_BUg</t>
  </si>
  <si>
    <t>Công ty TNHH Kiểm toán FAC - CN Đệ Nhất</t>
  </si>
  <si>
    <t>2_ABaOnuc022ebL8DQ2OFIimxOX5GXJR-ufNOao42Xc9UY9ari6XP66ySWxmDj7EpbPA</t>
  </si>
  <si>
    <t>2_ABaOnucNYlbAHDHshzoPPI4QqvvFw2bZqm9x090Hh1XQj7NHsQb_mw2Xvuyl4Wzp2A</t>
  </si>
  <si>
    <t>2_ABaOnucuGP2OZZHZfgqC4dPLOZXxEjm60ZWtfr5CpWWRjThB2zD63DnjiCWJ60Bwlw</t>
  </si>
  <si>
    <t>PHẠM ĐỨC THUẬN</t>
  </si>
  <si>
    <t>CÔNG TY TNHH KIỂM TOÁN ĐẠI TÍN</t>
  </si>
  <si>
    <t>2_ABaOnuenRQxM0CB9LWkoWii2SIaFJGq-exKvLlRZZKTGKrQxdgaHnQPmoWzRxHSP2A</t>
  </si>
  <si>
    <t>Trần Nam Giang</t>
  </si>
  <si>
    <t>RSM Việt Nam</t>
  </si>
  <si>
    <t>Đại học, Kế toán trưởng</t>
  </si>
  <si>
    <t>2_ABaOnucYCCxm7HVI56CvF87B_A4HYRCnwAfVwPCwIAzkWmE4R9iqXT90MM5mvxlBTw</t>
  </si>
  <si>
    <t>Bùi Thị Trang Đài</t>
  </si>
  <si>
    <t>Công ty TNHH Kiểm toán FAC- CN Nha Trang</t>
  </si>
  <si>
    <t>2_ABaOnuehIaAj-iB9ofLl0uqcTnOZmfoesY6UnFv-4GHVfF5-JgKaPf2F0T_jMUZJ5Q</t>
  </si>
  <si>
    <t>Phạm Thị Bích Thuỷ</t>
  </si>
  <si>
    <t>Công ty TNHH Kiểm toán CPA VIETNAM</t>
  </si>
  <si>
    <t>2_ABaOnud2_Pxs15G3NG4b0OzxvKuZ2pI5pAXNY-Ohxv-qpg762HYLyQBBmhHzTCBQ8g</t>
  </si>
  <si>
    <t>Hoàng Thiên Nga</t>
  </si>
  <si>
    <t>Công ty TNHH Kiểm toán An Việt</t>
  </si>
  <si>
    <t>2_ABaOnuehbMtMfezn-skpPFqblZJAE0v1EVHGL9xZ76OQW8vbEy0G1CMseF4yU8oiCA</t>
  </si>
  <si>
    <t>ĐINH TẤN TƯỞNG</t>
  </si>
  <si>
    <t>Công ty TNHH Kiểm Toán Sao Việt</t>
  </si>
  <si>
    <t>2_ABaOnuepyoEXHtm-zPVNYBmW242rRLln7Jrk7gDoDEpDVbAZQR1tvrS0ovTBFaiyaA</t>
  </si>
  <si>
    <t>Huỳnh Hữu Phước</t>
  </si>
  <si>
    <t>Công ty TNHH Kiểm toán Nhân Tâm Việt</t>
  </si>
  <si>
    <t>2_ABaOnudG_hs_AMAYUOmNBnPP5UWJxqUL6c1vZIXBVsXhZB730YcC29QiGcCe4ZGgDQ</t>
  </si>
  <si>
    <t>Nguyễn Trần Trường Anh</t>
  </si>
  <si>
    <t xml:space="preserve"> Công ty Kiểm toán AVN Việt Nam</t>
  </si>
  <si>
    <t>2_ABaOnuft5Vk3kTDpizoYZH1NgUHCIDgAJCEqIb6Rwb-8PmSCL6W9bLmYmio-Uq2-cA</t>
  </si>
  <si>
    <t>Võ Tuấn anh</t>
  </si>
  <si>
    <t>Công ty TNHH Kiểm toán KTC</t>
  </si>
  <si>
    <t>2_ABaOnudSMYXWKFJwn8XxSTSS34iLPpd4IhYLitorYKBsJyQY1SJwV-ixhBpq8Yth7w</t>
  </si>
  <si>
    <t>Nguyễn Thị Trang</t>
  </si>
  <si>
    <t>Công ty TNHH Kiểm toán AVN Việt Nam</t>
  </si>
  <si>
    <t>2_ABaOnud-K-qFIvtPi-4fgxYxxfl0tsTNMn_d45iw4--MuWjN7r2u7qzY0r1_ZhBZAg</t>
  </si>
  <si>
    <t>2_ABaOnudViw0OakDrY50oI_Jxk0GglDlgGNlB1JfqaQ3MqoyZu2-wQY6w0Ud6u8YJug</t>
  </si>
  <si>
    <t>Nguyễn Hải Việt</t>
  </si>
  <si>
    <t>Chi nhánh Công ty TNHH Kiểm toán và Tư vấn Chuẩn Việt tại Đà Nẵng</t>
  </si>
  <si>
    <t>2_ABaOnufSEuOWth3VQVbR4kjTUTeCtgX37b71zojZ_-OM1ITrdFlNwMOCbYAL1_0jVg</t>
  </si>
  <si>
    <t>Trần Quốc Bảo</t>
  </si>
  <si>
    <t>2_ABaOnud0AN3mxU4QKm7Eq0FeOKOWW2pwzAcMy7UtPhwU7yHnvs_7x_KVE5LMJGhlGw</t>
  </si>
  <si>
    <t>Nguyễn Văn Thiện</t>
  </si>
  <si>
    <t>AAC</t>
  </si>
  <si>
    <t>2_ABaOnudGWrZPdpEe1VP7v_SWvpcGdLIKYAzHp5CLs68HRcGrXhfaNbiTDJUYIzfkaw</t>
  </si>
  <si>
    <t>Nguyễn Văn Long</t>
  </si>
  <si>
    <t>Công ty TNHH Kiểm toán và Tư vấn VSA</t>
  </si>
  <si>
    <t>2_ABaOnucJCSZl0UxXBAJbilIljS3cygwYuz0XXX_gNoV_katBaG8n-zUCXdYJs7h_Qw</t>
  </si>
  <si>
    <t>Huỳnh Minh Hưng</t>
  </si>
  <si>
    <t>Công ty TNHH Kiểm toán và Tư vấn Chuẩn Việt - CN Đà Nẵng</t>
  </si>
  <si>
    <t>2_ABaOnucD-BjHfGFtT3skRHDakhQHAP12EIz2wZ-vyOXI6hs1p3xnWExie846nBBMHQ</t>
  </si>
  <si>
    <t>Thu Hiền</t>
  </si>
  <si>
    <t>2_ABaOnuf9Z_WcXLvxtv6IPHJtXUK9VxYf6mIMGBQbquDclj2UdX6_Z8gpzqS1tx27kA</t>
  </si>
  <si>
    <t>Nguyễn Hữu Huy</t>
  </si>
  <si>
    <t>2_ABaOnufjjDWytK0F9YX4o7qhNJdvPMwJpu3OfklgI1ZhsqXFWjlJaO1hs0dCHCMPeA</t>
  </si>
  <si>
    <t>Minh Tấn</t>
  </si>
  <si>
    <t>2_ABaOnuc4BCNwuAAbiuBhEXknyV62WyQl-fg-0FSrdzLuO_p_ekSgYM-Uhr3wmiZJLQ</t>
  </si>
  <si>
    <t>Công ty TNHH Kiểm toán và Kế toán AAC</t>
  </si>
  <si>
    <t>2_ABaOnudwjfPLNGzBm2zH0KW62i-8QNRjZBLFmkD95aHZUiEXrJ8VZrspV2b5vIfblw</t>
  </si>
  <si>
    <t>Bùi Sĩ Tuân</t>
  </si>
  <si>
    <t>Công ty TNHH CAF Việt Nam</t>
  </si>
  <si>
    <t>2_ABaOnufn5ok-lo4_xjNP8SBKU7OABUdqfpi13ECeZOeGIm7AIKN4XuIFwb1ft9NAgg</t>
  </si>
  <si>
    <t>Công ty TNHH kiểm toán Nhân Tâm Việt</t>
  </si>
  <si>
    <t>2_ABaOnucqDb6avlGOWh8swSFYMPOtT-6eR6TOFfwX-ONmH9Urq-kEPsuKkdTlv6jCkw</t>
  </si>
  <si>
    <t>Nguyễn Thế Phương</t>
  </si>
  <si>
    <t>Công ty TNHH Hãng Kiểm toán và Tư vấn AUD Việt Nam</t>
  </si>
  <si>
    <t>2_ABaOnucfz_0UoLgoaNB00bea7DBsysv2wmihhr0kIQ9JQDaNnRwGxRSBuGDYIvpm1g</t>
  </si>
  <si>
    <t>Nguyễn Minh Huy</t>
  </si>
  <si>
    <t>2_ABaOnudCKJVhucRTVG1nupUuOhrKXVmXRvqQqD5sYNQn34uxnm-Tp-VOJVwv1ICPQA</t>
  </si>
  <si>
    <t>Võ Thị Mỹ Hân</t>
  </si>
  <si>
    <t>Công ty kiểm toán KTC - Chi nhánh HCM</t>
  </si>
  <si>
    <t>2_ABaOnufaZl7i5RTga68MDztQq-JsPZ60GmxMT8LsxBbdDX0twTv9ufHDnAkVVQP_OA</t>
  </si>
  <si>
    <t>Huỳnh Huy Cường</t>
  </si>
  <si>
    <t>2_ABaOnudqRNWTjFkvp--Dw85a_yUtj5xunShR5knHGA1lfqM9poP0Ti1rrZiuVnopCw</t>
  </si>
  <si>
    <t>Ngô Hoàng Tùng</t>
  </si>
  <si>
    <t>2_ABaOnuePEgoiNmVbwUMHL3KYjHrV40sZVFpbhDbLuDLiuxSMACafeE16Gc3jrdwAaw</t>
  </si>
  <si>
    <t>Lê Minh Lưu</t>
  </si>
  <si>
    <t>2_ABaOnufb_SO45mr4868VzXkPiwXmtN6n3dyw3-QB9I5Yvp0wgwcyu5fiGdcoJO51sA</t>
  </si>
  <si>
    <t>Trần Viết Tú</t>
  </si>
  <si>
    <t>2_ABaOnud0ADvWGLaULm_meX2gnF8IOn-gepBmIVrCdJ98Cp6hAliP-DpegJAECuECTA</t>
  </si>
  <si>
    <t>Nguyễn Thị Ý Nhi</t>
  </si>
  <si>
    <t>Công ty TNHH kiểm toán KTC</t>
  </si>
  <si>
    <t>2_ABaOnud4BXwwt3kJ5kITrNoaW5wU9_KVyeSpbDo1dHq-ZwIuzdhGz6HKGpnjQWrj4g</t>
  </si>
  <si>
    <t>Mai Thanh Hiếu</t>
  </si>
  <si>
    <t>Công ty TNHH Kiểm toán Tư vấn Độc Lập</t>
  </si>
  <si>
    <t>Đại học, Sau đại học, Chứng chỉ Kiểm toán viên, Luật sư - Quản tài viên</t>
  </si>
  <si>
    <t>2_ABaOnudSPZo8reVpx4ykvMrnalH5QYN_TxBdSbpt-KCJOOHL8A7f1V5XFBEAsnNt_w</t>
  </si>
  <si>
    <t>Dương Minh Tuấn</t>
  </si>
  <si>
    <t>AUD Việt Nam</t>
  </si>
  <si>
    <t>2_ABaOnucc03THXG6U1jSORHNpe8XZI6hxM13TgcvWU0e1xhWbcLbrh5Xjcx6mafXhOA</t>
  </si>
  <si>
    <t>Hà Thị Thư</t>
  </si>
  <si>
    <t>2_ABaOnucoRtan_39wSvEzjgEGzYTz7Sc8RYxUwQZGSDzWygu2Zhep0ybQkMCUVa9bpw</t>
  </si>
  <si>
    <t>Dương Huy Hoàng</t>
  </si>
  <si>
    <t>Công ty TNHH Kiểm toán CPA</t>
  </si>
  <si>
    <t>2_ABaOnueVIoVT2U7aJJml6Ekv0CHAP4v1nRNmTShQV9EFEot_ui7lOjSu1bdx6aCKNA</t>
  </si>
  <si>
    <t>Nguyễn Xuân Dũng</t>
  </si>
  <si>
    <t>2_ABaOnuccmu9B7KndNHi7uKQT90ScFnW6YsE7uXsVdeHSoKRswZqdu5wohB9YOxzWJA</t>
  </si>
  <si>
    <t>Đoàn Ngọc Tuân</t>
  </si>
  <si>
    <t>2_ABaOnudojshoyi7Ap11tOUFY4iv9J1MCaj-vM_dAQlkyqiRepg3VXIOsD-2VTMDB1A</t>
  </si>
  <si>
    <t>NGÔ VIỆT THANH</t>
  </si>
  <si>
    <t>ANVIET CPA</t>
  </si>
  <si>
    <t>Sau đại học, Chứng chỉ Kiểm toán viên, CPA Australia, IAP</t>
  </si>
  <si>
    <t>2_ABaOnufdftoGc_2zW3XB8wDsRsPIMVf212nN22ed4RkxYVT2AtT4Ogm7JNy5aKEUYw</t>
  </si>
  <si>
    <t>Nguyễn Thương</t>
  </si>
  <si>
    <t>2_ABaOnucCobN7tIWtQTiREMc1W9OEO3ghmHhKJLNdWSwaUhUkQe2GimpTTMnDkXy1Fw</t>
  </si>
  <si>
    <t>Nguyễn Thành Đức</t>
  </si>
  <si>
    <t>2_ABaOnudb1Xfh5Bc7jX_mJbktXJlFukXCG8RxOJQGKbfsVIFHpATfFS4XHqsUH-H1Hg</t>
  </si>
  <si>
    <t>Trần Thị Trang</t>
  </si>
  <si>
    <t>2_ABaOnueHmcn0Bnq5bOmPk-t7FVXHCp2BZ6BvBQZnlq4g1Nq2A2vGcGIfpmomxZjQHA</t>
  </si>
  <si>
    <t>Vương Nguyễn Quỳnh Như</t>
  </si>
  <si>
    <t>Công ty TNHH Kiểm toán - Tư vấn Đất Việt</t>
  </si>
  <si>
    <t>2_ABaOnuda5VZmzEAyuAezW196UclHKTBp1HpD582dVMjj01vc9hAwiLwdm99bmMf7uQ</t>
  </si>
  <si>
    <t>Nguyễn Minh Dũng</t>
  </si>
  <si>
    <t>Kiểm toán Toàn Cầu</t>
  </si>
  <si>
    <t>2_ABaOnudgRQteq7g7ufFjhnXi1ZoSrqmAAfiyePCm4ZoMakwZnszcOd2-RvTp91gfjg</t>
  </si>
  <si>
    <t>Lương Thế Quyền</t>
  </si>
  <si>
    <t>Công ty Shinhan Finance Việt Nam</t>
  </si>
  <si>
    <t>2_ABaOnuc_YLJ8X5pNjjub8vea43X3VtcaBWqpbArbyS_uKMwgoYf0jL92HtAm247rwA</t>
  </si>
  <si>
    <t>Lê Hải Ngân</t>
  </si>
  <si>
    <t>Công ty TNHH Kiểm toán DTH Việt Nam</t>
  </si>
  <si>
    <t>2_ABaOnufZ5dxr6y_nVhZITPGObKt3DGdjq23q93n946w77IjESCQYKxWtEIvRbQirbw</t>
  </si>
  <si>
    <t>Nguyễn Thị Thủy</t>
  </si>
  <si>
    <t>CN Công ty TNHH Kiểm toán và Tư vấn Chuẩn Việt</t>
  </si>
  <si>
    <t>2_ABaOnufWBhhMQH5a7zZUoBn67TC39q2dqLWc0id2TM6JKyoQjUXt92Tuknx1KGP58Q</t>
  </si>
  <si>
    <t>Nguyễn Thị Thái Khánh</t>
  </si>
  <si>
    <t>2_ABaOnueN8pBtn1mc8wHe5047bAfnBkQHj9Lw4udiS8BAyE1f6w06myxeTA4mA-ziOQ</t>
  </si>
  <si>
    <t>Lê Thị Khánh Linh</t>
  </si>
  <si>
    <t>Công ty Tư vấn Đầu Tư Tài Chính Thuế Kế toán Kiểm toán Com.pt</t>
  </si>
  <si>
    <t>2_ABaOnuefrS5GJRK7e7qzfyUnBHqy2nPmve6dNJqKALl0w-N789YGn_9gKXQ5YIefmw</t>
  </si>
  <si>
    <t>Thuỷ</t>
  </si>
  <si>
    <t>Công ty Kiểm toán AAC</t>
  </si>
  <si>
    <t>2_ABaOnucs8Vo_d5Qw_yLdfgo2vXSVjDMR0110OnVTX1pac_1XarWPoZyfVu7RJbretg</t>
  </si>
  <si>
    <t>Nguyễn Hà Kim Trang</t>
  </si>
  <si>
    <t>Công ty TNHH Kiểm toán và Tin học Moore Aisc</t>
  </si>
  <si>
    <t>2_ABaOnucZqg6HtuMJhYR-BS5g0Ti56d__EBMFrJbS7j2jO0XBuFmmhCjyCeyXtyXChg</t>
  </si>
  <si>
    <t>Đặng Thanh Thuận</t>
  </si>
  <si>
    <t>2_ABaOnuf22qBfRURDawua1m-pfMjW7DZ3I3YlRSJRCWiMUaF7k5h1Oyld0Ec8-xo08w</t>
  </si>
  <si>
    <t>2_ABaOnud9W94OV0qtErAdXAPfVbfBO4WBRDKpwB0xuEc-CdmcyB415bBU6JHJLVo6GA</t>
  </si>
  <si>
    <t>Nguyễn Thị Hồng Tiên</t>
  </si>
  <si>
    <t>Công ty TNHH Kiểm toán và Dịch vụ Tin học Moore AISC</t>
  </si>
  <si>
    <t>2_ABaOnueDjv_uJqc70OtQ-aHx6Et5IxjBAvzyeTmS__rXNJJpcOx6ayY6g9agLn0V4w</t>
  </si>
  <si>
    <t>Nguyễn Đoan Duy</t>
  </si>
  <si>
    <t>2_ABaOnufjxn3pI5dAfoFdx3Ycpixi3uA10eHXc5IsrX7fI9i3Yfoaxjn1TbyMWUCA9A</t>
  </si>
  <si>
    <t>Nguyễn Thanh Tùng</t>
  </si>
  <si>
    <t>Chi nhánh Công ty TNHH Kiểm toán và Dịch vụ Tin học MOORE AISC</t>
  </si>
  <si>
    <t>2_ABaOnuc_9sag6fLeZAeDSGYqtxTA_Ob3u5Cm0JGIxv3oNSZOgImTipEolLnc5fidqw</t>
  </si>
  <si>
    <t>MOORE AISC</t>
  </si>
  <si>
    <t>2_ABaOnuehpMBNFyBKUThJOUCEJD-NogvPj7bucy2-PqlCbrT7ZxLnrkKfmLK6SPdc_w</t>
  </si>
  <si>
    <t>Huỳnh Trúc Lâm</t>
  </si>
  <si>
    <t>2_ABaOnucu-IrEpIiLgHmWEjH8QmuZknMYxRe12zCMXxUD1jgcWspEtoT3NTH50w38zg</t>
  </si>
  <si>
    <t xml:space="preserve"> Nguyễn Thị Bích Diễm</t>
  </si>
  <si>
    <t>Vietvalues</t>
  </si>
  <si>
    <t>2_ABaOnudiSamWC1P8IcMvk2aeWKdlptw0MUwq_Rd5qg9_zm3o5uD9XskeJqi7fgO4XA</t>
  </si>
  <si>
    <t>2_ABaOnudF_8-fVhfZi-xapxvWW6GMHaN6Xgm17JeyYJhdEnb9AC9uHpTD5c3jr0u5Kg</t>
  </si>
  <si>
    <t>Võ Phương Thanh</t>
  </si>
  <si>
    <t>Công ty TNHH Kiểm toán và Tư vấn A&amp;C</t>
  </si>
  <si>
    <t>2_ABaOnucEmXsG_9QnKpMNE3adukyoJGxtDkxYM7ZongMrTnr-hTLzDVWMLaOOqJAsoA</t>
  </si>
  <si>
    <t xml:space="preserve">Nguyễn Thị Phượng </t>
  </si>
  <si>
    <t>Chi nhánh Công ty TNH Kiểm toán và Dịch vụ Tin học MOORE AISC</t>
  </si>
  <si>
    <t>2_ABaOnucZpyerIaWHJH2Cbs18hSWLL0jfa1NIQkM147xGuGuJCODiV2uRBGb9lMx20g</t>
  </si>
  <si>
    <t>Nguyễn Cao Hoài Thu</t>
  </si>
  <si>
    <t>2_ABaOnufmHl-zPsFviApoaTyhGIC8L7KdTEPiNsVdEga0I4rrO2AUm8MftFEaYsqcAQ</t>
  </si>
  <si>
    <t>Nguyễn Xuân Tiến</t>
  </si>
  <si>
    <t>2_ABaOnudP3-LTxoKk3JQBi0KS4pQDA69k7rj0brQGzR9_vCZRCXPhqiiVSQqlSl2sew</t>
  </si>
  <si>
    <t>Nguyễn Hương Giiang</t>
  </si>
  <si>
    <t>Công ty TNHH Kiểm toán Đại Tín</t>
  </si>
  <si>
    <t>2_ABaOnuf_CVE19b9qsbbvu01CRtp_hSARYbHmpHPOUg7_vTKJUZZ2SgP2ln0tTx6E9Q</t>
  </si>
  <si>
    <t>Bùi Hoàng Nam</t>
  </si>
  <si>
    <t>Công Ty TNHH Kiểm toán Đại Tín</t>
  </si>
  <si>
    <t>2_ABaOnudU-wsksC-Xfbub-KsZptBrPOFnHKKe_ITwUDsNb3g8xaVHTy0Qk1Nt9v449A</t>
  </si>
  <si>
    <t xml:space="preserve">PHẠM THỊ NHUNG </t>
  </si>
  <si>
    <t xml:space="preserve">Công ty TNHH Kiểm toán Đại Tín </t>
  </si>
  <si>
    <t>2_ABaOnueEQVwqmUJxnCrrL_r7gGiyA_Qga0qmIzQ721MMecYFLjkQsYpErpIL3h4Ygw</t>
  </si>
  <si>
    <t>Trương Linh</t>
  </si>
  <si>
    <t>2_ABaOnufNAvwOsgtdhiLrDc40zARBacD9KSUSVynMJyDAfi0VnwzzoN8nxC7JFnA58w</t>
  </si>
  <si>
    <t>LÊ VĂN DANH</t>
  </si>
  <si>
    <t>2_ABaOnuebOaMazIyY906RW6KaWDxsOQQGYU7cEzWZN0IbRW9Cn4o7iyU-IO3PiZtsEw</t>
  </si>
  <si>
    <t>Trương Thanh Thanh</t>
  </si>
  <si>
    <t>2_ABaOnucIDC4-vhG2QLphsVCbRIO2CxV6qWjca7PGks5FXSFW3F-2ABuVnNxvxHpRBA</t>
  </si>
  <si>
    <t>Tri nguyen</t>
  </si>
  <si>
    <t>Vietaustralia</t>
  </si>
  <si>
    <t>2_ABaOnuf3P3QZ4dx8nQZAjxZZEppKOjctnwuUflpZPCscFVGYNj9FF1NJIb81sMOHOA</t>
  </si>
  <si>
    <t>Công ty TNHH Kiểm toán và Tư vấn Tài chính Toàn Cầu</t>
  </si>
  <si>
    <t>2_ABaOnuctZEcVsc96Hq-iYrTRfBB9A9BNv-WB0ATTbEXA6_g25Z4MWA7l3rB5vZ9Csg</t>
  </si>
  <si>
    <t>Công ty TNHH Kiểm toán và Tư vấn Tài chính Toàn Cầu</t>
  </si>
  <si>
    <t>2_ABaOnuegQdyy5RLJkcZaMFHYIG4hVj1wgM5wHyLmXg1-20QdZda5LAkZhmttvh9D-w</t>
  </si>
  <si>
    <t>CÔNG TY TNHH KIỂM TOÁN VÀ TƯ VẤN TÀI CHÍNH TOÀN CẦU</t>
  </si>
  <si>
    <t>2_ABaOnufIg5iKBXebJh-TkpKFmOx6DwuX55kxdbxR-IAEKUcNRCJesvNJru3nZg2X5w</t>
  </si>
  <si>
    <t>Phan Hoài Nam</t>
  </si>
  <si>
    <t>2_ABaOnucxEDVCNl1L2x5hzcgQDCGw6zug99ffJAoaHOWUTUZNkeX3SlsqMOJIA8igsg</t>
  </si>
  <si>
    <t>VŨ HUY THẾ</t>
  </si>
  <si>
    <t>CÔNG TY TNHH KIỂM TOÁN VÀ ĐỊNH GIÁ GAA</t>
  </si>
  <si>
    <t>2_ABaOnuc9WSHDnhytzcbIP_DVu6oPajOCP74aMDtauKdrY6jJqKg0dApPoLNYPPm1Ew</t>
  </si>
  <si>
    <t>Phạm Đình Ân</t>
  </si>
  <si>
    <t>CÔNG TY TNHH MSA ALLIANCE</t>
  </si>
  <si>
    <t>2_ABaOnudZ0jDVAMcOSVj1LAoCpUPhjklXa8GXMvfstD4_cy5mHBXdZoD-Db-xWO84EQ</t>
  </si>
  <si>
    <t>PHẠM VIẾT TIẾN PHÁT</t>
  </si>
  <si>
    <t>ILA VIETNAM</t>
  </si>
  <si>
    <t>2_ABaOnudDrKQXWnJVkkYdcZTMq8FJcfqJM_InhZbJtIJ9vGNvqQQ690FnlL1aNA-kkg</t>
  </si>
  <si>
    <t>Đặng Tiến Đức</t>
  </si>
  <si>
    <t>Hồ Chí MInh</t>
  </si>
  <si>
    <t>2_ABaOnufWXmUOvqROsQmiHxGlYQ52hVEbipLsZz4nf5PpLDBdVcw8LRtWHXveMwQxrA</t>
  </si>
  <si>
    <t>Nguyễn Đức Đình Huấn</t>
  </si>
  <si>
    <t>Kiểm toán nhà nước khu vực XII</t>
  </si>
  <si>
    <t>2_ABaOnud10x28Pm0G6DLI4iu1oMm0V5TQP09bEMcLz5vFIERD4HkNHKgrxaGfdC8SZA</t>
  </si>
  <si>
    <t>Nguyễn Tiến Mạnh</t>
  </si>
  <si>
    <t>Kiểm toán nhà nước</t>
  </si>
  <si>
    <t>2_ABaOnueLUopueOCrSzLxs6GQlSKfpxTqWRjCRL1LOFg41ak1zJkEdkVb-Ub495N88g</t>
  </si>
  <si>
    <t xml:space="preserve">Lê Hoàng Giang </t>
  </si>
  <si>
    <t xml:space="preserve">KTNN </t>
  </si>
  <si>
    <t>2_ABaOnudVsm4DWHCIq-14Ku6rvcuZiG8SrbmjZCdqmDMOgsJX3PJaHkmdkMrUWbR9UA</t>
  </si>
  <si>
    <t>Trần Khánh Nam</t>
  </si>
  <si>
    <t>2_ABaOnufPBQveeoH4-ZsDW036yZUkqIcwNIPWcCUmADJe-ZPyMs9m8McjepkI0ymUxA</t>
  </si>
  <si>
    <t>Diệp Tuấn Cường</t>
  </si>
  <si>
    <t>KTNN KV XII</t>
  </si>
  <si>
    <t>2_ABaOnufg3HpxBUyB1lCQTxaoUOOox1QJY0VmxmKYcMq0Ql3pmiweqCfEA7d4Rzse7w</t>
  </si>
  <si>
    <t>Nguyễn Đức Hoàng</t>
  </si>
  <si>
    <t>KTNN</t>
  </si>
  <si>
    <t>2_ABaOnudLOmhestiZbu0JWWK1xczx8cb6OcRewLFE8z2K13aRj-uH5aD6WtoYvHtOCQ</t>
  </si>
  <si>
    <t>KTNN khu vực XII</t>
  </si>
  <si>
    <t>2_ABaOnuc_XAYPyWMinAA20sqI11do8PUXRysQsr1HVJv80SXswJnSgg501OkhQjRD7w</t>
  </si>
  <si>
    <t>Trần Thị Hoài Thương</t>
  </si>
  <si>
    <t>2_ABaOnufAbN6ZYt6eBZeKSuC8VgkuHfBwSqlWozHs8jS9yiE3imCviUxAFgAvcJi-SA</t>
  </si>
  <si>
    <t>Đinh Ngọc Ánh</t>
  </si>
  <si>
    <t>2_ABaOnufeyLNB_yRP4FjpgN55ddcJweeaBC6YAqUJNpJtwHiACH4QERPnpl-LkI7wig</t>
  </si>
  <si>
    <t>Nguyễn Tuấn Hùng</t>
  </si>
  <si>
    <t>2_ABaOnucbAK09S5Yq_6OZVcXxpmXOSIxt6DRw3Z7ah5Z7BH9OlvW3I9CHlrI2Xgj7oQ</t>
  </si>
  <si>
    <t>TRỊNH THỊ BÍCH LIÊN</t>
  </si>
  <si>
    <t>CÔNG TY TNHH KIỂM TOÁN KSI VIỆT NAM</t>
  </si>
  <si>
    <t>2_ABaOnuf_VDEBAkk4JitGOtVngfvbp4Xq5tTN9Uhpk5qtTmACU5XCPt6K3HEfqGEKRQ</t>
  </si>
  <si>
    <t>NGUYỄN VĂN TẦN</t>
  </si>
  <si>
    <t>Công ty TNHH Kiểm toán và Định giá Quốc Tế _CN HCM</t>
  </si>
  <si>
    <t>2_ABaOnucWSPMCPT6SqMw4fskrD5US8NrS0kJ5a6ekQcqu27YPR3Xuqug3J6T0KyXDCA</t>
  </si>
  <si>
    <t>NGUYỄN THỊ CẨM HỒNG</t>
  </si>
  <si>
    <t>Công ty CP Thực phẩm Agrex Saigon</t>
  </si>
  <si>
    <t>2_ABaOnudKRM7IjBeVPN_FmB3wbsWNPK9hlkSvU1gEpx9vWXvQivRFDfAbUr32capK_g</t>
  </si>
  <si>
    <t>Lê Ngọc Dũng</t>
  </si>
  <si>
    <t>Công ty TNHH Kiểm toán quốc tế PNT</t>
  </si>
  <si>
    <t>2_ABaOnue5qCmDXb49GinuhSE-cxwx_yg2mc-os7DdFa5NVFp-GNR33xgiyky8l3cYMw</t>
  </si>
  <si>
    <t>AgrexSG</t>
  </si>
  <si>
    <t>2_ABaOnufzcp1Ius7mZDR3KxarzQnZ3WUKkD2CduU5C-KcBi7FoCZHS6FQXSM-B6EwtA</t>
  </si>
  <si>
    <t>Nguyễn Văn Hậu</t>
  </si>
  <si>
    <t>Cty TNHH kiểm toán KSi Việt Nam</t>
  </si>
  <si>
    <t>2_ABaOnufXtaN050RerUEcsEGezg_qgXEc_0Dx1NWwCSUwodMWLNHup-A4SywzK1E4DQ</t>
  </si>
  <si>
    <t>Công ty TNHH Kiểm toán AACS</t>
  </si>
  <si>
    <t>2_ABaOnucgp3Xo3xPYBHJ2froKgrKNZsLaYkiQcHWPw_t2p43IFbbRMeJJBd3CBb5j9A</t>
  </si>
  <si>
    <t>TRẦN THÀNH CƯỜNG</t>
  </si>
  <si>
    <t xml:space="preserve">công ty TNHH Kiểm toán Tư vấn Sáng Lập Á Châu </t>
  </si>
  <si>
    <t>2_ABaOnucrz_snzSlsGIdvyILNvz8ThCPx5BATwydbOWlfhryvIr48XrFPd2wOCdoceA</t>
  </si>
  <si>
    <t>Hoàng Bách Việt</t>
  </si>
  <si>
    <t>FTAC</t>
  </si>
  <si>
    <t>2_ABaOnudGR8o1qGRolISHF5_MZBlJ50DAzJOlkGJLgiph1gNztZG5pndRsoUXmu89Yw</t>
  </si>
  <si>
    <t>Kiểm toán AC</t>
  </si>
  <si>
    <t>2_ABaOnucZG5LGxu5ksGSej0vZqn6skhalMyqzLAJCL-yxYsDp_vw5oJ92sdDF2jSPjg</t>
  </si>
  <si>
    <t>Khanh</t>
  </si>
  <si>
    <t>Cty Kiểm toán Sao Việt - Chi nhánh Bình Dương</t>
  </si>
  <si>
    <t>2_ABaOnudTHuHOFpZsAaRB97EixMtgKd2paGfbHbst8acxAgXLbB67F8KYEdOA5CQ_ig</t>
  </si>
  <si>
    <t>Lê Trương Cường</t>
  </si>
  <si>
    <t>Kiểm toán Việt Úc</t>
  </si>
  <si>
    <t>2_ABaOnud_KTt6NuyQPIbBIh-bejolHqnTwkSqjgNQbC9x3sJmpvMCFoLqJjwGN3C5lA</t>
  </si>
  <si>
    <t>Trang Đắc Nha</t>
  </si>
  <si>
    <t>AFC VN</t>
  </si>
  <si>
    <t>2_ABaOnuctCswvYisuPI4CLYnVeIyyf3C1AhYpsuogRu459ZZmJp7F6RyCbAuZxt1_ng</t>
  </si>
  <si>
    <t>Trần Văn Tài</t>
  </si>
  <si>
    <t>FPF</t>
  </si>
  <si>
    <t>2_ABaOnueZwKBBz1Mnavw6UNBhT3bQU89TgcyAx-Rvl1-Vjzueuhr2-Fpz-KxF-t7MSg</t>
  </si>
  <si>
    <t>Đỗ Thị Minh Duyên</t>
  </si>
  <si>
    <t>Chi nhánh Công ty TNHH Kiểm toán NVA</t>
  </si>
  <si>
    <t>2_ABaOnufgl81iTDK40lZ7A5RMNm1_cIEtYnVeqDlkQlN5GmTIuJtp7_bpw13KdVv_Hg</t>
  </si>
  <si>
    <t>Lê Bá Duẩn</t>
  </si>
  <si>
    <t>Công ty TNHH Kiểm Toán AACS</t>
  </si>
  <si>
    <t>2_ABaOnucRhKbc0vCMpk1yC5w1WeMhmQurIsXTpc8VNKZY8j_BlwAs4DhonNbP4AcShA</t>
  </si>
  <si>
    <t>Phạm Ngọc Khánh Vy</t>
  </si>
  <si>
    <t>CÔNG TY TNHH KIỂM TOÁN AACS</t>
  </si>
  <si>
    <t>2_ABaOnudtH3MUy0n9fC5waN_oE_Gc3fmrFJjW1tT-YDA1qwu7b5TB7IwYJ06H7U5fTQ</t>
  </si>
  <si>
    <t>PHAN THỊ MỸ HƯỜNG</t>
  </si>
  <si>
    <t>2_ABaOnufIkEPykhVLDqIlgF0tFhHu12sA2Rwi-po4uhYldD-aiqGE5dmkYkZuQI1Ohg</t>
  </si>
  <si>
    <t>Huỳnh Ái Vi</t>
  </si>
  <si>
    <t>CÔNG TY TNHH AACS</t>
  </si>
  <si>
    <t>2_ABaOnuf4tSTSshwdtWNaIwcvRUMAQ9CHQNKYoVJFYZacwbT8DOhSkK-F3EbE25Jrpg</t>
  </si>
  <si>
    <t>2_ABaOnudEO1tpjUItWTUW1egQibOcBG9L4IeuYYC3HLSmZg6eg-XGv9jkeAt5xgYzZw</t>
  </si>
  <si>
    <t>Nguyễn Trí Dũng</t>
  </si>
  <si>
    <t>Công ty TNHH Kiểm toán và Định giá Quốc tế</t>
  </si>
  <si>
    <t>2_ABaOnueF3k4EzhIcVJyp7-J8RrTYyDJp2aG5sl7ACRGTvwgb3lA5YIeVXaqVY1cv3w</t>
  </si>
  <si>
    <t>Nguyễn Hà Mi</t>
  </si>
  <si>
    <t>Công ty TNHH Tâm Luxury</t>
  </si>
  <si>
    <t>2_ABaOnucAmYot99kmh2OObroaCLPPkfbteHs3kqG2nF2kUFDNaRsu2799r3Sm2gH89A</t>
  </si>
  <si>
    <t>Công ty TNHH Kiểm toán NVA</t>
  </si>
  <si>
    <t>2_ABaOnucWC0ts1durzmH22INJ-ANeAHphI6sK8RbnLl1sBr2Te0mjnPTvwlehOhnGxQ</t>
  </si>
  <si>
    <t xml:space="preserve">Công ty kiểm toán NVA </t>
  </si>
  <si>
    <t>2_ABaOnuedGQCj3TFex_fd5KmBzFR0y8jFYq_fCe93HfAbJ6FappwCn1qY6K3HDDCSEQ</t>
  </si>
  <si>
    <t>Nguyễn Tiến Cung</t>
  </si>
  <si>
    <t>Công ty TNHH kiểm toán NVA</t>
  </si>
  <si>
    <t>2_ABaOnucSm3MP-sTG_02saomuy81VrMW2Z_7WCEpRL2KGpcG0RRCuVb7cCgP7m1pIQg</t>
  </si>
  <si>
    <t>Phan Minh Khang</t>
  </si>
  <si>
    <t xml:space="preserve">Công ty TNHH Kiểm toán và Tư vấn A&amp;C </t>
  </si>
  <si>
    <t>2_ABaOnuf29bXxvnwZOmYl0OVjYxHjUMzUi5TfsXfiyTWLPY1SblDLPHMZt0pXn576mQ</t>
  </si>
  <si>
    <t>AASC</t>
  </si>
  <si>
    <t xml:space="preserve">Sau đại học, Chứng chỉ Kiểm toán viên, </t>
  </si>
  <si>
    <t>2_ABaOnue8XtsPEN1FLiloaodipYsL-UGEFhY2oO9NheDS3zgplMyWID1p4tuqz1PqdA</t>
  </si>
  <si>
    <t>RSM</t>
  </si>
  <si>
    <t>2_ABaOnuegTjXg4vcZz4Zupraq1BSOrgF2glXAUZzLVUtnO95V5vPro37BrbsgcGNnNA</t>
  </si>
  <si>
    <t>2_ABaOnufYVRtqXs6wjYD7jeUNIfodvNKX25A53923oqgDYGaC_eje4W2dFMn6ChjX7w</t>
  </si>
  <si>
    <t>2_ABaOnue1Ps20AruLvk3m9FeDvLiIYQbdTNybAhn5VlUA_xgeFH6qRVlqvUNVv4DPTg</t>
  </si>
  <si>
    <t>AC</t>
  </si>
  <si>
    <t>2_ABaOnucszigOkvYfk7HZgARYtITyEHncKCrUMWjPdZGvmFgKRQR3VFFvL-HgFIUbtA</t>
  </si>
  <si>
    <t>Công ty TNHH kiểm toán AASCs</t>
  </si>
  <si>
    <t>2_ABaOnue0__VOLh37DSVTsZ_t9rzfzCtd731ZsyMeHjRK721cz6AJ86KmOy-JFgpAUA</t>
  </si>
  <si>
    <t>Công ty TNHH Kiểm toán T.L.C Auditing</t>
  </si>
  <si>
    <t>2_ABaOnudV0R_UzYhv-N_GIvN3JNzbPOTQ1XPhVMCe2z4Kd55zpvWhCa1Aqn16YVfVKQ</t>
  </si>
  <si>
    <t>Phan Quang Hậu</t>
  </si>
  <si>
    <t>CÔNG TY TNHH KIỂM TOÁN I.T.O</t>
  </si>
  <si>
    <t>2_ABaOnucYdPZ3xsBb4G8yeB68xbKCD0p7mJibL7R11Ymy-cs90apTZN28sm0DVQ94rA</t>
  </si>
  <si>
    <t>Nguyễn Phương Nhung</t>
  </si>
  <si>
    <t>Công ty TNHH Kiểm toán I.T.O</t>
  </si>
  <si>
    <t>2_ABaOnucggZvIBVqC6kpZXIUJevUActLZ2-wSa1V_C4G-meWJPVWVjpwM-uVSyVdEUA</t>
  </si>
  <si>
    <t>Nguyễn Hoàng Việt</t>
  </si>
  <si>
    <t>2_ABaOnucFSdnblF-kZiyQboJBz9LG34LkWzdyQOCCNPCptUD_d6hptYor0D5Dsilgyg</t>
  </si>
  <si>
    <t>Lê Quỳnh Đan</t>
  </si>
  <si>
    <t>Công ty TNHH Kiểm Toán I.T.O</t>
  </si>
  <si>
    <t>2_ABaOnufAnlJ1AmtHAiegxvBm6OyMu5u02mXQIclfWHAMthNvglWJUMYfrpWerPyxtg</t>
  </si>
  <si>
    <t>Ngô Thị Nhân Ái</t>
  </si>
  <si>
    <t>2_ABaOnueiSg_uN2CAHPLVH3ndePrnEn1yTIZuQVIk_9ZuBlIJsAYo9UFNPNFYXFkC8g</t>
  </si>
  <si>
    <t>Lê ngọc nghĩa</t>
  </si>
  <si>
    <t>2_ABaOnueYpTwVnPWxgJV4clEulXsixuoPKvj1cpnEg9giAsTI2mONwAP8Bvxz_H5QrA</t>
  </si>
  <si>
    <t>Nguyễn Thị Hoài Phương</t>
  </si>
  <si>
    <t>2_ABaOnueQC6bJhyNcD9CkzNmEqeM6wtmrWvF1Us0qALWlx94nS4iU1XzSOP1nmrGH_Q</t>
  </si>
  <si>
    <t>Lê Huy Bình</t>
  </si>
  <si>
    <t>CÔng ty TNHH Kiểm toán DFK Việt Nam</t>
  </si>
  <si>
    <t>2_ABaOnuforek-qAt9KEM-7ZL6e5EYv6LNVqINAUif0CeGdP2sTHB7Lfxrt5JC2_I6kw</t>
  </si>
  <si>
    <t>Nguyễn Ngọc Tân</t>
  </si>
  <si>
    <t>Công ty TNHH Indochina Link Việt Nam</t>
  </si>
  <si>
    <t>2_ABaOnucCAAnJ7ot2nyxboW5B2C66rmW61Q54k3dS9B9F9sLKzS1Af9G52cbDz1aVOQ</t>
  </si>
  <si>
    <t>Đào Duy Phúc</t>
  </si>
  <si>
    <t>2_ABaOnudRsFL46SOy8d6cEW922fR64LNLAn3buHCuiLZzCaLaMYBXhoEYYesxwZYtuA</t>
  </si>
  <si>
    <t>Công ty kiểm toán A&amp;C</t>
  </si>
  <si>
    <t>2_ABaOnufhhi1UFZ1ZCphat963AzXBT1msdESN3lIgnHYES-BllcAS6S-CyLQMYXvWsQ</t>
  </si>
  <si>
    <t>Nguyễn Lưu Gia Bảo</t>
  </si>
  <si>
    <t>Baker Tilly A&amp;C</t>
  </si>
  <si>
    <t>2_ABaOnudKea7DRA01AdPGVTQ8XFXNodHuCIhR_NHT4Pkb0dXnSWxyIxosxBulKZVfbw</t>
  </si>
  <si>
    <t>Trần Thái Huy</t>
  </si>
  <si>
    <t>bakertilly A&amp;C</t>
  </si>
  <si>
    <t>2_ABaOnucHSRT4C7WCM_kY8dPv1aDwK21E2Pd9cyKnqwhXGTOfX231t9TC1eRVrr_YWQ</t>
  </si>
  <si>
    <t>Nguyễn Thị Hải Yến</t>
  </si>
  <si>
    <t>2_ABaOnueLwvwKoQpjBchUAbH5EWh7K-h0m84IPdB5pnTp7dWYtbLUSZI8XizsqLOCZg</t>
  </si>
  <si>
    <t>A&amp;C</t>
  </si>
  <si>
    <t>2_ABaOnudISkihHw6vNiZHrMlUeH01OQ41ulmUDG67Z5NNMSQsjCfa6JZbKseek7XH2Q</t>
  </si>
  <si>
    <t>Nguyễn Hoàng Phương Anh</t>
  </si>
  <si>
    <t>Công Ty Tnhh Kiểm Toán và Tư vấn A&amp;C</t>
  </si>
  <si>
    <t>2_ABaOnuc5NXblHS-x7ctcvuWpBS7nhqouuY2VWg859WtjopA2EhxwObUvBVlpz04MSA</t>
  </si>
  <si>
    <t>Vương Võ Thu Hà</t>
  </si>
  <si>
    <t>2_ABaOnucQsjBh8AtEgxqSwEqgCeO-omrWe4aCWu6BvgE5yKyAsGtdsDWVrQBgfaloqg</t>
  </si>
  <si>
    <t>LÊ THỊ MỸ LINH</t>
  </si>
  <si>
    <t>2_ABaOnueglxXdlr6dipsAHl9L1ft9orzN-BSJ1JHwYwidjdyTJHBhUUJUmUm5h4207g</t>
  </si>
  <si>
    <t>VIETVALUES</t>
  </si>
  <si>
    <t>2_ABaOnudkR8tcc2hu7euSFiuTrCZWvGURYXFCzSsRg5LBgG_cxMxl3P23WdTmxOE4Gw</t>
  </si>
  <si>
    <t>Đặng Nguyễn Anh Đào</t>
  </si>
  <si>
    <t>2_ABaOnudO8cs_kB7XjY9fOSozilZqVN5hPRZQ7mGTJHMLe7-B-OWd0JsHtV1GpyKE_g</t>
  </si>
  <si>
    <t>Công ty TNHH kiểm toán Quốc tế SBS</t>
  </si>
  <si>
    <t>2_ABaOnucmxG6fd84j3FMtpW5OSvk5rZjsbTaA71fGy2zFmuwlavgw3fIZXAlk7gleGA</t>
  </si>
  <si>
    <t>Đại học, Sau đại học, Chứng chỉ Kiểm toán viên</t>
  </si>
  <si>
    <t>2_ABaOnuf_WR2WnWrk-22sSlYUnRG0Op1RTan6nQsv-bEwp5o7h5GLHaVsGn-YpA1wSQ</t>
  </si>
  <si>
    <t>Lưu Mỹ Huyền</t>
  </si>
  <si>
    <t>Công ty TNHH Kiểm toán Thái Dương</t>
  </si>
  <si>
    <t>2_ABaOnudlnL_UFdgJTlC1C01TMXDSXrFdZau16uXZAyobhMxc4Fjhslf5JjaXDMugTA</t>
  </si>
  <si>
    <t>Nguyễn Quang Nhật</t>
  </si>
  <si>
    <t>Công ty TNHH Kiểm toán và Tư vấn A&amp;C - Chi nhánh Tây Nam Bộ</t>
  </si>
  <si>
    <t>2_ABaOnudqDTtVjqijuVgphY4xSM0je2Z5siUQFj76hTrVmLqvT6_4JszAKn7SCENWUg</t>
  </si>
  <si>
    <t>Nguyễn Thị Ngọc Hân</t>
  </si>
  <si>
    <t>Công ty TNHH Kiểm toán và Tư vấn A &amp; C - Chi nhánh Tây Nam Bộ</t>
  </si>
  <si>
    <t>2_ABaOnudRMzUXkimlaDZf1-SJ0o_NV7dZyFE0zbAykcWDUpciVVD3R3W8YKLRLb2Y2Q</t>
  </si>
  <si>
    <t>Thiều Thị Bảo Nhi</t>
  </si>
  <si>
    <t>2_ABaOnudPFLyO3oznsQkPRU29906ib8pT-RMRjpAHD9d8LyIZrMU5z5pZjvCUzxz2iQ</t>
  </si>
  <si>
    <t>Dương Bé Phương</t>
  </si>
  <si>
    <t>2_ABaOnudrtyzQtvB0idXLxSEepEA0Av4q8vBkQrYOY-0Cn51ZfXhcC_69S0XtZWOE1w</t>
  </si>
  <si>
    <t>Phó Vĩ Hào</t>
  </si>
  <si>
    <t>2_ABaOnud_vXqHv2ohU5l249_5MltQLdQT9SaYBWwhXjBXWsz6Ix73KwbPKC6ajqCxVQ</t>
  </si>
  <si>
    <t>Nguyễn Ngọc Cầm</t>
  </si>
  <si>
    <t>2_ABaOnucEto2lScf5mXtY3IMBYYfQXGCD5mDF5lpfVv_crY3jO6uXl1L3SQaU70-dGg</t>
  </si>
  <si>
    <t>Nguyễn Quốc Ngữ</t>
  </si>
  <si>
    <t>2_ABaOnuc7JTef1UUBnS22MEGDZ9VlPqkCKxzTxWwwcYwLyhIBU-xpXQcjKsSkA6xTZQ</t>
  </si>
  <si>
    <t>Nguyễn Đức Toàn</t>
  </si>
  <si>
    <t>Công ty TNHH Kiểm toán và Tư vấn A&amp;C_Chi nhánh Tây Nam Bộ</t>
  </si>
  <si>
    <t>2_ABaOnudoYY7Ebm6N6lSNhTEfnY12iUjWPnIh5dPid7ourqhQ5C3sOznf7te18TIp5w</t>
  </si>
  <si>
    <t>Lê Hồ Diễm Trang</t>
  </si>
  <si>
    <t>Công ty TNHH Kiểm toán và Tư vấn A&amp;C - Chi nhánh Tây Nam Bộ</t>
  </si>
  <si>
    <t>2_ABaOnucRqAulTlhaELwP19sWEhT5cozg5sb1fESvoNKFFifIofvdocM1G1A-RL2IAA</t>
  </si>
  <si>
    <t>Nguyễn Tấn Trung</t>
  </si>
  <si>
    <t>Công ty TNHH Kiểm toán và Tư vấn A&amp;C - CN Tây Nam Bộ</t>
  </si>
  <si>
    <t>2_ABaOnucSRo1e0XoA2YLVLGExpossp0Kgp0NKt6T_9d5TvAyBroqPLFi3Iayyd1CIrw</t>
  </si>
  <si>
    <t>Công ty TNHH Kiểm toán và Tư vấn A&amp;C chi nhánh Tây Nam Bộ</t>
  </si>
  <si>
    <t>2_ABaOnudyalm5PVL7T8gzfLb2sn8y8lAqHODkZ4lt3iIye_FEO2zak0Ks0vgVeTPNUw</t>
  </si>
  <si>
    <t>Đoàn Phạm Trang Thư</t>
  </si>
  <si>
    <t>2_ABaOnueeh31U_Moz8E9GGD6Zpl27KzFcRRJvvFu1ZQKizVTbP7HKRlwaiDULQN7HTg</t>
  </si>
  <si>
    <t>Nguyễn Hoàng Phương</t>
  </si>
  <si>
    <t>Công ty TNHH Kiểm toán SG-VN</t>
  </si>
  <si>
    <t>2_ABaOnucFOSeexVUor87puzsEhrLdMp25FWKORAH4rHAgSzz3WGeC4lAt8wJuvOMiLA</t>
  </si>
  <si>
    <t>Nguyễn Quốc Khánh</t>
  </si>
  <si>
    <t>2_ABaOnufqFr4-MvNeVPkqx2Qnmgq5hIx_fogc-tb8zCdt7lhX6D0PDEv4h5Qb39EoiA</t>
  </si>
  <si>
    <t>Trương Diễm Phương</t>
  </si>
  <si>
    <t>Công ty TNHH Kiểm toán và Tư vấn A&amp;C Chi nhánh Tây Nam Bộ</t>
  </si>
  <si>
    <t>2_ABaOnufbcAoSbeX9jFy7S6ag0wxyY2WvrgRCqHB_FXT-srbpxFGtN8CgnwPdNMcRWg</t>
  </si>
  <si>
    <t>Lê Thị Mỹ Nhân</t>
  </si>
  <si>
    <t>2_ABaOnucqUb39Xrwr08zpPHJIvpwd8L4lx73rglzK-pS-nDd_BjuEVHh3-Nea95obeA</t>
  </si>
  <si>
    <t>Lê Thị Mai Phương</t>
  </si>
  <si>
    <t>2_ABaOnufuJcYc2otwpXTlwKK2OORwJ4IUAI1VVtXjotbUOWVI-rbBVNv2mdhFJjD-hg</t>
  </si>
  <si>
    <t>Hồ Đại</t>
  </si>
  <si>
    <t>PWC</t>
  </si>
  <si>
    <t>2_ABaOnucNSgEmYMlyVSp9kZ5ILKtly3t1b6ZhTxJBSXzeZO0YartwFZCAsORytMivWA</t>
  </si>
  <si>
    <t>Nguyễn Thị Thu Huyền</t>
  </si>
  <si>
    <t>Công ty TNHH Kết nối và Tư vấn Doanh nghiệp</t>
  </si>
  <si>
    <t>2_ABaOnudOy0cVsoLsRwcHa3gpu2A7ytGs9uzHCBL9AC98X6AHj0M6FdoehECJ6Qt2RA</t>
  </si>
  <si>
    <t>Tô Đức Lợi</t>
  </si>
  <si>
    <t>2_ABaOnudzuuGZ7T-_sNF35rWJzl6wbTngPcGI0DkwcXjCwpgEPH2iF2ZdJSR_8JDKcg</t>
  </si>
  <si>
    <t>Nguyễn Thị Thùy Trang</t>
  </si>
  <si>
    <t>Công ty TNHH Kiểm toán AFC Việt Nam</t>
  </si>
  <si>
    <t>2_ABaOnueilSWqhhOp-3rNgFFAD_30D0agdhegyHPUefYCRQNIwuu9rHSJ7XSstzbd5A</t>
  </si>
  <si>
    <t>Nguyễn Thị Cẩm Thu</t>
  </si>
  <si>
    <t>Công ty TNHH Kiểm toán và Tư vấn A&amp;C CN Tây Nam Bộ</t>
  </si>
  <si>
    <t>2_ABaOnucBkT9j2m24FVk76mcsIYf2gTO0x0ihs9mZ74TLNvd2b8xABkm8A8jSyMfygQ</t>
  </si>
  <si>
    <t>Nguyễn Xuân Cương</t>
  </si>
  <si>
    <t>Parker Russell Vietnam</t>
  </si>
  <si>
    <t>2_ABaOnucq_hKaSTEE6oBHjh6Zl9uhXLmmZJMw9cAcbJCIkacC1nh87rcWB_sySHV8NA</t>
  </si>
  <si>
    <t>Phạm Xuân Duy</t>
  </si>
  <si>
    <t>2_ABaOnuc8ceYDsHsmAWg_woJjF-D3TPb3Os1upny20H0A0pABbmGI_Ov8gw_AHabMqg</t>
  </si>
  <si>
    <t>Nguyễn Thị Trà My</t>
  </si>
  <si>
    <t>Công ty TNHH kiểm toán I.T.O</t>
  </si>
  <si>
    <t>2_ABaOnucXXwWCs8k6mcYcJd57gJsq-AqLFRVqwD2_ATm5X5Sme1om0D6qu4yyN5GZww</t>
  </si>
  <si>
    <t>Nguyễn Ngọc Thùy Dung</t>
  </si>
  <si>
    <t>2_ABaOnudfU3PNDx45YJxtQ7oeqmM80D_zcYGyr_M7XBXyvRSssKEGWiXNRlBd_rm7QQ</t>
  </si>
  <si>
    <t xml:space="preserve">Nguyễn Trịnh Hoài Thư </t>
  </si>
  <si>
    <t>Công ty TNHH Kiểm Toán AFC</t>
  </si>
  <si>
    <t>2_ABaOnueO95EMb31VbGRMuadrDBh4wZOc_5Ueit2NYRXr3JFPimm59jR_kJnu5ZIGhg</t>
  </si>
  <si>
    <t>Nhật Huy</t>
  </si>
  <si>
    <t>AFC Việt Nam</t>
  </si>
  <si>
    <t>2_ABaOnufYcz0AqZOKWOzZV5yJtuqVuoF21OyxQ9Ua-p4J9uXpsX1DGEgsNogHKaS_KA</t>
  </si>
  <si>
    <t>Nguyễn Lê Ngọc Ái</t>
  </si>
  <si>
    <t>2_ABaOnuf2s6e_JMvdHxbni_ldA8qqlJlF1kC6W3mwnMlD00EG5ON1vtO3FjPSoiI8ig</t>
  </si>
  <si>
    <t>Trần Văn Quân</t>
  </si>
  <si>
    <t>2_ABaOnucfEIQvCcesXbmB2OFb5LJIF8CbHwYuMQ5V309-94FHA8LRCZJtNXjUP045YA</t>
  </si>
  <si>
    <t>Nguyễn Hữu Nghi</t>
  </si>
  <si>
    <t>Công ty TNHH Kiểm toán và Tư vấn A&amp;C - Chi nhánh Cần Thơ</t>
  </si>
  <si>
    <t>2_ABaOnucbWPDPZfVC0RJcvTc7pij321C9BXzBDatv3Np9v96B0komf-2u2mBviBJ8eg</t>
  </si>
  <si>
    <t>Võ Văn Lễ</t>
  </si>
  <si>
    <t>2_ABaOnuf2ZqkzcbQypGSg4WJcli-1b62ps-Xbiv6mxQcW4kks9JdWqnfRLCMmmOlU-g</t>
  </si>
  <si>
    <t>Nguyễn Thị Ngọc Dung</t>
  </si>
  <si>
    <t>2_ABaOnuewUN5OU20ggRt8leEryojaV106C7aQe-n-czchKUzht1XBdyT_LX27riDWlw</t>
  </si>
  <si>
    <t>Trần Đức Duy</t>
  </si>
  <si>
    <t>2_ABaOnufFzf2rxQNBi6krZxGfdG-_xG-xSMfySqdgLjRoh1lqUeblAVXVH8uanpJKOg</t>
  </si>
  <si>
    <t>Trần Thị Lành</t>
  </si>
  <si>
    <t>Công ty TNHH Kiểm toán và Tư vấn Việt Nam</t>
  </si>
  <si>
    <t>2_ABaOnuce8fPmajMbzKwaK8LzJ1yy0pab-SXEvFeCmvLlGp_WUrvGJQaHZDJDLPlwgg</t>
  </si>
  <si>
    <t>Nguyễn Thành Việt</t>
  </si>
  <si>
    <t>Công ty Kiểm toán I.T.O</t>
  </si>
  <si>
    <t>2_ABaOnudaVjG5Fr9L4rt8V6gBeL-u3ImGkiPqiRyX2poN-9XRZOJgdmmUMF7q40ioGw</t>
  </si>
  <si>
    <t>Trịnh Hồng Khánh</t>
  </si>
  <si>
    <t>2_ABaOnufQwxuGTBQZ_YU-NWnFhMHli7LnbUvg2wF1KFBcJhGoj2pgl6GmWYam8MoC5Q</t>
  </si>
  <si>
    <t>Đào Thị Thu Huyền</t>
  </si>
  <si>
    <t>2_ABaOnuez_FqABTYkUXjUMgBeeRMffd1mHlNhnFNFbP4fqbVAEM3DDrFlITd8xnwbRw</t>
  </si>
  <si>
    <t>Nguyễn Thị Phương Anh</t>
  </si>
  <si>
    <t>2_ABaOnufmH9HtjTktwfrop1Ys25IX-nAAdeSb4ZeQsZkOLrZzzyYUTAJ0kNSS9x-RIA</t>
  </si>
  <si>
    <t>Lê Thị Huyền Trang</t>
  </si>
  <si>
    <t>2_ABaOnucGFIuC2oJUcBM-0X0dLbNAF24SxYtMjTPuxJXRQiaDqnzyxXCaOJxHldJyVw</t>
  </si>
  <si>
    <t>TRẦN NGUYỄN PHÚC GIA</t>
  </si>
  <si>
    <t>CÔNG TY TNHH KIỂM TOÁN DFK VIỆT NAM</t>
  </si>
  <si>
    <t>2_ABaOnucUnBFBhOhyBsBhYWPtBTb35F8gkZ8Lx4PQ8BsCzUN_A_2Nxdc1E5-kYNwx0Q</t>
  </si>
  <si>
    <t>Hoàng Gia</t>
  </si>
  <si>
    <t>2_ABaOnufW5dnieuD5gzGcbWlDfJjm73Y7LNl7KCJmiXqFRMBsznHgMGtwNJRgBcmVNg</t>
  </si>
  <si>
    <t>Nguyễn Trí Luật</t>
  </si>
  <si>
    <t>Kiểm toán MOORE AISC</t>
  </si>
  <si>
    <t>2_ABaOnufgq5aEynvSUutougHaeXkq867agdzcmPyvMpgdST8Yx0XDLNK56nO0kjmaUQ</t>
  </si>
  <si>
    <t>Trần Văn Sâm</t>
  </si>
  <si>
    <t>Công ty TNHH Kiểm Toán DFK Việt Nam</t>
  </si>
  <si>
    <t>2_ABaOnudukx-f59PlkQ_6249HQD2IOEyUcXal4SB0NoYn4sTuKDAFrgGvxH5pA9CHhA</t>
  </si>
  <si>
    <t>Nguyễn Thị Thùy Ngân</t>
  </si>
  <si>
    <t>2_ABaOnufmzWwDlecrezw1FSOgGijAvZTJQd_e0KoDIigQBeDQ_5naCWqjONPeWINmXg</t>
  </si>
  <si>
    <t>Nguyễn Thị Tuyết Xuân</t>
  </si>
  <si>
    <t>Chi nhánh Công ty TNHH Kiểm toán và Tư vấn Chuẩn Việt</t>
  </si>
  <si>
    <t>2_ABaOnudVf1WqnT5AZm_zCnbm29iC3Hp_zMRRJAtofPOh-nM2Dbb7SmgWq49lSDXyNA</t>
  </si>
  <si>
    <t>Nguyễn Ngọc Tú Anh</t>
  </si>
  <si>
    <t>CÔNG TY TNHH KIỂM TOÁN VÀ TƯ VẤN A&amp;C – CHI NHÁNH TÂY NAM BỘ</t>
  </si>
  <si>
    <t>2_ABaOnuf0MlrmlEpHOXfohsbbuXDMIrHUxUI7pl0j2LQOAaxBOyIlwjU_wkMkwrqyUQ</t>
  </si>
  <si>
    <t>Nguyễn Hoàng Thanh Thảo</t>
  </si>
  <si>
    <t>CHI NHÁNH CÔNG TY TNHH KIỂM TOÁN VÀ TƯ VẤN CHUẨN VIỆT</t>
  </si>
  <si>
    <t>2_ABaOnudqhMlFsL7lIMWSnHL6E2S5zQ_58efo7bioiyb8mc-ZTZVn0j6zxx8uRVE4jg</t>
  </si>
  <si>
    <t>Nguyễn Giàu Sang</t>
  </si>
  <si>
    <t>2_ABaOnuc7hEl-Cqdwgcr_d1DtNdjAHSEmK8jlBJoJefJ5TcbbXqyrR4uzcc1aj3l_ig</t>
  </si>
  <si>
    <t>Thân Trọng Hoàng</t>
  </si>
  <si>
    <t>2_ABaOnudRaaa9IVdY3gt0h08KNkSanoKFWW5rdWdDkqBejJ6eyfj28UOTLQbqz_dfSQ</t>
  </si>
  <si>
    <t>Nguyễn Thanh Thảo Ly</t>
  </si>
  <si>
    <t>2_ABaOnucDvBwFvDVv_JwFYIPUHj35ynQPeknKIfwaIv9wOUzJhMC8zL-qryqpfSzXaA</t>
  </si>
  <si>
    <t>Diệp Mẫn</t>
  </si>
  <si>
    <t>2_ABaOnudmGJ2t2hP6UPbQAQi2gSJTVtgV4nWGJw5-eeYg4nIIxiZIBm2-v7NItHYpQw</t>
  </si>
  <si>
    <t>2_ABaOnufLFttHUvAA8TpUlBsy8MB6o2cA-8LEuWQ6f-VoAvrfo4rNYJvNGIz0RCF70Q</t>
  </si>
  <si>
    <t>CHÂUO</t>
  </si>
  <si>
    <t>KNIGHT FRANK VIETNAM</t>
  </si>
  <si>
    <t>2_ABaOnueLS5FNdJ4cqgIOW_p7oatCLFBlcuPlqEvSv4hyWpxWj52FLwgjroRuetAQzg</t>
  </si>
  <si>
    <t>Nguyễn Thị Phượng Anh</t>
  </si>
  <si>
    <t>CÔNG TY TNHH KIỂM TOÁN SG-GN</t>
  </si>
  <si>
    <t>2_ABaOnudggPCeqad4ZK_vlCaIGdIRR_CemQNAdqZ853UFprSOHSfK2GWgDe4DciECgA</t>
  </si>
  <si>
    <t>Trương Thị Ngọc Nhã</t>
  </si>
  <si>
    <t>Cty TNHH kiểm toán tư vấn sáng lập á châu</t>
  </si>
  <si>
    <t>2_ABaOnudecEAZt3l2HMuyZG3Khw7HO3l4X8xVLSGI-Z7s87CKwJ4AnbyBTPNNLbHUOQ</t>
  </si>
  <si>
    <t>Huỳnh Thị Kim Xuyến</t>
  </si>
  <si>
    <t>Cty TNHH Kiểm Toán Tư Vấn Sáng Lập Á Châu</t>
  </si>
  <si>
    <t>2_ABaOnueVqNDggpvcT69sVVlDDeQASz-oIcq8oJ3eALku6D7i2BW9QrQuCA25Z3UQhg</t>
  </si>
  <si>
    <t>Trần Thị Thảo Ly</t>
  </si>
  <si>
    <t>Công ty TNHH kiểm toán tư vấn sáng lập Á Châu</t>
  </si>
  <si>
    <t>2_ABaOnufmAW83-bF71z0NzYksjV2YNWKjAsK5Fz6cPuuaxkItN6fDPen_V8LN9sk5qw</t>
  </si>
  <si>
    <t xml:space="preserve">Phạm Quỳnh Anh </t>
  </si>
  <si>
    <t xml:space="preserve">Công ty TNHH Kiểm toán tư vấn sáng lập Á Châu </t>
  </si>
  <si>
    <t>2_ABaOnudipEFllMRWiBsNyVWbNaPwszaFLRS_iXw73B0KLJcO9Og5a2sRwPvQxm5FjA</t>
  </si>
  <si>
    <t>NGUYỄN HỒNG TRÂM</t>
  </si>
  <si>
    <t>CÔNG TY TNHH KIỂM TOÁN SG-VN</t>
  </si>
  <si>
    <t>2_ABaOnudKMXRkdarDVJBjW_L9pEZ-EILs6T33CNURikezejCLMZ4JTwPMFS4CPLnzsQ</t>
  </si>
  <si>
    <t>Hoàng thị hoa</t>
  </si>
  <si>
    <t>Cty tnhh kiểm toán tưvvaans sáng lập Á Châu</t>
  </si>
  <si>
    <t>2_ABaOnuf8SMGlzcMhzPdlvc0jUW9V5O8Tfa4zL5wD87axUq8FmY9xg1JQQhFOlB5HkA</t>
  </si>
  <si>
    <t>Lý Văn Phát</t>
  </si>
  <si>
    <t>công ty trách nhiệm hữu hạn tư vấn kiểm toán sáng lập á châu</t>
  </si>
  <si>
    <t>2_ABaOnuef7VoJeUrVMwlD-vbliphrDgebVzMONIUsnt08pfsRQPUKH9NnhbHDLsIgyw</t>
  </si>
  <si>
    <t xml:space="preserve">Trần minh quốc </t>
  </si>
  <si>
    <t>2_ABaOnufSLC4RuwKq8cKyKrQt5kajqmggPdeF32g-mi1XM6ShWzAioW9qmbR6eUhzjA</t>
  </si>
  <si>
    <t>Nguyễn Thị Minh Anh</t>
  </si>
  <si>
    <t>2_ABaOnufQrWGg5oNW--E64j0ZxxwNOcch5DAh5mdUgpnXKoJk1kf6KydbbhcNGOruoQ</t>
  </si>
  <si>
    <t>Phạm Trường Giang</t>
  </si>
  <si>
    <t>Công ty TNHH Kiểm toán BDO</t>
  </si>
  <si>
    <t>2_ABaOnucUEZ2q3JyQTIRC_7K16Z-LznaCzza_BgDPieuB2CiJZX91FZ5bzYnTsE0OVw</t>
  </si>
  <si>
    <t>2_ABaOnuciMApyeHd0OQsDWh4P0ONL1WGL4US31-CGtNNaZf7Bsqw7SR5_aVDw4PvXiA</t>
  </si>
  <si>
    <t>THÁI ÁNH Nhung</t>
  </si>
  <si>
    <t>Công ty TNHH Kiểm toán &amp; Kế toán AAC</t>
  </si>
  <si>
    <t>2_ABaOnucNtQVBC9oOl2HgzDtPH1cUpWZHOVc8MovdeZFx6zkGkYtQnLMASqfkhR7cAQ</t>
  </si>
  <si>
    <t>Đinh Thị Ngọc Thùy</t>
  </si>
  <si>
    <t>2_ABaOnueztdKG_lIcLhOh6RDQZ9NfEOi6XEY1NFr64NFcLQmShexdNSsY55ttRZbQ2w</t>
  </si>
  <si>
    <t>Nguyễn Quang Huy</t>
  </si>
  <si>
    <t>Công ty TNHH Kiểm toán AS</t>
  </si>
  <si>
    <t>2_ABaOnueY3lMvvSlH7Kh634YkSU3yJaJfiE4db6O1JO5CSYAVcI9vYYc0Aia_w2mdxA</t>
  </si>
  <si>
    <t>Nguyễn Đoàn Nhật Hạ</t>
  </si>
  <si>
    <t>2_ABaOnuccSTO0IM7xBW6vFJfOQnz6tokJp-G_MGcdQUZ2Gg0HK9Hy856xZGMSWqe6Zg</t>
  </si>
  <si>
    <t>Nguyễn Thuý Vân Quỳnh</t>
  </si>
  <si>
    <t>2_ABaOnucoJxAgOU4kDxaIAsz3DcJ6iElxTZl5IwFlkpajP4_odzjUgeizqPNbzfuAtA</t>
  </si>
  <si>
    <t>Lê Nguyễn Nhật Hào</t>
  </si>
  <si>
    <t>2_ABaOnufmNsk3VuRZ3tZwe531kZ4cOBisf_K3bCAHGFmIvMUFm_vSJ1i0Be2lhSvnfg</t>
  </si>
  <si>
    <t>Trương Nhật Hồng</t>
  </si>
  <si>
    <t>Công ty kiểm toán As</t>
  </si>
  <si>
    <t>2_ABaOnuf1C4oQ8HoMxYFN281hN92o8mJ3IfM7hQOCWzwhYoOKsffBJ8gVKwoiN9l4Cg</t>
  </si>
  <si>
    <t>Trần Thị Thảo</t>
  </si>
  <si>
    <t>2_ABaOnuduZOLkovZqbsPI9_Co2TKWVimhKh8rXCN8rHHrX_bzPxTcIKjgyV2ehhlwMw</t>
  </si>
  <si>
    <t>Lê ĐÌnh Khang</t>
  </si>
  <si>
    <t xml:space="preserve">Công ty TNHH Nexia STT </t>
  </si>
  <si>
    <t>2_ABaOnucZO-uw1NB878ykvR2rYpcAT-pOVAn0sr-sz9R6TbJ9vFMK4xMQ7gDwoSR1mg</t>
  </si>
  <si>
    <t>Nexia STT</t>
  </si>
  <si>
    <t>2_ABaOnucznX7wqgBtDq2y-eiAsZ9IiPPsAMW0kJr-s9KyLS3pWfYo5P9arKSIuYn6-Q</t>
  </si>
  <si>
    <t>Trần Thùy Linh</t>
  </si>
  <si>
    <t>2_ABaOnudmuCKavSLXe8_k2uyiIa7JXgxxBH5mdvnQ7VvLJtjPqTU95byWXaghJkjMyg</t>
  </si>
  <si>
    <t>Nguyễn Thị Hải Nga</t>
  </si>
  <si>
    <t>Công ty KTC</t>
  </si>
  <si>
    <t>2_ABaOnufK9tm-ip__mC-MmWZw8ScSM-Jda_OigXNT6LkHsE_lWfeRJymLp9crgizTCw</t>
  </si>
  <si>
    <t>Nguyễn Thị Thanh Vân</t>
  </si>
  <si>
    <t>2_ABaOnueFw_EhznaHu_nv29gzOK4XOTb9Xj4TIWHiZOa6XZG31d5QcVukNO_C_uJbWA</t>
  </si>
  <si>
    <t>Trần Anh Thư</t>
  </si>
  <si>
    <t>Chi nhánh Hồ Chí Minh - Công ty TNHH Kiểm toán KTC</t>
  </si>
  <si>
    <t>2_ABaOnucZdxGZXPxjqZI8C9Zntk50-3YJOzaQE9FhltzwKicxKT1EVfnT1TyFcoRzJg</t>
  </si>
  <si>
    <t>2_ABaOnucyBknW7WYWAmUce_V5yD0i9i3kI0IMIqYa5kFkwPU9WJVg1lclaSkaAefcow</t>
  </si>
  <si>
    <t>Công ty TNHH Kiểm toán KTC - CN TP. HCM</t>
  </si>
  <si>
    <t>2_ABaOnufdh5uEK306utqfkoTRyQJWTcCUAPGiEQ_WdhOIx3Zn2Xp0d0ci0YQoFULiDA</t>
  </si>
  <si>
    <t>Vũ Thị Thanh Tâm</t>
  </si>
  <si>
    <t>Công ty kiểm toán KTC</t>
  </si>
  <si>
    <t>2_ABaOnueRSYjBref_ZMiM-RmBx88D2_x7eWxX3uq6kCSxZ4JqzD-P7C7hVR38t1dY-w</t>
  </si>
  <si>
    <t>Hoàng Thủy Tiên</t>
  </si>
  <si>
    <t xml:space="preserve">Công ty TNHH Kiểm toán AVN Việt Nam </t>
  </si>
  <si>
    <t>2_ABaOnudfj1_-vIBuMT8jo5HTVljRF1QUq4mjRCc1YkqIAQZgDKinKGPGZuNlQyTvRg</t>
  </si>
  <si>
    <t>Trịnh Hồng Cơ</t>
  </si>
  <si>
    <t>2_ABaOnufQSwHhGgutlCTL1fBbGWuTt0mbTQkosYsxqs5SsqStc75RSoa3SeCpYMLa0Q</t>
  </si>
  <si>
    <t>Trần Võ Thanh Sang</t>
  </si>
  <si>
    <t>Công ty TNHH Parker Russell Việt Nam</t>
  </si>
  <si>
    <t>2_ABaOnucgsOo2WjbS49zeYT9SlnqI1EjK0F26WcqqpPDofrimuRsrCjQcI59mXGVl1A</t>
  </si>
  <si>
    <t>NGUYỄN THANH VŨ</t>
  </si>
  <si>
    <t>CÔNG TY TNHH KIỂM TOÁN AS</t>
  </si>
  <si>
    <t>2_ABaOnuf4tgTnzyjSw4y9CUg-V58broQB9XinXXas9xtEKvPpkQrd_LEaeHprnMQTqw</t>
  </si>
  <si>
    <t>Trần Lê Kiều Anh</t>
  </si>
  <si>
    <t>2_ABaOnudh4RDVG1vCpZPa-WqBr76PuIk4nb2Re-zREiEv8xPNQIprzwF8hFgRlVoLPw</t>
  </si>
  <si>
    <t>TRẦN VĂN QUÂN</t>
  </si>
  <si>
    <t>2_ABaOnue6OeCXsMeGHJk_FgNaDIkd9Q8BFTfdMf1Ii2xd60VnwJtxR0CE4FYotTUVDg</t>
  </si>
  <si>
    <t>BÙI DUY PHƯƠNG THANH</t>
  </si>
  <si>
    <t>2_ABaOnudIZe6f8bQ1XU-jJXyLc02WZh3PO-WnYGX6xsLQAmBnzK3OzE88p_DNnwY5ow</t>
  </si>
  <si>
    <t>Mai Thị Tâm</t>
  </si>
  <si>
    <t>2_ABaOnue2HABtx0WRQtA7xlCXViz1CSUETEmCfnPoW9G25tiWzuwuJp4sRAjUEoyvBg</t>
  </si>
  <si>
    <t>Đinh Thị Ngọc Anh</t>
  </si>
  <si>
    <t>2_ABaOnud8sXjMTLlvtM42E34qpPXrleR7qiTHoD0hOhMfiCfiRagJ-1xJWWy_lUNrVw</t>
  </si>
  <si>
    <t>Lê Anh Tiên</t>
  </si>
  <si>
    <t>2_ABaOnudbyOXN5MXY5BfuGdeRnlKv8ruZ8arWbk3yWjakKuKPn8fV89G7y_WmncxywQ</t>
  </si>
  <si>
    <t>Trần Duy Dân</t>
  </si>
  <si>
    <t>Công ty TNHH Grant Thornton (Việt Nam)</t>
  </si>
  <si>
    <t>2_ABaOnud6RTAPF3iMUB4uY0LQsXFZcnXb-Oq-C6BEY4Cl9wS5nM2t87Qgjk5ZLja3iA</t>
  </si>
  <si>
    <t>Nguyễn Địch Dũng</t>
  </si>
  <si>
    <t>Grant Thornton Việt Nam</t>
  </si>
  <si>
    <t>2_ABaOnuc_r0IZg5KiApdS6XT7t6LDBzniozfcLPTOmm-NEzoNiGF-d0UJwmBsXVKJzg</t>
  </si>
  <si>
    <t>Nguyễn Văn Tuân</t>
  </si>
  <si>
    <t>Công ty TNHH kiểm toán Crowe Việt Nam</t>
  </si>
  <si>
    <t>2_ABaOnuclFzlD0bi3qO3re-Zsfq0hYrusmyFiDI2-34xfmN5eBI7kGuoMiYe_jRFriw</t>
  </si>
  <si>
    <t>Nguyễn Trung Đức</t>
  </si>
  <si>
    <t>2_ABaOnuesH_uKuzatCs6sIxyFIbgnPAzYiKlMChqGalx5z9MuO60YMWodETgCf2d23Q</t>
  </si>
  <si>
    <t>Phạm Mạnh Tuấn</t>
  </si>
  <si>
    <t>Crowe Vietnam</t>
  </si>
  <si>
    <t>2_ABaOnuefQplRP1WG8nV3Jh1Q0ICu29SPTfAjTWuFY6QDqsPALazHdgyEluBFQ1ijaQ</t>
  </si>
  <si>
    <t xml:space="preserve">Nguyễn Trần Minh Uyên </t>
  </si>
  <si>
    <t>2_ABaOnufPee2hWDnGITvr4tLCpNkh1g3MjM33jkkysdHIEQEFq-bM_p-nicv1lqpx8Q</t>
  </si>
  <si>
    <t>Nguyễn Thị Hương</t>
  </si>
  <si>
    <t>Chứng chỉ Kiểm toán viên, ACCA</t>
  </si>
  <si>
    <t>2_ABaOnufiY9V_a0Y-0oblmAaSnQa0fgZgN1_S9L9ONUvaSFLbYnr5XLVIjQqmZ8hQIA</t>
  </si>
  <si>
    <t>Nguyễn Văn Chương</t>
  </si>
  <si>
    <t>2_ABaOnueaj9jX9_S4p9Ls6VKwaP557zAJuJ_QwuH4yGeEupfLFMS2CtwhmoSMWOZTWw</t>
  </si>
  <si>
    <t>Lê Tiến Thành</t>
  </si>
  <si>
    <t>Công ty TNHH Kiểm toán Quốc tế PNT</t>
  </si>
  <si>
    <t>2_ABaOnudkKTdyZTLB1oX0xueY1fsbuzSm-nfxBN9UHlyf1MT6vPZI2b2nawNgB7E7Fg</t>
  </si>
  <si>
    <t>Hoàng Khánh Linh</t>
  </si>
  <si>
    <t>2_ABaOnud6tPRYXHVIOnG01LrPqCweKFfrGTOWRIpNsNv5JEB26hn3sbboEjPZKsSXrQ</t>
  </si>
  <si>
    <t>Phạm Thị Minh Thu</t>
  </si>
  <si>
    <t>2_ABaOnuctB6MGnfnivUt5PsPuFNqxieJpfPOMrrqK6GfEeQvTpIQ5Bj-VIwBp8OjNgA</t>
  </si>
  <si>
    <t>Nguyễn Quế Anh</t>
  </si>
  <si>
    <t>Công ty Kiểm toán PNT</t>
  </si>
  <si>
    <t>2_ABaOnufTb0fNV0ZPji5z61ynmpPE3TPD3ILMAY75w8u55_Fahm3LgT1urtK0bA19eg</t>
  </si>
  <si>
    <t>Trần Anh Văn</t>
  </si>
  <si>
    <t>Grant Thornton</t>
  </si>
  <si>
    <t>2_ABaOnueaSfiY9135AribLX3QtfFQxEfxvyenXje-Z4AxBoKtMx-SMn8QGaCfb7sTPg</t>
  </si>
  <si>
    <t>Lê Khắc Toàn</t>
  </si>
  <si>
    <t>2_ABaOnuf8qvbem50f6kku92OgAh17AqnDKnQ8WSEXvpYI7fRQA34vpIdSEzSNcbf4Fg</t>
  </si>
  <si>
    <t>Cao Thị Hồng Nga</t>
  </si>
  <si>
    <t>Kiểm toán NVA</t>
  </si>
  <si>
    <t>2_ABaOnudNFkLU2YT34xJXurre5AyhdZAfK-cB0tvZQ4ffgbZkog9lq-pJOjuBB0Hvfw</t>
  </si>
  <si>
    <t>Nguyễn Thị Ngọc Nga</t>
  </si>
  <si>
    <t>Công ty TNHH Kiểm toán CHUẨN VIỆT</t>
  </si>
  <si>
    <t>2_ABaOnufCwbzvLV-e_L_G2RE6l4RGx6Q1Yx8hfPAz3zkX5VxaAK-C2O4aw6vu64hRoA</t>
  </si>
  <si>
    <t>Hoàng Thị Liên</t>
  </si>
  <si>
    <t>Grant Thornton Vietnam</t>
  </si>
  <si>
    <t>2_ABaOnuf5YsaqOjMPA-z8FtZ-Jczon3Lpmdy0tvRGWLj8AVMiohdFT0F-LmudV5-0wg</t>
  </si>
  <si>
    <t>Lê Quảng Hòa</t>
  </si>
  <si>
    <t>2_ABaOnuf79l40f0TG4q-fWxPivlMnpEe8jcPRnmBSbj_4SgD8fUkKX-2ib06gokzCWg</t>
  </si>
  <si>
    <t>Lưu Huy Hoàng</t>
  </si>
  <si>
    <t>2_ABaOnufJ-kEyaVWPMlPbUxPW80CG6caJ1B2pVqSm7gwDlx8KsvbB2j-ItkCipq_FLQ</t>
  </si>
  <si>
    <t>Lê Minh Ngọc</t>
  </si>
  <si>
    <t>2_ABaOnudUby3sjEBnd2yM2s8W_HDzB1RVQ06vzQO9h0I4YV00T8vknLCQmjbQXWGTyw</t>
  </si>
  <si>
    <t>Thuý Quỳnh</t>
  </si>
  <si>
    <t>Công ty TNHH Nexia STT</t>
  </si>
  <si>
    <t>2_ABaOnue918EYuWCZrWIOO2hhj8gWNs3L4q7Ppv9I2GJ16xd3tEIF3NoSQCFMTvnFxw</t>
  </si>
  <si>
    <t>Đoàn Hà Anh</t>
  </si>
  <si>
    <t>2_ABaOnucfCMHBBrbmqUqpFa5GEoWgeXse8bdY7TySmpZZrryFOqX6tanSOXSqx4SAAA</t>
  </si>
  <si>
    <t>Dỗ Lê Gia Hân</t>
  </si>
  <si>
    <t>Thành phố Hồ Chí Minh</t>
  </si>
  <si>
    <t>2_ABaOnufqYP-tRhCFjVt1lUNEGP2A_gSRVZCUW4ZSvCpvSrlaYv77FQSFr36bc5TNSQ</t>
  </si>
  <si>
    <t>Trần Hoàng Nhi</t>
  </si>
  <si>
    <t>Công Ty TNHH Kế Toán IASS</t>
  </si>
  <si>
    <t>2_ABaOnucHJRAz23q6eabtRDl688hntyg-pzvcakq91A5IdMO2eNYe7Bah5iC8kss6dQ</t>
  </si>
  <si>
    <t>Nguyễn Ngọc Hân</t>
  </si>
  <si>
    <t>2_ABaOnud_jTSKZML68vcVFtTbnQfk_uFoZKG54JfwElB-TDVqo_Fht4hmX5dBPmNDcg</t>
  </si>
  <si>
    <t>Phạm Thị Thu Hà</t>
  </si>
  <si>
    <t>2_ABaOnuecps7flrtik3QB928UfB6HhebOGNq4AnQZabQr-AUlDg6KPd61G7FDLenrZQ</t>
  </si>
  <si>
    <t>Lữ Thị Trúc Phương</t>
  </si>
  <si>
    <t>2_ABaOnue7CRHZZstcoh9bTqeFyQt6EQFZx5azMTEv0x7sLmcVpbfRW-AVC07SLTxYhA</t>
  </si>
  <si>
    <t>Chành Thị Thúy Vy</t>
  </si>
  <si>
    <t>2_ABaOnue35h1Oq0NGwk5PrAIA7hwVJhOKCSE-gvDn0_06Z3ip82g-5EisXRr0fiBvZA</t>
  </si>
  <si>
    <t>Trần Nhựt Duy</t>
  </si>
  <si>
    <t>Công ty TNHH Kiểm toán AFC Việt Nam-CN Cần Thơ</t>
  </si>
  <si>
    <t>2_ABaOnueYyPW8Ju6BVI-vp_vq_-qFTLYk1Gqq4Ndz_SM3OVwWEbThjpWMIQq7zEY1KA</t>
  </si>
  <si>
    <t>LÂM HOÀI NHÂN</t>
  </si>
  <si>
    <t>CÔNG TY TNHH KIỂM TOÁN AFC VIỆT NAM - CHI NHÁNH CẦN THƠ</t>
  </si>
  <si>
    <t>2_ABaOnueRKm3rrs0C05mTN7AP3FPwC5kWNMlXcIDFzBoYaCBr2Tqo-ZuJFxokyK7LXQ</t>
  </si>
  <si>
    <t>2_ABaOnuc6jm_xjaEqBpl6WqyUZSOZ3xaeatzewu1k3JgNf48WfJpFenR4OxnipNsR_w</t>
  </si>
  <si>
    <t>Lê Thị Hương Giang</t>
  </si>
  <si>
    <t>IAV</t>
  </si>
  <si>
    <t>2_ABaOnucIZ4jDDwFKIb5iEEzidhIqGxMAtZ3nDBwqoOGivuEoM-wJ66R7AqohMwlDIw</t>
  </si>
  <si>
    <t>Phan Anh Duy</t>
  </si>
  <si>
    <t>Công ty TnHH Kiểm toán AFC Việt Nam-CN Cần Thơ</t>
  </si>
  <si>
    <t>2_ABaOnucvyKlY3k4ihxwVirzjRJ7H7eoFQT-dx_2ZFqtU7hv62HolSdF5TcIECBzVGQ</t>
  </si>
  <si>
    <t>Phạm Kim Ngân</t>
  </si>
  <si>
    <t>2_ABaOnufTKf7GMtPJz-OrAgUepRmoAB-I2MVZNtEb5wWLpjk1t9blBiMLVQ7Loo2Uuw</t>
  </si>
  <si>
    <t>Linh</t>
  </si>
  <si>
    <t>Công ty TNHH Kiểm toán Quốc Tế - Chi nhánh Sài Gòn</t>
  </si>
  <si>
    <t>2_ABaOnudq0L_Nd91iiAAVXy9aOD8wGuWVrPrOeTLYm-F6fRs9XCdxoD24eCkEqCR6tQ</t>
  </si>
  <si>
    <t>Đặng Hữu Việt</t>
  </si>
  <si>
    <t>2_ABaOnucpkhg2HQysTOKpMTOCRpQDPhJYIDuqBaWJbGcVQWAH3U1nrjmH05KzX-mxNA</t>
  </si>
  <si>
    <t>Nhi Phạm</t>
  </si>
  <si>
    <t>Công ty kế toán Quốc tế</t>
  </si>
  <si>
    <t>2_ABaOnue1AX6wugWjqBnAKHBavYvU8I3gtFUGgZAP5kP8iawKoXNqi7PXqG6SXgSfXw</t>
  </si>
  <si>
    <t>Nguyễn Thị Thùy Uyển</t>
  </si>
  <si>
    <t>Công ty TNHH Kiểm toán U&amp;I</t>
  </si>
  <si>
    <t>2_ABaOnudBEfL0hTsAruygt-61p35C78821DcLHfC9VvbkKwJjuTBP8fX6KyBCWNkfWw</t>
  </si>
  <si>
    <t>Phạm thị thanh phước</t>
  </si>
  <si>
    <t>Công ty tnhh kiểm toán CPA</t>
  </si>
  <si>
    <t>2_ABaOnufvPofGhNLX47_vFOXoX7BmBiuWT7ClWhOlP1KLu6PnBvUx5TsAUX7USRuI1w</t>
  </si>
  <si>
    <t>Phạm Thị Mỹ Linh</t>
  </si>
  <si>
    <t>2_ABaOnufysT3lqf5Lj_ltueig0H7jDGcPS3qWPo1ZAkI1bLTw5OoI5trbFXEeiAgrTQ</t>
  </si>
  <si>
    <t>Bùi Thị Thanh Tuyền</t>
  </si>
  <si>
    <t>Đại học, Sau đại học</t>
  </si>
  <si>
    <t>2_ABaOnucNcYNWs4IPPkrkb4qWZSkrna9iCPmaIUMEqMPqcA9j0IJgtBB64WCblYwgCg</t>
  </si>
  <si>
    <t>NGUYỄN THỊ THÙY LINH</t>
  </si>
  <si>
    <t>CÔNG TY TNHH KIỂM TOÁN U&amp;I</t>
  </si>
  <si>
    <t>2_ABaOnuflnqiAbEsVlajlj3MahuL-H4DAe3pAUcf1s__dgzUFddmPZY7XINNM7JN8Bw</t>
  </si>
  <si>
    <t>Nguyễn Thị Cẩm Tú</t>
  </si>
  <si>
    <t>2_ABaOnudSVDBKCSmnhXN0XzhVD-TDBVYP93DBBa-OMI4HuUMi7mzuZ9IwMxV8tnJIOg</t>
  </si>
  <si>
    <t>Nguyễn Thị Hồng Quyên</t>
  </si>
  <si>
    <t>2_ABaOnuffpPbQLTKPaWrTzQYLWNqG-1mouBmH1tVS9x8SS4shmSwDkRwcmHZu4V-_JQ</t>
  </si>
  <si>
    <t>Hà Văn Huy</t>
  </si>
  <si>
    <t>2_ABaOnuckC40G_iSdNXlaCng0MY-8g9t4d9NebCtb4EvG0XZP0w0pduD20CR5RHOqqw</t>
  </si>
  <si>
    <t>Trương Quỳnh Mai</t>
  </si>
  <si>
    <t>Công ty TNHH Kiểm Toán CPA</t>
  </si>
  <si>
    <t>2_ABaOnuf_HCtJq16zWlqWUGsrc6p5gkFvWOY731rDJPuobu-D9mJuTOEi9hWURf9O5w</t>
  </si>
  <si>
    <t>Nguyễn Thị Tuyết Diệu</t>
  </si>
  <si>
    <t>2_ABaOnue6qDfYgD1fVLZ0YpwYl7f0ZN-VPYj1qmLZMPlkTGRN3a4PRAoaAluxdqKchQ</t>
  </si>
  <si>
    <t>Lê Văn Giáp</t>
  </si>
  <si>
    <t>2_ABaOnucHcHvqjSuWuNXqqBVO87TvuzJQ-OaA90MYhfCJzji2iAsF7w7HgDSM1pUw9Q</t>
  </si>
  <si>
    <t>Nguyễn THị Diệu</t>
  </si>
  <si>
    <t>2_ABaOnufFgDeuOcY6GTO_GBI7DJ91AguhXmrMszqT7JVwqQXqLQ6VEgiviuSjNH3hyw</t>
  </si>
  <si>
    <t>Trương Nguyễn Anh Phương</t>
  </si>
  <si>
    <t>Kiểm toán UI</t>
  </si>
  <si>
    <t>2_ABaOnucDXjCTBqoxc3iLyQ-ZsU56hLkIappDnk8CSwMwXKXB_sdTr0IvyMIuT0egXw</t>
  </si>
  <si>
    <t>Ngô Lê Đăng Khoa</t>
  </si>
  <si>
    <t>Kiểm toán U&amp;I</t>
  </si>
  <si>
    <t>2_ABaOnudw__1wigM79SiINEzvqfIccZNXypCbVodBDsA705Mxb8Jwg1HKCeB7t4yZbw</t>
  </si>
  <si>
    <t>Tạ Thị Minh Hòa</t>
  </si>
  <si>
    <t>Công ty TNHH kiểm toán U&amp;I</t>
  </si>
  <si>
    <t>2_ABaOnuecomaMOvFfHS70Q4Api7HoCdYZmw9gp2tDDJV1S7_Cn9evFTXsXNJlFukzlQ</t>
  </si>
  <si>
    <t>Phạm Minh Tân</t>
  </si>
  <si>
    <t>2_ABaOnuci1JL6-K-xnl5lEbrBCMWRGsqY6A2N53EGGOPt1mjvUoCIzKWdIrBZCubZvQ</t>
  </si>
  <si>
    <t>Âu Thùy Linh</t>
  </si>
  <si>
    <t>2_ABaOnue9vcYUrMmZcFR2JwFrCzwOwiRY5EcHQM6zZQWKz0wDDtRche3IxSqz8kuQSg</t>
  </si>
  <si>
    <t>NGÔ ĐÌNH HUY</t>
  </si>
  <si>
    <t>CÔNG TY TNHH KIỂM TOÁN &amp; TƯ VẤN RSM VIỆT NAM</t>
  </si>
  <si>
    <t>2_ABaOnud_yioWDoZWkVCh99dxDM0y90g3YYAOg7sRqJIsr7BqcuiaP3mLcEnaML-1LQ</t>
  </si>
  <si>
    <t>Cty kiểm toán U&amp;I</t>
  </si>
  <si>
    <t>2_ABaOnuebg5yMZjzdEnQpObFvxbWeI3XLxpzYzaVfP35sld6hpT3p-uiQ0QQHeUZDcw</t>
  </si>
  <si>
    <t>Hồ Mành Cón</t>
  </si>
  <si>
    <t>2_ABaOnucBOeV4AvywcNhyBiBtuyKDmr2HVm9oCZMouAW71aNYENRisDHNThGuXX5fUg</t>
  </si>
  <si>
    <t>NGUYỄN QUỐC CƯỜNG</t>
  </si>
  <si>
    <t>RSM VIỆT NAM</t>
  </si>
  <si>
    <t>2_ABaOnufUZjRTVGJhZeA1IrlY5KywAaUxYVytD5t5ienfy6n1GJTUyo700pQoXrbwpw</t>
  </si>
  <si>
    <t>Lê Đức Anh Dũng</t>
  </si>
  <si>
    <t>2_ABaOnucoHSIP4go9E4u2DHmTRymkYsKTs5lgie1ni6REiPKNRySiMHM4IRF9pkbpEw</t>
  </si>
  <si>
    <t>Nguyễn Lê Hồng Phương</t>
  </si>
  <si>
    <t>2_ABaOnufDYc2sANdj4Re2BeT2uYjbckWHpqijC-9epoCl65qYJS10ebgpQ4FLOm20PQ</t>
  </si>
  <si>
    <t>Nguyễn Thị Thơm</t>
  </si>
  <si>
    <t>Công ty tnhh Kiểm toán - Tư vấn Đất Việt</t>
  </si>
  <si>
    <t>2_ABaOnudeE8zE_fG6m3Ito0GmxMTyHWBcNTzZju7FSx5T_K2mMtsmChV9uP1Dv9YZQg</t>
  </si>
  <si>
    <t>LÊ ANH TUẤN</t>
  </si>
  <si>
    <t>2_ABaOnuej__WEYTq6X3aFkPBYskeEX2bjd77oZWngA_W57p5ywpov7moi7h0JUMr59w</t>
  </si>
  <si>
    <t>Kim Ngân</t>
  </si>
  <si>
    <t>Công ty TNHH Kiểm toán Tư vấn - Đất Việt</t>
  </si>
  <si>
    <t>2_ABaOnudoWzG9mvAdY-NpMGraQx3ujzc_f12oQD6R7Km6XGNKB6MeHCi6kxY79IpG7A</t>
  </si>
  <si>
    <t>Nguyễn Nam Anh</t>
  </si>
  <si>
    <t>2_ABaOnucg9jZ80v_phyVMVyDmO3CI5NOFIsgu24-5q7YCTjdAEs10HkoYzsKmLqzdMw</t>
  </si>
  <si>
    <t>LÊ THỊ BÍCH NGỌC</t>
  </si>
  <si>
    <t>CÔNG TY TNHH KIỂM TOÁN - TƯ VẤN ĐẤT VIỆT</t>
  </si>
  <si>
    <t>2_ABaOnucZELGJePmkYzAg6u6jBV7jgq5acu9xnS1D0DJ2vwrWPd80C9QuCrJPGa6LsQ</t>
  </si>
  <si>
    <t>Phạm Hà Vy</t>
  </si>
  <si>
    <t>2_ABaOnueFiPfp85S9OlAkhbT4CTj33u8aj8r1SaHOrOqZ0IGJUhY0Nb-eEP7dLJvzkw</t>
  </si>
  <si>
    <t>Võ Phan Sử</t>
  </si>
  <si>
    <t>Công ty TNHH KIểm toán AS</t>
  </si>
  <si>
    <t>2_ABaOnueSWC-TMxg5CfqFtNJiZZEiXgfBs7wtSN6-ELiAy5S5xi251BXwru19KyJkWg</t>
  </si>
  <si>
    <t>Trần Thị Thu Hằng</t>
  </si>
  <si>
    <t>2_ABaOnud4AAJk3AcULkGmRy9-5HMA0M3v76fKj8Hrel6kPY7jFwdx_yndciBVAB0ipg</t>
  </si>
  <si>
    <t>Nguyễn Đoàn Phương Uyên</t>
  </si>
  <si>
    <t>2_ABaOnueIrOuq0aSCK-32nLumgZtYhF-uKRsk0VYaDBsmgESoSzH0U8LksPU8Ae1eaQ</t>
  </si>
  <si>
    <t xml:space="preserve">Trịnh Thanh Sang </t>
  </si>
  <si>
    <t>Công ty TNHH Kiểm toán Nhân Tâm Việt - Chi Nhánh tại tp HCM</t>
  </si>
  <si>
    <t>2_ABaOnud_N6aWpZKfHf6Ac85a9FIjTRxzl0JC2biSR54f0t0cSE_CSyERPa2nMo515Q</t>
  </si>
  <si>
    <t>Công ty TNHH Kiểm toán Bắc Đẩu</t>
  </si>
  <si>
    <t>2_ABaOnud22sBYK8AyF2Ay87Isrwnc6PTtcYr3i1w9-w7sAaj0OlmFTiSrQuz0sAzqvQ</t>
  </si>
  <si>
    <t>Công ty TNHH Kiểm toán Nhân Tâm Việt - Chi nhánh tại Thành phố Hồ Chí Minh</t>
  </si>
  <si>
    <t>2_ABaOnueKfogQOHIPAtQdnMQogkpt7IKfP6lV1x7PYl2-XUhteKPRE0cl0igZ188h_w</t>
  </si>
  <si>
    <t>Trịnh Mỹ Linh</t>
  </si>
  <si>
    <t>Công ty TNHH Kiểm toán và Tư vấn Tâm An</t>
  </si>
  <si>
    <t>2_ABaOnueG5VHL9rb8yg0lH8vXnUf5GnJz6KxyjgYbF874iHI3cW_VtQSHCKJ8MvG_jA</t>
  </si>
  <si>
    <t>Nguyễn Minh Hoành</t>
  </si>
  <si>
    <t>Công ty TNHH Kểm toán và Tư Vấn Tâm An</t>
  </si>
  <si>
    <t>2_ABaOnudOFcrQZSkuzXfeWJunmXGFwxs71a7uwmBHxfaO96u8Ox-l1ZQaX-s9gl4Fdg</t>
  </si>
  <si>
    <t>Hoàng Thị Khánh Vân</t>
  </si>
  <si>
    <t>Công ty Kiểm toán Tâm An</t>
  </si>
  <si>
    <t>2_ABaOnucpxf5OmfC2HXwLK4T5cYVHjfq9NYB9FaaJXsiQTgv20PRHNdZkicMMJzlQ5w</t>
  </si>
  <si>
    <t>Lê Ẩn Thoa</t>
  </si>
  <si>
    <t>Công ty Kiểm toán Nhân Tâm Việt</t>
  </si>
  <si>
    <t>2_ABaOnudDPU_ZXVCLOt_cKMNL_Q2-CJFKS2ISd8IqMqYaC3l7uzwVhI5yQ6YQb4aYUQ</t>
  </si>
  <si>
    <t>Trần Diệp Yến Nhi</t>
  </si>
  <si>
    <t>Công ty TNHH Kiểm toán AFC Việt Nam - chi nhánh Cần Thơ</t>
  </si>
  <si>
    <t>2_ABaOnucPVco0tds1s-4ahGy9x5Gl2eYIF0GI03VyjHPtsrMoYcUKKS-Coyom3YvwMw</t>
  </si>
  <si>
    <t>2_ABaOnue4lUCc-SKU7ApguLITE3VoNpxgvfFv4XU6WVUT4iEa4roX6aV6wMpl7vlnrw</t>
  </si>
  <si>
    <t>Đinh Quang Tuyến</t>
  </si>
  <si>
    <t>2_ABaOnueFyqfMj3Wll0KnlMas7fIwxVNNJnDNykGwbxsM_mqs-OR9h-jjPn0uJkpIgA</t>
  </si>
  <si>
    <t>Trương Tấn Đạt</t>
  </si>
  <si>
    <t>Công ty TNHH Kiểm Toán AFC Việt Nam</t>
  </si>
  <si>
    <t>2_ABaOnucMgKw54L21THfrUb4MDt6d7QjyJ_iNiOoq_-fjEgA2ovBfe6xHte4AosUoHA</t>
  </si>
  <si>
    <t>Mai Hoàng Sang</t>
  </si>
  <si>
    <t>2_ABaOnufAUSi9hSkzcMbuQ0nNb9dEFlMIRB7qqWRregRMdgrLA9UbpcyXbNdOV3vOjg</t>
  </si>
  <si>
    <t>Phạm Thành Sơn Tây</t>
  </si>
  <si>
    <t>2_ABaOnufFqJ5m4pf7Jd0KD4DvulUTkM_ZXHvrzsZwHo0R543W7rA1Q5JMoTlKBwo96A</t>
  </si>
  <si>
    <t>Nguyễn Quý Đức</t>
  </si>
  <si>
    <t>2_ABaOnufE2VmLsCRbL1rU-YkhC-3Q3mPMVIsH3kSYNvvNo4FVUcTFFvJhSFtBevfJww</t>
  </si>
  <si>
    <t>Lê Thị Tường Vũ</t>
  </si>
  <si>
    <t>NTV</t>
  </si>
  <si>
    <t>2_ABaOnueDypGDWrHutsW06OqZvqb19x1KQ3Qd5qZrCYoEfec6gjXFuIoZWOqejQ24UQ</t>
  </si>
  <si>
    <t>CÔNG TY TNHH KIỂM TOÁN AFC VIỆT NAM</t>
  </si>
  <si>
    <t>2_ABaOnufX357BkiS16G9tRQpMtlYED2Z_4wzqb226alUrjtghCUwMFyJliMj-304OLg</t>
  </si>
  <si>
    <t>Trần Thị Hạnh</t>
  </si>
  <si>
    <t>Công ty kiểm toán Tâm An</t>
  </si>
  <si>
    <t>2_ABaOnudoK_H8JtG-4Er3CreW9XzlzA02gch3IragytjjURgnTxrZaEUpY3phk8dOvg</t>
  </si>
  <si>
    <t>Lê Phương Anh</t>
  </si>
  <si>
    <t>Công ty TNHH KIểm toán và Tư vấn Tâm An</t>
  </si>
  <si>
    <t>2_ABaOnudoC9R42iHKecmHBD6xvdex1YndsYFx8qYtUpZocWTGzLHGd2rwKBlEWlJi0w</t>
  </si>
  <si>
    <t>Phạm Thị Thanh Minh</t>
  </si>
  <si>
    <t>2_ABaOnuek74IvFzkpRkAdk4WMZxAviIcUxwa30GmrPSDAoXjCYQdy2BXVsLRcn-ZMgQ</t>
  </si>
  <si>
    <t>Võ Anh Thư</t>
  </si>
  <si>
    <t>2_ABaOnuclt8Nv5IuYDVfx3o5fI2MlZv7JWKUUKbLt-A6083uLDPlKDw1-rTCuBUaTmA</t>
  </si>
  <si>
    <t>Nguyễn Thị Thúy</t>
  </si>
  <si>
    <t>2_ABaOnud7_JNrqISxbZ5Zd-gXYgJJljD8q9HmAdko7XgiefrELoshj3QrHTvJP1IRnA</t>
  </si>
  <si>
    <t>Hồ Ngọc Mỹ Tuyền</t>
  </si>
  <si>
    <t>Công ty TNHH Kiểm toán và Tư vấn Tài chính Toàn Cầu (GAFC)</t>
  </si>
  <si>
    <t>2_ABaOnudtetm6WAgp2qqGmb57dVgAU4zxGUBxGNioQ9ET0-f-7ojTfneBy5VIXP3-RQ</t>
  </si>
  <si>
    <t>Hoàng Thị Thanh Trà</t>
  </si>
  <si>
    <t>Đại học Kinh tế Quốc Dân</t>
  </si>
  <si>
    <t>2_ABaOnudYJjOJzveRwnZBVEn7MJysQSfba9Shxqnod0l8XgV3Cqoqr7mk26ptwrLaTA</t>
  </si>
  <si>
    <t xml:space="preserve">Đỗ Phan Ánh Uyên </t>
  </si>
  <si>
    <t>Công Ty TNHH Kiểm Toán AFC Việt Nam</t>
  </si>
  <si>
    <t>2_ABaOnueyDYixaLOYemKFne1WBgGqlRSdblGJXcf4LiocZ4MwKYIICbimrI44U8FNZQ</t>
  </si>
  <si>
    <t>Trương Quỳnh Hương</t>
  </si>
  <si>
    <t>Công ty TNHH kiểm toán và Tư vấn Tài chính Toàn Cầu</t>
  </si>
  <si>
    <t>2_ABaOnufmCMo2zDjK41YPf0KsBUlA9DU6XEp7NMIDVPDt3oI5vIVZ_OR4qVthmf3Ypg</t>
  </si>
  <si>
    <t>Nguyễn Ngọc Tuấn</t>
  </si>
  <si>
    <t>2_ABaOnucBr02U_Vd5udq5coz3rWWGfVuX6Asfmdjy34IF3d01xF_iCbn6Q5yT2Sz_SQ</t>
  </si>
  <si>
    <t>Nguyễn Anh Duy</t>
  </si>
  <si>
    <t>Công ty Kiểm toán NVA</t>
  </si>
  <si>
    <t>2_ABaOnudJbERJtPcppNeETO8GP15KbdNY4p6v5uqMk1ySBq312cHJzmmHaHuh4QKbjQ</t>
  </si>
  <si>
    <t>Dương Văn Hưng</t>
  </si>
  <si>
    <t>2_ABaOnucCT-Y3K3NzFiccQYfQ5PhBCw2ebva2tUuq7304nis96ZI9_RXYmJvJFN7SCA</t>
  </si>
  <si>
    <t>Nguyễn Thị Hồng Gấm</t>
  </si>
  <si>
    <t>Đại học Kinh tế Quốc dân</t>
  </si>
  <si>
    <t>2_ABaOnufxP9wORSfcThAe0xyAGyBOjdBLAeBfYJzxn14iF23gS5xFmv2eUUVKFH5y0w</t>
  </si>
  <si>
    <t>Huỳnh Quế Trâm</t>
  </si>
  <si>
    <t>Công ty TNHH Kiểm toán AFC Việt Nam - Chi nhánh Cần Thơ</t>
  </si>
  <si>
    <t>2_ABaOnufsLYnGyDc-avkLmhuMw-pB7ErK6Obi3-fhUef98HtACWqwpRzTXtnam_cgtQ</t>
  </si>
  <si>
    <t>Nguyễn Văn Tình</t>
  </si>
  <si>
    <t>2_ABaOnufQrCx3Mdjy8dgmL-9go9_OUcULgi4TJG8VFJ4xjNa0VtraUT9_4ZNlPCGZ9A</t>
  </si>
  <si>
    <t>Lê Mậu Phương</t>
  </si>
  <si>
    <t>Công ty kiểm toán</t>
  </si>
  <si>
    <t>2_ABaOnueKScmk2gGLafZxJ_lstyiZcabWjIMc5JOmWLoeNY1lhnkwPpCymneunfyHUw</t>
  </si>
  <si>
    <t>Hồ Luận Ngữ</t>
  </si>
  <si>
    <t>Công ty kiểm toán Bắc Đẩu</t>
  </si>
  <si>
    <t>2_ABaOnufOqWsQGQmxcFW_U-lY3EZ8aAnzFqmsFbbt1GvgJOLcmIbOzmdLEA3DC5B_dA</t>
  </si>
  <si>
    <t>Nguyễn Hoàng Oanh</t>
  </si>
  <si>
    <t>Công ty TNHH kiểm toán AFC Việt Nam - chi nhánh Cần Thơ</t>
  </si>
  <si>
    <t>2_ABaOnucG-vCTufKPb8JIEPFemA2A6FXhBGay1c6tPBaFo4NQlhmKTe-2Dq_xYy6fDA</t>
  </si>
  <si>
    <t>Phan Đình Âu</t>
  </si>
  <si>
    <t>2_ABaOnudDmtmf4rUtjjofWsf4BJEH-dV6tQevU7oEvXDONg1LA_Pmz3x7v-D7gQ3TLg</t>
  </si>
  <si>
    <t>Vòng Kỳ Yến</t>
  </si>
  <si>
    <t>CÔNG TY TNHH DỊCH VỤ KIỂM TOÁN VÀ TƯ VẤN KẾ TOÁN BẮC ĐẨU</t>
  </si>
  <si>
    <t>2_ABaOnucPlE4Fo45oRZuFPeCoq-qRnwVMtRFoD7UxONZaIO0a6LbhMZJ4t_GYncHvzA</t>
  </si>
  <si>
    <t>Vũ Như Quỳnh</t>
  </si>
  <si>
    <t>2_ABaOnudSljC7v0GY7d6G_ObwKkfbT-Rx7nM0dT7wThxqTcXxRSc-IckjQulmZImPyw</t>
  </si>
  <si>
    <t>Nguyễn Minh Anh</t>
  </si>
  <si>
    <t>Học viện tài chính</t>
  </si>
  <si>
    <t>2_ABaOnueKUj2W4um7LFpnJSYi5rTuVHXCm7nqdfp_44SQkn0vfxAX_J_6TRQ63V1iXA</t>
  </si>
  <si>
    <t>Lê Thị Hà Phương</t>
  </si>
  <si>
    <t>Trường Đại học Ngoại thương</t>
  </si>
  <si>
    <t>2_ABaOnuejT-sbbTpyUYyOyneuxngX9EzKQF8VeleIzWe1zfheVswm96be_Y3EtpJadA</t>
  </si>
  <si>
    <t>Nguyễn Dương Khánh Linh</t>
  </si>
  <si>
    <t>Học viện Tài chính</t>
  </si>
  <si>
    <t>2_ABaOnucsF8AaRSpnBXQLS8xhm_yX5nnBppaPkrVsO440H4lTRLEVFGYEaEkPOJlOcA</t>
  </si>
  <si>
    <t>Đỗ Thùy Chinh</t>
  </si>
  <si>
    <t>2_ABaOnuc9fqoK5aA_mhYFulb-Lf0m-tFeLTNGJz_pUuUNOyEfsi4NdwZVkms7XJ-sxQ</t>
  </si>
  <si>
    <t>Trịnh Thị Kim Oanh</t>
  </si>
  <si>
    <t>Học viện Ngân hàng</t>
  </si>
  <si>
    <t>2_ABaOnuflDJT1A5lelTO5klJy2FviWhReOpR2LncdFxr0nxpx-whtpbMjgggXxGXd-Q</t>
  </si>
  <si>
    <t>Phạm Thị Lan Anh</t>
  </si>
  <si>
    <t>2_ABaOnudfRzH1B_hh_vPKS7-DGMlvQhrNKu_ngJetMAwDHKVz5G5zaqmGBm7fkXHItg</t>
  </si>
  <si>
    <t>Nguyễn Vân Anh</t>
  </si>
  <si>
    <t>Đại học Kinh tế quốc dân</t>
  </si>
  <si>
    <t>2_ABaOnuceQJklTe4WRk_5mq0zhZELLJ5_EdFmAyCpA84BmO8v2Imj6Dc-MnX2jfGYFg</t>
  </si>
  <si>
    <t>Nguyễn Thị Ánh Tuyết</t>
  </si>
  <si>
    <t>Trường Đại học Kinh tế - ĐHQGHN</t>
  </si>
  <si>
    <t>2_ABaOnufNXe_9JWsoIU0b36zyuxdwqQVYmyasMk7i7qKeg6jjLp7_B--D39rsuQIeVQ</t>
  </si>
  <si>
    <t>Đặng Minh Quân</t>
  </si>
  <si>
    <t>2_ABaOnucYGgw_UizGiE2nLZzrADEX-PxWXQdCcA5-SkNyfwi3HSntog1Nbk4l71h8bg</t>
  </si>
  <si>
    <t>Huỳnh Tuấn Anh</t>
  </si>
  <si>
    <t>2_ABaOnuf2jlIDXBMKMH-8brXWU65TiexmEd640HCrVy3Rn6mk6D-cWaS26e_ASrD-Kw</t>
  </si>
  <si>
    <t>Nguyễn Ngọc Thảo Vân</t>
  </si>
  <si>
    <t>2_ABaOnufn-XR8XSb799PIHdr-edk_mO8qkV-MN01hWx9-_BaVhPuONqBITfQx-_shjg</t>
  </si>
  <si>
    <t>NGUYỄN VĂN TUYÊN</t>
  </si>
  <si>
    <t>Công ty TNHH Kiểm toán NVA</t>
  </si>
  <si>
    <t>2_ABaOnueQ-9IMiO_EHTuy6LzSX41RjJOFeh1BK9GUKIZ2KyRfsLQe8TTX6XiGeAc39g</t>
  </si>
  <si>
    <t>Hoàng Tiến Đạt</t>
  </si>
  <si>
    <t>2_ABaOnuc5AbAQRdh-CEmLLicbbVtC9JbXIEqk_1a8iyo7EEFxkBt4R98w36k51gf3yw</t>
  </si>
  <si>
    <t>NGUYỄN DƯƠNG HOÀNG ANH KHOA</t>
  </si>
  <si>
    <t>CÔNG TY KIỂM TOÁN NVA</t>
  </si>
  <si>
    <t>2_ABaOnucLCnzmBUTFhMMk55iemSEzHomR4dLz7lw2JNzHXPk1tXhMc2UyhyCy_6NdOw</t>
  </si>
  <si>
    <t>Nguyễn Minh Hoàng</t>
  </si>
  <si>
    <t>2_ABaOnucCLWWkfAZ1dxY4Alqc4hg90zV9B8i6OxISmskr8zprwfp2WyX3tt0WhzQLdA</t>
  </si>
  <si>
    <t>Nguyễn Thị Tường Vi</t>
  </si>
  <si>
    <t>Công ty Kiểm toán Com.pt</t>
  </si>
  <si>
    <t>2_ABaOnufyIxjF_fQIkse1s3ORYRvj0v5MwK2kcLfmJzr3gfh8R_E1mia-9BWU29Afvw</t>
  </si>
  <si>
    <t xml:space="preserve">Nguyễn Thị Yén Xuân </t>
  </si>
  <si>
    <t>Công ty THHH Kiểm toán &amp; Tư vấn Đất Việt</t>
  </si>
  <si>
    <t>2_ABaOnudL7bJWKnYF_Ilp2ZNtbJjmkYLJpHvYGAf7eY0ftT0uLxN62YQuozwU8pedhQ</t>
  </si>
  <si>
    <t>Lê Thị Quỳnh Như</t>
  </si>
  <si>
    <t>Công Ty TNHH DFK Việt Nam</t>
  </si>
  <si>
    <t>2_ABaOnufZgAlxlkXRBKHMZCD2LfcQtMgmjQO6EmZR31BUEvwV16lGm8iuhToF1MG3Ig</t>
  </si>
  <si>
    <t>Phạm Anh Duy</t>
  </si>
  <si>
    <t>kiểm toán CPA Vietnam</t>
  </si>
  <si>
    <t>2_ABaOnufBmzV-mn7YcEy4qKRRESuYqw_bq22T-KB5R0CKxo70_UwePpADldBA2ZUkRQ</t>
  </si>
  <si>
    <t>Nguyen Thi Bich Tram</t>
  </si>
  <si>
    <t>SANKYU VIET NAM CO., LTD</t>
  </si>
  <si>
    <t>2_ABaOnufSyYPh_N1SwsdnLmdtDK7wQXof1C9_VxQofBbAW5WtucKp_4DcuXQ1g4mDcg</t>
  </si>
  <si>
    <t>Nguyễn Thị Mai Linh</t>
  </si>
  <si>
    <t>Công ty TNHH Kiểm toán và Kế toán Biên Hòa</t>
  </si>
  <si>
    <t>2_ABaOnudWN1SN3y7bUfwM83n4sv3K5VH7q4lapd0qOI_RhJLpn8NaU_lL61z54QVdsg</t>
  </si>
  <si>
    <t>NGUYỄN VÕ HƯNG THỊNH</t>
  </si>
  <si>
    <t>Công ty TNHH Kiểm Toán và Định Giá Thăng Long - TDK</t>
  </si>
  <si>
    <t>2_ABaOnufuXpeFK9t7_oxCNg34Ctr4HFU7-0uODJREg4OO-GQI-ZbfhcmOmLo-kvscVA</t>
  </si>
  <si>
    <t>Nguyễn Thùy Dung</t>
  </si>
  <si>
    <t>Công Ty TNHH Kiểm Toán Và Định Gía Thăng Long TDK- Chi Nhánh Miền Nam</t>
  </si>
  <si>
    <t>2_ABaOnudRmOmZjfTau4Jnh_JBiGvsw0UPNztTEldlHSAvjLCGqXHw_9os_wxZNXi9Kg</t>
  </si>
  <si>
    <t>Lê Ánh Như Mai</t>
  </si>
  <si>
    <t>CNMN Công ty TNHH Kiểm toán &amp; Định giá Thăng Long - T.D.K</t>
  </si>
  <si>
    <t>2_ABaOnue8hXEU_a_AuGl4l6AiOPpqu1-3M76dyezoDDDy2THQyXkDBmAr1Ik8IEWBSQ</t>
  </si>
  <si>
    <t>Phạm Thị Ánh Dương</t>
  </si>
  <si>
    <t>Công ty TNHH Kiểm toán Tư vấn Đất Việt</t>
  </si>
  <si>
    <t>2_ABaOnufyiOiS4asgWlB29aHSCPu_ZYRatqFHQzw2SnNryF09PWmea9NOXWPklBoupA</t>
  </si>
  <si>
    <t>Tạ Thị Thu Thúy</t>
  </si>
  <si>
    <t>CNMN Công ty TNHH Kiểm Toán và Định Giá Thăng Long - T.D.K</t>
  </si>
  <si>
    <t>2_ABaOnucqdNEnni7-6s9URouV29NA8i3x__qYzZmfk1gXwnjzGJegMqIaXo2Pm9W7Qg</t>
  </si>
  <si>
    <t>Nguyễn Thị Thu Thảo</t>
  </si>
  <si>
    <t>Công ty TNHH Kiểm toán &amp; Định giá Thăng Long T.D.K</t>
  </si>
  <si>
    <t>2_ABaOnuf8P_qfFKgyGlTXCCnI5RUVuxOJzWOIvxGfbpbPCrO9UURyQQdNqbGrwKxv-A</t>
  </si>
  <si>
    <t>Đào Thị Linh Nguyên</t>
  </si>
  <si>
    <t>CNMN Công ty TNHH Kiểm toán và Định Giá Thăng Long - T.D.K</t>
  </si>
  <si>
    <t>2_ABaOnuccyZKmZhKVKjHaYT69MdBxb493pnj6fmojFPPtowSp5YQF9ZInOmgrjC4wpg</t>
  </si>
  <si>
    <t>CNMN Công ty TNHH Kiểm Toán và Địnb Giá Thăng Long - T.D.K</t>
  </si>
  <si>
    <t>2_ABaOnueg37T0BNf0SctjrA1FcopBKURMmt6pL3OsH6x-OCIYt6ogL2sFHHW_BzP_QA</t>
  </si>
  <si>
    <t>Tran Thi Van</t>
  </si>
  <si>
    <t>Công ty TNHH Kiểm Toán và Định Giá Thăng Long TDK (CN Miền Nam)</t>
  </si>
  <si>
    <t>2_ABaOnucbcPcNF1dSoLPnr738eUdFrWNykWtceCfv5riG7HIJEYuXbU3Slw1-3KSmLw</t>
  </si>
  <si>
    <t>Nguyễn Thị Quỳnh Hương</t>
  </si>
  <si>
    <t>069 - Công ty TNHH Tư vấn Đầu tư, Tài chính, Kế toán, Thuế = Kiểm toán Com.pt</t>
  </si>
  <si>
    <t>2_ABaOnufAY9hXgQYr8xhvuNf0eSUKYrPdmcfHiwizpErkCpdNQq6g1zN31qoy73xFnw</t>
  </si>
  <si>
    <t>Trần Khắc Đại</t>
  </si>
  <si>
    <t>Công ty TNHH Hãng Kiểm toán MBA</t>
  </si>
  <si>
    <t>2_ABaOnufpaMypZWNLwUNtrsdG9wOwfX_e8Ryksjqfn_40nq5sUoVBzTH4odYzLMFEPQ</t>
  </si>
  <si>
    <t>Hồ Minh Nhật</t>
  </si>
  <si>
    <t>CNMN CÔNG TY TNHH KIỂM TOÁN VÀ ĐỊNH GIÁ THĂNG LONG - T.D.K</t>
  </si>
  <si>
    <t>2_ABaOnudkJ_HODyOVLE8j21aWbRu8bM88KVGXhVLew4WgkyAYycePZ-cjoxEvRjnBhA</t>
  </si>
  <si>
    <t>Nguyễn Dũng</t>
  </si>
  <si>
    <t xml:space="preserve">Công ty TNHH Kiểm toán Sao Việt </t>
  </si>
  <si>
    <t>2_ABaOnuccOcbT15nSrZK9wSYm3-Xnw52-zIK0o6Jn-P7nwS8tj70N8m-3PLgq_1VOJQ</t>
  </si>
  <si>
    <t>Lê VĨnh Phú</t>
  </si>
  <si>
    <t>CÔng ty TNHH Kiểm toán và Thẩm định giá Miền trung</t>
  </si>
  <si>
    <t>2_ABaOnue6Y2P65uS6BHGJKRdRTX7dYvoTjA0haTb9pFuAGGU5zmoyiGVdQMtdVsywvw</t>
  </si>
  <si>
    <t>Nguyễn Hữu Ngân Uyên</t>
  </si>
  <si>
    <t>Công ty TNHH Kiểm toán Sao Việt</t>
  </si>
  <si>
    <t>2_ABaOnudwvaAiKShBfMiFhCTXXum2w89Yo9FgZqjhtLgDdbcJ8TTj57MP5q0p2QFEaw</t>
  </si>
  <si>
    <t>Vũ Xuân Hùng</t>
  </si>
  <si>
    <t>2_ABaOnudpHMHZx2hQqFFuf85APU0QppZZu6uw3IxB_b_l3TvmI6spk_p2hM4GmTE7YA</t>
  </si>
  <si>
    <t>NGUYỄN PHÚC HƯNG</t>
  </si>
  <si>
    <t>CÔNG TY TNHH KIỂM TOÁN - THẨM ĐỊNH GIÁ VÀ TƯ VẤN ECOVIS AFA VIỆT NAM</t>
  </si>
  <si>
    <t>2_ABaOnufk7xZB8zUWsVgzW8BGiVBK-tdnxfms2fvqn6_S5hLX4SwQjgsN08m463wbkQ</t>
  </si>
  <si>
    <t>Nguyễn Hạnh Dung</t>
  </si>
  <si>
    <t>2_ABaOnucfMp-l3mswDAhQJIYQX9BodAxKHsdXzQxd4vDzofAwcJzH_BIeUnmZPK7eug</t>
  </si>
  <si>
    <t>Nguyễn Xuân Ngà</t>
  </si>
  <si>
    <t>2_ABaOnufniMNDYlogDrKQhEPfEwY1Eb5DGXkHnkULaqCq6_UGRzY2xQBxj6zt8oMgsA</t>
  </si>
  <si>
    <t>2_ABaOnuffNYnkbc0mHkU_bVK4AIB6qT4JhJ4DfcIswmu2Erbl6NvXc9KTK4uCBo5jzg</t>
  </si>
  <si>
    <t>Nguyễn Thị Bích Ngọc</t>
  </si>
  <si>
    <t>2_ABaOnucA0OysRpYZbd8dtCD9KYzybiY2QhGIeaqnO1fcfeuBc-5gPh5PkbFJHHRmmw</t>
  </si>
  <si>
    <t>Trương Kim Ngân</t>
  </si>
  <si>
    <t>2_ABaOnucOggw-y2pnkOumlEmnkgW0Pv9fEG1_PceDLJsQhPZmzYN3XOFEMiviVMsSdg</t>
  </si>
  <si>
    <t>Nguyễn Thế Anh</t>
  </si>
  <si>
    <t>2_ABaOnufWsn99Os3xds0eH7AyprLgnVOy3np-tcu1BeUUZZbo_BVEbNKLqFKQ4GfxIQ</t>
  </si>
  <si>
    <t>Lê Thị Thanh Kim</t>
  </si>
  <si>
    <t>2_ABaOnucziRKEYJBAV63hZ6yXdTI8LWmu54khDOytHobsq9fjHLPk-XOgQy-JSa9aZA</t>
  </si>
  <si>
    <t>Lý Công Thành</t>
  </si>
  <si>
    <t>Công ty TNHH Kiểm toán FPF</t>
  </si>
  <si>
    <t>2_ABaOnuf1e8drvjandk0OUhbu1ZOhihzUuCs28XCMeBCu2gs564MsnZLoKYTBKLFUUg</t>
  </si>
  <si>
    <t>Nguyễn Tiến Hưng</t>
  </si>
  <si>
    <t>2_ABaOnucZpKlazoMPrWnBNj9Ce05Cyvep2VSQnd2F5mYNaNvUQ7INasjd4s-eYLG-LQ</t>
  </si>
  <si>
    <t>Lê Hoàng Tuyên</t>
  </si>
  <si>
    <t>Công ty TNHH Kiểm toán Tư vấn Rồng Việt</t>
  </si>
  <si>
    <t>2_ABaOnucq6sKsPc-1eR9UkT-saB-F4ken_BaaUy__baJ9_pZD-sssoNxSqskQEOIQgA</t>
  </si>
  <si>
    <t>Lê Mai Trúc</t>
  </si>
  <si>
    <t>Công ty TNHH Kiểm toán - Thẩm định giá và Tư vấn ECOVIS AFA VIỆT NAM</t>
  </si>
  <si>
    <t>2_ABaOnuemS3IoxT9PdPt5vvoyHyNIN0hOC0OpmRt71oUt_do4fRxLsA3v-7VfzkXXuw</t>
  </si>
  <si>
    <t>Phù Ngọc Thiên Thanh</t>
  </si>
  <si>
    <t>Công ty TNHH Sankyu (Việt Nam)</t>
  </si>
  <si>
    <t>2_ABaOnudBTmnl-puIV-xCJCHXvbceeWgsBCM17F2woL4U8FWlevDFJsQ6GdqVlTkA3A</t>
  </si>
  <si>
    <t>Kim Văn Việt</t>
  </si>
  <si>
    <t>Công ty TNHH Kiểm toán - Thẩm định giá và Tư vấn ACOVIS AFA VIỆT NAM</t>
  </si>
  <si>
    <t>2_ABaOnueeuHQo7pqCPeM_X2JF8bC8U2OPrlTaqMbnfK0x219TyFdG88SCsolyG-ygsw</t>
  </si>
  <si>
    <t>Nguyễn Quỳnh Nga</t>
  </si>
  <si>
    <t>Công ty TNHH Kiểm toán - Thẩm định giá và tư vấn ECOVIS AFA Việt Nam</t>
  </si>
  <si>
    <t>2_ABaOnufn7alQBiUpsIhX8oc0NrttTjlfofn7vHIzJnH_F8jrm35BvTngBSv9AfI2ew</t>
  </si>
  <si>
    <t>ĐỖ KHẮC THANH</t>
  </si>
  <si>
    <t>CÔNG TY KIỂM TOÁN PHÍA NAM - AASCS</t>
  </si>
  <si>
    <t>2_ABaOnue9Sfk_ARL8Acxcc1GH303alOxOXW2BbBT1iAXZkvTdhCqwqEZEiTkP8ir84Q</t>
  </si>
  <si>
    <t>Lê Văn Hoàng</t>
  </si>
  <si>
    <t>Công ty TNHH Kiểm toán - Thẩm định giá và tư vấn ECOVIS AFA VIỆT NAM</t>
  </si>
  <si>
    <t>2_ABaOnuePuL4ECkeAX_dS6b2FzAh3-6qClggNcOitlMczUB7y8ZC_DuQb3r2-K8iWYQ</t>
  </si>
  <si>
    <t>Trần Thảo Linh</t>
  </si>
  <si>
    <t>EY Vietnam</t>
  </si>
  <si>
    <t>2_ABaOnufjSgRjFt87F1rSVv96V2dbA75lorsqMqonV85BQyP9g8_c4OBqOtbFUjj5zQ</t>
  </si>
  <si>
    <t>Phạm Đông Sơn</t>
  </si>
  <si>
    <t>2_ABaOnueBT04UTXPvfx89cSwMskCCLnVMpyLfrn2eN2Sa37vzP8rdxv37GC_2_kx-oQ</t>
  </si>
  <si>
    <t>Nguyễn Gia Thành</t>
  </si>
  <si>
    <t>2_ABaOnudv_qpoWl_O4BCwDWXMPOzwiFpIpp9e5vghM-CpM86QG0O2yo_jODXqybl08g</t>
  </si>
  <si>
    <t>Nguyễn Huỳnh Chính</t>
  </si>
  <si>
    <t>2_ABaOnufHd7a8re6gnHLacJWg8iHZ5K_32njKPB8hifivkLUsxyCQ_fxt8gRQEP5fdA</t>
  </si>
  <si>
    <t xml:space="preserve">Phạm Tất Thành </t>
  </si>
  <si>
    <t xml:space="preserve">Công ty tnhh kiểm toán Phương Đông </t>
  </si>
  <si>
    <t>2_ABaOnudIqHL_P7N72pR0qyK2E3wt40zEiHcQoZCgh-2sjCnW_l8EX5D3X3bmIUYCvQ</t>
  </si>
  <si>
    <t>Phạm Duy Phương</t>
  </si>
  <si>
    <t>Công ty TNHH Kiểm toán FAC - Chi nhánh Nha Trang</t>
  </si>
  <si>
    <t>2_ABaOnuesrrdpCZeOdO5X2HuNaH_AGqGC8IC_NRLBqHdwMIUQxBo_gTmRy71x6GzAhA</t>
  </si>
  <si>
    <t>Đặng Thành Lâm</t>
  </si>
  <si>
    <t>Công ty TNHH Kiểm toán FAC - Nha Trang</t>
  </si>
  <si>
    <t>2_ABaOnucGOOmoMwihfPxSX-GNXAWhA_NCDc-GJyNqm2deQMnvZTKqocMjINDWpzvlPQ</t>
  </si>
  <si>
    <t>Trần Thị Hoàng Phi</t>
  </si>
  <si>
    <t>2_ABaOnue7xRTI6oZlFtRICv7f-UTj6o-C7hPA7XndhQV9UaXI20kUm6SrKCWkwk3pgQ</t>
  </si>
  <si>
    <t>Trần Văn Hưng</t>
  </si>
  <si>
    <t>Chi nhánh Công ty TNHH Kiểm toán - Tư vấn Đất Việt - tại Hà Nội</t>
  </si>
  <si>
    <t>2_ABaOnudJr6k9KkEX8fgcLoy5XuObQ-JteDBzspwydfro8wTA1rKrhcSfChYlvmvXpw</t>
  </si>
  <si>
    <t xml:space="preserve">Chu Ngọc Tuấn </t>
  </si>
  <si>
    <t>Công ty TNHH Kiểm toán  - Tư vấn Đất Việt tại HN</t>
  </si>
  <si>
    <t>2_ABaOnucJbME7G6Cjqqd1eZMXGFPMCtEe86LoMwkXbnIcNe17JU8h_u4KmnK0AlbHEw</t>
  </si>
  <si>
    <t>Bùi Văn Long</t>
  </si>
  <si>
    <t>Công ty TNHH Kiểm Toán Mỹ (AA)</t>
  </si>
  <si>
    <t>2_ABaOnuei1zEw8MCa0lES_JYSOguVD5bhhgCN1Aqpc2YWz0rENBQn30wvalCaaISMqQ</t>
  </si>
  <si>
    <t>Phạm Văn Định</t>
  </si>
  <si>
    <t>Công ty TNHH Kiểm toán SCIC Việt Nam</t>
  </si>
  <si>
    <t>2_ABaOnufRzaX7k3sGPiikskIUAH3KrTwCLJmjTifJRKlI5lzzUa1P40F4MohWkgZLNA</t>
  </si>
  <si>
    <t>Trần Thị Huyền Trang</t>
  </si>
  <si>
    <t>Chi nhánh công ty kiểm toán NVA</t>
  </si>
  <si>
    <t>2_ABaOnueMzdNPcTuhzdRQXA_4tJJhDynAkZeJn69BDhiDrS7Xo-CAZ9Oy7IiB2bm3Dg</t>
  </si>
  <si>
    <t>Lê Quý Hưng</t>
  </si>
  <si>
    <t>Công ty TNHH Kiểm toán Việt Úc</t>
  </si>
  <si>
    <t>2_ABaOnucSSB0dH81T1-WgkqBDOqwdjtCS8BUb8pbANcEnXRDTm7JZiXErabSU2jyG9g</t>
  </si>
  <si>
    <t xml:space="preserve">Nguyễn Việt Thái </t>
  </si>
  <si>
    <t>2_ABaOnueqxBu5affu5ngdT3G37n_RweGzRnMzG8i36DqzDumxaKkS7grpkRWOpej2xA</t>
  </si>
  <si>
    <t>Phạm Đức Bảo</t>
  </si>
  <si>
    <t>2_ABaOnucUYRtqz7MaW4LEB4O8jlVTuA4_R81eEpAyjmiuznfwk5Zo-cHGNRd78UB0Fw</t>
  </si>
  <si>
    <t>Lã Thị Thu Phương</t>
  </si>
  <si>
    <t>2_ABaOnudL4XQgDGSzdZsXtSbaTAoxYRXyy2Gw__TiaxilGvpuoGa4SwL9vKUf6dThmg</t>
  </si>
  <si>
    <t>2_ABaOnuecD4dDYHJjOB1MpDwb3IS-z6NHyCnxWZVZoNHNKCdySFhlH7RZq_dzSQdqrQ</t>
  </si>
  <si>
    <t>Trần Ngọc Triều</t>
  </si>
  <si>
    <t>2_ABaOnudEAcaN4lI3TQNFN3Hw8Y_bj5-4aij7W5NmM0CUnZBBXpnPzd9FxCXZZ5_wvA</t>
  </si>
  <si>
    <t>Hồ Lê Thùy Dương</t>
  </si>
  <si>
    <t>2_ABaOnueDOV5LPKNuTDAxxmwNvMdDGJTr3eigPIZ6WV6NKxZUq75E9qXb5AxYVIgv9g</t>
  </si>
  <si>
    <t>Bùi Duy Phương Thanh</t>
  </si>
  <si>
    <t>Công ty TNHH Kiểm Toán NVA</t>
  </si>
  <si>
    <t>2_ABaOnuf8-IPmq5NYY9fCIkkGwROWVSuUyBxX9EPpA-rglII6EI8BawZZmKtp3TWXDw</t>
  </si>
  <si>
    <t>Nguyễn Hồng Nga</t>
  </si>
  <si>
    <t>2_ABaOnueMdh95UH9muICAdIHGqMpXr0pSVjVGz6BRITF6ZedUFqV7HhgaTrchSTUY1g</t>
  </si>
  <si>
    <t>Nguyễn Nhân Bào</t>
  </si>
  <si>
    <t>Công ty TNHH Kiểm toán Việt Nhất</t>
  </si>
  <si>
    <t>2_ABaOnufJmsrUP33GtAD8cAYowxZjq4P86dAtzwCaHe9416lZSf2uwJtfwY9i4RJbfw</t>
  </si>
  <si>
    <t>Võ Đoàn thiên Thanh</t>
  </si>
  <si>
    <t>Công ty TNHH Kiểm toán KSi VN</t>
  </si>
  <si>
    <t>2_ABaOnufRDPheS0KUnS1FcmTHcEcFb4WoUvbyNZee8npxgN8zALMvqnjfqULIYkPHcw</t>
  </si>
  <si>
    <t>Phạm Tuấn Việt</t>
  </si>
  <si>
    <t>Công ty TNHH Hãng kiểm toán ACCA Việt Nam</t>
  </si>
  <si>
    <t>2_ABaOnufjcwTSAfYLOP2r-r4E4PhaHYqGU-5hCFjuaPd_no68o3I6Q6uZ1pqbpCfTFA</t>
  </si>
  <si>
    <t>Lê Anh Tuấn</t>
  </si>
  <si>
    <t>Công ty Kiểm toán</t>
  </si>
  <si>
    <t>2_ABaOnud63cwB6AUzG6BqafTRQqWGLpdR9hlWpdLM91JM7sRGspSehJ8dNpJQbi1HZw</t>
  </si>
  <si>
    <t>Nguyễn Nam Tài</t>
  </si>
  <si>
    <t>2_ABaOnuc7SI58yXn7dTwdClNGCykQCRuegeRKCtxgl3cXaZXMa8uyoaNsI70n_XV5VQ</t>
  </si>
  <si>
    <t>Trần Thị Mỹ Duyên</t>
  </si>
  <si>
    <t>Công ty TNHH Kiểm Toán KSi Việt Nam</t>
  </si>
  <si>
    <t>2_ABaOnuc-LZ0pDeGoLMtumTgc252-llMaPmYdO4G1AlCvrohPAv7brCWAwRyhepA4GA</t>
  </si>
  <si>
    <t>Lương Tuấn Trung</t>
  </si>
  <si>
    <t>Công TNHH Kiểm toán IVC</t>
  </si>
  <si>
    <t>2_ABaOnudv97NUnWhhHYcBU6fztOUs10OItLrDUi6xJ9XO3162IuChkHXnaH3ORULBCg</t>
  </si>
  <si>
    <t>Đỗ Quang Minh</t>
  </si>
  <si>
    <t>Công ty TNHH Kiểm toán IVC</t>
  </si>
  <si>
    <t>2_ABaOnufht28RKhoR9yPYAMVnOAS8PuikplIAgdoXm0fsrKz7GEHU-WrvLMAssl-FZg</t>
  </si>
  <si>
    <t>Lê Đức Minh</t>
  </si>
  <si>
    <t>Công Ty TNHH IVC Việt Nam</t>
  </si>
  <si>
    <t>2_ABaOnudX3h1FRo9_NO2Y8mEOTy_0uQh2YXuzz9_q64I9ffrYHwO80K6DecN4cW6MVQ</t>
  </si>
  <si>
    <t>Đỗ Khánh Ly</t>
  </si>
  <si>
    <t>2_ABaOnudg3Q-VPpM0vdXH0_ixtMHXg6s_vPbMeYlpfU46ObUR4vLqXKhoPlr3mqTePQ</t>
  </si>
  <si>
    <t>Phạm Như Quỳnh</t>
  </si>
  <si>
    <t>2_ABaOnucEIhV9vFxOVNZ45FTk8Zao0xQo8G-rFgi3KuOAX29F9-pSPJtYwvy67BYf2g</t>
  </si>
  <si>
    <t>Hoàng Phúc Kỷ</t>
  </si>
  <si>
    <t>2_ABaOnue-jQ-1d9z-pV75tfLrn9KUV6LqB72mU3z66HF18lgjhdm_rOZiEGfvJOW6Ug</t>
  </si>
  <si>
    <t>Nguyễn Trọng Đại Thắng</t>
  </si>
  <si>
    <t>2_ABaOnudS0GwpMbYjKBfJvlxn8I11hJWDteJ54DzwIzOvHJBdqK5rGFNEDJ9fJfqZnQ</t>
  </si>
  <si>
    <t>Đỗ Trần Quốc Anh</t>
  </si>
  <si>
    <t>Công ty TNHH kiểm toán IVC</t>
  </si>
  <si>
    <t>2_ABaOnuehj6LNehqVAiRqgiaXF_3zexhvWT0udhd5AopMRdJTottVkpPsA-TN9wEDQQ</t>
  </si>
  <si>
    <t>Nguyễn Huy Hoàng</t>
  </si>
  <si>
    <t>2_ABaOnucfuz1ZFt_J4Bsxv674Em_HzIh9cNSDcbiMpaFspeHe1jLSQVbHHoiEkg3Xig</t>
  </si>
  <si>
    <t>Phạm Thị Thanh Trà</t>
  </si>
  <si>
    <t>Công ty TNHH Kiểm toán KSi</t>
  </si>
  <si>
    <t>2_ABaOnudZIcMxSHOXF82cuAFR5Wfa7lmY1ZIORR64a5ywfC3r48CkzKNQWSb7irxSuA</t>
  </si>
  <si>
    <t>Nguyễn Thu Giang</t>
  </si>
  <si>
    <t>Công ty TNHH Kiểm toán KSI Việt Nam</t>
  </si>
  <si>
    <t>2_ABaOnudnF6vxlTKZ7SgFO-Dk3XyxG8nJtZ_NMTaT_CWbI0m82jZKNoi6sVge1sBO8A</t>
  </si>
  <si>
    <t>NGUYỄN THỊ HUỲNH HOA</t>
  </si>
  <si>
    <t>CÔNG TY TNHH KIỂM TOÁN VIỆT ÚC</t>
  </si>
  <si>
    <t>2_ABaOnufU7sFjWvsipRjkIkVZZipYV2JT-0ZPtRGpTRXB8_0fWsGET_q0sr9LCXeKHQ</t>
  </si>
  <si>
    <t>Lê Mỹ Trang</t>
  </si>
  <si>
    <t>Công ty TNHH Kiểm toán NVA - Chi nhánh Phía Bắc</t>
  </si>
  <si>
    <t>2_ABaOnuf8bPxcIFhpCv8tZSNk-h3C0lpT1TqooginyE2ic51pswMtG4VpDEnyqj-Odw</t>
  </si>
  <si>
    <t>Nguyễn Bá Phước</t>
  </si>
  <si>
    <t>Công ty TNHH Kiểm toán NVA - Chi nhánh phía Bắc</t>
  </si>
  <si>
    <t>2_ABaOnudjC74wCD-aDa0OYSi450084PeQLsSADHI-HtkSedBEqm1tTq1xakawLlo42w</t>
  </si>
  <si>
    <t>Nguyễn Thị Thu Thủy</t>
  </si>
  <si>
    <t>2_ABaOnuf_g-udsFYUm002u-m8Ege-vL8AQi3fsIMSIu3GNg8tk7nUoR5M8xp5GbkiRg</t>
  </si>
  <si>
    <t>Nguyễn Thị Nguyên Nhung</t>
  </si>
  <si>
    <t>2_ABaOnudUqMN6almPB8156Vr-p0HhSaneel22vBtTc_NDdoxmbQDdtpCKcOYe2Icpxg</t>
  </si>
  <si>
    <t xml:space="preserve">Trần Thị Xuân Nguyện </t>
  </si>
  <si>
    <t xml:space="preserve">Công ty kiểm toán CPA VIETNAM </t>
  </si>
  <si>
    <t>2_ABaOnuf5wRqK6oC5rc0v2nm8LCxdQu1KZKxRApIIiH8EC8N54Ei76yQ8fHj4lNiPpg</t>
  </si>
  <si>
    <t>Lan Khuê</t>
  </si>
  <si>
    <t xml:space="preserve">Công ty Kiểm toán CPA VIETNAM </t>
  </si>
  <si>
    <t>2_ABaOnucYh3l8pE1C--7rOk3I965tSC6rNOpFN1mv-lc1Q0rID4synoj2Lh3CqEujHA</t>
  </si>
  <si>
    <t>Phạm Nguyễn Thảo Uyên</t>
  </si>
  <si>
    <t>2_ABaOnudn-HrR9yQBjYdZl4hFIu0M66LZDgEATxaZMOieMj9_bxtrvKoL-Mf53J9E3A</t>
  </si>
  <si>
    <t>Võ thị thơm</t>
  </si>
  <si>
    <t>Công ty TNHH Grant Thornton Việt Nam</t>
  </si>
  <si>
    <t>2_ABaOnue98bKsNQSXkGDd4w9ydCBVzJelpDEZSXPF-gkih5nz2ob8GrOm7ggzb-Zggg</t>
  </si>
  <si>
    <t>Trần Thị Gia Ngọc</t>
  </si>
  <si>
    <t>Công ty TNHH Crowe Việt Nam</t>
  </si>
  <si>
    <t>2_ABaOnudn_dWnZTlPIJ-VrMWrjLtr69DvG3wAeuOO_Llr632I3QMc6Gearp60vDg2kw</t>
  </si>
  <si>
    <t>Dang Thi Hong Loan</t>
  </si>
  <si>
    <t>2_ABaOnud_kLicEz72ziEpYCk038TqHwYdjuxjXF8Q_inJ659k65x3dHKZEEYjYbeJ8Q</t>
  </si>
  <si>
    <t>2_ABaOnuf6CuCMhcweqAE8IMbAfXaHJ6Z-rl6YW4p1zfQsLlGeOi-6Eo6-hM-FIYXKkA</t>
  </si>
  <si>
    <t>Nguyễn Thế Vinh</t>
  </si>
  <si>
    <t>Công ty TNHH Kiểm toán &amp; Tư vấn RSM Việt Nam</t>
  </si>
  <si>
    <t>2_ABaOnuf13TgQh_Nwkq34e0p4ClukSdURs-l9JDmkzf_Q0UUvXblC3F_aiwqzog2-XQ</t>
  </si>
  <si>
    <t>VÕ THỊ XUÂN MAI</t>
  </si>
  <si>
    <t>CÔNG TY TNHH DỊCH VỤ TƯ VẤN VÀ KIỂM TOÁN FPF</t>
  </si>
  <si>
    <t>2_ABaOnueqXSLTBJfE1JmzEQBWnh517cpkvkxgfdvMq0oQG57JLWoeJaKxo0SW6AIXsQ</t>
  </si>
  <si>
    <t xml:space="preserve">Lê Thị Kim Oanh </t>
  </si>
  <si>
    <t>Công ty Kiểm toán và Định giá GAA</t>
  </si>
  <si>
    <t>2_ABaOnueYUtcgBS0PRx1DJ9HckuBkP63T6227XoSoT9FJb0mI7ELULWom9sGcAec_Vw</t>
  </si>
  <si>
    <t>Nguyễn Trương Thảo Nguyên</t>
  </si>
  <si>
    <t>Công ty TNHH Kiểm toán và Định giá GAA</t>
  </si>
  <si>
    <t>2_ABaOnuckqrd4Wv1tlE-a1kSWO2k8b6o9ArAJyiAOSbzuNRR65NoSXWmsD5wviwjN4g</t>
  </si>
  <si>
    <t>Dương Thị Bảo Ngà</t>
  </si>
  <si>
    <t>Công ty Kiểm toán và Địng giá GAA</t>
  </si>
  <si>
    <t>2_ABaOnueS4zy-taODEG7tTip6Iq7-1nR6co0id-5NIMShbiCUJpPF6pnE0Y5phX14-g</t>
  </si>
  <si>
    <t>Công ty TNHH kiểm toán và định giá GAA</t>
  </si>
  <si>
    <t>2_ABaOnudeqtNYw6KIkFXb3lEz1QudLyvL9JODI4oE_eoef0At1sN2ZTsUvL7SuSdZWQ</t>
  </si>
  <si>
    <t>GAA</t>
  </si>
  <si>
    <t>2_ABaOnudZTYAXLv9QOgvar0G6YbfA-MQQvG_rBipk0Th75t1dyQq-qGXSF8P8tc9aGA</t>
  </si>
  <si>
    <t>TRƯƠNG THỊ DƯƠNG</t>
  </si>
  <si>
    <t>CÔNG TY TNHH KIỂM TOÁN VÀ TƯ VẤN SAMDO</t>
  </si>
  <si>
    <t>2_ABaOnue-AnDlbZvX6V7uRBLZ2u9BMoLgnvpR10_ias5trm9A7mO5ChGktySoFfArjw</t>
  </si>
  <si>
    <t>Lê Thị Thúy Hường</t>
  </si>
  <si>
    <t>Công ty TNHH Kiểm toán Định giá GAA</t>
  </si>
  <si>
    <t>2_ABaOnuewTbfxSxsb_rHfmQufzlus4Tbn0CGN2Dv4fWph8wPAe2hixbuZlECUnemYCw</t>
  </si>
  <si>
    <t>HUỲNH TRÚC LÂM</t>
  </si>
  <si>
    <t>2_ABaOnufVFEa0-eUsUF24_stY6OCf9W1XLo8ngtZubGcE3GXMtJK3KXwrQs2Z0J11nA</t>
  </si>
  <si>
    <t>Le Hong Minh</t>
  </si>
  <si>
    <t>MSA ALLIANCE LLC</t>
  </si>
  <si>
    <t>2_ABaOnufymi_MW_0w3CZR-saaf-E7uRshpGJdwwYDa22eInaLlBaZSdj4Lju1db5THQ</t>
  </si>
  <si>
    <t>Nguyễn Thị Bích Diễm</t>
  </si>
  <si>
    <t>Công ty Kiểm toán Chuẩn Việt</t>
  </si>
  <si>
    <t>2_ABaOnueIbKw1JUPlwfDtE1O8rK9xCbFMv6OAg-lmNlQ83hGGCUijNqUmRIjRGarCVg</t>
  </si>
  <si>
    <t>2_ABaOnueOBZ4TJrNcvPpwsQkAhTkMYHpSvAI5929Xa7uuwIFxcMzbpvqXiKwbhAxIlg</t>
  </si>
  <si>
    <t>Phạm Quỳnh Trân</t>
  </si>
  <si>
    <t>ICAEW Việt Nam</t>
  </si>
  <si>
    <t>2_ABaOnuet9ndsnsQNKhLeH9qwNM8ZJ2GelGS9uVkrTTxC4hiXGC_mOuINBRlsPfJwGw</t>
  </si>
  <si>
    <t>Lê Trọng Đức</t>
  </si>
  <si>
    <t>2_ABaOnudlahXWe7PkCCoSHDFke-RzbSTCkGp5irleizVvUK_yn4UrR9hAeXEtIvm0lQ</t>
  </si>
  <si>
    <t>Phan Thị Thanh Thủy</t>
  </si>
  <si>
    <t>2_ABaOnuelio088KE_UJSKAHr4XZzn0h-tZ6vrFZv0W3q5YNGC5AjK6BjV1L34NUhwgQ</t>
  </si>
  <si>
    <t>Đặng Thị Thu Thúy</t>
  </si>
  <si>
    <t>2_ABaOnufpS8oja-YYrfTqCo9jumb-FRaoYDYA_Lw5BpziYH3bXx7jqCsC9eBuYhEYVg</t>
  </si>
  <si>
    <t>Lê Huỳnh Hoàng Phúc</t>
  </si>
  <si>
    <t>2_ABaOnufKOUCkK6Bg7a63ptOL5IHf0-lylGU1oKkqd6PUWbymBhnRt3xVSseRIItPjw</t>
  </si>
  <si>
    <t>NGUYỄN THỊ THU HUYỀN</t>
  </si>
  <si>
    <t>2_ABaOnud4sNi0FsjFppNCQc-6op_dERgf0vohJ43DeAsXlFbnjSfuVpkeZjz7pBwizw</t>
  </si>
  <si>
    <t>TRẦN DƯƠNG MINH LONG</t>
  </si>
  <si>
    <t>2_ABaOnuf4oqG_6MgRdYM6C_S6BDERd-YnPn8UF8l2J3N3IHmxSsqNDYsgsrgXKPF9Qg</t>
  </si>
  <si>
    <t>Trâm Lê</t>
  </si>
  <si>
    <t>2_ABaOnudmNS6v31kI7W66-4XEAhyMF-lGeQx6qN-gqd-F83bAPeQobIDlZTGZvea_FA</t>
  </si>
  <si>
    <t>Lê Mai Thiện Tín</t>
  </si>
  <si>
    <t>2_ABaOnuf91L_vXRkzXTho4mVW9iqHSE-4zpqEUHj_y1BN0TLzmhsLF-PHM3AG9Zgakg</t>
  </si>
  <si>
    <t xml:space="preserve">Ngô Quang Tới </t>
  </si>
  <si>
    <t>Công ty TNHH Tư vấn A&amp;C</t>
  </si>
  <si>
    <t>2_ABaOnudh5f96jFAdQ9Kfq88Fawgxqf1sHt07jKBcEV0-oqeTWMBi60W6O_dmP03NhQ</t>
  </si>
  <si>
    <t>Tên câu hỏi</t>
  </si>
  <si>
    <t>Tên khái niệm</t>
  </si>
  <si>
    <t>Mã biến</t>
  </si>
  <si>
    <t>Tên biến</t>
  </si>
  <si>
    <t>Ghi chú</t>
  </si>
  <si>
    <t>Time</t>
  </si>
  <si>
    <t>Name</t>
  </si>
  <si>
    <t>Không bắt buộc</t>
  </si>
  <si>
    <t>Gen</t>
  </si>
  <si>
    <t>Gender</t>
  </si>
  <si>
    <t>Nam - 1; Nữ - 0</t>
  </si>
  <si>
    <t>Com</t>
  </si>
  <si>
    <t>Company</t>
  </si>
  <si>
    <t>Khu vực công tác</t>
  </si>
  <si>
    <t>Region</t>
  </si>
  <si>
    <t>Cert</t>
  </si>
  <si>
    <t>Certificate</t>
  </si>
  <si>
    <t>Exp</t>
  </si>
  <si>
    <t>Experience</t>
  </si>
  <si>
    <t>Pos</t>
  </si>
  <si>
    <t>Position</t>
  </si>
  <si>
    <r>
      <rPr>
        <b/>
        <sz val="10"/>
        <color theme="1"/>
        <rFont val="Arial"/>
        <family val="2"/>
      </rPr>
      <t>Đối với năng lực kiểm toán viên (Auditor Competence - COM)</t>
    </r>
    <r>
      <rPr>
        <sz val="10"/>
        <color theme="1"/>
        <rFont val="Arial"/>
        <family val="2"/>
      </rPr>
      <t xml:space="preserve"> [Kiểm toán viên có kiến thức vững vàng về kế toán và kiểm toán cần thiết cho việc thực hiện các cuộc kiểm toán.]</t>
    </r>
  </si>
  <si>
    <t>Auditor Competence - COM</t>
  </si>
  <si>
    <t>COM1</t>
  </si>
  <si>
    <t>Kiểm toán viên có kiến thức vững vàng về kế toán và kiểm toán cần thiết cho việc thực hiện các cuộc kiểm toán.</t>
  </si>
  <si>
    <r>
      <rPr>
        <b/>
        <sz val="10"/>
        <color theme="1"/>
        <rFont val="Arial"/>
        <family val="2"/>
      </rPr>
      <t>Đối với năng lực kiểm toán viên (Auditor Competence - COM)</t>
    </r>
    <r>
      <rPr>
        <sz val="10"/>
        <color theme="1"/>
        <rFont val="Arial"/>
        <family val="2"/>
      </rPr>
      <t xml:space="preserve"> [Kiểm toán viên có kiến thức tổng quát về các lĩnh vực liên quan như luật, tài chính, thuế và quản lý, phục vụ hiệu quả cho công việc kiểm toán.]</t>
    </r>
  </si>
  <si>
    <t>COM2</t>
  </si>
  <si>
    <t>Kiểm toán viên có kiến thức tổng quát về các lĩnh vực liên quan như luật, tài chính, thuế và quản lý, phục vụ hiệu quả cho công việc kiểm toán.</t>
  </si>
  <si>
    <r>
      <rPr>
        <b/>
        <sz val="10"/>
        <color theme="1"/>
        <rFont val="Arial"/>
        <family val="2"/>
      </rPr>
      <t>Đối với năng lực kiểm toán viên (Auditor Competence - COM)</t>
    </r>
    <r>
      <rPr>
        <sz val="10"/>
        <color theme="1"/>
        <rFont val="Arial"/>
        <family val="2"/>
      </rPr>
      <t xml:space="preserve"> [Kiểm toán viên hiểu rõ hoạt động kinh doanh và môi trường hoạt động của khách hàng mà kiểm toán viên thực hiện kiểm toán.]</t>
    </r>
  </si>
  <si>
    <t>COM3</t>
  </si>
  <si>
    <t>Kiểm toán viên hiểu rõ hoạt động kinh doanh và môi trường hoạt động của khách hàng mà kiểm toán viên thực hiện kiểm toán.</t>
  </si>
  <si>
    <r>
      <rPr>
        <b/>
        <sz val="10"/>
        <color theme="1"/>
        <rFont val="Arial"/>
        <family val="2"/>
      </rPr>
      <t>Đối với năng lực kiểm toán viên (Auditor Competence - COM)</t>
    </r>
    <r>
      <rPr>
        <sz val="10"/>
        <color theme="1"/>
        <rFont val="Arial"/>
        <family val="2"/>
      </rPr>
      <t xml:space="preserve"> [Kiểm toán viên đã tham gia nhiều cuộc kiểm toán.]</t>
    </r>
  </si>
  <si>
    <t>COM4</t>
  </si>
  <si>
    <t>Kiểm toán viên đã tham gia nhiều cuộc kiểm toán.</t>
  </si>
  <si>
    <r>
      <rPr>
        <b/>
        <sz val="10"/>
        <color theme="1"/>
        <rFont val="Arial"/>
        <family val="2"/>
      </rPr>
      <t>Đối với năng lực kiểm toán viên (Auditor Competence - COM)</t>
    </r>
    <r>
      <rPr>
        <sz val="10"/>
        <color theme="1"/>
        <rFont val="Arial"/>
        <family val="2"/>
      </rPr>
      <t xml:space="preserve"> [Trong quá trình thực hiện kiểm toán tại khách hàng, kiểm toán viên phải yêu cầu và xem xét kỹ các quy trình kinh doanh của khách hàng, nhằm bảo đảm sự phù hợp với các kiểm tra chọn mẫu.]</t>
    </r>
  </si>
  <si>
    <t>COM5</t>
  </si>
  <si>
    <t>Trong quá trình thực hiện kiểm toán tại khách hàng, kiểm toán viên phải yêu cầu và xem xét kỹ các quy trình kinh doanh của khách hàng, nhằm bảo đảm sự phù hợp với các kiểm tra chọn mẫu.</t>
  </si>
  <si>
    <r>
      <rPr>
        <b/>
        <sz val="10"/>
        <color theme="1"/>
        <rFont val="Arial"/>
        <family val="2"/>
      </rPr>
      <t>Đối với năng lực kiểm toán viên (Auditor Competence - COM)</t>
    </r>
    <r>
      <rPr>
        <sz val="10"/>
        <color theme="1"/>
        <rFont val="Arial"/>
        <family val="2"/>
      </rPr>
      <t xml:space="preserve"> [Trong nhiệm vụ kiểm toán, kiểm toán viên được kỳ vọng sử dụng phần mềm kiểm toán để thực hiện chọn mẫu một cách hiệu quả.]</t>
    </r>
  </si>
  <si>
    <t>COM6</t>
  </si>
  <si>
    <t>Trong nhiệm vụ kiểm toán, kiểm toán viên được kỳ vọng sử dụng phần mềm kiểm toán để thực hiện chọn mẫu một cách hiệu quả.</t>
  </si>
  <si>
    <r>
      <rPr>
        <b/>
        <sz val="10"/>
        <color theme="1"/>
        <rFont val="Arial"/>
        <family val="2"/>
      </rPr>
      <t>Đối với năng lực kiểm toán viên (Auditor Competence - COM)</t>
    </r>
    <r>
      <rPr>
        <sz val="10"/>
        <color theme="1"/>
        <rFont val="Arial"/>
        <family val="2"/>
      </rPr>
      <t xml:space="preserve"> [Kiểm toán viên có khả năng sử dụng phần mềm kiểm toán theo quy định và hướng dẫn của công ty.]</t>
    </r>
  </si>
  <si>
    <t>COM7</t>
  </si>
  <si>
    <t>Kiểm toán viên có khả năng sử dụng phần mềm kiểm toán theo quy định và hướng dẫn của công ty.</t>
  </si>
  <si>
    <r>
      <rPr>
        <b/>
        <sz val="10"/>
        <color theme="1"/>
        <rFont val="Arial"/>
        <family val="2"/>
      </rPr>
      <t>Đối với năng lực kiểm toán viên (Auditor Competence - COM)</t>
    </r>
    <r>
      <rPr>
        <sz val="10"/>
        <color theme="1"/>
        <rFont val="Arial"/>
        <family val="2"/>
      </rPr>
      <t xml:space="preserve"> [Sau khi hoàn tất thủ tục kiểm toán, kiểm toán viên phải rút ra kết luận dựa trên dữ liệu trong tài liệu làm việc.]</t>
    </r>
  </si>
  <si>
    <t>COM8</t>
  </si>
  <si>
    <t>Sau khi hoàn tất thủ tục kiểm toán, kiểm toán viên phải rút ra kết luận dựa trên dữ liệu trong tài liệu làm việc.</t>
  </si>
  <si>
    <r>
      <rPr>
        <b/>
        <sz val="10"/>
        <color theme="1"/>
        <rFont val="Arial"/>
        <family val="2"/>
      </rPr>
      <t>Đối với năng lực kiểm toán viên (Auditor Competence - COM)</t>
    </r>
    <r>
      <rPr>
        <sz val="10"/>
        <color theme="1"/>
        <rFont val="Arial"/>
        <family val="2"/>
      </rPr>
      <t xml:space="preserve"> [Kiểm toán viên tham gia đầy đủ các chương trình cập nhật kiến thức nghề nghiệp theo quy định của Bộ Tài chính.]</t>
    </r>
  </si>
  <si>
    <t>COM9</t>
  </si>
  <si>
    <t>Kiểm toán viên tham gia đầy đủ các chương trình cập nhật kiến thức nghề nghiệp theo quy định của Bộ Tài chính.</t>
  </si>
  <si>
    <r>
      <rPr>
        <b/>
        <sz val="10"/>
        <color theme="1"/>
        <rFont val="Arial"/>
        <family val="2"/>
      </rPr>
      <t>Đối với hoài nghi nghề nghiệp (Professional Skepticism - PS)</t>
    </r>
    <r>
      <rPr>
        <sz val="10"/>
        <color theme="1"/>
        <rFont val="Arial"/>
        <family val="2"/>
      </rPr>
      <t xml:space="preserve"> [Kiểm toán viên thường xuyên đặt câu hỏi về tính hợp lý của thông tin do khách hàng cung cấp.]</t>
    </r>
  </si>
  <si>
    <t>Professional Skepticism - PS</t>
  </si>
  <si>
    <t>PS1</t>
  </si>
  <si>
    <t>Kiểm toán viên thường xuyên đặt câu hỏi về tính hợp lý của thông tin do khách hàng cung cấp.</t>
  </si>
  <si>
    <r>
      <rPr>
        <b/>
        <sz val="10"/>
        <color theme="1"/>
        <rFont val="Arial"/>
        <family val="2"/>
      </rPr>
      <t>Đối với hoài nghi nghề nghiệp (Professional Skepticism - PS)</t>
    </r>
    <r>
      <rPr>
        <sz val="10"/>
        <color theme="1"/>
        <rFont val="Arial"/>
        <family val="2"/>
      </rPr>
      <t xml:space="preserve"> [Kiểm toán viên luôn yêu cầu bằng chứng kiểm toán đầy đủ và thích hợp để xác minh các trình bày của khách hàng.]</t>
    </r>
  </si>
  <si>
    <t>PS2</t>
  </si>
  <si>
    <t>Kiểm toán viên luôn yêu cầu bằng chứng kiểm toán đầy đủ và thích hợp để xác minh các trình bày của khách hàng.</t>
  </si>
  <si>
    <r>
      <rPr>
        <b/>
        <sz val="10"/>
        <color theme="1"/>
        <rFont val="Arial"/>
        <family val="2"/>
      </rPr>
      <t>Đối với hoài nghi nghề nghiệp (Professional Skepticism - PS)</t>
    </r>
    <r>
      <rPr>
        <sz val="10"/>
        <color theme="1"/>
        <rFont val="Arial"/>
        <family val="2"/>
      </rPr>
      <t xml:space="preserve"> [Kiểm toán viên thận trọng khi đánh giá độ tin cậy của thông tin thu thập được từ khách hàng.]</t>
    </r>
  </si>
  <si>
    <t>PS3</t>
  </si>
  <si>
    <t>Kiểm toán viên thận trọng khi đánh giá độ tin cậy của thông tin thu thập được từ khách hàng.</t>
  </si>
  <si>
    <r>
      <rPr>
        <b/>
        <sz val="10"/>
        <color theme="1"/>
        <rFont val="Arial"/>
        <family val="2"/>
      </rPr>
      <t>Đối với hoài nghi nghề nghiệp (Professional Skepticism - PS)</t>
    </r>
    <r>
      <rPr>
        <sz val="10"/>
        <color theme="1"/>
        <rFont val="Arial"/>
        <family val="2"/>
      </rPr>
      <t xml:space="preserve"> [Kiểm toán viên không nên mặc định rằng thông tin do khách hàng cung cấp là chính xác nếu chưa được kiểm chứng.]</t>
    </r>
  </si>
  <si>
    <t>PS4</t>
  </si>
  <si>
    <t>Kiểm toán viên không nên mặc định rằng thông tin do khách hàng cung cấp là chính xác nếu chưa được kiểm chứng.</t>
  </si>
  <si>
    <r>
      <rPr>
        <b/>
        <sz val="10"/>
        <color theme="1"/>
        <rFont val="Arial"/>
        <family val="2"/>
      </rPr>
      <t>Đối với hoài nghi nghề nghiệp (Professional Skepticism - PS)</t>
    </r>
    <r>
      <rPr>
        <sz val="10"/>
        <color theme="1"/>
        <rFont val="Arial"/>
        <family val="2"/>
      </rPr>
      <t xml:space="preserve"> [Kiểm toán viên đánh giá một cách độc lập các thông tin do khách hàng cung cấp thay vì chỉ dựa vào sự tin tưởng.]</t>
    </r>
  </si>
  <si>
    <t>PS5</t>
  </si>
  <si>
    <t>Kiểm toán viên đánh giá một cách độc lập các thông tin do khách hàng cung cấp thay vì chỉ dựa vào sự tin tưởng.</t>
  </si>
  <si>
    <r>
      <rPr>
        <b/>
        <sz val="10"/>
        <color theme="1"/>
        <rFont val="Arial"/>
        <family val="2"/>
      </rPr>
      <t>Đối với động lực (Motivation - MO)</t>
    </r>
    <r>
      <rPr>
        <sz val="10"/>
        <color theme="1"/>
        <rFont val="Arial"/>
        <family val="2"/>
      </rPr>
      <t xml:space="preserve"> [Kiểm toán viên thấy hứng thú với công việc kiểm toán]</t>
    </r>
  </si>
  <si>
    <t>Motivation - MO</t>
  </si>
  <si>
    <t>MO1</t>
  </si>
  <si>
    <t>Kiểm toán viên thấy hứng thú với công việc kiểm toán</t>
  </si>
  <si>
    <r>
      <rPr>
        <b/>
        <sz val="10"/>
        <color theme="1"/>
        <rFont val="Arial"/>
        <family val="2"/>
      </rPr>
      <t>Đối với động lực (Motivation - MO)</t>
    </r>
    <r>
      <rPr>
        <sz val="10"/>
        <color theme="1"/>
        <rFont val="Arial"/>
        <family val="2"/>
      </rPr>
      <t xml:space="preserve"> [Kiểm toán viên cảm thấy công việc kiểm toán có ý nghĩa đối với bản thân]</t>
    </r>
  </si>
  <si>
    <t>MO2</t>
  </si>
  <si>
    <t>Kiểm toán viên cảm thấy công việc kiểm toán có ý nghĩa đối với bản thân</t>
  </si>
  <si>
    <r>
      <rPr>
        <b/>
        <sz val="10"/>
        <color theme="1"/>
        <rFont val="Arial"/>
        <family val="2"/>
      </rPr>
      <t>Đối với động lực (Motivation - MO)</t>
    </r>
    <r>
      <rPr>
        <sz val="10"/>
        <color theme="1"/>
        <rFont val="Arial"/>
        <family val="2"/>
      </rPr>
      <t xml:space="preserve"> [Kiểm toán viên cảm thấy không thoải mái khi làm việc thiếu động lực.]</t>
    </r>
  </si>
  <si>
    <t>MO3</t>
  </si>
  <si>
    <t>Kiểm toán viên cảm thấy không thoải mái khi làm việc thiếu động lực.</t>
  </si>
  <si>
    <r>
      <rPr>
        <b/>
        <sz val="10"/>
        <color theme="1"/>
        <rFont val="Arial"/>
        <family val="2"/>
      </rPr>
      <t>Đối với động lực (Motivation - MO)</t>
    </r>
    <r>
      <rPr>
        <sz val="10"/>
        <color theme="1"/>
        <rFont val="Arial"/>
        <family val="2"/>
      </rPr>
      <t xml:space="preserve"> [Kiểm toán viên được người khác tôn trọng hơn (cấp trên, đồng nghiệp, gia đình, khách hàng…) khi làm việc có động lực.]</t>
    </r>
  </si>
  <si>
    <t>MO4</t>
  </si>
  <si>
    <t>Kiểm toán viên được người khác tôn trọng hơn (cấp trên, đồng nghiệp, gia đình, khách hàng…) khi làm việc có động lực.</t>
  </si>
  <si>
    <r>
      <rPr>
        <b/>
        <sz val="10"/>
        <color theme="1"/>
        <rFont val="Arial"/>
        <family val="2"/>
      </rPr>
      <t>Đối với động lực (Motivation - MO)</t>
    </r>
    <r>
      <rPr>
        <sz val="10"/>
        <color theme="1"/>
        <rFont val="Arial"/>
        <family val="2"/>
      </rPr>
      <t xml:space="preserve"> [Kiểm toán viên có thể mất việc, nếu không nỗ lực trong công việc.]</t>
    </r>
  </si>
  <si>
    <t>MO5</t>
  </si>
  <si>
    <t>Kiểm toán viên có thể mất việc, nếu không nỗ lực trong công việc.</t>
  </si>
  <si>
    <r>
      <rPr>
        <b/>
        <sz val="10"/>
        <color theme="1"/>
        <rFont val="Arial"/>
        <family val="2"/>
      </rPr>
      <t>Đối với áp lực quỹ thời gian (Time budget pressure - TP)</t>
    </r>
    <r>
      <rPr>
        <sz val="10"/>
        <color theme="1"/>
        <rFont val="Arial"/>
        <family val="2"/>
      </rPr>
      <t xml:space="preserve"> [Kiểm toán viên nhận thấy quỹ thời gian kiểm toán là một trở ngại cho việc thực hiện hoặc hoàn thành một số thủ tục kiểm toán.]</t>
    </r>
  </si>
  <si>
    <t>Time budget pressure - TP</t>
  </si>
  <si>
    <t>TP1</t>
  </si>
  <si>
    <t>Kiểm toán viên nhận thấy quỹ thời gian kiểm toán là một trở ngại cho việc thực hiện hoặc hoàn thành một số thủ tục kiểm toán.</t>
  </si>
  <si>
    <r>
      <rPr>
        <b/>
        <sz val="10"/>
        <color theme="1"/>
        <rFont val="Arial"/>
        <family val="2"/>
      </rPr>
      <t>Đối với áp lực quỹ thời gian (Time budget pressure - TP)</t>
    </r>
    <r>
      <rPr>
        <sz val="10"/>
        <color theme="1"/>
        <rFont val="Arial"/>
        <family val="2"/>
      </rPr>
      <t xml:space="preserve"> [Kiểm toán viên nhận thấy việc thực hiện hoặc hoàn thành một số thủ tục kiểm toán trong giới hạn thời gian là khó để đạt được.]</t>
    </r>
  </si>
  <si>
    <t>TP2</t>
  </si>
  <si>
    <t>Kiểm toán viên nhận thấy việc thực hiện hoặc hoàn thành một số thủ tục kiểm toán trong giới hạn thời gian là khó để đạt được.</t>
  </si>
  <si>
    <r>
      <rPr>
        <b/>
        <sz val="10"/>
        <color theme="1"/>
        <rFont val="Arial"/>
        <family val="2"/>
      </rPr>
      <t>Đối với áp lực quỹ thời gian (Time budget pressure - TP)</t>
    </r>
    <r>
      <rPr>
        <sz val="10"/>
        <color theme="1"/>
        <rFont val="Arial"/>
        <family val="2"/>
      </rPr>
      <t xml:space="preserve"> [Kiểm toán viên thường phải rút ngắn thời gian dành cho một số thủ tục kiểm toán để hoàn thành công việc đúng hạn.]</t>
    </r>
  </si>
  <si>
    <t>TP3</t>
  </si>
  <si>
    <t>Kiểm toán viên thường phải rút ngắn thời gian dành cho một số thủ tục kiểm toán để hoàn thành công việc đúng hạn.</t>
  </si>
  <si>
    <r>
      <rPr>
        <b/>
        <sz val="10"/>
        <color theme="1"/>
        <rFont val="Arial"/>
        <family val="2"/>
      </rPr>
      <t>Đối với áp lực quỹ thời gian (Time budget pressure - TP)</t>
    </r>
    <r>
      <rPr>
        <sz val="10"/>
        <color theme="1"/>
        <rFont val="Arial"/>
        <family val="2"/>
      </rPr>
      <t xml:space="preserve"> [Áp lực hoàn thành kiểm toán đúng hạn khiến kiểm toán viên phải làm việc với cường độ cao.]</t>
    </r>
  </si>
  <si>
    <t>TP4</t>
  </si>
  <si>
    <t>Áp lực hoàn thành kiểm toán đúng hạn khiến kiểm toán viên phải làm việc với cường độ cao.</t>
  </si>
  <si>
    <r>
      <rPr>
        <b/>
        <sz val="10"/>
        <color theme="1"/>
        <rFont val="Arial"/>
        <family val="2"/>
      </rPr>
      <t>Đối với sử dụng công nghệ thông tin (Use Information Technology - IT)</t>
    </r>
    <r>
      <rPr>
        <sz val="10"/>
        <color theme="1"/>
        <rFont val="Arial"/>
        <family val="2"/>
      </rPr>
      <t xml:space="preserve"> [Sử dụng CNTT trong công việc giúp kiểm toán viên hoàn thành nhiệm vụ nhanh hơn]</t>
    </r>
  </si>
  <si>
    <t>Use Information Technology - IT</t>
  </si>
  <si>
    <t>IT1</t>
  </si>
  <si>
    <t>Sử dụng CNTT trong công việc giúp kiểm toán viên hoàn thành nhiệm vụ nhanh hơn</t>
  </si>
  <si>
    <r>
      <rPr>
        <b/>
        <sz val="10"/>
        <color theme="1"/>
        <rFont val="Arial"/>
        <family val="2"/>
      </rPr>
      <t>Đối với sử dụng công nghệ thông tin (Use Information Technology - IT)</t>
    </r>
    <r>
      <rPr>
        <sz val="10"/>
        <color theme="1"/>
        <rFont val="Arial"/>
        <family val="2"/>
      </rPr>
      <t xml:space="preserve"> [Sử dụng CNTT có thể nâng cao hiệu quả trong thực hiện các nhiệm vụ công việc của kiểm toán viên]</t>
    </r>
  </si>
  <si>
    <t>IT2</t>
  </si>
  <si>
    <t>Sử dụng CNTT có thể nâng cao hiệu quả trong thực hiện các nhiệm vụ công việc của kiểm toán viên</t>
  </si>
  <si>
    <r>
      <rPr>
        <b/>
        <sz val="10"/>
        <color theme="1"/>
        <rFont val="Arial"/>
        <family val="2"/>
      </rPr>
      <t>Đối với sử dụng công nghệ thông tin (Use Information Technology - IT)</t>
    </r>
    <r>
      <rPr>
        <sz val="10"/>
        <color theme="1"/>
        <rFont val="Arial"/>
        <family val="2"/>
      </rPr>
      <t xml:space="preserve"> [Sử dụng CNTT giúp kiểm toán viên phân tích dữ liệu và thu thập bằng chứng kiểm toán hiệu quả hơn.]</t>
    </r>
  </si>
  <si>
    <t>IT3</t>
  </si>
  <si>
    <t>Sử dụng CNTT giúp kiểm toán viên phân tích dữ liệu và thu thập bằng chứng kiểm toán hiệu quả hơn.</t>
  </si>
  <si>
    <r>
      <rPr>
        <b/>
        <sz val="10"/>
        <color theme="1"/>
        <rFont val="Arial"/>
        <family val="2"/>
      </rPr>
      <t>Đối với sử dụng công nghệ thông tin (Use Information Technology - IT)</t>
    </r>
    <r>
      <rPr>
        <sz val="10"/>
        <color theme="1"/>
        <rFont val="Arial"/>
        <family val="2"/>
      </rPr>
      <t xml:space="preserve"> [Sử dụng CNTT có thể làm tăng đáng kể chất lượng xét đoán của kiểm toán viên.]</t>
    </r>
  </si>
  <si>
    <t>IT4</t>
  </si>
  <si>
    <t>Sử dụng CNTT có thể làm tăng đáng kể chất lượng xét đoán của kiểm toán viên.</t>
  </si>
  <si>
    <r>
      <rPr>
        <b/>
        <sz val="10"/>
        <color theme="1"/>
        <rFont val="Arial"/>
        <family val="2"/>
      </rPr>
      <t>Đối với Văn hóa đạo đức doanh nghiệp (Corporate Ethical Values - CEV)</t>
    </r>
    <r>
      <rPr>
        <sz val="10"/>
        <color theme="1"/>
        <rFont val="Arial"/>
        <family val="2"/>
      </rPr>
      <t xml:space="preserve"> [Các nhà quản lý trong công ty luôn thể hiện hành vi đạo đức trong công việc.]</t>
    </r>
  </si>
  <si>
    <t>Corporate Ethical Values - CEV</t>
  </si>
  <si>
    <t>CEV1</t>
  </si>
  <si>
    <t>Các nhà quản lý trong công ty luôn thể hiện hành vi đạo đức trong công việc.</t>
  </si>
  <si>
    <r>
      <rPr>
        <b/>
        <sz val="10"/>
        <color theme="1"/>
        <rFont val="Arial"/>
        <family val="2"/>
      </rPr>
      <t>Đối với Văn hóa đạo đức doanh nghiệp (Corporate Ethical Values - CEV)</t>
    </r>
    <r>
      <rPr>
        <sz val="10"/>
        <color theme="1"/>
        <rFont val="Arial"/>
        <family val="2"/>
      </rPr>
      <t xml:space="preserve"> [Sự thành công trong công ty được xây dựng dựa trên các hành vi trung thực và đạo đức.]</t>
    </r>
  </si>
  <si>
    <t>CEV2</t>
  </si>
  <si>
    <t>Sự thành công trong công ty được xây dựng dựa trên các hành vi trung thực và đạo đức.</t>
  </si>
  <si>
    <r>
      <rPr>
        <b/>
        <sz val="10"/>
        <color theme="1"/>
        <rFont val="Arial"/>
        <family val="2"/>
      </rPr>
      <t>Đối với Văn hóa đạo đức doanh nghiệp (Corporate Ethical Values - CEV)</t>
    </r>
    <r>
      <rPr>
        <sz val="10"/>
        <color theme="1"/>
        <rFont val="Arial"/>
        <family val="2"/>
      </rPr>
      <t xml:space="preserve"> [Ban lãnh đạo cấp cao thường xuyên nhấn mạnh tầm quan trọng của việc tuân thủ chuẩn mực đạo đức nghề nghiệp.]</t>
    </r>
  </si>
  <si>
    <t>CEV3</t>
  </si>
  <si>
    <t>Ban lãnh đạo cấp cao thường xuyên nhấn mạnh tầm quan trọng của việc tuân thủ chuẩn mực đạo đức nghề nghiệp.</t>
  </si>
  <si>
    <r>
      <rPr>
        <b/>
        <sz val="10"/>
        <color theme="1"/>
        <rFont val="Arial"/>
        <family val="2"/>
      </rPr>
      <t>Đối với Văn hóa đạo đức doanh nghiệp (Corporate Ethical Values - CEV)</t>
    </r>
    <r>
      <rPr>
        <sz val="10"/>
        <color theme="1"/>
        <rFont val="Arial"/>
        <family val="2"/>
      </rPr>
      <t xml:space="preserve"> [Công ty có cơ chế xử lý rõ ràng đối với các hành vi phi đạo đức của nhà quản lý.]</t>
    </r>
  </si>
  <si>
    <t>CEV4</t>
  </si>
  <si>
    <t>Công ty có cơ chế xử lý rõ ràng đối với các hành vi phi đạo đức của nhà quản lý.</t>
  </si>
  <si>
    <r>
      <rPr>
        <b/>
        <sz val="10"/>
        <color theme="1"/>
        <rFont val="Arial"/>
        <family val="2"/>
      </rPr>
      <t>Đối với Văn hóa đạo đức doanh nghiệp (Corporate Ethical Values - CEV)</t>
    </r>
    <r>
      <rPr>
        <sz val="10"/>
        <color theme="1"/>
        <rFont val="Arial"/>
        <family val="2"/>
      </rPr>
      <t xml:space="preserve"> [Trong công ty, nguyên tắc đạo đức luôn được đặt cao hơn lợi ích kinh doanh.]</t>
    </r>
  </si>
  <si>
    <t>CEV5</t>
  </si>
  <si>
    <t>Trong công ty, nguyên tắc đạo đức luôn được đặt cao hơn lợi ích kinh doanh.</t>
  </si>
  <si>
    <r>
      <rPr>
        <b/>
        <sz val="10"/>
        <color theme="1"/>
        <rFont val="Arial"/>
        <family val="2"/>
      </rPr>
      <t>Đối với Quản trị doanh nghiệp của khách hàng  (Corporate Governance - CG)</t>
    </r>
    <r>
      <rPr>
        <sz val="10"/>
        <color theme="1"/>
        <rFont val="Arial"/>
        <family val="2"/>
      </rPr>
      <t xml:space="preserve"> [Thành viên HĐQT có chuyên môn tài chính phù hợp.]</t>
    </r>
  </si>
  <si>
    <t>Corporate Governance - CG</t>
  </si>
  <si>
    <t>CG1</t>
  </si>
  <si>
    <t>Thành viên HĐQT có chuyên môn tài chính phù hợp.</t>
  </si>
  <si>
    <r>
      <rPr>
        <b/>
        <sz val="10"/>
        <color theme="1"/>
        <rFont val="Arial"/>
        <family val="2"/>
      </rPr>
      <t>Đối với Quản trị doanh nghiệp của khách hàng  (Corporate Governance - CG)</t>
    </r>
    <r>
      <rPr>
        <sz val="10"/>
        <color theme="1"/>
        <rFont val="Arial"/>
        <family val="2"/>
      </rPr>
      <t xml:space="preserve"> [Một số thành viên HĐQT có kinh nghiệm về kế toán.]</t>
    </r>
  </si>
  <si>
    <t>CG2</t>
  </si>
  <si>
    <t>Một số thành viên HĐQT có kinh nghiệm về kế toán.</t>
  </si>
  <si>
    <r>
      <rPr>
        <b/>
        <sz val="10"/>
        <color theme="1"/>
        <rFont val="Arial"/>
        <family val="2"/>
      </rPr>
      <t>Đối với Quản trị doanh nghiệp của khách hàng  (Corporate Governance - CG)</t>
    </r>
    <r>
      <rPr>
        <sz val="10"/>
        <color theme="1"/>
        <rFont val="Arial"/>
        <family val="2"/>
      </rPr>
      <t xml:space="preserve"> [Một số thành viên HĐQT có kinh nghiệm trong lĩnh vực kinh doanh của doanh nghiệp.]</t>
    </r>
  </si>
  <si>
    <t>CG3</t>
  </si>
  <si>
    <t>Một số thành viên HĐQT có kinh nghiệm trong lĩnh vực kinh doanh của doanh nghiệp.</t>
  </si>
  <si>
    <r>
      <rPr>
        <b/>
        <sz val="10"/>
        <color theme="1"/>
        <rFont val="Arial"/>
        <family val="2"/>
      </rPr>
      <t>Đối với Quản trị doanh nghiệp của khách hàng  (Corporate Governance - CG)</t>
    </r>
    <r>
      <rPr>
        <sz val="10"/>
        <color theme="1"/>
        <rFont val="Arial"/>
        <family val="2"/>
      </rPr>
      <t xml:space="preserve"> [Thành viên HĐQT không có xung đột lợi ích cá nhân.]</t>
    </r>
  </si>
  <si>
    <t>CG4</t>
  </si>
  <si>
    <t>Thành viên HĐQT không có xung đột lợi ích cá nhân.</t>
  </si>
  <si>
    <r>
      <rPr>
        <b/>
        <sz val="10"/>
        <color theme="1"/>
        <rFont val="Arial"/>
        <family val="2"/>
      </rPr>
      <t>Đối với Quản trị doanh nghiệp của khách hàng  (Corporate Governance - CG)</t>
    </r>
    <r>
      <rPr>
        <sz val="10"/>
        <color theme="1"/>
        <rFont val="Arial"/>
        <family val="2"/>
      </rPr>
      <t xml:space="preserve"> [Các nhà quản lý của công ty không gây ảnh hưởng để HĐQT đưa ra quyết định có lợi cho họ.]</t>
    </r>
  </si>
  <si>
    <t>CG5</t>
  </si>
  <si>
    <t>Các nhà quản lý của công ty không gây ảnh hưởng để HĐQT đưa ra quyết định có lợi cho họ.</t>
  </si>
  <si>
    <r>
      <rPr>
        <b/>
        <sz val="10"/>
        <color theme="1"/>
        <rFont val="Arial"/>
        <family val="2"/>
      </rPr>
      <t>Đối với Quản trị doanh nghiệp của khách hàng  (Corporate Governance - CG)</t>
    </r>
    <r>
      <rPr>
        <sz val="10"/>
        <color theme="1"/>
        <rFont val="Arial"/>
        <family val="2"/>
      </rPr>
      <t xml:space="preserve"> [Phần lớn thành viên HĐQT không tham gia điều hành hàng ngày.]</t>
    </r>
  </si>
  <si>
    <t>CG6</t>
  </si>
  <si>
    <t>Phần lớn thành viên HĐQT không tham gia điều hành hàng ngày.</t>
  </si>
  <si>
    <r>
      <rPr>
        <b/>
        <sz val="10"/>
        <color theme="1"/>
        <rFont val="Arial"/>
        <family val="2"/>
      </rPr>
      <t>Đối với Quản trị doanh nghiệp của khách hàng  (Corporate Governance - CG)</t>
    </r>
    <r>
      <rPr>
        <sz val="10"/>
        <color theme="1"/>
        <rFont val="Arial"/>
        <family val="2"/>
      </rPr>
      <t xml:space="preserve"> [HĐQT giám sát nhà quản lý để bảo vệ lợi ích cổ đông.]</t>
    </r>
  </si>
  <si>
    <t>CG7</t>
  </si>
  <si>
    <t>HĐQT giám sát nhà quản lý để bảo vệ lợi ích cổ đông.</t>
  </si>
  <si>
    <r>
      <rPr>
        <b/>
        <sz val="10"/>
        <color theme="1"/>
        <rFont val="Arial"/>
        <family val="2"/>
      </rPr>
      <t>Đối với Quản trị doanh nghiệp của khách hàng  (Corporate Governance - CG)</t>
    </r>
    <r>
      <rPr>
        <sz val="10"/>
        <color theme="1"/>
        <rFont val="Arial"/>
        <family val="2"/>
      </rPr>
      <t xml:space="preserve"> [HĐQT thực hiện hiệu quả quyền bổ nhiệm và bãi nhiệm giám đốc điều hành/quản lý.]</t>
    </r>
  </si>
  <si>
    <t>CG8</t>
  </si>
  <si>
    <t>HĐQT thực hiện hiệu quả quyền bổ nhiệm và bãi nhiệm giám đốc điều hành/quản lý.</t>
  </si>
  <si>
    <r>
      <rPr>
        <b/>
        <sz val="10"/>
        <color theme="1"/>
        <rFont val="Arial"/>
        <family val="2"/>
      </rPr>
      <t>Đối với Quản trị doanh nghiệp của khách hàng  (Corporate Governance - CG)</t>
    </r>
    <r>
      <rPr>
        <sz val="10"/>
        <color theme="1"/>
        <rFont val="Arial"/>
        <family val="2"/>
      </rPr>
      <t xml:space="preserve"> [HĐQT thường xuyên đánh giá hiệu quả hoạt động của ban điều hành.]</t>
    </r>
  </si>
  <si>
    <t>CG9</t>
  </si>
  <si>
    <t>HĐQT thường xuyên đánh giá hiệu quả hoạt động của ban điều hành.</t>
  </si>
  <si>
    <r>
      <rPr>
        <b/>
        <sz val="10"/>
        <color theme="1"/>
        <rFont val="Arial"/>
        <family val="2"/>
      </rPr>
      <t>Đối với đạo đức nghề nghiệp (Professional Ethics - ETH)</t>
    </r>
    <r>
      <rPr>
        <sz val="10"/>
        <color theme="1"/>
        <rFont val="Arial"/>
        <family val="2"/>
      </rPr>
      <t xml:space="preserve"> [Phẩm chất của kiểm toán viên như tính chính trực, trung thực và độc lập, là nền tảng cho hành vi đạo đức.]</t>
    </r>
  </si>
  <si>
    <t>Professional Ethics - ETH</t>
  </si>
  <si>
    <t>ETH1</t>
  </si>
  <si>
    <t>Phẩm chất của kiểm toán viên như tính chính trực, trung thực và độc lập, là nền tảng cho hành vi đạo đức.</t>
  </si>
  <si>
    <r>
      <rPr>
        <b/>
        <sz val="10"/>
        <color theme="1"/>
        <rFont val="Arial"/>
        <family val="2"/>
      </rPr>
      <t>Đối với đạo đức nghề nghiệp (Professional Ethics - ETH)</t>
    </r>
    <r>
      <rPr>
        <sz val="10"/>
        <color theme="1"/>
        <rFont val="Arial"/>
        <family val="2"/>
      </rPr>
      <t xml:space="preserve"> [Chuẩn mực đạo đức yêu cầu kiểm toán viên phải có đầy đủ kiến thức, kỹ năng và chuyên môn cần thiêt để thực hiện công việc hiệu quả.]</t>
    </r>
  </si>
  <si>
    <t>ETH2</t>
  </si>
  <si>
    <t>Chuẩn mực đạo đức yêu cầu kiểm toán viên phải có đầy đủ kiến thức, kỹ năng và chuyên môn cần thiêt để thực hiện công việc hiệu quả.</t>
  </si>
  <si>
    <r>
      <rPr>
        <b/>
        <sz val="10"/>
        <color theme="1"/>
        <rFont val="Arial"/>
        <family val="2"/>
      </rPr>
      <t>Đối với đạo đức nghề nghiệp (Professional Ethics - ETH)</t>
    </r>
    <r>
      <rPr>
        <sz val="10"/>
        <color theme="1"/>
        <rFont val="Arial"/>
        <family val="2"/>
      </rPr>
      <t xml:space="preserve"> [Kiểm toán viên có trách nhiệm với cả khách hàng và công chúng để đảm bảo tính chính xác, minh bạch của thông tin tài chính.]</t>
    </r>
  </si>
  <si>
    <t>ETH3</t>
  </si>
  <si>
    <t>Kiểm toán viên có trách nhiệm với cả khách hàng và công chúng để đảm bảo tính chính xác, minh bạch của thông tin tài chính.</t>
  </si>
  <si>
    <r>
      <rPr>
        <b/>
        <sz val="10"/>
        <color theme="1"/>
        <rFont val="Arial"/>
        <family val="2"/>
      </rPr>
      <t>Đối với đạo đức nghề nghiệp (Professional Ethics - ETH)</t>
    </r>
    <r>
      <rPr>
        <sz val="10"/>
        <color theme="1"/>
        <rFont val="Arial"/>
        <family val="2"/>
      </rPr>
      <t xml:space="preserve"> [Kiểm toán viên tuân thủ bộ quy tắc ứng xử nghề nghiệp trong mọi hoạt động kiểm toán.]</t>
    </r>
  </si>
  <si>
    <t>ETH4</t>
  </si>
  <si>
    <t>Kiểm toán viên tuân thủ bộ quy tắc ứng xử nghề nghiệp trong mọi hoạt động kiểm toán.</t>
  </si>
  <si>
    <r>
      <rPr>
        <b/>
        <sz val="10"/>
        <color theme="1"/>
        <rFont val="Arial"/>
        <family val="2"/>
      </rPr>
      <t>Đối với sự phức tạp nhiệm vụ (Task complexity - TC)</t>
    </r>
    <r>
      <rPr>
        <sz val="10"/>
        <color theme="1"/>
        <rFont val="Arial"/>
        <family val="2"/>
      </rPr>
      <t xml:space="preserve"> [Kiểm toán viên đưa ra ý kiến kiểm toán trong trường hợp có sự không chắc chắn về khả năng giảm giá trị tài sản là một nhiệm vụ phức tap.]</t>
    </r>
  </si>
  <si>
    <t>Task complexity - TC</t>
  </si>
  <si>
    <t>TC1</t>
  </si>
  <si>
    <t>Kiểm toán viên đưa ra ý kiến kiểm toán trong trường hợp có sự không chắc chắn về khả năng giảm giá trị tài sản là một nhiệm vụ phức tap.</t>
  </si>
  <si>
    <r>
      <rPr>
        <b/>
        <sz val="10"/>
        <color theme="1"/>
        <rFont val="Arial"/>
        <family val="2"/>
      </rPr>
      <t>Đối với sự phức tạp nhiệm vụ (Task complexity - TC)</t>
    </r>
    <r>
      <rPr>
        <sz val="10"/>
        <color theme="1"/>
        <rFont val="Arial"/>
        <family val="2"/>
      </rPr>
      <t xml:space="preserve"> [Kiểm toán viên xử lý điều chỉnh kiểm toán còn tranh cãi về việc thuyết minh hay yêu cầu điều chỉnh là một nhiệm vụ phức tạp.]</t>
    </r>
  </si>
  <si>
    <t>TC2</t>
  </si>
  <si>
    <t>Kiểm toán viên xử lý điều chỉnh kiểm toán còn tranh cãi về việc thuyết minh hay yêu cầu điều chỉnh là một nhiệm vụ phức tạp.</t>
  </si>
  <si>
    <r>
      <rPr>
        <b/>
        <sz val="10"/>
        <color theme="1"/>
        <rFont val="Arial"/>
        <family val="2"/>
      </rPr>
      <t>Đối với sự phức tạp nhiệm vụ (Task complexity - TC)</t>
    </r>
    <r>
      <rPr>
        <sz val="10"/>
        <color theme="1"/>
        <rFont val="Arial"/>
        <family val="2"/>
      </rPr>
      <t xml:space="preserve"> [Kiểm toán viên đánh giá hiệu quả hoạt động hệ thống kiểm soát nội bộ là một nhiệm vụ phức tạp.]</t>
    </r>
  </si>
  <si>
    <t>TC3</t>
  </si>
  <si>
    <t>Kiểm toán viên đánh giá hiệu quả hoạt động hệ thống kiểm soát nội bộ là một nhiệm vụ phức tạp.</t>
  </si>
  <si>
    <r>
      <rPr>
        <b/>
        <sz val="10"/>
        <color theme="1"/>
        <rFont val="Arial"/>
        <family val="2"/>
      </rPr>
      <t>Đối với sự phức tạp nhiệm vụ (Task complexity - TC)</t>
    </r>
    <r>
      <rPr>
        <sz val="10"/>
        <color theme="1"/>
        <rFont val="Arial"/>
        <family val="2"/>
      </rPr>
      <t xml:space="preserve"> [Kiểm toán viên xác định mức sai sót tối đa có thể chấp nhận trong thử nghiệm tuân thủ là một nhiệm vụ phức tạp.]</t>
    </r>
  </si>
  <si>
    <t>TC4</t>
  </si>
  <si>
    <t>Kiểm toán viên xác định mức sai sót tối đa có thể chấp nhận trong thử nghiệm tuân thủ là một nhiệm vụ phức tạp.</t>
  </si>
  <si>
    <r>
      <rPr>
        <b/>
        <sz val="10"/>
        <color theme="1"/>
        <rFont val="Arial"/>
        <family val="2"/>
      </rPr>
      <t>Đối với sự phức tạp nhiệm vụ (Task complexity - TC)</t>
    </r>
    <r>
      <rPr>
        <sz val="10"/>
        <color theme="1"/>
        <rFont val="Arial"/>
        <family val="2"/>
      </rPr>
      <t xml:space="preserve"> [Kiểm toán viên ước tính tỷ lệ sai sót dự kiến của tổng thể cho thử nghiệm tuân thủ là một nhiệm vụ phức tạp.]</t>
    </r>
  </si>
  <si>
    <t>TC5</t>
  </si>
  <si>
    <t>Kiểm toán viên ước tính tỷ lệ sai sót dự kiến của tổng thể cho thử nghiệm tuân thủ là một nhiệm vụ phức tạp.</t>
  </si>
  <si>
    <r>
      <rPr>
        <b/>
        <sz val="10"/>
        <color theme="1"/>
        <rFont val="Arial"/>
        <family val="2"/>
      </rPr>
      <t>Đối với sự phức tạp nhiệm vụ (Task complexity - TC)</t>
    </r>
    <r>
      <rPr>
        <sz val="10"/>
        <color theme="1"/>
        <rFont val="Arial"/>
        <family val="2"/>
      </rPr>
      <t xml:space="preserve"> [Kiểm toán viên xác định cỡ mẫu thử nghiệm tuân thủ là một nhiệm vụ phức tạp.]</t>
    </r>
  </si>
  <si>
    <t>TC6</t>
  </si>
  <si>
    <t>Kiểm toán viên xác định cỡ mẫu thử nghiệm tuân thủ là một nhiệm vụ phức tạp.</t>
  </si>
  <si>
    <r>
      <rPr>
        <b/>
        <sz val="10"/>
        <color theme="1"/>
        <rFont val="Arial"/>
        <family val="2"/>
      </rPr>
      <t>Đối với xét đoán kiểm toán (Audit judgment - AJ)</t>
    </r>
    <r>
      <rPr>
        <sz val="10"/>
        <color theme="1"/>
        <rFont val="Arial"/>
        <family val="2"/>
      </rPr>
      <t xml:space="preserve"> [Kiểm toán viên đánh giá mức độ cần thiết phải kiểm tra các giao dịch hoặc nghiệp vụ của khách hàng.]</t>
    </r>
  </si>
  <si>
    <t>Audit judgment - AJ</t>
  </si>
  <si>
    <t>AJ1</t>
  </si>
  <si>
    <t>Kiểm toán viên đánh giá mức độ cần thiết phải kiểm tra các giao dịch hoặc nghiệp vụ của khách hàng.</t>
  </si>
  <si>
    <r>
      <rPr>
        <b/>
        <sz val="10"/>
        <color theme="1"/>
        <rFont val="Arial"/>
        <family val="2"/>
      </rPr>
      <t>Đối với xét đoán kiểm toán (Audit judgment - AJ)</t>
    </r>
    <r>
      <rPr>
        <sz val="10"/>
        <color theme="1"/>
        <rFont val="Arial"/>
        <family val="2"/>
      </rPr>
      <t xml:space="preserve"> [Kiểm toán viên đánh giá mức độ rủi ro sai sót trọng yếu của các khoản mục trên báo cáo tài chính khách hàng.]</t>
    </r>
  </si>
  <si>
    <t>AJ2</t>
  </si>
  <si>
    <t>Kiểm toán viên đánh giá mức độ rủi ro sai sót trọng yếu của các khoản mục trên báo cáo tài chính khách hàng.</t>
  </si>
  <si>
    <r>
      <rPr>
        <b/>
        <sz val="10"/>
        <color theme="1"/>
        <rFont val="Arial"/>
        <family val="2"/>
      </rPr>
      <t>Đối với xét đoán kiểm toán (Audit judgment - AJ)</t>
    </r>
    <r>
      <rPr>
        <sz val="10"/>
        <color theme="1"/>
        <rFont val="Arial"/>
        <family val="2"/>
      </rPr>
      <t xml:space="preserve"> [Kiểm toán viên đánh giá tính đầy đủ và độ tin cậy của bằng chứng kiểm toán trước khi đưa ra kết luận.]</t>
    </r>
  </si>
  <si>
    <t>AJ3</t>
  </si>
  <si>
    <t>Kiểm toán viên đánh giá tính đầy đủ và độ tin cậy của bằng chứng kiểm toán trước khi đưa ra kết luận.</t>
  </si>
  <si>
    <r>
      <rPr>
        <b/>
        <sz val="10"/>
        <color theme="1"/>
        <rFont val="Arial"/>
        <family val="2"/>
      </rPr>
      <t>Đối với chất lượng kiểm toán (Audit quality - AQ)</t>
    </r>
    <r>
      <rPr>
        <sz val="10"/>
        <color theme="1"/>
        <rFont val="Arial"/>
        <family val="2"/>
      </rPr>
      <t xml:space="preserve"> [Công ty kiểm toán thường xuyên cải thiện quy trình nhằm giảm thiểu các điểm yếu được cơ quan quản lý phát hiện.]</t>
    </r>
  </si>
  <si>
    <t>Audit quality - AQ</t>
  </si>
  <si>
    <t>AQ1</t>
  </si>
  <si>
    <t>Công ty kiểm toán thường xuyên cải thiện quy trình nhằm giảm thiểu các điểm yếu được cơ quan quản lý phát hiện.</t>
  </si>
  <si>
    <r>
      <rPr>
        <b/>
        <sz val="10"/>
        <color theme="1"/>
        <rFont val="Arial"/>
        <family val="2"/>
      </rPr>
      <t>Đối với chất lượng kiểm toán (Audit quality - AQ)</t>
    </r>
    <r>
      <rPr>
        <sz val="10"/>
        <color theme="1"/>
        <rFont val="Arial"/>
        <family val="2"/>
      </rPr>
      <t xml:space="preserve"> [Việc công bố kết quả kiểm tra của cơ quan quản lý khuyến khích kiểm toán viên nâng cao chất lượng kiểm toán.]</t>
    </r>
  </si>
  <si>
    <t>AQ2</t>
  </si>
  <si>
    <t>Việc công bố kết quả kiểm tra của cơ quan quản lý khuyến khích kiểm toán viên nâng cao chất lượng kiểm toán.</t>
  </si>
  <si>
    <r>
      <rPr>
        <b/>
        <sz val="10"/>
        <color theme="1"/>
        <rFont val="Arial"/>
        <family val="2"/>
      </rPr>
      <t>Đối với chất lượng kiểm toán (Audit quality - AQ)</t>
    </r>
    <r>
      <rPr>
        <sz val="10"/>
        <color theme="1"/>
        <rFont val="Arial"/>
        <family val="2"/>
      </rPr>
      <t xml:space="preserve"> [Kiểm toán viên luôn thực hiện công việc cẩn trọng để hạn chế việc khách hàng phải điều chỉnh lại báo cáo tài chính hoặc phát hành lại ý kiến kiểm toán.]</t>
    </r>
  </si>
  <si>
    <t>AQ3</t>
  </si>
  <si>
    <t>Kiểm toán viên luôn thực hiện công việc cẩn trọng để hạn chế việc khách hàng phải điều chỉnh lại báo cáo tài chính hoặc phát hành lại ý kiến kiểm toán.</t>
  </si>
  <si>
    <r>
      <rPr>
        <b/>
        <sz val="10"/>
        <color theme="1"/>
        <rFont val="Arial"/>
        <family val="2"/>
      </rPr>
      <t>Đối với chất lượng kiểm toán (Audit quality - AQ)</t>
    </r>
    <r>
      <rPr>
        <sz val="10"/>
        <color theme="1"/>
        <rFont val="Arial"/>
        <family val="2"/>
      </rPr>
      <t xml:space="preserve"> [Kiểm toán viên tuân thủ chuẩn mực kiểm toán để hạn chế sai phạm và rủi ro pháp lý trong kiểm toán.]</t>
    </r>
  </si>
  <si>
    <t>AQ4</t>
  </si>
  <si>
    <t>Kiểm toán viên tuân thủ chuẩn mực kiểm toán để hạn chế sai phạm và rủi ro pháp lý trong kiểm toán.</t>
  </si>
  <si>
    <r>
      <rPr>
        <b/>
        <sz val="10"/>
        <color theme="1"/>
        <rFont val="Arial"/>
        <family val="2"/>
      </rPr>
      <t>Đối với chất lượng kiểm toán (Audit quality - AQ)</t>
    </r>
    <r>
      <rPr>
        <sz val="10"/>
        <color theme="1"/>
        <rFont val="Arial"/>
        <family val="2"/>
      </rPr>
      <t xml:space="preserve"> [Kiểm toán viên luôn nỗ lực phát hành báo cáo kiểm toán độc lập đáng tin cậy, hữu ích và kịp thời.]</t>
    </r>
  </si>
  <si>
    <t>AQ5</t>
  </si>
  <si>
    <t>Kiểm toán viên luôn nỗ lực phát hành báo cáo kiểm toán độc lập đáng tin cậy, hữu ích và kịp thời.</t>
  </si>
  <si>
    <r>
      <rPr>
        <b/>
        <sz val="10"/>
        <color theme="1"/>
        <rFont val="Arial"/>
        <family val="2"/>
      </rPr>
      <t>Đối với chất lượng kiểm toán (Audit quality - AQ)</t>
    </r>
    <r>
      <rPr>
        <sz val="10"/>
        <color theme="1"/>
        <rFont val="Arial"/>
        <family val="2"/>
      </rPr>
      <t xml:space="preserve"> [Kiểm toán viên của công ty thường xuyên phát hiện và báo cáo các điểm yếu trong kiểm soát nội bộ của khách hàng thông qua Thư quản lý.]</t>
    </r>
  </si>
  <si>
    <t>AQ6</t>
  </si>
  <si>
    <t>Kiểm toán viên của công ty thường xuyên phát hiện và báo cáo các điểm yếu trong kiểm soát nội bộ của khách hàng thông qua Thư quản lý.</t>
  </si>
  <si>
    <t>Mã trả lời</t>
  </si>
  <si>
    <t>Chứng chỉ</t>
  </si>
  <si>
    <t>Tổng số</t>
  </si>
  <si>
    <t>ACCA</t>
  </si>
  <si>
    <t>CPA Aus</t>
  </si>
  <si>
    <t>CPA Australia</t>
  </si>
  <si>
    <t>IAP</t>
  </si>
  <si>
    <t>Kế toán trưởng</t>
  </si>
  <si>
    <t>Luật sư</t>
  </si>
  <si>
    <t>Quản tài viên</t>
  </si>
  <si>
    <t>Grand Total</t>
  </si>
  <si>
    <t>Công ty</t>
  </si>
  <si>
    <t>Tên người khảo sát</t>
  </si>
  <si>
    <t>Kinh nghiệm</t>
  </si>
  <si>
    <t>Vị trí</t>
  </si>
  <si>
    <t>Công ty TNHH Kiểm toán ES-(Đổi tên từ Công ty TNHH Kiểm toán ES -Glocal)</t>
  </si>
  <si>
    <t>Công ty TNHH Kiểm toán và Dịch vụ Tư vấn Hà Nội</t>
  </si>
  <si>
    <t>Công ty TNHH Kiểm toán và Tư vấn KMF</t>
  </si>
  <si>
    <t>Công ty TNHH Kiểm toán Quốc tế</t>
  </si>
  <si>
    <t>Công ty TNHH Ernst &amp; Young Việt Nam</t>
  </si>
  <si>
    <t>Công ty TNHH Kiểm toán và Định giá Toàn Cầu</t>
  </si>
  <si>
    <t>Công ty TNHH Tư vấn Đầu tư, Tài chính, Kế toán, Thuế -Kiểm toán COM.PT</t>
  </si>
  <si>
    <t>Công ty TNHH Kiểm toán và Định giá GAA (đổi tên từ Công ty TNHH Tư vấn GAA)</t>
  </si>
  <si>
    <t>Công ty TNHH MSA Alliance</t>
  </si>
  <si>
    <t>Công ty TNHH Kiểm toán và Định giá Quốc tế (IAV)</t>
  </si>
  <si>
    <t>Công ty TNHH Kiểm toán AGS</t>
  </si>
  <si>
    <t>Công ty TNHH Kiểm toán Tư vấn Sáng Lập Á Châu</t>
  </si>
  <si>
    <t>Công ty TNHH Kiểm toán và Tư vấn FTAC (Đổi tên từ Công ty TNHH Tư vấn và Tin học FTAC)</t>
  </si>
  <si>
    <t>Công ty TNHH Dịch vụ Tư vấn và Kiểm toán FPF</t>
  </si>
  <si>
    <t>Công ty TNHH Kiểm toán NVA (đổi tên từ Công ty TNHH Dịch vụ Tư vấn Tài chính Kế toán và Kiểm toán Nam Việt)</t>
  </si>
  <si>
    <t>Công ty TNHH Hãng Kiểm toán AASC</t>
  </si>
  <si>
    <t>Công ty TNHH Kiểm toán - Tư vấn định giá ACC_Việt Nam</t>
  </si>
  <si>
    <t>Công ty TNHH T.L.C.Auditing</t>
  </si>
  <si>
    <t>Công ty TNHH Kiểm toán và Tư vấn A&amp;A</t>
  </si>
  <si>
    <t>Công ty TNHH PwC (Việt Nam)</t>
  </si>
  <si>
    <t>Công ty TNHH Parker Russell Việt Nam (đổi tên từ Công ty TNHH Parker Randall Việt Nam)</t>
  </si>
  <si>
    <t>Công ty TNHH Kế toán - Kiểm toán - Tư vấn Việt Nam</t>
  </si>
  <si>
    <t>Công ty TNHH NEXIA STT</t>
  </si>
  <si>
    <t>Công ty TNHH dịch vụ kiểm toán và tư vấn kế toán Bắc Đẩu</t>
  </si>
  <si>
    <t>Công ty TNHH Kiểm toán và Tư vấn Tâm An (Công ty TNHH Kiểm toán TTP)</t>
  </si>
  <si>
    <t>Công ty TNHH Kiểm toán Thăng Long</t>
  </si>
  <si>
    <t>Công ty TNHH Kiểm toán và Định giá Thăng Long - T.D.K</t>
  </si>
  <si>
    <t>Công ty TNHH Hãng kiểm toán AMA</t>
  </si>
  <si>
    <t>Công ty TNHH Kiểm toán và Thẩm định giá Miền Trung (tên cũ Công ty TNHH Kiểm toán - Tư vấn Thuế và Thẩm định giá ATCV)</t>
  </si>
  <si>
    <t>Công ty TNHH Kiểm toán Phương Đông</t>
  </si>
  <si>
    <t>Công ty TNHH Kiểm toán Mỹ</t>
  </si>
  <si>
    <t>Công ty TNHH Hãng Kiểm toán ACCA Việt Nam</t>
  </si>
  <si>
    <t>Công ty TNHH Kiểm toán và Tư vấn Samdo Việt Nam</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</si>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</sst>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E8F0FE"/>
        <bgColor rgb="FFE8F0FE"/>
      </patternFill>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xf numFmtId="164" fontId="1" fillId="0" borderId="0" xfId="0" applyNumberFormat="1" applyFont="1"/>
    <xf numFmtId="0" fontId="1" fillId="2" borderId="0" xfId="0" applyFont="1" applyFill="1"/>
    <xf numFmtId="0" fontId="1" fillId="3" borderId="0" xfId="0" applyFont="1" applyFill="1"/>
    <xf numFmtId="0" fontId="1" fillId="4" borderId="0" xfId="0" applyFont="1" applyFill="1"/>
    <xf numFmtId="0" fontId="0" fillId="0" borderId="1" xfId="0" pivotButton="1" applyBorder="1"/>
    <xf numFmtId="0" fontId="0" fillId="0" borderId="2" xfId="0" applyBorder="1"/>
    <xf numFmtId="0" fontId="0" fillId="0" borderId="1" xfId="0" applyBorder="1"/>
    <xf numFmtId="0" fontId="0" fillId="0" borderId="3" xfId="0" applyBorder="1"/>
    <xf numFmtId="0" fontId="0" fillId="0" borderId="5" xfId="0" applyBorder="1"/>
    <xf numFmtId="164" fontId="1" fillId="3" borderId="0" xfId="0" applyNumberFormat="1" applyFont="1" applyFill="1"/>
    <xf numFmtId="0" fontId="0" fillId="0" borderId="2" xfId="0" applyNumberFormat="1" applyBorder="1"/>
    <xf numFmtId="0" fontId="0" fillId="0" borderId="4" xfId="0" applyNumberFormat="1" applyBorder="1"/>
    <xf numFmtId="0" fontId="0" fillId="0" borderId="6" xfId="0" applyNumberFormat="1" applyBorder="1"/>
  </cellXfs>
  <cellStyles count="1">
    <cellStyle name="Normal" xfId="0" builtinId="0"/>
  </cellStyles>
  <dxfs count="11">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FFFF00"/>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4">
    <tableStyle name="Form Responses 1-style" pivot="0" count="4" xr9:uid="{00000000-0011-0000-FFFF-FFFF00000000}">
      <tableStyleElement type="wholeTable" size="0" dxfId="10"/>
      <tableStyleElement type="headerRow" dxfId="9"/>
      <tableStyleElement type="firstRowStripe" dxfId="8"/>
      <tableStyleElement type="secondRowStripe" dxfId="7"/>
    </tableStyle>
    <tableStyle name="Data-style" pivot="0" count="3" xr9:uid="{00000000-0011-0000-FFFF-FFFF01000000}">
      <tableStyleElement type="headerRow" dxfId="6"/>
      <tableStyleElement type="firstRowStripe" dxfId="5"/>
      <tableStyleElement type="secondRowStripe" dxfId="4"/>
    </tableStyle>
    <tableStyle name="fixed_name-style" pivot="0" count="2" xr9:uid="{00000000-0011-0000-FFFF-FFFF02000000}">
      <tableStyleElement type="firstRowStripe" dxfId="3"/>
      <tableStyleElement type="secondRowStripe" dxfId="2"/>
    </tableStyle>
    <tableStyle name="fixed_name-style 2"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Quân Phạm Trường" refreshedDate="46048.93180416667" refreshedVersion="8" recordCount="688" xr:uid="{00000000-000A-0000-FFFF-FFFF00000000}">
  <cacheSource type="worksheet">
    <worksheetSource ref="C1:D1000" sheet="Certificate"/>
  </cacheSource>
  <cacheFields count="2">
    <cacheField name="Responder ID" numFmtId="0">
      <sharedItems containsBlank="1"/>
    </cacheField>
    <cacheField name="Cert" numFmtId="0">
      <sharedItems containsBlank="1" count="11">
        <s v="Sau đại học"/>
        <s v="Chứng chỉ Kiểm toán viên"/>
        <s v="Đại học"/>
        <s v="CPA Aus"/>
        <s v="Kế toán trưởng"/>
        <s v="Luật sư"/>
        <s v="Quản tài viên"/>
        <s v="CPA Australia"/>
        <s v="IAP"/>
        <s v="ACC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8">
  <r>
    <s v="2_ABaOnucyA0OfArirpwozcUbgBq7a2pCXGekPb74X2dZh1hSRz6_dRw-IaSVecI-U1Q"/>
    <x v="0"/>
  </r>
  <r>
    <s v="2_ABaOnucyA0OfArirpwozcUbgBq7a2pCXGekPb74X2dZh1hSRz6_dRw-IaSVecI-U1Q"/>
    <x v="1"/>
  </r>
  <r>
    <s v="2_ABaOnufn_N38SITZCrLWScnITcXthmzx-Y4ddsBdIC1ULBtgD1jeqnjEZfL6gnX0eQ"/>
    <x v="2"/>
  </r>
  <r>
    <s v="2_ABaOnuezf9brWEWKpeOpOwob8vUTak-hcbN7soiM220x67FnztNYbQTz9GB2ljXzlw"/>
    <x v="2"/>
  </r>
  <r>
    <s v="2_ABaOnuei91-2GcOZTHhaoGWKhwZj_y-mPzugCYXIvb-PgRrNAHkUDWAdDjzIXXv_cg"/>
    <x v="1"/>
  </r>
  <r>
    <s v="2_ABaOnucGK-jgVzLJQ9jtJxrX2D9DxT5CIalnRxlYdkIpqyQO2b7wFv4pY-yeazHvQg"/>
    <x v="0"/>
  </r>
  <r>
    <s v="2_ABaOnucGK-jgVzLJQ9jtJxrX2D9DxT5CIalnRxlYdkIpqyQO2b7wFv4pY-yeazHvQg"/>
    <x v="1"/>
  </r>
  <r>
    <s v="2_ABaOnufTsD36kd5aEcPnkbYSlZmnQXV4XsPShZHzoWt5YlVoPeji_Q0Vh9c1NOZlyQ"/>
    <x v="2"/>
  </r>
  <r>
    <s v="2_ABaOnucnhpF1D0gs7rgu_rtMnRVpUAV049-DyjtW65TSaEAQfoNB0VlpfLI_E_nmFw"/>
    <x v="2"/>
  </r>
  <r>
    <s v="2_ABaOnufaMcfhspG98R1ShQx10pKMmq_t4SnRxEO9U0HdGVObWv-qbsOEXB90mSbseQ"/>
    <x v="2"/>
  </r>
  <r>
    <s v="2_ABaOnufnGHzWy-WgRsr1bwfmKUfwiPkNEqFwHyFH5E2Fh4AAXCft77vRcldCtGbGgg"/>
    <x v="2"/>
  </r>
  <r>
    <s v="2_ABaOnueuG_XkuyjUrCy9crcBgsdlA_zfSb8RofXEYkQPzgKtMh3XkXvaxJ36LaXRhQ"/>
    <x v="2"/>
  </r>
  <r>
    <s v="2_ABaOnud90VqlzXlN8NANERrsJNNLG6PN-iCD1EY1ycIGhmabAXVVxuVYCJ3IoB5xrQ"/>
    <x v="2"/>
  </r>
  <r>
    <s v="2_ABaOnucXl57VKypm1DowSxvPh9ZI5SQ7A01mNmKCr_FjOQX1uRioEEA-X0g49y_pXA"/>
    <x v="0"/>
  </r>
  <r>
    <s v="2_ABaOnucXl57VKypm1DowSxvPh9ZI5SQ7A01mNmKCr_FjOQX1uRioEEA-X0g49y_pXA"/>
    <x v="1"/>
  </r>
  <r>
    <s v="2_ABaOnudJJtmIx6_aqG2bf2g2R6KQHTP5c0Q6ytMCqhP92djMFqHi8S_8gvGGRLmy1A"/>
    <x v="2"/>
  </r>
  <r>
    <s v="2_ABaOnucwXvipOj1Glas4MnGOtOX4BB1cDoDvUa_kuGVUMUVxgZON1sJhWhDc_DIHuA"/>
    <x v="2"/>
  </r>
  <r>
    <s v="2_ABaOnuf8umykjX3xKyCdEvfO9mdjI3kFPlRIXL6oX_W6zvPuVplXB4f4wQYlOBKgXg"/>
    <x v="2"/>
  </r>
  <r>
    <s v="2_ABaOnueTmIvQgiczgKIimUWGVsZXjQ_rmP4xYtdvyPeUuAmgho-sL5t96YeQtL0UhA"/>
    <x v="2"/>
  </r>
  <r>
    <s v="2_ABaOnueTmIvQgiczgKIimUWGVsZXjQ_rmP4xYtdvyPeUuAmgho-sL5t96YeQtL0UhA"/>
    <x v="1"/>
  </r>
  <r>
    <s v="2_ABaOnue-W7z73JeXe-cl8xw4JtbJ_mEOZP3t4QhU2hdFfeLirWhum17UDIxe6a9dfQ"/>
    <x v="2"/>
  </r>
  <r>
    <s v="2_ABaOnueudbFrT36reFmevD8yYmGeTIv_IfTX4oOFzjndbFn_A6EPKb00Ts0d2yJbvQ"/>
    <x v="2"/>
  </r>
  <r>
    <s v="2_ABaOnuflwNU-EqHZ8BJhsXiGQ3tfyg9C8gUBN2crITwH_K4TYOBU6OO3evbuGPhlJg"/>
    <x v="1"/>
  </r>
  <r>
    <s v="2_ABaOnufEhDHb2ceq2XJ8ii8pdRgPgTTEpGYinfti4oxhhCQbBbKVOADaYPZPvFzvvQ"/>
    <x v="2"/>
  </r>
  <r>
    <s v="2_ABaOnudS7zXGIT8zwEQUNobK7FHC_CedHTkhZUMWD3TesoAdkcRj74nDfrLBour7Pw"/>
    <x v="2"/>
  </r>
  <r>
    <s v="2_ABaOnucbFrEY5SVX0suAsNypzBkQ0vNUKltfFnT7OZhJ9QR2q8lugF22mfEbkgsaQQ"/>
    <x v="1"/>
  </r>
  <r>
    <s v="2_ABaOnudXyJQeH9669Q5fgWEJ5zoCxb1J7GHc7xCPWvGUHFIL00Dvmxeygmv65N6QXg"/>
    <x v="2"/>
  </r>
  <r>
    <s v="2_ABaOnudXyJQeH9669Q5fgWEJ5zoCxb1J7GHc7xCPWvGUHFIL00Dvmxeygmv65N6QXg"/>
    <x v="1"/>
  </r>
  <r>
    <s v="2_ABaOnufBJySDSod0ZzuK-Td5iFiJdo-tV0USCtMbJJjl6hh53eWLru7aW5XNS1oxjg"/>
    <x v="0"/>
  </r>
  <r>
    <s v="2_ABaOnudrOLv1zMWukse6gqnPCQ0MjWuW4RP9JcYjPPpqPTkglFC43ISmdVhyVU-fRQ"/>
    <x v="0"/>
  </r>
  <r>
    <s v="2_ABaOnudrOLv1zMWukse6gqnPCQ0MjWuW4RP9JcYjPPpqPTkglFC43ISmdVhyVU-fRQ"/>
    <x v="1"/>
  </r>
  <r>
    <s v="2_ABaOnufUsI6rl_9AzOMVJGGmEW_Dvx0DW6kDWlM10D7SQiUtx0YR9flLTP9WSFkmMA"/>
    <x v="0"/>
  </r>
  <r>
    <s v="2_ABaOnufDWZbeYqUhTqfMpV6burq0NC_TFYG1TgTt-DanLFogPsZQ97s5mSWuscZRdA"/>
    <x v="2"/>
  </r>
  <r>
    <s v="2_ABaOnufDWZbeYqUhTqfMpV6burq0NC_TFYG1TgTt-DanLFogPsZQ97s5mSWuscZRdA"/>
    <x v="1"/>
  </r>
  <r>
    <s v="2_ABaOnud_4trULQTJ8HjOMUhbKZiqOb2QAZqz4J6h4teCbY2hMR2nGElNsRVeVQY2QQ"/>
    <x v="1"/>
  </r>
  <r>
    <s v="2_ABaOnucLy0-NZMTB0BgSbySRDhLcAOu0a4ujjz-pp8yeJ05qpKWqJyocpJVyrpaPEA"/>
    <x v="2"/>
  </r>
  <r>
    <s v="2_ABaOnucLy0-NZMTB0BgSbySRDhLcAOu0a4ujjz-pp8yeJ05qpKWqJyocpJVyrpaPEA"/>
    <x v="1"/>
  </r>
  <r>
    <s v="2_ABaOnueSQLuJRKuJ8Pi9Cc2PTYT5EtBb9kBPFfoCE17oh0uAI2cDfWStr5fKeKcxZA"/>
    <x v="2"/>
  </r>
  <r>
    <s v="2_ABaOnueSQLuJRKuJ8Pi9Cc2PTYT5EtBb9kBPFfoCE17oh0uAI2cDfWStr5fKeKcxZA"/>
    <x v="1"/>
  </r>
  <r>
    <s v="2_ABaOnucGkoBO21qQJcvsPQLIPPWTbxTD34u2KE6VhbN0brrxx_cNtxZ5FBRU5g7mSQ"/>
    <x v="2"/>
  </r>
  <r>
    <s v="2_ABaOnucZn0HGwSx6YxsNg52U2Idvhdaj_pYwqDXk5PZqZmBAWxC_r9x0FxFc7IwYxg"/>
    <x v="2"/>
  </r>
  <r>
    <s v="2_ABaOnucZn0HGwSx6YxsNg52U2Idvhdaj_pYwqDXk5PZqZmBAWxC_r9x0FxFc7IwYxg"/>
    <x v="1"/>
  </r>
  <r>
    <s v="2_ABaOnucZn0HGwSx6YxsNg52U2Idvhdaj_pYwqDXk5PZqZmBAWxC_r9x0FxFc7IwYxg"/>
    <x v="3"/>
  </r>
  <r>
    <s v="2_ABaOnufcsC9cS6xjacnjORilw7rk8LUU76NPUz9rDM60DVH9_qowgFC-ILrOdEDCPA"/>
    <x v="2"/>
  </r>
  <r>
    <s v="2_ABaOnufcsC9cS6xjacnjORilw7rk8LUU76NPUz9rDM60DVH9_qowgFC-ILrOdEDCPA"/>
    <x v="1"/>
  </r>
  <r>
    <s v="2_ABaOnuelv1IKa9c8ysPvZxZeMm_tVJ3qtl7z9iYRG8_vobvsFL6DIjipofvfW9UdNg"/>
    <x v="2"/>
  </r>
  <r>
    <s v="2_ABaOnudmicRj8ewv935db0WMYcKRjjbwNzRjSaGgn_yyMB5jONAdSaOU8qrzF1IUvg"/>
    <x v="0"/>
  </r>
  <r>
    <s v="2_ABaOnudmicRj8ewv935db0WMYcKRjjbwNzRjSaGgn_yyMB5jONAdSaOU8qrzF1IUvg"/>
    <x v="1"/>
  </r>
  <r>
    <s v="2_ABaOnueJpppp5UdcCC-xjz3wZmhoDY0y2W0CrIzeWCyMBwzxr_919Gky_VJwM6UZKw"/>
    <x v="2"/>
  </r>
  <r>
    <s v="2_ABaOnufzAfUHRIhZ940Sajos-Liaibs3pZ_22BoUevP2074aQsl2MINJsCoOm4_BUg"/>
    <x v="2"/>
  </r>
  <r>
    <s v="2_ABaOnuc022ebL8DQ2OFIimxOX5GXJR-ufNOao42Xc9UY9ari6XP66ySWxmDj7EpbPA"/>
    <x v="2"/>
  </r>
  <r>
    <s v="2_ABaOnucNYlbAHDHshzoPPI4QqvvFw2bZqm9x090Hh1XQj7NHsQb_mw2Xvuyl4Wzp2A"/>
    <x v="2"/>
  </r>
  <r>
    <s v="2_ABaOnucuGP2OZZHZfgqC4dPLOZXxEjm60ZWtfr5CpWWRjThB2zD63DnjiCWJ60Bwlw"/>
    <x v="1"/>
  </r>
  <r>
    <s v="2_ABaOnuenRQxM0CB9LWkoWii2SIaFJGq-exKvLlRZZKTGKrQxdgaHnQPmoWzRxHSP2A"/>
    <x v="1"/>
  </r>
  <r>
    <s v="2_ABaOnucYCCxm7HVI56CvF87B_A4HYRCnwAfVwPCwIAzkWmE4R9iqXT90MM5mvxlBTw"/>
    <x v="2"/>
  </r>
  <r>
    <s v="2_ABaOnucYCCxm7HVI56CvF87B_A4HYRCnwAfVwPCwIAzkWmE4R9iqXT90MM5mvxlBTw"/>
    <x v="4"/>
  </r>
  <r>
    <s v="2_ABaOnuehIaAj-iB9ofLl0uqcTnOZmfoesY6UnFv-4GHVfF5-JgKaPf2F0T_jMUZJ5Q"/>
    <x v="1"/>
  </r>
  <r>
    <s v="2_ABaOnud2_Pxs15G3NG4b0OzxvKuZ2pI5pAXNY-Ohxv-qpg762HYLyQBBmhHzTCBQ8g"/>
    <x v="1"/>
  </r>
  <r>
    <s v="2_ABaOnuehbMtMfezn-skpPFqblZJAE0v1EVHGL9xZ76OQW8vbEy0G1CMseF4yU8oiCA"/>
    <x v="2"/>
  </r>
  <r>
    <s v="2_ABaOnuehbMtMfezn-skpPFqblZJAE0v1EVHGL9xZ76OQW8vbEy0G1CMseF4yU8oiCA"/>
    <x v="1"/>
  </r>
  <r>
    <s v="2_ABaOnuepyoEXHtm-zPVNYBmW242rRLln7Jrk7gDoDEpDVbAZQR1tvrS0ovTBFaiyaA"/>
    <x v="0"/>
  </r>
  <r>
    <s v="2_ABaOnuepyoEXHtm-zPVNYBmW242rRLln7Jrk7gDoDEpDVbAZQR1tvrS0ovTBFaiyaA"/>
    <x v="1"/>
  </r>
  <r>
    <s v="2_ABaOnudG_hs_AMAYUOmNBnPP5UWJxqUL6c1vZIXBVsXhZB730YcC29QiGcCe4ZGgDQ"/>
    <x v="2"/>
  </r>
  <r>
    <s v="2_ABaOnuft5Vk3kTDpizoYZH1NgUHCIDgAJCEqIb6Rwb-8PmSCL6W9bLmYmio-Uq2-cA"/>
    <x v="2"/>
  </r>
  <r>
    <s v="2_ABaOnudSMYXWKFJwn8XxSTSS34iLPpd4IhYLitorYKBsJyQY1SJwV-ixhBpq8Yth7w"/>
    <x v="2"/>
  </r>
  <r>
    <s v="2_ABaOnudSMYXWKFJwn8XxSTSS34iLPpd4IhYLitorYKBsJyQY1SJwV-ixhBpq8Yth7w"/>
    <x v="1"/>
  </r>
  <r>
    <s v="2_ABaOnud-K-qFIvtPi-4fgxYxxfl0tsTNMn_d45iw4--MuWjN7r2u7qzY0r1_ZhBZAg"/>
    <x v="2"/>
  </r>
  <r>
    <s v="2_ABaOnudViw0OakDrY50oI_Jxk0GglDlgGNlB1JfqaQ3MqoyZu2-wQY6w0Ud6u8YJug"/>
    <x v="2"/>
  </r>
  <r>
    <s v="2_ABaOnudViw0OakDrY50oI_Jxk0GglDlgGNlB1JfqaQ3MqoyZu2-wQY6w0Ud6u8YJug"/>
    <x v="1"/>
  </r>
  <r>
    <s v="2_ABaOnufSEuOWth3VQVbR4kjTUTeCtgX37b71zojZ_-OM1ITrdFlNwMOCbYAL1_0jVg"/>
    <x v="0"/>
  </r>
  <r>
    <s v="2_ABaOnud0AN3mxU4QKm7Eq0FeOKOWW2pwzAcMy7UtPhwU7yHnvs_7x_KVE5LMJGhlGw"/>
    <x v="2"/>
  </r>
  <r>
    <s v="2_ABaOnudGWrZPdpEe1VP7v_SWvpcGdLIKYAzHp5CLs68HRcGrXhfaNbiTDJUYIzfkaw"/>
    <x v="2"/>
  </r>
  <r>
    <s v="2_ABaOnudGWrZPdpEe1VP7v_SWvpcGdLIKYAzHp5CLs68HRcGrXhfaNbiTDJUYIzfkaw"/>
    <x v="1"/>
  </r>
  <r>
    <s v="2_ABaOnucJCSZl0UxXBAJbilIljS3cygwYuz0XXX_gNoV_katBaG8n-zUCXdYJs7h_Qw"/>
    <x v="0"/>
  </r>
  <r>
    <s v="2_ABaOnucJCSZl0UxXBAJbilIljS3cygwYuz0XXX_gNoV_katBaG8n-zUCXdYJs7h_Qw"/>
    <x v="1"/>
  </r>
  <r>
    <s v="2_ABaOnucD-BjHfGFtT3skRHDakhQHAP12EIz2wZ-vyOXI6hs1p3xnWExie846nBBMHQ"/>
    <x v="2"/>
  </r>
  <r>
    <s v="2_ABaOnuf9Z_WcXLvxtv6IPHJtXUK9VxYf6mIMGBQbquDclj2UdX6_Z8gpzqS1tx27kA"/>
    <x v="1"/>
  </r>
  <r>
    <s v="2_ABaOnufjjDWytK0F9YX4o7qhNJdvPMwJpu3OfklgI1ZhsqXFWjlJaO1hs0dCHCMPeA"/>
    <x v="2"/>
  </r>
  <r>
    <s v="2_ABaOnufjjDWytK0F9YX4o7qhNJdvPMwJpu3OfklgI1ZhsqXFWjlJaO1hs0dCHCMPeA"/>
    <x v="1"/>
  </r>
  <r>
    <s v="2_ABaOnuc4BCNwuAAbiuBhEXknyV62WyQl-fg-0FSrdzLuO_p_ekSgYM-Uhr3wmiZJLQ"/>
    <x v="2"/>
  </r>
  <r>
    <s v="2_ABaOnudwjfPLNGzBm2zH0KW62i-8QNRjZBLFmkD95aHZUiEXrJ8VZrspV2b5vIfblw"/>
    <x v="2"/>
  </r>
  <r>
    <s v="2_ABaOnudwjfPLNGzBm2zH0KW62i-8QNRjZBLFmkD95aHZUiEXrJ8VZrspV2b5vIfblw"/>
    <x v="1"/>
  </r>
  <r>
    <s v="2_ABaOnufn5ok-lo4_xjNP8SBKU7OABUdqfpi13ECeZOeGIm7AIKN4XuIFwb1ft9NAgg"/>
    <x v="2"/>
  </r>
  <r>
    <s v="2_ABaOnucqDb6avlGOWh8swSFYMPOtT-6eR6TOFfwX-ONmH9Urq-kEPsuKkdTlv6jCkw"/>
    <x v="2"/>
  </r>
  <r>
    <s v="2_ABaOnucfz_0UoLgoaNB00bea7DBsysv2wmihhr0kIQ9JQDaNnRwGxRSBuGDYIvpm1g"/>
    <x v="0"/>
  </r>
  <r>
    <s v="2_ABaOnucfz_0UoLgoaNB00bea7DBsysv2wmihhr0kIQ9JQDaNnRwGxRSBuGDYIvpm1g"/>
    <x v="1"/>
  </r>
  <r>
    <s v="2_ABaOnudCKJVhucRTVG1nupUuOhrKXVmXRvqQqD5sYNQn34uxnm-Tp-VOJVwv1ICPQA"/>
    <x v="2"/>
  </r>
  <r>
    <s v="2_ABaOnudCKJVhucRTVG1nupUuOhrKXVmXRvqQqD5sYNQn34uxnm-Tp-VOJVwv1ICPQA"/>
    <x v="1"/>
  </r>
  <r>
    <s v="2_ABaOnufaZl7i5RTga68MDztQq-JsPZ60GmxMT8LsxBbdDX0twTv9ufHDnAkVVQP_OA"/>
    <x v="2"/>
  </r>
  <r>
    <s v="2_ABaOnudqRNWTjFkvp--Dw85a_yUtj5xunShR5knHGA1lfqM9poP0Ti1rrZiuVnopCw"/>
    <x v="2"/>
  </r>
  <r>
    <s v="2_ABaOnuePEgoiNmVbwUMHL3KYjHrV40sZVFpbhDbLuDLiuxSMACafeE16Gc3jrdwAaw"/>
    <x v="2"/>
  </r>
  <r>
    <s v="2_ABaOnuePEgoiNmVbwUMHL3KYjHrV40sZVFpbhDbLuDLiuxSMACafeE16Gc3jrdwAaw"/>
    <x v="1"/>
  </r>
  <r>
    <s v="2_ABaOnufb_SO45mr4868VzXkPiwXmtN6n3dyw3-QB9I5Yvp0wgwcyu5fiGdcoJO51sA"/>
    <x v="2"/>
  </r>
  <r>
    <s v="2_ABaOnufb_SO45mr4868VzXkPiwXmtN6n3dyw3-QB9I5Yvp0wgwcyu5fiGdcoJO51sA"/>
    <x v="1"/>
  </r>
  <r>
    <s v="2_ABaOnud0ADvWGLaULm_meX2gnF8IOn-gepBmIVrCdJ98Cp6hAliP-DpegJAECuECTA"/>
    <x v="1"/>
  </r>
  <r>
    <s v="2_ABaOnud4BXwwt3kJ5kITrNoaW5wU9_KVyeSpbDo1dHq-ZwIuzdhGz6HKGpnjQWrj4g"/>
    <x v="2"/>
  </r>
  <r>
    <s v="2_ABaOnudSPZo8reVpx4ykvMrnalH5QYN_TxBdSbpt-KCJOOHL8A7f1V5XFBEAsnNt_w"/>
    <x v="2"/>
  </r>
  <r>
    <s v="2_ABaOnudSPZo8reVpx4ykvMrnalH5QYN_TxBdSbpt-KCJOOHL8A7f1V5XFBEAsnNt_w"/>
    <x v="0"/>
  </r>
  <r>
    <s v="2_ABaOnudSPZo8reVpx4ykvMrnalH5QYN_TxBdSbpt-KCJOOHL8A7f1V5XFBEAsnNt_w"/>
    <x v="1"/>
  </r>
  <r>
    <s v="2_ABaOnudSPZo8reVpx4ykvMrnalH5QYN_TxBdSbpt-KCJOOHL8A7f1V5XFBEAsnNt_w"/>
    <x v="5"/>
  </r>
  <r>
    <s v="2_ABaOnudSPZo8reVpx4ykvMrnalH5QYN_TxBdSbpt-KCJOOHL8A7f1V5XFBEAsnNt_w"/>
    <x v="6"/>
  </r>
  <r>
    <s v="2_ABaOnucc03THXG6U1jSORHNpe8XZI6hxM13TgcvWU0e1xhWbcLbrh5Xjcx6mafXhOA"/>
    <x v="0"/>
  </r>
  <r>
    <s v="2_ABaOnucoRtan_39wSvEzjgEGzYTz7Sc8RYxUwQZGSDzWygu2Zhep0ybQkMCUVa9bpw"/>
    <x v="2"/>
  </r>
  <r>
    <s v="2_ABaOnucoRtan_39wSvEzjgEGzYTz7Sc8RYxUwQZGSDzWygu2Zhep0ybQkMCUVa9bpw"/>
    <x v="1"/>
  </r>
  <r>
    <s v="2_ABaOnueVIoVT2U7aJJml6Ekv0CHAP4v1nRNmTShQV9EFEot_ui7lOjSu1bdx6aCKNA"/>
    <x v="2"/>
  </r>
  <r>
    <s v="2_ABaOnuccmu9B7KndNHi7uKQT90ScFnW6YsE7uXsVdeHSoKRswZqdu5wohB9YOxzWJA"/>
    <x v="0"/>
  </r>
  <r>
    <s v="2_ABaOnudojshoyi7Ap11tOUFY4iv9J1MCaj-vM_dAQlkyqiRepg3VXIOsD-2VTMDB1A"/>
    <x v="2"/>
  </r>
  <r>
    <s v="2_ABaOnudojshoyi7Ap11tOUFY4iv9J1MCaj-vM_dAQlkyqiRepg3VXIOsD-2VTMDB1A"/>
    <x v="1"/>
  </r>
  <r>
    <s v="2_ABaOnufdftoGc_2zW3XB8wDsRsPIMVf212nN22ed4RkxYVT2AtT4Ogm7JNy5aKEUYw"/>
    <x v="0"/>
  </r>
  <r>
    <s v="2_ABaOnufdftoGc_2zW3XB8wDsRsPIMVf212nN22ed4RkxYVT2AtT4Ogm7JNy5aKEUYw"/>
    <x v="1"/>
  </r>
  <r>
    <s v="2_ABaOnufdftoGc_2zW3XB8wDsRsPIMVf212nN22ed4RkxYVT2AtT4Ogm7JNy5aKEUYw"/>
    <x v="7"/>
  </r>
  <r>
    <s v="2_ABaOnufdftoGc_2zW3XB8wDsRsPIMVf212nN22ed4RkxYVT2AtT4Ogm7JNy5aKEUYw"/>
    <x v="8"/>
  </r>
  <r>
    <s v="2_ABaOnucCobN7tIWtQTiREMc1W9OEO3ghmHhKJLNdWSwaUhUkQe2GimpTTMnDkXy1Fw"/>
    <x v="2"/>
  </r>
  <r>
    <s v="2_ABaOnucCobN7tIWtQTiREMc1W9OEO3ghmHhKJLNdWSwaUhUkQe2GimpTTMnDkXy1Fw"/>
    <x v="1"/>
  </r>
  <r>
    <s v="2_ABaOnudb1Xfh5Bc7jX_mJbktXJlFukXCG8RxOJQGKbfsVIFHpATfFS4XHqsUH-H1Hg"/>
    <x v="2"/>
  </r>
  <r>
    <s v="2_ABaOnudb1Xfh5Bc7jX_mJbktXJlFukXCG8RxOJQGKbfsVIFHpATfFS4XHqsUH-H1Hg"/>
    <x v="1"/>
  </r>
  <r>
    <s v="2_ABaOnueHmcn0Bnq5bOmPk-t7FVXHCp2BZ6BvBQZnlq4g1Nq2A2vGcGIfpmomxZjQHA"/>
    <x v="2"/>
  </r>
  <r>
    <s v="2_ABaOnueHmcn0Bnq5bOmPk-t7FVXHCp2BZ6BvBQZnlq4g1Nq2A2vGcGIfpmomxZjQHA"/>
    <x v="1"/>
  </r>
  <r>
    <s v="2_ABaOnuda5VZmzEAyuAezW196UclHKTBp1HpD582dVMjj01vc9hAwiLwdm99bmMf7uQ"/>
    <x v="2"/>
  </r>
  <r>
    <s v="2_ABaOnuda5VZmzEAyuAezW196UclHKTBp1HpD582dVMjj01vc9hAwiLwdm99bmMf7uQ"/>
    <x v="1"/>
  </r>
  <r>
    <s v="2_ABaOnudgRQteq7g7ufFjhnXi1ZoSrqmAAfiyePCm4ZoMakwZnszcOd2-RvTp91gfjg"/>
    <x v="2"/>
  </r>
  <r>
    <s v="2_ABaOnudgRQteq7g7ufFjhnXi1ZoSrqmAAfiyePCm4ZoMakwZnszcOd2-RvTp91gfjg"/>
    <x v="1"/>
  </r>
  <r>
    <s v="2_ABaOnuc_YLJ8X5pNjjub8vea43X3VtcaBWqpbArbyS_uKMwgoYf0jL92HtAm247rwA"/>
    <x v="2"/>
  </r>
  <r>
    <s v="2_ABaOnufZ5dxr6y_nVhZITPGObKt3DGdjq23q93n946w77IjESCQYKxWtEIvRbQirbw"/>
    <x v="2"/>
  </r>
  <r>
    <s v="2_ABaOnufWBhhMQH5a7zZUoBn67TC39q2dqLWc0id2TM6JKyoQjUXt92Tuknx1KGP58Q"/>
    <x v="2"/>
  </r>
  <r>
    <s v="2_ABaOnueN8pBtn1mc8wHe5047bAfnBkQHj9Lw4udiS8BAyE1f6w06myxeTA4mA-ziOQ"/>
    <x v="2"/>
  </r>
  <r>
    <s v="2_ABaOnuefrS5GJRK7e7qzfyUnBHqy2nPmve6dNJqKALl0w-N789YGn_9gKXQ5YIefmw"/>
    <x v="2"/>
  </r>
  <r>
    <s v="2_ABaOnuefrS5GJRK7e7qzfyUnBHqy2nPmve6dNJqKALl0w-N789YGn_9gKXQ5YIefmw"/>
    <x v="1"/>
  </r>
  <r>
    <s v="2_ABaOnucs8Vo_d5Qw_yLdfgo2vXSVjDMR0110OnVTX1pac_1XarWPoZyfVu7RJbretg"/>
    <x v="2"/>
  </r>
  <r>
    <s v="2_ABaOnucs8Vo_d5Qw_yLdfgo2vXSVjDMR0110OnVTX1pac_1XarWPoZyfVu7RJbretg"/>
    <x v="1"/>
  </r>
  <r>
    <s v="2_ABaOnucZqg6HtuMJhYR-BS5g0Ti56d__EBMFrJbS7j2jO0XBuFmmhCjyCeyXtyXChg"/>
    <x v="2"/>
  </r>
  <r>
    <s v="2_ABaOnuf22qBfRURDawua1m-pfMjW7DZ3I3YlRSJRCWiMUaF7k5h1Oyld0Ec8-xo08w"/>
    <x v="2"/>
  </r>
  <r>
    <s v="2_ABaOnuf22qBfRURDawua1m-pfMjW7DZ3I3YlRSJRCWiMUaF7k5h1Oyld0Ec8-xo08w"/>
    <x v="1"/>
  </r>
  <r>
    <s v="2_ABaOnud9W94OV0qtErAdXAPfVbfBO4WBRDKpwB0xuEc-CdmcyB415bBU6JHJLVo6GA"/>
    <x v="2"/>
  </r>
  <r>
    <s v="2_ABaOnueDjv_uJqc70OtQ-aHx6Et5IxjBAvzyeTmS__rXNJJpcOx6ayY6g9agLn0V4w"/>
    <x v="2"/>
  </r>
  <r>
    <s v="2_ABaOnufjxn3pI5dAfoFdx3Ycpixi3uA10eHXc5IsrX7fI9i3Yfoaxjn1TbyMWUCA9A"/>
    <x v="2"/>
  </r>
  <r>
    <s v="2_ABaOnuc_9sag6fLeZAeDSGYqtxTA_Ob3u5Cm0JGIxv3oNSZOgImTipEolLnc5fidqw"/>
    <x v="2"/>
  </r>
  <r>
    <s v="2_ABaOnuc_9sag6fLeZAeDSGYqtxTA_Ob3u5Cm0JGIxv3oNSZOgImTipEolLnc5fidqw"/>
    <x v="1"/>
  </r>
  <r>
    <s v="2_ABaOnuehpMBNFyBKUThJOUCEJD-NogvPj7bucy2-PqlCbrT7ZxLnrkKfmLK6SPdc_w"/>
    <x v="2"/>
  </r>
  <r>
    <s v="2_ABaOnuehpMBNFyBKUThJOUCEJD-NogvPj7bucy2-PqlCbrT7ZxLnrkKfmLK6SPdc_w"/>
    <x v="1"/>
  </r>
  <r>
    <s v="2_ABaOnucu-IrEpIiLgHmWEjH8QmuZknMYxRe12zCMXxUD1jgcWspEtoT3NTH50w38zg"/>
    <x v="0"/>
  </r>
  <r>
    <s v="2_ABaOnucu-IrEpIiLgHmWEjH8QmuZknMYxRe12zCMXxUD1jgcWspEtoT3NTH50w38zg"/>
    <x v="1"/>
  </r>
  <r>
    <s v="2_ABaOnudiSamWC1P8IcMvk2aeWKdlptw0MUwq_Rd5qg9_zm3o5uD9XskeJqi7fgO4XA"/>
    <x v="2"/>
  </r>
  <r>
    <s v="2_ABaOnudiSamWC1P8IcMvk2aeWKdlptw0MUwq_Rd5qg9_zm3o5uD9XskeJqi7fgO4XA"/>
    <x v="1"/>
  </r>
  <r>
    <s v="2_ABaOnudF_8-fVhfZi-xapxvWW6GMHaN6Xgm17JeyYJhdEnb9AC9uHpTD5c3jr0u5Kg"/>
    <x v="2"/>
  </r>
  <r>
    <s v="2_ABaOnudF_8-fVhfZi-xapxvWW6GMHaN6Xgm17JeyYJhdEnb9AC9uHpTD5c3jr0u5Kg"/>
    <x v="1"/>
  </r>
  <r>
    <s v="2_ABaOnucEmXsG_9QnKpMNE3adukyoJGxtDkxYM7ZongMrTnr-hTLzDVWMLaOOqJAsoA"/>
    <x v="2"/>
  </r>
  <r>
    <s v="2_ABaOnucZpyerIaWHJH2Cbs18hSWLL0jfa1NIQkM147xGuGuJCODiV2uRBGb9lMx20g"/>
    <x v="2"/>
  </r>
  <r>
    <s v="2_ABaOnucZpyerIaWHJH2Cbs18hSWLL0jfa1NIQkM147xGuGuJCODiV2uRBGb9lMx20g"/>
    <x v="1"/>
  </r>
  <r>
    <s v="2_ABaOnufmHl-zPsFviApoaTyhGIC8L7KdTEPiNsVdEga0I4rrO2AUm8MftFEaYsqcAQ"/>
    <x v="2"/>
  </r>
  <r>
    <s v="2_ABaOnufmHl-zPsFviApoaTyhGIC8L7KdTEPiNsVdEga0I4rrO2AUm8MftFEaYsqcAQ"/>
    <x v="1"/>
  </r>
  <r>
    <s v="2_ABaOnudP3-LTxoKk3JQBi0KS4pQDA69k7rj0brQGzR9_vCZRCXPhqiiVSQqlSl2sew"/>
    <x v="1"/>
  </r>
  <r>
    <s v="2_ABaOnuf_CVE19b9qsbbvu01CRtp_hSARYbHmpHPOUg7_vTKJUZZ2SgP2ln0tTx6E9Q"/>
    <x v="2"/>
  </r>
  <r>
    <s v="2_ABaOnudU-wsksC-Xfbub-KsZptBrPOFnHKKe_ITwUDsNb3g8xaVHTy0Qk1Nt9v449A"/>
    <x v="2"/>
  </r>
  <r>
    <s v="2_ABaOnueEQVwqmUJxnCrrL_r7gGiyA_Qga0qmIzQ721MMecYFLjkQsYpErpIL3h4Ygw"/>
    <x v="1"/>
  </r>
  <r>
    <s v="2_ABaOnufNAvwOsgtdhiLrDc40zARBacD9KSUSVynMJyDAfi0VnwzzoN8nxC7JFnA58w"/>
    <x v="2"/>
  </r>
  <r>
    <s v="2_ABaOnuebOaMazIyY906RW6KaWDxsOQQGYU7cEzWZN0IbRW9Cn4o7iyU-IO3PiZtsEw"/>
    <x v="0"/>
  </r>
  <r>
    <s v="2_ABaOnuebOaMazIyY906RW6KaWDxsOQQGYU7cEzWZN0IbRW9Cn4o7iyU-IO3PiZtsEw"/>
    <x v="1"/>
  </r>
  <r>
    <s v="2_ABaOnucIDC4-vhG2QLphsVCbRIO2CxV6qWjca7PGks5FXSFW3F-2ABuVnNxvxHpRBA"/>
    <x v="2"/>
  </r>
  <r>
    <s v="2_ABaOnuf3P3QZ4dx8nQZAjxZZEppKOjctnwuUflpZPCscFVGYNj9FF1NJIb81sMOHOA"/>
    <x v="2"/>
  </r>
  <r>
    <s v="2_ABaOnuctZEcVsc96Hq-iYrTRfBB9A9BNv-WB0ATTbEXA6_g25Z4MWA7l3rB5vZ9Csg"/>
    <x v="2"/>
  </r>
  <r>
    <s v="2_ABaOnuegQdyy5RLJkcZaMFHYIG4hVj1wgM5wHyLmXg1-20QdZda5LAkZhmttvh9D-w"/>
    <x v="2"/>
  </r>
  <r>
    <s v="2_ABaOnuegQdyy5RLJkcZaMFHYIG4hVj1wgM5wHyLmXg1-20QdZda5LAkZhmttvh9D-w"/>
    <x v="1"/>
  </r>
  <r>
    <s v="2_ABaOnufIg5iKBXebJh-TkpKFmOx6DwuX55kxdbxR-IAEKUcNRCJesvNJru3nZg2X5w"/>
    <x v="2"/>
  </r>
  <r>
    <s v="2_ABaOnucxEDVCNl1L2x5hzcgQDCGw6zug99ffJAoaHOWUTUZNkeX3SlsqMOJIA8igsg"/>
    <x v="0"/>
  </r>
  <r>
    <s v="2_ABaOnucxEDVCNl1L2x5hzcgQDCGw6zug99ffJAoaHOWUTUZNkeX3SlsqMOJIA8igsg"/>
    <x v="1"/>
  </r>
  <r>
    <s v="2_ABaOnuc9WSHDnhytzcbIP_DVu6oPajOCP74aMDtauKdrY6jJqKg0dApPoLNYPPm1Ew"/>
    <x v="2"/>
  </r>
  <r>
    <s v="2_ABaOnuc9WSHDnhytzcbIP_DVu6oPajOCP74aMDtauKdrY6jJqKg0dApPoLNYPPm1Ew"/>
    <x v="1"/>
  </r>
  <r>
    <s v="2_ABaOnudZ0jDVAMcOSVj1LAoCpUPhjklXa8GXMvfstD4_cy5mHBXdZoD-Db-xWO84EQ"/>
    <x v="0"/>
  </r>
  <r>
    <s v="2_ABaOnudDrKQXWnJVkkYdcZTMq8FJcfqJM_InhZbJtIJ9vGNvqQQ690FnlL1aNA-kkg"/>
    <x v="2"/>
  </r>
  <r>
    <s v="2_ABaOnufWXmUOvqROsQmiHxGlYQ52hVEbipLsZz4nf5PpLDBdVcw8LRtWHXveMwQxrA"/>
    <x v="2"/>
  </r>
  <r>
    <s v="2_ABaOnud10x28Pm0G6DLI4iu1oMm0V5TQP09bEMcLz5vFIERD4HkNHKgrxaGfdC8SZA"/>
    <x v="0"/>
  </r>
  <r>
    <s v="2_ABaOnueLUopueOCrSzLxs6GQlSKfpxTqWRjCRL1LOFg41ak1zJkEdkVb-Ub495N88g"/>
    <x v="2"/>
  </r>
  <r>
    <s v="2_ABaOnueLUopueOCrSzLxs6GQlSKfpxTqWRjCRL1LOFg41ak1zJkEdkVb-Ub495N88g"/>
    <x v="1"/>
  </r>
  <r>
    <s v="2_ABaOnudVsm4DWHCIq-14Ku6rvcuZiG8SrbmjZCdqmDMOgsJX3PJaHkmdkMrUWbR9UA"/>
    <x v="0"/>
  </r>
  <r>
    <s v="2_ABaOnufPBQveeoH4-ZsDW036yZUkqIcwNIPWcCUmADJe-ZPyMs9m8McjepkI0ymUxA"/>
    <x v="2"/>
  </r>
  <r>
    <s v="2_ABaOnufg3HpxBUyB1lCQTxaoUOOox1QJY0VmxmKYcMq0Ql3pmiweqCfEA7d4Rzse7w"/>
    <x v="2"/>
  </r>
  <r>
    <s v="2_ABaOnudLOmhestiZbu0JWWK1xczx8cb6OcRewLFE8z2K13aRj-uH5aD6WtoYvHtOCQ"/>
    <x v="2"/>
  </r>
  <r>
    <s v="2_ABaOnuc_XAYPyWMinAA20sqI11do8PUXRysQsr1HVJv80SXswJnSgg501OkhQjRD7w"/>
    <x v="2"/>
  </r>
  <r>
    <s v="2_ABaOnufAbN6ZYt6eBZeKSuC8VgkuHfBwSqlWozHs8jS9yiE3imCviUxAFgAvcJi-SA"/>
    <x v="2"/>
  </r>
  <r>
    <s v="2_ABaOnufeyLNB_yRP4FjpgN55ddcJweeaBC6YAqUJNpJtwHiACH4QERPnpl-LkI7wig"/>
    <x v="2"/>
  </r>
  <r>
    <s v="2_ABaOnucbAK09S5Yq_6OZVcXxpmXOSIxt6DRw3Z7ah5Z7BH9OlvW3I9CHlrI2Xgj7oQ"/>
    <x v="2"/>
  </r>
  <r>
    <s v="2_ABaOnuf_VDEBAkk4JitGOtVngfvbp4Xq5tTN9Uhpk5qtTmACU5XCPt6K3HEfqGEKRQ"/>
    <x v="2"/>
  </r>
  <r>
    <s v="2_ABaOnucWSPMCPT6SqMw4fskrD5US8NrS0kJ5a6ekQcqu27YPR3Xuqug3J6T0KyXDCA"/>
    <x v="2"/>
  </r>
  <r>
    <s v="2_ABaOnudKRM7IjBeVPN_FmB3wbsWNPK9hlkSvU1gEpx9vWXvQivRFDfAbUr32capK_g"/>
    <x v="0"/>
  </r>
  <r>
    <s v="2_ABaOnudKRM7IjBeVPN_FmB3wbsWNPK9hlkSvU1gEpx9vWXvQivRFDfAbUr32capK_g"/>
    <x v="1"/>
  </r>
  <r>
    <s v="2_ABaOnue5qCmDXb49GinuhSE-cxwx_yg2mc-os7DdFa5NVFp-GNR33xgiyky8l3cYMw"/>
    <x v="2"/>
  </r>
  <r>
    <s v="2_ABaOnufzcp1Ius7mZDR3KxarzQnZ3WUKkD2CduU5C-KcBi7FoCZHS6FQXSM-B6EwtA"/>
    <x v="2"/>
  </r>
  <r>
    <s v="2_ABaOnufXtaN050RerUEcsEGezg_qgXEc_0Dx1NWwCSUwodMWLNHup-A4SywzK1E4DQ"/>
    <x v="0"/>
  </r>
  <r>
    <s v="2_ABaOnucgp3Xo3xPYBHJ2froKgrKNZsLaYkiQcHWPw_t2p43IFbbRMeJJBd3CBb5j9A"/>
    <x v="0"/>
  </r>
  <r>
    <s v="2_ABaOnucgp3Xo3xPYBHJ2froKgrKNZsLaYkiQcHWPw_t2p43IFbbRMeJJBd3CBb5j9A"/>
    <x v="1"/>
  </r>
  <r>
    <s v="2_ABaOnucrz_snzSlsGIdvyILNvz8ThCPx5BATwydbOWlfhryvIr48XrFPd2wOCdoceA"/>
    <x v="0"/>
  </r>
  <r>
    <s v="2_ABaOnucrz_snzSlsGIdvyILNvz8ThCPx5BATwydbOWlfhryvIr48XrFPd2wOCdoceA"/>
    <x v="1"/>
  </r>
  <r>
    <s v="2_ABaOnudGR8o1qGRolISHF5_MZBlJ50DAzJOlkGJLgiph1gNztZG5pndRsoUXmu89Yw"/>
    <x v="2"/>
  </r>
  <r>
    <s v="2_ABaOnudGR8o1qGRolISHF5_MZBlJ50DAzJOlkGJLgiph1gNztZG5pndRsoUXmu89Yw"/>
    <x v="1"/>
  </r>
  <r>
    <s v="2_ABaOnucZG5LGxu5ksGSej0vZqn6skhalMyqzLAJCL-yxYsDp_vw5oJ92sdDF2jSPjg"/>
    <x v="2"/>
  </r>
  <r>
    <s v="2_ABaOnucZG5LGxu5ksGSej0vZqn6skhalMyqzLAJCL-yxYsDp_vw5oJ92sdDF2jSPjg"/>
    <x v="1"/>
  </r>
  <r>
    <s v="2_ABaOnudTHuHOFpZsAaRB97EixMtgKd2paGfbHbst8acxAgXLbB67F8KYEdOA5CQ_ig"/>
    <x v="2"/>
  </r>
  <r>
    <s v="2_ABaOnudTHuHOFpZsAaRB97EixMtgKd2paGfbHbst8acxAgXLbB67F8KYEdOA5CQ_ig"/>
    <x v="1"/>
  </r>
  <r>
    <s v="2_ABaOnud_KTt6NuyQPIbBIh-bejolHqnTwkSqjgNQbC9x3sJmpvMCFoLqJjwGN3C5lA"/>
    <x v="2"/>
  </r>
  <r>
    <s v="2_ABaOnud_KTt6NuyQPIbBIh-bejolHqnTwkSqjgNQbC9x3sJmpvMCFoLqJjwGN3C5lA"/>
    <x v="1"/>
  </r>
  <r>
    <s v="2_ABaOnuctCswvYisuPI4CLYnVeIyyf3C1AhYpsuogRu459ZZmJp7F6RyCbAuZxt1_ng"/>
    <x v="2"/>
  </r>
  <r>
    <s v="2_ABaOnuctCswvYisuPI4CLYnVeIyyf3C1AhYpsuogRu459ZZmJp7F6RyCbAuZxt1_ng"/>
    <x v="1"/>
  </r>
  <r>
    <s v="2_ABaOnueZwKBBz1Mnavw6UNBhT3bQU89TgcyAx-Rvl1-Vjzueuhr2-Fpz-KxF-t7MSg"/>
    <x v="1"/>
  </r>
  <r>
    <s v="2_ABaOnufgl81iTDK40lZ7A5RMNm1_cIEtYnVeqDlkQlN5GmTIuJtp7_bpw13KdVv_Hg"/>
    <x v="2"/>
  </r>
  <r>
    <s v="2_ABaOnufgl81iTDK40lZ7A5RMNm1_cIEtYnVeqDlkQlN5GmTIuJtp7_bpw13KdVv_Hg"/>
    <x v="1"/>
  </r>
  <r>
    <s v="2_ABaOnucRhKbc0vCMpk1yC5w1WeMhmQurIsXTpc8VNKZY8j_BlwAs4DhonNbP4AcShA"/>
    <x v="2"/>
  </r>
  <r>
    <s v="2_ABaOnudtH3MUy0n9fC5waN_oE_Gc3fmrFJjW1tT-YDA1qwu7b5TB7IwYJ06H7U5fTQ"/>
    <x v="2"/>
  </r>
  <r>
    <s v="2_ABaOnufIkEPykhVLDqIlgF0tFhHu12sA2Rwi-po4uhYldD-aiqGE5dmkYkZuQI1Ohg"/>
    <x v="2"/>
  </r>
  <r>
    <s v="2_ABaOnuf4tSTSshwdtWNaIwcvRUMAQ9CHQNKYoVJFYZacwbT8DOhSkK-F3EbE25Jrpg"/>
    <x v="2"/>
  </r>
  <r>
    <s v="2_ABaOnudEO1tpjUItWTUW1egQibOcBG9L4IeuYYC3HLSmZg6eg-XGv9jkeAt5xgYzZw"/>
    <x v="2"/>
  </r>
  <r>
    <s v="2_ABaOnueF3k4EzhIcVJyp7-J8RrTYyDJp2aG5sl7ACRGTvwgb3lA5YIeVXaqVY1cv3w"/>
    <x v="2"/>
  </r>
  <r>
    <s v="2_ABaOnucAmYot99kmh2OObroaCLPPkfbteHs3kqG2nF2kUFDNaRsu2799r3Sm2gH89A"/>
    <x v="0"/>
  </r>
  <r>
    <s v="2_ABaOnucWC0ts1durzmH22INJ-ANeAHphI6sK8RbnLl1sBr2Te0mjnPTvwlehOhnGxQ"/>
    <x v="2"/>
  </r>
  <r>
    <s v="2_ABaOnucWC0ts1durzmH22INJ-ANeAHphI6sK8RbnLl1sBr2Te0mjnPTvwlehOhnGxQ"/>
    <x v="1"/>
  </r>
  <r>
    <s v="2_ABaOnuedGQCj3TFex_fd5KmBzFR0y8jFYq_fCe93HfAbJ6FappwCn1qY6K3HDDCSEQ"/>
    <x v="2"/>
  </r>
  <r>
    <s v="2_ABaOnucSm3MP-sTG_02saomuy81VrMW2Z_7WCEpRL2KGpcG0RRCuVb7cCgP7m1pIQg"/>
    <x v="2"/>
  </r>
  <r>
    <s v="2_ABaOnuf29bXxvnwZOmYl0OVjYxHjUMzUi5TfsXfiyTWLPY1SblDLPHMZt0pXn576mQ"/>
    <x v="0"/>
  </r>
  <r>
    <s v="2_ABaOnuf29bXxvnwZOmYl0OVjYxHjUMzUi5TfsXfiyTWLPY1SblDLPHMZt0pXn576mQ"/>
    <x v="1"/>
  </r>
  <r>
    <s v="2_ABaOnue8XtsPEN1FLiloaodipYsL-UGEFhY2oO9NheDS3zgplMyWID1p4tuqz1PqdA"/>
    <x v="0"/>
  </r>
  <r>
    <s v="2_ABaOnue8XtsPEN1FLiloaodipYsL-UGEFhY2oO9NheDS3zgplMyWID1p4tuqz1PqdA"/>
    <x v="1"/>
  </r>
  <r>
    <s v="2_ABaOnuegTjXg4vcZz4Zupraq1BSOrgF2glXAUZzLVUtnO95V5vPro37BrbsgcGNnNA"/>
    <x v="0"/>
  </r>
  <r>
    <s v="2_ABaOnuegTjXg4vcZz4Zupraq1BSOrgF2glXAUZzLVUtnO95V5vPro37BrbsgcGNnNA"/>
    <x v="1"/>
  </r>
  <r>
    <s v="2_ABaOnufYVRtqXs6wjYD7jeUNIfodvNKX25A53923oqgDYGaC_eje4W2dFMn6ChjX7w"/>
    <x v="0"/>
  </r>
  <r>
    <s v="2_ABaOnue1Ps20AruLvk3m9FeDvLiIYQbdTNybAhn5VlUA_xgeFH6qRVlqvUNVv4DPTg"/>
    <x v="2"/>
  </r>
  <r>
    <s v="2_ABaOnucszigOkvYfk7HZgARYtITyEHncKCrUMWjPdZGvmFgKRQR3VFFvL-HgFIUbtA"/>
    <x v="2"/>
  </r>
  <r>
    <s v="2_ABaOnue0__VOLh37DSVTsZ_t9rzfzCtd731ZsyMeHjRK721cz6AJ86KmOy-JFgpAUA"/>
    <x v="2"/>
  </r>
  <r>
    <s v="2_ABaOnudV0R_UzYhv-N_GIvN3JNzbPOTQ1XPhVMCe2z4Kd55zpvWhCa1Aqn16YVfVKQ"/>
    <x v="0"/>
  </r>
  <r>
    <s v="2_ABaOnudV0R_UzYhv-N_GIvN3JNzbPOTQ1XPhVMCe2z4Kd55zpvWhCa1Aqn16YVfVKQ"/>
    <x v="1"/>
  </r>
  <r>
    <s v="2_ABaOnucYdPZ3xsBb4G8yeB68xbKCD0p7mJibL7R11Ymy-cs90apTZN28sm0DVQ94rA"/>
    <x v="2"/>
  </r>
  <r>
    <s v="2_ABaOnucggZvIBVqC6kpZXIUJevUActLZ2-wSa1V_C4G-meWJPVWVjpwM-uVSyVdEUA"/>
    <x v="2"/>
  </r>
  <r>
    <s v="2_ABaOnucFSdnblF-kZiyQboJBz9LG34LkWzdyQOCCNPCptUD_d6hptYor0D5Dsilgyg"/>
    <x v="2"/>
  </r>
  <r>
    <s v="2_ABaOnufAnlJ1AmtHAiegxvBm6OyMu5u02mXQIclfWHAMthNvglWJUMYfrpWerPyxtg"/>
    <x v="2"/>
  </r>
  <r>
    <s v="2_ABaOnueiSg_uN2CAHPLVH3ndePrnEn1yTIZuQVIk_9ZuBlIJsAYo9UFNPNFYXFkC8g"/>
    <x v="2"/>
  </r>
  <r>
    <s v="2_ABaOnueYpTwVnPWxgJV4clEulXsixuoPKvj1cpnEg9giAsTI2mONwAP8Bvxz_H5QrA"/>
    <x v="2"/>
  </r>
  <r>
    <s v="2_ABaOnueQC6bJhyNcD9CkzNmEqeM6wtmrWvF1Us0qALWlx94nS4iU1XzSOP1nmrGH_Q"/>
    <x v="2"/>
  </r>
  <r>
    <s v="2_ABaOnueQC6bJhyNcD9CkzNmEqeM6wtmrWvF1Us0qALWlx94nS4iU1XzSOP1nmrGH_Q"/>
    <x v="1"/>
  </r>
  <r>
    <s v="2_ABaOnuforek-qAt9KEM-7ZL6e5EYv6LNVqINAUif0CeGdP2sTHB7Lfxrt5JC2_I6kw"/>
    <x v="0"/>
  </r>
  <r>
    <s v="2_ABaOnuforek-qAt9KEM-7ZL6e5EYv6LNVqINAUif0CeGdP2sTHB7Lfxrt5JC2_I6kw"/>
    <x v="1"/>
  </r>
  <r>
    <s v="2_ABaOnucCAAnJ7ot2nyxboW5B2C66rmW61Q54k3dS9B9F9sLKzS1Af9G52cbDz1aVOQ"/>
    <x v="2"/>
  </r>
  <r>
    <s v="2_ABaOnucCAAnJ7ot2nyxboW5B2C66rmW61Q54k3dS9B9F9sLKzS1Af9G52cbDz1aVOQ"/>
    <x v="1"/>
  </r>
  <r>
    <s v="2_ABaOnudRsFL46SOy8d6cEW922fR64LNLAn3buHCuiLZzCaLaMYBXhoEYYesxwZYtuA"/>
    <x v="2"/>
  </r>
  <r>
    <s v="2_ABaOnufhhi1UFZ1ZCphat963AzXBT1msdESN3lIgnHYES-BllcAS6S-CyLQMYXvWsQ"/>
    <x v="2"/>
  </r>
  <r>
    <s v="2_ABaOnufhhi1UFZ1ZCphat963AzXBT1msdESN3lIgnHYES-BllcAS6S-CyLQMYXvWsQ"/>
    <x v="1"/>
  </r>
  <r>
    <s v="2_ABaOnudKea7DRA01AdPGVTQ8XFXNodHuCIhR_NHT4Pkb0dXnSWxyIxosxBulKZVfbw"/>
    <x v="2"/>
  </r>
  <r>
    <s v="2_ABaOnucHSRT4C7WCM_kY8dPv1aDwK21E2Pd9cyKnqwhXGTOfX231t9TC1eRVrr_YWQ"/>
    <x v="2"/>
  </r>
  <r>
    <s v="2_ABaOnueLwvwKoQpjBchUAbH5EWh7K-h0m84IPdB5pnTp7dWYtbLUSZI8XizsqLOCZg"/>
    <x v="2"/>
  </r>
  <r>
    <s v="2_ABaOnudISkihHw6vNiZHrMlUeH01OQ41ulmUDG67Z5NNMSQsjCfa6JZbKseek7XH2Q"/>
    <x v="2"/>
  </r>
  <r>
    <s v="2_ABaOnuc5NXblHS-x7ctcvuWpBS7nhqouuY2VWg859WtjopA2EhxwObUvBVlpz04MSA"/>
    <x v="2"/>
  </r>
  <r>
    <s v="2_ABaOnucQsjBh8AtEgxqSwEqgCeO-omrWe4aCWu6BvgE5yKyAsGtdsDWVrQBgfaloqg"/>
    <x v="2"/>
  </r>
  <r>
    <s v="2_ABaOnueglxXdlr6dipsAHl9L1ft9orzN-BSJ1JHwYwidjdyTJHBhUUJUmUm5h4207g"/>
    <x v="2"/>
  </r>
  <r>
    <s v="2_ABaOnueglxXdlr6dipsAHl9L1ft9orzN-BSJ1JHwYwidjdyTJHBhUUJUmUm5h4207g"/>
    <x v="1"/>
  </r>
  <r>
    <s v="2_ABaOnudkR8tcc2hu7euSFiuTrCZWvGURYXFCzSsRg5LBgG_cxMxl3P23WdTmxOE4Gw"/>
    <x v="2"/>
  </r>
  <r>
    <s v="2_ABaOnudO8cs_kB7XjY9fOSozilZqVN5hPRZQ7mGTJHMLe7-B-OWd0JsHtV1GpyKE_g"/>
    <x v="2"/>
  </r>
  <r>
    <s v="2_ABaOnucmxG6fd84j3FMtpW5OSvk5rZjsbTaA71fGy2zFmuwlavgw3fIZXAlk7gleGA"/>
    <x v="2"/>
  </r>
  <r>
    <s v="2_ABaOnucmxG6fd84j3FMtpW5OSvk5rZjsbTaA71fGy2zFmuwlavgw3fIZXAlk7gleGA"/>
    <x v="1"/>
  </r>
  <r>
    <s v="2_ABaOnuf_WR2WnWrk-22sSlYUnRG0Op1RTan6nQsv-bEwp5o7h5GLHaVsGn-YpA1wSQ"/>
    <x v="2"/>
  </r>
  <r>
    <s v="2_ABaOnuf_WR2WnWrk-22sSlYUnRG0Op1RTan6nQsv-bEwp5o7h5GLHaVsGn-YpA1wSQ"/>
    <x v="0"/>
  </r>
  <r>
    <s v="2_ABaOnuf_WR2WnWrk-22sSlYUnRG0Op1RTan6nQsv-bEwp5o7h5GLHaVsGn-YpA1wSQ"/>
    <x v="1"/>
  </r>
  <r>
    <s v="2_ABaOnudlnL_UFdgJTlC1C01TMXDSXrFdZau16uXZAyobhMxc4Fjhslf5JjaXDMugTA"/>
    <x v="2"/>
  </r>
  <r>
    <s v="2_ABaOnudqDTtVjqijuVgphY4xSM0je2Z5siUQFj76hTrVmLqvT6_4JszAKn7SCENWUg"/>
    <x v="2"/>
  </r>
  <r>
    <s v="2_ABaOnudRMzUXkimlaDZf1-SJ0o_NV7dZyFE0zbAykcWDUpciVVD3R3W8YKLRLb2Y2Q"/>
    <x v="2"/>
  </r>
  <r>
    <s v="2_ABaOnudPFLyO3oznsQkPRU29906ib8pT-RMRjpAHD9d8LyIZrMU5z5pZjvCUzxz2iQ"/>
    <x v="2"/>
  </r>
  <r>
    <s v="2_ABaOnudPFLyO3oznsQkPRU29906ib8pT-RMRjpAHD9d8LyIZrMU5z5pZjvCUzxz2iQ"/>
    <x v="1"/>
  </r>
  <r>
    <s v="2_ABaOnudrtyzQtvB0idXLxSEepEA0Av4q8vBkQrYOY-0Cn51ZfXhcC_69S0XtZWOE1w"/>
    <x v="2"/>
  </r>
  <r>
    <s v="2_ABaOnud_vXqHv2ohU5l249_5MltQLdQT9SaYBWwhXjBXWsz6Ix73KwbPKC6ajqCxVQ"/>
    <x v="2"/>
  </r>
  <r>
    <s v="2_ABaOnucEto2lScf5mXtY3IMBYYfQXGCD5mDF5lpfVv_crY3jO6uXl1L3SQaU70-dGg"/>
    <x v="2"/>
  </r>
  <r>
    <s v="2_ABaOnuc7JTef1UUBnS22MEGDZ9VlPqkCKxzTxWwwcYwLyhIBU-xpXQcjKsSkA6xTZQ"/>
    <x v="2"/>
  </r>
  <r>
    <s v="2_ABaOnuc7JTef1UUBnS22MEGDZ9VlPqkCKxzTxWwwcYwLyhIBU-xpXQcjKsSkA6xTZQ"/>
    <x v="0"/>
  </r>
  <r>
    <s v="2_ABaOnuc7JTef1UUBnS22MEGDZ9VlPqkCKxzTxWwwcYwLyhIBU-xpXQcjKsSkA6xTZQ"/>
    <x v="1"/>
  </r>
  <r>
    <s v="2_ABaOnudoYY7Ebm6N6lSNhTEfnY12iUjWPnIh5dPid7ourqhQ5C3sOznf7te18TIp5w"/>
    <x v="2"/>
  </r>
  <r>
    <s v="2_ABaOnudoYY7Ebm6N6lSNhTEfnY12iUjWPnIh5dPid7ourqhQ5C3sOznf7te18TIp5w"/>
    <x v="1"/>
  </r>
  <r>
    <s v="2_ABaOnucRqAulTlhaELwP19sWEhT5cozg5sb1fESvoNKFFifIofvdocM1G1A-RL2IAA"/>
    <x v="2"/>
  </r>
  <r>
    <s v="2_ABaOnucSRo1e0XoA2YLVLGExpossp0Kgp0NKt6T_9d5TvAyBroqPLFi3Iayyd1CIrw"/>
    <x v="2"/>
  </r>
  <r>
    <s v="2_ABaOnudyalm5PVL7T8gzfLb2sn8y8lAqHODkZ4lt3iIye_FEO2zak0Ks0vgVeTPNUw"/>
    <x v="2"/>
  </r>
  <r>
    <s v="2_ABaOnueeh31U_Moz8E9GGD6Zpl27KzFcRRJvvFu1ZQKizVTbP7HKRlwaiDULQN7HTg"/>
    <x v="2"/>
  </r>
  <r>
    <s v="2_ABaOnucFOSeexVUor87puzsEhrLdMp25FWKORAH4rHAgSzz3WGeC4lAt8wJuvOMiLA"/>
    <x v="2"/>
  </r>
  <r>
    <s v="2_ABaOnufqFr4-MvNeVPkqx2Qnmgq5hIx_fogc-tb8zCdt7lhX6D0PDEv4h5Qb39EoiA"/>
    <x v="2"/>
  </r>
  <r>
    <s v="2_ABaOnufbcAoSbeX9jFy7S6ag0wxyY2WvrgRCqHB_FXT-srbpxFGtN8CgnwPdNMcRWg"/>
    <x v="2"/>
  </r>
  <r>
    <s v="2_ABaOnucqUb39Xrwr08zpPHJIvpwd8L4lx73rglzK-pS-nDd_BjuEVHh3-Nea95obeA"/>
    <x v="2"/>
  </r>
  <r>
    <s v="2_ABaOnucqUb39Xrwr08zpPHJIvpwd8L4lx73rglzK-pS-nDd_BjuEVHh3-Nea95obeA"/>
    <x v="1"/>
  </r>
  <r>
    <s v="2_ABaOnufuJcYc2otwpXTlwKK2OORwJ4IUAI1VVtXjotbUOWVI-rbBVNv2mdhFJjD-hg"/>
    <x v="2"/>
  </r>
  <r>
    <s v="2_ABaOnucNSgEmYMlyVSp9kZ5ILKtly3t1b6ZhTxJBSXzeZO0YartwFZCAsORytMivWA"/>
    <x v="0"/>
  </r>
  <r>
    <s v="2_ABaOnudOy0cVsoLsRwcHa3gpu2A7ytGs9uzHCBL9AC98X6AHj0M6FdoehECJ6Qt2RA"/>
    <x v="2"/>
  </r>
  <r>
    <s v="2_ABaOnudOy0cVsoLsRwcHa3gpu2A7ytGs9uzHCBL9AC98X6AHj0M6FdoehECJ6Qt2RA"/>
    <x v="1"/>
  </r>
  <r>
    <s v="2_ABaOnudzuuGZ7T-_sNF35rWJzl6wbTngPcGI0DkwcXjCwpgEPH2iF2ZdJSR_8JDKcg"/>
    <x v="2"/>
  </r>
  <r>
    <s v="2_ABaOnueilSWqhhOp-3rNgFFAD_30D0agdhegyHPUefYCRQNIwuu9rHSJ7XSstzbd5A"/>
    <x v="2"/>
  </r>
  <r>
    <s v="2_ABaOnueilSWqhhOp-3rNgFFAD_30D0agdhegyHPUefYCRQNIwuu9rHSJ7XSstzbd5A"/>
    <x v="1"/>
  </r>
  <r>
    <s v="2_ABaOnucBkT9j2m24FVk76mcsIYf2gTO0x0ihs9mZ74TLNvd2b8xABkm8A8jSyMfygQ"/>
    <x v="2"/>
  </r>
  <r>
    <s v="2_ABaOnucq_hKaSTEE6oBHjh6Zl9uhXLmmZJMw9cAcbJCIkacC1nh87rcWB_sySHV8NA"/>
    <x v="1"/>
  </r>
  <r>
    <s v="2_ABaOnuc8ceYDsHsmAWg_woJjF-D3TPb3Os1upny20H0A0pABbmGI_Ov8gw_AHabMqg"/>
    <x v="2"/>
  </r>
  <r>
    <s v="2_ABaOnucXXwWCs8k6mcYcJd57gJsq-AqLFRVqwD2_ATm5X5Sme1om0D6qu4yyN5GZww"/>
    <x v="2"/>
  </r>
  <r>
    <s v="2_ABaOnudfU3PNDx45YJxtQ7oeqmM80D_zcYGyr_M7XBXyvRSssKEGWiXNRlBd_rm7QQ"/>
    <x v="2"/>
  </r>
  <r>
    <s v="2_ABaOnueO95EMb31VbGRMuadrDBh4wZOc_5Ueit2NYRXr3JFPimm59jR_kJnu5ZIGhg"/>
    <x v="2"/>
  </r>
  <r>
    <s v="2_ABaOnufYcz0AqZOKWOzZV5yJtuqVuoF21OyxQ9Ua-p4J9uXpsX1DGEgsNogHKaS_KA"/>
    <x v="1"/>
  </r>
  <r>
    <s v="2_ABaOnuf2s6e_JMvdHxbni_ldA8qqlJlF1kC6W3mwnMlD00EG5ON1vtO3FjPSoiI8ig"/>
    <x v="2"/>
  </r>
  <r>
    <s v="2_ABaOnucfEIQvCcesXbmB2OFb5LJIF8CbHwYuMQ5V309-94FHA8LRCZJtNXjUP045YA"/>
    <x v="1"/>
  </r>
  <r>
    <s v="2_ABaOnucbWPDPZfVC0RJcvTc7pij321C9BXzBDatv3Np9v96B0komf-2u2mBviBJ8eg"/>
    <x v="2"/>
  </r>
  <r>
    <s v="2_ABaOnucbWPDPZfVC0RJcvTc7pij321C9BXzBDatv3Np9v96B0komf-2u2mBviBJ8eg"/>
    <x v="1"/>
  </r>
  <r>
    <s v="2_ABaOnuf2ZqkzcbQypGSg4WJcli-1b62ps-Xbiv6mxQcW4kks9JdWqnfRLCMmmOlU-g"/>
    <x v="2"/>
  </r>
  <r>
    <s v="2_ABaOnuewUN5OU20ggRt8leEryojaV106C7aQe-n-czchKUzht1XBdyT_LX27riDWlw"/>
    <x v="2"/>
  </r>
  <r>
    <s v="2_ABaOnufFzf2rxQNBi6krZxGfdG-_xG-xSMfySqdgLjRoh1lqUeblAVXVH8uanpJKOg"/>
    <x v="2"/>
  </r>
  <r>
    <s v="2_ABaOnuce8fPmajMbzKwaK8LzJ1yy0pab-SXEvFeCmvLlGp_WUrvGJQaHZDJDLPlwgg"/>
    <x v="1"/>
  </r>
  <r>
    <s v="2_ABaOnudaVjG5Fr9L4rt8V6gBeL-u3ImGkiPqiRyX2poN-9XRZOJgdmmUMF7q40ioGw"/>
    <x v="2"/>
  </r>
  <r>
    <s v="2_ABaOnufQwxuGTBQZ_YU-NWnFhMHli7LnbUvg2wF1KFBcJhGoj2pgl6GmWYam8MoC5Q"/>
    <x v="2"/>
  </r>
  <r>
    <s v="2_ABaOnufQwxuGTBQZ_YU-NWnFhMHli7LnbUvg2wF1KFBcJhGoj2pgl6GmWYam8MoC5Q"/>
    <x v="1"/>
  </r>
  <r>
    <s v="2_ABaOnuez_FqABTYkUXjUMgBeeRMffd1mHlNhnFNFbP4fqbVAEM3DDrFlITd8xnwbRw"/>
    <x v="0"/>
  </r>
  <r>
    <s v="2_ABaOnufmH9HtjTktwfrop1Ys25IX-nAAdeSb4ZeQsZkOLrZzzyYUTAJ0kNSS9x-RIA"/>
    <x v="2"/>
  </r>
  <r>
    <s v="2_ABaOnucGFIuC2oJUcBM-0X0dLbNAF24SxYtMjTPuxJXRQiaDqnzyxXCaOJxHldJyVw"/>
    <x v="0"/>
  </r>
  <r>
    <s v="2_ABaOnucUnBFBhOhyBsBhYWPtBTb35F8gkZ8Lx4PQ8BsCzUN_A_2Nxdc1E5-kYNwx0Q"/>
    <x v="2"/>
  </r>
  <r>
    <s v="2_ABaOnufW5dnieuD5gzGcbWlDfJjm73Y7LNl7KCJmiXqFRMBsznHgMGtwNJRgBcmVNg"/>
    <x v="2"/>
  </r>
  <r>
    <s v="2_ABaOnufgq5aEynvSUutougHaeXkq867agdzcmPyvMpgdST8Yx0XDLNK56nO0kjmaUQ"/>
    <x v="0"/>
  </r>
  <r>
    <s v="2_ABaOnufgq5aEynvSUutougHaeXkq867agdzcmPyvMpgdST8Yx0XDLNK56nO0kjmaUQ"/>
    <x v="1"/>
  </r>
  <r>
    <s v="2_ABaOnudukx-f59PlkQ_6249HQD2IOEyUcXal4SB0NoYn4sTuKDAFrgGvxH5pA9CHhA"/>
    <x v="2"/>
  </r>
  <r>
    <s v="2_ABaOnufmzWwDlecrezw1FSOgGijAvZTJQd_e0KoDIigQBeDQ_5naCWqjONPeWINmXg"/>
    <x v="2"/>
  </r>
  <r>
    <s v="2_ABaOnudVf1WqnT5AZm_zCnbm29iC3Hp_zMRRJAtofPOh-nM2Dbb7SmgWq49lSDXyNA"/>
    <x v="2"/>
  </r>
  <r>
    <s v="2_ABaOnuf0MlrmlEpHOXfohsbbuXDMIrHUxUI7pl0j2LQOAaxBOyIlwjU_wkMkwrqyUQ"/>
    <x v="2"/>
  </r>
  <r>
    <s v="2_ABaOnudqhMlFsL7lIMWSnHL6E2S5zQ_58efo7bioiyb8mc-ZTZVn0j6zxx8uRVE4jg"/>
    <x v="2"/>
  </r>
  <r>
    <s v="2_ABaOnuc7hEl-Cqdwgcr_d1DtNdjAHSEmK8jlBJoJefJ5TcbbXqyrR4uzcc1aj3l_ig"/>
    <x v="2"/>
  </r>
  <r>
    <s v="2_ABaOnudRaaa9IVdY3gt0h08KNkSanoKFWW5rdWdDkqBejJ6eyfj28UOTLQbqz_dfSQ"/>
    <x v="0"/>
  </r>
  <r>
    <s v="2_ABaOnucDvBwFvDVv_JwFYIPUHj35ynQPeknKIfwaIv9wOUzJhMC8zL-qryqpfSzXaA"/>
    <x v="2"/>
  </r>
  <r>
    <s v="2_ABaOnudmGJ2t2hP6UPbQAQi2gSJTVtgV4nWGJw5-eeYg4nIIxiZIBm2-v7NItHYpQw"/>
    <x v="2"/>
  </r>
  <r>
    <s v="2_ABaOnudmGJ2t2hP6UPbQAQi2gSJTVtgV4nWGJw5-eeYg4nIIxiZIBm2-v7NItHYpQw"/>
    <x v="1"/>
  </r>
  <r>
    <s v="2_ABaOnufLFttHUvAA8TpUlBsy8MB6o2cA-8LEuWQ6f-VoAvrfo4rNYJvNGIz0RCF70Q"/>
    <x v="0"/>
  </r>
  <r>
    <s v="2_ABaOnueLS5FNdJ4cqgIOW_p7oatCLFBlcuPlqEvSv4hyWpxWj52FLwgjroRuetAQzg"/>
    <x v="2"/>
  </r>
  <r>
    <s v="2_ABaOnudggPCeqad4ZK_vlCaIGdIRR_CemQNAdqZ853UFprSOHSfK2GWgDe4DciECgA"/>
    <x v="2"/>
  </r>
  <r>
    <s v="2_ABaOnudecEAZt3l2HMuyZG3Khw7HO3l4X8xVLSGI-Z7s87CKwJ4AnbyBTPNNLbHUOQ"/>
    <x v="2"/>
  </r>
  <r>
    <s v="2_ABaOnueVqNDggpvcT69sVVlDDeQASz-oIcq8oJ3eALku6D7i2BW9QrQuCA25Z3UQhg"/>
    <x v="2"/>
  </r>
  <r>
    <s v="2_ABaOnufmAW83-bF71z0NzYksjV2YNWKjAsK5Fz6cPuuaxkItN6fDPen_V8LN9sk5qw"/>
    <x v="2"/>
  </r>
  <r>
    <s v="2_ABaOnudipEFllMRWiBsNyVWbNaPwszaFLRS_iXw73B0KLJcO9Og5a2sRwPvQxm5FjA"/>
    <x v="2"/>
  </r>
  <r>
    <s v="2_ABaOnudKMXRkdarDVJBjW_L9pEZ-EILs6T33CNURikezejCLMZ4JTwPMFS4CPLnzsQ"/>
    <x v="2"/>
  </r>
  <r>
    <s v="2_ABaOnuf8SMGlzcMhzPdlvc0jUW9V5O8Tfa4zL5wD87axUq8FmY9xg1JQQhFOlB5HkA"/>
    <x v="1"/>
  </r>
  <r>
    <s v="2_ABaOnuef7VoJeUrVMwlD-vbliphrDgebVzMONIUsnt08pfsRQPUKH9NnhbHDLsIgyw"/>
    <x v="2"/>
  </r>
  <r>
    <s v="2_ABaOnufSLC4RuwKq8cKyKrQt5kajqmggPdeF32g-mi1XM6ShWzAioW9qmbR6eUhzjA"/>
    <x v="2"/>
  </r>
  <r>
    <s v="2_ABaOnufQrWGg5oNW--E64j0ZxxwNOcch5DAh5mdUgpnXKoJk1kf6KydbbhcNGOruoQ"/>
    <x v="2"/>
  </r>
  <r>
    <s v="2_ABaOnucUEZ2q3JyQTIRC_7K16Z-LznaCzza_BgDPieuB2CiJZX91FZ5bzYnTsE0OVw"/>
    <x v="2"/>
  </r>
  <r>
    <s v="2_ABaOnuciMApyeHd0OQsDWh4P0ONL1WGL4US31-CGtNNaZf7Bsqw7SR5_aVDw4PvXiA"/>
    <x v="2"/>
  </r>
  <r>
    <s v="2_ABaOnucNtQVBC9oOl2HgzDtPH1cUpWZHOVc8MovdeZFx6zkGkYtQnLMASqfkhR7cAQ"/>
    <x v="2"/>
  </r>
  <r>
    <s v="2_ABaOnucNtQVBC9oOl2HgzDtPH1cUpWZHOVc8MovdeZFx6zkGkYtQnLMASqfkhR7cAQ"/>
    <x v="1"/>
  </r>
  <r>
    <s v="2_ABaOnueztdKG_lIcLhOh6RDQZ9NfEOi6XEY1NFr64NFcLQmShexdNSsY55ttRZbQ2w"/>
    <x v="2"/>
  </r>
  <r>
    <s v="2_ABaOnueztdKG_lIcLhOh6RDQZ9NfEOi6XEY1NFr64NFcLQmShexdNSsY55ttRZbQ2w"/>
    <x v="1"/>
  </r>
  <r>
    <s v="2_ABaOnueY3lMvvSlH7Kh634YkSU3yJaJfiE4db6O1JO5CSYAVcI9vYYc0Aia_w2mdxA"/>
    <x v="2"/>
  </r>
  <r>
    <s v="2_ABaOnueY3lMvvSlH7Kh634YkSU3yJaJfiE4db6O1JO5CSYAVcI9vYYc0Aia_w2mdxA"/>
    <x v="1"/>
  </r>
  <r>
    <s v="2_ABaOnuccSTO0IM7xBW6vFJfOQnz6tokJp-G_MGcdQUZ2Gg0HK9Hy856xZGMSWqe6Zg"/>
    <x v="2"/>
  </r>
  <r>
    <s v="2_ABaOnucoJxAgOU4kDxaIAsz3DcJ6iElxTZl5IwFlkpajP4_odzjUgeizqPNbzfuAtA"/>
    <x v="2"/>
  </r>
  <r>
    <s v="2_ABaOnufmNsk3VuRZ3tZwe531kZ4cOBisf_K3bCAHGFmIvMUFm_vSJ1i0Be2lhSvnfg"/>
    <x v="2"/>
  </r>
  <r>
    <s v="2_ABaOnuf1C4oQ8HoMxYFN281hN92o8mJ3IfM7hQOCWzwhYoOKsffBJ8gVKwoiN9l4Cg"/>
    <x v="2"/>
  </r>
  <r>
    <s v="2_ABaOnuf1C4oQ8HoMxYFN281hN92o8mJ3IfM7hQOCWzwhYoOKsffBJ8gVKwoiN9l4Cg"/>
    <x v="1"/>
  </r>
  <r>
    <s v="2_ABaOnuduZOLkovZqbsPI9_Co2TKWVimhKh8rXCN8rHHrX_bzPxTcIKjgyV2ehhlwMw"/>
    <x v="2"/>
  </r>
  <r>
    <s v="2_ABaOnucZO-uw1NB878ykvR2rYpcAT-pOVAn0sr-sz9R6TbJ9vFMK4xMQ7gDwoSR1mg"/>
    <x v="2"/>
  </r>
  <r>
    <s v="2_ABaOnucznX7wqgBtDq2y-eiAsZ9IiPPsAMW0kJr-s9KyLS3pWfYo5P9arKSIuYn6-Q"/>
    <x v="2"/>
  </r>
  <r>
    <s v="2_ABaOnudmuCKavSLXe8_k2uyiIa7JXgxxBH5mdvnQ7VvLJtjPqTU95byWXaghJkjMyg"/>
    <x v="2"/>
  </r>
  <r>
    <s v="2_ABaOnudmuCKavSLXe8_k2uyiIa7JXgxxBH5mdvnQ7VvLJtjPqTU95byWXaghJkjMyg"/>
    <x v="1"/>
  </r>
  <r>
    <s v="2_ABaOnufK9tm-ip__mC-MmWZw8ScSM-Jda_OigXNT6LkHsE_lWfeRJymLp9crgizTCw"/>
    <x v="2"/>
  </r>
  <r>
    <s v="2_ABaOnueFw_EhznaHu_nv29gzOK4XOTb9Xj4TIWHiZOa6XZG31d5QcVukNO_C_uJbWA"/>
    <x v="2"/>
  </r>
  <r>
    <s v="2_ABaOnucZdxGZXPxjqZI8C9Zntk50-3YJOzaQE9FhltzwKicxKT1EVfnT1TyFcoRzJg"/>
    <x v="2"/>
  </r>
  <r>
    <s v="2_ABaOnucyBknW7WYWAmUce_V5yD0i9i3kI0IMIqYa5kFkwPU9WJVg1lclaSkaAefcow"/>
    <x v="0"/>
  </r>
  <r>
    <s v="2_ABaOnufdh5uEK306utqfkoTRyQJWTcCUAPGiEQ_WdhOIx3Zn2Xp0d0ci0YQoFULiDA"/>
    <x v="2"/>
  </r>
  <r>
    <s v="2_ABaOnufdh5uEK306utqfkoTRyQJWTcCUAPGiEQ_WdhOIx3Zn2Xp0d0ci0YQoFULiDA"/>
    <x v="1"/>
  </r>
  <r>
    <s v="2_ABaOnueRSYjBref_ZMiM-RmBx88D2_x7eWxX3uq6kCSxZ4JqzD-P7C7hVR38t1dY-w"/>
    <x v="0"/>
  </r>
  <r>
    <s v="2_ABaOnueRSYjBref_ZMiM-RmBx88D2_x7eWxX3uq6kCSxZ4JqzD-P7C7hVR38t1dY-w"/>
    <x v="1"/>
  </r>
  <r>
    <s v="2_ABaOnudfj1_-vIBuMT8jo5HTVljRF1QUq4mjRCc1YkqIAQZgDKinKGPGZuNlQyTvRg"/>
    <x v="2"/>
  </r>
  <r>
    <s v="2_ABaOnufQSwHhGgutlCTL1fBbGWuTt0mbTQkosYsxqs5SsqStc75RSoa3SeCpYMLa0Q"/>
    <x v="2"/>
  </r>
  <r>
    <s v="2_ABaOnufQSwHhGgutlCTL1fBbGWuTt0mbTQkosYsxqs5SsqStc75RSoa3SeCpYMLa0Q"/>
    <x v="1"/>
  </r>
  <r>
    <s v="2_ABaOnucgsOo2WjbS49zeYT9SlnqI1EjK0F26WcqqpPDofrimuRsrCjQcI59mXGVl1A"/>
    <x v="2"/>
  </r>
  <r>
    <s v="2_ABaOnuf4tgTnzyjSw4y9CUg-V58broQB9XinXXas9xtEKvPpkQrd_LEaeHprnMQTqw"/>
    <x v="2"/>
  </r>
  <r>
    <s v="2_ABaOnuf4tgTnzyjSw4y9CUg-V58broQB9XinXXas9xtEKvPpkQrd_LEaeHprnMQTqw"/>
    <x v="1"/>
  </r>
  <r>
    <s v="2_ABaOnudh4RDVG1vCpZPa-WqBr76PuIk4nb2Re-zREiEv8xPNQIprzwF8hFgRlVoLPw"/>
    <x v="2"/>
  </r>
  <r>
    <s v="2_ABaOnue6OeCXsMeGHJk_FgNaDIkd9Q8BFTfdMf1Ii2xd60VnwJtxR0CE4FYotTUVDg"/>
    <x v="2"/>
  </r>
  <r>
    <s v="2_ABaOnudIZe6f8bQ1XU-jJXyLc02WZh3PO-WnYGX6xsLQAmBnzK3OzE88p_DNnwY5ow"/>
    <x v="2"/>
  </r>
  <r>
    <s v="2_ABaOnue2HABtx0WRQtA7xlCXViz1CSUETEmCfnPoW9G25tiWzuwuJp4sRAjUEoyvBg"/>
    <x v="2"/>
  </r>
  <r>
    <s v="2_ABaOnud8sXjMTLlvtM42E34qpPXrleR7qiTHoD0hOhMfiCfiRagJ-1xJWWy_lUNrVw"/>
    <x v="2"/>
  </r>
  <r>
    <s v="2_ABaOnud8sXjMTLlvtM42E34qpPXrleR7qiTHoD0hOhMfiCfiRagJ-1xJWWy_lUNrVw"/>
    <x v="1"/>
  </r>
  <r>
    <s v="2_ABaOnudbyOXN5MXY5BfuGdeRnlKv8ruZ8arWbk3yWjakKuKPn8fV89G7y_WmncxywQ"/>
    <x v="1"/>
  </r>
  <r>
    <s v="2_ABaOnud6RTAPF3iMUB4uY0LQsXFZcnXb-Oq-C6BEY4Cl9wS5nM2t87Qgjk5ZLja3iA"/>
    <x v="2"/>
  </r>
  <r>
    <s v="2_ABaOnuc_r0IZg5KiApdS6XT7t6LDBzniozfcLPTOmm-NEzoNiGF-d0UJwmBsXVKJzg"/>
    <x v="1"/>
  </r>
  <r>
    <s v="2_ABaOnuclFzlD0bi3qO3re-Zsfq0hYrusmyFiDI2-34xfmN5eBI7kGuoMiYe_jRFriw"/>
    <x v="2"/>
  </r>
  <r>
    <s v="2_ABaOnuesH_uKuzatCs6sIxyFIbgnPAzYiKlMChqGalx5z9MuO60YMWodETgCf2d23Q"/>
    <x v="2"/>
  </r>
  <r>
    <s v="2_ABaOnuefQplRP1WG8nV3Jh1Q0ICu29SPTfAjTWuFY6QDqsPALazHdgyEluBFQ1ijaQ"/>
    <x v="1"/>
  </r>
  <r>
    <s v="2_ABaOnufPee2hWDnGITvr4tLCpNkh1g3MjM33jkkysdHIEQEFq-bM_p-nicv1lqpx8Q"/>
    <x v="2"/>
  </r>
  <r>
    <s v="2_ABaOnufiY9V_a0Y-0oblmAaSnQa0fgZgN1_S9L9ONUvaSFLbYnr5XLVIjQqmZ8hQIA"/>
    <x v="1"/>
  </r>
  <r>
    <s v="2_ABaOnufiY9V_a0Y-0oblmAaSnQa0fgZgN1_S9L9ONUvaSFLbYnr5XLVIjQqmZ8hQIA"/>
    <x v="9"/>
  </r>
  <r>
    <s v="2_ABaOnueaj9jX9_S4p9Ls6VKwaP557zAJuJ_QwuH4yGeEupfLFMS2CtwhmoSMWOZTWw"/>
    <x v="1"/>
  </r>
  <r>
    <s v="2_ABaOnudkKTdyZTLB1oX0xueY1fsbuzSm-nfxBN9UHlyf1MT6vPZI2b2nawNgB7E7Fg"/>
    <x v="1"/>
  </r>
  <r>
    <s v="2_ABaOnud6tPRYXHVIOnG01LrPqCweKFfrGTOWRIpNsNv5JEB26hn3sbboEjPZKsSXrQ"/>
    <x v="2"/>
  </r>
  <r>
    <s v="2_ABaOnuctB6MGnfnivUt5PsPuFNqxieJpfPOMrrqK6GfEeQvTpIQ5Bj-VIwBp8OjNgA"/>
    <x v="2"/>
  </r>
  <r>
    <s v="2_ABaOnufTb0fNV0ZPji5z61ynmpPE3TPD3ILMAY75w8u55_Fahm3LgT1urtK0bA19eg"/>
    <x v="2"/>
  </r>
  <r>
    <s v="2_ABaOnufTb0fNV0ZPji5z61ynmpPE3TPD3ILMAY75w8u55_Fahm3LgT1urtK0bA19eg"/>
    <x v="1"/>
  </r>
  <r>
    <s v="2_ABaOnueaSfiY9135AribLX3QtfFQxEfxvyenXje-Z4AxBoKtMx-SMn8QGaCfb7sTPg"/>
    <x v="1"/>
  </r>
  <r>
    <s v="2_ABaOnueaSfiY9135AribLX3QtfFQxEfxvyenXje-Z4AxBoKtMx-SMn8QGaCfb7sTPg"/>
    <x v="9"/>
  </r>
  <r>
    <s v="2_ABaOnuf8qvbem50f6kku92OgAh17AqnDKnQ8WSEXvpYI7fRQA34vpIdSEzSNcbf4Fg"/>
    <x v="2"/>
  </r>
  <r>
    <s v="2_ABaOnudNFkLU2YT34xJXurre5AyhdZAfK-cB0tvZQ4ffgbZkog9lq-pJOjuBB0Hvfw"/>
    <x v="0"/>
  </r>
  <r>
    <s v="2_ABaOnudNFkLU2YT34xJXurre5AyhdZAfK-cB0tvZQ4ffgbZkog9lq-pJOjuBB0Hvfw"/>
    <x v="1"/>
  </r>
  <r>
    <s v="2_ABaOnufCwbzvLV-e_L_G2RE6l4RGx6Q1Yx8hfPAz3zkX5VxaAK-C2O4aw6vu64hRoA"/>
    <x v="2"/>
  </r>
  <r>
    <s v="2_ABaOnufCwbzvLV-e_L_G2RE6l4RGx6Q1Yx8hfPAz3zkX5VxaAK-C2O4aw6vu64hRoA"/>
    <x v="0"/>
  </r>
  <r>
    <s v="2_ABaOnufCwbzvLV-e_L_G2RE6l4RGx6Q1Yx8hfPAz3zkX5VxaAK-C2O4aw6vu64hRoA"/>
    <x v="1"/>
  </r>
  <r>
    <s v="2_ABaOnuf5YsaqOjMPA-z8FtZ-Jczon3Lpmdy0tvRGWLj8AVMiohdFT0F-LmudV5-0wg"/>
    <x v="2"/>
  </r>
  <r>
    <s v="2_ABaOnuf79l40f0TG4q-fWxPivlMnpEe8jcPRnmBSbj_4SgD8fUkKX-2ib06gokzCWg"/>
    <x v="2"/>
  </r>
  <r>
    <s v="2_ABaOnuf79l40f0TG4q-fWxPivlMnpEe8jcPRnmBSbj_4SgD8fUkKX-2ib06gokzCWg"/>
    <x v="1"/>
  </r>
  <r>
    <s v="2_ABaOnufJ-kEyaVWPMlPbUxPW80CG6caJ1B2pVqSm7gwDlx8KsvbB2j-ItkCipq_FLQ"/>
    <x v="2"/>
  </r>
  <r>
    <s v="2_ABaOnudUby3sjEBnd2yM2s8W_HDzB1RVQ06vzQO9h0I4YV00T8vknLCQmjbQXWGTyw"/>
    <x v="2"/>
  </r>
  <r>
    <s v="2_ABaOnudUby3sjEBnd2yM2s8W_HDzB1RVQ06vzQO9h0I4YV00T8vknLCQmjbQXWGTyw"/>
    <x v="1"/>
  </r>
  <r>
    <s v="2_ABaOnue918EYuWCZrWIOO2hhj8gWNs3L4q7Ppv9I2GJ16xd3tEIF3NoSQCFMTvnFxw"/>
    <x v="2"/>
  </r>
  <r>
    <s v="2_ABaOnucfCMHBBrbmqUqpFa5GEoWgeXse8bdY7TySmpZZrryFOqX6tanSOXSqx4SAAA"/>
    <x v="2"/>
  </r>
  <r>
    <s v="2_ABaOnufqYP-tRhCFjVt1lUNEGP2A_gSRVZCUW4ZSvCpvSrlaYv77FQSFr36bc5TNSQ"/>
    <x v="2"/>
  </r>
  <r>
    <s v="2_ABaOnucHJRAz23q6eabtRDl688hntyg-pzvcakq91A5IdMO2eNYe7Bah5iC8kss6dQ"/>
    <x v="0"/>
  </r>
  <r>
    <s v="2_ABaOnud_jTSKZML68vcVFtTbnQfk_uFoZKG54JfwElB-TDVqo_Fht4hmX5dBPmNDcg"/>
    <x v="2"/>
  </r>
  <r>
    <s v="2_ABaOnud_jTSKZML68vcVFtTbnQfk_uFoZKG54JfwElB-TDVqo_Fht4hmX5dBPmNDcg"/>
    <x v="1"/>
  </r>
  <r>
    <s v="2_ABaOnuecps7flrtik3QB928UfB6HhebOGNq4AnQZabQr-AUlDg6KPd61G7FDLenrZQ"/>
    <x v="2"/>
  </r>
  <r>
    <s v="2_ABaOnue7CRHZZstcoh9bTqeFyQt6EQFZx5azMTEv0x7sLmcVpbfRW-AVC07SLTxYhA"/>
    <x v="2"/>
  </r>
  <r>
    <s v="2_ABaOnue35h1Oq0NGwk5PrAIA7hwVJhOKCSE-gvDn0_06Z3ip82g-5EisXRr0fiBvZA"/>
    <x v="2"/>
  </r>
  <r>
    <s v="2_ABaOnueYyPW8Ju6BVI-vp_vq_-qFTLYk1Gqq4Ndz_SM3OVwWEbThjpWMIQq7zEY1KA"/>
    <x v="2"/>
  </r>
  <r>
    <s v="2_ABaOnueRKm3rrs0C05mTN7AP3FPwC5kWNMlXcIDFzBoYaCBr2Tqo-ZuJFxokyK7LXQ"/>
    <x v="1"/>
  </r>
  <r>
    <s v="2_ABaOnuc6jm_xjaEqBpl6WqyUZSOZ3xaeatzewu1k3JgNf48WfJpFenR4OxnipNsR_w"/>
    <x v="2"/>
  </r>
  <r>
    <s v="2_ABaOnuc6jm_xjaEqBpl6WqyUZSOZ3xaeatzewu1k3JgNf48WfJpFenR4OxnipNsR_w"/>
    <x v="1"/>
  </r>
  <r>
    <s v="2_ABaOnucIZ4jDDwFKIb5iEEzidhIqGxMAtZ3nDBwqoOGivuEoM-wJ66R7AqohMwlDIw"/>
    <x v="2"/>
  </r>
  <r>
    <s v="2_ABaOnucvyKlY3k4ihxwVirzjRJ7H7eoFQT-dx_2ZFqtU7hv62HolSdF5TcIECBzVGQ"/>
    <x v="0"/>
  </r>
  <r>
    <s v="2_ABaOnufTKf7GMtPJz-OrAgUepRmoAB-I2MVZNtEb5wWLpjk1t9blBiMLVQ7Loo2Uuw"/>
    <x v="2"/>
  </r>
  <r>
    <s v="2_ABaOnudq0L_Nd91iiAAVXy9aOD8wGuWVrPrOeTLYm-F6fRs9XCdxoD24eCkEqCR6tQ"/>
    <x v="2"/>
  </r>
  <r>
    <s v="2_ABaOnucpkhg2HQysTOKpMTOCRpQDPhJYIDuqBaWJbGcVQWAH3U1nrjmH05KzX-mxNA"/>
    <x v="2"/>
  </r>
  <r>
    <s v="2_ABaOnue1AX6wugWjqBnAKHBavYvU8I3gtFUGgZAP5kP8iawKoXNqi7PXqG6SXgSfXw"/>
    <x v="2"/>
  </r>
  <r>
    <s v="2_ABaOnudBEfL0hTsAruygt-61p35C78821DcLHfC9VvbkKwJjuTBP8fX6KyBCWNkfWw"/>
    <x v="2"/>
  </r>
  <r>
    <s v="2_ABaOnudBEfL0hTsAruygt-61p35C78821DcLHfC9VvbkKwJjuTBP8fX6KyBCWNkfWw"/>
    <x v="1"/>
  </r>
  <r>
    <s v="2_ABaOnufvPofGhNLX47_vFOXoX7BmBiuWT7ClWhOlP1KLu6PnBvUx5TsAUX7USRuI1w"/>
    <x v="2"/>
  </r>
  <r>
    <s v="2_ABaOnufysT3lqf5Lj_ltueig0H7jDGcPS3qWPo1ZAkI1bLTw5OoI5trbFXEeiAgrTQ"/>
    <x v="2"/>
  </r>
  <r>
    <s v="2_ABaOnucNcYNWs4IPPkrkb4qWZSkrna9iCPmaIUMEqMPqcA9j0IJgtBB64WCblYwgCg"/>
    <x v="2"/>
  </r>
  <r>
    <s v="2_ABaOnucNcYNWs4IPPkrkb4qWZSkrna9iCPmaIUMEqMPqcA9j0IJgtBB64WCblYwgCg"/>
    <x v="0"/>
  </r>
  <r>
    <s v="2_ABaOnuflnqiAbEsVlajlj3MahuL-H4DAe3pAUcf1s__dgzUFddmPZY7XINNM7JN8Bw"/>
    <x v="0"/>
  </r>
  <r>
    <s v="2_ABaOnuflnqiAbEsVlajlj3MahuL-H4DAe3pAUcf1s__dgzUFddmPZY7XINNM7JN8Bw"/>
    <x v="1"/>
  </r>
  <r>
    <s v="2_ABaOnudSVDBKCSmnhXN0XzhVD-TDBVYP93DBBa-OMI4HuUMi7mzuZ9IwMxV8tnJIOg"/>
    <x v="2"/>
  </r>
  <r>
    <s v="2_ABaOnuffpPbQLTKPaWrTzQYLWNqG-1mouBmH1tVS9x8SS4shmSwDkRwcmHZu4V-_JQ"/>
    <x v="1"/>
  </r>
  <r>
    <s v="2_ABaOnuckC40G_iSdNXlaCng0MY-8g9t4d9NebCtb4EvG0XZP0w0pduD20CR5RHOqqw"/>
    <x v="2"/>
  </r>
  <r>
    <s v="2_ABaOnuf_HCtJq16zWlqWUGsrc6p5gkFvWOY731rDJPuobu-D9mJuTOEi9hWURf9O5w"/>
    <x v="2"/>
  </r>
  <r>
    <s v="2_ABaOnue6qDfYgD1fVLZ0YpwYl7f0ZN-VPYj1qmLZMPlkTGRN3a4PRAoaAluxdqKchQ"/>
    <x v="1"/>
  </r>
  <r>
    <s v="2_ABaOnucHcHvqjSuWuNXqqBVO87TvuzJQ-OaA90MYhfCJzji2iAsF7w7HgDSM1pUw9Q"/>
    <x v="2"/>
  </r>
  <r>
    <s v="2_ABaOnucHcHvqjSuWuNXqqBVO87TvuzJQ-OaA90MYhfCJzji2iAsF7w7HgDSM1pUw9Q"/>
    <x v="1"/>
  </r>
  <r>
    <s v="2_ABaOnufFgDeuOcY6GTO_GBI7DJ91AguhXmrMszqT7JVwqQXqLQ6VEgiviuSjNH3hyw"/>
    <x v="2"/>
  </r>
  <r>
    <s v="2_ABaOnufFgDeuOcY6GTO_GBI7DJ91AguhXmrMszqT7JVwqQXqLQ6VEgiviuSjNH3hyw"/>
    <x v="1"/>
  </r>
  <r>
    <s v="2_ABaOnucDXjCTBqoxc3iLyQ-ZsU56hLkIappDnk8CSwMwXKXB_sdTr0IvyMIuT0egXw"/>
    <x v="2"/>
  </r>
  <r>
    <s v="2_ABaOnudw__1wigM79SiINEzvqfIccZNXypCbVodBDsA705Mxb8Jwg1HKCeB7t4yZbw"/>
    <x v="2"/>
  </r>
  <r>
    <s v="2_ABaOnuecomaMOvFfHS70Q4Api7HoCdYZmw9gp2tDDJV1S7_Cn9evFTXsXNJlFukzlQ"/>
    <x v="2"/>
  </r>
  <r>
    <s v="2_ABaOnuci1JL6-K-xnl5lEbrBCMWRGsqY6A2N53EGGOPt1mjvUoCIzKWdIrBZCubZvQ"/>
    <x v="2"/>
  </r>
  <r>
    <s v="2_ABaOnue9vcYUrMmZcFR2JwFrCzwOwiRY5EcHQM6zZQWKz0wDDtRche3IxSqz8kuQSg"/>
    <x v="2"/>
  </r>
  <r>
    <s v="2_ABaOnue9vcYUrMmZcFR2JwFrCzwOwiRY5EcHQM6zZQWKz0wDDtRche3IxSqz8kuQSg"/>
    <x v="1"/>
  </r>
  <r>
    <s v="2_ABaOnud_yioWDoZWkVCh99dxDM0y90g3YYAOg7sRqJIsr7BqcuiaP3mLcEnaML-1LQ"/>
    <x v="2"/>
  </r>
  <r>
    <s v="2_ABaOnuebg5yMZjzdEnQpObFvxbWeI3XLxpzYzaVfP35sld6hpT3p-uiQ0QQHeUZDcw"/>
    <x v="0"/>
  </r>
  <r>
    <s v="2_ABaOnuebg5yMZjzdEnQpObFvxbWeI3XLxpzYzaVfP35sld6hpT3p-uiQ0QQHeUZDcw"/>
    <x v="1"/>
  </r>
  <r>
    <s v="2_ABaOnucBOeV4AvywcNhyBiBtuyKDmr2HVm9oCZMouAW71aNYENRisDHNThGuXX5fUg"/>
    <x v="2"/>
  </r>
  <r>
    <s v="2_ABaOnucBOeV4AvywcNhyBiBtuyKDmr2HVm9oCZMouAW71aNYENRisDHNThGuXX5fUg"/>
    <x v="1"/>
  </r>
  <r>
    <s v="2_ABaOnufUZjRTVGJhZeA1IrlY5KywAaUxYVytD5t5ienfy6n1GJTUyo700pQoXrbwpw"/>
    <x v="2"/>
  </r>
  <r>
    <s v="2_ABaOnufUZjRTVGJhZeA1IrlY5KywAaUxYVytD5t5ienfy6n1GJTUyo700pQoXrbwpw"/>
    <x v="1"/>
  </r>
  <r>
    <s v="2_ABaOnucoHSIP4go9E4u2DHmTRymkYsKTs5lgie1ni6REiPKNRySiMHM4IRF9pkbpEw"/>
    <x v="2"/>
  </r>
  <r>
    <s v="2_ABaOnufDYc2sANdj4Re2BeT2uYjbckWHpqijC-9epoCl65qYJS10ebgpQ4FLOm20PQ"/>
    <x v="2"/>
  </r>
  <r>
    <s v="2_ABaOnudeE8zE_fG6m3Ito0GmxMTyHWBcNTzZju7FSx5T_K2mMtsmChV9uP1Dv9YZQg"/>
    <x v="2"/>
  </r>
  <r>
    <s v="2_ABaOnudeE8zE_fG6m3Ito0GmxMTyHWBcNTzZju7FSx5T_K2mMtsmChV9uP1Dv9YZQg"/>
    <x v="1"/>
  </r>
  <r>
    <s v="2_ABaOnuej__WEYTq6X3aFkPBYskeEX2bjd77oZWngA_W57p5ywpov7moi7h0JUMr59w"/>
    <x v="2"/>
  </r>
  <r>
    <s v="2_ABaOnuej__WEYTq6X3aFkPBYskeEX2bjd77oZWngA_W57p5ywpov7moi7h0JUMr59w"/>
    <x v="1"/>
  </r>
  <r>
    <s v="2_ABaOnudoWzG9mvAdY-NpMGraQx3ujzc_f12oQD6R7Km6XGNKB6MeHCi6kxY79IpG7A"/>
    <x v="2"/>
  </r>
  <r>
    <s v="2_ABaOnucg9jZ80v_phyVMVyDmO3CI5NOFIsgu24-5q7YCTjdAEs10HkoYzsKmLqzdMw"/>
    <x v="2"/>
  </r>
  <r>
    <s v="2_ABaOnucg9jZ80v_phyVMVyDmO3CI5NOFIsgu24-5q7YCTjdAEs10HkoYzsKmLqzdMw"/>
    <x v="1"/>
  </r>
  <r>
    <s v="2_ABaOnucZELGJePmkYzAg6u6jBV7jgq5acu9xnS1D0DJ2vwrWPd80C9QuCrJPGa6LsQ"/>
    <x v="2"/>
  </r>
  <r>
    <s v="2_ABaOnucZELGJePmkYzAg6u6jBV7jgq5acu9xnS1D0DJ2vwrWPd80C9QuCrJPGa6LsQ"/>
    <x v="1"/>
  </r>
  <r>
    <s v="2_ABaOnueFiPfp85S9OlAkhbT4CTj33u8aj8r1SaHOrOqZ0IGJUhY0Nb-eEP7dLJvzkw"/>
    <x v="2"/>
  </r>
  <r>
    <s v="2_ABaOnueSWC-TMxg5CfqFtNJiZZEiXgfBs7wtSN6-ELiAy5S5xi251BXwru19KyJkWg"/>
    <x v="2"/>
  </r>
  <r>
    <s v="2_ABaOnueSWC-TMxg5CfqFtNJiZZEiXgfBs7wtSN6-ELiAy5S5xi251BXwru19KyJkWg"/>
    <x v="1"/>
  </r>
  <r>
    <s v="2_ABaOnud4AAJk3AcULkGmRy9-5HMA0M3v76fKj8Hrel6kPY7jFwdx_yndciBVAB0ipg"/>
    <x v="2"/>
  </r>
  <r>
    <s v="2_ABaOnueIrOuq0aSCK-32nLumgZtYhF-uKRsk0VYaDBsmgESoSzH0U8LksPU8Ae1eaQ"/>
    <x v="2"/>
  </r>
  <r>
    <s v="2_ABaOnud_N6aWpZKfHf6Ac85a9FIjTRxzl0JC2biSR54f0t0cSE_CSyERPa2nMo515Q"/>
    <x v="2"/>
  </r>
  <r>
    <s v="2_ABaOnud22sBYK8AyF2Ay87Isrwnc6PTtcYr3i1w9-w7sAaj0OlmFTiSrQuz0sAzqvQ"/>
    <x v="1"/>
  </r>
  <r>
    <s v="2_ABaOnueKfogQOHIPAtQdnMQogkpt7IKfP6lV1x7PYl2-XUhteKPRE0cl0igZ188h_w"/>
    <x v="2"/>
  </r>
  <r>
    <s v="2_ABaOnueKfogQOHIPAtQdnMQogkpt7IKfP6lV1x7PYl2-XUhteKPRE0cl0igZ188h_w"/>
    <x v="1"/>
  </r>
  <r>
    <s v="2_ABaOnueG5VHL9rb8yg0lH8vXnUf5GnJz6KxyjgYbF874iHI3cW_VtQSHCKJ8MvG_jA"/>
    <x v="0"/>
  </r>
  <r>
    <s v="2_ABaOnudOFcrQZSkuzXfeWJunmXGFwxs71a7uwmBHxfaO96u8Ox-l1ZQaX-s9gl4Fdg"/>
    <x v="2"/>
  </r>
  <r>
    <s v="2_ABaOnucpxf5OmfC2HXwLK4T5cYVHjfq9NYB9FaaJXsiQTgv20PRHNdZkicMMJzlQ5w"/>
    <x v="2"/>
  </r>
  <r>
    <s v="2_ABaOnucpxf5OmfC2HXwLK4T5cYVHjfq9NYB9FaaJXsiQTgv20PRHNdZkicMMJzlQ5w"/>
    <x v="1"/>
  </r>
  <r>
    <s v="2_ABaOnudDPU_ZXVCLOt_cKMNL_Q2-CJFKS2ISd8IqMqYaC3l7uzwVhI5yQ6YQb4aYUQ"/>
    <x v="2"/>
  </r>
  <r>
    <s v="2_ABaOnudDPU_ZXVCLOt_cKMNL_Q2-CJFKS2ISd8IqMqYaC3l7uzwVhI5yQ6YQb4aYUQ"/>
    <x v="1"/>
  </r>
  <r>
    <s v="2_ABaOnucPVco0tds1s-4ahGy9x5Gl2eYIF0GI03VyjHPtsrMoYcUKKS-Coyom3YvwMw"/>
    <x v="2"/>
  </r>
  <r>
    <s v="2_ABaOnue4lUCc-SKU7ApguLITE3VoNpxgvfFv4XU6WVUT4iEa4roX6aV6wMpl7vlnrw"/>
    <x v="2"/>
  </r>
  <r>
    <s v="2_ABaOnueFyqfMj3Wll0KnlMas7fIwxVNNJnDNykGwbxsM_mqs-OR9h-jjPn0uJkpIgA"/>
    <x v="2"/>
  </r>
  <r>
    <s v="2_ABaOnucMgKw54L21THfrUb4MDt6d7QjyJ_iNiOoq_-fjEgA2ovBfe6xHte4AosUoHA"/>
    <x v="2"/>
  </r>
  <r>
    <s v="2_ABaOnufAUSi9hSkzcMbuQ0nNb9dEFlMIRB7qqWRregRMdgrLA9UbpcyXbNdOV3vOjg"/>
    <x v="2"/>
  </r>
  <r>
    <s v="2_ABaOnufFqJ5m4pf7Jd0KD4DvulUTkM_ZXHvrzsZwHo0R543W7rA1Q5JMoTlKBwo96A"/>
    <x v="2"/>
  </r>
  <r>
    <s v="2_ABaOnufE2VmLsCRbL1rU-YkhC-3Q3mPMVIsH3kSYNvvNo4FVUcTFFvJhSFtBevfJww"/>
    <x v="2"/>
  </r>
  <r>
    <s v="2_ABaOnueDypGDWrHutsW06OqZvqb19x1KQ3Qd5qZrCYoEfec6gjXFuIoZWOqejQ24UQ"/>
    <x v="2"/>
  </r>
  <r>
    <s v="2_ABaOnufX357BkiS16G9tRQpMtlYED2Z_4wzqb226alUrjtghCUwMFyJliMj-304OLg"/>
    <x v="2"/>
  </r>
  <r>
    <s v="2_ABaOnudoK_H8JtG-4Er3CreW9XzlzA02gch3IragytjjURgnTxrZaEUpY3phk8dOvg"/>
    <x v="0"/>
  </r>
  <r>
    <s v="2_ABaOnudoC9R42iHKecmHBD6xvdex1YndsYFx8qYtUpZocWTGzLHGd2rwKBlEWlJi0w"/>
    <x v="2"/>
  </r>
  <r>
    <s v="2_ABaOnudoC9R42iHKecmHBD6xvdex1YndsYFx8qYtUpZocWTGzLHGd2rwKBlEWlJi0w"/>
    <x v="1"/>
  </r>
  <r>
    <s v="2_ABaOnuek74IvFzkpRkAdk4WMZxAviIcUxwa30GmrPSDAoXjCYQdy2BXVsLRcn-ZMgQ"/>
    <x v="1"/>
  </r>
  <r>
    <s v="2_ABaOnuclt8Nv5IuYDVfx3o5fI2MlZv7JWKUUKbLt-A6083uLDPlKDw1-rTCuBUaTmA"/>
    <x v="2"/>
  </r>
  <r>
    <s v="2_ABaOnud7_JNrqISxbZ5Zd-gXYgJJljD8q9HmAdko7XgiefrELoshj3QrHTvJP1IRnA"/>
    <x v="1"/>
  </r>
  <r>
    <s v="2_ABaOnudtetm6WAgp2qqGmb57dVgAU4zxGUBxGNioQ9ET0-f-7ojTfneBy5VIXP3-RQ"/>
    <x v="2"/>
  </r>
  <r>
    <s v="2_ABaOnudYJjOJzveRwnZBVEn7MJysQSfba9Shxqnod0l8XgV3Cqoqr7mk26ptwrLaTA"/>
    <x v="2"/>
  </r>
  <r>
    <s v="2_ABaOnueyDYixaLOYemKFne1WBgGqlRSdblGJXcf4LiocZ4MwKYIICbimrI44U8FNZQ"/>
    <x v="2"/>
  </r>
  <r>
    <s v="2_ABaOnufmCMo2zDjK41YPf0KsBUlA9DU6XEp7NMIDVPDt3oI5vIVZ_OR4qVthmf3Ypg"/>
    <x v="2"/>
  </r>
  <r>
    <s v="2_ABaOnufmCMo2zDjK41YPf0KsBUlA9DU6XEp7NMIDVPDt3oI5vIVZ_OR4qVthmf3Ypg"/>
    <x v="1"/>
  </r>
  <r>
    <s v="2_ABaOnucBr02U_Vd5udq5coz3rWWGfVuX6Asfmdjy34IF3d01xF_iCbn6Q5yT2Sz_SQ"/>
    <x v="2"/>
  </r>
  <r>
    <s v="2_ABaOnucBr02U_Vd5udq5coz3rWWGfVuX6Asfmdjy34IF3d01xF_iCbn6Q5yT2Sz_SQ"/>
    <x v="1"/>
  </r>
  <r>
    <s v="2_ABaOnudJbERJtPcppNeETO8GP15KbdNY4p6v5uqMk1ySBq312cHJzmmHaHuh4QKbjQ"/>
    <x v="2"/>
  </r>
  <r>
    <s v="2_ABaOnucCT-Y3K3NzFiccQYfQ5PhBCw2ebva2tUuq7304nis96ZI9_RXYmJvJFN7SCA"/>
    <x v="2"/>
  </r>
  <r>
    <s v="2_ABaOnufxP9wORSfcThAe0xyAGyBOjdBLAeBfYJzxn14iF23gS5xFmv2eUUVKFH5y0w"/>
    <x v="2"/>
  </r>
  <r>
    <s v="2_ABaOnufsLYnGyDc-avkLmhuMw-pB7ErK6Obi3-fhUef98HtACWqwpRzTXtnam_cgtQ"/>
    <x v="2"/>
  </r>
  <r>
    <s v="2_ABaOnufQrCx3Mdjy8dgmL-9go9_OUcULgi4TJG8VFJ4xjNa0VtraUT9_4ZNlPCGZ9A"/>
    <x v="2"/>
  </r>
  <r>
    <s v="2_ABaOnufQrCx3Mdjy8dgmL-9go9_OUcULgi4TJG8VFJ4xjNa0VtraUT9_4ZNlPCGZ9A"/>
    <x v="1"/>
  </r>
  <r>
    <s v="2_ABaOnueKScmk2gGLafZxJ_lstyiZcabWjIMc5JOmWLoeNY1lhnkwPpCymneunfyHUw"/>
    <x v="2"/>
  </r>
  <r>
    <s v="2_ABaOnueKScmk2gGLafZxJ_lstyiZcabWjIMc5JOmWLoeNY1lhnkwPpCymneunfyHUw"/>
    <x v="1"/>
  </r>
  <r>
    <s v="2_ABaOnufOqWsQGQmxcFW_U-lY3EZ8aAnzFqmsFbbt1GvgJOLcmIbOzmdLEA3DC5B_dA"/>
    <x v="2"/>
  </r>
  <r>
    <s v="2_ABaOnucG-vCTufKPb8JIEPFemA2A6FXhBGay1c6tPBaFo4NQlhmKTe-2Dq_xYy6fDA"/>
    <x v="2"/>
  </r>
  <r>
    <s v="2_ABaOnudDmtmf4rUtjjofWsf4BJEH-dV6tQevU7oEvXDONg1LA_Pmz3x7v-D7gQ3TLg"/>
    <x v="2"/>
  </r>
  <r>
    <s v="2_ABaOnucPlE4Fo45oRZuFPeCoq-qRnwVMtRFoD7UxONZaIO0a6LbhMZJ4t_GYncHvzA"/>
    <x v="1"/>
  </r>
  <r>
    <s v="2_ABaOnudSljC7v0GY7d6G_ObwKkfbT-Rx7nM0dT7wThxqTcXxRSc-IckjQulmZImPyw"/>
    <x v="2"/>
  </r>
  <r>
    <s v="2_ABaOnueKUj2W4um7LFpnJSYi5rTuVHXCm7nqdfp_44SQkn0vfxAX_J_6TRQ63V1iXA"/>
    <x v="2"/>
  </r>
  <r>
    <s v="2_ABaOnuejT-sbbTpyUYyOyneuxngX9EzKQF8VeleIzWe1zfheVswm96be_Y3EtpJadA"/>
    <x v="2"/>
  </r>
  <r>
    <s v="2_ABaOnucsF8AaRSpnBXQLS8xhm_yX5nnBppaPkrVsO440H4lTRLEVFGYEaEkPOJlOcA"/>
    <x v="2"/>
  </r>
  <r>
    <s v="2_ABaOnuc9fqoK5aA_mhYFulb-Lf0m-tFeLTNGJz_pUuUNOyEfsi4NdwZVkms7XJ-sxQ"/>
    <x v="2"/>
  </r>
  <r>
    <s v="2_ABaOnuflDJT1A5lelTO5klJy2FviWhReOpR2LncdFxr0nxpx-whtpbMjgggXxGXd-Q"/>
    <x v="2"/>
  </r>
  <r>
    <s v="2_ABaOnudfRzH1B_hh_vPKS7-DGMlvQhrNKu_ngJetMAwDHKVz5G5zaqmGBm7fkXHItg"/>
    <x v="2"/>
  </r>
  <r>
    <s v="2_ABaOnuceQJklTe4WRk_5mq0zhZELLJ5_EdFmAyCpA84BmO8v2Imj6Dc-MnX2jfGYFg"/>
    <x v="2"/>
  </r>
  <r>
    <s v="2_ABaOnufNXe_9JWsoIU0b36zyuxdwqQVYmyasMk7i7qKeg6jjLp7_B--D39rsuQIeVQ"/>
    <x v="2"/>
  </r>
  <r>
    <s v="2_ABaOnucYGgw_UizGiE2nLZzrADEX-PxWXQdCcA5-SkNyfwi3HSntog1Nbk4l71h8bg"/>
    <x v="2"/>
  </r>
  <r>
    <s v="2_ABaOnuf2jlIDXBMKMH-8brXWU65TiexmEd640HCrVy3Rn6mk6D-cWaS26e_ASrD-Kw"/>
    <x v="0"/>
  </r>
  <r>
    <s v="2_ABaOnufn-XR8XSb799PIHdr-edk_mO8qkV-MN01hWx9-_BaVhPuONqBITfQx-_shjg"/>
    <x v="2"/>
  </r>
  <r>
    <s v="2_ABaOnueQ-9IMiO_EHTuy6LzSX41RjJOFeh1BK9GUKIZ2KyRfsLQe8TTX6XiGeAc39g"/>
    <x v="2"/>
  </r>
  <r>
    <s v="2_ABaOnuc5AbAQRdh-CEmLLicbbVtC9JbXIEqk_1a8iyo7EEFxkBt4R98w36k51gf3yw"/>
    <x v="1"/>
  </r>
  <r>
    <s v="2_ABaOnucLCnzmBUTFhMMk55iemSEzHomR4dLz7lw2JNzHXPk1tXhMc2UyhyCy_6NdOw"/>
    <x v="0"/>
  </r>
  <r>
    <s v="2_ABaOnucLCnzmBUTFhMMk55iemSEzHomR4dLz7lw2JNzHXPk1tXhMc2UyhyCy_6NdOw"/>
    <x v="1"/>
  </r>
  <r>
    <s v="2_ABaOnucCLWWkfAZ1dxY4Alqc4hg90zV9B8i6OxISmskr8zprwfp2WyX3tt0WhzQLdA"/>
    <x v="2"/>
  </r>
  <r>
    <s v="2_ABaOnufyIxjF_fQIkse1s3ORYRvj0v5MwK2kcLfmJzr3gfh8R_E1mia-9BWU29Afvw"/>
    <x v="2"/>
  </r>
  <r>
    <s v="2_ABaOnudL7bJWKnYF_Ilp2ZNtbJjmkYLJpHvYGAf7eY0ftT0uLxN62YQuozwU8pedhQ"/>
    <x v="2"/>
  </r>
  <r>
    <s v="2_ABaOnufZgAlxlkXRBKHMZCD2LfcQtMgmjQO6EmZR31BUEvwV16lGm8iuhToF1MG3Ig"/>
    <x v="2"/>
  </r>
  <r>
    <s v="2_ABaOnufBmzV-mn7YcEy4qKRRESuYqw_bq22T-KB5R0CKxo70_UwePpADldBA2ZUkRQ"/>
    <x v="2"/>
  </r>
  <r>
    <s v="2_ABaOnufSyYPh_N1SwsdnLmdtDK7wQXof1C9_VxQofBbAW5WtucKp_4DcuXQ1g4mDcg"/>
    <x v="0"/>
  </r>
  <r>
    <s v="2_ABaOnudWN1SN3y7bUfwM83n4sv3K5VH7q4lapd0qOI_RhJLpn8NaU_lL61z54QVdsg"/>
    <x v="0"/>
  </r>
  <r>
    <s v="2_ABaOnufuXpeFK9t7_oxCNg34Ctr4HFU7-0uODJREg4OO-GQI-ZbfhcmOmLo-kvscVA"/>
    <x v="2"/>
  </r>
  <r>
    <s v="2_ABaOnufuXpeFK9t7_oxCNg34Ctr4HFU7-0uODJREg4OO-GQI-ZbfhcmOmLo-kvscVA"/>
    <x v="1"/>
  </r>
  <r>
    <s v="2_ABaOnudRmOmZjfTau4Jnh_JBiGvsw0UPNztTEldlHSAvjLCGqXHw_9os_wxZNXi9Kg"/>
    <x v="2"/>
  </r>
  <r>
    <s v="2_ABaOnue8hXEU_a_AuGl4l6AiOPpqu1-3M76dyezoDDDy2THQyXkDBmAr1Ik8IEWBSQ"/>
    <x v="2"/>
  </r>
  <r>
    <s v="2_ABaOnufyiOiS4asgWlB29aHSCPu_ZYRatqFHQzw2SnNryF09PWmea9NOXWPklBoupA"/>
    <x v="2"/>
  </r>
  <r>
    <s v="2_ABaOnucqdNEnni7-6s9URouV29NA8i3x__qYzZmfk1gXwnjzGJegMqIaXo2Pm9W7Qg"/>
    <x v="2"/>
  </r>
  <r>
    <s v="2_ABaOnuf8P_qfFKgyGlTXCCnI5RUVuxOJzWOIvxGfbpbPCrO9UURyQQdNqbGrwKxv-A"/>
    <x v="2"/>
  </r>
  <r>
    <s v="2_ABaOnuccyZKmZhKVKjHaYT69MdBxb493pnj6fmojFPPtowSp5YQF9ZInOmgrjC4wpg"/>
    <x v="2"/>
  </r>
  <r>
    <s v="2_ABaOnuccyZKmZhKVKjHaYT69MdBxb493pnj6fmojFPPtowSp5YQF9ZInOmgrjC4wpg"/>
    <x v="1"/>
  </r>
  <r>
    <s v="2_ABaOnueg37T0BNf0SctjrA1FcopBKURMmt6pL3OsH6x-OCIYt6ogL2sFHHW_BzP_QA"/>
    <x v="2"/>
  </r>
  <r>
    <s v="2_ABaOnucbcPcNF1dSoLPnr738eUdFrWNykWtceCfv5riG7HIJEYuXbU3Slw1-3KSmLw"/>
    <x v="2"/>
  </r>
  <r>
    <s v="2_ABaOnufAY9hXgQYr8xhvuNf0eSUKYrPdmcfHiwizpErkCpdNQq6g1zN31qoy73xFnw"/>
    <x v="0"/>
  </r>
  <r>
    <s v="2_ABaOnufAY9hXgQYr8xhvuNf0eSUKYrPdmcfHiwizpErkCpdNQq6g1zN31qoy73xFnw"/>
    <x v="1"/>
  </r>
  <r>
    <s v="2_ABaOnufpaMypZWNLwUNtrsdG9wOwfX_e8Ryksjqfn_40nq5sUoVBzTH4odYzLMFEPQ"/>
    <x v="2"/>
  </r>
  <r>
    <s v="2_ABaOnufpaMypZWNLwUNtrsdG9wOwfX_e8Ryksjqfn_40nq5sUoVBzTH4odYzLMFEPQ"/>
    <x v="1"/>
  </r>
  <r>
    <s v="2_ABaOnudkJ_HODyOVLE8j21aWbRu8bM88KVGXhVLew4WgkyAYycePZ-cjoxEvRjnBhA"/>
    <x v="2"/>
  </r>
  <r>
    <s v="2_ABaOnuccOcbT15nSrZK9wSYm3-Xnw52-zIK0o6Jn-P7nwS8tj70N8m-3PLgq_1VOJQ"/>
    <x v="2"/>
  </r>
  <r>
    <s v="2_ABaOnue6Y2P65uS6BHGJKRdRTX7dYvoTjA0haTb9pFuAGGU5zmoyiGVdQMtdVsywvw"/>
    <x v="2"/>
  </r>
  <r>
    <s v="2_ABaOnue6Y2P65uS6BHGJKRdRTX7dYvoTjA0haTb9pFuAGGU5zmoyiGVdQMtdVsywvw"/>
    <x v="1"/>
  </r>
  <r>
    <s v="2_ABaOnudwvaAiKShBfMiFhCTXXum2w89Yo9FgZqjhtLgDdbcJ8TTj57MP5q0p2QFEaw"/>
    <x v="2"/>
  </r>
  <r>
    <s v="2_ABaOnudpHMHZx2hQqFFuf85APU0QppZZu6uw3IxB_b_l3TvmI6spk_p2hM4GmTE7YA"/>
    <x v="0"/>
  </r>
  <r>
    <s v="2_ABaOnudpHMHZx2hQqFFuf85APU0QppZZu6uw3IxB_b_l3TvmI6spk_p2hM4GmTE7YA"/>
    <x v="1"/>
  </r>
  <r>
    <s v="2_ABaOnufk7xZB8zUWsVgzW8BGiVBK-tdnxfms2fvqn6_S5hLX4SwQjgsN08m463wbkQ"/>
    <x v="2"/>
  </r>
  <r>
    <s v="2_ABaOnucfMp-l3mswDAhQJIYQX9BodAxKHsdXzQxd4vDzofAwcJzH_BIeUnmZPK7eug"/>
    <x v="2"/>
  </r>
  <r>
    <s v="2_ABaOnufniMNDYlogDrKQhEPfEwY1Eb5DGXkHnkULaqCq6_UGRzY2xQBxj6zt8oMgsA"/>
    <x v="2"/>
  </r>
  <r>
    <s v="2_ABaOnuffNYnkbc0mHkU_bVK4AIB6qT4JhJ4DfcIswmu2Erbl6NvXc9KTK4uCBo5jzg"/>
    <x v="2"/>
  </r>
  <r>
    <s v="2_ABaOnucA0OysRpYZbd8dtCD9KYzybiY2QhGIeaqnO1fcfeuBc-5gPh5PkbFJHHRmmw"/>
    <x v="2"/>
  </r>
  <r>
    <s v="2_ABaOnucOggw-y2pnkOumlEmnkgW0Pv9fEG1_PceDLJsQhPZmzYN3XOFEMiviVMsSdg"/>
    <x v="2"/>
  </r>
  <r>
    <s v="2_ABaOnufWsn99Os3xds0eH7AyprLgnVOy3np-tcu1BeUUZZbo_BVEbNKLqFKQ4GfxIQ"/>
    <x v="2"/>
  </r>
  <r>
    <s v="2_ABaOnucziRKEYJBAV63hZ6yXdTI8LWmu54khDOytHobsq9fjHLPk-XOgQy-JSa9aZA"/>
    <x v="2"/>
  </r>
  <r>
    <s v="2_ABaOnucziRKEYJBAV63hZ6yXdTI8LWmu54khDOytHobsq9fjHLPk-XOgQy-JSa9aZA"/>
    <x v="1"/>
  </r>
  <r>
    <s v="2_ABaOnuf1e8drvjandk0OUhbu1ZOhihzUuCs28XCMeBCu2gs564MsnZLoKYTBKLFUUg"/>
    <x v="1"/>
  </r>
  <r>
    <s v="2_ABaOnucZpKlazoMPrWnBNj9Ce05Cyvep2VSQnd2F5mYNaNvUQ7INasjd4s-eYLG-LQ"/>
    <x v="2"/>
  </r>
  <r>
    <s v="2_ABaOnucZpKlazoMPrWnBNj9Ce05Cyvep2VSQnd2F5mYNaNvUQ7INasjd4s-eYLG-LQ"/>
    <x v="0"/>
  </r>
  <r>
    <s v="2_ABaOnucq6sKsPc-1eR9UkT-saB-F4ken_BaaUy__baJ9_pZD-sssoNxSqskQEOIQgA"/>
    <x v="2"/>
  </r>
  <r>
    <s v="2_ABaOnucq6sKsPc-1eR9UkT-saB-F4ken_BaaUy__baJ9_pZD-sssoNxSqskQEOIQgA"/>
    <x v="1"/>
  </r>
  <r>
    <s v="2_ABaOnuemS3IoxT9PdPt5vvoyHyNIN0hOC0OpmRt71oUt_do4fRxLsA3v-7VfzkXXuw"/>
    <x v="2"/>
  </r>
  <r>
    <s v="2_ABaOnudBTmnl-puIV-xCJCHXvbceeWgsBCM17F2woL4U8FWlevDFJsQ6GdqVlTkA3A"/>
    <x v="2"/>
  </r>
  <r>
    <s v="2_ABaOnueeuHQo7pqCPeM_X2JF8bC8U2OPrlTaqMbnfK0x219TyFdG88SCsolyG-ygsw"/>
    <x v="2"/>
  </r>
  <r>
    <s v="2_ABaOnueeuHQo7pqCPeM_X2JF8bC8U2OPrlTaqMbnfK0x219TyFdG88SCsolyG-ygsw"/>
    <x v="1"/>
  </r>
  <r>
    <s v="2_ABaOnufn7alQBiUpsIhX8oc0NrttTjlfofn7vHIzJnH_F8jrm35BvTngBSv9AfI2ew"/>
    <x v="2"/>
  </r>
  <r>
    <s v="2_ABaOnue9Sfk_ARL8Acxcc1GH303alOxOXW2BbBT1iAXZkvTdhCqwqEZEiTkP8ir84Q"/>
    <x v="2"/>
  </r>
  <r>
    <s v="2_ABaOnue9Sfk_ARL8Acxcc1GH303alOxOXW2BbBT1iAXZkvTdhCqwqEZEiTkP8ir84Q"/>
    <x v="1"/>
  </r>
  <r>
    <s v="2_ABaOnuePuL4ECkeAX_dS6b2FzAh3-6qClggNcOitlMczUB7y8ZC_DuQb3r2-K8iWYQ"/>
    <x v="2"/>
  </r>
  <r>
    <s v="2_ABaOnuePuL4ECkeAX_dS6b2FzAh3-6qClggNcOitlMczUB7y8ZC_DuQb3r2-K8iWYQ"/>
    <x v="1"/>
  </r>
  <r>
    <s v="2_ABaOnufjSgRjFt87F1rSVv96V2dbA75lorsqMqonV85BQyP9g8_c4OBqOtbFUjj5zQ"/>
    <x v="2"/>
  </r>
  <r>
    <s v="2_ABaOnueBT04UTXPvfx89cSwMskCCLnVMpyLfrn2eN2Sa37vzP8rdxv37GC_2_kx-oQ"/>
    <x v="2"/>
  </r>
  <r>
    <s v="2_ABaOnueBT04UTXPvfx89cSwMskCCLnVMpyLfrn2eN2Sa37vzP8rdxv37GC_2_kx-oQ"/>
    <x v="1"/>
  </r>
  <r>
    <s v="2_ABaOnudv_qpoWl_O4BCwDWXMPOzwiFpIpp9e5vghM-CpM86QG0O2yo_jODXqybl08g"/>
    <x v="2"/>
  </r>
  <r>
    <s v="2_ABaOnudv_qpoWl_O4BCwDWXMPOzwiFpIpp9e5vghM-CpM86QG0O2yo_jODXqybl08g"/>
    <x v="1"/>
  </r>
  <r>
    <s v="2_ABaOnufHd7a8re6gnHLacJWg8iHZ5K_32njKPB8hifivkLUsxyCQ_fxt8gRQEP5fdA"/>
    <x v="2"/>
  </r>
  <r>
    <s v="2_ABaOnudIqHL_P7N72pR0qyK2E3wt40zEiHcQoZCgh-2sjCnW_l8EX5D3X3bmIUYCvQ"/>
    <x v="2"/>
  </r>
  <r>
    <s v="2_ABaOnudIqHL_P7N72pR0qyK2E3wt40zEiHcQoZCgh-2sjCnW_l8EX5D3X3bmIUYCvQ"/>
    <x v="1"/>
  </r>
  <r>
    <s v="2_ABaOnuesrrdpCZeOdO5X2HuNaH_AGqGC8IC_NRLBqHdwMIUQxBo_gTmRy71x6GzAhA"/>
    <x v="0"/>
  </r>
  <r>
    <s v="2_ABaOnucGOOmoMwihfPxSX-GNXAWhA_NCDc-GJyNqm2deQMnvZTKqocMjINDWpzvlPQ"/>
    <x v="2"/>
  </r>
  <r>
    <s v="2_ABaOnucGOOmoMwihfPxSX-GNXAWhA_NCDc-GJyNqm2deQMnvZTKqocMjINDWpzvlPQ"/>
    <x v="1"/>
  </r>
  <r>
    <s v="2_ABaOnue7xRTI6oZlFtRICv7f-UTj6o-C7hPA7XndhQV9UaXI20kUm6SrKCWkwk3pgQ"/>
    <x v="1"/>
  </r>
  <r>
    <s v="2_ABaOnudJr6k9KkEX8fgcLoy5XuObQ-JteDBzspwydfro8wTA1rKrhcSfChYlvmvXpw"/>
    <x v="2"/>
  </r>
  <r>
    <s v="2_ABaOnucJbME7G6Cjqqd1eZMXGFPMCtEe86LoMwkXbnIcNe17JU8h_u4KmnK0AlbHEw"/>
    <x v="2"/>
  </r>
  <r>
    <s v="2_ABaOnucJbME7G6Cjqqd1eZMXGFPMCtEe86LoMwkXbnIcNe17JU8h_u4KmnK0AlbHEw"/>
    <x v="1"/>
  </r>
  <r>
    <s v="2_ABaOnuei1zEw8MCa0lES_JYSOguVD5bhhgCN1Aqpc2YWz0rENBQn30wvalCaaISMqQ"/>
    <x v="2"/>
  </r>
  <r>
    <s v="2_ABaOnufRzaX7k3sGPiikskIUAH3KrTwCLJmjTifJRKlI5lzzUa1P40F4MohWkgZLNA"/>
    <x v="2"/>
  </r>
  <r>
    <s v="2_ABaOnueMzdNPcTuhzdRQXA_4tJJhDynAkZeJn69BDhiDrS7Xo-CAZ9Oy7IiB2bm3Dg"/>
    <x v="2"/>
  </r>
  <r>
    <s v="2_ABaOnueMzdNPcTuhzdRQXA_4tJJhDynAkZeJn69BDhiDrS7Xo-CAZ9Oy7IiB2bm3Dg"/>
    <x v="1"/>
  </r>
  <r>
    <s v="2_ABaOnucSSB0dH81T1-WgkqBDOqwdjtCS8BUb8pbANcEnXRDTm7JZiXErabSU2jyG9g"/>
    <x v="2"/>
  </r>
  <r>
    <s v="2_ABaOnueqxBu5affu5ngdT3G37n_RweGzRnMzG8i36DqzDumxaKkS7grpkRWOpej2xA"/>
    <x v="2"/>
  </r>
  <r>
    <s v="2_ABaOnucUYRtqz7MaW4LEB4O8jlVTuA4_R81eEpAyjmiuznfwk5Zo-cHGNRd78UB0Fw"/>
    <x v="2"/>
  </r>
  <r>
    <s v="2_ABaOnudL4XQgDGSzdZsXtSbaTAoxYRXyy2Gw__TiaxilGvpuoGa4SwL9vKUf6dThmg"/>
    <x v="2"/>
  </r>
  <r>
    <s v="2_ABaOnuecD4dDYHJjOB1MpDwb3IS-z6NHyCnxWZVZoNHNKCdySFhlH7RZq_dzSQdqrQ"/>
    <x v="1"/>
  </r>
  <r>
    <s v="2_ABaOnudEAcaN4lI3TQNFN3Hw8Y_bj5-4aij7W5NmM0CUnZBBXpnPzd9FxCXZZ5_wvA"/>
    <x v="2"/>
  </r>
  <r>
    <s v="2_ABaOnueDOV5LPKNuTDAxxmwNvMdDGJTr3eigPIZ6WV6NKxZUq75E9qXb5AxYVIgv9g"/>
    <x v="2"/>
  </r>
  <r>
    <s v="2_ABaOnuf8-IPmq5NYY9fCIkkGwROWVSuUyBxX9EPpA-rglII6EI8BawZZmKtp3TWXDw"/>
    <x v="1"/>
  </r>
  <r>
    <s v="2_ABaOnueMdh95UH9muICAdIHGqMpXr0pSVjVGz6BRITF6ZedUFqV7HhgaTrchSTUY1g"/>
    <x v="2"/>
  </r>
  <r>
    <s v="2_ABaOnueMdh95UH9muICAdIHGqMpXr0pSVjVGz6BRITF6ZedUFqV7HhgaTrchSTUY1g"/>
    <x v="1"/>
  </r>
  <r>
    <s v="2_ABaOnufJmsrUP33GtAD8cAYowxZjq4P86dAtzwCaHe9416lZSf2uwJtfwY9i4RJbfw"/>
    <x v="2"/>
  </r>
  <r>
    <s v="2_ABaOnufJmsrUP33GtAD8cAYowxZjq4P86dAtzwCaHe9416lZSf2uwJtfwY9i4RJbfw"/>
    <x v="0"/>
  </r>
  <r>
    <s v="2_ABaOnufJmsrUP33GtAD8cAYowxZjq4P86dAtzwCaHe9416lZSf2uwJtfwY9i4RJbfw"/>
    <x v="1"/>
  </r>
  <r>
    <s v="2_ABaOnufRDPheS0KUnS1FcmTHcEcFb4WoUvbyNZee8npxgN8zALMvqnjfqULIYkPHcw"/>
    <x v="0"/>
  </r>
  <r>
    <s v="2_ABaOnufRDPheS0KUnS1FcmTHcEcFb4WoUvbyNZee8npxgN8zALMvqnjfqULIYkPHcw"/>
    <x v="1"/>
  </r>
  <r>
    <s v="2_ABaOnufjcwTSAfYLOP2r-r4E4PhaHYqGU-5hCFjuaPd_no68o3I6Q6uZ1pqbpCfTFA"/>
    <x v="2"/>
  </r>
  <r>
    <s v="2_ABaOnufjcwTSAfYLOP2r-r4E4PhaHYqGU-5hCFjuaPd_no68o3I6Q6uZ1pqbpCfTFA"/>
    <x v="0"/>
  </r>
  <r>
    <s v="2_ABaOnufjcwTSAfYLOP2r-r4E4PhaHYqGU-5hCFjuaPd_no68o3I6Q6uZ1pqbpCfTFA"/>
    <x v="1"/>
  </r>
  <r>
    <s v="2_ABaOnud63cwB6AUzG6BqafTRQqWGLpdR9hlWpdLM91JM7sRGspSehJ8dNpJQbi1HZw"/>
    <x v="0"/>
  </r>
  <r>
    <s v="2_ABaOnuc7SI58yXn7dTwdClNGCykQCRuegeRKCtxgl3cXaZXMa8uyoaNsI70n_XV5VQ"/>
    <x v="0"/>
  </r>
  <r>
    <s v="2_ABaOnuc7SI58yXn7dTwdClNGCykQCRuegeRKCtxgl3cXaZXMa8uyoaNsI70n_XV5VQ"/>
    <x v="1"/>
  </r>
  <r>
    <s v="2_ABaOnuc-LZ0pDeGoLMtumTgc252-llMaPmYdO4G1AlCvrohPAv7brCWAwRyhepA4GA"/>
    <x v="2"/>
  </r>
  <r>
    <s v="2_ABaOnudv97NUnWhhHYcBU6fztOUs10OItLrDUi6xJ9XO3162IuChkHXnaH3ORULBCg"/>
    <x v="2"/>
  </r>
  <r>
    <s v="2_ABaOnufht28RKhoR9yPYAMVnOAS8PuikplIAgdoXm0fsrKz7GEHU-WrvLMAssl-FZg"/>
    <x v="2"/>
  </r>
  <r>
    <s v="2_ABaOnudX3h1FRo9_NO2Y8mEOTy_0uQh2YXuzz9_q64I9ffrYHwO80K6DecN4cW6MVQ"/>
    <x v="2"/>
  </r>
  <r>
    <s v="2_ABaOnudg3Q-VPpM0vdXH0_ixtMHXg6s_vPbMeYlpfU46ObUR4vLqXKhoPlr3mqTePQ"/>
    <x v="2"/>
  </r>
  <r>
    <s v="2_ABaOnucEIhV9vFxOVNZ45FTk8Zao0xQo8G-rFgi3KuOAX29F9-pSPJtYwvy67BYf2g"/>
    <x v="2"/>
  </r>
  <r>
    <s v="2_ABaOnue-jQ-1d9z-pV75tfLrn9KUV6LqB72mU3z66HF18lgjhdm_rOZiEGfvJOW6Ug"/>
    <x v="2"/>
  </r>
  <r>
    <s v="2_ABaOnudS0GwpMbYjKBfJvlxn8I11hJWDteJ54DzwIzOvHJBdqK5rGFNEDJ9fJfqZnQ"/>
    <x v="2"/>
  </r>
  <r>
    <s v="2_ABaOnuehj6LNehqVAiRqgiaXF_3zexhvWT0udhd5AopMRdJTottVkpPsA-TN9wEDQQ"/>
    <x v="0"/>
  </r>
  <r>
    <s v="2_ABaOnucfuz1ZFt_J4Bsxv674Em_HzIh9cNSDcbiMpaFspeHe1jLSQVbHHoiEkg3Xig"/>
    <x v="2"/>
  </r>
  <r>
    <s v="2_ABaOnucfuz1ZFt_J4Bsxv674Em_HzIh9cNSDcbiMpaFspeHe1jLSQVbHHoiEkg3Xig"/>
    <x v="1"/>
  </r>
  <r>
    <s v="2_ABaOnudZIcMxSHOXF82cuAFR5Wfa7lmY1ZIORR64a5ywfC3r48CkzKNQWSb7irxSuA"/>
    <x v="2"/>
  </r>
  <r>
    <s v="2_ABaOnudnF6vxlTKZ7SgFO-Dk3XyxG8nJtZ_NMTaT_CWbI0m82jZKNoi6sVge1sBO8A"/>
    <x v="2"/>
  </r>
  <r>
    <s v="2_ABaOnufU7sFjWvsipRjkIkVZZipYV2JT-0ZPtRGpTRXB8_0fWsGET_q0sr9LCXeKHQ"/>
    <x v="0"/>
  </r>
  <r>
    <s v="2_ABaOnuf8bPxcIFhpCv8tZSNk-h3C0lpT1TqooginyE2ic51pswMtG4VpDEnyqj-Odw"/>
    <x v="2"/>
  </r>
  <r>
    <s v="2_ABaOnuf8bPxcIFhpCv8tZSNk-h3C0lpT1TqooginyE2ic51pswMtG4VpDEnyqj-Odw"/>
    <x v="1"/>
  </r>
  <r>
    <s v="2_ABaOnudjC74wCD-aDa0OYSi450084PeQLsSADHI-HtkSedBEqm1tTq1xakawLlo42w"/>
    <x v="2"/>
  </r>
  <r>
    <s v="2_ABaOnuf_g-udsFYUm002u-m8Ege-vL8AQi3fsIMSIu3GNg8tk7nUoR5M8xp5GbkiRg"/>
    <x v="2"/>
  </r>
  <r>
    <s v="2_ABaOnudUqMN6almPB8156Vr-p0HhSaneel22vBtTc_NDdoxmbQDdtpCKcOYe2Icpxg"/>
    <x v="2"/>
  </r>
  <r>
    <s v="2_ABaOnudUqMN6almPB8156Vr-p0HhSaneel22vBtTc_NDdoxmbQDdtpCKcOYe2Icpxg"/>
    <x v="1"/>
  </r>
  <r>
    <s v="2_ABaOnuf5wRqK6oC5rc0v2nm8LCxdQu1KZKxRApIIiH8EC8N54Ei76yQ8fHj4lNiPpg"/>
    <x v="2"/>
  </r>
  <r>
    <s v="2_ABaOnucYh3l8pE1C--7rOk3I965tSC6rNOpFN1mv-lc1Q0rID4synoj2Lh3CqEujHA"/>
    <x v="2"/>
  </r>
  <r>
    <s v="2_ABaOnudn-HrR9yQBjYdZl4hFIu0M66LZDgEATxaZMOieMj9_bxtrvKoL-Mf53J9E3A"/>
    <x v="2"/>
  </r>
  <r>
    <s v="2_ABaOnue98bKsNQSXkGDd4w9ydCBVzJelpDEZSXPF-gkih5nz2ob8GrOm7ggzb-Zggg"/>
    <x v="2"/>
  </r>
  <r>
    <s v="2_ABaOnudn_dWnZTlPIJ-VrMWrjLtr69DvG3wAeuOO_Llr632I3QMc6Gearp60vDg2kw"/>
    <x v="2"/>
  </r>
  <r>
    <s v="2_ABaOnud_kLicEz72ziEpYCk038TqHwYdjuxjXF8Q_inJ659k65x3dHKZEEYjYbeJ8Q"/>
    <x v="2"/>
  </r>
  <r>
    <s v="2_ABaOnud_kLicEz72ziEpYCk038TqHwYdjuxjXF8Q_inJ659k65x3dHKZEEYjYbeJ8Q"/>
    <x v="1"/>
  </r>
  <r>
    <s v="2_ABaOnuf6CuCMhcweqAE8IMbAfXaHJ6Z-rl6YW4p1zfQsLlGeOi-6Eo6-hM-FIYXKkA"/>
    <x v="2"/>
  </r>
  <r>
    <s v="2_ABaOnuf6CuCMhcweqAE8IMbAfXaHJ6Z-rl6YW4p1zfQsLlGeOi-6Eo6-hM-FIYXKkA"/>
    <x v="1"/>
  </r>
  <r>
    <s v="2_ABaOnuf13TgQh_Nwkq34e0p4ClukSdURs-l9JDmkzf_Q0UUvXblC3F_aiwqzog2-XQ"/>
    <x v="2"/>
  </r>
  <r>
    <s v="2_ABaOnueqXSLTBJfE1JmzEQBWnh517cpkvkxgfdvMq0oQG57JLWoeJaKxo0SW6AIXsQ"/>
    <x v="2"/>
  </r>
  <r>
    <s v="2_ABaOnueqXSLTBJfE1JmzEQBWnh517cpkvkxgfdvMq0oQG57JLWoeJaKxo0SW6AIXsQ"/>
    <x v="1"/>
  </r>
  <r>
    <s v="2_ABaOnueYUtcgBS0PRx1DJ9HckuBkP63T6227XoSoT9FJb0mI7ELULWom9sGcAec_Vw"/>
    <x v="0"/>
  </r>
  <r>
    <s v="2_ABaOnuckqrd4Wv1tlE-a1kSWO2k8b6o9ArAJyiAOSbzuNRR65NoSXWmsD5wviwjN4g"/>
    <x v="2"/>
  </r>
  <r>
    <s v="2_ABaOnueS4zy-taODEG7tTip6Iq7-1nR6co0id-5NIMShbiCUJpPF6pnE0Y5phX14-g"/>
    <x v="2"/>
  </r>
  <r>
    <s v="2_ABaOnudeqtNYw6KIkFXb3lEz1QudLyvL9JODI4oE_eoef0At1sN2ZTsUvL7SuSdZWQ"/>
    <x v="1"/>
  </r>
  <r>
    <s v="2_ABaOnudZTYAXLv9QOgvar0G6YbfA-MQQvG_rBipk0Th75t1dyQq-qGXSF8P8tc9aGA"/>
    <x v="2"/>
  </r>
  <r>
    <s v="2_ABaOnudZTYAXLv9QOgvar0G6YbfA-MQQvG_rBipk0Th75t1dyQq-qGXSF8P8tc9aGA"/>
    <x v="1"/>
  </r>
  <r>
    <s v="2_ABaOnue-AnDlbZvX6V7uRBLZ2u9BMoLgnvpR10_ias5trm9A7mO5ChGktySoFfArjw"/>
    <x v="2"/>
  </r>
  <r>
    <s v="2_ABaOnue-AnDlbZvX6V7uRBLZ2u9BMoLgnvpR10_ias5trm9A7mO5ChGktySoFfArjw"/>
    <x v="1"/>
  </r>
  <r>
    <s v="2_ABaOnuewTbfxSxsb_rHfmQufzlus4Tbn0CGN2Dv4fWph8wPAe2hixbuZlECUnemYCw"/>
    <x v="2"/>
  </r>
  <r>
    <s v="2_ABaOnuewTbfxSxsb_rHfmQufzlus4Tbn0CGN2Dv4fWph8wPAe2hixbuZlECUnemYCw"/>
    <x v="1"/>
  </r>
  <r>
    <s v="2_ABaOnufVFEa0-eUsUF24_stY6OCf9W1XLo8ngtZubGcE3GXMtJK3KXwrQs2Z0J11nA"/>
    <x v="0"/>
  </r>
  <r>
    <s v="2_ABaOnufVFEa0-eUsUF24_stY6OCf9W1XLo8ngtZubGcE3GXMtJK3KXwrQs2Z0J11nA"/>
    <x v="1"/>
  </r>
  <r>
    <s v="2_ABaOnufymi_MW_0w3CZR-saaf-E7uRshpGJdwwYDa22eInaLlBaZSdj4Lju1db5THQ"/>
    <x v="0"/>
  </r>
  <r>
    <s v="2_ABaOnufymi_MW_0w3CZR-saaf-E7uRshpGJdwwYDa22eInaLlBaZSdj4Lju1db5THQ"/>
    <x v="1"/>
  </r>
  <r>
    <s v="2_ABaOnueIbKw1JUPlwfDtE1O8rK9xCbFMv6OAg-lmNlQ83hGGCUijNqUmRIjRGarCVg"/>
    <x v="2"/>
  </r>
  <r>
    <s v="2_ABaOnueIbKw1JUPlwfDtE1O8rK9xCbFMv6OAg-lmNlQ83hGGCUijNqUmRIjRGarCVg"/>
    <x v="1"/>
  </r>
  <r>
    <s v="2_ABaOnueOBZ4TJrNcvPpwsQkAhTkMYHpSvAI5929Xa7uuwIFxcMzbpvqXiKwbhAxIlg"/>
    <x v="2"/>
  </r>
  <r>
    <s v="2_ABaOnueOBZ4TJrNcvPpwsQkAhTkMYHpSvAI5929Xa7uuwIFxcMzbpvqXiKwbhAxIlg"/>
    <x v="1"/>
  </r>
  <r>
    <s v="2_ABaOnuet9ndsnsQNKhLeH9qwNM8ZJ2GelGS9uVkrTTxC4hiXGC_mOuINBRlsPfJwGw"/>
    <x v="2"/>
  </r>
  <r>
    <s v="2_ABaOnudlahXWe7PkCCoSHDFke-RzbSTCkGp5irleizVvUK_yn4UrR9hAeXEtIvm0lQ"/>
    <x v="2"/>
  </r>
  <r>
    <s v="2_ABaOnuelio088KE_UJSKAHr4XZzn0h-tZ6vrFZv0W3q5YNGC5AjK6BjV1L34NUhwgQ"/>
    <x v="2"/>
  </r>
  <r>
    <s v="2_ABaOnuelio088KE_UJSKAHr4XZzn0h-tZ6vrFZv0W3q5YNGC5AjK6BjV1L34NUhwgQ"/>
    <x v="1"/>
  </r>
  <r>
    <s v="2_ABaOnufpS8oja-YYrfTqCo9jumb-FRaoYDYA_Lw5BpziYH3bXx7jqCsC9eBuYhEYVg"/>
    <x v="2"/>
  </r>
  <r>
    <s v="2_ABaOnufpS8oja-YYrfTqCo9jumb-FRaoYDYA_Lw5BpziYH3bXx7jqCsC9eBuYhEYVg"/>
    <x v="1"/>
  </r>
  <r>
    <s v="2_ABaOnufKOUCkK6Bg7a63ptOL5IHf0-lylGU1oKkqd6PUWbymBhnRt3xVSseRIItPjw"/>
    <x v="2"/>
  </r>
  <r>
    <s v="2_ABaOnufKOUCkK6Bg7a63ptOL5IHf0-lylGU1oKkqd6PUWbymBhnRt3xVSseRIItPjw"/>
    <x v="1"/>
  </r>
  <r>
    <s v="2_ABaOnud4sNi0FsjFppNCQc-6op_dERgf0vohJ43DeAsXlFbnjSfuVpkeZjz7pBwizw"/>
    <x v="2"/>
  </r>
  <r>
    <s v="2_ABaOnuf4oqG_6MgRdYM6C_S6BDERd-YnPn8UF8l2J3N3IHmxSsqNDYsgsrgXKPF9Qg"/>
    <x v="2"/>
  </r>
  <r>
    <s v="2_ABaOnudmNS6v31kI7W66-4XEAhyMF-lGeQx6qN-gqd-F83bAPeQobIDlZTGZvea_FA"/>
    <x v="2"/>
  </r>
  <r>
    <s v="2_ABaOnuf91L_vXRkzXTho4mVW9iqHSE-4zpqEUHj_y1BN0TLzmhsLF-PHM3AG9Zgakg"/>
    <x v="2"/>
  </r>
  <r>
    <s v="2_ABaOnudh5f96jFAdQ9Kfq88Fawgxqf1sHt07jKBcEV0-oqeTWMBi60W6O_dmP03NhQ"/>
    <x v="2"/>
  </r>
  <r>
    <m/>
    <x v="10"/>
  </r>
  <r>
    <m/>
    <x v="10"/>
  </r>
  <r>
    <m/>
    <x v="10"/>
  </r>
  <r>
    <m/>
    <x v="10"/>
  </r>
  <r>
    <m/>
    <x v="10"/>
  </r>
  <r>
    <m/>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Sum_Certificate" cacheId="4" applyNumberFormats="0" applyBorderFormats="0" applyFontFormats="0" applyPatternFormats="0" applyAlignmentFormats="0" applyWidthHeightFormats="0" dataCaption="" updatedVersion="8" compact="0" compactData="0">
  <location ref="A1:B13" firstHeaderRow="1" firstDataRow="1" firstDataCol="1"/>
  <pivotFields count="2">
    <pivotField name="Responder ID" dataField="1" compact="0" outline="0" multipleItemSelectionAllowed="1" showAll="0"/>
    <pivotField name="Chứng chỉ" axis="axisRow" compact="0" outline="0" multipleItemSelectionAllowed="1" showAll="0" sortType="ascending">
      <items count="12">
        <item x="9"/>
        <item x="1"/>
        <item x="3"/>
        <item x="7"/>
        <item x="2"/>
        <item x="8"/>
        <item x="4"/>
        <item x="5"/>
        <item x="6"/>
        <item x="0"/>
        <item x="10"/>
        <item t="default"/>
      </items>
    </pivotField>
  </pivotFields>
  <rowFields count="1">
    <field x="1"/>
  </rowFields>
  <rowItems count="12">
    <i>
      <x/>
    </i>
    <i>
      <x v="1"/>
    </i>
    <i>
      <x v="2"/>
    </i>
    <i>
      <x v="3"/>
    </i>
    <i>
      <x v="4"/>
    </i>
    <i>
      <x v="5"/>
    </i>
    <i>
      <x v="6"/>
    </i>
    <i>
      <x v="7"/>
    </i>
    <i>
      <x v="8"/>
    </i>
    <i>
      <x v="9"/>
    </i>
    <i>
      <x v="10"/>
    </i>
    <i t="grand">
      <x/>
    </i>
  </rowItems>
  <colItems count="1">
    <i/>
  </colItems>
  <dataFields count="1">
    <dataField name="Tổng số"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BP511">
  <tableColumns count="68">
    <tableColumn id="1" xr3:uid="{00000000-0010-0000-0000-000001000000}" name="Timestamp"/>
    <tableColumn id="2" xr3:uid="{00000000-0010-0000-0000-000002000000}" name="Họ và tên"/>
    <tableColumn id="3" xr3:uid="{00000000-0010-0000-0000-000003000000}" name="Giới tính"/>
    <tableColumn id="4" xr3:uid="{00000000-0010-0000-0000-000004000000}" name="Đơn vị công tác"/>
    <tableColumn id="5" xr3:uid="{00000000-0010-0000-0000-000005000000}" name="Trình độ, chứng chỉ bằng cấp chuyên môn (có thể đánh nhiều lựa chọn, nếu có chứng chỉ chuyên môn khác xin vui lòng chọn Other rồi nhập tên chứng chỉ)"/>
    <tableColumn id="6" xr3:uid="{00000000-0010-0000-0000-000006000000}" name="Số năm kinh nghiệm"/>
    <tableColumn id="7" xr3:uid="{00000000-0010-0000-0000-000007000000}" name="Vị trí công tác hiện nay"/>
    <tableColumn id="8" xr3:uid="{00000000-0010-0000-0000-000008000000}" name="Đối với năng lực kiểm toán viên (Auditor Competence - COM) [Kiểm toán viên có kiến thức vững vàng về kế toán và kiểm toán cần thiết cho việc thực hiện các cuộc kiểm toán.]"/>
    <tableColumn id="9" xr3:uid="{00000000-0010-0000-0000-000009000000}" name="Đối với năng lực kiểm toán viên (Auditor Competence - COM) [Kiểm toán viên có kiến thức tổng quát về các lĩnh vực liên quan như luật, tài chính, thuế và quản lý, phục vụ hiệu quả cho công việc kiểm toán.]"/>
    <tableColumn id="10" xr3:uid="{00000000-0010-0000-0000-00000A000000}" name="Đối với năng lực kiểm toán viên (Auditor Competence - COM) [Kiểm toán viên hiểu rõ hoạt động kinh doanh và môi trường hoạt động của khách hàng mà kiểm toán viên thực hiện kiểm toán.]"/>
    <tableColumn id="11" xr3:uid="{00000000-0010-0000-0000-00000B000000}" name="Đối với năng lực kiểm toán viên (Auditor Competence - COM) [Kiểm toán viên đã tham gia nhiều cuộc kiểm toán.]"/>
    <tableColumn id="12" xr3:uid="{00000000-0010-0000-0000-00000C000000}" name="Đối với năng lực kiểm toán viên (Auditor Competence - COM) [Trong quá trình thực hiện kiểm toán tại khách hàng, kiểm toán viên phải yêu cầu và xem xét kỹ các quy trình kinh doanh của khách hàng, nhằm bảo đảm sự phù hợp với các kiểm tra chọn mẫu.]"/>
    <tableColumn id="13" xr3:uid="{00000000-0010-0000-0000-00000D000000}" name="Đối với năng lực kiểm toán viên (Auditor Competence - COM) [Trong nhiệm vụ kiểm toán, kiểm toán viên được kỳ vọng sử dụng phần mềm kiểm toán để thực hiện chọn mẫu một cách hiệu quả.]"/>
    <tableColumn id="14" xr3:uid="{00000000-0010-0000-0000-00000E000000}" name="Đối với năng lực kiểm toán viên (Auditor Competence - COM) [Kiểm toán viên có khả năng sử dụng phần mềm kiểm toán theo quy định và hướng dẫn của công ty.]"/>
    <tableColumn id="15" xr3:uid="{00000000-0010-0000-0000-00000F000000}" name="Đối với năng lực kiểm toán viên (Auditor Competence - COM) [Sau khi hoàn tất thủ tục kiểm toán, kiểm toán viên phải rút ra kết luận dựa trên dữ liệu trong tài liệu làm việc.]"/>
    <tableColumn id="16" xr3:uid="{00000000-0010-0000-0000-000010000000}" name="Đối với năng lực kiểm toán viên (Auditor Competence - COM) [Kiểm toán viên tham gia đầy đủ các chương trình cập nhật kiến thức nghề nghiệp theo quy định của Bộ Tài chính.]"/>
    <tableColumn id="17" xr3:uid="{00000000-0010-0000-0000-000011000000}" name="Đối với hoài nghi nghề nghiệp (Professional Skepticism - PS) [Kiểm toán viên thường xuyên đặt câu hỏi về tính hợp lý của thông tin do khách hàng cung cấp.]"/>
    <tableColumn id="18" xr3:uid="{00000000-0010-0000-0000-000012000000}" name="Đối với hoài nghi nghề nghiệp (Professional Skepticism - PS) [Kiểm toán viên luôn yêu cầu bằng chứng kiểm toán đầy đủ và thích hợp để xác minh các trình bày của khách hàng.]"/>
    <tableColumn id="19" xr3:uid="{00000000-0010-0000-0000-000013000000}" name="Đối với hoài nghi nghề nghiệp (Professional Skepticism - PS) [Kiểm toán viên thận trọng khi đánh giá độ tin cậy của thông tin thu thập được từ khách hàng.]"/>
    <tableColumn id="20" xr3:uid="{00000000-0010-0000-0000-000014000000}" name="Đối với hoài nghi nghề nghiệp (Professional Skepticism - PS) [Kiểm toán viên không nên mặc định rằng thông tin do khách hàng cung cấp là chính xác nếu chưa được kiểm chứng.]"/>
    <tableColumn id="21" xr3:uid="{00000000-0010-0000-0000-000015000000}" name="Đối với hoài nghi nghề nghiệp (Professional Skepticism - PS) [Kiểm toán viên đánh giá một cách độc lập các thông tin do khách hàng cung cấp thay vì chỉ dựa vào sự tin tưởng.]"/>
    <tableColumn id="22" xr3:uid="{00000000-0010-0000-0000-000016000000}" name="Đối với động lực (Motivation - MO) [Kiểm toán viên thấy hứng thú với công việc kiểm toán]"/>
    <tableColumn id="23" xr3:uid="{00000000-0010-0000-0000-000017000000}" name="Đối với động lực (Motivation - MO) [Kiểm toán viên cảm thấy công việc kiểm toán có ý nghĩa đối với bản thân]"/>
    <tableColumn id="24" xr3:uid="{00000000-0010-0000-0000-000018000000}" name="Đối với động lực (Motivation - MO) [Kiểm toán viên cảm thấy không thoải mái khi làm việc thiếu động lực.]"/>
    <tableColumn id="25" xr3:uid="{00000000-0010-0000-0000-000019000000}" name="Đối với động lực (Motivation - MO) [Kiểm toán viên được người khác tôn trọng hơn (cấp trên, đồng nghiệp, gia đình, khách hàng…) khi làm việc có động lực.]"/>
    <tableColumn id="26" xr3:uid="{00000000-0010-0000-0000-00001A000000}" name="Đối với động lực (Motivation - MO) [Kiểm toán viên có thể mất việc, nếu không nỗ lực trong công việc.]"/>
    <tableColumn id="27" xr3:uid="{00000000-0010-0000-0000-00001B000000}" name="Đối với áp lực quỹ thời gian (Time budget pressure - TP) [Kiểm toán viên nhận thấy quỹ thời gian kiểm toán là một trở ngại cho việc thực hiện hoặc hoàn thành một số thủ tục kiểm toán.]"/>
    <tableColumn id="28" xr3:uid="{00000000-0010-0000-0000-00001C000000}" name="Đối với áp lực quỹ thời gian (Time budget pressure - TP) [Kiểm toán viên nhận thấy việc thực hiện hoặc hoàn thành một số thủ tục kiểm toán trong giới hạn thời gian là khó để đạt được.]"/>
    <tableColumn id="29" xr3:uid="{00000000-0010-0000-0000-00001D000000}" name="Đối với áp lực quỹ thời gian (Time budget pressure - TP) [Kiểm toán viên thường phải rút ngắn thời gian dành cho một số thủ tục kiểm toán để hoàn thành công việc đúng hạn.]"/>
    <tableColumn id="30" xr3:uid="{00000000-0010-0000-0000-00001E000000}" name="Đối với áp lực quỹ thời gian (Time budget pressure - TP) [Áp lực hoàn thành kiểm toán đúng hạn khiến kiểm toán viên phải làm việc với cường độ cao.]"/>
    <tableColumn id="31" xr3:uid="{00000000-0010-0000-0000-00001F000000}" name="Đối với sử dụng công nghệ thông tin (Use Information Technology - IT) [Sử dụng CNTT trong công việc giúp kiểm toán viên hoàn thành nhiệm vụ nhanh hơn]"/>
    <tableColumn id="32" xr3:uid="{00000000-0010-0000-0000-000020000000}" name="Đối với sử dụng công nghệ thông tin (Use Information Technology - IT) [Sử dụng CNTT có thể nâng cao hiệu quả trong thực hiện các nhiệm vụ công việc của kiểm toán viên]"/>
    <tableColumn id="33" xr3:uid="{00000000-0010-0000-0000-000021000000}" name="Đối với sử dụng công nghệ thông tin (Use Information Technology - IT) [Sử dụng CNTT giúp kiểm toán viên phân tích dữ liệu và thu thập bằng chứng kiểm toán hiệu quả hơn.]"/>
    <tableColumn id="34" xr3:uid="{00000000-0010-0000-0000-000022000000}" name="Đối với sử dụng công nghệ thông tin (Use Information Technology - IT) [Sử dụng CNTT có thể làm tăng đáng kể chất lượng xét đoán của kiểm toán viên.]"/>
    <tableColumn id="35" xr3:uid="{00000000-0010-0000-0000-000023000000}" name="Đối với Văn hóa đạo đức doanh nghiệp (Corporate Ethical Values - CEV) [Các nhà quản lý trong công ty luôn thể hiện hành vi đạo đức trong công việc.]"/>
    <tableColumn id="36" xr3:uid="{00000000-0010-0000-0000-000024000000}" name="Đối với Văn hóa đạo đức doanh nghiệp (Corporate Ethical Values - CEV) [Sự thành công trong công ty được xây dựng dựa trên các hành vi trung thực và đạo đức.]"/>
    <tableColumn id="37" xr3:uid="{00000000-0010-0000-0000-000025000000}" name="Đối với Văn hóa đạo đức doanh nghiệp (Corporate Ethical Values - CEV) [Ban lãnh đạo cấp cao thường xuyên nhấn mạnh tầm quan trọng của việc tuân thủ chuẩn mực đạo đức nghề nghiệp.]"/>
    <tableColumn id="38" xr3:uid="{00000000-0010-0000-0000-000026000000}" name="Đối với Văn hóa đạo đức doanh nghiệp (Corporate Ethical Values - CEV) [Công ty có cơ chế xử lý rõ ràng đối với các hành vi phi đạo đức của nhà quản lý.]"/>
    <tableColumn id="39" xr3:uid="{00000000-0010-0000-0000-000027000000}" name="Đối với Văn hóa đạo đức doanh nghiệp (Corporate Ethical Values - CEV) [Trong công ty, nguyên tắc đạo đức luôn được đặt cao hơn lợi ích kinh doanh.]"/>
    <tableColumn id="40" xr3:uid="{00000000-0010-0000-0000-000028000000}" name="Đối với Quản trị doanh nghiệp của khách hàng  (Corporate Governance - CG) [Thành viên HĐQT có chuyên môn tài chính phù hợp.]"/>
    <tableColumn id="41" xr3:uid="{00000000-0010-0000-0000-000029000000}" name="Đối với Quản trị doanh nghiệp của khách hàng  (Corporate Governance - CG) [Một số thành viên HĐQT có kinh nghiệm về kế toán.]"/>
    <tableColumn id="42" xr3:uid="{00000000-0010-0000-0000-00002A000000}" name="Đối với Quản trị doanh nghiệp của khách hàng  (Corporate Governance - CG) [Một số thành viên HĐQT có kinh nghiệm trong lĩnh vực kinh doanh của doanh nghiệp.]"/>
    <tableColumn id="43" xr3:uid="{00000000-0010-0000-0000-00002B000000}" name="Đối với Quản trị doanh nghiệp của khách hàng  (Corporate Governance - CG) [Thành viên HĐQT không có xung đột lợi ích cá nhân.]"/>
    <tableColumn id="44" xr3:uid="{00000000-0010-0000-0000-00002C000000}" name="Đối với Quản trị doanh nghiệp của khách hàng  (Corporate Governance - CG) [Các nhà quản lý của công ty không gây ảnh hưởng để HĐQT đưa ra quyết định có lợi cho họ.]"/>
    <tableColumn id="45" xr3:uid="{00000000-0010-0000-0000-00002D000000}" name="Đối với Quản trị doanh nghiệp của khách hàng  (Corporate Governance - CG) [Phần lớn thành viên HĐQT không tham gia điều hành hàng ngày.]"/>
    <tableColumn id="46" xr3:uid="{00000000-0010-0000-0000-00002E000000}" name="Đối với Quản trị doanh nghiệp của khách hàng  (Corporate Governance - CG) [HĐQT giám sát nhà quản lý để bảo vệ lợi ích cổ đông.]"/>
    <tableColumn id="47" xr3:uid="{00000000-0010-0000-0000-00002F000000}" name="Đối với Quản trị doanh nghiệp của khách hàng  (Corporate Governance - CG) [HĐQT thực hiện hiệu quả quyền bổ nhiệm và bãi nhiệm giám đốc điều hành/quản lý.]"/>
    <tableColumn id="48" xr3:uid="{00000000-0010-0000-0000-000030000000}" name="Đối với Quản trị doanh nghiệp của khách hàng  (Corporate Governance - CG) [HĐQT thường xuyên đánh giá hiệu quả hoạt động của ban điều hành.]"/>
    <tableColumn id="49" xr3:uid="{00000000-0010-0000-0000-000031000000}" name="Đối với đạo đức nghề nghiệp (Professional Ethics - ETH) [Phẩm chất của kiểm toán viên như tính chính trực, trung thực và độc lập, là nền tảng cho hành vi đạo đức.]"/>
    <tableColumn id="50" xr3:uid="{00000000-0010-0000-0000-000032000000}" name="Đối với đạo đức nghề nghiệp (Professional Ethics - ETH) [Chuẩn mực đạo đức yêu cầu kiểm toán viên phải có đầy đủ kiến thức, kỹ năng và chuyên môn cần thiêt để thực hiện công việc hiệu quả.]"/>
    <tableColumn id="51" xr3:uid="{00000000-0010-0000-0000-000033000000}" name="Đối với đạo đức nghề nghiệp (Professional Ethics - ETH) [Kiểm toán viên có trách nhiệm với cả khách hàng và công chúng để đảm bảo tính chính xác, minh bạch của thông tin tài chính.]"/>
    <tableColumn id="52" xr3:uid="{00000000-0010-0000-0000-000034000000}" name="Đối với đạo đức nghề nghiệp (Professional Ethics - ETH) [Kiểm toán viên tuân thủ bộ quy tắc ứng xử nghề nghiệp trong mọi hoạt động kiểm toán.]"/>
    <tableColumn id="53" xr3:uid="{00000000-0010-0000-0000-000035000000}" name="Đối với sự phức tạp nhiệm vụ (Task complexity - TC) [Kiểm toán viên đưa ra ý kiến kiểm toán trong trường hợp có sự không chắc chắn về khả năng giảm giá trị tài sản là một nhiệm vụ phức tap.]"/>
    <tableColumn id="54" xr3:uid="{00000000-0010-0000-0000-000036000000}" name="Đối với sự phức tạp nhiệm vụ (Task complexity - TC) [Kiểm toán viên xử lý điều chỉnh kiểm toán còn tranh cãi về việc thuyết minh hay yêu cầu điều chỉnh là một nhiệm vụ phức tạp.]"/>
    <tableColumn id="55" xr3:uid="{00000000-0010-0000-0000-000037000000}" name="Đối với sự phức tạp nhiệm vụ (Task complexity - TC) [Kiểm toán viên đánh giá hiệu quả hoạt động hệ thống kiểm soát nội bộ là một nhiệm vụ phức tạp.]"/>
    <tableColumn id="56" xr3:uid="{00000000-0010-0000-0000-000038000000}" name="Đối với sự phức tạp nhiệm vụ (Task complexity - TC) [Kiểm toán viên xác định mức sai sót tối đa có thể chấp nhận trong thử nghiệm tuân thủ là một nhiệm vụ phức tạp.]"/>
    <tableColumn id="57" xr3:uid="{00000000-0010-0000-0000-000039000000}" name="Đối với sự phức tạp nhiệm vụ (Task complexity - TC) [Kiểm toán viên ước tính tỷ lệ sai sót dự kiến của tổng thể cho thử nghiệm tuân thủ là một nhiệm vụ phức tạp.]"/>
    <tableColumn id="58" xr3:uid="{00000000-0010-0000-0000-00003A000000}" name="Đối với sự phức tạp nhiệm vụ (Task complexity - TC) [Kiểm toán viên xác định cỡ mẫu thử nghiệm tuân thủ là một nhiệm vụ phức tạp.]"/>
    <tableColumn id="59" xr3:uid="{00000000-0010-0000-0000-00003B000000}" name="Đối với xét đoán kiểm toán (Audit judgment - AJ) [Kiểm toán viên đánh giá mức độ cần thiết phải kiểm tra các giao dịch hoặc nghiệp vụ của khách hàng.]"/>
    <tableColumn id="60" xr3:uid="{00000000-0010-0000-0000-00003C000000}" name="Đối với xét đoán kiểm toán (Audit judgment - AJ) [Kiểm toán viên đánh giá mức độ rủi ro sai sót trọng yếu của các khoản mục trên báo cáo tài chính khách hàng.]"/>
    <tableColumn id="61" xr3:uid="{00000000-0010-0000-0000-00003D000000}" name="Đối với xét đoán kiểm toán (Audit judgment - AJ) [Kiểm toán viên đánh giá tính đầy đủ và độ tin cậy của bằng chứng kiểm toán trước khi đưa ra kết luận.]"/>
    <tableColumn id="62" xr3:uid="{00000000-0010-0000-0000-00003E000000}" name="Đối với chất lượng kiểm toán (Audit quality - AQ) [Công ty kiểm toán thường xuyên cải thiện quy trình nhằm giảm thiểu các điểm yếu được cơ quan quản lý phát hiện.]"/>
    <tableColumn id="63" xr3:uid="{00000000-0010-0000-0000-00003F000000}" name="Đối với chất lượng kiểm toán (Audit quality - AQ) [Việc công bố kết quả kiểm tra của cơ quan quản lý khuyến khích kiểm toán viên nâng cao chất lượng kiểm toán.]"/>
    <tableColumn id="64" xr3:uid="{00000000-0010-0000-0000-000040000000}" name="Đối với chất lượng kiểm toán (Audit quality - AQ) [Kiểm toán viên luôn thực hiện công việc cẩn trọng để hạn chế việc khách hàng phải điều chỉnh lại báo cáo tài chính hoặc phát hành lại ý kiến kiểm toán.]"/>
    <tableColumn id="65" xr3:uid="{00000000-0010-0000-0000-000041000000}" name="Đối với chất lượng kiểm toán (Audit quality - AQ) [Kiểm toán viên tuân thủ chuẩn mực kiểm toán để hạn chế sai phạm và rủi ro pháp lý trong kiểm toán.]"/>
    <tableColumn id="66" xr3:uid="{00000000-0010-0000-0000-000042000000}" name="Đối với chất lượng kiểm toán (Audit quality - AQ) [Kiểm toán viên của công ty thường xuyên phát hiện và báo cáo các điểm yếu trong kiểm soát nội bộ của khách hàng thông qua Thư quản lý.]"/>
    <tableColumn id="67" xr3:uid="{00000000-0010-0000-0000-000043000000}" name="Đối với chất lượng kiểm toán (Audit quality - AQ) [Kiểm toán viên luôn nỗ lực phát hành báo cáo kiểm toán độc lập đáng tin cậy, hữu ích và kịp thời.]"/>
    <tableColumn id="68" xr3:uid="{00000000-0010-0000-0000-000044000000}" name="Responder ID"/>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A498:B502" headerRowCount="0">
  <tableColumns count="2">
    <tableColumn id="1" xr3:uid="{00000000-0010-0000-0200-000001000000}" name="Column1"/>
    <tableColumn id="2" xr3:uid="{00000000-0010-0000-0200-000002000000}" name="Column2"/>
  </tableColumns>
  <tableStyleInfo name="fixed_nam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C498:C502" headerRowCount="0">
  <tableColumns count="1">
    <tableColumn id="1" xr3:uid="{00000000-0010-0000-0300-000001000000}" name="Column1"/>
  </tableColumns>
  <tableStyleInfo name="fixed_nam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P511"/>
  <sheetViews>
    <sheetView workbookViewId="0">
      <pane ySplit="1" topLeftCell="A2" activePane="bottomLeft" state="frozen"/>
      <selection pane="bottomLeft" activeCell="B3" sqref="B3"/>
    </sheetView>
  </sheetViews>
  <sheetFormatPr defaultColWidth="12.6640625" defaultRowHeight="15.75" customHeight="1" x14ac:dyDescent="0.25"/>
  <cols>
    <col min="1" max="4" width="18.88671875" customWidth="1"/>
    <col min="5" max="5" width="37.6640625" customWidth="1"/>
    <col min="6" max="6" width="20.109375" customWidth="1"/>
    <col min="7" max="7" width="21.77734375" customWidth="1"/>
    <col min="8" max="68" width="37.6640625" customWidth="1"/>
    <col min="69" max="74" width="18.88671875" customWidth="1"/>
  </cols>
  <sheetData>
    <row r="1" spans="1:6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ht="22.5" customHeight="1" x14ac:dyDescent="0.25">
      <c r="A2" s="2">
        <v>45966.450777430553</v>
      </c>
      <c r="B2" s="3" t="s">
        <v>68</v>
      </c>
      <c r="C2" s="3" t="s">
        <v>69</v>
      </c>
      <c r="D2" s="3" t="s">
        <v>70</v>
      </c>
      <c r="E2" s="3" t="s">
        <v>71</v>
      </c>
      <c r="F2" s="3" t="s">
        <v>72</v>
      </c>
      <c r="G2" s="3" t="s">
        <v>73</v>
      </c>
      <c r="H2" s="3">
        <v>4</v>
      </c>
      <c r="I2" s="3">
        <v>4</v>
      </c>
      <c r="J2" s="3">
        <v>4</v>
      </c>
      <c r="K2" s="3">
        <v>5</v>
      </c>
      <c r="L2" s="3">
        <v>4</v>
      </c>
      <c r="M2" s="3">
        <v>5</v>
      </c>
      <c r="N2" s="3">
        <v>4</v>
      </c>
      <c r="O2" s="3">
        <v>4</v>
      </c>
      <c r="P2" s="3">
        <v>5</v>
      </c>
      <c r="Q2" s="3">
        <v>5</v>
      </c>
      <c r="R2" s="3">
        <v>5</v>
      </c>
      <c r="S2" s="3">
        <v>5</v>
      </c>
      <c r="T2" s="3">
        <v>5</v>
      </c>
      <c r="U2" s="3">
        <v>5</v>
      </c>
      <c r="V2" s="3">
        <v>4</v>
      </c>
      <c r="W2" s="3">
        <v>4</v>
      </c>
      <c r="X2" s="3">
        <v>4</v>
      </c>
      <c r="Y2" s="3">
        <v>3</v>
      </c>
      <c r="Z2" s="3">
        <v>4</v>
      </c>
      <c r="AA2" s="3">
        <v>4</v>
      </c>
      <c r="AB2" s="3">
        <v>3</v>
      </c>
      <c r="AC2" s="3">
        <v>4</v>
      </c>
      <c r="AD2" s="3">
        <v>4</v>
      </c>
      <c r="AE2" s="3">
        <v>4</v>
      </c>
      <c r="AF2" s="3">
        <v>4</v>
      </c>
      <c r="AG2" s="3">
        <v>4</v>
      </c>
      <c r="AH2" s="3">
        <v>4</v>
      </c>
      <c r="AI2" s="3">
        <v>4</v>
      </c>
      <c r="AJ2" s="3">
        <v>5</v>
      </c>
      <c r="AK2" s="3">
        <v>5</v>
      </c>
      <c r="AL2" s="3">
        <v>4</v>
      </c>
      <c r="AM2" s="3">
        <v>4</v>
      </c>
      <c r="AN2" s="3">
        <v>3</v>
      </c>
      <c r="AO2" s="3">
        <v>4</v>
      </c>
      <c r="AP2" s="3">
        <v>3</v>
      </c>
      <c r="AQ2" s="3">
        <v>3</v>
      </c>
      <c r="AR2" s="3">
        <v>3</v>
      </c>
      <c r="AS2" s="3">
        <v>3</v>
      </c>
      <c r="AT2" s="3">
        <v>3</v>
      </c>
      <c r="AU2" s="3">
        <v>3</v>
      </c>
      <c r="AV2" s="3">
        <v>3</v>
      </c>
      <c r="AW2" s="3">
        <v>5</v>
      </c>
      <c r="AX2" s="3">
        <v>5</v>
      </c>
      <c r="AY2" s="3">
        <v>4</v>
      </c>
      <c r="AZ2" s="3">
        <v>5</v>
      </c>
      <c r="BA2" s="3">
        <v>4</v>
      </c>
      <c r="BB2" s="3">
        <v>4</v>
      </c>
      <c r="BC2" s="3">
        <v>4</v>
      </c>
      <c r="BD2" s="3">
        <v>4</v>
      </c>
      <c r="BE2" s="3">
        <v>4</v>
      </c>
      <c r="BF2" s="3">
        <v>4</v>
      </c>
      <c r="BG2" s="3">
        <v>4</v>
      </c>
      <c r="BH2" s="3">
        <v>4</v>
      </c>
      <c r="BI2" s="3">
        <v>4</v>
      </c>
      <c r="BJ2" s="3">
        <v>4</v>
      </c>
      <c r="BK2" s="3">
        <v>4</v>
      </c>
      <c r="BL2" s="3">
        <v>4</v>
      </c>
      <c r="BM2" s="3">
        <v>4</v>
      </c>
      <c r="BN2" s="3">
        <v>4</v>
      </c>
      <c r="BO2" s="3">
        <v>4</v>
      </c>
      <c r="BP2" s="3" t="s">
        <v>74</v>
      </c>
    </row>
    <row r="3" spans="1:68" ht="22.5" customHeight="1" x14ac:dyDescent="0.25">
      <c r="A3" s="2">
        <v>45966.456371782406</v>
      </c>
      <c r="B3" s="3" t="s">
        <v>75</v>
      </c>
      <c r="C3" s="3" t="s">
        <v>69</v>
      </c>
      <c r="D3" s="3" t="s">
        <v>76</v>
      </c>
      <c r="E3" s="3" t="s">
        <v>77</v>
      </c>
      <c r="F3" s="3" t="s">
        <v>78</v>
      </c>
      <c r="G3" s="3" t="s">
        <v>79</v>
      </c>
      <c r="H3" s="3">
        <v>5</v>
      </c>
      <c r="I3" s="3">
        <v>4</v>
      </c>
      <c r="J3" s="3">
        <v>4</v>
      </c>
      <c r="K3" s="3">
        <v>3</v>
      </c>
      <c r="L3" s="3">
        <v>5</v>
      </c>
      <c r="M3" s="3">
        <v>3</v>
      </c>
      <c r="N3" s="3">
        <v>4</v>
      </c>
      <c r="O3" s="3">
        <v>5</v>
      </c>
      <c r="P3" s="3">
        <v>5</v>
      </c>
      <c r="Q3" s="3">
        <v>5</v>
      </c>
      <c r="R3" s="3">
        <v>5</v>
      </c>
      <c r="S3" s="3">
        <v>5</v>
      </c>
      <c r="T3" s="3">
        <v>5</v>
      </c>
      <c r="U3" s="3">
        <v>5</v>
      </c>
      <c r="V3" s="3">
        <v>4</v>
      </c>
      <c r="W3" s="3">
        <v>3</v>
      </c>
      <c r="X3" s="3">
        <v>2</v>
      </c>
      <c r="Y3" s="3">
        <v>4</v>
      </c>
      <c r="Z3" s="3">
        <v>4</v>
      </c>
      <c r="AA3" s="3">
        <v>5</v>
      </c>
      <c r="AB3" s="3">
        <v>4</v>
      </c>
      <c r="AC3" s="3">
        <v>5</v>
      </c>
      <c r="AD3" s="3">
        <v>5</v>
      </c>
      <c r="AE3" s="3">
        <v>5</v>
      </c>
      <c r="AF3" s="3">
        <v>5</v>
      </c>
      <c r="AG3" s="3">
        <v>5</v>
      </c>
      <c r="AH3" s="3">
        <v>5</v>
      </c>
      <c r="AI3" s="3">
        <v>5</v>
      </c>
      <c r="AJ3" s="3">
        <v>5</v>
      </c>
      <c r="AK3" s="3">
        <v>4</v>
      </c>
      <c r="AL3" s="3">
        <v>4</v>
      </c>
      <c r="AM3" s="3">
        <v>4</v>
      </c>
      <c r="AN3" s="3">
        <v>4</v>
      </c>
      <c r="AO3" s="3">
        <v>4</v>
      </c>
      <c r="AP3" s="3">
        <v>4</v>
      </c>
      <c r="AQ3" s="3">
        <v>4</v>
      </c>
      <c r="AR3" s="3">
        <v>4</v>
      </c>
      <c r="AS3" s="3">
        <v>4</v>
      </c>
      <c r="AT3" s="3">
        <v>4</v>
      </c>
      <c r="AU3" s="3">
        <v>4</v>
      </c>
      <c r="AV3" s="3">
        <v>4</v>
      </c>
      <c r="AW3" s="3">
        <v>5</v>
      </c>
      <c r="AX3" s="3">
        <v>5</v>
      </c>
      <c r="AY3" s="3">
        <v>5</v>
      </c>
      <c r="AZ3" s="3">
        <v>5</v>
      </c>
      <c r="BA3" s="3">
        <v>3</v>
      </c>
      <c r="BB3" s="3">
        <v>3</v>
      </c>
      <c r="BC3" s="3">
        <v>3</v>
      </c>
      <c r="BD3" s="3">
        <v>3</v>
      </c>
      <c r="BE3" s="3">
        <v>3</v>
      </c>
      <c r="BF3" s="3">
        <v>3</v>
      </c>
      <c r="BG3" s="3">
        <v>4</v>
      </c>
      <c r="BH3" s="3">
        <v>4</v>
      </c>
      <c r="BI3" s="3">
        <v>4</v>
      </c>
      <c r="BJ3" s="3">
        <v>5</v>
      </c>
      <c r="BK3" s="3">
        <v>5</v>
      </c>
      <c r="BL3" s="3">
        <v>5</v>
      </c>
      <c r="BM3" s="3">
        <v>5</v>
      </c>
      <c r="BN3" s="3">
        <v>5</v>
      </c>
      <c r="BO3" s="3">
        <v>5</v>
      </c>
      <c r="BP3" s="3" t="s">
        <v>80</v>
      </c>
    </row>
    <row r="4" spans="1:68" ht="22.5" customHeight="1" x14ac:dyDescent="0.25">
      <c r="A4" s="2">
        <v>45966.458975578702</v>
      </c>
      <c r="B4" s="3" t="s">
        <v>81</v>
      </c>
      <c r="C4" s="3" t="s">
        <v>69</v>
      </c>
      <c r="D4" s="3" t="s">
        <v>70</v>
      </c>
      <c r="E4" s="3" t="s">
        <v>77</v>
      </c>
      <c r="F4" s="3" t="s">
        <v>82</v>
      </c>
      <c r="G4" s="3" t="s">
        <v>83</v>
      </c>
      <c r="H4" s="3">
        <v>5</v>
      </c>
      <c r="I4" s="3">
        <v>4</v>
      </c>
      <c r="J4" s="3">
        <v>4</v>
      </c>
      <c r="K4" s="3">
        <v>4</v>
      </c>
      <c r="L4" s="3">
        <v>5</v>
      </c>
      <c r="M4" s="3">
        <v>4</v>
      </c>
      <c r="N4" s="3">
        <v>4</v>
      </c>
      <c r="O4" s="3">
        <v>4</v>
      </c>
      <c r="P4" s="3">
        <v>4</v>
      </c>
      <c r="Q4" s="3">
        <v>5</v>
      </c>
      <c r="R4" s="3">
        <v>4</v>
      </c>
      <c r="S4" s="3">
        <v>4</v>
      </c>
      <c r="T4" s="3">
        <v>4</v>
      </c>
      <c r="U4" s="3">
        <v>4</v>
      </c>
      <c r="V4" s="3">
        <v>4</v>
      </c>
      <c r="W4" s="3">
        <v>3</v>
      </c>
      <c r="X4" s="3">
        <v>3</v>
      </c>
      <c r="Y4" s="3">
        <v>3</v>
      </c>
      <c r="Z4" s="3">
        <v>2</v>
      </c>
      <c r="AA4" s="3">
        <v>3</v>
      </c>
      <c r="AB4" s="3">
        <v>4</v>
      </c>
      <c r="AC4" s="3">
        <v>3</v>
      </c>
      <c r="AD4" s="3">
        <v>5</v>
      </c>
      <c r="AE4" s="3">
        <v>4</v>
      </c>
      <c r="AF4" s="3">
        <v>4</v>
      </c>
      <c r="AG4" s="3">
        <v>4</v>
      </c>
      <c r="AH4" s="3">
        <v>4</v>
      </c>
      <c r="AI4" s="3">
        <v>4</v>
      </c>
      <c r="AJ4" s="3">
        <v>4</v>
      </c>
      <c r="AK4" s="3">
        <v>4</v>
      </c>
      <c r="AL4" s="3">
        <v>4</v>
      </c>
      <c r="AM4" s="3">
        <v>4</v>
      </c>
      <c r="AN4" s="3">
        <v>4</v>
      </c>
      <c r="AO4" s="3">
        <v>3</v>
      </c>
      <c r="AP4" s="3">
        <v>4</v>
      </c>
      <c r="AQ4" s="3">
        <v>4</v>
      </c>
      <c r="AR4" s="3">
        <v>4</v>
      </c>
      <c r="AS4" s="3">
        <v>3</v>
      </c>
      <c r="AT4" s="3">
        <v>4</v>
      </c>
      <c r="AU4" s="3">
        <v>4</v>
      </c>
      <c r="AV4" s="3">
        <v>4</v>
      </c>
      <c r="AW4" s="3">
        <v>4</v>
      </c>
      <c r="AX4" s="3">
        <v>4</v>
      </c>
      <c r="AY4" s="3">
        <v>4</v>
      </c>
      <c r="AZ4" s="3">
        <v>4</v>
      </c>
      <c r="BA4" s="3">
        <v>4</v>
      </c>
      <c r="BB4" s="3">
        <v>3</v>
      </c>
      <c r="BC4" s="3">
        <v>4</v>
      </c>
      <c r="BD4" s="3">
        <v>4</v>
      </c>
      <c r="BE4" s="3">
        <v>4</v>
      </c>
      <c r="BF4" s="3">
        <v>4</v>
      </c>
      <c r="BG4" s="3">
        <v>4</v>
      </c>
      <c r="BH4" s="3">
        <v>4</v>
      </c>
      <c r="BI4" s="3">
        <v>4</v>
      </c>
      <c r="BJ4" s="3">
        <v>4</v>
      </c>
      <c r="BK4" s="3">
        <v>4</v>
      </c>
      <c r="BL4" s="3">
        <v>4</v>
      </c>
      <c r="BM4" s="3">
        <v>4</v>
      </c>
      <c r="BN4" s="3">
        <v>4</v>
      </c>
      <c r="BO4" s="3">
        <v>4</v>
      </c>
      <c r="BP4" s="3" t="s">
        <v>84</v>
      </c>
    </row>
    <row r="5" spans="1:68" ht="22.5" customHeight="1" x14ac:dyDescent="0.25">
      <c r="A5" s="2">
        <v>45966.464578437502</v>
      </c>
      <c r="B5" s="3" t="s">
        <v>85</v>
      </c>
      <c r="C5" s="3" t="s">
        <v>86</v>
      </c>
      <c r="D5" s="3" t="s">
        <v>70</v>
      </c>
      <c r="E5" s="3" t="s">
        <v>87</v>
      </c>
      <c r="F5" s="3" t="s">
        <v>88</v>
      </c>
      <c r="G5" s="3" t="s">
        <v>83</v>
      </c>
      <c r="H5" s="3">
        <v>5</v>
      </c>
      <c r="I5" s="3">
        <v>5</v>
      </c>
      <c r="J5" s="3">
        <v>5</v>
      </c>
      <c r="K5" s="3">
        <v>4</v>
      </c>
      <c r="L5" s="3">
        <v>5</v>
      </c>
      <c r="M5" s="3">
        <v>4</v>
      </c>
      <c r="N5" s="3">
        <v>4</v>
      </c>
      <c r="O5" s="3">
        <v>5</v>
      </c>
      <c r="P5" s="3">
        <v>5</v>
      </c>
      <c r="Q5" s="3">
        <v>5</v>
      </c>
      <c r="R5" s="3">
        <v>5</v>
      </c>
      <c r="S5" s="3">
        <v>5</v>
      </c>
      <c r="T5" s="3">
        <v>5</v>
      </c>
      <c r="U5" s="3">
        <v>5</v>
      </c>
      <c r="V5" s="3">
        <v>4</v>
      </c>
      <c r="W5" s="3">
        <v>4</v>
      </c>
      <c r="X5" s="3">
        <v>4</v>
      </c>
      <c r="Y5" s="3">
        <v>3</v>
      </c>
      <c r="Z5" s="3">
        <v>3</v>
      </c>
      <c r="AA5" s="3">
        <v>2</v>
      </c>
      <c r="AB5" s="3">
        <v>2</v>
      </c>
      <c r="AC5" s="3">
        <v>4</v>
      </c>
      <c r="AD5" s="3">
        <v>4</v>
      </c>
      <c r="AE5" s="3">
        <v>5</v>
      </c>
      <c r="AF5" s="3">
        <v>4</v>
      </c>
      <c r="AG5" s="3">
        <v>4</v>
      </c>
      <c r="AH5" s="3">
        <v>4</v>
      </c>
      <c r="AI5" s="3">
        <v>4</v>
      </c>
      <c r="AJ5" s="3">
        <v>3</v>
      </c>
      <c r="AK5" s="3">
        <v>5</v>
      </c>
      <c r="AL5" s="3">
        <v>4</v>
      </c>
      <c r="AM5" s="3">
        <v>4</v>
      </c>
      <c r="AN5" s="3">
        <v>4</v>
      </c>
      <c r="AO5" s="3">
        <v>3</v>
      </c>
      <c r="AP5" s="3">
        <v>4</v>
      </c>
      <c r="AQ5" s="3">
        <v>3</v>
      </c>
      <c r="AR5" s="3">
        <v>3</v>
      </c>
      <c r="AS5" s="3">
        <v>4</v>
      </c>
      <c r="AT5" s="3">
        <v>4</v>
      </c>
      <c r="AU5" s="3">
        <v>4</v>
      </c>
      <c r="AV5" s="3">
        <v>4</v>
      </c>
      <c r="AW5" s="3">
        <v>4</v>
      </c>
      <c r="AX5" s="3">
        <v>4</v>
      </c>
      <c r="AY5" s="3">
        <v>4</v>
      </c>
      <c r="AZ5" s="3">
        <v>4</v>
      </c>
      <c r="BA5" s="3">
        <v>4</v>
      </c>
      <c r="BB5" s="3">
        <v>2</v>
      </c>
      <c r="BC5" s="3">
        <v>2</v>
      </c>
      <c r="BD5" s="3">
        <v>2</v>
      </c>
      <c r="BE5" s="3">
        <v>2</v>
      </c>
      <c r="BF5" s="3">
        <v>2</v>
      </c>
      <c r="BG5" s="3">
        <v>4</v>
      </c>
      <c r="BH5" s="3">
        <v>4</v>
      </c>
      <c r="BI5" s="3">
        <v>4</v>
      </c>
      <c r="BJ5" s="3">
        <v>5</v>
      </c>
      <c r="BK5" s="3">
        <v>5</v>
      </c>
      <c r="BL5" s="3">
        <v>5</v>
      </c>
      <c r="BM5" s="3">
        <v>5</v>
      </c>
      <c r="BN5" s="3">
        <v>4</v>
      </c>
      <c r="BO5" s="3">
        <v>4</v>
      </c>
      <c r="BP5" s="3" t="s">
        <v>89</v>
      </c>
    </row>
    <row r="6" spans="1:68" ht="22.5" customHeight="1" x14ac:dyDescent="0.25">
      <c r="A6" s="2">
        <v>45966.466023194444</v>
      </c>
      <c r="B6" s="3" t="s">
        <v>90</v>
      </c>
      <c r="C6" s="3" t="s">
        <v>69</v>
      </c>
      <c r="D6" s="3" t="s">
        <v>70</v>
      </c>
      <c r="E6" s="3" t="s">
        <v>71</v>
      </c>
      <c r="F6" s="3" t="s">
        <v>82</v>
      </c>
      <c r="G6" s="3" t="s">
        <v>91</v>
      </c>
      <c r="H6" s="3">
        <v>5</v>
      </c>
      <c r="I6" s="3">
        <v>5</v>
      </c>
      <c r="J6" s="3">
        <v>5</v>
      </c>
      <c r="K6" s="3">
        <v>5</v>
      </c>
      <c r="L6" s="3">
        <v>5</v>
      </c>
      <c r="M6" s="3">
        <v>3</v>
      </c>
      <c r="N6" s="3">
        <v>4</v>
      </c>
      <c r="O6" s="3">
        <v>5</v>
      </c>
      <c r="P6" s="3">
        <v>5</v>
      </c>
      <c r="Q6" s="3">
        <v>5</v>
      </c>
      <c r="R6" s="3">
        <v>5</v>
      </c>
      <c r="S6" s="3">
        <v>5</v>
      </c>
      <c r="T6" s="3">
        <v>5</v>
      </c>
      <c r="U6" s="3">
        <v>5</v>
      </c>
      <c r="V6" s="3">
        <v>5</v>
      </c>
      <c r="W6" s="3">
        <v>5</v>
      </c>
      <c r="X6" s="3">
        <v>5</v>
      </c>
      <c r="Y6" s="3">
        <v>4</v>
      </c>
      <c r="Z6" s="3">
        <v>3</v>
      </c>
      <c r="AA6" s="3">
        <v>5</v>
      </c>
      <c r="AB6" s="3">
        <v>5</v>
      </c>
      <c r="AC6" s="3">
        <v>5</v>
      </c>
      <c r="AD6" s="3">
        <v>5</v>
      </c>
      <c r="AE6" s="3">
        <v>5</v>
      </c>
      <c r="AF6" s="3">
        <v>5</v>
      </c>
      <c r="AG6" s="3">
        <v>5</v>
      </c>
      <c r="AH6" s="3">
        <v>5</v>
      </c>
      <c r="AI6" s="3">
        <v>5</v>
      </c>
      <c r="AJ6" s="3">
        <v>5</v>
      </c>
      <c r="AK6" s="3">
        <v>5</v>
      </c>
      <c r="AL6" s="3">
        <v>5</v>
      </c>
      <c r="AM6" s="3">
        <v>5</v>
      </c>
      <c r="AN6" s="3">
        <v>5</v>
      </c>
      <c r="AO6" s="3">
        <v>5</v>
      </c>
      <c r="AP6" s="3">
        <v>5</v>
      </c>
      <c r="AQ6" s="3">
        <v>5</v>
      </c>
      <c r="AR6" s="3">
        <v>5</v>
      </c>
      <c r="AS6" s="3">
        <v>3</v>
      </c>
      <c r="AT6" s="3">
        <v>5</v>
      </c>
      <c r="AU6" s="3">
        <v>5</v>
      </c>
      <c r="AV6" s="3">
        <v>5</v>
      </c>
      <c r="AW6" s="3">
        <v>5</v>
      </c>
      <c r="AX6" s="3">
        <v>5</v>
      </c>
      <c r="AY6" s="3">
        <v>5</v>
      </c>
      <c r="AZ6" s="3">
        <v>5</v>
      </c>
      <c r="BA6" s="3">
        <v>4</v>
      </c>
      <c r="BB6" s="3">
        <v>4</v>
      </c>
      <c r="BC6" s="3">
        <v>4</v>
      </c>
      <c r="BD6" s="3">
        <v>4</v>
      </c>
      <c r="BE6" s="3">
        <v>4</v>
      </c>
      <c r="BF6" s="3">
        <v>4</v>
      </c>
      <c r="BG6" s="3">
        <v>4</v>
      </c>
      <c r="BH6" s="3">
        <v>4</v>
      </c>
      <c r="BI6" s="3">
        <v>4</v>
      </c>
      <c r="BJ6" s="3">
        <v>4</v>
      </c>
      <c r="BK6" s="3">
        <v>4</v>
      </c>
      <c r="BL6" s="3">
        <v>4</v>
      </c>
      <c r="BM6" s="3">
        <v>4</v>
      </c>
      <c r="BN6" s="3">
        <v>4</v>
      </c>
      <c r="BO6" s="3">
        <v>4</v>
      </c>
      <c r="BP6" s="3" t="s">
        <v>92</v>
      </c>
    </row>
    <row r="7" spans="1:68" ht="22.5" customHeight="1" x14ac:dyDescent="0.25">
      <c r="A7" s="2">
        <v>45966.468163425925</v>
      </c>
      <c r="B7" s="3" t="s">
        <v>93</v>
      </c>
      <c r="C7" s="3" t="s">
        <v>86</v>
      </c>
      <c r="D7" s="3" t="s">
        <v>94</v>
      </c>
      <c r="E7" s="3" t="s">
        <v>77</v>
      </c>
      <c r="F7" s="3" t="s">
        <v>78</v>
      </c>
      <c r="G7" s="3" t="s">
        <v>79</v>
      </c>
      <c r="H7" s="3">
        <v>5</v>
      </c>
      <c r="I7" s="3">
        <v>5</v>
      </c>
      <c r="J7" s="3">
        <v>5</v>
      </c>
      <c r="K7" s="3">
        <v>5</v>
      </c>
      <c r="L7" s="3">
        <v>5</v>
      </c>
      <c r="M7" s="3">
        <v>5</v>
      </c>
      <c r="N7" s="3">
        <v>5</v>
      </c>
      <c r="O7" s="3">
        <v>5</v>
      </c>
      <c r="P7" s="3">
        <v>5</v>
      </c>
      <c r="Q7" s="3">
        <v>5</v>
      </c>
      <c r="R7" s="3">
        <v>5</v>
      </c>
      <c r="S7" s="3">
        <v>5</v>
      </c>
      <c r="T7" s="3">
        <v>5</v>
      </c>
      <c r="U7" s="3">
        <v>5</v>
      </c>
      <c r="V7" s="3">
        <v>4</v>
      </c>
      <c r="W7" s="3">
        <v>4</v>
      </c>
      <c r="X7" s="3">
        <v>5</v>
      </c>
      <c r="Y7" s="3">
        <v>3</v>
      </c>
      <c r="Z7" s="3">
        <v>5</v>
      </c>
      <c r="AA7" s="3">
        <v>4</v>
      </c>
      <c r="AB7" s="3">
        <v>3</v>
      </c>
      <c r="AC7" s="3">
        <v>4</v>
      </c>
      <c r="AD7" s="3">
        <v>5</v>
      </c>
      <c r="AE7" s="3">
        <v>5</v>
      </c>
      <c r="AF7" s="3">
        <v>5</v>
      </c>
      <c r="AG7" s="3">
        <v>5</v>
      </c>
      <c r="AH7" s="3">
        <v>4</v>
      </c>
      <c r="AI7" s="3">
        <v>5</v>
      </c>
      <c r="AJ7" s="3">
        <v>5</v>
      </c>
      <c r="AK7" s="3">
        <v>5</v>
      </c>
      <c r="AL7" s="3">
        <v>5</v>
      </c>
      <c r="AM7" s="3">
        <v>5</v>
      </c>
      <c r="AN7" s="3">
        <v>5</v>
      </c>
      <c r="AO7" s="3">
        <v>5</v>
      </c>
      <c r="AP7" s="3">
        <v>5</v>
      </c>
      <c r="AQ7" s="3">
        <v>5</v>
      </c>
      <c r="AR7" s="3">
        <v>5</v>
      </c>
      <c r="AS7" s="3">
        <v>5</v>
      </c>
      <c r="AT7" s="3">
        <v>5</v>
      </c>
      <c r="AU7" s="3">
        <v>5</v>
      </c>
      <c r="AV7" s="3">
        <v>5</v>
      </c>
      <c r="AW7" s="3">
        <v>5</v>
      </c>
      <c r="AX7" s="3">
        <v>5</v>
      </c>
      <c r="AY7" s="3">
        <v>5</v>
      </c>
      <c r="AZ7" s="3">
        <v>5</v>
      </c>
      <c r="BA7" s="3">
        <v>4</v>
      </c>
      <c r="BB7" s="3">
        <v>4</v>
      </c>
      <c r="BC7" s="3">
        <v>4</v>
      </c>
      <c r="BD7" s="3">
        <v>4</v>
      </c>
      <c r="BE7" s="3">
        <v>4</v>
      </c>
      <c r="BF7" s="3">
        <v>4</v>
      </c>
      <c r="BG7" s="3">
        <v>5</v>
      </c>
      <c r="BH7" s="3">
        <v>5</v>
      </c>
      <c r="BI7" s="3">
        <v>5</v>
      </c>
      <c r="BJ7" s="3">
        <v>5</v>
      </c>
      <c r="BK7" s="3">
        <v>4</v>
      </c>
      <c r="BL7" s="3">
        <v>5</v>
      </c>
      <c r="BM7" s="3">
        <v>5</v>
      </c>
      <c r="BN7" s="3">
        <v>5</v>
      </c>
      <c r="BO7" s="3">
        <v>5</v>
      </c>
      <c r="BP7" s="3" t="s">
        <v>95</v>
      </c>
    </row>
    <row r="8" spans="1:68" ht="22.5" customHeight="1" x14ac:dyDescent="0.25">
      <c r="A8" s="2">
        <v>45966.474876435183</v>
      </c>
      <c r="B8" s="3" t="s">
        <v>96</v>
      </c>
      <c r="C8" s="3" t="s">
        <v>86</v>
      </c>
      <c r="D8" s="3" t="s">
        <v>70</v>
      </c>
      <c r="E8" s="3" t="s">
        <v>77</v>
      </c>
      <c r="F8" s="3" t="s">
        <v>88</v>
      </c>
      <c r="G8" s="3" t="s">
        <v>79</v>
      </c>
      <c r="H8" s="3">
        <v>5</v>
      </c>
      <c r="I8" s="3">
        <v>5</v>
      </c>
      <c r="J8" s="3">
        <v>5</v>
      </c>
      <c r="K8" s="3">
        <v>5</v>
      </c>
      <c r="L8" s="3">
        <v>5</v>
      </c>
      <c r="M8" s="3">
        <v>5</v>
      </c>
      <c r="N8" s="3">
        <v>4</v>
      </c>
      <c r="O8" s="3">
        <v>4</v>
      </c>
      <c r="P8" s="3">
        <v>4</v>
      </c>
      <c r="Q8" s="3">
        <v>5</v>
      </c>
      <c r="R8" s="3">
        <v>4</v>
      </c>
      <c r="S8" s="3">
        <v>5</v>
      </c>
      <c r="T8" s="3">
        <v>5</v>
      </c>
      <c r="U8" s="3">
        <v>5</v>
      </c>
      <c r="V8" s="3">
        <v>4</v>
      </c>
      <c r="W8" s="3">
        <v>4</v>
      </c>
      <c r="X8" s="3">
        <v>4</v>
      </c>
      <c r="Y8" s="3">
        <v>4</v>
      </c>
      <c r="Z8" s="3">
        <v>4</v>
      </c>
      <c r="AA8" s="3">
        <v>5</v>
      </c>
      <c r="AB8" s="3">
        <v>5</v>
      </c>
      <c r="AC8" s="3">
        <v>4</v>
      </c>
      <c r="AD8" s="3">
        <v>4</v>
      </c>
      <c r="AE8" s="3">
        <v>4</v>
      </c>
      <c r="AF8" s="3">
        <v>4</v>
      </c>
      <c r="AG8" s="3">
        <v>4</v>
      </c>
      <c r="AH8" s="3">
        <v>4</v>
      </c>
      <c r="AI8" s="3">
        <v>4</v>
      </c>
      <c r="AJ8" s="3">
        <v>4</v>
      </c>
      <c r="AK8" s="3">
        <v>4</v>
      </c>
      <c r="AL8" s="3">
        <v>4</v>
      </c>
      <c r="AM8" s="3">
        <v>4</v>
      </c>
      <c r="AN8" s="3">
        <v>4</v>
      </c>
      <c r="AO8" s="3">
        <v>4</v>
      </c>
      <c r="AP8" s="3">
        <v>4</v>
      </c>
      <c r="AQ8" s="3">
        <v>4</v>
      </c>
      <c r="AR8" s="3">
        <v>4</v>
      </c>
      <c r="AS8" s="3">
        <v>3</v>
      </c>
      <c r="AT8" s="3">
        <v>3</v>
      </c>
      <c r="AU8" s="3">
        <v>4</v>
      </c>
      <c r="AV8" s="3">
        <v>4</v>
      </c>
      <c r="AW8" s="3">
        <v>4</v>
      </c>
      <c r="AX8" s="3">
        <v>4</v>
      </c>
      <c r="AY8" s="3">
        <v>4</v>
      </c>
      <c r="AZ8" s="3">
        <v>4</v>
      </c>
      <c r="BA8" s="3">
        <v>4</v>
      </c>
      <c r="BB8" s="3">
        <v>4</v>
      </c>
      <c r="BC8" s="3">
        <v>4</v>
      </c>
      <c r="BD8" s="3">
        <v>4</v>
      </c>
      <c r="BE8" s="3">
        <v>4</v>
      </c>
      <c r="BF8" s="3">
        <v>4</v>
      </c>
      <c r="BG8" s="3">
        <v>5</v>
      </c>
      <c r="BH8" s="3">
        <v>5</v>
      </c>
      <c r="BI8" s="3">
        <v>5</v>
      </c>
      <c r="BJ8" s="3">
        <v>4</v>
      </c>
      <c r="BK8" s="3">
        <v>5</v>
      </c>
      <c r="BL8" s="3">
        <v>5</v>
      </c>
      <c r="BM8" s="3">
        <v>5</v>
      </c>
      <c r="BN8" s="3">
        <v>5</v>
      </c>
      <c r="BO8" s="3">
        <v>5</v>
      </c>
      <c r="BP8" s="3" t="s">
        <v>97</v>
      </c>
    </row>
    <row r="9" spans="1:68" ht="22.5" customHeight="1" x14ac:dyDescent="0.25">
      <c r="A9" s="2">
        <v>45966.475542604167</v>
      </c>
      <c r="B9" s="3" t="s">
        <v>98</v>
      </c>
      <c r="C9" s="3" t="s">
        <v>86</v>
      </c>
      <c r="D9" s="3" t="s">
        <v>99</v>
      </c>
      <c r="E9" s="3" t="s">
        <v>77</v>
      </c>
      <c r="F9" s="3" t="s">
        <v>82</v>
      </c>
      <c r="G9" s="3" t="s">
        <v>83</v>
      </c>
      <c r="H9" s="3">
        <v>5</v>
      </c>
      <c r="I9" s="3">
        <v>4</v>
      </c>
      <c r="J9" s="3">
        <v>4</v>
      </c>
      <c r="K9" s="3">
        <v>4</v>
      </c>
      <c r="L9" s="3">
        <v>5</v>
      </c>
      <c r="M9" s="3">
        <v>4</v>
      </c>
      <c r="N9" s="3">
        <v>4</v>
      </c>
      <c r="O9" s="3">
        <v>5</v>
      </c>
      <c r="P9" s="3">
        <v>5</v>
      </c>
      <c r="Q9" s="3">
        <v>5</v>
      </c>
      <c r="R9" s="3">
        <v>5</v>
      </c>
      <c r="S9" s="3">
        <v>5</v>
      </c>
      <c r="T9" s="3">
        <v>5</v>
      </c>
      <c r="U9" s="3">
        <v>5</v>
      </c>
      <c r="V9" s="3">
        <v>4</v>
      </c>
      <c r="W9" s="3">
        <v>4</v>
      </c>
      <c r="X9" s="3">
        <v>4</v>
      </c>
      <c r="Y9" s="3">
        <v>4</v>
      </c>
      <c r="Z9" s="3">
        <v>4</v>
      </c>
      <c r="AA9" s="3">
        <v>5</v>
      </c>
      <c r="AB9" s="3">
        <v>4</v>
      </c>
      <c r="AC9" s="3">
        <v>3</v>
      </c>
      <c r="AD9" s="3">
        <v>4</v>
      </c>
      <c r="AE9" s="3">
        <v>4</v>
      </c>
      <c r="AF9" s="3">
        <v>4</v>
      </c>
      <c r="AG9" s="3">
        <v>4</v>
      </c>
      <c r="AH9" s="3">
        <v>4</v>
      </c>
      <c r="AI9" s="3">
        <v>4</v>
      </c>
      <c r="AJ9" s="3">
        <v>4</v>
      </c>
      <c r="AK9" s="3">
        <v>4</v>
      </c>
      <c r="AL9" s="3">
        <v>4</v>
      </c>
      <c r="AM9" s="3">
        <v>4</v>
      </c>
      <c r="AN9" s="3">
        <v>4</v>
      </c>
      <c r="AO9" s="3">
        <v>3</v>
      </c>
      <c r="AP9" s="3">
        <v>4</v>
      </c>
      <c r="AQ9" s="3">
        <v>5</v>
      </c>
      <c r="AR9" s="3">
        <v>5</v>
      </c>
      <c r="AS9" s="3">
        <v>3</v>
      </c>
      <c r="AT9" s="3">
        <v>4</v>
      </c>
      <c r="AU9" s="3">
        <v>4</v>
      </c>
      <c r="AV9" s="3">
        <v>4</v>
      </c>
      <c r="AW9" s="3">
        <v>4</v>
      </c>
      <c r="AX9" s="3">
        <v>4</v>
      </c>
      <c r="AY9" s="3">
        <v>4</v>
      </c>
      <c r="AZ9" s="3">
        <v>4</v>
      </c>
      <c r="BA9" s="3">
        <v>4</v>
      </c>
      <c r="BB9" s="3">
        <v>4</v>
      </c>
      <c r="BC9" s="3">
        <v>4</v>
      </c>
      <c r="BD9" s="3">
        <v>4</v>
      </c>
      <c r="BE9" s="3">
        <v>4</v>
      </c>
      <c r="BF9" s="3">
        <v>4</v>
      </c>
      <c r="BG9" s="3">
        <v>4</v>
      </c>
      <c r="BH9" s="3">
        <v>4</v>
      </c>
      <c r="BI9" s="3">
        <v>4</v>
      </c>
      <c r="BJ9" s="3">
        <v>4</v>
      </c>
      <c r="BK9" s="3">
        <v>4</v>
      </c>
      <c r="BL9" s="3">
        <v>4</v>
      </c>
      <c r="BM9" s="3">
        <v>4</v>
      </c>
      <c r="BN9" s="3">
        <v>4</v>
      </c>
      <c r="BO9" s="3">
        <v>4</v>
      </c>
      <c r="BP9" s="3" t="s">
        <v>100</v>
      </c>
    </row>
    <row r="10" spans="1:68" ht="22.5" customHeight="1" x14ac:dyDescent="0.25">
      <c r="A10" s="2">
        <v>45966.477732164349</v>
      </c>
      <c r="C10" s="3" t="s">
        <v>86</v>
      </c>
      <c r="D10" s="3" t="s">
        <v>70</v>
      </c>
      <c r="E10" s="3" t="s">
        <v>77</v>
      </c>
      <c r="F10" s="3" t="s">
        <v>88</v>
      </c>
      <c r="G10" s="3" t="s">
        <v>83</v>
      </c>
      <c r="H10" s="3">
        <v>4</v>
      </c>
      <c r="I10" s="3">
        <v>4</v>
      </c>
      <c r="J10" s="3">
        <v>4</v>
      </c>
      <c r="K10" s="3">
        <v>4</v>
      </c>
      <c r="L10" s="3">
        <v>4</v>
      </c>
      <c r="M10" s="3">
        <v>3</v>
      </c>
      <c r="N10" s="3">
        <v>3</v>
      </c>
      <c r="O10" s="3">
        <v>4</v>
      </c>
      <c r="P10" s="3">
        <v>4</v>
      </c>
      <c r="Q10" s="3">
        <v>4</v>
      </c>
      <c r="R10" s="3">
        <v>4</v>
      </c>
      <c r="S10" s="3">
        <v>4</v>
      </c>
      <c r="T10" s="3">
        <v>4</v>
      </c>
      <c r="U10" s="3">
        <v>4</v>
      </c>
      <c r="V10" s="3">
        <v>3</v>
      </c>
      <c r="W10" s="3">
        <v>3</v>
      </c>
      <c r="X10" s="3">
        <v>3</v>
      </c>
      <c r="Y10" s="3">
        <v>4</v>
      </c>
      <c r="Z10" s="3">
        <v>4</v>
      </c>
      <c r="AA10" s="3">
        <v>3</v>
      </c>
      <c r="AB10" s="3">
        <v>4</v>
      </c>
      <c r="AC10" s="3">
        <v>4</v>
      </c>
      <c r="AD10" s="3">
        <v>4</v>
      </c>
      <c r="AE10" s="3">
        <v>4</v>
      </c>
      <c r="AF10" s="3">
        <v>4</v>
      </c>
      <c r="AG10" s="3">
        <v>4</v>
      </c>
      <c r="AH10" s="3">
        <v>4</v>
      </c>
      <c r="AI10" s="3">
        <v>4</v>
      </c>
      <c r="AJ10" s="3">
        <v>4</v>
      </c>
      <c r="AK10" s="3">
        <v>4</v>
      </c>
      <c r="AL10" s="3">
        <v>4</v>
      </c>
      <c r="AM10" s="3">
        <v>4</v>
      </c>
      <c r="AN10" s="3">
        <v>3</v>
      </c>
      <c r="AO10" s="3">
        <v>3</v>
      </c>
      <c r="AP10" s="3">
        <v>3</v>
      </c>
      <c r="AQ10" s="3">
        <v>3</v>
      </c>
      <c r="AR10" s="3">
        <v>3</v>
      </c>
      <c r="AS10" s="3">
        <v>3</v>
      </c>
      <c r="AT10" s="3">
        <v>3</v>
      </c>
      <c r="AU10" s="3">
        <v>3</v>
      </c>
      <c r="AV10" s="3">
        <v>3</v>
      </c>
      <c r="AW10" s="3">
        <v>4</v>
      </c>
      <c r="AX10" s="3">
        <v>4</v>
      </c>
      <c r="AY10" s="3">
        <v>4</v>
      </c>
      <c r="AZ10" s="3">
        <v>4</v>
      </c>
      <c r="BA10" s="3">
        <v>4</v>
      </c>
      <c r="BB10" s="3">
        <v>4</v>
      </c>
      <c r="BC10" s="3">
        <v>4</v>
      </c>
      <c r="BD10" s="3">
        <v>4</v>
      </c>
      <c r="BE10" s="3">
        <v>4</v>
      </c>
      <c r="BF10" s="3">
        <v>4</v>
      </c>
      <c r="BG10" s="3">
        <v>4</v>
      </c>
      <c r="BH10" s="3">
        <v>4</v>
      </c>
      <c r="BI10" s="3">
        <v>4</v>
      </c>
      <c r="BJ10" s="3">
        <v>3</v>
      </c>
      <c r="BK10" s="3">
        <v>4</v>
      </c>
      <c r="BL10" s="3">
        <v>4</v>
      </c>
      <c r="BM10" s="3">
        <v>4</v>
      </c>
      <c r="BN10" s="3">
        <v>4</v>
      </c>
      <c r="BO10" s="3">
        <v>4</v>
      </c>
      <c r="BP10" s="3" t="s">
        <v>101</v>
      </c>
    </row>
    <row r="11" spans="1:68" ht="22.5" customHeight="1" x14ac:dyDescent="0.25">
      <c r="A11" s="2">
        <v>45966.479089525463</v>
      </c>
      <c r="B11" s="3" t="s">
        <v>102</v>
      </c>
      <c r="C11" s="3" t="s">
        <v>86</v>
      </c>
      <c r="D11" s="3" t="s">
        <v>99</v>
      </c>
      <c r="E11" s="3" t="s">
        <v>77</v>
      </c>
      <c r="F11" s="3" t="s">
        <v>103</v>
      </c>
      <c r="G11" s="3" t="s">
        <v>73</v>
      </c>
      <c r="H11" s="3">
        <v>5</v>
      </c>
      <c r="I11" s="3">
        <v>5</v>
      </c>
      <c r="J11" s="3">
        <v>5</v>
      </c>
      <c r="K11" s="3">
        <v>5</v>
      </c>
      <c r="L11" s="3">
        <v>5</v>
      </c>
      <c r="M11" s="3">
        <v>5</v>
      </c>
      <c r="N11" s="3">
        <v>5</v>
      </c>
      <c r="O11" s="3">
        <v>5</v>
      </c>
      <c r="P11" s="3">
        <v>5</v>
      </c>
      <c r="Q11" s="3">
        <v>5</v>
      </c>
      <c r="R11" s="3">
        <v>5</v>
      </c>
      <c r="S11" s="3">
        <v>5</v>
      </c>
      <c r="T11" s="3">
        <v>5</v>
      </c>
      <c r="U11" s="3">
        <v>5</v>
      </c>
      <c r="V11" s="3">
        <v>5</v>
      </c>
      <c r="W11" s="3">
        <v>5</v>
      </c>
      <c r="X11" s="3">
        <v>5</v>
      </c>
      <c r="Y11" s="3">
        <v>5</v>
      </c>
      <c r="Z11" s="3">
        <v>5</v>
      </c>
      <c r="AA11" s="3">
        <v>3</v>
      </c>
      <c r="AB11" s="3">
        <v>3</v>
      </c>
      <c r="AC11" s="3">
        <v>3</v>
      </c>
      <c r="AD11" s="3">
        <v>5</v>
      </c>
      <c r="AE11" s="3">
        <v>5</v>
      </c>
      <c r="AF11" s="3">
        <v>5</v>
      </c>
      <c r="AG11" s="3">
        <v>5</v>
      </c>
      <c r="AH11" s="3">
        <v>5</v>
      </c>
      <c r="AI11" s="3">
        <v>5</v>
      </c>
      <c r="AJ11" s="3">
        <v>5</v>
      </c>
      <c r="AK11" s="3">
        <v>5</v>
      </c>
      <c r="AL11" s="3">
        <v>5</v>
      </c>
      <c r="AM11" s="3">
        <v>5</v>
      </c>
      <c r="AN11" s="3">
        <v>5</v>
      </c>
      <c r="AO11" s="3">
        <v>5</v>
      </c>
      <c r="AP11" s="3">
        <v>5</v>
      </c>
      <c r="AQ11" s="3">
        <v>5</v>
      </c>
      <c r="AR11" s="3">
        <v>5</v>
      </c>
      <c r="AS11" s="3">
        <v>3</v>
      </c>
      <c r="AT11" s="3">
        <v>3</v>
      </c>
      <c r="AU11" s="3">
        <v>4</v>
      </c>
      <c r="AV11" s="3">
        <v>5</v>
      </c>
      <c r="AW11" s="3">
        <v>5</v>
      </c>
      <c r="AX11" s="3">
        <v>5</v>
      </c>
      <c r="AY11" s="3">
        <v>5</v>
      </c>
      <c r="AZ11" s="3">
        <v>5</v>
      </c>
      <c r="BA11" s="3">
        <v>3</v>
      </c>
      <c r="BB11" s="3">
        <v>3</v>
      </c>
      <c r="BC11" s="3">
        <v>4</v>
      </c>
      <c r="BD11" s="3">
        <v>3</v>
      </c>
      <c r="BE11" s="3">
        <v>3</v>
      </c>
      <c r="BF11" s="3">
        <v>3</v>
      </c>
      <c r="BG11" s="3">
        <v>5</v>
      </c>
      <c r="BH11" s="3">
        <v>5</v>
      </c>
      <c r="BI11" s="3">
        <v>5</v>
      </c>
      <c r="BJ11" s="3">
        <v>5</v>
      </c>
      <c r="BK11" s="3">
        <v>4</v>
      </c>
      <c r="BL11" s="3">
        <v>5</v>
      </c>
      <c r="BM11" s="3">
        <v>5</v>
      </c>
      <c r="BN11" s="3">
        <v>5</v>
      </c>
      <c r="BO11" s="3">
        <v>5</v>
      </c>
      <c r="BP11" s="3" t="s">
        <v>104</v>
      </c>
    </row>
    <row r="12" spans="1:68" ht="22.5" customHeight="1" x14ac:dyDescent="0.25">
      <c r="A12" s="2">
        <v>45966.485568657408</v>
      </c>
      <c r="B12" s="3" t="s">
        <v>105</v>
      </c>
      <c r="C12" s="3" t="s">
        <v>86</v>
      </c>
      <c r="D12" s="3" t="s">
        <v>106</v>
      </c>
      <c r="E12" s="3" t="s">
        <v>77</v>
      </c>
      <c r="F12" s="3" t="s">
        <v>78</v>
      </c>
      <c r="G12" s="3" t="s">
        <v>79</v>
      </c>
      <c r="H12" s="3">
        <v>5</v>
      </c>
      <c r="I12" s="3">
        <v>4</v>
      </c>
      <c r="J12" s="3">
        <v>4</v>
      </c>
      <c r="K12" s="3">
        <v>4</v>
      </c>
      <c r="L12" s="3">
        <v>4</v>
      </c>
      <c r="M12" s="3">
        <v>4</v>
      </c>
      <c r="N12" s="3">
        <v>4</v>
      </c>
      <c r="O12" s="3">
        <v>4</v>
      </c>
      <c r="P12" s="3">
        <v>4</v>
      </c>
      <c r="Q12" s="3">
        <v>4</v>
      </c>
      <c r="R12" s="3">
        <v>4</v>
      </c>
      <c r="S12" s="3">
        <v>4</v>
      </c>
      <c r="T12" s="3">
        <v>5</v>
      </c>
      <c r="U12" s="3">
        <v>4</v>
      </c>
      <c r="V12" s="3">
        <v>4</v>
      </c>
      <c r="W12" s="3">
        <v>4</v>
      </c>
      <c r="X12" s="3">
        <v>4</v>
      </c>
      <c r="Y12" s="3">
        <v>4</v>
      </c>
      <c r="Z12" s="3">
        <v>4</v>
      </c>
      <c r="AA12" s="3">
        <v>4</v>
      </c>
      <c r="AB12" s="3">
        <v>4</v>
      </c>
      <c r="AC12" s="3">
        <v>4</v>
      </c>
      <c r="AD12" s="3">
        <v>4</v>
      </c>
      <c r="AE12" s="3">
        <v>4</v>
      </c>
      <c r="AF12" s="3">
        <v>4</v>
      </c>
      <c r="AG12" s="3">
        <v>4</v>
      </c>
      <c r="AH12" s="3">
        <v>2</v>
      </c>
      <c r="AI12" s="3">
        <v>2</v>
      </c>
      <c r="AJ12" s="3">
        <v>4</v>
      </c>
      <c r="AK12" s="3">
        <v>2</v>
      </c>
      <c r="AL12" s="3">
        <v>3</v>
      </c>
      <c r="AM12" s="3">
        <v>2</v>
      </c>
      <c r="AN12" s="3">
        <v>4</v>
      </c>
      <c r="AO12" s="3">
        <v>2</v>
      </c>
      <c r="AP12" s="3">
        <v>4</v>
      </c>
      <c r="AQ12" s="3">
        <v>2</v>
      </c>
      <c r="AR12" s="3">
        <v>2</v>
      </c>
      <c r="AS12" s="3">
        <v>4</v>
      </c>
      <c r="AT12" s="3">
        <v>4</v>
      </c>
      <c r="AU12" s="3">
        <v>4</v>
      </c>
      <c r="AV12" s="3">
        <v>4</v>
      </c>
      <c r="AW12" s="3">
        <v>4</v>
      </c>
      <c r="AX12" s="3">
        <v>4</v>
      </c>
      <c r="AY12" s="3">
        <v>4</v>
      </c>
      <c r="AZ12" s="3">
        <v>4</v>
      </c>
      <c r="BA12" s="3">
        <v>4</v>
      </c>
      <c r="BB12" s="3">
        <v>4</v>
      </c>
      <c r="BC12" s="3">
        <v>4</v>
      </c>
      <c r="BD12" s="3">
        <v>2</v>
      </c>
      <c r="BE12" s="3">
        <v>2</v>
      </c>
      <c r="BF12" s="3">
        <v>2</v>
      </c>
      <c r="BG12" s="3">
        <v>4</v>
      </c>
      <c r="BH12" s="3">
        <v>4</v>
      </c>
      <c r="BI12" s="3">
        <v>4</v>
      </c>
      <c r="BJ12" s="3">
        <v>4</v>
      </c>
      <c r="BK12" s="3">
        <v>4</v>
      </c>
      <c r="BL12" s="3">
        <v>4</v>
      </c>
      <c r="BM12" s="3">
        <v>4</v>
      </c>
      <c r="BN12" s="3">
        <v>4</v>
      </c>
      <c r="BO12" s="3">
        <v>4</v>
      </c>
      <c r="BP12" s="3" t="s">
        <v>107</v>
      </c>
    </row>
    <row r="13" spans="1:68" ht="22.5" customHeight="1" x14ac:dyDescent="0.25">
      <c r="A13" s="2">
        <v>45966.48590728009</v>
      </c>
      <c r="B13" s="3" t="s">
        <v>108</v>
      </c>
      <c r="C13" s="3" t="s">
        <v>69</v>
      </c>
      <c r="D13" s="3" t="s">
        <v>106</v>
      </c>
      <c r="E13" s="3" t="s">
        <v>71</v>
      </c>
      <c r="F13" s="3" t="s">
        <v>82</v>
      </c>
      <c r="G13" s="3" t="s">
        <v>73</v>
      </c>
      <c r="H13" s="3">
        <v>4</v>
      </c>
      <c r="I13" s="3">
        <v>4</v>
      </c>
      <c r="J13" s="3">
        <v>3</v>
      </c>
      <c r="K13" s="3">
        <v>4</v>
      </c>
      <c r="L13" s="3">
        <v>4</v>
      </c>
      <c r="M13" s="3">
        <v>5</v>
      </c>
      <c r="N13" s="3">
        <v>3</v>
      </c>
      <c r="O13" s="3">
        <v>3</v>
      </c>
      <c r="P13" s="3">
        <v>5</v>
      </c>
      <c r="Q13" s="3">
        <v>4</v>
      </c>
      <c r="R13" s="3">
        <v>4</v>
      </c>
      <c r="S13" s="3">
        <v>3</v>
      </c>
      <c r="T13" s="3">
        <v>4</v>
      </c>
      <c r="U13" s="3">
        <v>5</v>
      </c>
      <c r="V13" s="3">
        <v>4</v>
      </c>
      <c r="W13" s="3">
        <v>5</v>
      </c>
      <c r="X13" s="3">
        <v>1</v>
      </c>
      <c r="Y13" s="3">
        <v>4</v>
      </c>
      <c r="Z13" s="3">
        <v>3</v>
      </c>
      <c r="AA13" s="3">
        <v>4</v>
      </c>
      <c r="AB13" s="3">
        <v>3</v>
      </c>
      <c r="AC13" s="3">
        <v>4</v>
      </c>
      <c r="AD13" s="3">
        <v>5</v>
      </c>
      <c r="AE13" s="3">
        <v>4</v>
      </c>
      <c r="AF13" s="3">
        <v>5</v>
      </c>
      <c r="AG13" s="3">
        <v>4</v>
      </c>
      <c r="AH13" s="3">
        <v>5</v>
      </c>
      <c r="AI13" s="3">
        <v>4</v>
      </c>
      <c r="AJ13" s="3">
        <v>5</v>
      </c>
      <c r="AK13" s="3">
        <v>5</v>
      </c>
      <c r="AL13" s="3">
        <v>3</v>
      </c>
      <c r="AM13" s="3">
        <v>5</v>
      </c>
      <c r="AN13" s="3">
        <v>3</v>
      </c>
      <c r="AO13" s="3">
        <v>3</v>
      </c>
      <c r="AP13" s="3">
        <v>4</v>
      </c>
      <c r="AQ13" s="3">
        <v>4</v>
      </c>
      <c r="AR13" s="3">
        <v>4</v>
      </c>
      <c r="AS13" s="3">
        <v>2</v>
      </c>
      <c r="AT13" s="3">
        <v>4</v>
      </c>
      <c r="AU13" s="3">
        <v>4</v>
      </c>
      <c r="AV13" s="3">
        <v>3</v>
      </c>
      <c r="AW13" s="3">
        <v>4</v>
      </c>
      <c r="AX13" s="3">
        <v>4</v>
      </c>
      <c r="AY13" s="3">
        <v>3</v>
      </c>
      <c r="AZ13" s="3">
        <v>4</v>
      </c>
      <c r="BA13" s="3">
        <v>3</v>
      </c>
      <c r="BB13" s="3">
        <v>4</v>
      </c>
      <c r="BC13" s="3">
        <v>4</v>
      </c>
      <c r="BD13" s="3">
        <v>4</v>
      </c>
      <c r="BE13" s="3">
        <v>3</v>
      </c>
      <c r="BF13" s="3">
        <v>4</v>
      </c>
      <c r="BG13" s="3">
        <v>4</v>
      </c>
      <c r="BH13" s="3">
        <v>5</v>
      </c>
      <c r="BI13" s="3">
        <v>5</v>
      </c>
      <c r="BJ13" s="3">
        <v>4</v>
      </c>
      <c r="BK13" s="3">
        <v>3</v>
      </c>
      <c r="BL13" s="3">
        <v>4</v>
      </c>
      <c r="BM13" s="3">
        <v>4</v>
      </c>
      <c r="BN13" s="3">
        <v>4</v>
      </c>
      <c r="BO13" s="3">
        <v>5</v>
      </c>
      <c r="BP13" s="3" t="s">
        <v>109</v>
      </c>
    </row>
    <row r="14" spans="1:68" ht="22.5" customHeight="1" x14ac:dyDescent="0.25">
      <c r="A14" s="2">
        <v>45966.486240439815</v>
      </c>
      <c r="B14" s="3" t="s">
        <v>110</v>
      </c>
      <c r="C14" s="3" t="s">
        <v>69</v>
      </c>
      <c r="D14" s="3" t="s">
        <v>111</v>
      </c>
      <c r="E14" s="3" t="s">
        <v>77</v>
      </c>
      <c r="F14" s="3" t="s">
        <v>78</v>
      </c>
      <c r="G14" s="3" t="s">
        <v>79</v>
      </c>
      <c r="H14" s="3">
        <v>5</v>
      </c>
      <c r="I14" s="3">
        <v>5</v>
      </c>
      <c r="J14" s="3">
        <v>5</v>
      </c>
      <c r="K14" s="3">
        <v>5</v>
      </c>
      <c r="L14" s="3">
        <v>5</v>
      </c>
      <c r="M14" s="3">
        <v>5</v>
      </c>
      <c r="N14" s="3">
        <v>5</v>
      </c>
      <c r="O14" s="3">
        <v>5</v>
      </c>
      <c r="P14" s="3">
        <v>5</v>
      </c>
      <c r="Q14" s="3">
        <v>5</v>
      </c>
      <c r="R14" s="3">
        <v>5</v>
      </c>
      <c r="S14" s="3">
        <v>5</v>
      </c>
      <c r="T14" s="3">
        <v>5</v>
      </c>
      <c r="U14" s="3">
        <v>5</v>
      </c>
      <c r="V14" s="3">
        <v>5</v>
      </c>
      <c r="W14" s="3">
        <v>5</v>
      </c>
      <c r="X14" s="3">
        <v>5</v>
      </c>
      <c r="Y14" s="3">
        <v>5</v>
      </c>
      <c r="Z14" s="3">
        <v>5</v>
      </c>
      <c r="AA14" s="3">
        <v>5</v>
      </c>
      <c r="AB14" s="3">
        <v>5</v>
      </c>
      <c r="AC14" s="3">
        <v>5</v>
      </c>
      <c r="AD14" s="3">
        <v>5</v>
      </c>
      <c r="AE14" s="3">
        <v>5</v>
      </c>
      <c r="AF14" s="3">
        <v>5</v>
      </c>
      <c r="AG14" s="3">
        <v>5</v>
      </c>
      <c r="AH14" s="3">
        <v>5</v>
      </c>
      <c r="AI14" s="3">
        <v>5</v>
      </c>
      <c r="AJ14" s="3">
        <v>5</v>
      </c>
      <c r="AK14" s="3">
        <v>5</v>
      </c>
      <c r="AL14" s="3">
        <v>5</v>
      </c>
      <c r="AM14" s="3">
        <v>5</v>
      </c>
      <c r="AN14" s="3">
        <v>5</v>
      </c>
      <c r="AO14" s="3">
        <v>5</v>
      </c>
      <c r="AP14" s="3">
        <v>5</v>
      </c>
      <c r="AQ14" s="3">
        <v>5</v>
      </c>
      <c r="AR14" s="3">
        <v>5</v>
      </c>
      <c r="AS14" s="3">
        <v>5</v>
      </c>
      <c r="AT14" s="3">
        <v>5</v>
      </c>
      <c r="AU14" s="3">
        <v>5</v>
      </c>
      <c r="AV14" s="3">
        <v>5</v>
      </c>
      <c r="AW14" s="3">
        <v>4</v>
      </c>
      <c r="AX14" s="3">
        <v>4</v>
      </c>
      <c r="AY14" s="3">
        <v>4</v>
      </c>
      <c r="AZ14" s="3">
        <v>4</v>
      </c>
      <c r="BA14" s="3">
        <v>3</v>
      </c>
      <c r="BB14" s="3">
        <v>3</v>
      </c>
      <c r="BC14" s="3">
        <v>3</v>
      </c>
      <c r="BD14" s="3">
        <v>3</v>
      </c>
      <c r="BE14" s="3">
        <v>3</v>
      </c>
      <c r="BF14" s="3">
        <v>3</v>
      </c>
      <c r="BG14" s="3">
        <v>3</v>
      </c>
      <c r="BH14" s="3">
        <v>3</v>
      </c>
      <c r="BI14" s="3">
        <v>3</v>
      </c>
      <c r="BJ14" s="3">
        <v>4</v>
      </c>
      <c r="BK14" s="3">
        <v>4</v>
      </c>
      <c r="BL14" s="3">
        <v>3</v>
      </c>
      <c r="BM14" s="3">
        <v>3</v>
      </c>
      <c r="BN14" s="3">
        <v>3</v>
      </c>
      <c r="BO14" s="3">
        <v>3</v>
      </c>
      <c r="BP14" s="3" t="s">
        <v>112</v>
      </c>
    </row>
    <row r="15" spans="1:68" ht="22.5" customHeight="1" x14ac:dyDescent="0.25">
      <c r="A15" s="2">
        <v>45966.487341990738</v>
      </c>
      <c r="B15" s="3" t="s">
        <v>113</v>
      </c>
      <c r="C15" s="3" t="s">
        <v>86</v>
      </c>
      <c r="D15" s="3" t="s">
        <v>106</v>
      </c>
      <c r="E15" s="3" t="s">
        <v>77</v>
      </c>
      <c r="F15" s="3" t="s">
        <v>78</v>
      </c>
      <c r="G15" s="3" t="s">
        <v>79</v>
      </c>
      <c r="H15" s="3">
        <v>5</v>
      </c>
      <c r="I15" s="3">
        <v>4</v>
      </c>
      <c r="J15" s="3">
        <v>4</v>
      </c>
      <c r="K15" s="3">
        <v>5</v>
      </c>
      <c r="L15" s="3">
        <v>4</v>
      </c>
      <c r="M15" s="3">
        <v>3</v>
      </c>
      <c r="N15" s="3">
        <v>3</v>
      </c>
      <c r="O15" s="3">
        <v>4</v>
      </c>
      <c r="P15" s="3">
        <v>3</v>
      </c>
      <c r="Q15" s="3">
        <v>4</v>
      </c>
      <c r="R15" s="3">
        <v>3</v>
      </c>
      <c r="S15" s="3">
        <v>3</v>
      </c>
      <c r="T15" s="3">
        <v>3</v>
      </c>
      <c r="U15" s="3">
        <v>4</v>
      </c>
      <c r="V15" s="3">
        <v>3</v>
      </c>
      <c r="W15" s="3">
        <v>3</v>
      </c>
      <c r="X15" s="3">
        <v>4</v>
      </c>
      <c r="Y15" s="3">
        <v>4</v>
      </c>
      <c r="Z15" s="3">
        <v>4</v>
      </c>
      <c r="AA15" s="3">
        <v>5</v>
      </c>
      <c r="AB15" s="3">
        <v>5</v>
      </c>
      <c r="AC15" s="3">
        <v>4</v>
      </c>
      <c r="AD15" s="3">
        <v>5</v>
      </c>
      <c r="AE15" s="3">
        <v>3</v>
      </c>
      <c r="AF15" s="3">
        <v>4</v>
      </c>
      <c r="AG15" s="3">
        <v>4</v>
      </c>
      <c r="AH15" s="3">
        <v>3</v>
      </c>
      <c r="AI15" s="3">
        <v>3</v>
      </c>
      <c r="AJ15" s="3">
        <v>3</v>
      </c>
      <c r="AK15" s="3">
        <v>4</v>
      </c>
      <c r="AL15" s="3">
        <v>3</v>
      </c>
      <c r="AM15" s="3">
        <v>3</v>
      </c>
      <c r="AN15" s="3">
        <v>3</v>
      </c>
      <c r="AO15" s="3">
        <v>3</v>
      </c>
      <c r="AP15" s="3">
        <v>3</v>
      </c>
      <c r="AQ15" s="3">
        <v>3</v>
      </c>
      <c r="AR15" s="3">
        <v>3</v>
      </c>
      <c r="AS15" s="3">
        <v>3</v>
      </c>
      <c r="AT15" s="3">
        <v>3</v>
      </c>
      <c r="AU15" s="3">
        <v>3</v>
      </c>
      <c r="AV15" s="3">
        <v>3</v>
      </c>
      <c r="AW15" s="3">
        <v>4</v>
      </c>
      <c r="AX15" s="3">
        <v>4</v>
      </c>
      <c r="AY15" s="3">
        <v>4</v>
      </c>
      <c r="AZ15" s="3">
        <v>4</v>
      </c>
      <c r="BA15" s="3">
        <v>4</v>
      </c>
      <c r="BB15" s="3">
        <v>4</v>
      </c>
      <c r="BC15" s="3">
        <v>5</v>
      </c>
      <c r="BD15" s="3">
        <v>4</v>
      </c>
      <c r="BE15" s="3">
        <v>4</v>
      </c>
      <c r="BF15" s="3">
        <v>4</v>
      </c>
      <c r="BG15" s="3">
        <v>4</v>
      </c>
      <c r="BH15" s="3">
        <v>4</v>
      </c>
      <c r="BI15" s="3">
        <v>4</v>
      </c>
      <c r="BJ15" s="3">
        <v>5</v>
      </c>
      <c r="BK15" s="3">
        <v>4</v>
      </c>
      <c r="BL15" s="3">
        <v>4</v>
      </c>
      <c r="BM15" s="3">
        <v>5</v>
      </c>
      <c r="BN15" s="3">
        <v>4</v>
      </c>
      <c r="BO15" s="3">
        <v>4</v>
      </c>
      <c r="BP15" s="3" t="s">
        <v>114</v>
      </c>
    </row>
    <row r="16" spans="1:68" ht="22.5" customHeight="1" x14ac:dyDescent="0.25">
      <c r="A16" s="2">
        <v>45966.487606203707</v>
      </c>
      <c r="B16" s="3" t="s">
        <v>115</v>
      </c>
      <c r="C16" s="3" t="s">
        <v>86</v>
      </c>
      <c r="D16" s="3" t="s">
        <v>106</v>
      </c>
      <c r="E16" s="3" t="s">
        <v>77</v>
      </c>
      <c r="F16" s="3" t="s">
        <v>78</v>
      </c>
      <c r="G16" s="3" t="s">
        <v>79</v>
      </c>
      <c r="H16" s="3">
        <v>5</v>
      </c>
      <c r="I16" s="3">
        <v>4</v>
      </c>
      <c r="J16" s="3">
        <v>4</v>
      </c>
      <c r="K16" s="3">
        <v>3</v>
      </c>
      <c r="L16" s="3">
        <v>4</v>
      </c>
      <c r="M16" s="3">
        <v>3</v>
      </c>
      <c r="N16" s="3">
        <v>3</v>
      </c>
      <c r="O16" s="3">
        <v>5</v>
      </c>
      <c r="P16" s="3">
        <v>5</v>
      </c>
      <c r="Q16" s="3">
        <v>4</v>
      </c>
      <c r="R16" s="3">
        <v>4</v>
      </c>
      <c r="S16" s="3">
        <v>4</v>
      </c>
      <c r="T16" s="3">
        <v>4</v>
      </c>
      <c r="U16" s="3">
        <v>4</v>
      </c>
      <c r="V16" s="3">
        <v>4</v>
      </c>
      <c r="W16" s="3">
        <v>4</v>
      </c>
      <c r="X16" s="3">
        <v>3</v>
      </c>
      <c r="Y16" s="3">
        <v>3</v>
      </c>
      <c r="Z16" s="3">
        <v>4</v>
      </c>
      <c r="AA16" s="3">
        <v>5</v>
      </c>
      <c r="AB16" s="3">
        <v>4</v>
      </c>
      <c r="AC16" s="3">
        <v>4</v>
      </c>
      <c r="AD16" s="3">
        <v>3</v>
      </c>
      <c r="AE16" s="3">
        <v>5</v>
      </c>
      <c r="AF16" s="3">
        <v>5</v>
      </c>
      <c r="AG16" s="3">
        <v>5</v>
      </c>
      <c r="AH16" s="3">
        <v>4</v>
      </c>
      <c r="AI16" s="3">
        <v>5</v>
      </c>
      <c r="AJ16" s="3">
        <v>5</v>
      </c>
      <c r="AK16" s="3">
        <v>5</v>
      </c>
      <c r="AL16" s="3">
        <v>5</v>
      </c>
      <c r="AM16" s="3">
        <v>5</v>
      </c>
      <c r="AN16" s="3">
        <v>4</v>
      </c>
      <c r="AO16" s="3">
        <v>4</v>
      </c>
      <c r="AP16" s="3">
        <v>4</v>
      </c>
      <c r="AQ16" s="3">
        <v>4</v>
      </c>
      <c r="AR16" s="3">
        <v>4</v>
      </c>
      <c r="AS16" s="3">
        <v>4</v>
      </c>
      <c r="AT16" s="3">
        <v>4</v>
      </c>
      <c r="AU16" s="3">
        <v>4</v>
      </c>
      <c r="AV16" s="3">
        <v>4</v>
      </c>
      <c r="AW16" s="3">
        <v>5</v>
      </c>
      <c r="AX16" s="3">
        <v>4</v>
      </c>
      <c r="AY16" s="3">
        <v>4</v>
      </c>
      <c r="AZ16" s="3">
        <v>5</v>
      </c>
      <c r="BA16" s="3">
        <v>4</v>
      </c>
      <c r="BB16" s="3">
        <v>3</v>
      </c>
      <c r="BC16" s="3">
        <v>4</v>
      </c>
      <c r="BD16" s="3">
        <v>3</v>
      </c>
      <c r="BE16" s="3">
        <v>4</v>
      </c>
      <c r="BF16" s="3">
        <v>4</v>
      </c>
      <c r="BG16" s="3">
        <v>4</v>
      </c>
      <c r="BH16" s="3">
        <v>4</v>
      </c>
      <c r="BI16" s="3">
        <v>4</v>
      </c>
      <c r="BJ16" s="3">
        <v>4</v>
      </c>
      <c r="BK16" s="3">
        <v>4</v>
      </c>
      <c r="BL16" s="3">
        <v>4</v>
      </c>
      <c r="BM16" s="3">
        <v>4</v>
      </c>
      <c r="BN16" s="3">
        <v>4</v>
      </c>
      <c r="BO16" s="3">
        <v>4</v>
      </c>
      <c r="BP16" s="3" t="s">
        <v>116</v>
      </c>
    </row>
    <row r="17" spans="1:68" ht="22.5" customHeight="1" x14ac:dyDescent="0.25">
      <c r="A17" s="2">
        <v>45966.489790428241</v>
      </c>
      <c r="B17" s="3" t="s">
        <v>117</v>
      </c>
      <c r="C17" s="3" t="s">
        <v>69</v>
      </c>
      <c r="D17" s="3" t="s">
        <v>118</v>
      </c>
      <c r="E17" s="3" t="s">
        <v>119</v>
      </c>
      <c r="F17" s="3" t="s">
        <v>72</v>
      </c>
      <c r="G17" s="3" t="s">
        <v>73</v>
      </c>
      <c r="H17" s="3">
        <v>5</v>
      </c>
      <c r="I17" s="3">
        <v>5</v>
      </c>
      <c r="J17" s="3">
        <v>5</v>
      </c>
      <c r="K17" s="3">
        <v>5</v>
      </c>
      <c r="L17" s="3">
        <v>5</v>
      </c>
      <c r="M17" s="3">
        <v>5</v>
      </c>
      <c r="N17" s="3">
        <v>5</v>
      </c>
      <c r="O17" s="3">
        <v>5</v>
      </c>
      <c r="P17" s="3">
        <v>5</v>
      </c>
      <c r="Q17" s="3">
        <v>5</v>
      </c>
      <c r="R17" s="3">
        <v>5</v>
      </c>
      <c r="S17" s="3">
        <v>5</v>
      </c>
      <c r="T17" s="3">
        <v>4</v>
      </c>
      <c r="U17" s="3">
        <v>5</v>
      </c>
      <c r="V17" s="3">
        <v>5</v>
      </c>
      <c r="W17" s="3">
        <v>5</v>
      </c>
      <c r="X17" s="3">
        <v>5</v>
      </c>
      <c r="Y17" s="3">
        <v>5</v>
      </c>
      <c r="Z17" s="3">
        <v>5</v>
      </c>
      <c r="AA17" s="3">
        <v>5</v>
      </c>
      <c r="AB17" s="3">
        <v>5</v>
      </c>
      <c r="AC17" s="3">
        <v>5</v>
      </c>
      <c r="AD17" s="3">
        <v>5</v>
      </c>
      <c r="AE17" s="3">
        <v>5</v>
      </c>
      <c r="AF17" s="3">
        <v>5</v>
      </c>
      <c r="AG17" s="3">
        <v>5</v>
      </c>
      <c r="AH17" s="3">
        <v>5</v>
      </c>
      <c r="AI17" s="3">
        <v>5</v>
      </c>
      <c r="AJ17" s="3">
        <v>5</v>
      </c>
      <c r="AK17" s="3">
        <v>5</v>
      </c>
      <c r="AL17" s="3">
        <v>5</v>
      </c>
      <c r="AM17" s="3">
        <v>5</v>
      </c>
      <c r="AN17" s="3">
        <v>5</v>
      </c>
      <c r="AO17" s="3">
        <v>4</v>
      </c>
      <c r="AP17" s="3">
        <v>5</v>
      </c>
      <c r="AQ17" s="3">
        <v>5</v>
      </c>
      <c r="AR17" s="3">
        <v>5</v>
      </c>
      <c r="AS17" s="3">
        <v>5</v>
      </c>
      <c r="AT17" s="3">
        <v>5</v>
      </c>
      <c r="AU17" s="3">
        <v>5</v>
      </c>
      <c r="AV17" s="3">
        <v>5</v>
      </c>
      <c r="AW17" s="3">
        <v>5</v>
      </c>
      <c r="AX17" s="3">
        <v>5</v>
      </c>
      <c r="AY17" s="3">
        <v>5</v>
      </c>
      <c r="AZ17" s="3">
        <v>5</v>
      </c>
      <c r="BA17" s="3">
        <v>5</v>
      </c>
      <c r="BB17" s="3">
        <v>5</v>
      </c>
      <c r="BC17" s="3">
        <v>5</v>
      </c>
      <c r="BD17" s="3">
        <v>5</v>
      </c>
      <c r="BE17" s="3">
        <v>5</v>
      </c>
      <c r="BF17" s="3">
        <v>5</v>
      </c>
      <c r="BG17" s="3">
        <v>5</v>
      </c>
      <c r="BH17" s="3">
        <v>5</v>
      </c>
      <c r="BI17" s="3">
        <v>5</v>
      </c>
      <c r="BJ17" s="3">
        <v>5</v>
      </c>
      <c r="BK17" s="3">
        <v>5</v>
      </c>
      <c r="BL17" s="3">
        <v>5</v>
      </c>
      <c r="BM17" s="3">
        <v>5</v>
      </c>
      <c r="BN17" s="3">
        <v>5</v>
      </c>
      <c r="BO17" s="3">
        <v>5</v>
      </c>
      <c r="BP17" s="3" t="s">
        <v>120</v>
      </c>
    </row>
    <row r="18" spans="1:68" ht="22.5" customHeight="1" x14ac:dyDescent="0.25">
      <c r="A18" s="2">
        <v>45966.500452731481</v>
      </c>
      <c r="B18" s="3" t="s">
        <v>121</v>
      </c>
      <c r="C18" s="3" t="s">
        <v>86</v>
      </c>
      <c r="D18" s="3" t="s">
        <v>106</v>
      </c>
      <c r="E18" s="3" t="s">
        <v>77</v>
      </c>
      <c r="F18" s="3" t="s">
        <v>78</v>
      </c>
      <c r="G18" s="3" t="s">
        <v>79</v>
      </c>
      <c r="H18" s="3">
        <v>5</v>
      </c>
      <c r="I18" s="3">
        <v>5</v>
      </c>
      <c r="J18" s="3">
        <v>5</v>
      </c>
      <c r="K18" s="3">
        <v>5</v>
      </c>
      <c r="L18" s="3">
        <v>5</v>
      </c>
      <c r="M18" s="3">
        <v>4</v>
      </c>
      <c r="N18" s="3">
        <v>4</v>
      </c>
      <c r="O18" s="3">
        <v>4</v>
      </c>
      <c r="P18" s="3">
        <v>4</v>
      </c>
      <c r="Q18" s="3">
        <v>3</v>
      </c>
      <c r="R18" s="3">
        <v>4</v>
      </c>
      <c r="S18" s="3">
        <v>4</v>
      </c>
      <c r="T18" s="3">
        <v>4</v>
      </c>
      <c r="U18" s="3">
        <v>4</v>
      </c>
      <c r="V18" s="3">
        <v>4</v>
      </c>
      <c r="W18" s="3">
        <v>4</v>
      </c>
      <c r="X18" s="3">
        <v>4</v>
      </c>
      <c r="Y18" s="3">
        <v>4</v>
      </c>
      <c r="Z18" s="3">
        <v>4</v>
      </c>
      <c r="AA18" s="3">
        <v>5</v>
      </c>
      <c r="AB18" s="3">
        <v>5</v>
      </c>
      <c r="AC18" s="3">
        <v>5</v>
      </c>
      <c r="AD18" s="3">
        <v>5</v>
      </c>
      <c r="AE18" s="3">
        <v>4</v>
      </c>
      <c r="AF18" s="3">
        <v>4</v>
      </c>
      <c r="AG18" s="3">
        <v>4</v>
      </c>
      <c r="AH18" s="3">
        <v>4</v>
      </c>
      <c r="AI18" s="3">
        <v>4</v>
      </c>
      <c r="AJ18" s="3">
        <v>4</v>
      </c>
      <c r="AK18" s="3">
        <v>4</v>
      </c>
      <c r="AL18" s="3">
        <v>4</v>
      </c>
      <c r="AM18" s="3">
        <v>4</v>
      </c>
      <c r="AN18" s="3">
        <v>4</v>
      </c>
      <c r="AO18" s="3">
        <v>4</v>
      </c>
      <c r="AP18" s="3">
        <v>4</v>
      </c>
      <c r="AQ18" s="3">
        <v>4</v>
      </c>
      <c r="AR18" s="3">
        <v>4</v>
      </c>
      <c r="AS18" s="3">
        <v>4</v>
      </c>
      <c r="AT18" s="3">
        <v>3</v>
      </c>
      <c r="AU18" s="3">
        <v>3</v>
      </c>
      <c r="AV18" s="3">
        <v>3</v>
      </c>
      <c r="AW18" s="3">
        <v>4</v>
      </c>
      <c r="AX18" s="3">
        <v>4</v>
      </c>
      <c r="AY18" s="3">
        <v>4</v>
      </c>
      <c r="AZ18" s="3">
        <v>4</v>
      </c>
      <c r="BA18" s="3">
        <v>4</v>
      </c>
      <c r="BB18" s="3">
        <v>4</v>
      </c>
      <c r="BC18" s="3">
        <v>3</v>
      </c>
      <c r="BD18" s="3">
        <v>3</v>
      </c>
      <c r="BE18" s="3">
        <v>3</v>
      </c>
      <c r="BF18" s="3">
        <v>3</v>
      </c>
      <c r="BG18" s="3">
        <v>4</v>
      </c>
      <c r="BH18" s="3">
        <v>4</v>
      </c>
      <c r="BI18" s="3">
        <v>4</v>
      </c>
      <c r="BJ18" s="3">
        <v>4</v>
      </c>
      <c r="BK18" s="3">
        <v>4</v>
      </c>
      <c r="BL18" s="3">
        <v>4</v>
      </c>
      <c r="BM18" s="3">
        <v>4</v>
      </c>
      <c r="BN18" s="3">
        <v>4</v>
      </c>
      <c r="BO18" s="3">
        <v>5</v>
      </c>
      <c r="BP18" s="3" t="s">
        <v>122</v>
      </c>
    </row>
    <row r="19" spans="1:68" ht="22.5" customHeight="1" x14ac:dyDescent="0.25">
      <c r="A19" s="2">
        <v>45966.505032060188</v>
      </c>
      <c r="B19" s="3" t="s">
        <v>123</v>
      </c>
      <c r="C19" s="3" t="s">
        <v>86</v>
      </c>
      <c r="D19" s="3" t="s">
        <v>70</v>
      </c>
      <c r="E19" s="3" t="s">
        <v>77</v>
      </c>
      <c r="F19" s="3" t="s">
        <v>88</v>
      </c>
      <c r="G19" s="3" t="s">
        <v>83</v>
      </c>
      <c r="H19" s="3">
        <v>5</v>
      </c>
      <c r="I19" s="3">
        <v>5</v>
      </c>
      <c r="J19" s="3">
        <v>5</v>
      </c>
      <c r="K19" s="3">
        <v>5</v>
      </c>
      <c r="L19" s="3">
        <v>5</v>
      </c>
      <c r="M19" s="3">
        <v>4</v>
      </c>
      <c r="N19" s="3">
        <v>4</v>
      </c>
      <c r="O19" s="3">
        <v>4</v>
      </c>
      <c r="P19" s="3">
        <v>5</v>
      </c>
      <c r="Q19" s="3">
        <v>5</v>
      </c>
      <c r="R19" s="3">
        <v>5</v>
      </c>
      <c r="S19" s="3">
        <v>5</v>
      </c>
      <c r="T19" s="3">
        <v>5</v>
      </c>
      <c r="U19" s="3">
        <v>5</v>
      </c>
      <c r="V19" s="3">
        <v>5</v>
      </c>
      <c r="W19" s="3">
        <v>5</v>
      </c>
      <c r="X19" s="3">
        <v>4</v>
      </c>
      <c r="Y19" s="3">
        <v>4</v>
      </c>
      <c r="Z19" s="3">
        <v>5</v>
      </c>
      <c r="AA19" s="3">
        <v>5</v>
      </c>
      <c r="AB19" s="3">
        <v>5</v>
      </c>
      <c r="AC19" s="3">
        <v>5</v>
      </c>
      <c r="AD19" s="3">
        <v>5</v>
      </c>
      <c r="AE19" s="3">
        <v>5</v>
      </c>
      <c r="AF19" s="3">
        <v>5</v>
      </c>
      <c r="AG19" s="3">
        <v>5</v>
      </c>
      <c r="AH19" s="3">
        <v>5</v>
      </c>
      <c r="AI19" s="3">
        <v>5</v>
      </c>
      <c r="AJ19" s="3">
        <v>5</v>
      </c>
      <c r="AK19" s="3">
        <v>5</v>
      </c>
      <c r="AL19" s="3">
        <v>4</v>
      </c>
      <c r="AM19" s="3">
        <v>4</v>
      </c>
      <c r="AN19" s="3">
        <v>5</v>
      </c>
      <c r="AO19" s="3">
        <v>5</v>
      </c>
      <c r="AP19" s="3">
        <v>4</v>
      </c>
      <c r="AQ19" s="3">
        <v>5</v>
      </c>
      <c r="AR19" s="3">
        <v>5</v>
      </c>
      <c r="AS19" s="3">
        <v>4</v>
      </c>
      <c r="AT19" s="3">
        <v>4</v>
      </c>
      <c r="AU19" s="3">
        <v>4</v>
      </c>
      <c r="AV19" s="3">
        <v>4</v>
      </c>
      <c r="AW19" s="3">
        <v>5</v>
      </c>
      <c r="AX19" s="3">
        <v>5</v>
      </c>
      <c r="AY19" s="3">
        <v>5</v>
      </c>
      <c r="AZ19" s="3">
        <v>5</v>
      </c>
      <c r="BA19" s="3">
        <v>5</v>
      </c>
      <c r="BB19" s="3">
        <v>4</v>
      </c>
      <c r="BC19" s="3">
        <v>4</v>
      </c>
      <c r="BD19" s="3">
        <v>4</v>
      </c>
      <c r="BE19" s="3">
        <v>4</v>
      </c>
      <c r="BF19" s="3">
        <v>3</v>
      </c>
      <c r="BG19" s="3">
        <v>4</v>
      </c>
      <c r="BH19" s="3">
        <v>4</v>
      </c>
      <c r="BI19" s="3">
        <v>4</v>
      </c>
      <c r="BJ19" s="3">
        <v>4</v>
      </c>
      <c r="BK19" s="3">
        <v>4</v>
      </c>
      <c r="BL19" s="3">
        <v>4</v>
      </c>
      <c r="BM19" s="3">
        <v>5</v>
      </c>
      <c r="BN19" s="3">
        <v>4</v>
      </c>
      <c r="BO19" s="3">
        <v>5</v>
      </c>
      <c r="BP19" s="3" t="s">
        <v>124</v>
      </c>
    </row>
    <row r="20" spans="1:68" ht="22.5" customHeight="1" x14ac:dyDescent="0.25">
      <c r="A20" s="2">
        <v>45966.523879178239</v>
      </c>
      <c r="B20" s="3" t="s">
        <v>125</v>
      </c>
      <c r="C20" s="3" t="s">
        <v>69</v>
      </c>
      <c r="D20" s="3" t="s">
        <v>126</v>
      </c>
      <c r="E20" s="3" t="s">
        <v>87</v>
      </c>
      <c r="F20" s="3" t="s">
        <v>88</v>
      </c>
      <c r="G20" s="3" t="s">
        <v>91</v>
      </c>
      <c r="H20" s="3">
        <v>5</v>
      </c>
      <c r="I20" s="3">
        <v>5</v>
      </c>
      <c r="J20" s="3">
        <v>5</v>
      </c>
      <c r="K20" s="3">
        <v>5</v>
      </c>
      <c r="L20" s="3">
        <v>5</v>
      </c>
      <c r="M20" s="3">
        <v>4</v>
      </c>
      <c r="N20" s="3">
        <v>5</v>
      </c>
      <c r="O20" s="3">
        <v>4</v>
      </c>
      <c r="P20" s="3">
        <v>5</v>
      </c>
      <c r="Q20" s="3">
        <v>5</v>
      </c>
      <c r="R20" s="3">
        <v>4</v>
      </c>
      <c r="S20" s="3">
        <v>5</v>
      </c>
      <c r="T20" s="3">
        <v>5</v>
      </c>
      <c r="U20" s="3">
        <v>5</v>
      </c>
      <c r="V20" s="3">
        <v>5</v>
      </c>
      <c r="W20" s="3">
        <v>5</v>
      </c>
      <c r="X20" s="3">
        <v>4</v>
      </c>
      <c r="Y20" s="3">
        <v>4</v>
      </c>
      <c r="Z20" s="3">
        <v>4</v>
      </c>
      <c r="AA20" s="3">
        <v>4</v>
      </c>
      <c r="AB20" s="3">
        <v>4</v>
      </c>
      <c r="AC20" s="3">
        <v>3</v>
      </c>
      <c r="AD20" s="3">
        <v>4</v>
      </c>
      <c r="AE20" s="3">
        <v>5</v>
      </c>
      <c r="AF20" s="3">
        <v>5</v>
      </c>
      <c r="AG20" s="3">
        <v>5</v>
      </c>
      <c r="AH20" s="3">
        <v>2</v>
      </c>
      <c r="AI20" s="3">
        <v>5</v>
      </c>
      <c r="AJ20" s="3">
        <v>5</v>
      </c>
      <c r="AK20" s="3">
        <v>5</v>
      </c>
      <c r="AL20" s="3">
        <v>5</v>
      </c>
      <c r="AM20" s="3">
        <v>5</v>
      </c>
      <c r="AN20" s="3">
        <v>4</v>
      </c>
      <c r="AO20" s="3">
        <v>3</v>
      </c>
      <c r="AP20" s="3">
        <v>5</v>
      </c>
      <c r="AQ20" s="3">
        <v>3</v>
      </c>
      <c r="AR20" s="3">
        <v>5</v>
      </c>
      <c r="AS20" s="3">
        <v>4</v>
      </c>
      <c r="AT20" s="3">
        <v>4</v>
      </c>
      <c r="AU20" s="3">
        <v>5</v>
      </c>
      <c r="AV20" s="3">
        <v>5</v>
      </c>
      <c r="AW20" s="3">
        <v>5</v>
      </c>
      <c r="AX20" s="3">
        <v>5</v>
      </c>
      <c r="AY20" s="3">
        <v>4</v>
      </c>
      <c r="AZ20" s="3">
        <v>5</v>
      </c>
      <c r="BA20" s="3">
        <v>4</v>
      </c>
      <c r="BB20" s="3">
        <v>4</v>
      </c>
      <c r="BC20" s="3">
        <v>5</v>
      </c>
      <c r="BD20" s="3">
        <v>5</v>
      </c>
      <c r="BE20" s="3">
        <v>3</v>
      </c>
      <c r="BF20" s="3">
        <v>3</v>
      </c>
      <c r="BG20" s="3">
        <v>5</v>
      </c>
      <c r="BH20" s="3">
        <v>5</v>
      </c>
      <c r="BI20" s="3">
        <v>5</v>
      </c>
      <c r="BJ20" s="3">
        <v>5</v>
      </c>
      <c r="BK20" s="3">
        <v>5</v>
      </c>
      <c r="BL20" s="3">
        <v>5</v>
      </c>
      <c r="BM20" s="3">
        <v>5</v>
      </c>
      <c r="BN20" s="3">
        <v>4</v>
      </c>
      <c r="BO20" s="3">
        <v>5</v>
      </c>
      <c r="BP20" s="3" t="s">
        <v>127</v>
      </c>
    </row>
    <row r="21" spans="1:68" ht="22.5" customHeight="1" x14ac:dyDescent="0.25">
      <c r="A21" s="2">
        <v>45966.571117824074</v>
      </c>
      <c r="B21" s="3" t="s">
        <v>128</v>
      </c>
      <c r="C21" s="3" t="s">
        <v>69</v>
      </c>
      <c r="D21" s="3" t="s">
        <v>129</v>
      </c>
      <c r="E21" s="3" t="s">
        <v>77</v>
      </c>
      <c r="F21" s="3" t="s">
        <v>78</v>
      </c>
      <c r="G21" s="3" t="s">
        <v>79</v>
      </c>
      <c r="H21" s="3">
        <v>3</v>
      </c>
      <c r="I21" s="3">
        <v>2</v>
      </c>
      <c r="J21" s="3">
        <v>3</v>
      </c>
      <c r="K21" s="3">
        <v>4</v>
      </c>
      <c r="L21" s="3">
        <v>1</v>
      </c>
      <c r="M21" s="3">
        <v>1</v>
      </c>
      <c r="N21" s="3">
        <v>3</v>
      </c>
      <c r="O21" s="3">
        <v>2</v>
      </c>
      <c r="P21" s="3">
        <v>2</v>
      </c>
      <c r="Q21" s="3">
        <v>2</v>
      </c>
      <c r="R21" s="3">
        <v>3</v>
      </c>
      <c r="S21" s="3">
        <v>2</v>
      </c>
      <c r="T21" s="3">
        <v>2</v>
      </c>
      <c r="U21" s="3">
        <v>4</v>
      </c>
      <c r="V21" s="3">
        <v>4</v>
      </c>
      <c r="W21" s="3">
        <v>3</v>
      </c>
      <c r="X21" s="3">
        <v>4</v>
      </c>
      <c r="Y21" s="3">
        <v>4</v>
      </c>
      <c r="Z21" s="3">
        <v>4</v>
      </c>
      <c r="AA21" s="3">
        <v>4</v>
      </c>
      <c r="AB21" s="3">
        <v>4</v>
      </c>
      <c r="AC21" s="3">
        <v>4</v>
      </c>
      <c r="AD21" s="3">
        <v>3</v>
      </c>
      <c r="AE21" s="3">
        <v>4</v>
      </c>
      <c r="AF21" s="3">
        <v>4</v>
      </c>
      <c r="AG21" s="3">
        <v>5</v>
      </c>
      <c r="AH21" s="3">
        <v>4</v>
      </c>
      <c r="AI21" s="3">
        <v>4</v>
      </c>
      <c r="AJ21" s="3">
        <v>3</v>
      </c>
      <c r="AK21" s="3">
        <v>5</v>
      </c>
      <c r="AL21" s="3">
        <v>4</v>
      </c>
      <c r="AM21" s="3">
        <v>4</v>
      </c>
      <c r="AN21" s="3">
        <v>4</v>
      </c>
      <c r="AO21" s="3">
        <v>5</v>
      </c>
      <c r="AP21" s="3">
        <v>5</v>
      </c>
      <c r="AQ21" s="3">
        <v>5</v>
      </c>
      <c r="AR21" s="3">
        <v>4</v>
      </c>
      <c r="AS21" s="3">
        <v>4</v>
      </c>
      <c r="AT21" s="3">
        <v>4</v>
      </c>
      <c r="AU21" s="3">
        <v>5</v>
      </c>
      <c r="AV21" s="3">
        <v>4</v>
      </c>
      <c r="AW21" s="3">
        <v>4</v>
      </c>
      <c r="AX21" s="3">
        <v>5</v>
      </c>
      <c r="AY21" s="3">
        <v>4</v>
      </c>
      <c r="AZ21" s="3">
        <v>4</v>
      </c>
      <c r="BA21" s="3">
        <v>4</v>
      </c>
      <c r="BB21" s="3">
        <v>5</v>
      </c>
      <c r="BC21" s="3">
        <v>4</v>
      </c>
      <c r="BD21" s="3">
        <v>4</v>
      </c>
      <c r="BE21" s="3">
        <v>5</v>
      </c>
      <c r="BF21" s="3">
        <v>4</v>
      </c>
      <c r="BG21" s="3">
        <v>4</v>
      </c>
      <c r="BH21" s="3">
        <v>3</v>
      </c>
      <c r="BI21" s="3">
        <v>4</v>
      </c>
      <c r="BJ21" s="3">
        <v>3</v>
      </c>
      <c r="BK21" s="3">
        <v>4</v>
      </c>
      <c r="BL21" s="3">
        <v>4</v>
      </c>
      <c r="BM21" s="3">
        <v>5</v>
      </c>
      <c r="BN21" s="3">
        <v>5</v>
      </c>
      <c r="BO21" s="3">
        <v>5</v>
      </c>
      <c r="BP21" s="3" t="s">
        <v>130</v>
      </c>
    </row>
    <row r="22" spans="1:68" ht="22.5" customHeight="1" x14ac:dyDescent="0.25">
      <c r="A22" s="2">
        <v>45966.616873993058</v>
      </c>
      <c r="B22" s="3" t="s">
        <v>131</v>
      </c>
      <c r="C22" s="3" t="s">
        <v>86</v>
      </c>
      <c r="D22" s="3" t="s">
        <v>70</v>
      </c>
      <c r="E22" s="3" t="s">
        <v>77</v>
      </c>
      <c r="F22" s="3" t="s">
        <v>78</v>
      </c>
      <c r="G22" s="3" t="s">
        <v>79</v>
      </c>
      <c r="H22" s="3">
        <v>5</v>
      </c>
      <c r="I22" s="3">
        <v>4</v>
      </c>
      <c r="J22" s="3">
        <v>4</v>
      </c>
      <c r="K22" s="3">
        <v>3</v>
      </c>
      <c r="L22" s="3">
        <v>4</v>
      </c>
      <c r="M22" s="3">
        <v>3</v>
      </c>
      <c r="N22" s="3">
        <v>3</v>
      </c>
      <c r="O22" s="3">
        <v>4</v>
      </c>
      <c r="P22" s="3">
        <v>5</v>
      </c>
      <c r="Q22" s="3">
        <v>4</v>
      </c>
      <c r="R22" s="3">
        <v>5</v>
      </c>
      <c r="S22" s="3">
        <v>4</v>
      </c>
      <c r="T22" s="3">
        <v>5</v>
      </c>
      <c r="U22" s="3">
        <v>5</v>
      </c>
      <c r="V22" s="3">
        <v>4</v>
      </c>
      <c r="W22" s="3">
        <v>4</v>
      </c>
      <c r="X22" s="3">
        <v>4</v>
      </c>
      <c r="Y22" s="3">
        <v>3</v>
      </c>
      <c r="Z22" s="3">
        <v>4</v>
      </c>
      <c r="AA22" s="3">
        <v>4</v>
      </c>
      <c r="AB22" s="3">
        <v>3</v>
      </c>
      <c r="AC22" s="3">
        <v>3</v>
      </c>
      <c r="AD22" s="3">
        <v>4</v>
      </c>
      <c r="AE22" s="3">
        <v>3</v>
      </c>
      <c r="AF22" s="3">
        <v>3</v>
      </c>
      <c r="AG22" s="3">
        <v>4</v>
      </c>
      <c r="AH22" s="3">
        <v>3</v>
      </c>
      <c r="AI22" s="3">
        <v>4</v>
      </c>
      <c r="AJ22" s="3">
        <v>4</v>
      </c>
      <c r="AK22" s="3">
        <v>5</v>
      </c>
      <c r="AL22" s="3">
        <v>3</v>
      </c>
      <c r="AM22" s="3">
        <v>4</v>
      </c>
      <c r="AN22" s="3">
        <v>4</v>
      </c>
      <c r="AO22" s="3">
        <v>3</v>
      </c>
      <c r="AP22" s="3">
        <v>5</v>
      </c>
      <c r="AQ22" s="3">
        <v>4</v>
      </c>
      <c r="AR22" s="3">
        <v>4</v>
      </c>
      <c r="AS22" s="3">
        <v>3</v>
      </c>
      <c r="AT22" s="3">
        <v>3</v>
      </c>
      <c r="AU22" s="3">
        <v>4</v>
      </c>
      <c r="AV22" s="3">
        <v>4</v>
      </c>
      <c r="AW22" s="3">
        <v>4</v>
      </c>
      <c r="AX22" s="3">
        <v>4</v>
      </c>
      <c r="AY22" s="3">
        <v>4</v>
      </c>
      <c r="AZ22" s="3">
        <v>4</v>
      </c>
      <c r="BA22" s="3">
        <v>4</v>
      </c>
      <c r="BB22" s="3">
        <v>4</v>
      </c>
      <c r="BC22" s="3">
        <v>3</v>
      </c>
      <c r="BD22" s="3">
        <v>4</v>
      </c>
      <c r="BE22" s="3">
        <v>4</v>
      </c>
      <c r="BF22" s="3">
        <v>3</v>
      </c>
      <c r="BG22" s="3">
        <v>4</v>
      </c>
      <c r="BH22" s="3">
        <v>4</v>
      </c>
      <c r="BI22" s="3">
        <v>4</v>
      </c>
      <c r="BJ22" s="3">
        <v>4</v>
      </c>
      <c r="BK22" s="3">
        <v>3</v>
      </c>
      <c r="BL22" s="3">
        <v>4</v>
      </c>
      <c r="BM22" s="3">
        <v>4</v>
      </c>
      <c r="BN22" s="3">
        <v>4</v>
      </c>
      <c r="BO22" s="3">
        <v>4</v>
      </c>
      <c r="BP22" s="3" t="s">
        <v>132</v>
      </c>
    </row>
    <row r="23" spans="1:68" ht="22.5" customHeight="1" x14ac:dyDescent="0.25">
      <c r="A23" s="2">
        <v>45966.662059953705</v>
      </c>
      <c r="B23" s="3" t="s">
        <v>133</v>
      </c>
      <c r="C23" s="3" t="s">
        <v>86</v>
      </c>
      <c r="D23" s="3" t="s">
        <v>134</v>
      </c>
      <c r="E23" s="3" t="s">
        <v>87</v>
      </c>
      <c r="F23" s="3" t="s">
        <v>88</v>
      </c>
      <c r="G23" s="3" t="s">
        <v>91</v>
      </c>
      <c r="H23" s="3">
        <v>5</v>
      </c>
      <c r="I23" s="3">
        <v>5</v>
      </c>
      <c r="J23" s="3">
        <v>5</v>
      </c>
      <c r="K23" s="3">
        <v>4</v>
      </c>
      <c r="L23" s="3">
        <v>5</v>
      </c>
      <c r="M23" s="3">
        <v>3</v>
      </c>
      <c r="N23" s="3">
        <v>4</v>
      </c>
      <c r="O23" s="3">
        <v>5</v>
      </c>
      <c r="P23" s="3">
        <v>4</v>
      </c>
      <c r="Q23" s="3">
        <v>5</v>
      </c>
      <c r="R23" s="3">
        <v>5</v>
      </c>
      <c r="S23" s="3">
        <v>5</v>
      </c>
      <c r="T23" s="3">
        <v>5</v>
      </c>
      <c r="U23" s="3">
        <v>5</v>
      </c>
      <c r="V23" s="3">
        <v>4</v>
      </c>
      <c r="W23" s="3">
        <v>4</v>
      </c>
      <c r="X23" s="3">
        <v>4</v>
      </c>
      <c r="Y23" s="3">
        <v>4</v>
      </c>
      <c r="Z23" s="3">
        <v>4</v>
      </c>
      <c r="AA23" s="3">
        <v>4</v>
      </c>
      <c r="AB23" s="3">
        <v>4</v>
      </c>
      <c r="AC23" s="3">
        <v>4</v>
      </c>
      <c r="AD23" s="3">
        <v>5</v>
      </c>
      <c r="AE23" s="3">
        <v>5</v>
      </c>
      <c r="AF23" s="3">
        <v>5</v>
      </c>
      <c r="AG23" s="3">
        <v>5</v>
      </c>
      <c r="AH23" s="3">
        <v>4</v>
      </c>
      <c r="AI23" s="3">
        <v>4</v>
      </c>
      <c r="AJ23" s="3">
        <v>5</v>
      </c>
      <c r="AK23" s="3">
        <v>5</v>
      </c>
      <c r="AL23" s="3">
        <v>4</v>
      </c>
      <c r="AM23" s="3">
        <v>4</v>
      </c>
      <c r="AN23" s="3">
        <v>3</v>
      </c>
      <c r="AO23" s="3">
        <v>4</v>
      </c>
      <c r="AP23" s="3">
        <v>4</v>
      </c>
      <c r="AQ23" s="3">
        <v>4</v>
      </c>
      <c r="AR23" s="3">
        <v>4</v>
      </c>
      <c r="AS23" s="3">
        <v>3</v>
      </c>
      <c r="AT23" s="3">
        <v>5</v>
      </c>
      <c r="AU23" s="3">
        <v>4</v>
      </c>
      <c r="AV23" s="3">
        <v>4</v>
      </c>
      <c r="AW23" s="3">
        <v>5</v>
      </c>
      <c r="AX23" s="3">
        <v>5</v>
      </c>
      <c r="AY23" s="3">
        <v>5</v>
      </c>
      <c r="AZ23" s="3">
        <v>5</v>
      </c>
      <c r="BA23" s="3">
        <v>4</v>
      </c>
      <c r="BB23" s="3">
        <v>5</v>
      </c>
      <c r="BC23" s="3">
        <v>4</v>
      </c>
      <c r="BD23" s="3">
        <v>4</v>
      </c>
      <c r="BE23" s="3">
        <v>4</v>
      </c>
      <c r="BF23" s="3">
        <v>3</v>
      </c>
      <c r="BG23" s="3">
        <v>4</v>
      </c>
      <c r="BH23" s="3">
        <v>5</v>
      </c>
      <c r="BI23" s="3">
        <v>4</v>
      </c>
      <c r="BJ23" s="3">
        <v>5</v>
      </c>
      <c r="BK23" s="3">
        <v>3</v>
      </c>
      <c r="BL23" s="3">
        <v>5</v>
      </c>
      <c r="BM23" s="3">
        <v>5</v>
      </c>
      <c r="BN23" s="3">
        <v>4</v>
      </c>
      <c r="BO23" s="3">
        <v>5</v>
      </c>
      <c r="BP23" s="3" t="s">
        <v>135</v>
      </c>
    </row>
    <row r="24" spans="1:68" ht="22.5" customHeight="1" x14ac:dyDescent="0.25">
      <c r="A24" s="2">
        <v>45966.702303969912</v>
      </c>
      <c r="B24" s="3" t="s">
        <v>136</v>
      </c>
      <c r="C24" s="3" t="s">
        <v>69</v>
      </c>
      <c r="D24" s="3" t="s">
        <v>137</v>
      </c>
      <c r="E24" s="3" t="s">
        <v>119</v>
      </c>
      <c r="F24" s="3" t="s">
        <v>72</v>
      </c>
      <c r="G24" s="3" t="s">
        <v>73</v>
      </c>
      <c r="H24" s="3">
        <v>5</v>
      </c>
      <c r="I24" s="3">
        <v>5</v>
      </c>
      <c r="J24" s="3">
        <v>5</v>
      </c>
      <c r="K24" s="3">
        <v>5</v>
      </c>
      <c r="L24" s="3">
        <v>5</v>
      </c>
      <c r="M24" s="3">
        <v>4</v>
      </c>
      <c r="N24" s="3">
        <v>5</v>
      </c>
      <c r="O24" s="3">
        <v>5</v>
      </c>
      <c r="P24" s="3">
        <v>5</v>
      </c>
      <c r="Q24" s="3">
        <v>5</v>
      </c>
      <c r="R24" s="3">
        <v>5</v>
      </c>
      <c r="S24" s="3">
        <v>5</v>
      </c>
      <c r="T24" s="3">
        <v>5</v>
      </c>
      <c r="U24" s="3">
        <v>5</v>
      </c>
      <c r="V24" s="3">
        <v>5</v>
      </c>
      <c r="W24" s="3">
        <v>5</v>
      </c>
      <c r="X24" s="3">
        <v>5</v>
      </c>
      <c r="Y24" s="3">
        <v>5</v>
      </c>
      <c r="Z24" s="3">
        <v>5</v>
      </c>
      <c r="AA24" s="3">
        <v>4</v>
      </c>
      <c r="AB24" s="3">
        <v>2</v>
      </c>
      <c r="AC24" s="3">
        <v>3</v>
      </c>
      <c r="AD24" s="3">
        <v>4</v>
      </c>
      <c r="AE24" s="3">
        <v>5</v>
      </c>
      <c r="AF24" s="3">
        <v>5</v>
      </c>
      <c r="AG24" s="3">
        <v>5</v>
      </c>
      <c r="AH24" s="3">
        <v>5</v>
      </c>
      <c r="AI24" s="3">
        <v>5</v>
      </c>
      <c r="AJ24" s="3">
        <v>5</v>
      </c>
      <c r="AK24" s="3">
        <v>5</v>
      </c>
      <c r="AL24" s="3">
        <v>5</v>
      </c>
      <c r="AM24" s="3">
        <v>5</v>
      </c>
      <c r="AN24" s="3">
        <v>4</v>
      </c>
      <c r="AO24" s="3">
        <v>4</v>
      </c>
      <c r="AP24" s="3">
        <v>4</v>
      </c>
      <c r="AQ24" s="3">
        <v>4</v>
      </c>
      <c r="AR24" s="3">
        <v>4</v>
      </c>
      <c r="AS24" s="3">
        <v>4</v>
      </c>
      <c r="AT24" s="3">
        <v>4</v>
      </c>
      <c r="AU24" s="3">
        <v>4</v>
      </c>
      <c r="AV24" s="3">
        <v>4</v>
      </c>
      <c r="AW24" s="3">
        <v>5</v>
      </c>
      <c r="AX24" s="3">
        <v>5</v>
      </c>
      <c r="AY24" s="3">
        <v>5</v>
      </c>
      <c r="AZ24" s="3">
        <v>5</v>
      </c>
      <c r="BA24" s="3">
        <v>4</v>
      </c>
      <c r="BB24" s="3">
        <v>5</v>
      </c>
      <c r="BC24" s="3">
        <v>3</v>
      </c>
      <c r="BD24" s="3">
        <v>3</v>
      </c>
      <c r="BE24" s="3">
        <v>3</v>
      </c>
      <c r="BF24" s="3">
        <v>3</v>
      </c>
      <c r="BG24" s="3">
        <v>5</v>
      </c>
      <c r="BH24" s="3">
        <v>5</v>
      </c>
      <c r="BI24" s="3">
        <v>5</v>
      </c>
      <c r="BJ24" s="3">
        <v>5</v>
      </c>
      <c r="BK24" s="3">
        <v>5</v>
      </c>
      <c r="BL24" s="3">
        <v>5</v>
      </c>
      <c r="BM24" s="3">
        <v>5</v>
      </c>
      <c r="BN24" s="3">
        <v>5</v>
      </c>
      <c r="BO24" s="3">
        <v>5</v>
      </c>
      <c r="BP24" s="3" t="s">
        <v>138</v>
      </c>
    </row>
    <row r="25" spans="1:68" ht="22.5" customHeight="1" x14ac:dyDescent="0.25">
      <c r="A25" s="2">
        <v>45966.704527627313</v>
      </c>
      <c r="B25" s="3" t="s">
        <v>139</v>
      </c>
      <c r="C25" s="3" t="s">
        <v>86</v>
      </c>
      <c r="D25" s="3" t="s">
        <v>140</v>
      </c>
      <c r="E25" s="3" t="s">
        <v>141</v>
      </c>
      <c r="F25" s="3" t="s">
        <v>78</v>
      </c>
      <c r="G25" s="3" t="s">
        <v>83</v>
      </c>
      <c r="H25" s="3">
        <v>5</v>
      </c>
      <c r="I25" s="3">
        <v>5</v>
      </c>
      <c r="J25" s="3">
        <v>5</v>
      </c>
      <c r="K25" s="3">
        <v>5</v>
      </c>
      <c r="L25" s="3">
        <v>5</v>
      </c>
      <c r="M25" s="3">
        <v>5</v>
      </c>
      <c r="N25" s="3">
        <v>5</v>
      </c>
      <c r="O25" s="3">
        <v>5</v>
      </c>
      <c r="P25" s="3">
        <v>5</v>
      </c>
      <c r="Q25" s="3">
        <v>4</v>
      </c>
      <c r="R25" s="3">
        <v>4</v>
      </c>
      <c r="S25" s="3">
        <v>4</v>
      </c>
      <c r="T25" s="3">
        <v>4</v>
      </c>
      <c r="U25" s="3">
        <v>4</v>
      </c>
      <c r="V25" s="3">
        <v>4</v>
      </c>
      <c r="W25" s="3">
        <v>4</v>
      </c>
      <c r="X25" s="3">
        <v>4</v>
      </c>
      <c r="Y25" s="3">
        <v>4</v>
      </c>
      <c r="Z25" s="3">
        <v>4</v>
      </c>
      <c r="AA25" s="3">
        <v>4</v>
      </c>
      <c r="AB25" s="3">
        <v>4</v>
      </c>
      <c r="AC25" s="3">
        <v>4</v>
      </c>
      <c r="AD25" s="3">
        <v>4</v>
      </c>
      <c r="AE25" s="3">
        <v>4</v>
      </c>
      <c r="AF25" s="3">
        <v>4</v>
      </c>
      <c r="AG25" s="3">
        <v>4</v>
      </c>
      <c r="AH25" s="3">
        <v>4</v>
      </c>
      <c r="AI25" s="3">
        <v>4</v>
      </c>
      <c r="AJ25" s="3">
        <v>4</v>
      </c>
      <c r="AK25" s="3">
        <v>4</v>
      </c>
      <c r="AL25" s="3">
        <v>4</v>
      </c>
      <c r="AM25" s="3">
        <v>4</v>
      </c>
      <c r="AN25" s="3">
        <v>3</v>
      </c>
      <c r="AO25" s="3">
        <v>3</v>
      </c>
      <c r="AP25" s="3">
        <v>3</v>
      </c>
      <c r="AQ25" s="3">
        <v>3</v>
      </c>
      <c r="AR25" s="3">
        <v>3</v>
      </c>
      <c r="AS25" s="3">
        <v>3</v>
      </c>
      <c r="AT25" s="3">
        <v>3</v>
      </c>
      <c r="AU25" s="3">
        <v>3</v>
      </c>
      <c r="AV25" s="3">
        <v>3</v>
      </c>
      <c r="AW25" s="3">
        <v>4</v>
      </c>
      <c r="AX25" s="3">
        <v>4</v>
      </c>
      <c r="AY25" s="3">
        <v>4</v>
      </c>
      <c r="AZ25" s="3">
        <v>4</v>
      </c>
      <c r="BA25" s="3">
        <v>3</v>
      </c>
      <c r="BB25" s="3">
        <v>3</v>
      </c>
      <c r="BC25" s="3">
        <v>3</v>
      </c>
      <c r="BD25" s="3">
        <v>3</v>
      </c>
      <c r="BE25" s="3">
        <v>3</v>
      </c>
      <c r="BF25" s="3">
        <v>3</v>
      </c>
      <c r="BG25" s="3">
        <v>4</v>
      </c>
      <c r="BH25" s="3">
        <v>4</v>
      </c>
      <c r="BI25" s="3">
        <v>4</v>
      </c>
      <c r="BJ25" s="3">
        <v>4</v>
      </c>
      <c r="BK25" s="3">
        <v>4</v>
      </c>
      <c r="BL25" s="3">
        <v>4</v>
      </c>
      <c r="BM25" s="3">
        <v>4</v>
      </c>
      <c r="BN25" s="3">
        <v>4</v>
      </c>
      <c r="BO25" s="3">
        <v>4</v>
      </c>
      <c r="BP25" s="3" t="s">
        <v>142</v>
      </c>
    </row>
    <row r="26" spans="1:68" ht="22.5" customHeight="1" x14ac:dyDescent="0.25">
      <c r="A26" s="2">
        <v>45966.712143449069</v>
      </c>
      <c r="C26" s="3" t="s">
        <v>86</v>
      </c>
      <c r="D26" s="3" t="s">
        <v>143</v>
      </c>
      <c r="E26" s="3" t="s">
        <v>71</v>
      </c>
      <c r="F26" s="3" t="s">
        <v>72</v>
      </c>
      <c r="G26" s="3" t="s">
        <v>73</v>
      </c>
      <c r="H26" s="3">
        <v>5</v>
      </c>
      <c r="I26" s="3">
        <v>5</v>
      </c>
      <c r="J26" s="3">
        <v>3</v>
      </c>
      <c r="K26" s="3">
        <v>4</v>
      </c>
      <c r="L26" s="3">
        <v>4</v>
      </c>
      <c r="M26" s="3">
        <v>3</v>
      </c>
      <c r="N26" s="3">
        <v>3</v>
      </c>
      <c r="O26" s="3">
        <v>4</v>
      </c>
      <c r="P26" s="3">
        <v>5</v>
      </c>
      <c r="Q26" s="3">
        <v>4</v>
      </c>
      <c r="R26" s="3">
        <v>4</v>
      </c>
      <c r="S26" s="3">
        <v>4</v>
      </c>
      <c r="T26" s="3">
        <v>5</v>
      </c>
      <c r="U26" s="3">
        <v>4</v>
      </c>
      <c r="V26" s="3">
        <v>3</v>
      </c>
      <c r="W26" s="3">
        <v>3</v>
      </c>
      <c r="X26" s="3">
        <v>4</v>
      </c>
      <c r="Y26" s="3">
        <v>3</v>
      </c>
      <c r="Z26" s="3">
        <v>4</v>
      </c>
      <c r="AA26" s="3">
        <v>4</v>
      </c>
      <c r="AB26" s="3">
        <v>2</v>
      </c>
      <c r="AC26" s="3">
        <v>2</v>
      </c>
      <c r="AD26" s="3">
        <v>4</v>
      </c>
      <c r="AE26" s="3">
        <v>4</v>
      </c>
      <c r="AF26" s="3">
        <v>3</v>
      </c>
      <c r="AG26" s="3">
        <v>4</v>
      </c>
      <c r="AH26" s="3">
        <v>3</v>
      </c>
      <c r="AI26" s="3">
        <v>4</v>
      </c>
      <c r="AJ26" s="3">
        <v>4</v>
      </c>
      <c r="AK26" s="3">
        <v>4</v>
      </c>
      <c r="AL26" s="3">
        <v>4</v>
      </c>
      <c r="AM26" s="3">
        <v>5</v>
      </c>
      <c r="AN26" s="3">
        <v>4</v>
      </c>
      <c r="AO26" s="3">
        <v>4</v>
      </c>
      <c r="AP26" s="3">
        <v>4</v>
      </c>
      <c r="AQ26" s="3">
        <v>4</v>
      </c>
      <c r="AR26" s="3">
        <v>4</v>
      </c>
      <c r="AS26" s="3">
        <v>4</v>
      </c>
      <c r="AT26" s="3">
        <v>4</v>
      </c>
      <c r="AU26" s="3">
        <v>3</v>
      </c>
      <c r="AV26" s="3">
        <v>4</v>
      </c>
      <c r="AW26" s="3">
        <v>4</v>
      </c>
      <c r="AX26" s="3">
        <v>4</v>
      </c>
      <c r="AY26" s="3">
        <v>4</v>
      </c>
      <c r="AZ26" s="3">
        <v>4</v>
      </c>
      <c r="BA26" s="3">
        <v>4</v>
      </c>
      <c r="BB26" s="3">
        <v>2</v>
      </c>
      <c r="BC26" s="3">
        <v>4</v>
      </c>
      <c r="BD26" s="3">
        <v>4</v>
      </c>
      <c r="BE26" s="3">
        <v>4</v>
      </c>
      <c r="BF26" s="3">
        <v>2</v>
      </c>
      <c r="BG26" s="3">
        <v>4</v>
      </c>
      <c r="BH26" s="3">
        <v>4</v>
      </c>
      <c r="BI26" s="3">
        <v>4</v>
      </c>
      <c r="BJ26" s="3">
        <v>4</v>
      </c>
      <c r="BK26" s="3">
        <v>4</v>
      </c>
      <c r="BL26" s="3">
        <v>4</v>
      </c>
      <c r="BM26" s="3">
        <v>4</v>
      </c>
      <c r="BN26" s="3">
        <v>5</v>
      </c>
      <c r="BO26" s="3">
        <v>5</v>
      </c>
      <c r="BP26" s="3" t="s">
        <v>144</v>
      </c>
    </row>
    <row r="27" spans="1:68" ht="22.5" customHeight="1" x14ac:dyDescent="0.25">
      <c r="A27" s="2">
        <v>45966.713640567134</v>
      </c>
      <c r="B27" s="3" t="s">
        <v>145</v>
      </c>
      <c r="C27" s="3" t="s">
        <v>86</v>
      </c>
      <c r="D27" s="3" t="s">
        <v>134</v>
      </c>
      <c r="E27" s="3" t="s">
        <v>141</v>
      </c>
      <c r="F27" s="3" t="s">
        <v>78</v>
      </c>
      <c r="G27" s="3" t="s">
        <v>79</v>
      </c>
      <c r="H27" s="3">
        <v>5</v>
      </c>
      <c r="I27" s="3">
        <v>5</v>
      </c>
      <c r="J27" s="3">
        <v>5</v>
      </c>
      <c r="K27" s="3">
        <v>3</v>
      </c>
      <c r="L27" s="3">
        <v>5</v>
      </c>
      <c r="M27" s="3">
        <v>4</v>
      </c>
      <c r="N27" s="3">
        <v>4</v>
      </c>
      <c r="O27" s="3">
        <v>4</v>
      </c>
      <c r="P27" s="3">
        <v>5</v>
      </c>
      <c r="Q27" s="3">
        <v>5</v>
      </c>
      <c r="R27" s="3">
        <v>5</v>
      </c>
      <c r="S27" s="3">
        <v>5</v>
      </c>
      <c r="T27" s="3">
        <v>5</v>
      </c>
      <c r="U27" s="3">
        <v>5</v>
      </c>
      <c r="V27" s="3">
        <v>4</v>
      </c>
      <c r="W27" s="3">
        <v>4</v>
      </c>
      <c r="X27" s="3">
        <v>4</v>
      </c>
      <c r="Y27" s="3">
        <v>4</v>
      </c>
      <c r="Z27" s="3">
        <v>4</v>
      </c>
      <c r="AA27" s="3">
        <v>4</v>
      </c>
      <c r="AB27" s="3">
        <v>4</v>
      </c>
      <c r="AC27" s="3">
        <v>4</v>
      </c>
      <c r="AD27" s="3">
        <v>4</v>
      </c>
      <c r="AE27" s="3">
        <v>4</v>
      </c>
      <c r="AF27" s="3">
        <v>4</v>
      </c>
      <c r="AG27" s="3">
        <v>4</v>
      </c>
      <c r="AH27" s="3">
        <v>4</v>
      </c>
      <c r="AI27" s="3">
        <v>4</v>
      </c>
      <c r="AJ27" s="3">
        <v>4</v>
      </c>
      <c r="AK27" s="3">
        <v>4</v>
      </c>
      <c r="AL27" s="3">
        <v>4</v>
      </c>
      <c r="AM27" s="3">
        <v>4</v>
      </c>
      <c r="AN27" s="3">
        <v>4</v>
      </c>
      <c r="AO27" s="3">
        <v>4</v>
      </c>
      <c r="AP27" s="3">
        <v>4</v>
      </c>
      <c r="AQ27" s="3">
        <v>4</v>
      </c>
      <c r="AR27" s="3">
        <v>4</v>
      </c>
      <c r="AS27" s="3">
        <v>4</v>
      </c>
      <c r="AT27" s="3">
        <v>4</v>
      </c>
      <c r="AU27" s="3">
        <v>4</v>
      </c>
      <c r="AV27" s="3">
        <v>4</v>
      </c>
      <c r="AW27" s="3">
        <v>4</v>
      </c>
      <c r="AX27" s="3">
        <v>4</v>
      </c>
      <c r="AY27" s="3">
        <v>4</v>
      </c>
      <c r="AZ27" s="3">
        <v>4</v>
      </c>
      <c r="BA27" s="3">
        <v>4</v>
      </c>
      <c r="BB27" s="3">
        <v>4</v>
      </c>
      <c r="BC27" s="3">
        <v>4</v>
      </c>
      <c r="BD27" s="3">
        <v>4</v>
      </c>
      <c r="BE27" s="3">
        <v>4</v>
      </c>
      <c r="BF27" s="3">
        <v>4</v>
      </c>
      <c r="BG27" s="3">
        <v>4</v>
      </c>
      <c r="BH27" s="3">
        <v>4</v>
      </c>
      <c r="BI27" s="3">
        <v>4</v>
      </c>
      <c r="BJ27" s="3">
        <v>4</v>
      </c>
      <c r="BK27" s="3">
        <v>4</v>
      </c>
      <c r="BL27" s="3">
        <v>4</v>
      </c>
      <c r="BM27" s="3">
        <v>5</v>
      </c>
      <c r="BN27" s="3">
        <v>5</v>
      </c>
      <c r="BO27" s="3">
        <v>4</v>
      </c>
      <c r="BP27" s="3" t="s">
        <v>146</v>
      </c>
    </row>
    <row r="28" spans="1:68" ht="22.5" customHeight="1" x14ac:dyDescent="0.25">
      <c r="A28" s="2">
        <v>45966.714628668982</v>
      </c>
      <c r="B28" s="3" t="s">
        <v>147</v>
      </c>
      <c r="C28" s="3" t="s">
        <v>86</v>
      </c>
      <c r="D28" s="3" t="s">
        <v>148</v>
      </c>
      <c r="E28" s="3" t="s">
        <v>119</v>
      </c>
      <c r="F28" s="3" t="s">
        <v>88</v>
      </c>
      <c r="G28" s="3" t="s">
        <v>83</v>
      </c>
      <c r="H28" s="3">
        <v>5</v>
      </c>
      <c r="I28" s="3">
        <v>5</v>
      </c>
      <c r="J28" s="3">
        <v>4</v>
      </c>
      <c r="K28" s="3">
        <v>5</v>
      </c>
      <c r="L28" s="3">
        <v>5</v>
      </c>
      <c r="M28" s="3">
        <v>3</v>
      </c>
      <c r="N28" s="3">
        <v>5</v>
      </c>
      <c r="O28" s="3">
        <v>5</v>
      </c>
      <c r="P28" s="3">
        <v>5</v>
      </c>
      <c r="Q28" s="3">
        <v>5</v>
      </c>
      <c r="R28" s="3">
        <v>5</v>
      </c>
      <c r="S28" s="3">
        <v>5</v>
      </c>
      <c r="T28" s="3">
        <v>5</v>
      </c>
      <c r="U28" s="3">
        <v>5</v>
      </c>
      <c r="V28" s="3">
        <v>5</v>
      </c>
      <c r="W28" s="3">
        <v>5</v>
      </c>
      <c r="X28" s="3">
        <v>5</v>
      </c>
      <c r="Y28" s="3">
        <v>5</v>
      </c>
      <c r="Z28" s="3">
        <v>5</v>
      </c>
      <c r="AA28" s="3">
        <v>5</v>
      </c>
      <c r="AB28" s="3">
        <v>3</v>
      </c>
      <c r="AC28" s="3">
        <v>3</v>
      </c>
      <c r="AD28" s="3">
        <v>5</v>
      </c>
      <c r="AE28" s="3">
        <v>4</v>
      </c>
      <c r="AF28" s="3">
        <v>4</v>
      </c>
      <c r="AG28" s="3">
        <v>4</v>
      </c>
      <c r="AH28" s="3">
        <v>4</v>
      </c>
      <c r="AI28" s="3">
        <v>4</v>
      </c>
      <c r="AJ28" s="3">
        <v>4</v>
      </c>
      <c r="AK28" s="3">
        <v>3</v>
      </c>
      <c r="AL28" s="3">
        <v>4</v>
      </c>
      <c r="AM28" s="3">
        <v>3</v>
      </c>
      <c r="AN28" s="3">
        <v>4</v>
      </c>
      <c r="AO28" s="3">
        <v>4</v>
      </c>
      <c r="AP28" s="3">
        <v>4</v>
      </c>
      <c r="AQ28" s="3">
        <v>3</v>
      </c>
      <c r="AR28" s="3">
        <v>4</v>
      </c>
      <c r="AS28" s="3">
        <v>4</v>
      </c>
      <c r="AT28" s="3">
        <v>4</v>
      </c>
      <c r="AU28" s="3">
        <v>4</v>
      </c>
      <c r="AV28" s="3">
        <v>4</v>
      </c>
      <c r="AW28" s="3">
        <v>5</v>
      </c>
      <c r="AX28" s="3">
        <v>5</v>
      </c>
      <c r="AY28" s="3">
        <v>5</v>
      </c>
      <c r="AZ28" s="3">
        <v>5</v>
      </c>
      <c r="BA28" s="3">
        <v>4</v>
      </c>
      <c r="BB28" s="3">
        <v>4</v>
      </c>
      <c r="BC28" s="3">
        <v>4</v>
      </c>
      <c r="BD28" s="3">
        <v>4</v>
      </c>
      <c r="BE28" s="3">
        <v>4</v>
      </c>
      <c r="BF28" s="3">
        <v>4</v>
      </c>
      <c r="BG28" s="3">
        <v>4</v>
      </c>
      <c r="BH28" s="3">
        <v>4</v>
      </c>
      <c r="BI28" s="3">
        <v>4</v>
      </c>
      <c r="BJ28" s="3">
        <v>5</v>
      </c>
      <c r="BK28" s="3">
        <v>4</v>
      </c>
      <c r="BL28" s="3">
        <v>5</v>
      </c>
      <c r="BM28" s="3">
        <v>5</v>
      </c>
      <c r="BN28" s="3">
        <v>5</v>
      </c>
      <c r="BO28" s="3">
        <v>5</v>
      </c>
      <c r="BP28" s="3" t="s">
        <v>149</v>
      </c>
    </row>
    <row r="29" spans="1:68" ht="22.5" customHeight="1" x14ac:dyDescent="0.25">
      <c r="A29" s="2">
        <v>45966.715832581016</v>
      </c>
      <c r="B29" s="3" t="s">
        <v>150</v>
      </c>
      <c r="C29" s="3" t="s">
        <v>69</v>
      </c>
      <c r="D29" s="3" t="s">
        <v>151</v>
      </c>
      <c r="E29" s="3" t="s">
        <v>87</v>
      </c>
      <c r="F29" s="3" t="s">
        <v>88</v>
      </c>
      <c r="G29" s="3" t="s">
        <v>83</v>
      </c>
      <c r="H29" s="3">
        <v>4</v>
      </c>
      <c r="I29" s="3">
        <v>4</v>
      </c>
      <c r="J29" s="3">
        <v>4</v>
      </c>
      <c r="K29" s="3">
        <v>4</v>
      </c>
      <c r="L29" s="3">
        <v>5</v>
      </c>
      <c r="M29" s="3">
        <v>4</v>
      </c>
      <c r="N29" s="3">
        <v>4</v>
      </c>
      <c r="O29" s="3">
        <v>5</v>
      </c>
      <c r="P29" s="3">
        <v>5</v>
      </c>
      <c r="Q29" s="3">
        <v>5</v>
      </c>
      <c r="R29" s="3">
        <v>5</v>
      </c>
      <c r="S29" s="3">
        <v>5</v>
      </c>
      <c r="T29" s="3">
        <v>5</v>
      </c>
      <c r="U29" s="3">
        <v>5</v>
      </c>
      <c r="V29" s="3">
        <v>4</v>
      </c>
      <c r="W29" s="3">
        <v>4</v>
      </c>
      <c r="X29" s="3">
        <v>4</v>
      </c>
      <c r="Y29" s="3">
        <v>4</v>
      </c>
      <c r="Z29" s="3">
        <v>4</v>
      </c>
      <c r="AA29" s="3">
        <v>5</v>
      </c>
      <c r="AB29" s="3">
        <v>4</v>
      </c>
      <c r="AC29" s="3">
        <v>3</v>
      </c>
      <c r="AD29" s="3">
        <v>4</v>
      </c>
      <c r="AE29" s="3">
        <v>5</v>
      </c>
      <c r="AF29" s="3">
        <v>4</v>
      </c>
      <c r="AG29" s="3">
        <v>5</v>
      </c>
      <c r="AH29" s="3">
        <v>5</v>
      </c>
      <c r="AI29" s="3">
        <v>4</v>
      </c>
      <c r="AJ29" s="3">
        <v>5</v>
      </c>
      <c r="AK29" s="3">
        <v>5</v>
      </c>
      <c r="AL29" s="3">
        <v>4</v>
      </c>
      <c r="AM29" s="3">
        <v>4</v>
      </c>
      <c r="AN29" s="3">
        <v>4</v>
      </c>
      <c r="AO29" s="3">
        <v>4</v>
      </c>
      <c r="AP29" s="3">
        <v>4</v>
      </c>
      <c r="AQ29" s="3">
        <v>3</v>
      </c>
      <c r="AR29" s="3">
        <v>2</v>
      </c>
      <c r="AS29" s="3">
        <v>3</v>
      </c>
      <c r="AT29" s="3">
        <v>4</v>
      </c>
      <c r="AU29" s="3">
        <v>4</v>
      </c>
      <c r="AV29" s="3">
        <v>5</v>
      </c>
      <c r="AW29" s="3">
        <v>5</v>
      </c>
      <c r="AX29" s="3">
        <v>5</v>
      </c>
      <c r="AY29" s="3">
        <v>5</v>
      </c>
      <c r="AZ29" s="3">
        <v>5</v>
      </c>
      <c r="BA29" s="3">
        <v>5</v>
      </c>
      <c r="BB29" s="3">
        <v>4</v>
      </c>
      <c r="BC29" s="3">
        <v>4</v>
      </c>
      <c r="BD29" s="3">
        <v>2</v>
      </c>
      <c r="BE29" s="3">
        <v>3</v>
      </c>
      <c r="BF29" s="3">
        <v>3</v>
      </c>
      <c r="BG29" s="3">
        <v>4</v>
      </c>
      <c r="BH29" s="3">
        <v>4</v>
      </c>
      <c r="BI29" s="3">
        <v>4</v>
      </c>
      <c r="BJ29" s="3">
        <v>4</v>
      </c>
      <c r="BK29" s="3">
        <v>4</v>
      </c>
      <c r="BL29" s="3">
        <v>4</v>
      </c>
      <c r="BM29" s="3">
        <v>5</v>
      </c>
      <c r="BN29" s="3">
        <v>4</v>
      </c>
      <c r="BO29" s="3">
        <v>5</v>
      </c>
      <c r="BP29" s="3" t="s">
        <v>152</v>
      </c>
    </row>
    <row r="30" spans="1:68" ht="22.5" customHeight="1" x14ac:dyDescent="0.25">
      <c r="A30" s="2">
        <v>45966.716450277774</v>
      </c>
      <c r="B30" s="3" t="s">
        <v>153</v>
      </c>
      <c r="C30" s="3" t="s">
        <v>86</v>
      </c>
      <c r="D30" s="3" t="s">
        <v>154</v>
      </c>
      <c r="E30" s="3" t="s">
        <v>119</v>
      </c>
      <c r="F30" s="3" t="s">
        <v>82</v>
      </c>
      <c r="G30" s="3" t="s">
        <v>91</v>
      </c>
      <c r="H30" s="3">
        <v>5</v>
      </c>
      <c r="I30" s="3">
        <v>5</v>
      </c>
      <c r="J30" s="3">
        <v>5</v>
      </c>
      <c r="K30" s="3">
        <v>3</v>
      </c>
      <c r="L30" s="3">
        <v>5</v>
      </c>
      <c r="M30" s="3">
        <v>4</v>
      </c>
      <c r="N30" s="3">
        <v>4</v>
      </c>
      <c r="O30" s="3">
        <v>4</v>
      </c>
      <c r="P30" s="3">
        <v>5</v>
      </c>
      <c r="Q30" s="3">
        <v>5</v>
      </c>
      <c r="R30" s="3">
        <v>5</v>
      </c>
      <c r="S30" s="3">
        <v>5</v>
      </c>
      <c r="T30" s="3">
        <v>5</v>
      </c>
      <c r="U30" s="3">
        <v>5</v>
      </c>
      <c r="V30" s="3">
        <v>4</v>
      </c>
      <c r="W30" s="3">
        <v>4</v>
      </c>
      <c r="X30" s="3">
        <v>4</v>
      </c>
      <c r="Y30" s="3">
        <v>3</v>
      </c>
      <c r="Z30" s="3">
        <v>3</v>
      </c>
      <c r="AA30" s="3">
        <v>4</v>
      </c>
      <c r="AB30" s="3">
        <v>4</v>
      </c>
      <c r="AC30" s="3">
        <v>4</v>
      </c>
      <c r="AD30" s="3">
        <v>5</v>
      </c>
      <c r="AE30" s="3">
        <v>4</v>
      </c>
      <c r="AF30" s="3">
        <v>4</v>
      </c>
      <c r="AG30" s="3">
        <v>4</v>
      </c>
      <c r="AH30" s="3">
        <v>3</v>
      </c>
      <c r="AI30" s="3">
        <v>4</v>
      </c>
      <c r="AJ30" s="3">
        <v>4</v>
      </c>
      <c r="AK30" s="3">
        <v>5</v>
      </c>
      <c r="AL30" s="3">
        <v>5</v>
      </c>
      <c r="AM30" s="3">
        <v>5</v>
      </c>
      <c r="AN30" s="3">
        <v>4</v>
      </c>
      <c r="AO30" s="3">
        <v>4</v>
      </c>
      <c r="AP30" s="3">
        <v>4</v>
      </c>
      <c r="AQ30" s="3">
        <v>3</v>
      </c>
      <c r="AR30" s="3">
        <v>4</v>
      </c>
      <c r="AS30" s="3">
        <v>4</v>
      </c>
      <c r="AT30" s="3">
        <v>4</v>
      </c>
      <c r="AU30" s="3">
        <v>4</v>
      </c>
      <c r="AV30" s="3">
        <v>4</v>
      </c>
      <c r="AW30" s="3">
        <v>5</v>
      </c>
      <c r="AX30" s="3">
        <v>5</v>
      </c>
      <c r="AY30" s="3">
        <v>5</v>
      </c>
      <c r="AZ30" s="3">
        <v>5</v>
      </c>
      <c r="BA30" s="3">
        <v>4</v>
      </c>
      <c r="BB30" s="3">
        <v>4</v>
      </c>
      <c r="BC30" s="3">
        <v>3</v>
      </c>
      <c r="BD30" s="3">
        <v>3</v>
      </c>
      <c r="BE30" s="3">
        <v>3</v>
      </c>
      <c r="BF30" s="3">
        <v>3</v>
      </c>
      <c r="BG30" s="3">
        <v>4</v>
      </c>
      <c r="BH30" s="3">
        <v>4</v>
      </c>
      <c r="BI30" s="3">
        <v>4</v>
      </c>
      <c r="BJ30" s="3">
        <v>4</v>
      </c>
      <c r="BK30" s="3">
        <v>4</v>
      </c>
      <c r="BL30" s="3">
        <v>4</v>
      </c>
      <c r="BM30" s="3">
        <v>4</v>
      </c>
      <c r="BN30" s="3">
        <v>4</v>
      </c>
      <c r="BO30" s="3">
        <v>4</v>
      </c>
      <c r="BP30" s="3" t="s">
        <v>155</v>
      </c>
    </row>
    <row r="31" spans="1:68" ht="22.5" customHeight="1" x14ac:dyDescent="0.25">
      <c r="A31" s="2">
        <v>45966.717598912037</v>
      </c>
      <c r="B31" s="3" t="s">
        <v>156</v>
      </c>
      <c r="C31" s="3" t="s">
        <v>69</v>
      </c>
      <c r="D31" s="3" t="s">
        <v>157</v>
      </c>
      <c r="E31" s="3" t="s">
        <v>119</v>
      </c>
      <c r="F31" s="3" t="s">
        <v>82</v>
      </c>
      <c r="G31" s="3" t="s">
        <v>83</v>
      </c>
      <c r="H31" s="3">
        <v>5</v>
      </c>
      <c r="I31" s="3">
        <v>4</v>
      </c>
      <c r="J31" s="3">
        <v>4</v>
      </c>
      <c r="K31" s="3">
        <v>3</v>
      </c>
      <c r="L31" s="3">
        <v>4</v>
      </c>
      <c r="M31" s="3">
        <v>3</v>
      </c>
      <c r="N31" s="3">
        <v>3</v>
      </c>
      <c r="O31" s="3">
        <v>4</v>
      </c>
      <c r="P31" s="3">
        <v>4</v>
      </c>
      <c r="Q31" s="3">
        <v>4</v>
      </c>
      <c r="R31" s="3">
        <v>4</v>
      </c>
      <c r="S31" s="3">
        <v>5</v>
      </c>
      <c r="T31" s="3">
        <v>4</v>
      </c>
      <c r="U31" s="3">
        <v>5</v>
      </c>
      <c r="V31" s="3">
        <v>3</v>
      </c>
      <c r="W31" s="3">
        <v>3</v>
      </c>
      <c r="X31" s="3">
        <v>3</v>
      </c>
      <c r="Y31" s="3">
        <v>4</v>
      </c>
      <c r="Z31" s="3">
        <v>4</v>
      </c>
      <c r="AA31" s="3">
        <v>4</v>
      </c>
      <c r="AB31" s="3">
        <v>4</v>
      </c>
      <c r="AC31" s="3">
        <v>4</v>
      </c>
      <c r="AD31" s="3">
        <v>4</v>
      </c>
      <c r="AE31" s="3">
        <v>4</v>
      </c>
      <c r="AF31" s="3">
        <v>4</v>
      </c>
      <c r="AG31" s="3">
        <v>4</v>
      </c>
      <c r="AH31" s="3">
        <v>4</v>
      </c>
      <c r="AI31" s="3">
        <v>4</v>
      </c>
      <c r="AJ31" s="3">
        <v>4</v>
      </c>
      <c r="AK31" s="3">
        <v>4</v>
      </c>
      <c r="AL31" s="3">
        <v>4</v>
      </c>
      <c r="AM31" s="3">
        <v>4</v>
      </c>
      <c r="AN31" s="3">
        <v>4</v>
      </c>
      <c r="AO31" s="3">
        <v>4</v>
      </c>
      <c r="AP31" s="3">
        <v>4</v>
      </c>
      <c r="AQ31" s="3">
        <v>4</v>
      </c>
      <c r="AR31" s="3">
        <v>4</v>
      </c>
      <c r="AS31" s="3">
        <v>3</v>
      </c>
      <c r="AT31" s="3">
        <v>4</v>
      </c>
      <c r="AU31" s="3">
        <v>4</v>
      </c>
      <c r="AV31" s="3">
        <v>4</v>
      </c>
      <c r="AW31" s="3">
        <v>4</v>
      </c>
      <c r="AX31" s="3">
        <v>4</v>
      </c>
      <c r="AY31" s="3">
        <v>4</v>
      </c>
      <c r="AZ31" s="3">
        <v>4</v>
      </c>
      <c r="BA31" s="3">
        <v>3</v>
      </c>
      <c r="BB31" s="3">
        <v>3</v>
      </c>
      <c r="BC31" s="3">
        <v>3</v>
      </c>
      <c r="BD31" s="3">
        <v>3</v>
      </c>
      <c r="BE31" s="3">
        <v>3</v>
      </c>
      <c r="BF31" s="3">
        <v>3</v>
      </c>
      <c r="BG31" s="3">
        <v>4</v>
      </c>
      <c r="BH31" s="3">
        <v>4</v>
      </c>
      <c r="BI31" s="3">
        <v>4</v>
      </c>
      <c r="BJ31" s="3">
        <v>4</v>
      </c>
      <c r="BK31" s="3">
        <v>4</v>
      </c>
      <c r="BL31" s="3">
        <v>4</v>
      </c>
      <c r="BM31" s="3">
        <v>4</v>
      </c>
      <c r="BN31" s="3">
        <v>3</v>
      </c>
      <c r="BO31" s="3">
        <v>5</v>
      </c>
      <c r="BP31" s="3" t="s">
        <v>158</v>
      </c>
    </row>
    <row r="32" spans="1:68" ht="22.5" customHeight="1" x14ac:dyDescent="0.25">
      <c r="A32" s="2">
        <v>45966.71786290509</v>
      </c>
      <c r="B32" s="3" t="s">
        <v>159</v>
      </c>
      <c r="C32" s="3" t="s">
        <v>86</v>
      </c>
      <c r="D32" s="3" t="s">
        <v>160</v>
      </c>
      <c r="E32" s="3" t="s">
        <v>77</v>
      </c>
      <c r="F32" s="3" t="s">
        <v>78</v>
      </c>
      <c r="G32" s="3" t="s">
        <v>83</v>
      </c>
      <c r="H32" s="3">
        <v>5</v>
      </c>
      <c r="I32" s="3">
        <v>5</v>
      </c>
      <c r="J32" s="3">
        <v>5</v>
      </c>
      <c r="K32" s="3">
        <v>4</v>
      </c>
      <c r="L32" s="3">
        <v>5</v>
      </c>
      <c r="M32" s="3">
        <v>4</v>
      </c>
      <c r="N32" s="3">
        <v>4</v>
      </c>
      <c r="O32" s="3">
        <v>4</v>
      </c>
      <c r="P32" s="3">
        <v>5</v>
      </c>
      <c r="Q32" s="3">
        <v>5</v>
      </c>
      <c r="R32" s="3">
        <v>5</v>
      </c>
      <c r="S32" s="3">
        <v>5</v>
      </c>
      <c r="T32" s="3">
        <v>5</v>
      </c>
      <c r="U32" s="3">
        <v>5</v>
      </c>
      <c r="V32" s="3">
        <v>4</v>
      </c>
      <c r="W32" s="3">
        <v>4</v>
      </c>
      <c r="X32" s="3">
        <v>3</v>
      </c>
      <c r="Y32" s="3">
        <v>4</v>
      </c>
      <c r="Z32" s="3">
        <v>4</v>
      </c>
      <c r="AA32" s="3">
        <v>5</v>
      </c>
      <c r="AB32" s="3">
        <v>4</v>
      </c>
      <c r="AC32" s="3">
        <v>4</v>
      </c>
      <c r="AD32" s="3">
        <v>5</v>
      </c>
      <c r="AE32" s="3">
        <v>4</v>
      </c>
      <c r="AF32" s="3">
        <v>4</v>
      </c>
      <c r="AG32" s="3">
        <v>5</v>
      </c>
      <c r="AH32" s="3">
        <v>4</v>
      </c>
      <c r="AI32" s="3">
        <v>4</v>
      </c>
      <c r="AJ32" s="3">
        <v>4</v>
      </c>
      <c r="AK32" s="3">
        <v>4</v>
      </c>
      <c r="AL32" s="3">
        <v>4</v>
      </c>
      <c r="AM32" s="3">
        <v>4</v>
      </c>
      <c r="AN32" s="3">
        <v>4</v>
      </c>
      <c r="AO32" s="3">
        <v>4</v>
      </c>
      <c r="AP32" s="3">
        <v>4</v>
      </c>
      <c r="AQ32" s="3">
        <v>4</v>
      </c>
      <c r="AR32" s="3">
        <v>4</v>
      </c>
      <c r="AS32" s="3">
        <v>3</v>
      </c>
      <c r="AT32" s="3">
        <v>4</v>
      </c>
      <c r="AU32" s="3">
        <v>4</v>
      </c>
      <c r="AV32" s="3">
        <v>4</v>
      </c>
      <c r="AW32" s="3">
        <v>5</v>
      </c>
      <c r="AX32" s="3">
        <v>5</v>
      </c>
      <c r="AY32" s="3">
        <v>5</v>
      </c>
      <c r="AZ32" s="3">
        <v>5</v>
      </c>
      <c r="BA32" s="3">
        <v>3</v>
      </c>
      <c r="BB32" s="3">
        <v>3</v>
      </c>
      <c r="BC32" s="3">
        <v>2</v>
      </c>
      <c r="BD32" s="3">
        <v>2</v>
      </c>
      <c r="BE32" s="3">
        <v>2</v>
      </c>
      <c r="BF32" s="3">
        <v>2</v>
      </c>
      <c r="BG32" s="3">
        <v>4</v>
      </c>
      <c r="BH32" s="3">
        <v>4</v>
      </c>
      <c r="BI32" s="3">
        <v>4</v>
      </c>
      <c r="BJ32" s="3">
        <v>5</v>
      </c>
      <c r="BK32" s="3">
        <v>5</v>
      </c>
      <c r="BL32" s="3">
        <v>5</v>
      </c>
      <c r="BM32" s="3">
        <v>5</v>
      </c>
      <c r="BN32" s="3">
        <v>5</v>
      </c>
      <c r="BO32" s="3">
        <v>5</v>
      </c>
      <c r="BP32" s="3" t="s">
        <v>161</v>
      </c>
    </row>
    <row r="33" spans="1:68" ht="22.5" customHeight="1" x14ac:dyDescent="0.25">
      <c r="A33" s="2">
        <v>45966.721141296293</v>
      </c>
      <c r="B33" s="3" t="s">
        <v>162</v>
      </c>
      <c r="C33" s="3" t="s">
        <v>69</v>
      </c>
      <c r="D33" s="3" t="s">
        <v>163</v>
      </c>
      <c r="E33" s="3" t="s">
        <v>164</v>
      </c>
      <c r="F33" s="3" t="s">
        <v>88</v>
      </c>
      <c r="G33" s="3" t="s">
        <v>91</v>
      </c>
      <c r="H33" s="3">
        <v>5</v>
      </c>
      <c r="I33" s="3">
        <v>4</v>
      </c>
      <c r="J33" s="3">
        <v>4</v>
      </c>
      <c r="K33" s="3">
        <v>5</v>
      </c>
      <c r="L33" s="3">
        <v>5</v>
      </c>
      <c r="M33" s="3">
        <v>5</v>
      </c>
      <c r="N33" s="3">
        <v>5</v>
      </c>
      <c r="O33" s="3">
        <v>5</v>
      </c>
      <c r="P33" s="3">
        <v>5</v>
      </c>
      <c r="Q33" s="3">
        <v>4</v>
      </c>
      <c r="R33" s="3">
        <v>4</v>
      </c>
      <c r="S33" s="3">
        <v>4</v>
      </c>
      <c r="T33" s="3">
        <v>5</v>
      </c>
      <c r="U33" s="3">
        <v>4</v>
      </c>
      <c r="V33" s="3">
        <v>4</v>
      </c>
      <c r="W33" s="3">
        <v>4</v>
      </c>
      <c r="X33" s="3">
        <v>4</v>
      </c>
      <c r="Y33" s="3">
        <v>4</v>
      </c>
      <c r="Z33" s="3">
        <v>4</v>
      </c>
      <c r="AA33" s="3">
        <v>3</v>
      </c>
      <c r="AB33" s="3">
        <v>3</v>
      </c>
      <c r="AC33" s="3">
        <v>3</v>
      </c>
      <c r="AD33" s="3">
        <v>5</v>
      </c>
      <c r="AE33" s="3">
        <v>5</v>
      </c>
      <c r="AF33" s="3">
        <v>5</v>
      </c>
      <c r="AG33" s="3">
        <v>5</v>
      </c>
      <c r="AH33" s="3">
        <v>5</v>
      </c>
      <c r="AI33" s="3">
        <v>4</v>
      </c>
      <c r="AJ33" s="3">
        <v>4</v>
      </c>
      <c r="AK33" s="3">
        <v>4</v>
      </c>
      <c r="AL33" s="3">
        <v>5</v>
      </c>
      <c r="AM33" s="3">
        <v>5</v>
      </c>
      <c r="AN33" s="3">
        <v>4</v>
      </c>
      <c r="AO33" s="3">
        <v>3</v>
      </c>
      <c r="AP33" s="3">
        <v>4</v>
      </c>
      <c r="AQ33" s="3">
        <v>3</v>
      </c>
      <c r="AR33" s="3">
        <v>3</v>
      </c>
      <c r="AS33" s="3">
        <v>4</v>
      </c>
      <c r="AT33" s="3">
        <v>3</v>
      </c>
      <c r="AU33" s="3">
        <v>4</v>
      </c>
      <c r="AV33" s="3">
        <v>3</v>
      </c>
      <c r="AW33" s="3">
        <v>5</v>
      </c>
      <c r="AX33" s="3">
        <v>5</v>
      </c>
      <c r="AY33" s="3">
        <v>5</v>
      </c>
      <c r="AZ33" s="3">
        <v>5</v>
      </c>
      <c r="BA33" s="3">
        <v>4</v>
      </c>
      <c r="BB33" s="3">
        <v>4</v>
      </c>
      <c r="BC33" s="3">
        <v>4</v>
      </c>
      <c r="BD33" s="3">
        <v>3</v>
      </c>
      <c r="BE33" s="3">
        <v>4</v>
      </c>
      <c r="BF33" s="3">
        <v>3</v>
      </c>
      <c r="BG33" s="3">
        <v>4</v>
      </c>
      <c r="BH33" s="3">
        <v>4</v>
      </c>
      <c r="BI33" s="3">
        <v>5</v>
      </c>
      <c r="BJ33" s="3">
        <v>5</v>
      </c>
      <c r="BK33" s="3">
        <v>4</v>
      </c>
      <c r="BL33" s="3">
        <v>4</v>
      </c>
      <c r="BM33" s="3">
        <v>4</v>
      </c>
      <c r="BN33" s="3">
        <v>4</v>
      </c>
      <c r="BO33" s="3">
        <v>5</v>
      </c>
      <c r="BP33" s="3" t="s">
        <v>165</v>
      </c>
    </row>
    <row r="34" spans="1:68" ht="22.5" customHeight="1" x14ac:dyDescent="0.25">
      <c r="A34" s="2">
        <v>45966.730856747687</v>
      </c>
      <c r="B34" s="3" t="s">
        <v>166</v>
      </c>
      <c r="C34" s="3" t="s">
        <v>69</v>
      </c>
      <c r="D34" s="3" t="s">
        <v>70</v>
      </c>
      <c r="E34" s="3" t="s">
        <v>119</v>
      </c>
      <c r="F34" s="3" t="s">
        <v>103</v>
      </c>
      <c r="G34" s="3" t="s">
        <v>91</v>
      </c>
      <c r="H34" s="3">
        <v>5</v>
      </c>
      <c r="I34" s="3">
        <v>4</v>
      </c>
      <c r="J34" s="3">
        <v>4</v>
      </c>
      <c r="K34" s="3">
        <v>4</v>
      </c>
      <c r="L34" s="3">
        <v>5</v>
      </c>
      <c r="M34" s="3">
        <v>3</v>
      </c>
      <c r="N34" s="3">
        <v>3</v>
      </c>
      <c r="O34" s="3">
        <v>5</v>
      </c>
      <c r="P34" s="3">
        <v>5</v>
      </c>
      <c r="Q34" s="3">
        <v>4</v>
      </c>
      <c r="R34" s="3">
        <v>4</v>
      </c>
      <c r="S34" s="3">
        <v>4</v>
      </c>
      <c r="T34" s="3">
        <v>3</v>
      </c>
      <c r="U34" s="3">
        <v>3</v>
      </c>
      <c r="V34" s="3">
        <v>3</v>
      </c>
      <c r="W34" s="3">
        <v>3</v>
      </c>
      <c r="X34" s="3">
        <v>2</v>
      </c>
      <c r="Y34" s="3">
        <v>3</v>
      </c>
      <c r="Z34" s="3">
        <v>3</v>
      </c>
      <c r="AA34" s="3">
        <v>3</v>
      </c>
      <c r="AB34" s="3">
        <v>3</v>
      </c>
      <c r="AC34" s="3">
        <v>1</v>
      </c>
      <c r="AD34" s="3">
        <v>3</v>
      </c>
      <c r="AE34" s="3">
        <v>3</v>
      </c>
      <c r="AF34" s="3">
        <v>3</v>
      </c>
      <c r="AG34" s="3">
        <v>3</v>
      </c>
      <c r="AH34" s="3">
        <v>3</v>
      </c>
      <c r="AI34" s="3">
        <v>3</v>
      </c>
      <c r="AJ34" s="3">
        <v>3</v>
      </c>
      <c r="AK34" s="3">
        <v>4</v>
      </c>
      <c r="AL34" s="3">
        <v>3</v>
      </c>
      <c r="AM34" s="3">
        <v>3</v>
      </c>
      <c r="AN34" s="3">
        <v>3</v>
      </c>
      <c r="AO34" s="3">
        <v>2</v>
      </c>
      <c r="AP34" s="3">
        <v>3</v>
      </c>
      <c r="AQ34" s="3">
        <v>4</v>
      </c>
      <c r="AR34" s="3">
        <v>4</v>
      </c>
      <c r="AS34" s="3">
        <v>2</v>
      </c>
      <c r="AT34" s="3">
        <v>3</v>
      </c>
      <c r="AU34" s="3">
        <v>3</v>
      </c>
      <c r="AV34" s="3">
        <v>3</v>
      </c>
      <c r="AW34" s="3">
        <v>4</v>
      </c>
      <c r="AX34" s="3">
        <v>4</v>
      </c>
      <c r="AY34" s="3">
        <v>4</v>
      </c>
      <c r="AZ34" s="3">
        <v>4</v>
      </c>
      <c r="BA34" s="3">
        <v>3</v>
      </c>
      <c r="BB34" s="3">
        <v>3</v>
      </c>
      <c r="BC34" s="3">
        <v>3</v>
      </c>
      <c r="BD34" s="3">
        <v>2</v>
      </c>
      <c r="BE34" s="3">
        <v>2</v>
      </c>
      <c r="BF34" s="3">
        <v>2</v>
      </c>
      <c r="BG34" s="3">
        <v>3</v>
      </c>
      <c r="BH34" s="3">
        <v>3</v>
      </c>
      <c r="BI34" s="3">
        <v>4</v>
      </c>
      <c r="BJ34" s="3">
        <v>4</v>
      </c>
      <c r="BK34" s="3">
        <v>4</v>
      </c>
      <c r="BL34" s="3">
        <v>4</v>
      </c>
      <c r="BM34" s="3">
        <v>4</v>
      </c>
      <c r="BN34" s="3">
        <v>4</v>
      </c>
      <c r="BO34" s="3">
        <v>4</v>
      </c>
      <c r="BP34" s="3" t="s">
        <v>167</v>
      </c>
    </row>
    <row r="35" spans="1:68" ht="22.5" customHeight="1" x14ac:dyDescent="0.25">
      <c r="A35" s="2">
        <v>45966.765887650465</v>
      </c>
      <c r="B35" s="3" t="s">
        <v>168</v>
      </c>
      <c r="C35" s="3" t="s">
        <v>69</v>
      </c>
      <c r="D35" s="3" t="s">
        <v>169</v>
      </c>
      <c r="E35" s="3" t="s">
        <v>77</v>
      </c>
      <c r="F35" s="3" t="s">
        <v>78</v>
      </c>
      <c r="G35" s="3" t="s">
        <v>79</v>
      </c>
      <c r="H35" s="3">
        <v>5</v>
      </c>
      <c r="I35" s="3">
        <v>5</v>
      </c>
      <c r="J35" s="3">
        <v>5</v>
      </c>
      <c r="K35" s="3">
        <v>5</v>
      </c>
      <c r="L35" s="3">
        <v>5</v>
      </c>
      <c r="M35" s="3">
        <v>5</v>
      </c>
      <c r="N35" s="3">
        <v>5</v>
      </c>
      <c r="O35" s="3">
        <v>5</v>
      </c>
      <c r="P35" s="3">
        <v>5</v>
      </c>
      <c r="Q35" s="3">
        <v>5</v>
      </c>
      <c r="R35" s="3">
        <v>5</v>
      </c>
      <c r="S35" s="3">
        <v>5</v>
      </c>
      <c r="T35" s="3">
        <v>5</v>
      </c>
      <c r="U35" s="3">
        <v>5</v>
      </c>
      <c r="V35" s="3">
        <v>5</v>
      </c>
      <c r="W35" s="3">
        <v>5</v>
      </c>
      <c r="X35" s="3">
        <v>5</v>
      </c>
      <c r="Y35" s="3">
        <v>5</v>
      </c>
      <c r="Z35" s="3">
        <v>5</v>
      </c>
      <c r="AA35" s="3">
        <v>5</v>
      </c>
      <c r="AB35" s="3">
        <v>5</v>
      </c>
      <c r="AC35" s="3">
        <v>5</v>
      </c>
      <c r="AD35" s="3">
        <v>5</v>
      </c>
      <c r="AE35" s="3">
        <v>5</v>
      </c>
      <c r="AF35" s="3">
        <v>5</v>
      </c>
      <c r="AG35" s="3">
        <v>5</v>
      </c>
      <c r="AH35" s="3">
        <v>5</v>
      </c>
      <c r="AI35" s="3">
        <v>5</v>
      </c>
      <c r="AJ35" s="3">
        <v>5</v>
      </c>
      <c r="AK35" s="3">
        <v>5</v>
      </c>
      <c r="AL35" s="3">
        <v>5</v>
      </c>
      <c r="AM35" s="3">
        <v>5</v>
      </c>
      <c r="AN35" s="3">
        <v>5</v>
      </c>
      <c r="AO35" s="3">
        <v>5</v>
      </c>
      <c r="AP35" s="3">
        <v>5</v>
      </c>
      <c r="AQ35" s="3">
        <v>5</v>
      </c>
      <c r="AR35" s="3">
        <v>5</v>
      </c>
      <c r="AS35" s="3">
        <v>5</v>
      </c>
      <c r="AT35" s="3">
        <v>5</v>
      </c>
      <c r="AU35" s="3">
        <v>5</v>
      </c>
      <c r="AV35" s="3">
        <v>5</v>
      </c>
      <c r="AW35" s="3">
        <v>5</v>
      </c>
      <c r="AX35" s="3">
        <v>5</v>
      </c>
      <c r="AY35" s="3">
        <v>5</v>
      </c>
      <c r="AZ35" s="3">
        <v>5</v>
      </c>
      <c r="BA35" s="3">
        <v>5</v>
      </c>
      <c r="BB35" s="3">
        <v>5</v>
      </c>
      <c r="BC35" s="3">
        <v>5</v>
      </c>
      <c r="BD35" s="3">
        <v>5</v>
      </c>
      <c r="BE35" s="3">
        <v>5</v>
      </c>
      <c r="BF35" s="3">
        <v>5</v>
      </c>
      <c r="BG35" s="3">
        <v>5</v>
      </c>
      <c r="BH35" s="3">
        <v>5</v>
      </c>
      <c r="BI35" s="3">
        <v>5</v>
      </c>
      <c r="BJ35" s="3">
        <v>5</v>
      </c>
      <c r="BK35" s="3">
        <v>5</v>
      </c>
      <c r="BL35" s="3">
        <v>5</v>
      </c>
      <c r="BM35" s="3">
        <v>5</v>
      </c>
      <c r="BN35" s="3">
        <v>5</v>
      </c>
      <c r="BO35" s="3">
        <v>5</v>
      </c>
      <c r="BP35" s="3" t="s">
        <v>170</v>
      </c>
    </row>
    <row r="36" spans="1:68" ht="22.5" customHeight="1" x14ac:dyDescent="0.25">
      <c r="A36" s="2">
        <v>45966.85827287037</v>
      </c>
      <c r="B36" s="3" t="s">
        <v>171</v>
      </c>
      <c r="C36" s="3" t="s">
        <v>69</v>
      </c>
      <c r="D36" s="3" t="s">
        <v>172</v>
      </c>
      <c r="E36" s="3" t="s">
        <v>71</v>
      </c>
      <c r="F36" s="3" t="s">
        <v>103</v>
      </c>
      <c r="G36" s="3" t="s">
        <v>73</v>
      </c>
      <c r="H36" s="3">
        <v>4</v>
      </c>
      <c r="I36" s="3">
        <v>4</v>
      </c>
      <c r="J36" s="3">
        <v>4</v>
      </c>
      <c r="K36" s="3">
        <v>4</v>
      </c>
      <c r="L36" s="3">
        <v>4</v>
      </c>
      <c r="M36" s="3">
        <v>4</v>
      </c>
      <c r="N36" s="3">
        <v>4</v>
      </c>
      <c r="O36" s="3">
        <v>4</v>
      </c>
      <c r="P36" s="3">
        <v>4</v>
      </c>
      <c r="Q36" s="3">
        <v>4</v>
      </c>
      <c r="R36" s="3">
        <v>4</v>
      </c>
      <c r="S36" s="3">
        <v>4</v>
      </c>
      <c r="T36" s="3">
        <v>4</v>
      </c>
      <c r="U36" s="3">
        <v>4</v>
      </c>
      <c r="V36" s="3">
        <v>4</v>
      </c>
      <c r="W36" s="3">
        <v>4</v>
      </c>
      <c r="X36" s="3">
        <v>4</v>
      </c>
      <c r="Y36" s="3">
        <v>4</v>
      </c>
      <c r="Z36" s="3">
        <v>4</v>
      </c>
      <c r="AA36" s="3">
        <v>4</v>
      </c>
      <c r="AB36" s="3">
        <v>4</v>
      </c>
      <c r="AC36" s="3">
        <v>4</v>
      </c>
      <c r="AD36" s="3">
        <v>4</v>
      </c>
      <c r="AE36" s="3">
        <v>4</v>
      </c>
      <c r="AF36" s="3">
        <v>4</v>
      </c>
      <c r="AG36" s="3">
        <v>4</v>
      </c>
      <c r="AH36" s="3">
        <v>4</v>
      </c>
      <c r="AI36" s="3">
        <v>4</v>
      </c>
      <c r="AJ36" s="3">
        <v>4</v>
      </c>
      <c r="AK36" s="3">
        <v>4</v>
      </c>
      <c r="AL36" s="3">
        <v>4</v>
      </c>
      <c r="AM36" s="3">
        <v>4</v>
      </c>
      <c r="AN36" s="3">
        <v>4</v>
      </c>
      <c r="AO36" s="3">
        <v>4</v>
      </c>
      <c r="AP36" s="3">
        <v>4</v>
      </c>
      <c r="AQ36" s="3">
        <v>4</v>
      </c>
      <c r="AR36" s="3">
        <v>4</v>
      </c>
      <c r="AS36" s="3">
        <v>4</v>
      </c>
      <c r="AT36" s="3">
        <v>4</v>
      </c>
      <c r="AU36" s="3">
        <v>4</v>
      </c>
      <c r="AV36" s="3">
        <v>4</v>
      </c>
      <c r="AW36" s="3">
        <v>4</v>
      </c>
      <c r="AX36" s="3">
        <v>4</v>
      </c>
      <c r="AY36" s="3">
        <v>4</v>
      </c>
      <c r="AZ36" s="3">
        <v>4</v>
      </c>
      <c r="BA36" s="3">
        <v>4</v>
      </c>
      <c r="BB36" s="3">
        <v>4</v>
      </c>
      <c r="BC36" s="3">
        <v>4</v>
      </c>
      <c r="BD36" s="3">
        <v>4</v>
      </c>
      <c r="BE36" s="3">
        <v>4</v>
      </c>
      <c r="BF36" s="3">
        <v>4</v>
      </c>
      <c r="BG36" s="3">
        <v>4</v>
      </c>
      <c r="BH36" s="3">
        <v>4</v>
      </c>
      <c r="BI36" s="3">
        <v>4</v>
      </c>
      <c r="BJ36" s="3">
        <v>4</v>
      </c>
      <c r="BK36" s="3">
        <v>4</v>
      </c>
      <c r="BL36" s="3">
        <v>4</v>
      </c>
      <c r="BM36" s="3">
        <v>4</v>
      </c>
      <c r="BN36" s="3">
        <v>4</v>
      </c>
      <c r="BO36" s="3">
        <v>4</v>
      </c>
      <c r="BP36" s="3" t="s">
        <v>173</v>
      </c>
    </row>
    <row r="37" spans="1:68" ht="22.5" customHeight="1" x14ac:dyDescent="0.25">
      <c r="A37" s="2">
        <v>45967.396885937502</v>
      </c>
      <c r="B37" s="3" t="s">
        <v>174</v>
      </c>
      <c r="C37" s="3" t="s">
        <v>86</v>
      </c>
      <c r="D37" s="3" t="s">
        <v>175</v>
      </c>
      <c r="E37" s="3" t="s">
        <v>77</v>
      </c>
      <c r="F37" s="3" t="s">
        <v>82</v>
      </c>
      <c r="G37" s="3" t="s">
        <v>73</v>
      </c>
      <c r="H37" s="3">
        <v>1</v>
      </c>
      <c r="I37" s="3">
        <v>1</v>
      </c>
      <c r="J37" s="3">
        <v>1</v>
      </c>
      <c r="K37" s="3">
        <v>1</v>
      </c>
      <c r="L37" s="3">
        <v>1</v>
      </c>
      <c r="M37" s="3">
        <v>1</v>
      </c>
      <c r="N37" s="3">
        <v>1</v>
      </c>
      <c r="O37" s="3">
        <v>1</v>
      </c>
      <c r="P37" s="3">
        <v>1</v>
      </c>
      <c r="Q37" s="3">
        <v>1</v>
      </c>
      <c r="R37" s="3">
        <v>1</v>
      </c>
      <c r="S37" s="3">
        <v>1</v>
      </c>
      <c r="T37" s="3">
        <v>1</v>
      </c>
      <c r="U37" s="3">
        <v>1</v>
      </c>
      <c r="V37" s="3">
        <v>1</v>
      </c>
      <c r="W37" s="3">
        <v>1</v>
      </c>
      <c r="X37" s="3">
        <v>1</v>
      </c>
      <c r="Y37" s="3">
        <v>1</v>
      </c>
      <c r="Z37" s="3">
        <v>1</v>
      </c>
      <c r="AA37" s="3">
        <v>1</v>
      </c>
      <c r="AB37" s="3">
        <v>1</v>
      </c>
      <c r="AC37" s="3">
        <v>1</v>
      </c>
      <c r="AD37" s="3">
        <v>1</v>
      </c>
      <c r="AE37" s="3">
        <v>1</v>
      </c>
      <c r="AF37" s="3">
        <v>1</v>
      </c>
      <c r="AG37" s="3">
        <v>1</v>
      </c>
      <c r="AH37" s="3">
        <v>1</v>
      </c>
      <c r="AI37" s="3">
        <v>1</v>
      </c>
      <c r="AJ37" s="3">
        <v>1</v>
      </c>
      <c r="AK37" s="3">
        <v>1</v>
      </c>
      <c r="AL37" s="3">
        <v>1</v>
      </c>
      <c r="AM37" s="3">
        <v>1</v>
      </c>
      <c r="AN37" s="3">
        <v>1</v>
      </c>
      <c r="AO37" s="3">
        <v>1</v>
      </c>
      <c r="AP37" s="3">
        <v>1</v>
      </c>
      <c r="AQ37" s="3">
        <v>1</v>
      </c>
      <c r="AR37" s="3">
        <v>1</v>
      </c>
      <c r="AS37" s="3">
        <v>1</v>
      </c>
      <c r="AT37" s="3">
        <v>1</v>
      </c>
      <c r="AU37" s="3">
        <v>1</v>
      </c>
      <c r="AV37" s="3">
        <v>1</v>
      </c>
      <c r="AW37" s="3">
        <v>1</v>
      </c>
      <c r="AX37" s="3">
        <v>1</v>
      </c>
      <c r="AY37" s="3">
        <v>1</v>
      </c>
      <c r="AZ37" s="3">
        <v>1</v>
      </c>
      <c r="BA37" s="3">
        <v>1</v>
      </c>
      <c r="BB37" s="3">
        <v>1</v>
      </c>
      <c r="BC37" s="3">
        <v>1</v>
      </c>
      <c r="BD37" s="3">
        <v>1</v>
      </c>
      <c r="BE37" s="3">
        <v>1</v>
      </c>
      <c r="BF37" s="3">
        <v>1</v>
      </c>
      <c r="BG37" s="3">
        <v>1</v>
      </c>
      <c r="BH37" s="3">
        <v>1</v>
      </c>
      <c r="BI37" s="3">
        <v>1</v>
      </c>
      <c r="BJ37" s="3">
        <v>1</v>
      </c>
      <c r="BK37" s="3">
        <v>1</v>
      </c>
      <c r="BL37" s="3">
        <v>1</v>
      </c>
      <c r="BM37" s="3">
        <v>1</v>
      </c>
      <c r="BN37" s="3">
        <v>1</v>
      </c>
      <c r="BO37" s="3">
        <v>1</v>
      </c>
      <c r="BP37" s="3" t="s">
        <v>176</v>
      </c>
    </row>
    <row r="38" spans="1:68" ht="22.5" customHeight="1" x14ac:dyDescent="0.25">
      <c r="A38" s="2">
        <v>45967.430535706022</v>
      </c>
      <c r="B38" s="3" t="s">
        <v>177</v>
      </c>
      <c r="C38" s="3" t="s">
        <v>86</v>
      </c>
      <c r="D38" s="3" t="s">
        <v>178</v>
      </c>
      <c r="E38" s="3" t="s">
        <v>77</v>
      </c>
      <c r="F38" s="3" t="s">
        <v>88</v>
      </c>
      <c r="G38" s="3" t="s">
        <v>79</v>
      </c>
      <c r="H38" s="3">
        <v>5</v>
      </c>
      <c r="I38" s="3">
        <v>4</v>
      </c>
      <c r="J38" s="3">
        <v>4</v>
      </c>
      <c r="K38" s="3">
        <v>4</v>
      </c>
      <c r="L38" s="3">
        <v>4</v>
      </c>
      <c r="M38" s="3">
        <v>5</v>
      </c>
      <c r="N38" s="3">
        <v>5</v>
      </c>
      <c r="O38" s="3">
        <v>5</v>
      </c>
      <c r="P38" s="3">
        <v>5</v>
      </c>
      <c r="Q38" s="3">
        <v>5</v>
      </c>
      <c r="R38" s="3">
        <v>5</v>
      </c>
      <c r="S38" s="3">
        <v>5</v>
      </c>
      <c r="T38" s="3">
        <v>5</v>
      </c>
      <c r="U38" s="3">
        <v>5</v>
      </c>
      <c r="V38" s="3">
        <v>3</v>
      </c>
      <c r="W38" s="3">
        <v>3</v>
      </c>
      <c r="X38" s="3">
        <v>3</v>
      </c>
      <c r="Y38" s="3">
        <v>4</v>
      </c>
      <c r="Z38" s="3">
        <v>4</v>
      </c>
      <c r="AA38" s="3">
        <v>5</v>
      </c>
      <c r="AB38" s="3">
        <v>4</v>
      </c>
      <c r="AC38" s="3">
        <v>4</v>
      </c>
      <c r="AD38" s="3">
        <v>5</v>
      </c>
      <c r="AE38" s="3">
        <v>5</v>
      </c>
      <c r="AF38" s="3">
        <v>4</v>
      </c>
      <c r="AG38" s="3">
        <v>4</v>
      </c>
      <c r="AH38" s="3">
        <v>4</v>
      </c>
      <c r="AI38" s="3">
        <v>4</v>
      </c>
      <c r="AJ38" s="3">
        <v>4</v>
      </c>
      <c r="AK38" s="3">
        <v>5</v>
      </c>
      <c r="AL38" s="3">
        <v>4</v>
      </c>
      <c r="AM38" s="3">
        <v>4</v>
      </c>
      <c r="AN38" s="3">
        <v>4</v>
      </c>
      <c r="AO38" s="3">
        <v>4</v>
      </c>
      <c r="AP38" s="3">
        <v>4</v>
      </c>
      <c r="AQ38" s="3">
        <v>4</v>
      </c>
      <c r="AR38" s="3">
        <v>4</v>
      </c>
      <c r="AS38" s="3">
        <v>4</v>
      </c>
      <c r="AT38" s="3">
        <v>4</v>
      </c>
      <c r="AU38" s="3">
        <v>4</v>
      </c>
      <c r="AV38" s="3">
        <v>4</v>
      </c>
      <c r="AW38" s="3">
        <v>5</v>
      </c>
      <c r="AX38" s="3">
        <v>5</v>
      </c>
      <c r="AY38" s="3">
        <v>5</v>
      </c>
      <c r="AZ38" s="3">
        <v>5</v>
      </c>
      <c r="BA38" s="3">
        <v>4</v>
      </c>
      <c r="BB38" s="3">
        <v>4</v>
      </c>
      <c r="BC38" s="3">
        <v>3</v>
      </c>
      <c r="BD38" s="3">
        <v>3</v>
      </c>
      <c r="BE38" s="3">
        <v>3</v>
      </c>
      <c r="BF38" s="3">
        <v>3</v>
      </c>
      <c r="BG38" s="3">
        <v>4</v>
      </c>
      <c r="BH38" s="3">
        <v>4</v>
      </c>
      <c r="BI38" s="3">
        <v>4</v>
      </c>
      <c r="BJ38" s="3">
        <v>4</v>
      </c>
      <c r="BK38" s="3">
        <v>4</v>
      </c>
      <c r="BL38" s="3">
        <v>4</v>
      </c>
      <c r="BM38" s="3">
        <v>4</v>
      </c>
      <c r="BN38" s="3">
        <v>4</v>
      </c>
      <c r="BO38" s="3">
        <v>4</v>
      </c>
      <c r="BP38" s="3" t="s">
        <v>179</v>
      </c>
    </row>
    <row r="39" spans="1:68" ht="22.5" customHeight="1" x14ac:dyDescent="0.25">
      <c r="A39" s="2">
        <v>45967.433460532411</v>
      </c>
      <c r="C39" s="3" t="s">
        <v>86</v>
      </c>
      <c r="D39" s="3" t="s">
        <v>180</v>
      </c>
      <c r="E39" s="3" t="s">
        <v>77</v>
      </c>
      <c r="F39" s="3" t="s">
        <v>82</v>
      </c>
      <c r="G39" s="3" t="s">
        <v>79</v>
      </c>
      <c r="H39" s="3">
        <v>4</v>
      </c>
      <c r="I39" s="3">
        <v>3</v>
      </c>
      <c r="J39" s="3">
        <v>3</v>
      </c>
      <c r="K39" s="3">
        <v>4</v>
      </c>
      <c r="L39" s="3">
        <v>3</v>
      </c>
      <c r="M39" s="3">
        <v>4</v>
      </c>
      <c r="N39" s="3">
        <v>4</v>
      </c>
      <c r="O39" s="3">
        <v>4</v>
      </c>
      <c r="P39" s="3">
        <v>4</v>
      </c>
      <c r="Q39" s="3">
        <v>4</v>
      </c>
      <c r="R39" s="3">
        <v>4</v>
      </c>
      <c r="S39" s="3">
        <v>4</v>
      </c>
      <c r="T39" s="3">
        <v>4</v>
      </c>
      <c r="U39" s="3">
        <v>4</v>
      </c>
      <c r="V39" s="3">
        <v>3</v>
      </c>
      <c r="W39" s="3">
        <v>3</v>
      </c>
      <c r="X39" s="3">
        <v>4</v>
      </c>
      <c r="Y39" s="3">
        <v>3</v>
      </c>
      <c r="Z39" s="3">
        <v>4</v>
      </c>
      <c r="AA39" s="3">
        <v>5</v>
      </c>
      <c r="AB39" s="3">
        <v>5</v>
      </c>
      <c r="AC39" s="3">
        <v>4</v>
      </c>
      <c r="AD39" s="3">
        <v>5</v>
      </c>
      <c r="AE39" s="3">
        <v>5</v>
      </c>
      <c r="AF39" s="3">
        <v>4</v>
      </c>
      <c r="AG39" s="3">
        <v>4</v>
      </c>
      <c r="AH39" s="3">
        <v>4</v>
      </c>
      <c r="AI39" s="3">
        <v>4</v>
      </c>
      <c r="AJ39" s="3">
        <v>3</v>
      </c>
      <c r="AK39" s="3">
        <v>3</v>
      </c>
      <c r="AL39" s="3">
        <v>3</v>
      </c>
      <c r="AM39" s="3">
        <v>3</v>
      </c>
      <c r="AN39" s="3">
        <v>3</v>
      </c>
      <c r="AO39" s="3">
        <v>3</v>
      </c>
      <c r="AP39" s="3">
        <v>4</v>
      </c>
      <c r="AQ39" s="3">
        <v>3</v>
      </c>
      <c r="AR39" s="3">
        <v>3</v>
      </c>
      <c r="AS39" s="3">
        <v>3</v>
      </c>
      <c r="AT39" s="3">
        <v>4</v>
      </c>
      <c r="AU39" s="3">
        <v>4</v>
      </c>
      <c r="AV39" s="3">
        <v>4</v>
      </c>
      <c r="AW39" s="3">
        <v>5</v>
      </c>
      <c r="AX39" s="3">
        <v>5</v>
      </c>
      <c r="AY39" s="3">
        <v>4</v>
      </c>
      <c r="AZ39" s="3">
        <v>4</v>
      </c>
      <c r="BA39" s="3">
        <v>4</v>
      </c>
      <c r="BB39" s="3">
        <v>3</v>
      </c>
      <c r="BC39" s="3">
        <v>4</v>
      </c>
      <c r="BD39" s="3">
        <v>3</v>
      </c>
      <c r="BE39" s="3">
        <v>3</v>
      </c>
      <c r="BF39" s="3">
        <v>3</v>
      </c>
      <c r="BG39" s="3">
        <v>4</v>
      </c>
      <c r="BH39" s="3">
        <v>4</v>
      </c>
      <c r="BI39" s="3">
        <v>4</v>
      </c>
      <c r="BJ39" s="3">
        <v>3</v>
      </c>
      <c r="BK39" s="3">
        <v>4</v>
      </c>
      <c r="BL39" s="3">
        <v>4</v>
      </c>
      <c r="BM39" s="3">
        <v>4</v>
      </c>
      <c r="BN39" s="3">
        <v>3</v>
      </c>
      <c r="BO39" s="3">
        <v>4</v>
      </c>
      <c r="BP39" s="3" t="s">
        <v>181</v>
      </c>
    </row>
    <row r="40" spans="1:68" ht="22.5" customHeight="1" x14ac:dyDescent="0.25">
      <c r="A40" s="2">
        <v>45967.440304062504</v>
      </c>
      <c r="C40" s="3" t="s">
        <v>86</v>
      </c>
      <c r="D40" s="3" t="s">
        <v>151</v>
      </c>
      <c r="E40" s="3" t="s">
        <v>77</v>
      </c>
      <c r="F40" s="3" t="s">
        <v>78</v>
      </c>
      <c r="G40" s="3" t="s">
        <v>79</v>
      </c>
      <c r="H40" s="3">
        <v>4</v>
      </c>
      <c r="I40" s="3">
        <v>4</v>
      </c>
      <c r="J40" s="3">
        <v>4</v>
      </c>
      <c r="K40" s="3">
        <v>5</v>
      </c>
      <c r="L40" s="3">
        <v>4</v>
      </c>
      <c r="M40" s="3">
        <v>4</v>
      </c>
      <c r="N40" s="3">
        <v>4</v>
      </c>
      <c r="O40" s="3">
        <v>4</v>
      </c>
      <c r="P40" s="3">
        <v>5</v>
      </c>
      <c r="Q40" s="3">
        <v>4</v>
      </c>
      <c r="R40" s="3">
        <v>4</v>
      </c>
      <c r="S40" s="3">
        <v>4</v>
      </c>
      <c r="T40" s="3">
        <v>5</v>
      </c>
      <c r="U40" s="3">
        <v>4</v>
      </c>
      <c r="V40" s="3">
        <v>3</v>
      </c>
      <c r="W40" s="3">
        <v>4</v>
      </c>
      <c r="X40" s="3">
        <v>4</v>
      </c>
      <c r="Y40" s="3">
        <v>4</v>
      </c>
      <c r="Z40" s="3">
        <v>4</v>
      </c>
      <c r="AA40" s="3">
        <v>5</v>
      </c>
      <c r="AB40" s="3">
        <v>5</v>
      </c>
      <c r="AC40" s="3">
        <v>4</v>
      </c>
      <c r="AD40" s="3">
        <v>5</v>
      </c>
      <c r="AE40" s="3">
        <v>4</v>
      </c>
      <c r="AF40" s="3">
        <v>4</v>
      </c>
      <c r="AG40" s="3">
        <v>4</v>
      </c>
      <c r="AH40" s="3">
        <v>4</v>
      </c>
      <c r="AI40" s="3">
        <v>4</v>
      </c>
      <c r="AJ40" s="3">
        <v>4</v>
      </c>
      <c r="AK40" s="3">
        <v>4</v>
      </c>
      <c r="AL40" s="3">
        <v>4</v>
      </c>
      <c r="AM40" s="3">
        <v>4</v>
      </c>
      <c r="AN40" s="3">
        <v>4</v>
      </c>
      <c r="AO40" s="3">
        <v>4</v>
      </c>
      <c r="AP40" s="3">
        <v>4</v>
      </c>
      <c r="AQ40" s="3">
        <v>4</v>
      </c>
      <c r="AR40" s="3">
        <v>4</v>
      </c>
      <c r="AS40" s="3">
        <v>4</v>
      </c>
      <c r="AT40" s="3">
        <v>4</v>
      </c>
      <c r="AU40" s="3">
        <v>4</v>
      </c>
      <c r="AV40" s="3">
        <v>4</v>
      </c>
      <c r="AW40" s="3">
        <v>4</v>
      </c>
      <c r="AX40" s="3">
        <v>4</v>
      </c>
      <c r="AY40" s="3">
        <v>4</v>
      </c>
      <c r="AZ40" s="3">
        <v>4</v>
      </c>
      <c r="BA40" s="3">
        <v>4</v>
      </c>
      <c r="BB40" s="3">
        <v>4</v>
      </c>
      <c r="BC40" s="3">
        <v>4</v>
      </c>
      <c r="BD40" s="3">
        <v>4</v>
      </c>
      <c r="BE40" s="3">
        <v>4</v>
      </c>
      <c r="BF40" s="3">
        <v>4</v>
      </c>
      <c r="BG40" s="3">
        <v>4</v>
      </c>
      <c r="BH40" s="3">
        <v>4</v>
      </c>
      <c r="BI40" s="3">
        <v>4</v>
      </c>
      <c r="BJ40" s="3">
        <v>4</v>
      </c>
      <c r="BK40" s="3">
        <v>4</v>
      </c>
      <c r="BL40" s="3">
        <v>4</v>
      </c>
      <c r="BM40" s="3">
        <v>4</v>
      </c>
      <c r="BN40" s="3">
        <v>4</v>
      </c>
      <c r="BO40" s="3">
        <v>4</v>
      </c>
      <c r="BP40" s="3" t="s">
        <v>182</v>
      </c>
    </row>
    <row r="41" spans="1:68" ht="22.5" customHeight="1" x14ac:dyDescent="0.25">
      <c r="A41" s="2">
        <v>45967.466335937497</v>
      </c>
      <c r="C41" s="3" t="s">
        <v>86</v>
      </c>
      <c r="D41" s="3" t="s">
        <v>154</v>
      </c>
      <c r="E41" s="3" t="s">
        <v>87</v>
      </c>
      <c r="F41" s="3" t="s">
        <v>82</v>
      </c>
      <c r="G41" s="3" t="s">
        <v>91</v>
      </c>
      <c r="H41" s="3">
        <v>4</v>
      </c>
      <c r="I41" s="3">
        <v>4</v>
      </c>
      <c r="J41" s="3">
        <v>4</v>
      </c>
      <c r="K41" s="3">
        <v>4</v>
      </c>
      <c r="L41" s="3">
        <v>4</v>
      </c>
      <c r="M41" s="3">
        <v>3</v>
      </c>
      <c r="N41" s="3">
        <v>3</v>
      </c>
      <c r="O41" s="3">
        <v>4</v>
      </c>
      <c r="P41" s="3">
        <v>4</v>
      </c>
      <c r="Q41" s="3">
        <v>4</v>
      </c>
      <c r="R41" s="3">
        <v>5</v>
      </c>
      <c r="S41" s="3">
        <v>4</v>
      </c>
      <c r="T41" s="3">
        <v>5</v>
      </c>
      <c r="U41" s="3">
        <v>5</v>
      </c>
      <c r="V41" s="3">
        <v>4</v>
      </c>
      <c r="W41" s="3">
        <v>4</v>
      </c>
      <c r="X41" s="3">
        <v>4</v>
      </c>
      <c r="Y41" s="3">
        <v>4</v>
      </c>
      <c r="Z41" s="3">
        <v>4</v>
      </c>
      <c r="AA41" s="3">
        <v>4</v>
      </c>
      <c r="AB41" s="3">
        <v>3</v>
      </c>
      <c r="AC41" s="3">
        <v>3</v>
      </c>
      <c r="AD41" s="3">
        <v>4</v>
      </c>
      <c r="AE41" s="3">
        <v>4</v>
      </c>
      <c r="AF41" s="3">
        <v>4</v>
      </c>
      <c r="AG41" s="3">
        <v>4</v>
      </c>
      <c r="AH41" s="3">
        <v>4</v>
      </c>
      <c r="AI41" s="3">
        <v>4</v>
      </c>
      <c r="AJ41" s="3">
        <v>5</v>
      </c>
      <c r="AK41" s="3">
        <v>5</v>
      </c>
      <c r="AL41" s="3">
        <v>4</v>
      </c>
      <c r="AM41" s="3">
        <v>5</v>
      </c>
      <c r="AN41" s="3">
        <v>4</v>
      </c>
      <c r="AO41" s="3">
        <v>4</v>
      </c>
      <c r="AP41" s="3">
        <v>4</v>
      </c>
      <c r="AQ41" s="3">
        <v>4</v>
      </c>
      <c r="AR41" s="3">
        <v>4</v>
      </c>
      <c r="AS41" s="3">
        <v>3</v>
      </c>
      <c r="AT41" s="3">
        <v>3</v>
      </c>
      <c r="AU41" s="3">
        <v>3</v>
      </c>
      <c r="AV41" s="3">
        <v>3</v>
      </c>
      <c r="AW41" s="3">
        <v>5</v>
      </c>
      <c r="AX41" s="3">
        <v>4</v>
      </c>
      <c r="AY41" s="3">
        <v>4</v>
      </c>
      <c r="AZ41" s="3">
        <v>4</v>
      </c>
      <c r="BA41" s="3">
        <v>3</v>
      </c>
      <c r="BB41" s="3">
        <v>3</v>
      </c>
      <c r="BC41" s="3">
        <v>3</v>
      </c>
      <c r="BD41" s="3">
        <v>4</v>
      </c>
      <c r="BE41" s="3">
        <v>4</v>
      </c>
      <c r="BF41" s="3">
        <v>4</v>
      </c>
      <c r="BG41" s="3">
        <v>4</v>
      </c>
      <c r="BH41" s="3">
        <v>4</v>
      </c>
      <c r="BI41" s="3">
        <v>4</v>
      </c>
      <c r="BJ41" s="3">
        <v>4</v>
      </c>
      <c r="BK41" s="3">
        <v>4</v>
      </c>
      <c r="BL41" s="3">
        <v>4</v>
      </c>
      <c r="BM41" s="3">
        <v>4</v>
      </c>
      <c r="BN41" s="3">
        <v>4</v>
      </c>
      <c r="BO41" s="3">
        <v>4</v>
      </c>
      <c r="BP41" s="3" t="s">
        <v>183</v>
      </c>
    </row>
    <row r="42" spans="1:68" ht="22.5" customHeight="1" x14ac:dyDescent="0.25">
      <c r="A42" s="2">
        <v>45967.477115254631</v>
      </c>
      <c r="B42" s="3" t="s">
        <v>184</v>
      </c>
      <c r="C42" s="3" t="s">
        <v>69</v>
      </c>
      <c r="D42" s="3" t="s">
        <v>185</v>
      </c>
      <c r="E42" s="3" t="s">
        <v>87</v>
      </c>
      <c r="F42" s="3" t="s">
        <v>82</v>
      </c>
      <c r="G42" s="3" t="s">
        <v>73</v>
      </c>
      <c r="H42" s="3">
        <v>5</v>
      </c>
      <c r="I42" s="3">
        <v>5</v>
      </c>
      <c r="J42" s="3">
        <v>5</v>
      </c>
      <c r="K42" s="3">
        <v>5</v>
      </c>
      <c r="L42" s="3">
        <v>5</v>
      </c>
      <c r="M42" s="3">
        <v>4</v>
      </c>
      <c r="N42" s="3">
        <v>4</v>
      </c>
      <c r="O42" s="3">
        <v>5</v>
      </c>
      <c r="P42" s="3">
        <v>5</v>
      </c>
      <c r="Q42" s="3">
        <v>5</v>
      </c>
      <c r="R42" s="3">
        <v>5</v>
      </c>
      <c r="S42" s="3">
        <v>5</v>
      </c>
      <c r="T42" s="3">
        <v>5</v>
      </c>
      <c r="U42" s="3">
        <v>5</v>
      </c>
      <c r="V42" s="3">
        <v>5</v>
      </c>
      <c r="W42" s="3">
        <v>5</v>
      </c>
      <c r="X42" s="3">
        <v>5</v>
      </c>
      <c r="Y42" s="3">
        <v>5</v>
      </c>
      <c r="Z42" s="3">
        <v>5</v>
      </c>
      <c r="AA42" s="3">
        <v>5</v>
      </c>
      <c r="AB42" s="3">
        <v>4</v>
      </c>
      <c r="AC42" s="3">
        <v>4</v>
      </c>
      <c r="AD42" s="3">
        <v>5</v>
      </c>
      <c r="AE42" s="3">
        <v>5</v>
      </c>
      <c r="AF42" s="3">
        <v>5</v>
      </c>
      <c r="AG42" s="3">
        <v>5</v>
      </c>
      <c r="AH42" s="3">
        <v>4</v>
      </c>
      <c r="AI42" s="3">
        <v>5</v>
      </c>
      <c r="AJ42" s="3">
        <v>5</v>
      </c>
      <c r="AK42" s="3">
        <v>5</v>
      </c>
      <c r="AL42" s="3">
        <v>5</v>
      </c>
      <c r="AM42" s="3">
        <v>5</v>
      </c>
      <c r="AN42" s="3">
        <v>4</v>
      </c>
      <c r="AO42" s="3">
        <v>4</v>
      </c>
      <c r="AP42" s="3">
        <v>5</v>
      </c>
      <c r="AQ42" s="3">
        <v>4</v>
      </c>
      <c r="AR42" s="3">
        <v>4</v>
      </c>
      <c r="AS42" s="3">
        <v>4</v>
      </c>
      <c r="AT42" s="3">
        <v>5</v>
      </c>
      <c r="AU42" s="3">
        <v>5</v>
      </c>
      <c r="AV42" s="3">
        <v>5</v>
      </c>
      <c r="AW42" s="3">
        <v>5</v>
      </c>
      <c r="AX42" s="3">
        <v>5</v>
      </c>
      <c r="AY42" s="3">
        <v>5</v>
      </c>
      <c r="AZ42" s="3">
        <v>5</v>
      </c>
      <c r="BA42" s="3">
        <v>4</v>
      </c>
      <c r="BB42" s="3">
        <v>5</v>
      </c>
      <c r="BC42" s="3">
        <v>5</v>
      </c>
      <c r="BD42" s="3">
        <v>5</v>
      </c>
      <c r="BE42" s="3">
        <v>5</v>
      </c>
      <c r="BF42" s="3">
        <v>5</v>
      </c>
      <c r="BG42" s="3">
        <v>4</v>
      </c>
      <c r="BH42" s="3">
        <v>4</v>
      </c>
      <c r="BI42" s="3">
        <v>5</v>
      </c>
      <c r="BJ42" s="3">
        <v>5</v>
      </c>
      <c r="BK42" s="3">
        <v>5</v>
      </c>
      <c r="BL42" s="3">
        <v>4</v>
      </c>
      <c r="BM42" s="3">
        <v>5</v>
      </c>
      <c r="BN42" s="3">
        <v>3</v>
      </c>
      <c r="BO42" s="3">
        <v>4</v>
      </c>
      <c r="BP42" s="3" t="s">
        <v>186</v>
      </c>
    </row>
    <row r="43" spans="1:68" ht="22.5" customHeight="1" x14ac:dyDescent="0.25">
      <c r="A43" s="2">
        <v>45967.51471231482</v>
      </c>
      <c r="B43" s="3" t="s">
        <v>187</v>
      </c>
      <c r="C43" s="3" t="s">
        <v>69</v>
      </c>
      <c r="D43" s="3" t="s">
        <v>188</v>
      </c>
      <c r="E43" s="3" t="s">
        <v>189</v>
      </c>
      <c r="F43" s="3" t="s">
        <v>88</v>
      </c>
      <c r="G43" s="3" t="s">
        <v>83</v>
      </c>
      <c r="H43" s="3">
        <v>5</v>
      </c>
      <c r="I43" s="3">
        <v>5</v>
      </c>
      <c r="J43" s="3">
        <v>5</v>
      </c>
      <c r="K43" s="3">
        <v>5</v>
      </c>
      <c r="L43" s="3">
        <v>5</v>
      </c>
      <c r="M43" s="3">
        <v>4</v>
      </c>
      <c r="N43" s="3">
        <v>5</v>
      </c>
      <c r="O43" s="3">
        <v>5</v>
      </c>
      <c r="P43" s="3">
        <v>5</v>
      </c>
      <c r="Q43" s="3">
        <v>4</v>
      </c>
      <c r="R43" s="3">
        <v>5</v>
      </c>
      <c r="S43" s="3">
        <v>5</v>
      </c>
      <c r="T43" s="3">
        <v>5</v>
      </c>
      <c r="U43" s="3">
        <v>5</v>
      </c>
      <c r="V43" s="3">
        <v>4</v>
      </c>
      <c r="W43" s="3">
        <v>4</v>
      </c>
      <c r="X43" s="3">
        <v>4</v>
      </c>
      <c r="Y43" s="3">
        <v>3</v>
      </c>
      <c r="Z43" s="3">
        <v>3</v>
      </c>
      <c r="AA43" s="3">
        <v>5</v>
      </c>
      <c r="AB43" s="3">
        <v>5</v>
      </c>
      <c r="AC43" s="3">
        <v>4</v>
      </c>
      <c r="AD43" s="3">
        <v>5</v>
      </c>
      <c r="AE43" s="3">
        <v>4</v>
      </c>
      <c r="AF43" s="3">
        <v>4</v>
      </c>
      <c r="AG43" s="3">
        <v>4</v>
      </c>
      <c r="AH43" s="3">
        <v>3</v>
      </c>
      <c r="AI43" s="3">
        <v>4</v>
      </c>
      <c r="AJ43" s="3">
        <v>5</v>
      </c>
      <c r="AK43" s="3">
        <v>5</v>
      </c>
      <c r="AL43" s="3">
        <v>5</v>
      </c>
      <c r="AM43" s="3">
        <v>5</v>
      </c>
      <c r="AN43" s="3">
        <v>5</v>
      </c>
      <c r="AO43" s="3">
        <v>5</v>
      </c>
      <c r="AP43" s="3">
        <v>5</v>
      </c>
      <c r="AQ43" s="3">
        <v>5</v>
      </c>
      <c r="AR43" s="3">
        <v>5</v>
      </c>
      <c r="AS43" s="3">
        <v>4</v>
      </c>
      <c r="AT43" s="3">
        <v>5</v>
      </c>
      <c r="AU43" s="3">
        <v>5</v>
      </c>
      <c r="AV43" s="3">
        <v>5</v>
      </c>
      <c r="AW43" s="3">
        <v>5</v>
      </c>
      <c r="AX43" s="3">
        <v>5</v>
      </c>
      <c r="AY43" s="3">
        <v>5</v>
      </c>
      <c r="AZ43" s="3">
        <v>5</v>
      </c>
      <c r="BA43" s="3">
        <v>5</v>
      </c>
      <c r="BB43" s="3">
        <v>3</v>
      </c>
      <c r="BC43" s="3">
        <v>3</v>
      </c>
      <c r="BD43" s="3">
        <v>3</v>
      </c>
      <c r="BE43" s="3">
        <v>4</v>
      </c>
      <c r="BF43" s="3">
        <v>2</v>
      </c>
      <c r="BG43" s="3">
        <v>5</v>
      </c>
      <c r="BH43" s="3">
        <v>5</v>
      </c>
      <c r="BI43" s="3">
        <v>5</v>
      </c>
      <c r="BJ43" s="3">
        <v>5</v>
      </c>
      <c r="BK43" s="3">
        <v>5</v>
      </c>
      <c r="BL43" s="3">
        <v>5</v>
      </c>
      <c r="BM43" s="3">
        <v>5</v>
      </c>
      <c r="BN43" s="3">
        <v>5</v>
      </c>
      <c r="BO43" s="3">
        <v>5</v>
      </c>
      <c r="BP43" s="3" t="s">
        <v>190</v>
      </c>
    </row>
    <row r="44" spans="1:68" ht="22.5" customHeight="1" x14ac:dyDescent="0.25">
      <c r="A44" s="2">
        <v>45967.579318761578</v>
      </c>
      <c r="B44" s="3" t="s">
        <v>191</v>
      </c>
      <c r="C44" s="3" t="s">
        <v>86</v>
      </c>
      <c r="D44" s="3" t="s">
        <v>192</v>
      </c>
      <c r="E44" s="3" t="s">
        <v>87</v>
      </c>
      <c r="F44" s="3" t="s">
        <v>82</v>
      </c>
      <c r="G44" s="3" t="s">
        <v>83</v>
      </c>
      <c r="H44" s="3">
        <v>4</v>
      </c>
      <c r="I44" s="3">
        <v>4</v>
      </c>
      <c r="J44" s="3">
        <v>4</v>
      </c>
      <c r="K44" s="3">
        <v>4</v>
      </c>
      <c r="L44" s="3">
        <v>4</v>
      </c>
      <c r="M44" s="3">
        <v>3</v>
      </c>
      <c r="N44" s="3">
        <v>3</v>
      </c>
      <c r="O44" s="3">
        <v>4</v>
      </c>
      <c r="P44" s="3">
        <v>4</v>
      </c>
      <c r="Q44" s="3">
        <v>4</v>
      </c>
      <c r="R44" s="3">
        <v>4</v>
      </c>
      <c r="S44" s="3">
        <v>4</v>
      </c>
      <c r="T44" s="3">
        <v>4</v>
      </c>
      <c r="U44" s="3">
        <v>4</v>
      </c>
      <c r="V44" s="3">
        <v>4</v>
      </c>
      <c r="W44" s="3">
        <v>3</v>
      </c>
      <c r="X44" s="3">
        <v>3</v>
      </c>
      <c r="Y44" s="3">
        <v>3</v>
      </c>
      <c r="Z44" s="3">
        <v>3</v>
      </c>
      <c r="AA44" s="3">
        <v>3</v>
      </c>
      <c r="AB44" s="3">
        <v>4</v>
      </c>
      <c r="AC44" s="3">
        <v>4</v>
      </c>
      <c r="AD44" s="3">
        <v>4</v>
      </c>
      <c r="AE44" s="3">
        <v>4</v>
      </c>
      <c r="AF44" s="3">
        <v>4</v>
      </c>
      <c r="AG44" s="3">
        <v>4</v>
      </c>
      <c r="AH44" s="3">
        <v>4</v>
      </c>
      <c r="AI44" s="3">
        <v>4</v>
      </c>
      <c r="AJ44" s="3">
        <v>4</v>
      </c>
      <c r="AK44" s="3">
        <v>4</v>
      </c>
      <c r="AL44" s="3">
        <v>3</v>
      </c>
      <c r="AM44" s="3">
        <v>4</v>
      </c>
      <c r="AN44" s="3">
        <v>4</v>
      </c>
      <c r="AO44" s="3">
        <v>4</v>
      </c>
      <c r="AP44" s="3">
        <v>4</v>
      </c>
      <c r="AQ44" s="3">
        <v>4</v>
      </c>
      <c r="AR44" s="3">
        <v>4</v>
      </c>
      <c r="AS44" s="3">
        <v>4</v>
      </c>
      <c r="AT44" s="3">
        <v>4</v>
      </c>
      <c r="AU44" s="3">
        <v>4</v>
      </c>
      <c r="AV44" s="3">
        <v>4</v>
      </c>
      <c r="AW44" s="3">
        <v>4</v>
      </c>
      <c r="AX44" s="3">
        <v>4</v>
      </c>
      <c r="AY44" s="3">
        <v>4</v>
      </c>
      <c r="AZ44" s="3">
        <v>4</v>
      </c>
      <c r="BA44" s="3">
        <v>4</v>
      </c>
      <c r="BB44" s="3">
        <v>3</v>
      </c>
      <c r="BC44" s="3">
        <v>3</v>
      </c>
      <c r="BD44" s="3">
        <v>3</v>
      </c>
      <c r="BE44" s="3">
        <v>3</v>
      </c>
      <c r="BF44" s="3">
        <v>3</v>
      </c>
      <c r="BG44" s="3">
        <v>4</v>
      </c>
      <c r="BH44" s="3">
        <v>4</v>
      </c>
      <c r="BI44" s="3">
        <v>4</v>
      </c>
      <c r="BJ44" s="3">
        <v>4</v>
      </c>
      <c r="BK44" s="3">
        <v>3</v>
      </c>
      <c r="BL44" s="3">
        <v>3</v>
      </c>
      <c r="BM44" s="3">
        <v>4</v>
      </c>
      <c r="BN44" s="3">
        <v>4</v>
      </c>
      <c r="BO44" s="3">
        <v>3</v>
      </c>
      <c r="BP44" s="3" t="s">
        <v>193</v>
      </c>
    </row>
    <row r="45" spans="1:68" ht="22.5" customHeight="1" x14ac:dyDescent="0.25">
      <c r="A45" s="2">
        <v>45967.594281400467</v>
      </c>
      <c r="B45" s="3" t="s">
        <v>194</v>
      </c>
      <c r="C45" s="3" t="s">
        <v>86</v>
      </c>
      <c r="D45" s="3" t="s">
        <v>195</v>
      </c>
      <c r="E45" s="3" t="s">
        <v>87</v>
      </c>
      <c r="F45" s="3" t="s">
        <v>88</v>
      </c>
      <c r="G45" s="3" t="s">
        <v>83</v>
      </c>
      <c r="H45" s="3">
        <v>5</v>
      </c>
      <c r="I45" s="3">
        <v>5</v>
      </c>
      <c r="J45" s="3">
        <v>5</v>
      </c>
      <c r="K45" s="3">
        <v>5</v>
      </c>
      <c r="L45" s="3">
        <v>5</v>
      </c>
      <c r="M45" s="3">
        <v>3</v>
      </c>
      <c r="N45" s="3">
        <v>4</v>
      </c>
      <c r="O45" s="3">
        <v>4</v>
      </c>
      <c r="P45" s="3">
        <v>5</v>
      </c>
      <c r="Q45" s="3">
        <v>4</v>
      </c>
      <c r="R45" s="3">
        <v>4</v>
      </c>
      <c r="S45" s="3">
        <v>4</v>
      </c>
      <c r="T45" s="3">
        <v>4</v>
      </c>
      <c r="U45" s="3">
        <v>4</v>
      </c>
      <c r="V45" s="3">
        <v>4</v>
      </c>
      <c r="W45" s="3">
        <v>4</v>
      </c>
      <c r="X45" s="3">
        <v>3</v>
      </c>
      <c r="Y45" s="3">
        <v>3</v>
      </c>
      <c r="Z45" s="3">
        <v>3</v>
      </c>
      <c r="AA45" s="3">
        <v>4</v>
      </c>
      <c r="AB45" s="3">
        <v>3</v>
      </c>
      <c r="AC45" s="3">
        <v>3</v>
      </c>
      <c r="AD45" s="3">
        <v>3</v>
      </c>
      <c r="AE45" s="3">
        <v>4</v>
      </c>
      <c r="AF45" s="3">
        <v>4</v>
      </c>
      <c r="AG45" s="3">
        <v>4</v>
      </c>
      <c r="AH45" s="3">
        <v>4</v>
      </c>
      <c r="AI45" s="3">
        <v>4</v>
      </c>
      <c r="AJ45" s="3">
        <v>4</v>
      </c>
      <c r="AK45" s="3">
        <v>4</v>
      </c>
      <c r="AL45" s="3">
        <v>4</v>
      </c>
      <c r="AM45" s="3">
        <v>4</v>
      </c>
      <c r="AN45" s="3">
        <v>4</v>
      </c>
      <c r="AO45" s="3">
        <v>4</v>
      </c>
      <c r="AP45" s="3">
        <v>4</v>
      </c>
      <c r="AQ45" s="3">
        <v>4</v>
      </c>
      <c r="AR45" s="3">
        <v>3</v>
      </c>
      <c r="AS45" s="3">
        <v>3</v>
      </c>
      <c r="AT45" s="3">
        <v>3</v>
      </c>
      <c r="AU45" s="3">
        <v>3</v>
      </c>
      <c r="AV45" s="3">
        <v>4</v>
      </c>
      <c r="AW45" s="3">
        <v>5</v>
      </c>
      <c r="AX45" s="3">
        <v>5</v>
      </c>
      <c r="AY45" s="3">
        <v>5</v>
      </c>
      <c r="AZ45" s="3">
        <v>5</v>
      </c>
      <c r="BA45" s="3">
        <v>3</v>
      </c>
      <c r="BB45" s="3">
        <v>3</v>
      </c>
      <c r="BC45" s="3">
        <v>3</v>
      </c>
      <c r="BD45" s="3">
        <v>3</v>
      </c>
      <c r="BE45" s="3">
        <v>3</v>
      </c>
      <c r="BF45" s="3">
        <v>3</v>
      </c>
      <c r="BG45" s="3">
        <v>4</v>
      </c>
      <c r="BH45" s="3">
        <v>4</v>
      </c>
      <c r="BI45" s="3">
        <v>4</v>
      </c>
      <c r="BJ45" s="3">
        <v>4</v>
      </c>
      <c r="BK45" s="3">
        <v>4</v>
      </c>
      <c r="BL45" s="3">
        <v>4</v>
      </c>
      <c r="BM45" s="3">
        <v>4</v>
      </c>
      <c r="BN45" s="3">
        <v>4</v>
      </c>
      <c r="BO45" s="3">
        <v>4</v>
      </c>
      <c r="BP45" s="3" t="s">
        <v>196</v>
      </c>
    </row>
    <row r="46" spans="1:68" ht="22.5" customHeight="1" x14ac:dyDescent="0.25">
      <c r="A46" s="2">
        <v>45967.595435462965</v>
      </c>
      <c r="B46" s="3" t="s">
        <v>197</v>
      </c>
      <c r="C46" s="3" t="s">
        <v>86</v>
      </c>
      <c r="D46" s="3" t="s">
        <v>198</v>
      </c>
      <c r="E46" s="3" t="s">
        <v>119</v>
      </c>
      <c r="F46" s="3" t="s">
        <v>103</v>
      </c>
      <c r="G46" s="3" t="s">
        <v>73</v>
      </c>
      <c r="H46" s="3">
        <v>5</v>
      </c>
      <c r="I46" s="3">
        <v>5</v>
      </c>
      <c r="J46" s="3">
        <v>4</v>
      </c>
      <c r="K46" s="3">
        <v>4</v>
      </c>
      <c r="L46" s="3">
        <v>5</v>
      </c>
      <c r="M46" s="3">
        <v>4</v>
      </c>
      <c r="N46" s="3">
        <v>5</v>
      </c>
      <c r="O46" s="3">
        <v>5</v>
      </c>
      <c r="P46" s="3">
        <v>4</v>
      </c>
      <c r="Q46" s="3">
        <v>5</v>
      </c>
      <c r="R46" s="3">
        <v>5</v>
      </c>
      <c r="S46" s="3">
        <v>5</v>
      </c>
      <c r="T46" s="3">
        <v>5</v>
      </c>
      <c r="U46" s="3">
        <v>5</v>
      </c>
      <c r="V46" s="3">
        <v>4</v>
      </c>
      <c r="W46" s="3">
        <v>4</v>
      </c>
      <c r="X46" s="3">
        <v>4</v>
      </c>
      <c r="Y46" s="3">
        <v>5</v>
      </c>
      <c r="Z46" s="3">
        <v>5</v>
      </c>
      <c r="AA46" s="3">
        <v>4</v>
      </c>
      <c r="AB46" s="3">
        <v>4</v>
      </c>
      <c r="AC46" s="3">
        <v>3</v>
      </c>
      <c r="AD46" s="3">
        <v>5</v>
      </c>
      <c r="AE46" s="3">
        <v>5</v>
      </c>
      <c r="AF46" s="3">
        <v>5</v>
      </c>
      <c r="AG46" s="3">
        <v>5</v>
      </c>
      <c r="AH46" s="3">
        <v>4</v>
      </c>
      <c r="AI46" s="3">
        <v>5</v>
      </c>
      <c r="AJ46" s="3">
        <v>5</v>
      </c>
      <c r="AK46" s="3">
        <v>5</v>
      </c>
      <c r="AL46" s="3">
        <v>4</v>
      </c>
      <c r="AM46" s="3">
        <v>5</v>
      </c>
      <c r="AN46" s="3">
        <v>4</v>
      </c>
      <c r="AO46" s="3">
        <v>4</v>
      </c>
      <c r="AP46" s="3">
        <v>5</v>
      </c>
      <c r="AQ46" s="3">
        <v>5</v>
      </c>
      <c r="AR46" s="3">
        <v>4</v>
      </c>
      <c r="AS46" s="3">
        <v>4</v>
      </c>
      <c r="AT46" s="3">
        <v>5</v>
      </c>
      <c r="AU46" s="3">
        <v>4</v>
      </c>
      <c r="AV46" s="3">
        <v>5</v>
      </c>
      <c r="AW46" s="3">
        <v>5</v>
      </c>
      <c r="AX46" s="3">
        <v>5</v>
      </c>
      <c r="AY46" s="3">
        <v>5</v>
      </c>
      <c r="AZ46" s="3">
        <v>5</v>
      </c>
      <c r="BA46" s="3">
        <v>4</v>
      </c>
      <c r="BB46" s="3">
        <v>5</v>
      </c>
      <c r="BC46" s="3">
        <v>5</v>
      </c>
      <c r="BD46" s="3">
        <v>5</v>
      </c>
      <c r="BE46" s="3">
        <v>5</v>
      </c>
      <c r="BF46" s="3">
        <v>5</v>
      </c>
      <c r="BG46" s="3">
        <v>5</v>
      </c>
      <c r="BH46" s="3">
        <v>5</v>
      </c>
      <c r="BI46" s="3">
        <v>5</v>
      </c>
      <c r="BJ46" s="3">
        <v>5</v>
      </c>
      <c r="BK46" s="3">
        <v>5</v>
      </c>
      <c r="BL46" s="3">
        <v>5</v>
      </c>
      <c r="BM46" s="3">
        <v>5</v>
      </c>
      <c r="BN46" s="3">
        <v>5</v>
      </c>
      <c r="BO46" s="3">
        <v>5</v>
      </c>
      <c r="BP46" s="3" t="s">
        <v>199</v>
      </c>
    </row>
    <row r="47" spans="1:68" ht="22.5" customHeight="1" x14ac:dyDescent="0.25">
      <c r="A47" s="2">
        <v>45967.622288043982</v>
      </c>
      <c r="B47" s="3" t="s">
        <v>200</v>
      </c>
      <c r="C47" s="3" t="s">
        <v>69</v>
      </c>
      <c r="D47" s="3" t="s">
        <v>201</v>
      </c>
      <c r="E47" s="3" t="s">
        <v>71</v>
      </c>
      <c r="F47" s="3" t="s">
        <v>72</v>
      </c>
      <c r="G47" s="3" t="s">
        <v>73</v>
      </c>
      <c r="H47" s="3">
        <v>5</v>
      </c>
      <c r="I47" s="3">
        <v>4</v>
      </c>
      <c r="J47" s="3">
        <v>4</v>
      </c>
      <c r="K47" s="3">
        <v>5</v>
      </c>
      <c r="L47" s="3">
        <v>5</v>
      </c>
      <c r="M47" s="3">
        <v>4</v>
      </c>
      <c r="N47" s="3">
        <v>4</v>
      </c>
      <c r="O47" s="3">
        <v>4</v>
      </c>
      <c r="P47" s="3">
        <v>4</v>
      </c>
      <c r="Q47" s="3">
        <v>5</v>
      </c>
      <c r="R47" s="3">
        <v>5</v>
      </c>
      <c r="S47" s="3">
        <v>5</v>
      </c>
      <c r="T47" s="3">
        <v>4</v>
      </c>
      <c r="U47" s="3">
        <v>4</v>
      </c>
      <c r="V47" s="3">
        <v>4</v>
      </c>
      <c r="W47" s="3">
        <v>4</v>
      </c>
      <c r="X47" s="3">
        <v>4</v>
      </c>
      <c r="Y47" s="3">
        <v>5</v>
      </c>
      <c r="Z47" s="3">
        <v>4</v>
      </c>
      <c r="AA47" s="3">
        <v>5</v>
      </c>
      <c r="AB47" s="3">
        <v>5</v>
      </c>
      <c r="AC47" s="3">
        <v>5</v>
      </c>
      <c r="AD47" s="3">
        <v>5</v>
      </c>
      <c r="AE47" s="3">
        <v>5</v>
      </c>
      <c r="AF47" s="3">
        <v>5</v>
      </c>
      <c r="AG47" s="3">
        <v>5</v>
      </c>
      <c r="AH47" s="3">
        <v>5</v>
      </c>
      <c r="AI47" s="3">
        <v>5</v>
      </c>
      <c r="AJ47" s="3">
        <v>5</v>
      </c>
      <c r="AK47" s="3">
        <v>5</v>
      </c>
      <c r="AL47" s="3">
        <v>5</v>
      </c>
      <c r="AM47" s="3">
        <v>4</v>
      </c>
      <c r="AN47" s="3">
        <v>4</v>
      </c>
      <c r="AO47" s="3">
        <v>3</v>
      </c>
      <c r="AP47" s="3">
        <v>5</v>
      </c>
      <c r="AQ47" s="3">
        <v>3</v>
      </c>
      <c r="AR47" s="3">
        <v>4</v>
      </c>
      <c r="AS47" s="3">
        <v>4</v>
      </c>
      <c r="AT47" s="3">
        <v>5</v>
      </c>
      <c r="AU47" s="3">
        <v>5</v>
      </c>
      <c r="AV47" s="3">
        <v>4</v>
      </c>
      <c r="AW47" s="3">
        <v>5</v>
      </c>
      <c r="AX47" s="3">
        <v>5</v>
      </c>
      <c r="AY47" s="3">
        <v>5</v>
      </c>
      <c r="AZ47" s="3">
        <v>5</v>
      </c>
      <c r="BA47" s="3">
        <v>4</v>
      </c>
      <c r="BB47" s="3">
        <v>5</v>
      </c>
      <c r="BC47" s="3">
        <v>5</v>
      </c>
      <c r="BD47" s="3">
        <v>5</v>
      </c>
      <c r="BE47" s="3">
        <v>5</v>
      </c>
      <c r="BF47" s="3">
        <v>5</v>
      </c>
      <c r="BG47" s="3">
        <v>5</v>
      </c>
      <c r="BH47" s="3">
        <v>5</v>
      </c>
      <c r="BI47" s="3">
        <v>5</v>
      </c>
      <c r="BJ47" s="3">
        <v>5</v>
      </c>
      <c r="BK47" s="3">
        <v>5</v>
      </c>
      <c r="BL47" s="3">
        <v>5</v>
      </c>
      <c r="BM47" s="3">
        <v>5</v>
      </c>
      <c r="BN47" s="3">
        <v>5</v>
      </c>
      <c r="BO47" s="3">
        <v>5</v>
      </c>
      <c r="BP47" s="3" t="s">
        <v>202</v>
      </c>
    </row>
    <row r="48" spans="1:68" ht="22.5" customHeight="1" x14ac:dyDescent="0.25">
      <c r="A48" s="2">
        <v>45967.625703182872</v>
      </c>
      <c r="B48" s="3" t="s">
        <v>203</v>
      </c>
      <c r="C48" s="3" t="s">
        <v>69</v>
      </c>
      <c r="D48" s="3" t="s">
        <v>204</v>
      </c>
      <c r="E48" s="3" t="s">
        <v>77</v>
      </c>
      <c r="F48" s="3" t="s">
        <v>72</v>
      </c>
      <c r="G48" s="3" t="s">
        <v>73</v>
      </c>
      <c r="H48" s="3">
        <v>5</v>
      </c>
      <c r="I48" s="3">
        <v>5</v>
      </c>
      <c r="J48" s="3">
        <v>5</v>
      </c>
      <c r="K48" s="3">
        <v>5</v>
      </c>
      <c r="L48" s="3">
        <v>5</v>
      </c>
      <c r="M48" s="3">
        <v>4</v>
      </c>
      <c r="N48" s="3">
        <v>3</v>
      </c>
      <c r="O48" s="3">
        <v>5</v>
      </c>
      <c r="P48" s="3">
        <v>4</v>
      </c>
      <c r="Q48" s="3">
        <v>5</v>
      </c>
      <c r="R48" s="3">
        <v>5</v>
      </c>
      <c r="S48" s="3">
        <v>5</v>
      </c>
      <c r="T48" s="3">
        <v>5</v>
      </c>
      <c r="U48" s="3">
        <v>5</v>
      </c>
      <c r="V48" s="3">
        <v>4</v>
      </c>
      <c r="W48" s="3">
        <v>4</v>
      </c>
      <c r="X48" s="3">
        <v>4</v>
      </c>
      <c r="Y48" s="3">
        <v>4</v>
      </c>
      <c r="Z48" s="3">
        <v>4</v>
      </c>
      <c r="AA48" s="3">
        <v>5</v>
      </c>
      <c r="AB48" s="3">
        <v>5</v>
      </c>
      <c r="AC48" s="3">
        <v>5</v>
      </c>
      <c r="AD48" s="3">
        <v>5</v>
      </c>
      <c r="AE48" s="3">
        <v>4</v>
      </c>
      <c r="AF48" s="3">
        <v>4</v>
      </c>
      <c r="AG48" s="3">
        <v>4</v>
      </c>
      <c r="AH48" s="3">
        <v>4</v>
      </c>
      <c r="AI48" s="3">
        <v>5</v>
      </c>
      <c r="AJ48" s="3">
        <v>5</v>
      </c>
      <c r="AK48" s="3">
        <v>5</v>
      </c>
      <c r="AL48" s="3">
        <v>5</v>
      </c>
      <c r="AM48" s="3">
        <v>5</v>
      </c>
      <c r="AN48" s="3">
        <v>5</v>
      </c>
      <c r="AO48" s="3">
        <v>5</v>
      </c>
      <c r="AP48" s="3">
        <v>5</v>
      </c>
      <c r="AQ48" s="3">
        <v>5</v>
      </c>
      <c r="AR48" s="3">
        <v>5</v>
      </c>
      <c r="AS48" s="3">
        <v>5</v>
      </c>
      <c r="AT48" s="3">
        <v>5</v>
      </c>
      <c r="AU48" s="3">
        <v>5</v>
      </c>
      <c r="AV48" s="3">
        <v>5</v>
      </c>
      <c r="AW48" s="3">
        <v>5</v>
      </c>
      <c r="AX48" s="3">
        <v>5</v>
      </c>
      <c r="AY48" s="3">
        <v>5</v>
      </c>
      <c r="AZ48" s="3">
        <v>5</v>
      </c>
      <c r="BA48" s="3">
        <v>4</v>
      </c>
      <c r="BB48" s="3">
        <v>4</v>
      </c>
      <c r="BC48" s="3">
        <v>4</v>
      </c>
      <c r="BD48" s="3">
        <v>4</v>
      </c>
      <c r="BE48" s="3">
        <v>4</v>
      </c>
      <c r="BF48" s="3">
        <v>4</v>
      </c>
      <c r="BG48" s="3">
        <v>5</v>
      </c>
      <c r="BH48" s="3">
        <v>5</v>
      </c>
      <c r="BI48" s="3">
        <v>5</v>
      </c>
      <c r="BJ48" s="3">
        <v>5</v>
      </c>
      <c r="BK48" s="3">
        <v>5</v>
      </c>
      <c r="BL48" s="3">
        <v>5</v>
      </c>
      <c r="BM48" s="3">
        <v>5</v>
      </c>
      <c r="BN48" s="3">
        <v>5</v>
      </c>
      <c r="BO48" s="3">
        <v>5</v>
      </c>
      <c r="BP48" s="3" t="s">
        <v>205</v>
      </c>
    </row>
    <row r="49" spans="1:68" ht="22.5" customHeight="1" x14ac:dyDescent="0.25">
      <c r="A49" s="2">
        <v>45967.650300185182</v>
      </c>
      <c r="B49" s="3" t="s">
        <v>206</v>
      </c>
      <c r="C49" s="3" t="s">
        <v>69</v>
      </c>
      <c r="D49" s="3" t="s">
        <v>207</v>
      </c>
      <c r="E49" s="3" t="s">
        <v>77</v>
      </c>
      <c r="F49" s="3" t="s">
        <v>78</v>
      </c>
      <c r="G49" s="3" t="s">
        <v>79</v>
      </c>
      <c r="H49" s="3">
        <v>4</v>
      </c>
      <c r="I49" s="3">
        <v>5</v>
      </c>
      <c r="J49" s="3">
        <v>5</v>
      </c>
      <c r="K49" s="3">
        <v>4</v>
      </c>
      <c r="L49" s="3">
        <v>4</v>
      </c>
      <c r="M49" s="3">
        <v>4</v>
      </c>
      <c r="N49" s="3">
        <v>4</v>
      </c>
      <c r="O49" s="3">
        <v>5</v>
      </c>
      <c r="P49" s="3">
        <v>4</v>
      </c>
      <c r="Q49" s="3">
        <v>4</v>
      </c>
      <c r="R49" s="3">
        <v>5</v>
      </c>
      <c r="S49" s="3">
        <v>4</v>
      </c>
      <c r="T49" s="3">
        <v>4</v>
      </c>
      <c r="U49" s="3">
        <v>4</v>
      </c>
      <c r="V49" s="3">
        <v>4</v>
      </c>
      <c r="W49" s="3">
        <v>4</v>
      </c>
      <c r="X49" s="3">
        <v>4</v>
      </c>
      <c r="Y49" s="3">
        <v>4</v>
      </c>
      <c r="Z49" s="3">
        <v>5</v>
      </c>
      <c r="AA49" s="3">
        <v>3</v>
      </c>
      <c r="AB49" s="3">
        <v>4</v>
      </c>
      <c r="AC49" s="3">
        <v>4</v>
      </c>
      <c r="AD49" s="3">
        <v>5</v>
      </c>
      <c r="AE49" s="3">
        <v>4</v>
      </c>
      <c r="AF49" s="3">
        <v>4</v>
      </c>
      <c r="AG49" s="3">
        <v>5</v>
      </c>
      <c r="AH49" s="3">
        <v>4</v>
      </c>
      <c r="AI49" s="3">
        <v>4</v>
      </c>
      <c r="AJ49" s="3">
        <v>5</v>
      </c>
      <c r="AK49" s="3">
        <v>5</v>
      </c>
      <c r="AL49" s="3">
        <v>4</v>
      </c>
      <c r="AM49" s="3">
        <v>4</v>
      </c>
      <c r="AN49" s="3">
        <v>4</v>
      </c>
      <c r="AO49" s="3">
        <v>4</v>
      </c>
      <c r="AP49" s="3">
        <v>5</v>
      </c>
      <c r="AQ49" s="3">
        <v>4</v>
      </c>
      <c r="AR49" s="3">
        <v>5</v>
      </c>
      <c r="AS49" s="3">
        <v>4</v>
      </c>
      <c r="AT49" s="3">
        <v>4</v>
      </c>
      <c r="AU49" s="3">
        <v>5</v>
      </c>
      <c r="AV49" s="3">
        <v>5</v>
      </c>
      <c r="AW49" s="3">
        <v>4</v>
      </c>
      <c r="AX49" s="3">
        <v>5</v>
      </c>
      <c r="AY49" s="3">
        <v>4</v>
      </c>
      <c r="AZ49" s="3">
        <v>4</v>
      </c>
      <c r="BA49" s="3">
        <v>4</v>
      </c>
      <c r="BB49" s="3">
        <v>4</v>
      </c>
      <c r="BC49" s="3">
        <v>5</v>
      </c>
      <c r="BD49" s="3">
        <v>5</v>
      </c>
      <c r="BE49" s="3">
        <v>4</v>
      </c>
      <c r="BF49" s="3">
        <v>5</v>
      </c>
      <c r="BG49" s="3">
        <v>4</v>
      </c>
      <c r="BH49" s="3">
        <v>4</v>
      </c>
      <c r="BI49" s="3">
        <v>5</v>
      </c>
      <c r="BJ49" s="3">
        <v>4</v>
      </c>
      <c r="BK49" s="3">
        <v>4</v>
      </c>
      <c r="BL49" s="3">
        <v>5</v>
      </c>
      <c r="BM49" s="3">
        <v>5</v>
      </c>
      <c r="BN49" s="3">
        <v>5</v>
      </c>
      <c r="BO49" s="3">
        <v>5</v>
      </c>
      <c r="BP49" s="3" t="s">
        <v>208</v>
      </c>
    </row>
    <row r="50" spans="1:68" ht="22.5" customHeight="1" x14ac:dyDescent="0.25">
      <c r="A50" s="2">
        <v>45967.651403333337</v>
      </c>
      <c r="B50" s="3" t="s">
        <v>209</v>
      </c>
      <c r="C50" s="3" t="s">
        <v>69</v>
      </c>
      <c r="D50" s="3" t="s">
        <v>210</v>
      </c>
      <c r="E50" s="3" t="s">
        <v>119</v>
      </c>
      <c r="F50" s="3" t="s">
        <v>103</v>
      </c>
      <c r="G50" s="3" t="s">
        <v>91</v>
      </c>
      <c r="H50" s="3">
        <v>5</v>
      </c>
      <c r="I50" s="3">
        <v>5</v>
      </c>
      <c r="J50" s="3">
        <v>5</v>
      </c>
      <c r="K50" s="3">
        <v>4</v>
      </c>
      <c r="L50" s="3">
        <v>5</v>
      </c>
      <c r="M50" s="3">
        <v>5</v>
      </c>
      <c r="N50" s="3">
        <v>5</v>
      </c>
      <c r="O50" s="3">
        <v>5</v>
      </c>
      <c r="P50" s="3">
        <v>5</v>
      </c>
      <c r="Q50" s="3">
        <v>5</v>
      </c>
      <c r="R50" s="3">
        <v>5</v>
      </c>
      <c r="S50" s="3">
        <v>5</v>
      </c>
      <c r="T50" s="3">
        <v>5</v>
      </c>
      <c r="U50" s="3">
        <v>5</v>
      </c>
      <c r="V50" s="3">
        <v>5</v>
      </c>
      <c r="W50" s="3">
        <v>5</v>
      </c>
      <c r="X50" s="3">
        <v>5</v>
      </c>
      <c r="Y50" s="3">
        <v>5</v>
      </c>
      <c r="Z50" s="3">
        <v>5</v>
      </c>
      <c r="AA50" s="3">
        <v>5</v>
      </c>
      <c r="AB50" s="3">
        <v>5</v>
      </c>
      <c r="AC50" s="3">
        <v>5</v>
      </c>
      <c r="AD50" s="3">
        <v>5</v>
      </c>
      <c r="AE50" s="3">
        <v>5</v>
      </c>
      <c r="AF50" s="3">
        <v>5</v>
      </c>
      <c r="AG50" s="3">
        <v>5</v>
      </c>
      <c r="AH50" s="3">
        <v>5</v>
      </c>
      <c r="AI50" s="3">
        <v>5</v>
      </c>
      <c r="AJ50" s="3">
        <v>5</v>
      </c>
      <c r="AK50" s="3">
        <v>5</v>
      </c>
      <c r="AL50" s="3">
        <v>5</v>
      </c>
      <c r="AM50" s="3">
        <v>5</v>
      </c>
      <c r="AN50" s="3">
        <v>5</v>
      </c>
      <c r="AO50" s="3">
        <v>5</v>
      </c>
      <c r="AP50" s="3">
        <v>5</v>
      </c>
      <c r="AQ50" s="3">
        <v>5</v>
      </c>
      <c r="AR50" s="3">
        <v>5</v>
      </c>
      <c r="AS50" s="3">
        <v>5</v>
      </c>
      <c r="AT50" s="3">
        <v>5</v>
      </c>
      <c r="AU50" s="3">
        <v>5</v>
      </c>
      <c r="AV50" s="3">
        <v>5</v>
      </c>
      <c r="AW50" s="3">
        <v>5</v>
      </c>
      <c r="AX50" s="3">
        <v>5</v>
      </c>
      <c r="AY50" s="3">
        <v>5</v>
      </c>
      <c r="AZ50" s="3">
        <v>5</v>
      </c>
      <c r="BA50" s="3">
        <v>5</v>
      </c>
      <c r="BB50" s="3">
        <v>5</v>
      </c>
      <c r="BC50" s="3">
        <v>5</v>
      </c>
      <c r="BD50" s="3">
        <v>5</v>
      </c>
      <c r="BE50" s="3">
        <v>5</v>
      </c>
      <c r="BF50" s="3">
        <v>5</v>
      </c>
      <c r="BG50" s="3">
        <v>5</v>
      </c>
      <c r="BH50" s="3">
        <v>5</v>
      </c>
      <c r="BI50" s="3">
        <v>5</v>
      </c>
      <c r="BJ50" s="3">
        <v>5</v>
      </c>
      <c r="BK50" s="3">
        <v>5</v>
      </c>
      <c r="BL50" s="3">
        <v>5</v>
      </c>
      <c r="BM50" s="3">
        <v>5</v>
      </c>
      <c r="BN50" s="3">
        <v>5</v>
      </c>
      <c r="BO50" s="3">
        <v>5</v>
      </c>
      <c r="BP50" s="3" t="s">
        <v>211</v>
      </c>
    </row>
    <row r="51" spans="1:68" ht="22.5" customHeight="1" x14ac:dyDescent="0.25">
      <c r="A51" s="2">
        <v>45967.65177261574</v>
      </c>
      <c r="B51" s="3" t="s">
        <v>212</v>
      </c>
      <c r="C51" s="3" t="s">
        <v>86</v>
      </c>
      <c r="D51" s="3" t="s">
        <v>213</v>
      </c>
      <c r="E51" s="3" t="s">
        <v>77</v>
      </c>
      <c r="F51" s="3" t="s">
        <v>78</v>
      </c>
      <c r="G51" s="3" t="s">
        <v>79</v>
      </c>
      <c r="H51" s="3">
        <v>5</v>
      </c>
      <c r="I51" s="3">
        <v>4</v>
      </c>
      <c r="J51" s="3">
        <v>5</v>
      </c>
      <c r="K51" s="3">
        <v>4</v>
      </c>
      <c r="L51" s="3">
        <v>5</v>
      </c>
      <c r="M51" s="3">
        <v>5</v>
      </c>
      <c r="N51" s="3">
        <v>4</v>
      </c>
      <c r="O51" s="3">
        <v>5</v>
      </c>
      <c r="P51" s="3">
        <v>3</v>
      </c>
      <c r="Q51" s="3">
        <v>5</v>
      </c>
      <c r="R51" s="3">
        <v>4</v>
      </c>
      <c r="S51" s="3">
        <v>5</v>
      </c>
      <c r="T51" s="3">
        <v>4</v>
      </c>
      <c r="U51" s="3">
        <v>5</v>
      </c>
      <c r="V51" s="3">
        <v>5</v>
      </c>
      <c r="W51" s="3">
        <v>4</v>
      </c>
      <c r="X51" s="3">
        <v>4</v>
      </c>
      <c r="Y51" s="3">
        <v>4</v>
      </c>
      <c r="Z51" s="3">
        <v>3</v>
      </c>
      <c r="AA51" s="3">
        <v>4</v>
      </c>
      <c r="AB51" s="3">
        <v>5</v>
      </c>
      <c r="AC51" s="3">
        <v>4</v>
      </c>
      <c r="AD51" s="3">
        <v>5</v>
      </c>
      <c r="AE51" s="3">
        <v>4</v>
      </c>
      <c r="AF51" s="3">
        <v>3</v>
      </c>
      <c r="AG51" s="3">
        <v>4</v>
      </c>
      <c r="AH51" s="3">
        <v>5</v>
      </c>
      <c r="AI51" s="3">
        <v>5</v>
      </c>
      <c r="AJ51" s="3">
        <v>4</v>
      </c>
      <c r="AK51" s="3">
        <v>5</v>
      </c>
      <c r="AL51" s="3">
        <v>5</v>
      </c>
      <c r="AM51" s="3">
        <v>4</v>
      </c>
      <c r="AN51" s="3">
        <v>4</v>
      </c>
      <c r="AO51" s="3">
        <v>5</v>
      </c>
      <c r="AP51" s="3">
        <v>3</v>
      </c>
      <c r="AQ51" s="3">
        <v>3</v>
      </c>
      <c r="AR51" s="3">
        <v>5</v>
      </c>
      <c r="AS51" s="3">
        <v>4</v>
      </c>
      <c r="AT51" s="3">
        <v>3</v>
      </c>
      <c r="AU51" s="3">
        <v>4</v>
      </c>
      <c r="AV51" s="3">
        <v>5</v>
      </c>
      <c r="AW51" s="3">
        <v>5</v>
      </c>
      <c r="AX51" s="3">
        <v>4</v>
      </c>
      <c r="AY51" s="3">
        <v>5</v>
      </c>
      <c r="AZ51" s="3">
        <v>4</v>
      </c>
      <c r="BA51" s="3">
        <v>4</v>
      </c>
      <c r="BB51" s="3">
        <v>5</v>
      </c>
      <c r="BC51" s="3">
        <v>4</v>
      </c>
      <c r="BD51" s="3">
        <v>5</v>
      </c>
      <c r="BE51" s="3">
        <v>5</v>
      </c>
      <c r="BF51" s="3">
        <v>4</v>
      </c>
      <c r="BG51" s="3">
        <v>3</v>
      </c>
      <c r="BH51" s="3">
        <v>4</v>
      </c>
      <c r="BI51" s="3">
        <v>5</v>
      </c>
      <c r="BJ51" s="3">
        <v>5</v>
      </c>
      <c r="BK51" s="3">
        <v>4</v>
      </c>
      <c r="BL51" s="3">
        <v>3</v>
      </c>
      <c r="BM51" s="3">
        <v>4</v>
      </c>
      <c r="BN51" s="3">
        <v>5</v>
      </c>
      <c r="BO51" s="3">
        <v>4</v>
      </c>
      <c r="BP51" s="3" t="s">
        <v>214</v>
      </c>
    </row>
    <row r="52" spans="1:68" ht="22.5" customHeight="1" x14ac:dyDescent="0.25">
      <c r="A52" s="2">
        <v>45967.652203831021</v>
      </c>
      <c r="C52" s="3" t="s">
        <v>86</v>
      </c>
      <c r="D52" s="3" t="s">
        <v>213</v>
      </c>
      <c r="E52" s="3" t="s">
        <v>119</v>
      </c>
      <c r="F52" s="3" t="s">
        <v>88</v>
      </c>
      <c r="G52" s="3" t="s">
        <v>83</v>
      </c>
      <c r="H52" s="3">
        <v>4</v>
      </c>
      <c r="I52" s="3">
        <v>4</v>
      </c>
      <c r="J52" s="3">
        <v>4</v>
      </c>
      <c r="K52" s="3">
        <v>3</v>
      </c>
      <c r="L52" s="3">
        <v>4</v>
      </c>
      <c r="M52" s="3">
        <v>3</v>
      </c>
      <c r="N52" s="3">
        <v>3</v>
      </c>
      <c r="O52" s="3">
        <v>4</v>
      </c>
      <c r="P52" s="3">
        <v>4</v>
      </c>
      <c r="Q52" s="3">
        <v>4</v>
      </c>
      <c r="R52" s="3">
        <v>4</v>
      </c>
      <c r="S52" s="3">
        <v>4</v>
      </c>
      <c r="T52" s="3">
        <v>4</v>
      </c>
      <c r="U52" s="3">
        <v>4</v>
      </c>
      <c r="V52" s="3">
        <v>3</v>
      </c>
      <c r="W52" s="3">
        <v>3</v>
      </c>
      <c r="X52" s="3">
        <v>3</v>
      </c>
      <c r="Y52" s="3">
        <v>4</v>
      </c>
      <c r="Z52" s="3">
        <v>4</v>
      </c>
      <c r="AA52" s="3">
        <v>3</v>
      </c>
      <c r="AB52" s="3">
        <v>3</v>
      </c>
      <c r="AC52" s="3">
        <v>3</v>
      </c>
      <c r="AD52" s="3">
        <v>4</v>
      </c>
      <c r="AE52" s="3">
        <v>4</v>
      </c>
      <c r="AF52" s="3">
        <v>4</v>
      </c>
      <c r="AG52" s="3">
        <v>4</v>
      </c>
      <c r="AH52" s="3">
        <v>4</v>
      </c>
      <c r="AI52" s="3">
        <v>4</v>
      </c>
      <c r="AJ52" s="3">
        <v>4</v>
      </c>
      <c r="AK52" s="3">
        <v>4</v>
      </c>
      <c r="AL52" s="3">
        <v>4</v>
      </c>
      <c r="AM52" s="3">
        <v>4</v>
      </c>
      <c r="AN52" s="3">
        <v>4</v>
      </c>
      <c r="AO52" s="3">
        <v>4</v>
      </c>
      <c r="AP52" s="3">
        <v>4</v>
      </c>
      <c r="AQ52" s="3">
        <v>4</v>
      </c>
      <c r="AR52" s="3">
        <v>4</v>
      </c>
      <c r="AS52" s="3">
        <v>4</v>
      </c>
      <c r="AT52" s="3">
        <v>4</v>
      </c>
      <c r="AU52" s="3">
        <v>4</v>
      </c>
      <c r="AV52" s="3">
        <v>4</v>
      </c>
      <c r="AW52" s="3">
        <v>4</v>
      </c>
      <c r="AX52" s="3">
        <v>4</v>
      </c>
      <c r="AY52" s="3">
        <v>4</v>
      </c>
      <c r="AZ52" s="3">
        <v>4</v>
      </c>
      <c r="BA52" s="3">
        <v>4</v>
      </c>
      <c r="BB52" s="3">
        <v>3</v>
      </c>
      <c r="BC52" s="3">
        <v>4</v>
      </c>
      <c r="BD52" s="3">
        <v>3</v>
      </c>
      <c r="BE52" s="3">
        <v>3</v>
      </c>
      <c r="BF52" s="3">
        <v>3</v>
      </c>
      <c r="BG52" s="3">
        <v>3</v>
      </c>
      <c r="BH52" s="3">
        <v>4</v>
      </c>
      <c r="BI52" s="3">
        <v>4</v>
      </c>
      <c r="BJ52" s="3">
        <v>4</v>
      </c>
      <c r="BK52" s="3">
        <v>4</v>
      </c>
      <c r="BL52" s="3">
        <v>4</v>
      </c>
      <c r="BM52" s="3">
        <v>4</v>
      </c>
      <c r="BN52" s="3">
        <v>4</v>
      </c>
      <c r="BO52" s="3">
        <v>4</v>
      </c>
      <c r="BP52" s="3" t="s">
        <v>215</v>
      </c>
    </row>
    <row r="53" spans="1:68" ht="22.5" customHeight="1" x14ac:dyDescent="0.25">
      <c r="A53" s="2">
        <v>45967.652856122688</v>
      </c>
      <c r="B53" s="3" t="s">
        <v>216</v>
      </c>
      <c r="C53" s="3" t="s">
        <v>69</v>
      </c>
      <c r="D53" s="3" t="s">
        <v>217</v>
      </c>
      <c r="E53" s="3" t="s">
        <v>141</v>
      </c>
      <c r="F53" s="3" t="s">
        <v>78</v>
      </c>
      <c r="G53" s="3" t="s">
        <v>79</v>
      </c>
      <c r="H53" s="3">
        <v>5</v>
      </c>
      <c r="I53" s="3">
        <v>4</v>
      </c>
      <c r="J53" s="3">
        <v>5</v>
      </c>
      <c r="K53" s="3">
        <v>4</v>
      </c>
      <c r="L53" s="3">
        <v>4</v>
      </c>
      <c r="M53" s="3">
        <v>3</v>
      </c>
      <c r="N53" s="3">
        <v>3</v>
      </c>
      <c r="O53" s="3">
        <v>5</v>
      </c>
      <c r="P53" s="3">
        <v>5</v>
      </c>
      <c r="Q53" s="3">
        <v>5</v>
      </c>
      <c r="R53" s="3">
        <v>4</v>
      </c>
      <c r="S53" s="3">
        <v>5</v>
      </c>
      <c r="T53" s="3">
        <v>5</v>
      </c>
      <c r="U53" s="3">
        <v>5</v>
      </c>
      <c r="V53" s="3">
        <v>4</v>
      </c>
      <c r="W53" s="3">
        <v>3</v>
      </c>
      <c r="X53" s="3">
        <v>4</v>
      </c>
      <c r="Y53" s="3">
        <v>3</v>
      </c>
      <c r="Z53" s="3">
        <v>4</v>
      </c>
      <c r="AA53" s="3">
        <v>5</v>
      </c>
      <c r="AB53" s="3">
        <v>3</v>
      </c>
      <c r="AC53" s="3">
        <v>2</v>
      </c>
      <c r="AD53" s="3">
        <v>5</v>
      </c>
      <c r="AE53" s="3">
        <v>5</v>
      </c>
      <c r="AF53" s="3">
        <v>5</v>
      </c>
      <c r="AG53" s="3">
        <v>5</v>
      </c>
      <c r="AH53" s="3">
        <v>5</v>
      </c>
      <c r="AI53" s="3">
        <v>4</v>
      </c>
      <c r="AJ53" s="3">
        <v>4</v>
      </c>
      <c r="AK53" s="3">
        <v>4</v>
      </c>
      <c r="AL53" s="3">
        <v>4</v>
      </c>
      <c r="AM53" s="3">
        <v>3</v>
      </c>
      <c r="AN53" s="3">
        <v>2</v>
      </c>
      <c r="AO53" s="3">
        <v>3</v>
      </c>
      <c r="AP53" s="3">
        <v>4</v>
      </c>
      <c r="AQ53" s="3">
        <v>4</v>
      </c>
      <c r="AR53" s="3">
        <v>4</v>
      </c>
      <c r="AS53" s="3">
        <v>4</v>
      </c>
      <c r="AT53" s="3">
        <v>3</v>
      </c>
      <c r="AU53" s="3">
        <v>4</v>
      </c>
      <c r="AV53" s="3">
        <v>4</v>
      </c>
      <c r="AW53" s="3">
        <v>4</v>
      </c>
      <c r="AX53" s="3">
        <v>4</v>
      </c>
      <c r="AY53" s="3">
        <v>4</v>
      </c>
      <c r="AZ53" s="3">
        <v>4</v>
      </c>
      <c r="BA53" s="3">
        <v>4</v>
      </c>
      <c r="BB53" s="3">
        <v>2</v>
      </c>
      <c r="BC53" s="3">
        <v>4</v>
      </c>
      <c r="BD53" s="3">
        <v>2</v>
      </c>
      <c r="BE53" s="3">
        <v>2</v>
      </c>
      <c r="BF53" s="3">
        <v>2</v>
      </c>
      <c r="BG53" s="3">
        <v>4</v>
      </c>
      <c r="BH53" s="3">
        <v>4</v>
      </c>
      <c r="BI53" s="3">
        <v>4</v>
      </c>
      <c r="BJ53" s="3">
        <v>4</v>
      </c>
      <c r="BK53" s="3">
        <v>4</v>
      </c>
      <c r="BL53" s="3">
        <v>4</v>
      </c>
      <c r="BM53" s="3">
        <v>4</v>
      </c>
      <c r="BN53" s="3">
        <v>4</v>
      </c>
      <c r="BO53" s="3">
        <v>4</v>
      </c>
      <c r="BP53" s="3" t="s">
        <v>218</v>
      </c>
    </row>
    <row r="54" spans="1:68" ht="22.5" customHeight="1" x14ac:dyDescent="0.25">
      <c r="A54" s="2">
        <v>45967.657765069445</v>
      </c>
      <c r="B54" s="3" t="s">
        <v>219</v>
      </c>
      <c r="C54" s="3" t="s">
        <v>69</v>
      </c>
      <c r="D54" s="3" t="s">
        <v>70</v>
      </c>
      <c r="E54" s="3" t="s">
        <v>77</v>
      </c>
      <c r="F54" s="3" t="s">
        <v>88</v>
      </c>
      <c r="G54" s="3" t="s">
        <v>83</v>
      </c>
      <c r="H54" s="3">
        <v>5</v>
      </c>
      <c r="I54" s="3">
        <v>5</v>
      </c>
      <c r="J54" s="3">
        <v>3</v>
      </c>
      <c r="K54" s="3">
        <v>5</v>
      </c>
      <c r="L54" s="3">
        <v>5</v>
      </c>
      <c r="M54" s="3">
        <v>3</v>
      </c>
      <c r="N54" s="3">
        <v>4</v>
      </c>
      <c r="O54" s="3">
        <v>4</v>
      </c>
      <c r="P54" s="3">
        <v>5</v>
      </c>
      <c r="Q54" s="3">
        <v>5</v>
      </c>
      <c r="R54" s="3">
        <v>5</v>
      </c>
      <c r="S54" s="3">
        <v>5</v>
      </c>
      <c r="T54" s="3">
        <v>5</v>
      </c>
      <c r="U54" s="3">
        <v>5</v>
      </c>
      <c r="V54" s="3">
        <v>3</v>
      </c>
      <c r="W54" s="3">
        <v>4</v>
      </c>
      <c r="X54" s="3">
        <v>5</v>
      </c>
      <c r="Y54" s="3">
        <v>4</v>
      </c>
      <c r="Z54" s="3">
        <v>5</v>
      </c>
      <c r="AA54" s="3">
        <v>5</v>
      </c>
      <c r="AB54" s="3">
        <v>4</v>
      </c>
      <c r="AC54" s="3">
        <v>5</v>
      </c>
      <c r="AD54" s="3">
        <v>5</v>
      </c>
      <c r="AE54" s="3">
        <v>4</v>
      </c>
      <c r="AF54" s="3">
        <v>4</v>
      </c>
      <c r="AG54" s="3">
        <v>4</v>
      </c>
      <c r="AH54" s="3">
        <v>3</v>
      </c>
      <c r="AI54" s="3">
        <v>5</v>
      </c>
      <c r="AJ54" s="3">
        <v>5</v>
      </c>
      <c r="AK54" s="3">
        <v>5</v>
      </c>
      <c r="AL54" s="3">
        <v>5</v>
      </c>
      <c r="AM54" s="3">
        <v>5</v>
      </c>
      <c r="AN54" s="3">
        <v>2</v>
      </c>
      <c r="AO54" s="3">
        <v>3</v>
      </c>
      <c r="AP54" s="3">
        <v>4</v>
      </c>
      <c r="AQ54" s="3">
        <v>3</v>
      </c>
      <c r="AR54" s="3">
        <v>3</v>
      </c>
      <c r="AS54" s="3">
        <v>4</v>
      </c>
      <c r="AT54" s="3">
        <v>4</v>
      </c>
      <c r="AU54" s="3">
        <v>4</v>
      </c>
      <c r="AV54" s="3">
        <v>4</v>
      </c>
      <c r="AW54" s="3">
        <v>5</v>
      </c>
      <c r="AX54" s="3">
        <v>5</v>
      </c>
      <c r="AY54" s="3">
        <v>5</v>
      </c>
      <c r="AZ54" s="3">
        <v>5</v>
      </c>
      <c r="BA54" s="3">
        <v>4</v>
      </c>
      <c r="BB54" s="3">
        <v>3</v>
      </c>
      <c r="BC54" s="3">
        <v>4</v>
      </c>
      <c r="BD54" s="3">
        <v>3</v>
      </c>
      <c r="BE54" s="3">
        <v>4</v>
      </c>
      <c r="BF54" s="3">
        <v>3</v>
      </c>
      <c r="BG54" s="3">
        <v>5</v>
      </c>
      <c r="BH54" s="3">
        <v>5</v>
      </c>
      <c r="BI54" s="3">
        <v>5</v>
      </c>
      <c r="BJ54" s="3">
        <v>5</v>
      </c>
      <c r="BK54" s="3">
        <v>5</v>
      </c>
      <c r="BL54" s="3">
        <v>5</v>
      </c>
      <c r="BM54" s="3">
        <v>5</v>
      </c>
      <c r="BN54" s="3">
        <v>4</v>
      </c>
      <c r="BO54" s="3">
        <v>5</v>
      </c>
      <c r="BP54" s="3" t="s">
        <v>220</v>
      </c>
    </row>
    <row r="55" spans="1:68" ht="22.5" customHeight="1" x14ac:dyDescent="0.25">
      <c r="A55" s="2">
        <v>45967.660582500001</v>
      </c>
      <c r="B55" s="3" t="s">
        <v>221</v>
      </c>
      <c r="C55" s="3" t="s">
        <v>69</v>
      </c>
      <c r="D55" s="3" t="s">
        <v>222</v>
      </c>
      <c r="E55" s="3" t="s">
        <v>119</v>
      </c>
      <c r="F55" s="3" t="s">
        <v>103</v>
      </c>
      <c r="G55" s="3" t="s">
        <v>91</v>
      </c>
      <c r="H55" s="3">
        <v>5</v>
      </c>
      <c r="I55" s="3">
        <v>5</v>
      </c>
      <c r="J55" s="3">
        <v>5</v>
      </c>
      <c r="K55" s="3">
        <v>5</v>
      </c>
      <c r="L55" s="3">
        <v>5</v>
      </c>
      <c r="M55" s="3">
        <v>5</v>
      </c>
      <c r="N55" s="3">
        <v>4</v>
      </c>
      <c r="O55" s="3">
        <v>3</v>
      </c>
      <c r="P55" s="3">
        <v>3</v>
      </c>
      <c r="Q55" s="3">
        <v>5</v>
      </c>
      <c r="R55" s="3">
        <v>5</v>
      </c>
      <c r="S55" s="3">
        <v>5</v>
      </c>
      <c r="T55" s="3">
        <v>5</v>
      </c>
      <c r="U55" s="3">
        <v>5</v>
      </c>
      <c r="V55" s="3">
        <v>5</v>
      </c>
      <c r="W55" s="3">
        <v>5</v>
      </c>
      <c r="X55" s="3">
        <v>4</v>
      </c>
      <c r="Y55" s="3">
        <v>4</v>
      </c>
      <c r="Z55" s="3">
        <v>3</v>
      </c>
      <c r="AA55" s="3">
        <v>4</v>
      </c>
      <c r="AB55" s="3">
        <v>4</v>
      </c>
      <c r="AC55" s="3">
        <v>4</v>
      </c>
      <c r="AD55" s="3">
        <v>5</v>
      </c>
      <c r="AE55" s="3">
        <v>4</v>
      </c>
      <c r="AF55" s="3">
        <v>4</v>
      </c>
      <c r="AG55" s="3">
        <v>4</v>
      </c>
      <c r="AH55" s="3">
        <v>4</v>
      </c>
      <c r="AI55" s="3">
        <v>3</v>
      </c>
      <c r="AJ55" s="3">
        <v>3</v>
      </c>
      <c r="AK55" s="3">
        <v>3</v>
      </c>
      <c r="AL55" s="3">
        <v>3</v>
      </c>
      <c r="AM55" s="3">
        <v>3</v>
      </c>
      <c r="AN55" s="3">
        <v>3</v>
      </c>
      <c r="AO55" s="3">
        <v>3</v>
      </c>
      <c r="AP55" s="3">
        <v>4</v>
      </c>
      <c r="AQ55" s="3">
        <v>3</v>
      </c>
      <c r="AR55" s="3">
        <v>3</v>
      </c>
      <c r="AS55" s="3">
        <v>3</v>
      </c>
      <c r="AT55" s="3">
        <v>3</v>
      </c>
      <c r="AU55" s="3">
        <v>3</v>
      </c>
      <c r="AV55" s="3">
        <v>3</v>
      </c>
      <c r="AW55" s="3">
        <v>5</v>
      </c>
      <c r="AX55" s="3">
        <v>5</v>
      </c>
      <c r="AY55" s="3">
        <v>4</v>
      </c>
      <c r="AZ55" s="3">
        <v>4</v>
      </c>
      <c r="BA55" s="3">
        <v>4</v>
      </c>
      <c r="BB55" s="3">
        <v>4</v>
      </c>
      <c r="BC55" s="3">
        <v>5</v>
      </c>
      <c r="BD55" s="3">
        <v>4</v>
      </c>
      <c r="BE55" s="3">
        <v>4</v>
      </c>
      <c r="BF55" s="3">
        <v>3</v>
      </c>
      <c r="BG55" s="3">
        <v>4</v>
      </c>
      <c r="BH55" s="3">
        <v>4</v>
      </c>
      <c r="BI55" s="3">
        <v>4</v>
      </c>
      <c r="BJ55" s="3">
        <v>4</v>
      </c>
      <c r="BK55" s="3">
        <v>4</v>
      </c>
      <c r="BL55" s="3">
        <v>4</v>
      </c>
      <c r="BM55" s="3">
        <v>4</v>
      </c>
      <c r="BN55" s="3">
        <v>4</v>
      </c>
      <c r="BO55" s="3">
        <v>4</v>
      </c>
      <c r="BP55" s="3" t="s">
        <v>223</v>
      </c>
    </row>
    <row r="56" spans="1:68" ht="22.5" customHeight="1" x14ac:dyDescent="0.25">
      <c r="A56" s="2">
        <v>45967.662342314812</v>
      </c>
      <c r="B56" s="3" t="s">
        <v>224</v>
      </c>
      <c r="C56" s="3" t="s">
        <v>69</v>
      </c>
      <c r="D56" s="3" t="s">
        <v>225</v>
      </c>
      <c r="E56" s="3" t="s">
        <v>71</v>
      </c>
      <c r="F56" s="3" t="s">
        <v>82</v>
      </c>
      <c r="G56" s="3" t="s">
        <v>73</v>
      </c>
      <c r="H56" s="3">
        <v>5</v>
      </c>
      <c r="I56" s="3">
        <v>5</v>
      </c>
      <c r="J56" s="3">
        <v>5</v>
      </c>
      <c r="K56" s="3">
        <v>4</v>
      </c>
      <c r="L56" s="3">
        <v>4</v>
      </c>
      <c r="M56" s="3">
        <v>4</v>
      </c>
      <c r="N56" s="3">
        <v>4</v>
      </c>
      <c r="O56" s="3">
        <v>4</v>
      </c>
      <c r="P56" s="3">
        <v>4</v>
      </c>
      <c r="Q56" s="3">
        <v>4</v>
      </c>
      <c r="R56" s="3">
        <v>4</v>
      </c>
      <c r="S56" s="3">
        <v>4</v>
      </c>
      <c r="T56" s="3">
        <v>4</v>
      </c>
      <c r="U56" s="3">
        <v>4</v>
      </c>
      <c r="V56" s="3">
        <v>4</v>
      </c>
      <c r="W56" s="3">
        <v>4</v>
      </c>
      <c r="X56" s="3">
        <v>4</v>
      </c>
      <c r="Y56" s="3">
        <v>4</v>
      </c>
      <c r="Z56" s="3">
        <v>4</v>
      </c>
      <c r="AA56" s="3">
        <v>4</v>
      </c>
      <c r="AB56" s="3">
        <v>4</v>
      </c>
      <c r="AC56" s="3">
        <v>4</v>
      </c>
      <c r="AD56" s="3">
        <v>4</v>
      </c>
      <c r="AE56" s="3">
        <v>4</v>
      </c>
      <c r="AF56" s="3">
        <v>4</v>
      </c>
      <c r="AG56" s="3">
        <v>4</v>
      </c>
      <c r="AH56" s="3">
        <v>4</v>
      </c>
      <c r="AI56" s="3">
        <v>4</v>
      </c>
      <c r="AJ56" s="3">
        <v>4</v>
      </c>
      <c r="AK56" s="3">
        <v>4</v>
      </c>
      <c r="AL56" s="3">
        <v>4</v>
      </c>
      <c r="AM56" s="3">
        <v>4</v>
      </c>
      <c r="AN56" s="3">
        <v>4</v>
      </c>
      <c r="AO56" s="3">
        <v>4</v>
      </c>
      <c r="AP56" s="3">
        <v>4</v>
      </c>
      <c r="AQ56" s="3">
        <v>4</v>
      </c>
      <c r="AR56" s="3">
        <v>4</v>
      </c>
      <c r="AS56" s="3">
        <v>4</v>
      </c>
      <c r="AT56" s="3">
        <v>4</v>
      </c>
      <c r="AU56" s="3">
        <v>4</v>
      </c>
      <c r="AV56" s="3">
        <v>4</v>
      </c>
      <c r="AW56" s="3">
        <v>4</v>
      </c>
      <c r="AX56" s="3">
        <v>4</v>
      </c>
      <c r="AY56" s="3">
        <v>4</v>
      </c>
      <c r="AZ56" s="3">
        <v>4</v>
      </c>
      <c r="BA56" s="3">
        <v>4</v>
      </c>
      <c r="BB56" s="3">
        <v>4</v>
      </c>
      <c r="BC56" s="3">
        <v>4</v>
      </c>
      <c r="BD56" s="3">
        <v>4</v>
      </c>
      <c r="BE56" s="3">
        <v>4</v>
      </c>
      <c r="BF56" s="3">
        <v>4</v>
      </c>
      <c r="BG56" s="3">
        <v>4</v>
      </c>
      <c r="BH56" s="3">
        <v>4</v>
      </c>
      <c r="BI56" s="3">
        <v>4</v>
      </c>
      <c r="BJ56" s="3">
        <v>4</v>
      </c>
      <c r="BK56" s="3">
        <v>4</v>
      </c>
      <c r="BL56" s="3">
        <v>4</v>
      </c>
      <c r="BM56" s="3">
        <v>4</v>
      </c>
      <c r="BN56" s="3">
        <v>4</v>
      </c>
      <c r="BO56" s="3">
        <v>4</v>
      </c>
      <c r="BP56" s="3" t="s">
        <v>226</v>
      </c>
    </row>
    <row r="57" spans="1:68" ht="22.5" customHeight="1" x14ac:dyDescent="0.25">
      <c r="A57" s="2">
        <v>45967.664748194446</v>
      </c>
      <c r="B57" s="3" t="s">
        <v>227</v>
      </c>
      <c r="C57" s="3" t="s">
        <v>69</v>
      </c>
      <c r="D57" s="3" t="s">
        <v>228</v>
      </c>
      <c r="E57" s="3" t="s">
        <v>77</v>
      </c>
      <c r="F57" s="3" t="s">
        <v>82</v>
      </c>
      <c r="G57" s="3" t="s">
        <v>91</v>
      </c>
      <c r="H57" s="3">
        <v>4</v>
      </c>
      <c r="I57" s="3">
        <v>4</v>
      </c>
      <c r="J57" s="3">
        <v>4</v>
      </c>
      <c r="K57" s="3">
        <v>4</v>
      </c>
      <c r="L57" s="3">
        <v>4</v>
      </c>
      <c r="M57" s="3">
        <v>3</v>
      </c>
      <c r="N57" s="3">
        <v>3</v>
      </c>
      <c r="O57" s="3">
        <v>4</v>
      </c>
      <c r="P57" s="3">
        <v>5</v>
      </c>
      <c r="Q57" s="3">
        <v>4</v>
      </c>
      <c r="R57" s="3">
        <v>4</v>
      </c>
      <c r="S57" s="3">
        <v>4</v>
      </c>
      <c r="T57" s="3">
        <v>4</v>
      </c>
      <c r="U57" s="3">
        <v>4</v>
      </c>
      <c r="V57" s="3">
        <v>4</v>
      </c>
      <c r="W57" s="3">
        <v>3</v>
      </c>
      <c r="X57" s="3">
        <v>3</v>
      </c>
      <c r="Y57" s="3">
        <v>4</v>
      </c>
      <c r="Z57" s="3">
        <v>3</v>
      </c>
      <c r="AA57" s="3">
        <v>4</v>
      </c>
      <c r="AB57" s="3">
        <v>3</v>
      </c>
      <c r="AC57" s="3">
        <v>2</v>
      </c>
      <c r="AD57" s="3">
        <v>4</v>
      </c>
      <c r="AE57" s="3">
        <v>4</v>
      </c>
      <c r="AF57" s="3">
        <v>4</v>
      </c>
      <c r="AG57" s="3">
        <v>4</v>
      </c>
      <c r="AH57" s="3">
        <v>4</v>
      </c>
      <c r="AI57" s="3">
        <v>4</v>
      </c>
      <c r="AJ57" s="3">
        <v>4</v>
      </c>
      <c r="AK57" s="3">
        <v>5</v>
      </c>
      <c r="AL57" s="3">
        <v>4</v>
      </c>
      <c r="AM57" s="3">
        <v>4</v>
      </c>
      <c r="AN57" s="3">
        <v>4</v>
      </c>
      <c r="AO57" s="3">
        <v>4</v>
      </c>
      <c r="AP57" s="3">
        <v>4</v>
      </c>
      <c r="AQ57" s="3">
        <v>4</v>
      </c>
      <c r="AR57" s="3">
        <v>4</v>
      </c>
      <c r="AS57" s="3">
        <v>4</v>
      </c>
      <c r="AT57" s="3">
        <v>4</v>
      </c>
      <c r="AU57" s="3">
        <v>4</v>
      </c>
      <c r="AV57" s="3">
        <v>4</v>
      </c>
      <c r="AW57" s="3">
        <v>5</v>
      </c>
      <c r="AX57" s="3">
        <v>4</v>
      </c>
      <c r="AY57" s="3">
        <v>4</v>
      </c>
      <c r="AZ57" s="3">
        <v>4</v>
      </c>
      <c r="BA57" s="3">
        <v>4</v>
      </c>
      <c r="BB57" s="3">
        <v>3</v>
      </c>
      <c r="BC57" s="3">
        <v>3</v>
      </c>
      <c r="BD57" s="3">
        <v>3</v>
      </c>
      <c r="BE57" s="3">
        <v>3</v>
      </c>
      <c r="BF57" s="3">
        <v>3</v>
      </c>
      <c r="BG57" s="3">
        <v>4</v>
      </c>
      <c r="BH57" s="3">
        <v>4</v>
      </c>
      <c r="BI57" s="3">
        <v>5</v>
      </c>
      <c r="BJ57" s="3">
        <v>4</v>
      </c>
      <c r="BK57" s="3">
        <v>3</v>
      </c>
      <c r="BL57" s="3">
        <v>4</v>
      </c>
      <c r="BM57" s="3">
        <v>5</v>
      </c>
      <c r="BN57" s="3">
        <v>4</v>
      </c>
      <c r="BO57" s="3">
        <v>5</v>
      </c>
      <c r="BP57" s="3" t="s">
        <v>229</v>
      </c>
    </row>
    <row r="58" spans="1:68" ht="22.5" customHeight="1" x14ac:dyDescent="0.25">
      <c r="A58" s="2">
        <v>45967.665187743056</v>
      </c>
      <c r="B58" s="3" t="s">
        <v>230</v>
      </c>
      <c r="C58" s="3" t="s">
        <v>86</v>
      </c>
      <c r="D58" s="3" t="s">
        <v>225</v>
      </c>
      <c r="E58" s="3" t="s">
        <v>87</v>
      </c>
      <c r="F58" s="3" t="s">
        <v>88</v>
      </c>
      <c r="G58" s="3" t="s">
        <v>83</v>
      </c>
      <c r="H58" s="3">
        <v>5</v>
      </c>
      <c r="I58" s="3">
        <v>4</v>
      </c>
      <c r="J58" s="3">
        <v>5</v>
      </c>
      <c r="K58" s="3">
        <v>4</v>
      </c>
      <c r="L58" s="3">
        <v>5</v>
      </c>
      <c r="M58" s="3">
        <v>4</v>
      </c>
      <c r="N58" s="3">
        <v>3</v>
      </c>
      <c r="O58" s="3">
        <v>4</v>
      </c>
      <c r="P58" s="3">
        <v>4</v>
      </c>
      <c r="Q58" s="3">
        <v>4</v>
      </c>
      <c r="R58" s="3">
        <v>5</v>
      </c>
      <c r="S58" s="3">
        <v>4</v>
      </c>
      <c r="T58" s="3">
        <v>5</v>
      </c>
      <c r="U58" s="3">
        <v>5</v>
      </c>
      <c r="V58" s="3">
        <v>4</v>
      </c>
      <c r="W58" s="3">
        <v>4</v>
      </c>
      <c r="X58" s="3">
        <v>5</v>
      </c>
      <c r="Y58" s="3">
        <v>4</v>
      </c>
      <c r="Z58" s="3">
        <v>4</v>
      </c>
      <c r="AA58" s="3">
        <v>5</v>
      </c>
      <c r="AB58" s="3">
        <v>5</v>
      </c>
      <c r="AC58" s="3">
        <v>5</v>
      </c>
      <c r="AD58" s="3">
        <v>5</v>
      </c>
      <c r="AE58" s="3">
        <v>5</v>
      </c>
      <c r="AF58" s="3">
        <v>4</v>
      </c>
      <c r="AG58" s="3">
        <v>5</v>
      </c>
      <c r="AH58" s="3">
        <v>3</v>
      </c>
      <c r="AI58" s="3">
        <v>4</v>
      </c>
      <c r="AJ58" s="3">
        <v>5</v>
      </c>
      <c r="AK58" s="3">
        <v>5</v>
      </c>
      <c r="AL58" s="3">
        <v>4</v>
      </c>
      <c r="AM58" s="3">
        <v>4</v>
      </c>
      <c r="AN58" s="3">
        <v>4</v>
      </c>
      <c r="AO58" s="3">
        <v>4</v>
      </c>
      <c r="AP58" s="3">
        <v>4</v>
      </c>
      <c r="AQ58" s="3">
        <v>4</v>
      </c>
      <c r="AR58" s="3">
        <v>4</v>
      </c>
      <c r="AS58" s="3">
        <v>3</v>
      </c>
      <c r="AT58" s="3">
        <v>3</v>
      </c>
      <c r="AU58" s="3">
        <v>4</v>
      </c>
      <c r="AV58" s="3">
        <v>4</v>
      </c>
      <c r="AW58" s="3">
        <v>5</v>
      </c>
      <c r="AX58" s="3">
        <v>5</v>
      </c>
      <c r="AY58" s="3">
        <v>4</v>
      </c>
      <c r="AZ58" s="3">
        <v>4</v>
      </c>
      <c r="BA58" s="3">
        <v>3</v>
      </c>
      <c r="BB58" s="3">
        <v>4</v>
      </c>
      <c r="BC58" s="3">
        <v>3</v>
      </c>
      <c r="BD58" s="3">
        <v>3</v>
      </c>
      <c r="BE58" s="3">
        <v>3</v>
      </c>
      <c r="BF58" s="3">
        <v>3</v>
      </c>
      <c r="BG58" s="3">
        <v>3</v>
      </c>
      <c r="BH58" s="3">
        <v>4</v>
      </c>
      <c r="BI58" s="3">
        <v>4</v>
      </c>
      <c r="BJ58" s="3">
        <v>4</v>
      </c>
      <c r="BK58" s="3">
        <v>4</v>
      </c>
      <c r="BL58" s="3">
        <v>4</v>
      </c>
      <c r="BM58" s="3">
        <v>4</v>
      </c>
      <c r="BN58" s="3">
        <v>4</v>
      </c>
      <c r="BO58" s="3">
        <v>4</v>
      </c>
      <c r="BP58" s="3" t="s">
        <v>231</v>
      </c>
    </row>
    <row r="59" spans="1:68" ht="22.5" customHeight="1" x14ac:dyDescent="0.25">
      <c r="A59" s="2">
        <v>45967.667204791665</v>
      </c>
      <c r="B59" s="3" t="s">
        <v>232</v>
      </c>
      <c r="C59" s="3" t="s">
        <v>69</v>
      </c>
      <c r="D59" s="3" t="s">
        <v>213</v>
      </c>
      <c r="E59" s="3" t="s">
        <v>119</v>
      </c>
      <c r="F59" s="3" t="s">
        <v>82</v>
      </c>
      <c r="G59" s="3" t="s">
        <v>83</v>
      </c>
      <c r="H59" s="3">
        <v>4</v>
      </c>
      <c r="I59" s="3">
        <v>4</v>
      </c>
      <c r="J59" s="3">
        <v>4</v>
      </c>
      <c r="K59" s="3">
        <v>4</v>
      </c>
      <c r="L59" s="3">
        <v>4</v>
      </c>
      <c r="M59" s="3">
        <v>3</v>
      </c>
      <c r="N59" s="3">
        <v>3</v>
      </c>
      <c r="O59" s="3">
        <v>4</v>
      </c>
      <c r="P59" s="3">
        <v>5</v>
      </c>
      <c r="Q59" s="3">
        <v>4</v>
      </c>
      <c r="R59" s="3">
        <v>4</v>
      </c>
      <c r="S59" s="3">
        <v>4</v>
      </c>
      <c r="T59" s="3">
        <v>4</v>
      </c>
      <c r="U59" s="3">
        <v>4</v>
      </c>
      <c r="V59" s="3">
        <v>3</v>
      </c>
      <c r="W59" s="3">
        <v>4</v>
      </c>
      <c r="X59" s="3">
        <v>3</v>
      </c>
      <c r="Y59" s="3">
        <v>3</v>
      </c>
      <c r="Z59" s="3">
        <v>3</v>
      </c>
      <c r="AA59" s="3">
        <v>3</v>
      </c>
      <c r="AB59" s="3">
        <v>3</v>
      </c>
      <c r="AC59" s="3">
        <v>3</v>
      </c>
      <c r="AD59" s="3">
        <v>4</v>
      </c>
      <c r="AE59" s="3">
        <v>4</v>
      </c>
      <c r="AF59" s="3">
        <v>4</v>
      </c>
      <c r="AG59" s="3">
        <v>4</v>
      </c>
      <c r="AH59" s="3">
        <v>3</v>
      </c>
      <c r="AI59" s="3">
        <v>3</v>
      </c>
      <c r="AJ59" s="3">
        <v>3</v>
      </c>
      <c r="AK59" s="3">
        <v>4</v>
      </c>
      <c r="AL59" s="3">
        <v>3</v>
      </c>
      <c r="AM59" s="3">
        <v>3</v>
      </c>
      <c r="AN59" s="3">
        <v>3</v>
      </c>
      <c r="AO59" s="3">
        <v>3</v>
      </c>
      <c r="AP59" s="3">
        <v>3</v>
      </c>
      <c r="AQ59" s="3">
        <v>3</v>
      </c>
      <c r="AR59" s="3">
        <v>3</v>
      </c>
      <c r="AS59" s="3">
        <v>3</v>
      </c>
      <c r="AT59" s="3">
        <v>3</v>
      </c>
      <c r="AU59" s="3">
        <v>3</v>
      </c>
      <c r="AV59" s="3">
        <v>3</v>
      </c>
      <c r="AW59" s="3">
        <v>4</v>
      </c>
      <c r="AX59" s="3">
        <v>4</v>
      </c>
      <c r="AY59" s="3">
        <v>4</v>
      </c>
      <c r="AZ59" s="3">
        <v>4</v>
      </c>
      <c r="BA59" s="3">
        <v>3</v>
      </c>
      <c r="BB59" s="3">
        <v>3</v>
      </c>
      <c r="BC59" s="3">
        <v>3</v>
      </c>
      <c r="BD59" s="3">
        <v>3</v>
      </c>
      <c r="BE59" s="3">
        <v>3</v>
      </c>
      <c r="BF59" s="3">
        <v>3</v>
      </c>
      <c r="BG59" s="3">
        <v>4</v>
      </c>
      <c r="BH59" s="3">
        <v>4</v>
      </c>
      <c r="BI59" s="3">
        <v>4</v>
      </c>
      <c r="BJ59" s="3">
        <v>4</v>
      </c>
      <c r="BK59" s="3">
        <v>3</v>
      </c>
      <c r="BL59" s="3">
        <v>3</v>
      </c>
      <c r="BM59" s="3">
        <v>3</v>
      </c>
      <c r="BN59" s="3">
        <v>3</v>
      </c>
      <c r="BO59" s="3">
        <v>3</v>
      </c>
      <c r="BP59" s="3" t="s">
        <v>233</v>
      </c>
    </row>
    <row r="60" spans="1:68" ht="22.5" customHeight="1" x14ac:dyDescent="0.25">
      <c r="A60" s="2">
        <v>45967.667895300925</v>
      </c>
      <c r="B60" s="3" t="s">
        <v>234</v>
      </c>
      <c r="C60" s="3" t="s">
        <v>69</v>
      </c>
      <c r="D60" s="3" t="s">
        <v>213</v>
      </c>
      <c r="E60" s="3" t="s">
        <v>77</v>
      </c>
      <c r="F60" s="3" t="s">
        <v>78</v>
      </c>
      <c r="G60" s="3" t="s">
        <v>79</v>
      </c>
      <c r="H60" s="3">
        <v>5</v>
      </c>
      <c r="I60" s="3">
        <v>5</v>
      </c>
      <c r="J60" s="3">
        <v>5</v>
      </c>
      <c r="K60" s="3">
        <v>5</v>
      </c>
      <c r="L60" s="3">
        <v>5</v>
      </c>
      <c r="M60" s="3">
        <v>4</v>
      </c>
      <c r="N60" s="3">
        <v>4</v>
      </c>
      <c r="O60" s="3">
        <v>4</v>
      </c>
      <c r="P60" s="3">
        <v>4</v>
      </c>
      <c r="Q60" s="3">
        <v>5</v>
      </c>
      <c r="R60" s="3">
        <v>5</v>
      </c>
      <c r="S60" s="3">
        <v>5</v>
      </c>
      <c r="T60" s="3">
        <v>5</v>
      </c>
      <c r="U60" s="3">
        <v>5</v>
      </c>
      <c r="V60" s="3">
        <v>4</v>
      </c>
      <c r="W60" s="3">
        <v>4</v>
      </c>
      <c r="X60" s="3">
        <v>4</v>
      </c>
      <c r="Y60" s="3">
        <v>4</v>
      </c>
      <c r="Z60" s="3">
        <v>4</v>
      </c>
      <c r="AA60" s="3">
        <v>3</v>
      </c>
      <c r="AB60" s="3">
        <v>2</v>
      </c>
      <c r="AC60" s="3">
        <v>2</v>
      </c>
      <c r="AD60" s="3">
        <v>4</v>
      </c>
      <c r="AE60" s="3">
        <v>5</v>
      </c>
      <c r="AF60" s="3">
        <v>5</v>
      </c>
      <c r="AG60" s="3">
        <v>5</v>
      </c>
      <c r="AH60" s="3">
        <v>5</v>
      </c>
      <c r="AI60" s="3">
        <v>4</v>
      </c>
      <c r="AJ60" s="3">
        <v>4</v>
      </c>
      <c r="AK60" s="3">
        <v>4</v>
      </c>
      <c r="AL60" s="3">
        <v>4</v>
      </c>
      <c r="AM60" s="3">
        <v>4</v>
      </c>
      <c r="AN60" s="3">
        <v>4</v>
      </c>
      <c r="AO60" s="3">
        <v>4</v>
      </c>
      <c r="AP60" s="3">
        <v>4</v>
      </c>
      <c r="AQ60" s="3">
        <v>4</v>
      </c>
      <c r="AR60" s="3">
        <v>4</v>
      </c>
      <c r="AS60" s="3">
        <v>3</v>
      </c>
      <c r="AT60" s="3">
        <v>4</v>
      </c>
      <c r="AU60" s="3">
        <v>4</v>
      </c>
      <c r="AV60" s="3">
        <v>4</v>
      </c>
      <c r="AW60" s="3">
        <v>5</v>
      </c>
      <c r="AX60" s="3">
        <v>5</v>
      </c>
      <c r="AY60" s="3">
        <v>5</v>
      </c>
      <c r="AZ60" s="3">
        <v>5</v>
      </c>
      <c r="BA60" s="3">
        <v>3</v>
      </c>
      <c r="BB60" s="3">
        <v>3</v>
      </c>
      <c r="BC60" s="3">
        <v>2</v>
      </c>
      <c r="BD60" s="3">
        <v>2</v>
      </c>
      <c r="BE60" s="3">
        <v>2</v>
      </c>
      <c r="BF60" s="3">
        <v>2</v>
      </c>
      <c r="BG60" s="3">
        <v>4</v>
      </c>
      <c r="BH60" s="3">
        <v>4</v>
      </c>
      <c r="BI60" s="3">
        <v>4</v>
      </c>
      <c r="BJ60" s="3">
        <v>4</v>
      </c>
      <c r="BK60" s="3">
        <v>4</v>
      </c>
      <c r="BL60" s="3">
        <v>4</v>
      </c>
      <c r="BM60" s="3">
        <v>5</v>
      </c>
      <c r="BN60" s="3">
        <v>5</v>
      </c>
      <c r="BO60" s="3">
        <v>5</v>
      </c>
      <c r="BP60" s="3" t="s">
        <v>235</v>
      </c>
    </row>
    <row r="61" spans="1:68" ht="22.5" customHeight="1" x14ac:dyDescent="0.25">
      <c r="A61" s="2">
        <v>45967.677324247685</v>
      </c>
      <c r="C61" s="3" t="s">
        <v>69</v>
      </c>
      <c r="D61" s="3" t="s">
        <v>236</v>
      </c>
      <c r="E61" s="3" t="s">
        <v>119</v>
      </c>
      <c r="F61" s="3" t="s">
        <v>82</v>
      </c>
      <c r="G61" s="3" t="s">
        <v>91</v>
      </c>
      <c r="H61" s="3">
        <v>5</v>
      </c>
      <c r="I61" s="3">
        <v>5</v>
      </c>
      <c r="J61" s="3">
        <v>5</v>
      </c>
      <c r="K61" s="3">
        <v>4</v>
      </c>
      <c r="L61" s="3">
        <v>4</v>
      </c>
      <c r="M61" s="3">
        <v>3</v>
      </c>
      <c r="N61" s="3">
        <v>3</v>
      </c>
      <c r="O61" s="3">
        <v>4</v>
      </c>
      <c r="P61" s="3">
        <v>5</v>
      </c>
      <c r="Q61" s="3">
        <v>5</v>
      </c>
      <c r="R61" s="3">
        <v>5</v>
      </c>
      <c r="S61" s="3">
        <v>4</v>
      </c>
      <c r="T61" s="3">
        <v>5</v>
      </c>
      <c r="U61" s="3">
        <v>4</v>
      </c>
      <c r="V61" s="3">
        <v>4</v>
      </c>
      <c r="W61" s="3">
        <v>4</v>
      </c>
      <c r="X61" s="3">
        <v>3</v>
      </c>
      <c r="Y61" s="3">
        <v>3</v>
      </c>
      <c r="Z61" s="3">
        <v>4</v>
      </c>
      <c r="AA61" s="3">
        <v>4</v>
      </c>
      <c r="AB61" s="3">
        <v>4</v>
      </c>
      <c r="AC61" s="3">
        <v>2</v>
      </c>
      <c r="AD61" s="3">
        <v>4</v>
      </c>
      <c r="AE61" s="3">
        <v>5</v>
      </c>
      <c r="AF61" s="3">
        <v>5</v>
      </c>
      <c r="AG61" s="3">
        <v>5</v>
      </c>
      <c r="AH61" s="3">
        <v>4</v>
      </c>
      <c r="AI61" s="3">
        <v>4</v>
      </c>
      <c r="AJ61" s="3">
        <v>5</v>
      </c>
      <c r="AK61" s="3">
        <v>5</v>
      </c>
      <c r="AL61" s="3">
        <v>5</v>
      </c>
      <c r="AM61" s="3">
        <v>5</v>
      </c>
      <c r="AN61" s="3">
        <v>3</v>
      </c>
      <c r="AO61" s="3">
        <v>3</v>
      </c>
      <c r="AP61" s="3">
        <v>4</v>
      </c>
      <c r="AQ61" s="3">
        <v>3</v>
      </c>
      <c r="AR61" s="3">
        <v>4</v>
      </c>
      <c r="AS61" s="3">
        <v>3</v>
      </c>
      <c r="AT61" s="3">
        <v>4</v>
      </c>
      <c r="AU61" s="3">
        <v>4</v>
      </c>
      <c r="AV61" s="3">
        <v>4</v>
      </c>
      <c r="AW61" s="3">
        <v>5</v>
      </c>
      <c r="AX61" s="3">
        <v>5</v>
      </c>
      <c r="AY61" s="3">
        <v>5</v>
      </c>
      <c r="AZ61" s="3">
        <v>5</v>
      </c>
      <c r="BA61" s="3">
        <v>3</v>
      </c>
      <c r="BB61" s="3">
        <v>3</v>
      </c>
      <c r="BC61" s="3">
        <v>3</v>
      </c>
      <c r="BD61" s="3">
        <v>3</v>
      </c>
      <c r="BE61" s="3">
        <v>2</v>
      </c>
      <c r="BF61" s="3">
        <v>2</v>
      </c>
      <c r="BG61" s="3">
        <v>4</v>
      </c>
      <c r="BH61" s="3">
        <v>4</v>
      </c>
      <c r="BI61" s="3">
        <v>5</v>
      </c>
      <c r="BJ61" s="3">
        <v>4</v>
      </c>
      <c r="BK61" s="3">
        <v>4</v>
      </c>
      <c r="BL61" s="3">
        <v>4</v>
      </c>
      <c r="BM61" s="3">
        <v>4</v>
      </c>
      <c r="BN61" s="3">
        <v>4</v>
      </c>
      <c r="BO61" s="3">
        <v>5</v>
      </c>
      <c r="BP61" s="3" t="s">
        <v>237</v>
      </c>
    </row>
    <row r="62" spans="1:68" ht="22.5" customHeight="1" x14ac:dyDescent="0.25">
      <c r="A62" s="2">
        <v>45967.685328692125</v>
      </c>
      <c r="B62" s="3" t="s">
        <v>238</v>
      </c>
      <c r="C62" s="3" t="s">
        <v>69</v>
      </c>
      <c r="D62" s="3" t="s">
        <v>239</v>
      </c>
      <c r="E62" s="3" t="s">
        <v>77</v>
      </c>
      <c r="F62" s="3" t="s">
        <v>78</v>
      </c>
      <c r="G62" s="3" t="s">
        <v>83</v>
      </c>
      <c r="H62" s="3">
        <v>5</v>
      </c>
      <c r="I62" s="3">
        <v>5</v>
      </c>
      <c r="J62" s="3">
        <v>4</v>
      </c>
      <c r="K62" s="3">
        <v>4</v>
      </c>
      <c r="L62" s="3">
        <v>4</v>
      </c>
      <c r="M62" s="3">
        <v>3</v>
      </c>
      <c r="N62" s="3">
        <v>3</v>
      </c>
      <c r="O62" s="3">
        <v>4</v>
      </c>
      <c r="P62" s="3">
        <v>5</v>
      </c>
      <c r="Q62" s="3">
        <v>5</v>
      </c>
      <c r="R62" s="3">
        <v>5</v>
      </c>
      <c r="S62" s="3">
        <v>5</v>
      </c>
      <c r="T62" s="3">
        <v>5</v>
      </c>
      <c r="U62" s="3">
        <v>5</v>
      </c>
      <c r="V62" s="3">
        <v>4</v>
      </c>
      <c r="W62" s="3">
        <v>3</v>
      </c>
      <c r="X62" s="3">
        <v>3</v>
      </c>
      <c r="Y62" s="3">
        <v>3</v>
      </c>
      <c r="Z62" s="3">
        <v>3</v>
      </c>
      <c r="AA62" s="3">
        <v>5</v>
      </c>
      <c r="AB62" s="3">
        <v>4</v>
      </c>
      <c r="AC62" s="3">
        <v>4</v>
      </c>
      <c r="AD62" s="3">
        <v>5</v>
      </c>
      <c r="AE62" s="3">
        <v>4</v>
      </c>
      <c r="AF62" s="3">
        <v>4</v>
      </c>
      <c r="AG62" s="3">
        <v>5</v>
      </c>
      <c r="AH62" s="3">
        <v>4</v>
      </c>
      <c r="AI62" s="3">
        <v>3</v>
      </c>
      <c r="AJ62" s="3">
        <v>3</v>
      </c>
      <c r="AK62" s="3">
        <v>4</v>
      </c>
      <c r="AL62" s="3">
        <v>4</v>
      </c>
      <c r="AM62" s="3">
        <v>5</v>
      </c>
      <c r="AN62" s="3">
        <v>3</v>
      </c>
      <c r="AO62" s="3">
        <v>3</v>
      </c>
      <c r="AP62" s="3">
        <v>3</v>
      </c>
      <c r="AQ62" s="3">
        <v>5</v>
      </c>
      <c r="AR62" s="3">
        <v>5</v>
      </c>
      <c r="AS62" s="3">
        <v>5</v>
      </c>
      <c r="AT62" s="3">
        <v>5</v>
      </c>
      <c r="AU62" s="3">
        <v>5</v>
      </c>
      <c r="AV62" s="3">
        <v>5</v>
      </c>
      <c r="AW62" s="3">
        <v>5</v>
      </c>
      <c r="AX62" s="3">
        <v>5</v>
      </c>
      <c r="AY62" s="3">
        <v>5</v>
      </c>
      <c r="AZ62" s="3">
        <v>5</v>
      </c>
      <c r="BA62" s="3">
        <v>4</v>
      </c>
      <c r="BB62" s="3">
        <v>4</v>
      </c>
      <c r="BC62" s="3">
        <v>3</v>
      </c>
      <c r="BD62" s="3">
        <v>3</v>
      </c>
      <c r="BE62" s="3">
        <v>3</v>
      </c>
      <c r="BF62" s="3">
        <v>3</v>
      </c>
      <c r="BG62" s="3">
        <v>4</v>
      </c>
      <c r="BH62" s="3">
        <v>5</v>
      </c>
      <c r="BI62" s="3">
        <v>5</v>
      </c>
      <c r="BJ62" s="3">
        <v>3</v>
      </c>
      <c r="BK62" s="3">
        <v>3</v>
      </c>
      <c r="BL62" s="3">
        <v>3</v>
      </c>
      <c r="BM62" s="3">
        <v>5</v>
      </c>
      <c r="BN62" s="3">
        <v>3</v>
      </c>
      <c r="BO62" s="3">
        <v>5</v>
      </c>
      <c r="BP62" s="3" t="s">
        <v>240</v>
      </c>
    </row>
    <row r="63" spans="1:68" ht="22.5" customHeight="1" x14ac:dyDescent="0.25">
      <c r="A63" s="2">
        <v>45967.686754374998</v>
      </c>
      <c r="C63" s="3" t="s">
        <v>69</v>
      </c>
      <c r="D63" s="3" t="s">
        <v>241</v>
      </c>
      <c r="E63" s="3" t="s">
        <v>77</v>
      </c>
      <c r="F63" s="3" t="s">
        <v>78</v>
      </c>
      <c r="G63" s="3" t="s">
        <v>79</v>
      </c>
      <c r="H63" s="3">
        <v>5</v>
      </c>
      <c r="I63" s="3">
        <v>5</v>
      </c>
      <c r="J63" s="3">
        <v>4</v>
      </c>
      <c r="K63" s="3">
        <v>3</v>
      </c>
      <c r="L63" s="3">
        <v>4</v>
      </c>
      <c r="M63" s="3">
        <v>3</v>
      </c>
      <c r="N63" s="3">
        <v>4</v>
      </c>
      <c r="O63" s="3">
        <v>5</v>
      </c>
      <c r="P63" s="3">
        <v>5</v>
      </c>
      <c r="Q63" s="3">
        <v>5</v>
      </c>
      <c r="R63" s="3">
        <v>5</v>
      </c>
      <c r="S63" s="3">
        <v>5</v>
      </c>
      <c r="T63" s="3">
        <v>5</v>
      </c>
      <c r="U63" s="3">
        <v>5</v>
      </c>
      <c r="V63" s="3">
        <v>4</v>
      </c>
      <c r="W63" s="3">
        <v>4</v>
      </c>
      <c r="X63" s="3">
        <v>3</v>
      </c>
      <c r="Y63" s="3">
        <v>3</v>
      </c>
      <c r="Z63" s="3">
        <v>3</v>
      </c>
      <c r="AA63" s="3">
        <v>4</v>
      </c>
      <c r="AB63" s="3">
        <v>2</v>
      </c>
      <c r="AC63" s="3">
        <v>2</v>
      </c>
      <c r="AD63" s="3">
        <v>5</v>
      </c>
      <c r="AE63" s="3">
        <v>5</v>
      </c>
      <c r="AF63" s="3">
        <v>4</v>
      </c>
      <c r="AG63" s="3">
        <v>4</v>
      </c>
      <c r="AH63" s="3">
        <v>4</v>
      </c>
      <c r="AI63" s="3">
        <v>4</v>
      </c>
      <c r="AJ63" s="3">
        <v>5</v>
      </c>
      <c r="AK63" s="3">
        <v>4</v>
      </c>
      <c r="AL63" s="3">
        <v>5</v>
      </c>
      <c r="AM63" s="3">
        <v>4</v>
      </c>
      <c r="AN63" s="3">
        <v>4</v>
      </c>
      <c r="AO63" s="3">
        <v>4</v>
      </c>
      <c r="AP63" s="3">
        <v>4</v>
      </c>
      <c r="AQ63" s="3">
        <v>4</v>
      </c>
      <c r="AR63" s="3">
        <v>3</v>
      </c>
      <c r="AS63" s="3">
        <v>4</v>
      </c>
      <c r="AT63" s="3">
        <v>4</v>
      </c>
      <c r="AU63" s="3">
        <v>4</v>
      </c>
      <c r="AV63" s="3">
        <v>4</v>
      </c>
      <c r="AW63" s="3">
        <v>5</v>
      </c>
      <c r="AX63" s="3">
        <v>5</v>
      </c>
      <c r="AY63" s="3">
        <v>4</v>
      </c>
      <c r="AZ63" s="3">
        <v>5</v>
      </c>
      <c r="BA63" s="3">
        <v>2</v>
      </c>
      <c r="BB63" s="3">
        <v>2</v>
      </c>
      <c r="BC63" s="3">
        <v>3</v>
      </c>
      <c r="BD63" s="3">
        <v>2</v>
      </c>
      <c r="BE63" s="3">
        <v>3</v>
      </c>
      <c r="BF63" s="3">
        <v>2</v>
      </c>
      <c r="BG63" s="3">
        <v>4</v>
      </c>
      <c r="BH63" s="3">
        <v>4</v>
      </c>
      <c r="BI63" s="3">
        <v>4</v>
      </c>
      <c r="BJ63" s="3">
        <v>5</v>
      </c>
      <c r="BK63" s="3">
        <v>4</v>
      </c>
      <c r="BL63" s="3">
        <v>3</v>
      </c>
      <c r="BM63" s="3">
        <v>4</v>
      </c>
      <c r="BN63" s="3">
        <v>4</v>
      </c>
      <c r="BO63" s="3">
        <v>3</v>
      </c>
      <c r="BP63" s="3" t="s">
        <v>242</v>
      </c>
    </row>
    <row r="64" spans="1:68" ht="22.5" customHeight="1" x14ac:dyDescent="0.25">
      <c r="A64" s="2">
        <v>45967.687870300928</v>
      </c>
      <c r="B64" s="3" t="s">
        <v>243</v>
      </c>
      <c r="C64" s="3" t="s">
        <v>69</v>
      </c>
      <c r="D64" s="3" t="s">
        <v>244</v>
      </c>
      <c r="E64" s="3" t="s">
        <v>71</v>
      </c>
      <c r="F64" s="3" t="s">
        <v>82</v>
      </c>
      <c r="G64" s="3" t="s">
        <v>91</v>
      </c>
      <c r="H64" s="3">
        <v>5</v>
      </c>
      <c r="I64" s="3">
        <v>4</v>
      </c>
      <c r="J64" s="3">
        <v>4</v>
      </c>
      <c r="K64" s="3">
        <v>4</v>
      </c>
      <c r="L64" s="3">
        <v>5</v>
      </c>
      <c r="M64" s="3">
        <v>5</v>
      </c>
      <c r="N64" s="3">
        <v>5</v>
      </c>
      <c r="O64" s="3">
        <v>4</v>
      </c>
      <c r="P64" s="3">
        <v>4</v>
      </c>
      <c r="Q64" s="3">
        <v>4</v>
      </c>
      <c r="R64" s="3">
        <v>4</v>
      </c>
      <c r="S64" s="3">
        <v>4</v>
      </c>
      <c r="T64" s="3">
        <v>5</v>
      </c>
      <c r="U64" s="3">
        <v>4</v>
      </c>
      <c r="V64" s="3">
        <v>5</v>
      </c>
      <c r="W64" s="3">
        <v>5</v>
      </c>
      <c r="X64" s="3">
        <v>4</v>
      </c>
      <c r="Y64" s="3">
        <v>5</v>
      </c>
      <c r="Z64" s="3">
        <v>4</v>
      </c>
      <c r="AA64" s="3">
        <v>4</v>
      </c>
      <c r="AB64" s="3">
        <v>5</v>
      </c>
      <c r="AC64" s="3">
        <v>5</v>
      </c>
      <c r="AD64" s="3">
        <v>5</v>
      </c>
      <c r="AE64" s="3">
        <v>5</v>
      </c>
      <c r="AF64" s="3">
        <v>5</v>
      </c>
      <c r="AG64" s="3">
        <v>5</v>
      </c>
      <c r="AH64" s="3">
        <v>5</v>
      </c>
      <c r="AI64" s="3">
        <v>5</v>
      </c>
      <c r="AJ64" s="3">
        <v>4</v>
      </c>
      <c r="AK64" s="3">
        <v>5</v>
      </c>
      <c r="AL64" s="3">
        <v>5</v>
      </c>
      <c r="AM64" s="3">
        <v>5</v>
      </c>
      <c r="AN64" s="3">
        <v>5</v>
      </c>
      <c r="AO64" s="3">
        <v>5</v>
      </c>
      <c r="AP64" s="3">
        <v>5</v>
      </c>
      <c r="AQ64" s="3">
        <v>5</v>
      </c>
      <c r="AR64" s="3">
        <v>5</v>
      </c>
      <c r="AS64" s="3">
        <v>4</v>
      </c>
      <c r="AT64" s="3">
        <v>4</v>
      </c>
      <c r="AU64" s="3">
        <v>4</v>
      </c>
      <c r="AV64" s="3">
        <v>4</v>
      </c>
      <c r="AW64" s="3">
        <v>5</v>
      </c>
      <c r="AX64" s="3">
        <v>5</v>
      </c>
      <c r="AY64" s="3">
        <v>5</v>
      </c>
      <c r="AZ64" s="3">
        <v>5</v>
      </c>
      <c r="BA64" s="3">
        <v>4</v>
      </c>
      <c r="BB64" s="3">
        <v>5</v>
      </c>
      <c r="BC64" s="3">
        <v>4</v>
      </c>
      <c r="BD64" s="3">
        <v>5</v>
      </c>
      <c r="BE64" s="3">
        <v>4</v>
      </c>
      <c r="BF64" s="3">
        <v>5</v>
      </c>
      <c r="BG64" s="3">
        <v>5</v>
      </c>
      <c r="BH64" s="3">
        <v>4</v>
      </c>
      <c r="BI64" s="3">
        <v>5</v>
      </c>
      <c r="BJ64" s="3">
        <v>5</v>
      </c>
      <c r="BK64" s="3">
        <v>4</v>
      </c>
      <c r="BL64" s="3">
        <v>5</v>
      </c>
      <c r="BM64" s="3">
        <v>4</v>
      </c>
      <c r="BN64" s="3">
        <v>4</v>
      </c>
      <c r="BO64" s="3">
        <v>4</v>
      </c>
      <c r="BP64" s="3" t="s">
        <v>245</v>
      </c>
    </row>
    <row r="65" spans="1:68" ht="22.5" customHeight="1" x14ac:dyDescent="0.25">
      <c r="A65" s="2">
        <v>45967.690549930558</v>
      </c>
      <c r="B65" s="3" t="s">
        <v>246</v>
      </c>
      <c r="C65" s="3" t="s">
        <v>69</v>
      </c>
      <c r="D65" s="3" t="s">
        <v>151</v>
      </c>
      <c r="E65" s="3" t="s">
        <v>119</v>
      </c>
      <c r="F65" s="3" t="s">
        <v>103</v>
      </c>
      <c r="G65" s="3" t="s">
        <v>73</v>
      </c>
      <c r="H65" s="3">
        <v>5</v>
      </c>
      <c r="I65" s="3">
        <v>5</v>
      </c>
      <c r="J65" s="3">
        <v>5</v>
      </c>
      <c r="K65" s="3">
        <v>5</v>
      </c>
      <c r="L65" s="3">
        <v>5</v>
      </c>
      <c r="M65" s="3">
        <v>4</v>
      </c>
      <c r="N65" s="3">
        <v>4</v>
      </c>
      <c r="O65" s="3">
        <v>5</v>
      </c>
      <c r="P65" s="3">
        <v>4</v>
      </c>
      <c r="Q65" s="3">
        <v>5</v>
      </c>
      <c r="R65" s="3">
        <v>5</v>
      </c>
      <c r="S65" s="3">
        <v>5</v>
      </c>
      <c r="T65" s="3">
        <v>5</v>
      </c>
      <c r="U65" s="3">
        <v>5</v>
      </c>
      <c r="V65" s="3">
        <v>4</v>
      </c>
      <c r="W65" s="3">
        <v>4</v>
      </c>
      <c r="X65" s="3">
        <v>4</v>
      </c>
      <c r="Y65" s="3">
        <v>4</v>
      </c>
      <c r="Z65" s="3">
        <v>5</v>
      </c>
      <c r="AA65" s="3">
        <v>5</v>
      </c>
      <c r="AB65" s="3">
        <v>4</v>
      </c>
      <c r="AC65" s="3">
        <v>4</v>
      </c>
      <c r="AD65" s="3">
        <v>4</v>
      </c>
      <c r="AE65" s="3">
        <v>5</v>
      </c>
      <c r="AF65" s="3">
        <v>4</v>
      </c>
      <c r="AG65" s="3">
        <v>4</v>
      </c>
      <c r="AH65" s="3">
        <v>3</v>
      </c>
      <c r="AI65" s="3">
        <v>5</v>
      </c>
      <c r="AJ65" s="3">
        <v>5</v>
      </c>
      <c r="AK65" s="3">
        <v>5</v>
      </c>
      <c r="AL65" s="3">
        <v>5</v>
      </c>
      <c r="AM65" s="3">
        <v>5</v>
      </c>
      <c r="AN65" s="3">
        <v>5</v>
      </c>
      <c r="AO65" s="3">
        <v>5</v>
      </c>
      <c r="AP65" s="3">
        <v>5</v>
      </c>
      <c r="AQ65" s="3">
        <v>5</v>
      </c>
      <c r="AR65" s="3">
        <v>5</v>
      </c>
      <c r="AS65" s="3">
        <v>5</v>
      </c>
      <c r="AT65" s="3">
        <v>5</v>
      </c>
      <c r="AU65" s="3">
        <v>5</v>
      </c>
      <c r="AV65" s="3">
        <v>5</v>
      </c>
      <c r="AW65" s="3">
        <v>5</v>
      </c>
      <c r="AX65" s="3">
        <v>5</v>
      </c>
      <c r="AY65" s="3">
        <v>5</v>
      </c>
      <c r="AZ65" s="3">
        <v>5</v>
      </c>
      <c r="BA65" s="3">
        <v>3</v>
      </c>
      <c r="BB65" s="3">
        <v>3</v>
      </c>
      <c r="BC65" s="3">
        <v>3</v>
      </c>
      <c r="BD65" s="3">
        <v>3</v>
      </c>
      <c r="BE65" s="3">
        <v>3</v>
      </c>
      <c r="BF65" s="3">
        <v>3</v>
      </c>
      <c r="BG65" s="3">
        <v>4</v>
      </c>
      <c r="BH65" s="3">
        <v>4</v>
      </c>
      <c r="BI65" s="3">
        <v>4</v>
      </c>
      <c r="BJ65" s="3">
        <v>5</v>
      </c>
      <c r="BK65" s="3">
        <v>5</v>
      </c>
      <c r="BL65" s="3">
        <v>5</v>
      </c>
      <c r="BM65" s="3">
        <v>5</v>
      </c>
      <c r="BN65" s="3">
        <v>4</v>
      </c>
      <c r="BO65" s="3">
        <v>5</v>
      </c>
      <c r="BP65" s="3" t="s">
        <v>247</v>
      </c>
    </row>
    <row r="66" spans="1:68" ht="22.5" customHeight="1" x14ac:dyDescent="0.25">
      <c r="A66" s="2">
        <v>45967.693748738428</v>
      </c>
      <c r="B66" s="3" t="s">
        <v>248</v>
      </c>
      <c r="C66" s="3" t="s">
        <v>86</v>
      </c>
      <c r="D66" s="3" t="s">
        <v>249</v>
      </c>
      <c r="E66" s="3" t="s">
        <v>77</v>
      </c>
      <c r="F66" s="3" t="s">
        <v>78</v>
      </c>
      <c r="G66" s="3" t="s">
        <v>79</v>
      </c>
      <c r="H66" s="3">
        <v>4</v>
      </c>
      <c r="I66" s="3">
        <v>4</v>
      </c>
      <c r="J66" s="3">
        <v>4</v>
      </c>
      <c r="K66" s="3">
        <v>5</v>
      </c>
      <c r="L66" s="3">
        <v>5</v>
      </c>
      <c r="M66" s="3">
        <v>3</v>
      </c>
      <c r="N66" s="3">
        <v>4</v>
      </c>
      <c r="O66" s="3">
        <v>5</v>
      </c>
      <c r="P66" s="3">
        <v>5</v>
      </c>
      <c r="Q66" s="3">
        <v>4</v>
      </c>
      <c r="R66" s="3">
        <v>5</v>
      </c>
      <c r="S66" s="3">
        <v>4</v>
      </c>
      <c r="T66" s="3">
        <v>5</v>
      </c>
      <c r="U66" s="3">
        <v>4</v>
      </c>
      <c r="V66" s="3">
        <v>4</v>
      </c>
      <c r="W66" s="3">
        <v>4</v>
      </c>
      <c r="X66" s="3">
        <v>5</v>
      </c>
      <c r="Y66" s="3">
        <v>5</v>
      </c>
      <c r="Z66" s="3">
        <v>5</v>
      </c>
      <c r="AA66" s="3">
        <v>5</v>
      </c>
      <c r="AB66" s="3">
        <v>3</v>
      </c>
      <c r="AC66" s="3">
        <v>4</v>
      </c>
      <c r="AD66" s="3">
        <v>5</v>
      </c>
      <c r="AE66" s="3">
        <v>5</v>
      </c>
      <c r="AF66" s="3">
        <v>5</v>
      </c>
      <c r="AG66" s="3">
        <v>4</v>
      </c>
      <c r="AH66" s="3">
        <v>5</v>
      </c>
      <c r="AI66" s="3">
        <v>4</v>
      </c>
      <c r="AJ66" s="3">
        <v>5</v>
      </c>
      <c r="AK66" s="3">
        <v>5</v>
      </c>
      <c r="AL66" s="3">
        <v>5</v>
      </c>
      <c r="AM66" s="3">
        <v>4</v>
      </c>
      <c r="AN66" s="3">
        <v>4</v>
      </c>
      <c r="AO66" s="3">
        <v>4</v>
      </c>
      <c r="AP66" s="3">
        <v>5</v>
      </c>
      <c r="AQ66" s="3">
        <v>3</v>
      </c>
      <c r="AR66" s="3">
        <v>5</v>
      </c>
      <c r="AS66" s="3">
        <v>5</v>
      </c>
      <c r="AT66" s="3">
        <v>4</v>
      </c>
      <c r="AU66" s="3">
        <v>5</v>
      </c>
      <c r="AV66" s="3">
        <v>4</v>
      </c>
      <c r="AW66" s="3">
        <v>4</v>
      </c>
      <c r="AX66" s="3">
        <v>5</v>
      </c>
      <c r="AY66" s="3">
        <v>5</v>
      </c>
      <c r="AZ66" s="3">
        <v>5</v>
      </c>
      <c r="BA66" s="3">
        <v>4</v>
      </c>
      <c r="BB66" s="3">
        <v>5</v>
      </c>
      <c r="BC66" s="3">
        <v>4</v>
      </c>
      <c r="BD66" s="3">
        <v>3</v>
      </c>
      <c r="BE66" s="3">
        <v>4</v>
      </c>
      <c r="BF66" s="3">
        <v>3</v>
      </c>
      <c r="BG66" s="3">
        <v>4</v>
      </c>
      <c r="BH66" s="3">
        <v>4</v>
      </c>
      <c r="BI66" s="3">
        <v>4</v>
      </c>
      <c r="BJ66" s="3">
        <v>5</v>
      </c>
      <c r="BK66" s="3">
        <v>4</v>
      </c>
      <c r="BL66" s="3">
        <v>5</v>
      </c>
      <c r="BM66" s="3">
        <v>5</v>
      </c>
      <c r="BN66" s="3">
        <v>4</v>
      </c>
      <c r="BO66" s="3">
        <v>5</v>
      </c>
      <c r="BP66" s="3" t="s">
        <v>250</v>
      </c>
    </row>
    <row r="67" spans="1:68" ht="22.5" customHeight="1" x14ac:dyDescent="0.25">
      <c r="A67" s="2">
        <v>45967.699825659722</v>
      </c>
      <c r="B67" s="3" t="s">
        <v>251</v>
      </c>
      <c r="C67" s="3" t="s">
        <v>69</v>
      </c>
      <c r="D67" s="3" t="s">
        <v>239</v>
      </c>
      <c r="E67" s="3" t="s">
        <v>77</v>
      </c>
      <c r="F67" s="3" t="s">
        <v>103</v>
      </c>
      <c r="G67" s="3" t="s">
        <v>73</v>
      </c>
      <c r="H67" s="3">
        <v>5</v>
      </c>
      <c r="I67" s="3">
        <v>5</v>
      </c>
      <c r="J67" s="3">
        <v>4</v>
      </c>
      <c r="K67" s="3">
        <v>5</v>
      </c>
      <c r="L67" s="3">
        <v>3</v>
      </c>
      <c r="M67" s="3">
        <v>5</v>
      </c>
      <c r="N67" s="3">
        <v>5</v>
      </c>
      <c r="O67" s="3">
        <v>5</v>
      </c>
      <c r="P67" s="3">
        <v>5</v>
      </c>
      <c r="Q67" s="3">
        <v>5</v>
      </c>
      <c r="R67" s="3">
        <v>5</v>
      </c>
      <c r="S67" s="3">
        <v>5</v>
      </c>
      <c r="T67" s="3">
        <v>5</v>
      </c>
      <c r="U67" s="3">
        <v>4</v>
      </c>
      <c r="V67" s="3">
        <v>5</v>
      </c>
      <c r="W67" s="3">
        <v>5</v>
      </c>
      <c r="X67" s="3">
        <v>5</v>
      </c>
      <c r="Y67" s="3">
        <v>5</v>
      </c>
      <c r="Z67" s="3">
        <v>5</v>
      </c>
      <c r="AA67" s="3">
        <v>4</v>
      </c>
      <c r="AB67" s="3">
        <v>5</v>
      </c>
      <c r="AC67" s="3">
        <v>3</v>
      </c>
      <c r="AD67" s="3">
        <v>5</v>
      </c>
      <c r="AE67" s="3">
        <v>5</v>
      </c>
      <c r="AF67" s="3">
        <v>5</v>
      </c>
      <c r="AG67" s="3">
        <v>5</v>
      </c>
      <c r="AH67" s="3">
        <v>5</v>
      </c>
      <c r="AI67" s="3">
        <v>5</v>
      </c>
      <c r="AJ67" s="3">
        <v>5</v>
      </c>
      <c r="AK67" s="3">
        <v>5</v>
      </c>
      <c r="AL67" s="3">
        <v>5</v>
      </c>
      <c r="AM67" s="3">
        <v>4</v>
      </c>
      <c r="AN67" s="3">
        <v>3</v>
      </c>
      <c r="AO67" s="3">
        <v>2</v>
      </c>
      <c r="AP67" s="3">
        <v>5</v>
      </c>
      <c r="AQ67" s="3">
        <v>3</v>
      </c>
      <c r="AR67" s="3">
        <v>3</v>
      </c>
      <c r="AS67" s="3">
        <v>5</v>
      </c>
      <c r="AT67" s="3">
        <v>3</v>
      </c>
      <c r="AU67" s="3">
        <v>5</v>
      </c>
      <c r="AV67" s="3">
        <v>5</v>
      </c>
      <c r="AW67" s="3">
        <v>5</v>
      </c>
      <c r="AX67" s="3">
        <v>5</v>
      </c>
      <c r="AY67" s="3">
        <v>5</v>
      </c>
      <c r="AZ67" s="3">
        <v>5</v>
      </c>
      <c r="BA67" s="3">
        <v>5</v>
      </c>
      <c r="BB67" s="3">
        <v>3</v>
      </c>
      <c r="BC67" s="3">
        <v>5</v>
      </c>
      <c r="BD67" s="3">
        <v>3</v>
      </c>
      <c r="BE67" s="3">
        <v>5</v>
      </c>
      <c r="BF67" s="3">
        <v>5</v>
      </c>
      <c r="BG67" s="3">
        <v>5</v>
      </c>
      <c r="BH67" s="3">
        <v>5</v>
      </c>
      <c r="BI67" s="3">
        <v>5</v>
      </c>
      <c r="BJ67" s="3">
        <v>5</v>
      </c>
      <c r="BK67" s="3">
        <v>5</v>
      </c>
      <c r="BL67" s="3">
        <v>5</v>
      </c>
      <c r="BM67" s="3">
        <v>5</v>
      </c>
      <c r="BN67" s="3">
        <v>3</v>
      </c>
      <c r="BO67" s="3">
        <v>5</v>
      </c>
      <c r="BP67" s="3" t="s">
        <v>252</v>
      </c>
    </row>
    <row r="68" spans="1:68" ht="22.5" customHeight="1" x14ac:dyDescent="0.25">
      <c r="A68" s="2">
        <v>45967.704986793979</v>
      </c>
      <c r="B68" s="3" t="s">
        <v>253</v>
      </c>
      <c r="C68" s="3" t="s">
        <v>69</v>
      </c>
      <c r="D68" s="3" t="s">
        <v>244</v>
      </c>
      <c r="E68" s="3" t="s">
        <v>119</v>
      </c>
      <c r="F68" s="3" t="s">
        <v>82</v>
      </c>
      <c r="G68" s="3" t="s">
        <v>91</v>
      </c>
      <c r="H68" s="3">
        <v>5</v>
      </c>
      <c r="I68" s="3">
        <v>5</v>
      </c>
      <c r="J68" s="3">
        <v>5</v>
      </c>
      <c r="K68" s="3">
        <v>5</v>
      </c>
      <c r="L68" s="3">
        <v>5</v>
      </c>
      <c r="M68" s="3">
        <v>5</v>
      </c>
      <c r="N68" s="3">
        <v>5</v>
      </c>
      <c r="O68" s="3">
        <v>5</v>
      </c>
      <c r="P68" s="3">
        <v>5</v>
      </c>
      <c r="Q68" s="3">
        <v>5</v>
      </c>
      <c r="R68" s="3">
        <v>5</v>
      </c>
      <c r="S68" s="3">
        <v>5</v>
      </c>
      <c r="T68" s="3">
        <v>5</v>
      </c>
      <c r="U68" s="3">
        <v>5</v>
      </c>
      <c r="V68" s="3">
        <v>5</v>
      </c>
      <c r="W68" s="3">
        <v>5</v>
      </c>
      <c r="X68" s="3">
        <v>5</v>
      </c>
      <c r="Y68" s="3">
        <v>5</v>
      </c>
      <c r="Z68" s="3">
        <v>5</v>
      </c>
      <c r="AA68" s="3">
        <v>5</v>
      </c>
      <c r="AB68" s="3">
        <v>5</v>
      </c>
      <c r="AC68" s="3">
        <v>3</v>
      </c>
      <c r="AD68" s="3">
        <v>5</v>
      </c>
      <c r="AE68" s="3">
        <v>5</v>
      </c>
      <c r="AF68" s="3">
        <v>5</v>
      </c>
      <c r="AG68" s="3">
        <v>5</v>
      </c>
      <c r="AH68" s="3">
        <v>5</v>
      </c>
      <c r="AI68" s="3">
        <v>4</v>
      </c>
      <c r="AJ68" s="3">
        <v>5</v>
      </c>
      <c r="AK68" s="3">
        <v>5</v>
      </c>
      <c r="AL68" s="3">
        <v>5</v>
      </c>
      <c r="AM68" s="3">
        <v>5</v>
      </c>
      <c r="AN68" s="3">
        <v>3</v>
      </c>
      <c r="AO68" s="3">
        <v>3</v>
      </c>
      <c r="AP68" s="3">
        <v>3</v>
      </c>
      <c r="AQ68" s="3">
        <v>3</v>
      </c>
      <c r="AR68" s="3">
        <v>3</v>
      </c>
      <c r="AS68" s="3">
        <v>3</v>
      </c>
      <c r="AT68" s="3">
        <v>4</v>
      </c>
      <c r="AU68" s="3">
        <v>3</v>
      </c>
      <c r="AV68" s="3">
        <v>4</v>
      </c>
      <c r="AW68" s="3">
        <v>5</v>
      </c>
      <c r="AX68" s="3">
        <v>5</v>
      </c>
      <c r="AY68" s="3">
        <v>5</v>
      </c>
      <c r="AZ68" s="3">
        <v>5</v>
      </c>
      <c r="BA68" s="3">
        <v>4</v>
      </c>
      <c r="BB68" s="3">
        <v>4</v>
      </c>
      <c r="BC68" s="3">
        <v>4</v>
      </c>
      <c r="BD68" s="3">
        <v>4</v>
      </c>
      <c r="BE68" s="3">
        <v>4</v>
      </c>
      <c r="BF68" s="3">
        <v>4</v>
      </c>
      <c r="BG68" s="3">
        <v>4</v>
      </c>
      <c r="BH68" s="3">
        <v>4</v>
      </c>
      <c r="BI68" s="3">
        <v>5</v>
      </c>
      <c r="BJ68" s="3">
        <v>4</v>
      </c>
      <c r="BK68" s="3">
        <v>4</v>
      </c>
      <c r="BL68" s="3">
        <v>5</v>
      </c>
      <c r="BM68" s="3">
        <v>5</v>
      </c>
      <c r="BN68" s="3">
        <v>5</v>
      </c>
      <c r="BO68" s="3">
        <v>5</v>
      </c>
      <c r="BP68" s="3" t="s">
        <v>254</v>
      </c>
    </row>
    <row r="69" spans="1:68" ht="22.5" customHeight="1" x14ac:dyDescent="0.25">
      <c r="A69" s="2">
        <v>45967.712423171295</v>
      </c>
      <c r="B69" s="3" t="s">
        <v>255</v>
      </c>
      <c r="C69" s="3" t="s">
        <v>69</v>
      </c>
      <c r="D69" s="3" t="s">
        <v>151</v>
      </c>
      <c r="E69" s="3" t="s">
        <v>119</v>
      </c>
      <c r="F69" s="3" t="s">
        <v>72</v>
      </c>
      <c r="G69" s="3" t="s">
        <v>73</v>
      </c>
      <c r="H69" s="3">
        <v>5</v>
      </c>
      <c r="I69" s="3">
        <v>5</v>
      </c>
      <c r="J69" s="3">
        <v>5</v>
      </c>
      <c r="K69" s="3">
        <v>3</v>
      </c>
      <c r="L69" s="3">
        <v>5</v>
      </c>
      <c r="M69" s="3">
        <v>4</v>
      </c>
      <c r="N69" s="3">
        <v>4</v>
      </c>
      <c r="O69" s="3">
        <v>5</v>
      </c>
      <c r="P69" s="3">
        <v>3</v>
      </c>
      <c r="Q69" s="3">
        <v>5</v>
      </c>
      <c r="R69" s="3">
        <v>5</v>
      </c>
      <c r="S69" s="3">
        <v>5</v>
      </c>
      <c r="T69" s="3">
        <v>5</v>
      </c>
      <c r="U69" s="3">
        <v>5</v>
      </c>
      <c r="V69" s="3">
        <v>5</v>
      </c>
      <c r="W69" s="3">
        <v>5</v>
      </c>
      <c r="X69" s="3">
        <v>5</v>
      </c>
      <c r="Y69" s="3">
        <v>4</v>
      </c>
      <c r="Z69" s="3">
        <v>5</v>
      </c>
      <c r="AA69" s="3">
        <v>5</v>
      </c>
      <c r="AB69" s="3">
        <v>5</v>
      </c>
      <c r="AC69" s="3">
        <v>4</v>
      </c>
      <c r="AD69" s="3">
        <v>5</v>
      </c>
      <c r="AE69" s="3">
        <v>5</v>
      </c>
      <c r="AF69" s="3">
        <v>5</v>
      </c>
      <c r="AG69" s="3">
        <v>3</v>
      </c>
      <c r="AH69" s="3">
        <v>4</v>
      </c>
      <c r="AI69" s="3">
        <v>5</v>
      </c>
      <c r="AJ69" s="3">
        <v>5</v>
      </c>
      <c r="AK69" s="3">
        <v>5</v>
      </c>
      <c r="AL69" s="3">
        <v>5</v>
      </c>
      <c r="AM69" s="3">
        <v>5</v>
      </c>
      <c r="AN69" s="3">
        <v>4</v>
      </c>
      <c r="AO69" s="3">
        <v>4</v>
      </c>
      <c r="AP69" s="3">
        <v>4</v>
      </c>
      <c r="AQ69" s="3">
        <v>5</v>
      </c>
      <c r="AR69" s="3">
        <v>5</v>
      </c>
      <c r="AS69" s="3">
        <v>5</v>
      </c>
      <c r="AT69" s="3">
        <v>5</v>
      </c>
      <c r="AU69" s="3">
        <v>5</v>
      </c>
      <c r="AV69" s="3">
        <v>5</v>
      </c>
      <c r="AW69" s="3">
        <v>5</v>
      </c>
      <c r="AX69" s="3">
        <v>5</v>
      </c>
      <c r="AY69" s="3">
        <v>5</v>
      </c>
      <c r="AZ69" s="3">
        <v>5</v>
      </c>
      <c r="BA69" s="3">
        <v>5</v>
      </c>
      <c r="BB69" s="3">
        <v>5</v>
      </c>
      <c r="BC69" s="3">
        <v>4</v>
      </c>
      <c r="BD69" s="3">
        <v>4</v>
      </c>
      <c r="BE69" s="3">
        <v>4</v>
      </c>
      <c r="BF69" s="3">
        <v>4</v>
      </c>
      <c r="BG69" s="3">
        <v>5</v>
      </c>
      <c r="BH69" s="3">
        <v>5</v>
      </c>
      <c r="BI69" s="3">
        <v>5</v>
      </c>
      <c r="BJ69" s="3">
        <v>5</v>
      </c>
      <c r="BK69" s="3">
        <v>5</v>
      </c>
      <c r="BL69" s="3">
        <v>5</v>
      </c>
      <c r="BM69" s="3">
        <v>5</v>
      </c>
      <c r="BN69" s="3">
        <v>5</v>
      </c>
      <c r="BO69" s="3">
        <v>5</v>
      </c>
      <c r="BP69" s="3" t="s">
        <v>256</v>
      </c>
    </row>
    <row r="70" spans="1:68" ht="22.5" customHeight="1" x14ac:dyDescent="0.25">
      <c r="A70" s="2">
        <v>45967.713271631947</v>
      </c>
      <c r="B70" s="3" t="s">
        <v>257</v>
      </c>
      <c r="C70" s="3" t="s">
        <v>69</v>
      </c>
      <c r="D70" s="3" t="s">
        <v>239</v>
      </c>
      <c r="E70" s="3" t="s">
        <v>87</v>
      </c>
      <c r="F70" s="3" t="s">
        <v>82</v>
      </c>
      <c r="G70" s="3" t="s">
        <v>73</v>
      </c>
      <c r="H70" s="3">
        <v>5</v>
      </c>
      <c r="I70" s="3">
        <v>5</v>
      </c>
      <c r="J70" s="3">
        <v>5</v>
      </c>
      <c r="K70" s="3">
        <v>5</v>
      </c>
      <c r="L70" s="3">
        <v>5</v>
      </c>
      <c r="M70" s="3">
        <v>4</v>
      </c>
      <c r="N70" s="3">
        <v>4</v>
      </c>
      <c r="O70" s="3">
        <v>5</v>
      </c>
      <c r="P70" s="3">
        <v>5</v>
      </c>
      <c r="Q70" s="3">
        <v>5</v>
      </c>
      <c r="R70" s="3">
        <v>5</v>
      </c>
      <c r="S70" s="3">
        <v>5</v>
      </c>
      <c r="T70" s="3">
        <v>5</v>
      </c>
      <c r="U70" s="3">
        <v>5</v>
      </c>
      <c r="V70" s="3">
        <v>4</v>
      </c>
      <c r="W70" s="3">
        <v>4</v>
      </c>
      <c r="X70" s="3">
        <v>4</v>
      </c>
      <c r="Y70" s="3">
        <v>4</v>
      </c>
      <c r="Z70" s="3">
        <v>4</v>
      </c>
      <c r="AA70" s="3">
        <v>4</v>
      </c>
      <c r="AB70" s="3">
        <v>4</v>
      </c>
      <c r="AC70" s="3">
        <v>4</v>
      </c>
      <c r="AD70" s="3">
        <v>4</v>
      </c>
      <c r="AE70" s="3">
        <v>5</v>
      </c>
      <c r="AF70" s="3">
        <v>5</v>
      </c>
      <c r="AG70" s="3">
        <v>5</v>
      </c>
      <c r="AH70" s="3">
        <v>5</v>
      </c>
      <c r="AI70" s="3">
        <v>5</v>
      </c>
      <c r="AJ70" s="3">
        <v>5</v>
      </c>
      <c r="AK70" s="3">
        <v>5</v>
      </c>
      <c r="AL70" s="3">
        <v>5</v>
      </c>
      <c r="AM70" s="3">
        <v>5</v>
      </c>
      <c r="AN70" s="3">
        <v>4</v>
      </c>
      <c r="AO70" s="3">
        <v>4</v>
      </c>
      <c r="AP70" s="3">
        <v>4</v>
      </c>
      <c r="AQ70" s="3">
        <v>4</v>
      </c>
      <c r="AR70" s="3">
        <v>4</v>
      </c>
      <c r="AS70" s="3">
        <v>3</v>
      </c>
      <c r="AT70" s="3">
        <v>4</v>
      </c>
      <c r="AU70" s="3">
        <v>4</v>
      </c>
      <c r="AV70" s="3">
        <v>4</v>
      </c>
      <c r="AW70" s="3">
        <v>5</v>
      </c>
      <c r="AX70" s="3">
        <v>5</v>
      </c>
      <c r="AY70" s="3">
        <v>5</v>
      </c>
      <c r="AZ70" s="3">
        <v>5</v>
      </c>
      <c r="BA70" s="3">
        <v>4</v>
      </c>
      <c r="BB70" s="3">
        <v>4</v>
      </c>
      <c r="BC70" s="3">
        <v>4</v>
      </c>
      <c r="BD70" s="3">
        <v>4</v>
      </c>
      <c r="BE70" s="3">
        <v>4</v>
      </c>
      <c r="BF70" s="3">
        <v>4</v>
      </c>
      <c r="BG70" s="3">
        <v>4</v>
      </c>
      <c r="BH70" s="3">
        <v>4</v>
      </c>
      <c r="BI70" s="3">
        <v>4</v>
      </c>
      <c r="BJ70" s="3">
        <v>5</v>
      </c>
      <c r="BK70" s="3">
        <v>4</v>
      </c>
      <c r="BL70" s="3">
        <v>5</v>
      </c>
      <c r="BM70" s="3">
        <v>5</v>
      </c>
      <c r="BN70" s="3">
        <v>5</v>
      </c>
      <c r="BO70" s="3">
        <v>5</v>
      </c>
      <c r="BP70" s="3" t="s">
        <v>258</v>
      </c>
    </row>
    <row r="71" spans="1:68" ht="22.5" customHeight="1" x14ac:dyDescent="0.25">
      <c r="A71" s="2">
        <v>45967.796636192128</v>
      </c>
      <c r="B71" s="3" t="s">
        <v>259</v>
      </c>
      <c r="C71" s="3" t="s">
        <v>86</v>
      </c>
      <c r="D71" s="3" t="s">
        <v>260</v>
      </c>
      <c r="E71" s="3" t="s">
        <v>77</v>
      </c>
      <c r="F71" s="3" t="s">
        <v>78</v>
      </c>
      <c r="G71" s="3" t="s">
        <v>79</v>
      </c>
      <c r="H71" s="3">
        <v>5</v>
      </c>
      <c r="I71" s="3">
        <v>5</v>
      </c>
      <c r="J71" s="3">
        <v>4</v>
      </c>
      <c r="K71" s="3">
        <v>4</v>
      </c>
      <c r="L71" s="3">
        <v>4</v>
      </c>
      <c r="M71" s="3">
        <v>3</v>
      </c>
      <c r="N71" s="3">
        <v>4</v>
      </c>
      <c r="O71" s="3">
        <v>4</v>
      </c>
      <c r="P71" s="3">
        <v>4</v>
      </c>
      <c r="Q71" s="3">
        <v>5</v>
      </c>
      <c r="R71" s="3">
        <v>5</v>
      </c>
      <c r="S71" s="3">
        <v>5</v>
      </c>
      <c r="T71" s="3">
        <v>5</v>
      </c>
      <c r="U71" s="3">
        <v>5</v>
      </c>
      <c r="V71" s="3">
        <v>3</v>
      </c>
      <c r="W71" s="3">
        <v>3</v>
      </c>
      <c r="X71" s="3">
        <v>5</v>
      </c>
      <c r="Y71" s="3">
        <v>3</v>
      </c>
      <c r="Z71" s="3">
        <v>5</v>
      </c>
      <c r="AA71" s="3">
        <v>5</v>
      </c>
      <c r="AB71" s="3">
        <v>3</v>
      </c>
      <c r="AC71" s="3">
        <v>4</v>
      </c>
      <c r="AD71" s="3">
        <v>5</v>
      </c>
      <c r="AE71" s="3">
        <v>5</v>
      </c>
      <c r="AF71" s="3">
        <v>5</v>
      </c>
      <c r="AG71" s="3">
        <v>5</v>
      </c>
      <c r="AH71" s="3">
        <v>4</v>
      </c>
      <c r="AI71" s="3">
        <v>5</v>
      </c>
      <c r="AJ71" s="3">
        <v>4</v>
      </c>
      <c r="AK71" s="3">
        <v>4</v>
      </c>
      <c r="AL71" s="3">
        <v>4</v>
      </c>
      <c r="AM71" s="3">
        <v>4</v>
      </c>
      <c r="AN71" s="3">
        <v>5</v>
      </c>
      <c r="AO71" s="3">
        <v>4</v>
      </c>
      <c r="AP71" s="3">
        <v>4</v>
      </c>
      <c r="AQ71" s="3">
        <v>4</v>
      </c>
      <c r="AR71" s="3">
        <v>4</v>
      </c>
      <c r="AS71" s="3">
        <v>3</v>
      </c>
      <c r="AT71" s="3">
        <v>3</v>
      </c>
      <c r="AU71" s="3">
        <v>3</v>
      </c>
      <c r="AV71" s="3">
        <v>3</v>
      </c>
      <c r="AW71" s="3">
        <v>4</v>
      </c>
      <c r="AX71" s="3">
        <v>4</v>
      </c>
      <c r="AY71" s="3">
        <v>5</v>
      </c>
      <c r="AZ71" s="3">
        <v>4</v>
      </c>
      <c r="BA71" s="3">
        <v>4</v>
      </c>
      <c r="BB71" s="3">
        <v>3</v>
      </c>
      <c r="BC71" s="3">
        <v>3</v>
      </c>
      <c r="BD71" s="3">
        <v>3</v>
      </c>
      <c r="BE71" s="3">
        <v>3</v>
      </c>
      <c r="BF71" s="3">
        <v>3</v>
      </c>
      <c r="BG71" s="3">
        <v>4</v>
      </c>
      <c r="BH71" s="3">
        <v>5</v>
      </c>
      <c r="BI71" s="3">
        <v>5</v>
      </c>
      <c r="BJ71" s="3">
        <v>5</v>
      </c>
      <c r="BK71" s="3">
        <v>4</v>
      </c>
      <c r="BL71" s="3">
        <v>5</v>
      </c>
      <c r="BM71" s="3">
        <v>5</v>
      </c>
      <c r="BN71" s="3">
        <v>5</v>
      </c>
      <c r="BO71" s="3">
        <v>5</v>
      </c>
      <c r="BP71" s="3" t="s">
        <v>261</v>
      </c>
    </row>
    <row r="72" spans="1:68" ht="22.5" customHeight="1" x14ac:dyDescent="0.25">
      <c r="A72" s="2">
        <v>45967.863140879628</v>
      </c>
      <c r="B72" s="3" t="s">
        <v>262</v>
      </c>
      <c r="C72" s="3" t="s">
        <v>69</v>
      </c>
      <c r="D72" s="3" t="s">
        <v>263</v>
      </c>
      <c r="E72" s="3" t="s">
        <v>264</v>
      </c>
      <c r="F72" s="3" t="s">
        <v>72</v>
      </c>
      <c r="G72" s="3" t="s">
        <v>73</v>
      </c>
      <c r="H72" s="3">
        <v>5</v>
      </c>
      <c r="I72" s="3">
        <v>5</v>
      </c>
      <c r="J72" s="3">
        <v>5</v>
      </c>
      <c r="K72" s="3">
        <v>4</v>
      </c>
      <c r="L72" s="3">
        <v>5</v>
      </c>
      <c r="M72" s="3">
        <v>5</v>
      </c>
      <c r="N72" s="3">
        <v>4</v>
      </c>
      <c r="O72" s="3">
        <v>5</v>
      </c>
      <c r="P72" s="3">
        <v>4</v>
      </c>
      <c r="Q72" s="3">
        <v>5</v>
      </c>
      <c r="R72" s="3">
        <v>5</v>
      </c>
      <c r="S72" s="3">
        <v>5</v>
      </c>
      <c r="T72" s="3">
        <v>5</v>
      </c>
      <c r="U72" s="3">
        <v>5</v>
      </c>
      <c r="V72" s="3">
        <v>4</v>
      </c>
      <c r="W72" s="3">
        <v>4</v>
      </c>
      <c r="X72" s="3">
        <v>5</v>
      </c>
      <c r="Y72" s="3">
        <v>4</v>
      </c>
      <c r="Z72" s="3">
        <v>4</v>
      </c>
      <c r="AA72" s="3">
        <v>5</v>
      </c>
      <c r="AB72" s="3">
        <v>4</v>
      </c>
      <c r="AC72" s="3">
        <v>4</v>
      </c>
      <c r="AD72" s="3">
        <v>5</v>
      </c>
      <c r="AE72" s="3">
        <v>4</v>
      </c>
      <c r="AF72" s="3">
        <v>4</v>
      </c>
      <c r="AG72" s="3">
        <v>5</v>
      </c>
      <c r="AH72" s="3">
        <v>4</v>
      </c>
      <c r="AI72" s="3">
        <v>5</v>
      </c>
      <c r="AJ72" s="3">
        <v>5</v>
      </c>
      <c r="AK72" s="3">
        <v>5</v>
      </c>
      <c r="AL72" s="3">
        <v>4</v>
      </c>
      <c r="AM72" s="3">
        <v>4</v>
      </c>
      <c r="AN72" s="3">
        <v>5</v>
      </c>
      <c r="AO72" s="3">
        <v>4</v>
      </c>
      <c r="AP72" s="3">
        <v>4</v>
      </c>
      <c r="AQ72" s="3">
        <v>5</v>
      </c>
      <c r="AR72" s="3">
        <v>4</v>
      </c>
      <c r="AS72" s="3">
        <v>5</v>
      </c>
      <c r="AT72" s="3">
        <v>4</v>
      </c>
      <c r="AU72" s="3">
        <v>4</v>
      </c>
      <c r="AV72" s="3">
        <v>4</v>
      </c>
      <c r="AW72" s="3">
        <v>5</v>
      </c>
      <c r="AX72" s="3">
        <v>4</v>
      </c>
      <c r="AY72" s="3">
        <v>5</v>
      </c>
      <c r="AZ72" s="3">
        <v>5</v>
      </c>
      <c r="BA72" s="3">
        <v>5</v>
      </c>
      <c r="BB72" s="3">
        <v>5</v>
      </c>
      <c r="BC72" s="3">
        <v>5</v>
      </c>
      <c r="BD72" s="3">
        <v>4</v>
      </c>
      <c r="BE72" s="3">
        <v>4</v>
      </c>
      <c r="BF72" s="3">
        <v>5</v>
      </c>
      <c r="BG72" s="3">
        <v>4</v>
      </c>
      <c r="BH72" s="3">
        <v>5</v>
      </c>
      <c r="BI72" s="3">
        <v>5</v>
      </c>
      <c r="BJ72" s="3">
        <v>5</v>
      </c>
      <c r="BK72" s="3">
        <v>5</v>
      </c>
      <c r="BL72" s="3">
        <v>4</v>
      </c>
      <c r="BM72" s="3">
        <v>5</v>
      </c>
      <c r="BN72" s="3">
        <v>5</v>
      </c>
      <c r="BO72" s="3">
        <v>4</v>
      </c>
      <c r="BP72" s="3" t="s">
        <v>265</v>
      </c>
    </row>
    <row r="73" spans="1:68" ht="22.5" customHeight="1" x14ac:dyDescent="0.25">
      <c r="A73" s="2">
        <v>45968.328930439813</v>
      </c>
      <c r="B73" s="3" t="s">
        <v>266</v>
      </c>
      <c r="C73" s="3" t="s">
        <v>69</v>
      </c>
      <c r="D73" s="3" t="s">
        <v>267</v>
      </c>
      <c r="E73" s="3" t="s">
        <v>141</v>
      </c>
      <c r="F73" s="3" t="s">
        <v>78</v>
      </c>
      <c r="G73" s="3" t="s">
        <v>79</v>
      </c>
      <c r="H73" s="3">
        <v>5</v>
      </c>
      <c r="I73" s="3">
        <v>5</v>
      </c>
      <c r="J73" s="3">
        <v>5</v>
      </c>
      <c r="K73" s="3">
        <v>5</v>
      </c>
      <c r="L73" s="3">
        <v>5</v>
      </c>
      <c r="M73" s="3">
        <v>3</v>
      </c>
      <c r="N73" s="3">
        <v>4</v>
      </c>
      <c r="O73" s="3">
        <v>5</v>
      </c>
      <c r="P73" s="3">
        <v>5</v>
      </c>
      <c r="Q73" s="3">
        <v>5</v>
      </c>
      <c r="R73" s="3">
        <v>5</v>
      </c>
      <c r="S73" s="3">
        <v>5</v>
      </c>
      <c r="T73" s="3">
        <v>5</v>
      </c>
      <c r="U73" s="3">
        <v>5</v>
      </c>
      <c r="V73" s="3">
        <v>5</v>
      </c>
      <c r="W73" s="3">
        <v>5</v>
      </c>
      <c r="X73" s="3">
        <v>4</v>
      </c>
      <c r="Y73" s="3">
        <v>4</v>
      </c>
      <c r="Z73" s="3">
        <v>4</v>
      </c>
      <c r="AA73" s="3">
        <v>4</v>
      </c>
      <c r="AB73" s="3">
        <v>4</v>
      </c>
      <c r="AC73" s="3">
        <v>4</v>
      </c>
      <c r="AD73" s="3">
        <v>4</v>
      </c>
      <c r="AE73" s="3">
        <v>4</v>
      </c>
      <c r="AF73" s="3">
        <v>4</v>
      </c>
      <c r="AG73" s="3">
        <v>4</v>
      </c>
      <c r="AH73" s="3">
        <v>4</v>
      </c>
      <c r="AI73" s="3">
        <v>5</v>
      </c>
      <c r="AJ73" s="3">
        <v>5</v>
      </c>
      <c r="AK73" s="3">
        <v>5</v>
      </c>
      <c r="AL73" s="3">
        <v>5</v>
      </c>
      <c r="AM73" s="3">
        <v>5</v>
      </c>
      <c r="AN73" s="3">
        <v>5</v>
      </c>
      <c r="AO73" s="3">
        <v>5</v>
      </c>
      <c r="AP73" s="3">
        <v>5</v>
      </c>
      <c r="AQ73" s="3">
        <v>5</v>
      </c>
      <c r="AR73" s="3">
        <v>5</v>
      </c>
      <c r="AS73" s="3">
        <v>5</v>
      </c>
      <c r="AT73" s="3">
        <v>4</v>
      </c>
      <c r="AU73" s="3">
        <v>4</v>
      </c>
      <c r="AV73" s="3">
        <v>4</v>
      </c>
      <c r="AW73" s="3">
        <v>4</v>
      </c>
      <c r="AX73" s="3">
        <v>4</v>
      </c>
      <c r="AY73" s="3">
        <v>4</v>
      </c>
      <c r="AZ73" s="3">
        <v>4</v>
      </c>
      <c r="BA73" s="3">
        <v>4</v>
      </c>
      <c r="BB73" s="3">
        <v>4</v>
      </c>
      <c r="BC73" s="3">
        <v>4</v>
      </c>
      <c r="BD73" s="3">
        <v>4</v>
      </c>
      <c r="BE73" s="3">
        <v>4</v>
      </c>
      <c r="BF73" s="3">
        <v>4</v>
      </c>
      <c r="BG73" s="3">
        <v>4</v>
      </c>
      <c r="BH73" s="3">
        <v>4</v>
      </c>
      <c r="BI73" s="3">
        <v>4</v>
      </c>
      <c r="BJ73" s="3">
        <v>4</v>
      </c>
      <c r="BK73" s="3">
        <v>5</v>
      </c>
      <c r="BL73" s="3">
        <v>5</v>
      </c>
      <c r="BM73" s="3">
        <v>4</v>
      </c>
      <c r="BN73" s="3">
        <v>4</v>
      </c>
      <c r="BO73" s="3">
        <v>4</v>
      </c>
      <c r="BP73" s="3" t="s">
        <v>268</v>
      </c>
    </row>
    <row r="74" spans="1:68" ht="22.5" customHeight="1" x14ac:dyDescent="0.25">
      <c r="A74" s="2">
        <v>45968.352808946758</v>
      </c>
      <c r="B74" s="3" t="s">
        <v>269</v>
      </c>
      <c r="C74" s="3" t="s">
        <v>86</v>
      </c>
      <c r="D74" s="3" t="s">
        <v>154</v>
      </c>
      <c r="E74" s="3" t="s">
        <v>119</v>
      </c>
      <c r="F74" s="3" t="s">
        <v>82</v>
      </c>
      <c r="G74" s="3" t="s">
        <v>83</v>
      </c>
      <c r="H74" s="3">
        <v>5</v>
      </c>
      <c r="I74" s="3">
        <v>5</v>
      </c>
      <c r="J74" s="3">
        <v>5</v>
      </c>
      <c r="K74" s="3">
        <v>4</v>
      </c>
      <c r="L74" s="3">
        <v>4</v>
      </c>
      <c r="M74" s="3">
        <v>3</v>
      </c>
      <c r="N74" s="3">
        <v>3</v>
      </c>
      <c r="O74" s="3">
        <v>5</v>
      </c>
      <c r="P74" s="3">
        <v>5</v>
      </c>
      <c r="Q74" s="3">
        <v>5</v>
      </c>
      <c r="R74" s="3">
        <v>5</v>
      </c>
      <c r="S74" s="3">
        <v>5</v>
      </c>
      <c r="T74" s="3">
        <v>5</v>
      </c>
      <c r="U74" s="3">
        <v>5</v>
      </c>
      <c r="V74" s="3">
        <v>4</v>
      </c>
      <c r="W74" s="3">
        <v>3</v>
      </c>
      <c r="X74" s="3">
        <v>4</v>
      </c>
      <c r="Y74" s="3">
        <v>3</v>
      </c>
      <c r="Z74" s="3">
        <v>4</v>
      </c>
      <c r="AA74" s="3">
        <v>4</v>
      </c>
      <c r="AB74" s="3">
        <v>4</v>
      </c>
      <c r="AC74" s="3">
        <v>2</v>
      </c>
      <c r="AD74" s="3">
        <v>5</v>
      </c>
      <c r="AE74" s="3">
        <v>4</v>
      </c>
      <c r="AF74" s="3">
        <v>4</v>
      </c>
      <c r="AG74" s="3">
        <v>4</v>
      </c>
      <c r="AH74" s="3">
        <v>4</v>
      </c>
      <c r="AI74" s="3">
        <v>5</v>
      </c>
      <c r="AJ74" s="3">
        <v>4</v>
      </c>
      <c r="AK74" s="3">
        <v>5</v>
      </c>
      <c r="AL74" s="3">
        <v>4</v>
      </c>
      <c r="AM74" s="3">
        <v>4</v>
      </c>
      <c r="AN74" s="3">
        <v>5</v>
      </c>
      <c r="AO74" s="3">
        <v>4</v>
      </c>
      <c r="AP74" s="3">
        <v>4</v>
      </c>
      <c r="AQ74" s="3">
        <v>3</v>
      </c>
      <c r="AR74" s="3">
        <v>3</v>
      </c>
      <c r="AS74" s="3">
        <v>3</v>
      </c>
      <c r="AT74" s="3">
        <v>4</v>
      </c>
      <c r="AU74" s="3">
        <v>4</v>
      </c>
      <c r="AV74" s="3">
        <v>3</v>
      </c>
      <c r="AW74" s="3">
        <v>4</v>
      </c>
      <c r="AX74" s="3">
        <v>4</v>
      </c>
      <c r="AY74" s="3">
        <v>4</v>
      </c>
      <c r="AZ74" s="3">
        <v>4</v>
      </c>
      <c r="BA74" s="3">
        <v>5</v>
      </c>
      <c r="BB74" s="3">
        <v>4</v>
      </c>
      <c r="BC74" s="3">
        <v>4</v>
      </c>
      <c r="BD74" s="3">
        <v>4</v>
      </c>
      <c r="BE74" s="3">
        <v>4</v>
      </c>
      <c r="BF74" s="3">
        <v>4</v>
      </c>
      <c r="BG74" s="3">
        <v>4</v>
      </c>
      <c r="BH74" s="3">
        <v>5</v>
      </c>
      <c r="BI74" s="3">
        <v>5</v>
      </c>
      <c r="BJ74" s="3">
        <v>5</v>
      </c>
      <c r="BK74" s="3">
        <v>5</v>
      </c>
      <c r="BL74" s="3">
        <v>5</v>
      </c>
      <c r="BM74" s="3">
        <v>5</v>
      </c>
      <c r="BN74" s="3">
        <v>5</v>
      </c>
      <c r="BO74" s="3">
        <v>5</v>
      </c>
      <c r="BP74" s="3" t="s">
        <v>270</v>
      </c>
    </row>
    <row r="75" spans="1:68" ht="22.5" customHeight="1" x14ac:dyDescent="0.25">
      <c r="A75" s="2">
        <v>45968.364752106485</v>
      </c>
      <c r="B75" s="3" t="s">
        <v>271</v>
      </c>
      <c r="C75" s="3" t="s">
        <v>69</v>
      </c>
      <c r="D75" s="3" t="s">
        <v>272</v>
      </c>
      <c r="E75" s="3" t="s">
        <v>77</v>
      </c>
      <c r="F75" s="3" t="s">
        <v>78</v>
      </c>
      <c r="G75" s="3" t="s">
        <v>79</v>
      </c>
      <c r="H75" s="3">
        <v>5</v>
      </c>
      <c r="I75" s="3">
        <v>5</v>
      </c>
      <c r="J75" s="3">
        <v>4</v>
      </c>
      <c r="K75" s="3">
        <v>4</v>
      </c>
      <c r="L75" s="3">
        <v>5</v>
      </c>
      <c r="M75" s="3">
        <v>3</v>
      </c>
      <c r="N75" s="3">
        <v>5</v>
      </c>
      <c r="O75" s="3">
        <v>5</v>
      </c>
      <c r="P75" s="3">
        <v>5</v>
      </c>
      <c r="Q75" s="3">
        <v>5</v>
      </c>
      <c r="R75" s="3">
        <v>4</v>
      </c>
      <c r="S75" s="3">
        <v>4</v>
      </c>
      <c r="T75" s="3">
        <v>5</v>
      </c>
      <c r="U75" s="3">
        <v>4</v>
      </c>
      <c r="V75" s="3">
        <v>4</v>
      </c>
      <c r="W75" s="3">
        <v>4</v>
      </c>
      <c r="X75" s="3">
        <v>4</v>
      </c>
      <c r="Y75" s="3">
        <v>4</v>
      </c>
      <c r="Z75" s="3">
        <v>4</v>
      </c>
      <c r="AA75" s="3">
        <v>2</v>
      </c>
      <c r="AB75" s="3">
        <v>4</v>
      </c>
      <c r="AC75" s="3">
        <v>4</v>
      </c>
      <c r="AD75" s="3">
        <v>4</v>
      </c>
      <c r="AE75" s="3">
        <v>4</v>
      </c>
      <c r="AF75" s="3">
        <v>3</v>
      </c>
      <c r="AG75" s="3">
        <v>5</v>
      </c>
      <c r="AH75" s="3">
        <v>3</v>
      </c>
      <c r="AI75" s="3">
        <v>4</v>
      </c>
      <c r="AJ75" s="3">
        <v>4</v>
      </c>
      <c r="AK75" s="3">
        <v>4</v>
      </c>
      <c r="AL75" s="3">
        <v>4</v>
      </c>
      <c r="AM75" s="3">
        <v>4</v>
      </c>
      <c r="AN75" s="3">
        <v>4</v>
      </c>
      <c r="AO75" s="3">
        <v>4</v>
      </c>
      <c r="AP75" s="3">
        <v>4</v>
      </c>
      <c r="AQ75" s="3">
        <v>4</v>
      </c>
      <c r="AR75" s="3">
        <v>4</v>
      </c>
      <c r="AS75" s="3">
        <v>3</v>
      </c>
      <c r="AT75" s="3">
        <v>4</v>
      </c>
      <c r="AU75" s="3">
        <v>3</v>
      </c>
      <c r="AV75" s="3">
        <v>4</v>
      </c>
      <c r="AW75" s="3">
        <v>4</v>
      </c>
      <c r="AX75" s="3">
        <v>4</v>
      </c>
      <c r="AY75" s="3">
        <v>4</v>
      </c>
      <c r="AZ75" s="3">
        <v>4</v>
      </c>
      <c r="BA75" s="3">
        <v>4</v>
      </c>
      <c r="BB75" s="3">
        <v>3</v>
      </c>
      <c r="BC75" s="3">
        <v>4</v>
      </c>
      <c r="BD75" s="3">
        <v>2</v>
      </c>
      <c r="BE75" s="3">
        <v>2</v>
      </c>
      <c r="BF75" s="3">
        <v>2</v>
      </c>
      <c r="BG75" s="3">
        <v>4</v>
      </c>
      <c r="BH75" s="3">
        <v>4</v>
      </c>
      <c r="BI75" s="3">
        <v>4</v>
      </c>
      <c r="BJ75" s="3">
        <v>4</v>
      </c>
      <c r="BK75" s="3">
        <v>4</v>
      </c>
      <c r="BL75" s="3">
        <v>4</v>
      </c>
      <c r="BM75" s="3">
        <v>4</v>
      </c>
      <c r="BN75" s="3">
        <v>4</v>
      </c>
      <c r="BO75" s="3">
        <v>4</v>
      </c>
      <c r="BP75" s="3" t="s">
        <v>273</v>
      </c>
    </row>
    <row r="76" spans="1:68" ht="22.5" customHeight="1" x14ac:dyDescent="0.25">
      <c r="A76" s="2">
        <v>45968.380348032406</v>
      </c>
      <c r="B76" s="3" t="s">
        <v>274</v>
      </c>
      <c r="C76" s="3" t="s">
        <v>69</v>
      </c>
      <c r="D76" s="3" t="s">
        <v>239</v>
      </c>
      <c r="E76" s="3" t="s">
        <v>141</v>
      </c>
      <c r="F76" s="3" t="s">
        <v>72</v>
      </c>
      <c r="G76" s="3" t="s">
        <v>73</v>
      </c>
      <c r="H76" s="3">
        <v>5</v>
      </c>
      <c r="I76" s="3">
        <v>4</v>
      </c>
      <c r="J76" s="3">
        <v>5</v>
      </c>
      <c r="K76" s="3">
        <v>5</v>
      </c>
      <c r="L76" s="3">
        <v>4</v>
      </c>
      <c r="M76" s="3">
        <v>3</v>
      </c>
      <c r="N76" s="3">
        <v>4</v>
      </c>
      <c r="O76" s="3">
        <v>5</v>
      </c>
      <c r="P76" s="3">
        <v>5</v>
      </c>
      <c r="Q76" s="3">
        <v>4</v>
      </c>
      <c r="R76" s="3">
        <v>4</v>
      </c>
      <c r="S76" s="3">
        <v>4</v>
      </c>
      <c r="T76" s="3">
        <v>5</v>
      </c>
      <c r="U76" s="3">
        <v>5</v>
      </c>
      <c r="V76" s="3">
        <v>3</v>
      </c>
      <c r="W76" s="3">
        <v>4</v>
      </c>
      <c r="X76" s="3">
        <v>3</v>
      </c>
      <c r="Y76" s="3">
        <v>4</v>
      </c>
      <c r="Z76" s="3">
        <v>5</v>
      </c>
      <c r="AA76" s="3">
        <v>4</v>
      </c>
      <c r="AB76" s="3">
        <v>4</v>
      </c>
      <c r="AC76" s="3">
        <v>3</v>
      </c>
      <c r="AD76" s="3">
        <v>4</v>
      </c>
      <c r="AE76" s="3">
        <v>5</v>
      </c>
      <c r="AF76" s="3">
        <v>5</v>
      </c>
      <c r="AG76" s="3">
        <v>5</v>
      </c>
      <c r="AH76" s="3">
        <v>4</v>
      </c>
      <c r="AI76" s="3">
        <v>5</v>
      </c>
      <c r="AJ76" s="3">
        <v>4</v>
      </c>
      <c r="AK76" s="3">
        <v>4</v>
      </c>
      <c r="AL76" s="3">
        <v>4</v>
      </c>
      <c r="AM76" s="3">
        <v>5</v>
      </c>
      <c r="AN76" s="3">
        <v>3</v>
      </c>
      <c r="AO76" s="3">
        <v>4</v>
      </c>
      <c r="AP76" s="3">
        <v>4</v>
      </c>
      <c r="AQ76" s="3">
        <v>4</v>
      </c>
      <c r="AR76" s="3">
        <v>4</v>
      </c>
      <c r="AS76" s="3">
        <v>4</v>
      </c>
      <c r="AT76" s="3">
        <v>4</v>
      </c>
      <c r="AU76" s="3">
        <v>4</v>
      </c>
      <c r="AV76" s="3">
        <v>4</v>
      </c>
      <c r="AW76" s="3">
        <v>5</v>
      </c>
      <c r="AX76" s="3">
        <v>4</v>
      </c>
      <c r="AY76" s="3">
        <v>4</v>
      </c>
      <c r="AZ76" s="3">
        <v>5</v>
      </c>
      <c r="BA76" s="3">
        <v>4</v>
      </c>
      <c r="BB76" s="3">
        <v>4</v>
      </c>
      <c r="BC76" s="3">
        <v>4</v>
      </c>
      <c r="BD76" s="3">
        <v>3</v>
      </c>
      <c r="BE76" s="3">
        <v>3</v>
      </c>
      <c r="BF76" s="3">
        <v>3</v>
      </c>
      <c r="BG76" s="3">
        <v>4</v>
      </c>
      <c r="BH76" s="3">
        <v>5</v>
      </c>
      <c r="BI76" s="3">
        <v>5</v>
      </c>
      <c r="BJ76" s="3">
        <v>4</v>
      </c>
      <c r="BK76" s="3">
        <v>5</v>
      </c>
      <c r="BL76" s="3">
        <v>5</v>
      </c>
      <c r="BM76" s="3">
        <v>5</v>
      </c>
      <c r="BN76" s="3">
        <v>4</v>
      </c>
      <c r="BO76" s="3">
        <v>5</v>
      </c>
      <c r="BP76" s="3" t="s">
        <v>275</v>
      </c>
    </row>
    <row r="77" spans="1:68" ht="22.5" customHeight="1" x14ac:dyDescent="0.25">
      <c r="A77" s="2">
        <v>45968.384792476849</v>
      </c>
      <c r="B77" s="3" t="s">
        <v>276</v>
      </c>
      <c r="C77" s="3" t="s">
        <v>69</v>
      </c>
      <c r="D77" s="3" t="s">
        <v>198</v>
      </c>
      <c r="E77" s="3" t="s">
        <v>119</v>
      </c>
      <c r="F77" s="3" t="s">
        <v>88</v>
      </c>
      <c r="G77" s="3" t="s">
        <v>83</v>
      </c>
      <c r="H77" s="3">
        <v>5</v>
      </c>
      <c r="I77" s="3">
        <v>5</v>
      </c>
      <c r="J77" s="3">
        <v>4</v>
      </c>
      <c r="K77" s="3">
        <v>4</v>
      </c>
      <c r="L77" s="3">
        <v>5</v>
      </c>
      <c r="M77" s="3">
        <v>4</v>
      </c>
      <c r="N77" s="3">
        <v>5</v>
      </c>
      <c r="O77" s="3">
        <v>5</v>
      </c>
      <c r="P77" s="3">
        <v>5</v>
      </c>
      <c r="Q77" s="3">
        <v>5</v>
      </c>
      <c r="R77" s="3">
        <v>5</v>
      </c>
      <c r="S77" s="3">
        <v>5</v>
      </c>
      <c r="T77" s="3">
        <v>5</v>
      </c>
      <c r="U77" s="3">
        <v>5</v>
      </c>
      <c r="V77" s="3">
        <v>4</v>
      </c>
      <c r="W77" s="3">
        <v>4</v>
      </c>
      <c r="X77" s="3">
        <v>4</v>
      </c>
      <c r="Y77" s="3">
        <v>4</v>
      </c>
      <c r="Z77" s="3">
        <v>4</v>
      </c>
      <c r="AA77" s="3">
        <v>5</v>
      </c>
      <c r="AB77" s="3">
        <v>4</v>
      </c>
      <c r="AC77" s="3">
        <v>3</v>
      </c>
      <c r="AD77" s="3">
        <v>5</v>
      </c>
      <c r="AE77" s="3">
        <v>4</v>
      </c>
      <c r="AF77" s="3">
        <v>4</v>
      </c>
      <c r="AG77" s="3">
        <v>4</v>
      </c>
      <c r="AH77" s="3">
        <v>4</v>
      </c>
      <c r="AI77" s="3">
        <v>5</v>
      </c>
      <c r="AJ77" s="3">
        <v>5</v>
      </c>
      <c r="AK77" s="3">
        <v>5</v>
      </c>
      <c r="AL77" s="3">
        <v>5</v>
      </c>
      <c r="AM77" s="3">
        <v>5</v>
      </c>
      <c r="AN77" s="3">
        <v>4</v>
      </c>
      <c r="AO77" s="3">
        <v>4</v>
      </c>
      <c r="AP77" s="3">
        <v>4</v>
      </c>
      <c r="AQ77" s="3">
        <v>4</v>
      </c>
      <c r="AR77" s="3">
        <v>4</v>
      </c>
      <c r="AS77" s="3">
        <v>4</v>
      </c>
      <c r="AT77" s="3">
        <v>4</v>
      </c>
      <c r="AU77" s="3">
        <v>4</v>
      </c>
      <c r="AV77" s="3">
        <v>4</v>
      </c>
      <c r="AW77" s="3">
        <v>5</v>
      </c>
      <c r="AX77" s="3">
        <v>5</v>
      </c>
      <c r="AY77" s="3">
        <v>5</v>
      </c>
      <c r="AZ77" s="3">
        <v>5</v>
      </c>
      <c r="BA77" s="3">
        <v>4</v>
      </c>
      <c r="BB77" s="3">
        <v>4</v>
      </c>
      <c r="BC77" s="3">
        <v>4</v>
      </c>
      <c r="BD77" s="3">
        <v>4</v>
      </c>
      <c r="BE77" s="3">
        <v>4</v>
      </c>
      <c r="BF77" s="3">
        <v>4</v>
      </c>
      <c r="BG77" s="3">
        <v>5</v>
      </c>
      <c r="BH77" s="3">
        <v>5</v>
      </c>
      <c r="BI77" s="3">
        <v>5</v>
      </c>
      <c r="BJ77" s="3">
        <v>5</v>
      </c>
      <c r="BK77" s="3">
        <v>5</v>
      </c>
      <c r="BL77" s="3">
        <v>5</v>
      </c>
      <c r="BM77" s="3">
        <v>5</v>
      </c>
      <c r="BN77" s="3">
        <v>4</v>
      </c>
      <c r="BO77" s="3">
        <v>4</v>
      </c>
      <c r="BP77" s="3" t="s">
        <v>277</v>
      </c>
    </row>
    <row r="78" spans="1:68" ht="22.5" customHeight="1" x14ac:dyDescent="0.25">
      <c r="A78" s="2">
        <v>45968.388322627317</v>
      </c>
      <c r="B78" s="3" t="s">
        <v>278</v>
      </c>
      <c r="C78" s="3" t="s">
        <v>69</v>
      </c>
      <c r="D78" s="3" t="s">
        <v>279</v>
      </c>
      <c r="E78" s="3" t="s">
        <v>280</v>
      </c>
      <c r="F78" s="3" t="s">
        <v>72</v>
      </c>
      <c r="G78" s="3" t="s">
        <v>73</v>
      </c>
      <c r="H78" s="3">
        <v>5</v>
      </c>
      <c r="I78" s="3">
        <v>5</v>
      </c>
      <c r="J78" s="3">
        <v>5</v>
      </c>
      <c r="K78" s="3">
        <v>4</v>
      </c>
      <c r="L78" s="3">
        <v>5</v>
      </c>
      <c r="M78" s="3">
        <v>5</v>
      </c>
      <c r="N78" s="3">
        <v>5</v>
      </c>
      <c r="O78" s="3">
        <v>5</v>
      </c>
      <c r="P78" s="3">
        <v>4</v>
      </c>
      <c r="Q78" s="3">
        <v>5</v>
      </c>
      <c r="R78" s="3">
        <v>5</v>
      </c>
      <c r="S78" s="3">
        <v>5</v>
      </c>
      <c r="T78" s="3">
        <v>5</v>
      </c>
      <c r="U78" s="3">
        <v>5</v>
      </c>
      <c r="V78" s="3">
        <v>4</v>
      </c>
      <c r="W78" s="3">
        <v>4</v>
      </c>
      <c r="X78" s="3">
        <v>3</v>
      </c>
      <c r="Y78" s="3">
        <v>4</v>
      </c>
      <c r="Z78" s="3">
        <v>5</v>
      </c>
      <c r="AA78" s="3">
        <v>5</v>
      </c>
      <c r="AB78" s="3">
        <v>5</v>
      </c>
      <c r="AC78" s="3">
        <v>4</v>
      </c>
      <c r="AD78" s="3">
        <v>5</v>
      </c>
      <c r="AE78" s="3">
        <v>5</v>
      </c>
      <c r="AF78" s="3">
        <v>5</v>
      </c>
      <c r="AG78" s="3">
        <v>5</v>
      </c>
      <c r="AH78" s="3">
        <v>5</v>
      </c>
      <c r="AI78" s="3">
        <v>5</v>
      </c>
      <c r="AJ78" s="3">
        <v>5</v>
      </c>
      <c r="AK78" s="3">
        <v>5</v>
      </c>
      <c r="AL78" s="3">
        <v>5</v>
      </c>
      <c r="AM78" s="3">
        <v>5</v>
      </c>
      <c r="AN78" s="3">
        <v>5</v>
      </c>
      <c r="AO78" s="3">
        <v>4</v>
      </c>
      <c r="AP78" s="3">
        <v>5</v>
      </c>
      <c r="AQ78" s="3">
        <v>5</v>
      </c>
      <c r="AR78" s="3">
        <v>5</v>
      </c>
      <c r="AS78" s="3">
        <v>4</v>
      </c>
      <c r="AT78" s="3">
        <v>5</v>
      </c>
      <c r="AU78" s="3">
        <v>5</v>
      </c>
      <c r="AV78" s="3">
        <v>5</v>
      </c>
      <c r="AW78" s="3">
        <v>5</v>
      </c>
      <c r="AX78" s="3">
        <v>5</v>
      </c>
      <c r="AY78" s="3">
        <v>5</v>
      </c>
      <c r="AZ78" s="3">
        <v>5</v>
      </c>
      <c r="BA78" s="3">
        <v>4</v>
      </c>
      <c r="BB78" s="3">
        <v>4</v>
      </c>
      <c r="BC78" s="3">
        <v>4</v>
      </c>
      <c r="BD78" s="3">
        <v>4</v>
      </c>
      <c r="BE78" s="3">
        <v>5</v>
      </c>
      <c r="BF78" s="3">
        <v>4</v>
      </c>
      <c r="BG78" s="3">
        <v>4</v>
      </c>
      <c r="BH78" s="3">
        <v>4</v>
      </c>
      <c r="BI78" s="3">
        <v>5</v>
      </c>
      <c r="BJ78" s="3">
        <v>5</v>
      </c>
      <c r="BK78" s="3">
        <v>5</v>
      </c>
      <c r="BL78" s="3">
        <v>5</v>
      </c>
      <c r="BM78" s="3">
        <v>5</v>
      </c>
      <c r="BN78" s="3">
        <v>5</v>
      </c>
      <c r="BO78" s="3">
        <v>5</v>
      </c>
      <c r="BP78" s="3" t="s">
        <v>281</v>
      </c>
    </row>
    <row r="79" spans="1:68" ht="22.5" customHeight="1" x14ac:dyDescent="0.25">
      <c r="A79" s="2">
        <v>45968.399578449069</v>
      </c>
      <c r="B79" s="3" t="s">
        <v>282</v>
      </c>
      <c r="C79" s="3" t="s">
        <v>69</v>
      </c>
      <c r="D79" s="3" t="s">
        <v>198</v>
      </c>
      <c r="E79" s="3" t="s">
        <v>119</v>
      </c>
      <c r="F79" s="3" t="s">
        <v>72</v>
      </c>
      <c r="G79" s="3" t="s">
        <v>73</v>
      </c>
      <c r="H79" s="3">
        <v>4</v>
      </c>
      <c r="I79" s="3">
        <v>4</v>
      </c>
      <c r="J79" s="3">
        <v>4</v>
      </c>
      <c r="K79" s="3">
        <v>4</v>
      </c>
      <c r="L79" s="3">
        <v>4</v>
      </c>
      <c r="M79" s="3">
        <v>3</v>
      </c>
      <c r="N79" s="3">
        <v>4</v>
      </c>
      <c r="O79" s="3">
        <v>4</v>
      </c>
      <c r="P79" s="3">
        <v>4</v>
      </c>
      <c r="Q79" s="3">
        <v>4</v>
      </c>
      <c r="R79" s="3">
        <v>4</v>
      </c>
      <c r="S79" s="3">
        <v>4</v>
      </c>
      <c r="T79" s="3">
        <v>4</v>
      </c>
      <c r="U79" s="3">
        <v>4</v>
      </c>
      <c r="V79" s="3">
        <v>4</v>
      </c>
      <c r="W79" s="3">
        <v>4</v>
      </c>
      <c r="X79" s="3">
        <v>4</v>
      </c>
      <c r="Y79" s="3">
        <v>4</v>
      </c>
      <c r="Z79" s="3">
        <v>4</v>
      </c>
      <c r="AA79" s="3">
        <v>4</v>
      </c>
      <c r="AB79" s="3">
        <v>4</v>
      </c>
      <c r="AC79" s="3">
        <v>4</v>
      </c>
      <c r="AD79" s="3">
        <v>5</v>
      </c>
      <c r="AE79" s="3">
        <v>4</v>
      </c>
      <c r="AF79" s="3">
        <v>4</v>
      </c>
      <c r="AG79" s="3">
        <v>4</v>
      </c>
      <c r="AH79" s="3">
        <v>4</v>
      </c>
      <c r="AI79" s="3">
        <v>5</v>
      </c>
      <c r="AJ79" s="3">
        <v>5</v>
      </c>
      <c r="AK79" s="3">
        <v>4</v>
      </c>
      <c r="AL79" s="3">
        <v>4</v>
      </c>
      <c r="AM79" s="3">
        <v>4</v>
      </c>
      <c r="AN79" s="3">
        <v>3</v>
      </c>
      <c r="AO79" s="3">
        <v>3</v>
      </c>
      <c r="AP79" s="3">
        <v>4</v>
      </c>
      <c r="AQ79" s="3">
        <v>4</v>
      </c>
      <c r="AR79" s="3">
        <v>4</v>
      </c>
      <c r="AS79" s="3">
        <v>4</v>
      </c>
      <c r="AT79" s="3">
        <v>4</v>
      </c>
      <c r="AU79" s="3">
        <v>4</v>
      </c>
      <c r="AV79" s="3">
        <v>4</v>
      </c>
      <c r="AW79" s="3">
        <v>4</v>
      </c>
      <c r="AX79" s="3">
        <v>4</v>
      </c>
      <c r="AY79" s="3">
        <v>4</v>
      </c>
      <c r="AZ79" s="3">
        <v>4</v>
      </c>
      <c r="BA79" s="3">
        <v>4</v>
      </c>
      <c r="BB79" s="3">
        <v>4</v>
      </c>
      <c r="BC79" s="3">
        <v>4</v>
      </c>
      <c r="BD79" s="3">
        <v>4</v>
      </c>
      <c r="BE79" s="3">
        <v>3</v>
      </c>
      <c r="BF79" s="3">
        <v>3</v>
      </c>
      <c r="BG79" s="3">
        <v>3</v>
      </c>
      <c r="BH79" s="3">
        <v>3</v>
      </c>
      <c r="BI79" s="3">
        <v>3</v>
      </c>
      <c r="BJ79" s="3">
        <v>4</v>
      </c>
      <c r="BK79" s="3">
        <v>4</v>
      </c>
      <c r="BL79" s="3">
        <v>4</v>
      </c>
      <c r="BM79" s="3">
        <v>4</v>
      </c>
      <c r="BN79" s="3">
        <v>4</v>
      </c>
      <c r="BO79" s="3">
        <v>4</v>
      </c>
      <c r="BP79" s="3" t="s">
        <v>283</v>
      </c>
    </row>
    <row r="80" spans="1:68" ht="22.5" customHeight="1" x14ac:dyDescent="0.25">
      <c r="A80" s="2">
        <v>45968.459150543982</v>
      </c>
      <c r="B80" s="3" t="s">
        <v>284</v>
      </c>
      <c r="C80" s="3" t="s">
        <v>69</v>
      </c>
      <c r="D80" s="3" t="s">
        <v>137</v>
      </c>
      <c r="E80" s="3" t="s">
        <v>119</v>
      </c>
      <c r="F80" s="3" t="s">
        <v>103</v>
      </c>
      <c r="G80" s="3" t="s">
        <v>73</v>
      </c>
      <c r="H80" s="3">
        <v>5</v>
      </c>
      <c r="I80" s="3">
        <v>5</v>
      </c>
      <c r="J80" s="3">
        <v>4</v>
      </c>
      <c r="K80" s="3">
        <v>4</v>
      </c>
      <c r="L80" s="3">
        <v>5</v>
      </c>
      <c r="M80" s="3">
        <v>5</v>
      </c>
      <c r="N80" s="3">
        <v>5</v>
      </c>
      <c r="O80" s="3">
        <v>5</v>
      </c>
      <c r="P80" s="3">
        <v>5</v>
      </c>
      <c r="Q80" s="3">
        <v>5</v>
      </c>
      <c r="R80" s="3">
        <v>5</v>
      </c>
      <c r="S80" s="3">
        <v>5</v>
      </c>
      <c r="T80" s="3">
        <v>5</v>
      </c>
      <c r="U80" s="3">
        <v>5</v>
      </c>
      <c r="V80" s="3">
        <v>4</v>
      </c>
      <c r="W80" s="3">
        <v>4</v>
      </c>
      <c r="X80" s="3">
        <v>4</v>
      </c>
      <c r="Y80" s="3">
        <v>4</v>
      </c>
      <c r="Z80" s="3">
        <v>4</v>
      </c>
      <c r="AA80" s="3">
        <v>4</v>
      </c>
      <c r="AB80" s="3">
        <v>4</v>
      </c>
      <c r="AC80" s="3">
        <v>4</v>
      </c>
      <c r="AD80" s="3">
        <v>4</v>
      </c>
      <c r="AE80" s="3">
        <v>5</v>
      </c>
      <c r="AF80" s="3">
        <v>5</v>
      </c>
      <c r="AG80" s="3">
        <v>5</v>
      </c>
      <c r="AH80" s="3">
        <v>5</v>
      </c>
      <c r="AI80" s="3">
        <v>4</v>
      </c>
      <c r="AJ80" s="3">
        <v>4</v>
      </c>
      <c r="AK80" s="3">
        <v>4</v>
      </c>
      <c r="AL80" s="3">
        <v>4</v>
      </c>
      <c r="AM80" s="3">
        <v>4</v>
      </c>
      <c r="AN80" s="3">
        <v>4</v>
      </c>
      <c r="AO80" s="3">
        <v>4</v>
      </c>
      <c r="AP80" s="3">
        <v>4</v>
      </c>
      <c r="AQ80" s="3">
        <v>4</v>
      </c>
      <c r="AR80" s="3">
        <v>4</v>
      </c>
      <c r="AS80" s="3">
        <v>4</v>
      </c>
      <c r="AT80" s="3">
        <v>4</v>
      </c>
      <c r="AU80" s="3">
        <v>4</v>
      </c>
      <c r="AV80" s="3">
        <v>4</v>
      </c>
      <c r="AW80" s="3">
        <v>5</v>
      </c>
      <c r="AX80" s="3">
        <v>5</v>
      </c>
      <c r="AY80" s="3">
        <v>5</v>
      </c>
      <c r="AZ80" s="3">
        <v>5</v>
      </c>
      <c r="BA80" s="3">
        <v>5</v>
      </c>
      <c r="BB80" s="3">
        <v>5</v>
      </c>
      <c r="BC80" s="3">
        <v>5</v>
      </c>
      <c r="BD80" s="3">
        <v>5</v>
      </c>
      <c r="BE80" s="3">
        <v>5</v>
      </c>
      <c r="BF80" s="3">
        <v>5</v>
      </c>
      <c r="BG80" s="3">
        <v>5</v>
      </c>
      <c r="BH80" s="3">
        <v>5</v>
      </c>
      <c r="BI80" s="3">
        <v>5</v>
      </c>
      <c r="BJ80" s="3">
        <v>5</v>
      </c>
      <c r="BK80" s="3">
        <v>5</v>
      </c>
      <c r="BL80" s="3">
        <v>5</v>
      </c>
      <c r="BM80" s="3">
        <v>5</v>
      </c>
      <c r="BN80" s="3">
        <v>5</v>
      </c>
      <c r="BO80" s="3">
        <v>5</v>
      </c>
      <c r="BP80" s="3" t="s">
        <v>285</v>
      </c>
    </row>
    <row r="81" spans="1:68" ht="22.5" customHeight="1" x14ac:dyDescent="0.25">
      <c r="A81" s="2">
        <v>45968.486854629635</v>
      </c>
      <c r="B81" s="3" t="s">
        <v>286</v>
      </c>
      <c r="C81" s="3" t="s">
        <v>86</v>
      </c>
      <c r="D81" s="3" t="s">
        <v>198</v>
      </c>
      <c r="E81" s="3" t="s">
        <v>119</v>
      </c>
      <c r="F81" s="3" t="s">
        <v>103</v>
      </c>
      <c r="G81" s="3" t="s">
        <v>91</v>
      </c>
      <c r="H81" s="3">
        <v>5</v>
      </c>
      <c r="I81" s="3">
        <v>5</v>
      </c>
      <c r="J81" s="3">
        <v>5</v>
      </c>
      <c r="K81" s="3">
        <v>5</v>
      </c>
      <c r="L81" s="3">
        <v>5</v>
      </c>
      <c r="M81" s="3">
        <v>3</v>
      </c>
      <c r="N81" s="3">
        <v>3</v>
      </c>
      <c r="O81" s="3">
        <v>5</v>
      </c>
      <c r="P81" s="3">
        <v>5</v>
      </c>
      <c r="Q81" s="3">
        <v>5</v>
      </c>
      <c r="R81" s="3">
        <v>5</v>
      </c>
      <c r="S81" s="3">
        <v>5</v>
      </c>
      <c r="T81" s="3">
        <v>5</v>
      </c>
      <c r="U81" s="3">
        <v>5</v>
      </c>
      <c r="V81" s="3">
        <v>5</v>
      </c>
      <c r="W81" s="3">
        <v>5</v>
      </c>
      <c r="X81" s="3">
        <v>5</v>
      </c>
      <c r="Y81" s="3">
        <v>5</v>
      </c>
      <c r="Z81" s="3">
        <v>5</v>
      </c>
      <c r="AA81" s="3">
        <v>1</v>
      </c>
      <c r="AB81" s="3">
        <v>1</v>
      </c>
      <c r="AC81" s="3">
        <v>1</v>
      </c>
      <c r="AD81" s="3">
        <v>3</v>
      </c>
      <c r="AE81" s="3">
        <v>5</v>
      </c>
      <c r="AF81" s="3">
        <v>5</v>
      </c>
      <c r="AG81" s="3">
        <v>5</v>
      </c>
      <c r="AH81" s="3">
        <v>1</v>
      </c>
      <c r="AI81" s="3">
        <v>5</v>
      </c>
      <c r="AJ81" s="3">
        <v>5</v>
      </c>
      <c r="AK81" s="3">
        <v>5</v>
      </c>
      <c r="AL81" s="3">
        <v>5</v>
      </c>
      <c r="AM81" s="3">
        <v>5</v>
      </c>
      <c r="AN81" s="3">
        <v>3</v>
      </c>
      <c r="AO81" s="3">
        <v>3</v>
      </c>
      <c r="AP81" s="3">
        <v>3</v>
      </c>
      <c r="AQ81" s="3">
        <v>5</v>
      </c>
      <c r="AR81" s="3">
        <v>5</v>
      </c>
      <c r="AS81" s="3">
        <v>5</v>
      </c>
      <c r="AT81" s="3">
        <v>5</v>
      </c>
      <c r="AU81" s="3">
        <v>5</v>
      </c>
      <c r="AV81" s="3">
        <v>5</v>
      </c>
      <c r="AW81" s="3">
        <v>5</v>
      </c>
      <c r="AX81" s="3">
        <v>5</v>
      </c>
      <c r="AY81" s="3">
        <v>5</v>
      </c>
      <c r="AZ81" s="3">
        <v>5</v>
      </c>
      <c r="BA81" s="3">
        <v>5</v>
      </c>
      <c r="BB81" s="3">
        <v>1</v>
      </c>
      <c r="BC81" s="3">
        <v>3</v>
      </c>
      <c r="BD81" s="3">
        <v>3</v>
      </c>
      <c r="BE81" s="3">
        <v>3</v>
      </c>
      <c r="BF81" s="3">
        <v>1</v>
      </c>
      <c r="BG81" s="3">
        <v>5</v>
      </c>
      <c r="BH81" s="3">
        <v>5</v>
      </c>
      <c r="BI81" s="3">
        <v>5</v>
      </c>
      <c r="BJ81" s="3">
        <v>5</v>
      </c>
      <c r="BK81" s="3">
        <v>5</v>
      </c>
      <c r="BL81" s="3">
        <v>5</v>
      </c>
      <c r="BM81" s="3">
        <v>5</v>
      </c>
      <c r="BN81" s="3">
        <v>5</v>
      </c>
      <c r="BO81" s="3">
        <v>5</v>
      </c>
      <c r="BP81" s="3" t="s">
        <v>287</v>
      </c>
    </row>
    <row r="82" spans="1:68" ht="22.5" customHeight="1" x14ac:dyDescent="0.25">
      <c r="A82" s="2">
        <v>45968.618636435189</v>
      </c>
      <c r="B82" s="3" t="s">
        <v>288</v>
      </c>
      <c r="C82" s="3" t="s">
        <v>86</v>
      </c>
      <c r="D82" s="3" t="s">
        <v>289</v>
      </c>
      <c r="E82" s="3" t="s">
        <v>119</v>
      </c>
      <c r="F82" s="3" t="s">
        <v>88</v>
      </c>
      <c r="G82" s="3" t="s">
        <v>83</v>
      </c>
      <c r="H82" s="3">
        <v>5</v>
      </c>
      <c r="I82" s="3">
        <v>5</v>
      </c>
      <c r="J82" s="3">
        <v>5</v>
      </c>
      <c r="K82" s="3">
        <v>5</v>
      </c>
      <c r="L82" s="3">
        <v>5</v>
      </c>
      <c r="M82" s="3">
        <v>4</v>
      </c>
      <c r="N82" s="3">
        <v>4</v>
      </c>
      <c r="O82" s="3">
        <v>4</v>
      </c>
      <c r="P82" s="3">
        <v>5</v>
      </c>
      <c r="Q82" s="3">
        <v>5</v>
      </c>
      <c r="R82" s="3">
        <v>5</v>
      </c>
      <c r="S82" s="3">
        <v>5</v>
      </c>
      <c r="T82" s="3">
        <v>5</v>
      </c>
      <c r="U82" s="3">
        <v>5</v>
      </c>
      <c r="V82" s="3">
        <v>4</v>
      </c>
      <c r="W82" s="3">
        <v>4</v>
      </c>
      <c r="X82" s="3">
        <v>4</v>
      </c>
      <c r="Y82" s="3">
        <v>5</v>
      </c>
      <c r="Z82" s="3">
        <v>5</v>
      </c>
      <c r="AA82" s="3">
        <v>4</v>
      </c>
      <c r="AB82" s="3">
        <v>4</v>
      </c>
      <c r="AC82" s="3">
        <v>2</v>
      </c>
      <c r="AD82" s="3">
        <v>4</v>
      </c>
      <c r="AE82" s="3">
        <v>5</v>
      </c>
      <c r="AF82" s="3">
        <v>5</v>
      </c>
      <c r="AG82" s="3">
        <v>5</v>
      </c>
      <c r="AH82" s="3">
        <v>3</v>
      </c>
      <c r="AI82" s="3">
        <v>5</v>
      </c>
      <c r="AJ82" s="3">
        <v>5</v>
      </c>
      <c r="AK82" s="3">
        <v>5</v>
      </c>
      <c r="AL82" s="3">
        <v>5</v>
      </c>
      <c r="AM82" s="3">
        <v>5</v>
      </c>
      <c r="AN82" s="3">
        <v>5</v>
      </c>
      <c r="AO82" s="3">
        <v>5</v>
      </c>
      <c r="AP82" s="3">
        <v>4</v>
      </c>
      <c r="AQ82" s="3">
        <v>5</v>
      </c>
      <c r="AR82" s="3">
        <v>5</v>
      </c>
      <c r="AS82" s="3">
        <v>4</v>
      </c>
      <c r="AT82" s="3">
        <v>4</v>
      </c>
      <c r="AU82" s="3">
        <v>5</v>
      </c>
      <c r="AV82" s="3">
        <v>4</v>
      </c>
      <c r="AW82" s="3">
        <v>5</v>
      </c>
      <c r="AX82" s="3">
        <v>5</v>
      </c>
      <c r="AY82" s="3">
        <v>4</v>
      </c>
      <c r="AZ82" s="3">
        <v>5</v>
      </c>
      <c r="BA82" s="3">
        <v>5</v>
      </c>
      <c r="BB82" s="3">
        <v>4</v>
      </c>
      <c r="BC82" s="3">
        <v>5</v>
      </c>
      <c r="BD82" s="3">
        <v>5</v>
      </c>
      <c r="BE82" s="3">
        <v>5</v>
      </c>
      <c r="BF82" s="3">
        <v>5</v>
      </c>
      <c r="BG82" s="3">
        <v>5</v>
      </c>
      <c r="BH82" s="3">
        <v>5</v>
      </c>
      <c r="BI82" s="3">
        <v>5</v>
      </c>
      <c r="BJ82" s="3">
        <v>5</v>
      </c>
      <c r="BK82" s="3">
        <v>4</v>
      </c>
      <c r="BL82" s="3">
        <v>5</v>
      </c>
      <c r="BM82" s="3">
        <v>5</v>
      </c>
      <c r="BN82" s="3">
        <v>4</v>
      </c>
      <c r="BO82" s="3">
        <v>4</v>
      </c>
      <c r="BP82" s="3" t="s">
        <v>290</v>
      </c>
    </row>
    <row r="83" spans="1:68" ht="22.5" customHeight="1" x14ac:dyDescent="0.25">
      <c r="A83" s="2">
        <v>45968.625645902779</v>
      </c>
      <c r="B83" s="3" t="s">
        <v>291</v>
      </c>
      <c r="C83" s="3" t="s">
        <v>69</v>
      </c>
      <c r="D83" s="3" t="s">
        <v>292</v>
      </c>
      <c r="E83" s="3" t="s">
        <v>119</v>
      </c>
      <c r="F83" s="3" t="s">
        <v>82</v>
      </c>
      <c r="G83" s="3" t="s">
        <v>83</v>
      </c>
      <c r="H83" s="3">
        <v>5</v>
      </c>
      <c r="I83" s="3">
        <v>4</v>
      </c>
      <c r="J83" s="3">
        <v>4</v>
      </c>
      <c r="K83" s="3">
        <v>4</v>
      </c>
      <c r="L83" s="3">
        <v>4</v>
      </c>
      <c r="M83" s="3">
        <v>4</v>
      </c>
      <c r="N83" s="3">
        <v>3</v>
      </c>
      <c r="O83" s="3">
        <v>5</v>
      </c>
      <c r="P83" s="3">
        <v>5</v>
      </c>
      <c r="Q83" s="3">
        <v>5</v>
      </c>
      <c r="R83" s="3">
        <v>5</v>
      </c>
      <c r="S83" s="3">
        <v>5</v>
      </c>
      <c r="T83" s="3">
        <v>5</v>
      </c>
      <c r="U83" s="3">
        <v>5</v>
      </c>
      <c r="V83" s="3">
        <v>3</v>
      </c>
      <c r="W83" s="3">
        <v>3</v>
      </c>
      <c r="X83" s="3">
        <v>3</v>
      </c>
      <c r="Y83" s="3">
        <v>3</v>
      </c>
      <c r="Z83" s="3">
        <v>5</v>
      </c>
      <c r="AA83" s="3">
        <v>5</v>
      </c>
      <c r="AB83" s="3">
        <v>4</v>
      </c>
      <c r="AC83" s="3">
        <v>4</v>
      </c>
      <c r="AD83" s="3">
        <v>5</v>
      </c>
      <c r="AE83" s="3">
        <v>5</v>
      </c>
      <c r="AF83" s="3">
        <v>5</v>
      </c>
      <c r="AG83" s="3">
        <v>5</v>
      </c>
      <c r="AH83" s="3">
        <v>5</v>
      </c>
      <c r="AI83" s="3">
        <v>3</v>
      </c>
      <c r="AJ83" s="3">
        <v>3</v>
      </c>
      <c r="AK83" s="3">
        <v>3</v>
      </c>
      <c r="AL83" s="3">
        <v>3</v>
      </c>
      <c r="AM83" s="3">
        <v>3</v>
      </c>
      <c r="AN83" s="3">
        <v>2</v>
      </c>
      <c r="AO83" s="3">
        <v>3</v>
      </c>
      <c r="AP83" s="3">
        <v>3</v>
      </c>
      <c r="AQ83" s="3">
        <v>3</v>
      </c>
      <c r="AR83" s="3">
        <v>4</v>
      </c>
      <c r="AS83" s="3">
        <v>5</v>
      </c>
      <c r="AT83" s="3">
        <v>4</v>
      </c>
      <c r="AU83" s="3">
        <v>3</v>
      </c>
      <c r="AV83" s="3">
        <v>3</v>
      </c>
      <c r="AW83" s="3">
        <v>5</v>
      </c>
      <c r="AX83" s="3">
        <v>5</v>
      </c>
      <c r="AY83" s="3">
        <v>5</v>
      </c>
      <c r="AZ83" s="3">
        <v>5</v>
      </c>
      <c r="BA83" s="3">
        <v>5</v>
      </c>
      <c r="BB83" s="3">
        <v>4</v>
      </c>
      <c r="BC83" s="3">
        <v>3</v>
      </c>
      <c r="BD83" s="3">
        <v>3</v>
      </c>
      <c r="BE83" s="3">
        <v>3</v>
      </c>
      <c r="BF83" s="3">
        <v>3</v>
      </c>
      <c r="BG83" s="3">
        <v>5</v>
      </c>
      <c r="BH83" s="3">
        <v>5</v>
      </c>
      <c r="BI83" s="3">
        <v>5</v>
      </c>
      <c r="BJ83" s="3">
        <v>4</v>
      </c>
      <c r="BK83" s="3">
        <v>1</v>
      </c>
      <c r="BL83" s="3">
        <v>3</v>
      </c>
      <c r="BM83" s="3">
        <v>4</v>
      </c>
      <c r="BN83" s="3">
        <v>4</v>
      </c>
      <c r="BO83" s="3">
        <v>5</v>
      </c>
      <c r="BP83" s="3" t="s">
        <v>293</v>
      </c>
    </row>
    <row r="84" spans="1:68" ht="22.5" customHeight="1" x14ac:dyDescent="0.25">
      <c r="A84" s="2">
        <v>45968.63080525463</v>
      </c>
      <c r="B84" s="3" t="s">
        <v>294</v>
      </c>
      <c r="C84" s="3" t="s">
        <v>69</v>
      </c>
      <c r="D84" s="3" t="s">
        <v>295</v>
      </c>
      <c r="E84" s="3" t="s">
        <v>77</v>
      </c>
      <c r="F84" s="3" t="s">
        <v>103</v>
      </c>
      <c r="G84" s="3" t="s">
        <v>91</v>
      </c>
      <c r="H84" s="3">
        <v>4</v>
      </c>
      <c r="I84" s="3">
        <v>4</v>
      </c>
      <c r="J84" s="3">
        <v>4</v>
      </c>
      <c r="K84" s="3">
        <v>3</v>
      </c>
      <c r="L84" s="3">
        <v>4</v>
      </c>
      <c r="M84" s="3">
        <v>2</v>
      </c>
      <c r="N84" s="3">
        <v>3</v>
      </c>
      <c r="O84" s="3">
        <v>4</v>
      </c>
      <c r="P84" s="3">
        <v>3</v>
      </c>
      <c r="Q84" s="3">
        <v>4</v>
      </c>
      <c r="R84" s="3">
        <v>4</v>
      </c>
      <c r="S84" s="3">
        <v>4</v>
      </c>
      <c r="T84" s="3">
        <v>4</v>
      </c>
      <c r="U84" s="3">
        <v>4</v>
      </c>
      <c r="V84" s="3">
        <v>4</v>
      </c>
      <c r="W84" s="3">
        <v>3</v>
      </c>
      <c r="X84" s="3">
        <v>4</v>
      </c>
      <c r="Y84" s="3">
        <v>3</v>
      </c>
      <c r="Z84" s="3">
        <v>3</v>
      </c>
      <c r="AA84" s="3">
        <v>4</v>
      </c>
      <c r="AB84" s="3">
        <v>3</v>
      </c>
      <c r="AC84" s="3">
        <v>4</v>
      </c>
      <c r="AD84" s="3">
        <v>4</v>
      </c>
      <c r="AE84" s="3">
        <v>4</v>
      </c>
      <c r="AF84" s="3">
        <v>3</v>
      </c>
      <c r="AG84" s="3">
        <v>4</v>
      </c>
      <c r="AH84" s="3">
        <v>4</v>
      </c>
      <c r="AI84" s="3">
        <v>3</v>
      </c>
      <c r="AJ84" s="3">
        <v>3</v>
      </c>
      <c r="AK84" s="3">
        <v>4</v>
      </c>
      <c r="AL84" s="3">
        <v>3</v>
      </c>
      <c r="AM84" s="3">
        <v>4</v>
      </c>
      <c r="AN84" s="3">
        <v>3</v>
      </c>
      <c r="AO84" s="3">
        <v>3</v>
      </c>
      <c r="AP84" s="3">
        <v>4</v>
      </c>
      <c r="AQ84" s="3">
        <v>3</v>
      </c>
      <c r="AR84" s="3">
        <v>3</v>
      </c>
      <c r="AS84" s="3">
        <v>3</v>
      </c>
      <c r="AT84" s="3">
        <v>3</v>
      </c>
      <c r="AU84" s="3">
        <v>3</v>
      </c>
      <c r="AV84" s="3">
        <v>4</v>
      </c>
      <c r="AW84" s="3">
        <v>4</v>
      </c>
      <c r="AX84" s="3">
        <v>4</v>
      </c>
      <c r="AY84" s="3">
        <v>4</v>
      </c>
      <c r="AZ84" s="3">
        <v>4</v>
      </c>
      <c r="BA84" s="3">
        <v>3</v>
      </c>
      <c r="BB84" s="3">
        <v>4</v>
      </c>
      <c r="BC84" s="3">
        <v>4</v>
      </c>
      <c r="BD84" s="3">
        <v>4</v>
      </c>
      <c r="BE84" s="3">
        <v>4</v>
      </c>
      <c r="BF84" s="3">
        <v>4</v>
      </c>
      <c r="BG84" s="3">
        <v>3</v>
      </c>
      <c r="BH84" s="3">
        <v>3</v>
      </c>
      <c r="BI84" s="3">
        <v>4</v>
      </c>
      <c r="BJ84" s="3">
        <v>4</v>
      </c>
      <c r="BK84" s="3">
        <v>3</v>
      </c>
      <c r="BL84" s="3">
        <v>3</v>
      </c>
      <c r="BM84" s="3">
        <v>3</v>
      </c>
      <c r="BN84" s="3">
        <v>3</v>
      </c>
      <c r="BO84" s="3">
        <v>4</v>
      </c>
      <c r="BP84" s="3" t="s">
        <v>296</v>
      </c>
    </row>
    <row r="85" spans="1:68" ht="22.5" customHeight="1" x14ac:dyDescent="0.25">
      <c r="A85" s="2">
        <v>45968.635712013885</v>
      </c>
      <c r="B85" s="3" t="s">
        <v>297</v>
      </c>
      <c r="C85" s="3" t="s">
        <v>86</v>
      </c>
      <c r="D85" s="3" t="s">
        <v>298</v>
      </c>
      <c r="E85" s="3" t="s">
        <v>77</v>
      </c>
      <c r="F85" s="3" t="s">
        <v>78</v>
      </c>
      <c r="G85" s="3" t="s">
        <v>79</v>
      </c>
      <c r="H85" s="3">
        <v>5</v>
      </c>
      <c r="I85" s="3">
        <v>5</v>
      </c>
      <c r="J85" s="3">
        <v>5</v>
      </c>
      <c r="K85" s="3">
        <v>4</v>
      </c>
      <c r="L85" s="3">
        <v>5</v>
      </c>
      <c r="M85" s="3">
        <v>5</v>
      </c>
      <c r="N85" s="3">
        <v>5</v>
      </c>
      <c r="O85" s="3">
        <v>5</v>
      </c>
      <c r="P85" s="3">
        <v>5</v>
      </c>
      <c r="Q85" s="3">
        <v>5</v>
      </c>
      <c r="R85" s="3">
        <v>5</v>
      </c>
      <c r="S85" s="3">
        <v>5</v>
      </c>
      <c r="T85" s="3">
        <v>4</v>
      </c>
      <c r="U85" s="3">
        <v>4</v>
      </c>
      <c r="V85" s="3">
        <v>4</v>
      </c>
      <c r="W85" s="3">
        <v>4</v>
      </c>
      <c r="X85" s="3">
        <v>4</v>
      </c>
      <c r="Y85" s="3">
        <v>5</v>
      </c>
      <c r="Z85" s="3">
        <v>5</v>
      </c>
      <c r="AA85" s="3">
        <v>3</v>
      </c>
      <c r="AB85" s="3">
        <v>4</v>
      </c>
      <c r="AC85" s="3">
        <v>3</v>
      </c>
      <c r="AD85" s="3">
        <v>4</v>
      </c>
      <c r="AE85" s="3">
        <v>5</v>
      </c>
      <c r="AF85" s="3">
        <v>4</v>
      </c>
      <c r="AG85" s="3">
        <v>4</v>
      </c>
      <c r="AH85" s="3">
        <v>4</v>
      </c>
      <c r="AI85" s="3">
        <v>5</v>
      </c>
      <c r="AJ85" s="3">
        <v>5</v>
      </c>
      <c r="AK85" s="3">
        <v>5</v>
      </c>
      <c r="AL85" s="3">
        <v>5</v>
      </c>
      <c r="AM85" s="3">
        <v>5</v>
      </c>
      <c r="AN85" s="3">
        <v>5</v>
      </c>
      <c r="AO85" s="3">
        <v>5</v>
      </c>
      <c r="AP85" s="3">
        <v>5</v>
      </c>
      <c r="AQ85" s="3">
        <v>4</v>
      </c>
      <c r="AR85" s="3">
        <v>4</v>
      </c>
      <c r="AS85" s="3">
        <v>2</v>
      </c>
      <c r="AT85" s="3">
        <v>4</v>
      </c>
      <c r="AU85" s="3">
        <v>4</v>
      </c>
      <c r="AV85" s="3">
        <v>5</v>
      </c>
      <c r="AW85" s="3">
        <v>5</v>
      </c>
      <c r="AX85" s="3">
        <v>5</v>
      </c>
      <c r="AY85" s="3">
        <v>5</v>
      </c>
      <c r="AZ85" s="3">
        <v>5</v>
      </c>
      <c r="BA85" s="3">
        <v>4</v>
      </c>
      <c r="BB85" s="3">
        <v>3</v>
      </c>
      <c r="BC85" s="3">
        <v>3</v>
      </c>
      <c r="BD85" s="3">
        <v>2</v>
      </c>
      <c r="BE85" s="3">
        <v>2</v>
      </c>
      <c r="BF85" s="3">
        <v>2</v>
      </c>
      <c r="BG85" s="3">
        <v>4</v>
      </c>
      <c r="BH85" s="3">
        <v>4</v>
      </c>
      <c r="BI85" s="3">
        <v>5</v>
      </c>
      <c r="BJ85" s="3">
        <v>5</v>
      </c>
      <c r="BK85" s="3">
        <v>5</v>
      </c>
      <c r="BL85" s="3">
        <v>5</v>
      </c>
      <c r="BM85" s="3">
        <v>5</v>
      </c>
      <c r="BN85" s="3">
        <v>5</v>
      </c>
      <c r="BO85" s="3">
        <v>5</v>
      </c>
      <c r="BP85" s="3" t="s">
        <v>299</v>
      </c>
    </row>
    <row r="86" spans="1:68" ht="22.5" customHeight="1" x14ac:dyDescent="0.25">
      <c r="A86" s="2">
        <v>45968.638546122689</v>
      </c>
      <c r="B86" s="3" t="s">
        <v>300</v>
      </c>
      <c r="C86" s="3" t="s">
        <v>86</v>
      </c>
      <c r="D86" s="3" t="s">
        <v>301</v>
      </c>
      <c r="E86" s="3" t="s">
        <v>77</v>
      </c>
      <c r="F86" s="3" t="s">
        <v>88</v>
      </c>
      <c r="G86" s="3" t="s">
        <v>83</v>
      </c>
      <c r="H86" s="3">
        <v>5</v>
      </c>
      <c r="I86" s="3">
        <v>5</v>
      </c>
      <c r="J86" s="3">
        <v>5</v>
      </c>
      <c r="K86" s="3">
        <v>3</v>
      </c>
      <c r="L86" s="3">
        <v>4</v>
      </c>
      <c r="M86" s="3">
        <v>4</v>
      </c>
      <c r="N86" s="3">
        <v>5</v>
      </c>
      <c r="O86" s="3">
        <v>5</v>
      </c>
      <c r="P86" s="3">
        <v>5</v>
      </c>
      <c r="Q86" s="3">
        <v>5</v>
      </c>
      <c r="R86" s="3">
        <v>5</v>
      </c>
      <c r="S86" s="3">
        <v>5</v>
      </c>
      <c r="T86" s="3">
        <v>5</v>
      </c>
      <c r="U86" s="3">
        <v>5</v>
      </c>
      <c r="V86" s="3">
        <v>3</v>
      </c>
      <c r="W86" s="3">
        <v>3</v>
      </c>
      <c r="X86" s="3">
        <v>3</v>
      </c>
      <c r="Y86" s="3">
        <v>2</v>
      </c>
      <c r="Z86" s="3">
        <v>5</v>
      </c>
      <c r="AA86" s="3">
        <v>5</v>
      </c>
      <c r="AB86" s="3">
        <v>3</v>
      </c>
      <c r="AC86" s="3">
        <v>4</v>
      </c>
      <c r="AD86" s="3">
        <v>5</v>
      </c>
      <c r="AE86" s="3">
        <v>4</v>
      </c>
      <c r="AF86" s="3">
        <v>4</v>
      </c>
      <c r="AG86" s="3">
        <v>4</v>
      </c>
      <c r="AH86" s="3">
        <v>3</v>
      </c>
      <c r="AI86" s="3">
        <v>5</v>
      </c>
      <c r="AJ86" s="3">
        <v>5</v>
      </c>
      <c r="AK86" s="3">
        <v>5</v>
      </c>
      <c r="AL86" s="3">
        <v>5</v>
      </c>
      <c r="AM86" s="3">
        <v>5</v>
      </c>
      <c r="AN86" s="3">
        <v>5</v>
      </c>
      <c r="AO86" s="3">
        <v>4</v>
      </c>
      <c r="AP86" s="3">
        <v>4</v>
      </c>
      <c r="AQ86" s="3">
        <v>5</v>
      </c>
      <c r="AR86" s="3">
        <v>5</v>
      </c>
      <c r="AS86" s="3">
        <v>3</v>
      </c>
      <c r="AT86" s="3">
        <v>4</v>
      </c>
      <c r="AU86" s="3">
        <v>4</v>
      </c>
      <c r="AV86" s="3">
        <v>5</v>
      </c>
      <c r="AW86" s="3">
        <v>5</v>
      </c>
      <c r="AX86" s="3">
        <v>5</v>
      </c>
      <c r="AY86" s="3">
        <v>5</v>
      </c>
      <c r="AZ86" s="3">
        <v>5</v>
      </c>
      <c r="BA86" s="3">
        <v>2</v>
      </c>
      <c r="BB86" s="3">
        <v>2</v>
      </c>
      <c r="BC86" s="3">
        <v>4</v>
      </c>
      <c r="BD86" s="3">
        <v>3</v>
      </c>
      <c r="BE86" s="3">
        <v>2</v>
      </c>
      <c r="BF86" s="3">
        <v>2</v>
      </c>
      <c r="BG86" s="3">
        <v>5</v>
      </c>
      <c r="BH86" s="3">
        <v>5</v>
      </c>
      <c r="BI86" s="3">
        <v>5</v>
      </c>
      <c r="BJ86" s="3">
        <v>5</v>
      </c>
      <c r="BK86" s="3">
        <v>5</v>
      </c>
      <c r="BL86" s="3">
        <v>5</v>
      </c>
      <c r="BM86" s="3">
        <v>5</v>
      </c>
      <c r="BN86" s="3">
        <v>5</v>
      </c>
      <c r="BO86" s="3">
        <v>5</v>
      </c>
      <c r="BP86" s="3" t="s">
        <v>302</v>
      </c>
    </row>
    <row r="87" spans="1:68" ht="22.5" customHeight="1" x14ac:dyDescent="0.25">
      <c r="A87" s="2">
        <v>45968.646869594908</v>
      </c>
      <c r="B87" s="3" t="s">
        <v>303</v>
      </c>
      <c r="C87" s="3" t="s">
        <v>86</v>
      </c>
      <c r="D87" s="3" t="s">
        <v>151</v>
      </c>
      <c r="E87" s="3" t="s">
        <v>77</v>
      </c>
      <c r="F87" s="3" t="s">
        <v>88</v>
      </c>
      <c r="G87" s="3" t="s">
        <v>79</v>
      </c>
      <c r="H87" s="3">
        <v>5</v>
      </c>
      <c r="I87" s="3">
        <v>5</v>
      </c>
      <c r="J87" s="3">
        <v>4</v>
      </c>
      <c r="K87" s="3">
        <v>4</v>
      </c>
      <c r="L87" s="3">
        <v>4</v>
      </c>
      <c r="M87" s="3">
        <v>4</v>
      </c>
      <c r="N87" s="3">
        <v>4</v>
      </c>
      <c r="O87" s="3">
        <v>4</v>
      </c>
      <c r="P87" s="3">
        <v>4</v>
      </c>
      <c r="Q87" s="3">
        <v>5</v>
      </c>
      <c r="R87" s="3">
        <v>5</v>
      </c>
      <c r="S87" s="3">
        <v>5</v>
      </c>
      <c r="T87" s="3">
        <v>5</v>
      </c>
      <c r="U87" s="3">
        <v>5</v>
      </c>
      <c r="V87" s="3">
        <v>4</v>
      </c>
      <c r="W87" s="3">
        <v>4</v>
      </c>
      <c r="X87" s="3">
        <v>4</v>
      </c>
      <c r="Y87" s="3">
        <v>4</v>
      </c>
      <c r="Z87" s="3">
        <v>4</v>
      </c>
      <c r="AA87" s="3">
        <v>5</v>
      </c>
      <c r="AB87" s="3">
        <v>4</v>
      </c>
      <c r="AC87" s="3">
        <v>5</v>
      </c>
      <c r="AD87" s="3">
        <v>5</v>
      </c>
      <c r="AE87" s="3">
        <v>4</v>
      </c>
      <c r="AF87" s="3">
        <v>4</v>
      </c>
      <c r="AG87" s="3">
        <v>4</v>
      </c>
      <c r="AH87" s="3">
        <v>4</v>
      </c>
      <c r="AI87" s="3">
        <v>5</v>
      </c>
      <c r="AJ87" s="3">
        <v>5</v>
      </c>
      <c r="AK87" s="3">
        <v>5</v>
      </c>
      <c r="AL87" s="3">
        <v>5</v>
      </c>
      <c r="AM87" s="3">
        <v>5</v>
      </c>
      <c r="AN87" s="3">
        <v>5</v>
      </c>
      <c r="AO87" s="3">
        <v>5</v>
      </c>
      <c r="AP87" s="3">
        <v>5</v>
      </c>
      <c r="AQ87" s="3">
        <v>5</v>
      </c>
      <c r="AR87" s="3">
        <v>5</v>
      </c>
      <c r="AS87" s="3">
        <v>4</v>
      </c>
      <c r="AT87" s="3">
        <v>4</v>
      </c>
      <c r="AU87" s="3">
        <v>4</v>
      </c>
      <c r="AV87" s="3">
        <v>5</v>
      </c>
      <c r="AW87" s="3">
        <v>5</v>
      </c>
      <c r="AX87" s="3">
        <v>5</v>
      </c>
      <c r="AY87" s="3">
        <v>5</v>
      </c>
      <c r="AZ87" s="3">
        <v>5</v>
      </c>
      <c r="BA87" s="3">
        <v>4</v>
      </c>
      <c r="BB87" s="3">
        <v>4</v>
      </c>
      <c r="BC87" s="3">
        <v>4</v>
      </c>
      <c r="BD87" s="3">
        <v>4</v>
      </c>
      <c r="BE87" s="3">
        <v>4</v>
      </c>
      <c r="BF87" s="3">
        <v>4</v>
      </c>
      <c r="BG87" s="3">
        <v>4</v>
      </c>
      <c r="BH87" s="3">
        <v>5</v>
      </c>
      <c r="BI87" s="3">
        <v>5</v>
      </c>
      <c r="BJ87" s="3">
        <v>5</v>
      </c>
      <c r="BK87" s="3">
        <v>5</v>
      </c>
      <c r="BL87" s="3">
        <v>5</v>
      </c>
      <c r="BM87" s="3">
        <v>5</v>
      </c>
      <c r="BN87" s="3">
        <v>5</v>
      </c>
      <c r="BO87" s="3">
        <v>5</v>
      </c>
      <c r="BP87" s="3" t="s">
        <v>304</v>
      </c>
    </row>
    <row r="88" spans="1:68" ht="22.5" customHeight="1" x14ac:dyDescent="0.25">
      <c r="A88" s="2">
        <v>45968.648675729171</v>
      </c>
      <c r="B88" s="3" t="s">
        <v>305</v>
      </c>
      <c r="C88" s="3" t="s">
        <v>86</v>
      </c>
      <c r="D88" s="3" t="s">
        <v>306</v>
      </c>
      <c r="E88" s="3" t="s">
        <v>119</v>
      </c>
      <c r="F88" s="3" t="s">
        <v>88</v>
      </c>
      <c r="G88" s="3" t="s">
        <v>83</v>
      </c>
      <c r="H88" s="3">
        <v>5</v>
      </c>
      <c r="I88" s="3">
        <v>5</v>
      </c>
      <c r="J88" s="3">
        <v>5</v>
      </c>
      <c r="K88" s="3">
        <v>5</v>
      </c>
      <c r="L88" s="3">
        <v>5</v>
      </c>
      <c r="M88" s="3">
        <v>4</v>
      </c>
      <c r="N88" s="3">
        <v>5</v>
      </c>
      <c r="O88" s="3">
        <v>5</v>
      </c>
      <c r="P88" s="3">
        <v>5</v>
      </c>
      <c r="Q88" s="3">
        <v>5</v>
      </c>
      <c r="R88" s="3">
        <v>5</v>
      </c>
      <c r="S88" s="3">
        <v>5</v>
      </c>
      <c r="T88" s="3">
        <v>5</v>
      </c>
      <c r="U88" s="3">
        <v>5</v>
      </c>
      <c r="V88" s="3">
        <v>4</v>
      </c>
      <c r="W88" s="3">
        <v>4</v>
      </c>
      <c r="X88" s="3">
        <v>3</v>
      </c>
      <c r="Y88" s="3">
        <v>3</v>
      </c>
      <c r="Z88" s="3">
        <v>3</v>
      </c>
      <c r="AA88" s="3">
        <v>4</v>
      </c>
      <c r="AB88" s="3">
        <v>4</v>
      </c>
      <c r="AC88" s="3">
        <v>4</v>
      </c>
      <c r="AD88" s="3">
        <v>4</v>
      </c>
      <c r="AE88" s="3">
        <v>4</v>
      </c>
      <c r="AF88" s="3">
        <v>4</v>
      </c>
      <c r="AG88" s="3">
        <v>4</v>
      </c>
      <c r="AH88" s="3">
        <v>4</v>
      </c>
      <c r="AI88" s="3">
        <v>4</v>
      </c>
      <c r="AJ88" s="3">
        <v>4</v>
      </c>
      <c r="AK88" s="3">
        <v>4</v>
      </c>
      <c r="AL88" s="3">
        <v>4</v>
      </c>
      <c r="AM88" s="3">
        <v>4</v>
      </c>
      <c r="AN88" s="3">
        <v>4</v>
      </c>
      <c r="AO88" s="3">
        <v>4</v>
      </c>
      <c r="AP88" s="3">
        <v>4</v>
      </c>
      <c r="AQ88" s="3">
        <v>4</v>
      </c>
      <c r="AR88" s="3">
        <v>4</v>
      </c>
      <c r="AS88" s="3">
        <v>4</v>
      </c>
      <c r="AT88" s="3">
        <v>4</v>
      </c>
      <c r="AU88" s="3">
        <v>4</v>
      </c>
      <c r="AV88" s="3">
        <v>4</v>
      </c>
      <c r="AW88" s="3">
        <v>4</v>
      </c>
      <c r="AX88" s="3">
        <v>4</v>
      </c>
      <c r="AY88" s="3">
        <v>4</v>
      </c>
      <c r="AZ88" s="3">
        <v>4</v>
      </c>
      <c r="BA88" s="3">
        <v>4</v>
      </c>
      <c r="BB88" s="3">
        <v>3</v>
      </c>
      <c r="BC88" s="3">
        <v>4</v>
      </c>
      <c r="BD88" s="3">
        <v>3</v>
      </c>
      <c r="BE88" s="3">
        <v>3</v>
      </c>
      <c r="BF88" s="3">
        <v>3</v>
      </c>
      <c r="BG88" s="3">
        <v>4</v>
      </c>
      <c r="BH88" s="3">
        <v>4</v>
      </c>
      <c r="BI88" s="3">
        <v>4</v>
      </c>
      <c r="BJ88" s="3">
        <v>4</v>
      </c>
      <c r="BK88" s="3">
        <v>4</v>
      </c>
      <c r="BL88" s="3">
        <v>4</v>
      </c>
      <c r="BM88" s="3">
        <v>4</v>
      </c>
      <c r="BN88" s="3">
        <v>4</v>
      </c>
      <c r="BO88" s="3">
        <v>4</v>
      </c>
      <c r="BP88" s="3" t="s">
        <v>307</v>
      </c>
    </row>
    <row r="89" spans="1:68" ht="22.5" customHeight="1" x14ac:dyDescent="0.25">
      <c r="A89" s="2">
        <v>45968.77030355324</v>
      </c>
      <c r="B89" s="3" t="s">
        <v>308</v>
      </c>
      <c r="C89" s="3" t="s">
        <v>86</v>
      </c>
      <c r="D89" s="3" t="s">
        <v>309</v>
      </c>
      <c r="E89" s="3" t="s">
        <v>119</v>
      </c>
      <c r="F89" s="3" t="s">
        <v>103</v>
      </c>
      <c r="G89" s="3" t="s">
        <v>91</v>
      </c>
      <c r="H89" s="3">
        <v>5</v>
      </c>
      <c r="I89" s="3">
        <v>5</v>
      </c>
      <c r="J89" s="3">
        <v>5</v>
      </c>
      <c r="K89" s="3">
        <v>5</v>
      </c>
      <c r="L89" s="3">
        <v>5</v>
      </c>
      <c r="M89" s="3">
        <v>4</v>
      </c>
      <c r="N89" s="3">
        <v>5</v>
      </c>
      <c r="O89" s="3">
        <v>4</v>
      </c>
      <c r="P89" s="3">
        <v>5</v>
      </c>
      <c r="Q89" s="3">
        <v>5</v>
      </c>
      <c r="R89" s="3">
        <v>5</v>
      </c>
      <c r="S89" s="3">
        <v>5</v>
      </c>
      <c r="T89" s="3">
        <v>5</v>
      </c>
      <c r="U89" s="3">
        <v>5</v>
      </c>
      <c r="V89" s="3">
        <v>4</v>
      </c>
      <c r="W89" s="3">
        <v>4</v>
      </c>
      <c r="X89" s="3">
        <v>4</v>
      </c>
      <c r="Y89" s="3">
        <v>4</v>
      </c>
      <c r="Z89" s="3">
        <v>4</v>
      </c>
      <c r="AA89" s="3">
        <v>4</v>
      </c>
      <c r="AB89" s="3">
        <v>3</v>
      </c>
      <c r="AC89" s="3">
        <v>4</v>
      </c>
      <c r="AD89" s="3">
        <v>4</v>
      </c>
      <c r="AE89" s="3">
        <v>5</v>
      </c>
      <c r="AF89" s="3">
        <v>5</v>
      </c>
      <c r="AG89" s="3">
        <v>5</v>
      </c>
      <c r="AH89" s="3">
        <v>5</v>
      </c>
      <c r="AI89" s="3">
        <v>5</v>
      </c>
      <c r="AJ89" s="3">
        <v>5</v>
      </c>
      <c r="AK89" s="3">
        <v>5</v>
      </c>
      <c r="AL89" s="3">
        <v>5</v>
      </c>
      <c r="AM89" s="3">
        <v>5</v>
      </c>
      <c r="AN89" s="3">
        <v>4</v>
      </c>
      <c r="AO89" s="3">
        <v>4</v>
      </c>
      <c r="AP89" s="3">
        <v>4</v>
      </c>
      <c r="AQ89" s="3">
        <v>4</v>
      </c>
      <c r="AR89" s="3">
        <v>4</v>
      </c>
      <c r="AS89" s="3">
        <v>4</v>
      </c>
      <c r="AT89" s="3">
        <v>4</v>
      </c>
      <c r="AU89" s="3">
        <v>4</v>
      </c>
      <c r="AV89" s="3">
        <v>4</v>
      </c>
      <c r="AW89" s="3">
        <v>5</v>
      </c>
      <c r="AX89" s="3">
        <v>5</v>
      </c>
      <c r="AY89" s="3">
        <v>5</v>
      </c>
      <c r="AZ89" s="3">
        <v>5</v>
      </c>
      <c r="BA89" s="3">
        <v>3</v>
      </c>
      <c r="BB89" s="3">
        <v>3</v>
      </c>
      <c r="BC89" s="3">
        <v>3</v>
      </c>
      <c r="BD89" s="3">
        <v>3</v>
      </c>
      <c r="BE89" s="3">
        <v>3</v>
      </c>
      <c r="BF89" s="3">
        <v>3</v>
      </c>
      <c r="BG89" s="3">
        <v>5</v>
      </c>
      <c r="BH89" s="3">
        <v>5</v>
      </c>
      <c r="BI89" s="3">
        <v>5</v>
      </c>
      <c r="BJ89" s="3">
        <v>5</v>
      </c>
      <c r="BK89" s="3">
        <v>5</v>
      </c>
      <c r="BL89" s="3">
        <v>5</v>
      </c>
      <c r="BM89" s="3">
        <v>5</v>
      </c>
      <c r="BN89" s="3">
        <v>5</v>
      </c>
      <c r="BO89" s="3">
        <v>5</v>
      </c>
      <c r="BP89" s="3" t="s">
        <v>310</v>
      </c>
    </row>
    <row r="90" spans="1:68" ht="22.5" customHeight="1" x14ac:dyDescent="0.25">
      <c r="A90" s="2">
        <v>45968.851286064819</v>
      </c>
      <c r="B90" s="3" t="s">
        <v>311</v>
      </c>
      <c r="C90" s="3" t="s">
        <v>86</v>
      </c>
      <c r="D90" s="3" t="s">
        <v>312</v>
      </c>
      <c r="E90" s="3" t="s">
        <v>77</v>
      </c>
      <c r="F90" s="3" t="s">
        <v>78</v>
      </c>
      <c r="G90" s="3" t="s">
        <v>79</v>
      </c>
      <c r="H90" s="3">
        <v>5</v>
      </c>
      <c r="I90" s="3">
        <v>5</v>
      </c>
      <c r="J90" s="3">
        <v>5</v>
      </c>
      <c r="K90" s="3">
        <v>5</v>
      </c>
      <c r="L90" s="3">
        <v>5</v>
      </c>
      <c r="M90" s="3">
        <v>4</v>
      </c>
      <c r="N90" s="3">
        <v>4</v>
      </c>
      <c r="O90" s="3">
        <v>5</v>
      </c>
      <c r="P90" s="3">
        <v>5</v>
      </c>
      <c r="Q90" s="3">
        <v>5</v>
      </c>
      <c r="R90" s="3">
        <v>5</v>
      </c>
      <c r="S90" s="3">
        <v>5</v>
      </c>
      <c r="T90" s="3">
        <v>5</v>
      </c>
      <c r="U90" s="3">
        <v>5</v>
      </c>
      <c r="V90" s="3">
        <v>4</v>
      </c>
      <c r="W90" s="3">
        <v>4</v>
      </c>
      <c r="X90" s="3">
        <v>3</v>
      </c>
      <c r="Y90" s="3">
        <v>4</v>
      </c>
      <c r="Z90" s="3">
        <v>4</v>
      </c>
      <c r="AA90" s="3">
        <v>4</v>
      </c>
      <c r="AB90" s="3">
        <v>4</v>
      </c>
      <c r="AC90" s="3">
        <v>4</v>
      </c>
      <c r="AD90" s="3">
        <v>4</v>
      </c>
      <c r="AE90" s="3">
        <v>5</v>
      </c>
      <c r="AF90" s="3">
        <v>4</v>
      </c>
      <c r="AG90" s="3">
        <v>4</v>
      </c>
      <c r="AH90" s="3">
        <v>4</v>
      </c>
      <c r="AI90" s="3">
        <v>5</v>
      </c>
      <c r="AJ90" s="3">
        <v>5</v>
      </c>
      <c r="AK90" s="3">
        <v>5</v>
      </c>
      <c r="AL90" s="3">
        <v>5</v>
      </c>
      <c r="AM90" s="3">
        <v>5</v>
      </c>
      <c r="AN90" s="3">
        <v>4</v>
      </c>
      <c r="AO90" s="3">
        <v>4</v>
      </c>
      <c r="AP90" s="3">
        <v>4</v>
      </c>
      <c r="AQ90" s="3">
        <v>4</v>
      </c>
      <c r="AR90" s="3">
        <v>4</v>
      </c>
      <c r="AS90" s="3">
        <v>4</v>
      </c>
      <c r="AT90" s="3">
        <v>4</v>
      </c>
      <c r="AU90" s="3">
        <v>4</v>
      </c>
      <c r="AV90" s="3">
        <v>4</v>
      </c>
      <c r="AW90" s="3">
        <v>5</v>
      </c>
      <c r="AX90" s="3">
        <v>5</v>
      </c>
      <c r="AY90" s="3">
        <v>5</v>
      </c>
      <c r="AZ90" s="3">
        <v>5</v>
      </c>
      <c r="BA90" s="3">
        <v>3</v>
      </c>
      <c r="BB90" s="3">
        <v>3</v>
      </c>
      <c r="BC90" s="3">
        <v>2</v>
      </c>
      <c r="BD90" s="3">
        <v>3</v>
      </c>
      <c r="BE90" s="3">
        <v>2</v>
      </c>
      <c r="BF90" s="3">
        <v>2</v>
      </c>
      <c r="BG90" s="3">
        <v>4</v>
      </c>
      <c r="BH90" s="3">
        <v>5</v>
      </c>
      <c r="BI90" s="3">
        <v>5</v>
      </c>
      <c r="BJ90" s="3">
        <v>5</v>
      </c>
      <c r="BK90" s="3">
        <v>5</v>
      </c>
      <c r="BL90" s="3">
        <v>5</v>
      </c>
      <c r="BM90" s="3">
        <v>5</v>
      </c>
      <c r="BN90" s="3">
        <v>5</v>
      </c>
      <c r="BO90" s="3">
        <v>5</v>
      </c>
      <c r="BP90" s="3" t="s">
        <v>313</v>
      </c>
    </row>
    <row r="91" spans="1:68" ht="22.5" customHeight="1" x14ac:dyDescent="0.25">
      <c r="A91" s="2">
        <v>45968.852860752319</v>
      </c>
      <c r="B91" s="3" t="s">
        <v>314</v>
      </c>
      <c r="C91" s="3" t="s">
        <v>69</v>
      </c>
      <c r="D91" s="3" t="s">
        <v>154</v>
      </c>
      <c r="E91" s="3" t="s">
        <v>119</v>
      </c>
      <c r="F91" s="3" t="s">
        <v>88</v>
      </c>
      <c r="G91" s="3" t="s">
        <v>83</v>
      </c>
      <c r="H91" s="3">
        <v>5</v>
      </c>
      <c r="I91" s="3">
        <v>4</v>
      </c>
      <c r="J91" s="3">
        <v>4</v>
      </c>
      <c r="K91" s="3">
        <v>3</v>
      </c>
      <c r="L91" s="3">
        <v>5</v>
      </c>
      <c r="M91" s="3">
        <v>3</v>
      </c>
      <c r="N91" s="3">
        <v>3</v>
      </c>
      <c r="O91" s="3">
        <v>4</v>
      </c>
      <c r="P91" s="3">
        <v>5</v>
      </c>
      <c r="Q91" s="3">
        <v>5</v>
      </c>
      <c r="R91" s="3">
        <v>5</v>
      </c>
      <c r="S91" s="3">
        <v>5</v>
      </c>
      <c r="T91" s="3">
        <v>5</v>
      </c>
      <c r="U91" s="3">
        <v>5</v>
      </c>
      <c r="V91" s="3">
        <v>5</v>
      </c>
      <c r="W91" s="3">
        <v>4</v>
      </c>
      <c r="X91" s="3">
        <v>4</v>
      </c>
      <c r="Y91" s="3">
        <v>4</v>
      </c>
      <c r="Z91" s="3">
        <v>4</v>
      </c>
      <c r="AA91" s="3">
        <v>5</v>
      </c>
      <c r="AB91" s="3">
        <v>5</v>
      </c>
      <c r="AC91" s="3">
        <v>4</v>
      </c>
      <c r="AD91" s="3">
        <v>5</v>
      </c>
      <c r="AE91" s="3">
        <v>4</v>
      </c>
      <c r="AF91" s="3">
        <v>4</v>
      </c>
      <c r="AG91" s="3">
        <v>4</v>
      </c>
      <c r="AH91" s="3">
        <v>4</v>
      </c>
      <c r="AI91" s="3">
        <v>4</v>
      </c>
      <c r="AJ91" s="3">
        <v>4</v>
      </c>
      <c r="AK91" s="3">
        <v>4</v>
      </c>
      <c r="AL91" s="3">
        <v>4</v>
      </c>
      <c r="AM91" s="3">
        <v>4</v>
      </c>
      <c r="AN91" s="3">
        <v>3</v>
      </c>
      <c r="AO91" s="3">
        <v>3</v>
      </c>
      <c r="AP91" s="3">
        <v>3</v>
      </c>
      <c r="AQ91" s="3">
        <v>3</v>
      </c>
      <c r="AR91" s="3">
        <v>3</v>
      </c>
      <c r="AS91" s="3">
        <v>3</v>
      </c>
      <c r="AT91" s="3">
        <v>3</v>
      </c>
      <c r="AU91" s="3">
        <v>3</v>
      </c>
      <c r="AV91" s="3">
        <v>3</v>
      </c>
      <c r="AW91" s="3">
        <v>4</v>
      </c>
      <c r="AX91" s="3">
        <v>5</v>
      </c>
      <c r="AY91" s="3">
        <v>4</v>
      </c>
      <c r="AZ91" s="3">
        <v>4</v>
      </c>
      <c r="BA91" s="3">
        <v>5</v>
      </c>
      <c r="BB91" s="3">
        <v>5</v>
      </c>
      <c r="BC91" s="3">
        <v>5</v>
      </c>
      <c r="BD91" s="3">
        <v>5</v>
      </c>
      <c r="BE91" s="3">
        <v>5</v>
      </c>
      <c r="BF91" s="3">
        <v>5</v>
      </c>
      <c r="BG91" s="3">
        <v>4</v>
      </c>
      <c r="BH91" s="3">
        <v>5</v>
      </c>
      <c r="BI91" s="3">
        <v>4</v>
      </c>
      <c r="BJ91" s="3">
        <v>4</v>
      </c>
      <c r="BK91" s="3">
        <v>4</v>
      </c>
      <c r="BL91" s="3">
        <v>4</v>
      </c>
      <c r="BM91" s="3">
        <v>4</v>
      </c>
      <c r="BN91" s="3">
        <v>4</v>
      </c>
      <c r="BO91" s="3">
        <v>4</v>
      </c>
      <c r="BP91" s="3" t="s">
        <v>315</v>
      </c>
    </row>
    <row r="92" spans="1:68" ht="22.5" customHeight="1" x14ac:dyDescent="0.25">
      <c r="A92" s="2">
        <v>45968.852946631945</v>
      </c>
      <c r="C92" s="3" t="s">
        <v>69</v>
      </c>
      <c r="D92" s="3" t="s">
        <v>134</v>
      </c>
      <c r="E92" s="3" t="s">
        <v>77</v>
      </c>
      <c r="F92" s="3" t="s">
        <v>78</v>
      </c>
      <c r="G92" s="3" t="s">
        <v>79</v>
      </c>
      <c r="H92" s="3">
        <v>5</v>
      </c>
      <c r="I92" s="3">
        <v>5</v>
      </c>
      <c r="J92" s="3">
        <v>4</v>
      </c>
      <c r="K92" s="3">
        <v>4</v>
      </c>
      <c r="L92" s="3">
        <v>5</v>
      </c>
      <c r="M92" s="3">
        <v>4</v>
      </c>
      <c r="N92" s="3">
        <v>4</v>
      </c>
      <c r="O92" s="3">
        <v>5</v>
      </c>
      <c r="P92" s="3">
        <v>5</v>
      </c>
      <c r="Q92" s="3">
        <v>5</v>
      </c>
      <c r="R92" s="3">
        <v>5</v>
      </c>
      <c r="S92" s="3">
        <v>5</v>
      </c>
      <c r="T92" s="3">
        <v>5</v>
      </c>
      <c r="U92" s="3">
        <v>5</v>
      </c>
      <c r="V92" s="3">
        <v>3</v>
      </c>
      <c r="W92" s="3">
        <v>4</v>
      </c>
      <c r="X92" s="3">
        <v>5</v>
      </c>
      <c r="Y92" s="3">
        <v>4</v>
      </c>
      <c r="Z92" s="3">
        <v>3</v>
      </c>
      <c r="AA92" s="3">
        <v>4</v>
      </c>
      <c r="AB92" s="3">
        <v>4</v>
      </c>
      <c r="AC92" s="3">
        <v>3</v>
      </c>
      <c r="AD92" s="3">
        <v>5</v>
      </c>
      <c r="AE92" s="3">
        <v>4</v>
      </c>
      <c r="AF92" s="3">
        <v>3</v>
      </c>
      <c r="AG92" s="3">
        <v>4</v>
      </c>
      <c r="AH92" s="3">
        <v>3</v>
      </c>
      <c r="AI92" s="3">
        <v>4</v>
      </c>
      <c r="AJ92" s="3">
        <v>5</v>
      </c>
      <c r="AK92" s="3">
        <v>5</v>
      </c>
      <c r="AL92" s="3">
        <v>4</v>
      </c>
      <c r="AM92" s="3">
        <v>4</v>
      </c>
      <c r="AN92" s="3">
        <v>4</v>
      </c>
      <c r="AO92" s="3">
        <v>3</v>
      </c>
      <c r="AP92" s="3">
        <v>4</v>
      </c>
      <c r="AQ92" s="3">
        <v>3</v>
      </c>
      <c r="AR92" s="3">
        <v>3</v>
      </c>
      <c r="AS92" s="3">
        <v>4</v>
      </c>
      <c r="AT92" s="3">
        <v>4</v>
      </c>
      <c r="AU92" s="3">
        <v>4</v>
      </c>
      <c r="AV92" s="3">
        <v>4</v>
      </c>
      <c r="AW92" s="3">
        <v>4</v>
      </c>
      <c r="AX92" s="3">
        <v>5</v>
      </c>
      <c r="AY92" s="3">
        <v>4</v>
      </c>
      <c r="AZ92" s="3">
        <v>4</v>
      </c>
      <c r="BA92" s="3">
        <v>5</v>
      </c>
      <c r="BB92" s="3">
        <v>5</v>
      </c>
      <c r="BC92" s="3">
        <v>4</v>
      </c>
      <c r="BD92" s="3">
        <v>4</v>
      </c>
      <c r="BE92" s="3">
        <v>5</v>
      </c>
      <c r="BF92" s="3">
        <v>3</v>
      </c>
      <c r="BG92" s="3">
        <v>4</v>
      </c>
      <c r="BH92" s="3">
        <v>5</v>
      </c>
      <c r="BI92" s="3">
        <v>5</v>
      </c>
      <c r="BJ92" s="3">
        <v>4</v>
      </c>
      <c r="BK92" s="3">
        <v>4</v>
      </c>
      <c r="BL92" s="3">
        <v>5</v>
      </c>
      <c r="BM92" s="3">
        <v>5</v>
      </c>
      <c r="BN92" s="3">
        <v>5</v>
      </c>
      <c r="BO92" s="3">
        <v>5</v>
      </c>
      <c r="BP92" s="3" t="s">
        <v>316</v>
      </c>
    </row>
    <row r="93" spans="1:68" ht="22.5" customHeight="1" x14ac:dyDescent="0.25">
      <c r="A93" s="2">
        <v>45968.899669629631</v>
      </c>
      <c r="B93" s="3" t="s">
        <v>317</v>
      </c>
      <c r="C93" s="3" t="s">
        <v>86</v>
      </c>
      <c r="D93" s="3" t="s">
        <v>318</v>
      </c>
      <c r="E93" s="3" t="s">
        <v>77</v>
      </c>
      <c r="F93" s="3" t="s">
        <v>78</v>
      </c>
      <c r="G93" s="3" t="s">
        <v>79</v>
      </c>
      <c r="H93" s="3">
        <v>5</v>
      </c>
      <c r="I93" s="3">
        <v>5</v>
      </c>
      <c r="J93" s="3">
        <v>5</v>
      </c>
      <c r="K93" s="3">
        <v>5</v>
      </c>
      <c r="L93" s="3">
        <v>4</v>
      </c>
      <c r="M93" s="3">
        <v>5</v>
      </c>
      <c r="N93" s="3">
        <v>5</v>
      </c>
      <c r="O93" s="3">
        <v>5</v>
      </c>
      <c r="P93" s="3">
        <v>5</v>
      </c>
      <c r="Q93" s="3">
        <v>5</v>
      </c>
      <c r="R93" s="3">
        <v>5</v>
      </c>
      <c r="S93" s="3">
        <v>5</v>
      </c>
      <c r="T93" s="3">
        <v>5</v>
      </c>
      <c r="U93" s="3">
        <v>5</v>
      </c>
      <c r="V93" s="3">
        <v>3</v>
      </c>
      <c r="W93" s="3">
        <v>3</v>
      </c>
      <c r="X93" s="3">
        <v>3</v>
      </c>
      <c r="Y93" s="3">
        <v>3</v>
      </c>
      <c r="Z93" s="3">
        <v>3</v>
      </c>
      <c r="AA93" s="3">
        <v>4</v>
      </c>
      <c r="AB93" s="3">
        <v>2</v>
      </c>
      <c r="AC93" s="3">
        <v>4</v>
      </c>
      <c r="AD93" s="3">
        <v>5</v>
      </c>
      <c r="AE93" s="3">
        <v>5</v>
      </c>
      <c r="AF93" s="3">
        <v>5</v>
      </c>
      <c r="AG93" s="3">
        <v>5</v>
      </c>
      <c r="AH93" s="3">
        <v>5</v>
      </c>
      <c r="AI93" s="3">
        <v>5</v>
      </c>
      <c r="AJ93" s="3">
        <v>5</v>
      </c>
      <c r="AK93" s="3">
        <v>5</v>
      </c>
      <c r="AL93" s="3">
        <v>5</v>
      </c>
      <c r="AM93" s="3">
        <v>5</v>
      </c>
      <c r="AN93" s="3">
        <v>5</v>
      </c>
      <c r="AO93" s="3">
        <v>5</v>
      </c>
      <c r="AP93" s="3">
        <v>5</v>
      </c>
      <c r="AQ93" s="3">
        <v>5</v>
      </c>
      <c r="AR93" s="3">
        <v>5</v>
      </c>
      <c r="AS93" s="3">
        <v>5</v>
      </c>
      <c r="AT93" s="3">
        <v>5</v>
      </c>
      <c r="AU93" s="3">
        <v>5</v>
      </c>
      <c r="AV93" s="3">
        <v>5</v>
      </c>
      <c r="AW93" s="3">
        <v>5</v>
      </c>
      <c r="AX93" s="3">
        <v>5</v>
      </c>
      <c r="AY93" s="3">
        <v>5</v>
      </c>
      <c r="AZ93" s="3">
        <v>5</v>
      </c>
      <c r="BA93" s="3">
        <v>4</v>
      </c>
      <c r="BB93" s="3">
        <v>4</v>
      </c>
      <c r="BC93" s="3">
        <v>4</v>
      </c>
      <c r="BD93" s="3">
        <v>4</v>
      </c>
      <c r="BE93" s="3">
        <v>4</v>
      </c>
      <c r="BF93" s="3">
        <v>4</v>
      </c>
      <c r="BG93" s="3">
        <v>4</v>
      </c>
      <c r="BH93" s="3">
        <v>4</v>
      </c>
      <c r="BI93" s="3">
        <v>4</v>
      </c>
      <c r="BJ93" s="3">
        <v>5</v>
      </c>
      <c r="BK93" s="3">
        <v>5</v>
      </c>
      <c r="BL93" s="3">
        <v>5</v>
      </c>
      <c r="BM93" s="3">
        <v>5</v>
      </c>
      <c r="BN93" s="3">
        <v>5</v>
      </c>
      <c r="BO93" s="3">
        <v>5</v>
      </c>
      <c r="BP93" s="3" t="s">
        <v>319</v>
      </c>
    </row>
    <row r="94" spans="1:68" ht="22.5" customHeight="1" x14ac:dyDescent="0.25">
      <c r="A94" s="2">
        <v>45968.917312175923</v>
      </c>
      <c r="B94" s="3" t="s">
        <v>320</v>
      </c>
      <c r="C94" s="3" t="s">
        <v>69</v>
      </c>
      <c r="D94" s="3" t="s">
        <v>154</v>
      </c>
      <c r="E94" s="3" t="s">
        <v>77</v>
      </c>
      <c r="F94" s="3" t="s">
        <v>78</v>
      </c>
      <c r="G94" s="3" t="s">
        <v>79</v>
      </c>
      <c r="H94" s="3">
        <v>5</v>
      </c>
      <c r="I94" s="3">
        <v>5</v>
      </c>
      <c r="J94" s="3">
        <v>5</v>
      </c>
      <c r="K94" s="3">
        <v>4</v>
      </c>
      <c r="L94" s="3">
        <v>5</v>
      </c>
      <c r="M94" s="3">
        <v>4</v>
      </c>
      <c r="N94" s="3">
        <v>4</v>
      </c>
      <c r="O94" s="3">
        <v>5</v>
      </c>
      <c r="P94" s="3">
        <v>5</v>
      </c>
      <c r="Q94" s="3">
        <v>5</v>
      </c>
      <c r="R94" s="3">
        <v>5</v>
      </c>
      <c r="S94" s="3">
        <v>4</v>
      </c>
      <c r="T94" s="3">
        <v>5</v>
      </c>
      <c r="U94" s="3">
        <v>5</v>
      </c>
      <c r="V94" s="3">
        <v>3</v>
      </c>
      <c r="W94" s="3">
        <v>4</v>
      </c>
      <c r="X94" s="3">
        <v>4</v>
      </c>
      <c r="Y94" s="3">
        <v>4</v>
      </c>
      <c r="Z94" s="3">
        <v>4</v>
      </c>
      <c r="AA94" s="3">
        <v>4</v>
      </c>
      <c r="AB94" s="3">
        <v>3</v>
      </c>
      <c r="AC94" s="3">
        <v>4</v>
      </c>
      <c r="AD94" s="3">
        <v>4</v>
      </c>
      <c r="AE94" s="3">
        <v>5</v>
      </c>
      <c r="AF94" s="3">
        <v>4</v>
      </c>
      <c r="AG94" s="3">
        <v>4</v>
      </c>
      <c r="AH94" s="3">
        <v>4</v>
      </c>
      <c r="AI94" s="3">
        <v>4</v>
      </c>
      <c r="AJ94" s="3">
        <v>4</v>
      </c>
      <c r="AK94" s="3">
        <v>5</v>
      </c>
      <c r="AL94" s="3">
        <v>5</v>
      </c>
      <c r="AM94" s="3">
        <v>5</v>
      </c>
      <c r="AN94" s="3">
        <v>4</v>
      </c>
      <c r="AO94" s="3">
        <v>4</v>
      </c>
      <c r="AP94" s="3">
        <v>4</v>
      </c>
      <c r="AQ94" s="3">
        <v>3</v>
      </c>
      <c r="AR94" s="3">
        <v>4</v>
      </c>
      <c r="AS94" s="3">
        <v>3</v>
      </c>
      <c r="AT94" s="3">
        <v>4</v>
      </c>
      <c r="AU94" s="3">
        <v>4</v>
      </c>
      <c r="AV94" s="3">
        <v>4</v>
      </c>
      <c r="AW94" s="3">
        <v>5</v>
      </c>
      <c r="AX94" s="3">
        <v>5</v>
      </c>
      <c r="AY94" s="3">
        <v>5</v>
      </c>
      <c r="AZ94" s="3">
        <v>5</v>
      </c>
      <c r="BA94" s="3">
        <v>4</v>
      </c>
      <c r="BB94" s="3">
        <v>4</v>
      </c>
      <c r="BC94" s="3">
        <v>4</v>
      </c>
      <c r="BD94" s="3">
        <v>4</v>
      </c>
      <c r="BE94" s="3">
        <v>4</v>
      </c>
      <c r="BF94" s="3">
        <v>4</v>
      </c>
      <c r="BG94" s="3">
        <v>4</v>
      </c>
      <c r="BH94" s="3">
        <v>4</v>
      </c>
      <c r="BI94" s="3">
        <v>4</v>
      </c>
      <c r="BJ94" s="3">
        <v>3</v>
      </c>
      <c r="BK94" s="3">
        <v>3</v>
      </c>
      <c r="BL94" s="3">
        <v>4</v>
      </c>
      <c r="BM94" s="3">
        <v>3</v>
      </c>
      <c r="BN94" s="3">
        <v>3</v>
      </c>
      <c r="BO94" s="3">
        <v>4</v>
      </c>
      <c r="BP94" s="3" t="s">
        <v>321</v>
      </c>
    </row>
    <row r="95" spans="1:68" ht="22.5" customHeight="1" x14ac:dyDescent="0.25">
      <c r="A95" s="2">
        <v>45968.988172442128</v>
      </c>
      <c r="B95" s="3" t="s">
        <v>322</v>
      </c>
      <c r="C95" s="3" t="s">
        <v>69</v>
      </c>
      <c r="D95" s="3" t="s">
        <v>323</v>
      </c>
      <c r="E95" s="3" t="s">
        <v>119</v>
      </c>
      <c r="F95" s="3" t="s">
        <v>82</v>
      </c>
      <c r="G95" s="3" t="s">
        <v>91</v>
      </c>
      <c r="H95" s="3">
        <v>5</v>
      </c>
      <c r="I95" s="3">
        <v>5</v>
      </c>
      <c r="J95" s="3">
        <v>5</v>
      </c>
      <c r="K95" s="3">
        <v>5</v>
      </c>
      <c r="L95" s="3">
        <v>5</v>
      </c>
      <c r="M95" s="3">
        <v>3</v>
      </c>
      <c r="N95" s="3">
        <v>3</v>
      </c>
      <c r="O95" s="3">
        <v>5</v>
      </c>
      <c r="P95" s="3">
        <v>5</v>
      </c>
      <c r="Q95" s="3">
        <v>5</v>
      </c>
      <c r="R95" s="3">
        <v>5</v>
      </c>
      <c r="S95" s="3">
        <v>5</v>
      </c>
      <c r="T95" s="3">
        <v>5</v>
      </c>
      <c r="U95" s="3">
        <v>5</v>
      </c>
      <c r="V95" s="3">
        <v>3</v>
      </c>
      <c r="W95" s="3">
        <v>3</v>
      </c>
      <c r="X95" s="3">
        <v>5</v>
      </c>
      <c r="Y95" s="3">
        <v>3</v>
      </c>
      <c r="Z95" s="3">
        <v>3</v>
      </c>
      <c r="AA95" s="3">
        <v>5</v>
      </c>
      <c r="AB95" s="3">
        <v>5</v>
      </c>
      <c r="AC95" s="3">
        <v>3</v>
      </c>
      <c r="AD95" s="3">
        <v>5</v>
      </c>
      <c r="AE95" s="3">
        <v>5</v>
      </c>
      <c r="AF95" s="3">
        <v>5</v>
      </c>
      <c r="AG95" s="3">
        <v>5</v>
      </c>
      <c r="AH95" s="3">
        <v>5</v>
      </c>
      <c r="AI95" s="3">
        <v>5</v>
      </c>
      <c r="AJ95" s="3">
        <v>5</v>
      </c>
      <c r="AK95" s="3">
        <v>5</v>
      </c>
      <c r="AL95" s="3">
        <v>3</v>
      </c>
      <c r="AM95" s="3">
        <v>5</v>
      </c>
      <c r="AN95" s="3">
        <v>3</v>
      </c>
      <c r="AO95" s="3">
        <v>3</v>
      </c>
      <c r="AP95" s="3">
        <v>3</v>
      </c>
      <c r="AQ95" s="3">
        <v>3</v>
      </c>
      <c r="AR95" s="3">
        <v>3</v>
      </c>
      <c r="AS95" s="3">
        <v>3</v>
      </c>
      <c r="AT95" s="3">
        <v>3</v>
      </c>
      <c r="AU95" s="3">
        <v>3</v>
      </c>
      <c r="AV95" s="3">
        <v>3</v>
      </c>
      <c r="AW95" s="3">
        <v>5</v>
      </c>
      <c r="AX95" s="3">
        <v>5</v>
      </c>
      <c r="AY95" s="3">
        <v>5</v>
      </c>
      <c r="AZ95" s="3">
        <v>5</v>
      </c>
      <c r="BA95" s="3">
        <v>3</v>
      </c>
      <c r="BB95" s="3">
        <v>3</v>
      </c>
      <c r="BC95" s="3">
        <v>4</v>
      </c>
      <c r="BD95" s="3">
        <v>3</v>
      </c>
      <c r="BE95" s="3">
        <v>3</v>
      </c>
      <c r="BF95" s="3">
        <v>3</v>
      </c>
      <c r="BG95" s="3">
        <v>5</v>
      </c>
      <c r="BH95" s="3">
        <v>5</v>
      </c>
      <c r="BI95" s="3">
        <v>5</v>
      </c>
      <c r="BJ95" s="3">
        <v>5</v>
      </c>
      <c r="BK95" s="3">
        <v>5</v>
      </c>
      <c r="BL95" s="3">
        <v>5</v>
      </c>
      <c r="BM95" s="3">
        <v>5</v>
      </c>
      <c r="BN95" s="3">
        <v>5</v>
      </c>
      <c r="BO95" s="3">
        <v>5</v>
      </c>
      <c r="BP95" s="3" t="s">
        <v>324</v>
      </c>
    </row>
    <row r="96" spans="1:68" ht="22.5" customHeight="1" x14ac:dyDescent="0.25">
      <c r="A96" s="2">
        <v>45969.394124224535</v>
      </c>
      <c r="C96" s="3" t="s">
        <v>86</v>
      </c>
      <c r="D96" s="3" t="s">
        <v>325</v>
      </c>
      <c r="E96" s="3" t="s">
        <v>119</v>
      </c>
      <c r="F96" s="3" t="s">
        <v>88</v>
      </c>
      <c r="G96" s="3" t="s">
        <v>83</v>
      </c>
      <c r="H96" s="3">
        <v>5</v>
      </c>
      <c r="I96" s="3">
        <v>5</v>
      </c>
      <c r="J96" s="3">
        <v>5</v>
      </c>
      <c r="K96" s="3">
        <v>3</v>
      </c>
      <c r="L96" s="3">
        <v>4</v>
      </c>
      <c r="M96" s="3">
        <v>2</v>
      </c>
      <c r="N96" s="3">
        <v>2</v>
      </c>
      <c r="O96" s="3">
        <v>4</v>
      </c>
      <c r="P96" s="3">
        <v>5</v>
      </c>
      <c r="Q96" s="3">
        <v>4</v>
      </c>
      <c r="R96" s="3">
        <v>4</v>
      </c>
      <c r="S96" s="3">
        <v>4</v>
      </c>
      <c r="T96" s="3">
        <v>4</v>
      </c>
      <c r="U96" s="3">
        <v>4</v>
      </c>
      <c r="V96" s="3">
        <v>4</v>
      </c>
      <c r="W96" s="3">
        <v>4</v>
      </c>
      <c r="X96" s="3">
        <v>3</v>
      </c>
      <c r="Y96" s="3">
        <v>3</v>
      </c>
      <c r="Z96" s="3">
        <v>3</v>
      </c>
      <c r="AA96" s="3">
        <v>3</v>
      </c>
      <c r="AB96" s="3">
        <v>3</v>
      </c>
      <c r="AC96" s="3">
        <v>2</v>
      </c>
      <c r="AD96" s="3">
        <v>4</v>
      </c>
      <c r="AE96" s="3">
        <v>4</v>
      </c>
      <c r="AF96" s="3">
        <v>4</v>
      </c>
      <c r="AG96" s="3">
        <v>4</v>
      </c>
      <c r="AH96" s="3">
        <v>4</v>
      </c>
      <c r="AI96" s="3">
        <v>4</v>
      </c>
      <c r="AJ96" s="3">
        <v>4</v>
      </c>
      <c r="AK96" s="3">
        <v>4</v>
      </c>
      <c r="AL96" s="3">
        <v>4</v>
      </c>
      <c r="AM96" s="3">
        <v>4</v>
      </c>
      <c r="AN96" s="3">
        <v>4</v>
      </c>
      <c r="AO96" s="3">
        <v>4</v>
      </c>
      <c r="AP96" s="3">
        <v>4</v>
      </c>
      <c r="AQ96" s="3">
        <v>4</v>
      </c>
      <c r="AR96" s="3">
        <v>4</v>
      </c>
      <c r="AS96" s="3">
        <v>4</v>
      </c>
      <c r="AT96" s="3">
        <v>4</v>
      </c>
      <c r="AU96" s="3">
        <v>4</v>
      </c>
      <c r="AV96" s="3">
        <v>4</v>
      </c>
      <c r="AW96" s="3">
        <v>4</v>
      </c>
      <c r="AX96" s="3">
        <v>5</v>
      </c>
      <c r="AY96" s="3">
        <v>4</v>
      </c>
      <c r="AZ96" s="3">
        <v>4</v>
      </c>
      <c r="BA96" s="3">
        <v>4</v>
      </c>
      <c r="BB96" s="3">
        <v>4</v>
      </c>
      <c r="BC96" s="3">
        <v>3</v>
      </c>
      <c r="BD96" s="3">
        <v>3</v>
      </c>
      <c r="BE96" s="3">
        <v>3</v>
      </c>
      <c r="BF96" s="3">
        <v>3</v>
      </c>
      <c r="BG96" s="3">
        <v>4</v>
      </c>
      <c r="BH96" s="3">
        <v>4</v>
      </c>
      <c r="BI96" s="3">
        <v>4</v>
      </c>
      <c r="BJ96" s="3">
        <v>4</v>
      </c>
      <c r="BK96" s="3">
        <v>4</v>
      </c>
      <c r="BL96" s="3">
        <v>4</v>
      </c>
      <c r="BM96" s="3">
        <v>4</v>
      </c>
      <c r="BN96" s="3">
        <v>4</v>
      </c>
      <c r="BO96" s="3">
        <v>4</v>
      </c>
      <c r="BP96" s="3" t="s">
        <v>326</v>
      </c>
    </row>
    <row r="97" spans="1:68" ht="22.5" customHeight="1" x14ac:dyDescent="0.25">
      <c r="A97" s="2">
        <v>45969.40472849537</v>
      </c>
      <c r="B97" s="3" t="s">
        <v>327</v>
      </c>
      <c r="C97" s="3" t="s">
        <v>69</v>
      </c>
      <c r="D97" s="3" t="s">
        <v>70</v>
      </c>
      <c r="E97" s="3" t="s">
        <v>71</v>
      </c>
      <c r="F97" s="3" t="s">
        <v>72</v>
      </c>
      <c r="G97" s="3" t="s">
        <v>73</v>
      </c>
      <c r="H97" s="3">
        <v>1</v>
      </c>
      <c r="I97" s="3">
        <v>2</v>
      </c>
      <c r="J97" s="3">
        <v>1</v>
      </c>
      <c r="K97" s="3">
        <v>2</v>
      </c>
      <c r="L97" s="3">
        <v>1</v>
      </c>
      <c r="M97" s="3">
        <v>2</v>
      </c>
      <c r="N97" s="3">
        <v>2</v>
      </c>
      <c r="O97" s="3">
        <v>2</v>
      </c>
      <c r="P97" s="3">
        <v>2</v>
      </c>
      <c r="Q97" s="3">
        <v>2</v>
      </c>
      <c r="R97" s="3">
        <v>2</v>
      </c>
      <c r="S97" s="3">
        <v>1</v>
      </c>
      <c r="T97" s="3">
        <v>2</v>
      </c>
      <c r="U97" s="3">
        <v>1</v>
      </c>
      <c r="V97" s="3">
        <v>2</v>
      </c>
      <c r="W97" s="3">
        <v>2</v>
      </c>
      <c r="X97" s="3">
        <v>2</v>
      </c>
      <c r="Y97" s="3">
        <v>2</v>
      </c>
      <c r="Z97" s="3">
        <v>2</v>
      </c>
      <c r="AA97" s="3">
        <v>1</v>
      </c>
      <c r="AB97" s="3">
        <v>2</v>
      </c>
      <c r="AC97" s="3">
        <v>3</v>
      </c>
      <c r="AD97" s="3">
        <v>1</v>
      </c>
      <c r="AE97" s="3">
        <v>1</v>
      </c>
      <c r="AF97" s="3">
        <v>1</v>
      </c>
      <c r="AG97" s="3">
        <v>1</v>
      </c>
      <c r="AH97" s="3">
        <v>2</v>
      </c>
      <c r="AI97" s="3">
        <v>1</v>
      </c>
      <c r="AJ97" s="3">
        <v>1</v>
      </c>
      <c r="AK97" s="3">
        <v>2</v>
      </c>
      <c r="AL97" s="3">
        <v>1</v>
      </c>
      <c r="AM97" s="3">
        <v>1</v>
      </c>
      <c r="AN97" s="3">
        <v>2</v>
      </c>
      <c r="AO97" s="3">
        <v>2</v>
      </c>
      <c r="AP97" s="3">
        <v>2</v>
      </c>
      <c r="AQ97" s="3">
        <v>1</v>
      </c>
      <c r="AR97" s="3">
        <v>1</v>
      </c>
      <c r="AS97" s="3">
        <v>2</v>
      </c>
      <c r="AT97" s="3">
        <v>1</v>
      </c>
      <c r="AU97" s="3">
        <v>2</v>
      </c>
      <c r="AV97" s="3">
        <v>2</v>
      </c>
      <c r="AW97" s="3">
        <v>1</v>
      </c>
      <c r="AX97" s="3">
        <v>1</v>
      </c>
      <c r="AY97" s="3">
        <v>2</v>
      </c>
      <c r="AZ97" s="3">
        <v>2</v>
      </c>
      <c r="BA97" s="3">
        <v>2</v>
      </c>
      <c r="BB97" s="3">
        <v>2</v>
      </c>
      <c r="BC97" s="3">
        <v>1</v>
      </c>
      <c r="BD97" s="3">
        <v>2</v>
      </c>
      <c r="BE97" s="3">
        <v>2</v>
      </c>
      <c r="BF97" s="3">
        <v>2</v>
      </c>
      <c r="BG97" s="3">
        <v>2</v>
      </c>
      <c r="BH97" s="3">
        <v>1</v>
      </c>
      <c r="BI97" s="3">
        <v>1</v>
      </c>
      <c r="BJ97" s="3">
        <v>2</v>
      </c>
      <c r="BK97" s="3">
        <v>1</v>
      </c>
      <c r="BL97" s="3">
        <v>2</v>
      </c>
      <c r="BM97" s="3">
        <v>1</v>
      </c>
      <c r="BN97" s="3">
        <v>2</v>
      </c>
      <c r="BO97" s="3">
        <v>1</v>
      </c>
      <c r="BP97" s="3" t="s">
        <v>328</v>
      </c>
    </row>
    <row r="98" spans="1:68" ht="22.5" customHeight="1" x14ac:dyDescent="0.25">
      <c r="A98" s="2">
        <v>45969.405444050921</v>
      </c>
      <c r="B98" s="3" t="s">
        <v>329</v>
      </c>
      <c r="C98" s="3" t="s">
        <v>86</v>
      </c>
      <c r="D98" s="3" t="s">
        <v>330</v>
      </c>
      <c r="E98" s="3" t="s">
        <v>119</v>
      </c>
      <c r="F98" s="3" t="s">
        <v>82</v>
      </c>
      <c r="G98" s="3" t="s">
        <v>91</v>
      </c>
      <c r="H98" s="3">
        <v>5</v>
      </c>
      <c r="I98" s="3">
        <v>5</v>
      </c>
      <c r="J98" s="3">
        <v>5</v>
      </c>
      <c r="K98" s="3">
        <v>4</v>
      </c>
      <c r="L98" s="3">
        <v>5</v>
      </c>
      <c r="M98" s="3">
        <v>4</v>
      </c>
      <c r="N98" s="3">
        <v>4</v>
      </c>
      <c r="O98" s="3">
        <v>5</v>
      </c>
      <c r="P98" s="3">
        <v>5</v>
      </c>
      <c r="Q98" s="3">
        <v>5</v>
      </c>
      <c r="R98" s="3">
        <v>5</v>
      </c>
      <c r="S98" s="3">
        <v>5</v>
      </c>
      <c r="T98" s="3">
        <v>5</v>
      </c>
      <c r="U98" s="3">
        <v>5</v>
      </c>
      <c r="V98" s="3">
        <v>5</v>
      </c>
      <c r="W98" s="3">
        <v>5</v>
      </c>
      <c r="X98" s="3">
        <v>3</v>
      </c>
      <c r="Y98" s="3">
        <v>4</v>
      </c>
      <c r="Z98" s="3">
        <v>5</v>
      </c>
      <c r="AA98" s="3">
        <v>4</v>
      </c>
      <c r="AB98" s="3">
        <v>2</v>
      </c>
      <c r="AC98" s="3">
        <v>2</v>
      </c>
      <c r="AD98" s="3">
        <v>5</v>
      </c>
      <c r="AE98" s="3">
        <v>3</v>
      </c>
      <c r="AF98" s="3">
        <v>3</v>
      </c>
      <c r="AG98" s="3">
        <v>4</v>
      </c>
      <c r="AH98" s="3">
        <v>3</v>
      </c>
      <c r="AI98" s="3">
        <v>4</v>
      </c>
      <c r="AJ98" s="3">
        <v>5</v>
      </c>
      <c r="AK98" s="3">
        <v>4</v>
      </c>
      <c r="AL98" s="3">
        <v>4</v>
      </c>
      <c r="AM98" s="3">
        <v>5</v>
      </c>
      <c r="AN98" s="3">
        <v>4</v>
      </c>
      <c r="AO98" s="3">
        <v>4</v>
      </c>
      <c r="AP98" s="3">
        <v>4</v>
      </c>
      <c r="AQ98" s="3">
        <v>3</v>
      </c>
      <c r="AR98" s="3">
        <v>3</v>
      </c>
      <c r="AS98" s="3">
        <v>4</v>
      </c>
      <c r="AT98" s="3">
        <v>4</v>
      </c>
      <c r="AU98" s="3">
        <v>5</v>
      </c>
      <c r="AV98" s="3">
        <v>4</v>
      </c>
      <c r="AW98" s="3">
        <v>5</v>
      </c>
      <c r="AX98" s="3">
        <v>5</v>
      </c>
      <c r="AY98" s="3">
        <v>5</v>
      </c>
      <c r="AZ98" s="3">
        <v>5</v>
      </c>
      <c r="BA98" s="3">
        <v>4</v>
      </c>
      <c r="BB98" s="3">
        <v>3</v>
      </c>
      <c r="BC98" s="3">
        <v>5</v>
      </c>
      <c r="BD98" s="3">
        <v>4</v>
      </c>
      <c r="BE98" s="3">
        <v>4</v>
      </c>
      <c r="BF98" s="3">
        <v>4</v>
      </c>
      <c r="BG98" s="3">
        <v>4</v>
      </c>
      <c r="BH98" s="3">
        <v>5</v>
      </c>
      <c r="BI98" s="3">
        <v>5</v>
      </c>
      <c r="BJ98" s="3">
        <v>5</v>
      </c>
      <c r="BK98" s="3">
        <v>3</v>
      </c>
      <c r="BL98" s="3">
        <v>5</v>
      </c>
      <c r="BM98" s="3">
        <v>5</v>
      </c>
      <c r="BN98" s="3">
        <v>3</v>
      </c>
      <c r="BO98" s="3">
        <v>5</v>
      </c>
      <c r="BP98" s="3" t="s">
        <v>331</v>
      </c>
    </row>
    <row r="99" spans="1:68" ht="22.5" customHeight="1" x14ac:dyDescent="0.25">
      <c r="A99" s="2">
        <v>45969.415478414347</v>
      </c>
      <c r="C99" s="3" t="s">
        <v>86</v>
      </c>
      <c r="D99" s="3" t="s">
        <v>70</v>
      </c>
      <c r="E99" s="3" t="s">
        <v>119</v>
      </c>
      <c r="F99" s="3" t="s">
        <v>88</v>
      </c>
      <c r="G99" s="3" t="s">
        <v>83</v>
      </c>
      <c r="H99" s="3">
        <v>5</v>
      </c>
      <c r="I99" s="3">
        <v>5</v>
      </c>
      <c r="J99" s="3">
        <v>5</v>
      </c>
      <c r="K99" s="3">
        <v>4</v>
      </c>
      <c r="L99" s="3">
        <v>5</v>
      </c>
      <c r="M99" s="3">
        <v>4</v>
      </c>
      <c r="N99" s="3">
        <v>4</v>
      </c>
      <c r="O99" s="3">
        <v>5</v>
      </c>
      <c r="P99" s="3">
        <v>5</v>
      </c>
      <c r="Q99" s="3">
        <v>5</v>
      </c>
      <c r="R99" s="3">
        <v>5</v>
      </c>
      <c r="S99" s="3">
        <v>5</v>
      </c>
      <c r="T99" s="3">
        <v>5</v>
      </c>
      <c r="U99" s="3">
        <v>5</v>
      </c>
      <c r="V99" s="3">
        <v>4</v>
      </c>
      <c r="W99" s="3">
        <v>4</v>
      </c>
      <c r="X99" s="3">
        <v>5</v>
      </c>
      <c r="Y99" s="3">
        <v>5</v>
      </c>
      <c r="Z99" s="3">
        <v>5</v>
      </c>
      <c r="AA99" s="3">
        <v>4</v>
      </c>
      <c r="AB99" s="3">
        <v>4</v>
      </c>
      <c r="AC99" s="3">
        <v>4</v>
      </c>
      <c r="AD99" s="3">
        <v>5</v>
      </c>
      <c r="AE99" s="3">
        <v>4</v>
      </c>
      <c r="AF99" s="3">
        <v>4</v>
      </c>
      <c r="AG99" s="3">
        <v>4</v>
      </c>
      <c r="AH99" s="3">
        <v>4</v>
      </c>
      <c r="AI99" s="3">
        <v>5</v>
      </c>
      <c r="AJ99" s="3">
        <v>5</v>
      </c>
      <c r="AK99" s="3">
        <v>5</v>
      </c>
      <c r="AL99" s="3">
        <v>5</v>
      </c>
      <c r="AM99" s="3">
        <v>5</v>
      </c>
      <c r="AN99" s="3">
        <v>4</v>
      </c>
      <c r="AO99" s="3">
        <v>4</v>
      </c>
      <c r="AP99" s="3">
        <v>4</v>
      </c>
      <c r="AQ99" s="3">
        <v>4</v>
      </c>
      <c r="AR99" s="3">
        <v>3</v>
      </c>
      <c r="AS99" s="3">
        <v>4</v>
      </c>
      <c r="AT99" s="3">
        <v>5</v>
      </c>
      <c r="AU99" s="3">
        <v>5</v>
      </c>
      <c r="AV99" s="3">
        <v>5</v>
      </c>
      <c r="AW99" s="3">
        <v>5</v>
      </c>
      <c r="AX99" s="3">
        <v>5</v>
      </c>
      <c r="AY99" s="3">
        <v>5</v>
      </c>
      <c r="AZ99" s="3">
        <v>5</v>
      </c>
      <c r="BA99" s="3">
        <v>4</v>
      </c>
      <c r="BB99" s="3">
        <v>4</v>
      </c>
      <c r="BC99" s="3">
        <v>4</v>
      </c>
      <c r="BD99" s="3">
        <v>4</v>
      </c>
      <c r="BE99" s="3">
        <v>4</v>
      </c>
      <c r="BF99" s="3">
        <v>3</v>
      </c>
      <c r="BG99" s="3">
        <v>5</v>
      </c>
      <c r="BH99" s="3">
        <v>5</v>
      </c>
      <c r="BI99" s="3">
        <v>5</v>
      </c>
      <c r="BJ99" s="3">
        <v>5</v>
      </c>
      <c r="BK99" s="3">
        <v>5</v>
      </c>
      <c r="BL99" s="3">
        <v>5</v>
      </c>
      <c r="BM99" s="3">
        <v>5</v>
      </c>
      <c r="BN99" s="3">
        <v>5</v>
      </c>
      <c r="BO99" s="3">
        <v>5</v>
      </c>
      <c r="BP99" s="3" t="s">
        <v>332</v>
      </c>
    </row>
    <row r="100" spans="1:68" ht="22.5" customHeight="1" x14ac:dyDescent="0.25">
      <c r="A100" s="2">
        <v>45969.535913449072</v>
      </c>
      <c r="B100" s="3" t="s">
        <v>333</v>
      </c>
      <c r="C100" s="3" t="s">
        <v>86</v>
      </c>
      <c r="D100" s="3" t="s">
        <v>334</v>
      </c>
      <c r="E100" s="3" t="s">
        <v>77</v>
      </c>
      <c r="F100" s="3" t="s">
        <v>78</v>
      </c>
      <c r="G100" s="3" t="s">
        <v>79</v>
      </c>
      <c r="H100" s="3">
        <v>5</v>
      </c>
      <c r="I100" s="3">
        <v>5</v>
      </c>
      <c r="J100" s="3">
        <v>4</v>
      </c>
      <c r="K100" s="3">
        <v>5</v>
      </c>
      <c r="L100" s="3">
        <v>5</v>
      </c>
      <c r="M100" s="3">
        <v>5</v>
      </c>
      <c r="N100" s="3">
        <v>5</v>
      </c>
      <c r="O100" s="3">
        <v>5</v>
      </c>
      <c r="P100" s="3">
        <v>5</v>
      </c>
      <c r="Q100" s="3">
        <v>4</v>
      </c>
      <c r="R100" s="3">
        <v>5</v>
      </c>
      <c r="S100" s="3">
        <v>5</v>
      </c>
      <c r="T100" s="3">
        <v>5</v>
      </c>
      <c r="U100" s="3">
        <v>5</v>
      </c>
      <c r="V100" s="3">
        <v>4</v>
      </c>
      <c r="W100" s="3">
        <v>3</v>
      </c>
      <c r="X100" s="3">
        <v>4</v>
      </c>
      <c r="Y100" s="3">
        <v>4</v>
      </c>
      <c r="Z100" s="3">
        <v>4</v>
      </c>
      <c r="AA100" s="3">
        <v>5</v>
      </c>
      <c r="AB100" s="3">
        <v>4</v>
      </c>
      <c r="AC100" s="3">
        <v>4</v>
      </c>
      <c r="AD100" s="3">
        <v>5</v>
      </c>
      <c r="AE100" s="3">
        <v>5</v>
      </c>
      <c r="AF100" s="3">
        <v>5</v>
      </c>
      <c r="AG100" s="3">
        <v>5</v>
      </c>
      <c r="AH100" s="3">
        <v>5</v>
      </c>
      <c r="AI100" s="3">
        <v>5</v>
      </c>
      <c r="AJ100" s="3">
        <v>5</v>
      </c>
      <c r="AK100" s="3">
        <v>5</v>
      </c>
      <c r="AL100" s="3">
        <v>5</v>
      </c>
      <c r="AM100" s="3">
        <v>5</v>
      </c>
      <c r="AN100" s="3">
        <v>5</v>
      </c>
      <c r="AO100" s="3">
        <v>5</v>
      </c>
      <c r="AP100" s="3">
        <v>5</v>
      </c>
      <c r="AQ100" s="3">
        <v>5</v>
      </c>
      <c r="AR100" s="3">
        <v>5</v>
      </c>
      <c r="AS100" s="3">
        <v>5</v>
      </c>
      <c r="AT100" s="3">
        <v>5</v>
      </c>
      <c r="AU100" s="3">
        <v>5</v>
      </c>
      <c r="AV100" s="3">
        <v>5</v>
      </c>
      <c r="AW100" s="3">
        <v>5</v>
      </c>
      <c r="AX100" s="3">
        <v>5</v>
      </c>
      <c r="AY100" s="3">
        <v>5</v>
      </c>
      <c r="AZ100" s="3">
        <v>5</v>
      </c>
      <c r="BA100" s="3">
        <v>5</v>
      </c>
      <c r="BB100" s="3">
        <v>3</v>
      </c>
      <c r="BC100" s="3">
        <v>4</v>
      </c>
      <c r="BD100" s="3">
        <v>4</v>
      </c>
      <c r="BE100" s="3">
        <v>3</v>
      </c>
      <c r="BF100" s="3">
        <v>3</v>
      </c>
      <c r="BG100" s="3">
        <v>5</v>
      </c>
      <c r="BH100" s="3">
        <v>5</v>
      </c>
      <c r="BI100" s="3">
        <v>5</v>
      </c>
      <c r="BJ100" s="3">
        <v>5</v>
      </c>
      <c r="BK100" s="3">
        <v>5</v>
      </c>
      <c r="BL100" s="3">
        <v>5</v>
      </c>
      <c r="BM100" s="3">
        <v>5</v>
      </c>
      <c r="BN100" s="3">
        <v>5</v>
      </c>
      <c r="BO100" s="3">
        <v>5</v>
      </c>
      <c r="BP100" s="3" t="s">
        <v>335</v>
      </c>
    </row>
    <row r="101" spans="1:68" ht="22.5" customHeight="1" x14ac:dyDescent="0.25">
      <c r="A101" s="2">
        <v>45969.641742060187</v>
      </c>
      <c r="B101" s="3" t="s">
        <v>336</v>
      </c>
      <c r="C101" s="3" t="s">
        <v>86</v>
      </c>
      <c r="D101" s="3" t="s">
        <v>337</v>
      </c>
      <c r="E101" s="3" t="s">
        <v>119</v>
      </c>
      <c r="F101" s="3" t="s">
        <v>82</v>
      </c>
      <c r="G101" s="3" t="s">
        <v>73</v>
      </c>
      <c r="H101" s="3">
        <v>4</v>
      </c>
      <c r="I101" s="3">
        <v>4</v>
      </c>
      <c r="J101" s="3">
        <v>4</v>
      </c>
      <c r="K101" s="3">
        <v>4</v>
      </c>
      <c r="L101" s="3">
        <v>5</v>
      </c>
      <c r="M101" s="3">
        <v>3</v>
      </c>
      <c r="N101" s="3">
        <v>3</v>
      </c>
      <c r="O101" s="3">
        <v>5</v>
      </c>
      <c r="P101" s="3">
        <v>5</v>
      </c>
      <c r="Q101" s="3">
        <v>4</v>
      </c>
      <c r="R101" s="3">
        <v>4</v>
      </c>
      <c r="S101" s="3">
        <v>5</v>
      </c>
      <c r="T101" s="3">
        <v>5</v>
      </c>
      <c r="U101" s="3">
        <v>4</v>
      </c>
      <c r="V101" s="3">
        <v>4</v>
      </c>
      <c r="W101" s="3">
        <v>4</v>
      </c>
      <c r="X101" s="3">
        <v>4</v>
      </c>
      <c r="Y101" s="3">
        <v>4</v>
      </c>
      <c r="Z101" s="3">
        <v>4</v>
      </c>
      <c r="AA101" s="3">
        <v>3</v>
      </c>
      <c r="AB101" s="3">
        <v>3</v>
      </c>
      <c r="AC101" s="3">
        <v>2</v>
      </c>
      <c r="AD101" s="3">
        <v>4</v>
      </c>
      <c r="AE101" s="3">
        <v>4</v>
      </c>
      <c r="AF101" s="3">
        <v>4</v>
      </c>
      <c r="AG101" s="3">
        <v>3</v>
      </c>
      <c r="AH101" s="3">
        <v>3</v>
      </c>
      <c r="AI101" s="3">
        <v>4</v>
      </c>
      <c r="AJ101" s="3">
        <v>4</v>
      </c>
      <c r="AK101" s="3">
        <v>4</v>
      </c>
      <c r="AL101" s="3">
        <v>4</v>
      </c>
      <c r="AM101" s="3">
        <v>4</v>
      </c>
      <c r="AN101" s="3">
        <v>3</v>
      </c>
      <c r="AO101" s="3">
        <v>4</v>
      </c>
      <c r="AP101" s="3">
        <v>4</v>
      </c>
      <c r="AQ101" s="3">
        <v>3</v>
      </c>
      <c r="AR101" s="3">
        <v>3</v>
      </c>
      <c r="AS101" s="3">
        <v>3</v>
      </c>
      <c r="AT101" s="3">
        <v>3</v>
      </c>
      <c r="AU101" s="3">
        <v>3</v>
      </c>
      <c r="AV101" s="3">
        <v>3</v>
      </c>
      <c r="AW101" s="3">
        <v>4</v>
      </c>
      <c r="AX101" s="3">
        <v>4</v>
      </c>
      <c r="AY101" s="3">
        <v>4</v>
      </c>
      <c r="AZ101" s="3">
        <v>4</v>
      </c>
      <c r="BA101" s="3">
        <v>4</v>
      </c>
      <c r="BB101" s="3">
        <v>4</v>
      </c>
      <c r="BC101" s="3">
        <v>4</v>
      </c>
      <c r="BD101" s="3">
        <v>4</v>
      </c>
      <c r="BE101" s="3">
        <v>4</v>
      </c>
      <c r="BF101" s="3">
        <v>4</v>
      </c>
      <c r="BG101" s="3">
        <v>4</v>
      </c>
      <c r="BH101" s="3">
        <v>4</v>
      </c>
      <c r="BI101" s="3">
        <v>4</v>
      </c>
      <c r="BJ101" s="3">
        <v>4</v>
      </c>
      <c r="BK101" s="3">
        <v>4</v>
      </c>
      <c r="BL101" s="3">
        <v>5</v>
      </c>
      <c r="BM101" s="3">
        <v>4</v>
      </c>
      <c r="BN101" s="3">
        <v>4</v>
      </c>
      <c r="BO101" s="3">
        <v>4</v>
      </c>
      <c r="BP101" s="3" t="s">
        <v>338</v>
      </c>
    </row>
    <row r="102" spans="1:68" ht="22.5" customHeight="1" x14ac:dyDescent="0.25">
      <c r="A102" s="2">
        <v>45969.919531562497</v>
      </c>
      <c r="B102" s="3" t="s">
        <v>339</v>
      </c>
      <c r="C102" s="3" t="s">
        <v>86</v>
      </c>
      <c r="D102" s="3" t="s">
        <v>289</v>
      </c>
      <c r="E102" s="3" t="s">
        <v>119</v>
      </c>
      <c r="F102" s="3" t="s">
        <v>72</v>
      </c>
      <c r="G102" s="3" t="s">
        <v>73</v>
      </c>
      <c r="H102" s="3">
        <v>5</v>
      </c>
      <c r="I102" s="3">
        <v>5</v>
      </c>
      <c r="J102" s="3">
        <v>5</v>
      </c>
      <c r="K102" s="3">
        <v>5</v>
      </c>
      <c r="L102" s="3">
        <v>4</v>
      </c>
      <c r="M102" s="3">
        <v>3</v>
      </c>
      <c r="N102" s="3">
        <v>4</v>
      </c>
      <c r="O102" s="3">
        <v>5</v>
      </c>
      <c r="P102" s="3">
        <v>3</v>
      </c>
      <c r="Q102" s="3">
        <v>5</v>
      </c>
      <c r="R102" s="3">
        <v>5</v>
      </c>
      <c r="S102" s="3">
        <v>5</v>
      </c>
      <c r="T102" s="3">
        <v>5</v>
      </c>
      <c r="U102" s="3">
        <v>5</v>
      </c>
      <c r="V102" s="3">
        <v>3</v>
      </c>
      <c r="W102" s="3">
        <v>3</v>
      </c>
      <c r="X102" s="3">
        <v>2</v>
      </c>
      <c r="Y102" s="3">
        <v>3</v>
      </c>
      <c r="Z102" s="3">
        <v>4</v>
      </c>
      <c r="AA102" s="3">
        <v>3</v>
      </c>
      <c r="AB102" s="3">
        <v>3</v>
      </c>
      <c r="AC102" s="3">
        <v>1</v>
      </c>
      <c r="AD102" s="3">
        <v>4</v>
      </c>
      <c r="AE102" s="3">
        <v>4</v>
      </c>
      <c r="AF102" s="3">
        <v>4</v>
      </c>
      <c r="AG102" s="3">
        <v>4</v>
      </c>
      <c r="AH102" s="3">
        <v>4</v>
      </c>
      <c r="AI102" s="3">
        <v>4</v>
      </c>
      <c r="AJ102" s="3">
        <v>4</v>
      </c>
      <c r="AK102" s="3">
        <v>5</v>
      </c>
      <c r="AL102" s="3">
        <v>4</v>
      </c>
      <c r="AM102" s="3">
        <v>5</v>
      </c>
      <c r="AN102" s="3">
        <v>4</v>
      </c>
      <c r="AO102" s="3">
        <v>4</v>
      </c>
      <c r="AP102" s="3">
        <v>4</v>
      </c>
      <c r="AQ102" s="3">
        <v>4</v>
      </c>
      <c r="AR102" s="3">
        <v>4</v>
      </c>
      <c r="AS102" s="3">
        <v>4</v>
      </c>
      <c r="AT102" s="3">
        <v>4</v>
      </c>
      <c r="AU102" s="3">
        <v>5</v>
      </c>
      <c r="AV102" s="3">
        <v>5</v>
      </c>
      <c r="AW102" s="3">
        <v>5</v>
      </c>
      <c r="AX102" s="3">
        <v>5</v>
      </c>
      <c r="AY102" s="3">
        <v>5</v>
      </c>
      <c r="AZ102" s="3">
        <v>5</v>
      </c>
      <c r="BA102" s="3">
        <v>5</v>
      </c>
      <c r="BB102" s="3">
        <v>5</v>
      </c>
      <c r="BC102" s="3">
        <v>5</v>
      </c>
      <c r="BD102" s="3">
        <v>5</v>
      </c>
      <c r="BE102" s="3">
        <v>4</v>
      </c>
      <c r="BF102" s="3">
        <v>4</v>
      </c>
      <c r="BG102" s="3">
        <v>5</v>
      </c>
      <c r="BH102" s="3">
        <v>4</v>
      </c>
      <c r="BI102" s="3">
        <v>5</v>
      </c>
      <c r="BJ102" s="3">
        <v>4</v>
      </c>
      <c r="BK102" s="3">
        <v>4</v>
      </c>
      <c r="BL102" s="3">
        <v>5</v>
      </c>
      <c r="BM102" s="3">
        <v>5</v>
      </c>
      <c r="BN102" s="3">
        <v>4</v>
      </c>
      <c r="BO102" s="3">
        <v>5</v>
      </c>
      <c r="BP102" s="3" t="s">
        <v>340</v>
      </c>
    </row>
    <row r="103" spans="1:68" ht="22.5" customHeight="1" x14ac:dyDescent="0.25">
      <c r="A103" s="2">
        <v>45971.389031516199</v>
      </c>
      <c r="B103" s="3" t="s">
        <v>341</v>
      </c>
      <c r="C103" s="3" t="s">
        <v>69</v>
      </c>
      <c r="D103" s="3" t="s">
        <v>318</v>
      </c>
      <c r="E103" s="3" t="s">
        <v>87</v>
      </c>
      <c r="F103" s="3" t="s">
        <v>88</v>
      </c>
      <c r="G103" s="3" t="s">
        <v>83</v>
      </c>
      <c r="H103" s="3">
        <v>4</v>
      </c>
      <c r="I103" s="3">
        <v>4</v>
      </c>
      <c r="J103" s="3">
        <v>5</v>
      </c>
      <c r="K103" s="3">
        <v>3</v>
      </c>
      <c r="L103" s="3">
        <v>4</v>
      </c>
      <c r="M103" s="3">
        <v>5</v>
      </c>
      <c r="N103" s="3">
        <v>4</v>
      </c>
      <c r="O103" s="3">
        <v>4</v>
      </c>
      <c r="P103" s="3">
        <v>5</v>
      </c>
      <c r="Q103" s="3">
        <v>4</v>
      </c>
      <c r="R103" s="3">
        <v>4</v>
      </c>
      <c r="S103" s="3">
        <v>4</v>
      </c>
      <c r="T103" s="3">
        <v>4</v>
      </c>
      <c r="U103" s="3">
        <v>4</v>
      </c>
      <c r="V103" s="3">
        <v>4</v>
      </c>
      <c r="W103" s="3">
        <v>4</v>
      </c>
      <c r="X103" s="3">
        <v>4</v>
      </c>
      <c r="Y103" s="3">
        <v>4</v>
      </c>
      <c r="Z103" s="3">
        <v>3</v>
      </c>
      <c r="AA103" s="3">
        <v>4</v>
      </c>
      <c r="AB103" s="3">
        <v>3</v>
      </c>
      <c r="AC103" s="3">
        <v>3</v>
      </c>
      <c r="AD103" s="3">
        <v>3</v>
      </c>
      <c r="AE103" s="3">
        <v>4</v>
      </c>
      <c r="AF103" s="3">
        <v>4</v>
      </c>
      <c r="AG103" s="3">
        <v>4</v>
      </c>
      <c r="AH103" s="3">
        <v>4</v>
      </c>
      <c r="AI103" s="3">
        <v>4</v>
      </c>
      <c r="AJ103" s="3">
        <v>4</v>
      </c>
      <c r="AK103" s="3">
        <v>4</v>
      </c>
      <c r="AL103" s="3">
        <v>4</v>
      </c>
      <c r="AM103" s="3">
        <v>4</v>
      </c>
      <c r="AN103" s="3">
        <v>4</v>
      </c>
      <c r="AO103" s="3">
        <v>4</v>
      </c>
      <c r="AP103" s="3">
        <v>4</v>
      </c>
      <c r="AQ103" s="3">
        <v>4</v>
      </c>
      <c r="AR103" s="3">
        <v>4</v>
      </c>
      <c r="AS103" s="3">
        <v>4</v>
      </c>
      <c r="AT103" s="3">
        <v>4</v>
      </c>
      <c r="AU103" s="3">
        <v>4</v>
      </c>
      <c r="AV103" s="3">
        <v>4</v>
      </c>
      <c r="AW103" s="3">
        <v>4</v>
      </c>
      <c r="AX103" s="3">
        <v>4</v>
      </c>
      <c r="AY103" s="3">
        <v>4</v>
      </c>
      <c r="AZ103" s="3">
        <v>4</v>
      </c>
      <c r="BA103" s="3">
        <v>4</v>
      </c>
      <c r="BB103" s="3">
        <v>4</v>
      </c>
      <c r="BC103" s="3">
        <v>4</v>
      </c>
      <c r="BD103" s="3">
        <v>4</v>
      </c>
      <c r="BE103" s="3">
        <v>4</v>
      </c>
      <c r="BF103" s="3">
        <v>4</v>
      </c>
      <c r="BG103" s="3">
        <v>4</v>
      </c>
      <c r="BH103" s="3">
        <v>4</v>
      </c>
      <c r="BI103" s="3">
        <v>4</v>
      </c>
      <c r="BJ103" s="3">
        <v>4</v>
      </c>
      <c r="BK103" s="3">
        <v>4</v>
      </c>
      <c r="BL103" s="3">
        <v>4</v>
      </c>
      <c r="BM103" s="3">
        <v>4</v>
      </c>
      <c r="BN103" s="3">
        <v>4</v>
      </c>
      <c r="BO103" s="3">
        <v>4</v>
      </c>
      <c r="BP103" s="3" t="s">
        <v>342</v>
      </c>
    </row>
    <row r="104" spans="1:68" ht="22.5" customHeight="1" x14ac:dyDescent="0.25">
      <c r="A104" s="2">
        <v>45972.4556934375</v>
      </c>
      <c r="B104" s="3" t="s">
        <v>343</v>
      </c>
      <c r="C104" s="3" t="s">
        <v>86</v>
      </c>
      <c r="D104" s="3" t="s">
        <v>344</v>
      </c>
      <c r="E104" s="3" t="s">
        <v>77</v>
      </c>
      <c r="F104" s="3" t="s">
        <v>78</v>
      </c>
      <c r="G104" s="3" t="s">
        <v>79</v>
      </c>
      <c r="H104" s="3">
        <v>5</v>
      </c>
      <c r="I104" s="3">
        <v>5</v>
      </c>
      <c r="J104" s="3">
        <v>5</v>
      </c>
      <c r="K104" s="3">
        <v>5</v>
      </c>
      <c r="L104" s="3">
        <v>5</v>
      </c>
      <c r="M104" s="3">
        <v>5</v>
      </c>
      <c r="N104" s="3">
        <v>5</v>
      </c>
      <c r="O104" s="3">
        <v>5</v>
      </c>
      <c r="P104" s="3">
        <v>5</v>
      </c>
      <c r="Q104" s="3">
        <v>5</v>
      </c>
      <c r="R104" s="3">
        <v>5</v>
      </c>
      <c r="S104" s="3">
        <v>5</v>
      </c>
      <c r="T104" s="3">
        <v>5</v>
      </c>
      <c r="U104" s="3">
        <v>5</v>
      </c>
      <c r="V104" s="3">
        <v>5</v>
      </c>
      <c r="W104" s="3">
        <v>5</v>
      </c>
      <c r="X104" s="3">
        <v>5</v>
      </c>
      <c r="Y104" s="3">
        <v>5</v>
      </c>
      <c r="Z104" s="3">
        <v>5</v>
      </c>
      <c r="AA104" s="3">
        <v>5</v>
      </c>
      <c r="AB104" s="3">
        <v>5</v>
      </c>
      <c r="AC104" s="3">
        <v>5</v>
      </c>
      <c r="AD104" s="3">
        <v>5</v>
      </c>
      <c r="AE104" s="3">
        <v>5</v>
      </c>
      <c r="AF104" s="3">
        <v>5</v>
      </c>
      <c r="AG104" s="3">
        <v>5</v>
      </c>
      <c r="AH104" s="3">
        <v>5</v>
      </c>
      <c r="AI104" s="3">
        <v>5</v>
      </c>
      <c r="AJ104" s="3">
        <v>5</v>
      </c>
      <c r="AK104" s="3">
        <v>5</v>
      </c>
      <c r="AL104" s="3">
        <v>5</v>
      </c>
      <c r="AM104" s="3">
        <v>5</v>
      </c>
      <c r="AN104" s="3">
        <v>5</v>
      </c>
      <c r="AO104" s="3">
        <v>5</v>
      </c>
      <c r="AP104" s="3">
        <v>5</v>
      </c>
      <c r="AQ104" s="3">
        <v>5</v>
      </c>
      <c r="AR104" s="3">
        <v>5</v>
      </c>
      <c r="AS104" s="3">
        <v>5</v>
      </c>
      <c r="AT104" s="3">
        <v>5</v>
      </c>
      <c r="AU104" s="3">
        <v>5</v>
      </c>
      <c r="AV104" s="3">
        <v>5</v>
      </c>
      <c r="AW104" s="3">
        <v>5</v>
      </c>
      <c r="AX104" s="3">
        <v>5</v>
      </c>
      <c r="AY104" s="3">
        <v>5</v>
      </c>
      <c r="AZ104" s="3">
        <v>5</v>
      </c>
      <c r="BA104" s="3">
        <v>5</v>
      </c>
      <c r="BB104" s="3">
        <v>5</v>
      </c>
      <c r="BC104" s="3">
        <v>5</v>
      </c>
      <c r="BD104" s="3">
        <v>5</v>
      </c>
      <c r="BE104" s="3">
        <v>5</v>
      </c>
      <c r="BF104" s="3">
        <v>5</v>
      </c>
      <c r="BG104" s="3">
        <v>5</v>
      </c>
      <c r="BH104" s="3">
        <v>5</v>
      </c>
      <c r="BI104" s="3">
        <v>5</v>
      </c>
      <c r="BJ104" s="3">
        <v>5</v>
      </c>
      <c r="BK104" s="3">
        <v>5</v>
      </c>
      <c r="BL104" s="3">
        <v>5</v>
      </c>
      <c r="BM104" s="3">
        <v>5</v>
      </c>
      <c r="BN104" s="3">
        <v>5</v>
      </c>
      <c r="BO104" s="3">
        <v>5</v>
      </c>
      <c r="BP104" s="3" t="s">
        <v>345</v>
      </c>
    </row>
    <row r="105" spans="1:68" ht="22.5" customHeight="1" x14ac:dyDescent="0.25">
      <c r="A105" s="2">
        <v>45972.457084768517</v>
      </c>
      <c r="B105" s="3" t="s">
        <v>346</v>
      </c>
      <c r="C105" s="3" t="s">
        <v>69</v>
      </c>
      <c r="D105" s="3" t="s">
        <v>347</v>
      </c>
      <c r="E105" s="3" t="s">
        <v>77</v>
      </c>
      <c r="F105" s="3" t="s">
        <v>88</v>
      </c>
      <c r="G105" s="3" t="s">
        <v>79</v>
      </c>
      <c r="H105" s="3">
        <v>5</v>
      </c>
      <c r="I105" s="3">
        <v>5</v>
      </c>
      <c r="J105" s="3">
        <v>5</v>
      </c>
      <c r="K105" s="3">
        <v>3</v>
      </c>
      <c r="L105" s="3">
        <v>5</v>
      </c>
      <c r="M105" s="3">
        <v>3</v>
      </c>
      <c r="N105" s="3">
        <v>3</v>
      </c>
      <c r="O105" s="3">
        <v>4</v>
      </c>
      <c r="P105" s="3">
        <v>5</v>
      </c>
      <c r="Q105" s="3">
        <v>5</v>
      </c>
      <c r="R105" s="3">
        <v>5</v>
      </c>
      <c r="S105" s="3">
        <v>5</v>
      </c>
      <c r="T105" s="3">
        <v>5</v>
      </c>
      <c r="U105" s="3">
        <v>5</v>
      </c>
      <c r="V105" s="3">
        <v>3</v>
      </c>
      <c r="W105" s="3">
        <v>3</v>
      </c>
      <c r="X105" s="3">
        <v>3</v>
      </c>
      <c r="Y105" s="3">
        <v>3</v>
      </c>
      <c r="Z105" s="3">
        <v>3</v>
      </c>
      <c r="AA105" s="3">
        <v>3</v>
      </c>
      <c r="AB105" s="3">
        <v>3</v>
      </c>
      <c r="AC105" s="3">
        <v>3</v>
      </c>
      <c r="AD105" s="3">
        <v>3</v>
      </c>
      <c r="AE105" s="3">
        <v>3</v>
      </c>
      <c r="AF105" s="3">
        <v>3</v>
      </c>
      <c r="AG105" s="3">
        <v>3</v>
      </c>
      <c r="AH105" s="3">
        <v>3</v>
      </c>
      <c r="AI105" s="3">
        <v>3</v>
      </c>
      <c r="AJ105" s="3">
        <v>3</v>
      </c>
      <c r="AK105" s="3">
        <v>3</v>
      </c>
      <c r="AL105" s="3">
        <v>3</v>
      </c>
      <c r="AM105" s="3">
        <v>3</v>
      </c>
      <c r="AN105" s="3">
        <v>3</v>
      </c>
      <c r="AO105" s="3">
        <v>3</v>
      </c>
      <c r="AP105" s="3">
        <v>3</v>
      </c>
      <c r="AQ105" s="3">
        <v>3</v>
      </c>
      <c r="AR105" s="3">
        <v>3</v>
      </c>
      <c r="AS105" s="3">
        <v>3</v>
      </c>
      <c r="AT105" s="3">
        <v>3</v>
      </c>
      <c r="AU105" s="3">
        <v>3</v>
      </c>
      <c r="AV105" s="3">
        <v>3</v>
      </c>
      <c r="AW105" s="3">
        <v>4</v>
      </c>
      <c r="AX105" s="3">
        <v>4</v>
      </c>
      <c r="AY105" s="3">
        <v>4</v>
      </c>
      <c r="AZ105" s="3">
        <v>4</v>
      </c>
      <c r="BA105" s="3">
        <v>3</v>
      </c>
      <c r="BB105" s="3">
        <v>3</v>
      </c>
      <c r="BC105" s="3">
        <v>3</v>
      </c>
      <c r="BD105" s="3">
        <v>3</v>
      </c>
      <c r="BE105" s="3">
        <v>3</v>
      </c>
      <c r="BF105" s="3">
        <v>3</v>
      </c>
      <c r="BG105" s="3">
        <v>4</v>
      </c>
      <c r="BH105" s="3">
        <v>4</v>
      </c>
      <c r="BI105" s="3">
        <v>4</v>
      </c>
      <c r="BJ105" s="3">
        <v>4</v>
      </c>
      <c r="BK105" s="3">
        <v>4</v>
      </c>
      <c r="BL105" s="3">
        <v>4</v>
      </c>
      <c r="BM105" s="3">
        <v>4</v>
      </c>
      <c r="BN105" s="3">
        <v>4</v>
      </c>
      <c r="BO105" s="3">
        <v>4</v>
      </c>
      <c r="BP105" s="3" t="s">
        <v>348</v>
      </c>
    </row>
    <row r="106" spans="1:68" ht="22.5" customHeight="1" x14ac:dyDescent="0.25">
      <c r="A106" s="2">
        <v>45972.459069884258</v>
      </c>
      <c r="B106" s="3" t="s">
        <v>349</v>
      </c>
      <c r="C106" s="3" t="s">
        <v>86</v>
      </c>
      <c r="D106" s="3" t="s">
        <v>350</v>
      </c>
      <c r="E106" s="3" t="s">
        <v>87</v>
      </c>
      <c r="F106" s="3" t="s">
        <v>103</v>
      </c>
      <c r="G106" s="3" t="s">
        <v>73</v>
      </c>
      <c r="H106" s="3">
        <v>4</v>
      </c>
      <c r="I106" s="3">
        <v>4</v>
      </c>
      <c r="J106" s="3">
        <v>4</v>
      </c>
      <c r="K106" s="3">
        <v>3</v>
      </c>
      <c r="L106" s="3">
        <v>4</v>
      </c>
      <c r="M106" s="3">
        <v>3</v>
      </c>
      <c r="N106" s="3">
        <v>3</v>
      </c>
      <c r="O106" s="3">
        <v>4</v>
      </c>
      <c r="P106" s="3">
        <v>4</v>
      </c>
      <c r="Q106" s="3">
        <v>4</v>
      </c>
      <c r="R106" s="3">
        <v>4</v>
      </c>
      <c r="S106" s="3">
        <v>4</v>
      </c>
      <c r="T106" s="3">
        <v>4</v>
      </c>
      <c r="U106" s="3">
        <v>4</v>
      </c>
      <c r="V106" s="3">
        <v>4</v>
      </c>
      <c r="W106" s="3">
        <v>4</v>
      </c>
      <c r="X106" s="3">
        <v>3</v>
      </c>
      <c r="Y106" s="3">
        <v>3</v>
      </c>
      <c r="Z106" s="3">
        <v>4</v>
      </c>
      <c r="AA106" s="3">
        <v>4</v>
      </c>
      <c r="AB106" s="3">
        <v>4</v>
      </c>
      <c r="AC106" s="3">
        <v>3</v>
      </c>
      <c r="AD106" s="3">
        <v>3</v>
      </c>
      <c r="AE106" s="3">
        <v>3</v>
      </c>
      <c r="AF106" s="3">
        <v>4</v>
      </c>
      <c r="AG106" s="3">
        <v>4</v>
      </c>
      <c r="AH106" s="3">
        <v>3</v>
      </c>
      <c r="AI106" s="3">
        <v>3</v>
      </c>
      <c r="AJ106" s="3">
        <v>3</v>
      </c>
      <c r="AK106" s="3">
        <v>3</v>
      </c>
      <c r="AL106" s="3">
        <v>3</v>
      </c>
      <c r="AM106" s="3">
        <v>3</v>
      </c>
      <c r="AN106" s="3">
        <v>3</v>
      </c>
      <c r="AO106" s="3">
        <v>3</v>
      </c>
      <c r="AP106" s="3">
        <v>3</v>
      </c>
      <c r="AQ106" s="3">
        <v>3</v>
      </c>
      <c r="AR106" s="3">
        <v>3</v>
      </c>
      <c r="AS106" s="3">
        <v>3</v>
      </c>
      <c r="AT106" s="3">
        <v>3</v>
      </c>
      <c r="AU106" s="3">
        <v>4</v>
      </c>
      <c r="AV106" s="3">
        <v>4</v>
      </c>
      <c r="AW106" s="3">
        <v>4</v>
      </c>
      <c r="AX106" s="3">
        <v>4</v>
      </c>
      <c r="AY106" s="3">
        <v>4</v>
      </c>
      <c r="AZ106" s="3">
        <v>4</v>
      </c>
      <c r="BA106" s="3">
        <v>3</v>
      </c>
      <c r="BB106" s="3">
        <v>3</v>
      </c>
      <c r="BC106" s="3">
        <v>4</v>
      </c>
      <c r="BD106" s="3">
        <v>4</v>
      </c>
      <c r="BE106" s="3">
        <v>3</v>
      </c>
      <c r="BF106" s="3">
        <v>3</v>
      </c>
      <c r="BG106" s="3">
        <v>4</v>
      </c>
      <c r="BH106" s="3">
        <v>4</v>
      </c>
      <c r="BI106" s="3">
        <v>4</v>
      </c>
      <c r="BJ106" s="3">
        <v>4</v>
      </c>
      <c r="BK106" s="3">
        <v>4</v>
      </c>
      <c r="BL106" s="3">
        <v>4</v>
      </c>
      <c r="BM106" s="3">
        <v>4</v>
      </c>
      <c r="BN106" s="3">
        <v>4</v>
      </c>
      <c r="BO106" s="3">
        <v>4</v>
      </c>
      <c r="BP106" s="3" t="s">
        <v>351</v>
      </c>
    </row>
    <row r="107" spans="1:68" ht="22.5" customHeight="1" x14ac:dyDescent="0.25">
      <c r="A107" s="2">
        <v>45972.46821608796</v>
      </c>
      <c r="B107" s="3" t="s">
        <v>352</v>
      </c>
      <c r="C107" s="3" t="s">
        <v>69</v>
      </c>
      <c r="D107" s="3" t="s">
        <v>344</v>
      </c>
      <c r="E107" s="3" t="s">
        <v>77</v>
      </c>
      <c r="F107" s="3" t="s">
        <v>88</v>
      </c>
      <c r="G107" s="3" t="s">
        <v>79</v>
      </c>
      <c r="H107" s="3">
        <v>5</v>
      </c>
      <c r="I107" s="3">
        <v>5</v>
      </c>
      <c r="J107" s="3">
        <v>5</v>
      </c>
      <c r="K107" s="3">
        <v>5</v>
      </c>
      <c r="L107" s="3">
        <v>5</v>
      </c>
      <c r="M107" s="3">
        <v>5</v>
      </c>
      <c r="N107" s="3">
        <v>5</v>
      </c>
      <c r="O107" s="3">
        <v>5</v>
      </c>
      <c r="P107" s="3">
        <v>5</v>
      </c>
      <c r="Q107" s="3">
        <v>5</v>
      </c>
      <c r="R107" s="3">
        <v>4</v>
      </c>
      <c r="S107" s="3">
        <v>5</v>
      </c>
      <c r="T107" s="3">
        <v>5</v>
      </c>
      <c r="U107" s="3">
        <v>5</v>
      </c>
      <c r="V107" s="3">
        <v>5</v>
      </c>
      <c r="W107" s="3">
        <v>4</v>
      </c>
      <c r="X107" s="3">
        <v>4</v>
      </c>
      <c r="Y107" s="3">
        <v>4</v>
      </c>
      <c r="Z107" s="3">
        <v>4</v>
      </c>
      <c r="AA107" s="3">
        <v>4</v>
      </c>
      <c r="AB107" s="3">
        <v>4</v>
      </c>
      <c r="AC107" s="3">
        <v>5</v>
      </c>
      <c r="AD107" s="3">
        <v>5</v>
      </c>
      <c r="AE107" s="3">
        <v>4</v>
      </c>
      <c r="AF107" s="3">
        <v>4</v>
      </c>
      <c r="AG107" s="3">
        <v>4</v>
      </c>
      <c r="AH107" s="3">
        <v>3</v>
      </c>
      <c r="AI107" s="3">
        <v>4</v>
      </c>
      <c r="AJ107" s="3">
        <v>5</v>
      </c>
      <c r="AK107" s="3">
        <v>5</v>
      </c>
      <c r="AL107" s="3">
        <v>5</v>
      </c>
      <c r="AM107" s="3">
        <v>4</v>
      </c>
      <c r="AN107" s="3">
        <v>3</v>
      </c>
      <c r="AO107" s="3">
        <v>3</v>
      </c>
      <c r="AP107" s="3">
        <v>4</v>
      </c>
      <c r="AQ107" s="3">
        <v>2</v>
      </c>
      <c r="AR107" s="3">
        <v>3</v>
      </c>
      <c r="AS107" s="3">
        <v>2</v>
      </c>
      <c r="AT107" s="3">
        <v>3</v>
      </c>
      <c r="AU107" s="3">
        <v>3</v>
      </c>
      <c r="AV107" s="3">
        <v>3</v>
      </c>
      <c r="AW107" s="3">
        <v>4</v>
      </c>
      <c r="AX107" s="3">
        <v>4</v>
      </c>
      <c r="AY107" s="3">
        <v>4</v>
      </c>
      <c r="AZ107" s="3">
        <v>4</v>
      </c>
      <c r="BA107" s="3">
        <v>4</v>
      </c>
      <c r="BB107" s="3">
        <v>4</v>
      </c>
      <c r="BC107" s="3">
        <v>4</v>
      </c>
      <c r="BD107" s="3">
        <v>4</v>
      </c>
      <c r="BE107" s="3">
        <v>3</v>
      </c>
      <c r="BF107" s="3">
        <v>4</v>
      </c>
      <c r="BG107" s="3">
        <v>4</v>
      </c>
      <c r="BH107" s="3">
        <v>4</v>
      </c>
      <c r="BI107" s="3">
        <v>5</v>
      </c>
      <c r="BJ107" s="3">
        <v>3</v>
      </c>
      <c r="BK107" s="3">
        <v>4</v>
      </c>
      <c r="BL107" s="3">
        <v>5</v>
      </c>
      <c r="BM107" s="3">
        <v>4</v>
      </c>
      <c r="BN107" s="3">
        <v>5</v>
      </c>
      <c r="BO107" s="3">
        <v>4</v>
      </c>
      <c r="BP107" s="3" t="s">
        <v>353</v>
      </c>
    </row>
    <row r="108" spans="1:68" ht="22.5" customHeight="1" x14ac:dyDescent="0.25">
      <c r="A108" s="2">
        <v>45972.48413809028</v>
      </c>
      <c r="B108" s="3" t="s">
        <v>354</v>
      </c>
      <c r="C108" s="3" t="s">
        <v>69</v>
      </c>
      <c r="D108" s="3" t="s">
        <v>185</v>
      </c>
      <c r="E108" s="3" t="s">
        <v>71</v>
      </c>
      <c r="F108" s="3" t="s">
        <v>82</v>
      </c>
      <c r="G108" s="3" t="s">
        <v>83</v>
      </c>
      <c r="H108" s="3">
        <v>5</v>
      </c>
      <c r="I108" s="3">
        <v>5</v>
      </c>
      <c r="J108" s="3">
        <v>5</v>
      </c>
      <c r="K108" s="3">
        <v>4</v>
      </c>
      <c r="L108" s="3">
        <v>4</v>
      </c>
      <c r="M108" s="3">
        <v>3</v>
      </c>
      <c r="N108" s="3">
        <v>3</v>
      </c>
      <c r="O108" s="3">
        <v>5</v>
      </c>
      <c r="P108" s="3">
        <v>4</v>
      </c>
      <c r="Q108" s="3">
        <v>4</v>
      </c>
      <c r="R108" s="3">
        <v>3</v>
      </c>
      <c r="S108" s="3">
        <v>4</v>
      </c>
      <c r="T108" s="3">
        <v>4</v>
      </c>
      <c r="U108" s="3">
        <v>4</v>
      </c>
      <c r="V108" s="3">
        <v>5</v>
      </c>
      <c r="W108" s="3">
        <v>4</v>
      </c>
      <c r="X108" s="3">
        <v>4</v>
      </c>
      <c r="Y108" s="3">
        <v>4</v>
      </c>
      <c r="Z108" s="3">
        <v>4</v>
      </c>
      <c r="AA108" s="3">
        <v>4</v>
      </c>
      <c r="AB108" s="3">
        <v>4</v>
      </c>
      <c r="AC108" s="3">
        <v>4</v>
      </c>
      <c r="AD108" s="3">
        <v>4</v>
      </c>
      <c r="AE108" s="3">
        <v>5</v>
      </c>
      <c r="AF108" s="3">
        <v>5</v>
      </c>
      <c r="AG108" s="3">
        <v>5</v>
      </c>
      <c r="AH108" s="3">
        <v>4</v>
      </c>
      <c r="AI108" s="3">
        <v>4</v>
      </c>
      <c r="AJ108" s="3">
        <v>4</v>
      </c>
      <c r="AK108" s="3">
        <v>4</v>
      </c>
      <c r="AL108" s="3">
        <v>3</v>
      </c>
      <c r="AM108" s="3">
        <v>3</v>
      </c>
      <c r="AN108" s="3">
        <v>3</v>
      </c>
      <c r="AO108" s="3">
        <v>3</v>
      </c>
      <c r="AP108" s="3">
        <v>3</v>
      </c>
      <c r="AQ108" s="3">
        <v>3</v>
      </c>
      <c r="AR108" s="3">
        <v>3</v>
      </c>
      <c r="AS108" s="3">
        <v>3</v>
      </c>
      <c r="AT108" s="3">
        <v>3</v>
      </c>
      <c r="AU108" s="3">
        <v>3</v>
      </c>
      <c r="AV108" s="3">
        <v>3</v>
      </c>
      <c r="AW108" s="3">
        <v>4</v>
      </c>
      <c r="AX108" s="3">
        <v>2</v>
      </c>
      <c r="AY108" s="3">
        <v>3</v>
      </c>
      <c r="AZ108" s="3">
        <v>4</v>
      </c>
      <c r="BA108" s="3">
        <v>4</v>
      </c>
      <c r="BB108" s="3">
        <v>4</v>
      </c>
      <c r="BC108" s="3">
        <v>2</v>
      </c>
      <c r="BD108" s="3">
        <v>2</v>
      </c>
      <c r="BE108" s="3">
        <v>2</v>
      </c>
      <c r="BF108" s="3">
        <v>2</v>
      </c>
      <c r="BG108" s="3">
        <v>4</v>
      </c>
      <c r="BH108" s="3">
        <v>4</v>
      </c>
      <c r="BI108" s="3">
        <v>4</v>
      </c>
      <c r="BJ108" s="3">
        <v>4</v>
      </c>
      <c r="BK108" s="3">
        <v>4</v>
      </c>
      <c r="BL108" s="3">
        <v>4</v>
      </c>
      <c r="BM108" s="3">
        <v>2</v>
      </c>
      <c r="BN108" s="3">
        <v>4</v>
      </c>
      <c r="BO108" s="3">
        <v>4</v>
      </c>
      <c r="BP108" s="3" t="s">
        <v>355</v>
      </c>
    </row>
    <row r="109" spans="1:68" ht="22.5" customHeight="1" x14ac:dyDescent="0.25">
      <c r="A109" s="2">
        <v>45972.486523055559</v>
      </c>
      <c r="B109" s="3" t="s">
        <v>356</v>
      </c>
      <c r="C109" s="3" t="s">
        <v>86</v>
      </c>
      <c r="D109" s="3" t="s">
        <v>344</v>
      </c>
      <c r="E109" s="3" t="s">
        <v>77</v>
      </c>
      <c r="F109" s="3" t="s">
        <v>78</v>
      </c>
      <c r="G109" s="3" t="s">
        <v>79</v>
      </c>
      <c r="H109" s="3">
        <v>4</v>
      </c>
      <c r="I109" s="3">
        <v>4</v>
      </c>
      <c r="J109" s="3">
        <v>3</v>
      </c>
      <c r="K109" s="3">
        <v>3</v>
      </c>
      <c r="L109" s="3">
        <v>4</v>
      </c>
      <c r="M109" s="3">
        <v>4</v>
      </c>
      <c r="N109" s="3">
        <v>4</v>
      </c>
      <c r="O109" s="3">
        <v>5</v>
      </c>
      <c r="P109" s="3">
        <v>4</v>
      </c>
      <c r="Q109" s="3">
        <v>3</v>
      </c>
      <c r="R109" s="3">
        <v>3</v>
      </c>
      <c r="S109" s="3">
        <v>3</v>
      </c>
      <c r="T109" s="3">
        <v>3</v>
      </c>
      <c r="U109" s="3">
        <v>3</v>
      </c>
      <c r="V109" s="3">
        <v>4</v>
      </c>
      <c r="W109" s="3">
        <v>4</v>
      </c>
      <c r="X109" s="3">
        <v>4</v>
      </c>
      <c r="Y109" s="3">
        <v>4</v>
      </c>
      <c r="Z109" s="3">
        <v>2</v>
      </c>
      <c r="AA109" s="3">
        <v>3</v>
      </c>
      <c r="AB109" s="3">
        <v>3</v>
      </c>
      <c r="AC109" s="3">
        <v>3</v>
      </c>
      <c r="AD109" s="3">
        <v>3</v>
      </c>
      <c r="AE109" s="3">
        <v>4</v>
      </c>
      <c r="AF109" s="3">
        <v>4</v>
      </c>
      <c r="AG109" s="3">
        <v>4</v>
      </c>
      <c r="AH109" s="3">
        <v>4</v>
      </c>
      <c r="AI109" s="3">
        <v>4</v>
      </c>
      <c r="AJ109" s="3">
        <v>4</v>
      </c>
      <c r="AK109" s="3">
        <v>4</v>
      </c>
      <c r="AL109" s="3">
        <v>5</v>
      </c>
      <c r="AM109" s="3">
        <v>4</v>
      </c>
      <c r="AN109" s="3">
        <v>3</v>
      </c>
      <c r="AO109" s="3">
        <v>3</v>
      </c>
      <c r="AP109" s="3">
        <v>4</v>
      </c>
      <c r="AQ109" s="3">
        <v>4</v>
      </c>
      <c r="AR109" s="3">
        <v>4</v>
      </c>
      <c r="AS109" s="3">
        <v>3</v>
      </c>
      <c r="AT109" s="3">
        <v>3</v>
      </c>
      <c r="AU109" s="3">
        <v>3</v>
      </c>
      <c r="AV109" s="3">
        <v>3</v>
      </c>
      <c r="AW109" s="3">
        <v>4</v>
      </c>
      <c r="AX109" s="3">
        <v>4</v>
      </c>
      <c r="AY109" s="3">
        <v>4</v>
      </c>
      <c r="AZ109" s="3">
        <v>4</v>
      </c>
      <c r="BA109" s="3">
        <v>4</v>
      </c>
      <c r="BB109" s="3">
        <v>2</v>
      </c>
      <c r="BC109" s="3">
        <v>3</v>
      </c>
      <c r="BD109" s="3">
        <v>3</v>
      </c>
      <c r="BE109" s="3">
        <v>2</v>
      </c>
      <c r="BF109" s="3">
        <v>2</v>
      </c>
      <c r="BG109" s="3">
        <v>4</v>
      </c>
      <c r="BH109" s="3">
        <v>4</v>
      </c>
      <c r="BI109" s="3">
        <v>4</v>
      </c>
      <c r="BJ109" s="3">
        <v>4</v>
      </c>
      <c r="BK109" s="3">
        <v>4</v>
      </c>
      <c r="BL109" s="3">
        <v>4</v>
      </c>
      <c r="BM109" s="3">
        <v>4</v>
      </c>
      <c r="BN109" s="3">
        <v>3</v>
      </c>
      <c r="BO109" s="3">
        <v>4</v>
      </c>
      <c r="BP109" s="3" t="s">
        <v>357</v>
      </c>
    </row>
    <row r="110" spans="1:68" ht="22.5" customHeight="1" x14ac:dyDescent="0.25">
      <c r="A110" s="2">
        <v>45973.458450590275</v>
      </c>
      <c r="B110" s="3" t="s">
        <v>358</v>
      </c>
      <c r="C110" s="3" t="s">
        <v>69</v>
      </c>
      <c r="D110" s="3" t="s">
        <v>359</v>
      </c>
      <c r="E110" s="3" t="s">
        <v>77</v>
      </c>
      <c r="F110" s="3" t="s">
        <v>103</v>
      </c>
      <c r="G110" s="3" t="s">
        <v>91</v>
      </c>
      <c r="H110" s="3">
        <v>2</v>
      </c>
      <c r="I110" s="3">
        <v>3</v>
      </c>
      <c r="J110" s="3">
        <v>5</v>
      </c>
      <c r="K110" s="3">
        <v>5</v>
      </c>
      <c r="L110" s="3">
        <v>5</v>
      </c>
      <c r="M110" s="3">
        <v>2</v>
      </c>
      <c r="N110" s="3">
        <v>5</v>
      </c>
      <c r="O110" s="3">
        <v>5</v>
      </c>
      <c r="P110" s="3">
        <v>5</v>
      </c>
      <c r="Q110" s="3">
        <v>5</v>
      </c>
      <c r="R110" s="3">
        <v>5</v>
      </c>
      <c r="S110" s="3">
        <v>5</v>
      </c>
      <c r="T110" s="3">
        <v>5</v>
      </c>
      <c r="U110" s="3">
        <v>5</v>
      </c>
      <c r="V110" s="3">
        <v>2</v>
      </c>
      <c r="W110" s="3">
        <v>2</v>
      </c>
      <c r="X110" s="3">
        <v>5</v>
      </c>
      <c r="Y110" s="3">
        <v>2</v>
      </c>
      <c r="Z110" s="3">
        <v>5</v>
      </c>
      <c r="AA110" s="3">
        <v>5</v>
      </c>
      <c r="AB110" s="3">
        <v>5</v>
      </c>
      <c r="AC110" s="3">
        <v>3</v>
      </c>
      <c r="AD110" s="3">
        <v>3</v>
      </c>
      <c r="AE110" s="3">
        <v>5</v>
      </c>
      <c r="AF110" s="3">
        <v>5</v>
      </c>
      <c r="AG110" s="3">
        <v>5</v>
      </c>
      <c r="AH110" s="3">
        <v>5</v>
      </c>
      <c r="AI110" s="3">
        <v>3</v>
      </c>
      <c r="AJ110" s="3">
        <v>3</v>
      </c>
      <c r="AK110" s="3">
        <v>3</v>
      </c>
      <c r="AL110" s="3">
        <v>3</v>
      </c>
      <c r="AM110" s="3">
        <v>3</v>
      </c>
      <c r="AN110" s="3">
        <v>5</v>
      </c>
      <c r="AO110" s="3">
        <v>5</v>
      </c>
      <c r="AP110" s="3">
        <v>5</v>
      </c>
      <c r="AQ110" s="3">
        <v>2</v>
      </c>
      <c r="AR110" s="3">
        <v>2</v>
      </c>
      <c r="AS110" s="3">
        <v>2</v>
      </c>
      <c r="AT110" s="3">
        <v>5</v>
      </c>
      <c r="AU110" s="3">
        <v>5</v>
      </c>
      <c r="AV110" s="3">
        <v>5</v>
      </c>
      <c r="AW110" s="3">
        <v>3</v>
      </c>
      <c r="AX110" s="3">
        <v>5</v>
      </c>
      <c r="AY110" s="3">
        <v>5</v>
      </c>
      <c r="AZ110" s="3">
        <v>5</v>
      </c>
      <c r="BA110" s="3">
        <v>5</v>
      </c>
      <c r="BB110" s="3">
        <v>2</v>
      </c>
      <c r="BC110" s="3">
        <v>2</v>
      </c>
      <c r="BD110" s="3">
        <v>5</v>
      </c>
      <c r="BE110" s="3">
        <v>2</v>
      </c>
      <c r="BF110" s="3">
        <v>2</v>
      </c>
      <c r="BG110" s="3">
        <v>5</v>
      </c>
      <c r="BH110" s="3">
        <v>5</v>
      </c>
      <c r="BI110" s="3">
        <v>5</v>
      </c>
      <c r="BJ110" s="3">
        <v>5</v>
      </c>
      <c r="BK110" s="3">
        <v>5</v>
      </c>
      <c r="BL110" s="3">
        <v>5</v>
      </c>
      <c r="BM110" s="3">
        <v>5</v>
      </c>
      <c r="BN110" s="3">
        <v>5</v>
      </c>
      <c r="BO110" s="3">
        <v>5</v>
      </c>
      <c r="BP110" s="3" t="s">
        <v>360</v>
      </c>
    </row>
    <row r="111" spans="1:68" ht="22.5" customHeight="1" x14ac:dyDescent="0.25">
      <c r="A111" s="2">
        <v>45973.472303750001</v>
      </c>
      <c r="C111" s="3" t="s">
        <v>86</v>
      </c>
      <c r="D111" s="3" t="s">
        <v>361</v>
      </c>
      <c r="E111" s="3" t="s">
        <v>77</v>
      </c>
      <c r="F111" s="3" t="s">
        <v>78</v>
      </c>
      <c r="G111" s="3" t="s">
        <v>79</v>
      </c>
      <c r="H111" s="3">
        <v>3</v>
      </c>
      <c r="I111" s="3">
        <v>4</v>
      </c>
      <c r="J111" s="3">
        <v>3</v>
      </c>
      <c r="K111" s="3">
        <v>4</v>
      </c>
      <c r="L111" s="3">
        <v>4</v>
      </c>
      <c r="M111" s="3">
        <v>4</v>
      </c>
      <c r="N111" s="3">
        <v>3</v>
      </c>
      <c r="O111" s="3">
        <v>4</v>
      </c>
      <c r="P111" s="3">
        <v>3</v>
      </c>
      <c r="Q111" s="3">
        <v>4</v>
      </c>
      <c r="R111" s="3">
        <v>4</v>
      </c>
      <c r="S111" s="3">
        <v>4</v>
      </c>
      <c r="T111" s="3">
        <v>4</v>
      </c>
      <c r="U111" s="3">
        <v>4</v>
      </c>
      <c r="V111" s="3">
        <v>3</v>
      </c>
      <c r="W111" s="3">
        <v>3</v>
      </c>
      <c r="X111" s="3">
        <v>3</v>
      </c>
      <c r="Y111" s="3">
        <v>3</v>
      </c>
      <c r="Z111" s="3">
        <v>3</v>
      </c>
      <c r="AA111" s="3">
        <v>4</v>
      </c>
      <c r="AB111" s="3">
        <v>4</v>
      </c>
      <c r="AC111" s="3">
        <v>4</v>
      </c>
      <c r="AD111" s="3">
        <v>4</v>
      </c>
      <c r="AE111" s="3">
        <v>3</v>
      </c>
      <c r="AF111" s="3">
        <v>3</v>
      </c>
      <c r="AG111" s="3">
        <v>3</v>
      </c>
      <c r="AH111" s="3">
        <v>3</v>
      </c>
      <c r="AI111" s="3">
        <v>5</v>
      </c>
      <c r="AJ111" s="3">
        <v>5</v>
      </c>
      <c r="AK111" s="3">
        <v>5</v>
      </c>
      <c r="AL111" s="3">
        <v>5</v>
      </c>
      <c r="AM111" s="3">
        <v>5</v>
      </c>
      <c r="AN111" s="3">
        <v>5</v>
      </c>
      <c r="AO111" s="3">
        <v>5</v>
      </c>
      <c r="AP111" s="3">
        <v>5</v>
      </c>
      <c r="AQ111" s="3">
        <v>5</v>
      </c>
      <c r="AR111" s="3">
        <v>5</v>
      </c>
      <c r="AS111" s="3">
        <v>5</v>
      </c>
      <c r="AT111" s="3">
        <v>5</v>
      </c>
      <c r="AU111" s="3">
        <v>5</v>
      </c>
      <c r="AV111" s="3">
        <v>5</v>
      </c>
      <c r="AW111" s="3">
        <v>4</v>
      </c>
      <c r="AX111" s="3">
        <v>4</v>
      </c>
      <c r="AY111" s="3">
        <v>4</v>
      </c>
      <c r="AZ111" s="3">
        <v>4</v>
      </c>
      <c r="BA111" s="3">
        <v>4</v>
      </c>
      <c r="BB111" s="3">
        <v>4</v>
      </c>
      <c r="BC111" s="3">
        <v>4</v>
      </c>
      <c r="BD111" s="3">
        <v>4</v>
      </c>
      <c r="BE111" s="3">
        <v>4</v>
      </c>
      <c r="BF111" s="3">
        <v>4</v>
      </c>
      <c r="BG111" s="3">
        <v>4</v>
      </c>
      <c r="BH111" s="3">
        <v>4</v>
      </c>
      <c r="BI111" s="3">
        <v>4</v>
      </c>
      <c r="BJ111" s="3">
        <v>4</v>
      </c>
      <c r="BK111" s="3">
        <v>4</v>
      </c>
      <c r="BL111" s="3">
        <v>4</v>
      </c>
      <c r="BM111" s="3">
        <v>4</v>
      </c>
      <c r="BN111" s="3">
        <v>4</v>
      </c>
      <c r="BO111" s="3">
        <v>4</v>
      </c>
      <c r="BP111" s="3" t="s">
        <v>362</v>
      </c>
    </row>
    <row r="112" spans="1:68" ht="22.5" customHeight="1" x14ac:dyDescent="0.25">
      <c r="A112" s="2">
        <v>45973.472853518513</v>
      </c>
      <c r="C112" s="3" t="s">
        <v>69</v>
      </c>
      <c r="D112" s="3" t="s">
        <v>363</v>
      </c>
      <c r="E112" s="3" t="s">
        <v>119</v>
      </c>
      <c r="F112" s="3" t="s">
        <v>88</v>
      </c>
      <c r="G112" s="3" t="s">
        <v>83</v>
      </c>
      <c r="H112" s="3">
        <v>5</v>
      </c>
      <c r="I112" s="3">
        <v>5</v>
      </c>
      <c r="J112" s="3">
        <v>5</v>
      </c>
      <c r="K112" s="3">
        <v>4</v>
      </c>
      <c r="L112" s="3">
        <v>5</v>
      </c>
      <c r="M112" s="3">
        <v>4</v>
      </c>
      <c r="N112" s="3">
        <v>4</v>
      </c>
      <c r="O112" s="3">
        <v>5</v>
      </c>
      <c r="P112" s="3">
        <v>5</v>
      </c>
      <c r="Q112" s="3">
        <v>5</v>
      </c>
      <c r="R112" s="3">
        <v>5</v>
      </c>
      <c r="S112" s="3">
        <v>5</v>
      </c>
      <c r="T112" s="3">
        <v>5</v>
      </c>
      <c r="U112" s="3">
        <v>5</v>
      </c>
      <c r="V112" s="3">
        <v>5</v>
      </c>
      <c r="W112" s="3">
        <v>4</v>
      </c>
      <c r="X112" s="3">
        <v>4</v>
      </c>
      <c r="Y112" s="3">
        <v>3</v>
      </c>
      <c r="Z112" s="3">
        <v>3</v>
      </c>
      <c r="AA112" s="3">
        <v>5</v>
      </c>
      <c r="AB112" s="3">
        <v>5</v>
      </c>
      <c r="AC112" s="3">
        <v>5</v>
      </c>
      <c r="AD112" s="3">
        <v>5</v>
      </c>
      <c r="AE112" s="3">
        <v>4</v>
      </c>
      <c r="AF112" s="3">
        <v>4</v>
      </c>
      <c r="AG112" s="3">
        <v>4</v>
      </c>
      <c r="AH112" s="3">
        <v>4</v>
      </c>
      <c r="AI112" s="3">
        <v>5</v>
      </c>
      <c r="AJ112" s="3">
        <v>5</v>
      </c>
      <c r="AK112" s="3">
        <v>4</v>
      </c>
      <c r="AL112" s="3">
        <v>4</v>
      </c>
      <c r="AM112" s="3">
        <v>5</v>
      </c>
      <c r="AN112" s="3">
        <v>4</v>
      </c>
      <c r="AO112" s="3">
        <v>5</v>
      </c>
      <c r="AP112" s="3">
        <v>4</v>
      </c>
      <c r="AQ112" s="3">
        <v>5</v>
      </c>
      <c r="AR112" s="3">
        <v>5</v>
      </c>
      <c r="AS112" s="3">
        <v>5</v>
      </c>
      <c r="AT112" s="3">
        <v>5</v>
      </c>
      <c r="AU112" s="3">
        <v>5</v>
      </c>
      <c r="AV112" s="3">
        <v>5</v>
      </c>
      <c r="AW112" s="3">
        <v>5</v>
      </c>
      <c r="AX112" s="3">
        <v>5</v>
      </c>
      <c r="AY112" s="3">
        <v>5</v>
      </c>
      <c r="AZ112" s="3">
        <v>5</v>
      </c>
      <c r="BA112" s="3">
        <v>5</v>
      </c>
      <c r="BB112" s="3">
        <v>5</v>
      </c>
      <c r="BC112" s="3">
        <v>5</v>
      </c>
      <c r="BD112" s="3">
        <v>5</v>
      </c>
      <c r="BE112" s="3">
        <v>4</v>
      </c>
      <c r="BF112" s="3">
        <v>4</v>
      </c>
      <c r="BG112" s="3">
        <v>5</v>
      </c>
      <c r="BH112" s="3">
        <v>5</v>
      </c>
      <c r="BI112" s="3">
        <v>5</v>
      </c>
      <c r="BJ112" s="3">
        <v>5</v>
      </c>
      <c r="BK112" s="3">
        <v>5</v>
      </c>
      <c r="BL112" s="3">
        <v>5</v>
      </c>
      <c r="BM112" s="3">
        <v>5</v>
      </c>
      <c r="BN112" s="3">
        <v>5</v>
      </c>
      <c r="BO112" s="3">
        <v>5</v>
      </c>
      <c r="BP112" s="3" t="s">
        <v>364</v>
      </c>
    </row>
    <row r="113" spans="1:68" ht="22.5" customHeight="1" x14ac:dyDescent="0.25">
      <c r="A113" s="2">
        <v>45973.475432812498</v>
      </c>
      <c r="C113" s="3" t="s">
        <v>86</v>
      </c>
      <c r="D113" s="3" t="s">
        <v>365</v>
      </c>
      <c r="E113" s="3" t="s">
        <v>77</v>
      </c>
      <c r="F113" s="3" t="s">
        <v>78</v>
      </c>
      <c r="G113" s="3" t="s">
        <v>79</v>
      </c>
      <c r="H113" s="3">
        <v>5</v>
      </c>
      <c r="I113" s="3">
        <v>5</v>
      </c>
      <c r="J113" s="3">
        <v>5</v>
      </c>
      <c r="K113" s="3">
        <v>5</v>
      </c>
      <c r="L113" s="3">
        <v>5</v>
      </c>
      <c r="M113" s="3">
        <v>3</v>
      </c>
      <c r="N113" s="3">
        <v>4</v>
      </c>
      <c r="O113" s="3">
        <v>3</v>
      </c>
      <c r="P113" s="3">
        <v>5</v>
      </c>
      <c r="Q113" s="3">
        <v>5</v>
      </c>
      <c r="R113" s="3">
        <v>5</v>
      </c>
      <c r="S113" s="3">
        <v>5</v>
      </c>
      <c r="T113" s="3">
        <v>5</v>
      </c>
      <c r="U113" s="3">
        <v>5</v>
      </c>
      <c r="V113" s="3">
        <v>5</v>
      </c>
      <c r="W113" s="3">
        <v>3</v>
      </c>
      <c r="X113" s="3">
        <v>5</v>
      </c>
      <c r="Y113" s="3">
        <v>4</v>
      </c>
      <c r="Z113" s="3">
        <v>3</v>
      </c>
      <c r="AA113" s="3">
        <v>5</v>
      </c>
      <c r="AB113" s="3">
        <v>3</v>
      </c>
      <c r="AC113" s="3">
        <v>4</v>
      </c>
      <c r="AD113" s="3">
        <v>5</v>
      </c>
      <c r="AE113" s="3">
        <v>5</v>
      </c>
      <c r="AF113" s="3">
        <v>5</v>
      </c>
      <c r="AG113" s="3">
        <v>5</v>
      </c>
      <c r="AH113" s="3">
        <v>5</v>
      </c>
      <c r="AI113" s="3">
        <v>5</v>
      </c>
      <c r="AJ113" s="3">
        <v>5</v>
      </c>
      <c r="AK113" s="3">
        <v>5</v>
      </c>
      <c r="AL113" s="3">
        <v>5</v>
      </c>
      <c r="AM113" s="3">
        <v>5</v>
      </c>
      <c r="AN113" s="3">
        <v>3</v>
      </c>
      <c r="AO113" s="3">
        <v>3</v>
      </c>
      <c r="AP113" s="3">
        <v>5</v>
      </c>
      <c r="AQ113" s="3">
        <v>5</v>
      </c>
      <c r="AR113" s="3">
        <v>5</v>
      </c>
      <c r="AS113" s="3">
        <v>3</v>
      </c>
      <c r="AT113" s="3">
        <v>3</v>
      </c>
      <c r="AU113" s="3">
        <v>3</v>
      </c>
      <c r="AV113" s="3">
        <v>3</v>
      </c>
      <c r="AW113" s="3">
        <v>5</v>
      </c>
      <c r="AX113" s="3">
        <v>5</v>
      </c>
      <c r="AY113" s="3">
        <v>5</v>
      </c>
      <c r="AZ113" s="3">
        <v>5</v>
      </c>
      <c r="BA113" s="3">
        <v>3</v>
      </c>
      <c r="BB113" s="3">
        <v>3</v>
      </c>
      <c r="BC113" s="3">
        <v>4</v>
      </c>
      <c r="BD113" s="3">
        <v>3</v>
      </c>
      <c r="BE113" s="3">
        <v>3</v>
      </c>
      <c r="BF113" s="3">
        <v>3</v>
      </c>
      <c r="BG113" s="3">
        <v>5</v>
      </c>
      <c r="BH113" s="3">
        <v>5</v>
      </c>
      <c r="BI113" s="3">
        <v>5</v>
      </c>
      <c r="BJ113" s="3">
        <v>5</v>
      </c>
      <c r="BK113" s="3">
        <v>3</v>
      </c>
      <c r="BL113" s="3">
        <v>5</v>
      </c>
      <c r="BM113" s="3">
        <v>5</v>
      </c>
      <c r="BN113" s="3">
        <v>5</v>
      </c>
      <c r="BO113" s="3">
        <v>5</v>
      </c>
      <c r="BP113" s="3" t="s">
        <v>366</v>
      </c>
    </row>
    <row r="114" spans="1:68" ht="22.5" customHeight="1" x14ac:dyDescent="0.25">
      <c r="A114" s="2">
        <v>45973.484019386575</v>
      </c>
      <c r="B114" s="3" t="s">
        <v>367</v>
      </c>
      <c r="C114" s="3" t="s">
        <v>69</v>
      </c>
      <c r="D114" s="3" t="s">
        <v>188</v>
      </c>
      <c r="E114" s="3" t="s">
        <v>71</v>
      </c>
      <c r="F114" s="3" t="s">
        <v>82</v>
      </c>
      <c r="G114" s="3" t="s">
        <v>91</v>
      </c>
      <c r="H114" s="3">
        <v>5</v>
      </c>
      <c r="I114" s="3">
        <v>5</v>
      </c>
      <c r="J114" s="3">
        <v>5</v>
      </c>
      <c r="K114" s="3">
        <v>4</v>
      </c>
      <c r="L114" s="3">
        <v>4</v>
      </c>
      <c r="M114" s="3">
        <v>4</v>
      </c>
      <c r="N114" s="3">
        <v>4</v>
      </c>
      <c r="O114" s="3">
        <v>5</v>
      </c>
      <c r="P114" s="3">
        <v>4</v>
      </c>
      <c r="Q114" s="3">
        <v>5</v>
      </c>
      <c r="R114" s="3">
        <v>5</v>
      </c>
      <c r="S114" s="3">
        <v>5</v>
      </c>
      <c r="T114" s="3">
        <v>5</v>
      </c>
      <c r="U114" s="3">
        <v>5</v>
      </c>
      <c r="V114" s="3">
        <v>5</v>
      </c>
      <c r="W114" s="3">
        <v>4</v>
      </c>
      <c r="X114" s="3">
        <v>3</v>
      </c>
      <c r="Y114" s="3">
        <v>3</v>
      </c>
      <c r="Z114" s="3">
        <v>5</v>
      </c>
      <c r="AA114" s="3">
        <v>5</v>
      </c>
      <c r="AB114" s="3">
        <v>4</v>
      </c>
      <c r="AC114" s="3">
        <v>4</v>
      </c>
      <c r="AD114" s="3">
        <v>4</v>
      </c>
      <c r="AE114" s="3">
        <v>3</v>
      </c>
      <c r="AF114" s="3">
        <v>3</v>
      </c>
      <c r="AG114" s="3">
        <v>3</v>
      </c>
      <c r="AH114" s="3">
        <v>3</v>
      </c>
      <c r="AI114" s="3">
        <v>5</v>
      </c>
      <c r="AJ114" s="3">
        <v>5</v>
      </c>
      <c r="AK114" s="3">
        <v>5</v>
      </c>
      <c r="AL114" s="3">
        <v>5</v>
      </c>
      <c r="AM114" s="3">
        <v>5</v>
      </c>
      <c r="AN114" s="3">
        <v>4</v>
      </c>
      <c r="AO114" s="3">
        <v>4</v>
      </c>
      <c r="AP114" s="3">
        <v>4</v>
      </c>
      <c r="AQ114" s="3">
        <v>4</v>
      </c>
      <c r="AR114" s="3">
        <v>4</v>
      </c>
      <c r="AS114" s="3">
        <v>5</v>
      </c>
      <c r="AT114" s="3">
        <v>5</v>
      </c>
      <c r="AU114" s="3">
        <v>5</v>
      </c>
      <c r="AV114" s="3">
        <v>5</v>
      </c>
      <c r="AW114" s="3">
        <v>4</v>
      </c>
      <c r="AX114" s="3">
        <v>5</v>
      </c>
      <c r="AY114" s="3">
        <v>5</v>
      </c>
      <c r="AZ114" s="3">
        <v>5</v>
      </c>
      <c r="BA114" s="3">
        <v>3</v>
      </c>
      <c r="BB114" s="3">
        <v>3</v>
      </c>
      <c r="BC114" s="3">
        <v>3</v>
      </c>
      <c r="BD114" s="3">
        <v>3</v>
      </c>
      <c r="BE114" s="3">
        <v>3</v>
      </c>
      <c r="BF114" s="3">
        <v>3</v>
      </c>
      <c r="BG114" s="3">
        <v>4</v>
      </c>
      <c r="BH114" s="3">
        <v>4</v>
      </c>
      <c r="BI114" s="3">
        <v>4</v>
      </c>
      <c r="BJ114" s="3">
        <v>5</v>
      </c>
      <c r="BK114" s="3">
        <v>4</v>
      </c>
      <c r="BL114" s="3">
        <v>5</v>
      </c>
      <c r="BM114" s="3">
        <v>5</v>
      </c>
      <c r="BN114" s="3">
        <v>5</v>
      </c>
      <c r="BO114" s="3">
        <v>5</v>
      </c>
      <c r="BP114" s="3" t="s">
        <v>368</v>
      </c>
    </row>
    <row r="115" spans="1:68" ht="22.5" customHeight="1" x14ac:dyDescent="0.25">
      <c r="A115" s="2">
        <v>45973.502343483793</v>
      </c>
      <c r="B115" s="3" t="s">
        <v>369</v>
      </c>
      <c r="C115" s="3" t="s">
        <v>69</v>
      </c>
      <c r="D115" s="3" t="s">
        <v>370</v>
      </c>
      <c r="E115" s="3" t="s">
        <v>119</v>
      </c>
      <c r="F115" s="3" t="s">
        <v>82</v>
      </c>
      <c r="G115" s="3" t="s">
        <v>73</v>
      </c>
      <c r="H115" s="3">
        <v>5</v>
      </c>
      <c r="I115" s="3">
        <v>4</v>
      </c>
      <c r="J115" s="3">
        <v>4</v>
      </c>
      <c r="K115" s="3">
        <v>4</v>
      </c>
      <c r="L115" s="3">
        <v>5</v>
      </c>
      <c r="M115" s="3">
        <v>3</v>
      </c>
      <c r="N115" s="3">
        <v>3</v>
      </c>
      <c r="O115" s="3">
        <v>5</v>
      </c>
      <c r="P115" s="3">
        <v>3</v>
      </c>
      <c r="Q115" s="3">
        <v>5</v>
      </c>
      <c r="R115" s="3">
        <v>5</v>
      </c>
      <c r="S115" s="3">
        <v>5</v>
      </c>
      <c r="T115" s="3">
        <v>5</v>
      </c>
      <c r="U115" s="3">
        <v>5</v>
      </c>
      <c r="V115" s="3">
        <v>4</v>
      </c>
      <c r="W115" s="3">
        <v>4</v>
      </c>
      <c r="X115" s="3">
        <v>4</v>
      </c>
      <c r="Y115" s="3">
        <v>5</v>
      </c>
      <c r="Z115" s="3">
        <v>3</v>
      </c>
      <c r="AA115" s="3">
        <v>4</v>
      </c>
      <c r="AB115" s="3">
        <v>3</v>
      </c>
      <c r="AC115" s="3">
        <v>3</v>
      </c>
      <c r="AD115" s="3">
        <v>4</v>
      </c>
      <c r="AE115" s="3">
        <v>5</v>
      </c>
      <c r="AF115" s="3">
        <v>5</v>
      </c>
      <c r="AG115" s="3">
        <v>5</v>
      </c>
      <c r="AH115" s="3">
        <v>3</v>
      </c>
      <c r="AI115" s="3">
        <v>4</v>
      </c>
      <c r="AJ115" s="3">
        <v>5</v>
      </c>
      <c r="AK115" s="3">
        <v>4</v>
      </c>
      <c r="AL115" s="3">
        <v>4</v>
      </c>
      <c r="AM115" s="3">
        <v>4</v>
      </c>
      <c r="AN115" s="3">
        <v>5</v>
      </c>
      <c r="AO115" s="3">
        <v>4</v>
      </c>
      <c r="AP115" s="3">
        <v>4</v>
      </c>
      <c r="AQ115" s="3">
        <v>5</v>
      </c>
      <c r="AR115" s="3">
        <v>5</v>
      </c>
      <c r="AS115" s="3">
        <v>2</v>
      </c>
      <c r="AT115" s="3">
        <v>4</v>
      </c>
      <c r="AU115" s="3">
        <v>4</v>
      </c>
      <c r="AV115" s="3">
        <v>4</v>
      </c>
      <c r="AW115" s="3">
        <v>5</v>
      </c>
      <c r="AX115" s="3">
        <v>5</v>
      </c>
      <c r="AY115" s="3">
        <v>4</v>
      </c>
      <c r="AZ115" s="3">
        <v>5</v>
      </c>
      <c r="BA115" s="3">
        <v>4</v>
      </c>
      <c r="BB115" s="3">
        <v>3</v>
      </c>
      <c r="BC115" s="3">
        <v>4</v>
      </c>
      <c r="BD115" s="3">
        <v>3</v>
      </c>
      <c r="BE115" s="3">
        <v>4</v>
      </c>
      <c r="BF115" s="3">
        <v>3</v>
      </c>
      <c r="BG115" s="3">
        <v>4</v>
      </c>
      <c r="BH115" s="3">
        <v>3</v>
      </c>
      <c r="BI115" s="3">
        <v>3</v>
      </c>
      <c r="BJ115" s="3">
        <v>4</v>
      </c>
      <c r="BK115" s="3">
        <v>4</v>
      </c>
      <c r="BL115" s="3">
        <v>4</v>
      </c>
      <c r="BM115" s="3">
        <v>5</v>
      </c>
      <c r="BN115" s="3">
        <v>4</v>
      </c>
      <c r="BO115" s="3">
        <v>5</v>
      </c>
      <c r="BP115" s="3" t="s">
        <v>371</v>
      </c>
    </row>
    <row r="116" spans="1:68" ht="22.5" customHeight="1" x14ac:dyDescent="0.25">
      <c r="A116" s="2">
        <v>45973.522547569446</v>
      </c>
      <c r="B116" s="3" t="s">
        <v>372</v>
      </c>
      <c r="C116" s="3" t="s">
        <v>69</v>
      </c>
      <c r="D116" s="3" t="s">
        <v>373</v>
      </c>
      <c r="E116" s="3" t="s">
        <v>141</v>
      </c>
      <c r="F116" s="3" t="s">
        <v>72</v>
      </c>
      <c r="G116" s="3" t="s">
        <v>73</v>
      </c>
      <c r="H116" s="3">
        <v>5</v>
      </c>
      <c r="I116" s="3">
        <v>5</v>
      </c>
      <c r="J116" s="3">
        <v>5</v>
      </c>
      <c r="K116" s="3">
        <v>5</v>
      </c>
      <c r="L116" s="3">
        <v>5</v>
      </c>
      <c r="M116" s="3">
        <v>5</v>
      </c>
      <c r="N116" s="3">
        <v>5</v>
      </c>
      <c r="O116" s="3">
        <v>5</v>
      </c>
      <c r="P116" s="3">
        <v>5</v>
      </c>
      <c r="Q116" s="3">
        <v>5</v>
      </c>
      <c r="R116" s="3">
        <v>5</v>
      </c>
      <c r="S116" s="3">
        <v>5</v>
      </c>
      <c r="T116" s="3">
        <v>5</v>
      </c>
      <c r="U116" s="3">
        <v>5</v>
      </c>
      <c r="V116" s="3">
        <v>5</v>
      </c>
      <c r="W116" s="3">
        <v>4</v>
      </c>
      <c r="X116" s="3">
        <v>4</v>
      </c>
      <c r="Y116" s="3">
        <v>4</v>
      </c>
      <c r="Z116" s="3">
        <v>5</v>
      </c>
      <c r="AA116" s="3">
        <v>5</v>
      </c>
      <c r="AB116" s="3">
        <v>5</v>
      </c>
      <c r="AC116" s="3">
        <v>5</v>
      </c>
      <c r="AD116" s="3">
        <v>5</v>
      </c>
      <c r="AE116" s="3">
        <v>5</v>
      </c>
      <c r="AF116" s="3">
        <v>5</v>
      </c>
      <c r="AG116" s="3">
        <v>5</v>
      </c>
      <c r="AH116" s="3">
        <v>4</v>
      </c>
      <c r="AI116" s="3">
        <v>5</v>
      </c>
      <c r="AJ116" s="3">
        <v>5</v>
      </c>
      <c r="AK116" s="3">
        <v>5</v>
      </c>
      <c r="AL116" s="3">
        <v>5</v>
      </c>
      <c r="AM116" s="3">
        <v>5</v>
      </c>
      <c r="AN116" s="3">
        <v>5</v>
      </c>
      <c r="AO116" s="3">
        <v>5</v>
      </c>
      <c r="AP116" s="3">
        <v>5</v>
      </c>
      <c r="AQ116" s="3">
        <v>5</v>
      </c>
      <c r="AR116" s="3">
        <v>5</v>
      </c>
      <c r="AS116" s="3">
        <v>5</v>
      </c>
      <c r="AT116" s="3">
        <v>5</v>
      </c>
      <c r="AU116" s="3">
        <v>5</v>
      </c>
      <c r="AV116" s="3">
        <v>5</v>
      </c>
      <c r="AW116" s="3">
        <v>5</v>
      </c>
      <c r="AX116" s="3">
        <v>5</v>
      </c>
      <c r="AY116" s="3">
        <v>5</v>
      </c>
      <c r="AZ116" s="3">
        <v>5</v>
      </c>
      <c r="BA116" s="3">
        <v>4</v>
      </c>
      <c r="BB116" s="3">
        <v>4</v>
      </c>
      <c r="BC116" s="3">
        <v>5</v>
      </c>
      <c r="BD116" s="3">
        <v>4</v>
      </c>
      <c r="BE116" s="3">
        <v>5</v>
      </c>
      <c r="BF116" s="3">
        <v>4</v>
      </c>
      <c r="BG116" s="3">
        <v>5</v>
      </c>
      <c r="BH116" s="3">
        <v>5</v>
      </c>
      <c r="BI116" s="3">
        <v>5</v>
      </c>
      <c r="BJ116" s="3">
        <v>5</v>
      </c>
      <c r="BK116" s="3">
        <v>4</v>
      </c>
      <c r="BL116" s="3">
        <v>5</v>
      </c>
      <c r="BM116" s="3">
        <v>4</v>
      </c>
      <c r="BN116" s="3">
        <v>5</v>
      </c>
      <c r="BO116" s="3">
        <v>5</v>
      </c>
      <c r="BP116" s="3" t="s">
        <v>374</v>
      </c>
    </row>
    <row r="117" spans="1:68" ht="22.5" customHeight="1" x14ac:dyDescent="0.25">
      <c r="A117" s="2">
        <v>45973.561264664357</v>
      </c>
      <c r="B117" s="3" t="s">
        <v>375</v>
      </c>
      <c r="C117" s="3" t="s">
        <v>69</v>
      </c>
      <c r="D117" s="3" t="s">
        <v>376</v>
      </c>
      <c r="E117" s="3" t="s">
        <v>77</v>
      </c>
      <c r="F117" s="3" t="s">
        <v>88</v>
      </c>
      <c r="G117" s="3" t="s">
        <v>83</v>
      </c>
      <c r="H117" s="3">
        <v>5</v>
      </c>
      <c r="I117" s="3">
        <v>5</v>
      </c>
      <c r="J117" s="3">
        <v>5</v>
      </c>
      <c r="K117" s="3">
        <v>4</v>
      </c>
      <c r="L117" s="3">
        <v>5</v>
      </c>
      <c r="M117" s="3">
        <v>4</v>
      </c>
      <c r="N117" s="3">
        <v>4</v>
      </c>
      <c r="O117" s="3">
        <v>4</v>
      </c>
      <c r="P117" s="3">
        <v>4</v>
      </c>
      <c r="Q117" s="3">
        <v>4</v>
      </c>
      <c r="R117" s="3">
        <v>4</v>
      </c>
      <c r="S117" s="3">
        <v>4</v>
      </c>
      <c r="T117" s="3">
        <v>4</v>
      </c>
      <c r="U117" s="3">
        <v>4</v>
      </c>
      <c r="V117" s="3">
        <v>4</v>
      </c>
      <c r="W117" s="3">
        <v>4</v>
      </c>
      <c r="X117" s="3">
        <v>4</v>
      </c>
      <c r="Y117" s="3">
        <v>4</v>
      </c>
      <c r="Z117" s="3">
        <v>4</v>
      </c>
      <c r="AA117" s="3">
        <v>4</v>
      </c>
      <c r="AB117" s="3">
        <v>4</v>
      </c>
      <c r="AC117" s="3">
        <v>4</v>
      </c>
      <c r="AD117" s="3">
        <v>4</v>
      </c>
      <c r="AE117" s="3">
        <v>4</v>
      </c>
      <c r="AF117" s="3">
        <v>4</v>
      </c>
      <c r="AG117" s="3">
        <v>4</v>
      </c>
      <c r="AH117" s="3">
        <v>4</v>
      </c>
      <c r="AI117" s="3">
        <v>4</v>
      </c>
      <c r="AJ117" s="3">
        <v>4</v>
      </c>
      <c r="AK117" s="3">
        <v>4</v>
      </c>
      <c r="AL117" s="3">
        <v>4</v>
      </c>
      <c r="AM117" s="3">
        <v>4</v>
      </c>
      <c r="AN117" s="3">
        <v>4</v>
      </c>
      <c r="AO117" s="3">
        <v>4</v>
      </c>
      <c r="AP117" s="3">
        <v>4</v>
      </c>
      <c r="AQ117" s="3">
        <v>4</v>
      </c>
      <c r="AR117" s="3">
        <v>4</v>
      </c>
      <c r="AS117" s="3">
        <v>4</v>
      </c>
      <c r="AT117" s="3">
        <v>4</v>
      </c>
      <c r="AU117" s="3">
        <v>4</v>
      </c>
      <c r="AV117" s="3">
        <v>4</v>
      </c>
      <c r="AW117" s="3">
        <v>4</v>
      </c>
      <c r="AX117" s="3">
        <v>4</v>
      </c>
      <c r="AY117" s="3">
        <v>4</v>
      </c>
      <c r="AZ117" s="3">
        <v>4</v>
      </c>
      <c r="BA117" s="3">
        <v>4</v>
      </c>
      <c r="BB117" s="3">
        <v>4</v>
      </c>
      <c r="BC117" s="3">
        <v>4</v>
      </c>
      <c r="BD117" s="3">
        <v>4</v>
      </c>
      <c r="BE117" s="3">
        <v>4</v>
      </c>
      <c r="BF117" s="3">
        <v>4</v>
      </c>
      <c r="BG117" s="3">
        <v>4</v>
      </c>
      <c r="BH117" s="3">
        <v>4</v>
      </c>
      <c r="BI117" s="3">
        <v>4</v>
      </c>
      <c r="BJ117" s="3">
        <v>4</v>
      </c>
      <c r="BK117" s="3">
        <v>4</v>
      </c>
      <c r="BL117" s="3">
        <v>4</v>
      </c>
      <c r="BM117" s="3">
        <v>4</v>
      </c>
      <c r="BN117" s="3">
        <v>4</v>
      </c>
      <c r="BO117" s="3">
        <v>4</v>
      </c>
      <c r="BP117" s="3" t="s">
        <v>377</v>
      </c>
    </row>
    <row r="118" spans="1:68" ht="22.5" customHeight="1" x14ac:dyDescent="0.25">
      <c r="A118" s="2">
        <v>45973.571991180557</v>
      </c>
      <c r="B118" s="3" t="s">
        <v>378</v>
      </c>
      <c r="C118" s="3" t="s">
        <v>69</v>
      </c>
      <c r="D118" s="3" t="s">
        <v>379</v>
      </c>
      <c r="E118" s="3" t="s">
        <v>77</v>
      </c>
      <c r="F118" s="3" t="s">
        <v>78</v>
      </c>
      <c r="G118" s="3" t="s">
        <v>79</v>
      </c>
      <c r="H118" s="3">
        <v>1</v>
      </c>
      <c r="I118" s="3">
        <v>1</v>
      </c>
      <c r="J118" s="3">
        <v>1</v>
      </c>
      <c r="K118" s="3">
        <v>1</v>
      </c>
      <c r="L118" s="3">
        <v>1</v>
      </c>
      <c r="M118" s="3">
        <v>1</v>
      </c>
      <c r="N118" s="3">
        <v>1</v>
      </c>
      <c r="O118" s="3">
        <v>1</v>
      </c>
      <c r="P118" s="3">
        <v>1</v>
      </c>
      <c r="Q118" s="3">
        <v>1</v>
      </c>
      <c r="R118" s="3">
        <v>1</v>
      </c>
      <c r="S118" s="3">
        <v>1</v>
      </c>
      <c r="T118" s="3">
        <v>1</v>
      </c>
      <c r="U118" s="3">
        <v>1</v>
      </c>
      <c r="V118" s="3">
        <v>1</v>
      </c>
      <c r="W118" s="3">
        <v>1</v>
      </c>
      <c r="X118" s="3">
        <v>1</v>
      </c>
      <c r="Y118" s="3">
        <v>1</v>
      </c>
      <c r="Z118" s="3">
        <v>1</v>
      </c>
      <c r="AA118" s="3">
        <v>1</v>
      </c>
      <c r="AB118" s="3">
        <v>1</v>
      </c>
      <c r="AC118" s="3">
        <v>1</v>
      </c>
      <c r="AD118" s="3">
        <v>1</v>
      </c>
      <c r="AE118" s="3">
        <v>1</v>
      </c>
      <c r="AF118" s="3">
        <v>1</v>
      </c>
      <c r="AG118" s="3">
        <v>1</v>
      </c>
      <c r="AH118" s="3">
        <v>1</v>
      </c>
      <c r="AI118" s="3">
        <v>1</v>
      </c>
      <c r="AJ118" s="3">
        <v>1</v>
      </c>
      <c r="AK118" s="3">
        <v>1</v>
      </c>
      <c r="AL118" s="3">
        <v>1</v>
      </c>
      <c r="AM118" s="3">
        <v>1</v>
      </c>
      <c r="AN118" s="3">
        <v>1</v>
      </c>
      <c r="AO118" s="3">
        <v>1</v>
      </c>
      <c r="AP118" s="3">
        <v>1</v>
      </c>
      <c r="AQ118" s="3">
        <v>1</v>
      </c>
      <c r="AR118" s="3">
        <v>1</v>
      </c>
      <c r="AS118" s="3">
        <v>1</v>
      </c>
      <c r="AT118" s="3">
        <v>1</v>
      </c>
      <c r="AU118" s="3">
        <v>1</v>
      </c>
      <c r="AV118" s="3">
        <v>1</v>
      </c>
      <c r="AW118" s="3">
        <v>1</v>
      </c>
      <c r="AX118" s="3">
        <v>1</v>
      </c>
      <c r="AY118" s="3">
        <v>1</v>
      </c>
      <c r="AZ118" s="3">
        <v>1</v>
      </c>
      <c r="BA118" s="3">
        <v>1</v>
      </c>
      <c r="BB118" s="3">
        <v>1</v>
      </c>
      <c r="BC118" s="3">
        <v>1</v>
      </c>
      <c r="BD118" s="3">
        <v>1</v>
      </c>
      <c r="BE118" s="3">
        <v>1</v>
      </c>
      <c r="BF118" s="3">
        <v>1</v>
      </c>
      <c r="BG118" s="3">
        <v>1</v>
      </c>
      <c r="BH118" s="3">
        <v>1</v>
      </c>
      <c r="BI118" s="3">
        <v>1</v>
      </c>
      <c r="BJ118" s="3">
        <v>1</v>
      </c>
      <c r="BK118" s="3">
        <v>1</v>
      </c>
      <c r="BL118" s="3">
        <v>1</v>
      </c>
      <c r="BM118" s="3">
        <v>1</v>
      </c>
      <c r="BN118" s="3">
        <v>1</v>
      </c>
      <c r="BO118" s="3">
        <v>1</v>
      </c>
      <c r="BP118" s="3" t="s">
        <v>380</v>
      </c>
    </row>
    <row r="119" spans="1:68" ht="22.5" customHeight="1" x14ac:dyDescent="0.25">
      <c r="A119" s="2">
        <v>45973.611564062499</v>
      </c>
      <c r="B119" s="3" t="s">
        <v>381</v>
      </c>
      <c r="C119" s="3" t="s">
        <v>69</v>
      </c>
      <c r="D119" s="3" t="s">
        <v>382</v>
      </c>
      <c r="E119" s="3" t="s">
        <v>141</v>
      </c>
      <c r="F119" s="3" t="s">
        <v>82</v>
      </c>
      <c r="G119" s="3" t="s">
        <v>79</v>
      </c>
      <c r="H119" s="3">
        <v>5</v>
      </c>
      <c r="I119" s="3">
        <v>5</v>
      </c>
      <c r="J119" s="3">
        <v>4</v>
      </c>
      <c r="K119" s="3">
        <v>5</v>
      </c>
      <c r="L119" s="3">
        <v>4</v>
      </c>
      <c r="M119" s="3">
        <v>3</v>
      </c>
      <c r="N119" s="3">
        <v>3</v>
      </c>
      <c r="O119" s="3">
        <v>5</v>
      </c>
      <c r="P119" s="3">
        <v>5</v>
      </c>
      <c r="Q119" s="3">
        <v>5</v>
      </c>
      <c r="R119" s="3">
        <v>5</v>
      </c>
      <c r="S119" s="3">
        <v>5</v>
      </c>
      <c r="T119" s="3">
        <v>4</v>
      </c>
      <c r="U119" s="3">
        <v>5</v>
      </c>
      <c r="V119" s="3">
        <v>5</v>
      </c>
      <c r="W119" s="3">
        <v>5</v>
      </c>
      <c r="X119" s="3">
        <v>4</v>
      </c>
      <c r="Y119" s="3">
        <v>4</v>
      </c>
      <c r="Z119" s="3">
        <v>5</v>
      </c>
      <c r="AA119" s="3">
        <v>4</v>
      </c>
      <c r="AB119" s="3">
        <v>3</v>
      </c>
      <c r="AC119" s="3">
        <v>2</v>
      </c>
      <c r="AD119" s="3">
        <v>4</v>
      </c>
      <c r="AE119" s="3">
        <v>4</v>
      </c>
      <c r="AF119" s="3">
        <v>4</v>
      </c>
      <c r="AG119" s="3">
        <v>5</v>
      </c>
      <c r="AH119" s="3">
        <v>5</v>
      </c>
      <c r="AI119" s="3">
        <v>4</v>
      </c>
      <c r="AJ119" s="3">
        <v>4</v>
      </c>
      <c r="AK119" s="3">
        <v>5</v>
      </c>
      <c r="AL119" s="3">
        <v>4</v>
      </c>
      <c r="AM119" s="3">
        <v>4</v>
      </c>
      <c r="AN119" s="3">
        <v>3</v>
      </c>
      <c r="AO119" s="3">
        <v>4</v>
      </c>
      <c r="AP119" s="3">
        <v>3</v>
      </c>
      <c r="AQ119" s="3">
        <v>5</v>
      </c>
      <c r="AR119" s="3">
        <v>5</v>
      </c>
      <c r="AS119" s="3">
        <v>3</v>
      </c>
      <c r="AT119" s="3">
        <v>5</v>
      </c>
      <c r="AU119" s="3">
        <v>4</v>
      </c>
      <c r="AV119" s="3">
        <v>5</v>
      </c>
      <c r="AW119" s="3">
        <v>5</v>
      </c>
      <c r="AX119" s="3">
        <v>5</v>
      </c>
      <c r="AY119" s="3">
        <v>5</v>
      </c>
      <c r="AZ119" s="3">
        <v>5</v>
      </c>
      <c r="BA119" s="3">
        <v>5</v>
      </c>
      <c r="BB119" s="3">
        <v>5</v>
      </c>
      <c r="BC119" s="3">
        <v>5</v>
      </c>
      <c r="BD119" s="3">
        <v>3</v>
      </c>
      <c r="BE119" s="3">
        <v>3</v>
      </c>
      <c r="BF119" s="3">
        <v>2</v>
      </c>
      <c r="BG119" s="3">
        <v>5</v>
      </c>
      <c r="BH119" s="3">
        <v>5</v>
      </c>
      <c r="BI119" s="3">
        <v>5</v>
      </c>
      <c r="BJ119" s="3">
        <v>5</v>
      </c>
      <c r="BK119" s="3">
        <v>4</v>
      </c>
      <c r="BL119" s="3">
        <v>5</v>
      </c>
      <c r="BM119" s="3">
        <v>5</v>
      </c>
      <c r="BN119" s="3">
        <v>4</v>
      </c>
      <c r="BO119" s="3">
        <v>5</v>
      </c>
      <c r="BP119" s="3" t="s">
        <v>383</v>
      </c>
    </row>
    <row r="120" spans="1:68" ht="22.5" customHeight="1" x14ac:dyDescent="0.25">
      <c r="A120" s="2">
        <v>45973.614174479168</v>
      </c>
      <c r="B120" s="3" t="s">
        <v>384</v>
      </c>
      <c r="C120" s="3" t="s">
        <v>69</v>
      </c>
      <c r="D120" s="3" t="s">
        <v>385</v>
      </c>
      <c r="E120" s="3" t="s">
        <v>119</v>
      </c>
      <c r="F120" s="3" t="s">
        <v>78</v>
      </c>
      <c r="G120" s="3" t="s">
        <v>83</v>
      </c>
      <c r="H120" s="3">
        <v>5</v>
      </c>
      <c r="I120" s="3">
        <v>5</v>
      </c>
      <c r="J120" s="3">
        <v>5</v>
      </c>
      <c r="K120" s="3">
        <v>5</v>
      </c>
      <c r="L120" s="3">
        <v>5</v>
      </c>
      <c r="M120" s="3">
        <v>5</v>
      </c>
      <c r="N120" s="3">
        <v>5</v>
      </c>
      <c r="O120" s="3">
        <v>5</v>
      </c>
      <c r="P120" s="3">
        <v>5</v>
      </c>
      <c r="Q120" s="3">
        <v>5</v>
      </c>
      <c r="R120" s="3">
        <v>5</v>
      </c>
      <c r="S120" s="3">
        <v>5</v>
      </c>
      <c r="T120" s="3">
        <v>5</v>
      </c>
      <c r="U120" s="3">
        <v>5</v>
      </c>
      <c r="V120" s="3">
        <v>5</v>
      </c>
      <c r="W120" s="3">
        <v>5</v>
      </c>
      <c r="X120" s="3">
        <v>5</v>
      </c>
      <c r="Y120" s="3">
        <v>5</v>
      </c>
      <c r="Z120" s="3">
        <v>5</v>
      </c>
      <c r="AA120" s="3">
        <v>5</v>
      </c>
      <c r="AB120" s="3">
        <v>5</v>
      </c>
      <c r="AC120" s="3">
        <v>5</v>
      </c>
      <c r="AD120" s="3">
        <v>5</v>
      </c>
      <c r="AE120" s="3">
        <v>5</v>
      </c>
      <c r="AF120" s="3">
        <v>5</v>
      </c>
      <c r="AG120" s="3">
        <v>5</v>
      </c>
      <c r="AH120" s="3">
        <v>5</v>
      </c>
      <c r="AI120" s="3">
        <v>5</v>
      </c>
      <c r="AJ120" s="3">
        <v>5</v>
      </c>
      <c r="AK120" s="3">
        <v>5</v>
      </c>
      <c r="AL120" s="3">
        <v>5</v>
      </c>
      <c r="AM120" s="3">
        <v>5</v>
      </c>
      <c r="AN120" s="3">
        <v>5</v>
      </c>
      <c r="AO120" s="3">
        <v>5</v>
      </c>
      <c r="AP120" s="3">
        <v>5</v>
      </c>
      <c r="AQ120" s="3">
        <v>5</v>
      </c>
      <c r="AR120" s="3">
        <v>5</v>
      </c>
      <c r="AS120" s="3">
        <v>5</v>
      </c>
      <c r="AT120" s="3">
        <v>5</v>
      </c>
      <c r="AU120" s="3">
        <v>5</v>
      </c>
      <c r="AV120" s="3">
        <v>5</v>
      </c>
      <c r="AW120" s="3">
        <v>5</v>
      </c>
      <c r="AX120" s="3">
        <v>5</v>
      </c>
      <c r="AY120" s="3">
        <v>5</v>
      </c>
      <c r="AZ120" s="3">
        <v>5</v>
      </c>
      <c r="BA120" s="3">
        <v>5</v>
      </c>
      <c r="BB120" s="3">
        <v>5</v>
      </c>
      <c r="BC120" s="3">
        <v>5</v>
      </c>
      <c r="BD120" s="3">
        <v>5</v>
      </c>
      <c r="BE120" s="3">
        <v>5</v>
      </c>
      <c r="BF120" s="3">
        <v>5</v>
      </c>
      <c r="BG120" s="3">
        <v>5</v>
      </c>
      <c r="BH120" s="3">
        <v>5</v>
      </c>
      <c r="BI120" s="3">
        <v>5</v>
      </c>
      <c r="BJ120" s="3">
        <v>5</v>
      </c>
      <c r="BK120" s="3">
        <v>5</v>
      </c>
      <c r="BL120" s="3">
        <v>5</v>
      </c>
      <c r="BM120" s="3">
        <v>5</v>
      </c>
      <c r="BN120" s="3">
        <v>5</v>
      </c>
      <c r="BO120" s="3">
        <v>5</v>
      </c>
      <c r="BP120" s="3" t="s">
        <v>386</v>
      </c>
    </row>
    <row r="121" spans="1:68" ht="22.5" customHeight="1" x14ac:dyDescent="0.25">
      <c r="A121" s="2">
        <v>45973.616009849538</v>
      </c>
      <c r="B121" s="3" t="s">
        <v>387</v>
      </c>
      <c r="C121" s="3" t="s">
        <v>69</v>
      </c>
      <c r="D121" s="3" t="s">
        <v>388</v>
      </c>
      <c r="E121" s="3" t="s">
        <v>141</v>
      </c>
      <c r="F121" s="3" t="s">
        <v>88</v>
      </c>
      <c r="G121" s="3" t="s">
        <v>83</v>
      </c>
      <c r="H121" s="3">
        <v>2</v>
      </c>
      <c r="I121" s="3">
        <v>2</v>
      </c>
      <c r="J121" s="3">
        <v>2</v>
      </c>
      <c r="K121" s="3">
        <v>2</v>
      </c>
      <c r="L121" s="3">
        <v>2</v>
      </c>
      <c r="M121" s="3">
        <v>2</v>
      </c>
      <c r="N121" s="3">
        <v>2</v>
      </c>
      <c r="O121" s="3">
        <v>2</v>
      </c>
      <c r="P121" s="3">
        <v>2</v>
      </c>
      <c r="Q121" s="3">
        <v>2</v>
      </c>
      <c r="R121" s="3">
        <v>2</v>
      </c>
      <c r="S121" s="3">
        <v>2</v>
      </c>
      <c r="T121" s="3">
        <v>3</v>
      </c>
      <c r="U121" s="3">
        <v>3</v>
      </c>
      <c r="V121" s="3">
        <v>3</v>
      </c>
      <c r="W121" s="3">
        <v>3</v>
      </c>
      <c r="X121" s="3">
        <v>3</v>
      </c>
      <c r="Y121" s="3">
        <v>3</v>
      </c>
      <c r="Z121" s="3">
        <v>3</v>
      </c>
      <c r="AA121" s="3">
        <v>4</v>
      </c>
      <c r="AB121" s="3">
        <v>4</v>
      </c>
      <c r="AC121" s="3">
        <v>4</v>
      </c>
      <c r="AD121" s="3">
        <v>4</v>
      </c>
      <c r="AE121" s="3">
        <v>4</v>
      </c>
      <c r="AF121" s="3">
        <v>4</v>
      </c>
      <c r="AG121" s="3">
        <v>4</v>
      </c>
      <c r="AH121" s="3">
        <v>4</v>
      </c>
      <c r="AI121" s="3">
        <v>4</v>
      </c>
      <c r="AJ121" s="3">
        <v>4</v>
      </c>
      <c r="AK121" s="3">
        <v>4</v>
      </c>
      <c r="AL121" s="3">
        <v>4</v>
      </c>
      <c r="AM121" s="3">
        <v>4</v>
      </c>
      <c r="AN121" s="3">
        <v>4</v>
      </c>
      <c r="AO121" s="3">
        <v>4</v>
      </c>
      <c r="AP121" s="3">
        <v>4</v>
      </c>
      <c r="AQ121" s="3">
        <v>4</v>
      </c>
      <c r="AR121" s="3">
        <v>4</v>
      </c>
      <c r="AS121" s="3">
        <v>4</v>
      </c>
      <c r="AT121" s="3">
        <v>4</v>
      </c>
      <c r="AU121" s="3">
        <v>4</v>
      </c>
      <c r="AV121" s="3">
        <v>4</v>
      </c>
      <c r="AW121" s="3">
        <v>4</v>
      </c>
      <c r="AX121" s="3">
        <v>4</v>
      </c>
      <c r="AY121" s="3">
        <v>4</v>
      </c>
      <c r="AZ121" s="3">
        <v>4</v>
      </c>
      <c r="BA121" s="3">
        <v>4</v>
      </c>
      <c r="BB121" s="3">
        <v>4</v>
      </c>
      <c r="BC121" s="3">
        <v>4</v>
      </c>
      <c r="BD121" s="3">
        <v>4</v>
      </c>
      <c r="BE121" s="3">
        <v>4</v>
      </c>
      <c r="BF121" s="3">
        <v>4</v>
      </c>
      <c r="BG121" s="3">
        <v>4</v>
      </c>
      <c r="BH121" s="3">
        <v>4</v>
      </c>
      <c r="BI121" s="3">
        <v>4</v>
      </c>
      <c r="BJ121" s="3">
        <v>3</v>
      </c>
      <c r="BK121" s="3">
        <v>4</v>
      </c>
      <c r="BL121" s="3">
        <v>3</v>
      </c>
      <c r="BM121" s="3">
        <v>3</v>
      </c>
      <c r="BN121" s="3">
        <v>3</v>
      </c>
      <c r="BO121" s="3">
        <v>3</v>
      </c>
      <c r="BP121" s="3" t="s">
        <v>389</v>
      </c>
    </row>
    <row r="122" spans="1:68" ht="22.5" customHeight="1" x14ac:dyDescent="0.25">
      <c r="A122" s="2">
        <v>45973.617844687498</v>
      </c>
      <c r="B122" s="3" t="s">
        <v>390</v>
      </c>
      <c r="C122" s="3" t="s">
        <v>69</v>
      </c>
      <c r="D122" s="3" t="s">
        <v>382</v>
      </c>
      <c r="E122" s="3" t="s">
        <v>77</v>
      </c>
      <c r="F122" s="3" t="s">
        <v>78</v>
      </c>
      <c r="G122" s="3" t="s">
        <v>79</v>
      </c>
      <c r="H122" s="3">
        <v>4</v>
      </c>
      <c r="I122" s="3">
        <v>4</v>
      </c>
      <c r="J122" s="3">
        <v>4</v>
      </c>
      <c r="K122" s="3">
        <v>4</v>
      </c>
      <c r="L122" s="3">
        <v>3</v>
      </c>
      <c r="M122" s="3">
        <v>4</v>
      </c>
      <c r="N122" s="3">
        <v>3</v>
      </c>
      <c r="O122" s="3">
        <v>5</v>
      </c>
      <c r="P122" s="3">
        <v>3</v>
      </c>
      <c r="Q122" s="3">
        <v>4</v>
      </c>
      <c r="R122" s="3">
        <v>5</v>
      </c>
      <c r="S122" s="3">
        <v>3</v>
      </c>
      <c r="T122" s="3">
        <v>4</v>
      </c>
      <c r="U122" s="3">
        <v>4</v>
      </c>
      <c r="V122" s="3">
        <v>5</v>
      </c>
      <c r="W122" s="3">
        <v>5</v>
      </c>
      <c r="X122" s="3">
        <v>4</v>
      </c>
      <c r="Y122" s="3">
        <v>3</v>
      </c>
      <c r="Z122" s="3">
        <v>3</v>
      </c>
      <c r="AA122" s="3">
        <v>4</v>
      </c>
      <c r="AB122" s="3">
        <v>4</v>
      </c>
      <c r="AC122" s="3">
        <v>3</v>
      </c>
      <c r="AD122" s="3">
        <v>4</v>
      </c>
      <c r="AE122" s="3">
        <v>3</v>
      </c>
      <c r="AF122" s="3">
        <v>5</v>
      </c>
      <c r="AG122" s="3">
        <v>5</v>
      </c>
      <c r="AH122" s="3">
        <v>3</v>
      </c>
      <c r="AI122" s="3">
        <v>4</v>
      </c>
      <c r="AJ122" s="3">
        <v>4</v>
      </c>
      <c r="AK122" s="3">
        <v>3</v>
      </c>
      <c r="AL122" s="3">
        <v>3</v>
      </c>
      <c r="AM122" s="3">
        <v>5</v>
      </c>
      <c r="AN122" s="3">
        <v>5</v>
      </c>
      <c r="AO122" s="3">
        <v>3</v>
      </c>
      <c r="AP122" s="3">
        <v>3</v>
      </c>
      <c r="AQ122" s="3">
        <v>4</v>
      </c>
      <c r="AR122" s="3">
        <v>4</v>
      </c>
      <c r="AS122" s="3">
        <v>4</v>
      </c>
      <c r="AT122" s="3">
        <v>4</v>
      </c>
      <c r="AU122" s="3">
        <v>5</v>
      </c>
      <c r="AV122" s="3">
        <v>5</v>
      </c>
      <c r="AW122" s="3">
        <v>4</v>
      </c>
      <c r="AX122" s="3">
        <v>4</v>
      </c>
      <c r="AY122" s="3">
        <v>4</v>
      </c>
      <c r="AZ122" s="3">
        <v>4</v>
      </c>
      <c r="BA122" s="3">
        <v>5</v>
      </c>
      <c r="BB122" s="3">
        <v>5</v>
      </c>
      <c r="BC122" s="3">
        <v>4</v>
      </c>
      <c r="BD122" s="3">
        <v>4</v>
      </c>
      <c r="BE122" s="3">
        <v>4</v>
      </c>
      <c r="BF122" s="3">
        <v>3</v>
      </c>
      <c r="BG122" s="3">
        <v>3</v>
      </c>
      <c r="BH122" s="3">
        <v>5</v>
      </c>
      <c r="BI122" s="3">
        <v>4</v>
      </c>
      <c r="BJ122" s="3">
        <v>3</v>
      </c>
      <c r="BK122" s="3">
        <v>3</v>
      </c>
      <c r="BL122" s="3">
        <v>5</v>
      </c>
      <c r="BM122" s="3">
        <v>5</v>
      </c>
      <c r="BN122" s="3">
        <v>4</v>
      </c>
      <c r="BO122" s="3">
        <v>4</v>
      </c>
      <c r="BP122" s="3" t="s">
        <v>391</v>
      </c>
    </row>
    <row r="123" spans="1:68" ht="22.5" customHeight="1" x14ac:dyDescent="0.25">
      <c r="A123" s="2">
        <v>45973.618718773148</v>
      </c>
      <c r="B123" s="3" t="s">
        <v>392</v>
      </c>
      <c r="C123" s="3" t="s">
        <v>69</v>
      </c>
      <c r="D123" s="3" t="s">
        <v>393</v>
      </c>
      <c r="E123" s="3" t="s">
        <v>77</v>
      </c>
      <c r="F123" s="3" t="s">
        <v>88</v>
      </c>
      <c r="G123" s="3" t="s">
        <v>83</v>
      </c>
      <c r="H123" s="3">
        <v>2</v>
      </c>
      <c r="I123" s="3">
        <v>1</v>
      </c>
      <c r="J123" s="3">
        <v>1</v>
      </c>
      <c r="K123" s="3">
        <v>1</v>
      </c>
      <c r="L123" s="3">
        <v>1</v>
      </c>
      <c r="M123" s="3">
        <v>1</v>
      </c>
      <c r="N123" s="3">
        <v>1</v>
      </c>
      <c r="O123" s="3">
        <v>1</v>
      </c>
      <c r="P123" s="3">
        <v>1</v>
      </c>
      <c r="Q123" s="3">
        <v>5</v>
      </c>
      <c r="R123" s="3">
        <v>5</v>
      </c>
      <c r="S123" s="3">
        <v>5</v>
      </c>
      <c r="T123" s="3">
        <v>5</v>
      </c>
      <c r="U123" s="3">
        <v>5</v>
      </c>
      <c r="V123" s="3">
        <v>5</v>
      </c>
      <c r="W123" s="3">
        <v>5</v>
      </c>
      <c r="X123" s="3">
        <v>1</v>
      </c>
      <c r="Y123" s="3">
        <v>5</v>
      </c>
      <c r="Z123" s="3">
        <v>4</v>
      </c>
      <c r="AA123" s="3">
        <v>3</v>
      </c>
      <c r="AB123" s="3">
        <v>3</v>
      </c>
      <c r="AC123" s="3">
        <v>3</v>
      </c>
      <c r="AD123" s="3">
        <v>3</v>
      </c>
      <c r="AE123" s="3">
        <v>4</v>
      </c>
      <c r="AF123" s="3">
        <v>4</v>
      </c>
      <c r="AG123" s="3">
        <v>4</v>
      </c>
      <c r="AH123" s="3">
        <v>4</v>
      </c>
      <c r="AI123" s="3">
        <v>4</v>
      </c>
      <c r="AJ123" s="3">
        <v>4</v>
      </c>
      <c r="AK123" s="3">
        <v>4</v>
      </c>
      <c r="AL123" s="3">
        <v>4</v>
      </c>
      <c r="AM123" s="3">
        <v>4</v>
      </c>
      <c r="AN123" s="3">
        <v>4</v>
      </c>
      <c r="AO123" s="3">
        <v>3</v>
      </c>
      <c r="AP123" s="3">
        <v>3</v>
      </c>
      <c r="AQ123" s="3">
        <v>3</v>
      </c>
      <c r="AR123" s="3">
        <v>3</v>
      </c>
      <c r="AS123" s="3">
        <v>3</v>
      </c>
      <c r="AT123" s="3">
        <v>3</v>
      </c>
      <c r="AU123" s="3">
        <v>3</v>
      </c>
      <c r="AV123" s="3">
        <v>3</v>
      </c>
      <c r="AW123" s="3">
        <v>5</v>
      </c>
      <c r="AX123" s="3">
        <v>5</v>
      </c>
      <c r="AY123" s="3">
        <v>5</v>
      </c>
      <c r="AZ123" s="3">
        <v>5</v>
      </c>
      <c r="BA123" s="3">
        <v>1</v>
      </c>
      <c r="BB123" s="3">
        <v>3</v>
      </c>
      <c r="BC123" s="3">
        <v>3</v>
      </c>
      <c r="BD123" s="3">
        <v>3</v>
      </c>
      <c r="BE123" s="3">
        <v>3</v>
      </c>
      <c r="BF123" s="3">
        <v>3</v>
      </c>
      <c r="BG123" s="3">
        <v>3</v>
      </c>
      <c r="BH123" s="3">
        <v>3</v>
      </c>
      <c r="BI123" s="3">
        <v>3</v>
      </c>
      <c r="BJ123" s="3">
        <v>3</v>
      </c>
      <c r="BK123" s="3">
        <v>3</v>
      </c>
      <c r="BL123" s="3">
        <v>3</v>
      </c>
      <c r="BM123" s="3">
        <v>3</v>
      </c>
      <c r="BN123" s="3">
        <v>3</v>
      </c>
      <c r="BO123" s="3">
        <v>3</v>
      </c>
      <c r="BP123" s="3" t="s">
        <v>394</v>
      </c>
    </row>
    <row r="124" spans="1:68" ht="22.5" customHeight="1" x14ac:dyDescent="0.25">
      <c r="A124" s="2">
        <v>45973.620655902778</v>
      </c>
      <c r="B124" s="3" t="s">
        <v>395</v>
      </c>
      <c r="C124" s="3" t="s">
        <v>69</v>
      </c>
      <c r="D124" s="3" t="s">
        <v>396</v>
      </c>
      <c r="E124" s="3" t="s">
        <v>77</v>
      </c>
      <c r="F124" s="3" t="s">
        <v>72</v>
      </c>
      <c r="G124" s="3" t="s">
        <v>83</v>
      </c>
      <c r="H124" s="3">
        <v>4</v>
      </c>
      <c r="I124" s="3">
        <v>5</v>
      </c>
      <c r="J124" s="3">
        <v>4</v>
      </c>
      <c r="K124" s="3">
        <v>5</v>
      </c>
      <c r="L124" s="3">
        <v>4</v>
      </c>
      <c r="M124" s="3">
        <v>5</v>
      </c>
      <c r="N124" s="3">
        <v>4</v>
      </c>
      <c r="O124" s="3">
        <v>5</v>
      </c>
      <c r="P124" s="3">
        <v>4</v>
      </c>
      <c r="Q124" s="3">
        <v>5</v>
      </c>
      <c r="R124" s="3">
        <v>4</v>
      </c>
      <c r="S124" s="3">
        <v>5</v>
      </c>
      <c r="T124" s="3">
        <v>4</v>
      </c>
      <c r="U124" s="3">
        <v>5</v>
      </c>
      <c r="V124" s="3">
        <v>4</v>
      </c>
      <c r="W124" s="3">
        <v>2</v>
      </c>
      <c r="X124" s="3">
        <v>3</v>
      </c>
      <c r="Y124" s="3">
        <v>2</v>
      </c>
      <c r="Z124" s="3">
        <v>4</v>
      </c>
      <c r="AA124" s="3">
        <v>3</v>
      </c>
      <c r="AB124" s="3">
        <v>4</v>
      </c>
      <c r="AC124" s="3">
        <v>3</v>
      </c>
      <c r="AD124" s="3">
        <v>5</v>
      </c>
      <c r="AE124" s="3">
        <v>5</v>
      </c>
      <c r="AF124" s="3">
        <v>3</v>
      </c>
      <c r="AG124" s="3">
        <v>5</v>
      </c>
      <c r="AH124" s="3">
        <v>4</v>
      </c>
      <c r="AI124" s="3">
        <v>5</v>
      </c>
      <c r="AJ124" s="3">
        <v>5</v>
      </c>
      <c r="AK124" s="3">
        <v>5</v>
      </c>
      <c r="AL124" s="3">
        <v>5</v>
      </c>
      <c r="AM124" s="3">
        <v>4</v>
      </c>
      <c r="AN124" s="3">
        <v>4</v>
      </c>
      <c r="AO124" s="3">
        <v>5</v>
      </c>
      <c r="AP124" s="3">
        <v>4</v>
      </c>
      <c r="AQ124" s="3">
        <v>4</v>
      </c>
      <c r="AR124" s="3">
        <v>5</v>
      </c>
      <c r="AS124" s="3">
        <v>3</v>
      </c>
      <c r="AT124" s="3">
        <v>5</v>
      </c>
      <c r="AU124" s="3">
        <v>4</v>
      </c>
      <c r="AV124" s="3">
        <v>4</v>
      </c>
      <c r="AW124" s="3">
        <v>5</v>
      </c>
      <c r="AX124" s="3">
        <v>4</v>
      </c>
      <c r="AY124" s="3">
        <v>3</v>
      </c>
      <c r="AZ124" s="3">
        <v>5</v>
      </c>
      <c r="BA124" s="3">
        <v>5</v>
      </c>
      <c r="BB124" s="3">
        <v>4</v>
      </c>
      <c r="BC124" s="3">
        <v>3</v>
      </c>
      <c r="BD124" s="3">
        <v>5</v>
      </c>
      <c r="BE124" s="3">
        <v>4</v>
      </c>
      <c r="BF124" s="3">
        <v>5</v>
      </c>
      <c r="BG124" s="3">
        <v>4</v>
      </c>
      <c r="BH124" s="3">
        <v>3</v>
      </c>
      <c r="BI124" s="3">
        <v>5</v>
      </c>
      <c r="BJ124" s="3">
        <v>5</v>
      </c>
      <c r="BK124" s="3">
        <v>4</v>
      </c>
      <c r="BL124" s="3">
        <v>3</v>
      </c>
      <c r="BM124" s="3">
        <v>5</v>
      </c>
      <c r="BN124" s="3">
        <v>4</v>
      </c>
      <c r="BO124" s="3">
        <v>5</v>
      </c>
      <c r="BP124" s="3" t="s">
        <v>397</v>
      </c>
    </row>
    <row r="125" spans="1:68" ht="22.5" customHeight="1" x14ac:dyDescent="0.25">
      <c r="A125" s="2">
        <v>45973.620711307871</v>
      </c>
      <c r="C125" s="3" t="s">
        <v>69</v>
      </c>
      <c r="D125" s="3" t="s">
        <v>398</v>
      </c>
      <c r="E125" s="3" t="s">
        <v>77</v>
      </c>
      <c r="F125" s="3" t="s">
        <v>78</v>
      </c>
      <c r="G125" s="3" t="s">
        <v>79</v>
      </c>
      <c r="H125" s="3">
        <v>4</v>
      </c>
      <c r="I125" s="3">
        <v>4</v>
      </c>
      <c r="J125" s="3">
        <v>3</v>
      </c>
      <c r="K125" s="3">
        <v>3</v>
      </c>
      <c r="L125" s="3">
        <v>4</v>
      </c>
      <c r="M125" s="3">
        <v>4</v>
      </c>
      <c r="N125" s="3">
        <v>3</v>
      </c>
      <c r="O125" s="3">
        <v>4</v>
      </c>
      <c r="P125" s="3">
        <v>4</v>
      </c>
      <c r="Q125" s="3">
        <v>4</v>
      </c>
      <c r="R125" s="3">
        <v>5</v>
      </c>
      <c r="S125" s="3">
        <v>5</v>
      </c>
      <c r="T125" s="3">
        <v>5</v>
      </c>
      <c r="U125" s="3">
        <v>4</v>
      </c>
      <c r="V125" s="3">
        <v>4</v>
      </c>
      <c r="W125" s="3">
        <v>4</v>
      </c>
      <c r="X125" s="3">
        <v>5</v>
      </c>
      <c r="Y125" s="3">
        <v>5</v>
      </c>
      <c r="Z125" s="3">
        <v>5</v>
      </c>
      <c r="AA125" s="3">
        <v>4</v>
      </c>
      <c r="AB125" s="3">
        <v>5</v>
      </c>
      <c r="AC125" s="3">
        <v>5</v>
      </c>
      <c r="AD125" s="3">
        <v>4</v>
      </c>
      <c r="AE125" s="3">
        <v>5</v>
      </c>
      <c r="AF125" s="3">
        <v>5</v>
      </c>
      <c r="AG125" s="3">
        <v>4</v>
      </c>
      <c r="AH125" s="3">
        <v>3</v>
      </c>
      <c r="AI125" s="3">
        <v>3</v>
      </c>
      <c r="AJ125" s="3">
        <v>4</v>
      </c>
      <c r="AK125" s="3">
        <v>4</v>
      </c>
      <c r="AL125" s="3">
        <v>4</v>
      </c>
      <c r="AM125" s="3">
        <v>4</v>
      </c>
      <c r="AN125" s="3">
        <v>4</v>
      </c>
      <c r="AO125" s="3">
        <v>4</v>
      </c>
      <c r="AP125" s="3">
        <v>3</v>
      </c>
      <c r="AQ125" s="3">
        <v>3</v>
      </c>
      <c r="AR125" s="3">
        <v>4</v>
      </c>
      <c r="AS125" s="3">
        <v>3</v>
      </c>
      <c r="AT125" s="3">
        <v>4</v>
      </c>
      <c r="AU125" s="3">
        <v>3</v>
      </c>
      <c r="AV125" s="3">
        <v>4</v>
      </c>
      <c r="AW125" s="3">
        <v>4</v>
      </c>
      <c r="AX125" s="3">
        <v>4</v>
      </c>
      <c r="AY125" s="3">
        <v>4</v>
      </c>
      <c r="AZ125" s="3">
        <v>5</v>
      </c>
      <c r="BA125" s="3">
        <v>5</v>
      </c>
      <c r="BB125" s="3">
        <v>5</v>
      </c>
      <c r="BC125" s="3">
        <v>4</v>
      </c>
      <c r="BD125" s="3">
        <v>4</v>
      </c>
      <c r="BE125" s="3">
        <v>5</v>
      </c>
      <c r="BF125" s="3">
        <v>4</v>
      </c>
      <c r="BG125" s="3">
        <v>5</v>
      </c>
      <c r="BH125" s="3">
        <v>5</v>
      </c>
      <c r="BI125" s="3">
        <v>4</v>
      </c>
      <c r="BJ125" s="3">
        <v>4</v>
      </c>
      <c r="BK125" s="3">
        <v>5</v>
      </c>
      <c r="BL125" s="3">
        <v>4</v>
      </c>
      <c r="BM125" s="3">
        <v>5</v>
      </c>
      <c r="BN125" s="3">
        <v>5</v>
      </c>
      <c r="BO125" s="3">
        <v>5</v>
      </c>
      <c r="BP125" s="3" t="s">
        <v>399</v>
      </c>
    </row>
    <row r="126" spans="1:68" ht="22.5" customHeight="1" x14ac:dyDescent="0.25">
      <c r="A126" s="2">
        <v>45973.621770451384</v>
      </c>
      <c r="B126" s="3" t="s">
        <v>400</v>
      </c>
      <c r="C126" s="3" t="s">
        <v>86</v>
      </c>
      <c r="D126" s="3" t="s">
        <v>398</v>
      </c>
      <c r="E126" s="3" t="s">
        <v>77</v>
      </c>
      <c r="F126" s="3" t="s">
        <v>78</v>
      </c>
      <c r="G126" s="3" t="s">
        <v>83</v>
      </c>
      <c r="H126" s="3">
        <v>4</v>
      </c>
      <c r="I126" s="3">
        <v>4</v>
      </c>
      <c r="J126" s="3">
        <v>4</v>
      </c>
      <c r="K126" s="3">
        <v>4</v>
      </c>
      <c r="L126" s="3">
        <v>5</v>
      </c>
      <c r="M126" s="3">
        <v>4</v>
      </c>
      <c r="N126" s="3">
        <v>4</v>
      </c>
      <c r="O126" s="3">
        <v>4</v>
      </c>
      <c r="P126" s="3">
        <v>4</v>
      </c>
      <c r="Q126" s="3">
        <v>4</v>
      </c>
      <c r="R126" s="3">
        <v>4</v>
      </c>
      <c r="S126" s="3">
        <v>4</v>
      </c>
      <c r="T126" s="3">
        <v>4</v>
      </c>
      <c r="U126" s="3">
        <v>4</v>
      </c>
      <c r="V126" s="3">
        <v>4</v>
      </c>
      <c r="W126" s="3">
        <v>4</v>
      </c>
      <c r="X126" s="3">
        <v>5</v>
      </c>
      <c r="Y126" s="3">
        <v>4</v>
      </c>
      <c r="Z126" s="3">
        <v>5</v>
      </c>
      <c r="AA126" s="3">
        <v>4</v>
      </c>
      <c r="AB126" s="3">
        <v>5</v>
      </c>
      <c r="AC126" s="3">
        <v>4</v>
      </c>
      <c r="AD126" s="3">
        <v>4</v>
      </c>
      <c r="AE126" s="3">
        <v>4</v>
      </c>
      <c r="AF126" s="3">
        <v>5</v>
      </c>
      <c r="AG126" s="3">
        <v>4</v>
      </c>
      <c r="AH126" s="3">
        <v>4</v>
      </c>
      <c r="AI126" s="3">
        <v>4</v>
      </c>
      <c r="AJ126" s="3">
        <v>4</v>
      </c>
      <c r="AK126" s="3">
        <v>5</v>
      </c>
      <c r="AL126" s="3">
        <v>4</v>
      </c>
      <c r="AM126" s="3">
        <v>4</v>
      </c>
      <c r="AN126" s="3">
        <v>5</v>
      </c>
      <c r="AO126" s="3">
        <v>4</v>
      </c>
      <c r="AP126" s="3">
        <v>4</v>
      </c>
      <c r="AQ126" s="3">
        <v>4</v>
      </c>
      <c r="AR126" s="3">
        <v>5</v>
      </c>
      <c r="AS126" s="3">
        <v>4</v>
      </c>
      <c r="AT126" s="3">
        <v>4</v>
      </c>
      <c r="AU126" s="3">
        <v>4</v>
      </c>
      <c r="AV126" s="3">
        <v>4</v>
      </c>
      <c r="AW126" s="3">
        <v>4</v>
      </c>
      <c r="AX126" s="3">
        <v>4</v>
      </c>
      <c r="AY126" s="3">
        <v>5</v>
      </c>
      <c r="AZ126" s="3">
        <v>4</v>
      </c>
      <c r="BA126" s="3">
        <v>4</v>
      </c>
      <c r="BB126" s="3">
        <v>4</v>
      </c>
      <c r="BC126" s="3">
        <v>5</v>
      </c>
      <c r="BD126" s="3">
        <v>4</v>
      </c>
      <c r="BE126" s="3">
        <v>4</v>
      </c>
      <c r="BF126" s="3">
        <v>4</v>
      </c>
      <c r="BG126" s="3">
        <v>4</v>
      </c>
      <c r="BH126" s="3">
        <v>5</v>
      </c>
      <c r="BI126" s="3">
        <v>4</v>
      </c>
      <c r="BJ126" s="3">
        <v>5</v>
      </c>
      <c r="BK126" s="3">
        <v>5</v>
      </c>
      <c r="BL126" s="3">
        <v>4</v>
      </c>
      <c r="BM126" s="3">
        <v>4</v>
      </c>
      <c r="BN126" s="3">
        <v>4</v>
      </c>
      <c r="BO126" s="3">
        <v>4</v>
      </c>
      <c r="BP126" s="3" t="s">
        <v>401</v>
      </c>
    </row>
    <row r="127" spans="1:68" ht="22.5" customHeight="1" x14ac:dyDescent="0.25">
      <c r="A127" s="2">
        <v>45973.622932662038</v>
      </c>
      <c r="B127" s="3" t="s">
        <v>402</v>
      </c>
      <c r="C127" s="3" t="s">
        <v>86</v>
      </c>
      <c r="D127" s="3" t="s">
        <v>398</v>
      </c>
      <c r="E127" s="3" t="s">
        <v>77</v>
      </c>
      <c r="F127" s="3" t="s">
        <v>78</v>
      </c>
      <c r="G127" s="3" t="s">
        <v>83</v>
      </c>
      <c r="H127" s="3">
        <v>5</v>
      </c>
      <c r="I127" s="3">
        <v>5</v>
      </c>
      <c r="J127" s="3">
        <v>5</v>
      </c>
      <c r="K127" s="3">
        <v>5</v>
      </c>
      <c r="L127" s="3">
        <v>5</v>
      </c>
      <c r="M127" s="3">
        <v>5</v>
      </c>
      <c r="N127" s="3">
        <v>5</v>
      </c>
      <c r="O127" s="3">
        <v>5</v>
      </c>
      <c r="P127" s="3">
        <v>5</v>
      </c>
      <c r="Q127" s="3">
        <v>5</v>
      </c>
      <c r="R127" s="3">
        <v>5</v>
      </c>
      <c r="S127" s="3">
        <v>5</v>
      </c>
      <c r="T127" s="3">
        <v>5</v>
      </c>
      <c r="U127" s="3">
        <v>5</v>
      </c>
      <c r="V127" s="3">
        <v>5</v>
      </c>
      <c r="W127" s="3">
        <v>5</v>
      </c>
      <c r="X127" s="3">
        <v>5</v>
      </c>
      <c r="Y127" s="3">
        <v>5</v>
      </c>
      <c r="Z127" s="3">
        <v>5</v>
      </c>
      <c r="AA127" s="3">
        <v>5</v>
      </c>
      <c r="AB127" s="3">
        <v>5</v>
      </c>
      <c r="AC127" s="3">
        <v>5</v>
      </c>
      <c r="AD127" s="3">
        <v>5</v>
      </c>
      <c r="AE127" s="3">
        <v>5</v>
      </c>
      <c r="AF127" s="3">
        <v>5</v>
      </c>
      <c r="AG127" s="3">
        <v>5</v>
      </c>
      <c r="AH127" s="3">
        <v>5</v>
      </c>
      <c r="AI127" s="3">
        <v>5</v>
      </c>
      <c r="AJ127" s="3">
        <v>5</v>
      </c>
      <c r="AK127" s="3">
        <v>5</v>
      </c>
      <c r="AL127" s="3">
        <v>5</v>
      </c>
      <c r="AM127" s="3">
        <v>5</v>
      </c>
      <c r="AN127" s="3">
        <v>5</v>
      </c>
      <c r="AO127" s="3">
        <v>5</v>
      </c>
      <c r="AP127" s="3">
        <v>5</v>
      </c>
      <c r="AQ127" s="3">
        <v>5</v>
      </c>
      <c r="AR127" s="3">
        <v>5</v>
      </c>
      <c r="AS127" s="3">
        <v>5</v>
      </c>
      <c r="AT127" s="3">
        <v>5</v>
      </c>
      <c r="AU127" s="3">
        <v>5</v>
      </c>
      <c r="AV127" s="3">
        <v>5</v>
      </c>
      <c r="AW127" s="3">
        <v>5</v>
      </c>
      <c r="AX127" s="3">
        <v>5</v>
      </c>
      <c r="AY127" s="3">
        <v>5</v>
      </c>
      <c r="AZ127" s="3">
        <v>5</v>
      </c>
      <c r="BA127" s="3">
        <v>5</v>
      </c>
      <c r="BB127" s="3">
        <v>5</v>
      </c>
      <c r="BC127" s="3">
        <v>4</v>
      </c>
      <c r="BD127" s="3">
        <v>5</v>
      </c>
      <c r="BE127" s="3">
        <v>5</v>
      </c>
      <c r="BF127" s="3">
        <v>5</v>
      </c>
      <c r="BG127" s="3">
        <v>5</v>
      </c>
      <c r="BH127" s="3">
        <v>5</v>
      </c>
      <c r="BI127" s="3">
        <v>5</v>
      </c>
      <c r="BJ127" s="3">
        <v>5</v>
      </c>
      <c r="BK127" s="3">
        <v>5</v>
      </c>
      <c r="BL127" s="3">
        <v>5</v>
      </c>
      <c r="BM127" s="3">
        <v>5</v>
      </c>
      <c r="BN127" s="3">
        <v>5</v>
      </c>
      <c r="BO127" s="3">
        <v>5</v>
      </c>
      <c r="BP127" s="3" t="s">
        <v>403</v>
      </c>
    </row>
    <row r="128" spans="1:68" ht="22.5" customHeight="1" x14ac:dyDescent="0.25">
      <c r="A128" s="2">
        <v>45973.624993530088</v>
      </c>
      <c r="B128" s="3" t="s">
        <v>404</v>
      </c>
      <c r="C128" s="3" t="s">
        <v>69</v>
      </c>
      <c r="D128" s="3" t="s">
        <v>382</v>
      </c>
      <c r="E128" s="3" t="s">
        <v>77</v>
      </c>
      <c r="F128" s="3" t="s">
        <v>78</v>
      </c>
      <c r="G128" s="3" t="s">
        <v>83</v>
      </c>
      <c r="H128" s="3">
        <v>4</v>
      </c>
      <c r="I128" s="3">
        <v>4</v>
      </c>
      <c r="J128" s="3">
        <v>4</v>
      </c>
      <c r="K128" s="3">
        <v>4</v>
      </c>
      <c r="L128" s="3">
        <v>4</v>
      </c>
      <c r="M128" s="3">
        <v>4</v>
      </c>
      <c r="N128" s="3">
        <v>4</v>
      </c>
      <c r="O128" s="3">
        <v>4</v>
      </c>
      <c r="P128" s="3">
        <v>4</v>
      </c>
      <c r="Q128" s="3">
        <v>4</v>
      </c>
      <c r="R128" s="3">
        <v>4</v>
      </c>
      <c r="S128" s="3">
        <v>4</v>
      </c>
      <c r="T128" s="3">
        <v>4</v>
      </c>
      <c r="U128" s="3">
        <v>4</v>
      </c>
      <c r="V128" s="3">
        <v>4</v>
      </c>
      <c r="W128" s="3">
        <v>4</v>
      </c>
      <c r="X128" s="3">
        <v>4</v>
      </c>
      <c r="Y128" s="3">
        <v>4</v>
      </c>
      <c r="Z128" s="3">
        <v>4</v>
      </c>
      <c r="AA128" s="3">
        <v>4</v>
      </c>
      <c r="AB128" s="3">
        <v>4</v>
      </c>
      <c r="AC128" s="3">
        <v>4</v>
      </c>
      <c r="AD128" s="3">
        <v>4</v>
      </c>
      <c r="AE128" s="3">
        <v>4</v>
      </c>
      <c r="AF128" s="3">
        <v>4</v>
      </c>
      <c r="AG128" s="3">
        <v>4</v>
      </c>
      <c r="AH128" s="3">
        <v>4</v>
      </c>
      <c r="AI128" s="3">
        <v>4</v>
      </c>
      <c r="AJ128" s="3">
        <v>4</v>
      </c>
      <c r="AK128" s="3">
        <v>4</v>
      </c>
      <c r="AL128" s="3">
        <v>4</v>
      </c>
      <c r="AM128" s="3">
        <v>4</v>
      </c>
      <c r="AN128" s="3">
        <v>4</v>
      </c>
      <c r="AO128" s="3">
        <v>4</v>
      </c>
      <c r="AP128" s="3">
        <v>4</v>
      </c>
      <c r="AQ128" s="3">
        <v>4</v>
      </c>
      <c r="AR128" s="3">
        <v>4</v>
      </c>
      <c r="AS128" s="3">
        <v>4</v>
      </c>
      <c r="AT128" s="3">
        <v>4</v>
      </c>
      <c r="AU128" s="3">
        <v>4</v>
      </c>
      <c r="AV128" s="3">
        <v>4</v>
      </c>
      <c r="AW128" s="3">
        <v>4</v>
      </c>
      <c r="AX128" s="3">
        <v>4</v>
      </c>
      <c r="AY128" s="3">
        <v>4</v>
      </c>
      <c r="AZ128" s="3">
        <v>4</v>
      </c>
      <c r="BA128" s="3">
        <v>4</v>
      </c>
      <c r="BB128" s="3">
        <v>4</v>
      </c>
      <c r="BC128" s="3">
        <v>4</v>
      </c>
      <c r="BD128" s="3">
        <v>4</v>
      </c>
      <c r="BE128" s="3">
        <v>4</v>
      </c>
      <c r="BF128" s="3">
        <v>4</v>
      </c>
      <c r="BG128" s="3">
        <v>4</v>
      </c>
      <c r="BH128" s="3">
        <v>4</v>
      </c>
      <c r="BI128" s="3">
        <v>4</v>
      </c>
      <c r="BJ128" s="3">
        <v>4</v>
      </c>
      <c r="BK128" s="3">
        <v>4</v>
      </c>
      <c r="BL128" s="3">
        <v>4</v>
      </c>
      <c r="BM128" s="3">
        <v>4</v>
      </c>
      <c r="BN128" s="3">
        <v>4</v>
      </c>
      <c r="BO128" s="3">
        <v>4</v>
      </c>
      <c r="BP128" s="3" t="s">
        <v>405</v>
      </c>
    </row>
    <row r="129" spans="1:68" ht="22.5" customHeight="1" x14ac:dyDescent="0.25">
      <c r="A129" s="2">
        <v>45973.632679594906</v>
      </c>
      <c r="B129" s="3" t="s">
        <v>406</v>
      </c>
      <c r="C129" s="3" t="s">
        <v>86</v>
      </c>
      <c r="D129" s="3" t="s">
        <v>407</v>
      </c>
      <c r="E129" s="3" t="s">
        <v>77</v>
      </c>
      <c r="F129" s="3" t="s">
        <v>103</v>
      </c>
      <c r="G129" s="3" t="s">
        <v>73</v>
      </c>
      <c r="H129" s="3">
        <v>4</v>
      </c>
      <c r="I129" s="3">
        <v>4</v>
      </c>
      <c r="J129" s="3">
        <v>4</v>
      </c>
      <c r="K129" s="3">
        <v>3</v>
      </c>
      <c r="L129" s="3">
        <v>4</v>
      </c>
      <c r="M129" s="3">
        <v>4</v>
      </c>
      <c r="N129" s="3">
        <v>3</v>
      </c>
      <c r="O129" s="3">
        <v>4</v>
      </c>
      <c r="P129" s="3">
        <v>3</v>
      </c>
      <c r="Q129" s="3">
        <v>4</v>
      </c>
      <c r="R129" s="3">
        <v>4</v>
      </c>
      <c r="S129" s="3">
        <v>4</v>
      </c>
      <c r="T129" s="3">
        <v>4</v>
      </c>
      <c r="U129" s="3">
        <v>4</v>
      </c>
      <c r="V129" s="3">
        <v>4</v>
      </c>
      <c r="W129" s="3">
        <v>4</v>
      </c>
      <c r="X129" s="3">
        <v>4</v>
      </c>
      <c r="Y129" s="3">
        <v>4</v>
      </c>
      <c r="Z129" s="3">
        <v>3</v>
      </c>
      <c r="AA129" s="3">
        <v>4</v>
      </c>
      <c r="AB129" s="3">
        <v>4</v>
      </c>
      <c r="AC129" s="3">
        <v>4</v>
      </c>
      <c r="AD129" s="3">
        <v>4</v>
      </c>
      <c r="AE129" s="3">
        <v>4</v>
      </c>
      <c r="AF129" s="3">
        <v>4</v>
      </c>
      <c r="AG129" s="3">
        <v>4</v>
      </c>
      <c r="AH129" s="3">
        <v>4</v>
      </c>
      <c r="AI129" s="3">
        <v>4</v>
      </c>
      <c r="AJ129" s="3">
        <v>4</v>
      </c>
      <c r="AK129" s="3">
        <v>4</v>
      </c>
      <c r="AL129" s="3">
        <v>4</v>
      </c>
      <c r="AM129" s="3">
        <v>4</v>
      </c>
      <c r="AN129" s="3">
        <v>3</v>
      </c>
      <c r="AO129" s="3">
        <v>3</v>
      </c>
      <c r="AP129" s="3">
        <v>3</v>
      </c>
      <c r="AQ129" s="3">
        <v>3</v>
      </c>
      <c r="AR129" s="3">
        <v>4</v>
      </c>
      <c r="AS129" s="3">
        <v>3</v>
      </c>
      <c r="AT129" s="3">
        <v>4</v>
      </c>
      <c r="AU129" s="3">
        <v>4</v>
      </c>
      <c r="AV129" s="3">
        <v>3</v>
      </c>
      <c r="AW129" s="3">
        <v>5</v>
      </c>
      <c r="AX129" s="3">
        <v>4</v>
      </c>
      <c r="AY129" s="3">
        <v>4</v>
      </c>
      <c r="AZ129" s="3">
        <v>4</v>
      </c>
      <c r="BA129" s="3">
        <v>3</v>
      </c>
      <c r="BB129" s="3">
        <v>3</v>
      </c>
      <c r="BC129" s="3">
        <v>4</v>
      </c>
      <c r="BD129" s="3">
        <v>3</v>
      </c>
      <c r="BE129" s="3">
        <v>3</v>
      </c>
      <c r="BF129" s="3">
        <v>3</v>
      </c>
      <c r="BG129" s="3">
        <v>3</v>
      </c>
      <c r="BH129" s="3">
        <v>4</v>
      </c>
      <c r="BI129" s="3">
        <v>4</v>
      </c>
      <c r="BJ129" s="3">
        <v>4</v>
      </c>
      <c r="BK129" s="3">
        <v>4</v>
      </c>
      <c r="BL129" s="3">
        <v>4</v>
      </c>
      <c r="BM129" s="3">
        <v>4</v>
      </c>
      <c r="BN129" s="3">
        <v>3</v>
      </c>
      <c r="BO129" s="3">
        <v>4</v>
      </c>
      <c r="BP129" s="3" t="s">
        <v>408</v>
      </c>
    </row>
    <row r="130" spans="1:68" ht="22.5" customHeight="1" x14ac:dyDescent="0.25">
      <c r="A130" s="2">
        <v>45973.646037002312</v>
      </c>
      <c r="B130" s="3" t="s">
        <v>409</v>
      </c>
      <c r="C130" s="3" t="s">
        <v>69</v>
      </c>
      <c r="D130" s="3" t="s">
        <v>410</v>
      </c>
      <c r="E130" s="3" t="s">
        <v>77</v>
      </c>
      <c r="F130" s="3" t="s">
        <v>82</v>
      </c>
      <c r="G130" s="3" t="s">
        <v>91</v>
      </c>
      <c r="H130" s="3">
        <v>4</v>
      </c>
      <c r="I130" s="3">
        <v>4</v>
      </c>
      <c r="J130" s="3">
        <v>4</v>
      </c>
      <c r="K130" s="3">
        <v>4</v>
      </c>
      <c r="L130" s="3">
        <v>4</v>
      </c>
      <c r="M130" s="3">
        <v>4</v>
      </c>
      <c r="N130" s="3">
        <v>4</v>
      </c>
      <c r="O130" s="3">
        <v>4</v>
      </c>
      <c r="P130" s="3">
        <v>4</v>
      </c>
      <c r="Q130" s="3">
        <v>4</v>
      </c>
      <c r="R130" s="3">
        <v>4</v>
      </c>
      <c r="S130" s="3">
        <v>4</v>
      </c>
      <c r="T130" s="3">
        <v>4</v>
      </c>
      <c r="U130" s="3">
        <v>4</v>
      </c>
      <c r="V130" s="3">
        <v>3</v>
      </c>
      <c r="W130" s="3">
        <v>4</v>
      </c>
      <c r="X130" s="3">
        <v>4</v>
      </c>
      <c r="Y130" s="3">
        <v>3</v>
      </c>
      <c r="Z130" s="3">
        <v>4</v>
      </c>
      <c r="AA130" s="3">
        <v>3</v>
      </c>
      <c r="AB130" s="3">
        <v>4</v>
      </c>
      <c r="AC130" s="3">
        <v>3</v>
      </c>
      <c r="AD130" s="3">
        <v>4</v>
      </c>
      <c r="AE130" s="3">
        <v>4</v>
      </c>
      <c r="AF130" s="3">
        <v>4</v>
      </c>
      <c r="AG130" s="3">
        <v>4</v>
      </c>
      <c r="AH130" s="3">
        <v>3</v>
      </c>
      <c r="AI130" s="3">
        <v>4</v>
      </c>
      <c r="AJ130" s="3">
        <v>4</v>
      </c>
      <c r="AK130" s="3">
        <v>4</v>
      </c>
      <c r="AL130" s="3">
        <v>4</v>
      </c>
      <c r="AM130" s="3">
        <v>4</v>
      </c>
      <c r="AN130" s="3">
        <v>4</v>
      </c>
      <c r="AO130" s="3">
        <v>4</v>
      </c>
      <c r="AP130" s="3">
        <v>4</v>
      </c>
      <c r="AQ130" s="3">
        <v>4</v>
      </c>
      <c r="AR130" s="3">
        <v>4</v>
      </c>
      <c r="AS130" s="3">
        <v>3</v>
      </c>
      <c r="AT130" s="3">
        <v>4</v>
      </c>
      <c r="AU130" s="3">
        <v>4</v>
      </c>
      <c r="AV130" s="3">
        <v>4</v>
      </c>
      <c r="AW130" s="3">
        <v>4</v>
      </c>
      <c r="AX130" s="3">
        <v>4</v>
      </c>
      <c r="AY130" s="3">
        <v>4</v>
      </c>
      <c r="AZ130" s="3">
        <v>4</v>
      </c>
      <c r="BA130" s="3">
        <v>4</v>
      </c>
      <c r="BB130" s="3">
        <v>4</v>
      </c>
      <c r="BC130" s="3">
        <v>4</v>
      </c>
      <c r="BD130" s="3">
        <v>4</v>
      </c>
      <c r="BE130" s="3">
        <v>4</v>
      </c>
      <c r="BF130" s="3">
        <v>3</v>
      </c>
      <c r="BG130" s="3">
        <v>4</v>
      </c>
      <c r="BH130" s="3">
        <v>4</v>
      </c>
      <c r="BI130" s="3">
        <v>4</v>
      </c>
      <c r="BJ130" s="3">
        <v>4</v>
      </c>
      <c r="BK130" s="3">
        <v>4</v>
      </c>
      <c r="BL130" s="3">
        <v>4</v>
      </c>
      <c r="BM130" s="3">
        <v>4</v>
      </c>
      <c r="BN130" s="3">
        <v>4</v>
      </c>
      <c r="BO130" s="3">
        <v>4</v>
      </c>
      <c r="BP130" s="3" t="s">
        <v>411</v>
      </c>
    </row>
    <row r="131" spans="1:68" ht="22.5" customHeight="1" x14ac:dyDescent="0.25">
      <c r="A131" s="2">
        <v>45973.661039062499</v>
      </c>
      <c r="B131" s="3" t="s">
        <v>412</v>
      </c>
      <c r="C131" s="3" t="s">
        <v>86</v>
      </c>
      <c r="D131" s="3" t="s">
        <v>413</v>
      </c>
      <c r="E131" s="3" t="s">
        <v>71</v>
      </c>
      <c r="F131" s="3" t="s">
        <v>103</v>
      </c>
      <c r="G131" s="3" t="s">
        <v>83</v>
      </c>
      <c r="H131" s="3">
        <v>5</v>
      </c>
      <c r="I131" s="3">
        <v>5</v>
      </c>
      <c r="J131" s="3">
        <v>4</v>
      </c>
      <c r="K131" s="3">
        <v>4</v>
      </c>
      <c r="L131" s="3">
        <v>5</v>
      </c>
      <c r="M131" s="3">
        <v>3</v>
      </c>
      <c r="N131" s="3">
        <v>3</v>
      </c>
      <c r="O131" s="3">
        <v>5</v>
      </c>
      <c r="P131" s="3">
        <v>5</v>
      </c>
      <c r="Q131" s="3">
        <v>5</v>
      </c>
      <c r="R131" s="3">
        <v>5</v>
      </c>
      <c r="S131" s="3">
        <v>5</v>
      </c>
      <c r="T131" s="3">
        <v>5</v>
      </c>
      <c r="U131" s="3">
        <v>5</v>
      </c>
      <c r="V131" s="3">
        <v>4</v>
      </c>
      <c r="W131" s="3">
        <v>4</v>
      </c>
      <c r="X131" s="3">
        <v>4</v>
      </c>
      <c r="Y131" s="3">
        <v>5</v>
      </c>
      <c r="Z131" s="3">
        <v>5</v>
      </c>
      <c r="AA131" s="3">
        <v>5</v>
      </c>
      <c r="AB131" s="3">
        <v>3</v>
      </c>
      <c r="AC131" s="3">
        <v>2</v>
      </c>
      <c r="AD131" s="3">
        <v>5</v>
      </c>
      <c r="AE131" s="3">
        <v>4</v>
      </c>
      <c r="AF131" s="3">
        <v>4</v>
      </c>
      <c r="AG131" s="3">
        <v>4</v>
      </c>
      <c r="AH131" s="3">
        <v>4</v>
      </c>
      <c r="AI131" s="3">
        <v>5</v>
      </c>
      <c r="AJ131" s="3">
        <v>5</v>
      </c>
      <c r="AK131" s="3">
        <v>5</v>
      </c>
      <c r="AL131" s="3">
        <v>4</v>
      </c>
      <c r="AM131" s="3">
        <v>4</v>
      </c>
      <c r="AN131" s="3">
        <v>4</v>
      </c>
      <c r="AO131" s="3">
        <v>4</v>
      </c>
      <c r="AP131" s="3">
        <v>4</v>
      </c>
      <c r="AQ131" s="3">
        <v>4</v>
      </c>
      <c r="AR131" s="3">
        <v>4</v>
      </c>
      <c r="AS131" s="3">
        <v>4</v>
      </c>
      <c r="AT131" s="3">
        <v>4</v>
      </c>
      <c r="AU131" s="3">
        <v>4</v>
      </c>
      <c r="AV131" s="3">
        <v>4</v>
      </c>
      <c r="AW131" s="3">
        <v>5</v>
      </c>
      <c r="AX131" s="3">
        <v>5</v>
      </c>
      <c r="AY131" s="3">
        <v>5</v>
      </c>
      <c r="AZ131" s="3">
        <v>5</v>
      </c>
      <c r="BA131" s="3">
        <v>4</v>
      </c>
      <c r="BB131" s="3">
        <v>2</v>
      </c>
      <c r="BC131" s="3">
        <v>2</v>
      </c>
      <c r="BD131" s="3">
        <v>2</v>
      </c>
      <c r="BE131" s="3">
        <v>2</v>
      </c>
      <c r="BF131" s="3">
        <v>2</v>
      </c>
      <c r="BG131" s="3">
        <v>4</v>
      </c>
      <c r="BH131" s="3">
        <v>4</v>
      </c>
      <c r="BI131" s="3">
        <v>4</v>
      </c>
      <c r="BJ131" s="3">
        <v>5</v>
      </c>
      <c r="BK131" s="3">
        <v>5</v>
      </c>
      <c r="BL131" s="3">
        <v>5</v>
      </c>
      <c r="BM131" s="3">
        <v>5</v>
      </c>
      <c r="BN131" s="3">
        <v>5</v>
      </c>
      <c r="BO131" s="3">
        <v>5</v>
      </c>
      <c r="BP131" s="3" t="s">
        <v>414</v>
      </c>
    </row>
    <row r="132" spans="1:68" ht="22.5" customHeight="1" x14ac:dyDescent="0.25">
      <c r="A132" s="2">
        <v>45973.665123240746</v>
      </c>
      <c r="B132" s="3" t="s">
        <v>415</v>
      </c>
      <c r="C132" s="3" t="s">
        <v>69</v>
      </c>
      <c r="D132" s="3" t="s">
        <v>416</v>
      </c>
      <c r="E132" s="3" t="s">
        <v>77</v>
      </c>
      <c r="F132" s="3" t="s">
        <v>103</v>
      </c>
      <c r="G132" s="3" t="s">
        <v>73</v>
      </c>
      <c r="H132" s="3">
        <v>5</v>
      </c>
      <c r="I132" s="3">
        <v>5</v>
      </c>
      <c r="J132" s="3">
        <v>5</v>
      </c>
      <c r="K132" s="3">
        <v>5</v>
      </c>
      <c r="L132" s="3">
        <v>5</v>
      </c>
      <c r="M132" s="3">
        <v>3</v>
      </c>
      <c r="N132" s="3">
        <v>4</v>
      </c>
      <c r="O132" s="3">
        <v>4</v>
      </c>
      <c r="P132" s="3">
        <v>5</v>
      </c>
      <c r="Q132" s="3">
        <v>5</v>
      </c>
      <c r="R132" s="3">
        <v>5</v>
      </c>
      <c r="S132" s="3">
        <v>5</v>
      </c>
      <c r="T132" s="3">
        <v>5</v>
      </c>
      <c r="U132" s="3">
        <v>5</v>
      </c>
      <c r="V132" s="3">
        <v>4</v>
      </c>
      <c r="W132" s="3">
        <v>4</v>
      </c>
      <c r="X132" s="3">
        <v>4</v>
      </c>
      <c r="Y132" s="3">
        <v>4</v>
      </c>
      <c r="Z132" s="3">
        <v>4</v>
      </c>
      <c r="AA132" s="3">
        <v>4</v>
      </c>
      <c r="AB132" s="3">
        <v>4</v>
      </c>
      <c r="AC132" s="3">
        <v>4</v>
      </c>
      <c r="AD132" s="3">
        <v>4</v>
      </c>
      <c r="AE132" s="3">
        <v>5</v>
      </c>
      <c r="AF132" s="3">
        <v>5</v>
      </c>
      <c r="AG132" s="3">
        <v>4</v>
      </c>
      <c r="AH132" s="3">
        <v>4</v>
      </c>
      <c r="AI132" s="3">
        <v>5</v>
      </c>
      <c r="AJ132" s="3">
        <v>5</v>
      </c>
      <c r="AK132" s="3">
        <v>5</v>
      </c>
      <c r="AL132" s="3">
        <v>5</v>
      </c>
      <c r="AM132" s="3">
        <v>5</v>
      </c>
      <c r="AN132" s="3">
        <v>5</v>
      </c>
      <c r="AO132" s="3">
        <v>4</v>
      </c>
      <c r="AP132" s="3">
        <v>4</v>
      </c>
      <c r="AQ132" s="3">
        <v>4</v>
      </c>
      <c r="AR132" s="3">
        <v>4</v>
      </c>
      <c r="AS132" s="3">
        <v>5</v>
      </c>
      <c r="AT132" s="3">
        <v>5</v>
      </c>
      <c r="AU132" s="3">
        <v>5</v>
      </c>
      <c r="AV132" s="3">
        <v>4</v>
      </c>
      <c r="AW132" s="3">
        <v>5</v>
      </c>
      <c r="AX132" s="3">
        <v>5</v>
      </c>
      <c r="AY132" s="3">
        <v>5</v>
      </c>
      <c r="AZ132" s="3">
        <v>5</v>
      </c>
      <c r="BA132" s="3">
        <v>4</v>
      </c>
      <c r="BB132" s="3">
        <v>4</v>
      </c>
      <c r="BC132" s="3">
        <v>3</v>
      </c>
      <c r="BD132" s="3">
        <v>3</v>
      </c>
      <c r="BE132" s="3">
        <v>3</v>
      </c>
      <c r="BF132" s="3">
        <v>3</v>
      </c>
      <c r="BG132" s="3">
        <v>4</v>
      </c>
      <c r="BH132" s="3">
        <v>5</v>
      </c>
      <c r="BI132" s="3">
        <v>5</v>
      </c>
      <c r="BJ132" s="3">
        <v>5</v>
      </c>
      <c r="BK132" s="3">
        <v>5</v>
      </c>
      <c r="BL132" s="3">
        <v>5</v>
      </c>
      <c r="BM132" s="3">
        <v>5</v>
      </c>
      <c r="BN132" s="3">
        <v>4</v>
      </c>
      <c r="BO132" s="3">
        <v>5</v>
      </c>
      <c r="BP132" s="3" t="s">
        <v>417</v>
      </c>
    </row>
    <row r="133" spans="1:68" ht="22.5" customHeight="1" x14ac:dyDescent="0.25">
      <c r="A133" s="2">
        <v>45973.667952488424</v>
      </c>
      <c r="C133" s="3" t="s">
        <v>86</v>
      </c>
      <c r="D133" s="3" t="s">
        <v>418</v>
      </c>
      <c r="E133" s="3" t="s">
        <v>77</v>
      </c>
      <c r="F133" s="3" t="s">
        <v>88</v>
      </c>
      <c r="G133" s="3" t="s">
        <v>83</v>
      </c>
      <c r="H133" s="3">
        <v>4</v>
      </c>
      <c r="I133" s="3">
        <v>4</v>
      </c>
      <c r="J133" s="3">
        <v>3</v>
      </c>
      <c r="K133" s="3">
        <v>4</v>
      </c>
      <c r="L133" s="3">
        <v>4</v>
      </c>
      <c r="M133" s="3">
        <v>3</v>
      </c>
      <c r="N133" s="3">
        <v>4</v>
      </c>
      <c r="O133" s="3">
        <v>4</v>
      </c>
      <c r="P133" s="3">
        <v>4</v>
      </c>
      <c r="Q133" s="3">
        <v>4</v>
      </c>
      <c r="R133" s="3">
        <v>3</v>
      </c>
      <c r="S133" s="3">
        <v>4</v>
      </c>
      <c r="T133" s="3">
        <v>4</v>
      </c>
      <c r="U133" s="3">
        <v>4</v>
      </c>
      <c r="V133" s="3">
        <v>4</v>
      </c>
      <c r="W133" s="3">
        <v>4</v>
      </c>
      <c r="X133" s="3">
        <v>3</v>
      </c>
      <c r="Y133" s="3">
        <v>4</v>
      </c>
      <c r="Z133" s="3">
        <v>3</v>
      </c>
      <c r="AA133" s="3">
        <v>4</v>
      </c>
      <c r="AB133" s="3">
        <v>4</v>
      </c>
      <c r="AC133" s="3">
        <v>3</v>
      </c>
      <c r="AD133" s="3">
        <v>4</v>
      </c>
      <c r="AE133" s="3">
        <v>4</v>
      </c>
      <c r="AF133" s="3">
        <v>4</v>
      </c>
      <c r="AG133" s="3">
        <v>4</v>
      </c>
      <c r="AH133" s="3">
        <v>4</v>
      </c>
      <c r="AI133" s="3">
        <v>4</v>
      </c>
      <c r="AJ133" s="3">
        <v>4</v>
      </c>
      <c r="AK133" s="3">
        <v>4</v>
      </c>
      <c r="AL133" s="3">
        <v>4</v>
      </c>
      <c r="AM133" s="3">
        <v>3</v>
      </c>
      <c r="AN133" s="3">
        <v>4</v>
      </c>
      <c r="AO133" s="3">
        <v>4</v>
      </c>
      <c r="AP133" s="3">
        <v>4</v>
      </c>
      <c r="AQ133" s="3">
        <v>3</v>
      </c>
      <c r="AR133" s="3">
        <v>3</v>
      </c>
      <c r="AS133" s="3">
        <v>4</v>
      </c>
      <c r="AT133" s="3">
        <v>4</v>
      </c>
      <c r="AU133" s="3">
        <v>4</v>
      </c>
      <c r="AV133" s="3">
        <v>3</v>
      </c>
      <c r="AW133" s="3">
        <v>4</v>
      </c>
      <c r="AX133" s="3">
        <v>4</v>
      </c>
      <c r="AY133" s="3">
        <v>4</v>
      </c>
      <c r="AZ133" s="3">
        <v>4</v>
      </c>
      <c r="BA133" s="3">
        <v>3</v>
      </c>
      <c r="BB133" s="3">
        <v>3</v>
      </c>
      <c r="BC133" s="3">
        <v>3</v>
      </c>
      <c r="BD133" s="3">
        <v>3</v>
      </c>
      <c r="BE133" s="3">
        <v>3</v>
      </c>
      <c r="BF133" s="3">
        <v>3</v>
      </c>
      <c r="BG133" s="3">
        <v>4</v>
      </c>
      <c r="BH133" s="3">
        <v>4</v>
      </c>
      <c r="BI133" s="3">
        <v>4</v>
      </c>
      <c r="BJ133" s="3">
        <v>4</v>
      </c>
      <c r="BK133" s="3">
        <v>4</v>
      </c>
      <c r="BL133" s="3">
        <v>4</v>
      </c>
      <c r="BM133" s="3">
        <v>4</v>
      </c>
      <c r="BN133" s="3">
        <v>4</v>
      </c>
      <c r="BO133" s="3">
        <v>4</v>
      </c>
      <c r="BP133" s="3" t="s">
        <v>419</v>
      </c>
    </row>
    <row r="134" spans="1:68" ht="22.5" customHeight="1" x14ac:dyDescent="0.25">
      <c r="A134" s="2">
        <v>45973.676353495372</v>
      </c>
      <c r="B134" s="3" t="s">
        <v>420</v>
      </c>
      <c r="C134" s="3" t="s">
        <v>69</v>
      </c>
      <c r="D134" s="3" t="s">
        <v>421</v>
      </c>
      <c r="E134" s="3" t="s">
        <v>141</v>
      </c>
      <c r="F134" s="3" t="s">
        <v>72</v>
      </c>
      <c r="G134" s="3" t="s">
        <v>73</v>
      </c>
      <c r="H134" s="3">
        <v>5</v>
      </c>
      <c r="I134" s="3">
        <v>4</v>
      </c>
      <c r="J134" s="3">
        <v>4</v>
      </c>
      <c r="K134" s="3">
        <v>5</v>
      </c>
      <c r="L134" s="3">
        <v>5</v>
      </c>
      <c r="M134" s="3">
        <v>4</v>
      </c>
      <c r="N134" s="3">
        <v>4</v>
      </c>
      <c r="O134" s="3">
        <v>5</v>
      </c>
      <c r="P134" s="3">
        <v>5</v>
      </c>
      <c r="Q134" s="3">
        <v>5</v>
      </c>
      <c r="R134" s="3">
        <v>5</v>
      </c>
      <c r="S134" s="3">
        <v>5</v>
      </c>
      <c r="T134" s="3">
        <v>5</v>
      </c>
      <c r="U134" s="3">
        <v>5</v>
      </c>
      <c r="V134" s="3">
        <v>4</v>
      </c>
      <c r="W134" s="3">
        <v>4</v>
      </c>
      <c r="X134" s="3">
        <v>4</v>
      </c>
      <c r="Y134" s="3">
        <v>4</v>
      </c>
      <c r="Z134" s="3">
        <v>4</v>
      </c>
      <c r="AA134" s="3">
        <v>5</v>
      </c>
      <c r="AB134" s="3">
        <v>4</v>
      </c>
      <c r="AC134" s="3">
        <v>4</v>
      </c>
      <c r="AD134" s="3">
        <v>5</v>
      </c>
      <c r="AE134" s="3">
        <v>5</v>
      </c>
      <c r="AF134" s="3">
        <v>5</v>
      </c>
      <c r="AG134" s="3">
        <v>5</v>
      </c>
      <c r="AH134" s="3">
        <v>5</v>
      </c>
      <c r="AI134" s="3">
        <v>5</v>
      </c>
      <c r="AJ134" s="3">
        <v>5</v>
      </c>
      <c r="AK134" s="3">
        <v>5</v>
      </c>
      <c r="AL134" s="3">
        <v>4</v>
      </c>
      <c r="AM134" s="3">
        <v>5</v>
      </c>
      <c r="AN134" s="3">
        <v>4</v>
      </c>
      <c r="AO134" s="3">
        <v>4</v>
      </c>
      <c r="AP134" s="3">
        <v>3</v>
      </c>
      <c r="AQ134" s="3">
        <v>4</v>
      </c>
      <c r="AR134" s="3">
        <v>5</v>
      </c>
      <c r="AS134" s="3">
        <v>4</v>
      </c>
      <c r="AT134" s="3">
        <v>5</v>
      </c>
      <c r="AU134" s="3">
        <v>5</v>
      </c>
      <c r="AV134" s="3">
        <v>5</v>
      </c>
      <c r="AW134" s="3">
        <v>4</v>
      </c>
      <c r="AX134" s="3">
        <v>5</v>
      </c>
      <c r="AY134" s="3">
        <v>5</v>
      </c>
      <c r="AZ134" s="3">
        <v>4</v>
      </c>
      <c r="BA134" s="3">
        <v>4</v>
      </c>
      <c r="BB134" s="3">
        <v>4</v>
      </c>
      <c r="BC134" s="3">
        <v>4</v>
      </c>
      <c r="BD134" s="3">
        <v>4</v>
      </c>
      <c r="BE134" s="3">
        <v>4</v>
      </c>
      <c r="BF134" s="3">
        <v>4</v>
      </c>
      <c r="BG134" s="3">
        <v>4</v>
      </c>
      <c r="BH134" s="3">
        <v>4</v>
      </c>
      <c r="BI134" s="3">
        <v>4</v>
      </c>
      <c r="BJ134" s="3">
        <v>4</v>
      </c>
      <c r="BK134" s="3">
        <v>4</v>
      </c>
      <c r="BL134" s="3">
        <v>4</v>
      </c>
      <c r="BM134" s="3">
        <v>4</v>
      </c>
      <c r="BN134" s="3">
        <v>4</v>
      </c>
      <c r="BO134" s="3">
        <v>4</v>
      </c>
      <c r="BP134" s="3" t="s">
        <v>422</v>
      </c>
    </row>
    <row r="135" spans="1:68" ht="22.5" customHeight="1" x14ac:dyDescent="0.25">
      <c r="A135" s="2">
        <v>45973.680321990745</v>
      </c>
      <c r="B135" s="3" t="s">
        <v>322</v>
      </c>
      <c r="C135" s="3" t="s">
        <v>69</v>
      </c>
      <c r="D135" s="3" t="s">
        <v>423</v>
      </c>
      <c r="E135" s="3" t="s">
        <v>71</v>
      </c>
      <c r="F135" s="3" t="s">
        <v>82</v>
      </c>
      <c r="G135" s="3" t="s">
        <v>73</v>
      </c>
      <c r="H135" s="3">
        <v>4</v>
      </c>
      <c r="I135" s="3">
        <v>4</v>
      </c>
      <c r="J135" s="3">
        <v>4</v>
      </c>
      <c r="K135" s="3">
        <v>4</v>
      </c>
      <c r="L135" s="3">
        <v>4</v>
      </c>
      <c r="M135" s="3">
        <v>4</v>
      </c>
      <c r="N135" s="3">
        <v>4</v>
      </c>
      <c r="O135" s="3">
        <v>4</v>
      </c>
      <c r="P135" s="3">
        <v>4</v>
      </c>
      <c r="Q135" s="3">
        <v>4</v>
      </c>
      <c r="R135" s="3">
        <v>4</v>
      </c>
      <c r="S135" s="3">
        <v>4</v>
      </c>
      <c r="T135" s="3">
        <v>4</v>
      </c>
      <c r="U135" s="3">
        <v>4</v>
      </c>
      <c r="V135" s="3">
        <v>4</v>
      </c>
      <c r="W135" s="3">
        <v>4</v>
      </c>
      <c r="X135" s="3">
        <v>4</v>
      </c>
      <c r="Y135" s="3">
        <v>4</v>
      </c>
      <c r="Z135" s="3">
        <v>4</v>
      </c>
      <c r="AA135" s="3">
        <v>3</v>
      </c>
      <c r="AB135" s="3">
        <v>3</v>
      </c>
      <c r="AC135" s="3">
        <v>2</v>
      </c>
      <c r="AD135" s="3">
        <v>3</v>
      </c>
      <c r="AE135" s="3">
        <v>4</v>
      </c>
      <c r="AF135" s="3">
        <v>4</v>
      </c>
      <c r="AG135" s="3">
        <v>4</v>
      </c>
      <c r="AH135" s="3">
        <v>4</v>
      </c>
      <c r="AI135" s="3">
        <v>4</v>
      </c>
      <c r="AJ135" s="3">
        <v>4</v>
      </c>
      <c r="AK135" s="3">
        <v>4</v>
      </c>
      <c r="AL135" s="3">
        <v>4</v>
      </c>
      <c r="AM135" s="3">
        <v>4</v>
      </c>
      <c r="AN135" s="3">
        <v>4</v>
      </c>
      <c r="AO135" s="3">
        <v>4</v>
      </c>
      <c r="AP135" s="3">
        <v>4</v>
      </c>
      <c r="AQ135" s="3">
        <v>4</v>
      </c>
      <c r="AR135" s="3">
        <v>4</v>
      </c>
      <c r="AS135" s="3">
        <v>3</v>
      </c>
      <c r="AT135" s="3">
        <v>3</v>
      </c>
      <c r="AU135" s="3">
        <v>4</v>
      </c>
      <c r="AV135" s="3">
        <v>4</v>
      </c>
      <c r="AW135" s="3">
        <v>4</v>
      </c>
      <c r="AX135" s="3">
        <v>4</v>
      </c>
      <c r="AY135" s="3">
        <v>4</v>
      </c>
      <c r="AZ135" s="3">
        <v>4</v>
      </c>
      <c r="BA135" s="3">
        <v>4</v>
      </c>
      <c r="BB135" s="3">
        <v>4</v>
      </c>
      <c r="BC135" s="3">
        <v>4</v>
      </c>
      <c r="BD135" s="3">
        <v>4</v>
      </c>
      <c r="BE135" s="3">
        <v>4</v>
      </c>
      <c r="BF135" s="3">
        <v>4</v>
      </c>
      <c r="BG135" s="3">
        <v>4</v>
      </c>
      <c r="BH135" s="3">
        <v>4</v>
      </c>
      <c r="BI135" s="3">
        <v>4</v>
      </c>
      <c r="BJ135" s="3">
        <v>4</v>
      </c>
      <c r="BK135" s="3">
        <v>4</v>
      </c>
      <c r="BL135" s="3">
        <v>4</v>
      </c>
      <c r="BM135" s="3">
        <v>4</v>
      </c>
      <c r="BN135" s="3">
        <v>4</v>
      </c>
      <c r="BO135" s="3">
        <v>4</v>
      </c>
      <c r="BP135" s="3" t="s">
        <v>424</v>
      </c>
    </row>
    <row r="136" spans="1:68" ht="22.5" customHeight="1" x14ac:dyDescent="0.25">
      <c r="A136" s="2">
        <v>45973.708139131944</v>
      </c>
      <c r="B136" s="3" t="s">
        <v>425</v>
      </c>
      <c r="C136" s="3" t="s">
        <v>69</v>
      </c>
      <c r="D136" s="3" t="s">
        <v>426</v>
      </c>
      <c r="E136" s="3" t="s">
        <v>71</v>
      </c>
      <c r="F136" s="3" t="s">
        <v>72</v>
      </c>
      <c r="G136" s="3" t="s">
        <v>83</v>
      </c>
      <c r="H136" s="3">
        <v>5</v>
      </c>
      <c r="I136" s="3">
        <v>5</v>
      </c>
      <c r="J136" s="3">
        <v>5</v>
      </c>
      <c r="K136" s="3">
        <v>4</v>
      </c>
      <c r="L136" s="3">
        <v>5</v>
      </c>
      <c r="M136" s="3">
        <v>4</v>
      </c>
      <c r="N136" s="3">
        <v>4</v>
      </c>
      <c r="O136" s="3">
        <v>5</v>
      </c>
      <c r="P136" s="3">
        <v>5</v>
      </c>
      <c r="Q136" s="3">
        <v>5</v>
      </c>
      <c r="R136" s="3">
        <v>5</v>
      </c>
      <c r="S136" s="3">
        <v>5</v>
      </c>
      <c r="T136" s="3">
        <v>5</v>
      </c>
      <c r="U136" s="3">
        <v>5</v>
      </c>
      <c r="V136" s="3">
        <v>4</v>
      </c>
      <c r="W136" s="3">
        <v>4</v>
      </c>
      <c r="X136" s="3">
        <v>4</v>
      </c>
      <c r="Y136" s="3">
        <v>5</v>
      </c>
      <c r="Z136" s="3">
        <v>4</v>
      </c>
      <c r="AA136" s="3">
        <v>5</v>
      </c>
      <c r="AB136" s="3">
        <v>4</v>
      </c>
      <c r="AC136" s="3">
        <v>5</v>
      </c>
      <c r="AD136" s="3">
        <v>5</v>
      </c>
      <c r="AE136" s="3">
        <v>5</v>
      </c>
      <c r="AF136" s="3">
        <v>5</v>
      </c>
      <c r="AG136" s="3">
        <v>5</v>
      </c>
      <c r="AH136" s="3">
        <v>5</v>
      </c>
      <c r="AI136" s="3">
        <v>5</v>
      </c>
      <c r="AJ136" s="3">
        <v>5</v>
      </c>
      <c r="AK136" s="3">
        <v>5</v>
      </c>
      <c r="AL136" s="3">
        <v>5</v>
      </c>
      <c r="AM136" s="3">
        <v>5</v>
      </c>
      <c r="AN136" s="3">
        <v>4</v>
      </c>
      <c r="AO136" s="3">
        <v>4</v>
      </c>
      <c r="AP136" s="3">
        <v>4</v>
      </c>
      <c r="AQ136" s="3">
        <v>5</v>
      </c>
      <c r="AR136" s="3">
        <v>4</v>
      </c>
      <c r="AS136" s="3">
        <v>4</v>
      </c>
      <c r="AT136" s="3">
        <v>5</v>
      </c>
      <c r="AU136" s="3">
        <v>4</v>
      </c>
      <c r="AV136" s="3">
        <v>5</v>
      </c>
      <c r="AW136" s="3">
        <v>5</v>
      </c>
      <c r="AX136" s="3">
        <v>5</v>
      </c>
      <c r="AY136" s="3">
        <v>5</v>
      </c>
      <c r="AZ136" s="3">
        <v>5</v>
      </c>
      <c r="BA136" s="3">
        <v>4</v>
      </c>
      <c r="BB136" s="3">
        <v>4</v>
      </c>
      <c r="BC136" s="3">
        <v>4</v>
      </c>
      <c r="BD136" s="3">
        <v>5</v>
      </c>
      <c r="BE136" s="3">
        <v>4</v>
      </c>
      <c r="BF136" s="3">
        <v>4</v>
      </c>
      <c r="BG136" s="3">
        <v>5</v>
      </c>
      <c r="BH136" s="3">
        <v>5</v>
      </c>
      <c r="BI136" s="3">
        <v>5</v>
      </c>
      <c r="BJ136" s="3">
        <v>5</v>
      </c>
      <c r="BK136" s="3">
        <v>5</v>
      </c>
      <c r="BL136" s="3">
        <v>5</v>
      </c>
      <c r="BM136" s="3">
        <v>5</v>
      </c>
      <c r="BN136" s="3">
        <v>5</v>
      </c>
      <c r="BO136" s="3">
        <v>5</v>
      </c>
      <c r="BP136" s="3" t="s">
        <v>427</v>
      </c>
    </row>
    <row r="137" spans="1:68" ht="22.5" customHeight="1" x14ac:dyDescent="0.25">
      <c r="A137" s="2">
        <v>45973.85021819445</v>
      </c>
      <c r="B137" s="3" t="s">
        <v>428</v>
      </c>
      <c r="C137" s="3" t="s">
        <v>69</v>
      </c>
      <c r="D137" s="3" t="s">
        <v>429</v>
      </c>
      <c r="E137" s="3" t="s">
        <v>119</v>
      </c>
      <c r="F137" s="3" t="s">
        <v>103</v>
      </c>
      <c r="G137" s="3" t="s">
        <v>73</v>
      </c>
      <c r="H137" s="3">
        <v>5</v>
      </c>
      <c r="I137" s="3">
        <v>5</v>
      </c>
      <c r="J137" s="3">
        <v>5</v>
      </c>
      <c r="K137" s="3">
        <v>5</v>
      </c>
      <c r="L137" s="3">
        <v>5</v>
      </c>
      <c r="M137" s="3">
        <v>5</v>
      </c>
      <c r="N137" s="3">
        <v>5</v>
      </c>
      <c r="O137" s="3">
        <v>5</v>
      </c>
      <c r="P137" s="3">
        <v>5</v>
      </c>
      <c r="Q137" s="3">
        <v>5</v>
      </c>
      <c r="R137" s="3">
        <v>5</v>
      </c>
      <c r="S137" s="3">
        <v>5</v>
      </c>
      <c r="T137" s="3">
        <v>5</v>
      </c>
      <c r="U137" s="3">
        <v>5</v>
      </c>
      <c r="V137" s="3">
        <v>5</v>
      </c>
      <c r="W137" s="3">
        <v>5</v>
      </c>
      <c r="X137" s="3">
        <v>5</v>
      </c>
      <c r="Y137" s="3">
        <v>5</v>
      </c>
      <c r="Z137" s="3">
        <v>5</v>
      </c>
      <c r="AA137" s="3">
        <v>5</v>
      </c>
      <c r="AB137" s="3">
        <v>5</v>
      </c>
      <c r="AC137" s="3">
        <v>5</v>
      </c>
      <c r="AD137" s="3">
        <v>5</v>
      </c>
      <c r="AE137" s="3">
        <v>5</v>
      </c>
      <c r="AF137" s="3">
        <v>5</v>
      </c>
      <c r="AG137" s="3">
        <v>5</v>
      </c>
      <c r="AH137" s="3">
        <v>5</v>
      </c>
      <c r="AI137" s="3">
        <v>3</v>
      </c>
      <c r="AJ137" s="3">
        <v>5</v>
      </c>
      <c r="AK137" s="3">
        <v>3</v>
      </c>
      <c r="AL137" s="3">
        <v>5</v>
      </c>
      <c r="AM137" s="3">
        <v>5</v>
      </c>
      <c r="AN137" s="3">
        <v>5</v>
      </c>
      <c r="AO137" s="3">
        <v>5</v>
      </c>
      <c r="AP137" s="3">
        <v>5</v>
      </c>
      <c r="AQ137" s="3">
        <v>5</v>
      </c>
      <c r="AR137" s="3">
        <v>5</v>
      </c>
      <c r="AS137" s="3">
        <v>5</v>
      </c>
      <c r="AT137" s="3">
        <v>5</v>
      </c>
      <c r="AU137" s="3">
        <v>5</v>
      </c>
      <c r="AV137" s="3">
        <v>5</v>
      </c>
      <c r="AW137" s="3">
        <v>5</v>
      </c>
      <c r="AX137" s="3">
        <v>5</v>
      </c>
      <c r="AY137" s="3">
        <v>5</v>
      </c>
      <c r="AZ137" s="3">
        <v>5</v>
      </c>
      <c r="BA137" s="3">
        <v>5</v>
      </c>
      <c r="BB137" s="3">
        <v>5</v>
      </c>
      <c r="BC137" s="3">
        <v>5</v>
      </c>
      <c r="BD137" s="3">
        <v>5</v>
      </c>
      <c r="BE137" s="3">
        <v>5</v>
      </c>
      <c r="BF137" s="3">
        <v>5</v>
      </c>
      <c r="BG137" s="3">
        <v>5</v>
      </c>
      <c r="BH137" s="3">
        <v>5</v>
      </c>
      <c r="BI137" s="3">
        <v>5</v>
      </c>
      <c r="BJ137" s="3">
        <v>5</v>
      </c>
      <c r="BK137" s="3">
        <v>3</v>
      </c>
      <c r="BL137" s="3">
        <v>5</v>
      </c>
      <c r="BM137" s="3">
        <v>5</v>
      </c>
      <c r="BN137" s="3">
        <v>5</v>
      </c>
      <c r="BO137" s="3">
        <v>5</v>
      </c>
      <c r="BP137" s="3" t="s">
        <v>430</v>
      </c>
    </row>
    <row r="138" spans="1:68" ht="22.5" customHeight="1" x14ac:dyDescent="0.25">
      <c r="A138" s="2">
        <v>45973.851913900464</v>
      </c>
      <c r="C138" s="3" t="s">
        <v>69</v>
      </c>
      <c r="D138" s="3" t="s">
        <v>431</v>
      </c>
      <c r="E138" s="3" t="s">
        <v>119</v>
      </c>
      <c r="F138" s="3" t="s">
        <v>103</v>
      </c>
      <c r="G138" s="3" t="s">
        <v>83</v>
      </c>
      <c r="H138" s="3">
        <v>5</v>
      </c>
      <c r="I138" s="3">
        <v>4</v>
      </c>
      <c r="J138" s="3">
        <v>4</v>
      </c>
      <c r="K138" s="3">
        <v>4</v>
      </c>
      <c r="L138" s="3">
        <v>5</v>
      </c>
      <c r="M138" s="3">
        <v>3</v>
      </c>
      <c r="N138" s="3">
        <v>3</v>
      </c>
      <c r="O138" s="3">
        <v>4</v>
      </c>
      <c r="P138" s="3">
        <v>5</v>
      </c>
      <c r="Q138" s="3">
        <v>4</v>
      </c>
      <c r="R138" s="3">
        <v>4</v>
      </c>
      <c r="S138" s="3">
        <v>5</v>
      </c>
      <c r="T138" s="3">
        <v>5</v>
      </c>
      <c r="U138" s="3">
        <v>5</v>
      </c>
      <c r="V138" s="3">
        <v>4</v>
      </c>
      <c r="W138" s="3">
        <v>4</v>
      </c>
      <c r="X138" s="3">
        <v>4</v>
      </c>
      <c r="Y138" s="3">
        <v>4</v>
      </c>
      <c r="Z138" s="3">
        <v>4</v>
      </c>
      <c r="AA138" s="3">
        <v>4</v>
      </c>
      <c r="AB138" s="3">
        <v>3</v>
      </c>
      <c r="AC138" s="3">
        <v>2</v>
      </c>
      <c r="AD138" s="3">
        <v>4</v>
      </c>
      <c r="AE138" s="3">
        <v>5</v>
      </c>
      <c r="AF138" s="3">
        <v>5</v>
      </c>
      <c r="AG138" s="3">
        <v>4</v>
      </c>
      <c r="AH138" s="3">
        <v>4</v>
      </c>
      <c r="AI138" s="3">
        <v>4</v>
      </c>
      <c r="AJ138" s="3">
        <v>4</v>
      </c>
      <c r="AK138" s="3">
        <v>4</v>
      </c>
      <c r="AL138" s="3">
        <v>4</v>
      </c>
      <c r="AM138" s="3">
        <v>4</v>
      </c>
      <c r="AN138" s="3">
        <v>4</v>
      </c>
      <c r="AO138" s="3">
        <v>3</v>
      </c>
      <c r="AP138" s="3">
        <v>4</v>
      </c>
      <c r="AQ138" s="3">
        <v>4</v>
      </c>
      <c r="AR138" s="3">
        <v>4</v>
      </c>
      <c r="AS138" s="3">
        <v>3</v>
      </c>
      <c r="AT138" s="3">
        <v>4</v>
      </c>
      <c r="AU138" s="3">
        <v>4</v>
      </c>
      <c r="AV138" s="3">
        <v>4</v>
      </c>
      <c r="AW138" s="3">
        <v>4</v>
      </c>
      <c r="AX138" s="3">
        <v>4</v>
      </c>
      <c r="AY138" s="3">
        <v>4</v>
      </c>
      <c r="AZ138" s="3">
        <v>5</v>
      </c>
      <c r="BA138" s="3">
        <v>4</v>
      </c>
      <c r="BB138" s="3">
        <v>3</v>
      </c>
      <c r="BC138" s="3">
        <v>3</v>
      </c>
      <c r="BD138" s="3">
        <v>2</v>
      </c>
      <c r="BE138" s="3">
        <v>3</v>
      </c>
      <c r="BF138" s="3">
        <v>3</v>
      </c>
      <c r="BG138" s="3">
        <v>4</v>
      </c>
      <c r="BH138" s="3">
        <v>4</v>
      </c>
      <c r="BI138" s="3">
        <v>4</v>
      </c>
      <c r="BJ138" s="3">
        <v>4</v>
      </c>
      <c r="BK138" s="3">
        <v>4</v>
      </c>
      <c r="BL138" s="3">
        <v>4</v>
      </c>
      <c r="BM138" s="3">
        <v>4</v>
      </c>
      <c r="BN138" s="3">
        <v>4</v>
      </c>
      <c r="BO138" s="3">
        <v>5</v>
      </c>
      <c r="BP138" s="3" t="s">
        <v>432</v>
      </c>
    </row>
    <row r="139" spans="1:68" ht="22.5" customHeight="1" x14ac:dyDescent="0.25">
      <c r="A139" s="2">
        <v>45973.893292488428</v>
      </c>
      <c r="B139" s="3" t="s">
        <v>433</v>
      </c>
      <c r="C139" s="3" t="s">
        <v>86</v>
      </c>
      <c r="D139" s="3" t="s">
        <v>434</v>
      </c>
      <c r="E139" s="3" t="s">
        <v>119</v>
      </c>
      <c r="F139" s="3" t="s">
        <v>103</v>
      </c>
      <c r="G139" s="3" t="s">
        <v>73</v>
      </c>
      <c r="H139" s="3">
        <v>5</v>
      </c>
      <c r="I139" s="3">
        <v>4</v>
      </c>
      <c r="J139" s="3">
        <v>4</v>
      </c>
      <c r="K139" s="3">
        <v>4</v>
      </c>
      <c r="L139" s="3">
        <v>4</v>
      </c>
      <c r="M139" s="3">
        <v>3</v>
      </c>
      <c r="N139" s="3">
        <v>3</v>
      </c>
      <c r="O139" s="3">
        <v>4</v>
      </c>
      <c r="P139" s="3">
        <v>5</v>
      </c>
      <c r="Q139" s="3">
        <v>4</v>
      </c>
      <c r="R139" s="3">
        <v>5</v>
      </c>
      <c r="S139" s="3">
        <v>5</v>
      </c>
      <c r="T139" s="3">
        <v>5</v>
      </c>
      <c r="U139" s="3">
        <v>5</v>
      </c>
      <c r="V139" s="3">
        <v>4</v>
      </c>
      <c r="W139" s="3">
        <v>4</v>
      </c>
      <c r="X139" s="3">
        <v>3</v>
      </c>
      <c r="Y139" s="3">
        <v>4</v>
      </c>
      <c r="Z139" s="3">
        <v>4</v>
      </c>
      <c r="AA139" s="3">
        <v>2</v>
      </c>
      <c r="AB139" s="3">
        <v>2</v>
      </c>
      <c r="AC139" s="3">
        <v>3</v>
      </c>
      <c r="AD139" s="3">
        <v>3</v>
      </c>
      <c r="AE139" s="3">
        <v>4</v>
      </c>
      <c r="AF139" s="3">
        <v>4</v>
      </c>
      <c r="AG139" s="3">
        <v>3</v>
      </c>
      <c r="AH139" s="3">
        <v>3</v>
      </c>
      <c r="AI139" s="3">
        <v>5</v>
      </c>
      <c r="AJ139" s="3">
        <v>5</v>
      </c>
      <c r="AK139" s="3">
        <v>4</v>
      </c>
      <c r="AL139" s="3">
        <v>4</v>
      </c>
      <c r="AM139" s="3">
        <v>4</v>
      </c>
      <c r="AN139" s="3">
        <v>3</v>
      </c>
      <c r="AO139" s="3">
        <v>3</v>
      </c>
      <c r="AP139" s="3">
        <v>4</v>
      </c>
      <c r="AQ139" s="3">
        <v>3</v>
      </c>
      <c r="AR139" s="3">
        <v>2</v>
      </c>
      <c r="AS139" s="3">
        <v>4</v>
      </c>
      <c r="AT139" s="3">
        <v>4</v>
      </c>
      <c r="AU139" s="3">
        <v>4</v>
      </c>
      <c r="AV139" s="3">
        <v>4</v>
      </c>
      <c r="AW139" s="3">
        <v>4</v>
      </c>
      <c r="AX139" s="3">
        <v>4</v>
      </c>
      <c r="AY139" s="3">
        <v>4</v>
      </c>
      <c r="AZ139" s="3">
        <v>4</v>
      </c>
      <c r="BA139" s="3">
        <v>3</v>
      </c>
      <c r="BB139" s="3">
        <v>2</v>
      </c>
      <c r="BC139" s="3">
        <v>2</v>
      </c>
      <c r="BD139" s="3">
        <v>2</v>
      </c>
      <c r="BE139" s="3">
        <v>2</v>
      </c>
      <c r="BF139" s="3">
        <v>2</v>
      </c>
      <c r="BG139" s="3">
        <v>3</v>
      </c>
      <c r="BH139" s="3">
        <v>4</v>
      </c>
      <c r="BI139" s="3">
        <v>4</v>
      </c>
      <c r="BJ139" s="3">
        <v>4</v>
      </c>
      <c r="BK139" s="3">
        <v>4</v>
      </c>
      <c r="BL139" s="3">
        <v>4</v>
      </c>
      <c r="BM139" s="3">
        <v>4</v>
      </c>
      <c r="BN139" s="3">
        <v>3</v>
      </c>
      <c r="BO139" s="3">
        <v>4</v>
      </c>
      <c r="BP139" s="3" t="s">
        <v>435</v>
      </c>
    </row>
    <row r="140" spans="1:68" ht="22.5" customHeight="1" x14ac:dyDescent="0.25">
      <c r="A140" s="2">
        <v>45973.896545798612</v>
      </c>
      <c r="B140" s="3" t="s">
        <v>436</v>
      </c>
      <c r="C140" s="3" t="s">
        <v>69</v>
      </c>
      <c r="D140" s="3" t="s">
        <v>437</v>
      </c>
      <c r="E140" s="3" t="s">
        <v>119</v>
      </c>
      <c r="F140" s="3" t="s">
        <v>82</v>
      </c>
      <c r="G140" s="3" t="s">
        <v>73</v>
      </c>
      <c r="H140" s="3">
        <v>4</v>
      </c>
      <c r="I140" s="3">
        <v>4</v>
      </c>
      <c r="J140" s="3">
        <v>4</v>
      </c>
      <c r="K140" s="3">
        <v>4</v>
      </c>
      <c r="L140" s="3">
        <v>4</v>
      </c>
      <c r="M140" s="3">
        <v>4</v>
      </c>
      <c r="N140" s="3">
        <v>3</v>
      </c>
      <c r="O140" s="3">
        <v>4</v>
      </c>
      <c r="P140" s="3">
        <v>3</v>
      </c>
      <c r="Q140" s="3">
        <v>4</v>
      </c>
      <c r="R140" s="3">
        <v>3</v>
      </c>
      <c r="S140" s="3">
        <v>4</v>
      </c>
      <c r="T140" s="3">
        <v>3</v>
      </c>
      <c r="U140" s="3">
        <v>4</v>
      </c>
      <c r="V140" s="3">
        <v>3</v>
      </c>
      <c r="W140" s="3">
        <v>4</v>
      </c>
      <c r="X140" s="3">
        <v>4</v>
      </c>
      <c r="Y140" s="3">
        <v>5</v>
      </c>
      <c r="Z140" s="3">
        <v>4</v>
      </c>
      <c r="AA140" s="3">
        <v>4</v>
      </c>
      <c r="AB140" s="3">
        <v>4</v>
      </c>
      <c r="AC140" s="3">
        <v>4</v>
      </c>
      <c r="AD140" s="3">
        <v>4</v>
      </c>
      <c r="AE140" s="3">
        <v>4</v>
      </c>
      <c r="AF140" s="3">
        <v>4</v>
      </c>
      <c r="AG140" s="3">
        <v>4</v>
      </c>
      <c r="AH140" s="3">
        <v>4</v>
      </c>
      <c r="AI140" s="3">
        <v>4</v>
      </c>
      <c r="AJ140" s="3">
        <v>4</v>
      </c>
      <c r="AK140" s="3">
        <v>4</v>
      </c>
      <c r="AL140" s="3">
        <v>4</v>
      </c>
      <c r="AM140" s="3">
        <v>3</v>
      </c>
      <c r="AN140" s="3">
        <v>4</v>
      </c>
      <c r="AO140" s="3">
        <v>3</v>
      </c>
      <c r="AP140" s="3">
        <v>4</v>
      </c>
      <c r="AQ140" s="3">
        <v>3</v>
      </c>
      <c r="AR140" s="3">
        <v>4</v>
      </c>
      <c r="AS140" s="3">
        <v>3</v>
      </c>
      <c r="AT140" s="3">
        <v>4</v>
      </c>
      <c r="AU140" s="3">
        <v>4</v>
      </c>
      <c r="AV140" s="3">
        <v>4</v>
      </c>
      <c r="AW140" s="3">
        <v>4</v>
      </c>
      <c r="AX140" s="3">
        <v>4</v>
      </c>
      <c r="AY140" s="3">
        <v>4</v>
      </c>
      <c r="AZ140" s="3">
        <v>4</v>
      </c>
      <c r="BA140" s="3">
        <v>4</v>
      </c>
      <c r="BB140" s="3">
        <v>4</v>
      </c>
      <c r="BC140" s="3">
        <v>4</v>
      </c>
      <c r="BD140" s="3">
        <v>4</v>
      </c>
      <c r="BE140" s="3">
        <v>4</v>
      </c>
      <c r="BF140" s="3">
        <v>4</v>
      </c>
      <c r="BG140" s="3">
        <v>4</v>
      </c>
      <c r="BH140" s="3">
        <v>4</v>
      </c>
      <c r="BI140" s="3">
        <v>4</v>
      </c>
      <c r="BJ140" s="3">
        <v>4</v>
      </c>
      <c r="BK140" s="3">
        <v>4</v>
      </c>
      <c r="BL140" s="3">
        <v>4</v>
      </c>
      <c r="BM140" s="3">
        <v>3</v>
      </c>
      <c r="BN140" s="3">
        <v>4</v>
      </c>
      <c r="BO140" s="3">
        <v>3</v>
      </c>
      <c r="BP140" s="3" t="s">
        <v>438</v>
      </c>
    </row>
    <row r="141" spans="1:68" ht="22.5" customHeight="1" x14ac:dyDescent="0.25">
      <c r="A141" s="2">
        <v>45973.932838981476</v>
      </c>
      <c r="B141" s="3" t="s">
        <v>439</v>
      </c>
      <c r="C141" s="3" t="s">
        <v>69</v>
      </c>
      <c r="D141" s="3" t="s">
        <v>440</v>
      </c>
      <c r="E141" s="3" t="s">
        <v>119</v>
      </c>
      <c r="F141" s="3" t="s">
        <v>72</v>
      </c>
      <c r="G141" s="3" t="s">
        <v>73</v>
      </c>
      <c r="H141" s="3">
        <v>5</v>
      </c>
      <c r="I141" s="3">
        <v>5</v>
      </c>
      <c r="J141" s="3">
        <v>5</v>
      </c>
      <c r="K141" s="3">
        <v>4</v>
      </c>
      <c r="L141" s="3">
        <v>5</v>
      </c>
      <c r="M141" s="3">
        <v>4</v>
      </c>
      <c r="N141" s="3">
        <v>4</v>
      </c>
      <c r="O141" s="3">
        <v>4</v>
      </c>
      <c r="P141" s="3">
        <v>5</v>
      </c>
      <c r="Q141" s="3">
        <v>5</v>
      </c>
      <c r="R141" s="3">
        <v>5</v>
      </c>
      <c r="S141" s="3">
        <v>5</v>
      </c>
      <c r="T141" s="3">
        <v>5</v>
      </c>
      <c r="U141" s="3">
        <v>5</v>
      </c>
      <c r="V141" s="3">
        <v>5</v>
      </c>
      <c r="W141" s="3">
        <v>5</v>
      </c>
      <c r="X141" s="3">
        <v>4</v>
      </c>
      <c r="Y141" s="3">
        <v>5</v>
      </c>
      <c r="Z141" s="3">
        <v>4</v>
      </c>
      <c r="AA141" s="3">
        <v>4</v>
      </c>
      <c r="AB141" s="3">
        <v>3</v>
      </c>
      <c r="AC141" s="3">
        <v>2</v>
      </c>
      <c r="AD141" s="3">
        <v>5</v>
      </c>
      <c r="AE141" s="3">
        <v>4</v>
      </c>
      <c r="AF141" s="3">
        <v>5</v>
      </c>
      <c r="AG141" s="3">
        <v>5</v>
      </c>
      <c r="AH141" s="3">
        <v>5</v>
      </c>
      <c r="AI141" s="3">
        <v>5</v>
      </c>
      <c r="AJ141" s="3">
        <v>5</v>
      </c>
      <c r="AK141" s="3">
        <v>5</v>
      </c>
      <c r="AL141" s="3">
        <v>5</v>
      </c>
      <c r="AM141" s="3">
        <v>5</v>
      </c>
      <c r="AN141" s="3">
        <v>5</v>
      </c>
      <c r="AO141" s="3">
        <v>4</v>
      </c>
      <c r="AP141" s="3">
        <v>5</v>
      </c>
      <c r="AQ141" s="3">
        <v>4</v>
      </c>
      <c r="AR141" s="3">
        <v>4</v>
      </c>
      <c r="AS141" s="3">
        <v>4</v>
      </c>
      <c r="AT141" s="3">
        <v>4</v>
      </c>
      <c r="AU141" s="3">
        <v>4</v>
      </c>
      <c r="AV141" s="3">
        <v>5</v>
      </c>
      <c r="AW141" s="3">
        <v>5</v>
      </c>
      <c r="AX141" s="3">
        <v>5</v>
      </c>
      <c r="AY141" s="3">
        <v>5</v>
      </c>
      <c r="AZ141" s="3">
        <v>5</v>
      </c>
      <c r="BA141" s="3">
        <v>5</v>
      </c>
      <c r="BB141" s="3">
        <v>4</v>
      </c>
      <c r="BC141" s="3">
        <v>5</v>
      </c>
      <c r="BD141" s="3">
        <v>4</v>
      </c>
      <c r="BE141" s="3">
        <v>4</v>
      </c>
      <c r="BF141" s="3">
        <v>3</v>
      </c>
      <c r="BG141" s="3">
        <v>5</v>
      </c>
      <c r="BH141" s="3">
        <v>5</v>
      </c>
      <c r="BI141" s="3">
        <v>5</v>
      </c>
      <c r="BJ141" s="3">
        <v>5</v>
      </c>
      <c r="BK141" s="3">
        <v>4</v>
      </c>
      <c r="BL141" s="3">
        <v>5</v>
      </c>
      <c r="BM141" s="3">
        <v>5</v>
      </c>
      <c r="BN141" s="3">
        <v>5</v>
      </c>
      <c r="BO141" s="3">
        <v>5</v>
      </c>
      <c r="BP141" s="3" t="s">
        <v>441</v>
      </c>
    </row>
    <row r="142" spans="1:68" ht="22.5" customHeight="1" x14ac:dyDescent="0.25">
      <c r="A142" s="2">
        <v>45973.972476377312</v>
      </c>
      <c r="B142" s="3" t="s">
        <v>442</v>
      </c>
      <c r="C142" s="3" t="s">
        <v>69</v>
      </c>
      <c r="D142" s="3" t="s">
        <v>443</v>
      </c>
      <c r="E142" s="3" t="s">
        <v>87</v>
      </c>
      <c r="F142" s="3" t="s">
        <v>82</v>
      </c>
      <c r="G142" s="3" t="s">
        <v>83</v>
      </c>
      <c r="H142" s="3">
        <v>5</v>
      </c>
      <c r="I142" s="3">
        <v>4</v>
      </c>
      <c r="J142" s="3">
        <v>5</v>
      </c>
      <c r="K142" s="3">
        <v>4</v>
      </c>
      <c r="L142" s="3">
        <v>5</v>
      </c>
      <c r="M142" s="3">
        <v>4</v>
      </c>
      <c r="N142" s="3">
        <v>5</v>
      </c>
      <c r="O142" s="3">
        <v>5</v>
      </c>
      <c r="P142" s="3">
        <v>5</v>
      </c>
      <c r="Q142" s="3">
        <v>5</v>
      </c>
      <c r="R142" s="3">
        <v>5</v>
      </c>
      <c r="S142" s="3">
        <v>5</v>
      </c>
      <c r="T142" s="3">
        <v>5</v>
      </c>
      <c r="U142" s="3">
        <v>5</v>
      </c>
      <c r="V142" s="3">
        <v>5</v>
      </c>
      <c r="W142" s="3">
        <v>5</v>
      </c>
      <c r="X142" s="3">
        <v>5</v>
      </c>
      <c r="Y142" s="3">
        <v>4</v>
      </c>
      <c r="Z142" s="3">
        <v>5</v>
      </c>
      <c r="AA142" s="3">
        <v>5</v>
      </c>
      <c r="AB142" s="3">
        <v>3</v>
      </c>
      <c r="AC142" s="3">
        <v>3</v>
      </c>
      <c r="AD142" s="3">
        <v>5</v>
      </c>
      <c r="AE142" s="3">
        <v>5</v>
      </c>
      <c r="AF142" s="3">
        <v>4</v>
      </c>
      <c r="AG142" s="3">
        <v>4</v>
      </c>
      <c r="AH142" s="3">
        <v>5</v>
      </c>
      <c r="AI142" s="3">
        <v>5</v>
      </c>
      <c r="AJ142" s="3">
        <v>5</v>
      </c>
      <c r="AK142" s="3">
        <v>5</v>
      </c>
      <c r="AL142" s="3">
        <v>5</v>
      </c>
      <c r="AM142" s="3">
        <v>4</v>
      </c>
      <c r="AN142" s="3">
        <v>4</v>
      </c>
      <c r="AO142" s="3">
        <v>3</v>
      </c>
      <c r="AP142" s="3">
        <v>4</v>
      </c>
      <c r="AQ142" s="3">
        <v>3</v>
      </c>
      <c r="AR142" s="3">
        <v>3</v>
      </c>
      <c r="AS142" s="3">
        <v>3</v>
      </c>
      <c r="AT142" s="3">
        <v>4</v>
      </c>
      <c r="AU142" s="3">
        <v>3</v>
      </c>
      <c r="AV142" s="3">
        <v>4</v>
      </c>
      <c r="AW142" s="3">
        <v>5</v>
      </c>
      <c r="AX142" s="3">
        <v>5</v>
      </c>
      <c r="AY142" s="3">
        <v>5</v>
      </c>
      <c r="AZ142" s="3">
        <v>5</v>
      </c>
      <c r="BA142" s="3">
        <v>5</v>
      </c>
      <c r="BB142" s="3">
        <v>4</v>
      </c>
      <c r="BC142" s="3">
        <v>5</v>
      </c>
      <c r="BD142" s="3">
        <v>4</v>
      </c>
      <c r="BE142" s="3">
        <v>4</v>
      </c>
      <c r="BF142" s="3">
        <v>3</v>
      </c>
      <c r="BG142" s="3">
        <v>4</v>
      </c>
      <c r="BH142" s="3">
        <v>4</v>
      </c>
      <c r="BI142" s="3">
        <v>5</v>
      </c>
      <c r="BJ142" s="3">
        <v>5</v>
      </c>
      <c r="BK142" s="3">
        <v>5</v>
      </c>
      <c r="BL142" s="3">
        <v>5</v>
      </c>
      <c r="BM142" s="3">
        <v>5</v>
      </c>
      <c r="BN142" s="3">
        <v>5</v>
      </c>
      <c r="BO142" s="3">
        <v>5</v>
      </c>
      <c r="BP142" s="3" t="s">
        <v>444</v>
      </c>
    </row>
    <row r="143" spans="1:68" ht="22.5" customHeight="1" x14ac:dyDescent="0.25">
      <c r="A143" s="2">
        <v>45974.382720104171</v>
      </c>
      <c r="B143" s="3" t="s">
        <v>445</v>
      </c>
      <c r="C143" s="3" t="s">
        <v>86</v>
      </c>
      <c r="D143" s="3" t="s">
        <v>446</v>
      </c>
      <c r="E143" s="3" t="s">
        <v>119</v>
      </c>
      <c r="F143" s="3" t="s">
        <v>88</v>
      </c>
      <c r="G143" s="3" t="s">
        <v>83</v>
      </c>
      <c r="H143" s="3">
        <v>5</v>
      </c>
      <c r="I143" s="3">
        <v>5</v>
      </c>
      <c r="J143" s="3">
        <v>5</v>
      </c>
      <c r="K143" s="3">
        <v>4</v>
      </c>
      <c r="L143" s="3">
        <v>4</v>
      </c>
      <c r="M143" s="3">
        <v>5</v>
      </c>
      <c r="N143" s="3">
        <v>5</v>
      </c>
      <c r="O143" s="3">
        <v>5</v>
      </c>
      <c r="P143" s="3">
        <v>5</v>
      </c>
      <c r="Q143" s="3">
        <v>5</v>
      </c>
      <c r="R143" s="3">
        <v>5</v>
      </c>
      <c r="S143" s="3">
        <v>5</v>
      </c>
      <c r="T143" s="3">
        <v>5</v>
      </c>
      <c r="U143" s="3">
        <v>5</v>
      </c>
      <c r="V143" s="3">
        <v>4</v>
      </c>
      <c r="W143" s="3">
        <v>4</v>
      </c>
      <c r="X143" s="3">
        <v>4</v>
      </c>
      <c r="Y143" s="3">
        <v>4</v>
      </c>
      <c r="Z143" s="3">
        <v>5</v>
      </c>
      <c r="AA143" s="3">
        <v>5</v>
      </c>
      <c r="AB143" s="3">
        <v>5</v>
      </c>
      <c r="AC143" s="3">
        <v>5</v>
      </c>
      <c r="AD143" s="3">
        <v>5</v>
      </c>
      <c r="AE143" s="3">
        <v>5</v>
      </c>
      <c r="AF143" s="3">
        <v>5</v>
      </c>
      <c r="AG143" s="3">
        <v>5</v>
      </c>
      <c r="AH143" s="3">
        <v>5</v>
      </c>
      <c r="AI143" s="3">
        <v>5</v>
      </c>
      <c r="AJ143" s="3">
        <v>5</v>
      </c>
      <c r="AK143" s="3">
        <v>5</v>
      </c>
      <c r="AL143" s="3">
        <v>5</v>
      </c>
      <c r="AM143" s="3">
        <v>5</v>
      </c>
      <c r="AN143" s="3">
        <v>5</v>
      </c>
      <c r="AO143" s="3">
        <v>4</v>
      </c>
      <c r="AP143" s="3">
        <v>5</v>
      </c>
      <c r="AQ143" s="3">
        <v>4</v>
      </c>
      <c r="AR143" s="3">
        <v>5</v>
      </c>
      <c r="AS143" s="3">
        <v>4</v>
      </c>
      <c r="AT143" s="3">
        <v>4</v>
      </c>
      <c r="AU143" s="3">
        <v>5</v>
      </c>
      <c r="AV143" s="3">
        <v>5</v>
      </c>
      <c r="AW143" s="3">
        <v>5</v>
      </c>
      <c r="AX143" s="3">
        <v>4</v>
      </c>
      <c r="AY143" s="3">
        <v>4</v>
      </c>
      <c r="AZ143" s="3">
        <v>5</v>
      </c>
      <c r="BA143" s="3">
        <v>5</v>
      </c>
      <c r="BB143" s="3">
        <v>5</v>
      </c>
      <c r="BC143" s="3">
        <v>5</v>
      </c>
      <c r="BD143" s="3">
        <v>5</v>
      </c>
      <c r="BE143" s="3">
        <v>5</v>
      </c>
      <c r="BF143" s="3">
        <v>5</v>
      </c>
      <c r="BG143" s="3">
        <v>5</v>
      </c>
      <c r="BH143" s="3">
        <v>5</v>
      </c>
      <c r="BI143" s="3">
        <v>5</v>
      </c>
      <c r="BJ143" s="3">
        <v>5</v>
      </c>
      <c r="BK143" s="3">
        <v>5</v>
      </c>
      <c r="BL143" s="3">
        <v>5</v>
      </c>
      <c r="BM143" s="3">
        <v>5</v>
      </c>
      <c r="BN143" s="3">
        <v>5</v>
      </c>
      <c r="BO143" s="3">
        <v>5</v>
      </c>
      <c r="BP143" s="3" t="s">
        <v>447</v>
      </c>
    </row>
    <row r="144" spans="1:68" ht="22.5" customHeight="1" x14ac:dyDescent="0.25">
      <c r="A144" s="2">
        <v>45974.387723206019</v>
      </c>
      <c r="B144" s="3" t="s">
        <v>448</v>
      </c>
      <c r="C144" s="3" t="s">
        <v>69</v>
      </c>
      <c r="D144" s="3" t="s">
        <v>449</v>
      </c>
      <c r="E144" s="3" t="s">
        <v>77</v>
      </c>
      <c r="F144" s="3" t="s">
        <v>78</v>
      </c>
      <c r="G144" s="3" t="s">
        <v>79</v>
      </c>
      <c r="H144" s="3">
        <v>4</v>
      </c>
      <c r="I144" s="3">
        <v>4</v>
      </c>
      <c r="J144" s="3">
        <v>4</v>
      </c>
      <c r="K144" s="3">
        <v>4</v>
      </c>
      <c r="L144" s="3">
        <v>4</v>
      </c>
      <c r="M144" s="3">
        <v>4</v>
      </c>
      <c r="N144" s="3">
        <v>4</v>
      </c>
      <c r="O144" s="3">
        <v>4</v>
      </c>
      <c r="P144" s="3">
        <v>4</v>
      </c>
      <c r="Q144" s="3">
        <v>4</v>
      </c>
      <c r="R144" s="3">
        <v>4</v>
      </c>
      <c r="S144" s="3">
        <v>4</v>
      </c>
      <c r="T144" s="3">
        <v>4</v>
      </c>
      <c r="U144" s="3">
        <v>4</v>
      </c>
      <c r="V144" s="3">
        <v>3</v>
      </c>
      <c r="W144" s="3">
        <v>3</v>
      </c>
      <c r="X144" s="3">
        <v>3</v>
      </c>
      <c r="Y144" s="3">
        <v>3</v>
      </c>
      <c r="Z144" s="3">
        <v>3</v>
      </c>
      <c r="AA144" s="3">
        <v>3</v>
      </c>
      <c r="AB144" s="3">
        <v>2</v>
      </c>
      <c r="AC144" s="3">
        <v>2</v>
      </c>
      <c r="AD144" s="3">
        <v>4</v>
      </c>
      <c r="AE144" s="3">
        <v>4</v>
      </c>
      <c r="AF144" s="3">
        <v>4</v>
      </c>
      <c r="AG144" s="3">
        <v>4</v>
      </c>
      <c r="AH144" s="3">
        <v>4</v>
      </c>
      <c r="AI144" s="3">
        <v>3</v>
      </c>
      <c r="AJ144" s="3">
        <v>4</v>
      </c>
      <c r="AK144" s="3">
        <v>4</v>
      </c>
      <c r="AL144" s="3">
        <v>4</v>
      </c>
      <c r="AM144" s="3">
        <v>4</v>
      </c>
      <c r="AN144" s="3">
        <v>4</v>
      </c>
      <c r="AO144" s="3">
        <v>4</v>
      </c>
      <c r="AP144" s="3">
        <v>4</v>
      </c>
      <c r="AQ144" s="3">
        <v>4</v>
      </c>
      <c r="AR144" s="3">
        <v>4</v>
      </c>
      <c r="AS144" s="3">
        <v>2</v>
      </c>
      <c r="AT144" s="3">
        <v>4</v>
      </c>
      <c r="AU144" s="3">
        <v>4</v>
      </c>
      <c r="AV144" s="3">
        <v>4</v>
      </c>
      <c r="AW144" s="3">
        <v>4</v>
      </c>
      <c r="AX144" s="3">
        <v>4</v>
      </c>
      <c r="AY144" s="3">
        <v>4</v>
      </c>
      <c r="AZ144" s="3">
        <v>4</v>
      </c>
      <c r="BA144" s="3">
        <v>4</v>
      </c>
      <c r="BB144" s="3">
        <v>2</v>
      </c>
      <c r="BC144" s="3">
        <v>4</v>
      </c>
      <c r="BD144" s="3">
        <v>2</v>
      </c>
      <c r="BE144" s="3">
        <v>3</v>
      </c>
      <c r="BF144" s="3">
        <v>2</v>
      </c>
      <c r="BG144" s="3">
        <v>3</v>
      </c>
      <c r="BH144" s="3">
        <v>3</v>
      </c>
      <c r="BI144" s="3">
        <v>4</v>
      </c>
      <c r="BJ144" s="3">
        <v>4</v>
      </c>
      <c r="BK144" s="3">
        <v>4</v>
      </c>
      <c r="BL144" s="3">
        <v>4</v>
      </c>
      <c r="BM144" s="3">
        <v>4</v>
      </c>
      <c r="BN144" s="3">
        <v>4</v>
      </c>
      <c r="BO144" s="3">
        <v>4</v>
      </c>
      <c r="BP144" s="3" t="s">
        <v>450</v>
      </c>
    </row>
    <row r="145" spans="1:68" ht="22.5" customHeight="1" x14ac:dyDescent="0.25">
      <c r="A145" s="2">
        <v>45974.387742858795</v>
      </c>
      <c r="B145" s="3" t="s">
        <v>451</v>
      </c>
      <c r="C145" s="3" t="s">
        <v>86</v>
      </c>
      <c r="D145" s="3" t="s">
        <v>452</v>
      </c>
      <c r="E145" s="3" t="s">
        <v>77</v>
      </c>
      <c r="F145" s="3" t="s">
        <v>78</v>
      </c>
      <c r="G145" s="3" t="s">
        <v>79</v>
      </c>
      <c r="H145" s="3">
        <v>5</v>
      </c>
      <c r="I145" s="3">
        <v>4</v>
      </c>
      <c r="J145" s="3">
        <v>4</v>
      </c>
      <c r="K145" s="3">
        <v>4</v>
      </c>
      <c r="L145" s="3">
        <v>4</v>
      </c>
      <c r="M145" s="3">
        <v>4</v>
      </c>
      <c r="N145" s="3">
        <v>4</v>
      </c>
      <c r="O145" s="3">
        <v>4</v>
      </c>
      <c r="P145" s="3">
        <v>5</v>
      </c>
      <c r="Q145" s="3">
        <v>4</v>
      </c>
      <c r="R145" s="3">
        <v>4</v>
      </c>
      <c r="S145" s="3">
        <v>4</v>
      </c>
      <c r="T145" s="3">
        <v>4</v>
      </c>
      <c r="U145" s="3">
        <v>4</v>
      </c>
      <c r="V145" s="3">
        <v>4</v>
      </c>
      <c r="W145" s="3">
        <v>4</v>
      </c>
      <c r="X145" s="3">
        <v>2</v>
      </c>
      <c r="Y145" s="3">
        <v>3</v>
      </c>
      <c r="Z145" s="3">
        <v>3</v>
      </c>
      <c r="AA145" s="3">
        <v>3</v>
      </c>
      <c r="AB145" s="3">
        <v>3</v>
      </c>
      <c r="AC145" s="3">
        <v>3</v>
      </c>
      <c r="AD145" s="3">
        <v>3</v>
      </c>
      <c r="AE145" s="3">
        <v>4</v>
      </c>
      <c r="AF145" s="3">
        <v>4</v>
      </c>
      <c r="AG145" s="3">
        <v>4</v>
      </c>
      <c r="AH145" s="3">
        <v>4</v>
      </c>
      <c r="AI145" s="3">
        <v>4</v>
      </c>
      <c r="AJ145" s="3">
        <v>4</v>
      </c>
      <c r="AK145" s="3">
        <v>4</v>
      </c>
      <c r="AL145" s="3">
        <v>4</v>
      </c>
      <c r="AM145" s="3">
        <v>4</v>
      </c>
      <c r="AN145" s="3">
        <v>3</v>
      </c>
      <c r="AO145" s="3">
        <v>3</v>
      </c>
      <c r="AP145" s="3">
        <v>3</v>
      </c>
      <c r="AQ145" s="3">
        <v>3</v>
      </c>
      <c r="AR145" s="3">
        <v>3</v>
      </c>
      <c r="AS145" s="3">
        <v>1</v>
      </c>
      <c r="AT145" s="3">
        <v>3</v>
      </c>
      <c r="AU145" s="3">
        <v>3</v>
      </c>
      <c r="AV145" s="3">
        <v>3</v>
      </c>
      <c r="AW145" s="3">
        <v>5</v>
      </c>
      <c r="AX145" s="3">
        <v>4</v>
      </c>
      <c r="AY145" s="3">
        <v>4</v>
      </c>
      <c r="AZ145" s="3">
        <v>5</v>
      </c>
      <c r="BA145" s="3">
        <v>4</v>
      </c>
      <c r="BB145" s="3">
        <v>3</v>
      </c>
      <c r="BC145" s="3">
        <v>4</v>
      </c>
      <c r="BD145" s="3">
        <v>2</v>
      </c>
      <c r="BE145" s="3">
        <v>3</v>
      </c>
      <c r="BF145" s="3">
        <v>3</v>
      </c>
      <c r="BG145" s="3">
        <v>4</v>
      </c>
      <c r="BH145" s="3">
        <v>3</v>
      </c>
      <c r="BI145" s="3">
        <v>4</v>
      </c>
      <c r="BJ145" s="3">
        <v>4</v>
      </c>
      <c r="BK145" s="3">
        <v>4</v>
      </c>
      <c r="BL145" s="3">
        <v>5</v>
      </c>
      <c r="BM145" s="3">
        <v>5</v>
      </c>
      <c r="BN145" s="3">
        <v>4</v>
      </c>
      <c r="BO145" s="3">
        <v>4</v>
      </c>
      <c r="BP145" s="3" t="s">
        <v>453</v>
      </c>
    </row>
    <row r="146" spans="1:68" ht="22.5" customHeight="1" x14ac:dyDescent="0.25">
      <c r="A146" s="2">
        <v>45974.387751585644</v>
      </c>
      <c r="B146" s="3" t="s">
        <v>454</v>
      </c>
      <c r="C146" s="3" t="s">
        <v>86</v>
      </c>
      <c r="D146" s="3" t="s">
        <v>452</v>
      </c>
      <c r="E146" s="3" t="s">
        <v>77</v>
      </c>
      <c r="F146" s="3" t="s">
        <v>78</v>
      </c>
      <c r="G146" s="3" t="s">
        <v>79</v>
      </c>
      <c r="H146" s="3">
        <v>5</v>
      </c>
      <c r="I146" s="3">
        <v>5</v>
      </c>
      <c r="J146" s="3">
        <v>4</v>
      </c>
      <c r="K146" s="3">
        <v>4</v>
      </c>
      <c r="L146" s="3">
        <v>4</v>
      </c>
      <c r="M146" s="3">
        <v>4</v>
      </c>
      <c r="N146" s="3">
        <v>4</v>
      </c>
      <c r="O146" s="3">
        <v>4</v>
      </c>
      <c r="P146" s="3">
        <v>4</v>
      </c>
      <c r="Q146" s="3">
        <v>4</v>
      </c>
      <c r="R146" s="3">
        <v>4</v>
      </c>
      <c r="S146" s="3">
        <v>4</v>
      </c>
      <c r="T146" s="3">
        <v>4</v>
      </c>
      <c r="U146" s="3">
        <v>5</v>
      </c>
      <c r="V146" s="3">
        <v>3</v>
      </c>
      <c r="W146" s="3">
        <v>3</v>
      </c>
      <c r="X146" s="3">
        <v>3</v>
      </c>
      <c r="Y146" s="3">
        <v>3</v>
      </c>
      <c r="Z146" s="3">
        <v>3</v>
      </c>
      <c r="AA146" s="3">
        <v>3</v>
      </c>
      <c r="AB146" s="3">
        <v>3</v>
      </c>
      <c r="AC146" s="3">
        <v>3</v>
      </c>
      <c r="AD146" s="3">
        <v>4</v>
      </c>
      <c r="AE146" s="3">
        <v>4</v>
      </c>
      <c r="AF146" s="3">
        <v>4</v>
      </c>
      <c r="AG146" s="3">
        <v>4</v>
      </c>
      <c r="AH146" s="3">
        <v>4</v>
      </c>
      <c r="AI146" s="3">
        <v>3</v>
      </c>
      <c r="AJ146" s="3">
        <v>4</v>
      </c>
      <c r="AK146" s="3">
        <v>3</v>
      </c>
      <c r="AL146" s="3">
        <v>3</v>
      </c>
      <c r="AM146" s="3">
        <v>4</v>
      </c>
      <c r="AN146" s="3">
        <v>3</v>
      </c>
      <c r="AO146" s="3">
        <v>3</v>
      </c>
      <c r="AP146" s="3">
        <v>3</v>
      </c>
      <c r="AQ146" s="3">
        <v>3</v>
      </c>
      <c r="AR146" s="3">
        <v>3</v>
      </c>
      <c r="AS146" s="3">
        <v>2</v>
      </c>
      <c r="AT146" s="3">
        <v>3</v>
      </c>
      <c r="AU146" s="3">
        <v>3</v>
      </c>
      <c r="AV146" s="3">
        <v>3</v>
      </c>
      <c r="AW146" s="3">
        <v>4</v>
      </c>
      <c r="AX146" s="3">
        <v>4</v>
      </c>
      <c r="AY146" s="3">
        <v>4</v>
      </c>
      <c r="AZ146" s="3">
        <v>5</v>
      </c>
      <c r="BA146" s="3">
        <v>3</v>
      </c>
      <c r="BB146" s="3">
        <v>3</v>
      </c>
      <c r="BC146" s="3">
        <v>3</v>
      </c>
      <c r="BD146" s="3">
        <v>3</v>
      </c>
      <c r="BE146" s="3">
        <v>3</v>
      </c>
      <c r="BF146" s="3">
        <v>3</v>
      </c>
      <c r="BG146" s="3">
        <v>3</v>
      </c>
      <c r="BH146" s="3">
        <v>3</v>
      </c>
      <c r="BI146" s="3">
        <v>4</v>
      </c>
      <c r="BJ146" s="3">
        <v>4</v>
      </c>
      <c r="BK146" s="3">
        <v>4</v>
      </c>
      <c r="BL146" s="3">
        <v>4</v>
      </c>
      <c r="BM146" s="3">
        <v>4</v>
      </c>
      <c r="BN146" s="3">
        <v>4</v>
      </c>
      <c r="BO146" s="3">
        <v>4</v>
      </c>
      <c r="BP146" s="3" t="s">
        <v>455</v>
      </c>
    </row>
    <row r="147" spans="1:68" ht="22.5" customHeight="1" x14ac:dyDescent="0.25">
      <c r="A147" s="2">
        <v>45974.38778380787</v>
      </c>
      <c r="B147" s="3" t="s">
        <v>456</v>
      </c>
      <c r="C147" s="3" t="s">
        <v>86</v>
      </c>
      <c r="D147" s="3" t="s">
        <v>457</v>
      </c>
      <c r="E147" s="3" t="s">
        <v>77</v>
      </c>
      <c r="F147" s="3" t="s">
        <v>78</v>
      </c>
      <c r="G147" s="3" t="s">
        <v>79</v>
      </c>
      <c r="H147" s="3">
        <v>4</v>
      </c>
      <c r="I147" s="3">
        <v>4</v>
      </c>
      <c r="J147" s="3">
        <v>4</v>
      </c>
      <c r="K147" s="3">
        <v>4</v>
      </c>
      <c r="L147" s="3">
        <v>4</v>
      </c>
      <c r="M147" s="3">
        <v>4</v>
      </c>
      <c r="N147" s="3">
        <v>4</v>
      </c>
      <c r="O147" s="3">
        <v>4</v>
      </c>
      <c r="P147" s="3">
        <v>4</v>
      </c>
      <c r="Q147" s="3">
        <v>4</v>
      </c>
      <c r="R147" s="3">
        <v>4</v>
      </c>
      <c r="S147" s="3">
        <v>4</v>
      </c>
      <c r="T147" s="3">
        <v>4</v>
      </c>
      <c r="U147" s="3">
        <v>4</v>
      </c>
      <c r="V147" s="3">
        <v>3</v>
      </c>
      <c r="W147" s="3">
        <v>3</v>
      </c>
      <c r="X147" s="3">
        <v>3</v>
      </c>
      <c r="Y147" s="3">
        <v>4</v>
      </c>
      <c r="Z147" s="3">
        <v>4</v>
      </c>
      <c r="AA147" s="3">
        <v>4</v>
      </c>
      <c r="AB147" s="3">
        <v>2</v>
      </c>
      <c r="AC147" s="3">
        <v>2</v>
      </c>
      <c r="AD147" s="3">
        <v>3</v>
      </c>
      <c r="AE147" s="3">
        <v>4</v>
      </c>
      <c r="AF147" s="3">
        <v>4</v>
      </c>
      <c r="AG147" s="3">
        <v>4</v>
      </c>
      <c r="AH147" s="3">
        <v>4</v>
      </c>
      <c r="AI147" s="3">
        <v>4</v>
      </c>
      <c r="AJ147" s="3">
        <v>4</v>
      </c>
      <c r="AK147" s="3">
        <v>4</v>
      </c>
      <c r="AL147" s="3">
        <v>4</v>
      </c>
      <c r="AM147" s="3">
        <v>4</v>
      </c>
      <c r="AN147" s="3">
        <v>4</v>
      </c>
      <c r="AO147" s="3">
        <v>4</v>
      </c>
      <c r="AP147" s="3">
        <v>4</v>
      </c>
      <c r="AQ147" s="3">
        <v>4</v>
      </c>
      <c r="AR147" s="3">
        <v>4</v>
      </c>
      <c r="AS147" s="3">
        <v>3</v>
      </c>
      <c r="AT147" s="3">
        <v>4</v>
      </c>
      <c r="AU147" s="3">
        <v>4</v>
      </c>
      <c r="AV147" s="3">
        <v>4</v>
      </c>
      <c r="AW147" s="3">
        <v>4</v>
      </c>
      <c r="AX147" s="3">
        <v>3</v>
      </c>
      <c r="AY147" s="3">
        <v>4</v>
      </c>
      <c r="AZ147" s="3">
        <v>5</v>
      </c>
      <c r="BA147" s="3">
        <v>4</v>
      </c>
      <c r="BB147" s="3">
        <v>3</v>
      </c>
      <c r="BC147" s="3">
        <v>4</v>
      </c>
      <c r="BD147" s="3">
        <v>4</v>
      </c>
      <c r="BE147" s="3">
        <v>4</v>
      </c>
      <c r="BF147" s="3">
        <v>4</v>
      </c>
      <c r="BG147" s="3">
        <v>4</v>
      </c>
      <c r="BH147" s="3">
        <v>4</v>
      </c>
      <c r="BI147" s="3">
        <v>4</v>
      </c>
      <c r="BJ147" s="3">
        <v>4</v>
      </c>
      <c r="BK147" s="3">
        <v>4</v>
      </c>
      <c r="BL147" s="3">
        <v>4</v>
      </c>
      <c r="BM147" s="3">
        <v>4</v>
      </c>
      <c r="BN147" s="3">
        <v>4</v>
      </c>
      <c r="BO147" s="3">
        <v>4</v>
      </c>
      <c r="BP147" s="3" t="s">
        <v>458</v>
      </c>
    </row>
    <row r="148" spans="1:68" ht="22.5" customHeight="1" x14ac:dyDescent="0.25">
      <c r="A148" s="2">
        <v>45974.387803807869</v>
      </c>
      <c r="C148" s="3" t="s">
        <v>86</v>
      </c>
      <c r="D148" s="3" t="s">
        <v>452</v>
      </c>
      <c r="E148" s="3" t="s">
        <v>77</v>
      </c>
      <c r="F148" s="3" t="s">
        <v>78</v>
      </c>
      <c r="G148" s="3" t="s">
        <v>79</v>
      </c>
      <c r="H148" s="3">
        <v>5</v>
      </c>
      <c r="I148" s="3">
        <v>5</v>
      </c>
      <c r="J148" s="3">
        <v>5</v>
      </c>
      <c r="K148" s="3">
        <v>5</v>
      </c>
      <c r="L148" s="3">
        <v>5</v>
      </c>
      <c r="M148" s="3">
        <v>5</v>
      </c>
      <c r="N148" s="3">
        <v>5</v>
      </c>
      <c r="O148" s="3">
        <v>5</v>
      </c>
      <c r="P148" s="3">
        <v>5</v>
      </c>
      <c r="Q148" s="3">
        <v>5</v>
      </c>
      <c r="R148" s="3">
        <v>5</v>
      </c>
      <c r="S148" s="3">
        <v>5</v>
      </c>
      <c r="T148" s="3">
        <v>4</v>
      </c>
      <c r="U148" s="3">
        <v>5</v>
      </c>
      <c r="V148" s="3">
        <v>4</v>
      </c>
      <c r="W148" s="3">
        <v>5</v>
      </c>
      <c r="X148" s="3">
        <v>3</v>
      </c>
      <c r="Y148" s="3">
        <v>5</v>
      </c>
      <c r="Z148" s="3">
        <v>5</v>
      </c>
      <c r="AA148" s="3">
        <v>4</v>
      </c>
      <c r="AB148" s="3">
        <v>2</v>
      </c>
      <c r="AC148" s="3">
        <v>1</v>
      </c>
      <c r="AD148" s="3">
        <v>3</v>
      </c>
      <c r="AE148" s="3">
        <v>5</v>
      </c>
      <c r="AF148" s="3">
        <v>5</v>
      </c>
      <c r="AG148" s="3">
        <v>5</v>
      </c>
      <c r="AH148" s="3">
        <v>5</v>
      </c>
      <c r="AI148" s="3">
        <v>4</v>
      </c>
      <c r="AJ148" s="3">
        <v>5</v>
      </c>
      <c r="AK148" s="3">
        <v>4</v>
      </c>
      <c r="AL148" s="3">
        <v>4</v>
      </c>
      <c r="AM148" s="3">
        <v>5</v>
      </c>
      <c r="AN148" s="3">
        <v>5</v>
      </c>
      <c r="AO148" s="3">
        <v>4</v>
      </c>
      <c r="AP148" s="3">
        <v>4</v>
      </c>
      <c r="AQ148" s="3">
        <v>4</v>
      </c>
      <c r="AR148" s="3">
        <v>4</v>
      </c>
      <c r="AS148" s="3">
        <v>2</v>
      </c>
      <c r="AT148" s="3">
        <v>4</v>
      </c>
      <c r="AU148" s="3">
        <v>3</v>
      </c>
      <c r="AV148" s="3">
        <v>5</v>
      </c>
      <c r="AW148" s="3">
        <v>5</v>
      </c>
      <c r="AX148" s="3">
        <v>5</v>
      </c>
      <c r="AY148" s="3">
        <v>5</v>
      </c>
      <c r="AZ148" s="3">
        <v>5</v>
      </c>
      <c r="BA148" s="3">
        <v>4</v>
      </c>
      <c r="BB148" s="3">
        <v>2</v>
      </c>
      <c r="BC148" s="3">
        <v>4</v>
      </c>
      <c r="BD148" s="3">
        <v>2</v>
      </c>
      <c r="BE148" s="3">
        <v>2</v>
      </c>
      <c r="BF148" s="3">
        <v>2</v>
      </c>
      <c r="BG148" s="3">
        <v>4</v>
      </c>
      <c r="BH148" s="3">
        <v>4</v>
      </c>
      <c r="BI148" s="3">
        <v>5</v>
      </c>
      <c r="BJ148" s="3">
        <v>4</v>
      </c>
      <c r="BK148" s="3">
        <v>5</v>
      </c>
      <c r="BL148" s="3">
        <v>5</v>
      </c>
      <c r="BM148" s="3">
        <v>5</v>
      </c>
      <c r="BN148" s="3">
        <v>5</v>
      </c>
      <c r="BO148" s="3">
        <v>5</v>
      </c>
      <c r="BP148" s="3" t="s">
        <v>459</v>
      </c>
    </row>
    <row r="149" spans="1:68" ht="22.5" customHeight="1" x14ac:dyDescent="0.25">
      <c r="A149" s="2">
        <v>45974.394886388887</v>
      </c>
      <c r="B149" s="3" t="s">
        <v>460</v>
      </c>
      <c r="C149" s="3" t="s">
        <v>69</v>
      </c>
      <c r="D149" s="3" t="s">
        <v>461</v>
      </c>
      <c r="E149" s="3" t="s">
        <v>77</v>
      </c>
      <c r="F149" s="3" t="s">
        <v>78</v>
      </c>
      <c r="G149" s="3" t="s">
        <v>79</v>
      </c>
      <c r="H149" s="3">
        <v>5</v>
      </c>
      <c r="I149" s="3">
        <v>5</v>
      </c>
      <c r="J149" s="3">
        <v>5</v>
      </c>
      <c r="K149" s="3">
        <v>5</v>
      </c>
      <c r="L149" s="3">
        <v>5</v>
      </c>
      <c r="M149" s="3">
        <v>5</v>
      </c>
      <c r="N149" s="3">
        <v>5</v>
      </c>
      <c r="O149" s="3">
        <v>5</v>
      </c>
      <c r="P149" s="3">
        <v>5</v>
      </c>
      <c r="Q149" s="3">
        <v>5</v>
      </c>
      <c r="R149" s="3">
        <v>5</v>
      </c>
      <c r="S149" s="3">
        <v>5</v>
      </c>
      <c r="T149" s="3">
        <v>5</v>
      </c>
      <c r="U149" s="3">
        <v>5</v>
      </c>
      <c r="V149" s="3">
        <v>4</v>
      </c>
      <c r="W149" s="3">
        <v>4</v>
      </c>
      <c r="X149" s="3">
        <v>5</v>
      </c>
      <c r="Y149" s="3">
        <v>5</v>
      </c>
      <c r="Z149" s="3">
        <v>5</v>
      </c>
      <c r="AA149" s="3">
        <v>4</v>
      </c>
      <c r="AB149" s="3">
        <v>4</v>
      </c>
      <c r="AC149" s="3">
        <v>4</v>
      </c>
      <c r="AD149" s="3">
        <v>5</v>
      </c>
      <c r="AE149" s="3">
        <v>5</v>
      </c>
      <c r="AF149" s="3">
        <v>5</v>
      </c>
      <c r="AG149" s="3">
        <v>5</v>
      </c>
      <c r="AH149" s="3">
        <v>5</v>
      </c>
      <c r="AI149" s="3">
        <v>5</v>
      </c>
      <c r="AJ149" s="3">
        <v>5</v>
      </c>
      <c r="AK149" s="3">
        <v>5</v>
      </c>
      <c r="AL149" s="3">
        <v>5</v>
      </c>
      <c r="AM149" s="3">
        <v>5</v>
      </c>
      <c r="AN149" s="3">
        <v>4</v>
      </c>
      <c r="AO149" s="3">
        <v>4</v>
      </c>
      <c r="AP149" s="3">
        <v>5</v>
      </c>
      <c r="AQ149" s="3">
        <v>5</v>
      </c>
      <c r="AR149" s="3">
        <v>5</v>
      </c>
      <c r="AS149" s="3">
        <v>5</v>
      </c>
      <c r="AT149" s="3">
        <v>5</v>
      </c>
      <c r="AU149" s="3">
        <v>5</v>
      </c>
      <c r="AV149" s="3">
        <v>5</v>
      </c>
      <c r="AW149" s="3">
        <v>5</v>
      </c>
      <c r="AX149" s="3">
        <v>5</v>
      </c>
      <c r="AY149" s="3">
        <v>5</v>
      </c>
      <c r="AZ149" s="3">
        <v>5</v>
      </c>
      <c r="BA149" s="3">
        <v>5</v>
      </c>
      <c r="BB149" s="3">
        <v>5</v>
      </c>
      <c r="BC149" s="3">
        <v>5</v>
      </c>
      <c r="BD149" s="3">
        <v>5</v>
      </c>
      <c r="BE149" s="3">
        <v>5</v>
      </c>
      <c r="BF149" s="3">
        <v>5</v>
      </c>
      <c r="BG149" s="3">
        <v>5</v>
      </c>
      <c r="BH149" s="3">
        <v>5</v>
      </c>
      <c r="BI149" s="3">
        <v>5</v>
      </c>
      <c r="BJ149" s="3">
        <v>4</v>
      </c>
      <c r="BK149" s="3">
        <v>4</v>
      </c>
      <c r="BL149" s="3">
        <v>5</v>
      </c>
      <c r="BM149" s="3">
        <v>5</v>
      </c>
      <c r="BN149" s="3">
        <v>5</v>
      </c>
      <c r="BO149" s="3">
        <v>5</v>
      </c>
      <c r="BP149" s="3" t="s">
        <v>462</v>
      </c>
    </row>
    <row r="150" spans="1:68" ht="22.5" customHeight="1" x14ac:dyDescent="0.25">
      <c r="A150" s="2">
        <v>45974.402889317134</v>
      </c>
      <c r="B150" s="3" t="s">
        <v>463</v>
      </c>
      <c r="C150" s="3" t="s">
        <v>86</v>
      </c>
      <c r="D150" s="3" t="s">
        <v>464</v>
      </c>
      <c r="E150" s="3" t="s">
        <v>141</v>
      </c>
      <c r="F150" s="3" t="s">
        <v>88</v>
      </c>
      <c r="G150" s="3" t="s">
        <v>83</v>
      </c>
      <c r="H150" s="3">
        <v>4</v>
      </c>
      <c r="I150" s="3">
        <v>4</v>
      </c>
      <c r="J150" s="3">
        <v>4</v>
      </c>
      <c r="K150" s="3">
        <v>4</v>
      </c>
      <c r="L150" s="3">
        <v>4</v>
      </c>
      <c r="M150" s="3">
        <v>3</v>
      </c>
      <c r="N150" s="3">
        <v>4</v>
      </c>
      <c r="O150" s="3">
        <v>3</v>
      </c>
      <c r="P150" s="3">
        <v>5</v>
      </c>
      <c r="Q150" s="3">
        <v>5</v>
      </c>
      <c r="R150" s="3">
        <v>5</v>
      </c>
      <c r="S150" s="3">
        <v>5</v>
      </c>
      <c r="T150" s="3">
        <v>5</v>
      </c>
      <c r="U150" s="3">
        <v>4</v>
      </c>
      <c r="V150" s="3">
        <v>4</v>
      </c>
      <c r="W150" s="3">
        <v>3</v>
      </c>
      <c r="X150" s="3">
        <v>5</v>
      </c>
      <c r="Y150" s="3">
        <v>4</v>
      </c>
      <c r="Z150" s="3">
        <v>3</v>
      </c>
      <c r="AA150" s="3">
        <v>4</v>
      </c>
      <c r="AB150" s="3">
        <v>5</v>
      </c>
      <c r="AC150" s="3">
        <v>4</v>
      </c>
      <c r="AD150" s="3">
        <v>5</v>
      </c>
      <c r="AE150" s="3">
        <v>4</v>
      </c>
      <c r="AF150" s="3">
        <v>4</v>
      </c>
      <c r="AG150" s="3">
        <v>4</v>
      </c>
      <c r="AH150" s="3">
        <v>4</v>
      </c>
      <c r="AI150" s="3">
        <v>4</v>
      </c>
      <c r="AJ150" s="3">
        <v>4</v>
      </c>
      <c r="AK150" s="3">
        <v>4</v>
      </c>
      <c r="AL150" s="3">
        <v>3</v>
      </c>
      <c r="AM150" s="3">
        <v>3</v>
      </c>
      <c r="AN150" s="3">
        <v>4</v>
      </c>
      <c r="AO150" s="3">
        <v>4</v>
      </c>
      <c r="AP150" s="3">
        <v>4</v>
      </c>
      <c r="AQ150" s="3">
        <v>4</v>
      </c>
      <c r="AR150" s="3">
        <v>4</v>
      </c>
      <c r="AS150" s="3">
        <v>3</v>
      </c>
      <c r="AT150" s="3">
        <v>4</v>
      </c>
      <c r="AU150" s="3">
        <v>4</v>
      </c>
      <c r="AV150" s="3">
        <v>4</v>
      </c>
      <c r="AW150" s="3">
        <v>4</v>
      </c>
      <c r="AX150" s="3">
        <v>4</v>
      </c>
      <c r="AY150" s="3">
        <v>4</v>
      </c>
      <c r="AZ150" s="3">
        <v>4</v>
      </c>
      <c r="BA150" s="3">
        <v>5</v>
      </c>
      <c r="BB150" s="3">
        <v>5</v>
      </c>
      <c r="BC150" s="3">
        <v>4</v>
      </c>
      <c r="BD150" s="3">
        <v>5</v>
      </c>
      <c r="BE150" s="3">
        <v>5</v>
      </c>
      <c r="BF150" s="3">
        <v>5</v>
      </c>
      <c r="BG150" s="3">
        <v>5</v>
      </c>
      <c r="BH150" s="3">
        <v>5</v>
      </c>
      <c r="BI150" s="3">
        <v>5</v>
      </c>
      <c r="BJ150" s="3">
        <v>5</v>
      </c>
      <c r="BK150" s="3">
        <v>4</v>
      </c>
      <c r="BL150" s="3">
        <v>5</v>
      </c>
      <c r="BM150" s="3">
        <v>4</v>
      </c>
      <c r="BN150" s="3">
        <v>4</v>
      </c>
      <c r="BO150" s="3">
        <v>4</v>
      </c>
      <c r="BP150" s="3" t="s">
        <v>465</v>
      </c>
    </row>
    <row r="151" spans="1:68" ht="22.5" customHeight="1" x14ac:dyDescent="0.25">
      <c r="A151" s="2">
        <v>45974.406051122685</v>
      </c>
      <c r="C151" s="3" t="s">
        <v>86</v>
      </c>
      <c r="D151" s="3" t="s">
        <v>466</v>
      </c>
      <c r="E151" s="3" t="s">
        <v>119</v>
      </c>
      <c r="F151" s="3" t="s">
        <v>82</v>
      </c>
      <c r="G151" s="3" t="s">
        <v>83</v>
      </c>
      <c r="H151" s="3">
        <v>5</v>
      </c>
      <c r="I151" s="3">
        <v>5</v>
      </c>
      <c r="J151" s="3">
        <v>5</v>
      </c>
      <c r="K151" s="3">
        <v>5</v>
      </c>
      <c r="L151" s="3">
        <v>4</v>
      </c>
      <c r="M151" s="3">
        <v>4</v>
      </c>
      <c r="N151" s="3">
        <v>4</v>
      </c>
      <c r="O151" s="3">
        <v>4</v>
      </c>
      <c r="P151" s="3">
        <v>5</v>
      </c>
      <c r="Q151" s="3">
        <v>4</v>
      </c>
      <c r="R151" s="3">
        <v>4</v>
      </c>
      <c r="S151" s="3">
        <v>5</v>
      </c>
      <c r="T151" s="3">
        <v>4</v>
      </c>
      <c r="U151" s="3">
        <v>5</v>
      </c>
      <c r="V151" s="3">
        <v>3</v>
      </c>
      <c r="W151" s="3">
        <v>3</v>
      </c>
      <c r="X151" s="3">
        <v>2</v>
      </c>
      <c r="Y151" s="3">
        <v>3</v>
      </c>
      <c r="Z151" s="3">
        <v>3</v>
      </c>
      <c r="AA151" s="3">
        <v>4</v>
      </c>
      <c r="AB151" s="3">
        <v>4</v>
      </c>
      <c r="AC151" s="3">
        <v>3</v>
      </c>
      <c r="AD151" s="3">
        <v>4</v>
      </c>
      <c r="AE151" s="3">
        <v>5</v>
      </c>
      <c r="AF151" s="3">
        <v>4</v>
      </c>
      <c r="AG151" s="3">
        <v>5</v>
      </c>
      <c r="AH151" s="3">
        <v>4</v>
      </c>
      <c r="AI151" s="3">
        <v>3</v>
      </c>
      <c r="AJ151" s="3">
        <v>4</v>
      </c>
      <c r="AK151" s="3">
        <v>5</v>
      </c>
      <c r="AL151" s="3">
        <v>4</v>
      </c>
      <c r="AM151" s="3">
        <v>4</v>
      </c>
      <c r="AN151" s="3">
        <v>3</v>
      </c>
      <c r="AO151" s="3">
        <v>4</v>
      </c>
      <c r="AP151" s="3">
        <v>4</v>
      </c>
      <c r="AQ151" s="3">
        <v>3</v>
      </c>
      <c r="AR151" s="3">
        <v>3</v>
      </c>
      <c r="AS151" s="3">
        <v>3</v>
      </c>
      <c r="AT151" s="3">
        <v>3</v>
      </c>
      <c r="AU151" s="3">
        <v>4</v>
      </c>
      <c r="AV151" s="3">
        <v>3</v>
      </c>
      <c r="AW151" s="3">
        <v>4</v>
      </c>
      <c r="AX151" s="3">
        <v>4</v>
      </c>
      <c r="AY151" s="3">
        <v>4</v>
      </c>
      <c r="AZ151" s="3">
        <v>4</v>
      </c>
      <c r="BA151" s="3">
        <v>4</v>
      </c>
      <c r="BB151" s="3">
        <v>3</v>
      </c>
      <c r="BC151" s="3">
        <v>3</v>
      </c>
      <c r="BD151" s="3">
        <v>4</v>
      </c>
      <c r="BE151" s="3">
        <v>4</v>
      </c>
      <c r="BF151" s="3">
        <v>4</v>
      </c>
      <c r="BG151" s="3">
        <v>4</v>
      </c>
      <c r="BH151" s="3">
        <v>4</v>
      </c>
      <c r="BI151" s="3">
        <v>4</v>
      </c>
      <c r="BJ151" s="3">
        <v>5</v>
      </c>
      <c r="BK151" s="3">
        <v>5</v>
      </c>
      <c r="BL151" s="3">
        <v>4</v>
      </c>
      <c r="BM151" s="3">
        <v>4</v>
      </c>
      <c r="BN151" s="3">
        <v>4</v>
      </c>
      <c r="BO151" s="3">
        <v>4</v>
      </c>
      <c r="BP151" s="3" t="s">
        <v>467</v>
      </c>
    </row>
    <row r="152" spans="1:68" ht="22.5" customHeight="1" x14ac:dyDescent="0.25">
      <c r="A152" s="2">
        <v>45974.419867175922</v>
      </c>
      <c r="B152" s="3" t="s">
        <v>93</v>
      </c>
      <c r="C152" s="3" t="s">
        <v>86</v>
      </c>
      <c r="D152" s="3" t="s">
        <v>468</v>
      </c>
      <c r="E152" s="3" t="s">
        <v>77</v>
      </c>
      <c r="F152" s="3" t="s">
        <v>78</v>
      </c>
      <c r="G152" s="3" t="s">
        <v>79</v>
      </c>
      <c r="H152" s="3">
        <v>4</v>
      </c>
      <c r="I152" s="3">
        <v>4</v>
      </c>
      <c r="J152" s="3">
        <v>3</v>
      </c>
      <c r="K152" s="3">
        <v>3</v>
      </c>
      <c r="L152" s="3">
        <v>5</v>
      </c>
      <c r="M152" s="3">
        <v>4</v>
      </c>
      <c r="N152" s="3">
        <v>4</v>
      </c>
      <c r="O152" s="3">
        <v>4</v>
      </c>
      <c r="P152" s="3">
        <v>5</v>
      </c>
      <c r="Q152" s="3">
        <v>5</v>
      </c>
      <c r="R152" s="3">
        <v>5</v>
      </c>
      <c r="S152" s="3">
        <v>5</v>
      </c>
      <c r="T152" s="3">
        <v>5</v>
      </c>
      <c r="U152" s="3">
        <v>5</v>
      </c>
      <c r="V152" s="3">
        <v>4</v>
      </c>
      <c r="W152" s="3">
        <v>4</v>
      </c>
      <c r="X152" s="3">
        <v>2</v>
      </c>
      <c r="Y152" s="3">
        <v>3</v>
      </c>
      <c r="Z152" s="3">
        <v>3</v>
      </c>
      <c r="AA152" s="3">
        <v>5</v>
      </c>
      <c r="AB152" s="3">
        <v>4</v>
      </c>
      <c r="AC152" s="3">
        <v>4</v>
      </c>
      <c r="AD152" s="3">
        <v>5</v>
      </c>
      <c r="AE152" s="3">
        <v>4</v>
      </c>
      <c r="AF152" s="3">
        <v>4</v>
      </c>
      <c r="AG152" s="3">
        <v>4</v>
      </c>
      <c r="AH152" s="3">
        <v>4</v>
      </c>
      <c r="AI152" s="3">
        <v>5</v>
      </c>
      <c r="AJ152" s="3">
        <v>5</v>
      </c>
      <c r="AK152" s="3">
        <v>5</v>
      </c>
      <c r="AL152" s="3">
        <v>5</v>
      </c>
      <c r="AM152" s="3">
        <v>5</v>
      </c>
      <c r="AN152" s="3">
        <v>5</v>
      </c>
      <c r="AO152" s="3">
        <v>4</v>
      </c>
      <c r="AP152" s="3">
        <v>4</v>
      </c>
      <c r="AQ152" s="3">
        <v>4</v>
      </c>
      <c r="AR152" s="3">
        <v>4</v>
      </c>
      <c r="AS152" s="3">
        <v>3</v>
      </c>
      <c r="AT152" s="3">
        <v>4</v>
      </c>
      <c r="AU152" s="3">
        <v>4</v>
      </c>
      <c r="AV152" s="3">
        <v>4</v>
      </c>
      <c r="AW152" s="3">
        <v>5</v>
      </c>
      <c r="AX152" s="3">
        <v>5</v>
      </c>
      <c r="AY152" s="3">
        <v>5</v>
      </c>
      <c r="AZ152" s="3">
        <v>5</v>
      </c>
      <c r="BA152" s="3">
        <v>5</v>
      </c>
      <c r="BB152" s="3">
        <v>5</v>
      </c>
      <c r="BC152" s="3">
        <v>4</v>
      </c>
      <c r="BD152" s="3">
        <v>4</v>
      </c>
      <c r="BE152" s="3">
        <v>4</v>
      </c>
      <c r="BF152" s="3">
        <v>4</v>
      </c>
      <c r="BG152" s="3">
        <v>5</v>
      </c>
      <c r="BH152" s="3">
        <v>5</v>
      </c>
      <c r="BI152" s="3">
        <v>5</v>
      </c>
      <c r="BJ152" s="3">
        <v>5</v>
      </c>
      <c r="BK152" s="3">
        <v>5</v>
      </c>
      <c r="BL152" s="3">
        <v>5</v>
      </c>
      <c r="BM152" s="3">
        <v>5</v>
      </c>
      <c r="BN152" s="3">
        <v>5</v>
      </c>
      <c r="BO152" s="3">
        <v>5</v>
      </c>
      <c r="BP152" s="3" t="s">
        <v>469</v>
      </c>
    </row>
    <row r="153" spans="1:68" ht="22.5" customHeight="1" x14ac:dyDescent="0.25">
      <c r="A153" s="2">
        <v>45974.425974143523</v>
      </c>
      <c r="B153" s="3" t="s">
        <v>470</v>
      </c>
      <c r="C153" s="3" t="s">
        <v>69</v>
      </c>
      <c r="D153" s="3" t="s">
        <v>471</v>
      </c>
      <c r="E153" s="3" t="s">
        <v>77</v>
      </c>
      <c r="F153" s="3" t="s">
        <v>82</v>
      </c>
      <c r="G153" s="3" t="s">
        <v>91</v>
      </c>
      <c r="H153" s="3">
        <v>3</v>
      </c>
      <c r="I153" s="3">
        <v>3</v>
      </c>
      <c r="J153" s="3">
        <v>3</v>
      </c>
      <c r="K153" s="3">
        <v>4</v>
      </c>
      <c r="L153" s="3">
        <v>3</v>
      </c>
      <c r="M153" s="3">
        <v>3</v>
      </c>
      <c r="N153" s="3">
        <v>3</v>
      </c>
      <c r="O153" s="3">
        <v>3</v>
      </c>
      <c r="P153" s="3">
        <v>4</v>
      </c>
      <c r="Q153" s="3">
        <v>3</v>
      </c>
      <c r="R153" s="3">
        <v>3</v>
      </c>
      <c r="S153" s="3">
        <v>3</v>
      </c>
      <c r="T153" s="3">
        <v>3</v>
      </c>
      <c r="U153" s="3">
        <v>3</v>
      </c>
      <c r="V153" s="3">
        <v>3</v>
      </c>
      <c r="W153" s="3">
        <v>4</v>
      </c>
      <c r="X153" s="3">
        <v>4</v>
      </c>
      <c r="Y153" s="3">
        <v>4</v>
      </c>
      <c r="Z153" s="3">
        <v>4</v>
      </c>
      <c r="AA153" s="3">
        <v>4</v>
      </c>
      <c r="AB153" s="3">
        <v>3</v>
      </c>
      <c r="AC153" s="3">
        <v>4</v>
      </c>
      <c r="AD153" s="3">
        <v>5</v>
      </c>
      <c r="AE153" s="3">
        <v>3</v>
      </c>
      <c r="AF153" s="3">
        <v>3</v>
      </c>
      <c r="AG153" s="3">
        <v>4</v>
      </c>
      <c r="AH153" s="3">
        <v>4</v>
      </c>
      <c r="AI153" s="3">
        <v>3</v>
      </c>
      <c r="AJ153" s="3">
        <v>4</v>
      </c>
      <c r="AK153" s="3">
        <v>4</v>
      </c>
      <c r="AL153" s="3">
        <v>4</v>
      </c>
      <c r="AM153" s="3">
        <v>4</v>
      </c>
      <c r="AN153" s="3">
        <v>3</v>
      </c>
      <c r="AO153" s="3">
        <v>3</v>
      </c>
      <c r="AP153" s="3">
        <v>4</v>
      </c>
      <c r="AQ153" s="3">
        <v>4</v>
      </c>
      <c r="AR153" s="3">
        <v>4</v>
      </c>
      <c r="AS153" s="3">
        <v>4</v>
      </c>
      <c r="AT153" s="3">
        <v>4</v>
      </c>
      <c r="AU153" s="3">
        <v>3</v>
      </c>
      <c r="AV153" s="3">
        <v>3</v>
      </c>
      <c r="AW153" s="3">
        <v>4</v>
      </c>
      <c r="AX153" s="3">
        <v>4</v>
      </c>
      <c r="AY153" s="3">
        <v>4</v>
      </c>
      <c r="AZ153" s="3">
        <v>4</v>
      </c>
      <c r="BA153" s="3">
        <v>4</v>
      </c>
      <c r="BB153" s="3">
        <v>4</v>
      </c>
      <c r="BC153" s="3">
        <v>4</v>
      </c>
      <c r="BD153" s="3">
        <v>4</v>
      </c>
      <c r="BE153" s="3">
        <v>3</v>
      </c>
      <c r="BF153" s="3">
        <v>3</v>
      </c>
      <c r="BG153" s="3">
        <v>3</v>
      </c>
      <c r="BH153" s="3">
        <v>4</v>
      </c>
      <c r="BI153" s="3">
        <v>4</v>
      </c>
      <c r="BJ153" s="3">
        <v>4</v>
      </c>
      <c r="BK153" s="3">
        <v>4</v>
      </c>
      <c r="BL153" s="3">
        <v>4</v>
      </c>
      <c r="BM153" s="3">
        <v>4</v>
      </c>
      <c r="BN153" s="3">
        <v>3</v>
      </c>
      <c r="BO153" s="3">
        <v>4</v>
      </c>
      <c r="BP153" s="3" t="s">
        <v>472</v>
      </c>
    </row>
    <row r="154" spans="1:68" ht="22.5" customHeight="1" x14ac:dyDescent="0.25">
      <c r="A154" s="2">
        <v>45974.426947395834</v>
      </c>
      <c r="B154" s="3" t="s">
        <v>473</v>
      </c>
      <c r="C154" s="3" t="s">
        <v>69</v>
      </c>
      <c r="D154" s="3" t="s">
        <v>474</v>
      </c>
      <c r="E154" s="3" t="s">
        <v>71</v>
      </c>
      <c r="F154" s="3" t="s">
        <v>82</v>
      </c>
      <c r="G154" s="3" t="s">
        <v>91</v>
      </c>
      <c r="H154" s="3">
        <v>4</v>
      </c>
      <c r="I154" s="3">
        <v>4</v>
      </c>
      <c r="J154" s="3">
        <v>5</v>
      </c>
      <c r="K154" s="3">
        <v>4</v>
      </c>
      <c r="L154" s="3">
        <v>4</v>
      </c>
      <c r="M154" s="3">
        <v>4</v>
      </c>
      <c r="N154" s="3">
        <v>4</v>
      </c>
      <c r="O154" s="3">
        <v>4</v>
      </c>
      <c r="P154" s="3">
        <v>4</v>
      </c>
      <c r="Q154" s="3">
        <v>4</v>
      </c>
      <c r="R154" s="3">
        <v>5</v>
      </c>
      <c r="S154" s="3">
        <v>4</v>
      </c>
      <c r="T154" s="3">
        <v>4</v>
      </c>
      <c r="U154" s="3">
        <v>4</v>
      </c>
      <c r="V154" s="3">
        <v>4</v>
      </c>
      <c r="W154" s="3">
        <v>4</v>
      </c>
      <c r="X154" s="3">
        <v>4</v>
      </c>
      <c r="Y154" s="3">
        <v>4</v>
      </c>
      <c r="Z154" s="3">
        <v>4</v>
      </c>
      <c r="AA154" s="3">
        <v>4</v>
      </c>
      <c r="AB154" s="3">
        <v>4</v>
      </c>
      <c r="AC154" s="3">
        <v>4</v>
      </c>
      <c r="AD154" s="3">
        <v>4</v>
      </c>
      <c r="AE154" s="3">
        <v>4</v>
      </c>
      <c r="AF154" s="3">
        <v>4</v>
      </c>
      <c r="AG154" s="3">
        <v>4</v>
      </c>
      <c r="AH154" s="3">
        <v>4</v>
      </c>
      <c r="AI154" s="3">
        <v>4</v>
      </c>
      <c r="AJ154" s="3">
        <v>4</v>
      </c>
      <c r="AK154" s="3">
        <v>4</v>
      </c>
      <c r="AL154" s="3">
        <v>4</v>
      </c>
      <c r="AM154" s="3">
        <v>4</v>
      </c>
      <c r="AN154" s="3">
        <v>4</v>
      </c>
      <c r="AO154" s="3">
        <v>4</v>
      </c>
      <c r="AP154" s="3">
        <v>4</v>
      </c>
      <c r="AQ154" s="3">
        <v>4</v>
      </c>
      <c r="AR154" s="3">
        <v>4</v>
      </c>
      <c r="AS154" s="3">
        <v>4</v>
      </c>
      <c r="AT154" s="3">
        <v>4</v>
      </c>
      <c r="AU154" s="3">
        <v>4</v>
      </c>
      <c r="AV154" s="3">
        <v>4</v>
      </c>
      <c r="AW154" s="3">
        <v>5</v>
      </c>
      <c r="AX154" s="3">
        <v>4</v>
      </c>
      <c r="AY154" s="3">
        <v>4</v>
      </c>
      <c r="AZ154" s="3">
        <v>4</v>
      </c>
      <c r="BA154" s="3">
        <v>4</v>
      </c>
      <c r="BB154" s="3">
        <v>4</v>
      </c>
      <c r="BC154" s="3">
        <v>4</v>
      </c>
      <c r="BD154" s="3">
        <v>4</v>
      </c>
      <c r="BE154" s="3">
        <v>4</v>
      </c>
      <c r="BF154" s="3">
        <v>4</v>
      </c>
      <c r="BG154" s="3">
        <v>4</v>
      </c>
      <c r="BH154" s="3">
        <v>4</v>
      </c>
      <c r="BI154" s="3">
        <v>4</v>
      </c>
      <c r="BJ154" s="3">
        <v>4</v>
      </c>
      <c r="BK154" s="3">
        <v>4</v>
      </c>
      <c r="BL154" s="3">
        <v>4</v>
      </c>
      <c r="BM154" s="3">
        <v>4</v>
      </c>
      <c r="BN154" s="3">
        <v>4</v>
      </c>
      <c r="BO154" s="3">
        <v>4</v>
      </c>
      <c r="BP154" s="3" t="s">
        <v>475</v>
      </c>
    </row>
    <row r="155" spans="1:68" ht="22.5" customHeight="1" x14ac:dyDescent="0.25">
      <c r="A155" s="2">
        <v>45974.480843668978</v>
      </c>
      <c r="C155" s="3" t="s">
        <v>69</v>
      </c>
      <c r="D155" s="3" t="s">
        <v>476</v>
      </c>
      <c r="E155" s="3" t="s">
        <v>477</v>
      </c>
      <c r="F155" s="3" t="s">
        <v>72</v>
      </c>
      <c r="G155" s="3" t="s">
        <v>91</v>
      </c>
      <c r="H155" s="3">
        <v>4</v>
      </c>
      <c r="I155" s="3">
        <v>5</v>
      </c>
      <c r="J155" s="3">
        <v>5</v>
      </c>
      <c r="K155" s="3">
        <v>4</v>
      </c>
      <c r="L155" s="3">
        <v>4</v>
      </c>
      <c r="M155" s="3">
        <v>4</v>
      </c>
      <c r="N155" s="3">
        <v>5</v>
      </c>
      <c r="O155" s="3">
        <v>4</v>
      </c>
      <c r="P155" s="3">
        <v>4</v>
      </c>
      <c r="Q155" s="3">
        <v>4</v>
      </c>
      <c r="R155" s="3">
        <v>5</v>
      </c>
      <c r="S155" s="3">
        <v>4</v>
      </c>
      <c r="T155" s="3">
        <v>5</v>
      </c>
      <c r="U155" s="3">
        <v>4</v>
      </c>
      <c r="V155" s="3">
        <v>4</v>
      </c>
      <c r="W155" s="3">
        <v>5</v>
      </c>
      <c r="X155" s="3">
        <v>4</v>
      </c>
      <c r="Y155" s="3">
        <v>4</v>
      </c>
      <c r="Z155" s="3">
        <v>4</v>
      </c>
      <c r="AA155" s="3">
        <v>5</v>
      </c>
      <c r="AB155" s="3">
        <v>4</v>
      </c>
      <c r="AC155" s="3">
        <v>4</v>
      </c>
      <c r="AD155" s="3">
        <v>4</v>
      </c>
      <c r="AE155" s="3">
        <v>5</v>
      </c>
      <c r="AF155" s="3">
        <v>4</v>
      </c>
      <c r="AG155" s="3">
        <v>4</v>
      </c>
      <c r="AH155" s="3">
        <v>5</v>
      </c>
      <c r="AI155" s="3">
        <v>4</v>
      </c>
      <c r="AJ155" s="3">
        <v>5</v>
      </c>
      <c r="AK155" s="3">
        <v>4</v>
      </c>
      <c r="AL155" s="3">
        <v>4</v>
      </c>
      <c r="AM155" s="3">
        <v>5</v>
      </c>
      <c r="AN155" s="3">
        <v>4</v>
      </c>
      <c r="AO155" s="3">
        <v>5</v>
      </c>
      <c r="AP155" s="3">
        <v>4</v>
      </c>
      <c r="AQ155" s="3">
        <v>4</v>
      </c>
      <c r="AR155" s="3">
        <v>4</v>
      </c>
      <c r="AS155" s="3">
        <v>5</v>
      </c>
      <c r="AT155" s="3">
        <v>4</v>
      </c>
      <c r="AU155" s="3">
        <v>5</v>
      </c>
      <c r="AV155" s="3">
        <v>4</v>
      </c>
      <c r="AW155" s="3">
        <v>5</v>
      </c>
      <c r="AX155" s="3">
        <v>4</v>
      </c>
      <c r="AY155" s="3">
        <v>5</v>
      </c>
      <c r="AZ155" s="3">
        <v>4</v>
      </c>
      <c r="BA155" s="3">
        <v>4</v>
      </c>
      <c r="BB155" s="3">
        <v>4</v>
      </c>
      <c r="BC155" s="3">
        <v>5</v>
      </c>
      <c r="BD155" s="3">
        <v>4</v>
      </c>
      <c r="BE155" s="3">
        <v>4</v>
      </c>
      <c r="BF155" s="3">
        <v>4</v>
      </c>
      <c r="BG155" s="3">
        <v>5</v>
      </c>
      <c r="BH155" s="3">
        <v>5</v>
      </c>
      <c r="BI155" s="3">
        <v>5</v>
      </c>
      <c r="BJ155" s="3">
        <v>5</v>
      </c>
      <c r="BK155" s="3">
        <v>5</v>
      </c>
      <c r="BL155" s="3">
        <v>5</v>
      </c>
      <c r="BM155" s="3">
        <v>4</v>
      </c>
      <c r="BN155" s="3">
        <v>5</v>
      </c>
      <c r="BO155" s="3">
        <v>5</v>
      </c>
      <c r="BP155" s="3" t="s">
        <v>478</v>
      </c>
    </row>
    <row r="156" spans="1:68" ht="22.5" customHeight="1" x14ac:dyDescent="0.25">
      <c r="A156" s="2">
        <v>45974.490304548613</v>
      </c>
      <c r="C156" s="3" t="s">
        <v>69</v>
      </c>
      <c r="D156" s="3" t="s">
        <v>479</v>
      </c>
      <c r="E156" s="3" t="s">
        <v>71</v>
      </c>
      <c r="F156" s="3" t="s">
        <v>103</v>
      </c>
      <c r="G156" s="3" t="s">
        <v>91</v>
      </c>
      <c r="H156" s="3">
        <v>4</v>
      </c>
      <c r="I156" s="3">
        <v>4</v>
      </c>
      <c r="J156" s="3">
        <v>5</v>
      </c>
      <c r="K156" s="3">
        <v>4</v>
      </c>
      <c r="L156" s="3">
        <v>5</v>
      </c>
      <c r="M156" s="3">
        <v>4</v>
      </c>
      <c r="N156" s="3">
        <v>5</v>
      </c>
      <c r="O156" s="3">
        <v>5</v>
      </c>
      <c r="P156" s="3">
        <v>4</v>
      </c>
      <c r="Q156" s="3">
        <v>5</v>
      </c>
      <c r="R156" s="3">
        <v>4</v>
      </c>
      <c r="S156" s="3">
        <v>5</v>
      </c>
      <c r="T156" s="3">
        <v>5</v>
      </c>
      <c r="U156" s="3">
        <v>4</v>
      </c>
      <c r="V156" s="3">
        <v>4</v>
      </c>
      <c r="W156" s="3">
        <v>5</v>
      </c>
      <c r="X156" s="3">
        <v>4</v>
      </c>
      <c r="Y156" s="3">
        <v>5</v>
      </c>
      <c r="Z156" s="3">
        <v>4</v>
      </c>
      <c r="AA156" s="3">
        <v>5</v>
      </c>
      <c r="AB156" s="3">
        <v>3</v>
      </c>
      <c r="AC156" s="3">
        <v>4</v>
      </c>
      <c r="AD156" s="3">
        <v>5</v>
      </c>
      <c r="AE156" s="3">
        <v>5</v>
      </c>
      <c r="AF156" s="3">
        <v>4</v>
      </c>
      <c r="AG156" s="3">
        <v>4</v>
      </c>
      <c r="AH156" s="3">
        <v>5</v>
      </c>
      <c r="AI156" s="3">
        <v>4</v>
      </c>
      <c r="AJ156" s="3">
        <v>5</v>
      </c>
      <c r="AK156" s="3">
        <v>4</v>
      </c>
      <c r="AL156" s="3">
        <v>5</v>
      </c>
      <c r="AM156" s="3">
        <v>4</v>
      </c>
      <c r="AN156" s="3">
        <v>4</v>
      </c>
      <c r="AO156" s="3">
        <v>4</v>
      </c>
      <c r="AP156" s="3">
        <v>5</v>
      </c>
      <c r="AQ156" s="3">
        <v>5</v>
      </c>
      <c r="AR156" s="3">
        <v>4</v>
      </c>
      <c r="AS156" s="3">
        <v>5</v>
      </c>
      <c r="AT156" s="3">
        <v>4</v>
      </c>
      <c r="AU156" s="3">
        <v>5</v>
      </c>
      <c r="AV156" s="3">
        <v>5</v>
      </c>
      <c r="AW156" s="3">
        <v>5</v>
      </c>
      <c r="AX156" s="3">
        <v>4</v>
      </c>
      <c r="AY156" s="3">
        <v>5</v>
      </c>
      <c r="AZ156" s="3">
        <v>5</v>
      </c>
      <c r="BA156" s="3">
        <v>4</v>
      </c>
      <c r="BB156" s="3">
        <v>5</v>
      </c>
      <c r="BC156" s="3">
        <v>4</v>
      </c>
      <c r="BD156" s="3">
        <v>5</v>
      </c>
      <c r="BE156" s="3">
        <v>5</v>
      </c>
      <c r="BF156" s="3">
        <v>4</v>
      </c>
      <c r="BG156" s="3">
        <v>5</v>
      </c>
      <c r="BH156" s="3">
        <v>4</v>
      </c>
      <c r="BI156" s="3">
        <v>5</v>
      </c>
      <c r="BJ156" s="3">
        <v>5</v>
      </c>
      <c r="BK156" s="3">
        <v>4</v>
      </c>
      <c r="BL156" s="3">
        <v>5</v>
      </c>
      <c r="BM156" s="3">
        <v>4</v>
      </c>
      <c r="BN156" s="3">
        <v>4</v>
      </c>
      <c r="BO156" s="3">
        <v>5</v>
      </c>
      <c r="BP156" s="3" t="s">
        <v>480</v>
      </c>
    </row>
    <row r="157" spans="1:68" ht="22.5" customHeight="1" x14ac:dyDescent="0.25">
      <c r="A157" s="2">
        <v>45974.55473502315</v>
      </c>
      <c r="C157" s="3" t="s">
        <v>86</v>
      </c>
      <c r="D157" s="3" t="s">
        <v>476</v>
      </c>
      <c r="E157" s="3" t="s">
        <v>141</v>
      </c>
      <c r="F157" s="3" t="s">
        <v>78</v>
      </c>
      <c r="G157" s="3" t="s">
        <v>79</v>
      </c>
      <c r="H157" s="3">
        <v>4</v>
      </c>
      <c r="I157" s="3">
        <v>4</v>
      </c>
      <c r="J157" s="3">
        <v>4</v>
      </c>
      <c r="K157" s="3">
        <v>3</v>
      </c>
      <c r="L157" s="3">
        <v>5</v>
      </c>
      <c r="M157" s="3">
        <v>4</v>
      </c>
      <c r="N157" s="3">
        <v>4</v>
      </c>
      <c r="O157" s="3">
        <v>4</v>
      </c>
      <c r="P157" s="3">
        <v>5</v>
      </c>
      <c r="Q157" s="3">
        <v>5</v>
      </c>
      <c r="R157" s="3">
        <v>4</v>
      </c>
      <c r="S157" s="3">
        <v>5</v>
      </c>
      <c r="T157" s="3">
        <v>5</v>
      </c>
      <c r="U157" s="3">
        <v>4</v>
      </c>
      <c r="V157" s="3">
        <v>4</v>
      </c>
      <c r="W157" s="3">
        <v>3</v>
      </c>
      <c r="X157" s="3">
        <v>3</v>
      </c>
      <c r="Y157" s="3">
        <v>3</v>
      </c>
      <c r="Z157" s="3">
        <v>3</v>
      </c>
      <c r="AA157" s="3">
        <v>4</v>
      </c>
      <c r="AB157" s="3">
        <v>4</v>
      </c>
      <c r="AC157" s="3">
        <v>3</v>
      </c>
      <c r="AD157" s="3">
        <v>4</v>
      </c>
      <c r="AE157" s="3">
        <v>4</v>
      </c>
      <c r="AF157" s="3">
        <v>4</v>
      </c>
      <c r="AG157" s="3">
        <v>4</v>
      </c>
      <c r="AH157" s="3">
        <v>4</v>
      </c>
      <c r="AI157" s="3">
        <v>4</v>
      </c>
      <c r="AJ157" s="3">
        <v>4</v>
      </c>
      <c r="AK157" s="3">
        <v>4</v>
      </c>
      <c r="AL157" s="3">
        <v>4</v>
      </c>
      <c r="AM157" s="3">
        <v>4</v>
      </c>
      <c r="AN157" s="3">
        <v>3</v>
      </c>
      <c r="AO157" s="3">
        <v>4</v>
      </c>
      <c r="AP157" s="3">
        <v>4</v>
      </c>
      <c r="AQ157" s="3">
        <v>4</v>
      </c>
      <c r="AR157" s="3">
        <v>4</v>
      </c>
      <c r="AS157" s="3">
        <v>4</v>
      </c>
      <c r="AT157" s="3">
        <v>4</v>
      </c>
      <c r="AU157" s="3">
        <v>4</v>
      </c>
      <c r="AV157" s="3">
        <v>4</v>
      </c>
      <c r="AW157" s="3">
        <v>5</v>
      </c>
      <c r="AX157" s="3">
        <v>5</v>
      </c>
      <c r="AY157" s="3">
        <v>5</v>
      </c>
      <c r="AZ157" s="3">
        <v>4</v>
      </c>
      <c r="BA157" s="3">
        <v>2</v>
      </c>
      <c r="BB157" s="3">
        <v>3</v>
      </c>
      <c r="BC157" s="3">
        <v>4</v>
      </c>
      <c r="BD157" s="3">
        <v>3</v>
      </c>
      <c r="BE157" s="3">
        <v>3</v>
      </c>
      <c r="BF157" s="3">
        <v>3</v>
      </c>
      <c r="BG157" s="3">
        <v>5</v>
      </c>
      <c r="BH157" s="3">
        <v>4</v>
      </c>
      <c r="BI157" s="3">
        <v>4</v>
      </c>
      <c r="BJ157" s="3">
        <v>5</v>
      </c>
      <c r="BK157" s="3">
        <v>5</v>
      </c>
      <c r="BL157" s="3">
        <v>5</v>
      </c>
      <c r="BM157" s="3">
        <v>5</v>
      </c>
      <c r="BN157" s="3">
        <v>5</v>
      </c>
      <c r="BO157" s="3">
        <v>3</v>
      </c>
      <c r="BP157" s="3" t="s">
        <v>481</v>
      </c>
    </row>
    <row r="158" spans="1:68" ht="22.5" customHeight="1" x14ac:dyDescent="0.25">
      <c r="A158" s="2">
        <v>45974.56987655093</v>
      </c>
      <c r="C158" s="3" t="s">
        <v>86</v>
      </c>
      <c r="D158" s="3" t="s">
        <v>476</v>
      </c>
      <c r="E158" s="3" t="s">
        <v>77</v>
      </c>
      <c r="F158" s="3" t="s">
        <v>78</v>
      </c>
      <c r="G158" s="3" t="s">
        <v>79</v>
      </c>
      <c r="H158" s="3">
        <v>5</v>
      </c>
      <c r="I158" s="3">
        <v>4</v>
      </c>
      <c r="J158" s="3">
        <v>4</v>
      </c>
      <c r="K158" s="3">
        <v>3</v>
      </c>
      <c r="L158" s="3">
        <v>4</v>
      </c>
      <c r="M158" s="3">
        <v>4</v>
      </c>
      <c r="N158" s="3">
        <v>4</v>
      </c>
      <c r="O158" s="3">
        <v>4</v>
      </c>
      <c r="P158" s="3">
        <v>5</v>
      </c>
      <c r="Q158" s="3">
        <v>4</v>
      </c>
      <c r="R158" s="3">
        <v>4</v>
      </c>
      <c r="S158" s="3">
        <v>4</v>
      </c>
      <c r="T158" s="3">
        <v>4</v>
      </c>
      <c r="U158" s="3">
        <v>4</v>
      </c>
      <c r="V158" s="3">
        <v>4</v>
      </c>
      <c r="W158" s="3">
        <v>4</v>
      </c>
      <c r="X158" s="3">
        <v>4</v>
      </c>
      <c r="Y158" s="3">
        <v>4</v>
      </c>
      <c r="Z158" s="3">
        <v>4</v>
      </c>
      <c r="AA158" s="3">
        <v>4</v>
      </c>
      <c r="AB158" s="3">
        <v>3</v>
      </c>
      <c r="AC158" s="3">
        <v>4</v>
      </c>
      <c r="AD158" s="3">
        <v>4</v>
      </c>
      <c r="AE158" s="3">
        <v>4</v>
      </c>
      <c r="AF158" s="3">
        <v>4</v>
      </c>
      <c r="AG158" s="3">
        <v>4</v>
      </c>
      <c r="AH158" s="3">
        <v>3</v>
      </c>
      <c r="AI158" s="3">
        <v>4</v>
      </c>
      <c r="AJ158" s="3">
        <v>4</v>
      </c>
      <c r="AK158" s="3">
        <v>4</v>
      </c>
      <c r="AL158" s="3">
        <v>4</v>
      </c>
      <c r="AM158" s="3">
        <v>4</v>
      </c>
      <c r="AN158" s="3">
        <v>4</v>
      </c>
      <c r="AO158" s="3">
        <v>4</v>
      </c>
      <c r="AP158" s="3">
        <v>4</v>
      </c>
      <c r="AQ158" s="3">
        <v>4</v>
      </c>
      <c r="AR158" s="3">
        <v>4</v>
      </c>
      <c r="AS158" s="3">
        <v>4</v>
      </c>
      <c r="AT158" s="3">
        <v>4</v>
      </c>
      <c r="AU158" s="3">
        <v>4</v>
      </c>
      <c r="AV158" s="3">
        <v>4</v>
      </c>
      <c r="AW158" s="3">
        <v>4</v>
      </c>
      <c r="AX158" s="3">
        <v>4</v>
      </c>
      <c r="AY158" s="3">
        <v>4</v>
      </c>
      <c r="AZ158" s="3">
        <v>4</v>
      </c>
      <c r="BA158" s="3">
        <v>4</v>
      </c>
      <c r="BB158" s="3">
        <v>4</v>
      </c>
      <c r="BC158" s="3">
        <v>4</v>
      </c>
      <c r="BD158" s="3">
        <v>4</v>
      </c>
      <c r="BE158" s="3">
        <v>4</v>
      </c>
      <c r="BF158" s="3">
        <v>4</v>
      </c>
      <c r="BG158" s="3">
        <v>4</v>
      </c>
      <c r="BH158" s="3">
        <v>4</v>
      </c>
      <c r="BI158" s="3">
        <v>4</v>
      </c>
      <c r="BJ158" s="3">
        <v>4</v>
      </c>
      <c r="BK158" s="3">
        <v>4</v>
      </c>
      <c r="BL158" s="3">
        <v>4</v>
      </c>
      <c r="BM158" s="3">
        <v>4</v>
      </c>
      <c r="BN158" s="3">
        <v>4</v>
      </c>
      <c r="BO158" s="3">
        <v>4</v>
      </c>
      <c r="BP158" s="3" t="s">
        <v>482</v>
      </c>
    </row>
    <row r="159" spans="1:68" ht="22.5" customHeight="1" x14ac:dyDescent="0.25">
      <c r="A159" s="2">
        <v>45974.572753564818</v>
      </c>
      <c r="C159" s="3" t="s">
        <v>86</v>
      </c>
      <c r="D159" s="3" t="s">
        <v>483</v>
      </c>
      <c r="E159" s="3" t="s">
        <v>77</v>
      </c>
      <c r="F159" s="3" t="s">
        <v>88</v>
      </c>
      <c r="G159" s="3" t="s">
        <v>83</v>
      </c>
      <c r="H159" s="3">
        <v>5</v>
      </c>
      <c r="I159" s="3">
        <v>4</v>
      </c>
      <c r="J159" s="3">
        <v>4</v>
      </c>
      <c r="K159" s="3">
        <v>4</v>
      </c>
      <c r="L159" s="3">
        <v>4</v>
      </c>
      <c r="M159" s="3">
        <v>4</v>
      </c>
      <c r="N159" s="3">
        <v>4</v>
      </c>
      <c r="O159" s="3">
        <v>4</v>
      </c>
      <c r="P159" s="3">
        <v>4</v>
      </c>
      <c r="Q159" s="3">
        <v>5</v>
      </c>
      <c r="R159" s="3">
        <v>4</v>
      </c>
      <c r="S159" s="3">
        <v>4</v>
      </c>
      <c r="T159" s="3">
        <v>3</v>
      </c>
      <c r="U159" s="3">
        <v>3</v>
      </c>
      <c r="V159" s="3">
        <v>4</v>
      </c>
      <c r="W159" s="3">
        <v>4</v>
      </c>
      <c r="X159" s="3">
        <v>4</v>
      </c>
      <c r="Y159" s="3">
        <v>4</v>
      </c>
      <c r="Z159" s="3">
        <v>3</v>
      </c>
      <c r="AA159" s="3">
        <v>5</v>
      </c>
      <c r="AB159" s="3">
        <v>4</v>
      </c>
      <c r="AC159" s="3">
        <v>4</v>
      </c>
      <c r="AD159" s="3">
        <v>5</v>
      </c>
      <c r="AE159" s="3">
        <v>4</v>
      </c>
      <c r="AF159" s="3">
        <v>4</v>
      </c>
      <c r="AG159" s="3">
        <v>4</v>
      </c>
      <c r="AH159" s="3">
        <v>4</v>
      </c>
      <c r="AI159" s="3">
        <v>4</v>
      </c>
      <c r="AJ159" s="3">
        <v>3</v>
      </c>
      <c r="AK159" s="3">
        <v>4</v>
      </c>
      <c r="AL159" s="3">
        <v>4</v>
      </c>
      <c r="AM159" s="3">
        <v>4</v>
      </c>
      <c r="AN159" s="3">
        <v>3</v>
      </c>
      <c r="AO159" s="3">
        <v>4</v>
      </c>
      <c r="AP159" s="3">
        <v>4</v>
      </c>
      <c r="AQ159" s="3">
        <v>4</v>
      </c>
      <c r="AR159" s="3">
        <v>4</v>
      </c>
      <c r="AS159" s="3">
        <v>4</v>
      </c>
      <c r="AT159" s="3">
        <v>4</v>
      </c>
      <c r="AU159" s="3">
        <v>4</v>
      </c>
      <c r="AV159" s="3">
        <v>4</v>
      </c>
      <c r="AW159" s="3">
        <v>4</v>
      </c>
      <c r="AX159" s="3">
        <v>4</v>
      </c>
      <c r="AY159" s="3">
        <v>4</v>
      </c>
      <c r="AZ159" s="3">
        <v>4</v>
      </c>
      <c r="BA159" s="3">
        <v>4</v>
      </c>
      <c r="BB159" s="3">
        <v>3</v>
      </c>
      <c r="BC159" s="3">
        <v>4</v>
      </c>
      <c r="BD159" s="3">
        <v>3</v>
      </c>
      <c r="BE159" s="3">
        <v>3</v>
      </c>
      <c r="BF159" s="3">
        <v>3</v>
      </c>
      <c r="BG159" s="3">
        <v>4</v>
      </c>
      <c r="BH159" s="3">
        <v>4</v>
      </c>
      <c r="BI159" s="3">
        <v>4</v>
      </c>
      <c r="BJ159" s="3">
        <v>4</v>
      </c>
      <c r="BK159" s="3">
        <v>4</v>
      </c>
      <c r="BL159" s="3">
        <v>4</v>
      </c>
      <c r="BM159" s="3">
        <v>4</v>
      </c>
      <c r="BN159" s="3">
        <v>4</v>
      </c>
      <c r="BO159" s="3">
        <v>4</v>
      </c>
      <c r="BP159" s="3" t="s">
        <v>484</v>
      </c>
    </row>
    <row r="160" spans="1:68" ht="22.5" customHeight="1" x14ac:dyDescent="0.25">
      <c r="A160" s="2">
        <v>45974.610516863424</v>
      </c>
      <c r="C160" s="3" t="s">
        <v>69</v>
      </c>
      <c r="D160" s="3" t="s">
        <v>485</v>
      </c>
      <c r="E160" s="3" t="s">
        <v>77</v>
      </c>
      <c r="F160" s="3" t="s">
        <v>88</v>
      </c>
      <c r="G160" s="3" t="s">
        <v>83</v>
      </c>
      <c r="H160" s="3">
        <v>5</v>
      </c>
      <c r="I160" s="3">
        <v>5</v>
      </c>
      <c r="J160" s="3">
        <v>5</v>
      </c>
      <c r="K160" s="3">
        <v>5</v>
      </c>
      <c r="L160" s="3">
        <v>5</v>
      </c>
      <c r="M160" s="3">
        <v>5</v>
      </c>
      <c r="N160" s="3">
        <v>5</v>
      </c>
      <c r="O160" s="3">
        <v>5</v>
      </c>
      <c r="P160" s="3">
        <v>5</v>
      </c>
      <c r="Q160" s="3">
        <v>5</v>
      </c>
      <c r="R160" s="3">
        <v>5</v>
      </c>
      <c r="S160" s="3">
        <v>5</v>
      </c>
      <c r="T160" s="3">
        <v>5</v>
      </c>
      <c r="U160" s="3">
        <v>5</v>
      </c>
      <c r="V160" s="3">
        <v>5</v>
      </c>
      <c r="W160" s="3">
        <v>5</v>
      </c>
      <c r="X160" s="3">
        <v>5</v>
      </c>
      <c r="Y160" s="3">
        <v>5</v>
      </c>
      <c r="Z160" s="3">
        <v>5</v>
      </c>
      <c r="AA160" s="3">
        <v>5</v>
      </c>
      <c r="AB160" s="3">
        <v>5</v>
      </c>
      <c r="AC160" s="3">
        <v>5</v>
      </c>
      <c r="AD160" s="3">
        <v>5</v>
      </c>
      <c r="AE160" s="3">
        <v>5</v>
      </c>
      <c r="AF160" s="3">
        <v>5</v>
      </c>
      <c r="AG160" s="3">
        <v>5</v>
      </c>
      <c r="AH160" s="3">
        <v>5</v>
      </c>
      <c r="AI160" s="3">
        <v>5</v>
      </c>
      <c r="AJ160" s="3">
        <v>5</v>
      </c>
      <c r="AK160" s="3">
        <v>5</v>
      </c>
      <c r="AL160" s="3">
        <v>5</v>
      </c>
      <c r="AM160" s="3">
        <v>5</v>
      </c>
      <c r="AN160" s="3">
        <v>5</v>
      </c>
      <c r="AO160" s="3">
        <v>5</v>
      </c>
      <c r="AP160" s="3">
        <v>5</v>
      </c>
      <c r="AQ160" s="3">
        <v>5</v>
      </c>
      <c r="AR160" s="3">
        <v>5</v>
      </c>
      <c r="AS160" s="3">
        <v>5</v>
      </c>
      <c r="AT160" s="3">
        <v>5</v>
      </c>
      <c r="AU160" s="3">
        <v>5</v>
      </c>
      <c r="AV160" s="3">
        <v>5</v>
      </c>
      <c r="AW160" s="3">
        <v>5</v>
      </c>
      <c r="AX160" s="3">
        <v>5</v>
      </c>
      <c r="AY160" s="3">
        <v>5</v>
      </c>
      <c r="AZ160" s="3">
        <v>5</v>
      </c>
      <c r="BA160" s="3">
        <v>3</v>
      </c>
      <c r="BB160" s="3">
        <v>3</v>
      </c>
      <c r="BC160" s="3">
        <v>3</v>
      </c>
      <c r="BD160" s="3">
        <v>3</v>
      </c>
      <c r="BE160" s="3">
        <v>3</v>
      </c>
      <c r="BF160" s="3">
        <v>3</v>
      </c>
      <c r="BG160" s="3">
        <v>5</v>
      </c>
      <c r="BH160" s="3">
        <v>5</v>
      </c>
      <c r="BI160" s="3">
        <v>5</v>
      </c>
      <c r="BJ160" s="3">
        <v>5</v>
      </c>
      <c r="BK160" s="3">
        <v>5</v>
      </c>
      <c r="BL160" s="3">
        <v>5</v>
      </c>
      <c r="BM160" s="3">
        <v>5</v>
      </c>
      <c r="BN160" s="3">
        <v>5</v>
      </c>
      <c r="BO160" s="3">
        <v>5</v>
      </c>
      <c r="BP160" s="3" t="s">
        <v>486</v>
      </c>
    </row>
    <row r="161" spans="1:68" ht="22.5" customHeight="1" x14ac:dyDescent="0.25">
      <c r="A161" s="2">
        <v>45974.61432168982</v>
      </c>
      <c r="C161" s="3" t="s">
        <v>69</v>
      </c>
      <c r="D161" s="3" t="s">
        <v>487</v>
      </c>
      <c r="E161" s="3" t="s">
        <v>71</v>
      </c>
      <c r="F161" s="3" t="s">
        <v>103</v>
      </c>
      <c r="G161" s="3" t="s">
        <v>73</v>
      </c>
      <c r="H161" s="3">
        <v>5</v>
      </c>
      <c r="I161" s="3">
        <v>5</v>
      </c>
      <c r="J161" s="3">
        <v>5</v>
      </c>
      <c r="K161" s="3">
        <v>4</v>
      </c>
      <c r="L161" s="3">
        <v>5</v>
      </c>
      <c r="M161" s="3">
        <v>3</v>
      </c>
      <c r="N161" s="3">
        <v>4</v>
      </c>
      <c r="O161" s="3">
        <v>4</v>
      </c>
      <c r="P161" s="3">
        <v>5</v>
      </c>
      <c r="Q161" s="3">
        <v>5</v>
      </c>
      <c r="R161" s="3">
        <v>5</v>
      </c>
      <c r="S161" s="3">
        <v>4</v>
      </c>
      <c r="T161" s="3">
        <v>5</v>
      </c>
      <c r="U161" s="3">
        <v>5</v>
      </c>
      <c r="V161" s="3">
        <v>4</v>
      </c>
      <c r="W161" s="3">
        <v>3</v>
      </c>
      <c r="X161" s="3">
        <v>4</v>
      </c>
      <c r="Y161" s="3">
        <v>4</v>
      </c>
      <c r="Z161" s="3">
        <v>4</v>
      </c>
      <c r="AA161" s="3">
        <v>2</v>
      </c>
      <c r="AB161" s="3">
        <v>2</v>
      </c>
      <c r="AC161" s="3">
        <v>2</v>
      </c>
      <c r="AD161" s="3">
        <v>4</v>
      </c>
      <c r="AE161" s="3">
        <v>4</v>
      </c>
      <c r="AF161" s="3">
        <v>4</v>
      </c>
      <c r="AG161" s="3">
        <v>4</v>
      </c>
      <c r="AH161" s="3">
        <v>4</v>
      </c>
      <c r="AI161" s="3">
        <v>3</v>
      </c>
      <c r="AJ161" s="3">
        <v>4</v>
      </c>
      <c r="AK161" s="3">
        <v>4</v>
      </c>
      <c r="AL161" s="3">
        <v>5</v>
      </c>
      <c r="AM161" s="3">
        <v>4</v>
      </c>
      <c r="AN161" s="3">
        <v>4</v>
      </c>
      <c r="AO161" s="3">
        <v>4</v>
      </c>
      <c r="AP161" s="3">
        <v>4</v>
      </c>
      <c r="AQ161" s="3">
        <v>4</v>
      </c>
      <c r="AR161" s="3">
        <v>5</v>
      </c>
      <c r="AS161" s="3">
        <v>4</v>
      </c>
      <c r="AT161" s="3">
        <v>4</v>
      </c>
      <c r="AU161" s="3">
        <v>4</v>
      </c>
      <c r="AV161" s="3">
        <v>4</v>
      </c>
      <c r="AW161" s="3">
        <v>5</v>
      </c>
      <c r="AX161" s="3">
        <v>5</v>
      </c>
      <c r="AY161" s="3">
        <v>4</v>
      </c>
      <c r="AZ161" s="3">
        <v>5</v>
      </c>
      <c r="BA161" s="3">
        <v>2</v>
      </c>
      <c r="BB161" s="3">
        <v>4</v>
      </c>
      <c r="BC161" s="3">
        <v>4</v>
      </c>
      <c r="BD161" s="3">
        <v>2</v>
      </c>
      <c r="BE161" s="3">
        <v>2</v>
      </c>
      <c r="BF161" s="3">
        <v>2</v>
      </c>
      <c r="BG161" s="3">
        <v>4</v>
      </c>
      <c r="BH161" s="3">
        <v>5</v>
      </c>
      <c r="BI161" s="3">
        <v>5</v>
      </c>
      <c r="BJ161" s="3">
        <v>4</v>
      </c>
      <c r="BK161" s="3">
        <v>4</v>
      </c>
      <c r="BL161" s="3">
        <v>4</v>
      </c>
      <c r="BM161" s="3">
        <v>4</v>
      </c>
      <c r="BN161" s="3">
        <v>4</v>
      </c>
      <c r="BO161" s="3">
        <v>4</v>
      </c>
      <c r="BP161" s="3" t="s">
        <v>488</v>
      </c>
    </row>
    <row r="162" spans="1:68" ht="22.5" customHeight="1" x14ac:dyDescent="0.25">
      <c r="A162" s="2">
        <v>45974.646467962964</v>
      </c>
      <c r="B162" s="3" t="s">
        <v>489</v>
      </c>
      <c r="C162" s="3" t="s">
        <v>69</v>
      </c>
      <c r="D162" s="3" t="s">
        <v>490</v>
      </c>
      <c r="E162" s="3" t="s">
        <v>77</v>
      </c>
      <c r="F162" s="3" t="s">
        <v>78</v>
      </c>
      <c r="G162" s="3" t="s">
        <v>79</v>
      </c>
      <c r="H162" s="3">
        <v>3</v>
      </c>
      <c r="I162" s="3">
        <v>3</v>
      </c>
      <c r="J162" s="3">
        <v>3</v>
      </c>
      <c r="K162" s="3">
        <v>3</v>
      </c>
      <c r="L162" s="3">
        <v>3</v>
      </c>
      <c r="M162" s="3">
        <v>3</v>
      </c>
      <c r="N162" s="3">
        <v>3</v>
      </c>
      <c r="O162" s="3">
        <v>3</v>
      </c>
      <c r="P162" s="3">
        <v>3</v>
      </c>
      <c r="Q162" s="3">
        <v>3</v>
      </c>
      <c r="R162" s="3">
        <v>3</v>
      </c>
      <c r="S162" s="3">
        <v>3</v>
      </c>
      <c r="T162" s="3">
        <v>3</v>
      </c>
      <c r="U162" s="3">
        <v>3</v>
      </c>
      <c r="V162" s="3">
        <v>3</v>
      </c>
      <c r="W162" s="3">
        <v>3</v>
      </c>
      <c r="X162" s="3">
        <v>3</v>
      </c>
      <c r="Y162" s="3">
        <v>3</v>
      </c>
      <c r="Z162" s="3">
        <v>3</v>
      </c>
      <c r="AA162" s="3">
        <v>3</v>
      </c>
      <c r="AB162" s="3">
        <v>3</v>
      </c>
      <c r="AC162" s="3">
        <v>3</v>
      </c>
      <c r="AD162" s="3">
        <v>3</v>
      </c>
      <c r="AE162" s="3">
        <v>3</v>
      </c>
      <c r="AF162" s="3">
        <v>3</v>
      </c>
      <c r="AG162" s="3">
        <v>3</v>
      </c>
      <c r="AH162" s="3">
        <v>3</v>
      </c>
      <c r="AI162" s="3">
        <v>3</v>
      </c>
      <c r="AJ162" s="3">
        <v>3</v>
      </c>
      <c r="AK162" s="3">
        <v>3</v>
      </c>
      <c r="AL162" s="3">
        <v>3</v>
      </c>
      <c r="AM162" s="3">
        <v>3</v>
      </c>
      <c r="AN162" s="3">
        <v>3</v>
      </c>
      <c r="AO162" s="3">
        <v>3</v>
      </c>
      <c r="AP162" s="3">
        <v>3</v>
      </c>
      <c r="AQ162" s="3">
        <v>3</v>
      </c>
      <c r="AR162" s="3">
        <v>3</v>
      </c>
      <c r="AS162" s="3">
        <v>3</v>
      </c>
      <c r="AT162" s="3">
        <v>3</v>
      </c>
      <c r="AU162" s="3">
        <v>3</v>
      </c>
      <c r="AV162" s="3">
        <v>3</v>
      </c>
      <c r="AW162" s="3">
        <v>3</v>
      </c>
      <c r="AX162" s="3">
        <v>3</v>
      </c>
      <c r="AY162" s="3">
        <v>3</v>
      </c>
      <c r="AZ162" s="3">
        <v>3</v>
      </c>
      <c r="BA162" s="3">
        <v>3</v>
      </c>
      <c r="BB162" s="3">
        <v>3</v>
      </c>
      <c r="BC162" s="3">
        <v>3</v>
      </c>
      <c r="BD162" s="3">
        <v>3</v>
      </c>
      <c r="BE162" s="3">
        <v>3</v>
      </c>
      <c r="BF162" s="3">
        <v>3</v>
      </c>
      <c r="BG162" s="3">
        <v>3</v>
      </c>
      <c r="BH162" s="3">
        <v>3</v>
      </c>
      <c r="BI162" s="3">
        <v>3</v>
      </c>
      <c r="BJ162" s="3">
        <v>3</v>
      </c>
      <c r="BK162" s="3">
        <v>3</v>
      </c>
      <c r="BL162" s="3">
        <v>3</v>
      </c>
      <c r="BM162" s="3">
        <v>3</v>
      </c>
      <c r="BN162" s="3">
        <v>3</v>
      </c>
      <c r="BO162" s="3">
        <v>3</v>
      </c>
      <c r="BP162" s="3" t="s">
        <v>491</v>
      </c>
    </row>
    <row r="163" spans="1:68" ht="22.5" customHeight="1" x14ac:dyDescent="0.25">
      <c r="A163" s="2">
        <v>45974.647224016204</v>
      </c>
      <c r="B163" s="3" t="s">
        <v>492</v>
      </c>
      <c r="C163" s="3" t="s">
        <v>86</v>
      </c>
      <c r="D163" s="3" t="s">
        <v>493</v>
      </c>
      <c r="E163" s="3" t="s">
        <v>77</v>
      </c>
      <c r="F163" s="3" t="s">
        <v>78</v>
      </c>
      <c r="G163" s="3" t="s">
        <v>79</v>
      </c>
      <c r="H163" s="3">
        <v>3</v>
      </c>
      <c r="I163" s="3">
        <v>3</v>
      </c>
      <c r="J163" s="3">
        <v>3</v>
      </c>
      <c r="K163" s="3">
        <v>3</v>
      </c>
      <c r="L163" s="3">
        <v>3</v>
      </c>
      <c r="M163" s="3">
        <v>3</v>
      </c>
      <c r="N163" s="3">
        <v>3</v>
      </c>
      <c r="O163" s="3">
        <v>3</v>
      </c>
      <c r="P163" s="3">
        <v>3</v>
      </c>
      <c r="Q163" s="3">
        <v>3</v>
      </c>
      <c r="R163" s="3">
        <v>3</v>
      </c>
      <c r="S163" s="3">
        <v>3</v>
      </c>
      <c r="T163" s="3">
        <v>3</v>
      </c>
      <c r="U163" s="3">
        <v>3</v>
      </c>
      <c r="V163" s="3">
        <v>3</v>
      </c>
      <c r="W163" s="3">
        <v>3</v>
      </c>
      <c r="X163" s="3">
        <v>3</v>
      </c>
      <c r="Y163" s="3">
        <v>3</v>
      </c>
      <c r="Z163" s="3">
        <v>3</v>
      </c>
      <c r="AA163" s="3">
        <v>4</v>
      </c>
      <c r="AB163" s="3">
        <v>4</v>
      </c>
      <c r="AC163" s="3">
        <v>4</v>
      </c>
      <c r="AD163" s="3">
        <v>4</v>
      </c>
      <c r="AE163" s="3">
        <v>3</v>
      </c>
      <c r="AF163" s="3">
        <v>3</v>
      </c>
      <c r="AG163" s="3">
        <v>3</v>
      </c>
      <c r="AH163" s="3">
        <v>3</v>
      </c>
      <c r="AI163" s="3">
        <v>3</v>
      </c>
      <c r="AJ163" s="3">
        <v>3</v>
      </c>
      <c r="AK163" s="3">
        <v>3</v>
      </c>
      <c r="AL163" s="3">
        <v>3</v>
      </c>
      <c r="AM163" s="3">
        <v>3</v>
      </c>
      <c r="AN163" s="3">
        <v>3</v>
      </c>
      <c r="AO163" s="3">
        <v>3</v>
      </c>
      <c r="AP163" s="3">
        <v>3</v>
      </c>
      <c r="AQ163" s="3">
        <v>3</v>
      </c>
      <c r="AR163" s="3">
        <v>3</v>
      </c>
      <c r="AS163" s="3">
        <v>3</v>
      </c>
      <c r="AT163" s="3">
        <v>3</v>
      </c>
      <c r="AU163" s="3">
        <v>3</v>
      </c>
      <c r="AV163" s="3">
        <v>3</v>
      </c>
      <c r="AW163" s="3">
        <v>4</v>
      </c>
      <c r="AX163" s="3">
        <v>4</v>
      </c>
      <c r="AY163" s="3">
        <v>4</v>
      </c>
      <c r="AZ163" s="3">
        <v>4</v>
      </c>
      <c r="BA163" s="3">
        <v>4</v>
      </c>
      <c r="BB163" s="3">
        <v>4</v>
      </c>
      <c r="BC163" s="3">
        <v>4</v>
      </c>
      <c r="BD163" s="3">
        <v>4</v>
      </c>
      <c r="BE163" s="3">
        <v>4</v>
      </c>
      <c r="BF163" s="3">
        <v>4</v>
      </c>
      <c r="BG163" s="3">
        <v>3</v>
      </c>
      <c r="BH163" s="3">
        <v>3</v>
      </c>
      <c r="BI163" s="3">
        <v>3</v>
      </c>
      <c r="BJ163" s="3">
        <v>4</v>
      </c>
      <c r="BK163" s="3">
        <v>4</v>
      </c>
      <c r="BL163" s="3">
        <v>4</v>
      </c>
      <c r="BM163" s="3">
        <v>4</v>
      </c>
      <c r="BN163" s="3">
        <v>4</v>
      </c>
      <c r="BO163" s="3">
        <v>4</v>
      </c>
      <c r="BP163" s="3" t="s">
        <v>494</v>
      </c>
    </row>
    <row r="164" spans="1:68" ht="22.5" customHeight="1" x14ac:dyDescent="0.25">
      <c r="A164" s="2">
        <v>45974.648777858798</v>
      </c>
      <c r="B164" s="3" t="s">
        <v>495</v>
      </c>
      <c r="C164" s="3" t="s">
        <v>69</v>
      </c>
      <c r="D164" s="3" t="s">
        <v>490</v>
      </c>
      <c r="E164" s="3" t="s">
        <v>77</v>
      </c>
      <c r="F164" s="3" t="s">
        <v>78</v>
      </c>
      <c r="G164" s="3" t="s">
        <v>79</v>
      </c>
      <c r="H164" s="3">
        <v>5</v>
      </c>
      <c r="I164" s="3">
        <v>5</v>
      </c>
      <c r="J164" s="3">
        <v>5</v>
      </c>
      <c r="K164" s="3">
        <v>5</v>
      </c>
      <c r="L164" s="3">
        <v>5</v>
      </c>
      <c r="M164" s="3">
        <v>5</v>
      </c>
      <c r="N164" s="3">
        <v>5</v>
      </c>
      <c r="O164" s="3">
        <v>5</v>
      </c>
      <c r="P164" s="3">
        <v>5</v>
      </c>
      <c r="Q164" s="3">
        <v>5</v>
      </c>
      <c r="R164" s="3">
        <v>5</v>
      </c>
      <c r="S164" s="3">
        <v>5</v>
      </c>
      <c r="T164" s="3">
        <v>5</v>
      </c>
      <c r="U164" s="3">
        <v>5</v>
      </c>
      <c r="V164" s="3">
        <v>5</v>
      </c>
      <c r="W164" s="3">
        <v>5</v>
      </c>
      <c r="X164" s="3">
        <v>5</v>
      </c>
      <c r="Y164" s="3">
        <v>5</v>
      </c>
      <c r="Z164" s="3">
        <v>5</v>
      </c>
      <c r="AA164" s="3">
        <v>5</v>
      </c>
      <c r="AB164" s="3">
        <v>5</v>
      </c>
      <c r="AC164" s="3">
        <v>5</v>
      </c>
      <c r="AD164" s="3">
        <v>5</v>
      </c>
      <c r="AE164" s="3">
        <v>5</v>
      </c>
      <c r="AF164" s="3">
        <v>5</v>
      </c>
      <c r="AG164" s="3">
        <v>5</v>
      </c>
      <c r="AH164" s="3">
        <v>5</v>
      </c>
      <c r="AI164" s="3">
        <v>5</v>
      </c>
      <c r="AJ164" s="3">
        <v>5</v>
      </c>
      <c r="AK164" s="3">
        <v>5</v>
      </c>
      <c r="AL164" s="3">
        <v>5</v>
      </c>
      <c r="AM164" s="3">
        <v>5</v>
      </c>
      <c r="AN164" s="3">
        <v>5</v>
      </c>
      <c r="AO164" s="3">
        <v>5</v>
      </c>
      <c r="AP164" s="3">
        <v>5</v>
      </c>
      <c r="AQ164" s="3">
        <v>5</v>
      </c>
      <c r="AR164" s="3">
        <v>5</v>
      </c>
      <c r="AS164" s="3">
        <v>5</v>
      </c>
      <c r="AT164" s="3">
        <v>5</v>
      </c>
      <c r="AU164" s="3">
        <v>5</v>
      </c>
      <c r="AV164" s="3">
        <v>5</v>
      </c>
      <c r="AW164" s="3">
        <v>5</v>
      </c>
      <c r="AX164" s="3">
        <v>5</v>
      </c>
      <c r="AY164" s="3">
        <v>5</v>
      </c>
      <c r="AZ164" s="3">
        <v>5</v>
      </c>
      <c r="BA164" s="3">
        <v>5</v>
      </c>
      <c r="BB164" s="3">
        <v>5</v>
      </c>
      <c r="BC164" s="3">
        <v>5</v>
      </c>
      <c r="BD164" s="3">
        <v>5</v>
      </c>
      <c r="BE164" s="3">
        <v>5</v>
      </c>
      <c r="BF164" s="3">
        <v>5</v>
      </c>
      <c r="BG164" s="3">
        <v>5</v>
      </c>
      <c r="BH164" s="3">
        <v>5</v>
      </c>
      <c r="BI164" s="3">
        <v>5</v>
      </c>
      <c r="BJ164" s="3">
        <v>5</v>
      </c>
      <c r="BK164" s="3">
        <v>5</v>
      </c>
      <c r="BL164" s="3">
        <v>5</v>
      </c>
      <c r="BM164" s="3">
        <v>5</v>
      </c>
      <c r="BN164" s="3">
        <v>5</v>
      </c>
      <c r="BO164" s="3">
        <v>5</v>
      </c>
      <c r="BP164" s="3" t="s">
        <v>496</v>
      </c>
    </row>
    <row r="165" spans="1:68" ht="22.5" customHeight="1" x14ac:dyDescent="0.25">
      <c r="A165" s="2">
        <v>45974.649472523146</v>
      </c>
      <c r="B165" s="3" t="s">
        <v>497</v>
      </c>
      <c r="C165" s="3" t="s">
        <v>86</v>
      </c>
      <c r="D165" s="3" t="s">
        <v>498</v>
      </c>
      <c r="E165" s="3" t="s">
        <v>77</v>
      </c>
      <c r="F165" s="3" t="s">
        <v>78</v>
      </c>
      <c r="G165" s="3" t="s">
        <v>79</v>
      </c>
      <c r="H165" s="3">
        <v>4</v>
      </c>
      <c r="I165" s="3">
        <v>4</v>
      </c>
      <c r="J165" s="3">
        <v>4</v>
      </c>
      <c r="K165" s="3">
        <v>4</v>
      </c>
      <c r="L165" s="3">
        <v>4</v>
      </c>
      <c r="M165" s="3">
        <v>4</v>
      </c>
      <c r="N165" s="3">
        <v>4</v>
      </c>
      <c r="O165" s="3">
        <v>4</v>
      </c>
      <c r="P165" s="3">
        <v>4</v>
      </c>
      <c r="Q165" s="3">
        <v>4</v>
      </c>
      <c r="R165" s="3">
        <v>4</v>
      </c>
      <c r="S165" s="3">
        <v>4</v>
      </c>
      <c r="T165" s="3">
        <v>4</v>
      </c>
      <c r="U165" s="3">
        <v>4</v>
      </c>
      <c r="V165" s="3">
        <v>4</v>
      </c>
      <c r="W165" s="3">
        <v>4</v>
      </c>
      <c r="X165" s="3">
        <v>4</v>
      </c>
      <c r="Y165" s="3">
        <v>4</v>
      </c>
      <c r="Z165" s="3">
        <v>4</v>
      </c>
      <c r="AA165" s="3">
        <v>4</v>
      </c>
      <c r="AB165" s="3">
        <v>4</v>
      </c>
      <c r="AC165" s="3">
        <v>4</v>
      </c>
      <c r="AD165" s="3">
        <v>4</v>
      </c>
      <c r="AE165" s="3">
        <v>4</v>
      </c>
      <c r="AF165" s="3">
        <v>4</v>
      </c>
      <c r="AG165" s="3">
        <v>4</v>
      </c>
      <c r="AH165" s="3">
        <v>4</v>
      </c>
      <c r="AI165" s="3">
        <v>4</v>
      </c>
      <c r="AJ165" s="3">
        <v>4</v>
      </c>
      <c r="AK165" s="3">
        <v>4</v>
      </c>
      <c r="AL165" s="3">
        <v>4</v>
      </c>
      <c r="AM165" s="3">
        <v>4</v>
      </c>
      <c r="AN165" s="3">
        <v>4</v>
      </c>
      <c r="AO165" s="3">
        <v>4</v>
      </c>
      <c r="AP165" s="3">
        <v>4</v>
      </c>
      <c r="AQ165" s="3">
        <v>4</v>
      </c>
      <c r="AR165" s="3">
        <v>4</v>
      </c>
      <c r="AS165" s="3">
        <v>4</v>
      </c>
      <c r="AT165" s="3">
        <v>4</v>
      </c>
      <c r="AU165" s="3">
        <v>4</v>
      </c>
      <c r="AV165" s="3">
        <v>4</v>
      </c>
      <c r="AW165" s="3">
        <v>4</v>
      </c>
      <c r="AX165" s="3">
        <v>4</v>
      </c>
      <c r="AY165" s="3">
        <v>4</v>
      </c>
      <c r="AZ165" s="3">
        <v>4</v>
      </c>
      <c r="BA165" s="3">
        <v>4</v>
      </c>
      <c r="BB165" s="3">
        <v>4</v>
      </c>
      <c r="BC165" s="3">
        <v>4</v>
      </c>
      <c r="BD165" s="3">
        <v>4</v>
      </c>
      <c r="BE165" s="3">
        <v>4</v>
      </c>
      <c r="BF165" s="3">
        <v>4</v>
      </c>
      <c r="BG165" s="3">
        <v>4</v>
      </c>
      <c r="BH165" s="3">
        <v>4</v>
      </c>
      <c r="BI165" s="3">
        <v>4</v>
      </c>
      <c r="BJ165" s="3">
        <v>4</v>
      </c>
      <c r="BK165" s="3">
        <v>4</v>
      </c>
      <c r="BL165" s="3">
        <v>4</v>
      </c>
      <c r="BM165" s="3">
        <v>4</v>
      </c>
      <c r="BN165" s="3">
        <v>4</v>
      </c>
      <c r="BO165" s="3">
        <v>4</v>
      </c>
      <c r="BP165" s="3" t="s">
        <v>499</v>
      </c>
    </row>
    <row r="166" spans="1:68" ht="22.5" customHeight="1" x14ac:dyDescent="0.25">
      <c r="A166" s="2">
        <v>45974.650033622689</v>
      </c>
      <c r="B166" s="3" t="s">
        <v>500</v>
      </c>
      <c r="C166" s="3" t="s">
        <v>86</v>
      </c>
      <c r="D166" s="3" t="s">
        <v>498</v>
      </c>
      <c r="E166" s="3" t="s">
        <v>77</v>
      </c>
      <c r="F166" s="3" t="s">
        <v>78</v>
      </c>
      <c r="G166" s="3" t="s">
        <v>79</v>
      </c>
      <c r="H166" s="3">
        <v>5</v>
      </c>
      <c r="I166" s="3">
        <v>5</v>
      </c>
      <c r="J166" s="3">
        <v>5</v>
      </c>
      <c r="K166" s="3">
        <v>5</v>
      </c>
      <c r="L166" s="3">
        <v>5</v>
      </c>
      <c r="M166" s="3">
        <v>5</v>
      </c>
      <c r="N166" s="3">
        <v>5</v>
      </c>
      <c r="O166" s="3">
        <v>5</v>
      </c>
      <c r="P166" s="3">
        <v>5</v>
      </c>
      <c r="Q166" s="3">
        <v>5</v>
      </c>
      <c r="R166" s="3">
        <v>5</v>
      </c>
      <c r="S166" s="3">
        <v>5</v>
      </c>
      <c r="T166" s="3">
        <v>5</v>
      </c>
      <c r="U166" s="3">
        <v>5</v>
      </c>
      <c r="V166" s="3">
        <v>5</v>
      </c>
      <c r="W166" s="3">
        <v>5</v>
      </c>
      <c r="X166" s="3">
        <v>4</v>
      </c>
      <c r="Y166" s="3">
        <v>5</v>
      </c>
      <c r="Z166" s="3">
        <v>4</v>
      </c>
      <c r="AA166" s="3">
        <v>4</v>
      </c>
      <c r="AB166" s="3">
        <v>5</v>
      </c>
      <c r="AC166" s="3">
        <v>5</v>
      </c>
      <c r="AD166" s="3">
        <v>5</v>
      </c>
      <c r="AE166" s="3">
        <v>5</v>
      </c>
      <c r="AF166" s="3">
        <v>5</v>
      </c>
      <c r="AG166" s="3">
        <v>5</v>
      </c>
      <c r="AH166" s="3">
        <v>5</v>
      </c>
      <c r="AI166" s="3">
        <v>5</v>
      </c>
      <c r="AJ166" s="3">
        <v>5</v>
      </c>
      <c r="AK166" s="3">
        <v>5</v>
      </c>
      <c r="AL166" s="3">
        <v>5</v>
      </c>
      <c r="AM166" s="3">
        <v>5</v>
      </c>
      <c r="AN166" s="3">
        <v>5</v>
      </c>
      <c r="AO166" s="3">
        <v>5</v>
      </c>
      <c r="AP166" s="3">
        <v>5</v>
      </c>
      <c r="AQ166" s="3">
        <v>4</v>
      </c>
      <c r="AR166" s="3">
        <v>5</v>
      </c>
      <c r="AS166" s="3">
        <v>4</v>
      </c>
      <c r="AT166" s="3">
        <v>4</v>
      </c>
      <c r="AU166" s="3">
        <v>5</v>
      </c>
      <c r="AV166" s="3">
        <v>5</v>
      </c>
      <c r="AW166" s="3">
        <v>4</v>
      </c>
      <c r="AX166" s="3">
        <v>4</v>
      </c>
      <c r="AY166" s="3">
        <v>5</v>
      </c>
      <c r="AZ166" s="3">
        <v>4</v>
      </c>
      <c r="BA166" s="3">
        <v>5</v>
      </c>
      <c r="BB166" s="3">
        <v>4</v>
      </c>
      <c r="BC166" s="3">
        <v>4</v>
      </c>
      <c r="BD166" s="3">
        <v>5</v>
      </c>
      <c r="BE166" s="3">
        <v>4</v>
      </c>
      <c r="BF166" s="3">
        <v>5</v>
      </c>
      <c r="BG166" s="3">
        <v>5</v>
      </c>
      <c r="BH166" s="3">
        <v>4</v>
      </c>
      <c r="BI166" s="3">
        <v>5</v>
      </c>
      <c r="BJ166" s="3">
        <v>4</v>
      </c>
      <c r="BK166" s="3">
        <v>5</v>
      </c>
      <c r="BL166" s="3">
        <v>5</v>
      </c>
      <c r="BM166" s="3">
        <v>5</v>
      </c>
      <c r="BN166" s="3">
        <v>5</v>
      </c>
      <c r="BO166" s="3">
        <v>5</v>
      </c>
      <c r="BP166" s="3" t="s">
        <v>501</v>
      </c>
    </row>
    <row r="167" spans="1:68" ht="22.5" customHeight="1" x14ac:dyDescent="0.25">
      <c r="A167" s="2">
        <v>45974.65029341435</v>
      </c>
      <c r="B167" s="3" t="s">
        <v>502</v>
      </c>
      <c r="C167" s="3" t="s">
        <v>69</v>
      </c>
      <c r="D167" s="3" t="s">
        <v>493</v>
      </c>
      <c r="E167" s="3" t="s">
        <v>77</v>
      </c>
      <c r="F167" s="3" t="s">
        <v>78</v>
      </c>
      <c r="G167" s="3" t="s">
        <v>79</v>
      </c>
      <c r="H167" s="3">
        <v>5</v>
      </c>
      <c r="I167" s="3">
        <v>5</v>
      </c>
      <c r="J167" s="3">
        <v>5</v>
      </c>
      <c r="K167" s="3">
        <v>5</v>
      </c>
      <c r="L167" s="3">
        <v>5</v>
      </c>
      <c r="M167" s="3">
        <v>5</v>
      </c>
      <c r="N167" s="3">
        <v>5</v>
      </c>
      <c r="O167" s="3">
        <v>5</v>
      </c>
      <c r="P167" s="3">
        <v>5</v>
      </c>
      <c r="Q167" s="3">
        <v>5</v>
      </c>
      <c r="R167" s="3">
        <v>5</v>
      </c>
      <c r="S167" s="3">
        <v>5</v>
      </c>
      <c r="T167" s="3">
        <v>5</v>
      </c>
      <c r="U167" s="3">
        <v>5</v>
      </c>
      <c r="V167" s="3">
        <v>5</v>
      </c>
      <c r="W167" s="3">
        <v>5</v>
      </c>
      <c r="X167" s="3">
        <v>5</v>
      </c>
      <c r="Y167" s="3">
        <v>5</v>
      </c>
      <c r="Z167" s="3">
        <v>5</v>
      </c>
      <c r="AA167" s="3">
        <v>5</v>
      </c>
      <c r="AB167" s="3">
        <v>5</v>
      </c>
      <c r="AC167" s="3">
        <v>5</v>
      </c>
      <c r="AD167" s="3">
        <v>5</v>
      </c>
      <c r="AE167" s="3">
        <v>5</v>
      </c>
      <c r="AF167" s="3">
        <v>5</v>
      </c>
      <c r="AG167" s="3">
        <v>5</v>
      </c>
      <c r="AH167" s="3">
        <v>5</v>
      </c>
      <c r="AI167" s="3">
        <v>5</v>
      </c>
      <c r="AJ167" s="3">
        <v>5</v>
      </c>
      <c r="AK167" s="3">
        <v>5</v>
      </c>
      <c r="AL167" s="3">
        <v>5</v>
      </c>
      <c r="AM167" s="3">
        <v>5</v>
      </c>
      <c r="AN167" s="3">
        <v>5</v>
      </c>
      <c r="AO167" s="3">
        <v>5</v>
      </c>
      <c r="AP167" s="3">
        <v>5</v>
      </c>
      <c r="AQ167" s="3">
        <v>5</v>
      </c>
      <c r="AR167" s="3">
        <v>5</v>
      </c>
      <c r="AS167" s="3">
        <v>5</v>
      </c>
      <c r="AT167" s="3">
        <v>5</v>
      </c>
      <c r="AU167" s="3">
        <v>5</v>
      </c>
      <c r="AV167" s="3">
        <v>5</v>
      </c>
      <c r="AW167" s="3">
        <v>5</v>
      </c>
      <c r="AX167" s="3">
        <v>5</v>
      </c>
      <c r="AY167" s="3">
        <v>5</v>
      </c>
      <c r="AZ167" s="3">
        <v>5</v>
      </c>
      <c r="BA167" s="3">
        <v>5</v>
      </c>
      <c r="BB167" s="3">
        <v>5</v>
      </c>
      <c r="BC167" s="3">
        <v>5</v>
      </c>
      <c r="BD167" s="3">
        <v>5</v>
      </c>
      <c r="BE167" s="3">
        <v>5</v>
      </c>
      <c r="BF167" s="3">
        <v>5</v>
      </c>
      <c r="BG167" s="3">
        <v>5</v>
      </c>
      <c r="BH167" s="3">
        <v>5</v>
      </c>
      <c r="BI167" s="3">
        <v>5</v>
      </c>
      <c r="BJ167" s="3">
        <v>5</v>
      </c>
      <c r="BK167" s="3">
        <v>5</v>
      </c>
      <c r="BL167" s="3">
        <v>5</v>
      </c>
      <c r="BM167" s="3">
        <v>5</v>
      </c>
      <c r="BN167" s="3">
        <v>5</v>
      </c>
      <c r="BO167" s="3">
        <v>5</v>
      </c>
      <c r="BP167" s="3" t="s">
        <v>503</v>
      </c>
    </row>
    <row r="168" spans="1:68" ht="22.5" customHeight="1" x14ac:dyDescent="0.25">
      <c r="A168" s="2">
        <v>45974.651582499995</v>
      </c>
      <c r="B168" s="3" t="s">
        <v>504</v>
      </c>
      <c r="C168" s="3" t="s">
        <v>86</v>
      </c>
      <c r="D168" s="3" t="s">
        <v>493</v>
      </c>
      <c r="E168" s="3" t="s">
        <v>119</v>
      </c>
      <c r="F168" s="3" t="s">
        <v>88</v>
      </c>
      <c r="G168" s="3" t="s">
        <v>83</v>
      </c>
      <c r="H168" s="3">
        <v>5</v>
      </c>
      <c r="I168" s="3">
        <v>4</v>
      </c>
      <c r="J168" s="3">
        <v>4</v>
      </c>
      <c r="K168" s="3">
        <v>4</v>
      </c>
      <c r="L168" s="3">
        <v>5</v>
      </c>
      <c r="M168" s="3">
        <v>4</v>
      </c>
      <c r="N168" s="3">
        <v>3</v>
      </c>
      <c r="O168" s="3">
        <v>4</v>
      </c>
      <c r="P168" s="3">
        <v>5</v>
      </c>
      <c r="Q168" s="3">
        <v>5</v>
      </c>
      <c r="R168" s="3">
        <v>4</v>
      </c>
      <c r="S168" s="3">
        <v>4</v>
      </c>
      <c r="T168" s="3">
        <v>4</v>
      </c>
      <c r="U168" s="3">
        <v>5</v>
      </c>
      <c r="V168" s="3">
        <v>4</v>
      </c>
      <c r="W168" s="3">
        <v>4</v>
      </c>
      <c r="X168" s="3">
        <v>3</v>
      </c>
      <c r="Y168" s="3">
        <v>3</v>
      </c>
      <c r="Z168" s="3">
        <v>5</v>
      </c>
      <c r="AA168" s="3">
        <v>5</v>
      </c>
      <c r="AB168" s="3">
        <v>4</v>
      </c>
      <c r="AC168" s="3">
        <v>4</v>
      </c>
      <c r="AD168" s="3">
        <v>5</v>
      </c>
      <c r="AE168" s="3">
        <v>4</v>
      </c>
      <c r="AF168" s="3">
        <v>4</v>
      </c>
      <c r="AG168" s="3">
        <v>4</v>
      </c>
      <c r="AH168" s="3">
        <v>4</v>
      </c>
      <c r="AI168" s="3">
        <v>4</v>
      </c>
      <c r="AJ168" s="3">
        <v>5</v>
      </c>
      <c r="AK168" s="3">
        <v>4</v>
      </c>
      <c r="AL168" s="3">
        <v>4</v>
      </c>
      <c r="AM168" s="3">
        <v>4</v>
      </c>
      <c r="AN168" s="3">
        <v>5</v>
      </c>
      <c r="AO168" s="3">
        <v>5</v>
      </c>
      <c r="AP168" s="3">
        <v>4</v>
      </c>
      <c r="AQ168" s="3">
        <v>4</v>
      </c>
      <c r="AR168" s="3">
        <v>4</v>
      </c>
      <c r="AS168" s="3">
        <v>1</v>
      </c>
      <c r="AT168" s="3">
        <v>3</v>
      </c>
      <c r="AU168" s="3">
        <v>3</v>
      </c>
      <c r="AV168" s="3">
        <v>3</v>
      </c>
      <c r="AW168" s="3">
        <v>5</v>
      </c>
      <c r="AX168" s="3">
        <v>5</v>
      </c>
      <c r="AY168" s="3">
        <v>5</v>
      </c>
      <c r="AZ168" s="3">
        <v>5</v>
      </c>
      <c r="BA168" s="3">
        <v>2</v>
      </c>
      <c r="BB168" s="3">
        <v>2</v>
      </c>
      <c r="BC168" s="3">
        <v>3</v>
      </c>
      <c r="BD168" s="3">
        <v>3</v>
      </c>
      <c r="BE168" s="3">
        <v>3</v>
      </c>
      <c r="BF168" s="3">
        <v>3</v>
      </c>
      <c r="BG168" s="3">
        <v>4</v>
      </c>
      <c r="BH168" s="3">
        <v>4</v>
      </c>
      <c r="BI168" s="3">
        <v>4</v>
      </c>
      <c r="BJ168" s="3">
        <v>5</v>
      </c>
      <c r="BK168" s="3">
        <v>4</v>
      </c>
      <c r="BL168" s="3">
        <v>4</v>
      </c>
      <c r="BM168" s="3">
        <v>5</v>
      </c>
      <c r="BN168" s="3">
        <v>5</v>
      </c>
      <c r="BO168" s="3">
        <v>5</v>
      </c>
      <c r="BP168" s="3" t="s">
        <v>505</v>
      </c>
    </row>
    <row r="169" spans="1:68" ht="22.5" customHeight="1" x14ac:dyDescent="0.25">
      <c r="A169" s="2">
        <v>45974.657653090282</v>
      </c>
      <c r="B169" s="3" t="s">
        <v>506</v>
      </c>
      <c r="C169" s="3" t="s">
        <v>69</v>
      </c>
      <c r="D169" s="3" t="s">
        <v>507</v>
      </c>
      <c r="E169" s="3" t="s">
        <v>71</v>
      </c>
      <c r="F169" s="3" t="s">
        <v>82</v>
      </c>
      <c r="G169" s="3" t="s">
        <v>91</v>
      </c>
      <c r="H169" s="3">
        <v>5</v>
      </c>
      <c r="I169" s="3">
        <v>5</v>
      </c>
      <c r="J169" s="3">
        <v>5</v>
      </c>
      <c r="K169" s="3">
        <v>5</v>
      </c>
      <c r="L169" s="3">
        <v>5</v>
      </c>
      <c r="M169" s="3">
        <v>5</v>
      </c>
      <c r="N169" s="3">
        <v>5</v>
      </c>
      <c r="O169" s="3">
        <v>5</v>
      </c>
      <c r="P169" s="3">
        <v>5</v>
      </c>
      <c r="Q169" s="3">
        <v>5</v>
      </c>
      <c r="R169" s="3">
        <v>5</v>
      </c>
      <c r="S169" s="3">
        <v>5</v>
      </c>
      <c r="T169" s="3">
        <v>5</v>
      </c>
      <c r="U169" s="3">
        <v>5</v>
      </c>
      <c r="V169" s="3">
        <v>5</v>
      </c>
      <c r="W169" s="3">
        <v>5</v>
      </c>
      <c r="X169" s="3">
        <v>5</v>
      </c>
      <c r="Y169" s="3">
        <v>5</v>
      </c>
      <c r="Z169" s="3">
        <v>5</v>
      </c>
      <c r="AA169" s="3">
        <v>5</v>
      </c>
      <c r="AB169" s="3">
        <v>3</v>
      </c>
      <c r="AC169" s="3">
        <v>3</v>
      </c>
      <c r="AD169" s="3">
        <v>5</v>
      </c>
      <c r="AE169" s="3">
        <v>5</v>
      </c>
      <c r="AF169" s="3">
        <v>5</v>
      </c>
      <c r="AG169" s="3">
        <v>5</v>
      </c>
      <c r="AH169" s="3">
        <v>5</v>
      </c>
      <c r="AI169" s="3">
        <v>5</v>
      </c>
      <c r="AJ169" s="3">
        <v>5</v>
      </c>
      <c r="AK169" s="3">
        <v>5</v>
      </c>
      <c r="AL169" s="3">
        <v>5</v>
      </c>
      <c r="AM169" s="3">
        <v>5</v>
      </c>
      <c r="AN169" s="3">
        <v>5</v>
      </c>
      <c r="AO169" s="3">
        <v>3</v>
      </c>
      <c r="AP169" s="3">
        <v>5</v>
      </c>
      <c r="AQ169" s="3">
        <v>5</v>
      </c>
      <c r="AR169" s="3">
        <v>3</v>
      </c>
      <c r="AS169" s="3">
        <v>4</v>
      </c>
      <c r="AT169" s="3">
        <v>3</v>
      </c>
      <c r="AU169" s="3">
        <v>3</v>
      </c>
      <c r="AV169" s="3">
        <v>4</v>
      </c>
      <c r="AW169" s="3">
        <v>5</v>
      </c>
      <c r="AX169" s="3">
        <v>5</v>
      </c>
      <c r="AY169" s="3">
        <v>5</v>
      </c>
      <c r="AZ169" s="3">
        <v>5</v>
      </c>
      <c r="BA169" s="3">
        <v>5</v>
      </c>
      <c r="BB169" s="3">
        <v>5</v>
      </c>
      <c r="BC169" s="3">
        <v>5</v>
      </c>
      <c r="BD169" s="3">
        <v>5</v>
      </c>
      <c r="BE169" s="3">
        <v>5</v>
      </c>
      <c r="BF169" s="3">
        <v>5</v>
      </c>
      <c r="BG169" s="3">
        <v>5</v>
      </c>
      <c r="BH169" s="3">
        <v>5</v>
      </c>
      <c r="BI169" s="3">
        <v>5</v>
      </c>
      <c r="BJ169" s="3">
        <v>5</v>
      </c>
      <c r="BK169" s="3">
        <v>5</v>
      </c>
      <c r="BL169" s="3">
        <v>5</v>
      </c>
      <c r="BM169" s="3">
        <v>5</v>
      </c>
      <c r="BN169" s="3">
        <v>5</v>
      </c>
      <c r="BO169" s="3">
        <v>5</v>
      </c>
      <c r="BP169" s="3" t="s">
        <v>508</v>
      </c>
    </row>
    <row r="170" spans="1:68" ht="22.5" customHeight="1" x14ac:dyDescent="0.25">
      <c r="A170" s="2">
        <v>45974.662566817133</v>
      </c>
      <c r="B170" s="3" t="s">
        <v>509</v>
      </c>
      <c r="C170" s="3" t="s">
        <v>69</v>
      </c>
      <c r="D170" s="3" t="s">
        <v>510</v>
      </c>
      <c r="E170" s="3" t="s">
        <v>119</v>
      </c>
      <c r="F170" s="3" t="s">
        <v>82</v>
      </c>
      <c r="G170" s="3" t="s">
        <v>73</v>
      </c>
      <c r="H170" s="3">
        <v>4</v>
      </c>
      <c r="I170" s="3">
        <v>4</v>
      </c>
      <c r="J170" s="3">
        <v>4</v>
      </c>
      <c r="K170" s="3">
        <v>3</v>
      </c>
      <c r="L170" s="3">
        <v>4</v>
      </c>
      <c r="M170" s="3">
        <v>4</v>
      </c>
      <c r="N170" s="3">
        <v>4</v>
      </c>
      <c r="O170" s="3">
        <v>4</v>
      </c>
      <c r="P170" s="3">
        <v>4</v>
      </c>
      <c r="Q170" s="3">
        <v>4</v>
      </c>
      <c r="R170" s="3">
        <v>4</v>
      </c>
      <c r="S170" s="3">
        <v>4</v>
      </c>
      <c r="T170" s="3">
        <v>5</v>
      </c>
      <c r="U170" s="3">
        <v>5</v>
      </c>
      <c r="V170" s="3">
        <v>4</v>
      </c>
      <c r="W170" s="3">
        <v>4</v>
      </c>
      <c r="X170" s="3">
        <v>5</v>
      </c>
      <c r="Y170" s="3">
        <v>5</v>
      </c>
      <c r="Z170" s="3">
        <v>3</v>
      </c>
      <c r="AA170" s="3">
        <v>5</v>
      </c>
      <c r="AB170" s="3">
        <v>5</v>
      </c>
      <c r="AC170" s="3">
        <v>4</v>
      </c>
      <c r="AD170" s="3">
        <v>5</v>
      </c>
      <c r="AE170" s="3">
        <v>5</v>
      </c>
      <c r="AF170" s="3">
        <v>5</v>
      </c>
      <c r="AG170" s="3">
        <v>5</v>
      </c>
      <c r="AH170" s="3">
        <v>5</v>
      </c>
      <c r="AI170" s="3">
        <v>4</v>
      </c>
      <c r="AJ170" s="3">
        <v>5</v>
      </c>
      <c r="AK170" s="3">
        <v>5</v>
      </c>
      <c r="AL170" s="3">
        <v>5</v>
      </c>
      <c r="AM170" s="3">
        <v>5</v>
      </c>
      <c r="AN170" s="3">
        <v>3</v>
      </c>
      <c r="AO170" s="3">
        <v>4</v>
      </c>
      <c r="AP170" s="3">
        <v>4</v>
      </c>
      <c r="AQ170" s="3">
        <v>4</v>
      </c>
      <c r="AR170" s="3">
        <v>4</v>
      </c>
      <c r="AS170" s="3">
        <v>4</v>
      </c>
      <c r="AT170" s="3">
        <v>4</v>
      </c>
      <c r="AU170" s="3">
        <v>4</v>
      </c>
      <c r="AV170" s="3">
        <v>4</v>
      </c>
      <c r="AW170" s="3">
        <v>5</v>
      </c>
      <c r="AX170" s="3">
        <v>5</v>
      </c>
      <c r="AY170" s="3">
        <v>5</v>
      </c>
      <c r="AZ170" s="3">
        <v>5</v>
      </c>
      <c r="BA170" s="3">
        <v>4</v>
      </c>
      <c r="BB170" s="3">
        <v>4</v>
      </c>
      <c r="BC170" s="3">
        <v>4</v>
      </c>
      <c r="BD170" s="3">
        <v>4</v>
      </c>
      <c r="BE170" s="3">
        <v>4</v>
      </c>
      <c r="BF170" s="3">
        <v>4</v>
      </c>
      <c r="BG170" s="3">
        <v>5</v>
      </c>
      <c r="BH170" s="3">
        <v>5</v>
      </c>
      <c r="BI170" s="3">
        <v>5</v>
      </c>
      <c r="BJ170" s="3">
        <v>4</v>
      </c>
      <c r="BK170" s="3">
        <v>4</v>
      </c>
      <c r="BL170" s="3">
        <v>4</v>
      </c>
      <c r="BM170" s="3">
        <v>4</v>
      </c>
      <c r="BN170" s="3">
        <v>4</v>
      </c>
      <c r="BO170" s="3">
        <v>4</v>
      </c>
      <c r="BP170" s="3" t="s">
        <v>511</v>
      </c>
    </row>
    <row r="171" spans="1:68" ht="22.5" customHeight="1" x14ac:dyDescent="0.25">
      <c r="A171" s="2">
        <v>45974.671871562503</v>
      </c>
      <c r="B171" s="3" t="s">
        <v>512</v>
      </c>
      <c r="C171" s="3" t="s">
        <v>69</v>
      </c>
      <c r="D171" s="3" t="s">
        <v>334</v>
      </c>
      <c r="E171" s="3" t="s">
        <v>77</v>
      </c>
      <c r="F171" s="3" t="s">
        <v>78</v>
      </c>
      <c r="G171" s="3" t="s">
        <v>79</v>
      </c>
      <c r="H171" s="3">
        <v>5</v>
      </c>
      <c r="I171" s="3">
        <v>5</v>
      </c>
      <c r="J171" s="3">
        <v>5</v>
      </c>
      <c r="K171" s="3">
        <v>5</v>
      </c>
      <c r="L171" s="3">
        <v>5</v>
      </c>
      <c r="M171" s="3">
        <v>5</v>
      </c>
      <c r="N171" s="3">
        <v>5</v>
      </c>
      <c r="O171" s="3">
        <v>5</v>
      </c>
      <c r="P171" s="3">
        <v>5</v>
      </c>
      <c r="Q171" s="3">
        <v>5</v>
      </c>
      <c r="R171" s="3">
        <v>5</v>
      </c>
      <c r="S171" s="3">
        <v>5</v>
      </c>
      <c r="T171" s="3">
        <v>5</v>
      </c>
      <c r="U171" s="3">
        <v>5</v>
      </c>
      <c r="V171" s="3">
        <v>5</v>
      </c>
      <c r="W171" s="3">
        <v>5</v>
      </c>
      <c r="X171" s="3">
        <v>5</v>
      </c>
      <c r="Y171" s="3">
        <v>5</v>
      </c>
      <c r="Z171" s="3">
        <v>5</v>
      </c>
      <c r="AA171" s="3">
        <v>5</v>
      </c>
      <c r="AB171" s="3">
        <v>5</v>
      </c>
      <c r="AC171" s="3">
        <v>5</v>
      </c>
      <c r="AD171" s="3">
        <v>5</v>
      </c>
      <c r="AE171" s="3">
        <v>5</v>
      </c>
      <c r="AF171" s="3">
        <v>5</v>
      </c>
      <c r="AG171" s="3">
        <v>5</v>
      </c>
      <c r="AH171" s="3">
        <v>5</v>
      </c>
      <c r="AI171" s="3">
        <v>5</v>
      </c>
      <c r="AJ171" s="3">
        <v>5</v>
      </c>
      <c r="AK171" s="3">
        <v>5</v>
      </c>
      <c r="AL171" s="3">
        <v>5</v>
      </c>
      <c r="AM171" s="3">
        <v>5</v>
      </c>
      <c r="AN171" s="3">
        <v>5</v>
      </c>
      <c r="AO171" s="3">
        <v>5</v>
      </c>
      <c r="AP171" s="3">
        <v>5</v>
      </c>
      <c r="AQ171" s="3">
        <v>5</v>
      </c>
      <c r="AR171" s="3">
        <v>5</v>
      </c>
      <c r="AS171" s="3">
        <v>5</v>
      </c>
      <c r="AT171" s="3">
        <v>5</v>
      </c>
      <c r="AU171" s="3">
        <v>5</v>
      </c>
      <c r="AV171" s="3">
        <v>5</v>
      </c>
      <c r="AW171" s="3">
        <v>5</v>
      </c>
      <c r="AX171" s="3">
        <v>5</v>
      </c>
      <c r="AY171" s="3">
        <v>5</v>
      </c>
      <c r="AZ171" s="3">
        <v>5</v>
      </c>
      <c r="BA171" s="3">
        <v>5</v>
      </c>
      <c r="BB171" s="3">
        <v>5</v>
      </c>
      <c r="BC171" s="3">
        <v>5</v>
      </c>
      <c r="BD171" s="3">
        <v>5</v>
      </c>
      <c r="BE171" s="3">
        <v>5</v>
      </c>
      <c r="BF171" s="3">
        <v>5</v>
      </c>
      <c r="BG171" s="3">
        <v>5</v>
      </c>
      <c r="BH171" s="3">
        <v>5</v>
      </c>
      <c r="BI171" s="3">
        <v>5</v>
      </c>
      <c r="BJ171" s="3">
        <v>5</v>
      </c>
      <c r="BK171" s="3">
        <v>5</v>
      </c>
      <c r="BL171" s="3">
        <v>5</v>
      </c>
      <c r="BM171" s="3">
        <v>5</v>
      </c>
      <c r="BN171" s="3">
        <v>5</v>
      </c>
      <c r="BO171" s="3">
        <v>5</v>
      </c>
      <c r="BP171" s="3" t="s">
        <v>513</v>
      </c>
    </row>
    <row r="172" spans="1:68" ht="22.5" customHeight="1" x14ac:dyDescent="0.25">
      <c r="A172" s="2">
        <v>45974.672571712959</v>
      </c>
      <c r="C172" s="3" t="s">
        <v>69</v>
      </c>
      <c r="D172" s="3" t="s">
        <v>514</v>
      </c>
      <c r="E172" s="3" t="s">
        <v>119</v>
      </c>
      <c r="F172" s="3" t="s">
        <v>88</v>
      </c>
      <c r="G172" s="3" t="s">
        <v>83</v>
      </c>
      <c r="H172" s="3">
        <v>4</v>
      </c>
      <c r="I172" s="3">
        <v>4</v>
      </c>
      <c r="J172" s="3">
        <v>4</v>
      </c>
      <c r="K172" s="3">
        <v>4</v>
      </c>
      <c r="L172" s="3">
        <v>4</v>
      </c>
      <c r="M172" s="3">
        <v>5</v>
      </c>
      <c r="N172" s="3">
        <v>4</v>
      </c>
      <c r="O172" s="3">
        <v>4</v>
      </c>
      <c r="P172" s="3">
        <v>4</v>
      </c>
      <c r="Q172" s="3">
        <v>4</v>
      </c>
      <c r="R172" s="3">
        <v>5</v>
      </c>
      <c r="S172" s="3">
        <v>4</v>
      </c>
      <c r="T172" s="3">
        <v>5</v>
      </c>
      <c r="U172" s="3">
        <v>4</v>
      </c>
      <c r="V172" s="3">
        <v>3</v>
      </c>
      <c r="W172" s="3">
        <v>3</v>
      </c>
      <c r="X172" s="3">
        <v>3</v>
      </c>
      <c r="Y172" s="3">
        <v>2</v>
      </c>
      <c r="Z172" s="3">
        <v>2</v>
      </c>
      <c r="AA172" s="3">
        <v>5</v>
      </c>
      <c r="AB172" s="3">
        <v>5</v>
      </c>
      <c r="AC172" s="3">
        <v>5</v>
      </c>
      <c r="AD172" s="3">
        <v>5</v>
      </c>
      <c r="AE172" s="3">
        <v>4</v>
      </c>
      <c r="AF172" s="3">
        <v>4</v>
      </c>
      <c r="AG172" s="3">
        <v>4</v>
      </c>
      <c r="AH172" s="3">
        <v>4</v>
      </c>
      <c r="AI172" s="3">
        <v>3</v>
      </c>
      <c r="AJ172" s="3">
        <v>3</v>
      </c>
      <c r="AK172" s="3">
        <v>3</v>
      </c>
      <c r="AL172" s="3">
        <v>3</v>
      </c>
      <c r="AM172" s="3">
        <v>3</v>
      </c>
      <c r="AN172" s="3">
        <v>2</v>
      </c>
      <c r="AO172" s="3">
        <v>4</v>
      </c>
      <c r="AP172" s="3">
        <v>4</v>
      </c>
      <c r="AQ172" s="3">
        <v>3</v>
      </c>
      <c r="AR172" s="3">
        <v>3</v>
      </c>
      <c r="AS172" s="3">
        <v>2</v>
      </c>
      <c r="AT172" s="3">
        <v>2</v>
      </c>
      <c r="AU172" s="3">
        <v>4</v>
      </c>
      <c r="AV172" s="3">
        <v>4</v>
      </c>
      <c r="AW172" s="3">
        <v>4</v>
      </c>
      <c r="AX172" s="3">
        <v>4</v>
      </c>
      <c r="AY172" s="3">
        <v>4</v>
      </c>
      <c r="AZ172" s="3">
        <v>4</v>
      </c>
      <c r="BA172" s="3">
        <v>4</v>
      </c>
      <c r="BB172" s="3">
        <v>2</v>
      </c>
      <c r="BC172" s="3">
        <v>2</v>
      </c>
      <c r="BD172" s="3">
        <v>2</v>
      </c>
      <c r="BE172" s="3">
        <v>2</v>
      </c>
      <c r="BF172" s="3">
        <v>4</v>
      </c>
      <c r="BG172" s="3">
        <v>4</v>
      </c>
      <c r="BH172" s="3">
        <v>4</v>
      </c>
      <c r="BI172" s="3">
        <v>4</v>
      </c>
      <c r="BJ172" s="3">
        <v>3</v>
      </c>
      <c r="BK172" s="3">
        <v>2</v>
      </c>
      <c r="BL172" s="3">
        <v>4</v>
      </c>
      <c r="BM172" s="3">
        <v>4</v>
      </c>
      <c r="BN172" s="3">
        <v>2</v>
      </c>
      <c r="BO172" s="3">
        <v>3</v>
      </c>
      <c r="BP172" s="3" t="s">
        <v>515</v>
      </c>
    </row>
    <row r="173" spans="1:68" ht="22.5" customHeight="1" x14ac:dyDescent="0.25">
      <c r="A173" s="2">
        <v>45974.673078425927</v>
      </c>
      <c r="B173" s="3" t="s">
        <v>516</v>
      </c>
      <c r="C173" s="3" t="s">
        <v>69</v>
      </c>
      <c r="D173" s="3" t="s">
        <v>517</v>
      </c>
      <c r="E173" s="3" t="s">
        <v>77</v>
      </c>
      <c r="F173" s="3" t="s">
        <v>78</v>
      </c>
      <c r="G173" s="3" t="s">
        <v>79</v>
      </c>
      <c r="H173" s="3">
        <v>5</v>
      </c>
      <c r="I173" s="3">
        <v>5</v>
      </c>
      <c r="J173" s="3">
        <v>5</v>
      </c>
      <c r="K173" s="3">
        <v>5</v>
      </c>
      <c r="L173" s="3">
        <v>5</v>
      </c>
      <c r="M173" s="3">
        <v>5</v>
      </c>
      <c r="N173" s="3">
        <v>5</v>
      </c>
      <c r="O173" s="3">
        <v>5</v>
      </c>
      <c r="P173" s="3">
        <v>5</v>
      </c>
      <c r="Q173" s="3">
        <v>5</v>
      </c>
      <c r="R173" s="3">
        <v>5</v>
      </c>
      <c r="S173" s="3">
        <v>5</v>
      </c>
      <c r="T173" s="3">
        <v>5</v>
      </c>
      <c r="U173" s="3">
        <v>5</v>
      </c>
      <c r="V173" s="3">
        <v>3</v>
      </c>
      <c r="W173" s="3">
        <v>3</v>
      </c>
      <c r="X173" s="3">
        <v>4</v>
      </c>
      <c r="Y173" s="3">
        <v>4</v>
      </c>
      <c r="Z173" s="3">
        <v>5</v>
      </c>
      <c r="AA173" s="3">
        <v>5</v>
      </c>
      <c r="AB173" s="3">
        <v>5</v>
      </c>
      <c r="AC173" s="3">
        <v>5</v>
      </c>
      <c r="AD173" s="3">
        <v>5</v>
      </c>
      <c r="AE173" s="3">
        <v>5</v>
      </c>
      <c r="AF173" s="3">
        <v>5</v>
      </c>
      <c r="AG173" s="3">
        <v>5</v>
      </c>
      <c r="AH173" s="3">
        <v>5</v>
      </c>
      <c r="AI173" s="3">
        <v>5</v>
      </c>
      <c r="AJ173" s="3">
        <v>5</v>
      </c>
      <c r="AK173" s="3">
        <v>5</v>
      </c>
      <c r="AL173" s="3">
        <v>5</v>
      </c>
      <c r="AM173" s="3">
        <v>5</v>
      </c>
      <c r="AN173" s="3">
        <v>5</v>
      </c>
      <c r="AO173" s="3">
        <v>5</v>
      </c>
      <c r="AP173" s="3">
        <v>5</v>
      </c>
      <c r="AQ173" s="3">
        <v>5</v>
      </c>
      <c r="AR173" s="3">
        <v>5</v>
      </c>
      <c r="AS173" s="3">
        <v>5</v>
      </c>
      <c r="AT173" s="3">
        <v>5</v>
      </c>
      <c r="AU173" s="3">
        <v>5</v>
      </c>
      <c r="AV173" s="3">
        <v>5</v>
      </c>
      <c r="AW173" s="3">
        <v>5</v>
      </c>
      <c r="AX173" s="3">
        <v>5</v>
      </c>
      <c r="AY173" s="3">
        <v>5</v>
      </c>
      <c r="AZ173" s="3">
        <v>5</v>
      </c>
      <c r="BA173" s="3">
        <v>5</v>
      </c>
      <c r="BB173" s="3">
        <v>5</v>
      </c>
      <c r="BC173" s="3">
        <v>5</v>
      </c>
      <c r="BD173" s="3">
        <v>5</v>
      </c>
      <c r="BE173" s="3">
        <v>5</v>
      </c>
      <c r="BF173" s="3">
        <v>5</v>
      </c>
      <c r="BG173" s="3">
        <v>5</v>
      </c>
      <c r="BH173" s="3">
        <v>5</v>
      </c>
      <c r="BI173" s="3">
        <v>5</v>
      </c>
      <c r="BJ173" s="3">
        <v>5</v>
      </c>
      <c r="BK173" s="3">
        <v>5</v>
      </c>
      <c r="BL173" s="3">
        <v>5</v>
      </c>
      <c r="BM173" s="3">
        <v>5</v>
      </c>
      <c r="BN173" s="3">
        <v>5</v>
      </c>
      <c r="BO173" s="3">
        <v>5</v>
      </c>
      <c r="BP173" s="3" t="s">
        <v>518</v>
      </c>
    </row>
    <row r="174" spans="1:68" ht="22.5" customHeight="1" x14ac:dyDescent="0.25">
      <c r="A174" s="2">
        <v>45974.675544976853</v>
      </c>
      <c r="B174" s="3" t="s">
        <v>519</v>
      </c>
      <c r="C174" s="3" t="s">
        <v>69</v>
      </c>
      <c r="D174" s="3" t="s">
        <v>520</v>
      </c>
      <c r="E174" s="3" t="s">
        <v>77</v>
      </c>
      <c r="F174" s="3" t="s">
        <v>78</v>
      </c>
      <c r="G174" s="3" t="s">
        <v>79</v>
      </c>
      <c r="H174" s="3">
        <v>4</v>
      </c>
      <c r="I174" s="3">
        <v>3</v>
      </c>
      <c r="J174" s="3">
        <v>4</v>
      </c>
      <c r="K174" s="3">
        <v>4</v>
      </c>
      <c r="L174" s="3">
        <v>4</v>
      </c>
      <c r="M174" s="3">
        <v>4</v>
      </c>
      <c r="N174" s="3">
        <v>4</v>
      </c>
      <c r="O174" s="3">
        <v>4</v>
      </c>
      <c r="P174" s="3">
        <v>4</v>
      </c>
      <c r="Q174" s="3">
        <v>4</v>
      </c>
      <c r="R174" s="3">
        <v>4</v>
      </c>
      <c r="S174" s="3">
        <v>4</v>
      </c>
      <c r="T174" s="3">
        <v>4</v>
      </c>
      <c r="U174" s="3">
        <v>4</v>
      </c>
      <c r="V174" s="3">
        <v>4</v>
      </c>
      <c r="W174" s="3">
        <v>4</v>
      </c>
      <c r="X174" s="3">
        <v>4</v>
      </c>
      <c r="Y174" s="3">
        <v>4</v>
      </c>
      <c r="Z174" s="3">
        <v>4</v>
      </c>
      <c r="AA174" s="3">
        <v>4</v>
      </c>
      <c r="AB174" s="3">
        <v>4</v>
      </c>
      <c r="AC174" s="3">
        <v>4</v>
      </c>
      <c r="AD174" s="3">
        <v>4</v>
      </c>
      <c r="AE174" s="3">
        <v>4</v>
      </c>
      <c r="AF174" s="3">
        <v>4</v>
      </c>
      <c r="AG174" s="3">
        <v>4</v>
      </c>
      <c r="AH174" s="3">
        <v>4</v>
      </c>
      <c r="AI174" s="3">
        <v>4</v>
      </c>
      <c r="AJ174" s="3">
        <v>4</v>
      </c>
      <c r="AK174" s="3">
        <v>4</v>
      </c>
      <c r="AL174" s="3">
        <v>4</v>
      </c>
      <c r="AM174" s="3">
        <v>4</v>
      </c>
      <c r="AN174" s="3">
        <v>4</v>
      </c>
      <c r="AO174" s="3">
        <v>4</v>
      </c>
      <c r="AP174" s="3">
        <v>4</v>
      </c>
      <c r="AQ174" s="3">
        <v>4</v>
      </c>
      <c r="AR174" s="3">
        <v>4</v>
      </c>
      <c r="AS174" s="3">
        <v>4</v>
      </c>
      <c r="AT174" s="3">
        <v>4</v>
      </c>
      <c r="AU174" s="3">
        <v>4</v>
      </c>
      <c r="AV174" s="3">
        <v>4</v>
      </c>
      <c r="AW174" s="3">
        <v>4</v>
      </c>
      <c r="AX174" s="3">
        <v>4</v>
      </c>
      <c r="AY174" s="3">
        <v>4</v>
      </c>
      <c r="AZ174" s="3">
        <v>4</v>
      </c>
      <c r="BA174" s="3">
        <v>4</v>
      </c>
      <c r="BB174" s="3">
        <v>4</v>
      </c>
      <c r="BC174" s="3">
        <v>4</v>
      </c>
      <c r="BD174" s="3">
        <v>4</v>
      </c>
      <c r="BE174" s="3">
        <v>4</v>
      </c>
      <c r="BF174" s="3">
        <v>4</v>
      </c>
      <c r="BG174" s="3">
        <v>4</v>
      </c>
      <c r="BH174" s="3">
        <v>4</v>
      </c>
      <c r="BI174" s="3">
        <v>4</v>
      </c>
      <c r="BJ174" s="3">
        <v>4</v>
      </c>
      <c r="BK174" s="3">
        <v>4</v>
      </c>
      <c r="BL174" s="3">
        <v>4</v>
      </c>
      <c r="BM174" s="3">
        <v>4</v>
      </c>
      <c r="BN174" s="3">
        <v>4</v>
      </c>
      <c r="BO174" s="3">
        <v>4</v>
      </c>
      <c r="BP174" s="3" t="s">
        <v>521</v>
      </c>
    </row>
    <row r="175" spans="1:68" ht="22.5" customHeight="1" x14ac:dyDescent="0.25">
      <c r="A175" s="2">
        <v>45974.676045995366</v>
      </c>
      <c r="B175" s="3" t="s">
        <v>522</v>
      </c>
      <c r="C175" s="3" t="s">
        <v>86</v>
      </c>
      <c r="D175" s="3" t="s">
        <v>334</v>
      </c>
      <c r="E175" s="3" t="s">
        <v>77</v>
      </c>
      <c r="F175" s="3" t="s">
        <v>88</v>
      </c>
      <c r="G175" s="3" t="s">
        <v>83</v>
      </c>
      <c r="H175" s="3">
        <v>4</v>
      </c>
      <c r="I175" s="3">
        <v>4</v>
      </c>
      <c r="J175" s="3">
        <v>4</v>
      </c>
      <c r="K175" s="3">
        <v>4</v>
      </c>
      <c r="L175" s="3">
        <v>4</v>
      </c>
      <c r="M175" s="3">
        <v>4</v>
      </c>
      <c r="N175" s="3">
        <v>4</v>
      </c>
      <c r="O175" s="3">
        <v>5</v>
      </c>
      <c r="P175" s="3">
        <v>5</v>
      </c>
      <c r="Q175" s="3">
        <v>4</v>
      </c>
      <c r="R175" s="3">
        <v>4</v>
      </c>
      <c r="S175" s="3">
        <v>4</v>
      </c>
      <c r="T175" s="3">
        <v>5</v>
      </c>
      <c r="U175" s="3">
        <v>5</v>
      </c>
      <c r="V175" s="3">
        <v>3</v>
      </c>
      <c r="W175" s="3">
        <v>3</v>
      </c>
      <c r="X175" s="3">
        <v>3</v>
      </c>
      <c r="Y175" s="3">
        <v>3</v>
      </c>
      <c r="Z175" s="3">
        <v>3</v>
      </c>
      <c r="AA175" s="3">
        <v>5</v>
      </c>
      <c r="AB175" s="3">
        <v>5</v>
      </c>
      <c r="AC175" s="3">
        <v>5</v>
      </c>
      <c r="AD175" s="3">
        <v>5</v>
      </c>
      <c r="AE175" s="3">
        <v>5</v>
      </c>
      <c r="AF175" s="3">
        <v>5</v>
      </c>
      <c r="AG175" s="3">
        <v>5</v>
      </c>
      <c r="AH175" s="3">
        <v>5</v>
      </c>
      <c r="AI175" s="3">
        <v>5</v>
      </c>
      <c r="AJ175" s="3">
        <v>5</v>
      </c>
      <c r="AK175" s="3">
        <v>5</v>
      </c>
      <c r="AL175" s="3">
        <v>4</v>
      </c>
      <c r="AM175" s="3">
        <v>4</v>
      </c>
      <c r="AN175" s="3">
        <v>5</v>
      </c>
      <c r="AO175" s="3">
        <v>5</v>
      </c>
      <c r="AP175" s="3">
        <v>5</v>
      </c>
      <c r="AQ175" s="3">
        <v>5</v>
      </c>
      <c r="AR175" s="3">
        <v>5</v>
      </c>
      <c r="AS175" s="3">
        <v>5</v>
      </c>
      <c r="AT175" s="3">
        <v>4</v>
      </c>
      <c r="AU175" s="3">
        <v>5</v>
      </c>
      <c r="AV175" s="3">
        <v>5</v>
      </c>
      <c r="AW175" s="3">
        <v>5</v>
      </c>
      <c r="AX175" s="3">
        <v>5</v>
      </c>
      <c r="AY175" s="3">
        <v>5</v>
      </c>
      <c r="AZ175" s="3">
        <v>5</v>
      </c>
      <c r="BA175" s="3">
        <v>5</v>
      </c>
      <c r="BB175" s="3">
        <v>5</v>
      </c>
      <c r="BC175" s="3">
        <v>4</v>
      </c>
      <c r="BD175" s="3">
        <v>4</v>
      </c>
      <c r="BE175" s="3">
        <v>4</v>
      </c>
      <c r="BF175" s="3">
        <v>4</v>
      </c>
      <c r="BG175" s="3">
        <v>5</v>
      </c>
      <c r="BH175" s="3">
        <v>5</v>
      </c>
      <c r="BI175" s="3">
        <v>5</v>
      </c>
      <c r="BJ175" s="3">
        <v>5</v>
      </c>
      <c r="BK175" s="3">
        <v>5</v>
      </c>
      <c r="BL175" s="3">
        <v>5</v>
      </c>
      <c r="BM175" s="3">
        <v>5</v>
      </c>
      <c r="BN175" s="3">
        <v>5</v>
      </c>
      <c r="BO175" s="3">
        <v>5</v>
      </c>
      <c r="BP175" s="3" t="s">
        <v>523</v>
      </c>
    </row>
    <row r="176" spans="1:68" ht="22.5" customHeight="1" x14ac:dyDescent="0.25">
      <c r="A176" s="2">
        <v>45974.678346712964</v>
      </c>
      <c r="C176" s="3" t="s">
        <v>86</v>
      </c>
      <c r="D176" s="3" t="s">
        <v>524</v>
      </c>
      <c r="E176" s="3" t="s">
        <v>77</v>
      </c>
      <c r="F176" s="3" t="s">
        <v>78</v>
      </c>
      <c r="G176" s="3" t="s">
        <v>83</v>
      </c>
      <c r="H176" s="3">
        <v>5</v>
      </c>
      <c r="I176" s="3">
        <v>5</v>
      </c>
      <c r="J176" s="3">
        <v>5</v>
      </c>
      <c r="K176" s="3">
        <v>4</v>
      </c>
      <c r="L176" s="3">
        <v>4</v>
      </c>
      <c r="M176" s="3">
        <v>3</v>
      </c>
      <c r="N176" s="3">
        <v>3</v>
      </c>
      <c r="O176" s="3">
        <v>5</v>
      </c>
      <c r="P176" s="3">
        <v>5</v>
      </c>
      <c r="Q176" s="3">
        <v>5</v>
      </c>
      <c r="R176" s="3">
        <v>5</v>
      </c>
      <c r="S176" s="3">
        <v>5</v>
      </c>
      <c r="T176" s="3">
        <v>5</v>
      </c>
      <c r="U176" s="3">
        <v>5</v>
      </c>
      <c r="V176" s="3">
        <v>4</v>
      </c>
      <c r="W176" s="3">
        <v>4</v>
      </c>
      <c r="X176" s="3">
        <v>5</v>
      </c>
      <c r="Y176" s="3">
        <v>5</v>
      </c>
      <c r="Z176" s="3">
        <v>5</v>
      </c>
      <c r="AA176" s="3">
        <v>3</v>
      </c>
      <c r="AB176" s="3">
        <v>3</v>
      </c>
      <c r="AC176" s="3">
        <v>4</v>
      </c>
      <c r="AD176" s="3">
        <v>4</v>
      </c>
      <c r="AE176" s="3">
        <v>5</v>
      </c>
      <c r="AF176" s="3">
        <v>5</v>
      </c>
      <c r="AG176" s="3">
        <v>5</v>
      </c>
      <c r="AH176" s="3">
        <v>5</v>
      </c>
      <c r="AI176" s="3">
        <v>5</v>
      </c>
      <c r="AJ176" s="3">
        <v>5</v>
      </c>
      <c r="AK176" s="3">
        <v>5</v>
      </c>
      <c r="AL176" s="3">
        <v>5</v>
      </c>
      <c r="AM176" s="3">
        <v>5</v>
      </c>
      <c r="AN176" s="3">
        <v>4</v>
      </c>
      <c r="AO176" s="3">
        <v>3</v>
      </c>
      <c r="AP176" s="3">
        <v>4</v>
      </c>
      <c r="AQ176" s="3">
        <v>5</v>
      </c>
      <c r="AR176" s="3">
        <v>5</v>
      </c>
      <c r="AS176" s="3">
        <v>4</v>
      </c>
      <c r="AT176" s="3">
        <v>4</v>
      </c>
      <c r="AU176" s="3">
        <v>4</v>
      </c>
      <c r="AV176" s="3">
        <v>5</v>
      </c>
      <c r="AW176" s="3">
        <v>5</v>
      </c>
      <c r="AX176" s="3">
        <v>5</v>
      </c>
      <c r="AY176" s="3">
        <v>5</v>
      </c>
      <c r="AZ176" s="3">
        <v>5</v>
      </c>
      <c r="BA176" s="3">
        <v>3</v>
      </c>
      <c r="BB176" s="3">
        <v>4</v>
      </c>
      <c r="BC176" s="3">
        <v>3</v>
      </c>
      <c r="BD176" s="3">
        <v>5</v>
      </c>
      <c r="BE176" s="3">
        <v>5</v>
      </c>
      <c r="BF176" s="3">
        <v>5</v>
      </c>
      <c r="BG176" s="3">
        <v>5</v>
      </c>
      <c r="BH176" s="3">
        <v>4</v>
      </c>
      <c r="BI176" s="3">
        <v>4</v>
      </c>
      <c r="BJ176" s="3">
        <v>4</v>
      </c>
      <c r="BK176" s="3">
        <v>3</v>
      </c>
      <c r="BL176" s="3">
        <v>3</v>
      </c>
      <c r="BM176" s="3">
        <v>3</v>
      </c>
      <c r="BN176" s="3">
        <v>4</v>
      </c>
      <c r="BO176" s="3">
        <v>4</v>
      </c>
      <c r="BP176" s="3" t="s">
        <v>525</v>
      </c>
    </row>
    <row r="177" spans="1:68" ht="22.5" customHeight="1" x14ac:dyDescent="0.25">
      <c r="A177" s="2">
        <v>45974.681919571754</v>
      </c>
      <c r="B177" s="3" t="s">
        <v>526</v>
      </c>
      <c r="C177" s="3" t="s">
        <v>86</v>
      </c>
      <c r="D177" s="3" t="s">
        <v>527</v>
      </c>
      <c r="E177" s="3" t="s">
        <v>77</v>
      </c>
      <c r="F177" s="3" t="s">
        <v>78</v>
      </c>
      <c r="G177" s="3" t="s">
        <v>79</v>
      </c>
      <c r="H177" s="3">
        <v>5</v>
      </c>
      <c r="I177" s="3">
        <v>3</v>
      </c>
      <c r="J177" s="3">
        <v>5</v>
      </c>
      <c r="K177" s="3">
        <v>2</v>
      </c>
      <c r="L177" s="3">
        <v>4</v>
      </c>
      <c r="M177" s="3">
        <v>5</v>
      </c>
      <c r="N177" s="3">
        <v>3</v>
      </c>
      <c r="O177" s="3">
        <v>5</v>
      </c>
      <c r="P177" s="3">
        <v>5</v>
      </c>
      <c r="Q177" s="3">
        <v>5</v>
      </c>
      <c r="R177" s="3">
        <v>5</v>
      </c>
      <c r="S177" s="3">
        <v>5</v>
      </c>
      <c r="T177" s="3">
        <v>5</v>
      </c>
      <c r="U177" s="3">
        <v>5</v>
      </c>
      <c r="V177" s="3">
        <v>3</v>
      </c>
      <c r="W177" s="3">
        <v>2</v>
      </c>
      <c r="X177" s="3">
        <v>5</v>
      </c>
      <c r="Y177" s="3">
        <v>5</v>
      </c>
      <c r="Z177" s="3">
        <v>5</v>
      </c>
      <c r="AA177" s="3">
        <v>5</v>
      </c>
      <c r="AB177" s="3">
        <v>5</v>
      </c>
      <c r="AC177" s="3">
        <v>5</v>
      </c>
      <c r="AD177" s="3">
        <v>5</v>
      </c>
      <c r="AE177" s="3">
        <v>5</v>
      </c>
      <c r="AF177" s="3">
        <v>5</v>
      </c>
      <c r="AG177" s="3">
        <v>5</v>
      </c>
      <c r="AH177" s="3">
        <v>5</v>
      </c>
      <c r="AI177" s="3">
        <v>3</v>
      </c>
      <c r="AJ177" s="3">
        <v>5</v>
      </c>
      <c r="AK177" s="3">
        <v>5</v>
      </c>
      <c r="AL177" s="3">
        <v>5</v>
      </c>
      <c r="AM177" s="3">
        <v>1</v>
      </c>
      <c r="AN177" s="3">
        <v>5</v>
      </c>
      <c r="AO177" s="3">
        <v>5</v>
      </c>
      <c r="AP177" s="3">
        <v>5</v>
      </c>
      <c r="AQ177" s="3">
        <v>5</v>
      </c>
      <c r="AR177" s="3">
        <v>4</v>
      </c>
      <c r="AS177" s="3">
        <v>4</v>
      </c>
      <c r="AT177" s="3">
        <v>3</v>
      </c>
      <c r="AU177" s="3">
        <v>5</v>
      </c>
      <c r="AV177" s="3">
        <v>5</v>
      </c>
      <c r="AW177" s="3">
        <v>5</v>
      </c>
      <c r="AX177" s="3">
        <v>5</v>
      </c>
      <c r="AY177" s="3">
        <v>5</v>
      </c>
      <c r="AZ177" s="3">
        <v>5</v>
      </c>
      <c r="BA177" s="3">
        <v>4</v>
      </c>
      <c r="BB177" s="3">
        <v>5</v>
      </c>
      <c r="BC177" s="3">
        <v>4</v>
      </c>
      <c r="BD177" s="3">
        <v>5</v>
      </c>
      <c r="BE177" s="3">
        <v>5</v>
      </c>
      <c r="BF177" s="3">
        <v>5</v>
      </c>
      <c r="BG177" s="3">
        <v>5</v>
      </c>
      <c r="BH177" s="3">
        <v>5</v>
      </c>
      <c r="BI177" s="3">
        <v>5</v>
      </c>
      <c r="BJ177" s="3">
        <v>5</v>
      </c>
      <c r="BK177" s="3">
        <v>5</v>
      </c>
      <c r="BL177" s="3">
        <v>5</v>
      </c>
      <c r="BM177" s="3">
        <v>5</v>
      </c>
      <c r="BN177" s="3">
        <v>5</v>
      </c>
      <c r="BO177" s="3">
        <v>5</v>
      </c>
      <c r="BP177" s="3" t="s">
        <v>528</v>
      </c>
    </row>
    <row r="178" spans="1:68" ht="22.5" customHeight="1" x14ac:dyDescent="0.25">
      <c r="A178" s="2">
        <v>45974.682065486108</v>
      </c>
      <c r="B178" s="3" t="s">
        <v>529</v>
      </c>
      <c r="C178" s="3" t="s">
        <v>86</v>
      </c>
      <c r="D178" s="3" t="s">
        <v>118</v>
      </c>
      <c r="E178" s="3" t="s">
        <v>77</v>
      </c>
      <c r="F178" s="3" t="s">
        <v>78</v>
      </c>
      <c r="G178" s="3" t="s">
        <v>79</v>
      </c>
      <c r="H178" s="3">
        <v>5</v>
      </c>
      <c r="I178" s="3">
        <v>5</v>
      </c>
      <c r="J178" s="3">
        <v>5</v>
      </c>
      <c r="K178" s="3">
        <v>5</v>
      </c>
      <c r="L178" s="3">
        <v>5</v>
      </c>
      <c r="M178" s="3">
        <v>5</v>
      </c>
      <c r="N178" s="3">
        <v>5</v>
      </c>
      <c r="O178" s="3">
        <v>5</v>
      </c>
      <c r="P178" s="3">
        <v>5</v>
      </c>
      <c r="Q178" s="3">
        <v>5</v>
      </c>
      <c r="R178" s="3">
        <v>5</v>
      </c>
      <c r="S178" s="3">
        <v>5</v>
      </c>
      <c r="T178" s="3">
        <v>4</v>
      </c>
      <c r="U178" s="3">
        <v>5</v>
      </c>
      <c r="V178" s="3">
        <v>4</v>
      </c>
      <c r="W178" s="3">
        <v>4</v>
      </c>
      <c r="X178" s="3">
        <v>5</v>
      </c>
      <c r="Y178" s="3">
        <v>5</v>
      </c>
      <c r="Z178" s="3">
        <v>4</v>
      </c>
      <c r="AA178" s="3">
        <v>4</v>
      </c>
      <c r="AB178" s="3">
        <v>4</v>
      </c>
      <c r="AC178" s="3">
        <v>4</v>
      </c>
      <c r="AD178" s="3">
        <v>5</v>
      </c>
      <c r="AE178" s="3">
        <v>5</v>
      </c>
      <c r="AF178" s="3">
        <v>5</v>
      </c>
      <c r="AG178" s="3">
        <v>5</v>
      </c>
      <c r="AH178" s="3">
        <v>5</v>
      </c>
      <c r="AI178" s="3">
        <v>5</v>
      </c>
      <c r="AJ178" s="3">
        <v>5</v>
      </c>
      <c r="AK178" s="3">
        <v>5</v>
      </c>
      <c r="AL178" s="3">
        <v>5</v>
      </c>
      <c r="AM178" s="3">
        <v>5</v>
      </c>
      <c r="AN178" s="3">
        <v>5</v>
      </c>
      <c r="AO178" s="3">
        <v>4</v>
      </c>
      <c r="AP178" s="3">
        <v>4</v>
      </c>
      <c r="AQ178" s="3">
        <v>5</v>
      </c>
      <c r="AR178" s="3">
        <v>5</v>
      </c>
      <c r="AS178" s="3">
        <v>5</v>
      </c>
      <c r="AT178" s="3">
        <v>4</v>
      </c>
      <c r="AU178" s="3">
        <v>4</v>
      </c>
      <c r="AV178" s="3">
        <v>5</v>
      </c>
      <c r="AW178" s="3">
        <v>5</v>
      </c>
      <c r="AX178" s="3">
        <v>5</v>
      </c>
      <c r="AY178" s="3">
        <v>5</v>
      </c>
      <c r="AZ178" s="3">
        <v>5</v>
      </c>
      <c r="BA178" s="3">
        <v>5</v>
      </c>
      <c r="BB178" s="3">
        <v>5</v>
      </c>
      <c r="BC178" s="3">
        <v>5</v>
      </c>
      <c r="BD178" s="3">
        <v>5</v>
      </c>
      <c r="BE178" s="3">
        <v>5</v>
      </c>
      <c r="BF178" s="3">
        <v>5</v>
      </c>
      <c r="BG178" s="3">
        <v>5</v>
      </c>
      <c r="BH178" s="3">
        <v>5</v>
      </c>
      <c r="BI178" s="3">
        <v>5</v>
      </c>
      <c r="BJ178" s="3">
        <v>5</v>
      </c>
      <c r="BK178" s="3">
        <v>5</v>
      </c>
      <c r="BL178" s="3">
        <v>5</v>
      </c>
      <c r="BM178" s="3">
        <v>5</v>
      </c>
      <c r="BN178" s="3">
        <v>5</v>
      </c>
      <c r="BO178" s="3">
        <v>5</v>
      </c>
      <c r="BP178" s="3" t="s">
        <v>530</v>
      </c>
    </row>
    <row r="179" spans="1:68" ht="22.5" customHeight="1" x14ac:dyDescent="0.25">
      <c r="A179" s="2">
        <v>45974.684138518518</v>
      </c>
      <c r="B179" s="3" t="s">
        <v>531</v>
      </c>
      <c r="C179" s="3" t="s">
        <v>86</v>
      </c>
      <c r="D179" s="3" t="s">
        <v>490</v>
      </c>
      <c r="E179" s="3" t="s">
        <v>119</v>
      </c>
      <c r="F179" s="3" t="s">
        <v>103</v>
      </c>
      <c r="G179" s="3" t="s">
        <v>91</v>
      </c>
      <c r="H179" s="3">
        <v>5</v>
      </c>
      <c r="I179" s="3">
        <v>5</v>
      </c>
      <c r="J179" s="3">
        <v>5</v>
      </c>
      <c r="K179" s="3">
        <v>5</v>
      </c>
      <c r="L179" s="3">
        <v>5</v>
      </c>
      <c r="M179" s="3">
        <v>4</v>
      </c>
      <c r="N179" s="3">
        <v>4</v>
      </c>
      <c r="O179" s="3">
        <v>5</v>
      </c>
      <c r="P179" s="3">
        <v>5</v>
      </c>
      <c r="Q179" s="3">
        <v>5</v>
      </c>
      <c r="R179" s="3">
        <v>5</v>
      </c>
      <c r="S179" s="3">
        <v>5</v>
      </c>
      <c r="T179" s="3">
        <v>5</v>
      </c>
      <c r="U179" s="3">
        <v>5</v>
      </c>
      <c r="V179" s="3">
        <v>4</v>
      </c>
      <c r="W179" s="3">
        <v>4</v>
      </c>
      <c r="X179" s="3">
        <v>4</v>
      </c>
      <c r="Y179" s="3">
        <v>3</v>
      </c>
      <c r="Z179" s="3">
        <v>4</v>
      </c>
      <c r="AA179" s="3">
        <v>3</v>
      </c>
      <c r="AB179" s="3">
        <v>3</v>
      </c>
      <c r="AC179" s="3">
        <v>3</v>
      </c>
      <c r="AD179" s="3">
        <v>4</v>
      </c>
      <c r="AE179" s="3">
        <v>4</v>
      </c>
      <c r="AF179" s="3">
        <v>4</v>
      </c>
      <c r="AG179" s="3">
        <v>4</v>
      </c>
      <c r="AH179" s="3">
        <v>4</v>
      </c>
      <c r="AI179" s="3">
        <v>4</v>
      </c>
      <c r="AJ179" s="3">
        <v>5</v>
      </c>
      <c r="AK179" s="3">
        <v>5</v>
      </c>
      <c r="AL179" s="3">
        <v>4</v>
      </c>
      <c r="AM179" s="3">
        <v>5</v>
      </c>
      <c r="AN179" s="3">
        <v>4</v>
      </c>
      <c r="AO179" s="3">
        <v>4</v>
      </c>
      <c r="AP179" s="3">
        <v>4</v>
      </c>
      <c r="AQ179" s="3">
        <v>4</v>
      </c>
      <c r="AR179" s="3">
        <v>4</v>
      </c>
      <c r="AS179" s="3">
        <v>3</v>
      </c>
      <c r="AT179" s="3">
        <v>4</v>
      </c>
      <c r="AU179" s="3">
        <v>4</v>
      </c>
      <c r="AV179" s="3">
        <v>4</v>
      </c>
      <c r="AW179" s="3">
        <v>5</v>
      </c>
      <c r="AX179" s="3">
        <v>5</v>
      </c>
      <c r="AY179" s="3">
        <v>5</v>
      </c>
      <c r="AZ179" s="3">
        <v>5</v>
      </c>
      <c r="BA179" s="3">
        <v>3</v>
      </c>
      <c r="BB179" s="3">
        <v>3</v>
      </c>
      <c r="BC179" s="3">
        <v>3</v>
      </c>
      <c r="BD179" s="3">
        <v>3</v>
      </c>
      <c r="BE179" s="3">
        <v>3</v>
      </c>
      <c r="BF179" s="3">
        <v>3</v>
      </c>
      <c r="BG179" s="3">
        <v>5</v>
      </c>
      <c r="BH179" s="3">
        <v>5</v>
      </c>
      <c r="BI179" s="3">
        <v>5</v>
      </c>
      <c r="BJ179" s="3">
        <v>5</v>
      </c>
      <c r="BK179" s="3">
        <v>5</v>
      </c>
      <c r="BL179" s="3">
        <v>5</v>
      </c>
      <c r="BM179" s="3">
        <v>5</v>
      </c>
      <c r="BN179" s="3">
        <v>4</v>
      </c>
      <c r="BO179" s="3">
        <v>5</v>
      </c>
      <c r="BP179" s="3" t="s">
        <v>532</v>
      </c>
    </row>
    <row r="180" spans="1:68" ht="22.5" customHeight="1" x14ac:dyDescent="0.25">
      <c r="A180" s="2">
        <v>45974.684456342591</v>
      </c>
      <c r="C180" s="3" t="s">
        <v>86</v>
      </c>
      <c r="D180" s="3" t="s">
        <v>533</v>
      </c>
      <c r="E180" s="3" t="s">
        <v>77</v>
      </c>
      <c r="F180" s="3" t="s">
        <v>82</v>
      </c>
      <c r="G180" s="3" t="s">
        <v>83</v>
      </c>
      <c r="H180" s="3">
        <v>5</v>
      </c>
      <c r="I180" s="3">
        <v>5</v>
      </c>
      <c r="J180" s="3">
        <v>5</v>
      </c>
      <c r="K180" s="3">
        <v>5</v>
      </c>
      <c r="L180" s="3">
        <v>5</v>
      </c>
      <c r="M180" s="3">
        <v>5</v>
      </c>
      <c r="N180" s="3">
        <v>5</v>
      </c>
      <c r="O180" s="3">
        <v>5</v>
      </c>
      <c r="P180" s="3">
        <v>5</v>
      </c>
      <c r="Q180" s="3">
        <v>5</v>
      </c>
      <c r="R180" s="3">
        <v>5</v>
      </c>
      <c r="S180" s="3">
        <v>5</v>
      </c>
      <c r="T180" s="3">
        <v>5</v>
      </c>
      <c r="U180" s="3">
        <v>5</v>
      </c>
      <c r="V180" s="3">
        <v>5</v>
      </c>
      <c r="W180" s="3">
        <v>5</v>
      </c>
      <c r="X180" s="3">
        <v>5</v>
      </c>
      <c r="Y180" s="3">
        <v>5</v>
      </c>
      <c r="Z180" s="3">
        <v>5</v>
      </c>
      <c r="AA180" s="3">
        <v>5</v>
      </c>
      <c r="AB180" s="3">
        <v>5</v>
      </c>
      <c r="AC180" s="3">
        <v>5</v>
      </c>
      <c r="AD180" s="3">
        <v>5</v>
      </c>
      <c r="AE180" s="3">
        <v>5</v>
      </c>
      <c r="AF180" s="3">
        <v>5</v>
      </c>
      <c r="AG180" s="3">
        <v>5</v>
      </c>
      <c r="AH180" s="3">
        <v>5</v>
      </c>
      <c r="AI180" s="3">
        <v>5</v>
      </c>
      <c r="AJ180" s="3">
        <v>5</v>
      </c>
      <c r="AK180" s="3">
        <v>5</v>
      </c>
      <c r="AL180" s="3">
        <v>5</v>
      </c>
      <c r="AM180" s="3">
        <v>5</v>
      </c>
      <c r="AN180" s="3">
        <v>5</v>
      </c>
      <c r="AO180" s="3">
        <v>5</v>
      </c>
      <c r="AP180" s="3">
        <v>5</v>
      </c>
      <c r="AQ180" s="3">
        <v>5</v>
      </c>
      <c r="AR180" s="3">
        <v>5</v>
      </c>
      <c r="AS180" s="3">
        <v>5</v>
      </c>
      <c r="AT180" s="3">
        <v>5</v>
      </c>
      <c r="AU180" s="3">
        <v>5</v>
      </c>
      <c r="AV180" s="3">
        <v>5</v>
      </c>
      <c r="AW180" s="3">
        <v>5</v>
      </c>
      <c r="AX180" s="3">
        <v>5</v>
      </c>
      <c r="AY180" s="3">
        <v>5</v>
      </c>
      <c r="AZ180" s="3">
        <v>5</v>
      </c>
      <c r="BA180" s="3">
        <v>5</v>
      </c>
      <c r="BB180" s="3">
        <v>5</v>
      </c>
      <c r="BC180" s="3">
        <v>5</v>
      </c>
      <c r="BD180" s="3">
        <v>5</v>
      </c>
      <c r="BE180" s="3">
        <v>5</v>
      </c>
      <c r="BF180" s="3">
        <v>5</v>
      </c>
      <c r="BG180" s="3">
        <v>5</v>
      </c>
      <c r="BH180" s="3">
        <v>5</v>
      </c>
      <c r="BI180" s="3">
        <v>5</v>
      </c>
      <c r="BJ180" s="3">
        <v>5</v>
      </c>
      <c r="BK180" s="3">
        <v>5</v>
      </c>
      <c r="BL180" s="3">
        <v>5</v>
      </c>
      <c r="BM180" s="3">
        <v>5</v>
      </c>
      <c r="BN180" s="3">
        <v>5</v>
      </c>
      <c r="BO180" s="3">
        <v>5</v>
      </c>
      <c r="BP180" s="3" t="s">
        <v>534</v>
      </c>
    </row>
    <row r="181" spans="1:68" ht="22.5" customHeight="1" x14ac:dyDescent="0.25">
      <c r="A181" s="2">
        <v>45974.753073761574</v>
      </c>
      <c r="B181" s="3" t="s">
        <v>535</v>
      </c>
      <c r="C181" s="3" t="s">
        <v>86</v>
      </c>
      <c r="D181" s="3" t="s">
        <v>70</v>
      </c>
      <c r="E181" s="3" t="s">
        <v>77</v>
      </c>
      <c r="F181" s="3" t="s">
        <v>88</v>
      </c>
      <c r="G181" s="3" t="s">
        <v>79</v>
      </c>
      <c r="H181" s="3">
        <v>5</v>
      </c>
      <c r="I181" s="3">
        <v>5</v>
      </c>
      <c r="J181" s="3">
        <v>4</v>
      </c>
      <c r="K181" s="3">
        <v>4</v>
      </c>
      <c r="L181" s="3">
        <v>5</v>
      </c>
      <c r="M181" s="3">
        <v>4</v>
      </c>
      <c r="N181" s="3">
        <v>5</v>
      </c>
      <c r="O181" s="3">
        <v>5</v>
      </c>
      <c r="P181" s="3">
        <v>5</v>
      </c>
      <c r="Q181" s="3">
        <v>4</v>
      </c>
      <c r="R181" s="3">
        <v>4</v>
      </c>
      <c r="S181" s="3">
        <v>4</v>
      </c>
      <c r="T181" s="3">
        <v>4</v>
      </c>
      <c r="U181" s="3">
        <v>4</v>
      </c>
      <c r="V181" s="3">
        <v>4</v>
      </c>
      <c r="W181" s="3">
        <v>4</v>
      </c>
      <c r="X181" s="3">
        <v>5</v>
      </c>
      <c r="Y181" s="3">
        <v>4</v>
      </c>
      <c r="Z181" s="3">
        <v>5</v>
      </c>
      <c r="AA181" s="3">
        <v>4</v>
      </c>
      <c r="AB181" s="3">
        <v>4</v>
      </c>
      <c r="AC181" s="3">
        <v>3</v>
      </c>
      <c r="AD181" s="3">
        <v>4</v>
      </c>
      <c r="AE181" s="3">
        <v>3</v>
      </c>
      <c r="AF181" s="3">
        <v>4</v>
      </c>
      <c r="AG181" s="3">
        <v>4</v>
      </c>
      <c r="AH181" s="3">
        <v>3</v>
      </c>
      <c r="AI181" s="3">
        <v>4</v>
      </c>
      <c r="AJ181" s="3">
        <v>5</v>
      </c>
      <c r="AK181" s="3">
        <v>4</v>
      </c>
      <c r="AL181" s="3">
        <v>5</v>
      </c>
      <c r="AM181" s="3">
        <v>5</v>
      </c>
      <c r="AN181" s="3">
        <v>4</v>
      </c>
      <c r="AO181" s="3">
        <v>5</v>
      </c>
      <c r="AP181" s="3">
        <v>5</v>
      </c>
      <c r="AQ181" s="3">
        <v>5</v>
      </c>
      <c r="AR181" s="3">
        <v>4</v>
      </c>
      <c r="AS181" s="3">
        <v>5</v>
      </c>
      <c r="AT181" s="3">
        <v>5</v>
      </c>
      <c r="AU181" s="3">
        <v>4</v>
      </c>
      <c r="AV181" s="3">
        <v>5</v>
      </c>
      <c r="AW181" s="3">
        <v>4</v>
      </c>
      <c r="AX181" s="3">
        <v>5</v>
      </c>
      <c r="AY181" s="3">
        <v>5</v>
      </c>
      <c r="AZ181" s="3">
        <v>4</v>
      </c>
      <c r="BA181" s="3">
        <v>5</v>
      </c>
      <c r="BB181" s="3">
        <v>4</v>
      </c>
      <c r="BC181" s="3">
        <v>5</v>
      </c>
      <c r="BD181" s="3">
        <v>5</v>
      </c>
      <c r="BE181" s="3">
        <v>5</v>
      </c>
      <c r="BF181" s="3">
        <v>5</v>
      </c>
      <c r="BG181" s="3">
        <v>4</v>
      </c>
      <c r="BH181" s="3">
        <v>5</v>
      </c>
      <c r="BI181" s="3">
        <v>5</v>
      </c>
      <c r="BJ181" s="3">
        <v>5</v>
      </c>
      <c r="BK181" s="3">
        <v>5</v>
      </c>
      <c r="BL181" s="3">
        <v>5</v>
      </c>
      <c r="BM181" s="3">
        <v>4</v>
      </c>
      <c r="BN181" s="3">
        <v>5</v>
      </c>
      <c r="BO181" s="3">
        <v>4</v>
      </c>
      <c r="BP181" s="3" t="s">
        <v>536</v>
      </c>
    </row>
    <row r="182" spans="1:68" ht="22.5" customHeight="1" x14ac:dyDescent="0.25">
      <c r="A182" s="2">
        <v>45974.814243125002</v>
      </c>
      <c r="C182" s="3" t="s">
        <v>69</v>
      </c>
      <c r="D182" s="3" t="s">
        <v>537</v>
      </c>
      <c r="E182" s="3" t="s">
        <v>119</v>
      </c>
      <c r="F182" s="3" t="s">
        <v>82</v>
      </c>
      <c r="G182" s="3" t="s">
        <v>91</v>
      </c>
      <c r="H182" s="3">
        <v>5</v>
      </c>
      <c r="I182" s="3">
        <v>5</v>
      </c>
      <c r="J182" s="3">
        <v>5</v>
      </c>
      <c r="K182" s="3">
        <v>4</v>
      </c>
      <c r="L182" s="3">
        <v>4</v>
      </c>
      <c r="M182" s="3">
        <v>3</v>
      </c>
      <c r="N182" s="3">
        <v>3</v>
      </c>
      <c r="O182" s="3">
        <v>4</v>
      </c>
      <c r="P182" s="3">
        <v>5</v>
      </c>
      <c r="Q182" s="3">
        <v>5</v>
      </c>
      <c r="R182" s="3">
        <v>5</v>
      </c>
      <c r="S182" s="3">
        <v>4</v>
      </c>
      <c r="T182" s="3">
        <v>5</v>
      </c>
      <c r="U182" s="3">
        <v>5</v>
      </c>
      <c r="V182" s="3">
        <v>4</v>
      </c>
      <c r="W182" s="3">
        <v>4</v>
      </c>
      <c r="X182" s="3">
        <v>3</v>
      </c>
      <c r="Y182" s="3">
        <v>4</v>
      </c>
      <c r="Z182" s="3">
        <v>4</v>
      </c>
      <c r="AA182" s="3">
        <v>4</v>
      </c>
      <c r="AB182" s="3">
        <v>4</v>
      </c>
      <c r="AC182" s="3">
        <v>3</v>
      </c>
      <c r="AD182" s="3">
        <v>4</v>
      </c>
      <c r="AE182" s="3">
        <v>4</v>
      </c>
      <c r="AF182" s="3">
        <v>4</v>
      </c>
      <c r="AG182" s="3">
        <v>4</v>
      </c>
      <c r="AH182" s="3">
        <v>4</v>
      </c>
      <c r="AI182" s="3">
        <v>4</v>
      </c>
      <c r="AJ182" s="3">
        <v>4</v>
      </c>
      <c r="AK182" s="3">
        <v>4</v>
      </c>
      <c r="AL182" s="3">
        <v>4</v>
      </c>
      <c r="AM182" s="3">
        <v>4</v>
      </c>
      <c r="AN182" s="3">
        <v>3</v>
      </c>
      <c r="AO182" s="3">
        <v>3</v>
      </c>
      <c r="AP182" s="3">
        <v>4</v>
      </c>
      <c r="AQ182" s="3">
        <v>3</v>
      </c>
      <c r="AR182" s="3">
        <v>3</v>
      </c>
      <c r="AS182" s="3">
        <v>3</v>
      </c>
      <c r="AT182" s="3">
        <v>4</v>
      </c>
      <c r="AU182" s="3">
        <v>4</v>
      </c>
      <c r="AV182" s="3">
        <v>5</v>
      </c>
      <c r="AW182" s="3">
        <v>5</v>
      </c>
      <c r="AX182" s="3">
        <v>5</v>
      </c>
      <c r="AY182" s="3">
        <v>5</v>
      </c>
      <c r="AZ182" s="3">
        <v>5</v>
      </c>
      <c r="BA182" s="3">
        <v>4</v>
      </c>
      <c r="BB182" s="3">
        <v>4</v>
      </c>
      <c r="BC182" s="3">
        <v>4</v>
      </c>
      <c r="BD182" s="3">
        <v>4</v>
      </c>
      <c r="BE182" s="3">
        <v>4</v>
      </c>
      <c r="BF182" s="3">
        <v>4</v>
      </c>
      <c r="BG182" s="3">
        <v>3</v>
      </c>
      <c r="BH182" s="3">
        <v>4</v>
      </c>
      <c r="BI182" s="3">
        <v>4</v>
      </c>
      <c r="BJ182" s="3">
        <v>4</v>
      </c>
      <c r="BK182" s="3">
        <v>4</v>
      </c>
      <c r="BL182" s="3">
        <v>4</v>
      </c>
      <c r="BM182" s="3">
        <v>5</v>
      </c>
      <c r="BN182" s="3">
        <v>5</v>
      </c>
      <c r="BO182" s="3">
        <v>5</v>
      </c>
      <c r="BP182" s="3" t="s">
        <v>538</v>
      </c>
    </row>
    <row r="183" spans="1:68" ht="22.5" customHeight="1" x14ac:dyDescent="0.25">
      <c r="A183" s="2">
        <v>45974.843037824074</v>
      </c>
      <c r="B183" s="3" t="s">
        <v>68</v>
      </c>
      <c r="C183" s="3" t="s">
        <v>69</v>
      </c>
      <c r="D183" s="3" t="s">
        <v>70</v>
      </c>
      <c r="E183" s="3" t="s">
        <v>539</v>
      </c>
      <c r="F183" s="3" t="s">
        <v>72</v>
      </c>
      <c r="G183" s="3" t="s">
        <v>73</v>
      </c>
      <c r="H183" s="3">
        <v>5</v>
      </c>
      <c r="I183" s="3">
        <v>4</v>
      </c>
      <c r="J183" s="3">
        <v>4</v>
      </c>
      <c r="K183" s="3">
        <v>5</v>
      </c>
      <c r="L183" s="3">
        <v>5</v>
      </c>
      <c r="M183" s="3">
        <v>4</v>
      </c>
      <c r="N183" s="3">
        <v>4</v>
      </c>
      <c r="O183" s="3">
        <v>5</v>
      </c>
      <c r="P183" s="3">
        <v>5</v>
      </c>
      <c r="Q183" s="3">
        <v>5</v>
      </c>
      <c r="R183" s="3">
        <v>5</v>
      </c>
      <c r="S183" s="3">
        <v>5</v>
      </c>
      <c r="T183" s="3">
        <v>5</v>
      </c>
      <c r="U183" s="3">
        <v>5</v>
      </c>
      <c r="V183" s="3">
        <v>3</v>
      </c>
      <c r="W183" s="3">
        <v>3</v>
      </c>
      <c r="X183" s="3">
        <v>4</v>
      </c>
      <c r="Y183" s="3">
        <v>5</v>
      </c>
      <c r="Z183" s="3">
        <v>3</v>
      </c>
      <c r="AA183" s="3">
        <v>5</v>
      </c>
      <c r="AB183" s="3">
        <v>5</v>
      </c>
      <c r="AC183" s="3">
        <v>5</v>
      </c>
      <c r="AD183" s="3">
        <v>5</v>
      </c>
      <c r="AE183" s="3">
        <v>4</v>
      </c>
      <c r="AF183" s="3">
        <v>4</v>
      </c>
      <c r="AG183" s="3">
        <v>4</v>
      </c>
      <c r="AH183" s="3">
        <v>4</v>
      </c>
      <c r="AI183" s="3">
        <v>4</v>
      </c>
      <c r="AJ183" s="3">
        <v>4</v>
      </c>
      <c r="AK183" s="3">
        <v>5</v>
      </c>
      <c r="AL183" s="3">
        <v>4</v>
      </c>
      <c r="AM183" s="3">
        <v>5</v>
      </c>
      <c r="AN183" s="3">
        <v>4</v>
      </c>
      <c r="AO183" s="3">
        <v>4</v>
      </c>
      <c r="AP183" s="3">
        <v>4</v>
      </c>
      <c r="AQ183" s="3">
        <v>4</v>
      </c>
      <c r="AR183" s="3">
        <v>4</v>
      </c>
      <c r="AS183" s="3">
        <v>5</v>
      </c>
      <c r="AT183" s="3">
        <v>5</v>
      </c>
      <c r="AU183" s="3">
        <v>4</v>
      </c>
      <c r="AV183" s="3">
        <v>5</v>
      </c>
      <c r="AW183" s="3">
        <v>5</v>
      </c>
      <c r="AX183" s="3">
        <v>5</v>
      </c>
      <c r="AY183" s="3">
        <v>5</v>
      </c>
      <c r="AZ183" s="3">
        <v>5</v>
      </c>
      <c r="BA183" s="3">
        <v>4</v>
      </c>
      <c r="BB183" s="3">
        <v>4</v>
      </c>
      <c r="BC183" s="3">
        <v>5</v>
      </c>
      <c r="BD183" s="3">
        <v>5</v>
      </c>
      <c r="BE183" s="3">
        <v>4</v>
      </c>
      <c r="BF183" s="3">
        <v>4</v>
      </c>
      <c r="BG183" s="3">
        <v>5</v>
      </c>
      <c r="BH183" s="3">
        <v>5</v>
      </c>
      <c r="BI183" s="3">
        <v>5</v>
      </c>
      <c r="BJ183" s="3">
        <v>4</v>
      </c>
      <c r="BK183" s="3">
        <v>4</v>
      </c>
      <c r="BL183" s="3">
        <v>4</v>
      </c>
      <c r="BM183" s="3">
        <v>4</v>
      </c>
      <c r="BN183" s="3">
        <v>4</v>
      </c>
      <c r="BO183" s="3">
        <v>4</v>
      </c>
      <c r="BP183" s="3" t="s">
        <v>540</v>
      </c>
    </row>
    <row r="184" spans="1:68" ht="22.5" customHeight="1" x14ac:dyDescent="0.25">
      <c r="A184" s="2">
        <v>45975.339993553236</v>
      </c>
      <c r="B184" s="3" t="s">
        <v>541</v>
      </c>
      <c r="C184" s="3" t="s">
        <v>86</v>
      </c>
      <c r="D184" s="3" t="s">
        <v>542</v>
      </c>
      <c r="E184" s="3" t="s">
        <v>77</v>
      </c>
      <c r="F184" s="3" t="s">
        <v>78</v>
      </c>
      <c r="G184" s="3" t="s">
        <v>79</v>
      </c>
      <c r="H184" s="3">
        <v>5</v>
      </c>
      <c r="I184" s="3">
        <v>5</v>
      </c>
      <c r="J184" s="3">
        <v>5</v>
      </c>
      <c r="K184" s="3">
        <v>4</v>
      </c>
      <c r="L184" s="3">
        <v>5</v>
      </c>
      <c r="M184" s="3">
        <v>5</v>
      </c>
      <c r="N184" s="3">
        <v>5</v>
      </c>
      <c r="O184" s="3">
        <v>5</v>
      </c>
      <c r="P184" s="3">
        <v>5</v>
      </c>
      <c r="Q184" s="3">
        <v>5</v>
      </c>
      <c r="R184" s="3">
        <v>5</v>
      </c>
      <c r="S184" s="3">
        <v>5</v>
      </c>
      <c r="T184" s="3">
        <v>5</v>
      </c>
      <c r="U184" s="3">
        <v>5</v>
      </c>
      <c r="V184" s="3">
        <v>5</v>
      </c>
      <c r="W184" s="3">
        <v>5</v>
      </c>
      <c r="X184" s="3">
        <v>5</v>
      </c>
      <c r="Y184" s="3">
        <v>5</v>
      </c>
      <c r="Z184" s="3">
        <v>5</v>
      </c>
      <c r="AA184" s="3">
        <v>3</v>
      </c>
      <c r="AB184" s="3">
        <v>3</v>
      </c>
      <c r="AC184" s="3">
        <v>3</v>
      </c>
      <c r="AD184" s="3">
        <v>3</v>
      </c>
      <c r="AE184" s="3">
        <v>5</v>
      </c>
      <c r="AF184" s="3">
        <v>5</v>
      </c>
      <c r="AG184" s="3">
        <v>5</v>
      </c>
      <c r="AH184" s="3">
        <v>5</v>
      </c>
      <c r="AI184" s="3">
        <v>5</v>
      </c>
      <c r="AJ184" s="3">
        <v>5</v>
      </c>
      <c r="AK184" s="3">
        <v>5</v>
      </c>
      <c r="AL184" s="3">
        <v>5</v>
      </c>
      <c r="AM184" s="3">
        <v>5</v>
      </c>
      <c r="AN184" s="3">
        <v>5</v>
      </c>
      <c r="AO184" s="3">
        <v>5</v>
      </c>
      <c r="AP184" s="3">
        <v>5</v>
      </c>
      <c r="AQ184" s="3">
        <v>4</v>
      </c>
      <c r="AR184" s="3">
        <v>5</v>
      </c>
      <c r="AS184" s="3">
        <v>5</v>
      </c>
      <c r="AT184" s="3">
        <v>5</v>
      </c>
      <c r="AU184" s="3">
        <v>5</v>
      </c>
      <c r="AV184" s="3">
        <v>5</v>
      </c>
      <c r="AW184" s="3">
        <v>5</v>
      </c>
      <c r="AX184" s="3">
        <v>5</v>
      </c>
      <c r="AY184" s="3">
        <v>5</v>
      </c>
      <c r="AZ184" s="3">
        <v>5</v>
      </c>
      <c r="BA184" s="3">
        <v>5</v>
      </c>
      <c r="BB184" s="3">
        <v>5</v>
      </c>
      <c r="BC184" s="3">
        <v>5</v>
      </c>
      <c r="BD184" s="3">
        <v>5</v>
      </c>
      <c r="BE184" s="3">
        <v>5</v>
      </c>
      <c r="BF184" s="3">
        <v>5</v>
      </c>
      <c r="BG184" s="3">
        <v>5</v>
      </c>
      <c r="BH184" s="3">
        <v>5</v>
      </c>
      <c r="BI184" s="3">
        <v>5</v>
      </c>
      <c r="BJ184" s="3">
        <v>5</v>
      </c>
      <c r="BK184" s="3">
        <v>5</v>
      </c>
      <c r="BL184" s="3">
        <v>5</v>
      </c>
      <c r="BM184" s="3">
        <v>5</v>
      </c>
      <c r="BN184" s="3">
        <v>5</v>
      </c>
      <c r="BO184" s="3">
        <v>5</v>
      </c>
      <c r="BP184" s="3" t="s">
        <v>543</v>
      </c>
    </row>
    <row r="185" spans="1:68" ht="22.5" customHeight="1" x14ac:dyDescent="0.25">
      <c r="A185" s="2">
        <v>45975.365743310183</v>
      </c>
      <c r="B185" s="3" t="s">
        <v>544</v>
      </c>
      <c r="C185" s="3" t="s">
        <v>69</v>
      </c>
      <c r="D185" s="3" t="s">
        <v>545</v>
      </c>
      <c r="E185" s="3" t="s">
        <v>77</v>
      </c>
      <c r="F185" s="3" t="s">
        <v>78</v>
      </c>
      <c r="G185" s="3" t="s">
        <v>79</v>
      </c>
      <c r="H185" s="3">
        <v>5</v>
      </c>
      <c r="I185" s="3">
        <v>5</v>
      </c>
      <c r="J185" s="3">
        <v>5</v>
      </c>
      <c r="K185" s="3">
        <v>5</v>
      </c>
      <c r="L185" s="3">
        <v>5</v>
      </c>
      <c r="M185" s="3">
        <v>5</v>
      </c>
      <c r="N185" s="3">
        <v>5</v>
      </c>
      <c r="O185" s="3">
        <v>5</v>
      </c>
      <c r="P185" s="3">
        <v>5</v>
      </c>
      <c r="Q185" s="3">
        <v>5</v>
      </c>
      <c r="R185" s="3">
        <v>5</v>
      </c>
      <c r="S185" s="3">
        <v>5</v>
      </c>
      <c r="T185" s="3">
        <v>5</v>
      </c>
      <c r="U185" s="3">
        <v>5</v>
      </c>
      <c r="V185" s="3">
        <v>5</v>
      </c>
      <c r="W185" s="3">
        <v>5</v>
      </c>
      <c r="X185" s="3">
        <v>5</v>
      </c>
      <c r="Y185" s="3">
        <v>5</v>
      </c>
      <c r="Z185" s="3">
        <v>5</v>
      </c>
      <c r="AA185" s="3">
        <v>5</v>
      </c>
      <c r="AB185" s="3">
        <v>5</v>
      </c>
      <c r="AC185" s="3">
        <v>4</v>
      </c>
      <c r="AD185" s="3">
        <v>5</v>
      </c>
      <c r="AE185" s="3">
        <v>5</v>
      </c>
      <c r="AF185" s="3">
        <v>5</v>
      </c>
      <c r="AG185" s="3">
        <v>5</v>
      </c>
      <c r="AH185" s="3">
        <v>4</v>
      </c>
      <c r="AI185" s="3">
        <v>5</v>
      </c>
      <c r="AJ185" s="3">
        <v>5</v>
      </c>
      <c r="AK185" s="3">
        <v>5</v>
      </c>
      <c r="AL185" s="3">
        <v>5</v>
      </c>
      <c r="AM185" s="3">
        <v>5</v>
      </c>
      <c r="AN185" s="3">
        <v>5</v>
      </c>
      <c r="AO185" s="3">
        <v>5</v>
      </c>
      <c r="AP185" s="3">
        <v>5</v>
      </c>
      <c r="AQ185" s="3">
        <v>5</v>
      </c>
      <c r="AR185" s="3">
        <v>5</v>
      </c>
      <c r="AS185" s="3">
        <v>5</v>
      </c>
      <c r="AT185" s="3">
        <v>5</v>
      </c>
      <c r="AU185" s="3">
        <v>5</v>
      </c>
      <c r="AV185" s="3">
        <v>5</v>
      </c>
      <c r="AW185" s="3">
        <v>5</v>
      </c>
      <c r="AX185" s="3">
        <v>5</v>
      </c>
      <c r="AY185" s="3">
        <v>5</v>
      </c>
      <c r="AZ185" s="3">
        <v>5</v>
      </c>
      <c r="BA185" s="3">
        <v>5</v>
      </c>
      <c r="BB185" s="3">
        <v>5</v>
      </c>
      <c r="BC185" s="3">
        <v>5</v>
      </c>
      <c r="BD185" s="3">
        <v>5</v>
      </c>
      <c r="BE185" s="3">
        <v>5</v>
      </c>
      <c r="BF185" s="3">
        <v>5</v>
      </c>
      <c r="BG185" s="3">
        <v>5</v>
      </c>
      <c r="BH185" s="3">
        <v>5</v>
      </c>
      <c r="BI185" s="3">
        <v>5</v>
      </c>
      <c r="BJ185" s="3">
        <v>5</v>
      </c>
      <c r="BK185" s="3">
        <v>5</v>
      </c>
      <c r="BL185" s="3">
        <v>5</v>
      </c>
      <c r="BM185" s="3">
        <v>5</v>
      </c>
      <c r="BN185" s="3">
        <v>5</v>
      </c>
      <c r="BO185" s="3">
        <v>5</v>
      </c>
      <c r="BP185" s="3" t="s">
        <v>546</v>
      </c>
    </row>
    <row r="186" spans="1:68" ht="22.5" customHeight="1" x14ac:dyDescent="0.25">
      <c r="A186" s="2">
        <v>45975.366710069444</v>
      </c>
      <c r="B186" s="3" t="s">
        <v>547</v>
      </c>
      <c r="C186" s="3" t="s">
        <v>86</v>
      </c>
      <c r="D186" s="3" t="s">
        <v>548</v>
      </c>
      <c r="E186" s="3" t="s">
        <v>77</v>
      </c>
      <c r="F186" s="3" t="s">
        <v>78</v>
      </c>
      <c r="G186" s="3" t="s">
        <v>83</v>
      </c>
      <c r="H186" s="3">
        <v>5</v>
      </c>
      <c r="I186" s="3">
        <v>5</v>
      </c>
      <c r="J186" s="3">
        <v>4</v>
      </c>
      <c r="K186" s="3">
        <v>5</v>
      </c>
      <c r="L186" s="3">
        <v>5</v>
      </c>
      <c r="M186" s="3">
        <v>5</v>
      </c>
      <c r="N186" s="3">
        <v>5</v>
      </c>
      <c r="O186" s="3">
        <v>5</v>
      </c>
      <c r="P186" s="3">
        <v>5</v>
      </c>
      <c r="Q186" s="3">
        <v>5</v>
      </c>
      <c r="R186" s="3">
        <v>5</v>
      </c>
      <c r="S186" s="3">
        <v>5</v>
      </c>
      <c r="T186" s="3">
        <v>5</v>
      </c>
      <c r="U186" s="3">
        <v>5</v>
      </c>
      <c r="V186" s="3">
        <v>5</v>
      </c>
      <c r="W186" s="3">
        <v>5</v>
      </c>
      <c r="X186" s="3">
        <v>5</v>
      </c>
      <c r="Y186" s="3">
        <v>5</v>
      </c>
      <c r="Z186" s="3">
        <v>5</v>
      </c>
      <c r="AA186" s="3">
        <v>5</v>
      </c>
      <c r="AB186" s="3">
        <v>5</v>
      </c>
      <c r="AC186" s="3">
        <v>5</v>
      </c>
      <c r="AD186" s="3">
        <v>5</v>
      </c>
      <c r="AE186" s="3">
        <v>5</v>
      </c>
      <c r="AF186" s="3">
        <v>5</v>
      </c>
      <c r="AG186" s="3">
        <v>5</v>
      </c>
      <c r="AH186" s="3">
        <v>5</v>
      </c>
      <c r="AI186" s="3">
        <v>5</v>
      </c>
      <c r="AJ186" s="3">
        <v>5</v>
      </c>
      <c r="AK186" s="3">
        <v>5</v>
      </c>
      <c r="AL186" s="3">
        <v>5</v>
      </c>
      <c r="AM186" s="3">
        <v>5</v>
      </c>
      <c r="AN186" s="3">
        <v>4</v>
      </c>
      <c r="AO186" s="3">
        <v>4</v>
      </c>
      <c r="AP186" s="3">
        <v>5</v>
      </c>
      <c r="AQ186" s="3">
        <v>3</v>
      </c>
      <c r="AR186" s="3">
        <v>3</v>
      </c>
      <c r="AS186" s="3">
        <v>3</v>
      </c>
      <c r="AT186" s="3">
        <v>4</v>
      </c>
      <c r="AU186" s="3">
        <v>4</v>
      </c>
      <c r="AV186" s="3">
        <v>4</v>
      </c>
      <c r="AW186" s="3">
        <v>5</v>
      </c>
      <c r="AX186" s="3">
        <v>5</v>
      </c>
      <c r="AY186" s="3">
        <v>5</v>
      </c>
      <c r="AZ186" s="3">
        <v>5</v>
      </c>
      <c r="BA186" s="3">
        <v>5</v>
      </c>
      <c r="BB186" s="3">
        <v>5</v>
      </c>
      <c r="BC186" s="3">
        <v>5</v>
      </c>
      <c r="BD186" s="3">
        <v>5</v>
      </c>
      <c r="BE186" s="3">
        <v>5</v>
      </c>
      <c r="BF186" s="3">
        <v>5</v>
      </c>
      <c r="BG186" s="3">
        <v>5</v>
      </c>
      <c r="BH186" s="3">
        <v>5</v>
      </c>
      <c r="BI186" s="3">
        <v>5</v>
      </c>
      <c r="BJ186" s="3">
        <v>5</v>
      </c>
      <c r="BK186" s="3">
        <v>5</v>
      </c>
      <c r="BL186" s="3">
        <v>5</v>
      </c>
      <c r="BM186" s="3">
        <v>5</v>
      </c>
      <c r="BN186" s="3">
        <v>5</v>
      </c>
      <c r="BO186" s="3">
        <v>5</v>
      </c>
      <c r="BP186" s="3" t="s">
        <v>549</v>
      </c>
    </row>
    <row r="187" spans="1:68" ht="22.5" customHeight="1" x14ac:dyDescent="0.25">
      <c r="A187" s="2">
        <v>45975.368703402783</v>
      </c>
      <c r="B187" s="3" t="s">
        <v>550</v>
      </c>
      <c r="C187" s="3" t="s">
        <v>86</v>
      </c>
      <c r="D187" s="3" t="s">
        <v>545</v>
      </c>
      <c r="E187" s="3" t="s">
        <v>119</v>
      </c>
      <c r="F187" s="3" t="s">
        <v>88</v>
      </c>
      <c r="G187" s="3" t="s">
        <v>91</v>
      </c>
      <c r="H187" s="3">
        <v>5</v>
      </c>
      <c r="I187" s="3">
        <v>5</v>
      </c>
      <c r="J187" s="3">
        <v>5</v>
      </c>
      <c r="K187" s="3">
        <v>5</v>
      </c>
      <c r="L187" s="3">
        <v>5</v>
      </c>
      <c r="M187" s="3">
        <v>5</v>
      </c>
      <c r="N187" s="3">
        <v>5</v>
      </c>
      <c r="O187" s="3">
        <v>5</v>
      </c>
      <c r="P187" s="3">
        <v>5</v>
      </c>
      <c r="Q187" s="3">
        <v>5</v>
      </c>
      <c r="R187" s="3">
        <v>5</v>
      </c>
      <c r="S187" s="3">
        <v>5</v>
      </c>
      <c r="T187" s="3">
        <v>5</v>
      </c>
      <c r="U187" s="3">
        <v>5</v>
      </c>
      <c r="V187" s="3">
        <v>4</v>
      </c>
      <c r="W187" s="3">
        <v>4</v>
      </c>
      <c r="X187" s="3">
        <v>3</v>
      </c>
      <c r="Y187" s="3">
        <v>4</v>
      </c>
      <c r="Z187" s="3">
        <v>4</v>
      </c>
      <c r="AA187" s="3">
        <v>5</v>
      </c>
      <c r="AB187" s="3">
        <v>5</v>
      </c>
      <c r="AC187" s="3">
        <v>3</v>
      </c>
      <c r="AD187" s="3">
        <v>5</v>
      </c>
      <c r="AE187" s="3">
        <v>4</v>
      </c>
      <c r="AF187" s="3">
        <v>4</v>
      </c>
      <c r="AG187" s="3">
        <v>3</v>
      </c>
      <c r="AH187" s="3">
        <v>4</v>
      </c>
      <c r="AI187" s="3">
        <v>5</v>
      </c>
      <c r="AJ187" s="3">
        <v>5</v>
      </c>
      <c r="AK187" s="3">
        <v>5</v>
      </c>
      <c r="AL187" s="3">
        <v>5</v>
      </c>
      <c r="AM187" s="3">
        <v>5</v>
      </c>
      <c r="AN187" s="3">
        <v>4</v>
      </c>
      <c r="AO187" s="3">
        <v>3</v>
      </c>
      <c r="AP187" s="3">
        <v>4</v>
      </c>
      <c r="AQ187" s="3">
        <v>3</v>
      </c>
      <c r="AR187" s="3">
        <v>3</v>
      </c>
      <c r="AS187" s="3">
        <v>4</v>
      </c>
      <c r="AT187" s="3">
        <v>3</v>
      </c>
      <c r="AU187" s="3">
        <v>4</v>
      </c>
      <c r="AV187" s="3">
        <v>4</v>
      </c>
      <c r="AW187" s="3">
        <v>5</v>
      </c>
      <c r="AX187" s="3">
        <v>5</v>
      </c>
      <c r="AY187" s="3">
        <v>5</v>
      </c>
      <c r="AZ187" s="3">
        <v>5</v>
      </c>
      <c r="BA187" s="3">
        <v>1</v>
      </c>
      <c r="BB187" s="3">
        <v>1</v>
      </c>
      <c r="BC187" s="3">
        <v>3</v>
      </c>
      <c r="BD187" s="3">
        <v>3</v>
      </c>
      <c r="BE187" s="3">
        <v>3</v>
      </c>
      <c r="BF187" s="3">
        <v>3</v>
      </c>
      <c r="BG187" s="3">
        <v>3</v>
      </c>
      <c r="BH187" s="3">
        <v>3</v>
      </c>
      <c r="BI187" s="3">
        <v>3</v>
      </c>
      <c r="BJ187" s="3">
        <v>5</v>
      </c>
      <c r="BK187" s="3">
        <v>4</v>
      </c>
      <c r="BL187" s="3">
        <v>4</v>
      </c>
      <c r="BM187" s="3">
        <v>4</v>
      </c>
      <c r="BN187" s="3">
        <v>4</v>
      </c>
      <c r="BO187" s="3">
        <v>4</v>
      </c>
      <c r="BP187" s="3" t="s">
        <v>551</v>
      </c>
    </row>
    <row r="188" spans="1:68" ht="22.5" customHeight="1" x14ac:dyDescent="0.25">
      <c r="A188" s="2">
        <v>45975.369123518518</v>
      </c>
      <c r="B188" s="3" t="s">
        <v>552</v>
      </c>
      <c r="C188" s="3" t="s">
        <v>86</v>
      </c>
      <c r="D188" s="3" t="s">
        <v>545</v>
      </c>
      <c r="E188" s="3" t="s">
        <v>77</v>
      </c>
      <c r="F188" s="3" t="s">
        <v>78</v>
      </c>
      <c r="G188" s="3" t="s">
        <v>79</v>
      </c>
      <c r="H188" s="3">
        <v>4</v>
      </c>
      <c r="I188" s="3">
        <v>3</v>
      </c>
      <c r="J188" s="3">
        <v>4</v>
      </c>
      <c r="K188" s="3">
        <v>5</v>
      </c>
      <c r="L188" s="3">
        <v>4</v>
      </c>
      <c r="M188" s="3">
        <v>4</v>
      </c>
      <c r="N188" s="3">
        <v>5</v>
      </c>
      <c r="O188" s="3">
        <v>4</v>
      </c>
      <c r="P188" s="3">
        <v>4</v>
      </c>
      <c r="Q188" s="3">
        <v>4</v>
      </c>
      <c r="R188" s="3">
        <v>4</v>
      </c>
      <c r="S188" s="3">
        <v>4</v>
      </c>
      <c r="T188" s="3">
        <v>4</v>
      </c>
      <c r="U188" s="3">
        <v>4</v>
      </c>
      <c r="V188" s="3">
        <v>4</v>
      </c>
      <c r="W188" s="3">
        <v>4</v>
      </c>
      <c r="X188" s="3">
        <v>3</v>
      </c>
      <c r="Y188" s="3">
        <v>5</v>
      </c>
      <c r="Z188" s="3">
        <v>4</v>
      </c>
      <c r="AA188" s="3">
        <v>4</v>
      </c>
      <c r="AB188" s="3">
        <v>3</v>
      </c>
      <c r="AC188" s="3">
        <v>4</v>
      </c>
      <c r="AD188" s="3">
        <v>5</v>
      </c>
      <c r="AE188" s="3">
        <v>4</v>
      </c>
      <c r="AF188" s="3">
        <v>4</v>
      </c>
      <c r="AG188" s="3">
        <v>4</v>
      </c>
      <c r="AH188" s="3">
        <v>4</v>
      </c>
      <c r="AI188" s="3">
        <v>4</v>
      </c>
      <c r="AJ188" s="3">
        <v>5</v>
      </c>
      <c r="AK188" s="3">
        <v>4</v>
      </c>
      <c r="AL188" s="3">
        <v>4</v>
      </c>
      <c r="AM188" s="3">
        <v>4</v>
      </c>
      <c r="AN188" s="3">
        <v>4</v>
      </c>
      <c r="AO188" s="3">
        <v>4</v>
      </c>
      <c r="AP188" s="3">
        <v>4</v>
      </c>
      <c r="AQ188" s="3">
        <v>4</v>
      </c>
      <c r="AR188" s="3">
        <v>5</v>
      </c>
      <c r="AS188" s="3">
        <v>3</v>
      </c>
      <c r="AT188" s="3">
        <v>4</v>
      </c>
      <c r="AU188" s="3">
        <v>4</v>
      </c>
      <c r="AV188" s="3">
        <v>4</v>
      </c>
      <c r="AW188" s="3">
        <v>4</v>
      </c>
      <c r="AX188" s="3">
        <v>4</v>
      </c>
      <c r="AY188" s="3">
        <v>5</v>
      </c>
      <c r="AZ188" s="3">
        <v>4</v>
      </c>
      <c r="BA188" s="3">
        <v>4</v>
      </c>
      <c r="BB188" s="3">
        <v>4</v>
      </c>
      <c r="BC188" s="3">
        <v>4</v>
      </c>
      <c r="BD188" s="3">
        <v>4</v>
      </c>
      <c r="BE188" s="3">
        <v>4</v>
      </c>
      <c r="BF188" s="3">
        <v>4</v>
      </c>
      <c r="BG188" s="3">
        <v>4</v>
      </c>
      <c r="BH188" s="3">
        <v>5</v>
      </c>
      <c r="BI188" s="3">
        <v>4</v>
      </c>
      <c r="BJ188" s="3">
        <v>4</v>
      </c>
      <c r="BK188" s="3">
        <v>4</v>
      </c>
      <c r="BL188" s="3">
        <v>5</v>
      </c>
      <c r="BM188" s="3">
        <v>5</v>
      </c>
      <c r="BN188" s="3">
        <v>5</v>
      </c>
      <c r="BO188" s="3">
        <v>4</v>
      </c>
      <c r="BP188" s="3" t="s">
        <v>553</v>
      </c>
    </row>
    <row r="189" spans="1:68" ht="22.5" customHeight="1" x14ac:dyDescent="0.25">
      <c r="A189" s="2">
        <v>45975.369557291662</v>
      </c>
      <c r="B189" s="3" t="s">
        <v>554</v>
      </c>
      <c r="C189" s="3" t="s">
        <v>69</v>
      </c>
      <c r="D189" s="3" t="s">
        <v>545</v>
      </c>
      <c r="E189" s="3" t="s">
        <v>77</v>
      </c>
      <c r="F189" s="3" t="s">
        <v>78</v>
      </c>
      <c r="G189" s="3" t="s">
        <v>79</v>
      </c>
      <c r="H189" s="3">
        <v>3</v>
      </c>
      <c r="I189" s="3">
        <v>3</v>
      </c>
      <c r="J189" s="3">
        <v>4</v>
      </c>
      <c r="K189" s="3">
        <v>4</v>
      </c>
      <c r="L189" s="3">
        <v>2</v>
      </c>
      <c r="M189" s="3">
        <v>3</v>
      </c>
      <c r="N189" s="3">
        <v>4</v>
      </c>
      <c r="O189" s="3">
        <v>3</v>
      </c>
      <c r="P189" s="3">
        <v>4</v>
      </c>
      <c r="Q189" s="3">
        <v>4</v>
      </c>
      <c r="R189" s="3">
        <v>4</v>
      </c>
      <c r="S189" s="3">
        <v>5</v>
      </c>
      <c r="T189" s="3">
        <v>4</v>
      </c>
      <c r="U189" s="3">
        <v>3</v>
      </c>
      <c r="V189" s="3">
        <v>4</v>
      </c>
      <c r="W189" s="3">
        <v>4</v>
      </c>
      <c r="X189" s="3">
        <v>2</v>
      </c>
      <c r="Y189" s="3">
        <v>4</v>
      </c>
      <c r="Z189" s="3">
        <v>5</v>
      </c>
      <c r="AA189" s="3">
        <v>5</v>
      </c>
      <c r="AB189" s="3">
        <v>5</v>
      </c>
      <c r="AC189" s="3">
        <v>2</v>
      </c>
      <c r="AD189" s="3">
        <v>5</v>
      </c>
      <c r="AE189" s="3">
        <v>5</v>
      </c>
      <c r="AF189" s="3">
        <v>5</v>
      </c>
      <c r="AG189" s="3">
        <v>3</v>
      </c>
      <c r="AH189" s="3">
        <v>4</v>
      </c>
      <c r="AI189" s="3">
        <v>4</v>
      </c>
      <c r="AJ189" s="3">
        <v>3</v>
      </c>
      <c r="AK189" s="3">
        <v>5</v>
      </c>
      <c r="AL189" s="3">
        <v>4</v>
      </c>
      <c r="AM189" s="3">
        <v>3</v>
      </c>
      <c r="AN189" s="3">
        <v>4</v>
      </c>
      <c r="AO189" s="3">
        <v>3</v>
      </c>
      <c r="AP189" s="3">
        <v>4</v>
      </c>
      <c r="AQ189" s="3">
        <v>5</v>
      </c>
      <c r="AR189" s="3">
        <v>3</v>
      </c>
      <c r="AS189" s="3">
        <v>4</v>
      </c>
      <c r="AT189" s="3">
        <v>4</v>
      </c>
      <c r="AU189" s="3">
        <v>4</v>
      </c>
      <c r="AV189" s="3">
        <v>2</v>
      </c>
      <c r="AW189" s="3">
        <v>4</v>
      </c>
      <c r="AX189" s="3">
        <v>5</v>
      </c>
      <c r="AY189" s="3">
        <v>3</v>
      </c>
      <c r="AZ189" s="3">
        <v>3</v>
      </c>
      <c r="BA189" s="3">
        <v>5</v>
      </c>
      <c r="BB189" s="3">
        <v>3</v>
      </c>
      <c r="BC189" s="3">
        <v>4</v>
      </c>
      <c r="BD189" s="3">
        <v>4</v>
      </c>
      <c r="BE189" s="3">
        <v>4</v>
      </c>
      <c r="BF189" s="3">
        <v>3</v>
      </c>
      <c r="BG189" s="3">
        <v>4</v>
      </c>
      <c r="BH189" s="3">
        <v>4</v>
      </c>
      <c r="BI189" s="3">
        <v>5</v>
      </c>
      <c r="BJ189" s="3">
        <v>3</v>
      </c>
      <c r="BK189" s="3">
        <v>4</v>
      </c>
      <c r="BL189" s="3">
        <v>5</v>
      </c>
      <c r="BM189" s="3">
        <v>5</v>
      </c>
      <c r="BN189" s="3">
        <v>3</v>
      </c>
      <c r="BO189" s="3">
        <v>4</v>
      </c>
      <c r="BP189" s="3" t="s">
        <v>555</v>
      </c>
    </row>
    <row r="190" spans="1:68" ht="22.5" customHeight="1" x14ac:dyDescent="0.25">
      <c r="A190" s="2">
        <v>45975.370225844905</v>
      </c>
      <c r="B190" s="3" t="s">
        <v>556</v>
      </c>
      <c r="C190" s="3" t="s">
        <v>86</v>
      </c>
      <c r="D190" s="3" t="s">
        <v>545</v>
      </c>
      <c r="E190" s="3" t="s">
        <v>77</v>
      </c>
      <c r="F190" s="3" t="s">
        <v>78</v>
      </c>
      <c r="G190" s="3" t="s">
        <v>79</v>
      </c>
      <c r="H190" s="3">
        <v>5</v>
      </c>
      <c r="I190" s="3">
        <v>4</v>
      </c>
      <c r="J190" s="3">
        <v>4</v>
      </c>
      <c r="K190" s="3">
        <v>5</v>
      </c>
      <c r="L190" s="3">
        <v>4</v>
      </c>
      <c r="M190" s="3">
        <v>5</v>
      </c>
      <c r="N190" s="3">
        <v>5</v>
      </c>
      <c r="O190" s="3">
        <v>5</v>
      </c>
      <c r="P190" s="3">
        <v>4</v>
      </c>
      <c r="Q190" s="3">
        <v>5</v>
      </c>
      <c r="R190" s="3">
        <v>4</v>
      </c>
      <c r="S190" s="3">
        <v>5</v>
      </c>
      <c r="T190" s="3">
        <v>5</v>
      </c>
      <c r="U190" s="3">
        <v>5</v>
      </c>
      <c r="V190" s="3">
        <v>4</v>
      </c>
      <c r="W190" s="3">
        <v>4</v>
      </c>
      <c r="X190" s="3">
        <v>3</v>
      </c>
      <c r="Y190" s="3">
        <v>3</v>
      </c>
      <c r="Z190" s="3">
        <v>4</v>
      </c>
      <c r="AA190" s="3">
        <v>4</v>
      </c>
      <c r="AB190" s="3">
        <v>4</v>
      </c>
      <c r="AC190" s="3">
        <v>3</v>
      </c>
      <c r="AD190" s="3">
        <v>4</v>
      </c>
      <c r="AE190" s="3">
        <v>5</v>
      </c>
      <c r="AF190" s="3">
        <v>5</v>
      </c>
      <c r="AG190" s="3">
        <v>5</v>
      </c>
      <c r="AH190" s="3">
        <v>4</v>
      </c>
      <c r="AI190" s="3">
        <v>4</v>
      </c>
      <c r="AJ190" s="3">
        <v>4</v>
      </c>
      <c r="AK190" s="3">
        <v>4</v>
      </c>
      <c r="AL190" s="3">
        <v>4</v>
      </c>
      <c r="AM190" s="3">
        <v>3</v>
      </c>
      <c r="AN190" s="3">
        <v>5</v>
      </c>
      <c r="AO190" s="3">
        <v>5</v>
      </c>
      <c r="AP190" s="3">
        <v>5</v>
      </c>
      <c r="AQ190" s="3">
        <v>4</v>
      </c>
      <c r="AR190" s="3">
        <v>5</v>
      </c>
      <c r="AS190" s="3">
        <v>3</v>
      </c>
      <c r="AT190" s="3">
        <v>4</v>
      </c>
      <c r="AU190" s="3">
        <v>3</v>
      </c>
      <c r="AV190" s="3">
        <v>4</v>
      </c>
      <c r="AW190" s="3">
        <v>5</v>
      </c>
      <c r="AX190" s="3">
        <v>5</v>
      </c>
      <c r="AY190" s="3">
        <v>5</v>
      </c>
      <c r="AZ190" s="3">
        <v>5</v>
      </c>
      <c r="BA190" s="3">
        <v>3</v>
      </c>
      <c r="BB190" s="3">
        <v>4</v>
      </c>
      <c r="BC190" s="3">
        <v>3</v>
      </c>
      <c r="BD190" s="3">
        <v>5</v>
      </c>
      <c r="BE190" s="3">
        <v>5</v>
      </c>
      <c r="BF190" s="3">
        <v>4</v>
      </c>
      <c r="BG190" s="3">
        <v>4</v>
      </c>
      <c r="BH190" s="3">
        <v>4</v>
      </c>
      <c r="BI190" s="3">
        <v>4</v>
      </c>
      <c r="BJ190" s="3">
        <v>5</v>
      </c>
      <c r="BK190" s="3">
        <v>5</v>
      </c>
      <c r="BL190" s="3">
        <v>5</v>
      </c>
      <c r="BM190" s="3">
        <v>5</v>
      </c>
      <c r="BN190" s="3">
        <v>5</v>
      </c>
      <c r="BO190" s="3">
        <v>5</v>
      </c>
      <c r="BP190" s="3" t="s">
        <v>557</v>
      </c>
    </row>
    <row r="191" spans="1:68" ht="22.5" customHeight="1" x14ac:dyDescent="0.25">
      <c r="A191" s="2">
        <v>45975.370480393518</v>
      </c>
      <c r="B191" s="3" t="s">
        <v>558</v>
      </c>
      <c r="C191" s="3" t="s">
        <v>69</v>
      </c>
      <c r="D191" s="3" t="s">
        <v>545</v>
      </c>
      <c r="E191" s="3" t="s">
        <v>539</v>
      </c>
      <c r="F191" s="3" t="s">
        <v>72</v>
      </c>
      <c r="G191" s="3" t="s">
        <v>73</v>
      </c>
      <c r="H191" s="3">
        <v>5</v>
      </c>
      <c r="I191" s="3">
        <v>4</v>
      </c>
      <c r="J191" s="3">
        <v>4</v>
      </c>
      <c r="K191" s="3">
        <v>3</v>
      </c>
      <c r="L191" s="3">
        <v>4</v>
      </c>
      <c r="M191" s="3">
        <v>4</v>
      </c>
      <c r="N191" s="3">
        <v>4</v>
      </c>
      <c r="O191" s="3">
        <v>4</v>
      </c>
      <c r="P191" s="3">
        <v>5</v>
      </c>
      <c r="Q191" s="3">
        <v>4</v>
      </c>
      <c r="R191" s="3">
        <v>4</v>
      </c>
      <c r="S191" s="3">
        <v>4</v>
      </c>
      <c r="T191" s="3">
        <v>3</v>
      </c>
      <c r="U191" s="3">
        <v>4</v>
      </c>
      <c r="V191" s="3">
        <v>3</v>
      </c>
      <c r="W191" s="3">
        <v>4</v>
      </c>
      <c r="X191" s="3">
        <v>4</v>
      </c>
      <c r="Y191" s="3">
        <v>3</v>
      </c>
      <c r="Z191" s="3">
        <v>3</v>
      </c>
      <c r="AA191" s="3">
        <v>4</v>
      </c>
      <c r="AB191" s="3">
        <v>4</v>
      </c>
      <c r="AC191" s="3">
        <v>4</v>
      </c>
      <c r="AD191" s="3">
        <v>5</v>
      </c>
      <c r="AE191" s="3">
        <v>4</v>
      </c>
      <c r="AF191" s="3">
        <v>4</v>
      </c>
      <c r="AG191" s="3">
        <v>4</v>
      </c>
      <c r="AH191" s="3">
        <v>4</v>
      </c>
      <c r="AI191" s="3">
        <v>4</v>
      </c>
      <c r="AJ191" s="3">
        <v>4</v>
      </c>
      <c r="AK191" s="3">
        <v>4</v>
      </c>
      <c r="AL191" s="3">
        <v>4</v>
      </c>
      <c r="AM191" s="3">
        <v>4</v>
      </c>
      <c r="AN191" s="3">
        <v>4</v>
      </c>
      <c r="AO191" s="3">
        <v>4</v>
      </c>
      <c r="AP191" s="3">
        <v>3</v>
      </c>
      <c r="AQ191" s="3">
        <v>4</v>
      </c>
      <c r="AR191" s="3">
        <v>4</v>
      </c>
      <c r="AS191" s="3">
        <v>4</v>
      </c>
      <c r="AT191" s="3">
        <v>3</v>
      </c>
      <c r="AU191" s="3">
        <v>4</v>
      </c>
      <c r="AV191" s="3">
        <v>4</v>
      </c>
      <c r="AW191" s="3">
        <v>5</v>
      </c>
      <c r="AX191" s="3">
        <v>5</v>
      </c>
      <c r="AY191" s="3">
        <v>5</v>
      </c>
      <c r="AZ191" s="3">
        <v>5</v>
      </c>
      <c r="BA191" s="3">
        <v>4</v>
      </c>
      <c r="BB191" s="3">
        <v>4</v>
      </c>
      <c r="BC191" s="3">
        <v>4</v>
      </c>
      <c r="BD191" s="3">
        <v>4</v>
      </c>
      <c r="BE191" s="3">
        <v>4</v>
      </c>
      <c r="BF191" s="3">
        <v>4</v>
      </c>
      <c r="BG191" s="3">
        <v>4</v>
      </c>
      <c r="BH191" s="3">
        <v>4</v>
      </c>
      <c r="BI191" s="3">
        <v>4</v>
      </c>
      <c r="BJ191" s="3">
        <v>4</v>
      </c>
      <c r="BK191" s="3">
        <v>4</v>
      </c>
      <c r="BL191" s="3">
        <v>4</v>
      </c>
      <c r="BM191" s="3">
        <v>4</v>
      </c>
      <c r="BN191" s="3">
        <v>4</v>
      </c>
      <c r="BO191" s="3">
        <v>4</v>
      </c>
      <c r="BP191" s="3" t="s">
        <v>559</v>
      </c>
    </row>
    <row r="192" spans="1:68" ht="22.5" customHeight="1" x14ac:dyDescent="0.25">
      <c r="A192" s="2">
        <v>45975.371760300928</v>
      </c>
      <c r="B192" s="3" t="s">
        <v>560</v>
      </c>
      <c r="C192" s="3" t="s">
        <v>69</v>
      </c>
      <c r="D192" s="3" t="s">
        <v>561</v>
      </c>
      <c r="E192" s="3" t="s">
        <v>119</v>
      </c>
      <c r="F192" s="3" t="s">
        <v>88</v>
      </c>
      <c r="G192" s="3" t="s">
        <v>83</v>
      </c>
      <c r="H192" s="3">
        <v>4</v>
      </c>
      <c r="I192" s="3">
        <v>4</v>
      </c>
      <c r="J192" s="3">
        <v>4</v>
      </c>
      <c r="K192" s="3">
        <v>4</v>
      </c>
      <c r="L192" s="3">
        <v>4</v>
      </c>
      <c r="M192" s="3">
        <v>4</v>
      </c>
      <c r="N192" s="3">
        <v>4</v>
      </c>
      <c r="O192" s="3">
        <v>4</v>
      </c>
      <c r="P192" s="3">
        <v>4</v>
      </c>
      <c r="Q192" s="3">
        <v>4</v>
      </c>
      <c r="R192" s="3">
        <v>4</v>
      </c>
      <c r="S192" s="3">
        <v>4</v>
      </c>
      <c r="T192" s="3">
        <v>4</v>
      </c>
      <c r="U192" s="3">
        <v>4</v>
      </c>
      <c r="V192" s="3">
        <v>4</v>
      </c>
      <c r="W192" s="3">
        <v>4</v>
      </c>
      <c r="X192" s="3">
        <v>4</v>
      </c>
      <c r="Y192" s="3">
        <v>4</v>
      </c>
      <c r="Z192" s="3">
        <v>4</v>
      </c>
      <c r="AA192" s="3">
        <v>4</v>
      </c>
      <c r="AB192" s="3">
        <v>4</v>
      </c>
      <c r="AC192" s="3">
        <v>4</v>
      </c>
      <c r="AD192" s="3">
        <v>4</v>
      </c>
      <c r="AE192" s="3">
        <v>4</v>
      </c>
      <c r="AF192" s="3">
        <v>4</v>
      </c>
      <c r="AG192" s="3">
        <v>4</v>
      </c>
      <c r="AH192" s="3">
        <v>4</v>
      </c>
      <c r="AI192" s="3">
        <v>4</v>
      </c>
      <c r="AJ192" s="3">
        <v>4</v>
      </c>
      <c r="AK192" s="3">
        <v>4</v>
      </c>
      <c r="AL192" s="3">
        <v>4</v>
      </c>
      <c r="AM192" s="3">
        <v>4</v>
      </c>
      <c r="AN192" s="3">
        <v>4</v>
      </c>
      <c r="AO192" s="3">
        <v>4</v>
      </c>
      <c r="AP192" s="3">
        <v>4</v>
      </c>
      <c r="AQ192" s="3">
        <v>4</v>
      </c>
      <c r="AR192" s="3">
        <v>4</v>
      </c>
      <c r="AS192" s="3">
        <v>4</v>
      </c>
      <c r="AT192" s="3">
        <v>4</v>
      </c>
      <c r="AU192" s="3">
        <v>4</v>
      </c>
      <c r="AV192" s="3">
        <v>4</v>
      </c>
      <c r="AW192" s="3">
        <v>4</v>
      </c>
      <c r="AX192" s="3">
        <v>4</v>
      </c>
      <c r="AY192" s="3">
        <v>4</v>
      </c>
      <c r="AZ192" s="3">
        <v>4</v>
      </c>
      <c r="BA192" s="3">
        <v>4</v>
      </c>
      <c r="BB192" s="3">
        <v>4</v>
      </c>
      <c r="BC192" s="3">
        <v>4</v>
      </c>
      <c r="BD192" s="3">
        <v>4</v>
      </c>
      <c r="BE192" s="3">
        <v>4</v>
      </c>
      <c r="BF192" s="3">
        <v>4</v>
      </c>
      <c r="BG192" s="3">
        <v>4</v>
      </c>
      <c r="BH192" s="3">
        <v>4</v>
      </c>
      <c r="BI192" s="3">
        <v>4</v>
      </c>
      <c r="BJ192" s="3">
        <v>4</v>
      </c>
      <c r="BK192" s="3">
        <v>4</v>
      </c>
      <c r="BL192" s="3">
        <v>4</v>
      </c>
      <c r="BM192" s="3">
        <v>4</v>
      </c>
      <c r="BN192" s="3">
        <v>4</v>
      </c>
      <c r="BO192" s="3">
        <v>4</v>
      </c>
      <c r="BP192" s="3" t="s">
        <v>562</v>
      </c>
    </row>
    <row r="193" spans="1:68" ht="22.5" customHeight="1" x14ac:dyDescent="0.25">
      <c r="A193" s="2">
        <v>45975.373677361116</v>
      </c>
      <c r="B193" s="3" t="s">
        <v>563</v>
      </c>
      <c r="C193" s="3" t="s">
        <v>86</v>
      </c>
      <c r="D193" s="3" t="s">
        <v>564</v>
      </c>
      <c r="E193" s="3" t="s">
        <v>77</v>
      </c>
      <c r="F193" s="3" t="s">
        <v>78</v>
      </c>
      <c r="G193" s="3" t="s">
        <v>83</v>
      </c>
      <c r="H193" s="3">
        <v>5</v>
      </c>
      <c r="I193" s="3">
        <v>5</v>
      </c>
      <c r="J193" s="3">
        <v>5</v>
      </c>
      <c r="K193" s="3">
        <v>4</v>
      </c>
      <c r="L193" s="3">
        <v>4</v>
      </c>
      <c r="M193" s="3">
        <v>3</v>
      </c>
      <c r="N193" s="3">
        <v>4</v>
      </c>
      <c r="O193" s="3">
        <v>4</v>
      </c>
      <c r="P193" s="3">
        <v>5</v>
      </c>
      <c r="Q193" s="3">
        <v>5</v>
      </c>
      <c r="R193" s="3">
        <v>4</v>
      </c>
      <c r="S193" s="3">
        <v>5</v>
      </c>
      <c r="T193" s="3">
        <v>5</v>
      </c>
      <c r="U193" s="3">
        <v>4</v>
      </c>
      <c r="V193" s="3">
        <v>3</v>
      </c>
      <c r="W193" s="3">
        <v>4</v>
      </c>
      <c r="X193" s="3">
        <v>3</v>
      </c>
      <c r="Y193" s="3">
        <v>2</v>
      </c>
      <c r="Z193" s="3">
        <v>5</v>
      </c>
      <c r="AA193" s="3">
        <v>5</v>
      </c>
      <c r="AB193" s="3">
        <v>4</v>
      </c>
      <c r="AC193" s="3">
        <v>5</v>
      </c>
      <c r="AD193" s="3">
        <v>5</v>
      </c>
      <c r="AE193" s="3">
        <v>5</v>
      </c>
      <c r="AF193" s="3">
        <v>5</v>
      </c>
      <c r="AG193" s="3">
        <v>5</v>
      </c>
      <c r="AH193" s="3">
        <v>4</v>
      </c>
      <c r="AI193" s="3">
        <v>4</v>
      </c>
      <c r="AJ193" s="3">
        <v>4</v>
      </c>
      <c r="AK193" s="3">
        <v>5</v>
      </c>
      <c r="AL193" s="3">
        <v>5</v>
      </c>
      <c r="AM193" s="3">
        <v>4</v>
      </c>
      <c r="AN193" s="3">
        <v>4</v>
      </c>
      <c r="AO193" s="3">
        <v>4</v>
      </c>
      <c r="AP193" s="3">
        <v>5</v>
      </c>
      <c r="AQ193" s="3">
        <v>4</v>
      </c>
      <c r="AR193" s="3">
        <v>4</v>
      </c>
      <c r="AS193" s="3">
        <v>4</v>
      </c>
      <c r="AT193" s="3">
        <v>3</v>
      </c>
      <c r="AU193" s="3">
        <v>4</v>
      </c>
      <c r="AV193" s="3">
        <v>5</v>
      </c>
      <c r="AW193" s="3">
        <v>5</v>
      </c>
      <c r="AX193" s="3">
        <v>5</v>
      </c>
      <c r="AY193" s="3">
        <v>5</v>
      </c>
      <c r="AZ193" s="3">
        <v>5</v>
      </c>
      <c r="BA193" s="3">
        <v>4</v>
      </c>
      <c r="BB193" s="3">
        <v>4</v>
      </c>
      <c r="BC193" s="3">
        <v>5</v>
      </c>
      <c r="BD193" s="3">
        <v>5</v>
      </c>
      <c r="BE193" s="3">
        <v>5</v>
      </c>
      <c r="BF193" s="3">
        <v>5</v>
      </c>
      <c r="BG193" s="3">
        <v>5</v>
      </c>
      <c r="BH193" s="3">
        <v>5</v>
      </c>
      <c r="BI193" s="3">
        <v>5</v>
      </c>
      <c r="BJ193" s="3">
        <v>5</v>
      </c>
      <c r="BK193" s="3">
        <v>5</v>
      </c>
      <c r="BL193" s="3">
        <v>5</v>
      </c>
      <c r="BM193" s="3">
        <v>5</v>
      </c>
      <c r="BN193" s="3">
        <v>5</v>
      </c>
      <c r="BO193" s="3">
        <v>5</v>
      </c>
      <c r="BP193" s="3" t="s">
        <v>565</v>
      </c>
    </row>
    <row r="194" spans="1:68" ht="22.5" customHeight="1" x14ac:dyDescent="0.25">
      <c r="A194" s="2">
        <v>45975.374354108797</v>
      </c>
      <c r="B194" s="3" t="s">
        <v>566</v>
      </c>
      <c r="C194" s="3" t="s">
        <v>69</v>
      </c>
      <c r="D194" s="3" t="s">
        <v>567</v>
      </c>
      <c r="E194" s="3" t="s">
        <v>77</v>
      </c>
      <c r="F194" s="3" t="s">
        <v>78</v>
      </c>
      <c r="G194" s="3" t="s">
        <v>79</v>
      </c>
      <c r="H194" s="3">
        <v>5</v>
      </c>
      <c r="I194" s="3">
        <v>4</v>
      </c>
      <c r="J194" s="3">
        <v>4</v>
      </c>
      <c r="K194" s="3">
        <v>5</v>
      </c>
      <c r="L194" s="3">
        <v>3</v>
      </c>
      <c r="M194" s="3">
        <v>4</v>
      </c>
      <c r="N194" s="3">
        <v>4</v>
      </c>
      <c r="O194" s="3">
        <v>5</v>
      </c>
      <c r="P194" s="3">
        <v>5</v>
      </c>
      <c r="Q194" s="3">
        <v>5</v>
      </c>
      <c r="R194" s="3">
        <v>5</v>
      </c>
      <c r="S194" s="3">
        <v>5</v>
      </c>
      <c r="T194" s="3">
        <v>4</v>
      </c>
      <c r="U194" s="3">
        <v>5</v>
      </c>
      <c r="V194" s="3">
        <v>4</v>
      </c>
      <c r="W194" s="3">
        <v>3</v>
      </c>
      <c r="X194" s="3">
        <v>3</v>
      </c>
      <c r="Y194" s="3">
        <v>3</v>
      </c>
      <c r="Z194" s="3">
        <v>5</v>
      </c>
      <c r="AA194" s="3">
        <v>4</v>
      </c>
      <c r="AB194" s="3">
        <v>3</v>
      </c>
      <c r="AC194" s="3">
        <v>2</v>
      </c>
      <c r="AD194" s="3">
        <v>5</v>
      </c>
      <c r="AE194" s="3">
        <v>5</v>
      </c>
      <c r="AF194" s="3">
        <v>4</v>
      </c>
      <c r="AG194" s="3">
        <v>4</v>
      </c>
      <c r="AH194" s="3">
        <v>3</v>
      </c>
      <c r="AI194" s="3">
        <v>4</v>
      </c>
      <c r="AJ194" s="3">
        <v>5</v>
      </c>
      <c r="AK194" s="3">
        <v>5</v>
      </c>
      <c r="AL194" s="3">
        <v>5</v>
      </c>
      <c r="AM194" s="3">
        <v>4</v>
      </c>
      <c r="AN194" s="3">
        <v>4</v>
      </c>
      <c r="AO194" s="3">
        <v>4</v>
      </c>
      <c r="AP194" s="3">
        <v>4</v>
      </c>
      <c r="AQ194" s="3">
        <v>4</v>
      </c>
      <c r="AR194" s="3">
        <v>5</v>
      </c>
      <c r="AS194" s="3">
        <v>3</v>
      </c>
      <c r="AT194" s="3">
        <v>4</v>
      </c>
      <c r="AU194" s="3">
        <v>4</v>
      </c>
      <c r="AV194" s="3">
        <v>5</v>
      </c>
      <c r="AW194" s="3">
        <v>5</v>
      </c>
      <c r="AX194" s="3">
        <v>5</v>
      </c>
      <c r="AY194" s="3">
        <v>5</v>
      </c>
      <c r="AZ194" s="3">
        <v>4</v>
      </c>
      <c r="BA194" s="3">
        <v>3</v>
      </c>
      <c r="BB194" s="3">
        <v>3</v>
      </c>
      <c r="BC194" s="3">
        <v>2</v>
      </c>
      <c r="BD194" s="3">
        <v>2</v>
      </c>
      <c r="BE194" s="3">
        <v>2</v>
      </c>
      <c r="BF194" s="3">
        <v>2</v>
      </c>
      <c r="BG194" s="3">
        <v>3</v>
      </c>
      <c r="BH194" s="3">
        <v>4</v>
      </c>
      <c r="BI194" s="3">
        <v>5</v>
      </c>
      <c r="BJ194" s="3">
        <v>5</v>
      </c>
      <c r="BK194" s="3">
        <v>4</v>
      </c>
      <c r="BL194" s="3">
        <v>3</v>
      </c>
      <c r="BM194" s="3">
        <v>5</v>
      </c>
      <c r="BN194" s="3">
        <v>5</v>
      </c>
      <c r="BO194" s="3">
        <v>5</v>
      </c>
      <c r="BP194" s="3" t="s">
        <v>568</v>
      </c>
    </row>
    <row r="195" spans="1:68" ht="22.5" customHeight="1" x14ac:dyDescent="0.25">
      <c r="A195" s="2">
        <v>45975.37523755787</v>
      </c>
      <c r="C195" s="3" t="s">
        <v>86</v>
      </c>
      <c r="D195" s="3" t="s">
        <v>569</v>
      </c>
      <c r="E195" s="3" t="s">
        <v>77</v>
      </c>
      <c r="F195" s="3" t="s">
        <v>78</v>
      </c>
      <c r="G195" s="3" t="s">
        <v>79</v>
      </c>
      <c r="H195" s="3">
        <v>4</v>
      </c>
      <c r="I195" s="3">
        <v>4</v>
      </c>
      <c r="J195" s="3">
        <v>4</v>
      </c>
      <c r="K195" s="3">
        <v>3</v>
      </c>
      <c r="L195" s="3">
        <v>3</v>
      </c>
      <c r="M195" s="3">
        <v>4</v>
      </c>
      <c r="N195" s="3">
        <v>4</v>
      </c>
      <c r="O195" s="3">
        <v>4</v>
      </c>
      <c r="P195" s="3">
        <v>4</v>
      </c>
      <c r="Q195" s="3">
        <v>4</v>
      </c>
      <c r="R195" s="3">
        <v>4</v>
      </c>
      <c r="S195" s="3">
        <v>4</v>
      </c>
      <c r="T195" s="3">
        <v>4</v>
      </c>
      <c r="U195" s="3">
        <v>4</v>
      </c>
      <c r="V195" s="3">
        <v>4</v>
      </c>
      <c r="W195" s="3">
        <v>4</v>
      </c>
      <c r="X195" s="3">
        <v>3</v>
      </c>
      <c r="Y195" s="3">
        <v>4</v>
      </c>
      <c r="Z195" s="3">
        <v>4</v>
      </c>
      <c r="AA195" s="3">
        <v>3</v>
      </c>
      <c r="AB195" s="3">
        <v>4</v>
      </c>
      <c r="AC195" s="3">
        <v>4</v>
      </c>
      <c r="AD195" s="3">
        <v>4</v>
      </c>
      <c r="AE195" s="3">
        <v>4</v>
      </c>
      <c r="AF195" s="3">
        <v>4</v>
      </c>
      <c r="AG195" s="3">
        <v>4</v>
      </c>
      <c r="AH195" s="3">
        <v>4</v>
      </c>
      <c r="AI195" s="3">
        <v>4</v>
      </c>
      <c r="AJ195" s="3">
        <v>4</v>
      </c>
      <c r="AK195" s="3">
        <v>4</v>
      </c>
      <c r="AL195" s="3">
        <v>4</v>
      </c>
      <c r="AM195" s="3">
        <v>4</v>
      </c>
      <c r="AN195" s="3">
        <v>4</v>
      </c>
      <c r="AO195" s="3">
        <v>4</v>
      </c>
      <c r="AP195" s="3">
        <v>4</v>
      </c>
      <c r="AQ195" s="3">
        <v>3</v>
      </c>
      <c r="AR195" s="3">
        <v>4</v>
      </c>
      <c r="AS195" s="3">
        <v>3</v>
      </c>
      <c r="AT195" s="3">
        <v>4</v>
      </c>
      <c r="AU195" s="3">
        <v>3</v>
      </c>
      <c r="AV195" s="3">
        <v>4</v>
      </c>
      <c r="AW195" s="3">
        <v>4</v>
      </c>
      <c r="AX195" s="3">
        <v>4</v>
      </c>
      <c r="AY195" s="3">
        <v>4</v>
      </c>
      <c r="AZ195" s="3">
        <v>4</v>
      </c>
      <c r="BA195" s="3">
        <v>3</v>
      </c>
      <c r="BB195" s="3">
        <v>3</v>
      </c>
      <c r="BC195" s="3">
        <v>3</v>
      </c>
      <c r="BD195" s="3">
        <v>3</v>
      </c>
      <c r="BE195" s="3">
        <v>3</v>
      </c>
      <c r="BF195" s="3">
        <v>3</v>
      </c>
      <c r="BG195" s="3">
        <v>4</v>
      </c>
      <c r="BH195" s="3">
        <v>4</v>
      </c>
      <c r="BI195" s="3">
        <v>4</v>
      </c>
      <c r="BJ195" s="3">
        <v>4</v>
      </c>
      <c r="BK195" s="3">
        <v>4</v>
      </c>
      <c r="BL195" s="3">
        <v>4</v>
      </c>
      <c r="BM195" s="3">
        <v>4</v>
      </c>
      <c r="BN195" s="3">
        <v>4</v>
      </c>
      <c r="BO195" s="3">
        <v>4</v>
      </c>
      <c r="BP195" s="3" t="s">
        <v>570</v>
      </c>
    </row>
    <row r="196" spans="1:68" ht="22.5" customHeight="1" x14ac:dyDescent="0.25">
      <c r="A196" s="2">
        <v>45975.37895658565</v>
      </c>
      <c r="B196" s="3" t="s">
        <v>571</v>
      </c>
      <c r="C196" s="3" t="s">
        <v>86</v>
      </c>
      <c r="D196" s="3" t="s">
        <v>545</v>
      </c>
      <c r="E196" s="3" t="s">
        <v>77</v>
      </c>
      <c r="F196" s="3" t="s">
        <v>78</v>
      </c>
      <c r="G196" s="3" t="s">
        <v>79</v>
      </c>
      <c r="H196" s="3">
        <v>5</v>
      </c>
      <c r="I196" s="3">
        <v>5</v>
      </c>
      <c r="J196" s="3">
        <v>5</v>
      </c>
      <c r="K196" s="3">
        <v>5</v>
      </c>
      <c r="L196" s="3">
        <v>5</v>
      </c>
      <c r="M196" s="3">
        <v>5</v>
      </c>
      <c r="N196" s="3">
        <v>5</v>
      </c>
      <c r="O196" s="3">
        <v>5</v>
      </c>
      <c r="P196" s="3">
        <v>5</v>
      </c>
      <c r="Q196" s="3">
        <v>5</v>
      </c>
      <c r="R196" s="3">
        <v>5</v>
      </c>
      <c r="S196" s="3">
        <v>5</v>
      </c>
      <c r="T196" s="3">
        <v>5</v>
      </c>
      <c r="U196" s="3">
        <v>5</v>
      </c>
      <c r="V196" s="3">
        <v>5</v>
      </c>
      <c r="W196" s="3">
        <v>5</v>
      </c>
      <c r="X196" s="3">
        <v>5</v>
      </c>
      <c r="Y196" s="3">
        <v>5</v>
      </c>
      <c r="Z196" s="3">
        <v>5</v>
      </c>
      <c r="AA196" s="3">
        <v>3</v>
      </c>
      <c r="AB196" s="3">
        <v>3</v>
      </c>
      <c r="AC196" s="3">
        <v>3</v>
      </c>
      <c r="AD196" s="3">
        <v>3</v>
      </c>
      <c r="AE196" s="3">
        <v>5</v>
      </c>
      <c r="AF196" s="3">
        <v>5</v>
      </c>
      <c r="AG196" s="3">
        <v>5</v>
      </c>
      <c r="AH196" s="3">
        <v>5</v>
      </c>
      <c r="AI196" s="3">
        <v>5</v>
      </c>
      <c r="AJ196" s="3">
        <v>5</v>
      </c>
      <c r="AK196" s="3">
        <v>5</v>
      </c>
      <c r="AL196" s="3">
        <v>5</v>
      </c>
      <c r="AM196" s="3">
        <v>5</v>
      </c>
      <c r="AN196" s="3">
        <v>3</v>
      </c>
      <c r="AO196" s="3">
        <v>3</v>
      </c>
      <c r="AP196" s="3">
        <v>3</v>
      </c>
      <c r="AQ196" s="3">
        <v>3</v>
      </c>
      <c r="AR196" s="3">
        <v>3</v>
      </c>
      <c r="AS196" s="3">
        <v>3</v>
      </c>
      <c r="AT196" s="3">
        <v>3</v>
      </c>
      <c r="AU196" s="3">
        <v>3</v>
      </c>
      <c r="AV196" s="3">
        <v>3</v>
      </c>
      <c r="AW196" s="3">
        <v>5</v>
      </c>
      <c r="AX196" s="3">
        <v>5</v>
      </c>
      <c r="AY196" s="3">
        <v>5</v>
      </c>
      <c r="AZ196" s="3">
        <v>5</v>
      </c>
      <c r="BA196" s="3">
        <v>3</v>
      </c>
      <c r="BB196" s="3">
        <v>3</v>
      </c>
      <c r="BC196" s="3">
        <v>3</v>
      </c>
      <c r="BD196" s="3">
        <v>3</v>
      </c>
      <c r="BE196" s="3">
        <v>3</v>
      </c>
      <c r="BF196" s="3">
        <v>3</v>
      </c>
      <c r="BG196" s="3">
        <v>5</v>
      </c>
      <c r="BH196" s="3">
        <v>5</v>
      </c>
      <c r="BI196" s="3">
        <v>5</v>
      </c>
      <c r="BJ196" s="3">
        <v>5</v>
      </c>
      <c r="BK196" s="3">
        <v>5</v>
      </c>
      <c r="BL196" s="3">
        <v>5</v>
      </c>
      <c r="BM196" s="3">
        <v>5</v>
      </c>
      <c r="BN196" s="3">
        <v>5</v>
      </c>
      <c r="BO196" s="3">
        <v>5</v>
      </c>
      <c r="BP196" s="3" t="s">
        <v>572</v>
      </c>
    </row>
    <row r="197" spans="1:68" ht="22.5" customHeight="1" x14ac:dyDescent="0.25">
      <c r="A197" s="2">
        <v>45975.379510925923</v>
      </c>
      <c r="B197" s="3" t="s">
        <v>573</v>
      </c>
      <c r="C197" s="3" t="s">
        <v>69</v>
      </c>
      <c r="D197" s="3" t="s">
        <v>574</v>
      </c>
      <c r="E197" s="3" t="s">
        <v>77</v>
      </c>
      <c r="F197" s="3" t="s">
        <v>72</v>
      </c>
      <c r="G197" s="3" t="s">
        <v>73</v>
      </c>
      <c r="H197" s="3">
        <v>1</v>
      </c>
      <c r="I197" s="3">
        <v>1</v>
      </c>
      <c r="J197" s="3">
        <v>1</v>
      </c>
      <c r="K197" s="3">
        <v>1</v>
      </c>
      <c r="L197" s="3">
        <v>1</v>
      </c>
      <c r="M197" s="3">
        <v>1</v>
      </c>
      <c r="N197" s="3">
        <v>1</v>
      </c>
      <c r="O197" s="3">
        <v>1</v>
      </c>
      <c r="P197" s="3">
        <v>1</v>
      </c>
      <c r="Q197" s="3">
        <v>1</v>
      </c>
      <c r="R197" s="3">
        <v>1</v>
      </c>
      <c r="S197" s="3">
        <v>1</v>
      </c>
      <c r="T197" s="3">
        <v>1</v>
      </c>
      <c r="U197" s="3">
        <v>1</v>
      </c>
      <c r="V197" s="3">
        <v>4</v>
      </c>
      <c r="W197" s="3">
        <v>5</v>
      </c>
      <c r="X197" s="3">
        <v>2</v>
      </c>
      <c r="Y197" s="3">
        <v>4</v>
      </c>
      <c r="Z197" s="3">
        <v>1</v>
      </c>
      <c r="AA197" s="3">
        <v>4</v>
      </c>
      <c r="AB197" s="3">
        <v>4</v>
      </c>
      <c r="AC197" s="3">
        <v>4</v>
      </c>
      <c r="AD197" s="3">
        <v>4</v>
      </c>
      <c r="AE197" s="3">
        <v>5</v>
      </c>
      <c r="AF197" s="3">
        <v>4</v>
      </c>
      <c r="AG197" s="3">
        <v>4</v>
      </c>
      <c r="AH197" s="3">
        <v>4</v>
      </c>
      <c r="AI197" s="3">
        <v>5</v>
      </c>
      <c r="AJ197" s="3">
        <v>5</v>
      </c>
      <c r="AK197" s="3">
        <v>5</v>
      </c>
      <c r="AL197" s="3">
        <v>4</v>
      </c>
      <c r="AM197" s="3">
        <v>5</v>
      </c>
      <c r="AN197" s="3">
        <v>5</v>
      </c>
      <c r="AO197" s="3">
        <v>4</v>
      </c>
      <c r="AP197" s="3">
        <v>4</v>
      </c>
      <c r="AQ197" s="3">
        <v>3</v>
      </c>
      <c r="AR197" s="3">
        <v>4</v>
      </c>
      <c r="AS197" s="3">
        <v>2</v>
      </c>
      <c r="AT197" s="3">
        <v>4</v>
      </c>
      <c r="AU197" s="3">
        <v>4</v>
      </c>
      <c r="AV197" s="3">
        <v>4</v>
      </c>
      <c r="AW197" s="3">
        <v>4</v>
      </c>
      <c r="AX197" s="3">
        <v>4</v>
      </c>
      <c r="AY197" s="3">
        <v>4</v>
      </c>
      <c r="AZ197" s="3">
        <v>4</v>
      </c>
      <c r="BA197" s="3">
        <v>4</v>
      </c>
      <c r="BB197" s="3">
        <v>4</v>
      </c>
      <c r="BC197" s="3">
        <v>4</v>
      </c>
      <c r="BD197" s="3">
        <v>4</v>
      </c>
      <c r="BE197" s="3">
        <v>4</v>
      </c>
      <c r="BF197" s="3">
        <v>4</v>
      </c>
      <c r="BG197" s="3">
        <v>4</v>
      </c>
      <c r="BH197" s="3">
        <v>4</v>
      </c>
      <c r="BI197" s="3">
        <v>4</v>
      </c>
      <c r="BJ197" s="3">
        <v>4</v>
      </c>
      <c r="BK197" s="3">
        <v>4</v>
      </c>
      <c r="BL197" s="3">
        <v>4</v>
      </c>
      <c r="BM197" s="3">
        <v>4</v>
      </c>
      <c r="BN197" s="3">
        <v>4</v>
      </c>
      <c r="BO197" s="3">
        <v>4</v>
      </c>
      <c r="BP197" s="3" t="s">
        <v>575</v>
      </c>
    </row>
    <row r="198" spans="1:68" ht="22.5" customHeight="1" x14ac:dyDescent="0.25">
      <c r="A198" s="2">
        <v>45975.380195543985</v>
      </c>
      <c r="B198" s="3" t="s">
        <v>576</v>
      </c>
      <c r="C198" s="3" t="s">
        <v>69</v>
      </c>
      <c r="D198" s="3" t="s">
        <v>545</v>
      </c>
      <c r="E198" s="3" t="s">
        <v>77</v>
      </c>
      <c r="F198" s="3" t="s">
        <v>78</v>
      </c>
      <c r="G198" s="3" t="s">
        <v>83</v>
      </c>
      <c r="H198" s="3">
        <v>5</v>
      </c>
      <c r="I198" s="3">
        <v>4</v>
      </c>
      <c r="J198" s="3">
        <v>4</v>
      </c>
      <c r="K198" s="3">
        <v>5</v>
      </c>
      <c r="L198" s="3">
        <v>4</v>
      </c>
      <c r="M198" s="3">
        <v>4</v>
      </c>
      <c r="N198" s="3">
        <v>4</v>
      </c>
      <c r="O198" s="3">
        <v>4</v>
      </c>
      <c r="P198" s="3">
        <v>5</v>
      </c>
      <c r="Q198" s="3">
        <v>5</v>
      </c>
      <c r="R198" s="3">
        <v>5</v>
      </c>
      <c r="S198" s="3">
        <v>5</v>
      </c>
      <c r="T198" s="3">
        <v>4</v>
      </c>
      <c r="U198" s="3">
        <v>5</v>
      </c>
      <c r="V198" s="3">
        <v>4</v>
      </c>
      <c r="W198" s="3">
        <v>4</v>
      </c>
      <c r="X198" s="3">
        <v>4</v>
      </c>
      <c r="Y198" s="3">
        <v>5</v>
      </c>
      <c r="Z198" s="3">
        <v>4</v>
      </c>
      <c r="AA198" s="3">
        <v>4</v>
      </c>
      <c r="AB198" s="3">
        <v>4</v>
      </c>
      <c r="AC198" s="3">
        <v>3</v>
      </c>
      <c r="AD198" s="3">
        <v>5</v>
      </c>
      <c r="AE198" s="3">
        <v>4</v>
      </c>
      <c r="AF198" s="3">
        <v>4</v>
      </c>
      <c r="AG198" s="3">
        <v>5</v>
      </c>
      <c r="AH198" s="3">
        <v>5</v>
      </c>
      <c r="AI198" s="3">
        <v>5</v>
      </c>
      <c r="AJ198" s="3">
        <v>5</v>
      </c>
      <c r="AK198" s="3">
        <v>5</v>
      </c>
      <c r="AL198" s="3">
        <v>5</v>
      </c>
      <c r="AM198" s="3">
        <v>5</v>
      </c>
      <c r="AN198" s="3">
        <v>5</v>
      </c>
      <c r="AO198" s="3">
        <v>5</v>
      </c>
      <c r="AP198" s="3">
        <v>5</v>
      </c>
      <c r="AQ198" s="3">
        <v>5</v>
      </c>
      <c r="AR198" s="3">
        <v>5</v>
      </c>
      <c r="AS198" s="3">
        <v>5</v>
      </c>
      <c r="AT198" s="3">
        <v>5</v>
      </c>
      <c r="AU198" s="3">
        <v>5</v>
      </c>
      <c r="AV198" s="3">
        <v>5</v>
      </c>
      <c r="AW198" s="3">
        <v>5</v>
      </c>
      <c r="AX198" s="3">
        <v>5</v>
      </c>
      <c r="AY198" s="3">
        <v>5</v>
      </c>
      <c r="AZ198" s="3">
        <v>4</v>
      </c>
      <c r="BA198" s="3">
        <v>5</v>
      </c>
      <c r="BB198" s="3">
        <v>4</v>
      </c>
      <c r="BC198" s="3">
        <v>4</v>
      </c>
      <c r="BD198" s="3">
        <v>5</v>
      </c>
      <c r="BE198" s="3">
        <v>4</v>
      </c>
      <c r="BF198" s="3">
        <v>4</v>
      </c>
      <c r="BG198" s="3">
        <v>5</v>
      </c>
      <c r="BH198" s="3">
        <v>5</v>
      </c>
      <c r="BI198" s="3">
        <v>5</v>
      </c>
      <c r="BJ198" s="3">
        <v>5</v>
      </c>
      <c r="BK198" s="3">
        <v>4</v>
      </c>
      <c r="BL198" s="3">
        <v>4</v>
      </c>
      <c r="BM198" s="3">
        <v>4</v>
      </c>
      <c r="BN198" s="3">
        <v>5</v>
      </c>
      <c r="BO198" s="3">
        <v>5</v>
      </c>
      <c r="BP198" s="3" t="s">
        <v>577</v>
      </c>
    </row>
    <row r="199" spans="1:68" ht="22.5" customHeight="1" x14ac:dyDescent="0.25">
      <c r="A199" s="2">
        <v>45975.380929664352</v>
      </c>
      <c r="B199" s="3" t="s">
        <v>578</v>
      </c>
      <c r="C199" s="3" t="s">
        <v>86</v>
      </c>
      <c r="D199" s="3" t="s">
        <v>579</v>
      </c>
      <c r="E199" s="3" t="s">
        <v>77</v>
      </c>
      <c r="F199" s="3" t="s">
        <v>78</v>
      </c>
      <c r="G199" s="3" t="s">
        <v>79</v>
      </c>
      <c r="H199" s="3">
        <v>5</v>
      </c>
      <c r="I199" s="3">
        <v>5</v>
      </c>
      <c r="J199" s="3">
        <v>5</v>
      </c>
      <c r="K199" s="3">
        <v>5</v>
      </c>
      <c r="L199" s="3">
        <v>4</v>
      </c>
      <c r="M199" s="3">
        <v>4</v>
      </c>
      <c r="N199" s="3">
        <v>4</v>
      </c>
      <c r="O199" s="3">
        <v>4</v>
      </c>
      <c r="P199" s="3">
        <v>5</v>
      </c>
      <c r="Q199" s="3">
        <v>4</v>
      </c>
      <c r="R199" s="3">
        <v>4</v>
      </c>
      <c r="S199" s="3">
        <v>5</v>
      </c>
      <c r="T199" s="3">
        <v>4</v>
      </c>
      <c r="U199" s="3">
        <v>5</v>
      </c>
      <c r="V199" s="3">
        <v>4</v>
      </c>
      <c r="W199" s="3">
        <v>4</v>
      </c>
      <c r="X199" s="3">
        <v>3</v>
      </c>
      <c r="Y199" s="3">
        <v>3</v>
      </c>
      <c r="Z199" s="3">
        <v>4</v>
      </c>
      <c r="AA199" s="3">
        <v>4</v>
      </c>
      <c r="AB199" s="3">
        <v>3</v>
      </c>
      <c r="AC199" s="3">
        <v>3</v>
      </c>
      <c r="AD199" s="3">
        <v>4</v>
      </c>
      <c r="AE199" s="3">
        <v>5</v>
      </c>
      <c r="AF199" s="3">
        <v>5</v>
      </c>
      <c r="AG199" s="3">
        <v>4</v>
      </c>
      <c r="AH199" s="3">
        <v>3</v>
      </c>
      <c r="AI199" s="3">
        <v>4</v>
      </c>
      <c r="AJ199" s="3">
        <v>4</v>
      </c>
      <c r="AK199" s="3">
        <v>4</v>
      </c>
      <c r="AL199" s="3">
        <v>4</v>
      </c>
      <c r="AM199" s="3">
        <v>3</v>
      </c>
      <c r="AN199" s="3">
        <v>3</v>
      </c>
      <c r="AO199" s="3">
        <v>4</v>
      </c>
      <c r="AP199" s="3">
        <v>3</v>
      </c>
      <c r="AQ199" s="3">
        <v>4</v>
      </c>
      <c r="AR199" s="3">
        <v>4</v>
      </c>
      <c r="AS199" s="3">
        <v>2</v>
      </c>
      <c r="AT199" s="3">
        <v>3</v>
      </c>
      <c r="AU199" s="3">
        <v>4</v>
      </c>
      <c r="AV199" s="3">
        <v>3</v>
      </c>
      <c r="AW199" s="3">
        <v>4</v>
      </c>
      <c r="AX199" s="3">
        <v>4</v>
      </c>
      <c r="AY199" s="3">
        <v>3</v>
      </c>
      <c r="AZ199" s="3">
        <v>5</v>
      </c>
      <c r="BA199" s="3">
        <v>4</v>
      </c>
      <c r="BB199" s="3">
        <v>4</v>
      </c>
      <c r="BC199" s="3">
        <v>3</v>
      </c>
      <c r="BD199" s="3">
        <v>2</v>
      </c>
      <c r="BE199" s="3">
        <v>2</v>
      </c>
      <c r="BF199" s="3">
        <v>1</v>
      </c>
      <c r="BG199" s="3">
        <v>3</v>
      </c>
      <c r="BH199" s="3">
        <v>3</v>
      </c>
      <c r="BI199" s="3">
        <v>4</v>
      </c>
      <c r="BJ199" s="3">
        <v>5</v>
      </c>
      <c r="BK199" s="3">
        <v>4</v>
      </c>
      <c r="BL199" s="3">
        <v>4</v>
      </c>
      <c r="BM199" s="3">
        <v>4</v>
      </c>
      <c r="BN199" s="3">
        <v>3</v>
      </c>
      <c r="BO199" s="3">
        <v>5</v>
      </c>
      <c r="BP199" s="3" t="s">
        <v>580</v>
      </c>
    </row>
    <row r="200" spans="1:68" ht="22.5" customHeight="1" x14ac:dyDescent="0.25">
      <c r="A200" s="2">
        <v>45975.382094814813</v>
      </c>
      <c r="B200" s="3" t="s">
        <v>581</v>
      </c>
      <c r="C200" s="3" t="s">
        <v>86</v>
      </c>
      <c r="D200" s="3" t="s">
        <v>545</v>
      </c>
      <c r="E200" s="3" t="s">
        <v>119</v>
      </c>
      <c r="F200" s="3" t="s">
        <v>88</v>
      </c>
      <c r="G200" s="3" t="s">
        <v>83</v>
      </c>
      <c r="H200" s="3">
        <v>4</v>
      </c>
      <c r="I200" s="3">
        <v>4</v>
      </c>
      <c r="J200" s="3">
        <v>4</v>
      </c>
      <c r="K200" s="3">
        <v>4</v>
      </c>
      <c r="L200" s="3">
        <v>4</v>
      </c>
      <c r="M200" s="3">
        <v>4</v>
      </c>
      <c r="N200" s="3">
        <v>4</v>
      </c>
      <c r="O200" s="3">
        <v>4</v>
      </c>
      <c r="P200" s="3">
        <v>4</v>
      </c>
      <c r="Q200" s="3">
        <v>4</v>
      </c>
      <c r="R200" s="3">
        <v>4</v>
      </c>
      <c r="S200" s="3">
        <v>4</v>
      </c>
      <c r="T200" s="3">
        <v>4</v>
      </c>
      <c r="U200" s="3">
        <v>4</v>
      </c>
      <c r="V200" s="3">
        <v>4</v>
      </c>
      <c r="W200" s="3">
        <v>4</v>
      </c>
      <c r="X200" s="3">
        <v>4</v>
      </c>
      <c r="Y200" s="3">
        <v>4</v>
      </c>
      <c r="Z200" s="3">
        <v>4</v>
      </c>
      <c r="AA200" s="3">
        <v>4</v>
      </c>
      <c r="AB200" s="3">
        <v>4</v>
      </c>
      <c r="AC200" s="3">
        <v>4</v>
      </c>
      <c r="AD200" s="3">
        <v>4</v>
      </c>
      <c r="AE200" s="3">
        <v>4</v>
      </c>
      <c r="AF200" s="3">
        <v>4</v>
      </c>
      <c r="AG200" s="3">
        <v>4</v>
      </c>
      <c r="AH200" s="3">
        <v>4</v>
      </c>
      <c r="AI200" s="3">
        <v>4</v>
      </c>
      <c r="AJ200" s="3">
        <v>4</v>
      </c>
      <c r="AK200" s="3">
        <v>4</v>
      </c>
      <c r="AL200" s="3">
        <v>4</v>
      </c>
      <c r="AM200" s="3">
        <v>4</v>
      </c>
      <c r="AN200" s="3">
        <v>4</v>
      </c>
      <c r="AO200" s="3">
        <v>4</v>
      </c>
      <c r="AP200" s="3">
        <v>4</v>
      </c>
      <c r="AQ200" s="3">
        <v>4</v>
      </c>
      <c r="AR200" s="3">
        <v>4</v>
      </c>
      <c r="AS200" s="3">
        <v>4</v>
      </c>
      <c r="AT200" s="3">
        <v>4</v>
      </c>
      <c r="AU200" s="3">
        <v>4</v>
      </c>
      <c r="AV200" s="3">
        <v>4</v>
      </c>
      <c r="AW200" s="3">
        <v>4</v>
      </c>
      <c r="AX200" s="3">
        <v>4</v>
      </c>
      <c r="AY200" s="3">
        <v>4</v>
      </c>
      <c r="AZ200" s="3">
        <v>4</v>
      </c>
      <c r="BA200" s="3">
        <v>4</v>
      </c>
      <c r="BB200" s="3">
        <v>4</v>
      </c>
      <c r="BC200" s="3">
        <v>4</v>
      </c>
      <c r="BD200" s="3">
        <v>4</v>
      </c>
      <c r="BE200" s="3">
        <v>4</v>
      </c>
      <c r="BF200" s="3">
        <v>4</v>
      </c>
      <c r="BG200" s="3">
        <v>4</v>
      </c>
      <c r="BH200" s="3">
        <v>4</v>
      </c>
      <c r="BI200" s="3">
        <v>4</v>
      </c>
      <c r="BJ200" s="3">
        <v>4</v>
      </c>
      <c r="BK200" s="3">
        <v>4</v>
      </c>
      <c r="BL200" s="3">
        <v>4</v>
      </c>
      <c r="BM200" s="3">
        <v>4</v>
      </c>
      <c r="BN200" s="3">
        <v>4</v>
      </c>
      <c r="BO200" s="3">
        <v>4</v>
      </c>
      <c r="BP200" s="3" t="s">
        <v>582</v>
      </c>
    </row>
    <row r="201" spans="1:68" ht="22.5" customHeight="1" x14ac:dyDescent="0.25">
      <c r="A201" s="2">
        <v>45975.383732592592</v>
      </c>
      <c r="B201" s="3" t="s">
        <v>583</v>
      </c>
      <c r="C201" s="3" t="s">
        <v>86</v>
      </c>
      <c r="D201" s="3" t="s">
        <v>545</v>
      </c>
      <c r="E201" s="3" t="s">
        <v>77</v>
      </c>
      <c r="F201" s="3" t="s">
        <v>78</v>
      </c>
      <c r="G201" s="3" t="s">
        <v>79</v>
      </c>
      <c r="H201" s="3">
        <v>5</v>
      </c>
      <c r="I201" s="3">
        <v>5</v>
      </c>
      <c r="J201" s="3">
        <v>4</v>
      </c>
      <c r="K201" s="3">
        <v>4</v>
      </c>
      <c r="L201" s="3">
        <v>4</v>
      </c>
      <c r="M201" s="3">
        <v>4</v>
      </c>
      <c r="N201" s="3">
        <v>5</v>
      </c>
      <c r="O201" s="3">
        <v>4</v>
      </c>
      <c r="P201" s="3">
        <v>4</v>
      </c>
      <c r="Q201" s="3">
        <v>5</v>
      </c>
      <c r="R201" s="3">
        <v>5</v>
      </c>
      <c r="S201" s="3">
        <v>5</v>
      </c>
      <c r="T201" s="3">
        <v>5</v>
      </c>
      <c r="U201" s="3">
        <v>5</v>
      </c>
      <c r="V201" s="3">
        <v>4</v>
      </c>
      <c r="W201" s="3">
        <v>4</v>
      </c>
      <c r="X201" s="3">
        <v>4</v>
      </c>
      <c r="Y201" s="3">
        <v>4</v>
      </c>
      <c r="Z201" s="3">
        <v>5</v>
      </c>
      <c r="AA201" s="3">
        <v>4</v>
      </c>
      <c r="AB201" s="3">
        <v>3</v>
      </c>
      <c r="AC201" s="3">
        <v>3</v>
      </c>
      <c r="AD201" s="3">
        <v>4</v>
      </c>
      <c r="AE201" s="3">
        <v>5</v>
      </c>
      <c r="AF201" s="3">
        <v>5</v>
      </c>
      <c r="AG201" s="3">
        <v>4</v>
      </c>
      <c r="AH201" s="3">
        <v>4</v>
      </c>
      <c r="AI201" s="3">
        <v>5</v>
      </c>
      <c r="AJ201" s="3">
        <v>5</v>
      </c>
      <c r="AK201" s="3">
        <v>5</v>
      </c>
      <c r="AL201" s="3">
        <v>5</v>
      </c>
      <c r="AM201" s="3">
        <v>5</v>
      </c>
      <c r="AN201" s="3">
        <v>4</v>
      </c>
      <c r="AO201" s="3">
        <v>4</v>
      </c>
      <c r="AP201" s="3">
        <v>4</v>
      </c>
      <c r="AQ201" s="3">
        <v>4</v>
      </c>
      <c r="AR201" s="3">
        <v>4</v>
      </c>
      <c r="AS201" s="3">
        <v>4</v>
      </c>
      <c r="AT201" s="3">
        <v>4</v>
      </c>
      <c r="AU201" s="3">
        <v>4</v>
      </c>
      <c r="AV201" s="3">
        <v>4</v>
      </c>
      <c r="AW201" s="3">
        <v>5</v>
      </c>
      <c r="AX201" s="3">
        <v>5</v>
      </c>
      <c r="AY201" s="3">
        <v>5</v>
      </c>
      <c r="AZ201" s="3">
        <v>5</v>
      </c>
      <c r="BA201" s="3">
        <v>4</v>
      </c>
      <c r="BB201" s="3">
        <v>3</v>
      </c>
      <c r="BC201" s="3">
        <v>3</v>
      </c>
      <c r="BD201" s="3">
        <v>2</v>
      </c>
      <c r="BE201" s="3">
        <v>3</v>
      </c>
      <c r="BF201" s="3">
        <v>3</v>
      </c>
      <c r="BG201" s="3">
        <v>4</v>
      </c>
      <c r="BH201" s="3">
        <v>5</v>
      </c>
      <c r="BI201" s="3">
        <v>5</v>
      </c>
      <c r="BJ201" s="3">
        <v>5</v>
      </c>
      <c r="BK201" s="3">
        <v>5</v>
      </c>
      <c r="BL201" s="3">
        <v>5</v>
      </c>
      <c r="BM201" s="3">
        <v>5</v>
      </c>
      <c r="BN201" s="3">
        <v>5</v>
      </c>
      <c r="BO201" s="3">
        <v>5</v>
      </c>
      <c r="BP201" s="3" t="s">
        <v>584</v>
      </c>
    </row>
    <row r="202" spans="1:68" ht="22.5" customHeight="1" x14ac:dyDescent="0.25">
      <c r="A202" s="2">
        <v>45975.393102337963</v>
      </c>
      <c r="B202" s="3" t="s">
        <v>585</v>
      </c>
      <c r="C202" s="3" t="s">
        <v>69</v>
      </c>
      <c r="D202" s="3" t="s">
        <v>586</v>
      </c>
      <c r="E202" s="3" t="s">
        <v>141</v>
      </c>
      <c r="F202" s="3" t="s">
        <v>78</v>
      </c>
      <c r="G202" s="3" t="s">
        <v>83</v>
      </c>
      <c r="H202" s="3">
        <v>4</v>
      </c>
      <c r="I202" s="3">
        <v>4</v>
      </c>
      <c r="J202" s="3">
        <v>4</v>
      </c>
      <c r="K202" s="3">
        <v>4</v>
      </c>
      <c r="L202" s="3">
        <v>4</v>
      </c>
      <c r="M202" s="3">
        <v>4</v>
      </c>
      <c r="N202" s="3">
        <v>4</v>
      </c>
      <c r="O202" s="3">
        <v>4</v>
      </c>
      <c r="P202" s="3">
        <v>4</v>
      </c>
      <c r="Q202" s="3">
        <v>4</v>
      </c>
      <c r="R202" s="3">
        <v>4</v>
      </c>
      <c r="S202" s="3">
        <v>4</v>
      </c>
      <c r="T202" s="3">
        <v>4</v>
      </c>
      <c r="U202" s="3">
        <v>4</v>
      </c>
      <c r="V202" s="3">
        <v>4</v>
      </c>
      <c r="W202" s="3">
        <v>3</v>
      </c>
      <c r="X202" s="3">
        <v>4</v>
      </c>
      <c r="Y202" s="3">
        <v>4</v>
      </c>
      <c r="Z202" s="3">
        <v>3</v>
      </c>
      <c r="AA202" s="3">
        <v>5</v>
      </c>
      <c r="AB202" s="3">
        <v>4</v>
      </c>
      <c r="AC202" s="3">
        <v>4</v>
      </c>
      <c r="AD202" s="3">
        <v>4</v>
      </c>
      <c r="AE202" s="3">
        <v>4</v>
      </c>
      <c r="AF202" s="3">
        <v>3</v>
      </c>
      <c r="AG202" s="3">
        <v>4</v>
      </c>
      <c r="AH202" s="3">
        <v>3</v>
      </c>
      <c r="AI202" s="3">
        <v>4</v>
      </c>
      <c r="AJ202" s="3">
        <v>4</v>
      </c>
      <c r="AK202" s="3">
        <v>4</v>
      </c>
      <c r="AL202" s="3">
        <v>4</v>
      </c>
      <c r="AM202" s="3">
        <v>4</v>
      </c>
      <c r="AN202" s="3">
        <v>4</v>
      </c>
      <c r="AO202" s="3">
        <v>4</v>
      </c>
      <c r="AP202" s="3">
        <v>4</v>
      </c>
      <c r="AQ202" s="3">
        <v>3</v>
      </c>
      <c r="AR202" s="3">
        <v>4</v>
      </c>
      <c r="AS202" s="3">
        <v>3</v>
      </c>
      <c r="AT202" s="3">
        <v>4</v>
      </c>
      <c r="AU202" s="3">
        <v>4</v>
      </c>
      <c r="AV202" s="3">
        <v>4</v>
      </c>
      <c r="AW202" s="3">
        <v>4</v>
      </c>
      <c r="AX202" s="3">
        <v>4</v>
      </c>
      <c r="AY202" s="3">
        <v>4</v>
      </c>
      <c r="AZ202" s="3">
        <v>4</v>
      </c>
      <c r="BA202" s="3">
        <v>3</v>
      </c>
      <c r="BB202" s="3">
        <v>3</v>
      </c>
      <c r="BC202" s="3">
        <v>3</v>
      </c>
      <c r="BD202" s="3">
        <v>3</v>
      </c>
      <c r="BE202" s="3">
        <v>3</v>
      </c>
      <c r="BF202" s="3">
        <v>3</v>
      </c>
      <c r="BG202" s="3">
        <v>3</v>
      </c>
      <c r="BH202" s="3">
        <v>3</v>
      </c>
      <c r="BI202" s="3">
        <v>3</v>
      </c>
      <c r="BJ202" s="3">
        <v>3</v>
      </c>
      <c r="BK202" s="3">
        <v>3</v>
      </c>
      <c r="BL202" s="3">
        <v>3</v>
      </c>
      <c r="BM202" s="3">
        <v>3</v>
      </c>
      <c r="BN202" s="3">
        <v>3</v>
      </c>
      <c r="BO202" s="3">
        <v>3</v>
      </c>
      <c r="BP202" s="3" t="s">
        <v>587</v>
      </c>
    </row>
    <row r="203" spans="1:68" ht="22.5" customHeight="1" x14ac:dyDescent="0.25">
      <c r="A203" s="2">
        <v>45975.39440287037</v>
      </c>
      <c r="B203" s="3" t="s">
        <v>588</v>
      </c>
      <c r="C203" s="3" t="s">
        <v>86</v>
      </c>
      <c r="D203" s="3" t="s">
        <v>589</v>
      </c>
      <c r="E203" s="3" t="s">
        <v>119</v>
      </c>
      <c r="F203" s="3" t="s">
        <v>103</v>
      </c>
      <c r="G203" s="3" t="s">
        <v>73</v>
      </c>
      <c r="H203" s="3">
        <v>5</v>
      </c>
      <c r="I203" s="3">
        <v>5</v>
      </c>
      <c r="J203" s="3">
        <v>5</v>
      </c>
      <c r="K203" s="3">
        <v>5</v>
      </c>
      <c r="L203" s="3">
        <v>5</v>
      </c>
      <c r="M203" s="3">
        <v>4</v>
      </c>
      <c r="N203" s="3">
        <v>5</v>
      </c>
      <c r="O203" s="3">
        <v>5</v>
      </c>
      <c r="P203" s="3">
        <v>5</v>
      </c>
      <c r="Q203" s="3">
        <v>5</v>
      </c>
      <c r="R203" s="3">
        <v>5</v>
      </c>
      <c r="S203" s="3">
        <v>5</v>
      </c>
      <c r="T203" s="3">
        <v>5</v>
      </c>
      <c r="U203" s="3">
        <v>5</v>
      </c>
      <c r="V203" s="3">
        <v>5</v>
      </c>
      <c r="W203" s="3">
        <v>5</v>
      </c>
      <c r="X203" s="3">
        <v>2</v>
      </c>
      <c r="Y203" s="3">
        <v>5</v>
      </c>
      <c r="Z203" s="3">
        <v>5</v>
      </c>
      <c r="AA203" s="3">
        <v>3</v>
      </c>
      <c r="AB203" s="3">
        <v>3</v>
      </c>
      <c r="AC203" s="3">
        <v>3</v>
      </c>
      <c r="AD203" s="3">
        <v>5</v>
      </c>
      <c r="AE203" s="3">
        <v>4</v>
      </c>
      <c r="AF203" s="3">
        <v>4</v>
      </c>
      <c r="AG203" s="3">
        <v>4</v>
      </c>
      <c r="AH203" s="3">
        <v>4</v>
      </c>
      <c r="AI203" s="3">
        <v>5</v>
      </c>
      <c r="AJ203" s="3">
        <v>5</v>
      </c>
      <c r="AK203" s="3">
        <v>5</v>
      </c>
      <c r="AL203" s="3">
        <v>5</v>
      </c>
      <c r="AM203" s="3">
        <v>5</v>
      </c>
      <c r="AN203" s="3">
        <v>4</v>
      </c>
      <c r="AO203" s="3">
        <v>4</v>
      </c>
      <c r="AP203" s="3">
        <v>4</v>
      </c>
      <c r="AQ203" s="3">
        <v>5</v>
      </c>
      <c r="AR203" s="3">
        <v>4</v>
      </c>
      <c r="AS203" s="3">
        <v>2</v>
      </c>
      <c r="AT203" s="3">
        <v>5</v>
      </c>
      <c r="AU203" s="3">
        <v>5</v>
      </c>
      <c r="AV203" s="3">
        <v>5</v>
      </c>
      <c r="AW203" s="3">
        <v>5</v>
      </c>
      <c r="AX203" s="3">
        <v>5</v>
      </c>
      <c r="AY203" s="3">
        <v>5</v>
      </c>
      <c r="AZ203" s="3">
        <v>5</v>
      </c>
      <c r="BA203" s="3">
        <v>4</v>
      </c>
      <c r="BB203" s="3">
        <v>4</v>
      </c>
      <c r="BC203" s="3">
        <v>4</v>
      </c>
      <c r="BD203" s="3">
        <v>3</v>
      </c>
      <c r="BE203" s="3">
        <v>3</v>
      </c>
      <c r="BF203" s="3">
        <v>3</v>
      </c>
      <c r="BG203" s="3">
        <v>4</v>
      </c>
      <c r="BH203" s="3">
        <v>4</v>
      </c>
      <c r="BI203" s="3">
        <v>5</v>
      </c>
      <c r="BJ203" s="3">
        <v>5</v>
      </c>
      <c r="BK203" s="3">
        <v>5</v>
      </c>
      <c r="BL203" s="3">
        <v>5</v>
      </c>
      <c r="BM203" s="3">
        <v>5</v>
      </c>
      <c r="BN203" s="3">
        <v>4</v>
      </c>
      <c r="BO203" s="3">
        <v>5</v>
      </c>
      <c r="BP203" s="3" t="s">
        <v>590</v>
      </c>
    </row>
    <row r="204" spans="1:68" ht="22.5" customHeight="1" x14ac:dyDescent="0.25">
      <c r="A204" s="2">
        <v>45975.400425775464</v>
      </c>
      <c r="B204" s="3" t="s">
        <v>591</v>
      </c>
      <c r="C204" s="3" t="s">
        <v>69</v>
      </c>
      <c r="D204" s="3" t="s">
        <v>567</v>
      </c>
      <c r="E204" s="3" t="s">
        <v>77</v>
      </c>
      <c r="F204" s="3" t="s">
        <v>78</v>
      </c>
      <c r="G204" s="3" t="s">
        <v>83</v>
      </c>
      <c r="H204" s="3">
        <v>5</v>
      </c>
      <c r="I204" s="3">
        <v>5</v>
      </c>
      <c r="J204" s="3">
        <v>5</v>
      </c>
      <c r="K204" s="3">
        <v>5</v>
      </c>
      <c r="L204" s="3">
        <v>5</v>
      </c>
      <c r="M204" s="3">
        <v>5</v>
      </c>
      <c r="N204" s="3">
        <v>5</v>
      </c>
      <c r="O204" s="3">
        <v>5</v>
      </c>
      <c r="P204" s="3">
        <v>5</v>
      </c>
      <c r="Q204" s="3">
        <v>4</v>
      </c>
      <c r="R204" s="3">
        <v>4</v>
      </c>
      <c r="S204" s="3">
        <v>4</v>
      </c>
      <c r="T204" s="3">
        <v>4</v>
      </c>
      <c r="U204" s="3">
        <v>4</v>
      </c>
      <c r="V204" s="3">
        <v>4</v>
      </c>
      <c r="W204" s="3">
        <v>4</v>
      </c>
      <c r="X204" s="3">
        <v>3</v>
      </c>
      <c r="Y204" s="3">
        <v>3</v>
      </c>
      <c r="Z204" s="3">
        <v>4</v>
      </c>
      <c r="AA204" s="3">
        <v>4</v>
      </c>
      <c r="AB204" s="3">
        <v>4</v>
      </c>
      <c r="AC204" s="3">
        <v>4</v>
      </c>
      <c r="AD204" s="3">
        <v>5</v>
      </c>
      <c r="AE204" s="3">
        <v>4</v>
      </c>
      <c r="AF204" s="3">
        <v>4</v>
      </c>
      <c r="AG204" s="3">
        <v>4</v>
      </c>
      <c r="AH204" s="3">
        <v>4</v>
      </c>
      <c r="AI204" s="3">
        <v>4</v>
      </c>
      <c r="AJ204" s="3">
        <v>4</v>
      </c>
      <c r="AK204" s="3">
        <v>4</v>
      </c>
      <c r="AL204" s="3">
        <v>4</v>
      </c>
      <c r="AM204" s="3">
        <v>4</v>
      </c>
      <c r="AN204" s="3">
        <v>5</v>
      </c>
      <c r="AO204" s="3">
        <v>5</v>
      </c>
      <c r="AP204" s="3">
        <v>5</v>
      </c>
      <c r="AQ204" s="3">
        <v>5</v>
      </c>
      <c r="AR204" s="3">
        <v>5</v>
      </c>
      <c r="AS204" s="3">
        <v>5</v>
      </c>
      <c r="AT204" s="3">
        <v>5</v>
      </c>
      <c r="AU204" s="3">
        <v>5</v>
      </c>
      <c r="AV204" s="3">
        <v>5</v>
      </c>
      <c r="AW204" s="3">
        <v>4</v>
      </c>
      <c r="AX204" s="3">
        <v>4</v>
      </c>
      <c r="AY204" s="3">
        <v>4</v>
      </c>
      <c r="AZ204" s="3">
        <v>4</v>
      </c>
      <c r="BA204" s="3">
        <v>3</v>
      </c>
      <c r="BB204" s="3">
        <v>3</v>
      </c>
      <c r="BC204" s="3">
        <v>3</v>
      </c>
      <c r="BD204" s="3">
        <v>3</v>
      </c>
      <c r="BE204" s="3">
        <v>4</v>
      </c>
      <c r="BF204" s="3">
        <v>4</v>
      </c>
      <c r="BG204" s="3">
        <v>4</v>
      </c>
      <c r="BH204" s="3">
        <v>4</v>
      </c>
      <c r="BI204" s="3">
        <v>4</v>
      </c>
      <c r="BJ204" s="3">
        <v>4</v>
      </c>
      <c r="BK204" s="3">
        <v>4</v>
      </c>
      <c r="BL204" s="3">
        <v>4</v>
      </c>
      <c r="BM204" s="3">
        <v>4</v>
      </c>
      <c r="BN204" s="3">
        <v>4</v>
      </c>
      <c r="BO204" s="3">
        <v>4</v>
      </c>
      <c r="BP204" s="3" t="s">
        <v>592</v>
      </c>
    </row>
    <row r="205" spans="1:68" ht="22.5" customHeight="1" x14ac:dyDescent="0.25">
      <c r="A205" s="2">
        <v>45975.404504131948</v>
      </c>
      <c r="B205" s="3" t="s">
        <v>593</v>
      </c>
      <c r="C205" s="3" t="s">
        <v>86</v>
      </c>
      <c r="D205" s="3" t="s">
        <v>594</v>
      </c>
      <c r="E205" s="3" t="s">
        <v>119</v>
      </c>
      <c r="F205" s="3" t="s">
        <v>103</v>
      </c>
      <c r="G205" s="3" t="s">
        <v>83</v>
      </c>
      <c r="H205" s="3">
        <v>5</v>
      </c>
      <c r="I205" s="3">
        <v>5</v>
      </c>
      <c r="J205" s="3">
        <v>5</v>
      </c>
      <c r="K205" s="3">
        <v>5</v>
      </c>
      <c r="L205" s="3">
        <v>5</v>
      </c>
      <c r="M205" s="3">
        <v>4</v>
      </c>
      <c r="N205" s="3">
        <v>4</v>
      </c>
      <c r="O205" s="3">
        <v>4</v>
      </c>
      <c r="P205" s="3">
        <v>4</v>
      </c>
      <c r="Q205" s="3">
        <v>4</v>
      </c>
      <c r="R205" s="3">
        <v>4</v>
      </c>
      <c r="S205" s="3">
        <v>5</v>
      </c>
      <c r="T205" s="3">
        <v>5</v>
      </c>
      <c r="U205" s="3">
        <v>5</v>
      </c>
      <c r="V205" s="3">
        <v>4</v>
      </c>
      <c r="W205" s="3">
        <v>4</v>
      </c>
      <c r="X205" s="3">
        <v>4</v>
      </c>
      <c r="Y205" s="3">
        <v>4</v>
      </c>
      <c r="Z205" s="3">
        <v>5</v>
      </c>
      <c r="AA205" s="3">
        <v>5</v>
      </c>
      <c r="AB205" s="3">
        <v>5</v>
      </c>
      <c r="AC205" s="3">
        <v>4</v>
      </c>
      <c r="AD205" s="3">
        <v>5</v>
      </c>
      <c r="AE205" s="3">
        <v>4</v>
      </c>
      <c r="AF205" s="3">
        <v>4</v>
      </c>
      <c r="AG205" s="3">
        <v>4</v>
      </c>
      <c r="AH205" s="3">
        <v>4</v>
      </c>
      <c r="AI205" s="3">
        <v>2</v>
      </c>
      <c r="AJ205" s="3">
        <v>3</v>
      </c>
      <c r="AK205" s="3">
        <v>3</v>
      </c>
      <c r="AL205" s="3">
        <v>4</v>
      </c>
      <c r="AM205" s="3">
        <v>2</v>
      </c>
      <c r="AN205" s="3">
        <v>3</v>
      </c>
      <c r="AO205" s="3">
        <v>3</v>
      </c>
      <c r="AP205" s="3">
        <v>3</v>
      </c>
      <c r="AQ205" s="3">
        <v>3</v>
      </c>
      <c r="AR205" s="3">
        <v>2</v>
      </c>
      <c r="AS205" s="3">
        <v>3</v>
      </c>
      <c r="AT205" s="3">
        <v>3</v>
      </c>
      <c r="AU205" s="3">
        <v>3</v>
      </c>
      <c r="AV205" s="3">
        <v>3</v>
      </c>
      <c r="AW205" s="3">
        <v>4</v>
      </c>
      <c r="AX205" s="3">
        <v>4</v>
      </c>
      <c r="AY205" s="3">
        <v>4</v>
      </c>
      <c r="AZ205" s="3">
        <v>3</v>
      </c>
      <c r="BA205" s="3">
        <v>4</v>
      </c>
      <c r="BB205" s="3">
        <v>4</v>
      </c>
      <c r="BC205" s="3">
        <v>4</v>
      </c>
      <c r="BD205" s="3">
        <v>4</v>
      </c>
      <c r="BE205" s="3">
        <v>3</v>
      </c>
      <c r="BF205" s="3">
        <v>3</v>
      </c>
      <c r="BG205" s="3">
        <v>4</v>
      </c>
      <c r="BH205" s="3">
        <v>4</v>
      </c>
      <c r="BI205" s="3">
        <v>5</v>
      </c>
      <c r="BJ205" s="3">
        <v>4</v>
      </c>
      <c r="BK205" s="3">
        <v>5</v>
      </c>
      <c r="BL205" s="3">
        <v>4</v>
      </c>
      <c r="BM205" s="3">
        <v>4</v>
      </c>
      <c r="BN205" s="3">
        <v>3</v>
      </c>
      <c r="BO205" s="3">
        <v>4</v>
      </c>
      <c r="BP205" s="3" t="s">
        <v>595</v>
      </c>
    </row>
    <row r="206" spans="1:68" ht="22.5" customHeight="1" x14ac:dyDescent="0.25">
      <c r="A206" s="2">
        <v>45975.417606793984</v>
      </c>
      <c r="B206" s="3" t="s">
        <v>596</v>
      </c>
      <c r="C206" s="3" t="s">
        <v>86</v>
      </c>
      <c r="D206" s="3" t="s">
        <v>597</v>
      </c>
      <c r="E206" s="3" t="s">
        <v>77</v>
      </c>
      <c r="F206" s="3" t="s">
        <v>78</v>
      </c>
      <c r="G206" s="3" t="s">
        <v>83</v>
      </c>
      <c r="H206" s="3">
        <v>5</v>
      </c>
      <c r="I206" s="3">
        <v>4</v>
      </c>
      <c r="J206" s="3">
        <v>4</v>
      </c>
      <c r="K206" s="3">
        <v>4</v>
      </c>
      <c r="L206" s="3">
        <v>4</v>
      </c>
      <c r="M206" s="3">
        <v>5</v>
      </c>
      <c r="N206" s="3">
        <v>5</v>
      </c>
      <c r="O206" s="3">
        <v>4</v>
      </c>
      <c r="P206" s="3">
        <v>4</v>
      </c>
      <c r="Q206" s="3">
        <v>4</v>
      </c>
      <c r="R206" s="3">
        <v>4</v>
      </c>
      <c r="S206" s="3">
        <v>4</v>
      </c>
      <c r="T206" s="3">
        <v>4</v>
      </c>
      <c r="U206" s="3">
        <v>4</v>
      </c>
      <c r="V206" s="3">
        <v>4</v>
      </c>
      <c r="W206" s="3">
        <v>4</v>
      </c>
      <c r="X206" s="3">
        <v>3</v>
      </c>
      <c r="Y206" s="3">
        <v>4</v>
      </c>
      <c r="Z206" s="3">
        <v>4</v>
      </c>
      <c r="AA206" s="3">
        <v>3</v>
      </c>
      <c r="AB206" s="3">
        <v>3</v>
      </c>
      <c r="AC206" s="3">
        <v>2</v>
      </c>
      <c r="AD206" s="3">
        <v>3</v>
      </c>
      <c r="AE206" s="3">
        <v>4</v>
      </c>
      <c r="AF206" s="3">
        <v>4</v>
      </c>
      <c r="AG206" s="3">
        <v>4</v>
      </c>
      <c r="AH206" s="3">
        <v>4</v>
      </c>
      <c r="AI206" s="3">
        <v>4</v>
      </c>
      <c r="AJ206" s="3">
        <v>4</v>
      </c>
      <c r="AK206" s="3">
        <v>4</v>
      </c>
      <c r="AL206" s="3">
        <v>4</v>
      </c>
      <c r="AM206" s="3">
        <v>4</v>
      </c>
      <c r="AN206" s="3">
        <v>4</v>
      </c>
      <c r="AO206" s="3">
        <v>4</v>
      </c>
      <c r="AP206" s="3">
        <v>4</v>
      </c>
      <c r="AQ206" s="3">
        <v>4</v>
      </c>
      <c r="AR206" s="3">
        <v>4</v>
      </c>
      <c r="AS206" s="3">
        <v>4</v>
      </c>
      <c r="AT206" s="3">
        <v>4</v>
      </c>
      <c r="AU206" s="3">
        <v>4</v>
      </c>
      <c r="AV206" s="3">
        <v>4</v>
      </c>
      <c r="AW206" s="3">
        <v>4</v>
      </c>
      <c r="AX206" s="3">
        <v>5</v>
      </c>
      <c r="AY206" s="3">
        <v>4</v>
      </c>
      <c r="AZ206" s="3">
        <v>4</v>
      </c>
      <c r="BA206" s="3">
        <v>4</v>
      </c>
      <c r="BB206" s="3">
        <v>2</v>
      </c>
      <c r="BC206" s="3">
        <v>3</v>
      </c>
      <c r="BD206" s="3">
        <v>2</v>
      </c>
      <c r="BE206" s="3">
        <v>3</v>
      </c>
      <c r="BF206" s="3">
        <v>3</v>
      </c>
      <c r="BG206" s="3">
        <v>4</v>
      </c>
      <c r="BH206" s="3">
        <v>2</v>
      </c>
      <c r="BI206" s="3">
        <v>3</v>
      </c>
      <c r="BJ206" s="3">
        <v>4</v>
      </c>
      <c r="BK206" s="3">
        <v>4</v>
      </c>
      <c r="BL206" s="3">
        <v>4</v>
      </c>
      <c r="BM206" s="3">
        <v>4</v>
      </c>
      <c r="BN206" s="3">
        <v>4</v>
      </c>
      <c r="BO206" s="3">
        <v>4</v>
      </c>
      <c r="BP206" s="3" t="s">
        <v>598</v>
      </c>
    </row>
    <row r="207" spans="1:68" ht="22.5" customHeight="1" x14ac:dyDescent="0.25">
      <c r="A207" s="2">
        <v>45975.492149375001</v>
      </c>
      <c r="B207" s="3" t="s">
        <v>599</v>
      </c>
      <c r="C207" s="3" t="s">
        <v>69</v>
      </c>
      <c r="D207" s="3" t="s">
        <v>600</v>
      </c>
      <c r="E207" s="3" t="s">
        <v>87</v>
      </c>
      <c r="F207" s="3" t="s">
        <v>82</v>
      </c>
      <c r="G207" s="3" t="s">
        <v>73</v>
      </c>
      <c r="H207" s="3">
        <v>5</v>
      </c>
      <c r="I207" s="3">
        <v>5</v>
      </c>
      <c r="J207" s="3">
        <v>5</v>
      </c>
      <c r="K207" s="3">
        <v>5</v>
      </c>
      <c r="L207" s="3">
        <v>5</v>
      </c>
      <c r="M207" s="3">
        <v>5</v>
      </c>
      <c r="N207" s="3">
        <v>5</v>
      </c>
      <c r="O207" s="3">
        <v>5</v>
      </c>
      <c r="P207" s="3">
        <v>5</v>
      </c>
      <c r="Q207" s="3">
        <v>5</v>
      </c>
      <c r="R207" s="3">
        <v>5</v>
      </c>
      <c r="S207" s="3">
        <v>5</v>
      </c>
      <c r="T207" s="3">
        <v>5</v>
      </c>
      <c r="U207" s="3">
        <v>5</v>
      </c>
      <c r="V207" s="3">
        <v>5</v>
      </c>
      <c r="W207" s="3">
        <v>5</v>
      </c>
      <c r="X207" s="3">
        <v>5</v>
      </c>
      <c r="Y207" s="3">
        <v>5</v>
      </c>
      <c r="Z207" s="3">
        <v>5</v>
      </c>
      <c r="AA207" s="3">
        <v>5</v>
      </c>
      <c r="AB207" s="3">
        <v>5</v>
      </c>
      <c r="AC207" s="3">
        <v>5</v>
      </c>
      <c r="AD207" s="3">
        <v>5</v>
      </c>
      <c r="AE207" s="3">
        <v>5</v>
      </c>
      <c r="AF207" s="3">
        <v>5</v>
      </c>
      <c r="AG207" s="3">
        <v>5</v>
      </c>
      <c r="AH207" s="3">
        <v>5</v>
      </c>
      <c r="AI207" s="3">
        <v>3</v>
      </c>
      <c r="AJ207" s="3">
        <v>5</v>
      </c>
      <c r="AK207" s="3">
        <v>3</v>
      </c>
      <c r="AL207" s="3">
        <v>3</v>
      </c>
      <c r="AM207" s="3">
        <v>3</v>
      </c>
      <c r="AN207" s="3">
        <v>4</v>
      </c>
      <c r="AO207" s="3">
        <v>4</v>
      </c>
      <c r="AP207" s="3">
        <v>4</v>
      </c>
      <c r="AQ207" s="3">
        <v>4</v>
      </c>
      <c r="AR207" s="3">
        <v>4</v>
      </c>
      <c r="AS207" s="3">
        <v>3</v>
      </c>
      <c r="AT207" s="3">
        <v>3</v>
      </c>
      <c r="AU207" s="3">
        <v>3</v>
      </c>
      <c r="AV207" s="3">
        <v>3</v>
      </c>
      <c r="AW207" s="3">
        <v>5</v>
      </c>
      <c r="AX207" s="3">
        <v>5</v>
      </c>
      <c r="AY207" s="3">
        <v>5</v>
      </c>
      <c r="AZ207" s="3">
        <v>5</v>
      </c>
      <c r="BA207" s="3">
        <v>5</v>
      </c>
      <c r="BB207" s="3">
        <v>5</v>
      </c>
      <c r="BC207" s="3">
        <v>5</v>
      </c>
      <c r="BD207" s="3">
        <v>5</v>
      </c>
      <c r="BE207" s="3">
        <v>5</v>
      </c>
      <c r="BF207" s="3">
        <v>5</v>
      </c>
      <c r="BG207" s="3">
        <v>5</v>
      </c>
      <c r="BH207" s="3">
        <v>5</v>
      </c>
      <c r="BI207" s="3">
        <v>5</v>
      </c>
      <c r="BJ207" s="3">
        <v>4</v>
      </c>
      <c r="BK207" s="3">
        <v>5</v>
      </c>
      <c r="BL207" s="3">
        <v>5</v>
      </c>
      <c r="BM207" s="3">
        <v>5</v>
      </c>
      <c r="BN207" s="3">
        <v>3</v>
      </c>
      <c r="BO207" s="3">
        <v>3</v>
      </c>
      <c r="BP207" s="3" t="s">
        <v>601</v>
      </c>
    </row>
    <row r="208" spans="1:68" ht="22.5" customHeight="1" x14ac:dyDescent="0.25">
      <c r="A208" s="2">
        <v>45975.501134861115</v>
      </c>
      <c r="B208" s="3" t="s">
        <v>602</v>
      </c>
      <c r="C208" s="3" t="s">
        <v>69</v>
      </c>
      <c r="D208" s="3" t="s">
        <v>493</v>
      </c>
      <c r="E208" s="3" t="s">
        <v>77</v>
      </c>
      <c r="F208" s="3" t="s">
        <v>88</v>
      </c>
      <c r="G208" s="3" t="s">
        <v>83</v>
      </c>
      <c r="H208" s="3">
        <v>4</v>
      </c>
      <c r="I208" s="3">
        <v>4</v>
      </c>
      <c r="J208" s="3">
        <v>3</v>
      </c>
      <c r="K208" s="3">
        <v>4</v>
      </c>
      <c r="L208" s="3">
        <v>5</v>
      </c>
      <c r="M208" s="3">
        <v>4</v>
      </c>
      <c r="N208" s="3">
        <v>4</v>
      </c>
      <c r="O208" s="3">
        <v>3</v>
      </c>
      <c r="P208" s="3">
        <v>4</v>
      </c>
      <c r="Q208" s="3">
        <v>5</v>
      </c>
      <c r="R208" s="3">
        <v>4</v>
      </c>
      <c r="S208" s="3">
        <v>4</v>
      </c>
      <c r="T208" s="3">
        <v>3</v>
      </c>
      <c r="U208" s="3">
        <v>4</v>
      </c>
      <c r="V208" s="3">
        <v>4</v>
      </c>
      <c r="W208" s="3">
        <v>4</v>
      </c>
      <c r="X208" s="3">
        <v>4</v>
      </c>
      <c r="Y208" s="3">
        <v>4</v>
      </c>
      <c r="Z208" s="3">
        <v>4</v>
      </c>
      <c r="AA208" s="3">
        <v>3</v>
      </c>
      <c r="AB208" s="3">
        <v>2</v>
      </c>
      <c r="AC208" s="3">
        <v>3</v>
      </c>
      <c r="AD208" s="3">
        <v>3</v>
      </c>
      <c r="AE208" s="3">
        <v>3</v>
      </c>
      <c r="AF208" s="3">
        <v>4</v>
      </c>
      <c r="AG208" s="3">
        <v>4</v>
      </c>
      <c r="AH208" s="3">
        <v>3</v>
      </c>
      <c r="AI208" s="3">
        <v>3</v>
      </c>
      <c r="AJ208" s="3">
        <v>3</v>
      </c>
      <c r="AK208" s="3">
        <v>4</v>
      </c>
      <c r="AL208" s="3">
        <v>4</v>
      </c>
      <c r="AM208" s="3">
        <v>3</v>
      </c>
      <c r="AN208" s="3">
        <v>3</v>
      </c>
      <c r="AO208" s="3">
        <v>4</v>
      </c>
      <c r="AP208" s="3">
        <v>3</v>
      </c>
      <c r="AQ208" s="3">
        <v>4</v>
      </c>
      <c r="AR208" s="3">
        <v>4</v>
      </c>
      <c r="AS208" s="3">
        <v>5</v>
      </c>
      <c r="AT208" s="3">
        <v>4</v>
      </c>
      <c r="AU208" s="3">
        <v>4</v>
      </c>
      <c r="AV208" s="3">
        <v>3</v>
      </c>
      <c r="AW208" s="3">
        <v>3</v>
      </c>
      <c r="AX208" s="3">
        <v>3</v>
      </c>
      <c r="AY208" s="3">
        <v>4</v>
      </c>
      <c r="AZ208" s="3">
        <v>4</v>
      </c>
      <c r="BA208" s="3">
        <v>3</v>
      </c>
      <c r="BB208" s="3">
        <v>2</v>
      </c>
      <c r="BC208" s="3">
        <v>3</v>
      </c>
      <c r="BD208" s="3">
        <v>4</v>
      </c>
      <c r="BE208" s="3">
        <v>3</v>
      </c>
      <c r="BF208" s="3">
        <v>3</v>
      </c>
      <c r="BG208" s="3">
        <v>3</v>
      </c>
      <c r="BH208" s="3">
        <v>4</v>
      </c>
      <c r="BI208" s="3">
        <v>4</v>
      </c>
      <c r="BJ208" s="3">
        <v>3</v>
      </c>
      <c r="BK208" s="3">
        <v>3</v>
      </c>
      <c r="BL208" s="3">
        <v>4</v>
      </c>
      <c r="BM208" s="3">
        <v>3</v>
      </c>
      <c r="BN208" s="3">
        <v>4</v>
      </c>
      <c r="BO208" s="3">
        <v>4</v>
      </c>
      <c r="BP208" s="3" t="s">
        <v>603</v>
      </c>
    </row>
    <row r="209" spans="1:68" ht="22.5" customHeight="1" x14ac:dyDescent="0.25">
      <c r="A209" s="2">
        <v>45975.583952986111</v>
      </c>
      <c r="B209" s="3" t="s">
        <v>604</v>
      </c>
      <c r="C209" s="3" t="s">
        <v>86</v>
      </c>
      <c r="D209" s="3" t="s">
        <v>605</v>
      </c>
      <c r="E209" s="3" t="s">
        <v>77</v>
      </c>
      <c r="F209" s="3" t="s">
        <v>78</v>
      </c>
      <c r="G209" s="3" t="s">
        <v>79</v>
      </c>
      <c r="H209" s="3">
        <v>5</v>
      </c>
      <c r="I209" s="3">
        <v>4</v>
      </c>
      <c r="J209" s="3">
        <v>4</v>
      </c>
      <c r="K209" s="3">
        <v>3</v>
      </c>
      <c r="L209" s="3">
        <v>3</v>
      </c>
      <c r="M209" s="3">
        <v>4</v>
      </c>
      <c r="N209" s="3">
        <v>5</v>
      </c>
      <c r="O209" s="3">
        <v>4</v>
      </c>
      <c r="P209" s="3">
        <v>5</v>
      </c>
      <c r="Q209" s="3">
        <v>5</v>
      </c>
      <c r="R209" s="3">
        <v>4</v>
      </c>
      <c r="S209" s="3">
        <v>4</v>
      </c>
      <c r="T209" s="3">
        <v>5</v>
      </c>
      <c r="U209" s="3">
        <v>5</v>
      </c>
      <c r="V209" s="3">
        <v>5</v>
      </c>
      <c r="W209" s="3">
        <v>5</v>
      </c>
      <c r="X209" s="3">
        <v>4</v>
      </c>
      <c r="Y209" s="3">
        <v>4</v>
      </c>
      <c r="Z209" s="3">
        <v>5</v>
      </c>
      <c r="AA209" s="3">
        <v>5</v>
      </c>
      <c r="AB209" s="3">
        <v>5</v>
      </c>
      <c r="AC209" s="3">
        <v>5</v>
      </c>
      <c r="AD209" s="3">
        <v>4</v>
      </c>
      <c r="AE209" s="3">
        <v>5</v>
      </c>
      <c r="AF209" s="3">
        <v>4</v>
      </c>
      <c r="AG209" s="3">
        <v>4</v>
      </c>
      <c r="AH209" s="3">
        <v>4</v>
      </c>
      <c r="AI209" s="3">
        <v>5</v>
      </c>
      <c r="AJ209" s="3">
        <v>5</v>
      </c>
      <c r="AK209" s="3">
        <v>5</v>
      </c>
      <c r="AL209" s="3">
        <v>4</v>
      </c>
      <c r="AM209" s="3">
        <v>4</v>
      </c>
      <c r="AN209" s="3">
        <v>5</v>
      </c>
      <c r="AO209" s="3">
        <v>5</v>
      </c>
      <c r="AP209" s="3">
        <v>4</v>
      </c>
      <c r="AQ209" s="3">
        <v>5</v>
      </c>
      <c r="AR209" s="3">
        <v>5</v>
      </c>
      <c r="AS209" s="3">
        <v>5</v>
      </c>
      <c r="AT209" s="3">
        <v>5</v>
      </c>
      <c r="AU209" s="3">
        <v>4</v>
      </c>
      <c r="AV209" s="3">
        <v>5</v>
      </c>
      <c r="AW209" s="3">
        <v>5</v>
      </c>
      <c r="AX209" s="3">
        <v>4</v>
      </c>
      <c r="AY209" s="3">
        <v>4</v>
      </c>
      <c r="AZ209" s="3">
        <v>5</v>
      </c>
      <c r="BA209" s="3">
        <v>5</v>
      </c>
      <c r="BB209" s="3">
        <v>5</v>
      </c>
      <c r="BC209" s="3">
        <v>4</v>
      </c>
      <c r="BD209" s="3">
        <v>4</v>
      </c>
      <c r="BE209" s="3">
        <v>4</v>
      </c>
      <c r="BF209" s="3">
        <v>5</v>
      </c>
      <c r="BG209" s="3">
        <v>5</v>
      </c>
      <c r="BH209" s="3">
        <v>5</v>
      </c>
      <c r="BI209" s="3">
        <v>5</v>
      </c>
      <c r="BJ209" s="3">
        <v>4</v>
      </c>
      <c r="BK209" s="3">
        <v>5</v>
      </c>
      <c r="BL209" s="3">
        <v>5</v>
      </c>
      <c r="BM209" s="3">
        <v>4</v>
      </c>
      <c r="BN209" s="3">
        <v>5</v>
      </c>
      <c r="BO209" s="3">
        <v>5</v>
      </c>
      <c r="BP209" s="3" t="s">
        <v>606</v>
      </c>
    </row>
    <row r="210" spans="1:68" ht="22.5" customHeight="1" x14ac:dyDescent="0.25">
      <c r="A210" s="2">
        <v>45975.586363449074</v>
      </c>
      <c r="B210" s="3" t="s">
        <v>607</v>
      </c>
      <c r="C210" s="3" t="s">
        <v>86</v>
      </c>
      <c r="D210" s="3" t="s">
        <v>594</v>
      </c>
      <c r="E210" s="3" t="s">
        <v>77</v>
      </c>
      <c r="F210" s="3" t="s">
        <v>103</v>
      </c>
      <c r="G210" s="3" t="s">
        <v>73</v>
      </c>
      <c r="H210" s="3">
        <v>5</v>
      </c>
      <c r="I210" s="3">
        <v>5</v>
      </c>
      <c r="J210" s="3">
        <v>5</v>
      </c>
      <c r="K210" s="3">
        <v>3</v>
      </c>
      <c r="L210" s="3">
        <v>5</v>
      </c>
      <c r="M210" s="3">
        <v>3</v>
      </c>
      <c r="N210" s="3">
        <v>3</v>
      </c>
      <c r="O210" s="3">
        <v>5</v>
      </c>
      <c r="P210" s="3">
        <v>5</v>
      </c>
      <c r="Q210" s="3">
        <v>4</v>
      </c>
      <c r="R210" s="3">
        <v>4</v>
      </c>
      <c r="S210" s="3">
        <v>5</v>
      </c>
      <c r="T210" s="3">
        <v>5</v>
      </c>
      <c r="U210" s="3">
        <v>5</v>
      </c>
      <c r="V210" s="3">
        <v>3</v>
      </c>
      <c r="W210" s="3">
        <v>3</v>
      </c>
      <c r="X210" s="3">
        <v>3</v>
      </c>
      <c r="Y210" s="3">
        <v>3</v>
      </c>
      <c r="Z210" s="3">
        <v>3</v>
      </c>
      <c r="AA210" s="3">
        <v>5</v>
      </c>
      <c r="AB210" s="3">
        <v>4</v>
      </c>
      <c r="AC210" s="3">
        <v>3</v>
      </c>
      <c r="AD210" s="3">
        <v>5</v>
      </c>
      <c r="AE210" s="3">
        <v>4</v>
      </c>
      <c r="AF210" s="3">
        <v>4</v>
      </c>
      <c r="AG210" s="3">
        <v>5</v>
      </c>
      <c r="AH210" s="3">
        <v>3</v>
      </c>
      <c r="AI210" s="3">
        <v>5</v>
      </c>
      <c r="AJ210" s="3">
        <v>4</v>
      </c>
      <c r="AK210" s="3">
        <v>5</v>
      </c>
      <c r="AL210" s="3">
        <v>4</v>
      </c>
      <c r="AM210" s="3">
        <v>4</v>
      </c>
      <c r="AN210" s="3">
        <v>4</v>
      </c>
      <c r="AO210" s="3">
        <v>4</v>
      </c>
      <c r="AP210" s="3">
        <v>4</v>
      </c>
      <c r="AQ210" s="3">
        <v>4</v>
      </c>
      <c r="AR210" s="3">
        <v>3</v>
      </c>
      <c r="AS210" s="3">
        <v>3</v>
      </c>
      <c r="AT210" s="3">
        <v>3</v>
      </c>
      <c r="AU210" s="3">
        <v>4</v>
      </c>
      <c r="AV210" s="3">
        <v>3</v>
      </c>
      <c r="AW210" s="3">
        <v>5</v>
      </c>
      <c r="AX210" s="3">
        <v>5</v>
      </c>
      <c r="AY210" s="3">
        <v>5</v>
      </c>
      <c r="AZ210" s="3">
        <v>4</v>
      </c>
      <c r="BA210" s="3">
        <v>4</v>
      </c>
      <c r="BB210" s="3">
        <v>4</v>
      </c>
      <c r="BC210" s="3">
        <v>5</v>
      </c>
      <c r="BD210" s="3">
        <v>5</v>
      </c>
      <c r="BE210" s="3">
        <v>4</v>
      </c>
      <c r="BF210" s="3">
        <v>4</v>
      </c>
      <c r="BG210" s="3">
        <v>4</v>
      </c>
      <c r="BH210" s="3">
        <v>5</v>
      </c>
      <c r="BI210" s="3">
        <v>5</v>
      </c>
      <c r="BJ210" s="3">
        <v>4</v>
      </c>
      <c r="BK210" s="3">
        <v>4</v>
      </c>
      <c r="BL210" s="3">
        <v>5</v>
      </c>
      <c r="BM210" s="3">
        <v>5</v>
      </c>
      <c r="BN210" s="3">
        <v>4</v>
      </c>
      <c r="BO210" s="3">
        <v>5</v>
      </c>
      <c r="BP210" s="3" t="s">
        <v>608</v>
      </c>
    </row>
    <row r="211" spans="1:68" ht="22.5" customHeight="1" x14ac:dyDescent="0.25">
      <c r="A211" s="2">
        <v>45975.591398090277</v>
      </c>
      <c r="B211" s="3" t="s">
        <v>609</v>
      </c>
      <c r="C211" s="3" t="s">
        <v>86</v>
      </c>
      <c r="D211" s="3" t="s">
        <v>610</v>
      </c>
      <c r="E211" s="3" t="s">
        <v>77</v>
      </c>
      <c r="F211" s="3" t="s">
        <v>78</v>
      </c>
      <c r="G211" s="3" t="s">
        <v>79</v>
      </c>
      <c r="H211" s="3">
        <v>5</v>
      </c>
      <c r="I211" s="3">
        <v>4</v>
      </c>
      <c r="J211" s="3">
        <v>4</v>
      </c>
      <c r="K211" s="3">
        <v>5</v>
      </c>
      <c r="L211" s="3">
        <v>4</v>
      </c>
      <c r="M211" s="3">
        <v>4</v>
      </c>
      <c r="N211" s="3">
        <v>4</v>
      </c>
      <c r="O211" s="3">
        <v>4</v>
      </c>
      <c r="P211" s="3">
        <v>5</v>
      </c>
      <c r="Q211" s="3">
        <v>4</v>
      </c>
      <c r="R211" s="3">
        <v>5</v>
      </c>
      <c r="S211" s="3">
        <v>5</v>
      </c>
      <c r="T211" s="3">
        <v>4</v>
      </c>
      <c r="U211" s="3">
        <v>5</v>
      </c>
      <c r="V211" s="3">
        <v>3</v>
      </c>
      <c r="W211" s="3">
        <v>3</v>
      </c>
      <c r="X211" s="3">
        <v>4</v>
      </c>
      <c r="Y211" s="3">
        <v>3</v>
      </c>
      <c r="Z211" s="3">
        <v>5</v>
      </c>
      <c r="AA211" s="3">
        <v>5</v>
      </c>
      <c r="AB211" s="3">
        <v>4</v>
      </c>
      <c r="AC211" s="3">
        <v>4</v>
      </c>
      <c r="AD211" s="3">
        <v>5</v>
      </c>
      <c r="AE211" s="3">
        <v>5</v>
      </c>
      <c r="AF211" s="3">
        <v>4</v>
      </c>
      <c r="AG211" s="3">
        <v>5</v>
      </c>
      <c r="AH211" s="3">
        <v>5</v>
      </c>
      <c r="AI211" s="3">
        <v>4</v>
      </c>
      <c r="AJ211" s="3">
        <v>4</v>
      </c>
      <c r="AK211" s="3">
        <v>4</v>
      </c>
      <c r="AL211" s="3">
        <v>4</v>
      </c>
      <c r="AM211" s="3">
        <v>4</v>
      </c>
      <c r="AN211" s="3">
        <v>4</v>
      </c>
      <c r="AO211" s="3">
        <v>4</v>
      </c>
      <c r="AP211" s="3">
        <v>5</v>
      </c>
      <c r="AQ211" s="3">
        <v>4</v>
      </c>
      <c r="AR211" s="3">
        <v>4</v>
      </c>
      <c r="AS211" s="3">
        <v>3</v>
      </c>
      <c r="AT211" s="3">
        <v>4</v>
      </c>
      <c r="AU211" s="3">
        <v>4</v>
      </c>
      <c r="AV211" s="3">
        <v>4</v>
      </c>
      <c r="AW211" s="3">
        <v>4</v>
      </c>
      <c r="AX211" s="3">
        <v>5</v>
      </c>
      <c r="AY211" s="3">
        <v>5</v>
      </c>
      <c r="AZ211" s="3">
        <v>5</v>
      </c>
      <c r="BA211" s="3">
        <v>4</v>
      </c>
      <c r="BB211" s="3">
        <v>4</v>
      </c>
      <c r="BC211" s="3">
        <v>4</v>
      </c>
      <c r="BD211" s="3">
        <v>3</v>
      </c>
      <c r="BE211" s="3">
        <v>4</v>
      </c>
      <c r="BF211" s="3">
        <v>4</v>
      </c>
      <c r="BG211" s="3">
        <v>5</v>
      </c>
      <c r="BH211" s="3">
        <v>5</v>
      </c>
      <c r="BI211" s="3">
        <v>4</v>
      </c>
      <c r="BJ211" s="3">
        <v>5</v>
      </c>
      <c r="BK211" s="3">
        <v>5</v>
      </c>
      <c r="BL211" s="3">
        <v>5</v>
      </c>
      <c r="BM211" s="3">
        <v>5</v>
      </c>
      <c r="BN211" s="3">
        <v>4</v>
      </c>
      <c r="BO211" s="3">
        <v>5</v>
      </c>
      <c r="BP211" s="3" t="s">
        <v>611</v>
      </c>
    </row>
    <row r="212" spans="1:68" ht="22.5" customHeight="1" x14ac:dyDescent="0.25">
      <c r="A212" s="2">
        <v>45975.608279803244</v>
      </c>
      <c r="B212" s="3" t="s">
        <v>612</v>
      </c>
      <c r="C212" s="3" t="s">
        <v>69</v>
      </c>
      <c r="D212" s="3" t="s">
        <v>613</v>
      </c>
      <c r="E212" s="3" t="s">
        <v>87</v>
      </c>
      <c r="F212" s="3" t="s">
        <v>82</v>
      </c>
      <c r="G212" s="3" t="s">
        <v>83</v>
      </c>
      <c r="H212" s="3">
        <v>5</v>
      </c>
      <c r="I212" s="3">
        <v>4</v>
      </c>
      <c r="J212" s="3">
        <v>3</v>
      </c>
      <c r="K212" s="3">
        <v>3</v>
      </c>
      <c r="L212" s="3">
        <v>3</v>
      </c>
      <c r="M212" s="3">
        <v>2</v>
      </c>
      <c r="N212" s="3">
        <v>4</v>
      </c>
      <c r="O212" s="3">
        <v>4</v>
      </c>
      <c r="P212" s="3">
        <v>3</v>
      </c>
      <c r="Q212" s="3">
        <v>5</v>
      </c>
      <c r="R212" s="3">
        <v>4</v>
      </c>
      <c r="S212" s="3">
        <v>4</v>
      </c>
      <c r="T212" s="3">
        <v>5</v>
      </c>
      <c r="U212" s="3">
        <v>5</v>
      </c>
      <c r="V212" s="3">
        <v>3</v>
      </c>
      <c r="W212" s="3">
        <v>3</v>
      </c>
      <c r="X212" s="3">
        <v>4</v>
      </c>
      <c r="Y212" s="3">
        <v>3</v>
      </c>
      <c r="Z212" s="3">
        <v>5</v>
      </c>
      <c r="AA212" s="3">
        <v>5</v>
      </c>
      <c r="AB212" s="3">
        <v>3</v>
      </c>
      <c r="AC212" s="3">
        <v>4</v>
      </c>
      <c r="AD212" s="3">
        <v>5</v>
      </c>
      <c r="AE212" s="3">
        <v>5</v>
      </c>
      <c r="AF212" s="3">
        <v>5</v>
      </c>
      <c r="AG212" s="3">
        <v>5</v>
      </c>
      <c r="AH212" s="3">
        <v>5</v>
      </c>
      <c r="AI212" s="3">
        <v>4</v>
      </c>
      <c r="AJ212" s="3">
        <v>5</v>
      </c>
      <c r="AK212" s="3">
        <v>4</v>
      </c>
      <c r="AL212" s="3">
        <v>3</v>
      </c>
      <c r="AM212" s="3">
        <v>4</v>
      </c>
      <c r="AN212" s="3">
        <v>3</v>
      </c>
      <c r="AO212" s="3">
        <v>3</v>
      </c>
      <c r="AP212" s="3">
        <v>5</v>
      </c>
      <c r="AQ212" s="3">
        <v>4</v>
      </c>
      <c r="AR212" s="3">
        <v>4</v>
      </c>
      <c r="AS212" s="3">
        <v>2</v>
      </c>
      <c r="AT212" s="3">
        <v>4</v>
      </c>
      <c r="AU212" s="3">
        <v>4</v>
      </c>
      <c r="AV212" s="3">
        <v>5</v>
      </c>
      <c r="AW212" s="3">
        <v>5</v>
      </c>
      <c r="AX212" s="3">
        <v>4</v>
      </c>
      <c r="AY212" s="3">
        <v>4</v>
      </c>
      <c r="AZ212" s="3">
        <v>4</v>
      </c>
      <c r="BA212" s="3">
        <v>4</v>
      </c>
      <c r="BB212" s="3">
        <v>2</v>
      </c>
      <c r="BC212" s="3">
        <v>3</v>
      </c>
      <c r="BD212" s="3">
        <v>2</v>
      </c>
      <c r="BE212" s="3">
        <v>2</v>
      </c>
      <c r="BF212" s="3">
        <v>3</v>
      </c>
      <c r="BG212" s="3">
        <v>4</v>
      </c>
      <c r="BH212" s="3">
        <v>4</v>
      </c>
      <c r="BI212" s="3">
        <v>5</v>
      </c>
      <c r="BJ212" s="3">
        <v>5</v>
      </c>
      <c r="BK212" s="3">
        <v>5</v>
      </c>
      <c r="BL212" s="3">
        <v>5</v>
      </c>
      <c r="BM212" s="3">
        <v>5</v>
      </c>
      <c r="BN212" s="3">
        <v>5</v>
      </c>
      <c r="BO212" s="3">
        <v>5</v>
      </c>
      <c r="BP212" s="3" t="s">
        <v>614</v>
      </c>
    </row>
    <row r="213" spans="1:68" ht="22.5" customHeight="1" x14ac:dyDescent="0.25">
      <c r="A213" s="2">
        <v>45975.616926400464</v>
      </c>
      <c r="B213" s="3" t="s">
        <v>615</v>
      </c>
      <c r="C213" s="3" t="s">
        <v>86</v>
      </c>
      <c r="D213" s="3" t="s">
        <v>466</v>
      </c>
      <c r="E213" s="3" t="s">
        <v>77</v>
      </c>
      <c r="F213" s="3" t="s">
        <v>78</v>
      </c>
      <c r="G213" s="3" t="s">
        <v>79</v>
      </c>
      <c r="H213" s="3">
        <v>5</v>
      </c>
      <c r="I213" s="3">
        <v>4</v>
      </c>
      <c r="J213" s="3">
        <v>4</v>
      </c>
      <c r="K213" s="3">
        <v>4</v>
      </c>
      <c r="L213" s="3">
        <v>4</v>
      </c>
      <c r="M213" s="3">
        <v>5</v>
      </c>
      <c r="N213" s="3">
        <v>5</v>
      </c>
      <c r="O213" s="3">
        <v>5</v>
      </c>
      <c r="P213" s="3">
        <v>5</v>
      </c>
      <c r="Q213" s="3">
        <v>5</v>
      </c>
      <c r="R213" s="3">
        <v>5</v>
      </c>
      <c r="S213" s="3">
        <v>5</v>
      </c>
      <c r="T213" s="3">
        <v>5</v>
      </c>
      <c r="U213" s="3">
        <v>5</v>
      </c>
      <c r="V213" s="3">
        <v>4</v>
      </c>
      <c r="W213" s="3">
        <v>4</v>
      </c>
      <c r="X213" s="3">
        <v>4</v>
      </c>
      <c r="Y213" s="3">
        <v>3</v>
      </c>
      <c r="Z213" s="3">
        <v>5</v>
      </c>
      <c r="AA213" s="3">
        <v>3</v>
      </c>
      <c r="AB213" s="3">
        <v>3</v>
      </c>
      <c r="AC213" s="3">
        <v>4</v>
      </c>
      <c r="AD213" s="3">
        <v>4</v>
      </c>
      <c r="AE213" s="3">
        <v>4</v>
      </c>
      <c r="AF213" s="3">
        <v>4</v>
      </c>
      <c r="AG213" s="3">
        <v>4</v>
      </c>
      <c r="AH213" s="3">
        <v>4</v>
      </c>
      <c r="AI213" s="3">
        <v>4</v>
      </c>
      <c r="AJ213" s="3">
        <v>4</v>
      </c>
      <c r="AK213" s="3">
        <v>4</v>
      </c>
      <c r="AL213" s="3">
        <v>4</v>
      </c>
      <c r="AM213" s="3">
        <v>4</v>
      </c>
      <c r="AN213" s="3">
        <v>5</v>
      </c>
      <c r="AO213" s="3">
        <v>5</v>
      </c>
      <c r="AP213" s="3">
        <v>5</v>
      </c>
      <c r="AQ213" s="3">
        <v>5</v>
      </c>
      <c r="AR213" s="3">
        <v>5</v>
      </c>
      <c r="AS213" s="3">
        <v>5</v>
      </c>
      <c r="AT213" s="3">
        <v>5</v>
      </c>
      <c r="AU213" s="3">
        <v>5</v>
      </c>
      <c r="AV213" s="3">
        <v>5</v>
      </c>
      <c r="AW213" s="3">
        <v>5</v>
      </c>
      <c r="AX213" s="3">
        <v>5</v>
      </c>
      <c r="AY213" s="3">
        <v>5</v>
      </c>
      <c r="AZ213" s="3">
        <v>5</v>
      </c>
      <c r="BA213" s="3">
        <v>4</v>
      </c>
      <c r="BB213" s="3">
        <v>4</v>
      </c>
      <c r="BC213" s="3">
        <v>4</v>
      </c>
      <c r="BD213" s="3">
        <v>4</v>
      </c>
      <c r="BE213" s="3">
        <v>4</v>
      </c>
      <c r="BF213" s="3">
        <v>4</v>
      </c>
      <c r="BG213" s="3">
        <v>4</v>
      </c>
      <c r="BH213" s="3">
        <v>4</v>
      </c>
      <c r="BI213" s="3">
        <v>4</v>
      </c>
      <c r="BJ213" s="3">
        <v>4</v>
      </c>
      <c r="BK213" s="3">
        <v>4</v>
      </c>
      <c r="BL213" s="3">
        <v>4</v>
      </c>
      <c r="BM213" s="3">
        <v>4</v>
      </c>
      <c r="BN213" s="3">
        <v>4</v>
      </c>
      <c r="BO213" s="3">
        <v>4</v>
      </c>
      <c r="BP213" s="3" t="s">
        <v>616</v>
      </c>
    </row>
    <row r="214" spans="1:68" ht="22.5" customHeight="1" x14ac:dyDescent="0.25">
      <c r="A214" s="2">
        <v>45975.625561956018</v>
      </c>
      <c r="B214" s="3" t="s">
        <v>617</v>
      </c>
      <c r="C214" s="3" t="s">
        <v>69</v>
      </c>
      <c r="D214" s="3" t="s">
        <v>466</v>
      </c>
      <c r="E214" s="3" t="s">
        <v>87</v>
      </c>
      <c r="F214" s="3" t="s">
        <v>88</v>
      </c>
      <c r="G214" s="3" t="s">
        <v>83</v>
      </c>
      <c r="H214" s="3">
        <v>5</v>
      </c>
      <c r="I214" s="3">
        <v>5</v>
      </c>
      <c r="J214" s="3">
        <v>5</v>
      </c>
      <c r="K214" s="3">
        <v>5</v>
      </c>
      <c r="L214" s="3">
        <v>5</v>
      </c>
      <c r="M214" s="3">
        <v>5</v>
      </c>
      <c r="N214" s="3">
        <v>5</v>
      </c>
      <c r="O214" s="3">
        <v>5</v>
      </c>
      <c r="P214" s="3">
        <v>5</v>
      </c>
      <c r="Q214" s="3">
        <v>4</v>
      </c>
      <c r="R214" s="3">
        <v>4</v>
      </c>
      <c r="S214" s="3">
        <v>4</v>
      </c>
      <c r="T214" s="3">
        <v>5</v>
      </c>
      <c r="U214" s="3">
        <v>5</v>
      </c>
      <c r="V214" s="3">
        <v>4</v>
      </c>
      <c r="W214" s="3">
        <v>4</v>
      </c>
      <c r="X214" s="3">
        <v>4</v>
      </c>
      <c r="Y214" s="3">
        <v>4</v>
      </c>
      <c r="Z214" s="3">
        <v>5</v>
      </c>
      <c r="AA214" s="3">
        <v>4</v>
      </c>
      <c r="AB214" s="3">
        <v>4</v>
      </c>
      <c r="AC214" s="3">
        <v>4</v>
      </c>
      <c r="AD214" s="3">
        <v>4</v>
      </c>
      <c r="AE214" s="3">
        <v>5</v>
      </c>
      <c r="AF214" s="3">
        <v>5</v>
      </c>
      <c r="AG214" s="3">
        <v>5</v>
      </c>
      <c r="AH214" s="3">
        <v>5</v>
      </c>
      <c r="AI214" s="3">
        <v>5</v>
      </c>
      <c r="AJ214" s="3">
        <v>5</v>
      </c>
      <c r="AK214" s="3">
        <v>5</v>
      </c>
      <c r="AL214" s="3">
        <v>4</v>
      </c>
      <c r="AM214" s="3">
        <v>4</v>
      </c>
      <c r="AN214" s="3">
        <v>3</v>
      </c>
      <c r="AO214" s="3">
        <v>3</v>
      </c>
      <c r="AP214" s="3">
        <v>4</v>
      </c>
      <c r="AQ214" s="3">
        <v>4</v>
      </c>
      <c r="AR214" s="3">
        <v>4</v>
      </c>
      <c r="AS214" s="3">
        <v>4</v>
      </c>
      <c r="AT214" s="3">
        <v>4</v>
      </c>
      <c r="AU214" s="3">
        <v>4</v>
      </c>
      <c r="AV214" s="3">
        <v>4</v>
      </c>
      <c r="AW214" s="3">
        <v>5</v>
      </c>
      <c r="AX214" s="3">
        <v>5</v>
      </c>
      <c r="AY214" s="3">
        <v>5</v>
      </c>
      <c r="AZ214" s="3">
        <v>5</v>
      </c>
      <c r="BA214" s="3">
        <v>3</v>
      </c>
      <c r="BB214" s="3">
        <v>2</v>
      </c>
      <c r="BC214" s="3">
        <v>2</v>
      </c>
      <c r="BD214" s="3">
        <v>2</v>
      </c>
      <c r="BE214" s="3">
        <v>2</v>
      </c>
      <c r="BF214" s="3">
        <v>2</v>
      </c>
      <c r="BG214" s="3">
        <v>5</v>
      </c>
      <c r="BH214" s="3">
        <v>5</v>
      </c>
      <c r="BI214" s="3">
        <v>5</v>
      </c>
      <c r="BJ214" s="3">
        <v>5</v>
      </c>
      <c r="BK214" s="3">
        <v>5</v>
      </c>
      <c r="BL214" s="3">
        <v>5</v>
      </c>
      <c r="BM214" s="3">
        <v>5</v>
      </c>
      <c r="BN214" s="3">
        <v>4</v>
      </c>
      <c r="BO214" s="3">
        <v>5</v>
      </c>
      <c r="BP214" s="3" t="s">
        <v>618</v>
      </c>
    </row>
    <row r="215" spans="1:68" ht="22.5" customHeight="1" x14ac:dyDescent="0.25">
      <c r="A215" s="2">
        <v>45975.649735567131</v>
      </c>
      <c r="B215" s="3" t="s">
        <v>619</v>
      </c>
      <c r="C215" s="3" t="s">
        <v>69</v>
      </c>
      <c r="D215" s="3" t="s">
        <v>620</v>
      </c>
      <c r="E215" s="3" t="s">
        <v>119</v>
      </c>
      <c r="F215" s="3" t="s">
        <v>103</v>
      </c>
      <c r="G215" s="3" t="s">
        <v>83</v>
      </c>
      <c r="H215" s="3">
        <v>4</v>
      </c>
      <c r="I215" s="3">
        <v>4</v>
      </c>
      <c r="J215" s="3">
        <v>4</v>
      </c>
      <c r="K215" s="3">
        <v>4</v>
      </c>
      <c r="L215" s="3">
        <v>4</v>
      </c>
      <c r="M215" s="3">
        <v>4</v>
      </c>
      <c r="N215" s="3">
        <v>4</v>
      </c>
      <c r="O215" s="3">
        <v>4</v>
      </c>
      <c r="P215" s="3">
        <v>4</v>
      </c>
      <c r="Q215" s="3">
        <v>4</v>
      </c>
      <c r="R215" s="3">
        <v>4</v>
      </c>
      <c r="S215" s="3">
        <v>4</v>
      </c>
      <c r="T215" s="3">
        <v>4</v>
      </c>
      <c r="U215" s="3">
        <v>4</v>
      </c>
      <c r="V215" s="3">
        <v>4</v>
      </c>
      <c r="W215" s="3">
        <v>4</v>
      </c>
      <c r="X215" s="3">
        <v>4</v>
      </c>
      <c r="Y215" s="3">
        <v>4</v>
      </c>
      <c r="Z215" s="3">
        <v>4</v>
      </c>
      <c r="AA215" s="3">
        <v>4</v>
      </c>
      <c r="AB215" s="3">
        <v>4</v>
      </c>
      <c r="AC215" s="3">
        <v>4</v>
      </c>
      <c r="AD215" s="3">
        <v>4</v>
      </c>
      <c r="AE215" s="3">
        <v>4</v>
      </c>
      <c r="AF215" s="3">
        <v>4</v>
      </c>
      <c r="AG215" s="3">
        <v>4</v>
      </c>
      <c r="AH215" s="3">
        <v>4</v>
      </c>
      <c r="AI215" s="3">
        <v>4</v>
      </c>
      <c r="AJ215" s="3">
        <v>4</v>
      </c>
      <c r="AK215" s="3">
        <v>4</v>
      </c>
      <c r="AL215" s="3">
        <v>4</v>
      </c>
      <c r="AM215" s="3">
        <v>4</v>
      </c>
      <c r="AN215" s="3">
        <v>4</v>
      </c>
      <c r="AO215" s="3">
        <v>4</v>
      </c>
      <c r="AP215" s="3">
        <v>4</v>
      </c>
      <c r="AQ215" s="3">
        <v>4</v>
      </c>
      <c r="AR215" s="3">
        <v>4</v>
      </c>
      <c r="AS215" s="3">
        <v>4</v>
      </c>
      <c r="AT215" s="3">
        <v>4</v>
      </c>
      <c r="AU215" s="3">
        <v>4</v>
      </c>
      <c r="AV215" s="3">
        <v>4</v>
      </c>
      <c r="AW215" s="3">
        <v>4</v>
      </c>
      <c r="AX215" s="3">
        <v>4</v>
      </c>
      <c r="AY215" s="3">
        <v>4</v>
      </c>
      <c r="AZ215" s="3">
        <v>4</v>
      </c>
      <c r="BA215" s="3">
        <v>4</v>
      </c>
      <c r="BB215" s="3">
        <v>4</v>
      </c>
      <c r="BC215" s="3">
        <v>4</v>
      </c>
      <c r="BD215" s="3">
        <v>4</v>
      </c>
      <c r="BE215" s="3">
        <v>4</v>
      </c>
      <c r="BF215" s="3">
        <v>4</v>
      </c>
      <c r="BG215" s="3">
        <v>4</v>
      </c>
      <c r="BH215" s="3">
        <v>4</v>
      </c>
      <c r="BI215" s="3">
        <v>4</v>
      </c>
      <c r="BJ215" s="3">
        <v>4</v>
      </c>
      <c r="BK215" s="3">
        <v>4</v>
      </c>
      <c r="BL215" s="3">
        <v>4</v>
      </c>
      <c r="BM215" s="3">
        <v>4</v>
      </c>
      <c r="BN215" s="3">
        <v>4</v>
      </c>
      <c r="BO215" s="3">
        <v>4</v>
      </c>
      <c r="BP215" s="3" t="s">
        <v>621</v>
      </c>
    </row>
    <row r="216" spans="1:68" ht="22.5" customHeight="1" x14ac:dyDescent="0.25">
      <c r="A216" s="2">
        <v>45975.652058460648</v>
      </c>
      <c r="B216" s="3" t="s">
        <v>622</v>
      </c>
      <c r="C216" s="3" t="s">
        <v>69</v>
      </c>
      <c r="D216" s="3" t="s">
        <v>545</v>
      </c>
      <c r="E216" s="3" t="s">
        <v>77</v>
      </c>
      <c r="F216" s="3" t="s">
        <v>88</v>
      </c>
      <c r="G216" s="3" t="s">
        <v>83</v>
      </c>
      <c r="H216" s="3">
        <v>5</v>
      </c>
      <c r="I216" s="3">
        <v>5</v>
      </c>
      <c r="J216" s="3">
        <v>5</v>
      </c>
      <c r="K216" s="3">
        <v>5</v>
      </c>
      <c r="L216" s="3">
        <v>5</v>
      </c>
      <c r="M216" s="3">
        <v>4</v>
      </c>
      <c r="N216" s="3">
        <v>4</v>
      </c>
      <c r="O216" s="3">
        <v>4</v>
      </c>
      <c r="P216" s="3">
        <v>5</v>
      </c>
      <c r="Q216" s="3">
        <v>5</v>
      </c>
      <c r="R216" s="3">
        <v>5</v>
      </c>
      <c r="S216" s="3">
        <v>5</v>
      </c>
      <c r="T216" s="3">
        <v>5</v>
      </c>
      <c r="U216" s="3">
        <v>4</v>
      </c>
      <c r="V216" s="3">
        <v>4</v>
      </c>
      <c r="W216" s="3">
        <v>4</v>
      </c>
      <c r="X216" s="3">
        <v>4</v>
      </c>
      <c r="Y216" s="3">
        <v>4</v>
      </c>
      <c r="Z216" s="3">
        <v>5</v>
      </c>
      <c r="AA216" s="3">
        <v>4</v>
      </c>
      <c r="AB216" s="3">
        <v>4</v>
      </c>
      <c r="AC216" s="3">
        <v>4</v>
      </c>
      <c r="AD216" s="3">
        <v>5</v>
      </c>
      <c r="AE216" s="3">
        <v>4</v>
      </c>
      <c r="AF216" s="3">
        <v>4</v>
      </c>
      <c r="AG216" s="3">
        <v>4</v>
      </c>
      <c r="AH216" s="3">
        <v>4</v>
      </c>
      <c r="AI216" s="3">
        <v>4</v>
      </c>
      <c r="AJ216" s="3">
        <v>5</v>
      </c>
      <c r="AK216" s="3">
        <v>5</v>
      </c>
      <c r="AL216" s="3">
        <v>4</v>
      </c>
      <c r="AM216" s="3">
        <v>4</v>
      </c>
      <c r="AN216" s="3">
        <v>4</v>
      </c>
      <c r="AO216" s="3">
        <v>4</v>
      </c>
      <c r="AP216" s="3">
        <v>4</v>
      </c>
      <c r="AQ216" s="3">
        <v>4</v>
      </c>
      <c r="AR216" s="3">
        <v>4</v>
      </c>
      <c r="AS216" s="3">
        <v>4</v>
      </c>
      <c r="AT216" s="3">
        <v>4</v>
      </c>
      <c r="AU216" s="3">
        <v>4</v>
      </c>
      <c r="AV216" s="3">
        <v>4</v>
      </c>
      <c r="AW216" s="3">
        <v>5</v>
      </c>
      <c r="AX216" s="3">
        <v>5</v>
      </c>
      <c r="AY216" s="3">
        <v>5</v>
      </c>
      <c r="AZ216" s="3">
        <v>5</v>
      </c>
      <c r="BA216" s="3">
        <v>4</v>
      </c>
      <c r="BB216" s="3">
        <v>4</v>
      </c>
      <c r="BC216" s="3">
        <v>5</v>
      </c>
      <c r="BD216" s="3">
        <v>4</v>
      </c>
      <c r="BE216" s="3">
        <v>4</v>
      </c>
      <c r="BF216" s="3">
        <v>4</v>
      </c>
      <c r="BG216" s="3">
        <v>4</v>
      </c>
      <c r="BH216" s="3">
        <v>4</v>
      </c>
      <c r="BI216" s="3">
        <v>4</v>
      </c>
      <c r="BJ216" s="3">
        <v>4</v>
      </c>
      <c r="BK216" s="3">
        <v>4</v>
      </c>
      <c r="BL216" s="3">
        <v>4</v>
      </c>
      <c r="BM216" s="3">
        <v>4</v>
      </c>
      <c r="BN216" s="3">
        <v>4</v>
      </c>
      <c r="BO216" s="3">
        <v>4</v>
      </c>
      <c r="BP216" s="3" t="s">
        <v>623</v>
      </c>
    </row>
    <row r="217" spans="1:68" ht="22.5" customHeight="1" x14ac:dyDescent="0.25">
      <c r="A217" s="2">
        <v>45975.663801620365</v>
      </c>
      <c r="B217" s="3" t="s">
        <v>624</v>
      </c>
      <c r="C217" s="3" t="s">
        <v>86</v>
      </c>
      <c r="D217" s="3" t="s">
        <v>594</v>
      </c>
      <c r="E217" s="3" t="s">
        <v>77</v>
      </c>
      <c r="F217" s="3" t="s">
        <v>88</v>
      </c>
      <c r="G217" s="3" t="s">
        <v>79</v>
      </c>
      <c r="H217" s="3">
        <v>4</v>
      </c>
      <c r="I217" s="3">
        <v>4</v>
      </c>
      <c r="J217" s="3">
        <v>4</v>
      </c>
      <c r="K217" s="3">
        <v>3</v>
      </c>
      <c r="L217" s="3">
        <v>4</v>
      </c>
      <c r="M217" s="3">
        <v>3</v>
      </c>
      <c r="N217" s="3">
        <v>3</v>
      </c>
      <c r="O217" s="3">
        <v>3</v>
      </c>
      <c r="P217" s="3">
        <v>4</v>
      </c>
      <c r="Q217" s="3">
        <v>3</v>
      </c>
      <c r="R217" s="3">
        <v>4</v>
      </c>
      <c r="S217" s="3">
        <v>4</v>
      </c>
      <c r="T217" s="3">
        <v>4</v>
      </c>
      <c r="U217" s="3">
        <v>3</v>
      </c>
      <c r="V217" s="3">
        <v>3</v>
      </c>
      <c r="W217" s="3">
        <v>4</v>
      </c>
      <c r="X217" s="3">
        <v>3</v>
      </c>
      <c r="Y217" s="3">
        <v>4</v>
      </c>
      <c r="Z217" s="3">
        <v>3</v>
      </c>
      <c r="AA217" s="3">
        <v>4</v>
      </c>
      <c r="AB217" s="3">
        <v>4</v>
      </c>
      <c r="AC217" s="3">
        <v>3</v>
      </c>
      <c r="AD217" s="3">
        <v>4</v>
      </c>
      <c r="AE217" s="3">
        <v>3</v>
      </c>
      <c r="AF217" s="3">
        <v>3</v>
      </c>
      <c r="AG217" s="3">
        <v>4</v>
      </c>
      <c r="AH217" s="3">
        <v>3</v>
      </c>
      <c r="AI217" s="3">
        <v>4</v>
      </c>
      <c r="AJ217" s="3">
        <v>4</v>
      </c>
      <c r="AK217" s="3">
        <v>4</v>
      </c>
      <c r="AL217" s="3">
        <v>4</v>
      </c>
      <c r="AM217" s="3">
        <v>3</v>
      </c>
      <c r="AN217" s="3">
        <v>3</v>
      </c>
      <c r="AO217" s="3">
        <v>3</v>
      </c>
      <c r="AP217" s="3">
        <v>3</v>
      </c>
      <c r="AQ217" s="3">
        <v>3</v>
      </c>
      <c r="AR217" s="3">
        <v>3</v>
      </c>
      <c r="AS217" s="3">
        <v>3</v>
      </c>
      <c r="AT217" s="3">
        <v>3</v>
      </c>
      <c r="AU217" s="3">
        <v>3</v>
      </c>
      <c r="AV217" s="3">
        <v>3</v>
      </c>
      <c r="AW217" s="3">
        <v>4</v>
      </c>
      <c r="AX217" s="3">
        <v>4</v>
      </c>
      <c r="AY217" s="3">
        <v>4</v>
      </c>
      <c r="AZ217" s="3">
        <v>3</v>
      </c>
      <c r="BA217" s="3">
        <v>3</v>
      </c>
      <c r="BB217" s="3">
        <v>3</v>
      </c>
      <c r="BC217" s="3">
        <v>3</v>
      </c>
      <c r="BD217" s="3">
        <v>3</v>
      </c>
      <c r="BE217" s="3">
        <v>3</v>
      </c>
      <c r="BF217" s="3">
        <v>3</v>
      </c>
      <c r="BG217" s="3">
        <v>3</v>
      </c>
      <c r="BH217" s="3">
        <v>3</v>
      </c>
      <c r="BI217" s="3">
        <v>3</v>
      </c>
      <c r="BJ217" s="3">
        <v>3</v>
      </c>
      <c r="BK217" s="3">
        <v>3</v>
      </c>
      <c r="BL217" s="3">
        <v>4</v>
      </c>
      <c r="BM217" s="3">
        <v>4</v>
      </c>
      <c r="BN217" s="3">
        <v>3</v>
      </c>
      <c r="BO217" s="3">
        <v>4</v>
      </c>
      <c r="BP217" s="3" t="s">
        <v>625</v>
      </c>
    </row>
    <row r="218" spans="1:68" ht="22.5" customHeight="1" x14ac:dyDescent="0.25">
      <c r="A218" s="2">
        <v>45976.453647222224</v>
      </c>
      <c r="B218" s="3" t="s">
        <v>626</v>
      </c>
      <c r="C218" s="3" t="s">
        <v>69</v>
      </c>
      <c r="D218" s="3" t="s">
        <v>545</v>
      </c>
      <c r="E218" s="3" t="s">
        <v>77</v>
      </c>
      <c r="F218" s="3" t="s">
        <v>78</v>
      </c>
      <c r="G218" s="3" t="s">
        <v>79</v>
      </c>
      <c r="H218" s="3">
        <v>4</v>
      </c>
      <c r="I218" s="3">
        <v>4</v>
      </c>
      <c r="J218" s="3">
        <v>4</v>
      </c>
      <c r="K218" s="3">
        <v>4</v>
      </c>
      <c r="L218" s="3">
        <v>4</v>
      </c>
      <c r="M218" s="3">
        <v>4</v>
      </c>
      <c r="N218" s="3">
        <v>4</v>
      </c>
      <c r="O218" s="3">
        <v>4</v>
      </c>
      <c r="P218" s="3">
        <v>4</v>
      </c>
      <c r="Q218" s="3">
        <v>4</v>
      </c>
      <c r="R218" s="3">
        <v>4</v>
      </c>
      <c r="S218" s="3">
        <v>4</v>
      </c>
      <c r="T218" s="3">
        <v>4</v>
      </c>
      <c r="U218" s="3">
        <v>4</v>
      </c>
      <c r="V218" s="3">
        <v>4</v>
      </c>
      <c r="W218" s="3">
        <v>3</v>
      </c>
      <c r="X218" s="3">
        <v>3</v>
      </c>
      <c r="Y218" s="3">
        <v>3</v>
      </c>
      <c r="Z218" s="3">
        <v>4</v>
      </c>
      <c r="AA218" s="3">
        <v>4</v>
      </c>
      <c r="AB218" s="3">
        <v>4</v>
      </c>
      <c r="AC218" s="3">
        <v>4</v>
      </c>
      <c r="AD218" s="3">
        <v>4</v>
      </c>
      <c r="AE218" s="3">
        <v>4</v>
      </c>
      <c r="AF218" s="3">
        <v>4</v>
      </c>
      <c r="AG218" s="3">
        <v>4</v>
      </c>
      <c r="AH218" s="3">
        <v>4</v>
      </c>
      <c r="AI218" s="3">
        <v>4</v>
      </c>
      <c r="AJ218" s="3">
        <v>4</v>
      </c>
      <c r="AK218" s="3">
        <v>4</v>
      </c>
      <c r="AL218" s="3">
        <v>4</v>
      </c>
      <c r="AM218" s="3">
        <v>4</v>
      </c>
      <c r="AN218" s="3">
        <v>3</v>
      </c>
      <c r="AO218" s="3">
        <v>3</v>
      </c>
      <c r="AP218" s="3">
        <v>3</v>
      </c>
      <c r="AQ218" s="3">
        <v>3</v>
      </c>
      <c r="AR218" s="3">
        <v>3</v>
      </c>
      <c r="AS218" s="3">
        <v>3</v>
      </c>
      <c r="AT218" s="3">
        <v>3</v>
      </c>
      <c r="AU218" s="3">
        <v>3</v>
      </c>
      <c r="AV218" s="3">
        <v>3</v>
      </c>
      <c r="AW218" s="3">
        <v>4</v>
      </c>
      <c r="AX218" s="3">
        <v>4</v>
      </c>
      <c r="AY218" s="3">
        <v>4</v>
      </c>
      <c r="AZ218" s="3">
        <v>4</v>
      </c>
      <c r="BA218" s="3">
        <v>3</v>
      </c>
      <c r="BB218" s="3">
        <v>3</v>
      </c>
      <c r="BC218" s="3">
        <v>3</v>
      </c>
      <c r="BD218" s="3">
        <v>3</v>
      </c>
      <c r="BE218" s="3">
        <v>3</v>
      </c>
      <c r="BF218" s="3">
        <v>3</v>
      </c>
      <c r="BG218" s="3">
        <v>4</v>
      </c>
      <c r="BH218" s="3">
        <v>4</v>
      </c>
      <c r="BI218" s="3">
        <v>4</v>
      </c>
      <c r="BJ218" s="3">
        <v>3</v>
      </c>
      <c r="BK218" s="3">
        <v>4</v>
      </c>
      <c r="BL218" s="3">
        <v>3</v>
      </c>
      <c r="BM218" s="3">
        <v>3</v>
      </c>
      <c r="BN218" s="3">
        <v>3</v>
      </c>
      <c r="BO218" s="3">
        <v>3</v>
      </c>
      <c r="BP218" s="3" t="s">
        <v>627</v>
      </c>
    </row>
    <row r="219" spans="1:68" ht="22.5" customHeight="1" x14ac:dyDescent="0.25">
      <c r="A219" s="2">
        <v>45976.646116412041</v>
      </c>
      <c r="B219" s="3" t="s">
        <v>628</v>
      </c>
      <c r="C219" s="3" t="s">
        <v>86</v>
      </c>
      <c r="D219" s="3" t="s">
        <v>629</v>
      </c>
      <c r="E219" s="3" t="s">
        <v>87</v>
      </c>
      <c r="F219" s="3" t="s">
        <v>88</v>
      </c>
      <c r="G219" s="3" t="s">
        <v>91</v>
      </c>
      <c r="H219" s="3">
        <v>5</v>
      </c>
      <c r="I219" s="3">
        <v>5</v>
      </c>
      <c r="J219" s="3">
        <v>5</v>
      </c>
      <c r="K219" s="3">
        <v>5</v>
      </c>
      <c r="L219" s="3">
        <v>5</v>
      </c>
      <c r="M219" s="3">
        <v>5</v>
      </c>
      <c r="N219" s="3">
        <v>5</v>
      </c>
      <c r="O219" s="3">
        <v>5</v>
      </c>
      <c r="P219" s="3">
        <v>5</v>
      </c>
      <c r="Q219" s="3">
        <v>5</v>
      </c>
      <c r="R219" s="3">
        <v>5</v>
      </c>
      <c r="S219" s="3">
        <v>5</v>
      </c>
      <c r="T219" s="3">
        <v>5</v>
      </c>
      <c r="U219" s="3">
        <v>5</v>
      </c>
      <c r="V219" s="3">
        <v>4</v>
      </c>
      <c r="W219" s="3">
        <v>4</v>
      </c>
      <c r="X219" s="3">
        <v>4</v>
      </c>
      <c r="Y219" s="3">
        <v>4</v>
      </c>
      <c r="Z219" s="3">
        <v>4</v>
      </c>
      <c r="AA219" s="3">
        <v>4</v>
      </c>
      <c r="AB219" s="3">
        <v>3</v>
      </c>
      <c r="AC219" s="3">
        <v>3</v>
      </c>
      <c r="AD219" s="3">
        <v>4</v>
      </c>
      <c r="AE219" s="3">
        <v>4</v>
      </c>
      <c r="AF219" s="3">
        <v>4</v>
      </c>
      <c r="AG219" s="3">
        <v>4</v>
      </c>
      <c r="AH219" s="3">
        <v>4</v>
      </c>
      <c r="AI219" s="3">
        <v>4</v>
      </c>
      <c r="AJ219" s="3">
        <v>4</v>
      </c>
      <c r="AK219" s="3">
        <v>4</v>
      </c>
      <c r="AL219" s="3">
        <v>4</v>
      </c>
      <c r="AM219" s="3">
        <v>4</v>
      </c>
      <c r="AN219" s="3">
        <v>4</v>
      </c>
      <c r="AO219" s="3">
        <v>4</v>
      </c>
      <c r="AP219" s="3">
        <v>4</v>
      </c>
      <c r="AQ219" s="3">
        <v>4</v>
      </c>
      <c r="AR219" s="3">
        <v>4</v>
      </c>
      <c r="AS219" s="3">
        <v>4</v>
      </c>
      <c r="AT219" s="3">
        <v>4</v>
      </c>
      <c r="AU219" s="3">
        <v>4</v>
      </c>
      <c r="AV219" s="3">
        <v>4</v>
      </c>
      <c r="AW219" s="3">
        <v>5</v>
      </c>
      <c r="AX219" s="3">
        <v>5</v>
      </c>
      <c r="AY219" s="3">
        <v>5</v>
      </c>
      <c r="AZ219" s="3">
        <v>5</v>
      </c>
      <c r="BA219" s="3">
        <v>3</v>
      </c>
      <c r="BB219" s="3">
        <v>3</v>
      </c>
      <c r="BC219" s="3">
        <v>3</v>
      </c>
      <c r="BD219" s="3">
        <v>3</v>
      </c>
      <c r="BE219" s="3">
        <v>3</v>
      </c>
      <c r="BF219" s="3">
        <v>3</v>
      </c>
      <c r="BG219" s="3">
        <v>4</v>
      </c>
      <c r="BH219" s="3">
        <v>4</v>
      </c>
      <c r="BI219" s="3">
        <v>4</v>
      </c>
      <c r="BJ219" s="3">
        <v>5</v>
      </c>
      <c r="BK219" s="3">
        <v>5</v>
      </c>
      <c r="BL219" s="3">
        <v>5</v>
      </c>
      <c r="BM219" s="3">
        <v>5</v>
      </c>
      <c r="BN219" s="3">
        <v>5</v>
      </c>
      <c r="BO219" s="3">
        <v>5</v>
      </c>
      <c r="BP219" s="3" t="s">
        <v>630</v>
      </c>
    </row>
    <row r="220" spans="1:68" ht="22.5" customHeight="1" x14ac:dyDescent="0.25">
      <c r="A220" s="2">
        <v>45977.681108576391</v>
      </c>
      <c r="B220" s="3" t="s">
        <v>631</v>
      </c>
      <c r="C220" s="3" t="s">
        <v>69</v>
      </c>
      <c r="D220" s="3" t="s">
        <v>632</v>
      </c>
      <c r="E220" s="3" t="s">
        <v>77</v>
      </c>
      <c r="F220" s="3" t="s">
        <v>103</v>
      </c>
      <c r="G220" s="3" t="s">
        <v>73</v>
      </c>
      <c r="H220" s="3">
        <v>4</v>
      </c>
      <c r="I220" s="3">
        <v>4</v>
      </c>
      <c r="J220" s="3">
        <v>3</v>
      </c>
      <c r="K220" s="3">
        <v>5</v>
      </c>
      <c r="L220" s="3">
        <v>4</v>
      </c>
      <c r="M220" s="3">
        <v>2</v>
      </c>
      <c r="N220" s="3">
        <v>3</v>
      </c>
      <c r="O220" s="3">
        <v>4</v>
      </c>
      <c r="P220" s="3">
        <v>5</v>
      </c>
      <c r="Q220" s="3">
        <v>4</v>
      </c>
      <c r="R220" s="3">
        <v>5</v>
      </c>
      <c r="S220" s="3">
        <v>4</v>
      </c>
      <c r="T220" s="3">
        <v>3</v>
      </c>
      <c r="U220" s="3">
        <v>5</v>
      </c>
      <c r="V220" s="3">
        <v>4</v>
      </c>
      <c r="W220" s="3">
        <v>4</v>
      </c>
      <c r="X220" s="3">
        <v>3</v>
      </c>
      <c r="Y220" s="3">
        <v>2</v>
      </c>
      <c r="Z220" s="3">
        <v>3</v>
      </c>
      <c r="AA220" s="3">
        <v>5</v>
      </c>
      <c r="AB220" s="3">
        <v>4</v>
      </c>
      <c r="AC220" s="3">
        <v>3</v>
      </c>
      <c r="AD220" s="3">
        <v>5</v>
      </c>
      <c r="AE220" s="3">
        <v>3</v>
      </c>
      <c r="AF220" s="3">
        <v>3</v>
      </c>
      <c r="AG220" s="3">
        <v>3</v>
      </c>
      <c r="AH220" s="3">
        <v>4</v>
      </c>
      <c r="AI220" s="3">
        <v>3</v>
      </c>
      <c r="AJ220" s="3">
        <v>5</v>
      </c>
      <c r="AK220" s="3">
        <v>5</v>
      </c>
      <c r="AL220" s="3">
        <v>4</v>
      </c>
      <c r="AM220" s="3">
        <v>5</v>
      </c>
      <c r="AN220" s="3">
        <v>5</v>
      </c>
      <c r="AO220" s="3">
        <v>5</v>
      </c>
      <c r="AP220" s="3">
        <v>4</v>
      </c>
      <c r="AQ220" s="3">
        <v>4</v>
      </c>
      <c r="AR220" s="3">
        <v>3</v>
      </c>
      <c r="AS220" s="3">
        <v>3</v>
      </c>
      <c r="AT220" s="3">
        <v>4</v>
      </c>
      <c r="AU220" s="3">
        <v>4</v>
      </c>
      <c r="AV220" s="3">
        <v>4</v>
      </c>
      <c r="AW220" s="3">
        <v>5</v>
      </c>
      <c r="AX220" s="3">
        <v>4</v>
      </c>
      <c r="AY220" s="3">
        <v>5</v>
      </c>
      <c r="AZ220" s="3">
        <v>4</v>
      </c>
      <c r="BA220" s="3">
        <v>2</v>
      </c>
      <c r="BB220" s="3">
        <v>2</v>
      </c>
      <c r="BC220" s="3">
        <v>4</v>
      </c>
      <c r="BD220" s="3">
        <v>3</v>
      </c>
      <c r="BE220" s="3">
        <v>3</v>
      </c>
      <c r="BF220" s="3">
        <v>3</v>
      </c>
      <c r="BG220" s="3">
        <v>4</v>
      </c>
      <c r="BH220" s="3">
        <v>4</v>
      </c>
      <c r="BI220" s="3">
        <v>4</v>
      </c>
      <c r="BJ220" s="3">
        <v>5</v>
      </c>
      <c r="BK220" s="3">
        <v>4</v>
      </c>
      <c r="BL220" s="3">
        <v>4</v>
      </c>
      <c r="BM220" s="3">
        <v>4</v>
      </c>
      <c r="BN220" s="3">
        <v>5</v>
      </c>
      <c r="BO220" s="3">
        <v>5</v>
      </c>
      <c r="BP220" s="3" t="s">
        <v>633</v>
      </c>
    </row>
    <row r="221" spans="1:68" ht="22.5" customHeight="1" x14ac:dyDescent="0.25">
      <c r="A221" s="2">
        <v>45977.784316354169</v>
      </c>
      <c r="B221" s="3" t="s">
        <v>634</v>
      </c>
      <c r="C221" s="3" t="s">
        <v>69</v>
      </c>
      <c r="D221" s="3" t="s">
        <v>172</v>
      </c>
      <c r="E221" s="3" t="s">
        <v>119</v>
      </c>
      <c r="F221" s="3" t="s">
        <v>103</v>
      </c>
      <c r="G221" s="3" t="s">
        <v>73</v>
      </c>
      <c r="H221" s="3">
        <v>5</v>
      </c>
      <c r="I221" s="3">
        <v>5</v>
      </c>
      <c r="J221" s="3">
        <v>5</v>
      </c>
      <c r="K221" s="3">
        <v>5</v>
      </c>
      <c r="L221" s="3">
        <v>5</v>
      </c>
      <c r="M221" s="3">
        <v>5</v>
      </c>
      <c r="N221" s="3">
        <v>5</v>
      </c>
      <c r="O221" s="3">
        <v>5</v>
      </c>
      <c r="P221" s="3">
        <v>5</v>
      </c>
      <c r="Q221" s="3">
        <v>5</v>
      </c>
      <c r="R221" s="3">
        <v>5</v>
      </c>
      <c r="S221" s="3">
        <v>5</v>
      </c>
      <c r="T221" s="3">
        <v>5</v>
      </c>
      <c r="U221" s="3">
        <v>5</v>
      </c>
      <c r="V221" s="3">
        <v>5</v>
      </c>
      <c r="W221" s="3">
        <v>5</v>
      </c>
      <c r="X221" s="3">
        <v>5</v>
      </c>
      <c r="Y221" s="3">
        <v>5</v>
      </c>
      <c r="Z221" s="3">
        <v>5</v>
      </c>
      <c r="AA221" s="3">
        <v>3</v>
      </c>
      <c r="AB221" s="3">
        <v>3</v>
      </c>
      <c r="AC221" s="3">
        <v>3</v>
      </c>
      <c r="AD221" s="3">
        <v>3</v>
      </c>
      <c r="AE221" s="3">
        <v>4</v>
      </c>
      <c r="AF221" s="3">
        <v>4</v>
      </c>
      <c r="AG221" s="3">
        <v>4</v>
      </c>
      <c r="AH221" s="3">
        <v>4</v>
      </c>
      <c r="AI221" s="3">
        <v>5</v>
      </c>
      <c r="AJ221" s="3">
        <v>5</v>
      </c>
      <c r="AK221" s="3">
        <v>5</v>
      </c>
      <c r="AL221" s="3">
        <v>5</v>
      </c>
      <c r="AM221" s="3">
        <v>5</v>
      </c>
      <c r="AN221" s="3">
        <v>4</v>
      </c>
      <c r="AO221" s="3">
        <v>4</v>
      </c>
      <c r="AP221" s="3">
        <v>4</v>
      </c>
      <c r="AQ221" s="3">
        <v>4</v>
      </c>
      <c r="AR221" s="3">
        <v>4</v>
      </c>
      <c r="AS221" s="3">
        <v>3</v>
      </c>
      <c r="AT221" s="3">
        <v>3</v>
      </c>
      <c r="AU221" s="3">
        <v>3</v>
      </c>
      <c r="AV221" s="3">
        <v>3</v>
      </c>
      <c r="AW221" s="3">
        <v>5</v>
      </c>
      <c r="AX221" s="3">
        <v>5</v>
      </c>
      <c r="AY221" s="3">
        <v>5</v>
      </c>
      <c r="AZ221" s="3">
        <v>5</v>
      </c>
      <c r="BA221" s="3">
        <v>3</v>
      </c>
      <c r="BB221" s="3">
        <v>3</v>
      </c>
      <c r="BC221" s="3">
        <v>5</v>
      </c>
      <c r="BD221" s="3">
        <v>4</v>
      </c>
      <c r="BE221" s="3">
        <v>4</v>
      </c>
      <c r="BF221" s="3">
        <v>4</v>
      </c>
      <c r="BG221" s="3">
        <v>4</v>
      </c>
      <c r="BH221" s="3">
        <v>4</v>
      </c>
      <c r="BI221" s="3">
        <v>4</v>
      </c>
      <c r="BJ221" s="3">
        <v>4</v>
      </c>
      <c r="BK221" s="3">
        <v>4</v>
      </c>
      <c r="BL221" s="3">
        <v>4</v>
      </c>
      <c r="BM221" s="3">
        <v>5</v>
      </c>
      <c r="BN221" s="3">
        <v>3</v>
      </c>
      <c r="BO221" s="3">
        <v>5</v>
      </c>
      <c r="BP221" s="3" t="s">
        <v>635</v>
      </c>
    </row>
    <row r="222" spans="1:68" ht="22.5" customHeight="1" x14ac:dyDescent="0.25">
      <c r="A222" s="2">
        <v>45977.809872152779</v>
      </c>
      <c r="B222" s="3" t="s">
        <v>636</v>
      </c>
      <c r="C222" s="3" t="s">
        <v>86</v>
      </c>
      <c r="D222" s="3" t="s">
        <v>172</v>
      </c>
      <c r="E222" s="3" t="s">
        <v>141</v>
      </c>
      <c r="F222" s="3" t="s">
        <v>78</v>
      </c>
      <c r="G222" s="3" t="s">
        <v>79</v>
      </c>
      <c r="H222" s="3">
        <v>5</v>
      </c>
      <c r="I222" s="3">
        <v>5</v>
      </c>
      <c r="J222" s="3">
        <v>4</v>
      </c>
      <c r="K222" s="3">
        <v>5</v>
      </c>
      <c r="L222" s="3">
        <v>5</v>
      </c>
      <c r="M222" s="3">
        <v>4</v>
      </c>
      <c r="N222" s="3">
        <v>4</v>
      </c>
      <c r="O222" s="3">
        <v>5</v>
      </c>
      <c r="P222" s="3">
        <v>5</v>
      </c>
      <c r="Q222" s="3">
        <v>4</v>
      </c>
      <c r="R222" s="3">
        <v>3</v>
      </c>
      <c r="S222" s="3">
        <v>4</v>
      </c>
      <c r="T222" s="3">
        <v>4</v>
      </c>
      <c r="U222" s="3">
        <v>5</v>
      </c>
      <c r="V222" s="3">
        <v>3</v>
      </c>
      <c r="W222" s="3">
        <v>3</v>
      </c>
      <c r="X222" s="3">
        <v>4</v>
      </c>
      <c r="Y222" s="3">
        <v>3</v>
      </c>
      <c r="Z222" s="3">
        <v>3</v>
      </c>
      <c r="AA222" s="3">
        <v>3</v>
      </c>
      <c r="AB222" s="3">
        <v>3</v>
      </c>
      <c r="AC222" s="3">
        <v>2</v>
      </c>
      <c r="AD222" s="3">
        <v>3</v>
      </c>
      <c r="AE222" s="3">
        <v>5</v>
      </c>
      <c r="AF222" s="3">
        <v>5</v>
      </c>
      <c r="AG222" s="3">
        <v>5</v>
      </c>
      <c r="AH222" s="3">
        <v>5</v>
      </c>
      <c r="AI222" s="3">
        <v>3</v>
      </c>
      <c r="AJ222" s="3">
        <v>5</v>
      </c>
      <c r="AK222" s="3">
        <v>3</v>
      </c>
      <c r="AL222" s="3">
        <v>3</v>
      </c>
      <c r="AM222" s="3">
        <v>3</v>
      </c>
      <c r="AN222" s="3">
        <v>3</v>
      </c>
      <c r="AO222" s="3">
        <v>4</v>
      </c>
      <c r="AP222" s="3">
        <v>4</v>
      </c>
      <c r="AQ222" s="3">
        <v>3</v>
      </c>
      <c r="AR222" s="3">
        <v>4</v>
      </c>
      <c r="AS222" s="3">
        <v>3</v>
      </c>
      <c r="AT222" s="3">
        <v>4</v>
      </c>
      <c r="AU222" s="3">
        <v>4</v>
      </c>
      <c r="AV222" s="3">
        <v>4</v>
      </c>
      <c r="AW222" s="3">
        <v>5</v>
      </c>
      <c r="AX222" s="3">
        <v>5</v>
      </c>
      <c r="AY222" s="3">
        <v>5</v>
      </c>
      <c r="AZ222" s="3">
        <v>5</v>
      </c>
      <c r="BA222" s="3">
        <v>3</v>
      </c>
      <c r="BB222" s="3">
        <v>3</v>
      </c>
      <c r="BC222" s="3">
        <v>3</v>
      </c>
      <c r="BD222" s="3">
        <v>4</v>
      </c>
      <c r="BE222" s="3">
        <v>3</v>
      </c>
      <c r="BF222" s="3">
        <v>3</v>
      </c>
      <c r="BG222" s="3">
        <v>5</v>
      </c>
      <c r="BH222" s="3">
        <v>5</v>
      </c>
      <c r="BI222" s="3">
        <v>5</v>
      </c>
      <c r="BJ222" s="3">
        <v>5</v>
      </c>
      <c r="BK222" s="3">
        <v>5</v>
      </c>
      <c r="BL222" s="3">
        <v>5</v>
      </c>
      <c r="BM222" s="3">
        <v>5</v>
      </c>
      <c r="BN222" s="3">
        <v>5</v>
      </c>
      <c r="BO222" s="3">
        <v>5</v>
      </c>
      <c r="BP222" s="3" t="s">
        <v>637</v>
      </c>
    </row>
    <row r="223" spans="1:68" ht="22.5" customHeight="1" x14ac:dyDescent="0.25">
      <c r="A223" s="2">
        <v>45977.813117337966</v>
      </c>
      <c r="B223" s="3" t="s">
        <v>638</v>
      </c>
      <c r="C223" s="3" t="s">
        <v>86</v>
      </c>
      <c r="D223" s="3" t="s">
        <v>172</v>
      </c>
      <c r="E223" s="3" t="s">
        <v>77</v>
      </c>
      <c r="F223" s="3" t="s">
        <v>78</v>
      </c>
      <c r="G223" s="3" t="s">
        <v>79</v>
      </c>
      <c r="H223" s="3">
        <v>5</v>
      </c>
      <c r="I223" s="3">
        <v>5</v>
      </c>
      <c r="J223" s="3">
        <v>5</v>
      </c>
      <c r="K223" s="3">
        <v>5</v>
      </c>
      <c r="L223" s="3">
        <v>5</v>
      </c>
      <c r="M223" s="3">
        <v>5</v>
      </c>
      <c r="N223" s="3">
        <v>5</v>
      </c>
      <c r="O223" s="3">
        <v>5</v>
      </c>
      <c r="P223" s="3">
        <v>5</v>
      </c>
      <c r="Q223" s="3">
        <v>4</v>
      </c>
      <c r="R223" s="3">
        <v>5</v>
      </c>
      <c r="S223" s="3">
        <v>4</v>
      </c>
      <c r="T223" s="3">
        <v>4</v>
      </c>
      <c r="U223" s="3">
        <v>5</v>
      </c>
      <c r="V223" s="3">
        <v>4</v>
      </c>
      <c r="W223" s="3">
        <v>3</v>
      </c>
      <c r="X223" s="3">
        <v>4</v>
      </c>
      <c r="Y223" s="3">
        <v>4</v>
      </c>
      <c r="Z223" s="3">
        <v>4</v>
      </c>
      <c r="AA223" s="3">
        <v>3</v>
      </c>
      <c r="AB223" s="3">
        <v>2</v>
      </c>
      <c r="AC223" s="3">
        <v>2</v>
      </c>
      <c r="AD223" s="3">
        <v>3</v>
      </c>
      <c r="AE223" s="3">
        <v>4</v>
      </c>
      <c r="AF223" s="3">
        <v>4</v>
      </c>
      <c r="AG223" s="3">
        <v>3</v>
      </c>
      <c r="AH223" s="3">
        <v>5</v>
      </c>
      <c r="AI223" s="3">
        <v>4</v>
      </c>
      <c r="AJ223" s="3">
        <v>4</v>
      </c>
      <c r="AK223" s="3">
        <v>4</v>
      </c>
      <c r="AL223" s="3">
        <v>4</v>
      </c>
      <c r="AM223" s="3">
        <v>4</v>
      </c>
      <c r="AN223" s="3">
        <v>4</v>
      </c>
      <c r="AO223" s="3">
        <v>4</v>
      </c>
      <c r="AP223" s="3">
        <v>4</v>
      </c>
      <c r="AQ223" s="3">
        <v>4</v>
      </c>
      <c r="AR223" s="3">
        <v>3</v>
      </c>
      <c r="AS223" s="3">
        <v>2</v>
      </c>
      <c r="AT223" s="3">
        <v>3</v>
      </c>
      <c r="AU223" s="3">
        <v>4</v>
      </c>
      <c r="AV223" s="3">
        <v>4</v>
      </c>
      <c r="AW223" s="3">
        <v>4</v>
      </c>
      <c r="AX223" s="3">
        <v>4</v>
      </c>
      <c r="AY223" s="3">
        <v>4</v>
      </c>
      <c r="AZ223" s="3">
        <v>4</v>
      </c>
      <c r="BA223" s="3">
        <v>2</v>
      </c>
      <c r="BB223" s="3">
        <v>2</v>
      </c>
      <c r="BC223" s="3">
        <v>3</v>
      </c>
      <c r="BD223" s="3">
        <v>3</v>
      </c>
      <c r="BE223" s="3">
        <v>3</v>
      </c>
      <c r="BF223" s="3">
        <v>3</v>
      </c>
      <c r="BG223" s="3">
        <v>4</v>
      </c>
      <c r="BH223" s="3">
        <v>4</v>
      </c>
      <c r="BI223" s="3">
        <v>4</v>
      </c>
      <c r="BJ223" s="3">
        <v>4</v>
      </c>
      <c r="BK223" s="3">
        <v>4</v>
      </c>
      <c r="BL223" s="3">
        <v>4</v>
      </c>
      <c r="BM223" s="3">
        <v>4</v>
      </c>
      <c r="BN223" s="3">
        <v>4</v>
      </c>
      <c r="BO223" s="3">
        <v>4</v>
      </c>
      <c r="BP223" s="3" t="s">
        <v>639</v>
      </c>
    </row>
    <row r="224" spans="1:68" ht="22.5" customHeight="1" x14ac:dyDescent="0.25">
      <c r="A224" s="2">
        <v>45977.816226990741</v>
      </c>
      <c r="B224" s="3" t="s">
        <v>640</v>
      </c>
      <c r="C224" s="3" t="s">
        <v>86</v>
      </c>
      <c r="D224" s="3" t="s">
        <v>172</v>
      </c>
      <c r="E224" s="3" t="s">
        <v>141</v>
      </c>
      <c r="F224" s="3" t="s">
        <v>78</v>
      </c>
      <c r="G224" s="3" t="s">
        <v>79</v>
      </c>
      <c r="H224" s="3">
        <v>5</v>
      </c>
      <c r="I224" s="3">
        <v>5</v>
      </c>
      <c r="J224" s="3">
        <v>5</v>
      </c>
      <c r="K224" s="3">
        <v>5</v>
      </c>
      <c r="L224" s="3">
        <v>5</v>
      </c>
      <c r="M224" s="3">
        <v>4</v>
      </c>
      <c r="N224" s="3">
        <v>4</v>
      </c>
      <c r="O224" s="3">
        <v>4</v>
      </c>
      <c r="P224" s="3">
        <v>4</v>
      </c>
      <c r="Q224" s="3">
        <v>5</v>
      </c>
      <c r="R224" s="3">
        <v>5</v>
      </c>
      <c r="S224" s="3">
        <v>5</v>
      </c>
      <c r="T224" s="3">
        <v>5</v>
      </c>
      <c r="U224" s="3">
        <v>5</v>
      </c>
      <c r="V224" s="3">
        <v>5</v>
      </c>
      <c r="W224" s="3">
        <v>5</v>
      </c>
      <c r="X224" s="3">
        <v>4</v>
      </c>
      <c r="Y224" s="3">
        <v>4</v>
      </c>
      <c r="Z224" s="3">
        <v>4</v>
      </c>
      <c r="AA224" s="3">
        <v>5</v>
      </c>
      <c r="AB224" s="3">
        <v>3</v>
      </c>
      <c r="AC224" s="3">
        <v>4</v>
      </c>
      <c r="AD224" s="3">
        <v>5</v>
      </c>
      <c r="AE224" s="3">
        <v>5</v>
      </c>
      <c r="AF224" s="3">
        <v>5</v>
      </c>
      <c r="AG224" s="3">
        <v>5</v>
      </c>
      <c r="AH224" s="3">
        <v>5</v>
      </c>
      <c r="AI224" s="3">
        <v>4</v>
      </c>
      <c r="AJ224" s="3">
        <v>4</v>
      </c>
      <c r="AK224" s="3">
        <v>4</v>
      </c>
      <c r="AL224" s="3">
        <v>4</v>
      </c>
      <c r="AM224" s="3">
        <v>4</v>
      </c>
      <c r="AN224" s="3">
        <v>4</v>
      </c>
      <c r="AO224" s="3">
        <v>5</v>
      </c>
      <c r="AP224" s="3">
        <v>4</v>
      </c>
      <c r="AQ224" s="3">
        <v>5</v>
      </c>
      <c r="AR224" s="3">
        <v>5</v>
      </c>
      <c r="AS224" s="3">
        <v>4</v>
      </c>
      <c r="AT224" s="3">
        <v>4</v>
      </c>
      <c r="AU224" s="3">
        <v>4</v>
      </c>
      <c r="AV224" s="3">
        <v>4</v>
      </c>
      <c r="AW224" s="3">
        <v>5</v>
      </c>
      <c r="AX224" s="3">
        <v>5</v>
      </c>
      <c r="AY224" s="3">
        <v>5</v>
      </c>
      <c r="AZ224" s="3">
        <v>5</v>
      </c>
      <c r="BA224" s="3">
        <v>3</v>
      </c>
      <c r="BB224" s="3">
        <v>4</v>
      </c>
      <c r="BC224" s="3">
        <v>4</v>
      </c>
      <c r="BD224" s="3">
        <v>4</v>
      </c>
      <c r="BE224" s="3">
        <v>4</v>
      </c>
      <c r="BF224" s="3">
        <v>4</v>
      </c>
      <c r="BG224" s="3">
        <v>5</v>
      </c>
      <c r="BH224" s="3">
        <v>5</v>
      </c>
      <c r="BI224" s="3">
        <v>5</v>
      </c>
      <c r="BJ224" s="3">
        <v>4</v>
      </c>
      <c r="BK224" s="3">
        <v>4</v>
      </c>
      <c r="BL224" s="3">
        <v>4</v>
      </c>
      <c r="BM224" s="3">
        <v>4</v>
      </c>
      <c r="BN224" s="3">
        <v>4</v>
      </c>
      <c r="BO224" s="3">
        <v>5</v>
      </c>
      <c r="BP224" s="3" t="s">
        <v>641</v>
      </c>
    </row>
    <row r="225" spans="1:68" ht="22.5" customHeight="1" x14ac:dyDescent="0.25">
      <c r="A225" s="2">
        <v>45977.857398356486</v>
      </c>
      <c r="B225" s="3" t="s">
        <v>642</v>
      </c>
      <c r="C225" s="3" t="s">
        <v>86</v>
      </c>
      <c r="D225" s="3" t="s">
        <v>643</v>
      </c>
      <c r="E225" s="3" t="s">
        <v>77</v>
      </c>
      <c r="F225" s="3" t="s">
        <v>78</v>
      </c>
      <c r="G225" s="3" t="s">
        <v>79</v>
      </c>
      <c r="H225" s="3">
        <v>5</v>
      </c>
      <c r="I225" s="3">
        <v>5</v>
      </c>
      <c r="J225" s="3">
        <v>5</v>
      </c>
      <c r="K225" s="3">
        <v>5</v>
      </c>
      <c r="L225" s="3">
        <v>5</v>
      </c>
      <c r="M225" s="3">
        <v>5</v>
      </c>
      <c r="N225" s="3">
        <v>5</v>
      </c>
      <c r="O225" s="3">
        <v>5</v>
      </c>
      <c r="P225" s="3">
        <v>5</v>
      </c>
      <c r="Q225" s="3">
        <v>5</v>
      </c>
      <c r="R225" s="3">
        <v>5</v>
      </c>
      <c r="S225" s="3">
        <v>5</v>
      </c>
      <c r="T225" s="3">
        <v>5</v>
      </c>
      <c r="U225" s="3">
        <v>5</v>
      </c>
      <c r="V225" s="3">
        <v>5</v>
      </c>
      <c r="W225" s="3">
        <v>4</v>
      </c>
      <c r="X225" s="3">
        <v>4</v>
      </c>
      <c r="Y225" s="3">
        <v>4</v>
      </c>
      <c r="Z225" s="3">
        <v>4</v>
      </c>
      <c r="AA225" s="3">
        <v>4</v>
      </c>
      <c r="AB225" s="3">
        <v>3</v>
      </c>
      <c r="AC225" s="3">
        <v>2</v>
      </c>
      <c r="AD225" s="3">
        <v>5</v>
      </c>
      <c r="AE225" s="3">
        <v>5</v>
      </c>
      <c r="AF225" s="3">
        <v>5</v>
      </c>
      <c r="AG225" s="3">
        <v>5</v>
      </c>
      <c r="AH225" s="3">
        <v>5</v>
      </c>
      <c r="AI225" s="3">
        <v>5</v>
      </c>
      <c r="AJ225" s="3">
        <v>5</v>
      </c>
      <c r="AK225" s="3">
        <v>5</v>
      </c>
      <c r="AL225" s="3">
        <v>5</v>
      </c>
      <c r="AM225" s="3">
        <v>5</v>
      </c>
      <c r="AN225" s="3">
        <v>5</v>
      </c>
      <c r="AO225" s="3">
        <v>5</v>
      </c>
      <c r="AP225" s="3">
        <v>5</v>
      </c>
      <c r="AQ225" s="3">
        <v>5</v>
      </c>
      <c r="AR225" s="3">
        <v>5</v>
      </c>
      <c r="AS225" s="3">
        <v>5</v>
      </c>
      <c r="AT225" s="3">
        <v>5</v>
      </c>
      <c r="AU225" s="3">
        <v>5</v>
      </c>
      <c r="AV225" s="3">
        <v>5</v>
      </c>
      <c r="AW225" s="3">
        <v>5</v>
      </c>
      <c r="AX225" s="3">
        <v>5</v>
      </c>
      <c r="AY225" s="3">
        <v>5</v>
      </c>
      <c r="AZ225" s="3">
        <v>5</v>
      </c>
      <c r="BA225" s="3">
        <v>4</v>
      </c>
      <c r="BB225" s="3">
        <v>4</v>
      </c>
      <c r="BC225" s="3">
        <v>5</v>
      </c>
      <c r="BD225" s="3">
        <v>5</v>
      </c>
      <c r="BE225" s="3">
        <v>4</v>
      </c>
      <c r="BF225" s="3">
        <v>4</v>
      </c>
      <c r="BG225" s="3">
        <v>5</v>
      </c>
      <c r="BH225" s="3">
        <v>5</v>
      </c>
      <c r="BI225" s="3">
        <v>5</v>
      </c>
      <c r="BJ225" s="3">
        <v>5</v>
      </c>
      <c r="BK225" s="3">
        <v>5</v>
      </c>
      <c r="BL225" s="3">
        <v>5</v>
      </c>
      <c r="BM225" s="3">
        <v>5</v>
      </c>
      <c r="BN225" s="3">
        <v>5</v>
      </c>
      <c r="BO225" s="3">
        <v>5</v>
      </c>
      <c r="BP225" s="3" t="s">
        <v>644</v>
      </c>
    </row>
    <row r="226" spans="1:68" ht="22.5" customHeight="1" x14ac:dyDescent="0.25">
      <c r="A226" s="2">
        <v>45977.89547625</v>
      </c>
      <c r="B226" s="3" t="s">
        <v>645</v>
      </c>
      <c r="C226" s="3" t="s">
        <v>86</v>
      </c>
      <c r="D226" s="3" t="s">
        <v>172</v>
      </c>
      <c r="E226" s="3" t="s">
        <v>77</v>
      </c>
      <c r="F226" s="3" t="s">
        <v>78</v>
      </c>
      <c r="G226" s="3" t="s">
        <v>79</v>
      </c>
      <c r="H226" s="3">
        <v>5</v>
      </c>
      <c r="I226" s="3">
        <v>5</v>
      </c>
      <c r="J226" s="3">
        <v>5</v>
      </c>
      <c r="K226" s="3">
        <v>5</v>
      </c>
      <c r="L226" s="3">
        <v>5</v>
      </c>
      <c r="M226" s="3">
        <v>3</v>
      </c>
      <c r="N226" s="3">
        <v>3</v>
      </c>
      <c r="O226" s="3">
        <v>4</v>
      </c>
      <c r="P226" s="3">
        <v>4</v>
      </c>
      <c r="Q226" s="3">
        <v>4</v>
      </c>
      <c r="R226" s="3">
        <v>4</v>
      </c>
      <c r="S226" s="3">
        <v>4</v>
      </c>
      <c r="T226" s="3">
        <v>4</v>
      </c>
      <c r="U226" s="3">
        <v>4</v>
      </c>
      <c r="V226" s="3">
        <v>3</v>
      </c>
      <c r="W226" s="3">
        <v>2</v>
      </c>
      <c r="X226" s="3">
        <v>3</v>
      </c>
      <c r="Y226" s="3">
        <v>2</v>
      </c>
      <c r="Z226" s="3">
        <v>2</v>
      </c>
      <c r="AA226" s="3">
        <v>4</v>
      </c>
      <c r="AB226" s="3">
        <v>3</v>
      </c>
      <c r="AC226" s="3">
        <v>3</v>
      </c>
      <c r="AD226" s="3">
        <v>4</v>
      </c>
      <c r="AE226" s="3">
        <v>4</v>
      </c>
      <c r="AF226" s="3">
        <v>3</v>
      </c>
      <c r="AG226" s="3">
        <v>4</v>
      </c>
      <c r="AH226" s="3">
        <v>3</v>
      </c>
      <c r="AI226" s="3">
        <v>4</v>
      </c>
      <c r="AJ226" s="3">
        <v>3</v>
      </c>
      <c r="AK226" s="3">
        <v>3</v>
      </c>
      <c r="AL226" s="3">
        <v>3</v>
      </c>
      <c r="AM226" s="3">
        <v>3</v>
      </c>
      <c r="AN226" s="3">
        <v>4</v>
      </c>
      <c r="AO226" s="3">
        <v>4</v>
      </c>
      <c r="AP226" s="3">
        <v>2</v>
      </c>
      <c r="AQ226" s="3">
        <v>3</v>
      </c>
      <c r="AR226" s="3">
        <v>2</v>
      </c>
      <c r="AS226" s="3">
        <v>3</v>
      </c>
      <c r="AT226" s="3">
        <v>3</v>
      </c>
      <c r="AU226" s="3">
        <v>4</v>
      </c>
      <c r="AV226" s="3">
        <v>3</v>
      </c>
      <c r="AW226" s="3">
        <v>4</v>
      </c>
      <c r="AX226" s="3">
        <v>4</v>
      </c>
      <c r="AY226" s="3">
        <v>3</v>
      </c>
      <c r="AZ226" s="3">
        <v>3</v>
      </c>
      <c r="BA226" s="3">
        <v>4</v>
      </c>
      <c r="BB226" s="3">
        <v>4</v>
      </c>
      <c r="BC226" s="3">
        <v>3</v>
      </c>
      <c r="BD226" s="3">
        <v>3</v>
      </c>
      <c r="BE226" s="3">
        <v>2</v>
      </c>
      <c r="BF226" s="3">
        <v>2</v>
      </c>
      <c r="BG226" s="3">
        <v>3</v>
      </c>
      <c r="BH226" s="3">
        <v>3</v>
      </c>
      <c r="BI226" s="3">
        <v>4</v>
      </c>
      <c r="BJ226" s="3">
        <v>4</v>
      </c>
      <c r="BK226" s="3">
        <v>4</v>
      </c>
      <c r="BL226" s="3">
        <v>4</v>
      </c>
      <c r="BM226" s="3">
        <v>3</v>
      </c>
      <c r="BN226" s="3">
        <v>3</v>
      </c>
      <c r="BO226" s="3">
        <v>4</v>
      </c>
      <c r="BP226" s="3" t="s">
        <v>646</v>
      </c>
    </row>
    <row r="227" spans="1:68" ht="22.5" customHeight="1" x14ac:dyDescent="0.25">
      <c r="A227" s="2">
        <v>45977.96623046296</v>
      </c>
      <c r="B227" s="3" t="s">
        <v>647</v>
      </c>
      <c r="C227" s="3" t="s">
        <v>69</v>
      </c>
      <c r="D227" s="3" t="s">
        <v>648</v>
      </c>
      <c r="E227" s="3" t="s">
        <v>71</v>
      </c>
      <c r="F227" s="3" t="s">
        <v>88</v>
      </c>
      <c r="G227" s="3" t="s">
        <v>83</v>
      </c>
      <c r="H227" s="3">
        <v>5</v>
      </c>
      <c r="I227" s="3">
        <v>4</v>
      </c>
      <c r="J227" s="3">
        <v>5</v>
      </c>
      <c r="K227" s="3">
        <v>3</v>
      </c>
      <c r="L227" s="3">
        <v>4</v>
      </c>
      <c r="M227" s="3">
        <v>1</v>
      </c>
      <c r="N227" s="3">
        <v>2</v>
      </c>
      <c r="O227" s="3">
        <v>4</v>
      </c>
      <c r="P227" s="3">
        <v>5</v>
      </c>
      <c r="Q227" s="3">
        <v>5</v>
      </c>
      <c r="R227" s="3">
        <v>5</v>
      </c>
      <c r="S227" s="3">
        <v>5</v>
      </c>
      <c r="T227" s="3">
        <v>5</v>
      </c>
      <c r="U227" s="3">
        <v>5</v>
      </c>
      <c r="V227" s="3">
        <v>4</v>
      </c>
      <c r="W227" s="3">
        <v>3</v>
      </c>
      <c r="X227" s="3">
        <v>4</v>
      </c>
      <c r="Y227" s="3">
        <v>4</v>
      </c>
      <c r="Z227" s="3">
        <v>4</v>
      </c>
      <c r="AA227" s="3">
        <v>5</v>
      </c>
      <c r="AB227" s="3">
        <v>3</v>
      </c>
      <c r="AC227" s="3">
        <v>3</v>
      </c>
      <c r="AD227" s="3">
        <v>4</v>
      </c>
      <c r="AE227" s="3">
        <v>5</v>
      </c>
      <c r="AF227" s="3">
        <v>5</v>
      </c>
      <c r="AG227" s="3">
        <v>3</v>
      </c>
      <c r="AH227" s="3">
        <v>3</v>
      </c>
      <c r="AI227" s="3">
        <v>4</v>
      </c>
      <c r="AJ227" s="3">
        <v>4</v>
      </c>
      <c r="AK227" s="3">
        <v>5</v>
      </c>
      <c r="AL227" s="3">
        <v>5</v>
      </c>
      <c r="AM227" s="3">
        <v>5</v>
      </c>
      <c r="AN227" s="3">
        <v>5</v>
      </c>
      <c r="AO227" s="3">
        <v>5</v>
      </c>
      <c r="AP227" s="3">
        <v>5</v>
      </c>
      <c r="AQ227" s="3">
        <v>3</v>
      </c>
      <c r="AR227" s="3">
        <v>3</v>
      </c>
      <c r="AS227" s="3">
        <v>4</v>
      </c>
      <c r="AT227" s="3">
        <v>4</v>
      </c>
      <c r="AU227" s="3">
        <v>4</v>
      </c>
      <c r="AV227" s="3">
        <v>4</v>
      </c>
      <c r="AW227" s="3">
        <v>5</v>
      </c>
      <c r="AX227" s="3">
        <v>5</v>
      </c>
      <c r="AY227" s="3">
        <v>5</v>
      </c>
      <c r="AZ227" s="3">
        <v>5</v>
      </c>
      <c r="BA227" s="3">
        <v>3</v>
      </c>
      <c r="BB227" s="3">
        <v>4</v>
      </c>
      <c r="BC227" s="3">
        <v>4</v>
      </c>
      <c r="BD227" s="3">
        <v>4</v>
      </c>
      <c r="BE227" s="3">
        <v>4</v>
      </c>
      <c r="BF227" s="3">
        <v>3</v>
      </c>
      <c r="BG227" s="3">
        <v>3</v>
      </c>
      <c r="BH227" s="3">
        <v>5</v>
      </c>
      <c r="BI227" s="3">
        <v>5</v>
      </c>
      <c r="BJ227" s="3">
        <v>4</v>
      </c>
      <c r="BK227" s="3">
        <v>4</v>
      </c>
      <c r="BL227" s="3">
        <v>4</v>
      </c>
      <c r="BM227" s="3">
        <v>4</v>
      </c>
      <c r="BN227" s="3">
        <v>4</v>
      </c>
      <c r="BO227" s="3">
        <v>5</v>
      </c>
      <c r="BP227" s="3" t="s">
        <v>649</v>
      </c>
    </row>
    <row r="228" spans="1:68" ht="22.5" customHeight="1" x14ac:dyDescent="0.25">
      <c r="A228" s="2">
        <v>45978.389631932871</v>
      </c>
      <c r="B228" s="3" t="s">
        <v>650</v>
      </c>
      <c r="C228" s="3" t="s">
        <v>69</v>
      </c>
      <c r="D228" s="3" t="s">
        <v>651</v>
      </c>
      <c r="E228" s="3" t="s">
        <v>77</v>
      </c>
      <c r="F228" s="3" t="s">
        <v>78</v>
      </c>
      <c r="G228" s="3" t="s">
        <v>79</v>
      </c>
      <c r="H228" s="3">
        <v>5</v>
      </c>
      <c r="I228" s="3">
        <v>5</v>
      </c>
      <c r="J228" s="3">
        <v>5</v>
      </c>
      <c r="K228" s="3">
        <v>5</v>
      </c>
      <c r="L228" s="3">
        <v>5</v>
      </c>
      <c r="M228" s="3">
        <v>5</v>
      </c>
      <c r="N228" s="3">
        <v>5</v>
      </c>
      <c r="O228" s="3">
        <v>5</v>
      </c>
      <c r="P228" s="3">
        <v>5</v>
      </c>
      <c r="Q228" s="3">
        <v>5</v>
      </c>
      <c r="R228" s="3">
        <v>5</v>
      </c>
      <c r="S228" s="3">
        <v>5</v>
      </c>
      <c r="T228" s="3">
        <v>5</v>
      </c>
      <c r="U228" s="3">
        <v>5</v>
      </c>
      <c r="V228" s="3">
        <v>3</v>
      </c>
      <c r="W228" s="3">
        <v>4</v>
      </c>
      <c r="X228" s="3">
        <v>5</v>
      </c>
      <c r="Y228" s="3">
        <v>4</v>
      </c>
      <c r="Z228" s="3">
        <v>4</v>
      </c>
      <c r="AA228" s="3">
        <v>4</v>
      </c>
      <c r="AB228" s="3">
        <v>4</v>
      </c>
      <c r="AC228" s="3">
        <v>4</v>
      </c>
      <c r="AD228" s="3">
        <v>4</v>
      </c>
      <c r="AE228" s="3">
        <v>3</v>
      </c>
      <c r="AF228" s="3">
        <v>3</v>
      </c>
      <c r="AG228" s="3">
        <v>3</v>
      </c>
      <c r="AH228" s="3">
        <v>3</v>
      </c>
      <c r="AI228" s="3">
        <v>4</v>
      </c>
      <c r="AJ228" s="3">
        <v>4</v>
      </c>
      <c r="AK228" s="3">
        <v>4</v>
      </c>
      <c r="AL228" s="3">
        <v>4</v>
      </c>
      <c r="AM228" s="3">
        <v>4</v>
      </c>
      <c r="AN228" s="3">
        <v>3</v>
      </c>
      <c r="AO228" s="3">
        <v>3</v>
      </c>
      <c r="AP228" s="3">
        <v>3</v>
      </c>
      <c r="AQ228" s="3">
        <v>3</v>
      </c>
      <c r="AR228" s="3">
        <v>3</v>
      </c>
      <c r="AS228" s="3">
        <v>3</v>
      </c>
      <c r="AT228" s="3">
        <v>3</v>
      </c>
      <c r="AU228" s="3">
        <v>3</v>
      </c>
      <c r="AV228" s="3">
        <v>3</v>
      </c>
      <c r="AW228" s="3">
        <v>4</v>
      </c>
      <c r="AX228" s="3">
        <v>4</v>
      </c>
      <c r="AY228" s="3">
        <v>4</v>
      </c>
      <c r="AZ228" s="3">
        <v>4</v>
      </c>
      <c r="BA228" s="3">
        <v>5</v>
      </c>
      <c r="BB228" s="3">
        <v>5</v>
      </c>
      <c r="BC228" s="3">
        <v>5</v>
      </c>
      <c r="BD228" s="3">
        <v>5</v>
      </c>
      <c r="BE228" s="3">
        <v>5</v>
      </c>
      <c r="BF228" s="3">
        <v>5</v>
      </c>
      <c r="BG228" s="3">
        <v>5</v>
      </c>
      <c r="BH228" s="3">
        <v>5</v>
      </c>
      <c r="BI228" s="3">
        <v>5</v>
      </c>
      <c r="BJ228" s="3">
        <v>5</v>
      </c>
      <c r="BK228" s="3">
        <v>5</v>
      </c>
      <c r="BL228" s="3">
        <v>5</v>
      </c>
      <c r="BM228" s="3">
        <v>5</v>
      </c>
      <c r="BN228" s="3">
        <v>5</v>
      </c>
      <c r="BO228" s="3">
        <v>5</v>
      </c>
      <c r="BP228" s="3" t="s">
        <v>652</v>
      </c>
    </row>
    <row r="229" spans="1:68" ht="22.5" customHeight="1" x14ac:dyDescent="0.25">
      <c r="A229" s="2">
        <v>45978.673273344903</v>
      </c>
      <c r="B229" s="3" t="s">
        <v>653</v>
      </c>
      <c r="C229" s="3" t="s">
        <v>86</v>
      </c>
      <c r="D229" s="3" t="s">
        <v>70</v>
      </c>
      <c r="E229" s="3" t="s">
        <v>77</v>
      </c>
      <c r="F229" s="3" t="s">
        <v>78</v>
      </c>
      <c r="G229" s="3" t="s">
        <v>79</v>
      </c>
      <c r="H229" s="3">
        <v>5</v>
      </c>
      <c r="I229" s="3">
        <v>5</v>
      </c>
      <c r="J229" s="3">
        <v>5</v>
      </c>
      <c r="K229" s="3">
        <v>5</v>
      </c>
      <c r="L229" s="3">
        <v>5</v>
      </c>
      <c r="M229" s="3">
        <v>5</v>
      </c>
      <c r="N229" s="3">
        <v>5</v>
      </c>
      <c r="O229" s="3">
        <v>5</v>
      </c>
      <c r="P229" s="3">
        <v>5</v>
      </c>
      <c r="Q229" s="3">
        <v>5</v>
      </c>
      <c r="R229" s="3">
        <v>5</v>
      </c>
      <c r="S229" s="3">
        <v>5</v>
      </c>
      <c r="T229" s="3">
        <v>5</v>
      </c>
      <c r="U229" s="3">
        <v>5</v>
      </c>
      <c r="V229" s="3">
        <v>4</v>
      </c>
      <c r="W229" s="3">
        <v>4</v>
      </c>
      <c r="X229" s="3">
        <v>5</v>
      </c>
      <c r="Y229" s="3">
        <v>5</v>
      </c>
      <c r="Z229" s="3">
        <v>5</v>
      </c>
      <c r="AA229" s="3">
        <v>5</v>
      </c>
      <c r="AB229" s="3">
        <v>5</v>
      </c>
      <c r="AC229" s="3">
        <v>5</v>
      </c>
      <c r="AD229" s="3">
        <v>5</v>
      </c>
      <c r="AE229" s="3">
        <v>5</v>
      </c>
      <c r="AF229" s="3">
        <v>5</v>
      </c>
      <c r="AG229" s="3">
        <v>5</v>
      </c>
      <c r="AH229" s="3">
        <v>5</v>
      </c>
      <c r="AI229" s="3">
        <v>5</v>
      </c>
      <c r="AJ229" s="3">
        <v>5</v>
      </c>
      <c r="AK229" s="3">
        <v>5</v>
      </c>
      <c r="AL229" s="3">
        <v>5</v>
      </c>
      <c r="AM229" s="3">
        <v>5</v>
      </c>
      <c r="AN229" s="3">
        <v>5</v>
      </c>
      <c r="AO229" s="3">
        <v>5</v>
      </c>
      <c r="AP229" s="3">
        <v>5</v>
      </c>
      <c r="AQ229" s="3">
        <v>5</v>
      </c>
      <c r="AR229" s="3">
        <v>5</v>
      </c>
      <c r="AS229" s="3">
        <v>5</v>
      </c>
      <c r="AT229" s="3">
        <v>5</v>
      </c>
      <c r="AU229" s="3">
        <v>5</v>
      </c>
      <c r="AV229" s="3">
        <v>5</v>
      </c>
      <c r="AW229" s="3">
        <v>5</v>
      </c>
      <c r="AX229" s="3">
        <v>5</v>
      </c>
      <c r="AY229" s="3">
        <v>5</v>
      </c>
      <c r="AZ229" s="3">
        <v>5</v>
      </c>
      <c r="BA229" s="3">
        <v>5</v>
      </c>
      <c r="BB229" s="3">
        <v>5</v>
      </c>
      <c r="BC229" s="3">
        <v>5</v>
      </c>
      <c r="BD229" s="3">
        <v>5</v>
      </c>
      <c r="BE229" s="3">
        <v>5</v>
      </c>
      <c r="BF229" s="3">
        <v>5</v>
      </c>
      <c r="BG229" s="3">
        <v>5</v>
      </c>
      <c r="BH229" s="3">
        <v>5</v>
      </c>
      <c r="BI229" s="3">
        <v>5</v>
      </c>
      <c r="BJ229" s="3">
        <v>5</v>
      </c>
      <c r="BK229" s="3">
        <v>5</v>
      </c>
      <c r="BL229" s="3">
        <v>5</v>
      </c>
      <c r="BM229" s="3">
        <v>5</v>
      </c>
      <c r="BN229" s="3">
        <v>5</v>
      </c>
      <c r="BO229" s="3">
        <v>5</v>
      </c>
      <c r="BP229" s="3" t="s">
        <v>654</v>
      </c>
    </row>
    <row r="230" spans="1:68" ht="22.5" customHeight="1" x14ac:dyDescent="0.25">
      <c r="A230" s="2">
        <v>45978.684368726856</v>
      </c>
      <c r="B230" s="3" t="s">
        <v>655</v>
      </c>
      <c r="C230" s="3" t="s">
        <v>86</v>
      </c>
      <c r="D230" s="3" t="s">
        <v>656</v>
      </c>
      <c r="E230" s="3" t="s">
        <v>77</v>
      </c>
      <c r="F230" s="3" t="s">
        <v>78</v>
      </c>
      <c r="G230" s="3" t="s">
        <v>79</v>
      </c>
      <c r="H230" s="3">
        <v>5</v>
      </c>
      <c r="I230" s="3">
        <v>5</v>
      </c>
      <c r="J230" s="3">
        <v>5</v>
      </c>
      <c r="K230" s="3">
        <v>5</v>
      </c>
      <c r="L230" s="3">
        <v>5</v>
      </c>
      <c r="M230" s="3">
        <v>3</v>
      </c>
      <c r="N230" s="3">
        <v>4</v>
      </c>
      <c r="O230" s="3">
        <v>5</v>
      </c>
      <c r="P230" s="3">
        <v>5</v>
      </c>
      <c r="Q230" s="3">
        <v>5</v>
      </c>
      <c r="R230" s="3">
        <v>5</v>
      </c>
      <c r="S230" s="3">
        <v>5</v>
      </c>
      <c r="T230" s="3">
        <v>5</v>
      </c>
      <c r="U230" s="3">
        <v>5</v>
      </c>
      <c r="V230" s="3">
        <v>4</v>
      </c>
      <c r="W230" s="3">
        <v>4</v>
      </c>
      <c r="X230" s="3">
        <v>5</v>
      </c>
      <c r="Y230" s="3">
        <v>4</v>
      </c>
      <c r="Z230" s="3">
        <v>5</v>
      </c>
      <c r="AA230" s="3">
        <v>4</v>
      </c>
      <c r="AB230" s="3">
        <v>3</v>
      </c>
      <c r="AC230" s="3">
        <v>3</v>
      </c>
      <c r="AD230" s="3">
        <v>4</v>
      </c>
      <c r="AE230" s="3">
        <v>5</v>
      </c>
      <c r="AF230" s="3">
        <v>5</v>
      </c>
      <c r="AG230" s="3">
        <v>5</v>
      </c>
      <c r="AH230" s="3">
        <v>5</v>
      </c>
      <c r="AI230" s="3">
        <v>4</v>
      </c>
      <c r="AJ230" s="3">
        <v>5</v>
      </c>
      <c r="AK230" s="3">
        <v>5</v>
      </c>
      <c r="AL230" s="3">
        <v>4</v>
      </c>
      <c r="AM230" s="3">
        <v>5</v>
      </c>
      <c r="AN230" s="3">
        <v>4</v>
      </c>
      <c r="AO230" s="3">
        <v>4</v>
      </c>
      <c r="AP230" s="3">
        <v>5</v>
      </c>
      <c r="AQ230" s="3">
        <v>4</v>
      </c>
      <c r="AR230" s="3">
        <v>4</v>
      </c>
      <c r="AS230" s="3">
        <v>4</v>
      </c>
      <c r="AT230" s="3">
        <v>5</v>
      </c>
      <c r="AU230" s="3">
        <v>5</v>
      </c>
      <c r="AV230" s="3">
        <v>5</v>
      </c>
      <c r="AW230" s="3">
        <v>5</v>
      </c>
      <c r="AX230" s="3">
        <v>5</v>
      </c>
      <c r="AY230" s="3">
        <v>5</v>
      </c>
      <c r="AZ230" s="3">
        <v>5</v>
      </c>
      <c r="BA230" s="3">
        <v>3</v>
      </c>
      <c r="BB230" s="3">
        <v>4</v>
      </c>
      <c r="BC230" s="3">
        <v>3</v>
      </c>
      <c r="BD230" s="3">
        <v>3</v>
      </c>
      <c r="BE230" s="3">
        <v>3</v>
      </c>
      <c r="BF230" s="3">
        <v>3</v>
      </c>
      <c r="BG230" s="3">
        <v>5</v>
      </c>
      <c r="BH230" s="3">
        <v>5</v>
      </c>
      <c r="BI230" s="3">
        <v>5</v>
      </c>
      <c r="BJ230" s="3">
        <v>5</v>
      </c>
      <c r="BK230" s="3">
        <v>5</v>
      </c>
      <c r="BL230" s="3">
        <v>5</v>
      </c>
      <c r="BM230" s="3">
        <v>5</v>
      </c>
      <c r="BN230" s="3">
        <v>5</v>
      </c>
      <c r="BO230" s="3">
        <v>5</v>
      </c>
      <c r="BP230" s="3" t="s">
        <v>657</v>
      </c>
    </row>
    <row r="231" spans="1:68" ht="22.5" customHeight="1" x14ac:dyDescent="0.25">
      <c r="A231" s="2">
        <v>45978.686490231485</v>
      </c>
      <c r="B231" s="3" t="s">
        <v>658</v>
      </c>
      <c r="C231" s="3" t="s">
        <v>86</v>
      </c>
      <c r="D231" s="3" t="s">
        <v>659</v>
      </c>
      <c r="E231" s="3" t="s">
        <v>77</v>
      </c>
      <c r="F231" s="3" t="s">
        <v>78</v>
      </c>
      <c r="G231" s="3" t="s">
        <v>79</v>
      </c>
      <c r="H231" s="3">
        <v>4</v>
      </c>
      <c r="I231" s="3">
        <v>4</v>
      </c>
      <c r="J231" s="3">
        <v>4</v>
      </c>
      <c r="K231" s="3">
        <v>4</v>
      </c>
      <c r="L231" s="3">
        <v>4</v>
      </c>
      <c r="M231" s="3">
        <v>4</v>
      </c>
      <c r="N231" s="3">
        <v>4</v>
      </c>
      <c r="O231" s="3">
        <v>4</v>
      </c>
      <c r="P231" s="3">
        <v>4</v>
      </c>
      <c r="Q231" s="3">
        <v>4</v>
      </c>
      <c r="R231" s="3">
        <v>4</v>
      </c>
      <c r="S231" s="3">
        <v>4</v>
      </c>
      <c r="T231" s="3">
        <v>4</v>
      </c>
      <c r="U231" s="3">
        <v>4</v>
      </c>
      <c r="V231" s="3">
        <v>4</v>
      </c>
      <c r="W231" s="3">
        <v>4</v>
      </c>
      <c r="X231" s="3">
        <v>4</v>
      </c>
      <c r="Y231" s="3">
        <v>4</v>
      </c>
      <c r="Z231" s="3">
        <v>4</v>
      </c>
      <c r="AA231" s="3">
        <v>4</v>
      </c>
      <c r="AB231" s="3">
        <v>4</v>
      </c>
      <c r="AC231" s="3">
        <v>4</v>
      </c>
      <c r="AD231" s="3">
        <v>4</v>
      </c>
      <c r="AE231" s="3">
        <v>4</v>
      </c>
      <c r="AF231" s="3">
        <v>4</v>
      </c>
      <c r="AG231" s="3">
        <v>4</v>
      </c>
      <c r="AH231" s="3">
        <v>4</v>
      </c>
      <c r="AI231" s="3">
        <v>4</v>
      </c>
      <c r="AJ231" s="3">
        <v>4</v>
      </c>
      <c r="AK231" s="3">
        <v>4</v>
      </c>
      <c r="AL231" s="3">
        <v>4</v>
      </c>
      <c r="AM231" s="3">
        <v>4</v>
      </c>
      <c r="AN231" s="3">
        <v>4</v>
      </c>
      <c r="AO231" s="3">
        <v>4</v>
      </c>
      <c r="AP231" s="3">
        <v>4</v>
      </c>
      <c r="AQ231" s="3">
        <v>4</v>
      </c>
      <c r="AR231" s="3">
        <v>4</v>
      </c>
      <c r="AS231" s="3">
        <v>4</v>
      </c>
      <c r="AT231" s="3">
        <v>4</v>
      </c>
      <c r="AU231" s="3">
        <v>4</v>
      </c>
      <c r="AV231" s="3">
        <v>4</v>
      </c>
      <c r="AW231" s="3">
        <v>4</v>
      </c>
      <c r="AX231" s="3">
        <v>4</v>
      </c>
      <c r="AY231" s="3">
        <v>4</v>
      </c>
      <c r="AZ231" s="3">
        <v>4</v>
      </c>
      <c r="BA231" s="3">
        <v>4</v>
      </c>
      <c r="BB231" s="3">
        <v>4</v>
      </c>
      <c r="BC231" s="3">
        <v>4</v>
      </c>
      <c r="BD231" s="3">
        <v>4</v>
      </c>
      <c r="BE231" s="3">
        <v>4</v>
      </c>
      <c r="BF231" s="3">
        <v>4</v>
      </c>
      <c r="BG231" s="3">
        <v>4</v>
      </c>
      <c r="BH231" s="3">
        <v>4</v>
      </c>
      <c r="BI231" s="3">
        <v>4</v>
      </c>
      <c r="BJ231" s="3">
        <v>4</v>
      </c>
      <c r="BK231" s="3">
        <v>4</v>
      </c>
      <c r="BL231" s="3">
        <v>4</v>
      </c>
      <c r="BM231" s="3">
        <v>4</v>
      </c>
      <c r="BN231" s="3">
        <v>4</v>
      </c>
      <c r="BO231" s="3">
        <v>4</v>
      </c>
      <c r="BP231" s="3" t="s">
        <v>660</v>
      </c>
    </row>
    <row r="232" spans="1:68" ht="22.5" customHeight="1" x14ac:dyDescent="0.25">
      <c r="A232" s="2">
        <v>45978.838909039347</v>
      </c>
      <c r="B232" s="3" t="s">
        <v>661</v>
      </c>
      <c r="C232" s="3" t="s">
        <v>86</v>
      </c>
      <c r="D232" s="3" t="s">
        <v>662</v>
      </c>
      <c r="E232" s="3" t="s">
        <v>77</v>
      </c>
      <c r="F232" s="3" t="s">
        <v>88</v>
      </c>
      <c r="G232" s="3" t="s">
        <v>83</v>
      </c>
      <c r="H232" s="3">
        <v>5</v>
      </c>
      <c r="I232" s="3">
        <v>5</v>
      </c>
      <c r="J232" s="3">
        <v>5</v>
      </c>
      <c r="K232" s="3">
        <v>5</v>
      </c>
      <c r="L232" s="3">
        <v>5</v>
      </c>
      <c r="M232" s="3">
        <v>5</v>
      </c>
      <c r="N232" s="3">
        <v>5</v>
      </c>
      <c r="O232" s="3">
        <v>5</v>
      </c>
      <c r="P232" s="3">
        <v>5</v>
      </c>
      <c r="Q232" s="3">
        <v>5</v>
      </c>
      <c r="R232" s="3">
        <v>5</v>
      </c>
      <c r="S232" s="3">
        <v>5</v>
      </c>
      <c r="T232" s="3">
        <v>5</v>
      </c>
      <c r="U232" s="3">
        <v>5</v>
      </c>
      <c r="V232" s="3">
        <v>5</v>
      </c>
      <c r="W232" s="3">
        <v>5</v>
      </c>
      <c r="X232" s="3">
        <v>5</v>
      </c>
      <c r="Y232" s="3">
        <v>5</v>
      </c>
      <c r="Z232" s="3">
        <v>5</v>
      </c>
      <c r="AA232" s="3">
        <v>3</v>
      </c>
      <c r="AB232" s="3">
        <v>3</v>
      </c>
      <c r="AC232" s="3">
        <v>3</v>
      </c>
      <c r="AD232" s="3">
        <v>4</v>
      </c>
      <c r="AE232" s="3">
        <v>5</v>
      </c>
      <c r="AF232" s="3">
        <v>5</v>
      </c>
      <c r="AG232" s="3">
        <v>5</v>
      </c>
      <c r="AH232" s="3">
        <v>5</v>
      </c>
      <c r="AI232" s="3">
        <v>5</v>
      </c>
      <c r="AJ232" s="3">
        <v>5</v>
      </c>
      <c r="AK232" s="3">
        <v>5</v>
      </c>
      <c r="AL232" s="3">
        <v>5</v>
      </c>
      <c r="AM232" s="3">
        <v>5</v>
      </c>
      <c r="AN232" s="3">
        <v>5</v>
      </c>
      <c r="AO232" s="3">
        <v>5</v>
      </c>
      <c r="AP232" s="3">
        <v>5</v>
      </c>
      <c r="AQ232" s="3">
        <v>5</v>
      </c>
      <c r="AR232" s="3">
        <v>5</v>
      </c>
      <c r="AS232" s="3">
        <v>5</v>
      </c>
      <c r="AT232" s="3">
        <v>5</v>
      </c>
      <c r="AU232" s="3">
        <v>5</v>
      </c>
      <c r="AV232" s="3">
        <v>5</v>
      </c>
      <c r="AW232" s="3">
        <v>5</v>
      </c>
      <c r="AX232" s="3">
        <v>5</v>
      </c>
      <c r="AY232" s="3">
        <v>5</v>
      </c>
      <c r="AZ232" s="3">
        <v>5</v>
      </c>
      <c r="BA232" s="3">
        <v>4</v>
      </c>
      <c r="BB232" s="3">
        <v>4</v>
      </c>
      <c r="BC232" s="3">
        <v>4</v>
      </c>
      <c r="BD232" s="3">
        <v>4</v>
      </c>
      <c r="BE232" s="3">
        <v>4</v>
      </c>
      <c r="BF232" s="3">
        <v>4</v>
      </c>
      <c r="BG232" s="3">
        <v>4</v>
      </c>
      <c r="BH232" s="3">
        <v>4</v>
      </c>
      <c r="BI232" s="3">
        <v>4</v>
      </c>
      <c r="BJ232" s="3">
        <v>5</v>
      </c>
      <c r="BK232" s="3">
        <v>5</v>
      </c>
      <c r="BL232" s="3">
        <v>5</v>
      </c>
      <c r="BM232" s="3">
        <v>5</v>
      </c>
      <c r="BN232" s="3">
        <v>5</v>
      </c>
      <c r="BO232" s="3">
        <v>5</v>
      </c>
      <c r="BP232" s="3" t="s">
        <v>663</v>
      </c>
    </row>
    <row r="233" spans="1:68" ht="22.5" customHeight="1" x14ac:dyDescent="0.25">
      <c r="A233" s="2">
        <v>45978.85686925926</v>
      </c>
      <c r="B233" s="3" t="s">
        <v>664</v>
      </c>
      <c r="C233" s="3" t="s">
        <v>69</v>
      </c>
      <c r="D233" s="3" t="s">
        <v>662</v>
      </c>
      <c r="E233" s="3" t="s">
        <v>77</v>
      </c>
      <c r="F233" s="3" t="s">
        <v>78</v>
      </c>
      <c r="G233" s="3" t="s">
        <v>79</v>
      </c>
      <c r="H233" s="3">
        <v>5</v>
      </c>
      <c r="I233" s="3">
        <v>5</v>
      </c>
      <c r="J233" s="3">
        <v>5</v>
      </c>
      <c r="K233" s="3">
        <v>5</v>
      </c>
      <c r="L233" s="3">
        <v>5</v>
      </c>
      <c r="M233" s="3">
        <v>5</v>
      </c>
      <c r="N233" s="3">
        <v>5</v>
      </c>
      <c r="O233" s="3">
        <v>5</v>
      </c>
      <c r="P233" s="3">
        <v>5</v>
      </c>
      <c r="Q233" s="3">
        <v>5</v>
      </c>
      <c r="R233" s="3">
        <v>5</v>
      </c>
      <c r="S233" s="3">
        <v>5</v>
      </c>
      <c r="T233" s="3">
        <v>5</v>
      </c>
      <c r="U233" s="3">
        <v>5</v>
      </c>
      <c r="V233" s="3">
        <v>5</v>
      </c>
      <c r="W233" s="3">
        <v>4</v>
      </c>
      <c r="X233" s="3">
        <v>5</v>
      </c>
      <c r="Y233" s="3">
        <v>5</v>
      </c>
      <c r="Z233" s="3">
        <v>5</v>
      </c>
      <c r="AA233" s="3">
        <v>5</v>
      </c>
      <c r="AB233" s="3">
        <v>5</v>
      </c>
      <c r="AC233" s="3">
        <v>5</v>
      </c>
      <c r="AD233" s="3">
        <v>5</v>
      </c>
      <c r="AE233" s="3">
        <v>5</v>
      </c>
      <c r="AF233" s="3">
        <v>5</v>
      </c>
      <c r="AG233" s="3">
        <v>5</v>
      </c>
      <c r="AH233" s="3">
        <v>4</v>
      </c>
      <c r="AI233" s="3">
        <v>4</v>
      </c>
      <c r="AJ233" s="3">
        <v>4</v>
      </c>
      <c r="AK233" s="3">
        <v>4</v>
      </c>
      <c r="AL233" s="3">
        <v>4</v>
      </c>
      <c r="AM233" s="3">
        <v>4</v>
      </c>
      <c r="AN233" s="3">
        <v>4</v>
      </c>
      <c r="AO233" s="3">
        <v>4</v>
      </c>
      <c r="AP233" s="3">
        <v>4</v>
      </c>
      <c r="AQ233" s="3">
        <v>4</v>
      </c>
      <c r="AR233" s="3">
        <v>4</v>
      </c>
      <c r="AS233" s="3">
        <v>4</v>
      </c>
      <c r="AT233" s="3">
        <v>4</v>
      </c>
      <c r="AU233" s="3">
        <v>4</v>
      </c>
      <c r="AV233" s="3">
        <v>4</v>
      </c>
      <c r="AW233" s="3">
        <v>5</v>
      </c>
      <c r="AX233" s="3">
        <v>5</v>
      </c>
      <c r="AY233" s="3">
        <v>5</v>
      </c>
      <c r="AZ233" s="3">
        <v>5</v>
      </c>
      <c r="BA233" s="3">
        <v>5</v>
      </c>
      <c r="BB233" s="3">
        <v>5</v>
      </c>
      <c r="BC233" s="3">
        <v>4</v>
      </c>
      <c r="BD233" s="3">
        <v>4</v>
      </c>
      <c r="BE233" s="3">
        <v>5</v>
      </c>
      <c r="BF233" s="3">
        <v>5</v>
      </c>
      <c r="BG233" s="3">
        <v>5</v>
      </c>
      <c r="BH233" s="3">
        <v>5</v>
      </c>
      <c r="BI233" s="3">
        <v>4</v>
      </c>
      <c r="BJ233" s="3">
        <v>5</v>
      </c>
      <c r="BK233" s="3">
        <v>5</v>
      </c>
      <c r="BL233" s="3">
        <v>5</v>
      </c>
      <c r="BM233" s="3">
        <v>5</v>
      </c>
      <c r="BN233" s="3">
        <v>5</v>
      </c>
      <c r="BO233" s="3">
        <v>5</v>
      </c>
      <c r="BP233" s="3" t="s">
        <v>665</v>
      </c>
    </row>
    <row r="234" spans="1:68" ht="22.5" customHeight="1" x14ac:dyDescent="0.25">
      <c r="A234" s="2">
        <v>45978.895516215278</v>
      </c>
      <c r="B234" s="3" t="s">
        <v>666</v>
      </c>
      <c r="C234" s="3" t="s">
        <v>69</v>
      </c>
      <c r="D234" s="3" t="s">
        <v>70</v>
      </c>
      <c r="E234" s="3" t="s">
        <v>141</v>
      </c>
      <c r="F234" s="3" t="s">
        <v>78</v>
      </c>
      <c r="G234" s="3" t="s">
        <v>79</v>
      </c>
      <c r="H234" s="3">
        <v>5</v>
      </c>
      <c r="I234" s="3">
        <v>5</v>
      </c>
      <c r="J234" s="3">
        <v>5</v>
      </c>
      <c r="K234" s="3">
        <v>5</v>
      </c>
      <c r="L234" s="3">
        <v>5</v>
      </c>
      <c r="M234" s="3">
        <v>5</v>
      </c>
      <c r="N234" s="3">
        <v>5</v>
      </c>
      <c r="O234" s="3">
        <v>5</v>
      </c>
      <c r="P234" s="3">
        <v>5</v>
      </c>
      <c r="Q234" s="3">
        <v>5</v>
      </c>
      <c r="R234" s="3">
        <v>5</v>
      </c>
      <c r="S234" s="3">
        <v>5</v>
      </c>
      <c r="T234" s="3">
        <v>5</v>
      </c>
      <c r="U234" s="3">
        <v>5</v>
      </c>
      <c r="V234" s="3">
        <v>5</v>
      </c>
      <c r="W234" s="3">
        <v>5</v>
      </c>
      <c r="X234" s="3">
        <v>5</v>
      </c>
      <c r="Y234" s="3">
        <v>5</v>
      </c>
      <c r="Z234" s="3">
        <v>5</v>
      </c>
      <c r="AA234" s="3">
        <v>5</v>
      </c>
      <c r="AB234" s="3">
        <v>3</v>
      </c>
      <c r="AC234" s="3">
        <v>3</v>
      </c>
      <c r="AD234" s="3">
        <v>5</v>
      </c>
      <c r="AE234" s="3">
        <v>5</v>
      </c>
      <c r="AF234" s="3">
        <v>5</v>
      </c>
      <c r="AG234" s="3">
        <v>5</v>
      </c>
      <c r="AH234" s="3">
        <v>5</v>
      </c>
      <c r="AI234" s="3">
        <v>5</v>
      </c>
      <c r="AJ234" s="3">
        <v>5</v>
      </c>
      <c r="AK234" s="3">
        <v>5</v>
      </c>
      <c r="AL234" s="3">
        <v>5</v>
      </c>
      <c r="AM234" s="3">
        <v>5</v>
      </c>
      <c r="AN234" s="3">
        <v>5</v>
      </c>
      <c r="AO234" s="3">
        <v>3</v>
      </c>
      <c r="AP234" s="3">
        <v>4</v>
      </c>
      <c r="AQ234" s="3">
        <v>5</v>
      </c>
      <c r="AR234" s="3">
        <v>5</v>
      </c>
      <c r="AS234" s="3">
        <v>3</v>
      </c>
      <c r="AT234" s="3">
        <v>5</v>
      </c>
      <c r="AU234" s="3">
        <v>5</v>
      </c>
      <c r="AV234" s="3">
        <v>5</v>
      </c>
      <c r="AW234" s="3">
        <v>5</v>
      </c>
      <c r="AX234" s="3">
        <v>5</v>
      </c>
      <c r="AY234" s="3">
        <v>5</v>
      </c>
      <c r="AZ234" s="3">
        <v>5</v>
      </c>
      <c r="BA234" s="3">
        <v>4</v>
      </c>
      <c r="BB234" s="3">
        <v>4</v>
      </c>
      <c r="BC234" s="3">
        <v>3</v>
      </c>
      <c r="BD234" s="3">
        <v>3</v>
      </c>
      <c r="BE234" s="3">
        <v>4</v>
      </c>
      <c r="BF234" s="3">
        <v>3</v>
      </c>
      <c r="BG234" s="3">
        <v>5</v>
      </c>
      <c r="BH234" s="3">
        <v>5</v>
      </c>
      <c r="BI234" s="3">
        <v>5</v>
      </c>
      <c r="BJ234" s="3">
        <v>5</v>
      </c>
      <c r="BK234" s="3">
        <v>5</v>
      </c>
      <c r="BL234" s="3">
        <v>5</v>
      </c>
      <c r="BM234" s="3">
        <v>5</v>
      </c>
      <c r="BN234" s="3">
        <v>5</v>
      </c>
      <c r="BO234" s="3">
        <v>5</v>
      </c>
      <c r="BP234" s="3" t="s">
        <v>667</v>
      </c>
    </row>
    <row r="235" spans="1:68" ht="22.5" customHeight="1" x14ac:dyDescent="0.25">
      <c r="A235" s="2">
        <v>45978.91240173611</v>
      </c>
      <c r="B235" s="3" t="s">
        <v>668</v>
      </c>
      <c r="C235" s="3" t="s">
        <v>86</v>
      </c>
      <c r="D235" s="3" t="s">
        <v>70</v>
      </c>
      <c r="E235" s="3" t="s">
        <v>77</v>
      </c>
      <c r="F235" s="3" t="s">
        <v>78</v>
      </c>
      <c r="G235" s="3" t="s">
        <v>79</v>
      </c>
      <c r="H235" s="3">
        <v>5</v>
      </c>
      <c r="I235" s="3">
        <v>5</v>
      </c>
      <c r="J235" s="3">
        <v>5</v>
      </c>
      <c r="K235" s="3">
        <v>5</v>
      </c>
      <c r="L235" s="3">
        <v>5</v>
      </c>
      <c r="M235" s="3">
        <v>5</v>
      </c>
      <c r="N235" s="3">
        <v>5</v>
      </c>
      <c r="O235" s="3">
        <v>5</v>
      </c>
      <c r="P235" s="3">
        <v>5</v>
      </c>
      <c r="Q235" s="3">
        <v>5</v>
      </c>
      <c r="R235" s="3">
        <v>5</v>
      </c>
      <c r="S235" s="3">
        <v>5</v>
      </c>
      <c r="T235" s="3">
        <v>5</v>
      </c>
      <c r="U235" s="3">
        <v>5</v>
      </c>
      <c r="V235" s="3">
        <v>5</v>
      </c>
      <c r="W235" s="3">
        <v>5</v>
      </c>
      <c r="X235" s="3">
        <v>5</v>
      </c>
      <c r="Y235" s="3">
        <v>5</v>
      </c>
      <c r="Z235" s="3">
        <v>5</v>
      </c>
      <c r="AA235" s="3">
        <v>5</v>
      </c>
      <c r="AB235" s="3">
        <v>5</v>
      </c>
      <c r="AC235" s="3">
        <v>5</v>
      </c>
      <c r="AD235" s="3">
        <v>5</v>
      </c>
      <c r="AE235" s="3">
        <v>5</v>
      </c>
      <c r="AF235" s="3">
        <v>5</v>
      </c>
      <c r="AG235" s="3">
        <v>5</v>
      </c>
      <c r="AH235" s="3">
        <v>5</v>
      </c>
      <c r="AI235" s="3">
        <v>5</v>
      </c>
      <c r="AJ235" s="3">
        <v>5</v>
      </c>
      <c r="AK235" s="3">
        <v>5</v>
      </c>
      <c r="AL235" s="3">
        <v>5</v>
      </c>
      <c r="AM235" s="3">
        <v>5</v>
      </c>
      <c r="AN235" s="3">
        <v>5</v>
      </c>
      <c r="AO235" s="3">
        <v>5</v>
      </c>
      <c r="AP235" s="3">
        <v>5</v>
      </c>
      <c r="AQ235" s="3">
        <v>5</v>
      </c>
      <c r="AR235" s="3">
        <v>5</v>
      </c>
      <c r="AS235" s="3">
        <v>5</v>
      </c>
      <c r="AT235" s="3">
        <v>5</v>
      </c>
      <c r="AU235" s="3">
        <v>5</v>
      </c>
      <c r="AV235" s="3">
        <v>5</v>
      </c>
      <c r="AW235" s="3">
        <v>5</v>
      </c>
      <c r="AX235" s="3">
        <v>5</v>
      </c>
      <c r="AY235" s="3">
        <v>5</v>
      </c>
      <c r="AZ235" s="3">
        <v>5</v>
      </c>
      <c r="BA235" s="3">
        <v>5</v>
      </c>
      <c r="BB235" s="3">
        <v>5</v>
      </c>
      <c r="BC235" s="3">
        <v>5</v>
      </c>
      <c r="BD235" s="3">
        <v>5</v>
      </c>
      <c r="BE235" s="3">
        <v>5</v>
      </c>
      <c r="BF235" s="3">
        <v>5</v>
      </c>
      <c r="BG235" s="3">
        <v>5</v>
      </c>
      <c r="BH235" s="3">
        <v>5</v>
      </c>
      <c r="BI235" s="3">
        <v>5</v>
      </c>
      <c r="BJ235" s="3">
        <v>5</v>
      </c>
      <c r="BK235" s="3">
        <v>5</v>
      </c>
      <c r="BL235" s="3">
        <v>5</v>
      </c>
      <c r="BM235" s="3">
        <v>5</v>
      </c>
      <c r="BN235" s="3">
        <v>5</v>
      </c>
      <c r="BO235" s="3">
        <v>5</v>
      </c>
      <c r="BP235" s="3" t="s">
        <v>669</v>
      </c>
    </row>
    <row r="236" spans="1:68" ht="22.5" customHeight="1" x14ac:dyDescent="0.25">
      <c r="A236" s="2">
        <v>45978.925125532405</v>
      </c>
      <c r="B236" s="3" t="s">
        <v>670</v>
      </c>
      <c r="C236" s="3" t="s">
        <v>86</v>
      </c>
      <c r="D236" s="3" t="s">
        <v>656</v>
      </c>
      <c r="E236" s="3" t="s">
        <v>119</v>
      </c>
      <c r="F236" s="3" t="s">
        <v>88</v>
      </c>
      <c r="G236" s="3" t="s">
        <v>83</v>
      </c>
      <c r="H236" s="3">
        <v>5</v>
      </c>
      <c r="I236" s="3">
        <v>4</v>
      </c>
      <c r="J236" s="3">
        <v>4</v>
      </c>
      <c r="K236" s="3">
        <v>4</v>
      </c>
      <c r="L236" s="3">
        <v>4</v>
      </c>
      <c r="M236" s="3">
        <v>4</v>
      </c>
      <c r="N236" s="3">
        <v>4</v>
      </c>
      <c r="O236" s="3">
        <v>5</v>
      </c>
      <c r="P236" s="3">
        <v>5</v>
      </c>
      <c r="Q236" s="3">
        <v>4</v>
      </c>
      <c r="R236" s="3">
        <v>5</v>
      </c>
      <c r="S236" s="3">
        <v>4</v>
      </c>
      <c r="T236" s="3">
        <v>5</v>
      </c>
      <c r="U236" s="3">
        <v>5</v>
      </c>
      <c r="V236" s="3">
        <v>4</v>
      </c>
      <c r="W236" s="3">
        <v>3</v>
      </c>
      <c r="X236" s="3">
        <v>4</v>
      </c>
      <c r="Y236" s="3">
        <v>4</v>
      </c>
      <c r="Z236" s="3">
        <v>4</v>
      </c>
      <c r="AA236" s="3">
        <v>3</v>
      </c>
      <c r="AB236" s="3">
        <v>2</v>
      </c>
      <c r="AC236" s="3">
        <v>3</v>
      </c>
      <c r="AD236" s="3">
        <v>4</v>
      </c>
      <c r="AE236" s="3">
        <v>4</v>
      </c>
      <c r="AF236" s="3">
        <v>4</v>
      </c>
      <c r="AG236" s="3">
        <v>4</v>
      </c>
      <c r="AH236" s="3">
        <v>4</v>
      </c>
      <c r="AI236" s="3">
        <v>4</v>
      </c>
      <c r="AJ236" s="3">
        <v>4</v>
      </c>
      <c r="AK236" s="3">
        <v>4</v>
      </c>
      <c r="AL236" s="3">
        <v>4</v>
      </c>
      <c r="AM236" s="3">
        <v>4</v>
      </c>
      <c r="AN236" s="3">
        <v>4</v>
      </c>
      <c r="AO236" s="3">
        <v>4</v>
      </c>
      <c r="AP236" s="3">
        <v>4</v>
      </c>
      <c r="AQ236" s="3">
        <v>4</v>
      </c>
      <c r="AR236" s="3">
        <v>4</v>
      </c>
      <c r="AS236" s="3">
        <v>3</v>
      </c>
      <c r="AT236" s="3">
        <v>4</v>
      </c>
      <c r="AU236" s="3">
        <v>4</v>
      </c>
      <c r="AV236" s="3">
        <v>4</v>
      </c>
      <c r="AW236" s="3">
        <v>4</v>
      </c>
      <c r="AX236" s="3">
        <v>4</v>
      </c>
      <c r="AY236" s="3">
        <v>4</v>
      </c>
      <c r="AZ236" s="3">
        <v>4</v>
      </c>
      <c r="BA236" s="3">
        <v>3</v>
      </c>
      <c r="BB236" s="3">
        <v>2</v>
      </c>
      <c r="BC236" s="3">
        <v>3</v>
      </c>
      <c r="BD236" s="3">
        <v>2</v>
      </c>
      <c r="BE236" s="3">
        <v>2</v>
      </c>
      <c r="BF236" s="3">
        <v>2</v>
      </c>
      <c r="BG236" s="3">
        <v>4</v>
      </c>
      <c r="BH236" s="3">
        <v>4</v>
      </c>
      <c r="BI236" s="3">
        <v>4</v>
      </c>
      <c r="BJ236" s="3">
        <v>4</v>
      </c>
      <c r="BK236" s="3">
        <v>3</v>
      </c>
      <c r="BL236" s="3">
        <v>4</v>
      </c>
      <c r="BM236" s="3">
        <v>4</v>
      </c>
      <c r="BN236" s="3">
        <v>4</v>
      </c>
      <c r="BO236" s="3">
        <v>4</v>
      </c>
      <c r="BP236" s="3" t="s">
        <v>671</v>
      </c>
    </row>
    <row r="237" spans="1:68" ht="22.5" customHeight="1" x14ac:dyDescent="0.25">
      <c r="A237" s="2">
        <v>45979.423911655089</v>
      </c>
      <c r="B237" s="3" t="s">
        <v>381</v>
      </c>
      <c r="C237" s="3" t="s">
        <v>69</v>
      </c>
      <c r="D237" s="3" t="s">
        <v>542</v>
      </c>
      <c r="E237" s="3" t="s">
        <v>141</v>
      </c>
      <c r="F237" s="3" t="s">
        <v>82</v>
      </c>
      <c r="G237" s="3" t="s">
        <v>83</v>
      </c>
      <c r="H237" s="3">
        <v>5</v>
      </c>
      <c r="I237" s="3">
        <v>5</v>
      </c>
      <c r="J237" s="3">
        <v>4</v>
      </c>
      <c r="K237" s="3">
        <v>5</v>
      </c>
      <c r="L237" s="3">
        <v>4</v>
      </c>
      <c r="M237" s="3">
        <v>4</v>
      </c>
      <c r="N237" s="3">
        <v>4</v>
      </c>
      <c r="O237" s="3">
        <v>4</v>
      </c>
      <c r="P237" s="3">
        <v>5</v>
      </c>
      <c r="Q237" s="3">
        <v>5</v>
      </c>
      <c r="R237" s="3">
        <v>5</v>
      </c>
      <c r="S237" s="3">
        <v>5</v>
      </c>
      <c r="T237" s="3">
        <v>5</v>
      </c>
      <c r="U237" s="3">
        <v>5</v>
      </c>
      <c r="V237" s="3">
        <v>4</v>
      </c>
      <c r="W237" s="3">
        <v>4</v>
      </c>
      <c r="X237" s="3">
        <v>4</v>
      </c>
      <c r="Y237" s="3">
        <v>4</v>
      </c>
      <c r="Z237" s="3">
        <v>3</v>
      </c>
      <c r="AA237" s="3">
        <v>4</v>
      </c>
      <c r="AB237" s="3">
        <v>2</v>
      </c>
      <c r="AC237" s="3">
        <v>2</v>
      </c>
      <c r="AD237" s="3">
        <v>4</v>
      </c>
      <c r="AE237" s="3">
        <v>5</v>
      </c>
      <c r="AF237" s="3">
        <v>5</v>
      </c>
      <c r="AG237" s="3">
        <v>5</v>
      </c>
      <c r="AH237" s="3">
        <v>5</v>
      </c>
      <c r="AI237" s="3">
        <v>4</v>
      </c>
      <c r="AJ237" s="3">
        <v>4</v>
      </c>
      <c r="AK237" s="3">
        <v>4</v>
      </c>
      <c r="AL237" s="3">
        <v>4</v>
      </c>
      <c r="AM237" s="3">
        <v>4</v>
      </c>
      <c r="AN237" s="3">
        <v>3</v>
      </c>
      <c r="AO237" s="3">
        <v>4</v>
      </c>
      <c r="AP237" s="3">
        <v>3</v>
      </c>
      <c r="AQ237" s="3">
        <v>4</v>
      </c>
      <c r="AR237" s="3">
        <v>4</v>
      </c>
      <c r="AS237" s="3">
        <v>2</v>
      </c>
      <c r="AT237" s="3">
        <v>4</v>
      </c>
      <c r="AU237" s="3">
        <v>3</v>
      </c>
      <c r="AV237" s="3">
        <v>5</v>
      </c>
      <c r="AW237" s="3">
        <v>5</v>
      </c>
      <c r="AX237" s="3">
        <v>5</v>
      </c>
      <c r="AY237" s="3">
        <v>5</v>
      </c>
      <c r="AZ237" s="3">
        <v>5</v>
      </c>
      <c r="BA237" s="3">
        <v>4</v>
      </c>
      <c r="BB237" s="3">
        <v>4</v>
      </c>
      <c r="BC237" s="3">
        <v>4</v>
      </c>
      <c r="BD237" s="3">
        <v>3</v>
      </c>
      <c r="BE237" s="3">
        <v>3</v>
      </c>
      <c r="BF237" s="3">
        <v>3</v>
      </c>
      <c r="BG237" s="3">
        <v>5</v>
      </c>
      <c r="BH237" s="3">
        <v>5</v>
      </c>
      <c r="BI237" s="3">
        <v>5</v>
      </c>
      <c r="BJ237" s="3">
        <v>5</v>
      </c>
      <c r="BK237" s="3">
        <v>5</v>
      </c>
      <c r="BL237" s="3">
        <v>5</v>
      </c>
      <c r="BM237" s="3">
        <v>5</v>
      </c>
      <c r="BN237" s="3">
        <v>4</v>
      </c>
      <c r="BO237" s="3">
        <v>5</v>
      </c>
      <c r="BP237" s="3" t="s">
        <v>672</v>
      </c>
    </row>
    <row r="238" spans="1:68" ht="22.5" customHeight="1" x14ac:dyDescent="0.25">
      <c r="A238" s="2">
        <v>45979.442909097226</v>
      </c>
      <c r="B238" s="3" t="s">
        <v>673</v>
      </c>
      <c r="C238" s="3" t="s">
        <v>86</v>
      </c>
      <c r="D238" s="3" t="s">
        <v>674</v>
      </c>
      <c r="E238" s="3" t="s">
        <v>77</v>
      </c>
      <c r="F238" s="3" t="s">
        <v>72</v>
      </c>
      <c r="G238" s="3" t="s">
        <v>91</v>
      </c>
      <c r="H238" s="3">
        <v>4</v>
      </c>
      <c r="I238" s="3">
        <v>3</v>
      </c>
      <c r="J238" s="3">
        <v>3</v>
      </c>
      <c r="K238" s="3">
        <v>3</v>
      </c>
      <c r="L238" s="3">
        <v>4</v>
      </c>
      <c r="M238" s="3">
        <v>4</v>
      </c>
      <c r="N238" s="3">
        <v>4</v>
      </c>
      <c r="O238" s="3">
        <v>4</v>
      </c>
      <c r="P238" s="3">
        <v>4</v>
      </c>
      <c r="Q238" s="3">
        <v>3</v>
      </c>
      <c r="R238" s="3">
        <v>4</v>
      </c>
      <c r="S238" s="3">
        <v>4</v>
      </c>
      <c r="T238" s="3">
        <v>4</v>
      </c>
      <c r="U238" s="3">
        <v>5</v>
      </c>
      <c r="V238" s="3">
        <v>4</v>
      </c>
      <c r="W238" s="3">
        <v>3</v>
      </c>
      <c r="X238" s="3">
        <v>3</v>
      </c>
      <c r="Y238" s="3">
        <v>3</v>
      </c>
      <c r="Z238" s="3">
        <v>4</v>
      </c>
      <c r="AA238" s="3">
        <v>4</v>
      </c>
      <c r="AB238" s="3">
        <v>2</v>
      </c>
      <c r="AC238" s="3">
        <v>2</v>
      </c>
      <c r="AD238" s="3">
        <v>4</v>
      </c>
      <c r="AE238" s="3">
        <v>4</v>
      </c>
      <c r="AF238" s="3">
        <v>4</v>
      </c>
      <c r="AG238" s="3">
        <v>4</v>
      </c>
      <c r="AH238" s="3">
        <v>4</v>
      </c>
      <c r="AI238" s="3">
        <v>4</v>
      </c>
      <c r="AJ238" s="3">
        <v>4</v>
      </c>
      <c r="AK238" s="3">
        <v>4</v>
      </c>
      <c r="AL238" s="3">
        <v>4</v>
      </c>
      <c r="AM238" s="3">
        <v>4</v>
      </c>
      <c r="AN238" s="3">
        <v>5</v>
      </c>
      <c r="AO238" s="3">
        <v>3</v>
      </c>
      <c r="AP238" s="3">
        <v>4</v>
      </c>
      <c r="AQ238" s="3">
        <v>5</v>
      </c>
      <c r="AR238" s="3">
        <v>4</v>
      </c>
      <c r="AS238" s="3">
        <v>4</v>
      </c>
      <c r="AT238" s="3">
        <v>4</v>
      </c>
      <c r="AU238" s="3">
        <v>4</v>
      </c>
      <c r="AV238" s="3">
        <v>4</v>
      </c>
      <c r="AW238" s="3">
        <v>5</v>
      </c>
      <c r="AX238" s="3">
        <v>5</v>
      </c>
      <c r="AY238" s="3">
        <v>4</v>
      </c>
      <c r="AZ238" s="3">
        <v>4</v>
      </c>
      <c r="BA238" s="3">
        <v>4</v>
      </c>
      <c r="BB238" s="3">
        <v>4</v>
      </c>
      <c r="BC238" s="3">
        <v>3</v>
      </c>
      <c r="BD238" s="3">
        <v>3</v>
      </c>
      <c r="BE238" s="3">
        <v>3</v>
      </c>
      <c r="BF238" s="3">
        <v>3</v>
      </c>
      <c r="BG238" s="3">
        <v>4</v>
      </c>
      <c r="BH238" s="3">
        <v>4</v>
      </c>
      <c r="BI238" s="3">
        <v>4</v>
      </c>
      <c r="BJ238" s="3">
        <v>4</v>
      </c>
      <c r="BK238" s="3">
        <v>4</v>
      </c>
      <c r="BL238" s="3">
        <v>4</v>
      </c>
      <c r="BM238" s="3">
        <v>4</v>
      </c>
      <c r="BN238" s="3">
        <v>5</v>
      </c>
      <c r="BO238" s="3">
        <v>5</v>
      </c>
      <c r="BP238" s="3" t="s">
        <v>675</v>
      </c>
    </row>
    <row r="239" spans="1:68" ht="22.5" customHeight="1" x14ac:dyDescent="0.25">
      <c r="A239" s="2">
        <v>45979.454761909721</v>
      </c>
      <c r="B239" s="3" t="s">
        <v>676</v>
      </c>
      <c r="C239" s="3" t="s">
        <v>86</v>
      </c>
      <c r="D239" s="3" t="s">
        <v>677</v>
      </c>
      <c r="E239" s="3" t="s">
        <v>77</v>
      </c>
      <c r="F239" s="3" t="s">
        <v>103</v>
      </c>
      <c r="G239" s="3" t="s">
        <v>79</v>
      </c>
      <c r="H239" s="3">
        <v>5</v>
      </c>
      <c r="I239" s="3">
        <v>5</v>
      </c>
      <c r="J239" s="3">
        <v>5</v>
      </c>
      <c r="K239" s="3">
        <v>5</v>
      </c>
      <c r="L239" s="3">
        <v>5</v>
      </c>
      <c r="M239" s="3">
        <v>5</v>
      </c>
      <c r="N239" s="3">
        <v>5</v>
      </c>
      <c r="O239" s="3">
        <v>5</v>
      </c>
      <c r="P239" s="3">
        <v>5</v>
      </c>
      <c r="Q239" s="3">
        <v>5</v>
      </c>
      <c r="R239" s="3">
        <v>5</v>
      </c>
      <c r="S239" s="3">
        <v>5</v>
      </c>
      <c r="T239" s="3">
        <v>5</v>
      </c>
      <c r="U239" s="3">
        <v>5</v>
      </c>
      <c r="V239" s="3">
        <v>5</v>
      </c>
      <c r="W239" s="3">
        <v>5</v>
      </c>
      <c r="X239" s="3">
        <v>5</v>
      </c>
      <c r="Y239" s="3">
        <v>5</v>
      </c>
      <c r="Z239" s="3">
        <v>5</v>
      </c>
      <c r="AA239" s="3">
        <v>5</v>
      </c>
      <c r="AB239" s="3">
        <v>5</v>
      </c>
      <c r="AC239" s="3">
        <v>5</v>
      </c>
      <c r="AD239" s="3">
        <v>5</v>
      </c>
      <c r="AE239" s="3">
        <v>5</v>
      </c>
      <c r="AF239" s="3">
        <v>5</v>
      </c>
      <c r="AG239" s="3">
        <v>5</v>
      </c>
      <c r="AH239" s="3">
        <v>5</v>
      </c>
      <c r="AI239" s="3">
        <v>5</v>
      </c>
      <c r="AJ239" s="3">
        <v>5</v>
      </c>
      <c r="AK239" s="3">
        <v>5</v>
      </c>
      <c r="AL239" s="3">
        <v>5</v>
      </c>
      <c r="AM239" s="3">
        <v>5</v>
      </c>
      <c r="AN239" s="3">
        <v>5</v>
      </c>
      <c r="AO239" s="3">
        <v>5</v>
      </c>
      <c r="AP239" s="3">
        <v>5</v>
      </c>
      <c r="AQ239" s="3">
        <v>5</v>
      </c>
      <c r="AR239" s="3">
        <v>5</v>
      </c>
      <c r="AS239" s="3">
        <v>5</v>
      </c>
      <c r="AT239" s="3">
        <v>5</v>
      </c>
      <c r="AU239" s="3">
        <v>5</v>
      </c>
      <c r="AV239" s="3">
        <v>5</v>
      </c>
      <c r="AW239" s="3">
        <v>5</v>
      </c>
      <c r="AX239" s="3">
        <v>5</v>
      </c>
      <c r="AY239" s="3">
        <v>5</v>
      </c>
      <c r="AZ239" s="3">
        <v>5</v>
      </c>
      <c r="BA239" s="3">
        <v>5</v>
      </c>
      <c r="BB239" s="3">
        <v>5</v>
      </c>
      <c r="BC239" s="3">
        <v>5</v>
      </c>
      <c r="BD239" s="3">
        <v>5</v>
      </c>
      <c r="BE239" s="3">
        <v>5</v>
      </c>
      <c r="BF239" s="3">
        <v>5</v>
      </c>
      <c r="BG239" s="3">
        <v>5</v>
      </c>
      <c r="BH239" s="3">
        <v>5</v>
      </c>
      <c r="BI239" s="3">
        <v>5</v>
      </c>
      <c r="BJ239" s="3">
        <v>5</v>
      </c>
      <c r="BK239" s="3">
        <v>5</v>
      </c>
      <c r="BL239" s="3">
        <v>5</v>
      </c>
      <c r="BM239" s="3">
        <v>5</v>
      </c>
      <c r="BN239" s="3">
        <v>5</v>
      </c>
      <c r="BO239" s="3">
        <v>5</v>
      </c>
      <c r="BP239" s="3" t="s">
        <v>678</v>
      </c>
    </row>
    <row r="240" spans="1:68" ht="22.5" customHeight="1" x14ac:dyDescent="0.25">
      <c r="A240" s="2">
        <v>45979.45613648148</v>
      </c>
      <c r="B240" s="3" t="s">
        <v>679</v>
      </c>
      <c r="C240" s="3" t="s">
        <v>86</v>
      </c>
      <c r="D240" s="3" t="s">
        <v>680</v>
      </c>
      <c r="E240" s="3" t="s">
        <v>77</v>
      </c>
      <c r="F240" s="3" t="s">
        <v>78</v>
      </c>
      <c r="G240" s="3" t="s">
        <v>79</v>
      </c>
      <c r="H240" s="3">
        <v>3</v>
      </c>
      <c r="I240" s="3">
        <v>1</v>
      </c>
      <c r="J240" s="3">
        <v>4</v>
      </c>
      <c r="K240" s="3">
        <v>1</v>
      </c>
      <c r="L240" s="3">
        <v>3</v>
      </c>
      <c r="M240" s="3">
        <v>2</v>
      </c>
      <c r="N240" s="3">
        <v>4</v>
      </c>
      <c r="O240" s="3">
        <v>5</v>
      </c>
      <c r="P240" s="3">
        <v>2</v>
      </c>
      <c r="Q240" s="3">
        <v>2</v>
      </c>
      <c r="R240" s="3">
        <v>4</v>
      </c>
      <c r="S240" s="3">
        <v>2</v>
      </c>
      <c r="T240" s="3">
        <v>1</v>
      </c>
      <c r="U240" s="3">
        <v>4</v>
      </c>
      <c r="V240" s="3">
        <v>1</v>
      </c>
      <c r="W240" s="3">
        <v>4</v>
      </c>
      <c r="X240" s="3">
        <v>1</v>
      </c>
      <c r="Y240" s="3">
        <v>3</v>
      </c>
      <c r="Z240" s="3">
        <v>5</v>
      </c>
      <c r="AA240" s="3">
        <v>2</v>
      </c>
      <c r="AB240" s="3">
        <v>5</v>
      </c>
      <c r="AC240" s="3">
        <v>3</v>
      </c>
      <c r="AD240" s="3">
        <v>1</v>
      </c>
      <c r="AE240" s="3">
        <v>4</v>
      </c>
      <c r="AF240" s="3">
        <v>2</v>
      </c>
      <c r="AG240" s="3">
        <v>2</v>
      </c>
      <c r="AH240" s="3">
        <v>4</v>
      </c>
      <c r="AI240" s="3">
        <v>1</v>
      </c>
      <c r="AJ240" s="3">
        <v>4</v>
      </c>
      <c r="AK240" s="3">
        <v>1</v>
      </c>
      <c r="AL240" s="3">
        <v>4</v>
      </c>
      <c r="AM240" s="3">
        <v>4</v>
      </c>
      <c r="AN240" s="3">
        <v>1</v>
      </c>
      <c r="AO240" s="3">
        <v>3</v>
      </c>
      <c r="AP240" s="3">
        <v>4</v>
      </c>
      <c r="AQ240" s="3">
        <v>2</v>
      </c>
      <c r="AR240" s="3">
        <v>3</v>
      </c>
      <c r="AS240" s="3">
        <v>3</v>
      </c>
      <c r="AT240" s="3">
        <v>2</v>
      </c>
      <c r="AU240" s="3">
        <v>4</v>
      </c>
      <c r="AV240" s="3">
        <v>4</v>
      </c>
      <c r="AW240" s="3">
        <v>4</v>
      </c>
      <c r="AX240" s="3">
        <v>5</v>
      </c>
      <c r="AY240" s="3">
        <v>4</v>
      </c>
      <c r="AZ240" s="3">
        <v>5</v>
      </c>
      <c r="BA240" s="3">
        <v>4</v>
      </c>
      <c r="BB240" s="3">
        <v>5</v>
      </c>
      <c r="BC240" s="3">
        <v>4</v>
      </c>
      <c r="BD240" s="3">
        <v>4</v>
      </c>
      <c r="BE240" s="3">
        <v>5</v>
      </c>
      <c r="BF240" s="3">
        <v>4</v>
      </c>
      <c r="BG240" s="3">
        <v>5</v>
      </c>
      <c r="BH240" s="3">
        <v>5</v>
      </c>
      <c r="BI240" s="3">
        <v>4</v>
      </c>
      <c r="BJ240" s="3">
        <v>5</v>
      </c>
      <c r="BK240" s="3">
        <v>4</v>
      </c>
      <c r="BL240" s="3">
        <v>4</v>
      </c>
      <c r="BM240" s="3">
        <v>5</v>
      </c>
      <c r="BN240" s="3">
        <v>4</v>
      </c>
      <c r="BO240" s="3">
        <v>4</v>
      </c>
      <c r="BP240" s="3" t="s">
        <v>681</v>
      </c>
    </row>
    <row r="241" spans="1:68" ht="22.5" customHeight="1" x14ac:dyDescent="0.25">
      <c r="A241" s="2">
        <v>45979.456783402777</v>
      </c>
      <c r="B241" s="3" t="s">
        <v>682</v>
      </c>
      <c r="C241" s="3" t="s">
        <v>86</v>
      </c>
      <c r="D241" s="3" t="s">
        <v>683</v>
      </c>
      <c r="E241" s="3" t="s">
        <v>77</v>
      </c>
      <c r="F241" s="3" t="s">
        <v>78</v>
      </c>
      <c r="G241" s="3" t="s">
        <v>79</v>
      </c>
      <c r="H241" s="3">
        <v>5</v>
      </c>
      <c r="I241" s="3">
        <v>5</v>
      </c>
      <c r="J241" s="3">
        <v>5</v>
      </c>
      <c r="K241" s="3">
        <v>5</v>
      </c>
      <c r="L241" s="3">
        <v>5</v>
      </c>
      <c r="M241" s="3">
        <v>4</v>
      </c>
      <c r="N241" s="3">
        <v>5</v>
      </c>
      <c r="O241" s="3">
        <v>5</v>
      </c>
      <c r="P241" s="3">
        <v>4</v>
      </c>
      <c r="Q241" s="3">
        <v>4</v>
      </c>
      <c r="R241" s="3">
        <v>3</v>
      </c>
      <c r="S241" s="3">
        <v>4</v>
      </c>
      <c r="T241" s="3">
        <v>4</v>
      </c>
      <c r="U241" s="3">
        <v>4</v>
      </c>
      <c r="V241" s="3">
        <v>5</v>
      </c>
      <c r="W241" s="3">
        <v>5</v>
      </c>
      <c r="X241" s="3">
        <v>5</v>
      </c>
      <c r="Y241" s="3">
        <v>5</v>
      </c>
      <c r="Z241" s="3">
        <v>5</v>
      </c>
      <c r="AA241" s="3">
        <v>3</v>
      </c>
      <c r="AB241" s="3">
        <v>4</v>
      </c>
      <c r="AC241" s="3">
        <v>3</v>
      </c>
      <c r="AD241" s="3">
        <v>4</v>
      </c>
      <c r="AE241" s="3">
        <v>5</v>
      </c>
      <c r="AF241" s="3">
        <v>5</v>
      </c>
      <c r="AG241" s="3">
        <v>5</v>
      </c>
      <c r="AH241" s="3">
        <v>5</v>
      </c>
      <c r="AI241" s="3">
        <v>5</v>
      </c>
      <c r="AJ241" s="3">
        <v>5</v>
      </c>
      <c r="AK241" s="3">
        <v>5</v>
      </c>
      <c r="AL241" s="3">
        <v>5</v>
      </c>
      <c r="AM241" s="3">
        <v>5</v>
      </c>
      <c r="AN241" s="3">
        <v>5</v>
      </c>
      <c r="AO241" s="3">
        <v>5</v>
      </c>
      <c r="AP241" s="3">
        <v>5</v>
      </c>
      <c r="AQ241" s="3">
        <v>5</v>
      </c>
      <c r="AR241" s="3">
        <v>5</v>
      </c>
      <c r="AS241" s="3">
        <v>5</v>
      </c>
      <c r="AT241" s="3">
        <v>5</v>
      </c>
      <c r="AU241" s="3">
        <v>5</v>
      </c>
      <c r="AV241" s="3">
        <v>5</v>
      </c>
      <c r="AW241" s="3">
        <v>4</v>
      </c>
      <c r="AX241" s="3">
        <v>5</v>
      </c>
      <c r="AY241" s="3">
        <v>5</v>
      </c>
      <c r="AZ241" s="3">
        <v>5</v>
      </c>
      <c r="BA241" s="3">
        <v>5</v>
      </c>
      <c r="BB241" s="3">
        <v>5</v>
      </c>
      <c r="BC241" s="3">
        <v>5</v>
      </c>
      <c r="BD241" s="3">
        <v>5</v>
      </c>
      <c r="BE241" s="3">
        <v>5</v>
      </c>
      <c r="BF241" s="3">
        <v>5</v>
      </c>
      <c r="BG241" s="3">
        <v>4</v>
      </c>
      <c r="BH241" s="3">
        <v>5</v>
      </c>
      <c r="BI241" s="3">
        <v>5</v>
      </c>
      <c r="BJ241" s="3">
        <v>5</v>
      </c>
      <c r="BK241" s="3">
        <v>5</v>
      </c>
      <c r="BL241" s="3">
        <v>5</v>
      </c>
      <c r="BM241" s="3">
        <v>5</v>
      </c>
      <c r="BN241" s="3">
        <v>5</v>
      </c>
      <c r="BO241" s="3">
        <v>5</v>
      </c>
      <c r="BP241" s="3" t="s">
        <v>684</v>
      </c>
    </row>
    <row r="242" spans="1:68" ht="22.5" customHeight="1" x14ac:dyDescent="0.25">
      <c r="A242" s="2">
        <v>45979.456824166671</v>
      </c>
      <c r="B242" s="3" t="s">
        <v>685</v>
      </c>
      <c r="C242" s="3" t="s">
        <v>86</v>
      </c>
      <c r="D242" s="3" t="s">
        <v>686</v>
      </c>
      <c r="E242" s="3" t="s">
        <v>77</v>
      </c>
      <c r="F242" s="3" t="s">
        <v>78</v>
      </c>
      <c r="G242" s="3" t="s">
        <v>79</v>
      </c>
      <c r="H242" s="3">
        <v>5</v>
      </c>
      <c r="I242" s="3">
        <v>5</v>
      </c>
      <c r="J242" s="3">
        <v>5</v>
      </c>
      <c r="K242" s="3">
        <v>5</v>
      </c>
      <c r="L242" s="3">
        <v>5</v>
      </c>
      <c r="M242" s="3">
        <v>5</v>
      </c>
      <c r="N242" s="3">
        <v>5</v>
      </c>
      <c r="O242" s="3">
        <v>5</v>
      </c>
      <c r="P242" s="3">
        <v>5</v>
      </c>
      <c r="Q242" s="3">
        <v>5</v>
      </c>
      <c r="R242" s="3">
        <v>5</v>
      </c>
      <c r="S242" s="3">
        <v>5</v>
      </c>
      <c r="T242" s="3">
        <v>5</v>
      </c>
      <c r="U242" s="3">
        <v>5</v>
      </c>
      <c r="V242" s="3">
        <v>5</v>
      </c>
      <c r="W242" s="3">
        <v>5</v>
      </c>
      <c r="X242" s="3">
        <v>5</v>
      </c>
      <c r="Y242" s="3">
        <v>5</v>
      </c>
      <c r="Z242" s="3">
        <v>5</v>
      </c>
      <c r="AA242" s="3">
        <v>5</v>
      </c>
      <c r="AB242" s="3">
        <v>5</v>
      </c>
      <c r="AC242" s="3">
        <v>5</v>
      </c>
      <c r="AD242" s="3">
        <v>5</v>
      </c>
      <c r="AE242" s="3">
        <v>5</v>
      </c>
      <c r="AF242" s="3">
        <v>5</v>
      </c>
      <c r="AG242" s="3">
        <v>5</v>
      </c>
      <c r="AH242" s="3">
        <v>5</v>
      </c>
      <c r="AI242" s="3">
        <v>5</v>
      </c>
      <c r="AJ242" s="3">
        <v>5</v>
      </c>
      <c r="AK242" s="3">
        <v>5</v>
      </c>
      <c r="AL242" s="3">
        <v>5</v>
      </c>
      <c r="AM242" s="3">
        <v>5</v>
      </c>
      <c r="AN242" s="3">
        <v>5</v>
      </c>
      <c r="AO242" s="3">
        <v>5</v>
      </c>
      <c r="AP242" s="3">
        <v>5</v>
      </c>
      <c r="AQ242" s="3">
        <v>5</v>
      </c>
      <c r="AR242" s="3">
        <v>5</v>
      </c>
      <c r="AS242" s="3">
        <v>5</v>
      </c>
      <c r="AT242" s="3">
        <v>5</v>
      </c>
      <c r="AU242" s="3">
        <v>5</v>
      </c>
      <c r="AV242" s="3">
        <v>5</v>
      </c>
      <c r="AW242" s="3">
        <v>5</v>
      </c>
      <c r="AX242" s="3">
        <v>5</v>
      </c>
      <c r="AY242" s="3">
        <v>5</v>
      </c>
      <c r="AZ242" s="3">
        <v>5</v>
      </c>
      <c r="BA242" s="3">
        <v>5</v>
      </c>
      <c r="BB242" s="3">
        <v>5</v>
      </c>
      <c r="BC242" s="3">
        <v>5</v>
      </c>
      <c r="BD242" s="3">
        <v>5</v>
      </c>
      <c r="BE242" s="3">
        <v>5</v>
      </c>
      <c r="BF242" s="3">
        <v>5</v>
      </c>
      <c r="BG242" s="3">
        <v>5</v>
      </c>
      <c r="BH242" s="3">
        <v>5</v>
      </c>
      <c r="BI242" s="3">
        <v>5</v>
      </c>
      <c r="BJ242" s="3">
        <v>5</v>
      </c>
      <c r="BK242" s="3">
        <v>5</v>
      </c>
      <c r="BL242" s="3">
        <v>5</v>
      </c>
      <c r="BM242" s="3">
        <v>5</v>
      </c>
      <c r="BN242" s="3">
        <v>5</v>
      </c>
      <c r="BO242" s="3">
        <v>5</v>
      </c>
      <c r="BP242" s="3" t="s">
        <v>687</v>
      </c>
    </row>
    <row r="243" spans="1:68" ht="22.5" customHeight="1" x14ac:dyDescent="0.25">
      <c r="A243" s="2">
        <v>45979.457077141204</v>
      </c>
      <c r="B243" s="3" t="s">
        <v>688</v>
      </c>
      <c r="C243" s="3" t="s">
        <v>86</v>
      </c>
      <c r="D243" s="3" t="s">
        <v>689</v>
      </c>
      <c r="E243" s="3" t="s">
        <v>77</v>
      </c>
      <c r="F243" s="3" t="s">
        <v>78</v>
      </c>
      <c r="G243" s="3" t="s">
        <v>79</v>
      </c>
      <c r="H243" s="3">
        <v>5</v>
      </c>
      <c r="I243" s="3">
        <v>4</v>
      </c>
      <c r="J243" s="3">
        <v>4</v>
      </c>
      <c r="K243" s="3">
        <v>5</v>
      </c>
      <c r="L243" s="3">
        <v>5</v>
      </c>
      <c r="M243" s="3">
        <v>4</v>
      </c>
      <c r="N243" s="3">
        <v>5</v>
      </c>
      <c r="O243" s="3">
        <v>5</v>
      </c>
      <c r="P243" s="3">
        <v>4</v>
      </c>
      <c r="Q243" s="3">
        <v>5</v>
      </c>
      <c r="R243" s="3">
        <v>4</v>
      </c>
      <c r="S243" s="3">
        <v>5</v>
      </c>
      <c r="T243" s="3">
        <v>4</v>
      </c>
      <c r="U243" s="3">
        <v>5</v>
      </c>
      <c r="V243" s="3">
        <v>5</v>
      </c>
      <c r="W243" s="3">
        <v>4</v>
      </c>
      <c r="X243" s="3">
        <v>5</v>
      </c>
      <c r="Y243" s="3">
        <v>5</v>
      </c>
      <c r="Z243" s="3">
        <v>5</v>
      </c>
      <c r="AA243" s="3">
        <v>4</v>
      </c>
      <c r="AB243" s="3">
        <v>4</v>
      </c>
      <c r="AC243" s="3">
        <v>5</v>
      </c>
      <c r="AD243" s="3">
        <v>4</v>
      </c>
      <c r="AE243" s="3">
        <v>4</v>
      </c>
      <c r="AF243" s="3">
        <v>5</v>
      </c>
      <c r="AG243" s="3">
        <v>5</v>
      </c>
      <c r="AH243" s="3">
        <v>5</v>
      </c>
      <c r="AI243" s="3">
        <v>5</v>
      </c>
      <c r="AJ243" s="3">
        <v>4</v>
      </c>
      <c r="AK243" s="3">
        <v>4</v>
      </c>
      <c r="AL243" s="3">
        <v>4</v>
      </c>
      <c r="AM243" s="3">
        <v>5</v>
      </c>
      <c r="AN243" s="3">
        <v>5</v>
      </c>
      <c r="AO243" s="3">
        <v>5</v>
      </c>
      <c r="AP243" s="3">
        <v>5</v>
      </c>
      <c r="AQ243" s="3">
        <v>5</v>
      </c>
      <c r="AR243" s="3">
        <v>5</v>
      </c>
      <c r="AS243" s="3">
        <v>5</v>
      </c>
      <c r="AT243" s="3">
        <v>5</v>
      </c>
      <c r="AU243" s="3">
        <v>5</v>
      </c>
      <c r="AV243" s="3">
        <v>5</v>
      </c>
      <c r="AW243" s="3">
        <v>5</v>
      </c>
      <c r="AX243" s="3">
        <v>5</v>
      </c>
      <c r="AY243" s="3">
        <v>5</v>
      </c>
      <c r="AZ243" s="3">
        <v>5</v>
      </c>
      <c r="BA243" s="3">
        <v>5</v>
      </c>
      <c r="BB243" s="3">
        <v>5</v>
      </c>
      <c r="BC243" s="3">
        <v>5</v>
      </c>
      <c r="BD243" s="3">
        <v>5</v>
      </c>
      <c r="BE243" s="3">
        <v>5</v>
      </c>
      <c r="BF243" s="3">
        <v>5</v>
      </c>
      <c r="BG243" s="3">
        <v>4</v>
      </c>
      <c r="BH243" s="3">
        <v>5</v>
      </c>
      <c r="BI243" s="3">
        <v>4</v>
      </c>
      <c r="BJ243" s="3">
        <v>5</v>
      </c>
      <c r="BK243" s="3">
        <v>5</v>
      </c>
      <c r="BL243" s="3">
        <v>4</v>
      </c>
      <c r="BM243" s="3">
        <v>5</v>
      </c>
      <c r="BN243" s="3">
        <v>5</v>
      </c>
      <c r="BO243" s="3">
        <v>5</v>
      </c>
      <c r="BP243" s="3" t="s">
        <v>690</v>
      </c>
    </row>
    <row r="244" spans="1:68" ht="22.5" customHeight="1" x14ac:dyDescent="0.25">
      <c r="A244" s="2">
        <v>45979.457080590277</v>
      </c>
      <c r="B244" s="3" t="s">
        <v>691</v>
      </c>
      <c r="C244" s="3" t="s">
        <v>86</v>
      </c>
      <c r="D244" s="3" t="s">
        <v>692</v>
      </c>
      <c r="E244" s="3" t="s">
        <v>77</v>
      </c>
      <c r="F244" s="3" t="s">
        <v>78</v>
      </c>
      <c r="G244" s="3" t="s">
        <v>79</v>
      </c>
      <c r="H244" s="3">
        <v>3</v>
      </c>
      <c r="I244" s="3">
        <v>4</v>
      </c>
      <c r="J244" s="3">
        <v>3</v>
      </c>
      <c r="K244" s="3">
        <v>3</v>
      </c>
      <c r="L244" s="3">
        <v>4</v>
      </c>
      <c r="M244" s="3">
        <v>3</v>
      </c>
      <c r="N244" s="3">
        <v>3</v>
      </c>
      <c r="O244" s="3">
        <v>4</v>
      </c>
      <c r="P244" s="3">
        <v>4</v>
      </c>
      <c r="Q244" s="3">
        <v>3</v>
      </c>
      <c r="R244" s="3">
        <v>4</v>
      </c>
      <c r="S244" s="3">
        <v>4</v>
      </c>
      <c r="T244" s="3">
        <v>3</v>
      </c>
      <c r="U244" s="3">
        <v>3</v>
      </c>
      <c r="V244" s="3">
        <v>3</v>
      </c>
      <c r="W244" s="3">
        <v>3</v>
      </c>
      <c r="X244" s="3">
        <v>4</v>
      </c>
      <c r="Y244" s="3">
        <v>3</v>
      </c>
      <c r="Z244" s="3">
        <v>3</v>
      </c>
      <c r="AA244" s="3">
        <v>3</v>
      </c>
      <c r="AB244" s="3">
        <v>3</v>
      </c>
      <c r="AC244" s="3">
        <v>4</v>
      </c>
      <c r="AD244" s="3">
        <v>4</v>
      </c>
      <c r="AE244" s="3">
        <v>3</v>
      </c>
      <c r="AF244" s="3">
        <v>3</v>
      </c>
      <c r="AG244" s="3">
        <v>4</v>
      </c>
      <c r="AH244" s="3">
        <v>4</v>
      </c>
      <c r="AI244" s="3">
        <v>3</v>
      </c>
      <c r="AJ244" s="3">
        <v>3</v>
      </c>
      <c r="AK244" s="3">
        <v>4</v>
      </c>
      <c r="AL244" s="3">
        <v>4</v>
      </c>
      <c r="AM244" s="3">
        <v>3</v>
      </c>
      <c r="AN244" s="3">
        <v>3</v>
      </c>
      <c r="AO244" s="3">
        <v>4</v>
      </c>
      <c r="AP244" s="3">
        <v>4</v>
      </c>
      <c r="AQ244" s="3">
        <v>3</v>
      </c>
      <c r="AR244" s="3">
        <v>4</v>
      </c>
      <c r="AS244" s="3">
        <v>3</v>
      </c>
      <c r="AT244" s="3">
        <v>3</v>
      </c>
      <c r="AU244" s="3">
        <v>3</v>
      </c>
      <c r="AV244" s="3">
        <v>3</v>
      </c>
      <c r="AW244" s="3">
        <v>4</v>
      </c>
      <c r="AX244" s="3">
        <v>3</v>
      </c>
      <c r="AY244" s="3">
        <v>3</v>
      </c>
      <c r="AZ244" s="3">
        <v>3</v>
      </c>
      <c r="BA244" s="3">
        <v>3</v>
      </c>
      <c r="BB244" s="3">
        <v>4</v>
      </c>
      <c r="BC244" s="3">
        <v>4</v>
      </c>
      <c r="BD244" s="3">
        <v>4</v>
      </c>
      <c r="BE244" s="3">
        <v>3</v>
      </c>
      <c r="BF244" s="3">
        <v>3</v>
      </c>
      <c r="BG244" s="3">
        <v>3</v>
      </c>
      <c r="BH244" s="3">
        <v>3</v>
      </c>
      <c r="BI244" s="3">
        <v>4</v>
      </c>
      <c r="BJ244" s="3">
        <v>3</v>
      </c>
      <c r="BK244" s="3">
        <v>3</v>
      </c>
      <c r="BL244" s="3">
        <v>4</v>
      </c>
      <c r="BM244" s="3">
        <v>3</v>
      </c>
      <c r="BN244" s="3">
        <v>3</v>
      </c>
      <c r="BO244" s="3">
        <v>3</v>
      </c>
      <c r="BP244" s="3" t="s">
        <v>693</v>
      </c>
    </row>
    <row r="245" spans="1:68" ht="22.5" customHeight="1" x14ac:dyDescent="0.25">
      <c r="A245" s="2">
        <v>45979.457619548615</v>
      </c>
      <c r="B245" s="3" t="s">
        <v>694</v>
      </c>
      <c r="C245" s="3" t="s">
        <v>86</v>
      </c>
      <c r="D245" s="3" t="s">
        <v>695</v>
      </c>
      <c r="E245" s="3" t="s">
        <v>87</v>
      </c>
      <c r="F245" s="3" t="s">
        <v>88</v>
      </c>
      <c r="G245" s="3" t="s">
        <v>79</v>
      </c>
      <c r="H245" s="3">
        <v>5</v>
      </c>
      <c r="I245" s="3">
        <v>5</v>
      </c>
      <c r="J245" s="3">
        <v>5</v>
      </c>
      <c r="K245" s="3">
        <v>5</v>
      </c>
      <c r="L245" s="3">
        <v>5</v>
      </c>
      <c r="M245" s="3">
        <v>5</v>
      </c>
      <c r="N245" s="3">
        <v>5</v>
      </c>
      <c r="O245" s="3">
        <v>5</v>
      </c>
      <c r="P245" s="3">
        <v>5</v>
      </c>
      <c r="Q245" s="3">
        <v>5</v>
      </c>
      <c r="R245" s="3">
        <v>5</v>
      </c>
      <c r="S245" s="3">
        <v>5</v>
      </c>
      <c r="T245" s="3">
        <v>5</v>
      </c>
      <c r="U245" s="3">
        <v>5</v>
      </c>
      <c r="V245" s="3">
        <v>5</v>
      </c>
      <c r="W245" s="3">
        <v>5</v>
      </c>
      <c r="X245" s="3">
        <v>5</v>
      </c>
      <c r="Y245" s="3">
        <v>5</v>
      </c>
      <c r="Z245" s="3">
        <v>5</v>
      </c>
      <c r="AA245" s="3">
        <v>5</v>
      </c>
      <c r="AB245" s="3">
        <v>5</v>
      </c>
      <c r="AC245" s="3">
        <v>5</v>
      </c>
      <c r="AD245" s="3">
        <v>5</v>
      </c>
      <c r="AE245" s="3">
        <v>5</v>
      </c>
      <c r="AF245" s="3">
        <v>5</v>
      </c>
      <c r="AG245" s="3">
        <v>5</v>
      </c>
      <c r="AH245" s="3">
        <v>5</v>
      </c>
      <c r="AI245" s="3">
        <v>5</v>
      </c>
      <c r="AJ245" s="3">
        <v>5</v>
      </c>
      <c r="AK245" s="3">
        <v>5</v>
      </c>
      <c r="AL245" s="3">
        <v>5</v>
      </c>
      <c r="AM245" s="3">
        <v>5</v>
      </c>
      <c r="AN245" s="3">
        <v>5</v>
      </c>
      <c r="AO245" s="3">
        <v>5</v>
      </c>
      <c r="AP245" s="3">
        <v>5</v>
      </c>
      <c r="AQ245" s="3">
        <v>5</v>
      </c>
      <c r="AR245" s="3">
        <v>5</v>
      </c>
      <c r="AS245" s="3">
        <v>5</v>
      </c>
      <c r="AT245" s="3">
        <v>5</v>
      </c>
      <c r="AU245" s="3">
        <v>5</v>
      </c>
      <c r="AV245" s="3">
        <v>5</v>
      </c>
      <c r="AW245" s="3">
        <v>5</v>
      </c>
      <c r="AX245" s="3">
        <v>5</v>
      </c>
      <c r="AY245" s="3">
        <v>5</v>
      </c>
      <c r="AZ245" s="3">
        <v>5</v>
      </c>
      <c r="BA245" s="3">
        <v>5</v>
      </c>
      <c r="BB245" s="3">
        <v>5</v>
      </c>
      <c r="BC245" s="3">
        <v>5</v>
      </c>
      <c r="BD245" s="3">
        <v>5</v>
      </c>
      <c r="BE245" s="3">
        <v>5</v>
      </c>
      <c r="BF245" s="3">
        <v>5</v>
      </c>
      <c r="BG245" s="3">
        <v>5</v>
      </c>
      <c r="BH245" s="3">
        <v>5</v>
      </c>
      <c r="BI245" s="3">
        <v>5</v>
      </c>
      <c r="BJ245" s="3">
        <v>5</v>
      </c>
      <c r="BK245" s="3">
        <v>5</v>
      </c>
      <c r="BL245" s="3">
        <v>5</v>
      </c>
      <c r="BM245" s="3">
        <v>5</v>
      </c>
      <c r="BN245" s="3">
        <v>5</v>
      </c>
      <c r="BO245" s="3">
        <v>5</v>
      </c>
      <c r="BP245" s="3" t="s">
        <v>696</v>
      </c>
    </row>
    <row r="246" spans="1:68" ht="22.5" customHeight="1" x14ac:dyDescent="0.25">
      <c r="A246" s="2">
        <v>45979.458323796294</v>
      </c>
      <c r="B246" s="3" t="s">
        <v>697</v>
      </c>
      <c r="C246" s="3" t="s">
        <v>69</v>
      </c>
      <c r="D246" s="3" t="s">
        <v>698</v>
      </c>
      <c r="E246" s="3" t="s">
        <v>77</v>
      </c>
      <c r="F246" s="3" t="s">
        <v>78</v>
      </c>
      <c r="G246" s="3" t="s">
        <v>79</v>
      </c>
      <c r="H246" s="3">
        <v>5</v>
      </c>
      <c r="I246" s="3">
        <v>5</v>
      </c>
      <c r="J246" s="3">
        <v>5</v>
      </c>
      <c r="K246" s="3">
        <v>5</v>
      </c>
      <c r="L246" s="3">
        <v>5</v>
      </c>
      <c r="M246" s="3">
        <v>5</v>
      </c>
      <c r="N246" s="3">
        <v>5</v>
      </c>
      <c r="O246" s="3">
        <v>5</v>
      </c>
      <c r="P246" s="3">
        <v>5</v>
      </c>
      <c r="Q246" s="3">
        <v>4</v>
      </c>
      <c r="R246" s="3">
        <v>4</v>
      </c>
      <c r="S246" s="3">
        <v>4</v>
      </c>
      <c r="T246" s="3">
        <v>4</v>
      </c>
      <c r="U246" s="3">
        <v>4</v>
      </c>
      <c r="V246" s="3">
        <v>5</v>
      </c>
      <c r="W246" s="3">
        <v>5</v>
      </c>
      <c r="X246" s="3">
        <v>5</v>
      </c>
      <c r="Y246" s="3">
        <v>5</v>
      </c>
      <c r="Z246" s="3">
        <v>5</v>
      </c>
      <c r="AA246" s="3">
        <v>4</v>
      </c>
      <c r="AB246" s="3">
        <v>4</v>
      </c>
      <c r="AC246" s="3">
        <v>4</v>
      </c>
      <c r="AD246" s="3">
        <v>4</v>
      </c>
      <c r="AE246" s="3">
        <v>4</v>
      </c>
      <c r="AF246" s="3">
        <v>5</v>
      </c>
      <c r="AG246" s="3">
        <v>5</v>
      </c>
      <c r="AH246" s="3">
        <v>5</v>
      </c>
      <c r="AI246" s="3">
        <v>5</v>
      </c>
      <c r="AJ246" s="3">
        <v>4</v>
      </c>
      <c r="AK246" s="3">
        <v>4</v>
      </c>
      <c r="AL246" s="3">
        <v>4</v>
      </c>
      <c r="AM246" s="3">
        <v>4</v>
      </c>
      <c r="AN246" s="3">
        <v>5</v>
      </c>
      <c r="AO246" s="3">
        <v>5</v>
      </c>
      <c r="AP246" s="3">
        <v>5</v>
      </c>
      <c r="AQ246" s="3">
        <v>5</v>
      </c>
      <c r="AR246" s="3">
        <v>5</v>
      </c>
      <c r="AS246" s="3">
        <v>5</v>
      </c>
      <c r="AT246" s="3">
        <v>5</v>
      </c>
      <c r="AU246" s="3">
        <v>5</v>
      </c>
      <c r="AV246" s="3">
        <v>5</v>
      </c>
      <c r="AW246" s="3">
        <v>4</v>
      </c>
      <c r="AX246" s="3">
        <v>4</v>
      </c>
      <c r="AY246" s="3">
        <v>4</v>
      </c>
      <c r="AZ246" s="3">
        <v>4</v>
      </c>
      <c r="BA246" s="3">
        <v>4</v>
      </c>
      <c r="BB246" s="3">
        <v>4</v>
      </c>
      <c r="BC246" s="3">
        <v>5</v>
      </c>
      <c r="BD246" s="3">
        <v>5</v>
      </c>
      <c r="BE246" s="3">
        <v>5</v>
      </c>
      <c r="BF246" s="3">
        <v>5</v>
      </c>
      <c r="BG246" s="3">
        <v>4</v>
      </c>
      <c r="BH246" s="3">
        <v>4</v>
      </c>
      <c r="BI246" s="3">
        <v>4</v>
      </c>
      <c r="BJ246" s="3">
        <v>4</v>
      </c>
      <c r="BK246" s="3">
        <v>5</v>
      </c>
      <c r="BL246" s="3">
        <v>5</v>
      </c>
      <c r="BM246" s="3">
        <v>5</v>
      </c>
      <c r="BN246" s="3">
        <v>5</v>
      </c>
      <c r="BO246" s="3">
        <v>5</v>
      </c>
      <c r="BP246" s="3" t="s">
        <v>699</v>
      </c>
    </row>
    <row r="247" spans="1:68" ht="22.5" customHeight="1" x14ac:dyDescent="0.25">
      <c r="A247" s="2">
        <v>45979.45855137732</v>
      </c>
      <c r="B247" s="3" t="s">
        <v>700</v>
      </c>
      <c r="C247" s="3" t="s">
        <v>69</v>
      </c>
      <c r="D247" s="3" t="s">
        <v>680</v>
      </c>
      <c r="E247" s="3" t="s">
        <v>77</v>
      </c>
      <c r="F247" s="3" t="s">
        <v>78</v>
      </c>
      <c r="G247" s="3" t="s">
        <v>79</v>
      </c>
      <c r="H247" s="3">
        <v>5</v>
      </c>
      <c r="I247" s="3">
        <v>5</v>
      </c>
      <c r="J247" s="3">
        <v>5</v>
      </c>
      <c r="K247" s="3">
        <v>5</v>
      </c>
      <c r="L247" s="3">
        <v>5</v>
      </c>
      <c r="M247" s="3">
        <v>5</v>
      </c>
      <c r="N247" s="3">
        <v>5</v>
      </c>
      <c r="O247" s="3">
        <v>5</v>
      </c>
      <c r="P247" s="3">
        <v>5</v>
      </c>
      <c r="Q247" s="3">
        <v>5</v>
      </c>
      <c r="R247" s="3">
        <v>5</v>
      </c>
      <c r="S247" s="3">
        <v>5</v>
      </c>
      <c r="T247" s="3">
        <v>5</v>
      </c>
      <c r="U247" s="3">
        <v>5</v>
      </c>
      <c r="V247" s="3">
        <v>5</v>
      </c>
      <c r="W247" s="3">
        <v>5</v>
      </c>
      <c r="X247" s="3">
        <v>5</v>
      </c>
      <c r="Y247" s="3">
        <v>5</v>
      </c>
      <c r="Z247" s="3">
        <v>5</v>
      </c>
      <c r="AA247" s="3">
        <v>5</v>
      </c>
      <c r="AB247" s="3">
        <v>5</v>
      </c>
      <c r="AC247" s="3">
        <v>5</v>
      </c>
      <c r="AD247" s="3">
        <v>5</v>
      </c>
      <c r="AE247" s="3">
        <v>5</v>
      </c>
      <c r="AF247" s="3">
        <v>5</v>
      </c>
      <c r="AG247" s="3">
        <v>5</v>
      </c>
      <c r="AH247" s="3">
        <v>5</v>
      </c>
      <c r="AI247" s="3">
        <v>5</v>
      </c>
      <c r="AJ247" s="3">
        <v>5</v>
      </c>
      <c r="AK247" s="3">
        <v>5</v>
      </c>
      <c r="AL247" s="3">
        <v>5</v>
      </c>
      <c r="AM247" s="3">
        <v>5</v>
      </c>
      <c r="AN247" s="3">
        <v>5</v>
      </c>
      <c r="AO247" s="3">
        <v>5</v>
      </c>
      <c r="AP247" s="3">
        <v>5</v>
      </c>
      <c r="AQ247" s="3">
        <v>5</v>
      </c>
      <c r="AR247" s="3">
        <v>5</v>
      </c>
      <c r="AS247" s="3">
        <v>5</v>
      </c>
      <c r="AT247" s="3">
        <v>5</v>
      </c>
      <c r="AU247" s="3">
        <v>5</v>
      </c>
      <c r="AV247" s="3">
        <v>5</v>
      </c>
      <c r="AW247" s="3">
        <v>5</v>
      </c>
      <c r="AX247" s="3">
        <v>5</v>
      </c>
      <c r="AY247" s="3">
        <v>5</v>
      </c>
      <c r="AZ247" s="3">
        <v>5</v>
      </c>
      <c r="BA247" s="3">
        <v>5</v>
      </c>
      <c r="BB247" s="3">
        <v>5</v>
      </c>
      <c r="BC247" s="3">
        <v>5</v>
      </c>
      <c r="BD247" s="3">
        <v>5</v>
      </c>
      <c r="BE247" s="3">
        <v>5</v>
      </c>
      <c r="BF247" s="3">
        <v>5</v>
      </c>
      <c r="BG247" s="3">
        <v>5</v>
      </c>
      <c r="BH247" s="3">
        <v>5</v>
      </c>
      <c r="BI247" s="3">
        <v>5</v>
      </c>
      <c r="BJ247" s="3">
        <v>5</v>
      </c>
      <c r="BK247" s="3">
        <v>5</v>
      </c>
      <c r="BL247" s="3">
        <v>5</v>
      </c>
      <c r="BM247" s="3">
        <v>5</v>
      </c>
      <c r="BN247" s="3">
        <v>5</v>
      </c>
      <c r="BO247" s="3">
        <v>5</v>
      </c>
      <c r="BP247" s="3" t="s">
        <v>701</v>
      </c>
    </row>
    <row r="248" spans="1:68" ht="22.5" customHeight="1" x14ac:dyDescent="0.25">
      <c r="A248" s="2">
        <v>45979.458909907407</v>
      </c>
      <c r="B248" s="3" t="s">
        <v>702</v>
      </c>
      <c r="C248" s="3" t="s">
        <v>86</v>
      </c>
      <c r="D248" s="3" t="s">
        <v>574</v>
      </c>
      <c r="E248" s="3" t="s">
        <v>77</v>
      </c>
      <c r="F248" s="3" t="s">
        <v>78</v>
      </c>
      <c r="G248" s="3" t="s">
        <v>79</v>
      </c>
      <c r="H248" s="3">
        <v>5</v>
      </c>
      <c r="I248" s="3">
        <v>5</v>
      </c>
      <c r="J248" s="3">
        <v>4</v>
      </c>
      <c r="K248" s="3">
        <v>3</v>
      </c>
      <c r="L248" s="3">
        <v>4</v>
      </c>
      <c r="M248" s="3">
        <v>3</v>
      </c>
      <c r="N248" s="3">
        <v>4</v>
      </c>
      <c r="O248" s="3">
        <v>5</v>
      </c>
      <c r="P248" s="3">
        <v>5</v>
      </c>
      <c r="Q248" s="3">
        <v>3</v>
      </c>
      <c r="R248" s="3">
        <v>5</v>
      </c>
      <c r="S248" s="3">
        <v>4</v>
      </c>
      <c r="T248" s="3">
        <v>5</v>
      </c>
      <c r="U248" s="3">
        <v>4</v>
      </c>
      <c r="V248" s="3">
        <v>3</v>
      </c>
      <c r="W248" s="3">
        <v>4</v>
      </c>
      <c r="X248" s="3">
        <v>2</v>
      </c>
      <c r="Y248" s="3">
        <v>4</v>
      </c>
      <c r="Z248" s="3">
        <v>2</v>
      </c>
      <c r="AA248" s="3">
        <v>2</v>
      </c>
      <c r="AB248" s="3">
        <v>3</v>
      </c>
      <c r="AC248" s="3">
        <v>3</v>
      </c>
      <c r="AD248" s="3">
        <v>4</v>
      </c>
      <c r="AE248" s="3">
        <v>5</v>
      </c>
      <c r="AF248" s="3">
        <v>5</v>
      </c>
      <c r="AG248" s="3">
        <v>5</v>
      </c>
      <c r="AH248" s="3">
        <v>5</v>
      </c>
      <c r="AI248" s="3">
        <v>5</v>
      </c>
      <c r="AJ248" s="3">
        <v>5</v>
      </c>
      <c r="AK248" s="3">
        <v>5</v>
      </c>
      <c r="AL248" s="3">
        <v>5</v>
      </c>
      <c r="AM248" s="3">
        <v>5</v>
      </c>
      <c r="AN248" s="3">
        <v>4</v>
      </c>
      <c r="AO248" s="3">
        <v>4</v>
      </c>
      <c r="AP248" s="3">
        <v>4</v>
      </c>
      <c r="AQ248" s="3">
        <v>5</v>
      </c>
      <c r="AR248" s="3">
        <v>5</v>
      </c>
      <c r="AS248" s="3">
        <v>2</v>
      </c>
      <c r="AT248" s="3">
        <v>3</v>
      </c>
      <c r="AU248" s="3">
        <v>4</v>
      </c>
      <c r="AV248" s="3">
        <v>4</v>
      </c>
      <c r="AW248" s="3">
        <v>5</v>
      </c>
      <c r="AX248" s="3">
        <v>5</v>
      </c>
      <c r="AY248" s="3">
        <v>5</v>
      </c>
      <c r="AZ248" s="3">
        <v>5</v>
      </c>
      <c r="BA248" s="3">
        <v>3</v>
      </c>
      <c r="BB248" s="3">
        <v>3</v>
      </c>
      <c r="BC248" s="3">
        <v>3</v>
      </c>
      <c r="BD248" s="3">
        <v>3</v>
      </c>
      <c r="BE248" s="3">
        <v>3</v>
      </c>
      <c r="BF248" s="3">
        <v>4</v>
      </c>
      <c r="BG248" s="3">
        <v>3</v>
      </c>
      <c r="BH248" s="3">
        <v>3</v>
      </c>
      <c r="BI248" s="3">
        <v>5</v>
      </c>
      <c r="BJ248" s="3">
        <v>5</v>
      </c>
      <c r="BK248" s="3">
        <v>5</v>
      </c>
      <c r="BL248" s="3">
        <v>4</v>
      </c>
      <c r="BM248" s="3">
        <v>5</v>
      </c>
      <c r="BN248" s="3">
        <v>5</v>
      </c>
      <c r="BO248" s="3">
        <v>5</v>
      </c>
      <c r="BP248" s="3" t="s">
        <v>703</v>
      </c>
    </row>
    <row r="249" spans="1:68" ht="22.5" customHeight="1" x14ac:dyDescent="0.25">
      <c r="A249" s="2">
        <v>45979.467779178245</v>
      </c>
      <c r="B249" s="3" t="s">
        <v>704</v>
      </c>
      <c r="C249" s="3" t="s">
        <v>69</v>
      </c>
      <c r="D249" s="3" t="s">
        <v>705</v>
      </c>
      <c r="E249" s="3" t="s">
        <v>77</v>
      </c>
      <c r="F249" s="3" t="s">
        <v>82</v>
      </c>
      <c r="G249" s="3" t="s">
        <v>83</v>
      </c>
      <c r="H249" s="3">
        <v>4</v>
      </c>
      <c r="I249" s="3">
        <v>4</v>
      </c>
      <c r="J249" s="3">
        <v>4</v>
      </c>
      <c r="K249" s="3">
        <v>4</v>
      </c>
      <c r="L249" s="3">
        <v>4</v>
      </c>
      <c r="M249" s="3">
        <v>4</v>
      </c>
      <c r="N249" s="3">
        <v>4</v>
      </c>
      <c r="O249" s="3">
        <v>4</v>
      </c>
      <c r="P249" s="3">
        <v>4</v>
      </c>
      <c r="Q249" s="3">
        <v>4</v>
      </c>
      <c r="R249" s="3">
        <v>4</v>
      </c>
      <c r="S249" s="3">
        <v>4</v>
      </c>
      <c r="T249" s="3">
        <v>4</v>
      </c>
      <c r="U249" s="3">
        <v>4</v>
      </c>
      <c r="V249" s="3">
        <v>4</v>
      </c>
      <c r="W249" s="3">
        <v>4</v>
      </c>
      <c r="X249" s="3">
        <v>4</v>
      </c>
      <c r="Y249" s="3">
        <v>4</v>
      </c>
      <c r="Z249" s="3">
        <v>4</v>
      </c>
      <c r="AA249" s="3">
        <v>4</v>
      </c>
      <c r="AB249" s="3">
        <v>4</v>
      </c>
      <c r="AC249" s="3">
        <v>4</v>
      </c>
      <c r="AD249" s="3">
        <v>4</v>
      </c>
      <c r="AE249" s="3">
        <v>4</v>
      </c>
      <c r="AF249" s="3">
        <v>4</v>
      </c>
      <c r="AG249" s="3">
        <v>4</v>
      </c>
      <c r="AH249" s="3">
        <v>4</v>
      </c>
      <c r="AI249" s="3">
        <v>4</v>
      </c>
      <c r="AJ249" s="3">
        <v>4</v>
      </c>
      <c r="AK249" s="3">
        <v>4</v>
      </c>
      <c r="AL249" s="3">
        <v>4</v>
      </c>
      <c r="AM249" s="3">
        <v>4</v>
      </c>
      <c r="AN249" s="3">
        <v>4</v>
      </c>
      <c r="AO249" s="3">
        <v>4</v>
      </c>
      <c r="AP249" s="3">
        <v>4</v>
      </c>
      <c r="AQ249" s="3">
        <v>4</v>
      </c>
      <c r="AR249" s="3">
        <v>4</v>
      </c>
      <c r="AS249" s="3">
        <v>4</v>
      </c>
      <c r="AT249" s="3">
        <v>4</v>
      </c>
      <c r="AU249" s="3">
        <v>4</v>
      </c>
      <c r="AV249" s="3">
        <v>4</v>
      </c>
      <c r="AW249" s="3">
        <v>4</v>
      </c>
      <c r="AX249" s="3">
        <v>4</v>
      </c>
      <c r="AY249" s="3">
        <v>4</v>
      </c>
      <c r="AZ249" s="3">
        <v>4</v>
      </c>
      <c r="BA249" s="3">
        <v>4</v>
      </c>
      <c r="BB249" s="3">
        <v>4</v>
      </c>
      <c r="BC249" s="3">
        <v>4</v>
      </c>
      <c r="BD249" s="3">
        <v>4</v>
      </c>
      <c r="BE249" s="3">
        <v>4</v>
      </c>
      <c r="BF249" s="3">
        <v>4</v>
      </c>
      <c r="BG249" s="3">
        <v>4</v>
      </c>
      <c r="BH249" s="3">
        <v>4</v>
      </c>
      <c r="BI249" s="3">
        <v>4</v>
      </c>
      <c r="BJ249" s="3">
        <v>4</v>
      </c>
      <c r="BK249" s="3">
        <v>4</v>
      </c>
      <c r="BL249" s="3">
        <v>4</v>
      </c>
      <c r="BM249" s="3">
        <v>4</v>
      </c>
      <c r="BN249" s="3">
        <v>4</v>
      </c>
      <c r="BO249" s="3">
        <v>4</v>
      </c>
      <c r="BP249" s="3" t="s">
        <v>706</v>
      </c>
    </row>
    <row r="250" spans="1:68" ht="22.5" customHeight="1" x14ac:dyDescent="0.25">
      <c r="A250" s="2">
        <v>45979.470214895831</v>
      </c>
      <c r="C250" s="3" t="s">
        <v>69</v>
      </c>
      <c r="D250" s="3" t="s">
        <v>236</v>
      </c>
      <c r="E250" s="3" t="s">
        <v>77</v>
      </c>
      <c r="F250" s="3" t="s">
        <v>82</v>
      </c>
      <c r="G250" s="3" t="s">
        <v>91</v>
      </c>
      <c r="H250" s="3">
        <v>5</v>
      </c>
      <c r="I250" s="3">
        <v>5</v>
      </c>
      <c r="J250" s="3">
        <v>5</v>
      </c>
      <c r="K250" s="3">
        <v>4</v>
      </c>
      <c r="L250" s="3">
        <v>5</v>
      </c>
      <c r="M250" s="3">
        <v>4</v>
      </c>
      <c r="N250" s="3">
        <v>4</v>
      </c>
      <c r="O250" s="3">
        <v>5</v>
      </c>
      <c r="P250" s="3">
        <v>5</v>
      </c>
      <c r="Q250" s="3">
        <v>5</v>
      </c>
      <c r="R250" s="3">
        <v>5</v>
      </c>
      <c r="S250" s="3">
        <v>5</v>
      </c>
      <c r="T250" s="3">
        <v>4</v>
      </c>
      <c r="U250" s="3">
        <v>5</v>
      </c>
      <c r="V250" s="3">
        <v>4</v>
      </c>
      <c r="W250" s="3">
        <v>4</v>
      </c>
      <c r="X250" s="3">
        <v>4</v>
      </c>
      <c r="Y250" s="3">
        <v>4</v>
      </c>
      <c r="Z250" s="3">
        <v>4</v>
      </c>
      <c r="AA250" s="3">
        <v>4</v>
      </c>
      <c r="AB250" s="3">
        <v>3</v>
      </c>
      <c r="AC250" s="3">
        <v>2</v>
      </c>
      <c r="AD250" s="3">
        <v>4</v>
      </c>
      <c r="AE250" s="3">
        <v>4</v>
      </c>
      <c r="AF250" s="3">
        <v>4</v>
      </c>
      <c r="AG250" s="3">
        <v>4</v>
      </c>
      <c r="AH250" s="3">
        <v>4</v>
      </c>
      <c r="AI250" s="3">
        <v>4</v>
      </c>
      <c r="AJ250" s="3">
        <v>4</v>
      </c>
      <c r="AK250" s="3">
        <v>4</v>
      </c>
      <c r="AL250" s="3">
        <v>4</v>
      </c>
      <c r="AM250" s="3">
        <v>4</v>
      </c>
      <c r="AN250" s="3">
        <v>4</v>
      </c>
      <c r="AO250" s="3">
        <v>4</v>
      </c>
      <c r="AP250" s="3">
        <v>4</v>
      </c>
      <c r="AQ250" s="3">
        <v>4</v>
      </c>
      <c r="AR250" s="3">
        <v>3</v>
      </c>
      <c r="AS250" s="3">
        <v>4</v>
      </c>
      <c r="AT250" s="3">
        <v>3</v>
      </c>
      <c r="AU250" s="3">
        <v>4</v>
      </c>
      <c r="AV250" s="3">
        <v>4</v>
      </c>
      <c r="AW250" s="3">
        <v>5</v>
      </c>
      <c r="AX250" s="3">
        <v>5</v>
      </c>
      <c r="AY250" s="3">
        <v>5</v>
      </c>
      <c r="AZ250" s="3">
        <v>5</v>
      </c>
      <c r="BA250" s="3">
        <v>4</v>
      </c>
      <c r="BB250" s="3">
        <v>2</v>
      </c>
      <c r="BC250" s="3">
        <v>3</v>
      </c>
      <c r="BD250" s="3">
        <v>3</v>
      </c>
      <c r="BE250" s="3">
        <v>3</v>
      </c>
      <c r="BF250" s="3">
        <v>3</v>
      </c>
      <c r="BG250" s="3">
        <v>4</v>
      </c>
      <c r="BH250" s="3">
        <v>4</v>
      </c>
      <c r="BI250" s="3">
        <v>4</v>
      </c>
      <c r="BJ250" s="3">
        <v>5</v>
      </c>
      <c r="BK250" s="3">
        <v>4</v>
      </c>
      <c r="BL250" s="3">
        <v>4</v>
      </c>
      <c r="BM250" s="3">
        <v>5</v>
      </c>
      <c r="BN250" s="3">
        <v>4</v>
      </c>
      <c r="BO250" s="3">
        <v>5</v>
      </c>
      <c r="BP250" s="3" t="s">
        <v>707</v>
      </c>
    </row>
    <row r="251" spans="1:68" ht="22.5" customHeight="1" x14ac:dyDescent="0.25">
      <c r="A251" s="2">
        <v>45979.470807268517</v>
      </c>
      <c r="B251" s="3" t="s">
        <v>708</v>
      </c>
      <c r="C251" s="3" t="s">
        <v>86</v>
      </c>
      <c r="D251" s="3" t="s">
        <v>709</v>
      </c>
      <c r="E251" s="3" t="s">
        <v>119</v>
      </c>
      <c r="F251" s="3" t="s">
        <v>82</v>
      </c>
      <c r="G251" s="3" t="s">
        <v>83</v>
      </c>
      <c r="H251" s="3">
        <v>5</v>
      </c>
      <c r="I251" s="3">
        <v>5</v>
      </c>
      <c r="J251" s="3">
        <v>5</v>
      </c>
      <c r="K251" s="3">
        <v>5</v>
      </c>
      <c r="L251" s="3">
        <v>5</v>
      </c>
      <c r="M251" s="3">
        <v>3</v>
      </c>
      <c r="N251" s="3">
        <v>4</v>
      </c>
      <c r="O251" s="3">
        <v>4</v>
      </c>
      <c r="P251" s="3">
        <v>5</v>
      </c>
      <c r="Q251" s="3">
        <v>5</v>
      </c>
      <c r="R251" s="3">
        <v>5</v>
      </c>
      <c r="S251" s="3">
        <v>5</v>
      </c>
      <c r="T251" s="3">
        <v>5</v>
      </c>
      <c r="U251" s="3">
        <v>4</v>
      </c>
      <c r="V251" s="3">
        <v>4</v>
      </c>
      <c r="W251" s="3">
        <v>4</v>
      </c>
      <c r="X251" s="3">
        <v>4</v>
      </c>
      <c r="Y251" s="3">
        <v>3</v>
      </c>
      <c r="Z251" s="3">
        <v>5</v>
      </c>
      <c r="AA251" s="3">
        <v>4</v>
      </c>
      <c r="AB251" s="3">
        <v>4</v>
      </c>
      <c r="AC251" s="3">
        <v>4</v>
      </c>
      <c r="AD251" s="3">
        <v>4</v>
      </c>
      <c r="AE251" s="3">
        <v>3</v>
      </c>
      <c r="AF251" s="3">
        <v>3</v>
      </c>
      <c r="AG251" s="3">
        <v>4</v>
      </c>
      <c r="AH251" s="3">
        <v>4</v>
      </c>
      <c r="AI251" s="3">
        <v>4</v>
      </c>
      <c r="AJ251" s="3">
        <v>4</v>
      </c>
      <c r="AK251" s="3">
        <v>4</v>
      </c>
      <c r="AL251" s="3">
        <v>4</v>
      </c>
      <c r="AM251" s="3">
        <v>4</v>
      </c>
      <c r="AN251" s="3">
        <v>4</v>
      </c>
      <c r="AO251" s="3">
        <v>4</v>
      </c>
      <c r="AP251" s="3">
        <v>4</v>
      </c>
      <c r="AQ251" s="3">
        <v>4</v>
      </c>
      <c r="AR251" s="3">
        <v>4</v>
      </c>
      <c r="AS251" s="3">
        <v>3</v>
      </c>
      <c r="AT251" s="3">
        <v>3</v>
      </c>
      <c r="AU251" s="3">
        <v>3</v>
      </c>
      <c r="AV251" s="3">
        <v>3</v>
      </c>
      <c r="AW251" s="3">
        <v>5</v>
      </c>
      <c r="AX251" s="3">
        <v>5</v>
      </c>
      <c r="AY251" s="3">
        <v>5</v>
      </c>
      <c r="AZ251" s="3">
        <v>5</v>
      </c>
      <c r="BA251" s="3">
        <v>3</v>
      </c>
      <c r="BB251" s="3">
        <v>3</v>
      </c>
      <c r="BC251" s="3">
        <v>3</v>
      </c>
      <c r="BD251" s="3">
        <v>3</v>
      </c>
      <c r="BE251" s="3">
        <v>3</v>
      </c>
      <c r="BF251" s="3">
        <v>3</v>
      </c>
      <c r="BG251" s="3">
        <v>4</v>
      </c>
      <c r="BH251" s="3">
        <v>4</v>
      </c>
      <c r="BI251" s="3">
        <v>5</v>
      </c>
      <c r="BJ251" s="3">
        <v>4</v>
      </c>
      <c r="BK251" s="3">
        <v>5</v>
      </c>
      <c r="BL251" s="3">
        <v>5</v>
      </c>
      <c r="BM251" s="3">
        <v>5</v>
      </c>
      <c r="BN251" s="3">
        <v>5</v>
      </c>
      <c r="BO251" s="3">
        <v>5</v>
      </c>
      <c r="BP251" s="3" t="s">
        <v>710</v>
      </c>
    </row>
    <row r="252" spans="1:68" ht="22.5" customHeight="1" x14ac:dyDescent="0.25">
      <c r="A252" s="2">
        <v>45979.483667465276</v>
      </c>
      <c r="B252" s="3" t="s">
        <v>711</v>
      </c>
      <c r="C252" s="3" t="s">
        <v>86</v>
      </c>
      <c r="D252" s="3" t="s">
        <v>236</v>
      </c>
      <c r="E252" s="3" t="s">
        <v>119</v>
      </c>
      <c r="F252" s="3" t="s">
        <v>72</v>
      </c>
      <c r="G252" s="3" t="s">
        <v>91</v>
      </c>
      <c r="H252" s="3">
        <v>5</v>
      </c>
      <c r="I252" s="3">
        <v>5</v>
      </c>
      <c r="J252" s="3">
        <v>5</v>
      </c>
      <c r="K252" s="3">
        <v>5</v>
      </c>
      <c r="L252" s="3">
        <v>5</v>
      </c>
      <c r="M252" s="3">
        <v>4</v>
      </c>
      <c r="N252" s="3">
        <v>4</v>
      </c>
      <c r="O252" s="3">
        <v>5</v>
      </c>
      <c r="P252" s="3">
        <v>5</v>
      </c>
      <c r="Q252" s="3">
        <v>5</v>
      </c>
      <c r="R252" s="3">
        <v>5</v>
      </c>
      <c r="S252" s="3">
        <v>5</v>
      </c>
      <c r="T252" s="3">
        <v>5</v>
      </c>
      <c r="U252" s="3">
        <v>5</v>
      </c>
      <c r="V252" s="3">
        <v>4</v>
      </c>
      <c r="W252" s="3">
        <v>4</v>
      </c>
      <c r="X252" s="3">
        <v>4</v>
      </c>
      <c r="Y252" s="3">
        <v>3</v>
      </c>
      <c r="Z252" s="3">
        <v>3</v>
      </c>
      <c r="AA252" s="3">
        <v>4</v>
      </c>
      <c r="AB252" s="3">
        <v>4</v>
      </c>
      <c r="AC252" s="3">
        <v>4</v>
      </c>
      <c r="AD252" s="3">
        <v>4</v>
      </c>
      <c r="AE252" s="3">
        <v>5</v>
      </c>
      <c r="AF252" s="3">
        <v>5</v>
      </c>
      <c r="AG252" s="3">
        <v>5</v>
      </c>
      <c r="AH252" s="3">
        <v>3</v>
      </c>
      <c r="AI252" s="3">
        <v>4</v>
      </c>
      <c r="AJ252" s="3">
        <v>4</v>
      </c>
      <c r="AK252" s="3">
        <v>5</v>
      </c>
      <c r="AL252" s="3">
        <v>4</v>
      </c>
      <c r="AM252" s="3">
        <v>4</v>
      </c>
      <c r="AN252" s="3">
        <v>4</v>
      </c>
      <c r="AO252" s="3">
        <v>4</v>
      </c>
      <c r="AP252" s="3">
        <v>4</v>
      </c>
      <c r="AQ252" s="3">
        <v>4</v>
      </c>
      <c r="AR252" s="3">
        <v>4</v>
      </c>
      <c r="AS252" s="3">
        <v>4</v>
      </c>
      <c r="AT252" s="3">
        <v>4</v>
      </c>
      <c r="AU252" s="3">
        <v>4</v>
      </c>
      <c r="AV252" s="3">
        <v>4</v>
      </c>
      <c r="AW252" s="3">
        <v>5</v>
      </c>
      <c r="AX252" s="3">
        <v>5</v>
      </c>
      <c r="AY252" s="3">
        <v>5</v>
      </c>
      <c r="AZ252" s="3">
        <v>4</v>
      </c>
      <c r="BA252" s="3">
        <v>4</v>
      </c>
      <c r="BB252" s="3">
        <v>4</v>
      </c>
      <c r="BC252" s="3">
        <v>4</v>
      </c>
      <c r="BD252" s="3">
        <v>4</v>
      </c>
      <c r="BE252" s="3">
        <v>4</v>
      </c>
      <c r="BF252" s="3">
        <v>4</v>
      </c>
      <c r="BG252" s="3">
        <v>5</v>
      </c>
      <c r="BH252" s="3">
        <v>5</v>
      </c>
      <c r="BI252" s="3">
        <v>5</v>
      </c>
      <c r="BJ252" s="3">
        <v>5</v>
      </c>
      <c r="BK252" s="3">
        <v>5</v>
      </c>
      <c r="BL252" s="3">
        <v>5</v>
      </c>
      <c r="BM252" s="3">
        <v>5</v>
      </c>
      <c r="BN252" s="3">
        <v>5</v>
      </c>
      <c r="BO252" s="3">
        <v>5</v>
      </c>
      <c r="BP252" s="3" t="s">
        <v>712</v>
      </c>
    </row>
    <row r="253" spans="1:68" ht="22.5" customHeight="1" x14ac:dyDescent="0.25">
      <c r="A253" s="2">
        <v>45979.495025983793</v>
      </c>
      <c r="B253" s="3" t="s">
        <v>713</v>
      </c>
      <c r="C253" s="3" t="s">
        <v>69</v>
      </c>
      <c r="D253" s="3" t="s">
        <v>714</v>
      </c>
      <c r="E253" s="3" t="s">
        <v>119</v>
      </c>
      <c r="F253" s="3" t="s">
        <v>88</v>
      </c>
      <c r="G253" s="3" t="s">
        <v>83</v>
      </c>
      <c r="H253" s="3">
        <v>5</v>
      </c>
      <c r="I253" s="3">
        <v>4</v>
      </c>
      <c r="J253" s="3">
        <v>4</v>
      </c>
      <c r="K253" s="3">
        <v>4</v>
      </c>
      <c r="L253" s="3">
        <v>3</v>
      </c>
      <c r="M253" s="3">
        <v>3</v>
      </c>
      <c r="N253" s="3">
        <v>3</v>
      </c>
      <c r="O253" s="3">
        <v>4</v>
      </c>
      <c r="P253" s="3">
        <v>4</v>
      </c>
      <c r="Q253" s="3">
        <v>5</v>
      </c>
      <c r="R253" s="3">
        <v>5</v>
      </c>
      <c r="S253" s="3">
        <v>5</v>
      </c>
      <c r="T253" s="3">
        <v>5</v>
      </c>
      <c r="U253" s="3">
        <v>5</v>
      </c>
      <c r="V253" s="3">
        <v>3</v>
      </c>
      <c r="W253" s="3">
        <v>3</v>
      </c>
      <c r="X253" s="3">
        <v>3</v>
      </c>
      <c r="Y253" s="3">
        <v>3</v>
      </c>
      <c r="Z253" s="3">
        <v>3</v>
      </c>
      <c r="AA253" s="3">
        <v>5</v>
      </c>
      <c r="AB253" s="3">
        <v>5</v>
      </c>
      <c r="AC253" s="3">
        <v>4</v>
      </c>
      <c r="AD253" s="3">
        <v>5</v>
      </c>
      <c r="AE253" s="3">
        <v>4</v>
      </c>
      <c r="AF253" s="3">
        <v>4</v>
      </c>
      <c r="AG253" s="3">
        <v>4</v>
      </c>
      <c r="AH253" s="3">
        <v>4</v>
      </c>
      <c r="AI253" s="3">
        <v>4</v>
      </c>
      <c r="AJ253" s="3">
        <v>4</v>
      </c>
      <c r="AK253" s="3">
        <v>4</v>
      </c>
      <c r="AL253" s="3">
        <v>4</v>
      </c>
      <c r="AM253" s="3">
        <v>4</v>
      </c>
      <c r="AN253" s="3">
        <v>3</v>
      </c>
      <c r="AO253" s="3">
        <v>3</v>
      </c>
      <c r="AP253" s="3">
        <v>3</v>
      </c>
      <c r="AQ253" s="3">
        <v>3</v>
      </c>
      <c r="AR253" s="3">
        <v>3</v>
      </c>
      <c r="AS253" s="3">
        <v>3</v>
      </c>
      <c r="AT253" s="3">
        <v>3</v>
      </c>
      <c r="AU253" s="3">
        <v>3</v>
      </c>
      <c r="AV253" s="3">
        <v>3</v>
      </c>
      <c r="AW253" s="3">
        <v>4</v>
      </c>
      <c r="AX253" s="3">
        <v>4</v>
      </c>
      <c r="AY253" s="3">
        <v>4</v>
      </c>
      <c r="AZ253" s="3">
        <v>4</v>
      </c>
      <c r="BA253" s="3">
        <v>3</v>
      </c>
      <c r="BB253" s="3">
        <v>3</v>
      </c>
      <c r="BC253" s="3">
        <v>3</v>
      </c>
      <c r="BD253" s="3">
        <v>3</v>
      </c>
      <c r="BE253" s="3">
        <v>3</v>
      </c>
      <c r="BF253" s="3">
        <v>3</v>
      </c>
      <c r="BG253" s="3">
        <v>3</v>
      </c>
      <c r="BH253" s="3">
        <v>4</v>
      </c>
      <c r="BI253" s="3">
        <v>4</v>
      </c>
      <c r="BJ253" s="3">
        <v>4</v>
      </c>
      <c r="BK253" s="3">
        <v>4</v>
      </c>
      <c r="BL253" s="3">
        <v>4</v>
      </c>
      <c r="BM253" s="3">
        <v>4</v>
      </c>
      <c r="BN253" s="3">
        <v>4</v>
      </c>
      <c r="BO253" s="3">
        <v>5</v>
      </c>
      <c r="BP253" s="3" t="s">
        <v>715</v>
      </c>
    </row>
    <row r="254" spans="1:68" ht="22.5" customHeight="1" x14ac:dyDescent="0.25">
      <c r="A254" s="2">
        <v>45979.500708587962</v>
      </c>
      <c r="B254" s="3" t="s">
        <v>716</v>
      </c>
      <c r="C254" s="3" t="s">
        <v>86</v>
      </c>
      <c r="D254" s="3" t="s">
        <v>217</v>
      </c>
      <c r="E254" s="3" t="s">
        <v>77</v>
      </c>
      <c r="F254" s="3" t="s">
        <v>78</v>
      </c>
      <c r="G254" s="3" t="s">
        <v>83</v>
      </c>
      <c r="H254" s="3">
        <v>5</v>
      </c>
      <c r="I254" s="3">
        <v>5</v>
      </c>
      <c r="J254" s="3">
        <v>5</v>
      </c>
      <c r="K254" s="3">
        <v>5</v>
      </c>
      <c r="L254" s="3">
        <v>5</v>
      </c>
      <c r="M254" s="3">
        <v>5</v>
      </c>
      <c r="N254" s="3">
        <v>5</v>
      </c>
      <c r="O254" s="3">
        <v>5</v>
      </c>
      <c r="P254" s="3">
        <v>5</v>
      </c>
      <c r="Q254" s="3">
        <v>5</v>
      </c>
      <c r="R254" s="3">
        <v>5</v>
      </c>
      <c r="S254" s="3">
        <v>5</v>
      </c>
      <c r="T254" s="3">
        <v>5</v>
      </c>
      <c r="U254" s="3">
        <v>5</v>
      </c>
      <c r="V254" s="3">
        <v>5</v>
      </c>
      <c r="W254" s="3">
        <v>5</v>
      </c>
      <c r="X254" s="3">
        <v>5</v>
      </c>
      <c r="Y254" s="3">
        <v>5</v>
      </c>
      <c r="Z254" s="3">
        <v>5</v>
      </c>
      <c r="AA254" s="3">
        <v>4</v>
      </c>
      <c r="AB254" s="3">
        <v>4</v>
      </c>
      <c r="AC254" s="3">
        <v>4</v>
      </c>
      <c r="AD254" s="3">
        <v>5</v>
      </c>
      <c r="AE254" s="3">
        <v>5</v>
      </c>
      <c r="AF254" s="3">
        <v>5</v>
      </c>
      <c r="AG254" s="3">
        <v>5</v>
      </c>
      <c r="AH254" s="3">
        <v>5</v>
      </c>
      <c r="AI254" s="3">
        <v>5</v>
      </c>
      <c r="AJ254" s="3">
        <v>5</v>
      </c>
      <c r="AK254" s="3">
        <v>5</v>
      </c>
      <c r="AL254" s="3">
        <v>5</v>
      </c>
      <c r="AM254" s="3">
        <v>5</v>
      </c>
      <c r="AN254" s="3">
        <v>4</v>
      </c>
      <c r="AO254" s="3">
        <v>4</v>
      </c>
      <c r="AP254" s="3">
        <v>4</v>
      </c>
      <c r="AQ254" s="3">
        <v>5</v>
      </c>
      <c r="AR254" s="3">
        <v>5</v>
      </c>
      <c r="AS254" s="3">
        <v>4</v>
      </c>
      <c r="AT254" s="3">
        <v>4</v>
      </c>
      <c r="AU254" s="3">
        <v>5</v>
      </c>
      <c r="AV254" s="3">
        <v>4</v>
      </c>
      <c r="AW254" s="3">
        <v>5</v>
      </c>
      <c r="AX254" s="3">
        <v>5</v>
      </c>
      <c r="AY254" s="3">
        <v>5</v>
      </c>
      <c r="AZ254" s="3">
        <v>5</v>
      </c>
      <c r="BA254" s="3">
        <v>5</v>
      </c>
      <c r="BB254" s="3">
        <v>5</v>
      </c>
      <c r="BC254" s="3">
        <v>5</v>
      </c>
      <c r="BD254" s="3">
        <v>5</v>
      </c>
      <c r="BE254" s="3">
        <v>5</v>
      </c>
      <c r="BF254" s="3">
        <v>5</v>
      </c>
      <c r="BG254" s="3">
        <v>5</v>
      </c>
      <c r="BH254" s="3">
        <v>5</v>
      </c>
      <c r="BI254" s="3">
        <v>5</v>
      </c>
      <c r="BJ254" s="3">
        <v>5</v>
      </c>
      <c r="BK254" s="3">
        <v>5</v>
      </c>
      <c r="BL254" s="3">
        <v>5</v>
      </c>
      <c r="BM254" s="3">
        <v>5</v>
      </c>
      <c r="BN254" s="3">
        <v>4</v>
      </c>
      <c r="BO254" s="3">
        <v>5</v>
      </c>
      <c r="BP254" s="3" t="s">
        <v>717</v>
      </c>
    </row>
    <row r="255" spans="1:68" ht="22.5" customHeight="1" x14ac:dyDescent="0.25">
      <c r="A255" s="2">
        <v>45979.504079849532</v>
      </c>
      <c r="B255" s="3" t="s">
        <v>718</v>
      </c>
      <c r="C255" s="3" t="s">
        <v>86</v>
      </c>
      <c r="D255" s="3" t="s">
        <v>213</v>
      </c>
      <c r="E255" s="3" t="s">
        <v>77</v>
      </c>
      <c r="F255" s="3" t="s">
        <v>78</v>
      </c>
      <c r="G255" s="3" t="s">
        <v>79</v>
      </c>
      <c r="H255" s="3">
        <v>4</v>
      </c>
      <c r="I255" s="3">
        <v>4</v>
      </c>
      <c r="J255" s="3">
        <v>3</v>
      </c>
      <c r="K255" s="3">
        <v>4</v>
      </c>
      <c r="L255" s="3">
        <v>4</v>
      </c>
      <c r="M255" s="3">
        <v>4</v>
      </c>
      <c r="N255" s="3">
        <v>4</v>
      </c>
      <c r="O255" s="3">
        <v>4</v>
      </c>
      <c r="P255" s="3">
        <v>5</v>
      </c>
      <c r="Q255" s="3">
        <v>5</v>
      </c>
      <c r="R255" s="3">
        <v>5</v>
      </c>
      <c r="S255" s="3">
        <v>5</v>
      </c>
      <c r="T255" s="3">
        <v>5</v>
      </c>
      <c r="U255" s="3">
        <v>5</v>
      </c>
      <c r="V255" s="3">
        <v>3</v>
      </c>
      <c r="W255" s="3">
        <v>3</v>
      </c>
      <c r="X255" s="3">
        <v>4</v>
      </c>
      <c r="Y255" s="3">
        <v>4</v>
      </c>
      <c r="Z255" s="3">
        <v>3</v>
      </c>
      <c r="AA255" s="3">
        <v>3</v>
      </c>
      <c r="AB255" s="3">
        <v>3</v>
      </c>
      <c r="AC255" s="3">
        <v>2</v>
      </c>
      <c r="AD255" s="3">
        <v>3</v>
      </c>
      <c r="AE255" s="3">
        <v>5</v>
      </c>
      <c r="AF255" s="3">
        <v>5</v>
      </c>
      <c r="AG255" s="3">
        <v>5</v>
      </c>
      <c r="AH255" s="3">
        <v>5</v>
      </c>
      <c r="AI255" s="3">
        <v>3</v>
      </c>
      <c r="AJ255" s="3">
        <v>3</v>
      </c>
      <c r="AK255" s="3">
        <v>3</v>
      </c>
      <c r="AL255" s="3">
        <v>3</v>
      </c>
      <c r="AM255" s="3">
        <v>4</v>
      </c>
      <c r="AN255" s="3">
        <v>3</v>
      </c>
      <c r="AO255" s="3">
        <v>3</v>
      </c>
      <c r="AP255" s="3">
        <v>3</v>
      </c>
      <c r="AQ255" s="3">
        <v>3</v>
      </c>
      <c r="AR255" s="3">
        <v>3</v>
      </c>
      <c r="AS255" s="3">
        <v>2</v>
      </c>
      <c r="AT255" s="3">
        <v>3</v>
      </c>
      <c r="AU255" s="3">
        <v>3</v>
      </c>
      <c r="AV255" s="3">
        <v>3</v>
      </c>
      <c r="AW255" s="3">
        <v>4</v>
      </c>
      <c r="AX255" s="3">
        <v>4</v>
      </c>
      <c r="AY255" s="3">
        <v>4</v>
      </c>
      <c r="AZ255" s="3">
        <v>4</v>
      </c>
      <c r="BA255" s="3">
        <v>3</v>
      </c>
      <c r="BB255" s="3">
        <v>3</v>
      </c>
      <c r="BC255" s="3">
        <v>3</v>
      </c>
      <c r="BD255" s="3">
        <v>4</v>
      </c>
      <c r="BE255" s="3">
        <v>3</v>
      </c>
      <c r="BF255" s="3">
        <v>3</v>
      </c>
      <c r="BG255" s="3">
        <v>3</v>
      </c>
      <c r="BH255" s="3">
        <v>3</v>
      </c>
      <c r="BI255" s="3">
        <v>4</v>
      </c>
      <c r="BJ255" s="3">
        <v>3</v>
      </c>
      <c r="BK255" s="3">
        <v>3</v>
      </c>
      <c r="BL255" s="3">
        <v>3</v>
      </c>
      <c r="BM255" s="3">
        <v>3</v>
      </c>
      <c r="BN255" s="3">
        <v>3</v>
      </c>
      <c r="BO255" s="3">
        <v>4</v>
      </c>
      <c r="BP255" s="3" t="s">
        <v>719</v>
      </c>
    </row>
    <row r="256" spans="1:68" ht="22.5" customHeight="1" x14ac:dyDescent="0.25">
      <c r="A256" s="2">
        <v>45979.505163159723</v>
      </c>
      <c r="B256" s="3" t="s">
        <v>720</v>
      </c>
      <c r="C256" s="3" t="s">
        <v>69</v>
      </c>
      <c r="D256" s="3" t="s">
        <v>213</v>
      </c>
      <c r="E256" s="3" t="s">
        <v>77</v>
      </c>
      <c r="F256" s="3" t="s">
        <v>78</v>
      </c>
      <c r="G256" s="3" t="s">
        <v>79</v>
      </c>
      <c r="H256" s="3">
        <v>5</v>
      </c>
      <c r="I256" s="3">
        <v>5</v>
      </c>
      <c r="J256" s="3">
        <v>5</v>
      </c>
      <c r="K256" s="3">
        <v>5</v>
      </c>
      <c r="L256" s="3">
        <v>5</v>
      </c>
      <c r="M256" s="3">
        <v>5</v>
      </c>
      <c r="N256" s="3">
        <v>5</v>
      </c>
      <c r="O256" s="3">
        <v>5</v>
      </c>
      <c r="P256" s="3">
        <v>5</v>
      </c>
      <c r="Q256" s="3">
        <v>5</v>
      </c>
      <c r="R256" s="3">
        <v>5</v>
      </c>
      <c r="S256" s="3">
        <v>5</v>
      </c>
      <c r="T256" s="3">
        <v>5</v>
      </c>
      <c r="U256" s="3">
        <v>5</v>
      </c>
      <c r="V256" s="3">
        <v>5</v>
      </c>
      <c r="W256" s="3">
        <v>5</v>
      </c>
      <c r="X256" s="3">
        <v>4</v>
      </c>
      <c r="Y256" s="3">
        <v>4</v>
      </c>
      <c r="Z256" s="3">
        <v>5</v>
      </c>
      <c r="AA256" s="3">
        <v>5</v>
      </c>
      <c r="AB256" s="3">
        <v>5</v>
      </c>
      <c r="AC256" s="3">
        <v>5</v>
      </c>
      <c r="AD256" s="3">
        <v>5</v>
      </c>
      <c r="AE256" s="3">
        <v>5</v>
      </c>
      <c r="AF256" s="3">
        <v>5</v>
      </c>
      <c r="AG256" s="3">
        <v>5</v>
      </c>
      <c r="AH256" s="3">
        <v>5</v>
      </c>
      <c r="AI256" s="3">
        <v>5</v>
      </c>
      <c r="AJ256" s="3">
        <v>5</v>
      </c>
      <c r="AK256" s="3">
        <v>5</v>
      </c>
      <c r="AL256" s="3">
        <v>5</v>
      </c>
      <c r="AM256" s="3">
        <v>5</v>
      </c>
      <c r="AN256" s="3">
        <v>3</v>
      </c>
      <c r="AO256" s="3">
        <v>4</v>
      </c>
      <c r="AP256" s="3">
        <v>4</v>
      </c>
      <c r="AQ256" s="3">
        <v>2</v>
      </c>
      <c r="AR256" s="3">
        <v>3</v>
      </c>
      <c r="AS256" s="3">
        <v>4</v>
      </c>
      <c r="AT256" s="3">
        <v>4</v>
      </c>
      <c r="AU256" s="3">
        <v>3</v>
      </c>
      <c r="AV256" s="3">
        <v>4</v>
      </c>
      <c r="AW256" s="3">
        <v>5</v>
      </c>
      <c r="AX256" s="3">
        <v>5</v>
      </c>
      <c r="AY256" s="3">
        <v>5</v>
      </c>
      <c r="AZ256" s="3">
        <v>5</v>
      </c>
      <c r="BA256" s="3">
        <v>5</v>
      </c>
      <c r="BB256" s="3">
        <v>5</v>
      </c>
      <c r="BC256" s="3">
        <v>3</v>
      </c>
      <c r="BD256" s="3">
        <v>3</v>
      </c>
      <c r="BE256" s="3">
        <v>3</v>
      </c>
      <c r="BF256" s="3">
        <v>3</v>
      </c>
      <c r="BG256" s="3">
        <v>5</v>
      </c>
      <c r="BH256" s="3">
        <v>5</v>
      </c>
      <c r="BI256" s="3">
        <v>5</v>
      </c>
      <c r="BJ256" s="3">
        <v>5</v>
      </c>
      <c r="BK256" s="3">
        <v>5</v>
      </c>
      <c r="BL256" s="3">
        <v>4</v>
      </c>
      <c r="BM256" s="3">
        <v>5</v>
      </c>
      <c r="BN256" s="3">
        <v>3</v>
      </c>
      <c r="BO256" s="3">
        <v>5</v>
      </c>
      <c r="BP256" s="3" t="s">
        <v>721</v>
      </c>
    </row>
    <row r="257" spans="1:68" ht="22.5" customHeight="1" x14ac:dyDescent="0.25">
      <c r="A257" s="2">
        <v>45979.512889375001</v>
      </c>
      <c r="B257" s="3" t="s">
        <v>722</v>
      </c>
      <c r="C257" s="3" t="s">
        <v>86</v>
      </c>
      <c r="D257" s="3" t="s">
        <v>723</v>
      </c>
      <c r="E257" s="3" t="s">
        <v>119</v>
      </c>
      <c r="F257" s="3" t="s">
        <v>78</v>
      </c>
      <c r="G257" s="3" t="s">
        <v>83</v>
      </c>
      <c r="H257" s="3">
        <v>5</v>
      </c>
      <c r="I257" s="3">
        <v>5</v>
      </c>
      <c r="J257" s="3">
        <v>5</v>
      </c>
      <c r="K257" s="3">
        <v>5</v>
      </c>
      <c r="L257" s="3">
        <v>5</v>
      </c>
      <c r="M257" s="3">
        <v>5</v>
      </c>
      <c r="N257" s="3">
        <v>5</v>
      </c>
      <c r="O257" s="3">
        <v>5</v>
      </c>
      <c r="P257" s="3">
        <v>5</v>
      </c>
      <c r="Q257" s="3">
        <v>5</v>
      </c>
      <c r="R257" s="3">
        <v>5</v>
      </c>
      <c r="S257" s="3">
        <v>5</v>
      </c>
      <c r="T257" s="3">
        <v>5</v>
      </c>
      <c r="U257" s="3">
        <v>5</v>
      </c>
      <c r="V257" s="3">
        <v>5</v>
      </c>
      <c r="W257" s="3">
        <v>5</v>
      </c>
      <c r="X257" s="3">
        <v>5</v>
      </c>
      <c r="Y257" s="3">
        <v>5</v>
      </c>
      <c r="Z257" s="3">
        <v>5</v>
      </c>
      <c r="AA257" s="3">
        <v>5</v>
      </c>
      <c r="AB257" s="3">
        <v>4</v>
      </c>
      <c r="AC257" s="3">
        <v>4</v>
      </c>
      <c r="AD257" s="3">
        <v>5</v>
      </c>
      <c r="AE257" s="3">
        <v>5</v>
      </c>
      <c r="AF257" s="3">
        <v>5</v>
      </c>
      <c r="AG257" s="3">
        <v>5</v>
      </c>
      <c r="AH257" s="3">
        <v>5</v>
      </c>
      <c r="AI257" s="3">
        <v>5</v>
      </c>
      <c r="AJ257" s="3">
        <v>5</v>
      </c>
      <c r="AK257" s="3">
        <v>5</v>
      </c>
      <c r="AL257" s="3">
        <v>5</v>
      </c>
      <c r="AM257" s="3">
        <v>5</v>
      </c>
      <c r="AN257" s="3">
        <v>5</v>
      </c>
      <c r="AO257" s="3">
        <v>5</v>
      </c>
      <c r="AP257" s="3">
        <v>5</v>
      </c>
      <c r="AQ257" s="3">
        <v>5</v>
      </c>
      <c r="AR257" s="3">
        <v>5</v>
      </c>
      <c r="AS257" s="3">
        <v>5</v>
      </c>
      <c r="AT257" s="3">
        <v>5</v>
      </c>
      <c r="AU257" s="3">
        <v>5</v>
      </c>
      <c r="AV257" s="3">
        <v>5</v>
      </c>
      <c r="AW257" s="3">
        <v>5</v>
      </c>
      <c r="AX257" s="3">
        <v>5</v>
      </c>
      <c r="AY257" s="3">
        <v>5</v>
      </c>
      <c r="AZ257" s="3">
        <v>5</v>
      </c>
      <c r="BA257" s="3">
        <v>4</v>
      </c>
      <c r="BB257" s="3">
        <v>4</v>
      </c>
      <c r="BC257" s="3">
        <v>4</v>
      </c>
      <c r="BD257" s="3">
        <v>4</v>
      </c>
      <c r="BE257" s="3">
        <v>4</v>
      </c>
      <c r="BF257" s="3">
        <v>3</v>
      </c>
      <c r="BG257" s="3">
        <v>5</v>
      </c>
      <c r="BH257" s="3">
        <v>5</v>
      </c>
      <c r="BI257" s="3">
        <v>5</v>
      </c>
      <c r="BJ257" s="3">
        <v>5</v>
      </c>
      <c r="BK257" s="3">
        <v>5</v>
      </c>
      <c r="BL257" s="3">
        <v>5</v>
      </c>
      <c r="BM257" s="3">
        <v>5</v>
      </c>
      <c r="BN257" s="3">
        <v>5</v>
      </c>
      <c r="BO257" s="3">
        <v>5</v>
      </c>
      <c r="BP257" s="3" t="s">
        <v>724</v>
      </c>
    </row>
    <row r="258" spans="1:68" ht="22.5" customHeight="1" x14ac:dyDescent="0.25">
      <c r="A258" s="2">
        <v>45979.515828460644</v>
      </c>
      <c r="B258" s="3" t="s">
        <v>725</v>
      </c>
      <c r="C258" s="3" t="s">
        <v>86</v>
      </c>
      <c r="D258" s="3" t="s">
        <v>213</v>
      </c>
      <c r="E258" s="3" t="s">
        <v>77</v>
      </c>
      <c r="F258" s="3" t="s">
        <v>88</v>
      </c>
      <c r="G258" s="3" t="s">
        <v>83</v>
      </c>
      <c r="H258" s="3">
        <v>5</v>
      </c>
      <c r="I258" s="3">
        <v>5</v>
      </c>
      <c r="J258" s="3">
        <v>5</v>
      </c>
      <c r="K258" s="3">
        <v>4</v>
      </c>
      <c r="L258" s="3">
        <v>5</v>
      </c>
      <c r="M258" s="3">
        <v>4</v>
      </c>
      <c r="N258" s="3">
        <v>5</v>
      </c>
      <c r="O258" s="3">
        <v>5</v>
      </c>
      <c r="P258" s="3">
        <v>5</v>
      </c>
      <c r="Q258" s="3">
        <v>5</v>
      </c>
      <c r="R258" s="3">
        <v>5</v>
      </c>
      <c r="S258" s="3">
        <v>5</v>
      </c>
      <c r="T258" s="3">
        <v>5</v>
      </c>
      <c r="U258" s="3">
        <v>5</v>
      </c>
      <c r="V258" s="3">
        <v>4</v>
      </c>
      <c r="W258" s="3">
        <v>4</v>
      </c>
      <c r="X258" s="3">
        <v>3</v>
      </c>
      <c r="Y258" s="3">
        <v>3</v>
      </c>
      <c r="Z258" s="3">
        <v>3</v>
      </c>
      <c r="AA258" s="3">
        <v>4</v>
      </c>
      <c r="AB258" s="3">
        <v>4</v>
      </c>
      <c r="AC258" s="3">
        <v>1</v>
      </c>
      <c r="AD258" s="3">
        <v>3</v>
      </c>
      <c r="AE258" s="3">
        <v>4</v>
      </c>
      <c r="AF258" s="3">
        <v>4</v>
      </c>
      <c r="AG258" s="3">
        <v>4</v>
      </c>
      <c r="AH258" s="3">
        <v>4</v>
      </c>
      <c r="AI258" s="3">
        <v>4</v>
      </c>
      <c r="AJ258" s="3">
        <v>4</v>
      </c>
      <c r="AK258" s="3">
        <v>4</v>
      </c>
      <c r="AL258" s="3">
        <v>4</v>
      </c>
      <c r="AM258" s="3">
        <v>4</v>
      </c>
      <c r="AN258" s="3">
        <v>4</v>
      </c>
      <c r="AO258" s="3">
        <v>3</v>
      </c>
      <c r="AP258" s="3">
        <v>4</v>
      </c>
      <c r="AQ258" s="3">
        <v>4</v>
      </c>
      <c r="AR258" s="3">
        <v>4</v>
      </c>
      <c r="AS258" s="3">
        <v>3</v>
      </c>
      <c r="AT258" s="3">
        <v>3</v>
      </c>
      <c r="AU258" s="3">
        <v>3</v>
      </c>
      <c r="AV258" s="3">
        <v>3</v>
      </c>
      <c r="AW258" s="3">
        <v>5</v>
      </c>
      <c r="AX258" s="3">
        <v>5</v>
      </c>
      <c r="AY258" s="3">
        <v>5</v>
      </c>
      <c r="AZ258" s="3">
        <v>5</v>
      </c>
      <c r="BA258" s="3">
        <v>2</v>
      </c>
      <c r="BB258" s="3">
        <v>2</v>
      </c>
      <c r="BC258" s="3">
        <v>2</v>
      </c>
      <c r="BD258" s="3">
        <v>2</v>
      </c>
      <c r="BE258" s="3">
        <v>2</v>
      </c>
      <c r="BF258" s="3">
        <v>2</v>
      </c>
      <c r="BG258" s="3">
        <v>4</v>
      </c>
      <c r="BH258" s="3">
        <v>4</v>
      </c>
      <c r="BI258" s="3">
        <v>5</v>
      </c>
      <c r="BJ258" s="3">
        <v>5</v>
      </c>
      <c r="BK258" s="3">
        <v>5</v>
      </c>
      <c r="BL258" s="3">
        <v>5</v>
      </c>
      <c r="BM258" s="3">
        <v>5</v>
      </c>
      <c r="BN258" s="3">
        <v>5</v>
      </c>
      <c r="BO258" s="3">
        <v>5</v>
      </c>
      <c r="BP258" s="3" t="s">
        <v>726</v>
      </c>
    </row>
    <row r="259" spans="1:68" ht="22.5" customHeight="1" x14ac:dyDescent="0.25">
      <c r="A259" s="2">
        <v>45979.516318553244</v>
      </c>
      <c r="B259" s="3" t="s">
        <v>727</v>
      </c>
      <c r="C259" s="3" t="s">
        <v>69</v>
      </c>
      <c r="D259" s="3" t="s">
        <v>728</v>
      </c>
      <c r="E259" s="3" t="s">
        <v>77</v>
      </c>
      <c r="F259" s="3" t="s">
        <v>88</v>
      </c>
      <c r="G259" s="3" t="s">
        <v>83</v>
      </c>
      <c r="H259" s="3">
        <v>5</v>
      </c>
      <c r="I259" s="3">
        <v>5</v>
      </c>
      <c r="J259" s="3">
        <v>5</v>
      </c>
      <c r="K259" s="3">
        <v>5</v>
      </c>
      <c r="L259" s="3">
        <v>5</v>
      </c>
      <c r="M259" s="3">
        <v>4</v>
      </c>
      <c r="N259" s="3">
        <v>5</v>
      </c>
      <c r="O259" s="3">
        <v>5</v>
      </c>
      <c r="P259" s="3">
        <v>4</v>
      </c>
      <c r="Q259" s="3">
        <v>5</v>
      </c>
      <c r="R259" s="3">
        <v>4</v>
      </c>
      <c r="S259" s="3">
        <v>5</v>
      </c>
      <c r="T259" s="3">
        <v>5</v>
      </c>
      <c r="U259" s="3">
        <v>5</v>
      </c>
      <c r="V259" s="3">
        <v>4</v>
      </c>
      <c r="W259" s="3">
        <v>4</v>
      </c>
      <c r="X259" s="3">
        <v>2</v>
      </c>
      <c r="Y259" s="3">
        <v>3</v>
      </c>
      <c r="Z259" s="3">
        <v>3</v>
      </c>
      <c r="AA259" s="3">
        <v>1</v>
      </c>
      <c r="AB259" s="3">
        <v>1</v>
      </c>
      <c r="AC259" s="3">
        <v>1</v>
      </c>
      <c r="AD259" s="3">
        <v>3</v>
      </c>
      <c r="AE259" s="3">
        <v>4</v>
      </c>
      <c r="AF259" s="3">
        <v>4</v>
      </c>
      <c r="AG259" s="3">
        <v>5</v>
      </c>
      <c r="AH259" s="3">
        <v>3</v>
      </c>
      <c r="AI259" s="3">
        <v>4</v>
      </c>
      <c r="AJ259" s="3">
        <v>5</v>
      </c>
      <c r="AK259" s="3">
        <v>5</v>
      </c>
      <c r="AL259" s="3">
        <v>5</v>
      </c>
      <c r="AM259" s="3">
        <v>5</v>
      </c>
      <c r="AN259" s="3">
        <v>5</v>
      </c>
      <c r="AO259" s="3">
        <v>4</v>
      </c>
      <c r="AP259" s="3">
        <v>4</v>
      </c>
      <c r="AQ259" s="3">
        <v>3</v>
      </c>
      <c r="AR259" s="3">
        <v>3</v>
      </c>
      <c r="AS259" s="3">
        <v>3</v>
      </c>
      <c r="AT259" s="3">
        <v>3</v>
      </c>
      <c r="AU259" s="3">
        <v>4</v>
      </c>
      <c r="AV259" s="3">
        <v>3</v>
      </c>
      <c r="AW259" s="3">
        <v>5</v>
      </c>
      <c r="AX259" s="3">
        <v>5</v>
      </c>
      <c r="AY259" s="3">
        <v>5</v>
      </c>
      <c r="AZ259" s="3">
        <v>5</v>
      </c>
      <c r="BA259" s="3">
        <v>2</v>
      </c>
      <c r="BB259" s="3">
        <v>2</v>
      </c>
      <c r="BC259" s="3">
        <v>3</v>
      </c>
      <c r="BD259" s="3">
        <v>2</v>
      </c>
      <c r="BE259" s="3">
        <v>3</v>
      </c>
      <c r="BF259" s="3">
        <v>1</v>
      </c>
      <c r="BG259" s="3">
        <v>4</v>
      </c>
      <c r="BH259" s="3">
        <v>4</v>
      </c>
      <c r="BI259" s="3">
        <v>4</v>
      </c>
      <c r="BJ259" s="3">
        <v>5</v>
      </c>
      <c r="BK259" s="3">
        <v>5</v>
      </c>
      <c r="BL259" s="3">
        <v>5</v>
      </c>
      <c r="BM259" s="3">
        <v>5</v>
      </c>
      <c r="BN259" s="3">
        <v>5</v>
      </c>
      <c r="BO259" s="3">
        <v>5</v>
      </c>
      <c r="BP259" s="3" t="s">
        <v>729</v>
      </c>
    </row>
    <row r="260" spans="1:68" ht="22.5" customHeight="1" x14ac:dyDescent="0.25">
      <c r="A260" s="2">
        <v>45979.55120913194</v>
      </c>
      <c r="C260" s="3" t="s">
        <v>69</v>
      </c>
      <c r="D260" s="3" t="s">
        <v>730</v>
      </c>
      <c r="E260" s="3" t="s">
        <v>77</v>
      </c>
      <c r="F260" s="3" t="s">
        <v>78</v>
      </c>
      <c r="G260" s="3" t="s">
        <v>79</v>
      </c>
      <c r="H260" s="3">
        <v>4</v>
      </c>
      <c r="I260" s="3">
        <v>3</v>
      </c>
      <c r="J260" s="3">
        <v>3</v>
      </c>
      <c r="K260" s="3">
        <v>4</v>
      </c>
      <c r="L260" s="3">
        <v>4</v>
      </c>
      <c r="M260" s="3">
        <v>4</v>
      </c>
      <c r="N260" s="3">
        <v>4</v>
      </c>
      <c r="O260" s="3">
        <v>4</v>
      </c>
      <c r="P260" s="3">
        <v>4</v>
      </c>
      <c r="Q260" s="3">
        <v>4</v>
      </c>
      <c r="R260" s="3">
        <v>4</v>
      </c>
      <c r="S260" s="3">
        <v>4</v>
      </c>
      <c r="T260" s="3">
        <v>4</v>
      </c>
      <c r="U260" s="3">
        <v>4</v>
      </c>
      <c r="V260" s="3">
        <v>3</v>
      </c>
      <c r="W260" s="3">
        <v>3</v>
      </c>
      <c r="X260" s="3">
        <v>4</v>
      </c>
      <c r="Y260" s="3">
        <v>4</v>
      </c>
      <c r="Z260" s="3">
        <v>4</v>
      </c>
      <c r="AA260" s="3">
        <v>5</v>
      </c>
      <c r="AB260" s="3">
        <v>5</v>
      </c>
      <c r="AC260" s="3">
        <v>5</v>
      </c>
      <c r="AD260" s="3">
        <v>5</v>
      </c>
      <c r="AE260" s="3">
        <v>4</v>
      </c>
      <c r="AF260" s="3">
        <v>4</v>
      </c>
      <c r="AG260" s="3">
        <v>4</v>
      </c>
      <c r="AH260" s="3">
        <v>4</v>
      </c>
      <c r="AI260" s="3">
        <v>4</v>
      </c>
      <c r="AJ260" s="3">
        <v>4</v>
      </c>
      <c r="AK260" s="3">
        <v>3</v>
      </c>
      <c r="AL260" s="3">
        <v>3</v>
      </c>
      <c r="AM260" s="3">
        <v>3</v>
      </c>
      <c r="AN260" s="3">
        <v>3</v>
      </c>
      <c r="AO260" s="3">
        <v>3</v>
      </c>
      <c r="AP260" s="3">
        <v>3</v>
      </c>
      <c r="AQ260" s="3">
        <v>3</v>
      </c>
      <c r="AR260" s="3">
        <v>4</v>
      </c>
      <c r="AS260" s="3">
        <v>3</v>
      </c>
      <c r="AT260" s="3">
        <v>3</v>
      </c>
      <c r="AU260" s="3">
        <v>3</v>
      </c>
      <c r="AV260" s="3">
        <v>3</v>
      </c>
      <c r="AW260" s="3">
        <v>4</v>
      </c>
      <c r="AX260" s="3">
        <v>4</v>
      </c>
      <c r="AY260" s="3">
        <v>4</v>
      </c>
      <c r="AZ260" s="3">
        <v>4</v>
      </c>
      <c r="BA260" s="3">
        <v>3</v>
      </c>
      <c r="BB260" s="3">
        <v>3</v>
      </c>
      <c r="BC260" s="3">
        <v>4</v>
      </c>
      <c r="BD260" s="3">
        <v>4</v>
      </c>
      <c r="BE260" s="3">
        <v>3</v>
      </c>
      <c r="BF260" s="3">
        <v>3</v>
      </c>
      <c r="BG260" s="3">
        <v>3</v>
      </c>
      <c r="BH260" s="3">
        <v>4</v>
      </c>
      <c r="BI260" s="3">
        <v>4</v>
      </c>
      <c r="BJ260" s="3">
        <v>3</v>
      </c>
      <c r="BK260" s="3">
        <v>4</v>
      </c>
      <c r="BL260" s="3">
        <v>4</v>
      </c>
      <c r="BM260" s="3">
        <v>4</v>
      </c>
      <c r="BN260" s="3">
        <v>4</v>
      </c>
      <c r="BO260" s="3">
        <v>5</v>
      </c>
      <c r="BP260" s="3" t="s">
        <v>731</v>
      </c>
    </row>
    <row r="261" spans="1:68" ht="22.5" customHeight="1" x14ac:dyDescent="0.25">
      <c r="A261" s="2">
        <v>45979.554515960648</v>
      </c>
      <c r="B261" s="3" t="s">
        <v>732</v>
      </c>
      <c r="C261" s="3" t="s">
        <v>86</v>
      </c>
      <c r="D261" s="3" t="s">
        <v>260</v>
      </c>
      <c r="E261" s="3" t="s">
        <v>119</v>
      </c>
      <c r="F261" s="3" t="s">
        <v>88</v>
      </c>
      <c r="G261" s="3" t="s">
        <v>91</v>
      </c>
      <c r="H261" s="3">
        <v>5</v>
      </c>
      <c r="I261" s="3">
        <v>4</v>
      </c>
      <c r="J261" s="3">
        <v>5</v>
      </c>
      <c r="K261" s="3">
        <v>5</v>
      </c>
      <c r="L261" s="3">
        <v>4</v>
      </c>
      <c r="M261" s="3">
        <v>3</v>
      </c>
      <c r="N261" s="3">
        <v>3</v>
      </c>
      <c r="O261" s="3">
        <v>4</v>
      </c>
      <c r="P261" s="3">
        <v>4</v>
      </c>
      <c r="Q261" s="3">
        <v>5</v>
      </c>
      <c r="R261" s="3">
        <v>5</v>
      </c>
      <c r="S261" s="3">
        <v>5</v>
      </c>
      <c r="T261" s="3">
        <v>5</v>
      </c>
      <c r="U261" s="3">
        <v>5</v>
      </c>
      <c r="V261" s="3">
        <v>5</v>
      </c>
      <c r="W261" s="3">
        <v>4</v>
      </c>
      <c r="X261" s="3">
        <v>5</v>
      </c>
      <c r="Y261" s="3">
        <v>4</v>
      </c>
      <c r="Z261" s="3">
        <v>5</v>
      </c>
      <c r="AA261" s="3">
        <v>4</v>
      </c>
      <c r="AB261" s="3">
        <v>3</v>
      </c>
      <c r="AC261" s="3">
        <v>2</v>
      </c>
      <c r="AD261" s="3">
        <v>4</v>
      </c>
      <c r="AE261" s="3">
        <v>4</v>
      </c>
      <c r="AF261" s="3">
        <v>4</v>
      </c>
      <c r="AG261" s="3">
        <v>5</v>
      </c>
      <c r="AH261" s="3">
        <v>5</v>
      </c>
      <c r="AI261" s="3">
        <v>4</v>
      </c>
      <c r="AJ261" s="3">
        <v>4</v>
      </c>
      <c r="AK261" s="3">
        <v>5</v>
      </c>
      <c r="AL261" s="3">
        <v>5</v>
      </c>
      <c r="AM261" s="3">
        <v>5</v>
      </c>
      <c r="AN261" s="3">
        <v>3</v>
      </c>
      <c r="AO261" s="3">
        <v>2</v>
      </c>
      <c r="AP261" s="3">
        <v>4</v>
      </c>
      <c r="AQ261" s="3">
        <v>5</v>
      </c>
      <c r="AR261" s="3">
        <v>4</v>
      </c>
      <c r="AS261" s="3">
        <v>2</v>
      </c>
      <c r="AT261" s="3">
        <v>2</v>
      </c>
      <c r="AU261" s="3">
        <v>4</v>
      </c>
      <c r="AV261" s="3">
        <v>5</v>
      </c>
      <c r="AW261" s="3">
        <v>5</v>
      </c>
      <c r="AX261" s="3">
        <v>5</v>
      </c>
      <c r="AY261" s="3">
        <v>5</v>
      </c>
      <c r="AZ261" s="3">
        <v>3</v>
      </c>
      <c r="BA261" s="3">
        <v>3</v>
      </c>
      <c r="BB261" s="3">
        <v>3</v>
      </c>
      <c r="BC261" s="3">
        <v>4</v>
      </c>
      <c r="BD261" s="3">
        <v>2</v>
      </c>
      <c r="BE261" s="3">
        <v>4</v>
      </c>
      <c r="BF261" s="3">
        <v>3</v>
      </c>
      <c r="BG261" s="3">
        <v>4</v>
      </c>
      <c r="BH261" s="3">
        <v>4</v>
      </c>
      <c r="BI261" s="3">
        <v>5</v>
      </c>
      <c r="BJ261" s="3">
        <v>4</v>
      </c>
      <c r="BK261" s="3">
        <v>5</v>
      </c>
      <c r="BL261" s="3">
        <v>5</v>
      </c>
      <c r="BM261" s="3">
        <v>4</v>
      </c>
      <c r="BN261" s="3">
        <v>3</v>
      </c>
      <c r="BO261" s="3">
        <v>4</v>
      </c>
      <c r="BP261" s="3" t="s">
        <v>733</v>
      </c>
    </row>
    <row r="262" spans="1:68" ht="22.5" customHeight="1" x14ac:dyDescent="0.25">
      <c r="A262" s="2">
        <v>45979.554630509258</v>
      </c>
      <c r="B262" s="3" t="s">
        <v>734</v>
      </c>
      <c r="C262" s="3" t="s">
        <v>86</v>
      </c>
      <c r="D262" s="3" t="s">
        <v>735</v>
      </c>
      <c r="E262" s="3" t="s">
        <v>77</v>
      </c>
      <c r="F262" s="3" t="s">
        <v>78</v>
      </c>
      <c r="G262" s="3" t="s">
        <v>79</v>
      </c>
      <c r="H262" s="3">
        <v>3</v>
      </c>
      <c r="I262" s="3">
        <v>3</v>
      </c>
      <c r="J262" s="3">
        <v>3</v>
      </c>
      <c r="K262" s="3">
        <v>3</v>
      </c>
      <c r="L262" s="3">
        <v>3</v>
      </c>
      <c r="M262" s="3">
        <v>3</v>
      </c>
      <c r="N262" s="3">
        <v>3</v>
      </c>
      <c r="O262" s="3">
        <v>4</v>
      </c>
      <c r="P262" s="3">
        <v>4</v>
      </c>
      <c r="Q262" s="3">
        <v>4</v>
      </c>
      <c r="R262" s="3">
        <v>5</v>
      </c>
      <c r="S262" s="3">
        <v>5</v>
      </c>
      <c r="T262" s="3">
        <v>5</v>
      </c>
      <c r="U262" s="3">
        <v>5</v>
      </c>
      <c r="V262" s="3">
        <v>3</v>
      </c>
      <c r="W262" s="3">
        <v>3</v>
      </c>
      <c r="X262" s="3">
        <v>4</v>
      </c>
      <c r="Y262" s="3">
        <v>4</v>
      </c>
      <c r="Z262" s="3">
        <v>4</v>
      </c>
      <c r="AA262" s="3">
        <v>4</v>
      </c>
      <c r="AB262" s="3">
        <v>4</v>
      </c>
      <c r="AC262" s="3">
        <v>4</v>
      </c>
      <c r="AD262" s="3">
        <v>4</v>
      </c>
      <c r="AE262" s="3">
        <v>4</v>
      </c>
      <c r="AF262" s="3">
        <v>4</v>
      </c>
      <c r="AG262" s="3">
        <v>3</v>
      </c>
      <c r="AH262" s="3">
        <v>3</v>
      </c>
      <c r="AI262" s="3">
        <v>5</v>
      </c>
      <c r="AJ262" s="3">
        <v>4</v>
      </c>
      <c r="AK262" s="3">
        <v>4</v>
      </c>
      <c r="AL262" s="3">
        <v>4</v>
      </c>
      <c r="AM262" s="3">
        <v>4</v>
      </c>
      <c r="AN262" s="3">
        <v>4</v>
      </c>
      <c r="AO262" s="3">
        <v>4</v>
      </c>
      <c r="AP262" s="3">
        <v>4</v>
      </c>
      <c r="AQ262" s="3">
        <v>4</v>
      </c>
      <c r="AR262" s="3">
        <v>4</v>
      </c>
      <c r="AS262" s="3">
        <v>5</v>
      </c>
      <c r="AT262" s="3">
        <v>4</v>
      </c>
      <c r="AU262" s="3">
        <v>4</v>
      </c>
      <c r="AV262" s="3">
        <v>5</v>
      </c>
      <c r="AW262" s="3">
        <v>4</v>
      </c>
      <c r="AX262" s="3">
        <v>4</v>
      </c>
      <c r="AY262" s="3">
        <v>4</v>
      </c>
      <c r="AZ262" s="3">
        <v>4</v>
      </c>
      <c r="BA262" s="3">
        <v>4</v>
      </c>
      <c r="BB262" s="3">
        <v>4</v>
      </c>
      <c r="BC262" s="3">
        <v>4</v>
      </c>
      <c r="BD262" s="3">
        <v>4</v>
      </c>
      <c r="BE262" s="3">
        <v>4</v>
      </c>
      <c r="BF262" s="3">
        <v>4</v>
      </c>
      <c r="BG262" s="3">
        <v>4</v>
      </c>
      <c r="BH262" s="3">
        <v>4</v>
      </c>
      <c r="BI262" s="3">
        <v>4</v>
      </c>
      <c r="BJ262" s="3">
        <v>4</v>
      </c>
      <c r="BK262" s="3">
        <v>4</v>
      </c>
      <c r="BL262" s="3">
        <v>4</v>
      </c>
      <c r="BM262" s="3">
        <v>4</v>
      </c>
      <c r="BN262" s="3">
        <v>4</v>
      </c>
      <c r="BO262" s="3">
        <v>4</v>
      </c>
      <c r="BP262" s="3" t="s">
        <v>736</v>
      </c>
    </row>
    <row r="263" spans="1:68" ht="22.5" customHeight="1" x14ac:dyDescent="0.25">
      <c r="A263" s="2">
        <v>45979.556437754625</v>
      </c>
      <c r="B263" s="3" t="s">
        <v>737</v>
      </c>
      <c r="C263" s="3" t="s">
        <v>86</v>
      </c>
      <c r="D263" s="3" t="s">
        <v>213</v>
      </c>
      <c r="E263" s="3" t="s">
        <v>77</v>
      </c>
      <c r="F263" s="3" t="s">
        <v>78</v>
      </c>
      <c r="G263" s="3" t="s">
        <v>79</v>
      </c>
      <c r="H263" s="3">
        <v>5</v>
      </c>
      <c r="I263" s="3">
        <v>4</v>
      </c>
      <c r="J263" s="3">
        <v>4</v>
      </c>
      <c r="K263" s="3">
        <v>4</v>
      </c>
      <c r="L263" s="3">
        <v>5</v>
      </c>
      <c r="M263" s="3">
        <v>4</v>
      </c>
      <c r="N263" s="3">
        <v>5</v>
      </c>
      <c r="O263" s="3">
        <v>4</v>
      </c>
      <c r="P263" s="3">
        <v>5</v>
      </c>
      <c r="Q263" s="3">
        <v>5</v>
      </c>
      <c r="R263" s="3">
        <v>4</v>
      </c>
      <c r="S263" s="3">
        <v>4</v>
      </c>
      <c r="T263" s="3">
        <v>5</v>
      </c>
      <c r="U263" s="3">
        <v>4</v>
      </c>
      <c r="V263" s="3">
        <v>4</v>
      </c>
      <c r="W263" s="3">
        <v>4</v>
      </c>
      <c r="X263" s="3">
        <v>4</v>
      </c>
      <c r="Y263" s="3">
        <v>4</v>
      </c>
      <c r="Z263" s="3">
        <v>4</v>
      </c>
      <c r="AA263" s="3">
        <v>4</v>
      </c>
      <c r="AB263" s="3">
        <v>3</v>
      </c>
      <c r="AC263" s="3">
        <v>3</v>
      </c>
      <c r="AD263" s="3">
        <v>4</v>
      </c>
      <c r="AE263" s="3">
        <v>5</v>
      </c>
      <c r="AF263" s="3">
        <v>4</v>
      </c>
      <c r="AG263" s="3">
        <v>4</v>
      </c>
      <c r="AH263" s="3">
        <v>5</v>
      </c>
      <c r="AI263" s="3">
        <v>5</v>
      </c>
      <c r="AJ263" s="3">
        <v>5</v>
      </c>
      <c r="AK263" s="3">
        <v>5</v>
      </c>
      <c r="AL263" s="3">
        <v>5</v>
      </c>
      <c r="AM263" s="3">
        <v>5</v>
      </c>
      <c r="AN263" s="3">
        <v>5</v>
      </c>
      <c r="AO263" s="3">
        <v>5</v>
      </c>
      <c r="AP263" s="3">
        <v>4</v>
      </c>
      <c r="AQ263" s="3">
        <v>4</v>
      </c>
      <c r="AR263" s="3">
        <v>4</v>
      </c>
      <c r="AS263" s="3">
        <v>5</v>
      </c>
      <c r="AT263" s="3">
        <v>4</v>
      </c>
      <c r="AU263" s="3">
        <v>4</v>
      </c>
      <c r="AV263" s="3">
        <v>4</v>
      </c>
      <c r="AW263" s="3">
        <v>5</v>
      </c>
      <c r="AX263" s="3">
        <v>5</v>
      </c>
      <c r="AY263" s="3">
        <v>5</v>
      </c>
      <c r="AZ263" s="3">
        <v>5</v>
      </c>
      <c r="BA263" s="3">
        <v>4</v>
      </c>
      <c r="BB263" s="3">
        <v>4</v>
      </c>
      <c r="BC263" s="3">
        <v>4</v>
      </c>
      <c r="BD263" s="3">
        <v>4</v>
      </c>
      <c r="BE263" s="3">
        <v>4</v>
      </c>
      <c r="BF263" s="3">
        <v>4</v>
      </c>
      <c r="BG263" s="3">
        <v>4</v>
      </c>
      <c r="BH263" s="3">
        <v>5</v>
      </c>
      <c r="BI263" s="3">
        <v>5</v>
      </c>
      <c r="BJ263" s="3">
        <v>5</v>
      </c>
      <c r="BK263" s="3">
        <v>5</v>
      </c>
      <c r="BL263" s="3">
        <v>4</v>
      </c>
      <c r="BM263" s="3">
        <v>4</v>
      </c>
      <c r="BN263" s="3">
        <v>5</v>
      </c>
      <c r="BO263" s="3">
        <v>5</v>
      </c>
      <c r="BP263" s="3" t="s">
        <v>738</v>
      </c>
    </row>
    <row r="264" spans="1:68" ht="22.5" customHeight="1" x14ac:dyDescent="0.25">
      <c r="A264" s="2">
        <v>45979.558120208334</v>
      </c>
      <c r="B264" s="3" t="s">
        <v>739</v>
      </c>
      <c r="C264" s="3" t="s">
        <v>86</v>
      </c>
      <c r="D264" s="3" t="s">
        <v>740</v>
      </c>
      <c r="E264" s="3" t="s">
        <v>77</v>
      </c>
      <c r="F264" s="3" t="s">
        <v>78</v>
      </c>
      <c r="G264" s="3" t="s">
        <v>83</v>
      </c>
      <c r="H264" s="3">
        <v>5</v>
      </c>
      <c r="I264" s="3">
        <v>5</v>
      </c>
      <c r="J264" s="3">
        <v>5</v>
      </c>
      <c r="K264" s="3">
        <v>5</v>
      </c>
      <c r="L264" s="3">
        <v>5</v>
      </c>
      <c r="M264" s="3">
        <v>5</v>
      </c>
      <c r="N264" s="3">
        <v>5</v>
      </c>
      <c r="O264" s="3">
        <v>5</v>
      </c>
      <c r="P264" s="3">
        <v>5</v>
      </c>
      <c r="Q264" s="3">
        <v>5</v>
      </c>
      <c r="R264" s="3">
        <v>5</v>
      </c>
      <c r="S264" s="3">
        <v>5</v>
      </c>
      <c r="T264" s="3">
        <v>5</v>
      </c>
      <c r="U264" s="3">
        <v>5</v>
      </c>
      <c r="V264" s="3">
        <v>5</v>
      </c>
      <c r="W264" s="3">
        <v>4</v>
      </c>
      <c r="X264" s="3">
        <v>5</v>
      </c>
      <c r="Y264" s="3">
        <v>5</v>
      </c>
      <c r="Z264" s="3">
        <v>5</v>
      </c>
      <c r="AA264" s="3">
        <v>5</v>
      </c>
      <c r="AB264" s="3">
        <v>5</v>
      </c>
      <c r="AC264" s="3">
        <v>3</v>
      </c>
      <c r="AD264" s="3">
        <v>5</v>
      </c>
      <c r="AE264" s="3">
        <v>5</v>
      </c>
      <c r="AF264" s="3">
        <v>5</v>
      </c>
      <c r="AG264" s="3">
        <v>5</v>
      </c>
      <c r="AH264" s="3">
        <v>5</v>
      </c>
      <c r="AI264" s="3">
        <v>5</v>
      </c>
      <c r="AJ264" s="3">
        <v>5</v>
      </c>
      <c r="AK264" s="3">
        <v>5</v>
      </c>
      <c r="AL264" s="3">
        <v>5</v>
      </c>
      <c r="AM264" s="3">
        <v>5</v>
      </c>
      <c r="AN264" s="3">
        <v>5</v>
      </c>
      <c r="AO264" s="3">
        <v>5</v>
      </c>
      <c r="AP264" s="3">
        <v>5</v>
      </c>
      <c r="AQ264" s="3">
        <v>5</v>
      </c>
      <c r="AR264" s="3">
        <v>4</v>
      </c>
      <c r="AS264" s="3">
        <v>4</v>
      </c>
      <c r="AT264" s="3">
        <v>5</v>
      </c>
      <c r="AU264" s="3">
        <v>5</v>
      </c>
      <c r="AV264" s="3">
        <v>5</v>
      </c>
      <c r="AW264" s="3">
        <v>5</v>
      </c>
      <c r="AX264" s="3">
        <v>5</v>
      </c>
      <c r="AY264" s="3">
        <v>5</v>
      </c>
      <c r="AZ264" s="3">
        <v>5</v>
      </c>
      <c r="BA264" s="3">
        <v>5</v>
      </c>
      <c r="BB264" s="3">
        <v>5</v>
      </c>
      <c r="BC264" s="3">
        <v>4</v>
      </c>
      <c r="BD264" s="3">
        <v>3</v>
      </c>
      <c r="BE264" s="3">
        <v>3</v>
      </c>
      <c r="BF264" s="3">
        <v>3</v>
      </c>
      <c r="BG264" s="3">
        <v>5</v>
      </c>
      <c r="BH264" s="3">
        <v>5</v>
      </c>
      <c r="BI264" s="3">
        <v>5</v>
      </c>
      <c r="BJ264" s="3">
        <v>5</v>
      </c>
      <c r="BK264" s="3">
        <v>5</v>
      </c>
      <c r="BL264" s="3">
        <v>5</v>
      </c>
      <c r="BM264" s="3">
        <v>5</v>
      </c>
      <c r="BN264" s="3">
        <v>5</v>
      </c>
      <c r="BO264" s="3">
        <v>5</v>
      </c>
      <c r="BP264" s="3" t="s">
        <v>741</v>
      </c>
    </row>
    <row r="265" spans="1:68" ht="22.5" customHeight="1" x14ac:dyDescent="0.25">
      <c r="A265" s="2">
        <v>45979.559447743057</v>
      </c>
      <c r="C265" s="3" t="s">
        <v>69</v>
      </c>
      <c r="D265" s="3" t="s">
        <v>705</v>
      </c>
      <c r="E265" s="3" t="s">
        <v>141</v>
      </c>
      <c r="F265" s="3" t="s">
        <v>78</v>
      </c>
      <c r="G265" s="3" t="s">
        <v>79</v>
      </c>
      <c r="H265" s="3">
        <v>4</v>
      </c>
      <c r="I265" s="3">
        <v>4</v>
      </c>
      <c r="J265" s="3">
        <v>4</v>
      </c>
      <c r="K265" s="3">
        <v>4</v>
      </c>
      <c r="L265" s="3">
        <v>4</v>
      </c>
      <c r="M265" s="3">
        <v>4</v>
      </c>
      <c r="N265" s="3">
        <v>4</v>
      </c>
      <c r="O265" s="3">
        <v>4</v>
      </c>
      <c r="P265" s="3">
        <v>4</v>
      </c>
      <c r="Q265" s="3">
        <v>4</v>
      </c>
      <c r="R265" s="3">
        <v>5</v>
      </c>
      <c r="S265" s="3">
        <v>5</v>
      </c>
      <c r="T265" s="3">
        <v>4</v>
      </c>
      <c r="U265" s="3">
        <v>4</v>
      </c>
      <c r="V265" s="3">
        <v>2</v>
      </c>
      <c r="W265" s="3">
        <v>3</v>
      </c>
      <c r="X265" s="3">
        <v>2</v>
      </c>
      <c r="Y265" s="3">
        <v>2</v>
      </c>
      <c r="Z265" s="3">
        <v>3</v>
      </c>
      <c r="AA265" s="3">
        <v>4</v>
      </c>
      <c r="AB265" s="3">
        <v>5</v>
      </c>
      <c r="AC265" s="3">
        <v>5</v>
      </c>
      <c r="AD265" s="3">
        <v>5</v>
      </c>
      <c r="AE265" s="3">
        <v>4</v>
      </c>
      <c r="AF265" s="3">
        <v>4</v>
      </c>
      <c r="AG265" s="3">
        <v>4</v>
      </c>
      <c r="AH265" s="3">
        <v>4</v>
      </c>
      <c r="AI265" s="3">
        <v>3</v>
      </c>
      <c r="AJ265" s="3">
        <v>4</v>
      </c>
      <c r="AK265" s="3">
        <v>3</v>
      </c>
      <c r="AL265" s="3">
        <v>4</v>
      </c>
      <c r="AM265" s="3">
        <v>2</v>
      </c>
      <c r="AN265" s="3">
        <v>4</v>
      </c>
      <c r="AO265" s="3">
        <v>4</v>
      </c>
      <c r="AP265" s="3">
        <v>4</v>
      </c>
      <c r="AQ265" s="3">
        <v>4</v>
      </c>
      <c r="AR265" s="3">
        <v>4</v>
      </c>
      <c r="AS265" s="3">
        <v>3</v>
      </c>
      <c r="AT265" s="3">
        <v>3</v>
      </c>
      <c r="AU265" s="3">
        <v>3</v>
      </c>
      <c r="AV265" s="3">
        <v>3</v>
      </c>
      <c r="AW265" s="3">
        <v>4</v>
      </c>
      <c r="AX265" s="3">
        <v>4</v>
      </c>
      <c r="AY265" s="3">
        <v>4</v>
      </c>
      <c r="AZ265" s="3">
        <v>4</v>
      </c>
      <c r="BA265" s="3">
        <v>4</v>
      </c>
      <c r="BB265" s="3">
        <v>4</v>
      </c>
      <c r="BC265" s="3">
        <v>4</v>
      </c>
      <c r="BD265" s="3">
        <v>4</v>
      </c>
      <c r="BE265" s="3">
        <v>4</v>
      </c>
      <c r="BF265" s="3">
        <v>4</v>
      </c>
      <c r="BG265" s="3">
        <v>4</v>
      </c>
      <c r="BH265" s="3">
        <v>4</v>
      </c>
      <c r="BI265" s="3">
        <v>4</v>
      </c>
      <c r="BJ265" s="3">
        <v>4</v>
      </c>
      <c r="BK265" s="3">
        <v>4</v>
      </c>
      <c r="BL265" s="3">
        <v>4</v>
      </c>
      <c r="BM265" s="3">
        <v>4</v>
      </c>
      <c r="BN265" s="3">
        <v>4</v>
      </c>
      <c r="BO265" s="3">
        <v>4</v>
      </c>
      <c r="BP265" s="3" t="s">
        <v>742</v>
      </c>
    </row>
    <row r="266" spans="1:68" ht="22.5" customHeight="1" x14ac:dyDescent="0.25">
      <c r="A266" s="2">
        <v>45979.562551608797</v>
      </c>
      <c r="C266" s="3" t="s">
        <v>69</v>
      </c>
      <c r="D266" s="3" t="s">
        <v>743</v>
      </c>
      <c r="E266" s="3" t="s">
        <v>119</v>
      </c>
      <c r="F266" s="3" t="s">
        <v>88</v>
      </c>
      <c r="G266" s="3" t="s">
        <v>91</v>
      </c>
      <c r="H266" s="3">
        <v>1</v>
      </c>
      <c r="I266" s="3">
        <v>1</v>
      </c>
      <c r="J266" s="3">
        <v>1</v>
      </c>
      <c r="K266" s="3">
        <v>1</v>
      </c>
      <c r="L266" s="3">
        <v>1</v>
      </c>
      <c r="M266" s="3">
        <v>2</v>
      </c>
      <c r="N266" s="3">
        <v>1</v>
      </c>
      <c r="O266" s="3">
        <v>1</v>
      </c>
      <c r="P266" s="3">
        <v>1</v>
      </c>
      <c r="Q266" s="3">
        <v>1</v>
      </c>
      <c r="R266" s="3">
        <v>1</v>
      </c>
      <c r="S266" s="3">
        <v>1</v>
      </c>
      <c r="T266" s="3">
        <v>1</v>
      </c>
      <c r="U266" s="3">
        <v>1</v>
      </c>
      <c r="V266" s="3">
        <v>1</v>
      </c>
      <c r="W266" s="3">
        <v>1</v>
      </c>
      <c r="X266" s="3">
        <v>4</v>
      </c>
      <c r="Y266" s="3">
        <v>2</v>
      </c>
      <c r="Z266" s="3">
        <v>2</v>
      </c>
      <c r="AA266" s="3">
        <v>2</v>
      </c>
      <c r="AB266" s="3">
        <v>4</v>
      </c>
      <c r="AC266" s="3">
        <v>3</v>
      </c>
      <c r="AD266" s="3">
        <v>2</v>
      </c>
      <c r="AE266" s="3">
        <v>2</v>
      </c>
      <c r="AF266" s="3">
        <v>2</v>
      </c>
      <c r="AG266" s="3">
        <v>2</v>
      </c>
      <c r="AH266" s="3">
        <v>2</v>
      </c>
      <c r="AI266" s="3">
        <v>1</v>
      </c>
      <c r="AJ266" s="3">
        <v>1</v>
      </c>
      <c r="AK266" s="3">
        <v>1</v>
      </c>
      <c r="AL266" s="3">
        <v>1</v>
      </c>
      <c r="AM266" s="3">
        <v>1</v>
      </c>
      <c r="AN266" s="3">
        <v>2</v>
      </c>
      <c r="AO266" s="3">
        <v>3</v>
      </c>
      <c r="AP266" s="3">
        <v>2</v>
      </c>
      <c r="AQ266" s="3">
        <v>2</v>
      </c>
      <c r="AR266" s="3">
        <v>2</v>
      </c>
      <c r="AS266" s="3">
        <v>2</v>
      </c>
      <c r="AT266" s="3">
        <v>2</v>
      </c>
      <c r="AU266" s="3">
        <v>2</v>
      </c>
      <c r="AV266" s="3">
        <v>2</v>
      </c>
      <c r="AW266" s="3">
        <v>1</v>
      </c>
      <c r="AX266" s="3">
        <v>1</v>
      </c>
      <c r="AY266" s="3">
        <v>1</v>
      </c>
      <c r="AZ266" s="3">
        <v>1</v>
      </c>
      <c r="BA266" s="3">
        <v>4</v>
      </c>
      <c r="BB266" s="3">
        <v>4</v>
      </c>
      <c r="BC266" s="3">
        <v>4</v>
      </c>
      <c r="BD266" s="3">
        <v>4</v>
      </c>
      <c r="BE266" s="3">
        <v>4</v>
      </c>
      <c r="BF266" s="3">
        <v>4</v>
      </c>
      <c r="BG266" s="3">
        <v>2</v>
      </c>
      <c r="BH266" s="3">
        <v>2</v>
      </c>
      <c r="BI266" s="3">
        <v>2</v>
      </c>
      <c r="BJ266" s="3">
        <v>1</v>
      </c>
      <c r="BK266" s="3">
        <v>1</v>
      </c>
      <c r="BL266" s="3">
        <v>1</v>
      </c>
      <c r="BM266" s="3">
        <v>1</v>
      </c>
      <c r="BN266" s="3">
        <v>1</v>
      </c>
      <c r="BO266" s="3">
        <v>1</v>
      </c>
      <c r="BP266" s="3" t="s">
        <v>744</v>
      </c>
    </row>
    <row r="267" spans="1:68" ht="22.5" customHeight="1" x14ac:dyDescent="0.25">
      <c r="A267" s="2">
        <v>45979.566513842597</v>
      </c>
      <c r="B267" s="3" t="s">
        <v>745</v>
      </c>
      <c r="C267" s="3" t="s">
        <v>86</v>
      </c>
      <c r="D267" s="3" t="s">
        <v>746</v>
      </c>
      <c r="E267" s="3" t="s">
        <v>71</v>
      </c>
      <c r="F267" s="3" t="s">
        <v>72</v>
      </c>
      <c r="G267" s="3" t="s">
        <v>73</v>
      </c>
      <c r="H267" s="3">
        <v>5</v>
      </c>
      <c r="I267" s="3">
        <v>4</v>
      </c>
      <c r="J267" s="3">
        <v>5</v>
      </c>
      <c r="K267" s="3">
        <v>5</v>
      </c>
      <c r="L267" s="3">
        <v>4</v>
      </c>
      <c r="M267" s="3">
        <v>2</v>
      </c>
      <c r="N267" s="3">
        <v>2</v>
      </c>
      <c r="O267" s="3">
        <v>5</v>
      </c>
      <c r="P267" s="3">
        <v>5</v>
      </c>
      <c r="Q267" s="3">
        <v>5</v>
      </c>
      <c r="R267" s="3">
        <v>5</v>
      </c>
      <c r="S267" s="3">
        <v>5</v>
      </c>
      <c r="T267" s="3">
        <v>5</v>
      </c>
      <c r="U267" s="3">
        <v>5</v>
      </c>
      <c r="V267" s="3">
        <v>4</v>
      </c>
      <c r="W267" s="3">
        <v>3</v>
      </c>
      <c r="X267" s="3">
        <v>4</v>
      </c>
      <c r="Y267" s="3">
        <v>5</v>
      </c>
      <c r="Z267" s="3">
        <v>4</v>
      </c>
      <c r="AA267" s="3">
        <v>5</v>
      </c>
      <c r="AB267" s="3">
        <v>4</v>
      </c>
      <c r="AC267" s="3">
        <v>2</v>
      </c>
      <c r="AD267" s="3">
        <v>5</v>
      </c>
      <c r="AE267" s="3">
        <v>5</v>
      </c>
      <c r="AF267" s="3">
        <v>5</v>
      </c>
      <c r="AG267" s="3">
        <v>5</v>
      </c>
      <c r="AH267" s="3">
        <v>5</v>
      </c>
      <c r="AI267" s="3">
        <v>5</v>
      </c>
      <c r="AJ267" s="3">
        <v>5</v>
      </c>
      <c r="AK267" s="3">
        <v>5</v>
      </c>
      <c r="AL267" s="3">
        <v>5</v>
      </c>
      <c r="AM267" s="3">
        <v>5</v>
      </c>
      <c r="AN267" s="3">
        <v>2</v>
      </c>
      <c r="AO267" s="3">
        <v>2</v>
      </c>
      <c r="AP267" s="3">
        <v>3</v>
      </c>
      <c r="AQ267" s="3">
        <v>4</v>
      </c>
      <c r="AR267" s="3">
        <v>4</v>
      </c>
      <c r="AS267" s="3">
        <v>4</v>
      </c>
      <c r="AT267" s="3">
        <v>4</v>
      </c>
      <c r="AU267" s="3">
        <v>5</v>
      </c>
      <c r="AV267" s="3">
        <v>5</v>
      </c>
      <c r="AW267" s="3">
        <v>5</v>
      </c>
      <c r="AX267" s="3">
        <v>5</v>
      </c>
      <c r="AY267" s="3">
        <v>5</v>
      </c>
      <c r="AZ267" s="3">
        <v>5</v>
      </c>
      <c r="BA267" s="3">
        <v>4</v>
      </c>
      <c r="BB267" s="3">
        <v>4</v>
      </c>
      <c r="BC267" s="3">
        <v>4</v>
      </c>
      <c r="BD267" s="3">
        <v>4</v>
      </c>
      <c r="BE267" s="3">
        <v>4</v>
      </c>
      <c r="BF267" s="3">
        <v>4</v>
      </c>
      <c r="BG267" s="3">
        <v>5</v>
      </c>
      <c r="BH267" s="3">
        <v>5</v>
      </c>
      <c r="BI267" s="3">
        <v>5</v>
      </c>
      <c r="BJ267" s="3">
        <v>4</v>
      </c>
      <c r="BK267" s="3">
        <v>3</v>
      </c>
      <c r="BL267" s="3">
        <v>4</v>
      </c>
      <c r="BM267" s="3">
        <v>5</v>
      </c>
      <c r="BN267" s="3">
        <v>4</v>
      </c>
      <c r="BO267" s="3">
        <v>5</v>
      </c>
      <c r="BP267" s="3" t="s">
        <v>747</v>
      </c>
    </row>
    <row r="268" spans="1:68" ht="22.5" customHeight="1" x14ac:dyDescent="0.25">
      <c r="A268" s="2">
        <v>45979.574066446759</v>
      </c>
      <c r="B268" s="3" t="s">
        <v>748</v>
      </c>
      <c r="C268" s="3" t="s">
        <v>86</v>
      </c>
      <c r="D268" s="3" t="s">
        <v>749</v>
      </c>
      <c r="E268" s="3" t="s">
        <v>77</v>
      </c>
      <c r="F268" s="3" t="s">
        <v>78</v>
      </c>
      <c r="G268" s="3" t="s">
        <v>79</v>
      </c>
      <c r="H268" s="3">
        <v>5</v>
      </c>
      <c r="I268" s="3">
        <v>4</v>
      </c>
      <c r="J268" s="3">
        <v>5</v>
      </c>
      <c r="K268" s="3">
        <v>4</v>
      </c>
      <c r="L268" s="3">
        <v>5</v>
      </c>
      <c r="M268" s="3">
        <v>4</v>
      </c>
      <c r="N268" s="3">
        <v>5</v>
      </c>
      <c r="O268" s="3">
        <v>5</v>
      </c>
      <c r="P268" s="3">
        <v>5</v>
      </c>
      <c r="Q268" s="3">
        <v>5</v>
      </c>
      <c r="R268" s="3">
        <v>5</v>
      </c>
      <c r="S268" s="3">
        <v>5</v>
      </c>
      <c r="T268" s="3">
        <v>4</v>
      </c>
      <c r="U268" s="3">
        <v>5</v>
      </c>
      <c r="V268" s="3">
        <v>4</v>
      </c>
      <c r="W268" s="3">
        <v>4</v>
      </c>
      <c r="X268" s="3">
        <v>4</v>
      </c>
      <c r="Y268" s="3">
        <v>3</v>
      </c>
      <c r="Z268" s="3">
        <v>4</v>
      </c>
      <c r="AA268" s="3">
        <v>4</v>
      </c>
      <c r="AB268" s="3">
        <v>3</v>
      </c>
      <c r="AC268" s="3">
        <v>4</v>
      </c>
      <c r="AD268" s="3">
        <v>4</v>
      </c>
      <c r="AE268" s="3">
        <v>4</v>
      </c>
      <c r="AF268" s="3">
        <v>4</v>
      </c>
      <c r="AG268" s="3">
        <v>5</v>
      </c>
      <c r="AH268" s="3">
        <v>4</v>
      </c>
      <c r="AI268" s="3">
        <v>3</v>
      </c>
      <c r="AJ268" s="3">
        <v>4</v>
      </c>
      <c r="AK268" s="3">
        <v>4</v>
      </c>
      <c r="AL268" s="3">
        <v>5</v>
      </c>
      <c r="AM268" s="3">
        <v>4</v>
      </c>
      <c r="AN268" s="3">
        <v>5</v>
      </c>
      <c r="AO268" s="3">
        <v>4</v>
      </c>
      <c r="AP268" s="3">
        <v>4</v>
      </c>
      <c r="AQ268" s="3">
        <v>5</v>
      </c>
      <c r="AR268" s="3">
        <v>3</v>
      </c>
      <c r="AS268" s="3">
        <v>4</v>
      </c>
      <c r="AT268" s="3">
        <v>5</v>
      </c>
      <c r="AU268" s="3">
        <v>3</v>
      </c>
      <c r="AV268" s="3">
        <v>4</v>
      </c>
      <c r="AW268" s="3">
        <v>4</v>
      </c>
      <c r="AX268" s="3">
        <v>5</v>
      </c>
      <c r="AY268" s="3">
        <v>4</v>
      </c>
      <c r="AZ268" s="3">
        <v>4</v>
      </c>
      <c r="BA268" s="3">
        <v>4</v>
      </c>
      <c r="BB268" s="3">
        <v>4</v>
      </c>
      <c r="BC268" s="3">
        <v>4</v>
      </c>
      <c r="BD268" s="3">
        <v>4</v>
      </c>
      <c r="BE268" s="3">
        <v>5</v>
      </c>
      <c r="BF268" s="3">
        <v>3</v>
      </c>
      <c r="BG268" s="3">
        <v>4</v>
      </c>
      <c r="BH268" s="3">
        <v>4</v>
      </c>
      <c r="BI268" s="3">
        <v>5</v>
      </c>
      <c r="BJ268" s="3">
        <v>4</v>
      </c>
      <c r="BK268" s="3">
        <v>5</v>
      </c>
      <c r="BL268" s="3">
        <v>4</v>
      </c>
      <c r="BM268" s="3">
        <v>4</v>
      </c>
      <c r="BN268" s="3">
        <v>3</v>
      </c>
      <c r="BO268" s="3">
        <v>4</v>
      </c>
      <c r="BP268" s="3" t="s">
        <v>750</v>
      </c>
    </row>
    <row r="269" spans="1:68" ht="22.5" customHeight="1" x14ac:dyDescent="0.25">
      <c r="A269" s="2">
        <v>45979.575654004628</v>
      </c>
      <c r="B269" s="3" t="s">
        <v>751</v>
      </c>
      <c r="C269" s="3" t="s">
        <v>69</v>
      </c>
      <c r="D269" s="3" t="s">
        <v>714</v>
      </c>
      <c r="E269" s="3" t="s">
        <v>119</v>
      </c>
      <c r="F269" s="3" t="s">
        <v>88</v>
      </c>
      <c r="G269" s="3" t="s">
        <v>83</v>
      </c>
      <c r="H269" s="3">
        <v>5</v>
      </c>
      <c r="I269" s="3">
        <v>4</v>
      </c>
      <c r="J269" s="3">
        <v>5</v>
      </c>
      <c r="K269" s="3">
        <v>5</v>
      </c>
      <c r="L269" s="3">
        <v>5</v>
      </c>
      <c r="M269" s="3">
        <v>5</v>
      </c>
      <c r="N269" s="3">
        <v>5</v>
      </c>
      <c r="O269" s="3">
        <v>5</v>
      </c>
      <c r="P269" s="3">
        <v>5</v>
      </c>
      <c r="Q269" s="3">
        <v>5</v>
      </c>
      <c r="R269" s="3">
        <v>5</v>
      </c>
      <c r="S269" s="3">
        <v>5</v>
      </c>
      <c r="T269" s="3">
        <v>5</v>
      </c>
      <c r="U269" s="3">
        <v>4</v>
      </c>
      <c r="V269" s="3">
        <v>5</v>
      </c>
      <c r="W269" s="3">
        <v>5</v>
      </c>
      <c r="X269" s="3">
        <v>5</v>
      </c>
      <c r="Y269" s="3">
        <v>5</v>
      </c>
      <c r="Z269" s="3">
        <v>5</v>
      </c>
      <c r="AA269" s="3">
        <v>5</v>
      </c>
      <c r="AB269" s="3">
        <v>5</v>
      </c>
      <c r="AC269" s="3">
        <v>5</v>
      </c>
      <c r="AD269" s="3">
        <v>5</v>
      </c>
      <c r="AE269" s="3">
        <v>5</v>
      </c>
      <c r="AF269" s="3">
        <v>4</v>
      </c>
      <c r="AG269" s="3">
        <v>4</v>
      </c>
      <c r="AH269" s="3">
        <v>5</v>
      </c>
      <c r="AI269" s="3">
        <v>5</v>
      </c>
      <c r="AJ269" s="3">
        <v>5</v>
      </c>
      <c r="AK269" s="3">
        <v>5</v>
      </c>
      <c r="AL269" s="3">
        <v>5</v>
      </c>
      <c r="AM269" s="3">
        <v>5</v>
      </c>
      <c r="AN269" s="3">
        <v>5</v>
      </c>
      <c r="AO269" s="3">
        <v>5</v>
      </c>
      <c r="AP269" s="3">
        <v>5</v>
      </c>
      <c r="AQ269" s="3">
        <v>5</v>
      </c>
      <c r="AR269" s="3">
        <v>5</v>
      </c>
      <c r="AS269" s="3">
        <v>5</v>
      </c>
      <c r="AT269" s="3">
        <v>5</v>
      </c>
      <c r="AU269" s="3">
        <v>5</v>
      </c>
      <c r="AV269" s="3">
        <v>5</v>
      </c>
      <c r="AW269" s="3">
        <v>5</v>
      </c>
      <c r="AX269" s="3">
        <v>5</v>
      </c>
      <c r="AY269" s="3">
        <v>5</v>
      </c>
      <c r="AZ269" s="3">
        <v>5</v>
      </c>
      <c r="BA269" s="3">
        <v>5</v>
      </c>
      <c r="BB269" s="3">
        <v>5</v>
      </c>
      <c r="BC269" s="3">
        <v>4</v>
      </c>
      <c r="BD269" s="3">
        <v>4</v>
      </c>
      <c r="BE269" s="3">
        <v>4</v>
      </c>
      <c r="BF269" s="3">
        <v>3</v>
      </c>
      <c r="BG269" s="3">
        <v>4</v>
      </c>
      <c r="BH269" s="3">
        <v>4</v>
      </c>
      <c r="BI269" s="3">
        <v>4</v>
      </c>
      <c r="BJ269" s="3">
        <v>4</v>
      </c>
      <c r="BK269" s="3">
        <v>4</v>
      </c>
      <c r="BL269" s="3">
        <v>4</v>
      </c>
      <c r="BM269" s="3">
        <v>4</v>
      </c>
      <c r="BN269" s="3">
        <v>4</v>
      </c>
      <c r="BO269" s="3">
        <v>4</v>
      </c>
      <c r="BP269" s="3" t="s">
        <v>752</v>
      </c>
    </row>
    <row r="270" spans="1:68" ht="22.5" customHeight="1" x14ac:dyDescent="0.25">
      <c r="A270" s="2">
        <v>45979.585533472222</v>
      </c>
      <c r="B270" s="3" t="s">
        <v>753</v>
      </c>
      <c r="C270" s="3" t="s">
        <v>69</v>
      </c>
      <c r="D270" s="3" t="s">
        <v>754</v>
      </c>
      <c r="E270" s="3" t="s">
        <v>77</v>
      </c>
      <c r="F270" s="3" t="s">
        <v>88</v>
      </c>
      <c r="G270" s="3" t="s">
        <v>83</v>
      </c>
      <c r="H270" s="3">
        <v>5</v>
      </c>
      <c r="I270" s="3">
        <v>5</v>
      </c>
      <c r="J270" s="3">
        <v>5</v>
      </c>
      <c r="K270" s="3">
        <v>4</v>
      </c>
      <c r="L270" s="3">
        <v>5</v>
      </c>
      <c r="M270" s="3">
        <v>5</v>
      </c>
      <c r="N270" s="3">
        <v>4</v>
      </c>
      <c r="O270" s="3">
        <v>5</v>
      </c>
      <c r="P270" s="3">
        <v>5</v>
      </c>
      <c r="Q270" s="3">
        <v>5</v>
      </c>
      <c r="R270" s="3">
        <v>5</v>
      </c>
      <c r="S270" s="3">
        <v>5</v>
      </c>
      <c r="T270" s="3">
        <v>5</v>
      </c>
      <c r="U270" s="3">
        <v>5</v>
      </c>
      <c r="V270" s="3">
        <v>4</v>
      </c>
      <c r="W270" s="3">
        <v>4</v>
      </c>
      <c r="X270" s="3">
        <v>4</v>
      </c>
      <c r="Y270" s="3">
        <v>3</v>
      </c>
      <c r="Z270" s="3">
        <v>5</v>
      </c>
      <c r="AA270" s="3">
        <v>5</v>
      </c>
      <c r="AB270" s="3">
        <v>4</v>
      </c>
      <c r="AC270" s="3">
        <v>4</v>
      </c>
      <c r="AD270" s="3">
        <v>5</v>
      </c>
      <c r="AE270" s="3">
        <v>4</v>
      </c>
      <c r="AF270" s="3">
        <v>4</v>
      </c>
      <c r="AG270" s="3">
        <v>5</v>
      </c>
      <c r="AH270" s="3">
        <v>4</v>
      </c>
      <c r="AI270" s="3">
        <v>5</v>
      </c>
      <c r="AJ270" s="3">
        <v>5</v>
      </c>
      <c r="AK270" s="3">
        <v>5</v>
      </c>
      <c r="AL270" s="3">
        <v>5</v>
      </c>
      <c r="AM270" s="3">
        <v>5</v>
      </c>
      <c r="AN270" s="3">
        <v>5</v>
      </c>
      <c r="AO270" s="3">
        <v>4</v>
      </c>
      <c r="AP270" s="3">
        <v>4</v>
      </c>
      <c r="AQ270" s="3">
        <v>4</v>
      </c>
      <c r="AR270" s="3">
        <v>4</v>
      </c>
      <c r="AS270" s="3">
        <v>4</v>
      </c>
      <c r="AT270" s="3">
        <v>4</v>
      </c>
      <c r="AU270" s="3">
        <v>4</v>
      </c>
      <c r="AV270" s="3">
        <v>4</v>
      </c>
      <c r="AW270" s="3">
        <v>5</v>
      </c>
      <c r="AX270" s="3">
        <v>5</v>
      </c>
      <c r="AY270" s="3">
        <v>5</v>
      </c>
      <c r="AZ270" s="3">
        <v>5</v>
      </c>
      <c r="BA270" s="3">
        <v>4</v>
      </c>
      <c r="BB270" s="3">
        <v>4</v>
      </c>
      <c r="BC270" s="3">
        <v>4</v>
      </c>
      <c r="BD270" s="3">
        <v>3</v>
      </c>
      <c r="BE270" s="3">
        <v>3</v>
      </c>
      <c r="BF270" s="3">
        <v>3</v>
      </c>
      <c r="BG270" s="3">
        <v>5</v>
      </c>
      <c r="BH270" s="3">
        <v>5</v>
      </c>
      <c r="BI270" s="3">
        <v>5</v>
      </c>
      <c r="BJ270" s="3">
        <v>5</v>
      </c>
      <c r="BK270" s="3">
        <v>5</v>
      </c>
      <c r="BL270" s="3">
        <v>5</v>
      </c>
      <c r="BM270" s="3">
        <v>5</v>
      </c>
      <c r="BN270" s="3">
        <v>5</v>
      </c>
      <c r="BO270" s="3">
        <v>5</v>
      </c>
      <c r="BP270" s="3" t="s">
        <v>755</v>
      </c>
    </row>
    <row r="271" spans="1:68" ht="22.5" customHeight="1" x14ac:dyDescent="0.25">
      <c r="A271" s="2">
        <v>45979.590278611111</v>
      </c>
      <c r="B271" s="3" t="s">
        <v>756</v>
      </c>
      <c r="C271" s="3" t="s">
        <v>69</v>
      </c>
      <c r="D271" s="3" t="s">
        <v>757</v>
      </c>
      <c r="E271" s="3" t="s">
        <v>119</v>
      </c>
      <c r="F271" s="3" t="s">
        <v>82</v>
      </c>
      <c r="G271" s="3" t="s">
        <v>83</v>
      </c>
      <c r="H271" s="3">
        <v>5</v>
      </c>
      <c r="I271" s="3">
        <v>5</v>
      </c>
      <c r="J271" s="3">
        <v>5</v>
      </c>
      <c r="K271" s="3">
        <v>5</v>
      </c>
      <c r="L271" s="3">
        <v>5</v>
      </c>
      <c r="M271" s="3">
        <v>3</v>
      </c>
      <c r="N271" s="3">
        <v>3</v>
      </c>
      <c r="O271" s="3">
        <v>5</v>
      </c>
      <c r="P271" s="3">
        <v>5</v>
      </c>
      <c r="Q271" s="3">
        <v>5</v>
      </c>
      <c r="R271" s="3">
        <v>5</v>
      </c>
      <c r="S271" s="3">
        <v>5</v>
      </c>
      <c r="T271" s="3">
        <v>5</v>
      </c>
      <c r="U271" s="3">
        <v>5</v>
      </c>
      <c r="V271" s="3">
        <v>5</v>
      </c>
      <c r="W271" s="3">
        <v>5</v>
      </c>
      <c r="X271" s="3">
        <v>5</v>
      </c>
      <c r="Y271" s="3">
        <v>5</v>
      </c>
      <c r="Z271" s="3">
        <v>5</v>
      </c>
      <c r="AA271" s="3">
        <v>5</v>
      </c>
      <c r="AB271" s="3">
        <v>5</v>
      </c>
      <c r="AC271" s="3">
        <v>3</v>
      </c>
      <c r="AD271" s="3">
        <v>5</v>
      </c>
      <c r="AE271" s="3">
        <v>5</v>
      </c>
      <c r="AF271" s="3">
        <v>5</v>
      </c>
      <c r="AG271" s="3">
        <v>5</v>
      </c>
      <c r="AH271" s="3">
        <v>5</v>
      </c>
      <c r="AI271" s="3">
        <v>5</v>
      </c>
      <c r="AJ271" s="3">
        <v>4</v>
      </c>
      <c r="AK271" s="3">
        <v>5</v>
      </c>
      <c r="AL271" s="3">
        <v>4</v>
      </c>
      <c r="AM271" s="3">
        <v>4</v>
      </c>
      <c r="AN271" s="3">
        <v>4</v>
      </c>
      <c r="AO271" s="3">
        <v>4</v>
      </c>
      <c r="AP271" s="3">
        <v>4</v>
      </c>
      <c r="AQ271" s="3">
        <v>4</v>
      </c>
      <c r="AR271" s="3">
        <v>4</v>
      </c>
      <c r="AS271" s="3">
        <v>4</v>
      </c>
      <c r="AT271" s="3">
        <v>4</v>
      </c>
      <c r="AU271" s="3">
        <v>4</v>
      </c>
      <c r="AV271" s="3">
        <v>4</v>
      </c>
      <c r="AW271" s="3">
        <v>5</v>
      </c>
      <c r="AX271" s="3">
        <v>5</v>
      </c>
      <c r="AY271" s="3">
        <v>5</v>
      </c>
      <c r="AZ271" s="3">
        <v>5</v>
      </c>
      <c r="BA271" s="3">
        <v>5</v>
      </c>
      <c r="BB271" s="3">
        <v>5</v>
      </c>
      <c r="BC271" s="3">
        <v>5</v>
      </c>
      <c r="BD271" s="3">
        <v>5</v>
      </c>
      <c r="BE271" s="3">
        <v>5</v>
      </c>
      <c r="BF271" s="3">
        <v>5</v>
      </c>
      <c r="BG271" s="3">
        <v>5</v>
      </c>
      <c r="BH271" s="3">
        <v>5</v>
      </c>
      <c r="BI271" s="3">
        <v>5</v>
      </c>
      <c r="BJ271" s="3">
        <v>5</v>
      </c>
      <c r="BK271" s="3">
        <v>5</v>
      </c>
      <c r="BL271" s="3">
        <v>5</v>
      </c>
      <c r="BM271" s="3">
        <v>5</v>
      </c>
      <c r="BN271" s="3">
        <v>5</v>
      </c>
      <c r="BO271" s="3">
        <v>5</v>
      </c>
      <c r="BP271" s="3" t="s">
        <v>758</v>
      </c>
    </row>
    <row r="272" spans="1:68" ht="22.5" customHeight="1" x14ac:dyDescent="0.25">
      <c r="A272" s="2">
        <v>45979.629808101847</v>
      </c>
      <c r="B272" s="3" t="s">
        <v>759</v>
      </c>
      <c r="C272" s="3" t="s">
        <v>86</v>
      </c>
      <c r="D272" s="3" t="s">
        <v>692</v>
      </c>
      <c r="E272" s="3" t="s">
        <v>77</v>
      </c>
      <c r="F272" s="3" t="s">
        <v>78</v>
      </c>
      <c r="G272" s="3" t="s">
        <v>79</v>
      </c>
      <c r="H272" s="3">
        <v>5</v>
      </c>
      <c r="I272" s="3">
        <v>5</v>
      </c>
      <c r="J272" s="3">
        <v>4</v>
      </c>
      <c r="K272" s="3">
        <v>3</v>
      </c>
      <c r="L272" s="3">
        <v>3</v>
      </c>
      <c r="M272" s="3">
        <v>3</v>
      </c>
      <c r="N272" s="3">
        <v>3</v>
      </c>
      <c r="O272" s="3">
        <v>4</v>
      </c>
      <c r="P272" s="3">
        <v>4</v>
      </c>
      <c r="Q272" s="3">
        <v>5</v>
      </c>
      <c r="R272" s="3">
        <v>5</v>
      </c>
      <c r="S272" s="3">
        <v>5</v>
      </c>
      <c r="T272" s="3">
        <v>4</v>
      </c>
      <c r="U272" s="3">
        <v>4</v>
      </c>
      <c r="V272" s="3">
        <v>4</v>
      </c>
      <c r="W272" s="3">
        <v>3</v>
      </c>
      <c r="X272" s="3">
        <v>3</v>
      </c>
      <c r="Y272" s="3">
        <v>3</v>
      </c>
      <c r="Z272" s="3">
        <v>3</v>
      </c>
      <c r="AA272" s="3">
        <v>5</v>
      </c>
      <c r="AB272" s="3">
        <v>5</v>
      </c>
      <c r="AC272" s="3">
        <v>5</v>
      </c>
      <c r="AD272" s="3">
        <v>5</v>
      </c>
      <c r="AE272" s="3">
        <v>4</v>
      </c>
      <c r="AF272" s="3">
        <v>4</v>
      </c>
      <c r="AG272" s="3">
        <v>4</v>
      </c>
      <c r="AH272" s="3">
        <v>3</v>
      </c>
      <c r="AI272" s="3">
        <v>3</v>
      </c>
      <c r="AJ272" s="3">
        <v>3</v>
      </c>
      <c r="AK272" s="3">
        <v>4</v>
      </c>
      <c r="AL272" s="3">
        <v>4</v>
      </c>
      <c r="AM272" s="3">
        <v>3</v>
      </c>
      <c r="AN272" s="3">
        <v>4</v>
      </c>
      <c r="AO272" s="3">
        <v>4</v>
      </c>
      <c r="AP272" s="3">
        <v>4</v>
      </c>
      <c r="AQ272" s="3">
        <v>4</v>
      </c>
      <c r="AR272" s="3">
        <v>4</v>
      </c>
      <c r="AS272" s="3">
        <v>4</v>
      </c>
      <c r="AT272" s="3">
        <v>3</v>
      </c>
      <c r="AU272" s="3">
        <v>3</v>
      </c>
      <c r="AV272" s="3">
        <v>3</v>
      </c>
      <c r="AW272" s="3">
        <v>3</v>
      </c>
      <c r="AX272" s="3">
        <v>4</v>
      </c>
      <c r="AY272" s="3">
        <v>3</v>
      </c>
      <c r="AZ272" s="3">
        <v>3</v>
      </c>
      <c r="BA272" s="3">
        <v>4</v>
      </c>
      <c r="BB272" s="3">
        <v>4</v>
      </c>
      <c r="BC272" s="3">
        <v>4</v>
      </c>
      <c r="BD272" s="3">
        <v>4</v>
      </c>
      <c r="BE272" s="3">
        <v>4</v>
      </c>
      <c r="BF272" s="3">
        <v>4</v>
      </c>
      <c r="BG272" s="3">
        <v>4</v>
      </c>
      <c r="BH272" s="3">
        <v>4</v>
      </c>
      <c r="BI272" s="3">
        <v>4</v>
      </c>
      <c r="BJ272" s="3">
        <v>4</v>
      </c>
      <c r="BK272" s="3">
        <v>3</v>
      </c>
      <c r="BL272" s="3">
        <v>4</v>
      </c>
      <c r="BM272" s="3">
        <v>4</v>
      </c>
      <c r="BN272" s="3">
        <v>3</v>
      </c>
      <c r="BO272" s="3">
        <v>4</v>
      </c>
      <c r="BP272" s="3" t="s">
        <v>760</v>
      </c>
    </row>
    <row r="273" spans="1:68" ht="22.5" customHeight="1" x14ac:dyDescent="0.25">
      <c r="A273" s="2">
        <v>45979.635209791668</v>
      </c>
      <c r="B273" s="3" t="s">
        <v>761</v>
      </c>
      <c r="C273" s="3" t="s">
        <v>69</v>
      </c>
      <c r="D273" s="3" t="s">
        <v>466</v>
      </c>
      <c r="E273" s="3" t="s">
        <v>77</v>
      </c>
      <c r="F273" s="3" t="s">
        <v>78</v>
      </c>
      <c r="G273" s="3" t="s">
        <v>83</v>
      </c>
      <c r="H273" s="3">
        <v>4</v>
      </c>
      <c r="I273" s="3">
        <v>4</v>
      </c>
      <c r="J273" s="3">
        <v>5</v>
      </c>
      <c r="K273" s="3">
        <v>5</v>
      </c>
      <c r="L273" s="3">
        <v>5</v>
      </c>
      <c r="M273" s="3">
        <v>4</v>
      </c>
      <c r="N273" s="3">
        <v>5</v>
      </c>
      <c r="O273" s="3">
        <v>5</v>
      </c>
      <c r="P273" s="3">
        <v>5</v>
      </c>
      <c r="Q273" s="3">
        <v>4</v>
      </c>
      <c r="R273" s="3">
        <v>5</v>
      </c>
      <c r="S273" s="3">
        <v>5</v>
      </c>
      <c r="T273" s="3">
        <v>4</v>
      </c>
      <c r="U273" s="3">
        <v>4</v>
      </c>
      <c r="V273" s="3">
        <v>4</v>
      </c>
      <c r="W273" s="3">
        <v>5</v>
      </c>
      <c r="X273" s="3">
        <v>5</v>
      </c>
      <c r="Y273" s="3">
        <v>5</v>
      </c>
      <c r="Z273" s="3">
        <v>5</v>
      </c>
      <c r="AA273" s="3">
        <v>4</v>
      </c>
      <c r="AB273" s="3">
        <v>5</v>
      </c>
      <c r="AC273" s="3">
        <v>5</v>
      </c>
      <c r="AD273" s="3">
        <v>5</v>
      </c>
      <c r="AE273" s="3">
        <v>5</v>
      </c>
      <c r="AF273" s="3">
        <v>5</v>
      </c>
      <c r="AG273" s="3">
        <v>4</v>
      </c>
      <c r="AH273" s="3">
        <v>5</v>
      </c>
      <c r="AI273" s="3">
        <v>5</v>
      </c>
      <c r="AJ273" s="3">
        <v>5</v>
      </c>
      <c r="AK273" s="3">
        <v>4</v>
      </c>
      <c r="AL273" s="3">
        <v>5</v>
      </c>
      <c r="AM273" s="3">
        <v>5</v>
      </c>
      <c r="AN273" s="3">
        <v>5</v>
      </c>
      <c r="AO273" s="3">
        <v>5</v>
      </c>
      <c r="AP273" s="3">
        <v>4</v>
      </c>
      <c r="AQ273" s="3">
        <v>5</v>
      </c>
      <c r="AR273" s="3">
        <v>4</v>
      </c>
      <c r="AS273" s="3">
        <v>4</v>
      </c>
      <c r="AT273" s="3">
        <v>5</v>
      </c>
      <c r="AU273" s="3">
        <v>5</v>
      </c>
      <c r="AV273" s="3">
        <v>5</v>
      </c>
      <c r="AW273" s="3">
        <v>4</v>
      </c>
      <c r="AX273" s="3">
        <v>4</v>
      </c>
      <c r="AY273" s="3">
        <v>4</v>
      </c>
      <c r="AZ273" s="3">
        <v>5</v>
      </c>
      <c r="BA273" s="3">
        <v>5</v>
      </c>
      <c r="BB273" s="3">
        <v>5</v>
      </c>
      <c r="BC273" s="3">
        <v>4</v>
      </c>
      <c r="BD273" s="3">
        <v>5</v>
      </c>
      <c r="BE273" s="3">
        <v>5</v>
      </c>
      <c r="BF273" s="3">
        <v>5</v>
      </c>
      <c r="BG273" s="3">
        <v>5</v>
      </c>
      <c r="BH273" s="3">
        <v>5</v>
      </c>
      <c r="BI273" s="3">
        <v>4</v>
      </c>
      <c r="BJ273" s="3">
        <v>4</v>
      </c>
      <c r="BK273" s="3">
        <v>4</v>
      </c>
      <c r="BL273" s="3">
        <v>5</v>
      </c>
      <c r="BM273" s="3">
        <v>5</v>
      </c>
      <c r="BN273" s="3">
        <v>5</v>
      </c>
      <c r="BO273" s="3">
        <v>5</v>
      </c>
      <c r="BP273" s="3" t="s">
        <v>762</v>
      </c>
    </row>
    <row r="274" spans="1:68" ht="22.5" customHeight="1" x14ac:dyDescent="0.25">
      <c r="A274" s="2">
        <v>45979.645205277775</v>
      </c>
      <c r="B274" s="3" t="s">
        <v>763</v>
      </c>
      <c r="C274" s="3" t="s">
        <v>86</v>
      </c>
      <c r="D274" s="3" t="s">
        <v>466</v>
      </c>
      <c r="E274" s="3" t="s">
        <v>77</v>
      </c>
      <c r="F274" s="3" t="s">
        <v>103</v>
      </c>
      <c r="G274" s="3" t="s">
        <v>91</v>
      </c>
      <c r="H274" s="3">
        <v>5</v>
      </c>
      <c r="I274" s="3">
        <v>5</v>
      </c>
      <c r="J274" s="3">
        <v>5</v>
      </c>
      <c r="K274" s="3">
        <v>4</v>
      </c>
      <c r="L274" s="3">
        <v>4</v>
      </c>
      <c r="M274" s="3">
        <v>5</v>
      </c>
      <c r="N274" s="3">
        <v>5</v>
      </c>
      <c r="O274" s="3">
        <v>5</v>
      </c>
      <c r="P274" s="3">
        <v>4</v>
      </c>
      <c r="Q274" s="3">
        <v>4</v>
      </c>
      <c r="R274" s="3">
        <v>4</v>
      </c>
      <c r="S274" s="3">
        <v>5</v>
      </c>
      <c r="T274" s="3">
        <v>5</v>
      </c>
      <c r="U274" s="3">
        <v>5</v>
      </c>
      <c r="V274" s="3">
        <v>5</v>
      </c>
      <c r="W274" s="3">
        <v>5</v>
      </c>
      <c r="X274" s="3">
        <v>5</v>
      </c>
      <c r="Y274" s="3">
        <v>4</v>
      </c>
      <c r="Z274" s="3">
        <v>4</v>
      </c>
      <c r="AA274" s="3">
        <v>4</v>
      </c>
      <c r="AB274" s="3">
        <v>5</v>
      </c>
      <c r="AC274" s="3">
        <v>5</v>
      </c>
      <c r="AD274" s="3">
        <v>4</v>
      </c>
      <c r="AE274" s="3">
        <v>4</v>
      </c>
      <c r="AF274" s="3">
        <v>5</v>
      </c>
      <c r="AG274" s="3">
        <v>5</v>
      </c>
      <c r="AH274" s="3">
        <v>5</v>
      </c>
      <c r="AI274" s="3">
        <v>5</v>
      </c>
      <c r="AJ274" s="3">
        <v>5</v>
      </c>
      <c r="AK274" s="3">
        <v>5</v>
      </c>
      <c r="AL274" s="3">
        <v>5</v>
      </c>
      <c r="AM274" s="3">
        <v>4</v>
      </c>
      <c r="AN274" s="3">
        <v>5</v>
      </c>
      <c r="AO274" s="3">
        <v>5</v>
      </c>
      <c r="AP274" s="3">
        <v>4</v>
      </c>
      <c r="AQ274" s="3">
        <v>4</v>
      </c>
      <c r="AR274" s="3">
        <v>5</v>
      </c>
      <c r="AS274" s="3">
        <v>5</v>
      </c>
      <c r="AT274" s="3">
        <v>5</v>
      </c>
      <c r="AU274" s="3">
        <v>4</v>
      </c>
      <c r="AV274" s="3">
        <v>5</v>
      </c>
      <c r="AW274" s="3">
        <v>5</v>
      </c>
      <c r="AX274" s="3">
        <v>5</v>
      </c>
      <c r="AY274" s="3">
        <v>5</v>
      </c>
      <c r="AZ274" s="3">
        <v>4</v>
      </c>
      <c r="BA274" s="3">
        <v>5</v>
      </c>
      <c r="BB274" s="3">
        <v>5</v>
      </c>
      <c r="BC274" s="3">
        <v>4</v>
      </c>
      <c r="BD274" s="3">
        <v>4</v>
      </c>
      <c r="BE274" s="3">
        <v>4</v>
      </c>
      <c r="BF274" s="3">
        <v>5</v>
      </c>
      <c r="BG274" s="3">
        <v>5</v>
      </c>
      <c r="BH274" s="3">
        <v>5</v>
      </c>
      <c r="BI274" s="3">
        <v>5</v>
      </c>
      <c r="BJ274" s="3">
        <v>5</v>
      </c>
      <c r="BK274" s="3">
        <v>5</v>
      </c>
      <c r="BL274" s="3">
        <v>5</v>
      </c>
      <c r="BM274" s="3">
        <v>4</v>
      </c>
      <c r="BN274" s="3">
        <v>5</v>
      </c>
      <c r="BO274" s="3">
        <v>5</v>
      </c>
      <c r="BP274" s="3" t="s">
        <v>764</v>
      </c>
    </row>
    <row r="275" spans="1:68" ht="22.5" customHeight="1" x14ac:dyDescent="0.25">
      <c r="A275" s="2">
        <v>45979.651550682873</v>
      </c>
      <c r="B275" s="3" t="s">
        <v>765</v>
      </c>
      <c r="C275" s="3" t="s">
        <v>86</v>
      </c>
      <c r="D275" s="3" t="s">
        <v>466</v>
      </c>
      <c r="E275" s="3" t="s">
        <v>77</v>
      </c>
      <c r="F275" s="3" t="s">
        <v>88</v>
      </c>
      <c r="G275" s="3" t="s">
        <v>83</v>
      </c>
      <c r="H275" s="3">
        <v>5</v>
      </c>
      <c r="I275" s="3">
        <v>4</v>
      </c>
      <c r="J275" s="3">
        <v>4</v>
      </c>
      <c r="K275" s="3">
        <v>4</v>
      </c>
      <c r="L275" s="3">
        <v>4</v>
      </c>
      <c r="M275" s="3">
        <v>5</v>
      </c>
      <c r="N275" s="3">
        <v>4</v>
      </c>
      <c r="O275" s="3">
        <v>4</v>
      </c>
      <c r="P275" s="3">
        <v>5</v>
      </c>
      <c r="Q275" s="3">
        <v>5</v>
      </c>
      <c r="R275" s="3">
        <v>4</v>
      </c>
      <c r="S275" s="3">
        <v>5</v>
      </c>
      <c r="T275" s="3">
        <v>5</v>
      </c>
      <c r="U275" s="3">
        <v>5</v>
      </c>
      <c r="V275" s="3">
        <v>3</v>
      </c>
      <c r="W275" s="3">
        <v>4</v>
      </c>
      <c r="X275" s="3">
        <v>3</v>
      </c>
      <c r="Y275" s="3">
        <v>4</v>
      </c>
      <c r="Z275" s="3">
        <v>2</v>
      </c>
      <c r="AA275" s="3">
        <v>5</v>
      </c>
      <c r="AB275" s="3">
        <v>4</v>
      </c>
      <c r="AC275" s="3">
        <v>2</v>
      </c>
      <c r="AD275" s="3">
        <v>5</v>
      </c>
      <c r="AE275" s="3">
        <v>4</v>
      </c>
      <c r="AF275" s="3">
        <v>4</v>
      </c>
      <c r="AG275" s="3">
        <v>5</v>
      </c>
      <c r="AH275" s="3">
        <v>5</v>
      </c>
      <c r="AI275" s="3">
        <v>5</v>
      </c>
      <c r="AJ275" s="3">
        <v>3</v>
      </c>
      <c r="AK275" s="3">
        <v>5</v>
      </c>
      <c r="AL275" s="3">
        <v>4</v>
      </c>
      <c r="AM275" s="3">
        <v>5</v>
      </c>
      <c r="AN275" s="3">
        <v>5</v>
      </c>
      <c r="AO275" s="3">
        <v>4</v>
      </c>
      <c r="AP275" s="3">
        <v>5</v>
      </c>
      <c r="AQ275" s="3">
        <v>4</v>
      </c>
      <c r="AR275" s="3">
        <v>4</v>
      </c>
      <c r="AS275" s="3">
        <v>4</v>
      </c>
      <c r="AT275" s="3">
        <v>5</v>
      </c>
      <c r="AU275" s="3">
        <v>4</v>
      </c>
      <c r="AV275" s="3">
        <v>5</v>
      </c>
      <c r="AW275" s="3">
        <v>5</v>
      </c>
      <c r="AX275" s="3">
        <v>5</v>
      </c>
      <c r="AY275" s="3">
        <v>5</v>
      </c>
      <c r="AZ275" s="3">
        <v>5</v>
      </c>
      <c r="BA275" s="3">
        <v>4</v>
      </c>
      <c r="BB275" s="3">
        <v>5</v>
      </c>
      <c r="BC275" s="3">
        <v>4</v>
      </c>
      <c r="BD275" s="3">
        <v>5</v>
      </c>
      <c r="BE275" s="3">
        <v>5</v>
      </c>
      <c r="BF275" s="3">
        <v>5</v>
      </c>
      <c r="BG275" s="3">
        <v>5</v>
      </c>
      <c r="BH275" s="3">
        <v>4</v>
      </c>
      <c r="BI275" s="3">
        <v>5</v>
      </c>
      <c r="BJ275" s="3">
        <v>5</v>
      </c>
      <c r="BK275" s="3">
        <v>5</v>
      </c>
      <c r="BL275" s="3">
        <v>4</v>
      </c>
      <c r="BM275" s="3">
        <v>5</v>
      </c>
      <c r="BN275" s="3">
        <v>4</v>
      </c>
      <c r="BO275" s="3">
        <v>5</v>
      </c>
      <c r="BP275" s="3" t="s">
        <v>766</v>
      </c>
    </row>
    <row r="276" spans="1:68" ht="22.5" customHeight="1" x14ac:dyDescent="0.25">
      <c r="A276" s="2">
        <v>45979.654361979163</v>
      </c>
      <c r="B276" s="3" t="s">
        <v>767</v>
      </c>
      <c r="C276" s="3" t="s">
        <v>86</v>
      </c>
      <c r="D276" s="3" t="s">
        <v>461</v>
      </c>
      <c r="E276" s="3" t="s">
        <v>119</v>
      </c>
      <c r="F276" s="3" t="s">
        <v>78</v>
      </c>
      <c r="G276" s="3" t="s">
        <v>83</v>
      </c>
      <c r="H276" s="3">
        <v>3</v>
      </c>
      <c r="I276" s="3">
        <v>3</v>
      </c>
      <c r="J276" s="3">
        <v>4</v>
      </c>
      <c r="K276" s="3">
        <v>3</v>
      </c>
      <c r="L276" s="3">
        <v>4</v>
      </c>
      <c r="M276" s="3">
        <v>3</v>
      </c>
      <c r="N276" s="3">
        <v>3</v>
      </c>
      <c r="O276" s="3">
        <v>4</v>
      </c>
      <c r="P276" s="3">
        <v>4</v>
      </c>
      <c r="Q276" s="3">
        <v>4</v>
      </c>
      <c r="R276" s="3">
        <v>4</v>
      </c>
      <c r="S276" s="3">
        <v>4</v>
      </c>
      <c r="T276" s="3">
        <v>4</v>
      </c>
      <c r="U276" s="3">
        <v>4</v>
      </c>
      <c r="V276" s="3">
        <v>4</v>
      </c>
      <c r="W276" s="3">
        <v>4</v>
      </c>
      <c r="X276" s="3">
        <v>3</v>
      </c>
      <c r="Y276" s="3">
        <v>4</v>
      </c>
      <c r="Z276" s="3">
        <v>4</v>
      </c>
      <c r="AA276" s="3">
        <v>4</v>
      </c>
      <c r="AB276" s="3">
        <v>4</v>
      </c>
      <c r="AC276" s="3">
        <v>4</v>
      </c>
      <c r="AD276" s="3">
        <v>4</v>
      </c>
      <c r="AE276" s="3">
        <v>3</v>
      </c>
      <c r="AF276" s="3">
        <v>3</v>
      </c>
      <c r="AG276" s="3">
        <v>3</v>
      </c>
      <c r="AH276" s="3">
        <v>3</v>
      </c>
      <c r="AI276" s="3">
        <v>4</v>
      </c>
      <c r="AJ276" s="3">
        <v>4</v>
      </c>
      <c r="AK276" s="3">
        <v>4</v>
      </c>
      <c r="AL276" s="3">
        <v>4</v>
      </c>
      <c r="AM276" s="3">
        <v>4</v>
      </c>
      <c r="AN276" s="3">
        <v>3</v>
      </c>
      <c r="AO276" s="3">
        <v>3</v>
      </c>
      <c r="AP276" s="3">
        <v>3</v>
      </c>
      <c r="AQ276" s="3">
        <v>3</v>
      </c>
      <c r="AR276" s="3">
        <v>3</v>
      </c>
      <c r="AS276" s="3">
        <v>3</v>
      </c>
      <c r="AT276" s="3">
        <v>3</v>
      </c>
      <c r="AU276" s="3">
        <v>3</v>
      </c>
      <c r="AV276" s="3">
        <v>3</v>
      </c>
      <c r="AW276" s="3">
        <v>4</v>
      </c>
      <c r="AX276" s="3">
        <v>4</v>
      </c>
      <c r="AY276" s="3">
        <v>4</v>
      </c>
      <c r="AZ276" s="3">
        <v>4</v>
      </c>
      <c r="BA276" s="3">
        <v>3</v>
      </c>
      <c r="BB276" s="3">
        <v>3</v>
      </c>
      <c r="BC276" s="3">
        <v>3</v>
      </c>
      <c r="BD276" s="3">
        <v>3</v>
      </c>
      <c r="BE276" s="3">
        <v>3</v>
      </c>
      <c r="BF276" s="3">
        <v>3</v>
      </c>
      <c r="BG276" s="3">
        <v>4</v>
      </c>
      <c r="BH276" s="3">
        <v>4</v>
      </c>
      <c r="BI276" s="3">
        <v>4</v>
      </c>
      <c r="BJ276" s="3">
        <v>3</v>
      </c>
      <c r="BK276" s="3">
        <v>3</v>
      </c>
      <c r="BL276" s="3">
        <v>3</v>
      </c>
      <c r="BM276" s="3">
        <v>4</v>
      </c>
      <c r="BN276" s="3">
        <v>4</v>
      </c>
      <c r="BO276" s="3">
        <v>4</v>
      </c>
      <c r="BP276" s="3" t="s">
        <v>768</v>
      </c>
    </row>
    <row r="277" spans="1:68" ht="22.5" customHeight="1" x14ac:dyDescent="0.25">
      <c r="A277" s="2">
        <v>45979.654511168977</v>
      </c>
      <c r="B277" s="3" t="s">
        <v>769</v>
      </c>
      <c r="C277" s="3" t="s">
        <v>69</v>
      </c>
      <c r="D277" s="3" t="s">
        <v>461</v>
      </c>
      <c r="E277" s="3" t="s">
        <v>87</v>
      </c>
      <c r="F277" s="3" t="s">
        <v>82</v>
      </c>
      <c r="G277" s="3" t="s">
        <v>83</v>
      </c>
      <c r="H277" s="3">
        <v>1</v>
      </c>
      <c r="I277" s="3">
        <v>1</v>
      </c>
      <c r="J277" s="3">
        <v>1</v>
      </c>
      <c r="K277" s="3">
        <v>1</v>
      </c>
      <c r="L277" s="3">
        <v>4</v>
      </c>
      <c r="M277" s="3">
        <v>3</v>
      </c>
      <c r="N277" s="3">
        <v>3</v>
      </c>
      <c r="O277" s="3">
        <v>3</v>
      </c>
      <c r="P277" s="3">
        <v>1</v>
      </c>
      <c r="Q277" s="3">
        <v>1</v>
      </c>
      <c r="R277" s="3">
        <v>1</v>
      </c>
      <c r="S277" s="3">
        <v>1</v>
      </c>
      <c r="T277" s="3">
        <v>1</v>
      </c>
      <c r="U277" s="3">
        <v>1</v>
      </c>
      <c r="V277" s="3">
        <v>4</v>
      </c>
      <c r="W277" s="3">
        <v>4</v>
      </c>
      <c r="X277" s="3">
        <v>2</v>
      </c>
      <c r="Y277" s="3">
        <v>3</v>
      </c>
      <c r="Z277" s="3">
        <v>3</v>
      </c>
      <c r="AA277" s="3">
        <v>1</v>
      </c>
      <c r="AB277" s="3">
        <v>1</v>
      </c>
      <c r="AC277" s="3">
        <v>4</v>
      </c>
      <c r="AD277" s="3">
        <v>1</v>
      </c>
      <c r="AE277" s="3">
        <v>1</v>
      </c>
      <c r="AF277" s="3">
        <v>1</v>
      </c>
      <c r="AG277" s="3">
        <v>1</v>
      </c>
      <c r="AH277" s="3">
        <v>1</v>
      </c>
      <c r="AI277" s="3">
        <v>1</v>
      </c>
      <c r="AJ277" s="3">
        <v>1</v>
      </c>
      <c r="AK277" s="3">
        <v>1</v>
      </c>
      <c r="AL277" s="3">
        <v>1</v>
      </c>
      <c r="AM277" s="3">
        <v>4</v>
      </c>
      <c r="AN277" s="3">
        <v>3</v>
      </c>
      <c r="AO277" s="3">
        <v>3</v>
      </c>
      <c r="AP277" s="3">
        <v>3</v>
      </c>
      <c r="AQ277" s="3">
        <v>1</v>
      </c>
      <c r="AR277" s="3">
        <v>1</v>
      </c>
      <c r="AS277" s="3">
        <v>2</v>
      </c>
      <c r="AT277" s="3">
        <v>3</v>
      </c>
      <c r="AU277" s="3">
        <v>3</v>
      </c>
      <c r="AV277" s="3">
        <v>1</v>
      </c>
      <c r="AW277" s="3">
        <v>1</v>
      </c>
      <c r="AX277" s="3">
        <v>1</v>
      </c>
      <c r="AY277" s="3">
        <v>1</v>
      </c>
      <c r="AZ277" s="3">
        <v>1</v>
      </c>
      <c r="BA277" s="3">
        <v>1</v>
      </c>
      <c r="BB277" s="3">
        <v>1</v>
      </c>
      <c r="BC277" s="3">
        <v>1</v>
      </c>
      <c r="BD277" s="3">
        <v>1</v>
      </c>
      <c r="BE277" s="3">
        <v>1</v>
      </c>
      <c r="BF277" s="3">
        <v>1</v>
      </c>
      <c r="BG277" s="3">
        <v>1</v>
      </c>
      <c r="BH277" s="3">
        <v>1</v>
      </c>
      <c r="BI277" s="3">
        <v>1</v>
      </c>
      <c r="BJ277" s="3">
        <v>1</v>
      </c>
      <c r="BK277" s="3">
        <v>1</v>
      </c>
      <c r="BL277" s="3">
        <v>1</v>
      </c>
      <c r="BM277" s="3">
        <v>1</v>
      </c>
      <c r="BN277" s="3">
        <v>1</v>
      </c>
      <c r="BO277" s="3">
        <v>1</v>
      </c>
      <c r="BP277" s="3" t="s">
        <v>770</v>
      </c>
    </row>
    <row r="278" spans="1:68" ht="22.5" customHeight="1" x14ac:dyDescent="0.25">
      <c r="A278" s="2">
        <v>45979.793641655095</v>
      </c>
      <c r="B278" s="3" t="s">
        <v>771</v>
      </c>
      <c r="C278" s="3" t="s">
        <v>69</v>
      </c>
      <c r="D278" s="3" t="s">
        <v>772</v>
      </c>
      <c r="E278" s="3" t="s">
        <v>77</v>
      </c>
      <c r="F278" s="3" t="s">
        <v>88</v>
      </c>
      <c r="G278" s="3" t="s">
        <v>83</v>
      </c>
      <c r="H278" s="3">
        <v>5</v>
      </c>
      <c r="I278" s="3">
        <v>4</v>
      </c>
      <c r="J278" s="3">
        <v>4</v>
      </c>
      <c r="K278" s="3">
        <v>5</v>
      </c>
      <c r="L278" s="3">
        <v>5</v>
      </c>
      <c r="M278" s="3">
        <v>4</v>
      </c>
      <c r="N278" s="3">
        <v>4</v>
      </c>
      <c r="O278" s="3">
        <v>4</v>
      </c>
      <c r="P278" s="3">
        <v>5</v>
      </c>
      <c r="Q278" s="3">
        <v>5</v>
      </c>
      <c r="R278" s="3">
        <v>5</v>
      </c>
      <c r="S278" s="3">
        <v>5</v>
      </c>
      <c r="T278" s="3">
        <v>5</v>
      </c>
      <c r="U278" s="3">
        <v>5</v>
      </c>
      <c r="V278" s="3">
        <v>4</v>
      </c>
      <c r="W278" s="3">
        <v>4</v>
      </c>
      <c r="X278" s="3">
        <v>3</v>
      </c>
      <c r="Y278" s="3">
        <v>4</v>
      </c>
      <c r="Z278" s="3">
        <v>5</v>
      </c>
      <c r="AA278" s="3">
        <v>3</v>
      </c>
      <c r="AB278" s="3">
        <v>4</v>
      </c>
      <c r="AC278" s="3">
        <v>4</v>
      </c>
      <c r="AD278" s="3">
        <v>5</v>
      </c>
      <c r="AE278" s="3">
        <v>4</v>
      </c>
      <c r="AF278" s="3">
        <v>4</v>
      </c>
      <c r="AG278" s="3">
        <v>5</v>
      </c>
      <c r="AH278" s="3">
        <v>4</v>
      </c>
      <c r="AI278" s="3">
        <v>5</v>
      </c>
      <c r="AJ278" s="3">
        <v>5</v>
      </c>
      <c r="AK278" s="3">
        <v>4</v>
      </c>
      <c r="AL278" s="3">
        <v>4</v>
      </c>
      <c r="AM278" s="3">
        <v>5</v>
      </c>
      <c r="AN278" s="3">
        <v>4</v>
      </c>
      <c r="AO278" s="3">
        <v>4</v>
      </c>
      <c r="AP278" s="3">
        <v>4</v>
      </c>
      <c r="AQ278" s="3">
        <v>4</v>
      </c>
      <c r="AR278" s="3">
        <v>4</v>
      </c>
      <c r="AS278" s="3">
        <v>3</v>
      </c>
      <c r="AT278" s="3">
        <v>4</v>
      </c>
      <c r="AU278" s="3">
        <v>3</v>
      </c>
      <c r="AV278" s="3">
        <v>4</v>
      </c>
      <c r="AW278" s="3">
        <v>5</v>
      </c>
      <c r="AX278" s="3">
        <v>5</v>
      </c>
      <c r="AY278" s="3">
        <v>5</v>
      </c>
      <c r="AZ278" s="3">
        <v>5</v>
      </c>
      <c r="BA278" s="3">
        <v>5</v>
      </c>
      <c r="BB278" s="3">
        <v>5</v>
      </c>
      <c r="BC278" s="3">
        <v>4</v>
      </c>
      <c r="BD278" s="3">
        <v>4</v>
      </c>
      <c r="BE278" s="3">
        <v>5</v>
      </c>
      <c r="BF278" s="3">
        <v>4</v>
      </c>
      <c r="BG278" s="3">
        <v>5</v>
      </c>
      <c r="BH278" s="3">
        <v>5</v>
      </c>
      <c r="BI278" s="3">
        <v>5</v>
      </c>
      <c r="BJ278" s="3">
        <v>5</v>
      </c>
      <c r="BK278" s="3">
        <v>5</v>
      </c>
      <c r="BL278" s="3">
        <v>5</v>
      </c>
      <c r="BM278" s="3">
        <v>5</v>
      </c>
      <c r="BN278" s="3">
        <v>5</v>
      </c>
      <c r="BO278" s="3">
        <v>5</v>
      </c>
      <c r="BP278" s="3" t="s">
        <v>773</v>
      </c>
    </row>
    <row r="279" spans="1:68" ht="22.5" customHeight="1" x14ac:dyDescent="0.25">
      <c r="A279" s="2">
        <v>45979.798666631948</v>
      </c>
      <c r="B279" s="3" t="s">
        <v>774</v>
      </c>
      <c r="C279" s="3" t="s">
        <v>69</v>
      </c>
      <c r="D279" s="3" t="s">
        <v>775</v>
      </c>
      <c r="E279" s="3" t="s">
        <v>87</v>
      </c>
      <c r="F279" s="3" t="s">
        <v>103</v>
      </c>
      <c r="G279" s="3" t="s">
        <v>73</v>
      </c>
      <c r="H279" s="3">
        <v>5</v>
      </c>
      <c r="I279" s="3">
        <v>5</v>
      </c>
      <c r="J279" s="3">
        <v>5</v>
      </c>
      <c r="K279" s="3">
        <v>4</v>
      </c>
      <c r="L279" s="3">
        <v>4</v>
      </c>
      <c r="M279" s="3">
        <v>4</v>
      </c>
      <c r="N279" s="3">
        <v>4</v>
      </c>
      <c r="O279" s="3">
        <v>5</v>
      </c>
      <c r="P279" s="3">
        <v>5</v>
      </c>
      <c r="Q279" s="3">
        <v>4</v>
      </c>
      <c r="R279" s="3">
        <v>5</v>
      </c>
      <c r="S279" s="3">
        <v>5</v>
      </c>
      <c r="T279" s="3">
        <v>5</v>
      </c>
      <c r="U279" s="3">
        <v>5</v>
      </c>
      <c r="V279" s="3">
        <v>4</v>
      </c>
      <c r="W279" s="3">
        <v>4</v>
      </c>
      <c r="X279" s="3">
        <v>4</v>
      </c>
      <c r="Y279" s="3">
        <v>4</v>
      </c>
      <c r="Z279" s="3">
        <v>3</v>
      </c>
      <c r="AA279" s="3">
        <v>3</v>
      </c>
      <c r="AB279" s="3">
        <v>3</v>
      </c>
      <c r="AC279" s="3">
        <v>2</v>
      </c>
      <c r="AD279" s="3">
        <v>3</v>
      </c>
      <c r="AE279" s="3">
        <v>3</v>
      </c>
      <c r="AF279" s="3">
        <v>3</v>
      </c>
      <c r="AG279" s="3">
        <v>3</v>
      </c>
      <c r="AH279" s="3">
        <v>3</v>
      </c>
      <c r="AI279" s="3">
        <v>4</v>
      </c>
      <c r="AJ279" s="3">
        <v>4</v>
      </c>
      <c r="AK279" s="3">
        <v>3</v>
      </c>
      <c r="AL279" s="3">
        <v>3</v>
      </c>
      <c r="AM279" s="3">
        <v>3</v>
      </c>
      <c r="AN279" s="3">
        <v>4</v>
      </c>
      <c r="AO279" s="3">
        <v>4</v>
      </c>
      <c r="AP279" s="3">
        <v>4</v>
      </c>
      <c r="AQ279" s="3">
        <v>4</v>
      </c>
      <c r="AR279" s="3">
        <v>4</v>
      </c>
      <c r="AS279" s="3">
        <v>3</v>
      </c>
      <c r="AT279" s="3">
        <v>4</v>
      </c>
      <c r="AU279" s="3">
        <v>4</v>
      </c>
      <c r="AV279" s="3">
        <v>4</v>
      </c>
      <c r="AW279" s="3">
        <v>5</v>
      </c>
      <c r="AX279" s="3">
        <v>5</v>
      </c>
      <c r="AY279" s="3">
        <v>5</v>
      </c>
      <c r="AZ279" s="3">
        <v>4</v>
      </c>
      <c r="BA279" s="3">
        <v>2</v>
      </c>
      <c r="BB279" s="3">
        <v>2</v>
      </c>
      <c r="BC279" s="3">
        <v>2</v>
      </c>
      <c r="BD279" s="3">
        <v>2</v>
      </c>
      <c r="BE279" s="3">
        <v>3</v>
      </c>
      <c r="BF279" s="3">
        <v>2</v>
      </c>
      <c r="BG279" s="3">
        <v>4</v>
      </c>
      <c r="BH279" s="3">
        <v>4</v>
      </c>
      <c r="BI279" s="3">
        <v>4</v>
      </c>
      <c r="BJ279" s="3">
        <v>4</v>
      </c>
      <c r="BK279" s="3">
        <v>4</v>
      </c>
      <c r="BL279" s="3">
        <v>4</v>
      </c>
      <c r="BM279" s="3">
        <v>5</v>
      </c>
      <c r="BN279" s="3">
        <v>4</v>
      </c>
      <c r="BO279" s="3">
        <v>4</v>
      </c>
      <c r="BP279" s="3" t="s">
        <v>776</v>
      </c>
    </row>
    <row r="280" spans="1:68" ht="22.5" customHeight="1" x14ac:dyDescent="0.25">
      <c r="A280" s="2">
        <v>45980.368921122688</v>
      </c>
      <c r="B280" s="3" t="s">
        <v>777</v>
      </c>
      <c r="C280" s="3" t="s">
        <v>69</v>
      </c>
      <c r="D280" s="3" t="s">
        <v>778</v>
      </c>
      <c r="E280" s="3" t="s">
        <v>77</v>
      </c>
      <c r="F280" s="3" t="s">
        <v>82</v>
      </c>
      <c r="G280" s="3" t="s">
        <v>91</v>
      </c>
      <c r="H280" s="3">
        <v>5</v>
      </c>
      <c r="I280" s="3">
        <v>4</v>
      </c>
      <c r="J280" s="3">
        <v>5</v>
      </c>
      <c r="K280" s="3">
        <v>4</v>
      </c>
      <c r="L280" s="3">
        <v>4</v>
      </c>
      <c r="M280" s="3">
        <v>3</v>
      </c>
      <c r="N280" s="3">
        <v>3</v>
      </c>
      <c r="O280" s="3">
        <v>5</v>
      </c>
      <c r="P280" s="3">
        <v>5</v>
      </c>
      <c r="Q280" s="3">
        <v>5</v>
      </c>
      <c r="R280" s="3">
        <v>5</v>
      </c>
      <c r="S280" s="3">
        <v>5</v>
      </c>
      <c r="T280" s="3">
        <v>5</v>
      </c>
      <c r="U280" s="3">
        <v>5</v>
      </c>
      <c r="V280" s="3">
        <v>4</v>
      </c>
      <c r="W280" s="3">
        <v>4</v>
      </c>
      <c r="X280" s="3">
        <v>3</v>
      </c>
      <c r="Y280" s="3">
        <v>3</v>
      </c>
      <c r="Z280" s="3">
        <v>3</v>
      </c>
      <c r="AA280" s="3">
        <v>3</v>
      </c>
      <c r="AB280" s="3">
        <v>2</v>
      </c>
      <c r="AC280" s="3">
        <v>2</v>
      </c>
      <c r="AD280" s="3">
        <v>4</v>
      </c>
      <c r="AE280" s="3">
        <v>4</v>
      </c>
      <c r="AF280" s="3">
        <v>4</v>
      </c>
      <c r="AG280" s="3">
        <v>3</v>
      </c>
      <c r="AH280" s="3">
        <v>3</v>
      </c>
      <c r="AI280" s="3">
        <v>3</v>
      </c>
      <c r="AJ280" s="3">
        <v>4</v>
      </c>
      <c r="AK280" s="3">
        <v>4</v>
      </c>
      <c r="AL280" s="3">
        <v>4</v>
      </c>
      <c r="AM280" s="3">
        <v>4</v>
      </c>
      <c r="AN280" s="3">
        <v>4</v>
      </c>
      <c r="AO280" s="3">
        <v>4</v>
      </c>
      <c r="AP280" s="3">
        <v>4</v>
      </c>
      <c r="AQ280" s="3">
        <v>4</v>
      </c>
      <c r="AR280" s="3">
        <v>4</v>
      </c>
      <c r="AS280" s="3">
        <v>4</v>
      </c>
      <c r="AT280" s="3">
        <v>4</v>
      </c>
      <c r="AU280" s="3">
        <v>4</v>
      </c>
      <c r="AV280" s="3">
        <v>4</v>
      </c>
      <c r="AW280" s="3">
        <v>5</v>
      </c>
      <c r="AX280" s="3">
        <v>4</v>
      </c>
      <c r="AY280" s="3">
        <v>5</v>
      </c>
      <c r="AZ280" s="3">
        <v>5</v>
      </c>
      <c r="BA280" s="3">
        <v>2</v>
      </c>
      <c r="BB280" s="3">
        <v>2</v>
      </c>
      <c r="BC280" s="3">
        <v>3</v>
      </c>
      <c r="BD280" s="3">
        <v>3</v>
      </c>
      <c r="BE280" s="3">
        <v>3</v>
      </c>
      <c r="BF280" s="3">
        <v>3</v>
      </c>
      <c r="BG280" s="3">
        <v>4</v>
      </c>
      <c r="BH280" s="3">
        <v>4</v>
      </c>
      <c r="BI280" s="3">
        <v>5</v>
      </c>
      <c r="BJ280" s="3">
        <v>4</v>
      </c>
      <c r="BK280" s="3">
        <v>4</v>
      </c>
      <c r="BL280" s="3">
        <v>4</v>
      </c>
      <c r="BM280" s="3">
        <v>4</v>
      </c>
      <c r="BN280" s="3">
        <v>4</v>
      </c>
      <c r="BO280" s="3">
        <v>3</v>
      </c>
      <c r="BP280" s="3" t="s">
        <v>779</v>
      </c>
    </row>
    <row r="281" spans="1:68" ht="22.5" customHeight="1" x14ac:dyDescent="0.25">
      <c r="A281" s="2">
        <v>45980.375711678236</v>
      </c>
      <c r="B281" s="3" t="s">
        <v>780</v>
      </c>
      <c r="C281" s="3" t="s">
        <v>69</v>
      </c>
      <c r="D281" s="3" t="s">
        <v>705</v>
      </c>
      <c r="E281" s="3" t="s">
        <v>77</v>
      </c>
      <c r="F281" s="3" t="s">
        <v>78</v>
      </c>
      <c r="G281" s="3" t="s">
        <v>79</v>
      </c>
      <c r="H281" s="3">
        <v>5</v>
      </c>
      <c r="I281" s="3">
        <v>5</v>
      </c>
      <c r="J281" s="3">
        <v>5</v>
      </c>
      <c r="K281" s="3">
        <v>5</v>
      </c>
      <c r="L281" s="3">
        <v>5</v>
      </c>
      <c r="M281" s="3">
        <v>5</v>
      </c>
      <c r="N281" s="3">
        <v>5</v>
      </c>
      <c r="O281" s="3">
        <v>5</v>
      </c>
      <c r="P281" s="3">
        <v>5</v>
      </c>
      <c r="Q281" s="3">
        <v>5</v>
      </c>
      <c r="R281" s="3">
        <v>5</v>
      </c>
      <c r="S281" s="3">
        <v>5</v>
      </c>
      <c r="T281" s="3">
        <v>5</v>
      </c>
      <c r="U281" s="3">
        <v>5</v>
      </c>
      <c r="V281" s="3">
        <v>5</v>
      </c>
      <c r="W281" s="3">
        <v>5</v>
      </c>
      <c r="X281" s="3">
        <v>5</v>
      </c>
      <c r="Y281" s="3">
        <v>5</v>
      </c>
      <c r="Z281" s="3">
        <v>5</v>
      </c>
      <c r="AA281" s="3">
        <v>5</v>
      </c>
      <c r="AB281" s="3">
        <v>5</v>
      </c>
      <c r="AC281" s="3">
        <v>5</v>
      </c>
      <c r="AD281" s="3">
        <v>5</v>
      </c>
      <c r="AE281" s="3">
        <v>5</v>
      </c>
      <c r="AF281" s="3">
        <v>5</v>
      </c>
      <c r="AG281" s="3">
        <v>5</v>
      </c>
      <c r="AH281" s="3">
        <v>5</v>
      </c>
      <c r="AI281" s="3">
        <v>5</v>
      </c>
      <c r="AJ281" s="3">
        <v>5</v>
      </c>
      <c r="AK281" s="3">
        <v>5</v>
      </c>
      <c r="AL281" s="3">
        <v>5</v>
      </c>
      <c r="AM281" s="3">
        <v>5</v>
      </c>
      <c r="AN281" s="3">
        <v>5</v>
      </c>
      <c r="AO281" s="3">
        <v>5</v>
      </c>
      <c r="AP281" s="3">
        <v>5</v>
      </c>
      <c r="AQ281" s="3">
        <v>5</v>
      </c>
      <c r="AR281" s="3">
        <v>5</v>
      </c>
      <c r="AS281" s="3">
        <v>5</v>
      </c>
      <c r="AT281" s="3">
        <v>5</v>
      </c>
      <c r="AU281" s="3">
        <v>5</v>
      </c>
      <c r="AV281" s="3">
        <v>5</v>
      </c>
      <c r="AW281" s="3">
        <v>5</v>
      </c>
      <c r="AX281" s="3">
        <v>5</v>
      </c>
      <c r="AY281" s="3">
        <v>5</v>
      </c>
      <c r="AZ281" s="3">
        <v>5</v>
      </c>
      <c r="BA281" s="3">
        <v>5</v>
      </c>
      <c r="BB281" s="3">
        <v>5</v>
      </c>
      <c r="BC281" s="3">
        <v>5</v>
      </c>
      <c r="BD281" s="3">
        <v>5</v>
      </c>
      <c r="BE281" s="3">
        <v>5</v>
      </c>
      <c r="BF281" s="3">
        <v>5</v>
      </c>
      <c r="BG281" s="3">
        <v>5</v>
      </c>
      <c r="BH281" s="3">
        <v>5</v>
      </c>
      <c r="BI281" s="3">
        <v>5</v>
      </c>
      <c r="BJ281" s="3">
        <v>5</v>
      </c>
      <c r="BK281" s="3">
        <v>5</v>
      </c>
      <c r="BL281" s="3">
        <v>5</v>
      </c>
      <c r="BM281" s="3">
        <v>5</v>
      </c>
      <c r="BN281" s="3">
        <v>5</v>
      </c>
      <c r="BO281" s="3">
        <v>5</v>
      </c>
      <c r="BP281" s="3" t="s">
        <v>781</v>
      </c>
    </row>
    <row r="282" spans="1:68" ht="22.5" customHeight="1" x14ac:dyDescent="0.25">
      <c r="A282" s="2">
        <v>45980.415462291669</v>
      </c>
      <c r="B282" s="3" t="s">
        <v>782</v>
      </c>
      <c r="C282" s="3" t="s">
        <v>69</v>
      </c>
      <c r="D282" s="3" t="s">
        <v>783</v>
      </c>
      <c r="E282" s="3" t="s">
        <v>87</v>
      </c>
      <c r="F282" s="3" t="s">
        <v>82</v>
      </c>
      <c r="G282" s="3" t="s">
        <v>91</v>
      </c>
      <c r="H282" s="3">
        <v>5</v>
      </c>
      <c r="I282" s="3">
        <v>4</v>
      </c>
      <c r="J282" s="3">
        <v>5</v>
      </c>
      <c r="K282" s="3">
        <v>4</v>
      </c>
      <c r="L282" s="3">
        <v>5</v>
      </c>
      <c r="M282" s="3">
        <v>4</v>
      </c>
      <c r="N282" s="3">
        <v>4</v>
      </c>
      <c r="O282" s="3">
        <v>5</v>
      </c>
      <c r="P282" s="3">
        <v>5</v>
      </c>
      <c r="Q282" s="3">
        <v>5</v>
      </c>
      <c r="R282" s="3">
        <v>5</v>
      </c>
      <c r="S282" s="3">
        <v>5</v>
      </c>
      <c r="T282" s="3">
        <v>5</v>
      </c>
      <c r="U282" s="3">
        <v>5</v>
      </c>
      <c r="V282" s="3">
        <v>5</v>
      </c>
      <c r="W282" s="3">
        <v>4</v>
      </c>
      <c r="X282" s="3">
        <v>3</v>
      </c>
      <c r="Y282" s="3">
        <v>4</v>
      </c>
      <c r="Z282" s="3">
        <v>3</v>
      </c>
      <c r="AA282" s="3">
        <v>5</v>
      </c>
      <c r="AB282" s="3">
        <v>5</v>
      </c>
      <c r="AC282" s="3">
        <v>4</v>
      </c>
      <c r="AD282" s="3">
        <v>5</v>
      </c>
      <c r="AE282" s="3">
        <v>5</v>
      </c>
      <c r="AF282" s="3">
        <v>5</v>
      </c>
      <c r="AG282" s="3">
        <v>5</v>
      </c>
      <c r="AH282" s="3">
        <v>4</v>
      </c>
      <c r="AI282" s="3">
        <v>4</v>
      </c>
      <c r="AJ282" s="3">
        <v>4</v>
      </c>
      <c r="AK282" s="3">
        <v>4</v>
      </c>
      <c r="AL282" s="3">
        <v>4</v>
      </c>
      <c r="AM282" s="3">
        <v>4</v>
      </c>
      <c r="AN282" s="3">
        <v>4</v>
      </c>
      <c r="AO282" s="3">
        <v>4</v>
      </c>
      <c r="AP282" s="3">
        <v>4</v>
      </c>
      <c r="AQ282" s="3">
        <v>4</v>
      </c>
      <c r="AR282" s="3">
        <v>4</v>
      </c>
      <c r="AS282" s="3">
        <v>4</v>
      </c>
      <c r="AT282" s="3">
        <v>3</v>
      </c>
      <c r="AU282" s="3">
        <v>3</v>
      </c>
      <c r="AV282" s="3">
        <v>4</v>
      </c>
      <c r="AW282" s="3">
        <v>5</v>
      </c>
      <c r="AX282" s="3">
        <v>5</v>
      </c>
      <c r="AY282" s="3">
        <v>5</v>
      </c>
      <c r="AZ282" s="3">
        <v>4</v>
      </c>
      <c r="BA282" s="3">
        <v>4</v>
      </c>
      <c r="BB282" s="3">
        <v>5</v>
      </c>
      <c r="BC282" s="3">
        <v>4</v>
      </c>
      <c r="BD282" s="3">
        <v>4</v>
      </c>
      <c r="BE282" s="3">
        <v>4</v>
      </c>
      <c r="BF282" s="3">
        <v>4</v>
      </c>
      <c r="BG282" s="3">
        <v>5</v>
      </c>
      <c r="BH282" s="3">
        <v>4</v>
      </c>
      <c r="BI282" s="3">
        <v>5</v>
      </c>
      <c r="BJ282" s="3">
        <v>3</v>
      </c>
      <c r="BK282" s="3">
        <v>4</v>
      </c>
      <c r="BL282" s="3">
        <v>3</v>
      </c>
      <c r="BM282" s="3">
        <v>4</v>
      </c>
      <c r="BN282" s="3">
        <v>4</v>
      </c>
      <c r="BO282" s="3">
        <v>5</v>
      </c>
      <c r="BP282" s="3" t="s">
        <v>784</v>
      </c>
    </row>
    <row r="283" spans="1:68" ht="22.5" customHeight="1" x14ac:dyDescent="0.25">
      <c r="A283" s="2">
        <v>45980.430464976853</v>
      </c>
      <c r="B283" s="3" t="s">
        <v>785</v>
      </c>
      <c r="C283" s="3" t="s">
        <v>86</v>
      </c>
      <c r="D283" s="3" t="s">
        <v>749</v>
      </c>
      <c r="E283" s="3" t="s">
        <v>77</v>
      </c>
      <c r="F283" s="3" t="s">
        <v>78</v>
      </c>
      <c r="G283" s="3" t="s">
        <v>79</v>
      </c>
      <c r="H283" s="3">
        <v>5</v>
      </c>
      <c r="I283" s="3">
        <v>5</v>
      </c>
      <c r="J283" s="3">
        <v>5</v>
      </c>
      <c r="K283" s="3">
        <v>5</v>
      </c>
      <c r="L283" s="3">
        <v>5</v>
      </c>
      <c r="M283" s="3">
        <v>5</v>
      </c>
      <c r="N283" s="3">
        <v>5</v>
      </c>
      <c r="O283" s="3">
        <v>5</v>
      </c>
      <c r="P283" s="3">
        <v>5</v>
      </c>
      <c r="Q283" s="3">
        <v>5</v>
      </c>
      <c r="R283" s="3">
        <v>5</v>
      </c>
      <c r="S283" s="3">
        <v>5</v>
      </c>
      <c r="T283" s="3">
        <v>5</v>
      </c>
      <c r="U283" s="3">
        <v>5</v>
      </c>
      <c r="V283" s="3">
        <v>4</v>
      </c>
      <c r="W283" s="3">
        <v>4</v>
      </c>
      <c r="X283" s="3">
        <v>5</v>
      </c>
      <c r="Y283" s="3">
        <v>3</v>
      </c>
      <c r="Z283" s="3">
        <v>3</v>
      </c>
      <c r="AA283" s="3">
        <v>5</v>
      </c>
      <c r="AB283" s="3">
        <v>5</v>
      </c>
      <c r="AC283" s="3">
        <v>5</v>
      </c>
      <c r="AD283" s="3">
        <v>5</v>
      </c>
      <c r="AE283" s="3">
        <v>5</v>
      </c>
      <c r="AF283" s="3">
        <v>5</v>
      </c>
      <c r="AG283" s="3">
        <v>5</v>
      </c>
      <c r="AH283" s="3">
        <v>5</v>
      </c>
      <c r="AI283" s="3">
        <v>5</v>
      </c>
      <c r="AJ283" s="3">
        <v>5</v>
      </c>
      <c r="AK283" s="3">
        <v>5</v>
      </c>
      <c r="AL283" s="3">
        <v>5</v>
      </c>
      <c r="AM283" s="3">
        <v>5</v>
      </c>
      <c r="AN283" s="3">
        <v>5</v>
      </c>
      <c r="AO283" s="3">
        <v>5</v>
      </c>
      <c r="AP283" s="3">
        <v>5</v>
      </c>
      <c r="AQ283" s="3">
        <v>5</v>
      </c>
      <c r="AR283" s="3">
        <v>5</v>
      </c>
      <c r="AS283" s="3">
        <v>5</v>
      </c>
      <c r="AT283" s="3">
        <v>5</v>
      </c>
      <c r="AU283" s="3">
        <v>5</v>
      </c>
      <c r="AV283" s="3">
        <v>5</v>
      </c>
      <c r="AW283" s="3">
        <v>5</v>
      </c>
      <c r="AX283" s="3">
        <v>5</v>
      </c>
      <c r="AY283" s="3">
        <v>5</v>
      </c>
      <c r="AZ283" s="3">
        <v>5</v>
      </c>
      <c r="BA283" s="3">
        <v>3</v>
      </c>
      <c r="BB283" s="3">
        <v>3</v>
      </c>
      <c r="BC283" s="3">
        <v>3</v>
      </c>
      <c r="BD283" s="3">
        <v>3</v>
      </c>
      <c r="BE283" s="3">
        <v>3</v>
      </c>
      <c r="BF283" s="3">
        <v>3</v>
      </c>
      <c r="BG283" s="3">
        <v>5</v>
      </c>
      <c r="BH283" s="3">
        <v>5</v>
      </c>
      <c r="BI283" s="3">
        <v>5</v>
      </c>
      <c r="BJ283" s="3">
        <v>5</v>
      </c>
      <c r="BK283" s="3">
        <v>5</v>
      </c>
      <c r="BL283" s="3">
        <v>5</v>
      </c>
      <c r="BM283" s="3">
        <v>5</v>
      </c>
      <c r="BN283" s="3">
        <v>5</v>
      </c>
      <c r="BO283" s="3">
        <v>5</v>
      </c>
      <c r="BP283" s="3" t="s">
        <v>786</v>
      </c>
    </row>
    <row r="284" spans="1:68" ht="22.5" customHeight="1" x14ac:dyDescent="0.25">
      <c r="A284" s="2">
        <v>45980.461564606478</v>
      </c>
      <c r="B284" s="3" t="s">
        <v>787</v>
      </c>
      <c r="C284" s="3" t="s">
        <v>86</v>
      </c>
      <c r="D284" s="3" t="s">
        <v>772</v>
      </c>
      <c r="E284" s="3" t="s">
        <v>788</v>
      </c>
      <c r="F284" s="3" t="s">
        <v>103</v>
      </c>
      <c r="G284" s="3" t="s">
        <v>91</v>
      </c>
      <c r="H284" s="3">
        <v>5</v>
      </c>
      <c r="I284" s="3">
        <v>5</v>
      </c>
      <c r="J284" s="3">
        <v>5</v>
      </c>
      <c r="K284" s="3">
        <v>5</v>
      </c>
      <c r="L284" s="3">
        <v>5</v>
      </c>
      <c r="M284" s="3">
        <v>5</v>
      </c>
      <c r="N284" s="3">
        <v>5</v>
      </c>
      <c r="O284" s="3">
        <v>5</v>
      </c>
      <c r="P284" s="3">
        <v>5</v>
      </c>
      <c r="Q284" s="3">
        <v>5</v>
      </c>
      <c r="R284" s="3">
        <v>5</v>
      </c>
      <c r="S284" s="3">
        <v>5</v>
      </c>
      <c r="T284" s="3">
        <v>5</v>
      </c>
      <c r="U284" s="3">
        <v>5</v>
      </c>
      <c r="V284" s="3">
        <v>5</v>
      </c>
      <c r="W284" s="3">
        <v>5</v>
      </c>
      <c r="X284" s="3">
        <v>4</v>
      </c>
      <c r="Y284" s="3">
        <v>5</v>
      </c>
      <c r="Z284" s="3">
        <v>4</v>
      </c>
      <c r="AA284" s="3">
        <v>4</v>
      </c>
      <c r="AB284" s="3">
        <v>4</v>
      </c>
      <c r="AC284" s="3">
        <v>4</v>
      </c>
      <c r="AD284" s="3">
        <v>4</v>
      </c>
      <c r="AE284" s="3">
        <v>4</v>
      </c>
      <c r="AF284" s="3">
        <v>4</v>
      </c>
      <c r="AG284" s="3">
        <v>4</v>
      </c>
      <c r="AH284" s="3">
        <v>4</v>
      </c>
      <c r="AI284" s="3">
        <v>5</v>
      </c>
      <c r="AJ284" s="3">
        <v>5</v>
      </c>
      <c r="AK284" s="3">
        <v>5</v>
      </c>
      <c r="AL284" s="3">
        <v>5</v>
      </c>
      <c r="AM284" s="3">
        <v>5</v>
      </c>
      <c r="AN284" s="3">
        <v>4</v>
      </c>
      <c r="AO284" s="3">
        <v>4</v>
      </c>
      <c r="AP284" s="3">
        <v>4</v>
      </c>
      <c r="AQ284" s="3">
        <v>4</v>
      </c>
      <c r="AR284" s="3">
        <v>4</v>
      </c>
      <c r="AS284" s="3">
        <v>4</v>
      </c>
      <c r="AT284" s="3">
        <v>4</v>
      </c>
      <c r="AU284" s="3">
        <v>4</v>
      </c>
      <c r="AV284" s="3">
        <v>4</v>
      </c>
      <c r="AW284" s="3">
        <v>5</v>
      </c>
      <c r="AX284" s="3">
        <v>5</v>
      </c>
      <c r="AY284" s="3">
        <v>5</v>
      </c>
      <c r="AZ284" s="3">
        <v>5</v>
      </c>
      <c r="BA284" s="3">
        <v>4</v>
      </c>
      <c r="BB284" s="3">
        <v>4</v>
      </c>
      <c r="BC284" s="3">
        <v>5</v>
      </c>
      <c r="BD284" s="3">
        <v>4</v>
      </c>
      <c r="BE284" s="3">
        <v>5</v>
      </c>
      <c r="BF284" s="3">
        <v>4</v>
      </c>
      <c r="BG284" s="3">
        <v>5</v>
      </c>
      <c r="BH284" s="3">
        <v>5</v>
      </c>
      <c r="BI284" s="3">
        <v>5</v>
      </c>
      <c r="BJ284" s="3">
        <v>5</v>
      </c>
      <c r="BK284" s="3">
        <v>5</v>
      </c>
      <c r="BL284" s="3">
        <v>5</v>
      </c>
      <c r="BM284" s="3">
        <v>5</v>
      </c>
      <c r="BN284" s="3">
        <v>5</v>
      </c>
      <c r="BO284" s="3">
        <v>5</v>
      </c>
      <c r="BP284" s="3" t="s">
        <v>789</v>
      </c>
    </row>
    <row r="285" spans="1:68" ht="22.5" customHeight="1" x14ac:dyDescent="0.25">
      <c r="A285" s="2">
        <v>45980.467331886575</v>
      </c>
      <c r="B285" s="3" t="s">
        <v>790</v>
      </c>
      <c r="C285" s="3" t="s">
        <v>69</v>
      </c>
      <c r="D285" s="3" t="s">
        <v>772</v>
      </c>
      <c r="E285" s="3" t="s">
        <v>87</v>
      </c>
      <c r="F285" s="3" t="s">
        <v>88</v>
      </c>
      <c r="G285" s="3" t="s">
        <v>91</v>
      </c>
      <c r="H285" s="3">
        <v>5</v>
      </c>
      <c r="I285" s="3">
        <v>4</v>
      </c>
      <c r="J285" s="3">
        <v>5</v>
      </c>
      <c r="K285" s="3">
        <v>4</v>
      </c>
      <c r="L285" s="3">
        <v>4</v>
      </c>
      <c r="M285" s="3">
        <v>5</v>
      </c>
      <c r="N285" s="3">
        <v>5</v>
      </c>
      <c r="O285" s="3">
        <v>5</v>
      </c>
      <c r="P285" s="3">
        <v>5</v>
      </c>
      <c r="Q285" s="3">
        <v>5</v>
      </c>
      <c r="R285" s="3">
        <v>5</v>
      </c>
      <c r="S285" s="3">
        <v>5</v>
      </c>
      <c r="T285" s="3">
        <v>5</v>
      </c>
      <c r="U285" s="3">
        <v>5</v>
      </c>
      <c r="V285" s="3">
        <v>4</v>
      </c>
      <c r="W285" s="3">
        <v>4</v>
      </c>
      <c r="X285" s="3">
        <v>4</v>
      </c>
      <c r="Y285" s="3">
        <v>4</v>
      </c>
      <c r="Z285" s="3">
        <v>4</v>
      </c>
      <c r="AA285" s="3">
        <v>5</v>
      </c>
      <c r="AB285" s="3">
        <v>4</v>
      </c>
      <c r="AC285" s="3">
        <v>3</v>
      </c>
      <c r="AD285" s="3">
        <v>4</v>
      </c>
      <c r="AE285" s="3">
        <v>5</v>
      </c>
      <c r="AF285" s="3">
        <v>4</v>
      </c>
      <c r="AG285" s="3">
        <v>3</v>
      </c>
      <c r="AH285" s="3">
        <v>3</v>
      </c>
      <c r="AI285" s="3">
        <v>5</v>
      </c>
      <c r="AJ285" s="3">
        <v>5</v>
      </c>
      <c r="AK285" s="3">
        <v>5</v>
      </c>
      <c r="AL285" s="3">
        <v>5</v>
      </c>
      <c r="AM285" s="3">
        <v>5</v>
      </c>
      <c r="AN285" s="3">
        <v>5</v>
      </c>
      <c r="AO285" s="3">
        <v>5</v>
      </c>
      <c r="AP285" s="3">
        <v>5</v>
      </c>
      <c r="AQ285" s="3">
        <v>5</v>
      </c>
      <c r="AR285" s="3">
        <v>5</v>
      </c>
      <c r="AS285" s="3">
        <v>5</v>
      </c>
      <c r="AT285" s="3">
        <v>5</v>
      </c>
      <c r="AU285" s="3">
        <v>5</v>
      </c>
      <c r="AV285" s="3">
        <v>5</v>
      </c>
      <c r="AW285" s="3">
        <v>5</v>
      </c>
      <c r="AX285" s="3">
        <v>5</v>
      </c>
      <c r="AY285" s="3">
        <v>5</v>
      </c>
      <c r="AZ285" s="3">
        <v>5</v>
      </c>
      <c r="BA285" s="3">
        <v>4</v>
      </c>
      <c r="BB285" s="3">
        <v>4</v>
      </c>
      <c r="BC285" s="3">
        <v>4</v>
      </c>
      <c r="BD285" s="3">
        <v>4</v>
      </c>
      <c r="BE285" s="3">
        <v>4</v>
      </c>
      <c r="BF285" s="3">
        <v>4</v>
      </c>
      <c r="BG285" s="3">
        <v>5</v>
      </c>
      <c r="BH285" s="3">
        <v>5</v>
      </c>
      <c r="BI285" s="3">
        <v>5</v>
      </c>
      <c r="BJ285" s="3">
        <v>5</v>
      </c>
      <c r="BK285" s="3">
        <v>5</v>
      </c>
      <c r="BL285" s="3">
        <v>5</v>
      </c>
      <c r="BM285" s="3">
        <v>5</v>
      </c>
      <c r="BN285" s="3">
        <v>5</v>
      </c>
      <c r="BO285" s="3">
        <v>5</v>
      </c>
      <c r="BP285" s="3" t="s">
        <v>791</v>
      </c>
    </row>
    <row r="286" spans="1:68" ht="22.5" customHeight="1" x14ac:dyDescent="0.25">
      <c r="A286" s="2">
        <v>45980.623109618056</v>
      </c>
      <c r="B286" s="3" t="s">
        <v>792</v>
      </c>
      <c r="C286" s="3" t="s">
        <v>69</v>
      </c>
      <c r="D286" s="3" t="s">
        <v>793</v>
      </c>
      <c r="E286" s="3" t="s">
        <v>87</v>
      </c>
      <c r="F286" s="3" t="s">
        <v>88</v>
      </c>
      <c r="G286" s="3" t="s">
        <v>83</v>
      </c>
      <c r="H286" s="3">
        <v>5</v>
      </c>
      <c r="I286" s="3">
        <v>5</v>
      </c>
      <c r="J286" s="3">
        <v>5</v>
      </c>
      <c r="K286" s="3">
        <v>5</v>
      </c>
      <c r="L286" s="3">
        <v>5</v>
      </c>
      <c r="M286" s="3">
        <v>3</v>
      </c>
      <c r="N286" s="3">
        <v>3</v>
      </c>
      <c r="O286" s="3">
        <v>5</v>
      </c>
      <c r="P286" s="3">
        <v>5</v>
      </c>
      <c r="Q286" s="3">
        <v>4</v>
      </c>
      <c r="R286" s="3">
        <v>5</v>
      </c>
      <c r="S286" s="3">
        <v>5</v>
      </c>
      <c r="T286" s="3">
        <v>4</v>
      </c>
      <c r="U286" s="3">
        <v>5</v>
      </c>
      <c r="V286" s="3">
        <v>4</v>
      </c>
      <c r="W286" s="3">
        <v>4</v>
      </c>
      <c r="X286" s="3">
        <v>2</v>
      </c>
      <c r="Y286" s="3">
        <v>5</v>
      </c>
      <c r="Z286" s="3">
        <v>2</v>
      </c>
      <c r="AA286" s="3">
        <v>5</v>
      </c>
      <c r="AB286" s="3">
        <v>4</v>
      </c>
      <c r="AC286" s="3">
        <v>4</v>
      </c>
      <c r="AD286" s="3">
        <v>5</v>
      </c>
      <c r="AE286" s="3">
        <v>5</v>
      </c>
      <c r="AF286" s="3">
        <v>5</v>
      </c>
      <c r="AG286" s="3">
        <v>5</v>
      </c>
      <c r="AH286" s="3">
        <v>3</v>
      </c>
      <c r="AI286" s="3">
        <v>5</v>
      </c>
      <c r="AJ286" s="3">
        <v>5</v>
      </c>
      <c r="AK286" s="3">
        <v>5</v>
      </c>
      <c r="AL286" s="3">
        <v>5</v>
      </c>
      <c r="AM286" s="3">
        <v>5</v>
      </c>
      <c r="AN286" s="3">
        <v>4</v>
      </c>
      <c r="AO286" s="3">
        <v>3</v>
      </c>
      <c r="AP286" s="3">
        <v>4</v>
      </c>
      <c r="AQ286" s="3">
        <v>3</v>
      </c>
      <c r="AR286" s="3">
        <v>3</v>
      </c>
      <c r="AS286" s="3">
        <v>2</v>
      </c>
      <c r="AT286" s="3">
        <v>5</v>
      </c>
      <c r="AU286" s="3">
        <v>5</v>
      </c>
      <c r="AV286" s="3">
        <v>5</v>
      </c>
      <c r="AW286" s="3">
        <v>5</v>
      </c>
      <c r="AX286" s="3">
        <v>5</v>
      </c>
      <c r="AY286" s="3">
        <v>5</v>
      </c>
      <c r="AZ286" s="3">
        <v>5</v>
      </c>
      <c r="BA286" s="3">
        <v>5</v>
      </c>
      <c r="BB286" s="3">
        <v>2</v>
      </c>
      <c r="BC286" s="3">
        <v>4</v>
      </c>
      <c r="BD286" s="3">
        <v>4</v>
      </c>
      <c r="BE286" s="3">
        <v>5</v>
      </c>
      <c r="BF286" s="3">
        <v>2</v>
      </c>
      <c r="BG286" s="3">
        <v>5</v>
      </c>
      <c r="BH286" s="3">
        <v>5</v>
      </c>
      <c r="BI286" s="3">
        <v>5</v>
      </c>
      <c r="BJ286" s="3">
        <v>5</v>
      </c>
      <c r="BK286" s="3">
        <v>5</v>
      </c>
      <c r="BL286" s="3">
        <v>5</v>
      </c>
      <c r="BM286" s="3">
        <v>5</v>
      </c>
      <c r="BN286" s="3">
        <v>5</v>
      </c>
      <c r="BO286" s="3">
        <v>5</v>
      </c>
      <c r="BP286" s="3" t="s">
        <v>794</v>
      </c>
    </row>
    <row r="287" spans="1:68" ht="22.5" customHeight="1" x14ac:dyDescent="0.25">
      <c r="A287" s="2">
        <v>45980.624975405095</v>
      </c>
      <c r="B287" s="3" t="s">
        <v>795</v>
      </c>
      <c r="C287" s="3" t="s">
        <v>86</v>
      </c>
      <c r="D287" s="3" t="s">
        <v>793</v>
      </c>
      <c r="E287" s="3" t="s">
        <v>77</v>
      </c>
      <c r="F287" s="3" t="s">
        <v>78</v>
      </c>
      <c r="G287" s="3" t="s">
        <v>79</v>
      </c>
      <c r="H287" s="3">
        <v>5</v>
      </c>
      <c r="I287" s="3">
        <v>5</v>
      </c>
      <c r="J287" s="3">
        <v>5</v>
      </c>
      <c r="K287" s="3">
        <v>5</v>
      </c>
      <c r="L287" s="3">
        <v>5</v>
      </c>
      <c r="M287" s="3">
        <v>5</v>
      </c>
      <c r="N287" s="3">
        <v>5</v>
      </c>
      <c r="O287" s="3">
        <v>5</v>
      </c>
      <c r="P287" s="3">
        <v>5</v>
      </c>
      <c r="Q287" s="3">
        <v>4</v>
      </c>
      <c r="R287" s="3">
        <v>4</v>
      </c>
      <c r="S287" s="3">
        <v>4</v>
      </c>
      <c r="T287" s="3">
        <v>5</v>
      </c>
      <c r="U287" s="3">
        <v>5</v>
      </c>
      <c r="V287" s="3">
        <v>3</v>
      </c>
      <c r="W287" s="3">
        <v>3</v>
      </c>
      <c r="X287" s="3">
        <v>4</v>
      </c>
      <c r="Y287" s="3">
        <v>3</v>
      </c>
      <c r="Z287" s="3">
        <v>3</v>
      </c>
      <c r="AA287" s="3">
        <v>4</v>
      </c>
      <c r="AB287" s="3">
        <v>4</v>
      </c>
      <c r="AC287" s="3">
        <v>4</v>
      </c>
      <c r="AD287" s="3">
        <v>5</v>
      </c>
      <c r="AE287" s="3">
        <v>4</v>
      </c>
      <c r="AF287" s="3">
        <v>4</v>
      </c>
      <c r="AG287" s="3">
        <v>4</v>
      </c>
      <c r="AH287" s="3">
        <v>4</v>
      </c>
      <c r="AI287" s="3">
        <v>4</v>
      </c>
      <c r="AJ287" s="3">
        <v>4</v>
      </c>
      <c r="AK287" s="3">
        <v>4</v>
      </c>
      <c r="AL287" s="3">
        <v>3</v>
      </c>
      <c r="AM287" s="3">
        <v>4</v>
      </c>
      <c r="AN287" s="3">
        <v>3</v>
      </c>
      <c r="AO287" s="3">
        <v>4</v>
      </c>
      <c r="AP287" s="3">
        <v>4</v>
      </c>
      <c r="AQ287" s="3">
        <v>3</v>
      </c>
      <c r="AR287" s="3">
        <v>3</v>
      </c>
      <c r="AS287" s="3">
        <v>3</v>
      </c>
      <c r="AT287" s="3">
        <v>3</v>
      </c>
      <c r="AU287" s="3">
        <v>3</v>
      </c>
      <c r="AV287" s="3">
        <v>3</v>
      </c>
      <c r="AW287" s="3">
        <v>5</v>
      </c>
      <c r="AX287" s="3">
        <v>5</v>
      </c>
      <c r="AY287" s="3">
        <v>5</v>
      </c>
      <c r="AZ287" s="3">
        <v>5</v>
      </c>
      <c r="BA287" s="3">
        <v>3</v>
      </c>
      <c r="BB287" s="3">
        <v>3</v>
      </c>
      <c r="BC287" s="3">
        <v>3</v>
      </c>
      <c r="BD287" s="3">
        <v>3</v>
      </c>
      <c r="BE287" s="3">
        <v>3</v>
      </c>
      <c r="BF287" s="3">
        <v>3</v>
      </c>
      <c r="BG287" s="3">
        <v>4</v>
      </c>
      <c r="BH287" s="3">
        <v>4</v>
      </c>
      <c r="BI287" s="3">
        <v>4</v>
      </c>
      <c r="BJ287" s="3">
        <v>3</v>
      </c>
      <c r="BK287" s="3">
        <v>3</v>
      </c>
      <c r="BL287" s="3">
        <v>4</v>
      </c>
      <c r="BM287" s="3">
        <v>4</v>
      </c>
      <c r="BN287" s="3">
        <v>4</v>
      </c>
      <c r="BO287" s="3">
        <v>4</v>
      </c>
      <c r="BP287" s="3" t="s">
        <v>796</v>
      </c>
    </row>
    <row r="288" spans="1:68" ht="22.5" customHeight="1" x14ac:dyDescent="0.25">
      <c r="A288" s="2">
        <v>45980.629079467588</v>
      </c>
      <c r="B288" s="3" t="s">
        <v>797</v>
      </c>
      <c r="C288" s="3" t="s">
        <v>86</v>
      </c>
      <c r="D288" s="3" t="s">
        <v>416</v>
      </c>
      <c r="E288" s="3" t="s">
        <v>77</v>
      </c>
      <c r="F288" s="3" t="s">
        <v>78</v>
      </c>
      <c r="G288" s="3" t="s">
        <v>79</v>
      </c>
      <c r="H288" s="3">
        <v>5</v>
      </c>
      <c r="I288" s="3">
        <v>5</v>
      </c>
      <c r="J288" s="3">
        <v>5</v>
      </c>
      <c r="K288" s="3">
        <v>3</v>
      </c>
      <c r="L288" s="3">
        <v>4</v>
      </c>
      <c r="M288" s="3">
        <v>5</v>
      </c>
      <c r="N288" s="3">
        <v>5</v>
      </c>
      <c r="O288" s="3">
        <v>5</v>
      </c>
      <c r="P288" s="3">
        <v>5</v>
      </c>
      <c r="Q288" s="3">
        <v>5</v>
      </c>
      <c r="R288" s="3">
        <v>5</v>
      </c>
      <c r="S288" s="3">
        <v>5</v>
      </c>
      <c r="T288" s="3">
        <v>5</v>
      </c>
      <c r="U288" s="3">
        <v>5</v>
      </c>
      <c r="V288" s="3">
        <v>3</v>
      </c>
      <c r="W288" s="3">
        <v>3</v>
      </c>
      <c r="X288" s="3">
        <v>3</v>
      </c>
      <c r="Y288" s="3">
        <v>3</v>
      </c>
      <c r="Z288" s="3">
        <v>4</v>
      </c>
      <c r="AA288" s="3">
        <v>4</v>
      </c>
      <c r="AB288" s="3">
        <v>4</v>
      </c>
      <c r="AC288" s="3">
        <v>4</v>
      </c>
      <c r="AD288" s="3">
        <v>5</v>
      </c>
      <c r="AE288" s="3">
        <v>5</v>
      </c>
      <c r="AF288" s="3">
        <v>5</v>
      </c>
      <c r="AG288" s="3">
        <v>5</v>
      </c>
      <c r="AH288" s="3">
        <v>5</v>
      </c>
      <c r="AI288" s="3">
        <v>3</v>
      </c>
      <c r="AJ288" s="3">
        <v>4</v>
      </c>
      <c r="AK288" s="3">
        <v>5</v>
      </c>
      <c r="AL288" s="3">
        <v>5</v>
      </c>
      <c r="AM288" s="3">
        <v>5</v>
      </c>
      <c r="AN288" s="3">
        <v>4</v>
      </c>
      <c r="AO288" s="3">
        <v>4</v>
      </c>
      <c r="AP288" s="3">
        <v>4</v>
      </c>
      <c r="AQ288" s="3">
        <v>4</v>
      </c>
      <c r="AR288" s="3">
        <v>4</v>
      </c>
      <c r="AS288" s="3">
        <v>4</v>
      </c>
      <c r="AT288" s="3">
        <v>4</v>
      </c>
      <c r="AU288" s="3">
        <v>4</v>
      </c>
      <c r="AV288" s="3">
        <v>4</v>
      </c>
      <c r="AW288" s="3">
        <v>4</v>
      </c>
      <c r="AX288" s="3">
        <v>4</v>
      </c>
      <c r="AY288" s="3">
        <v>4</v>
      </c>
      <c r="AZ288" s="3">
        <v>4</v>
      </c>
      <c r="BA288" s="3">
        <v>1</v>
      </c>
      <c r="BB288" s="3">
        <v>1</v>
      </c>
      <c r="BC288" s="3">
        <v>2</v>
      </c>
      <c r="BD288" s="3">
        <v>2</v>
      </c>
      <c r="BE288" s="3">
        <v>2</v>
      </c>
      <c r="BF288" s="3">
        <v>2</v>
      </c>
      <c r="BG288" s="3">
        <v>4</v>
      </c>
      <c r="BH288" s="3">
        <v>4</v>
      </c>
      <c r="BI288" s="3">
        <v>5</v>
      </c>
      <c r="BJ288" s="3">
        <v>4</v>
      </c>
      <c r="BK288" s="3">
        <v>4</v>
      </c>
      <c r="BL288" s="3">
        <v>4</v>
      </c>
      <c r="BM288" s="3">
        <v>4</v>
      </c>
      <c r="BN288" s="3">
        <v>4</v>
      </c>
      <c r="BO288" s="3">
        <v>4</v>
      </c>
      <c r="BP288" s="3" t="s">
        <v>798</v>
      </c>
    </row>
    <row r="289" spans="1:68" ht="22.5" customHeight="1" x14ac:dyDescent="0.25">
      <c r="A289" s="2">
        <v>45980.632483437497</v>
      </c>
      <c r="B289" s="3" t="s">
        <v>799</v>
      </c>
      <c r="C289" s="3" t="s">
        <v>86</v>
      </c>
      <c r="D289" s="3" t="s">
        <v>800</v>
      </c>
      <c r="E289" s="3" t="s">
        <v>119</v>
      </c>
      <c r="F289" s="3" t="s">
        <v>103</v>
      </c>
      <c r="G289" s="3" t="s">
        <v>83</v>
      </c>
      <c r="H289" s="3">
        <v>5</v>
      </c>
      <c r="I289" s="3">
        <v>5</v>
      </c>
      <c r="J289" s="3">
        <v>5</v>
      </c>
      <c r="K289" s="3">
        <v>5</v>
      </c>
      <c r="L289" s="3">
        <v>5</v>
      </c>
      <c r="M289" s="3">
        <v>5</v>
      </c>
      <c r="N289" s="3">
        <v>4</v>
      </c>
      <c r="O289" s="3">
        <v>5</v>
      </c>
      <c r="P289" s="3">
        <v>5</v>
      </c>
      <c r="Q289" s="3">
        <v>5</v>
      </c>
      <c r="R289" s="3">
        <v>5</v>
      </c>
      <c r="S289" s="3">
        <v>5</v>
      </c>
      <c r="T289" s="3">
        <v>5</v>
      </c>
      <c r="U289" s="3">
        <v>5</v>
      </c>
      <c r="V289" s="3">
        <v>4</v>
      </c>
      <c r="W289" s="3">
        <v>5</v>
      </c>
      <c r="X289" s="3">
        <v>4</v>
      </c>
      <c r="Y289" s="3">
        <v>5</v>
      </c>
      <c r="Z289" s="3">
        <v>5</v>
      </c>
      <c r="AA289" s="3">
        <v>4</v>
      </c>
      <c r="AB289" s="3">
        <v>4</v>
      </c>
      <c r="AC289" s="3">
        <v>3</v>
      </c>
      <c r="AD289" s="3">
        <v>4</v>
      </c>
      <c r="AE289" s="3">
        <v>4</v>
      </c>
      <c r="AF289" s="3">
        <v>5</v>
      </c>
      <c r="AG289" s="3">
        <v>5</v>
      </c>
      <c r="AH289" s="3">
        <v>5</v>
      </c>
      <c r="AI289" s="3">
        <v>5</v>
      </c>
      <c r="AJ289" s="3">
        <v>5</v>
      </c>
      <c r="AK289" s="3">
        <v>5</v>
      </c>
      <c r="AL289" s="3">
        <v>5</v>
      </c>
      <c r="AM289" s="3">
        <v>5</v>
      </c>
      <c r="AN289" s="3">
        <v>5</v>
      </c>
      <c r="AO289" s="3">
        <v>5</v>
      </c>
      <c r="AP289" s="3">
        <v>5</v>
      </c>
      <c r="AQ289" s="3">
        <v>5</v>
      </c>
      <c r="AR289" s="3">
        <v>5</v>
      </c>
      <c r="AS289" s="3">
        <v>3</v>
      </c>
      <c r="AT289" s="3">
        <v>4</v>
      </c>
      <c r="AU289" s="3">
        <v>3</v>
      </c>
      <c r="AV289" s="3">
        <v>5</v>
      </c>
      <c r="AW289" s="3">
        <v>5</v>
      </c>
      <c r="AX289" s="3">
        <v>5</v>
      </c>
      <c r="AY289" s="3">
        <v>5</v>
      </c>
      <c r="AZ289" s="3">
        <v>5</v>
      </c>
      <c r="BA289" s="3">
        <v>4</v>
      </c>
      <c r="BB289" s="3">
        <v>4</v>
      </c>
      <c r="BC289" s="3">
        <v>4</v>
      </c>
      <c r="BD289" s="3">
        <v>4</v>
      </c>
      <c r="BE289" s="3">
        <v>4</v>
      </c>
      <c r="BF289" s="3">
        <v>4</v>
      </c>
      <c r="BG289" s="3">
        <v>4</v>
      </c>
      <c r="BH289" s="3">
        <v>4</v>
      </c>
      <c r="BI289" s="3">
        <v>4</v>
      </c>
      <c r="BJ289" s="3">
        <v>4</v>
      </c>
      <c r="BK289" s="3">
        <v>4</v>
      </c>
      <c r="BL289" s="3">
        <v>4</v>
      </c>
      <c r="BM289" s="3">
        <v>4</v>
      </c>
      <c r="BN289" s="3">
        <v>4</v>
      </c>
      <c r="BO289" s="3">
        <v>4</v>
      </c>
      <c r="BP289" s="3" t="s">
        <v>801</v>
      </c>
    </row>
    <row r="290" spans="1:68" ht="22.5" customHeight="1" x14ac:dyDescent="0.25">
      <c r="A290" s="2">
        <v>45981.333269930554</v>
      </c>
      <c r="B290" s="3" t="s">
        <v>802</v>
      </c>
      <c r="C290" s="3" t="s">
        <v>69</v>
      </c>
      <c r="D290" s="3" t="s">
        <v>803</v>
      </c>
      <c r="E290" s="3" t="s">
        <v>788</v>
      </c>
      <c r="F290" s="3" t="s">
        <v>103</v>
      </c>
      <c r="G290" s="3" t="s">
        <v>73</v>
      </c>
      <c r="H290" s="3">
        <v>5</v>
      </c>
      <c r="I290" s="3">
        <v>5</v>
      </c>
      <c r="J290" s="3">
        <v>5</v>
      </c>
      <c r="K290" s="3">
        <v>5</v>
      </c>
      <c r="L290" s="3">
        <v>5</v>
      </c>
      <c r="M290" s="3">
        <v>4</v>
      </c>
      <c r="N290" s="3">
        <v>4</v>
      </c>
      <c r="O290" s="3">
        <v>5</v>
      </c>
      <c r="P290" s="3">
        <v>5</v>
      </c>
      <c r="Q290" s="3">
        <v>5</v>
      </c>
      <c r="R290" s="3">
        <v>5</v>
      </c>
      <c r="S290" s="3">
        <v>5</v>
      </c>
      <c r="T290" s="3">
        <v>5</v>
      </c>
      <c r="U290" s="3">
        <v>5</v>
      </c>
      <c r="V290" s="3">
        <v>5</v>
      </c>
      <c r="W290" s="3">
        <v>5</v>
      </c>
      <c r="X290" s="3">
        <v>4</v>
      </c>
      <c r="Y290" s="3">
        <v>5</v>
      </c>
      <c r="Z290" s="3">
        <v>5</v>
      </c>
      <c r="AA290" s="3">
        <v>5</v>
      </c>
      <c r="AB290" s="3">
        <v>5</v>
      </c>
      <c r="AC290" s="3">
        <v>4</v>
      </c>
      <c r="AD290" s="3">
        <v>5</v>
      </c>
      <c r="AE290" s="3">
        <v>5</v>
      </c>
      <c r="AF290" s="3">
        <v>5</v>
      </c>
      <c r="AG290" s="3">
        <v>5</v>
      </c>
      <c r="AH290" s="3">
        <v>5</v>
      </c>
      <c r="AI290" s="3">
        <v>5</v>
      </c>
      <c r="AJ290" s="3">
        <v>5</v>
      </c>
      <c r="AK290" s="3">
        <v>5</v>
      </c>
      <c r="AL290" s="3">
        <v>5</v>
      </c>
      <c r="AM290" s="3">
        <v>4</v>
      </c>
      <c r="AN290" s="3">
        <v>5</v>
      </c>
      <c r="AO290" s="3">
        <v>4</v>
      </c>
      <c r="AP290" s="3">
        <v>5</v>
      </c>
      <c r="AQ290" s="3">
        <v>5</v>
      </c>
      <c r="AR290" s="3">
        <v>5</v>
      </c>
      <c r="AS290" s="3">
        <v>5</v>
      </c>
      <c r="AT290" s="3">
        <v>5</v>
      </c>
      <c r="AU290" s="3">
        <v>5</v>
      </c>
      <c r="AV290" s="3">
        <v>5</v>
      </c>
      <c r="AW290" s="3">
        <v>5</v>
      </c>
      <c r="AX290" s="3">
        <v>5</v>
      </c>
      <c r="AY290" s="3">
        <v>5</v>
      </c>
      <c r="AZ290" s="3">
        <v>5</v>
      </c>
      <c r="BA290" s="3">
        <v>4</v>
      </c>
      <c r="BB290" s="3">
        <v>4</v>
      </c>
      <c r="BC290" s="3">
        <v>5</v>
      </c>
      <c r="BD290" s="3">
        <v>5</v>
      </c>
      <c r="BE290" s="3">
        <v>5</v>
      </c>
      <c r="BF290" s="3">
        <v>4</v>
      </c>
      <c r="BG290" s="3">
        <v>5</v>
      </c>
      <c r="BH290" s="3">
        <v>4</v>
      </c>
      <c r="BI290" s="3">
        <v>5</v>
      </c>
      <c r="BJ290" s="3">
        <v>5</v>
      </c>
      <c r="BK290" s="3">
        <v>5</v>
      </c>
      <c r="BL290" s="3">
        <v>5</v>
      </c>
      <c r="BM290" s="3">
        <v>5</v>
      </c>
      <c r="BN290" s="3">
        <v>5</v>
      </c>
      <c r="BO290" s="3">
        <v>5</v>
      </c>
      <c r="BP290" s="3" t="s">
        <v>804</v>
      </c>
    </row>
    <row r="291" spans="1:68" ht="22.5" customHeight="1" x14ac:dyDescent="0.25">
      <c r="A291" s="2">
        <v>45981.417560613423</v>
      </c>
      <c r="B291" s="3" t="s">
        <v>805</v>
      </c>
      <c r="C291" s="3" t="s">
        <v>69</v>
      </c>
      <c r="D291" s="3" t="s">
        <v>466</v>
      </c>
      <c r="E291" s="3" t="s">
        <v>77</v>
      </c>
      <c r="F291" s="3" t="s">
        <v>78</v>
      </c>
      <c r="G291" s="3" t="s">
        <v>91</v>
      </c>
      <c r="H291" s="3">
        <v>4</v>
      </c>
      <c r="I291" s="3">
        <v>5</v>
      </c>
      <c r="J291" s="3">
        <v>4</v>
      </c>
      <c r="K291" s="3">
        <v>5</v>
      </c>
      <c r="L291" s="3">
        <v>4</v>
      </c>
      <c r="M291" s="3">
        <v>5</v>
      </c>
      <c r="N291" s="3">
        <v>4</v>
      </c>
      <c r="O291" s="3">
        <v>5</v>
      </c>
      <c r="P291" s="3">
        <v>5</v>
      </c>
      <c r="Q291" s="3">
        <v>5</v>
      </c>
      <c r="R291" s="3">
        <v>5</v>
      </c>
      <c r="S291" s="3">
        <v>5</v>
      </c>
      <c r="T291" s="3">
        <v>5</v>
      </c>
      <c r="U291" s="3">
        <v>5</v>
      </c>
      <c r="V291" s="3">
        <v>5</v>
      </c>
      <c r="W291" s="3">
        <v>5</v>
      </c>
      <c r="X291" s="3">
        <v>4</v>
      </c>
      <c r="Y291" s="3">
        <v>5</v>
      </c>
      <c r="Z291" s="3">
        <v>4</v>
      </c>
      <c r="AA291" s="3">
        <v>5</v>
      </c>
      <c r="AB291" s="3">
        <v>4</v>
      </c>
      <c r="AC291" s="3">
        <v>5</v>
      </c>
      <c r="AD291" s="3">
        <v>5</v>
      </c>
      <c r="AE291" s="3">
        <v>5</v>
      </c>
      <c r="AF291" s="3">
        <v>4</v>
      </c>
      <c r="AG291" s="3">
        <v>5</v>
      </c>
      <c r="AH291" s="3">
        <v>5</v>
      </c>
      <c r="AI291" s="3">
        <v>5</v>
      </c>
      <c r="AJ291" s="3">
        <v>5</v>
      </c>
      <c r="AK291" s="3">
        <v>4</v>
      </c>
      <c r="AL291" s="3">
        <v>5</v>
      </c>
      <c r="AM291" s="3">
        <v>5</v>
      </c>
      <c r="AN291" s="3">
        <v>5</v>
      </c>
      <c r="AO291" s="3">
        <v>4</v>
      </c>
      <c r="AP291" s="3">
        <v>4</v>
      </c>
      <c r="AQ291" s="3">
        <v>4</v>
      </c>
      <c r="AR291" s="3">
        <v>4</v>
      </c>
      <c r="AS291" s="3">
        <v>5</v>
      </c>
      <c r="AT291" s="3">
        <v>5</v>
      </c>
      <c r="AU291" s="3">
        <v>4</v>
      </c>
      <c r="AV291" s="3">
        <v>5</v>
      </c>
      <c r="AW291" s="3">
        <v>5</v>
      </c>
      <c r="AX291" s="3">
        <v>4</v>
      </c>
      <c r="AY291" s="3">
        <v>5</v>
      </c>
      <c r="AZ291" s="3">
        <v>4</v>
      </c>
      <c r="BA291" s="3">
        <v>5</v>
      </c>
      <c r="BB291" s="3">
        <v>4</v>
      </c>
      <c r="BC291" s="3">
        <v>5</v>
      </c>
      <c r="BD291" s="3">
        <v>5</v>
      </c>
      <c r="BE291" s="3">
        <v>5</v>
      </c>
      <c r="BF291" s="3">
        <v>4</v>
      </c>
      <c r="BG291" s="3">
        <v>5</v>
      </c>
      <c r="BH291" s="3">
        <v>4</v>
      </c>
      <c r="BI291" s="3">
        <v>5</v>
      </c>
      <c r="BJ291" s="3">
        <v>5</v>
      </c>
      <c r="BK291" s="3">
        <v>2</v>
      </c>
      <c r="BL291" s="3">
        <v>2</v>
      </c>
      <c r="BM291" s="3">
        <v>5</v>
      </c>
      <c r="BN291" s="3">
        <v>2</v>
      </c>
      <c r="BO291" s="3">
        <v>1</v>
      </c>
      <c r="BP291" s="3" t="s">
        <v>806</v>
      </c>
    </row>
    <row r="292" spans="1:68" ht="22.5" customHeight="1" x14ac:dyDescent="0.25">
      <c r="A292" s="2">
        <v>45981.418664201388</v>
      </c>
      <c r="B292" s="3" t="s">
        <v>807</v>
      </c>
      <c r="C292" s="3" t="s">
        <v>86</v>
      </c>
      <c r="D292" s="3" t="s">
        <v>808</v>
      </c>
      <c r="E292" s="3" t="s">
        <v>71</v>
      </c>
      <c r="F292" s="3" t="s">
        <v>82</v>
      </c>
      <c r="G292" s="3" t="s">
        <v>83</v>
      </c>
      <c r="H292" s="3">
        <v>5</v>
      </c>
      <c r="I292" s="3">
        <v>3</v>
      </c>
      <c r="J292" s="3">
        <v>5</v>
      </c>
      <c r="K292" s="3">
        <v>5</v>
      </c>
      <c r="L292" s="3">
        <v>4</v>
      </c>
      <c r="M292" s="3">
        <v>3</v>
      </c>
      <c r="N292" s="3">
        <v>5</v>
      </c>
      <c r="O292" s="3">
        <v>5</v>
      </c>
      <c r="P292" s="3">
        <v>3</v>
      </c>
      <c r="Q292" s="3">
        <v>5</v>
      </c>
      <c r="R292" s="3">
        <v>5</v>
      </c>
      <c r="S292" s="3">
        <v>4</v>
      </c>
      <c r="T292" s="3">
        <v>5</v>
      </c>
      <c r="U292" s="3">
        <v>5</v>
      </c>
      <c r="V292" s="3">
        <v>5</v>
      </c>
      <c r="W292" s="3">
        <v>4</v>
      </c>
      <c r="X292" s="3">
        <v>4</v>
      </c>
      <c r="Y292" s="3">
        <v>4</v>
      </c>
      <c r="Z292" s="3">
        <v>5</v>
      </c>
      <c r="AA292" s="3">
        <v>2</v>
      </c>
      <c r="AB292" s="3">
        <v>5</v>
      </c>
      <c r="AC292" s="3">
        <v>2</v>
      </c>
      <c r="AD292" s="3">
        <v>5</v>
      </c>
      <c r="AE292" s="3">
        <v>5</v>
      </c>
      <c r="AF292" s="3">
        <v>3</v>
      </c>
      <c r="AG292" s="3">
        <v>3</v>
      </c>
      <c r="AH292" s="3">
        <v>3</v>
      </c>
      <c r="AI292" s="3">
        <v>5</v>
      </c>
      <c r="AJ292" s="3">
        <v>2</v>
      </c>
      <c r="AK292" s="3">
        <v>5</v>
      </c>
      <c r="AL292" s="3">
        <v>3</v>
      </c>
      <c r="AM292" s="3">
        <v>5</v>
      </c>
      <c r="AN292" s="3">
        <v>3</v>
      </c>
      <c r="AO292" s="3">
        <v>5</v>
      </c>
      <c r="AP292" s="3">
        <v>3</v>
      </c>
      <c r="AQ292" s="3">
        <v>3</v>
      </c>
      <c r="AR292" s="3">
        <v>5</v>
      </c>
      <c r="AS292" s="3">
        <v>3</v>
      </c>
      <c r="AT292" s="3">
        <v>3</v>
      </c>
      <c r="AU292" s="3">
        <v>3</v>
      </c>
      <c r="AV292" s="3">
        <v>5</v>
      </c>
      <c r="AW292" s="3">
        <v>5</v>
      </c>
      <c r="AX292" s="3">
        <v>3</v>
      </c>
      <c r="AY292" s="3">
        <v>5</v>
      </c>
      <c r="AZ292" s="3">
        <v>5</v>
      </c>
      <c r="BA292" s="3">
        <v>3</v>
      </c>
      <c r="BB292" s="3">
        <v>4</v>
      </c>
      <c r="BC292" s="3">
        <v>4</v>
      </c>
      <c r="BD292" s="3">
        <v>4</v>
      </c>
      <c r="BE292" s="3">
        <v>3</v>
      </c>
      <c r="BF292" s="3">
        <v>5</v>
      </c>
      <c r="BG292" s="3">
        <v>5</v>
      </c>
      <c r="BH292" s="3">
        <v>5</v>
      </c>
      <c r="BI292" s="3">
        <v>4</v>
      </c>
      <c r="BJ292" s="3">
        <v>5</v>
      </c>
      <c r="BK292" s="3">
        <v>3</v>
      </c>
      <c r="BL292" s="3">
        <v>5</v>
      </c>
      <c r="BM292" s="3">
        <v>4</v>
      </c>
      <c r="BN292" s="3">
        <v>3</v>
      </c>
      <c r="BO292" s="3">
        <v>5</v>
      </c>
      <c r="BP292" s="3" t="s">
        <v>809</v>
      </c>
    </row>
    <row r="293" spans="1:68" ht="22.5" customHeight="1" x14ac:dyDescent="0.25">
      <c r="A293" s="2">
        <v>45981.575232418982</v>
      </c>
      <c r="B293" s="3" t="s">
        <v>810</v>
      </c>
      <c r="C293" s="3" t="s">
        <v>86</v>
      </c>
      <c r="D293" s="3" t="s">
        <v>811</v>
      </c>
      <c r="E293" s="3" t="s">
        <v>539</v>
      </c>
      <c r="F293" s="3" t="s">
        <v>72</v>
      </c>
      <c r="G293" s="3" t="s">
        <v>73</v>
      </c>
      <c r="H293" s="3">
        <v>5</v>
      </c>
      <c r="I293" s="3">
        <v>5</v>
      </c>
      <c r="J293" s="3">
        <v>5</v>
      </c>
      <c r="K293" s="3">
        <v>5</v>
      </c>
      <c r="L293" s="3">
        <v>5</v>
      </c>
      <c r="M293" s="3">
        <v>5</v>
      </c>
      <c r="N293" s="3">
        <v>5</v>
      </c>
      <c r="O293" s="3">
        <v>5</v>
      </c>
      <c r="P293" s="3">
        <v>5</v>
      </c>
      <c r="Q293" s="3">
        <v>5</v>
      </c>
      <c r="R293" s="3">
        <v>5</v>
      </c>
      <c r="S293" s="3">
        <v>5</v>
      </c>
      <c r="T293" s="3">
        <v>4</v>
      </c>
      <c r="U293" s="3">
        <v>5</v>
      </c>
      <c r="V293" s="3">
        <v>5</v>
      </c>
      <c r="W293" s="3">
        <v>4</v>
      </c>
      <c r="X293" s="3">
        <v>5</v>
      </c>
      <c r="Y293" s="3">
        <v>4</v>
      </c>
      <c r="Z293" s="3">
        <v>5</v>
      </c>
      <c r="AA293" s="3">
        <v>4</v>
      </c>
      <c r="AB293" s="3">
        <v>4</v>
      </c>
      <c r="AC293" s="3">
        <v>5</v>
      </c>
      <c r="AD293" s="3">
        <v>5</v>
      </c>
      <c r="AE293" s="3">
        <v>5</v>
      </c>
      <c r="AF293" s="3">
        <v>5</v>
      </c>
      <c r="AG293" s="3">
        <v>4</v>
      </c>
      <c r="AH293" s="3">
        <v>4</v>
      </c>
      <c r="AI293" s="3">
        <v>5</v>
      </c>
      <c r="AJ293" s="3">
        <v>5</v>
      </c>
      <c r="AK293" s="3">
        <v>5</v>
      </c>
      <c r="AL293" s="3">
        <v>4</v>
      </c>
      <c r="AM293" s="3">
        <v>4</v>
      </c>
      <c r="AN293" s="3">
        <v>4</v>
      </c>
      <c r="AO293" s="3">
        <v>4</v>
      </c>
      <c r="AP293" s="3">
        <v>4</v>
      </c>
      <c r="AQ293" s="3">
        <v>4</v>
      </c>
      <c r="AR293" s="3">
        <v>4</v>
      </c>
      <c r="AS293" s="3">
        <v>4</v>
      </c>
      <c r="AT293" s="3">
        <v>4</v>
      </c>
      <c r="AU293" s="3">
        <v>5</v>
      </c>
      <c r="AV293" s="3">
        <v>5</v>
      </c>
      <c r="AW293" s="3">
        <v>5</v>
      </c>
      <c r="AX293" s="3">
        <v>5</v>
      </c>
      <c r="AY293" s="3">
        <v>5</v>
      </c>
      <c r="AZ293" s="3">
        <v>5</v>
      </c>
      <c r="BA293" s="3">
        <v>2</v>
      </c>
      <c r="BB293" s="3">
        <v>3</v>
      </c>
      <c r="BC293" s="3">
        <v>4</v>
      </c>
      <c r="BD293" s="3">
        <v>4</v>
      </c>
      <c r="BE293" s="3">
        <v>4</v>
      </c>
      <c r="BF293" s="3">
        <v>5</v>
      </c>
      <c r="BG293" s="3">
        <v>5</v>
      </c>
      <c r="BH293" s="3">
        <v>5</v>
      </c>
      <c r="BI293" s="3">
        <v>4</v>
      </c>
      <c r="BJ293" s="3">
        <v>4</v>
      </c>
      <c r="BK293" s="3">
        <v>5</v>
      </c>
      <c r="BL293" s="3">
        <v>5</v>
      </c>
      <c r="BM293" s="3">
        <v>5</v>
      </c>
      <c r="BN293" s="3">
        <v>4</v>
      </c>
      <c r="BO293" s="3">
        <v>5</v>
      </c>
      <c r="BP293" s="3" t="s">
        <v>812</v>
      </c>
    </row>
    <row r="294" spans="1:68" ht="22.5" customHeight="1" x14ac:dyDescent="0.25">
      <c r="A294" s="2">
        <v>45981.598617974538</v>
      </c>
      <c r="B294" s="3" t="s">
        <v>813</v>
      </c>
      <c r="C294" s="3" t="s">
        <v>86</v>
      </c>
      <c r="D294" s="3" t="s">
        <v>814</v>
      </c>
      <c r="E294" s="3" t="s">
        <v>77</v>
      </c>
      <c r="F294" s="3" t="s">
        <v>82</v>
      </c>
      <c r="G294" s="3" t="s">
        <v>91</v>
      </c>
      <c r="H294" s="3">
        <v>4</v>
      </c>
      <c r="I294" s="3">
        <v>4</v>
      </c>
      <c r="J294" s="3">
        <v>5</v>
      </c>
      <c r="K294" s="3">
        <v>4</v>
      </c>
      <c r="L294" s="3">
        <v>4</v>
      </c>
      <c r="M294" s="3">
        <v>4</v>
      </c>
      <c r="N294" s="3">
        <v>4</v>
      </c>
      <c r="O294" s="3">
        <v>4</v>
      </c>
      <c r="P294" s="3">
        <v>4</v>
      </c>
      <c r="Q294" s="3">
        <v>4</v>
      </c>
      <c r="R294" s="3">
        <v>5</v>
      </c>
      <c r="S294" s="3">
        <v>4</v>
      </c>
      <c r="T294" s="3">
        <v>4</v>
      </c>
      <c r="U294" s="3">
        <v>4</v>
      </c>
      <c r="V294" s="3">
        <v>4</v>
      </c>
      <c r="W294" s="3">
        <v>4</v>
      </c>
      <c r="X294" s="3">
        <v>3</v>
      </c>
      <c r="Y294" s="3">
        <v>4</v>
      </c>
      <c r="Z294" s="3">
        <v>3</v>
      </c>
      <c r="AA294" s="3">
        <v>3</v>
      </c>
      <c r="AB294" s="3">
        <v>3</v>
      </c>
      <c r="AC294" s="3">
        <v>2</v>
      </c>
      <c r="AD294" s="3">
        <v>5</v>
      </c>
      <c r="AE294" s="3">
        <v>4</v>
      </c>
      <c r="AF294" s="3">
        <v>4</v>
      </c>
      <c r="AG294" s="3">
        <v>4</v>
      </c>
      <c r="AH294" s="3">
        <v>4</v>
      </c>
      <c r="AI294" s="3">
        <v>5</v>
      </c>
      <c r="AJ294" s="3">
        <v>5</v>
      </c>
      <c r="AK294" s="3">
        <v>5</v>
      </c>
      <c r="AL294" s="3">
        <v>5</v>
      </c>
      <c r="AM294" s="3">
        <v>5</v>
      </c>
      <c r="AN294" s="3">
        <v>5</v>
      </c>
      <c r="AO294" s="3">
        <v>5</v>
      </c>
      <c r="AP294" s="3">
        <v>5</v>
      </c>
      <c r="AQ294" s="3">
        <v>5</v>
      </c>
      <c r="AR294" s="3">
        <v>5</v>
      </c>
      <c r="AS294" s="3">
        <v>5</v>
      </c>
      <c r="AT294" s="3">
        <v>5</v>
      </c>
      <c r="AU294" s="3">
        <v>5</v>
      </c>
      <c r="AV294" s="3">
        <v>5</v>
      </c>
      <c r="AW294" s="3">
        <v>5</v>
      </c>
      <c r="AX294" s="3">
        <v>5</v>
      </c>
      <c r="AY294" s="3">
        <v>5</v>
      </c>
      <c r="AZ294" s="3">
        <v>5</v>
      </c>
      <c r="BA294" s="3">
        <v>4</v>
      </c>
      <c r="BB294" s="3">
        <v>4</v>
      </c>
      <c r="BC294" s="3">
        <v>4</v>
      </c>
      <c r="BD294" s="3">
        <v>4</v>
      </c>
      <c r="BE294" s="3">
        <v>4</v>
      </c>
      <c r="BF294" s="3">
        <v>4</v>
      </c>
      <c r="BG294" s="3">
        <v>4</v>
      </c>
      <c r="BH294" s="3">
        <v>5</v>
      </c>
      <c r="BI294" s="3">
        <v>5</v>
      </c>
      <c r="BJ294" s="3">
        <v>4</v>
      </c>
      <c r="BK294" s="3">
        <v>4</v>
      </c>
      <c r="BL294" s="3">
        <v>4</v>
      </c>
      <c r="BM294" s="3">
        <v>4</v>
      </c>
      <c r="BN294" s="3">
        <v>5</v>
      </c>
      <c r="BO294" s="3">
        <v>5</v>
      </c>
      <c r="BP294" s="3" t="s">
        <v>815</v>
      </c>
    </row>
    <row r="295" spans="1:68" ht="22.5" customHeight="1" x14ac:dyDescent="0.25">
      <c r="A295" s="2">
        <v>45981.703466874998</v>
      </c>
      <c r="B295" s="3" t="s">
        <v>816</v>
      </c>
      <c r="C295" s="3" t="s">
        <v>69</v>
      </c>
      <c r="D295" s="3" t="s">
        <v>775</v>
      </c>
      <c r="E295" s="3" t="s">
        <v>119</v>
      </c>
      <c r="F295" s="3" t="s">
        <v>103</v>
      </c>
      <c r="G295" s="3" t="s">
        <v>91</v>
      </c>
      <c r="H295" s="3">
        <v>5</v>
      </c>
      <c r="I295" s="3">
        <v>5</v>
      </c>
      <c r="J295" s="3">
        <v>5</v>
      </c>
      <c r="K295" s="3">
        <v>5</v>
      </c>
      <c r="L295" s="3">
        <v>5</v>
      </c>
      <c r="M295" s="3">
        <v>5</v>
      </c>
      <c r="N295" s="3">
        <v>4</v>
      </c>
      <c r="O295" s="3">
        <v>5</v>
      </c>
      <c r="P295" s="3">
        <v>5</v>
      </c>
      <c r="Q295" s="3">
        <v>5</v>
      </c>
      <c r="R295" s="3">
        <v>5</v>
      </c>
      <c r="S295" s="3">
        <v>5</v>
      </c>
      <c r="T295" s="3">
        <v>5</v>
      </c>
      <c r="U295" s="3">
        <v>5</v>
      </c>
      <c r="V295" s="3">
        <v>5</v>
      </c>
      <c r="W295" s="3">
        <v>5</v>
      </c>
      <c r="X295" s="3">
        <v>5</v>
      </c>
      <c r="Y295" s="3">
        <v>5</v>
      </c>
      <c r="Z295" s="3">
        <v>5</v>
      </c>
      <c r="AA295" s="3">
        <v>5</v>
      </c>
      <c r="AB295" s="3">
        <v>5</v>
      </c>
      <c r="AC295" s="3">
        <v>4</v>
      </c>
      <c r="AD295" s="3">
        <v>5</v>
      </c>
      <c r="AE295" s="3">
        <v>5</v>
      </c>
      <c r="AF295" s="3">
        <v>5</v>
      </c>
      <c r="AG295" s="3">
        <v>5</v>
      </c>
      <c r="AH295" s="3">
        <v>5</v>
      </c>
      <c r="AI295" s="3">
        <v>4</v>
      </c>
      <c r="AJ295" s="3">
        <v>5</v>
      </c>
      <c r="AK295" s="3">
        <v>4</v>
      </c>
      <c r="AL295" s="3">
        <v>5</v>
      </c>
      <c r="AM295" s="3">
        <v>4</v>
      </c>
      <c r="AN295" s="3">
        <v>5</v>
      </c>
      <c r="AO295" s="3">
        <v>4</v>
      </c>
      <c r="AP295" s="3">
        <v>5</v>
      </c>
      <c r="AQ295" s="3">
        <v>5</v>
      </c>
      <c r="AR295" s="3">
        <v>5</v>
      </c>
      <c r="AS295" s="3">
        <v>5</v>
      </c>
      <c r="AT295" s="3">
        <v>5</v>
      </c>
      <c r="AU295" s="3">
        <v>5</v>
      </c>
      <c r="AV295" s="3">
        <v>5</v>
      </c>
      <c r="AW295" s="3">
        <v>5</v>
      </c>
      <c r="AX295" s="3">
        <v>5</v>
      </c>
      <c r="AY295" s="3">
        <v>5</v>
      </c>
      <c r="AZ295" s="3">
        <v>5</v>
      </c>
      <c r="BA295" s="3">
        <v>4</v>
      </c>
      <c r="BB295" s="3">
        <v>4</v>
      </c>
      <c r="BC295" s="3">
        <v>4</v>
      </c>
      <c r="BD295" s="3">
        <v>5</v>
      </c>
      <c r="BE295" s="3">
        <v>5</v>
      </c>
      <c r="BF295" s="3">
        <v>5</v>
      </c>
      <c r="BG295" s="3">
        <v>5</v>
      </c>
      <c r="BH295" s="3">
        <v>5</v>
      </c>
      <c r="BI295" s="3">
        <v>5</v>
      </c>
      <c r="BJ295" s="3">
        <v>5</v>
      </c>
      <c r="BK295" s="3">
        <v>5</v>
      </c>
      <c r="BL295" s="3">
        <v>5</v>
      </c>
      <c r="BM295" s="3">
        <v>5</v>
      </c>
      <c r="BN295" s="3">
        <v>5</v>
      </c>
      <c r="BO295" s="3">
        <v>5</v>
      </c>
      <c r="BP295" s="3" t="s">
        <v>817</v>
      </c>
    </row>
    <row r="296" spans="1:68" ht="22.5" customHeight="1" x14ac:dyDescent="0.25">
      <c r="A296" s="2">
        <v>45981.710053414354</v>
      </c>
      <c r="B296" s="3" t="s">
        <v>818</v>
      </c>
      <c r="C296" s="3" t="s">
        <v>69</v>
      </c>
      <c r="D296" s="3" t="s">
        <v>213</v>
      </c>
      <c r="E296" s="3" t="s">
        <v>77</v>
      </c>
      <c r="F296" s="3" t="s">
        <v>78</v>
      </c>
      <c r="G296" s="3" t="s">
        <v>79</v>
      </c>
      <c r="H296" s="3">
        <v>5</v>
      </c>
      <c r="I296" s="3">
        <v>4</v>
      </c>
      <c r="J296" s="3">
        <v>4</v>
      </c>
      <c r="K296" s="3">
        <v>4</v>
      </c>
      <c r="L296" s="3">
        <v>4</v>
      </c>
      <c r="M296" s="3">
        <v>4</v>
      </c>
      <c r="N296" s="3">
        <v>4</v>
      </c>
      <c r="O296" s="3">
        <v>4</v>
      </c>
      <c r="P296" s="3">
        <v>5</v>
      </c>
      <c r="Q296" s="3">
        <v>4</v>
      </c>
      <c r="R296" s="3">
        <v>5</v>
      </c>
      <c r="S296" s="3">
        <v>4</v>
      </c>
      <c r="T296" s="3">
        <v>4</v>
      </c>
      <c r="U296" s="3">
        <v>4</v>
      </c>
      <c r="V296" s="3">
        <v>4</v>
      </c>
      <c r="W296" s="3">
        <v>4</v>
      </c>
      <c r="X296" s="3">
        <v>4</v>
      </c>
      <c r="Y296" s="3">
        <v>5</v>
      </c>
      <c r="Z296" s="3">
        <v>5</v>
      </c>
      <c r="AA296" s="3">
        <v>4</v>
      </c>
      <c r="AB296" s="3">
        <v>4</v>
      </c>
      <c r="AC296" s="3">
        <v>4</v>
      </c>
      <c r="AD296" s="3">
        <v>5</v>
      </c>
      <c r="AE296" s="3">
        <v>4</v>
      </c>
      <c r="AF296" s="3">
        <v>4</v>
      </c>
      <c r="AG296" s="3">
        <v>4</v>
      </c>
      <c r="AH296" s="3">
        <v>3</v>
      </c>
      <c r="AI296" s="3">
        <v>5</v>
      </c>
      <c r="AJ296" s="3">
        <v>4</v>
      </c>
      <c r="AK296" s="3">
        <v>4</v>
      </c>
      <c r="AL296" s="3">
        <v>4</v>
      </c>
      <c r="AM296" s="3">
        <v>5</v>
      </c>
      <c r="AN296" s="3">
        <v>4</v>
      </c>
      <c r="AO296" s="3">
        <v>3</v>
      </c>
      <c r="AP296" s="3">
        <v>4</v>
      </c>
      <c r="AQ296" s="3">
        <v>5</v>
      </c>
      <c r="AR296" s="3">
        <v>5</v>
      </c>
      <c r="AS296" s="3">
        <v>3</v>
      </c>
      <c r="AT296" s="3">
        <v>3</v>
      </c>
      <c r="AU296" s="3">
        <v>4</v>
      </c>
      <c r="AV296" s="3">
        <v>4</v>
      </c>
      <c r="AW296" s="3">
        <v>5</v>
      </c>
      <c r="AX296" s="3">
        <v>4</v>
      </c>
      <c r="AY296" s="3">
        <v>4</v>
      </c>
      <c r="AZ296" s="3">
        <v>4</v>
      </c>
      <c r="BA296" s="3">
        <v>4</v>
      </c>
      <c r="BB296" s="3">
        <v>4</v>
      </c>
      <c r="BC296" s="3">
        <v>3</v>
      </c>
      <c r="BD296" s="3">
        <v>4</v>
      </c>
      <c r="BE296" s="3">
        <v>4</v>
      </c>
      <c r="BF296" s="3">
        <v>4</v>
      </c>
      <c r="BG296" s="3">
        <v>4</v>
      </c>
      <c r="BH296" s="3">
        <v>5</v>
      </c>
      <c r="BI296" s="3">
        <v>4</v>
      </c>
      <c r="BJ296" s="3">
        <v>4</v>
      </c>
      <c r="BK296" s="3">
        <v>4</v>
      </c>
      <c r="BL296" s="3">
        <v>4</v>
      </c>
      <c r="BM296" s="3">
        <v>5</v>
      </c>
      <c r="BN296" s="3">
        <v>4</v>
      </c>
      <c r="BO296" s="3">
        <v>4</v>
      </c>
      <c r="BP296" s="3" t="s">
        <v>819</v>
      </c>
    </row>
    <row r="297" spans="1:68" ht="22.5" customHeight="1" x14ac:dyDescent="0.25">
      <c r="A297" s="2">
        <v>45981.774551504626</v>
      </c>
      <c r="B297" s="3" t="s">
        <v>820</v>
      </c>
      <c r="C297" s="3" t="s">
        <v>86</v>
      </c>
      <c r="D297" s="3" t="s">
        <v>783</v>
      </c>
      <c r="E297" s="3" t="s">
        <v>119</v>
      </c>
      <c r="F297" s="3" t="s">
        <v>88</v>
      </c>
      <c r="G297" s="3" t="s">
        <v>83</v>
      </c>
      <c r="H297" s="3">
        <v>4</v>
      </c>
      <c r="I297" s="3">
        <v>4</v>
      </c>
      <c r="J297" s="3">
        <v>4</v>
      </c>
      <c r="K297" s="3">
        <v>4</v>
      </c>
      <c r="L297" s="3">
        <v>4</v>
      </c>
      <c r="M297" s="3">
        <v>4</v>
      </c>
      <c r="N297" s="3">
        <v>4</v>
      </c>
      <c r="O297" s="3">
        <v>4</v>
      </c>
      <c r="P297" s="3">
        <v>4</v>
      </c>
      <c r="Q297" s="3">
        <v>4</v>
      </c>
      <c r="R297" s="3">
        <v>4</v>
      </c>
      <c r="S297" s="3">
        <v>4</v>
      </c>
      <c r="T297" s="3">
        <v>4</v>
      </c>
      <c r="U297" s="3">
        <v>4</v>
      </c>
      <c r="V297" s="3">
        <v>4</v>
      </c>
      <c r="W297" s="3">
        <v>4</v>
      </c>
      <c r="X297" s="3">
        <v>4</v>
      </c>
      <c r="Y297" s="3">
        <v>4</v>
      </c>
      <c r="Z297" s="3">
        <v>4</v>
      </c>
      <c r="AA297" s="3">
        <v>4</v>
      </c>
      <c r="AB297" s="3">
        <v>4</v>
      </c>
      <c r="AC297" s="3">
        <v>4</v>
      </c>
      <c r="AD297" s="3">
        <v>4</v>
      </c>
      <c r="AE297" s="3">
        <v>4</v>
      </c>
      <c r="AF297" s="3">
        <v>4</v>
      </c>
      <c r="AG297" s="3">
        <v>4</v>
      </c>
      <c r="AH297" s="3">
        <v>4</v>
      </c>
      <c r="AI297" s="3">
        <v>4</v>
      </c>
      <c r="AJ297" s="3">
        <v>4</v>
      </c>
      <c r="AK297" s="3">
        <v>4</v>
      </c>
      <c r="AL297" s="3">
        <v>4</v>
      </c>
      <c r="AM297" s="3">
        <v>4</v>
      </c>
      <c r="AN297" s="3">
        <v>4</v>
      </c>
      <c r="AO297" s="3">
        <v>4</v>
      </c>
      <c r="AP297" s="3">
        <v>4</v>
      </c>
      <c r="AQ297" s="3">
        <v>4</v>
      </c>
      <c r="AR297" s="3">
        <v>4</v>
      </c>
      <c r="AS297" s="3">
        <v>4</v>
      </c>
      <c r="AT297" s="3">
        <v>4</v>
      </c>
      <c r="AU297" s="3">
        <v>4</v>
      </c>
      <c r="AV297" s="3">
        <v>4</v>
      </c>
      <c r="AW297" s="3">
        <v>4</v>
      </c>
      <c r="AX297" s="3">
        <v>4</v>
      </c>
      <c r="AY297" s="3">
        <v>4</v>
      </c>
      <c r="AZ297" s="3">
        <v>4</v>
      </c>
      <c r="BA297" s="3">
        <v>4</v>
      </c>
      <c r="BB297" s="3">
        <v>4</v>
      </c>
      <c r="BC297" s="3">
        <v>4</v>
      </c>
      <c r="BD297" s="3">
        <v>4</v>
      </c>
      <c r="BE297" s="3">
        <v>4</v>
      </c>
      <c r="BF297" s="3">
        <v>4</v>
      </c>
      <c r="BG297" s="3">
        <v>4</v>
      </c>
      <c r="BH297" s="3">
        <v>4</v>
      </c>
      <c r="BI297" s="3">
        <v>4</v>
      </c>
      <c r="BJ297" s="3">
        <v>4</v>
      </c>
      <c r="BK297" s="3">
        <v>4</v>
      </c>
      <c r="BL297" s="3">
        <v>4</v>
      </c>
      <c r="BM297" s="3">
        <v>4</v>
      </c>
      <c r="BN297" s="3">
        <v>4</v>
      </c>
      <c r="BO297" s="3">
        <v>4</v>
      </c>
      <c r="BP297" s="3" t="s">
        <v>821</v>
      </c>
    </row>
    <row r="298" spans="1:68" ht="22.5" customHeight="1" x14ac:dyDescent="0.25">
      <c r="A298" s="2">
        <v>45981.796085856477</v>
      </c>
      <c r="B298" s="3" t="s">
        <v>822</v>
      </c>
      <c r="C298" s="3" t="s">
        <v>86</v>
      </c>
      <c r="D298" s="3" t="s">
        <v>823</v>
      </c>
      <c r="E298" s="3" t="s">
        <v>77</v>
      </c>
      <c r="F298" s="3" t="s">
        <v>78</v>
      </c>
      <c r="G298" s="3" t="s">
        <v>83</v>
      </c>
      <c r="H298" s="3">
        <v>5</v>
      </c>
      <c r="I298" s="3">
        <v>4</v>
      </c>
      <c r="J298" s="3">
        <v>4</v>
      </c>
      <c r="K298" s="3">
        <v>4</v>
      </c>
      <c r="L298" s="3">
        <v>5</v>
      </c>
      <c r="M298" s="3">
        <v>4</v>
      </c>
      <c r="N298" s="3">
        <v>4</v>
      </c>
      <c r="O298" s="3">
        <v>3</v>
      </c>
      <c r="P298" s="3">
        <v>4</v>
      </c>
      <c r="Q298" s="3">
        <v>4</v>
      </c>
      <c r="R298" s="3">
        <v>5</v>
      </c>
      <c r="S298" s="3">
        <v>5</v>
      </c>
      <c r="T298" s="3">
        <v>5</v>
      </c>
      <c r="U298" s="3">
        <v>5</v>
      </c>
      <c r="V298" s="3">
        <v>3</v>
      </c>
      <c r="W298" s="3">
        <v>3</v>
      </c>
      <c r="X298" s="3">
        <v>2</v>
      </c>
      <c r="Y298" s="3">
        <v>3</v>
      </c>
      <c r="Z298" s="3">
        <v>3</v>
      </c>
      <c r="AA298" s="3">
        <v>4</v>
      </c>
      <c r="AB298" s="3">
        <v>3</v>
      </c>
      <c r="AC298" s="3">
        <v>4</v>
      </c>
      <c r="AD298" s="3">
        <v>4</v>
      </c>
      <c r="AE298" s="3">
        <v>4</v>
      </c>
      <c r="AF298" s="3">
        <v>4</v>
      </c>
      <c r="AG298" s="3">
        <v>4</v>
      </c>
      <c r="AH298" s="3">
        <v>3</v>
      </c>
      <c r="AI298" s="3">
        <v>4</v>
      </c>
      <c r="AJ298" s="3">
        <v>3</v>
      </c>
      <c r="AK298" s="3">
        <v>5</v>
      </c>
      <c r="AL298" s="3">
        <v>4</v>
      </c>
      <c r="AM298" s="3">
        <v>3</v>
      </c>
      <c r="AN298" s="3">
        <v>5</v>
      </c>
      <c r="AO298" s="3">
        <v>5</v>
      </c>
      <c r="AP298" s="3">
        <v>5</v>
      </c>
      <c r="AQ298" s="3">
        <v>5</v>
      </c>
      <c r="AR298" s="3">
        <v>5</v>
      </c>
      <c r="AS298" s="3">
        <v>4</v>
      </c>
      <c r="AT298" s="3">
        <v>4</v>
      </c>
      <c r="AU298" s="3">
        <v>4</v>
      </c>
      <c r="AV298" s="3">
        <v>4</v>
      </c>
      <c r="AW298" s="3">
        <v>5</v>
      </c>
      <c r="AX298" s="3">
        <v>5</v>
      </c>
      <c r="AY298" s="3">
        <v>5</v>
      </c>
      <c r="AZ298" s="3">
        <v>5</v>
      </c>
      <c r="BA298" s="3">
        <v>3</v>
      </c>
      <c r="BB298" s="3">
        <v>3</v>
      </c>
      <c r="BC298" s="3">
        <v>3</v>
      </c>
      <c r="BD298" s="3">
        <v>3</v>
      </c>
      <c r="BE298" s="3">
        <v>3</v>
      </c>
      <c r="BF298" s="3">
        <v>3</v>
      </c>
      <c r="BG298" s="3">
        <v>3</v>
      </c>
      <c r="BH298" s="3">
        <v>3</v>
      </c>
      <c r="BI298" s="3">
        <v>3</v>
      </c>
      <c r="BJ298" s="3">
        <v>3</v>
      </c>
      <c r="BK298" s="3">
        <v>3</v>
      </c>
      <c r="BL298" s="3">
        <v>3</v>
      </c>
      <c r="BM298" s="3">
        <v>3</v>
      </c>
      <c r="BN298" s="3">
        <v>3</v>
      </c>
      <c r="BO298" s="3">
        <v>3</v>
      </c>
      <c r="BP298" s="3" t="s">
        <v>824</v>
      </c>
    </row>
    <row r="299" spans="1:68" ht="22.5" customHeight="1" x14ac:dyDescent="0.25">
      <c r="A299" s="2">
        <v>45981.919733530092</v>
      </c>
      <c r="B299" s="3" t="s">
        <v>825</v>
      </c>
      <c r="C299" s="3" t="s">
        <v>86</v>
      </c>
      <c r="D299" s="3" t="s">
        <v>823</v>
      </c>
      <c r="E299" s="3" t="s">
        <v>77</v>
      </c>
      <c r="F299" s="3" t="s">
        <v>78</v>
      </c>
      <c r="G299" s="3" t="s">
        <v>83</v>
      </c>
      <c r="H299" s="3">
        <v>5</v>
      </c>
      <c r="I299" s="3">
        <v>5</v>
      </c>
      <c r="J299" s="3">
        <v>5</v>
      </c>
      <c r="K299" s="3">
        <v>3</v>
      </c>
      <c r="L299" s="3">
        <v>4</v>
      </c>
      <c r="M299" s="3">
        <v>2</v>
      </c>
      <c r="N299" s="3">
        <v>3</v>
      </c>
      <c r="O299" s="3">
        <v>4</v>
      </c>
      <c r="P299" s="3">
        <v>4</v>
      </c>
      <c r="Q299" s="3">
        <v>5</v>
      </c>
      <c r="R299" s="3">
        <v>4</v>
      </c>
      <c r="S299" s="3">
        <v>4</v>
      </c>
      <c r="T299" s="3">
        <v>4</v>
      </c>
      <c r="U299" s="3">
        <v>4</v>
      </c>
      <c r="V299" s="3">
        <v>3</v>
      </c>
      <c r="W299" s="3">
        <v>3</v>
      </c>
      <c r="X299" s="3">
        <v>3</v>
      </c>
      <c r="Y299" s="3">
        <v>4</v>
      </c>
      <c r="Z299" s="3">
        <v>3</v>
      </c>
      <c r="AA299" s="3">
        <v>5</v>
      </c>
      <c r="AB299" s="3">
        <v>5</v>
      </c>
      <c r="AC299" s="3">
        <v>5</v>
      </c>
      <c r="AD299" s="3">
        <v>5</v>
      </c>
      <c r="AE299" s="3">
        <v>3</v>
      </c>
      <c r="AF299" s="3">
        <v>3</v>
      </c>
      <c r="AG299" s="3">
        <v>4</v>
      </c>
      <c r="AH299" s="3">
        <v>4</v>
      </c>
      <c r="AI299" s="3">
        <v>4</v>
      </c>
      <c r="AJ299" s="3">
        <v>5</v>
      </c>
      <c r="AK299" s="3">
        <v>5</v>
      </c>
      <c r="AL299" s="3">
        <v>5</v>
      </c>
      <c r="AM299" s="3">
        <v>4</v>
      </c>
      <c r="AN299" s="3">
        <v>5</v>
      </c>
      <c r="AO299" s="3">
        <v>3</v>
      </c>
      <c r="AP299" s="3">
        <v>4</v>
      </c>
      <c r="AQ299" s="3">
        <v>4</v>
      </c>
      <c r="AR299" s="3">
        <v>4</v>
      </c>
      <c r="AS299" s="3">
        <v>4</v>
      </c>
      <c r="AT299" s="3">
        <v>4</v>
      </c>
      <c r="AU299" s="3">
        <v>4</v>
      </c>
      <c r="AV299" s="3">
        <v>4</v>
      </c>
      <c r="AW299" s="3">
        <v>4</v>
      </c>
      <c r="AX299" s="3">
        <v>4</v>
      </c>
      <c r="AY299" s="3">
        <v>4</v>
      </c>
      <c r="AZ299" s="3">
        <v>4</v>
      </c>
      <c r="BA299" s="3">
        <v>4</v>
      </c>
      <c r="BB299" s="3">
        <v>4</v>
      </c>
      <c r="BC299" s="3">
        <v>4</v>
      </c>
      <c r="BD299" s="3">
        <v>4</v>
      </c>
      <c r="BE299" s="3">
        <v>4</v>
      </c>
      <c r="BF299" s="3">
        <v>4</v>
      </c>
      <c r="BG299" s="3">
        <v>4</v>
      </c>
      <c r="BH299" s="3">
        <v>4</v>
      </c>
      <c r="BI299" s="3">
        <v>4</v>
      </c>
      <c r="BJ299" s="3">
        <v>4</v>
      </c>
      <c r="BK299" s="3">
        <v>4</v>
      </c>
      <c r="BL299" s="3">
        <v>4</v>
      </c>
      <c r="BM299" s="3">
        <v>4</v>
      </c>
      <c r="BN299" s="3">
        <v>4</v>
      </c>
      <c r="BO299" s="3">
        <v>4</v>
      </c>
      <c r="BP299" s="3" t="s">
        <v>826</v>
      </c>
    </row>
    <row r="300" spans="1:68" ht="22.5" customHeight="1" x14ac:dyDescent="0.25">
      <c r="A300" s="2">
        <v>45982.593865972223</v>
      </c>
      <c r="B300" s="3" t="s">
        <v>827</v>
      </c>
      <c r="C300" s="3" t="s">
        <v>86</v>
      </c>
      <c r="D300" s="3" t="s">
        <v>828</v>
      </c>
      <c r="E300" s="3" t="s">
        <v>77</v>
      </c>
      <c r="F300" s="3" t="s">
        <v>78</v>
      </c>
      <c r="G300" s="3" t="s">
        <v>79</v>
      </c>
      <c r="H300" s="3">
        <v>5</v>
      </c>
      <c r="I300" s="3">
        <v>5</v>
      </c>
      <c r="J300" s="3">
        <v>5</v>
      </c>
      <c r="K300" s="3">
        <v>5</v>
      </c>
      <c r="L300" s="3">
        <v>5</v>
      </c>
      <c r="M300" s="3">
        <v>5</v>
      </c>
      <c r="N300" s="3">
        <v>5</v>
      </c>
      <c r="O300" s="3">
        <v>5</v>
      </c>
      <c r="P300" s="3">
        <v>5</v>
      </c>
      <c r="Q300" s="3">
        <v>5</v>
      </c>
      <c r="R300" s="3">
        <v>5</v>
      </c>
      <c r="S300" s="3">
        <v>5</v>
      </c>
      <c r="T300" s="3">
        <v>5</v>
      </c>
      <c r="U300" s="3">
        <v>5</v>
      </c>
      <c r="V300" s="3">
        <v>5</v>
      </c>
      <c r="W300" s="3">
        <v>5</v>
      </c>
      <c r="X300" s="3">
        <v>5</v>
      </c>
      <c r="Y300" s="3">
        <v>5</v>
      </c>
      <c r="Z300" s="3">
        <v>5</v>
      </c>
      <c r="AA300" s="3">
        <v>5</v>
      </c>
      <c r="AB300" s="3">
        <v>5</v>
      </c>
      <c r="AC300" s="3">
        <v>5</v>
      </c>
      <c r="AD300" s="3">
        <v>5</v>
      </c>
      <c r="AE300" s="3">
        <v>5</v>
      </c>
      <c r="AF300" s="3">
        <v>5</v>
      </c>
      <c r="AG300" s="3">
        <v>5</v>
      </c>
      <c r="AH300" s="3">
        <v>5</v>
      </c>
      <c r="AI300" s="3">
        <v>5</v>
      </c>
      <c r="AJ300" s="3">
        <v>5</v>
      </c>
      <c r="AK300" s="3">
        <v>5</v>
      </c>
      <c r="AL300" s="3">
        <v>5</v>
      </c>
      <c r="AM300" s="3">
        <v>5</v>
      </c>
      <c r="AN300" s="3">
        <v>5</v>
      </c>
      <c r="AO300" s="3">
        <v>5</v>
      </c>
      <c r="AP300" s="3">
        <v>5</v>
      </c>
      <c r="AQ300" s="3">
        <v>5</v>
      </c>
      <c r="AR300" s="3">
        <v>5</v>
      </c>
      <c r="AS300" s="3">
        <v>5</v>
      </c>
      <c r="AT300" s="3">
        <v>5</v>
      </c>
      <c r="AU300" s="3">
        <v>5</v>
      </c>
      <c r="AV300" s="3">
        <v>5</v>
      </c>
      <c r="AW300" s="3">
        <v>5</v>
      </c>
      <c r="AX300" s="3">
        <v>5</v>
      </c>
      <c r="AY300" s="3">
        <v>5</v>
      </c>
      <c r="AZ300" s="3">
        <v>5</v>
      </c>
      <c r="BA300" s="3">
        <v>5</v>
      </c>
      <c r="BB300" s="3">
        <v>5</v>
      </c>
      <c r="BC300" s="3">
        <v>5</v>
      </c>
      <c r="BD300" s="3">
        <v>5</v>
      </c>
      <c r="BE300" s="3">
        <v>5</v>
      </c>
      <c r="BF300" s="3">
        <v>5</v>
      </c>
      <c r="BG300" s="3">
        <v>5</v>
      </c>
      <c r="BH300" s="3">
        <v>5</v>
      </c>
      <c r="BI300" s="3">
        <v>5</v>
      </c>
      <c r="BJ300" s="3">
        <v>5</v>
      </c>
      <c r="BK300" s="3">
        <v>5</v>
      </c>
      <c r="BL300" s="3">
        <v>5</v>
      </c>
      <c r="BM300" s="3">
        <v>5</v>
      </c>
      <c r="BN300" s="3">
        <v>5</v>
      </c>
      <c r="BO300" s="3">
        <v>5</v>
      </c>
      <c r="BP300" s="3" t="s">
        <v>829</v>
      </c>
    </row>
    <row r="301" spans="1:68" ht="22.5" customHeight="1" x14ac:dyDescent="0.25">
      <c r="A301" s="2">
        <v>45982.618150844908</v>
      </c>
      <c r="B301" s="3" t="s">
        <v>830</v>
      </c>
      <c r="C301" s="3" t="s">
        <v>86</v>
      </c>
      <c r="D301" s="3" t="s">
        <v>831</v>
      </c>
      <c r="E301" s="3" t="s">
        <v>141</v>
      </c>
      <c r="F301" s="3" t="s">
        <v>78</v>
      </c>
      <c r="G301" s="3" t="s">
        <v>79</v>
      </c>
      <c r="H301" s="3">
        <v>5</v>
      </c>
      <c r="I301" s="3">
        <v>4</v>
      </c>
      <c r="J301" s="3">
        <v>5</v>
      </c>
      <c r="K301" s="3">
        <v>5</v>
      </c>
      <c r="L301" s="3">
        <v>4</v>
      </c>
      <c r="M301" s="3">
        <v>3</v>
      </c>
      <c r="N301" s="3">
        <v>3</v>
      </c>
      <c r="O301" s="3">
        <v>4</v>
      </c>
      <c r="P301" s="3">
        <v>5</v>
      </c>
      <c r="Q301" s="3">
        <v>4</v>
      </c>
      <c r="R301" s="3">
        <v>5</v>
      </c>
      <c r="S301" s="3">
        <v>5</v>
      </c>
      <c r="T301" s="3">
        <v>3</v>
      </c>
      <c r="U301" s="3">
        <v>5</v>
      </c>
      <c r="V301" s="3">
        <v>3</v>
      </c>
      <c r="W301" s="3">
        <v>2</v>
      </c>
      <c r="X301" s="3">
        <v>4</v>
      </c>
      <c r="Y301" s="3">
        <v>2</v>
      </c>
      <c r="Z301" s="3">
        <v>4</v>
      </c>
      <c r="AA301" s="3">
        <v>5</v>
      </c>
      <c r="AB301" s="3">
        <v>3</v>
      </c>
      <c r="AC301" s="3">
        <v>4</v>
      </c>
      <c r="AD301" s="3">
        <v>5</v>
      </c>
      <c r="AE301" s="3">
        <v>5</v>
      </c>
      <c r="AF301" s="3">
        <v>5</v>
      </c>
      <c r="AG301" s="3">
        <v>5</v>
      </c>
      <c r="AH301" s="3">
        <v>2</v>
      </c>
      <c r="AI301" s="3">
        <v>4</v>
      </c>
      <c r="AJ301" s="3">
        <v>5</v>
      </c>
      <c r="AK301" s="3">
        <v>4</v>
      </c>
      <c r="AL301" s="3">
        <v>5</v>
      </c>
      <c r="AM301" s="3">
        <v>4</v>
      </c>
      <c r="AN301" s="3">
        <v>4</v>
      </c>
      <c r="AO301" s="3">
        <v>4</v>
      </c>
      <c r="AP301" s="3">
        <v>4</v>
      </c>
      <c r="AQ301" s="3">
        <v>3</v>
      </c>
      <c r="AR301" s="3">
        <v>3</v>
      </c>
      <c r="AS301" s="3">
        <v>3</v>
      </c>
      <c r="AT301" s="3">
        <v>3</v>
      </c>
      <c r="AU301" s="3">
        <v>3</v>
      </c>
      <c r="AV301" s="3">
        <v>3</v>
      </c>
      <c r="AW301" s="3">
        <v>5</v>
      </c>
      <c r="AX301" s="3">
        <v>5</v>
      </c>
      <c r="AY301" s="3">
        <v>5</v>
      </c>
      <c r="AZ301" s="3">
        <v>5</v>
      </c>
      <c r="BA301" s="3">
        <v>4</v>
      </c>
      <c r="BB301" s="3">
        <v>3</v>
      </c>
      <c r="BC301" s="3">
        <v>4</v>
      </c>
      <c r="BD301" s="3">
        <v>5</v>
      </c>
      <c r="BE301" s="3">
        <v>5</v>
      </c>
      <c r="BF301" s="3">
        <v>5</v>
      </c>
      <c r="BG301" s="3">
        <v>5</v>
      </c>
      <c r="BH301" s="3">
        <v>5</v>
      </c>
      <c r="BI301" s="3">
        <v>5</v>
      </c>
      <c r="BJ301" s="3">
        <v>5</v>
      </c>
      <c r="BK301" s="3">
        <v>5</v>
      </c>
      <c r="BL301" s="3">
        <v>5</v>
      </c>
      <c r="BM301" s="3">
        <v>5</v>
      </c>
      <c r="BN301" s="3">
        <v>3</v>
      </c>
      <c r="BO301" s="3">
        <v>5</v>
      </c>
      <c r="BP301" s="3" t="s">
        <v>832</v>
      </c>
    </row>
    <row r="302" spans="1:68" ht="22.5" customHeight="1" x14ac:dyDescent="0.25">
      <c r="A302" s="2">
        <v>45982.620172418981</v>
      </c>
      <c r="B302" s="3" t="s">
        <v>833</v>
      </c>
      <c r="C302" s="3" t="s">
        <v>86</v>
      </c>
      <c r="D302" s="3" t="s">
        <v>452</v>
      </c>
      <c r="E302" s="3" t="s">
        <v>119</v>
      </c>
      <c r="F302" s="3" t="s">
        <v>103</v>
      </c>
      <c r="G302" s="3" t="s">
        <v>73</v>
      </c>
      <c r="H302" s="3">
        <v>5</v>
      </c>
      <c r="I302" s="3">
        <v>3</v>
      </c>
      <c r="J302" s="3">
        <v>5</v>
      </c>
      <c r="K302" s="3">
        <v>4</v>
      </c>
      <c r="L302" s="3">
        <v>5</v>
      </c>
      <c r="M302" s="3">
        <v>4</v>
      </c>
      <c r="N302" s="3">
        <v>3</v>
      </c>
      <c r="O302" s="3">
        <v>5</v>
      </c>
      <c r="P302" s="3">
        <v>5</v>
      </c>
      <c r="Q302" s="3">
        <v>5</v>
      </c>
      <c r="R302" s="3">
        <v>5</v>
      </c>
      <c r="S302" s="3">
        <v>5</v>
      </c>
      <c r="T302" s="3">
        <v>5</v>
      </c>
      <c r="U302" s="3">
        <v>5</v>
      </c>
      <c r="V302" s="3">
        <v>4</v>
      </c>
      <c r="W302" s="3">
        <v>5</v>
      </c>
      <c r="X302" s="3">
        <v>4</v>
      </c>
      <c r="Y302" s="3">
        <v>4</v>
      </c>
      <c r="Z302" s="3">
        <v>3</v>
      </c>
      <c r="AA302" s="3">
        <v>5</v>
      </c>
      <c r="AB302" s="3">
        <v>3</v>
      </c>
      <c r="AC302" s="3">
        <v>4</v>
      </c>
      <c r="AD302" s="3">
        <v>5</v>
      </c>
      <c r="AE302" s="3">
        <v>4</v>
      </c>
      <c r="AF302" s="3">
        <v>4</v>
      </c>
      <c r="AG302" s="3">
        <v>3</v>
      </c>
      <c r="AH302" s="3">
        <v>3</v>
      </c>
      <c r="AI302" s="3">
        <v>4</v>
      </c>
      <c r="AJ302" s="3">
        <v>5</v>
      </c>
      <c r="AK302" s="3">
        <v>4</v>
      </c>
      <c r="AL302" s="3">
        <v>3</v>
      </c>
      <c r="AM302" s="3">
        <v>5</v>
      </c>
      <c r="AN302" s="3">
        <v>3</v>
      </c>
      <c r="AO302" s="3">
        <v>3</v>
      </c>
      <c r="AP302" s="3">
        <v>5</v>
      </c>
      <c r="AQ302" s="3">
        <v>5</v>
      </c>
      <c r="AR302" s="3">
        <v>4</v>
      </c>
      <c r="AS302" s="3">
        <v>4</v>
      </c>
      <c r="AT302" s="3">
        <v>5</v>
      </c>
      <c r="AU302" s="3">
        <v>4</v>
      </c>
      <c r="AV302" s="3">
        <v>5</v>
      </c>
      <c r="AW302" s="3">
        <v>5</v>
      </c>
      <c r="AX302" s="3">
        <v>5</v>
      </c>
      <c r="AY302" s="3">
        <v>5</v>
      </c>
      <c r="AZ302" s="3">
        <v>5</v>
      </c>
      <c r="BA302" s="3">
        <v>4</v>
      </c>
      <c r="BB302" s="3">
        <v>3</v>
      </c>
      <c r="BC302" s="3">
        <v>4</v>
      </c>
      <c r="BD302" s="3">
        <v>3</v>
      </c>
      <c r="BE302" s="3">
        <v>4</v>
      </c>
      <c r="BF302" s="3">
        <v>5</v>
      </c>
      <c r="BG302" s="3">
        <v>5</v>
      </c>
      <c r="BH302" s="3">
        <v>5</v>
      </c>
      <c r="BI302" s="3">
        <v>5</v>
      </c>
      <c r="BJ302" s="3">
        <v>5</v>
      </c>
      <c r="BK302" s="3">
        <v>3</v>
      </c>
      <c r="BL302" s="3">
        <v>5</v>
      </c>
      <c r="BM302" s="3">
        <v>5</v>
      </c>
      <c r="BN302" s="3">
        <v>4</v>
      </c>
      <c r="BO302" s="3">
        <v>5</v>
      </c>
      <c r="BP302" s="3" t="s">
        <v>834</v>
      </c>
    </row>
    <row r="303" spans="1:68" ht="22.5" customHeight="1" x14ac:dyDescent="0.25">
      <c r="A303" s="2">
        <v>45982.620192152783</v>
      </c>
      <c r="B303" s="3" t="s">
        <v>835</v>
      </c>
      <c r="C303" s="3" t="s">
        <v>86</v>
      </c>
      <c r="D303" s="3" t="s">
        <v>423</v>
      </c>
      <c r="E303" s="3" t="s">
        <v>77</v>
      </c>
      <c r="F303" s="3" t="s">
        <v>78</v>
      </c>
      <c r="G303" s="3" t="s">
        <v>79</v>
      </c>
      <c r="H303" s="3">
        <v>5</v>
      </c>
      <c r="I303" s="3">
        <v>4</v>
      </c>
      <c r="J303" s="3">
        <v>5</v>
      </c>
      <c r="K303" s="3">
        <v>2</v>
      </c>
      <c r="L303" s="3">
        <v>5</v>
      </c>
      <c r="M303" s="3">
        <v>3</v>
      </c>
      <c r="N303" s="3">
        <v>5</v>
      </c>
      <c r="O303" s="3">
        <v>5</v>
      </c>
      <c r="P303" s="3">
        <v>5</v>
      </c>
      <c r="Q303" s="3">
        <v>5</v>
      </c>
      <c r="R303" s="3">
        <v>5</v>
      </c>
      <c r="S303" s="3">
        <v>5</v>
      </c>
      <c r="T303" s="3">
        <v>5</v>
      </c>
      <c r="U303" s="3">
        <v>5</v>
      </c>
      <c r="V303" s="3">
        <v>4</v>
      </c>
      <c r="W303" s="3">
        <v>5</v>
      </c>
      <c r="X303" s="3">
        <v>2</v>
      </c>
      <c r="Y303" s="3">
        <v>4</v>
      </c>
      <c r="Z303" s="3">
        <v>2</v>
      </c>
      <c r="AA303" s="3">
        <v>5</v>
      </c>
      <c r="AB303" s="3">
        <v>4</v>
      </c>
      <c r="AC303" s="3">
        <v>5</v>
      </c>
      <c r="AD303" s="3">
        <v>5</v>
      </c>
      <c r="AE303" s="3">
        <v>4</v>
      </c>
      <c r="AF303" s="3">
        <v>4</v>
      </c>
      <c r="AG303" s="3">
        <v>3</v>
      </c>
      <c r="AH303" s="3">
        <v>1</v>
      </c>
      <c r="AI303" s="3">
        <v>5</v>
      </c>
      <c r="AJ303" s="3">
        <v>5</v>
      </c>
      <c r="AK303" s="3">
        <v>5</v>
      </c>
      <c r="AL303" s="3">
        <v>5</v>
      </c>
      <c r="AM303" s="3">
        <v>5</v>
      </c>
      <c r="AN303" s="3">
        <v>4</v>
      </c>
      <c r="AO303" s="3">
        <v>3</v>
      </c>
      <c r="AP303" s="3">
        <v>5</v>
      </c>
      <c r="AQ303" s="3">
        <v>3</v>
      </c>
      <c r="AR303" s="3">
        <v>5</v>
      </c>
      <c r="AS303" s="3">
        <v>1</v>
      </c>
      <c r="AT303" s="3">
        <v>3</v>
      </c>
      <c r="AU303" s="3">
        <v>3</v>
      </c>
      <c r="AV303" s="3">
        <v>5</v>
      </c>
      <c r="AW303" s="3">
        <v>5</v>
      </c>
      <c r="AX303" s="3">
        <v>5</v>
      </c>
      <c r="AY303" s="3">
        <v>5</v>
      </c>
      <c r="AZ303" s="3">
        <v>5</v>
      </c>
      <c r="BA303" s="3">
        <v>5</v>
      </c>
      <c r="BB303" s="3">
        <v>4</v>
      </c>
      <c r="BC303" s="3">
        <v>5</v>
      </c>
      <c r="BD303" s="3">
        <v>5</v>
      </c>
      <c r="BE303" s="3">
        <v>5</v>
      </c>
      <c r="BF303" s="3">
        <v>5</v>
      </c>
      <c r="BG303" s="3">
        <v>5</v>
      </c>
      <c r="BH303" s="3">
        <v>5</v>
      </c>
      <c r="BI303" s="3">
        <v>5</v>
      </c>
      <c r="BJ303" s="3">
        <v>5</v>
      </c>
      <c r="BK303" s="3">
        <v>2</v>
      </c>
      <c r="BL303" s="3">
        <v>5</v>
      </c>
      <c r="BM303" s="3">
        <v>5</v>
      </c>
      <c r="BN303" s="3">
        <v>2</v>
      </c>
      <c r="BO303" s="3">
        <v>5</v>
      </c>
      <c r="BP303" s="3" t="s">
        <v>836</v>
      </c>
    </row>
    <row r="304" spans="1:68" ht="22.5" customHeight="1" x14ac:dyDescent="0.25">
      <c r="A304" s="2">
        <v>45982.620276979171</v>
      </c>
      <c r="B304" s="3" t="s">
        <v>837</v>
      </c>
      <c r="C304" s="3" t="s">
        <v>86</v>
      </c>
      <c r="D304" s="3" t="s">
        <v>423</v>
      </c>
      <c r="E304" s="3" t="s">
        <v>77</v>
      </c>
      <c r="F304" s="3" t="s">
        <v>78</v>
      </c>
      <c r="G304" s="3" t="s">
        <v>79</v>
      </c>
      <c r="H304" s="3">
        <v>4</v>
      </c>
      <c r="I304" s="3">
        <v>4</v>
      </c>
      <c r="J304" s="3">
        <v>4</v>
      </c>
      <c r="K304" s="3">
        <v>4</v>
      </c>
      <c r="L304" s="3">
        <v>3</v>
      </c>
      <c r="M304" s="3">
        <v>4</v>
      </c>
      <c r="N304" s="3">
        <v>5</v>
      </c>
      <c r="O304" s="3">
        <v>5</v>
      </c>
      <c r="P304" s="3">
        <v>5</v>
      </c>
      <c r="Q304" s="3">
        <v>4</v>
      </c>
      <c r="R304" s="3">
        <v>5</v>
      </c>
      <c r="S304" s="3">
        <v>4</v>
      </c>
      <c r="T304" s="3">
        <v>4</v>
      </c>
      <c r="U304" s="3">
        <v>4</v>
      </c>
      <c r="V304" s="3">
        <v>3</v>
      </c>
      <c r="W304" s="3">
        <v>4</v>
      </c>
      <c r="X304" s="3">
        <v>3</v>
      </c>
      <c r="Y304" s="3">
        <v>4</v>
      </c>
      <c r="Z304" s="3">
        <v>3</v>
      </c>
      <c r="AA304" s="3">
        <v>5</v>
      </c>
      <c r="AB304" s="3">
        <v>3</v>
      </c>
      <c r="AC304" s="3">
        <v>4</v>
      </c>
      <c r="AD304" s="3">
        <v>5</v>
      </c>
      <c r="AE304" s="3">
        <v>4</v>
      </c>
      <c r="AF304" s="3">
        <v>4</v>
      </c>
      <c r="AG304" s="3">
        <v>3</v>
      </c>
      <c r="AH304" s="3">
        <v>1</v>
      </c>
      <c r="AI304" s="3">
        <v>4</v>
      </c>
      <c r="AJ304" s="3">
        <v>4</v>
      </c>
      <c r="AK304" s="3">
        <v>5</v>
      </c>
      <c r="AL304" s="3">
        <v>4</v>
      </c>
      <c r="AM304" s="3">
        <v>5</v>
      </c>
      <c r="AN304" s="3">
        <v>4</v>
      </c>
      <c r="AO304" s="3">
        <v>3</v>
      </c>
      <c r="AP304" s="3">
        <v>5</v>
      </c>
      <c r="AQ304" s="3">
        <v>3</v>
      </c>
      <c r="AR304" s="3">
        <v>2</v>
      </c>
      <c r="AS304" s="3">
        <v>2</v>
      </c>
      <c r="AT304" s="3">
        <v>4</v>
      </c>
      <c r="AU304" s="3">
        <v>3</v>
      </c>
      <c r="AV304" s="3">
        <v>4</v>
      </c>
      <c r="AW304" s="3">
        <v>5</v>
      </c>
      <c r="AX304" s="3">
        <v>5</v>
      </c>
      <c r="AY304" s="3">
        <v>5</v>
      </c>
      <c r="AZ304" s="3">
        <v>5</v>
      </c>
      <c r="BA304" s="3">
        <v>4</v>
      </c>
      <c r="BB304" s="3">
        <v>3</v>
      </c>
      <c r="BC304" s="3">
        <v>4</v>
      </c>
      <c r="BD304" s="3">
        <v>4</v>
      </c>
      <c r="BE304" s="3">
        <v>4</v>
      </c>
      <c r="BF304" s="3">
        <v>4</v>
      </c>
      <c r="BG304" s="3">
        <v>5</v>
      </c>
      <c r="BH304" s="3">
        <v>5</v>
      </c>
      <c r="BI304" s="3">
        <v>5</v>
      </c>
      <c r="BJ304" s="3">
        <v>5</v>
      </c>
      <c r="BK304" s="3">
        <v>2</v>
      </c>
      <c r="BL304" s="3">
        <v>5</v>
      </c>
      <c r="BM304" s="3">
        <v>5</v>
      </c>
      <c r="BN304" s="3">
        <v>5</v>
      </c>
      <c r="BO304" s="3">
        <v>5</v>
      </c>
      <c r="BP304" s="3" t="s">
        <v>838</v>
      </c>
    </row>
    <row r="305" spans="1:68" ht="22.5" customHeight="1" x14ac:dyDescent="0.25">
      <c r="A305" s="2">
        <v>45982.620375636572</v>
      </c>
      <c r="B305" s="3" t="s">
        <v>839</v>
      </c>
      <c r="C305" s="3" t="s">
        <v>86</v>
      </c>
      <c r="D305" s="3" t="s">
        <v>423</v>
      </c>
      <c r="E305" s="3" t="s">
        <v>77</v>
      </c>
      <c r="F305" s="3" t="s">
        <v>78</v>
      </c>
      <c r="G305" s="3" t="s">
        <v>79</v>
      </c>
      <c r="H305" s="3">
        <v>4</v>
      </c>
      <c r="I305" s="3">
        <v>3</v>
      </c>
      <c r="J305" s="3">
        <v>4</v>
      </c>
      <c r="K305" s="3">
        <v>4</v>
      </c>
      <c r="L305" s="3">
        <v>4</v>
      </c>
      <c r="M305" s="3">
        <v>4</v>
      </c>
      <c r="N305" s="3">
        <v>4</v>
      </c>
      <c r="O305" s="3">
        <v>4</v>
      </c>
      <c r="P305" s="3">
        <v>4</v>
      </c>
      <c r="Q305" s="3">
        <v>4</v>
      </c>
      <c r="R305" s="3">
        <v>4</v>
      </c>
      <c r="S305" s="3">
        <v>4</v>
      </c>
      <c r="T305" s="3">
        <v>4</v>
      </c>
      <c r="U305" s="3">
        <v>4</v>
      </c>
      <c r="V305" s="3">
        <v>4</v>
      </c>
      <c r="W305" s="3">
        <v>4</v>
      </c>
      <c r="X305" s="3">
        <v>3</v>
      </c>
      <c r="Y305" s="3">
        <v>4</v>
      </c>
      <c r="Z305" s="3">
        <v>4</v>
      </c>
      <c r="AA305" s="3">
        <v>5</v>
      </c>
      <c r="AB305" s="3">
        <v>3</v>
      </c>
      <c r="AC305" s="3">
        <v>4</v>
      </c>
      <c r="AD305" s="3">
        <v>5</v>
      </c>
      <c r="AE305" s="3">
        <v>4</v>
      </c>
      <c r="AF305" s="3">
        <v>4</v>
      </c>
      <c r="AG305" s="3">
        <v>3</v>
      </c>
      <c r="AH305" s="3">
        <v>3</v>
      </c>
      <c r="AI305" s="3">
        <v>4</v>
      </c>
      <c r="AJ305" s="3">
        <v>4</v>
      </c>
      <c r="AK305" s="3">
        <v>4</v>
      </c>
      <c r="AL305" s="3">
        <v>3</v>
      </c>
      <c r="AM305" s="3">
        <v>4</v>
      </c>
      <c r="AN305" s="3">
        <v>3</v>
      </c>
      <c r="AO305" s="3">
        <v>5</v>
      </c>
      <c r="AP305" s="3">
        <v>4</v>
      </c>
      <c r="AQ305" s="3">
        <v>3</v>
      </c>
      <c r="AR305" s="3">
        <v>4</v>
      </c>
      <c r="AS305" s="3">
        <v>2</v>
      </c>
      <c r="AT305" s="3">
        <v>4</v>
      </c>
      <c r="AU305" s="3">
        <v>4</v>
      </c>
      <c r="AV305" s="3">
        <v>4</v>
      </c>
      <c r="AW305" s="3">
        <v>5</v>
      </c>
      <c r="AX305" s="3">
        <v>5</v>
      </c>
      <c r="AY305" s="3">
        <v>5</v>
      </c>
      <c r="AZ305" s="3">
        <v>5</v>
      </c>
      <c r="BA305" s="3">
        <v>4</v>
      </c>
      <c r="BB305" s="3">
        <v>3</v>
      </c>
      <c r="BC305" s="3">
        <v>4</v>
      </c>
      <c r="BD305" s="3">
        <v>4</v>
      </c>
      <c r="BE305" s="3">
        <v>4</v>
      </c>
      <c r="BF305" s="3">
        <v>4</v>
      </c>
      <c r="BG305" s="3">
        <v>5</v>
      </c>
      <c r="BH305" s="3">
        <v>5</v>
      </c>
      <c r="BI305" s="3">
        <v>5</v>
      </c>
      <c r="BJ305" s="3">
        <v>5</v>
      </c>
      <c r="BK305" s="3">
        <v>2</v>
      </c>
      <c r="BL305" s="3">
        <v>5</v>
      </c>
      <c r="BM305" s="3">
        <v>5</v>
      </c>
      <c r="BN305" s="3">
        <v>3</v>
      </c>
      <c r="BO305" s="3">
        <v>5</v>
      </c>
      <c r="BP305" s="3" t="s">
        <v>840</v>
      </c>
    </row>
    <row r="306" spans="1:68" ht="22.5" customHeight="1" x14ac:dyDescent="0.25">
      <c r="A306" s="2">
        <v>45983.442692476849</v>
      </c>
      <c r="B306" s="3" t="s">
        <v>841</v>
      </c>
      <c r="C306" s="3" t="s">
        <v>69</v>
      </c>
      <c r="D306" s="3" t="s">
        <v>842</v>
      </c>
      <c r="E306" s="3" t="s">
        <v>77</v>
      </c>
      <c r="F306" s="3" t="s">
        <v>78</v>
      </c>
      <c r="G306" s="3" t="s">
        <v>79</v>
      </c>
      <c r="H306" s="3">
        <v>5</v>
      </c>
      <c r="I306" s="3">
        <v>5</v>
      </c>
      <c r="J306" s="3">
        <v>5</v>
      </c>
      <c r="K306" s="3">
        <v>5</v>
      </c>
      <c r="L306" s="3">
        <v>5</v>
      </c>
      <c r="M306" s="3">
        <v>5</v>
      </c>
      <c r="N306" s="3">
        <v>5</v>
      </c>
      <c r="O306" s="3">
        <v>4</v>
      </c>
      <c r="P306" s="3">
        <v>5</v>
      </c>
      <c r="Q306" s="3">
        <v>3</v>
      </c>
      <c r="R306" s="3">
        <v>4</v>
      </c>
      <c r="S306" s="3">
        <v>4</v>
      </c>
      <c r="T306" s="3">
        <v>4</v>
      </c>
      <c r="U306" s="3">
        <v>3</v>
      </c>
      <c r="V306" s="3">
        <v>5</v>
      </c>
      <c r="W306" s="3">
        <v>5</v>
      </c>
      <c r="X306" s="3">
        <v>5</v>
      </c>
      <c r="Y306" s="3">
        <v>5</v>
      </c>
      <c r="Z306" s="3">
        <v>5</v>
      </c>
      <c r="AA306" s="3">
        <v>4</v>
      </c>
      <c r="AB306" s="3">
        <v>4</v>
      </c>
      <c r="AC306" s="3">
        <v>4</v>
      </c>
      <c r="AD306" s="3">
        <v>4</v>
      </c>
      <c r="AE306" s="3">
        <v>5</v>
      </c>
      <c r="AF306" s="3">
        <v>5</v>
      </c>
      <c r="AG306" s="3">
        <v>5</v>
      </c>
      <c r="AH306" s="3">
        <v>5</v>
      </c>
      <c r="AI306" s="3">
        <v>5</v>
      </c>
      <c r="AJ306" s="3">
        <v>5</v>
      </c>
      <c r="AK306" s="3">
        <v>5</v>
      </c>
      <c r="AL306" s="3">
        <v>5</v>
      </c>
      <c r="AM306" s="3">
        <v>5</v>
      </c>
      <c r="AN306" s="3">
        <v>4</v>
      </c>
      <c r="AO306" s="3">
        <v>4</v>
      </c>
      <c r="AP306" s="3">
        <v>5</v>
      </c>
      <c r="AQ306" s="3">
        <v>5</v>
      </c>
      <c r="AR306" s="3">
        <v>4</v>
      </c>
      <c r="AS306" s="3">
        <v>4</v>
      </c>
      <c r="AT306" s="3">
        <v>4</v>
      </c>
      <c r="AU306" s="3">
        <v>4</v>
      </c>
      <c r="AV306" s="3">
        <v>5</v>
      </c>
      <c r="AW306" s="3">
        <v>5</v>
      </c>
      <c r="AX306" s="3">
        <v>5</v>
      </c>
      <c r="AY306" s="3">
        <v>5</v>
      </c>
      <c r="AZ306" s="3">
        <v>5</v>
      </c>
      <c r="BA306" s="3">
        <v>4</v>
      </c>
      <c r="BB306" s="3">
        <v>3</v>
      </c>
      <c r="BC306" s="3">
        <v>3</v>
      </c>
      <c r="BD306" s="3">
        <v>3</v>
      </c>
      <c r="BE306" s="3">
        <v>3</v>
      </c>
      <c r="BF306" s="3">
        <v>3</v>
      </c>
      <c r="BG306" s="3">
        <v>5</v>
      </c>
      <c r="BH306" s="3">
        <v>5</v>
      </c>
      <c r="BI306" s="3">
        <v>5</v>
      </c>
      <c r="BJ306" s="3">
        <v>5</v>
      </c>
      <c r="BK306" s="3">
        <v>4</v>
      </c>
      <c r="BL306" s="3">
        <v>5</v>
      </c>
      <c r="BM306" s="3">
        <v>5</v>
      </c>
      <c r="BN306" s="3">
        <v>5</v>
      </c>
      <c r="BO306" s="3">
        <v>5</v>
      </c>
      <c r="BP306" s="3" t="s">
        <v>843</v>
      </c>
    </row>
    <row r="307" spans="1:68" ht="22.5" customHeight="1" x14ac:dyDescent="0.25">
      <c r="A307" s="2">
        <v>45983.453232453699</v>
      </c>
      <c r="B307" s="3" t="s">
        <v>844</v>
      </c>
      <c r="C307" s="3" t="s">
        <v>69</v>
      </c>
      <c r="D307" s="3" t="s">
        <v>845</v>
      </c>
      <c r="E307" s="3" t="s">
        <v>87</v>
      </c>
      <c r="F307" s="3" t="s">
        <v>88</v>
      </c>
      <c r="G307" s="3" t="s">
        <v>83</v>
      </c>
      <c r="H307" s="3">
        <v>5</v>
      </c>
      <c r="I307" s="3">
        <v>5</v>
      </c>
      <c r="J307" s="3">
        <v>5</v>
      </c>
      <c r="K307" s="3">
        <v>5</v>
      </c>
      <c r="L307" s="3">
        <v>5</v>
      </c>
      <c r="M307" s="3">
        <v>4</v>
      </c>
      <c r="N307" s="3">
        <v>4</v>
      </c>
      <c r="O307" s="3">
        <v>4</v>
      </c>
      <c r="P307" s="3">
        <v>5</v>
      </c>
      <c r="Q307" s="3">
        <v>5</v>
      </c>
      <c r="R307" s="3">
        <v>5</v>
      </c>
      <c r="S307" s="3">
        <v>5</v>
      </c>
      <c r="T307" s="3">
        <v>5</v>
      </c>
      <c r="U307" s="3">
        <v>5</v>
      </c>
      <c r="V307" s="3">
        <v>4</v>
      </c>
      <c r="W307" s="3">
        <v>4</v>
      </c>
      <c r="X307" s="3">
        <v>4</v>
      </c>
      <c r="Y307" s="3">
        <v>4</v>
      </c>
      <c r="Z307" s="3">
        <v>4</v>
      </c>
      <c r="AA307" s="3">
        <v>4</v>
      </c>
      <c r="AB307" s="3">
        <v>4</v>
      </c>
      <c r="AC307" s="3">
        <v>4</v>
      </c>
      <c r="AD307" s="3">
        <v>4</v>
      </c>
      <c r="AE307" s="3">
        <v>4</v>
      </c>
      <c r="AF307" s="3">
        <v>4</v>
      </c>
      <c r="AG307" s="3">
        <v>4</v>
      </c>
      <c r="AH307" s="3">
        <v>4</v>
      </c>
      <c r="AI307" s="3">
        <v>4</v>
      </c>
      <c r="AJ307" s="3">
        <v>4</v>
      </c>
      <c r="AK307" s="3">
        <v>4</v>
      </c>
      <c r="AL307" s="3">
        <v>4</v>
      </c>
      <c r="AM307" s="3">
        <v>4</v>
      </c>
      <c r="AN307" s="3">
        <v>4</v>
      </c>
      <c r="AO307" s="3">
        <v>3</v>
      </c>
      <c r="AP307" s="3">
        <v>4</v>
      </c>
      <c r="AQ307" s="3">
        <v>4</v>
      </c>
      <c r="AR307" s="3">
        <v>4</v>
      </c>
      <c r="AS307" s="3">
        <v>4</v>
      </c>
      <c r="AT307" s="3">
        <v>4</v>
      </c>
      <c r="AU307" s="3">
        <v>4</v>
      </c>
      <c r="AV307" s="3">
        <v>4</v>
      </c>
      <c r="AW307" s="3">
        <v>5</v>
      </c>
      <c r="AX307" s="3">
        <v>5</v>
      </c>
      <c r="AY307" s="3">
        <v>4</v>
      </c>
      <c r="AZ307" s="3">
        <v>4</v>
      </c>
      <c r="BA307" s="3">
        <v>5</v>
      </c>
      <c r="BB307" s="3">
        <v>5</v>
      </c>
      <c r="BC307" s="3">
        <v>4</v>
      </c>
      <c r="BD307" s="3">
        <v>4</v>
      </c>
      <c r="BE307" s="3">
        <v>5</v>
      </c>
      <c r="BF307" s="3">
        <v>4</v>
      </c>
      <c r="BG307" s="3">
        <v>5</v>
      </c>
      <c r="BH307" s="3">
        <v>5</v>
      </c>
      <c r="BI307" s="3">
        <v>5</v>
      </c>
      <c r="BJ307" s="3">
        <v>5</v>
      </c>
      <c r="BK307" s="3">
        <v>5</v>
      </c>
      <c r="BL307" s="3">
        <v>5</v>
      </c>
      <c r="BM307" s="3">
        <v>5</v>
      </c>
      <c r="BN307" s="3">
        <v>5</v>
      </c>
      <c r="BO307" s="3">
        <v>5</v>
      </c>
      <c r="BP307" s="3" t="s">
        <v>846</v>
      </c>
    </row>
    <row r="308" spans="1:68" ht="22.5" customHeight="1" x14ac:dyDescent="0.25">
      <c r="A308" s="2">
        <v>45983.492721736111</v>
      </c>
      <c r="C308" s="3" t="s">
        <v>86</v>
      </c>
      <c r="D308" s="3" t="s">
        <v>213</v>
      </c>
      <c r="E308" s="3" t="s">
        <v>119</v>
      </c>
      <c r="F308" s="3" t="s">
        <v>103</v>
      </c>
      <c r="G308" s="3" t="s">
        <v>73</v>
      </c>
      <c r="H308" s="3">
        <v>5</v>
      </c>
      <c r="I308" s="3">
        <v>5</v>
      </c>
      <c r="J308" s="3">
        <v>5</v>
      </c>
      <c r="K308" s="3">
        <v>5</v>
      </c>
      <c r="L308" s="3">
        <v>5</v>
      </c>
      <c r="M308" s="3">
        <v>4</v>
      </c>
      <c r="N308" s="3">
        <v>5</v>
      </c>
      <c r="O308" s="3">
        <v>5</v>
      </c>
      <c r="P308" s="3">
        <v>5</v>
      </c>
      <c r="Q308" s="3">
        <v>5</v>
      </c>
      <c r="R308" s="3">
        <v>5</v>
      </c>
      <c r="S308" s="3">
        <v>5</v>
      </c>
      <c r="T308" s="3">
        <v>5</v>
      </c>
      <c r="U308" s="3">
        <v>5</v>
      </c>
      <c r="V308" s="3">
        <v>5</v>
      </c>
      <c r="W308" s="3">
        <v>5</v>
      </c>
      <c r="X308" s="3">
        <v>5</v>
      </c>
      <c r="Y308" s="3">
        <v>5</v>
      </c>
      <c r="Z308" s="3">
        <v>5</v>
      </c>
      <c r="AA308" s="3">
        <v>5</v>
      </c>
      <c r="AB308" s="3">
        <v>4</v>
      </c>
      <c r="AC308" s="3">
        <v>5</v>
      </c>
      <c r="AD308" s="3">
        <v>5</v>
      </c>
      <c r="AE308" s="3">
        <v>5</v>
      </c>
      <c r="AF308" s="3">
        <v>5</v>
      </c>
      <c r="AG308" s="3">
        <v>5</v>
      </c>
      <c r="AH308" s="3">
        <v>5</v>
      </c>
      <c r="AI308" s="3">
        <v>5</v>
      </c>
      <c r="AJ308" s="3">
        <v>5</v>
      </c>
      <c r="AK308" s="3">
        <v>5</v>
      </c>
      <c r="AL308" s="3">
        <v>5</v>
      </c>
      <c r="AM308" s="3">
        <v>5</v>
      </c>
      <c r="AN308" s="3">
        <v>4</v>
      </c>
      <c r="AO308" s="3">
        <v>5</v>
      </c>
      <c r="AP308" s="3">
        <v>5</v>
      </c>
      <c r="AQ308" s="3">
        <v>5</v>
      </c>
      <c r="AR308" s="3">
        <v>5</v>
      </c>
      <c r="AS308" s="3">
        <v>4</v>
      </c>
      <c r="AT308" s="3">
        <v>5</v>
      </c>
      <c r="AU308" s="3">
        <v>5</v>
      </c>
      <c r="AV308" s="3">
        <v>5</v>
      </c>
      <c r="AW308" s="3">
        <v>5</v>
      </c>
      <c r="AX308" s="3">
        <v>5</v>
      </c>
      <c r="AY308" s="3">
        <v>5</v>
      </c>
      <c r="AZ308" s="3">
        <v>5</v>
      </c>
      <c r="BA308" s="3">
        <v>5</v>
      </c>
      <c r="BB308" s="3">
        <v>1</v>
      </c>
      <c r="BC308" s="3">
        <v>4</v>
      </c>
      <c r="BD308" s="3">
        <v>5</v>
      </c>
      <c r="BE308" s="3">
        <v>5</v>
      </c>
      <c r="BF308" s="3">
        <v>5</v>
      </c>
      <c r="BG308" s="3">
        <v>5</v>
      </c>
      <c r="BH308" s="3">
        <v>5</v>
      </c>
      <c r="BI308" s="3">
        <v>5</v>
      </c>
      <c r="BJ308" s="3">
        <v>5</v>
      </c>
      <c r="BK308" s="3">
        <v>5</v>
      </c>
      <c r="BL308" s="3">
        <v>5</v>
      </c>
      <c r="BM308" s="3">
        <v>5</v>
      </c>
      <c r="BN308" s="3">
        <v>5</v>
      </c>
      <c r="BO308" s="3">
        <v>5</v>
      </c>
      <c r="BP308" s="3" t="s">
        <v>847</v>
      </c>
    </row>
    <row r="309" spans="1:68" ht="22.5" customHeight="1" x14ac:dyDescent="0.25">
      <c r="A309" s="2">
        <v>45983.520576886571</v>
      </c>
      <c r="B309" s="3" t="s">
        <v>848</v>
      </c>
      <c r="C309" s="3" t="s">
        <v>86</v>
      </c>
      <c r="D309" s="3" t="s">
        <v>849</v>
      </c>
      <c r="E309" s="3" t="s">
        <v>77</v>
      </c>
      <c r="F309" s="3" t="s">
        <v>82</v>
      </c>
      <c r="G309" s="3" t="s">
        <v>73</v>
      </c>
      <c r="H309" s="3">
        <v>4</v>
      </c>
      <c r="I309" s="3">
        <v>4</v>
      </c>
      <c r="J309" s="3">
        <v>4</v>
      </c>
      <c r="K309" s="3">
        <v>4</v>
      </c>
      <c r="L309" s="3">
        <v>4</v>
      </c>
      <c r="M309" s="3">
        <v>3</v>
      </c>
      <c r="N309" s="3">
        <v>3</v>
      </c>
      <c r="O309" s="3">
        <v>4</v>
      </c>
      <c r="P309" s="3">
        <v>3</v>
      </c>
      <c r="Q309" s="3">
        <v>4</v>
      </c>
      <c r="R309" s="3">
        <v>3</v>
      </c>
      <c r="S309" s="3">
        <v>4</v>
      </c>
      <c r="T309" s="3">
        <v>4</v>
      </c>
      <c r="U309" s="3">
        <v>4</v>
      </c>
      <c r="V309" s="3">
        <v>4</v>
      </c>
      <c r="W309" s="3">
        <v>4</v>
      </c>
      <c r="X309" s="3">
        <v>4</v>
      </c>
      <c r="Y309" s="3">
        <v>4</v>
      </c>
      <c r="Z309" s="3">
        <v>4</v>
      </c>
      <c r="AA309" s="3">
        <v>4</v>
      </c>
      <c r="AB309" s="3">
        <v>3</v>
      </c>
      <c r="AC309" s="3">
        <v>2</v>
      </c>
      <c r="AD309" s="3">
        <v>3</v>
      </c>
      <c r="AE309" s="3">
        <v>4</v>
      </c>
      <c r="AF309" s="3">
        <v>3</v>
      </c>
      <c r="AG309" s="3">
        <v>4</v>
      </c>
      <c r="AH309" s="3">
        <v>4</v>
      </c>
      <c r="AI309" s="3">
        <v>4</v>
      </c>
      <c r="AJ309" s="3">
        <v>4</v>
      </c>
      <c r="AK309" s="3">
        <v>4</v>
      </c>
      <c r="AL309" s="3">
        <v>4</v>
      </c>
      <c r="AM309" s="3">
        <v>3</v>
      </c>
      <c r="AN309" s="3">
        <v>3</v>
      </c>
      <c r="AO309" s="3">
        <v>3</v>
      </c>
      <c r="AP309" s="3">
        <v>4</v>
      </c>
      <c r="AQ309" s="3">
        <v>4</v>
      </c>
      <c r="AR309" s="3">
        <v>3</v>
      </c>
      <c r="AS309" s="3">
        <v>3</v>
      </c>
      <c r="AT309" s="3">
        <v>3</v>
      </c>
      <c r="AU309" s="3">
        <v>3</v>
      </c>
      <c r="AV309" s="3">
        <v>3</v>
      </c>
      <c r="AW309" s="3">
        <v>5</v>
      </c>
      <c r="AX309" s="3">
        <v>5</v>
      </c>
      <c r="AY309" s="3">
        <v>5</v>
      </c>
      <c r="AZ309" s="3">
        <v>5</v>
      </c>
      <c r="BA309" s="3">
        <v>5</v>
      </c>
      <c r="BB309" s="3">
        <v>4</v>
      </c>
      <c r="BC309" s="3">
        <v>4</v>
      </c>
      <c r="BD309" s="3">
        <v>4</v>
      </c>
      <c r="BE309" s="3">
        <v>4</v>
      </c>
      <c r="BF309" s="3">
        <v>4</v>
      </c>
      <c r="BG309" s="3">
        <v>4</v>
      </c>
      <c r="BH309" s="3">
        <v>4</v>
      </c>
      <c r="BI309" s="3">
        <v>4</v>
      </c>
      <c r="BJ309" s="3">
        <v>4</v>
      </c>
      <c r="BK309" s="3">
        <v>3</v>
      </c>
      <c r="BL309" s="3">
        <v>4</v>
      </c>
      <c r="BM309" s="3">
        <v>4</v>
      </c>
      <c r="BN309" s="3">
        <v>4</v>
      </c>
      <c r="BO309" s="3">
        <v>4</v>
      </c>
      <c r="BP309" s="3" t="s">
        <v>850</v>
      </c>
    </row>
    <row r="310" spans="1:68" ht="22.5" customHeight="1" x14ac:dyDescent="0.25">
      <c r="A310" s="2">
        <v>45983.537012974542</v>
      </c>
      <c r="B310" s="3" t="s">
        <v>851</v>
      </c>
      <c r="C310" s="3" t="s">
        <v>69</v>
      </c>
      <c r="D310" s="3" t="s">
        <v>852</v>
      </c>
      <c r="E310" s="3" t="s">
        <v>141</v>
      </c>
      <c r="F310" s="3" t="s">
        <v>78</v>
      </c>
      <c r="G310" s="3" t="s">
        <v>79</v>
      </c>
      <c r="H310" s="3">
        <v>5</v>
      </c>
      <c r="I310" s="3">
        <v>5</v>
      </c>
      <c r="J310" s="3">
        <v>5</v>
      </c>
      <c r="K310" s="3">
        <v>4</v>
      </c>
      <c r="L310" s="3">
        <v>5</v>
      </c>
      <c r="M310" s="3">
        <v>5</v>
      </c>
      <c r="N310" s="3">
        <v>5</v>
      </c>
      <c r="O310" s="3">
        <v>5</v>
      </c>
      <c r="P310" s="3">
        <v>5</v>
      </c>
      <c r="Q310" s="3">
        <v>4</v>
      </c>
      <c r="R310" s="3">
        <v>4</v>
      </c>
      <c r="S310" s="3">
        <v>4</v>
      </c>
      <c r="T310" s="3">
        <v>5</v>
      </c>
      <c r="U310" s="3">
        <v>5</v>
      </c>
      <c r="V310" s="3">
        <v>5</v>
      </c>
      <c r="W310" s="3">
        <v>5</v>
      </c>
      <c r="X310" s="3">
        <v>5</v>
      </c>
      <c r="Y310" s="3">
        <v>4</v>
      </c>
      <c r="Z310" s="3">
        <v>5</v>
      </c>
      <c r="AA310" s="3">
        <v>4</v>
      </c>
      <c r="AB310" s="3">
        <v>5</v>
      </c>
      <c r="AC310" s="3">
        <v>5</v>
      </c>
      <c r="AD310" s="3">
        <v>4</v>
      </c>
      <c r="AE310" s="3">
        <v>4</v>
      </c>
      <c r="AF310" s="3">
        <v>5</v>
      </c>
      <c r="AG310" s="3">
        <v>4</v>
      </c>
      <c r="AH310" s="3">
        <v>5</v>
      </c>
      <c r="AI310" s="3">
        <v>5</v>
      </c>
      <c r="AJ310" s="3">
        <v>5</v>
      </c>
      <c r="AK310" s="3">
        <v>5</v>
      </c>
      <c r="AL310" s="3">
        <v>5</v>
      </c>
      <c r="AM310" s="3">
        <v>5</v>
      </c>
      <c r="AN310" s="3">
        <v>5</v>
      </c>
      <c r="AO310" s="3">
        <v>5</v>
      </c>
      <c r="AP310" s="3">
        <v>5</v>
      </c>
      <c r="AQ310" s="3">
        <v>5</v>
      </c>
      <c r="AR310" s="3">
        <v>5</v>
      </c>
      <c r="AS310" s="3">
        <v>4</v>
      </c>
      <c r="AT310" s="3">
        <v>5</v>
      </c>
      <c r="AU310" s="3">
        <v>5</v>
      </c>
      <c r="AV310" s="3">
        <v>5</v>
      </c>
      <c r="AW310" s="3">
        <v>5</v>
      </c>
      <c r="AX310" s="3">
        <v>5</v>
      </c>
      <c r="AY310" s="3">
        <v>5</v>
      </c>
      <c r="AZ310" s="3">
        <v>5</v>
      </c>
      <c r="BA310" s="3">
        <v>4</v>
      </c>
      <c r="BB310" s="3">
        <v>4</v>
      </c>
      <c r="BC310" s="3">
        <v>4</v>
      </c>
      <c r="BD310" s="3">
        <v>5</v>
      </c>
      <c r="BE310" s="3">
        <v>4</v>
      </c>
      <c r="BF310" s="3">
        <v>4</v>
      </c>
      <c r="BG310" s="3">
        <v>4</v>
      </c>
      <c r="BH310" s="3">
        <v>4</v>
      </c>
      <c r="BI310" s="3">
        <v>4</v>
      </c>
      <c r="BJ310" s="3">
        <v>4</v>
      </c>
      <c r="BK310" s="3">
        <v>5</v>
      </c>
      <c r="BL310" s="3">
        <v>5</v>
      </c>
      <c r="BM310" s="3">
        <v>4</v>
      </c>
      <c r="BN310" s="3">
        <v>4</v>
      </c>
      <c r="BO310" s="3">
        <v>5</v>
      </c>
      <c r="BP310" s="3" t="s">
        <v>853</v>
      </c>
    </row>
    <row r="311" spans="1:68" ht="22.5" customHeight="1" x14ac:dyDescent="0.25">
      <c r="A311" s="2">
        <v>45983.734846921296</v>
      </c>
      <c r="B311" s="3" t="s">
        <v>854</v>
      </c>
      <c r="C311" s="3" t="s">
        <v>86</v>
      </c>
      <c r="D311" s="3" t="s">
        <v>594</v>
      </c>
      <c r="E311" s="3" t="s">
        <v>77</v>
      </c>
      <c r="F311" s="3" t="s">
        <v>78</v>
      </c>
      <c r="G311" s="3" t="s">
        <v>79</v>
      </c>
      <c r="H311" s="3">
        <v>5</v>
      </c>
      <c r="I311" s="3">
        <v>5</v>
      </c>
      <c r="J311" s="3">
        <v>5</v>
      </c>
      <c r="K311" s="3">
        <v>5</v>
      </c>
      <c r="L311" s="3">
        <v>5</v>
      </c>
      <c r="M311" s="3">
        <v>5</v>
      </c>
      <c r="N311" s="3">
        <v>5</v>
      </c>
      <c r="O311" s="3">
        <v>5</v>
      </c>
      <c r="P311" s="3">
        <v>5</v>
      </c>
      <c r="Q311" s="3">
        <v>5</v>
      </c>
      <c r="R311" s="3">
        <v>5</v>
      </c>
      <c r="S311" s="3">
        <v>5</v>
      </c>
      <c r="T311" s="3">
        <v>5</v>
      </c>
      <c r="U311" s="3">
        <v>5</v>
      </c>
      <c r="V311" s="3">
        <v>4</v>
      </c>
      <c r="W311" s="3">
        <v>4</v>
      </c>
      <c r="X311" s="3">
        <v>4</v>
      </c>
      <c r="Y311" s="3">
        <v>4</v>
      </c>
      <c r="Z311" s="3">
        <v>4</v>
      </c>
      <c r="AA311" s="3">
        <v>5</v>
      </c>
      <c r="AB311" s="3">
        <v>3</v>
      </c>
      <c r="AC311" s="3">
        <v>4</v>
      </c>
      <c r="AD311" s="3">
        <v>5</v>
      </c>
      <c r="AE311" s="3">
        <v>5</v>
      </c>
      <c r="AF311" s="3">
        <v>5</v>
      </c>
      <c r="AG311" s="3">
        <v>5</v>
      </c>
      <c r="AH311" s="3">
        <v>5</v>
      </c>
      <c r="AI311" s="3">
        <v>4</v>
      </c>
      <c r="AJ311" s="3">
        <v>4</v>
      </c>
      <c r="AK311" s="3">
        <v>4</v>
      </c>
      <c r="AL311" s="3">
        <v>4</v>
      </c>
      <c r="AM311" s="3">
        <v>4</v>
      </c>
      <c r="AN311" s="3">
        <v>3</v>
      </c>
      <c r="AO311" s="3">
        <v>3</v>
      </c>
      <c r="AP311" s="3">
        <v>4</v>
      </c>
      <c r="AQ311" s="3">
        <v>4</v>
      </c>
      <c r="AR311" s="3">
        <v>4</v>
      </c>
      <c r="AS311" s="3">
        <v>4</v>
      </c>
      <c r="AT311" s="3">
        <v>4</v>
      </c>
      <c r="AU311" s="3">
        <v>4</v>
      </c>
      <c r="AV311" s="3">
        <v>4</v>
      </c>
      <c r="AW311" s="3">
        <v>5</v>
      </c>
      <c r="AX311" s="3">
        <v>5</v>
      </c>
      <c r="AY311" s="3">
        <v>5</v>
      </c>
      <c r="AZ311" s="3">
        <v>5</v>
      </c>
      <c r="BA311" s="3">
        <v>4</v>
      </c>
      <c r="BB311" s="3">
        <v>4</v>
      </c>
      <c r="BC311" s="3">
        <v>3</v>
      </c>
      <c r="BD311" s="3">
        <v>3</v>
      </c>
      <c r="BE311" s="3">
        <v>3</v>
      </c>
      <c r="BF311" s="3">
        <v>3</v>
      </c>
      <c r="BG311" s="3">
        <v>4</v>
      </c>
      <c r="BH311" s="3">
        <v>5</v>
      </c>
      <c r="BI311" s="3">
        <v>5</v>
      </c>
      <c r="BJ311" s="3">
        <v>3</v>
      </c>
      <c r="BK311" s="3">
        <v>4</v>
      </c>
      <c r="BL311" s="3">
        <v>3</v>
      </c>
      <c r="BM311" s="3">
        <v>5</v>
      </c>
      <c r="BN311" s="3">
        <v>5</v>
      </c>
      <c r="BO311" s="3">
        <v>5</v>
      </c>
      <c r="BP311" s="3" t="s">
        <v>855</v>
      </c>
    </row>
    <row r="312" spans="1:68" ht="22.5" customHeight="1" x14ac:dyDescent="0.25">
      <c r="A312" s="2">
        <v>45986.398569953701</v>
      </c>
      <c r="B312" s="3" t="s">
        <v>856</v>
      </c>
      <c r="C312" s="3" t="s">
        <v>86</v>
      </c>
      <c r="D312" s="3" t="s">
        <v>857</v>
      </c>
      <c r="E312" s="3" t="s">
        <v>77</v>
      </c>
      <c r="F312" s="3" t="s">
        <v>103</v>
      </c>
      <c r="G312" s="3" t="s">
        <v>91</v>
      </c>
      <c r="H312" s="3">
        <v>5</v>
      </c>
      <c r="I312" s="3">
        <v>4</v>
      </c>
      <c r="J312" s="3">
        <v>4</v>
      </c>
      <c r="K312" s="3">
        <v>5</v>
      </c>
      <c r="L312" s="3">
        <v>5</v>
      </c>
      <c r="M312" s="3">
        <v>4</v>
      </c>
      <c r="N312" s="3">
        <v>4</v>
      </c>
      <c r="O312" s="3">
        <v>4</v>
      </c>
      <c r="P312" s="3">
        <v>5</v>
      </c>
      <c r="Q312" s="3">
        <v>5</v>
      </c>
      <c r="R312" s="3">
        <v>5</v>
      </c>
      <c r="S312" s="3">
        <v>5</v>
      </c>
      <c r="T312" s="3">
        <v>5</v>
      </c>
      <c r="U312" s="3">
        <v>5</v>
      </c>
      <c r="V312" s="3">
        <v>3</v>
      </c>
      <c r="W312" s="3">
        <v>3</v>
      </c>
      <c r="X312" s="3">
        <v>4</v>
      </c>
      <c r="Y312" s="3">
        <v>4</v>
      </c>
      <c r="Z312" s="3">
        <v>3</v>
      </c>
      <c r="AA312" s="3">
        <v>5</v>
      </c>
      <c r="AB312" s="3">
        <v>4</v>
      </c>
      <c r="AC312" s="3">
        <v>4</v>
      </c>
      <c r="AD312" s="3">
        <v>5</v>
      </c>
      <c r="AE312" s="3">
        <v>5</v>
      </c>
      <c r="AF312" s="3">
        <v>5</v>
      </c>
      <c r="AG312" s="3">
        <v>5</v>
      </c>
      <c r="AH312" s="3">
        <v>5</v>
      </c>
      <c r="AI312" s="3">
        <v>5</v>
      </c>
      <c r="AJ312" s="3">
        <v>5</v>
      </c>
      <c r="AK312" s="3">
        <v>5</v>
      </c>
      <c r="AL312" s="3">
        <v>5</v>
      </c>
      <c r="AM312" s="3">
        <v>5</v>
      </c>
      <c r="AN312" s="3">
        <v>4</v>
      </c>
      <c r="AO312" s="3">
        <v>4</v>
      </c>
      <c r="AP312" s="3">
        <v>4</v>
      </c>
      <c r="AQ312" s="3">
        <v>5</v>
      </c>
      <c r="AR312" s="3">
        <v>4</v>
      </c>
      <c r="AS312" s="3">
        <v>3</v>
      </c>
      <c r="AT312" s="3">
        <v>2</v>
      </c>
      <c r="AU312" s="3">
        <v>4</v>
      </c>
      <c r="AV312" s="3">
        <v>4</v>
      </c>
      <c r="AW312" s="3">
        <v>5</v>
      </c>
      <c r="AX312" s="3">
        <v>5</v>
      </c>
      <c r="AY312" s="3">
        <v>5</v>
      </c>
      <c r="AZ312" s="3">
        <v>5</v>
      </c>
      <c r="BA312" s="3">
        <v>4</v>
      </c>
      <c r="BB312" s="3">
        <v>4</v>
      </c>
      <c r="BC312" s="3">
        <v>4</v>
      </c>
      <c r="BD312" s="3">
        <v>4</v>
      </c>
      <c r="BE312" s="3">
        <v>4</v>
      </c>
      <c r="BF312" s="3">
        <v>4</v>
      </c>
      <c r="BG312" s="3">
        <v>5</v>
      </c>
      <c r="BH312" s="3">
        <v>5</v>
      </c>
      <c r="BI312" s="3">
        <v>5</v>
      </c>
      <c r="BJ312" s="3">
        <v>5</v>
      </c>
      <c r="BK312" s="3">
        <v>5</v>
      </c>
      <c r="BL312" s="3">
        <v>4</v>
      </c>
      <c r="BM312" s="3">
        <v>5</v>
      </c>
      <c r="BN312" s="3">
        <v>5</v>
      </c>
      <c r="BO312" s="3">
        <v>5</v>
      </c>
      <c r="BP312" s="3" t="s">
        <v>858</v>
      </c>
    </row>
    <row r="313" spans="1:68" ht="22.5" customHeight="1" x14ac:dyDescent="0.25">
      <c r="A313" s="2">
        <v>45986.399188715281</v>
      </c>
      <c r="B313" s="3" t="s">
        <v>859</v>
      </c>
      <c r="C313" s="3" t="s">
        <v>69</v>
      </c>
      <c r="D313" s="3" t="s">
        <v>148</v>
      </c>
      <c r="E313" s="3" t="s">
        <v>77</v>
      </c>
      <c r="F313" s="3" t="s">
        <v>82</v>
      </c>
      <c r="G313" s="3" t="s">
        <v>91</v>
      </c>
      <c r="H313" s="3">
        <v>4</v>
      </c>
      <c r="I313" s="3">
        <v>5</v>
      </c>
      <c r="J313" s="3">
        <v>4</v>
      </c>
      <c r="K313" s="3">
        <v>5</v>
      </c>
      <c r="L313" s="3">
        <v>4</v>
      </c>
      <c r="M313" s="3">
        <v>5</v>
      </c>
      <c r="N313" s="3">
        <v>4</v>
      </c>
      <c r="O313" s="3">
        <v>5</v>
      </c>
      <c r="P313" s="3">
        <v>4</v>
      </c>
      <c r="Q313" s="3">
        <v>4</v>
      </c>
      <c r="R313" s="3">
        <v>5</v>
      </c>
      <c r="S313" s="3">
        <v>4</v>
      </c>
      <c r="T313" s="3">
        <v>5</v>
      </c>
      <c r="U313" s="3">
        <v>4</v>
      </c>
      <c r="V313" s="3">
        <v>5</v>
      </c>
      <c r="W313" s="3">
        <v>4</v>
      </c>
      <c r="X313" s="3">
        <v>5</v>
      </c>
      <c r="Y313" s="3">
        <v>4</v>
      </c>
      <c r="Z313" s="3">
        <v>5</v>
      </c>
      <c r="AA313" s="3">
        <v>4</v>
      </c>
      <c r="AB313" s="3">
        <v>5</v>
      </c>
      <c r="AC313" s="3">
        <v>4</v>
      </c>
      <c r="AD313" s="3">
        <v>5</v>
      </c>
      <c r="AE313" s="3">
        <v>4</v>
      </c>
      <c r="AF313" s="3">
        <v>5</v>
      </c>
      <c r="AG313" s="3">
        <v>4</v>
      </c>
      <c r="AH313" s="3">
        <v>5</v>
      </c>
      <c r="AI313" s="3">
        <v>5</v>
      </c>
      <c r="AJ313" s="3">
        <v>4</v>
      </c>
      <c r="AK313" s="3">
        <v>5</v>
      </c>
      <c r="AL313" s="3">
        <v>4</v>
      </c>
      <c r="AM313" s="3">
        <v>5</v>
      </c>
      <c r="AN313" s="3">
        <v>4</v>
      </c>
      <c r="AO313" s="3">
        <v>5</v>
      </c>
      <c r="AP313" s="3">
        <v>4</v>
      </c>
      <c r="AQ313" s="3">
        <v>5</v>
      </c>
      <c r="AR313" s="3">
        <v>4</v>
      </c>
      <c r="AS313" s="3">
        <v>5</v>
      </c>
      <c r="AT313" s="3">
        <v>4</v>
      </c>
      <c r="AU313" s="3">
        <v>5</v>
      </c>
      <c r="AV313" s="3">
        <v>4</v>
      </c>
      <c r="AW313" s="3">
        <v>5</v>
      </c>
      <c r="AX313" s="3">
        <v>4</v>
      </c>
      <c r="AY313" s="3">
        <v>5</v>
      </c>
      <c r="AZ313" s="3">
        <v>4</v>
      </c>
      <c r="BA313" s="3">
        <v>4</v>
      </c>
      <c r="BB313" s="3">
        <v>5</v>
      </c>
      <c r="BC313" s="3">
        <v>4</v>
      </c>
      <c r="BD313" s="3">
        <v>5</v>
      </c>
      <c r="BE313" s="3">
        <v>4</v>
      </c>
      <c r="BF313" s="3">
        <v>5</v>
      </c>
      <c r="BG313" s="3">
        <v>4</v>
      </c>
      <c r="BH313" s="3">
        <v>5</v>
      </c>
      <c r="BI313" s="3">
        <v>4</v>
      </c>
      <c r="BJ313" s="3">
        <v>4</v>
      </c>
      <c r="BK313" s="3">
        <v>5</v>
      </c>
      <c r="BL313" s="3">
        <v>4</v>
      </c>
      <c r="BM313" s="3">
        <v>5</v>
      </c>
      <c r="BN313" s="3">
        <v>4</v>
      </c>
      <c r="BO313" s="3">
        <v>5</v>
      </c>
      <c r="BP313" s="3" t="s">
        <v>860</v>
      </c>
    </row>
    <row r="314" spans="1:68" ht="22.5" customHeight="1" x14ac:dyDescent="0.25">
      <c r="A314" s="2">
        <v>45986.399415277774</v>
      </c>
      <c r="B314" s="3" t="s">
        <v>861</v>
      </c>
      <c r="C314" s="3" t="s">
        <v>86</v>
      </c>
      <c r="D314" s="3" t="s">
        <v>862</v>
      </c>
      <c r="E314" s="3" t="s">
        <v>77</v>
      </c>
      <c r="F314" s="3" t="s">
        <v>88</v>
      </c>
      <c r="G314" s="3" t="s">
        <v>79</v>
      </c>
      <c r="H314" s="3">
        <v>5</v>
      </c>
      <c r="I314" s="3">
        <v>5</v>
      </c>
      <c r="J314" s="3">
        <v>5</v>
      </c>
      <c r="K314" s="3">
        <v>5</v>
      </c>
      <c r="L314" s="3">
        <v>5</v>
      </c>
      <c r="M314" s="3">
        <v>5</v>
      </c>
      <c r="N314" s="3">
        <v>5</v>
      </c>
      <c r="O314" s="3">
        <v>5</v>
      </c>
      <c r="P314" s="3">
        <v>5</v>
      </c>
      <c r="Q314" s="3">
        <v>5</v>
      </c>
      <c r="R314" s="3">
        <v>5</v>
      </c>
      <c r="S314" s="3">
        <v>5</v>
      </c>
      <c r="T314" s="3">
        <v>5</v>
      </c>
      <c r="U314" s="3">
        <v>5</v>
      </c>
      <c r="V314" s="3">
        <v>5</v>
      </c>
      <c r="W314" s="3">
        <v>5</v>
      </c>
      <c r="X314" s="3">
        <v>5</v>
      </c>
      <c r="Y314" s="3">
        <v>5</v>
      </c>
      <c r="Z314" s="3">
        <v>5</v>
      </c>
      <c r="AA314" s="3">
        <v>5</v>
      </c>
      <c r="AB314" s="3">
        <v>5</v>
      </c>
      <c r="AC314" s="3">
        <v>5</v>
      </c>
      <c r="AD314" s="3">
        <v>5</v>
      </c>
      <c r="AE314" s="3">
        <v>5</v>
      </c>
      <c r="AF314" s="3">
        <v>5</v>
      </c>
      <c r="AG314" s="3">
        <v>5</v>
      </c>
      <c r="AH314" s="3">
        <v>5</v>
      </c>
      <c r="AI314" s="3">
        <v>5</v>
      </c>
      <c r="AJ314" s="3">
        <v>5</v>
      </c>
      <c r="AK314" s="3">
        <v>5</v>
      </c>
      <c r="AL314" s="3">
        <v>5</v>
      </c>
      <c r="AM314" s="3">
        <v>5</v>
      </c>
      <c r="AN314" s="3">
        <v>5</v>
      </c>
      <c r="AO314" s="3">
        <v>5</v>
      </c>
      <c r="AP314" s="3">
        <v>5</v>
      </c>
      <c r="AQ314" s="3">
        <v>5</v>
      </c>
      <c r="AR314" s="3">
        <v>5</v>
      </c>
      <c r="AS314" s="3">
        <v>5</v>
      </c>
      <c r="AT314" s="3">
        <v>5</v>
      </c>
      <c r="AU314" s="3">
        <v>5</v>
      </c>
      <c r="AV314" s="3">
        <v>5</v>
      </c>
      <c r="AW314" s="3">
        <v>5</v>
      </c>
      <c r="AX314" s="3">
        <v>5</v>
      </c>
      <c r="AY314" s="3">
        <v>5</v>
      </c>
      <c r="AZ314" s="3">
        <v>5</v>
      </c>
      <c r="BA314" s="3">
        <v>5</v>
      </c>
      <c r="BB314" s="3">
        <v>5</v>
      </c>
      <c r="BC314" s="3">
        <v>5</v>
      </c>
      <c r="BD314" s="3">
        <v>5</v>
      </c>
      <c r="BE314" s="3">
        <v>5</v>
      </c>
      <c r="BF314" s="3">
        <v>5</v>
      </c>
      <c r="BG314" s="3">
        <v>5</v>
      </c>
      <c r="BH314" s="3">
        <v>5</v>
      </c>
      <c r="BI314" s="3">
        <v>5</v>
      </c>
      <c r="BJ314" s="3">
        <v>5</v>
      </c>
      <c r="BK314" s="3">
        <v>5</v>
      </c>
      <c r="BL314" s="3">
        <v>5</v>
      </c>
      <c r="BM314" s="3">
        <v>5</v>
      </c>
      <c r="BN314" s="3">
        <v>5</v>
      </c>
      <c r="BO314" s="3">
        <v>5</v>
      </c>
      <c r="BP314" s="3" t="s">
        <v>863</v>
      </c>
    </row>
    <row r="315" spans="1:68" ht="22.5" customHeight="1" x14ac:dyDescent="0.25">
      <c r="A315" s="2">
        <v>45986.463032164349</v>
      </c>
      <c r="B315" s="3" t="s">
        <v>864</v>
      </c>
      <c r="C315" s="3" t="s">
        <v>86</v>
      </c>
      <c r="D315" s="3" t="s">
        <v>865</v>
      </c>
      <c r="E315" s="3" t="s">
        <v>119</v>
      </c>
      <c r="F315" s="3" t="s">
        <v>82</v>
      </c>
      <c r="G315" s="3" t="s">
        <v>83</v>
      </c>
      <c r="H315" s="3">
        <v>5</v>
      </c>
      <c r="I315" s="3">
        <v>5</v>
      </c>
      <c r="J315" s="3">
        <v>5</v>
      </c>
      <c r="K315" s="3">
        <v>4</v>
      </c>
      <c r="L315" s="3">
        <v>4</v>
      </c>
      <c r="M315" s="3">
        <v>4</v>
      </c>
      <c r="N315" s="3">
        <v>4</v>
      </c>
      <c r="O315" s="3">
        <v>4</v>
      </c>
      <c r="P315" s="3">
        <v>5</v>
      </c>
      <c r="Q315" s="3">
        <v>5</v>
      </c>
      <c r="R315" s="3">
        <v>5</v>
      </c>
      <c r="S315" s="3">
        <v>5</v>
      </c>
      <c r="T315" s="3">
        <v>4</v>
      </c>
      <c r="U315" s="3">
        <v>5</v>
      </c>
      <c r="V315" s="3">
        <v>4</v>
      </c>
      <c r="W315" s="3">
        <v>4</v>
      </c>
      <c r="X315" s="3">
        <v>4</v>
      </c>
      <c r="Y315" s="3">
        <v>4</v>
      </c>
      <c r="Z315" s="3">
        <v>4</v>
      </c>
      <c r="AA315" s="3">
        <v>3</v>
      </c>
      <c r="AB315" s="3">
        <v>2</v>
      </c>
      <c r="AC315" s="3">
        <v>2</v>
      </c>
      <c r="AD315" s="3">
        <v>4</v>
      </c>
      <c r="AE315" s="3">
        <v>5</v>
      </c>
      <c r="AF315" s="3">
        <v>5</v>
      </c>
      <c r="AG315" s="3">
        <v>5</v>
      </c>
      <c r="AH315" s="3">
        <v>5</v>
      </c>
      <c r="AI315" s="3">
        <v>5</v>
      </c>
      <c r="AJ315" s="3">
        <v>5</v>
      </c>
      <c r="AK315" s="3">
        <v>5</v>
      </c>
      <c r="AL315" s="3">
        <v>5</v>
      </c>
      <c r="AM315" s="3">
        <v>5</v>
      </c>
      <c r="AN315" s="3">
        <v>5</v>
      </c>
      <c r="AO315" s="3">
        <v>5</v>
      </c>
      <c r="AP315" s="3">
        <v>5</v>
      </c>
      <c r="AQ315" s="3">
        <v>5</v>
      </c>
      <c r="AR315" s="3">
        <v>5</v>
      </c>
      <c r="AS315" s="3">
        <v>5</v>
      </c>
      <c r="AT315" s="3">
        <v>5</v>
      </c>
      <c r="AU315" s="3">
        <v>5</v>
      </c>
      <c r="AV315" s="3">
        <v>5</v>
      </c>
      <c r="AW315" s="3">
        <v>5</v>
      </c>
      <c r="AX315" s="3">
        <v>5</v>
      </c>
      <c r="AY315" s="3">
        <v>5</v>
      </c>
      <c r="AZ315" s="3">
        <v>5</v>
      </c>
      <c r="BA315" s="3">
        <v>4</v>
      </c>
      <c r="BB315" s="3">
        <v>4</v>
      </c>
      <c r="BC315" s="3">
        <v>4</v>
      </c>
      <c r="BD315" s="3">
        <v>4</v>
      </c>
      <c r="BE315" s="3">
        <v>4</v>
      </c>
      <c r="BF315" s="3">
        <v>4</v>
      </c>
      <c r="BG315" s="3">
        <v>5</v>
      </c>
      <c r="BH315" s="3">
        <v>5</v>
      </c>
      <c r="BI315" s="3">
        <v>5</v>
      </c>
      <c r="BJ315" s="3">
        <v>5</v>
      </c>
      <c r="BK315" s="3">
        <v>5</v>
      </c>
      <c r="BL315" s="3">
        <v>5</v>
      </c>
      <c r="BM315" s="3">
        <v>5</v>
      </c>
      <c r="BN315" s="3">
        <v>5</v>
      </c>
      <c r="BO315" s="3">
        <v>5</v>
      </c>
      <c r="BP315" s="3" t="s">
        <v>866</v>
      </c>
    </row>
    <row r="316" spans="1:68" ht="22.5" customHeight="1" x14ac:dyDescent="0.25">
      <c r="A316" s="2">
        <v>45986.464866006943</v>
      </c>
      <c r="B316" s="3" t="s">
        <v>867</v>
      </c>
      <c r="C316" s="3" t="s">
        <v>86</v>
      </c>
      <c r="D316" s="3" t="s">
        <v>868</v>
      </c>
      <c r="E316" s="3" t="s">
        <v>77</v>
      </c>
      <c r="F316" s="3" t="s">
        <v>78</v>
      </c>
      <c r="G316" s="3" t="s">
        <v>79</v>
      </c>
      <c r="H316" s="3">
        <v>4</v>
      </c>
      <c r="I316" s="3">
        <v>4</v>
      </c>
      <c r="J316" s="3">
        <v>4</v>
      </c>
      <c r="K316" s="3">
        <v>4</v>
      </c>
      <c r="L316" s="3">
        <v>4</v>
      </c>
      <c r="M316" s="3">
        <v>4</v>
      </c>
      <c r="N316" s="3">
        <v>4</v>
      </c>
      <c r="O316" s="3">
        <v>4</v>
      </c>
      <c r="P316" s="3">
        <v>4</v>
      </c>
      <c r="Q316" s="3">
        <v>4</v>
      </c>
      <c r="R316" s="3">
        <v>4</v>
      </c>
      <c r="S316" s="3">
        <v>4</v>
      </c>
      <c r="T316" s="3">
        <v>4</v>
      </c>
      <c r="U316" s="3">
        <v>4</v>
      </c>
      <c r="V316" s="3">
        <v>4</v>
      </c>
      <c r="W316" s="3">
        <v>4</v>
      </c>
      <c r="X316" s="3">
        <v>4</v>
      </c>
      <c r="Y316" s="3">
        <v>4</v>
      </c>
      <c r="Z316" s="3">
        <v>4</v>
      </c>
      <c r="AA316" s="3">
        <v>4</v>
      </c>
      <c r="AB316" s="3">
        <v>4</v>
      </c>
      <c r="AC316" s="3">
        <v>4</v>
      </c>
      <c r="AD316" s="3">
        <v>4</v>
      </c>
      <c r="AE316" s="3">
        <v>4</v>
      </c>
      <c r="AF316" s="3">
        <v>4</v>
      </c>
      <c r="AG316" s="3">
        <v>4</v>
      </c>
      <c r="AH316" s="3">
        <v>4</v>
      </c>
      <c r="AI316" s="3">
        <v>4</v>
      </c>
      <c r="AJ316" s="3">
        <v>4</v>
      </c>
      <c r="AK316" s="3">
        <v>4</v>
      </c>
      <c r="AL316" s="3">
        <v>4</v>
      </c>
      <c r="AM316" s="3">
        <v>4</v>
      </c>
      <c r="AN316" s="3">
        <v>4</v>
      </c>
      <c r="AO316" s="3">
        <v>4</v>
      </c>
      <c r="AP316" s="3">
        <v>4</v>
      </c>
      <c r="AQ316" s="3">
        <v>4</v>
      </c>
      <c r="AR316" s="3">
        <v>4</v>
      </c>
      <c r="AS316" s="3">
        <v>4</v>
      </c>
      <c r="AT316" s="3">
        <v>4</v>
      </c>
      <c r="AU316" s="3">
        <v>4</v>
      </c>
      <c r="AV316" s="3">
        <v>4</v>
      </c>
      <c r="AW316" s="3">
        <v>4</v>
      </c>
      <c r="AX316" s="3">
        <v>4</v>
      </c>
      <c r="AY316" s="3">
        <v>4</v>
      </c>
      <c r="AZ316" s="3">
        <v>4</v>
      </c>
      <c r="BA316" s="3">
        <v>4</v>
      </c>
      <c r="BB316" s="3">
        <v>4</v>
      </c>
      <c r="BC316" s="3">
        <v>4</v>
      </c>
      <c r="BD316" s="3">
        <v>4</v>
      </c>
      <c r="BE316" s="3">
        <v>4</v>
      </c>
      <c r="BF316" s="3">
        <v>4</v>
      </c>
      <c r="BG316" s="3">
        <v>4</v>
      </c>
      <c r="BH316" s="3">
        <v>4</v>
      </c>
      <c r="BI316" s="3">
        <v>4</v>
      </c>
      <c r="BJ316" s="3">
        <v>4</v>
      </c>
      <c r="BK316" s="3">
        <v>4</v>
      </c>
      <c r="BL316" s="3">
        <v>4</v>
      </c>
      <c r="BM316" s="3">
        <v>4</v>
      </c>
      <c r="BN316" s="3">
        <v>4</v>
      </c>
      <c r="BO316" s="3">
        <v>4</v>
      </c>
      <c r="BP316" s="3" t="s">
        <v>869</v>
      </c>
    </row>
    <row r="317" spans="1:68" ht="22.5" customHeight="1" x14ac:dyDescent="0.25">
      <c r="A317" s="2">
        <v>45986.466787592595</v>
      </c>
      <c r="B317" s="3" t="s">
        <v>870</v>
      </c>
      <c r="C317" s="3" t="s">
        <v>86</v>
      </c>
      <c r="D317" s="3" t="s">
        <v>865</v>
      </c>
      <c r="E317" s="3" t="s">
        <v>77</v>
      </c>
      <c r="F317" s="3" t="s">
        <v>88</v>
      </c>
      <c r="G317" s="3" t="s">
        <v>83</v>
      </c>
      <c r="H317" s="3">
        <v>5</v>
      </c>
      <c r="I317" s="3">
        <v>4</v>
      </c>
      <c r="J317" s="3">
        <v>4</v>
      </c>
      <c r="K317" s="3">
        <v>5</v>
      </c>
      <c r="L317" s="3">
        <v>3</v>
      </c>
      <c r="M317" s="3">
        <v>5</v>
      </c>
      <c r="N317" s="3">
        <v>3</v>
      </c>
      <c r="O317" s="3">
        <v>5</v>
      </c>
      <c r="P317" s="3">
        <v>4</v>
      </c>
      <c r="Q317" s="3">
        <v>5</v>
      </c>
      <c r="R317" s="3">
        <v>5</v>
      </c>
      <c r="S317" s="3">
        <v>4</v>
      </c>
      <c r="T317" s="3">
        <v>5</v>
      </c>
      <c r="U317" s="3">
        <v>5</v>
      </c>
      <c r="V317" s="3">
        <v>4</v>
      </c>
      <c r="W317" s="3">
        <v>4</v>
      </c>
      <c r="X317" s="3">
        <v>4</v>
      </c>
      <c r="Y317" s="3">
        <v>4</v>
      </c>
      <c r="Z317" s="3">
        <v>4</v>
      </c>
      <c r="AA317" s="3">
        <v>4</v>
      </c>
      <c r="AB317" s="3">
        <v>3</v>
      </c>
      <c r="AC317" s="3">
        <v>3</v>
      </c>
      <c r="AD317" s="3">
        <v>4</v>
      </c>
      <c r="AE317" s="3">
        <v>4</v>
      </c>
      <c r="AF317" s="3">
        <v>4</v>
      </c>
      <c r="AG317" s="3">
        <v>4</v>
      </c>
      <c r="AH317" s="3">
        <v>3</v>
      </c>
      <c r="AI317" s="3">
        <v>5</v>
      </c>
      <c r="AJ317" s="3">
        <v>5</v>
      </c>
      <c r="AK317" s="3">
        <v>4</v>
      </c>
      <c r="AL317" s="3">
        <v>4</v>
      </c>
      <c r="AM317" s="3">
        <v>4</v>
      </c>
      <c r="AN317" s="3">
        <v>4</v>
      </c>
      <c r="AO317" s="3">
        <v>4</v>
      </c>
      <c r="AP317" s="3">
        <v>4</v>
      </c>
      <c r="AQ317" s="3">
        <v>3</v>
      </c>
      <c r="AR317" s="3">
        <v>4</v>
      </c>
      <c r="AS317" s="3">
        <v>4</v>
      </c>
      <c r="AT317" s="3">
        <v>4</v>
      </c>
      <c r="AU317" s="3">
        <v>4</v>
      </c>
      <c r="AV317" s="3">
        <v>4</v>
      </c>
      <c r="AW317" s="3">
        <v>5</v>
      </c>
      <c r="AX317" s="3">
        <v>5</v>
      </c>
      <c r="AY317" s="3">
        <v>5</v>
      </c>
      <c r="AZ317" s="3">
        <v>5</v>
      </c>
      <c r="BA317" s="3">
        <v>3</v>
      </c>
      <c r="BB317" s="3">
        <v>3</v>
      </c>
      <c r="BC317" s="3">
        <v>3</v>
      </c>
      <c r="BD317" s="3">
        <v>3</v>
      </c>
      <c r="BE317" s="3">
        <v>3</v>
      </c>
      <c r="BF317" s="3">
        <v>3</v>
      </c>
      <c r="BG317" s="3">
        <v>5</v>
      </c>
      <c r="BH317" s="3">
        <v>5</v>
      </c>
      <c r="BI317" s="3">
        <v>5</v>
      </c>
      <c r="BJ317" s="3">
        <v>4</v>
      </c>
      <c r="BK317" s="3">
        <v>4</v>
      </c>
      <c r="BL317" s="3">
        <v>4</v>
      </c>
      <c r="BM317" s="3">
        <v>4</v>
      </c>
      <c r="BN317" s="3">
        <v>4</v>
      </c>
      <c r="BO317" s="3">
        <v>4</v>
      </c>
      <c r="BP317" s="3" t="s">
        <v>871</v>
      </c>
    </row>
    <row r="318" spans="1:68" ht="22.5" customHeight="1" x14ac:dyDescent="0.25">
      <c r="A318" s="2">
        <v>45986.469134386571</v>
      </c>
      <c r="B318" s="3" t="s">
        <v>872</v>
      </c>
      <c r="C318" s="3" t="s">
        <v>86</v>
      </c>
      <c r="D318" s="3" t="s">
        <v>865</v>
      </c>
      <c r="E318" s="3" t="s">
        <v>873</v>
      </c>
      <c r="F318" s="3" t="s">
        <v>88</v>
      </c>
      <c r="G318" s="3" t="s">
        <v>83</v>
      </c>
      <c r="H318" s="3">
        <v>5</v>
      </c>
      <c r="I318" s="3">
        <v>4</v>
      </c>
      <c r="J318" s="3">
        <v>4</v>
      </c>
      <c r="K318" s="3">
        <v>3</v>
      </c>
      <c r="L318" s="3">
        <v>3</v>
      </c>
      <c r="M318" s="3">
        <v>3</v>
      </c>
      <c r="N318" s="3">
        <v>3</v>
      </c>
      <c r="O318" s="3">
        <v>4</v>
      </c>
      <c r="P318" s="3">
        <v>4</v>
      </c>
      <c r="Q318" s="3">
        <v>4</v>
      </c>
      <c r="R318" s="3">
        <v>4</v>
      </c>
      <c r="S318" s="3">
        <v>4</v>
      </c>
      <c r="T318" s="3">
        <v>4</v>
      </c>
      <c r="U318" s="3">
        <v>4</v>
      </c>
      <c r="V318" s="3">
        <v>3</v>
      </c>
      <c r="W318" s="3">
        <v>3</v>
      </c>
      <c r="X318" s="3">
        <v>3</v>
      </c>
      <c r="Y318" s="3">
        <v>3</v>
      </c>
      <c r="Z318" s="3">
        <v>3</v>
      </c>
      <c r="AA318" s="3">
        <v>3</v>
      </c>
      <c r="AB318" s="3">
        <v>3</v>
      </c>
      <c r="AC318" s="3">
        <v>4</v>
      </c>
      <c r="AD318" s="3">
        <v>4</v>
      </c>
      <c r="AE318" s="3">
        <v>3</v>
      </c>
      <c r="AF318" s="3">
        <v>3</v>
      </c>
      <c r="AG318" s="3">
        <v>3</v>
      </c>
      <c r="AH318" s="3">
        <v>3</v>
      </c>
      <c r="AI318" s="3">
        <v>4</v>
      </c>
      <c r="AJ318" s="3">
        <v>4</v>
      </c>
      <c r="AK318" s="3">
        <v>4</v>
      </c>
      <c r="AL318" s="3">
        <v>4</v>
      </c>
      <c r="AM318" s="3">
        <v>4</v>
      </c>
      <c r="AN318" s="3">
        <v>3</v>
      </c>
      <c r="AO318" s="3">
        <v>3</v>
      </c>
      <c r="AP318" s="3">
        <v>3</v>
      </c>
      <c r="AQ318" s="3">
        <v>3</v>
      </c>
      <c r="AR318" s="3">
        <v>3</v>
      </c>
      <c r="AS318" s="3">
        <v>3</v>
      </c>
      <c r="AT318" s="3">
        <v>3</v>
      </c>
      <c r="AU318" s="3">
        <v>3</v>
      </c>
      <c r="AV318" s="3">
        <v>3</v>
      </c>
      <c r="AW318" s="3">
        <v>4</v>
      </c>
      <c r="AX318" s="3">
        <v>4</v>
      </c>
      <c r="AY318" s="3">
        <v>4</v>
      </c>
      <c r="AZ318" s="3">
        <v>4</v>
      </c>
      <c r="BA318" s="3">
        <v>3</v>
      </c>
      <c r="BB318" s="3">
        <v>3</v>
      </c>
      <c r="BC318" s="3">
        <v>3</v>
      </c>
      <c r="BD318" s="3">
        <v>3</v>
      </c>
      <c r="BE318" s="3">
        <v>3</v>
      </c>
      <c r="BF318" s="3">
        <v>3</v>
      </c>
      <c r="BG318" s="3">
        <v>3</v>
      </c>
      <c r="BH318" s="3">
        <v>4</v>
      </c>
      <c r="BI318" s="3">
        <v>4</v>
      </c>
      <c r="BJ318" s="3">
        <v>3</v>
      </c>
      <c r="BK318" s="3">
        <v>4</v>
      </c>
      <c r="BL318" s="3">
        <v>4</v>
      </c>
      <c r="BM318" s="3">
        <v>4</v>
      </c>
      <c r="BN318" s="3">
        <v>4</v>
      </c>
      <c r="BO318" s="3">
        <v>4</v>
      </c>
      <c r="BP318" s="3" t="s">
        <v>874</v>
      </c>
    </row>
    <row r="319" spans="1:68" ht="22.5" customHeight="1" x14ac:dyDescent="0.25">
      <c r="A319" s="2">
        <v>45986.469420740745</v>
      </c>
      <c r="B319" s="3" t="s">
        <v>875</v>
      </c>
      <c r="C319" s="3" t="s">
        <v>86</v>
      </c>
      <c r="D319" s="3" t="s">
        <v>876</v>
      </c>
      <c r="E319" s="3" t="s">
        <v>71</v>
      </c>
      <c r="F319" s="3" t="s">
        <v>82</v>
      </c>
      <c r="G319" s="3" t="s">
        <v>91</v>
      </c>
      <c r="H319" s="3">
        <v>5</v>
      </c>
      <c r="I319" s="3">
        <v>5</v>
      </c>
      <c r="J319" s="3">
        <v>5</v>
      </c>
      <c r="K319" s="3">
        <v>3</v>
      </c>
      <c r="L319" s="3">
        <v>5</v>
      </c>
      <c r="M319" s="3">
        <v>3</v>
      </c>
      <c r="N319" s="3">
        <v>3</v>
      </c>
      <c r="O319" s="3">
        <v>5</v>
      </c>
      <c r="P319" s="3">
        <v>5</v>
      </c>
      <c r="Q319" s="3">
        <v>5</v>
      </c>
      <c r="R319" s="3">
        <v>5</v>
      </c>
      <c r="S319" s="3">
        <v>5</v>
      </c>
      <c r="T319" s="3">
        <v>5</v>
      </c>
      <c r="U319" s="3">
        <v>5</v>
      </c>
      <c r="V319" s="3">
        <v>4</v>
      </c>
      <c r="W319" s="3">
        <v>4</v>
      </c>
      <c r="X319" s="3">
        <v>3</v>
      </c>
      <c r="Y319" s="3">
        <v>4</v>
      </c>
      <c r="Z319" s="3">
        <v>5</v>
      </c>
      <c r="AA319" s="3">
        <v>3</v>
      </c>
      <c r="AB319" s="3">
        <v>3</v>
      </c>
      <c r="AC319" s="3">
        <v>1</v>
      </c>
      <c r="AD319" s="3">
        <v>3</v>
      </c>
      <c r="AE319" s="3">
        <v>5</v>
      </c>
      <c r="AF319" s="3">
        <v>5</v>
      </c>
      <c r="AG319" s="3">
        <v>5</v>
      </c>
      <c r="AH319" s="3">
        <v>4</v>
      </c>
      <c r="AI319" s="3">
        <v>5</v>
      </c>
      <c r="AJ319" s="3">
        <v>5</v>
      </c>
      <c r="AK319" s="3">
        <v>5</v>
      </c>
      <c r="AL319" s="3">
        <v>5</v>
      </c>
      <c r="AM319" s="3">
        <v>5</v>
      </c>
      <c r="AN319" s="3">
        <v>4</v>
      </c>
      <c r="AO319" s="3">
        <v>4</v>
      </c>
      <c r="AP319" s="3">
        <v>5</v>
      </c>
      <c r="AQ319" s="3">
        <v>5</v>
      </c>
      <c r="AR319" s="3">
        <v>5</v>
      </c>
      <c r="AS319" s="3">
        <v>4</v>
      </c>
      <c r="AT319" s="3">
        <v>5</v>
      </c>
      <c r="AU319" s="3">
        <v>5</v>
      </c>
      <c r="AV319" s="3">
        <v>5</v>
      </c>
      <c r="AW319" s="3">
        <v>5</v>
      </c>
      <c r="AX319" s="3">
        <v>5</v>
      </c>
      <c r="AY319" s="3">
        <v>5</v>
      </c>
      <c r="AZ319" s="3">
        <v>5</v>
      </c>
      <c r="BA319" s="3">
        <v>3</v>
      </c>
      <c r="BB319" s="3">
        <v>3</v>
      </c>
      <c r="BC319" s="3">
        <v>3</v>
      </c>
      <c r="BD319" s="3">
        <v>3</v>
      </c>
      <c r="BE319" s="3">
        <v>3</v>
      </c>
      <c r="BF319" s="3">
        <v>3</v>
      </c>
      <c r="BG319" s="3">
        <v>5</v>
      </c>
      <c r="BH319" s="3">
        <v>5</v>
      </c>
      <c r="BI319" s="3">
        <v>5</v>
      </c>
      <c r="BJ319" s="3">
        <v>5</v>
      </c>
      <c r="BK319" s="3">
        <v>5</v>
      </c>
      <c r="BL319" s="3">
        <v>5</v>
      </c>
      <c r="BM319" s="3">
        <v>5</v>
      </c>
      <c r="BN319" s="3">
        <v>5</v>
      </c>
      <c r="BO319" s="3">
        <v>5</v>
      </c>
      <c r="BP319" s="3" t="s">
        <v>877</v>
      </c>
    </row>
    <row r="320" spans="1:68" ht="22.5" customHeight="1" x14ac:dyDescent="0.25">
      <c r="A320" s="2">
        <v>45986.47026923611</v>
      </c>
      <c r="B320" s="3" t="s">
        <v>878</v>
      </c>
      <c r="C320" s="3" t="s">
        <v>86</v>
      </c>
      <c r="D320" s="3" t="s">
        <v>272</v>
      </c>
      <c r="E320" s="3" t="s">
        <v>77</v>
      </c>
      <c r="F320" s="3" t="s">
        <v>88</v>
      </c>
      <c r="G320" s="3" t="s">
        <v>83</v>
      </c>
      <c r="H320" s="3">
        <v>5</v>
      </c>
      <c r="I320" s="3">
        <v>4</v>
      </c>
      <c r="J320" s="3">
        <v>5</v>
      </c>
      <c r="K320" s="3">
        <v>3</v>
      </c>
      <c r="L320" s="3">
        <v>4</v>
      </c>
      <c r="M320" s="3">
        <v>3</v>
      </c>
      <c r="N320" s="3">
        <v>2</v>
      </c>
      <c r="O320" s="3">
        <v>4</v>
      </c>
      <c r="P320" s="3">
        <v>5</v>
      </c>
      <c r="Q320" s="3">
        <v>4</v>
      </c>
      <c r="R320" s="3">
        <v>4</v>
      </c>
      <c r="S320" s="3">
        <v>4</v>
      </c>
      <c r="T320" s="3">
        <v>5</v>
      </c>
      <c r="U320" s="3">
        <v>5</v>
      </c>
      <c r="V320" s="3">
        <v>3</v>
      </c>
      <c r="W320" s="3">
        <v>4</v>
      </c>
      <c r="X320" s="3">
        <v>4</v>
      </c>
      <c r="Y320" s="3">
        <v>5</v>
      </c>
      <c r="Z320" s="3">
        <v>4</v>
      </c>
      <c r="AA320" s="3">
        <v>4</v>
      </c>
      <c r="AB320" s="3">
        <v>4</v>
      </c>
      <c r="AC320" s="3">
        <v>3</v>
      </c>
      <c r="AD320" s="3">
        <v>5</v>
      </c>
      <c r="AE320" s="3">
        <v>4</v>
      </c>
      <c r="AF320" s="3">
        <v>3</v>
      </c>
      <c r="AG320" s="3">
        <v>4</v>
      </c>
      <c r="AH320" s="3">
        <v>4</v>
      </c>
      <c r="AI320" s="3">
        <v>4</v>
      </c>
      <c r="AJ320" s="3">
        <v>4</v>
      </c>
      <c r="AK320" s="3">
        <v>5</v>
      </c>
      <c r="AL320" s="3">
        <v>4</v>
      </c>
      <c r="AM320" s="3">
        <v>4</v>
      </c>
      <c r="AN320" s="3">
        <v>4</v>
      </c>
      <c r="AO320" s="3">
        <v>3</v>
      </c>
      <c r="AP320" s="3">
        <v>4</v>
      </c>
      <c r="AQ320" s="3">
        <v>4</v>
      </c>
      <c r="AR320" s="3">
        <v>3</v>
      </c>
      <c r="AS320" s="3">
        <v>3</v>
      </c>
      <c r="AT320" s="3">
        <v>3</v>
      </c>
      <c r="AU320" s="3">
        <v>3</v>
      </c>
      <c r="AV320" s="3">
        <v>4</v>
      </c>
      <c r="AW320" s="3">
        <v>5</v>
      </c>
      <c r="AX320" s="3">
        <v>5</v>
      </c>
      <c r="AY320" s="3">
        <v>5</v>
      </c>
      <c r="AZ320" s="3">
        <v>5</v>
      </c>
      <c r="BA320" s="3">
        <v>4</v>
      </c>
      <c r="BB320" s="3">
        <v>3</v>
      </c>
      <c r="BC320" s="3">
        <v>3</v>
      </c>
      <c r="BD320" s="3">
        <v>3</v>
      </c>
      <c r="BE320" s="3">
        <v>2</v>
      </c>
      <c r="BF320" s="3">
        <v>2</v>
      </c>
      <c r="BG320" s="3">
        <v>4</v>
      </c>
      <c r="BH320" s="3">
        <v>4</v>
      </c>
      <c r="BI320" s="3">
        <v>5</v>
      </c>
      <c r="BJ320" s="3">
        <v>5</v>
      </c>
      <c r="BK320" s="3">
        <v>5</v>
      </c>
      <c r="BL320" s="3">
        <v>5</v>
      </c>
      <c r="BM320" s="3">
        <v>5</v>
      </c>
      <c r="BN320" s="3">
        <v>3</v>
      </c>
      <c r="BO320" s="3">
        <v>5</v>
      </c>
      <c r="BP320" s="3" t="s">
        <v>879</v>
      </c>
    </row>
    <row r="321" spans="1:68" ht="22.5" customHeight="1" x14ac:dyDescent="0.25">
      <c r="A321" s="2">
        <v>45986.470387939815</v>
      </c>
      <c r="B321" s="3" t="s">
        <v>880</v>
      </c>
      <c r="C321" s="3" t="s">
        <v>86</v>
      </c>
      <c r="D321" s="3" t="s">
        <v>272</v>
      </c>
      <c r="E321" s="3" t="s">
        <v>87</v>
      </c>
      <c r="F321" s="3" t="s">
        <v>88</v>
      </c>
      <c r="G321" s="3" t="s">
        <v>83</v>
      </c>
      <c r="H321" s="3">
        <v>5</v>
      </c>
      <c r="I321" s="3">
        <v>5</v>
      </c>
      <c r="J321" s="3">
        <v>5</v>
      </c>
      <c r="K321" s="3">
        <v>3</v>
      </c>
      <c r="L321" s="3">
        <v>5</v>
      </c>
      <c r="M321" s="3">
        <v>3</v>
      </c>
      <c r="N321" s="3">
        <v>3</v>
      </c>
      <c r="O321" s="3">
        <v>5</v>
      </c>
      <c r="P321" s="3">
        <v>4</v>
      </c>
      <c r="Q321" s="3">
        <v>5</v>
      </c>
      <c r="R321" s="3">
        <v>5</v>
      </c>
      <c r="S321" s="3">
        <v>5</v>
      </c>
      <c r="T321" s="3">
        <v>5</v>
      </c>
      <c r="U321" s="3">
        <v>5</v>
      </c>
      <c r="V321" s="3">
        <v>4</v>
      </c>
      <c r="W321" s="3">
        <v>3</v>
      </c>
      <c r="X321" s="3">
        <v>4</v>
      </c>
      <c r="Y321" s="3">
        <v>4</v>
      </c>
      <c r="Z321" s="3">
        <v>4</v>
      </c>
      <c r="AA321" s="3">
        <v>5</v>
      </c>
      <c r="AB321" s="3">
        <v>5</v>
      </c>
      <c r="AC321" s="3">
        <v>4</v>
      </c>
      <c r="AD321" s="3">
        <v>5</v>
      </c>
      <c r="AE321" s="3">
        <v>5</v>
      </c>
      <c r="AF321" s="3">
        <v>5</v>
      </c>
      <c r="AG321" s="3">
        <v>5</v>
      </c>
      <c r="AH321" s="3">
        <v>3</v>
      </c>
      <c r="AI321" s="3">
        <v>5</v>
      </c>
      <c r="AJ321" s="3">
        <v>5</v>
      </c>
      <c r="AK321" s="3">
        <v>5</v>
      </c>
      <c r="AL321" s="3">
        <v>5</v>
      </c>
      <c r="AM321" s="3">
        <v>5</v>
      </c>
      <c r="AN321" s="3">
        <v>4</v>
      </c>
      <c r="AO321" s="3">
        <v>4</v>
      </c>
      <c r="AP321" s="3">
        <v>4</v>
      </c>
      <c r="AQ321" s="3">
        <v>4</v>
      </c>
      <c r="AR321" s="3">
        <v>4</v>
      </c>
      <c r="AS321" s="3">
        <v>3</v>
      </c>
      <c r="AT321" s="3">
        <v>4</v>
      </c>
      <c r="AU321" s="3">
        <v>4</v>
      </c>
      <c r="AV321" s="3">
        <v>4</v>
      </c>
      <c r="AW321" s="3">
        <v>5</v>
      </c>
      <c r="AX321" s="3">
        <v>5</v>
      </c>
      <c r="AY321" s="3">
        <v>5</v>
      </c>
      <c r="AZ321" s="3">
        <v>5</v>
      </c>
      <c r="BA321" s="3">
        <v>5</v>
      </c>
      <c r="BB321" s="3">
        <v>5</v>
      </c>
      <c r="BC321" s="3">
        <v>4</v>
      </c>
      <c r="BD321" s="3">
        <v>4</v>
      </c>
      <c r="BE321" s="3">
        <v>4</v>
      </c>
      <c r="BF321" s="3">
        <v>4</v>
      </c>
      <c r="BG321" s="3">
        <v>5</v>
      </c>
      <c r="BH321" s="3">
        <v>5</v>
      </c>
      <c r="BI321" s="3">
        <v>5</v>
      </c>
      <c r="BJ321" s="3">
        <v>5</v>
      </c>
      <c r="BK321" s="3">
        <v>5</v>
      </c>
      <c r="BL321" s="3">
        <v>5</v>
      </c>
      <c r="BM321" s="3">
        <v>5</v>
      </c>
      <c r="BN321" s="3">
        <v>4</v>
      </c>
      <c r="BO321" s="3">
        <v>5</v>
      </c>
      <c r="BP321" s="3" t="s">
        <v>881</v>
      </c>
    </row>
    <row r="322" spans="1:68" ht="22.5" customHeight="1" x14ac:dyDescent="0.25">
      <c r="A322" s="2">
        <v>45986.471057175921</v>
      </c>
      <c r="B322" s="3" t="s">
        <v>882</v>
      </c>
      <c r="C322" s="3" t="s">
        <v>69</v>
      </c>
      <c r="D322" s="3" t="s">
        <v>865</v>
      </c>
      <c r="E322" s="3" t="s">
        <v>77</v>
      </c>
      <c r="F322" s="3" t="s">
        <v>78</v>
      </c>
      <c r="G322" s="3" t="s">
        <v>79</v>
      </c>
      <c r="H322" s="3">
        <v>5</v>
      </c>
      <c r="I322" s="3">
        <v>5</v>
      </c>
      <c r="J322" s="3">
        <v>5</v>
      </c>
      <c r="K322" s="3">
        <v>5</v>
      </c>
      <c r="L322" s="3">
        <v>5</v>
      </c>
      <c r="M322" s="3">
        <v>4</v>
      </c>
      <c r="N322" s="3">
        <v>5</v>
      </c>
      <c r="O322" s="3">
        <v>4</v>
      </c>
      <c r="P322" s="3">
        <v>5</v>
      </c>
      <c r="Q322" s="3">
        <v>4</v>
      </c>
      <c r="R322" s="3">
        <v>4</v>
      </c>
      <c r="S322" s="3">
        <v>4</v>
      </c>
      <c r="T322" s="3">
        <v>4</v>
      </c>
      <c r="U322" s="3">
        <v>4</v>
      </c>
      <c r="V322" s="3">
        <v>4</v>
      </c>
      <c r="W322" s="3">
        <v>4</v>
      </c>
      <c r="X322" s="3">
        <v>4</v>
      </c>
      <c r="Y322" s="3">
        <v>4</v>
      </c>
      <c r="Z322" s="3">
        <v>4</v>
      </c>
      <c r="AA322" s="3">
        <v>5</v>
      </c>
      <c r="AB322" s="3">
        <v>4</v>
      </c>
      <c r="AC322" s="3">
        <v>4</v>
      </c>
      <c r="AD322" s="3">
        <v>4</v>
      </c>
      <c r="AE322" s="3">
        <v>4</v>
      </c>
      <c r="AF322" s="3">
        <v>4</v>
      </c>
      <c r="AG322" s="3">
        <v>4</v>
      </c>
      <c r="AH322" s="3">
        <v>4</v>
      </c>
      <c r="AI322" s="3">
        <v>4</v>
      </c>
      <c r="AJ322" s="3">
        <v>4</v>
      </c>
      <c r="AK322" s="3">
        <v>4</v>
      </c>
      <c r="AL322" s="3">
        <v>4</v>
      </c>
      <c r="AM322" s="3">
        <v>4</v>
      </c>
      <c r="AN322" s="3">
        <v>4</v>
      </c>
      <c r="AO322" s="3">
        <v>4</v>
      </c>
      <c r="AP322" s="3">
        <v>4</v>
      </c>
      <c r="AQ322" s="3">
        <v>4</v>
      </c>
      <c r="AR322" s="3">
        <v>4</v>
      </c>
      <c r="AS322" s="3">
        <v>4</v>
      </c>
      <c r="AT322" s="3">
        <v>4</v>
      </c>
      <c r="AU322" s="3">
        <v>4</v>
      </c>
      <c r="AV322" s="3">
        <v>4</v>
      </c>
      <c r="AW322" s="3">
        <v>4</v>
      </c>
      <c r="AX322" s="3">
        <v>4</v>
      </c>
      <c r="AY322" s="3">
        <v>4</v>
      </c>
      <c r="AZ322" s="3">
        <v>4</v>
      </c>
      <c r="BA322" s="3">
        <v>4</v>
      </c>
      <c r="BB322" s="3">
        <v>4</v>
      </c>
      <c r="BC322" s="3">
        <v>4</v>
      </c>
      <c r="BD322" s="3">
        <v>4</v>
      </c>
      <c r="BE322" s="3">
        <v>4</v>
      </c>
      <c r="BF322" s="3">
        <v>4</v>
      </c>
      <c r="BG322" s="3">
        <v>4</v>
      </c>
      <c r="BH322" s="3">
        <v>4</v>
      </c>
      <c r="BI322" s="3">
        <v>4</v>
      </c>
      <c r="BJ322" s="3">
        <v>4</v>
      </c>
      <c r="BK322" s="3">
        <v>4</v>
      </c>
      <c r="BL322" s="3">
        <v>4</v>
      </c>
      <c r="BM322" s="3">
        <v>4</v>
      </c>
      <c r="BN322" s="3">
        <v>4</v>
      </c>
      <c r="BO322" s="3">
        <v>4</v>
      </c>
      <c r="BP322" s="3" t="s">
        <v>883</v>
      </c>
    </row>
    <row r="323" spans="1:68" ht="22.5" customHeight="1" x14ac:dyDescent="0.25">
      <c r="A323" s="2">
        <v>45986.471653703702</v>
      </c>
      <c r="B323" s="3" t="s">
        <v>884</v>
      </c>
      <c r="C323" s="3" t="s">
        <v>86</v>
      </c>
      <c r="D323" s="3" t="s">
        <v>885</v>
      </c>
      <c r="E323" s="3" t="s">
        <v>77</v>
      </c>
      <c r="F323" s="3" t="s">
        <v>78</v>
      </c>
      <c r="G323" s="3" t="s">
        <v>79</v>
      </c>
      <c r="H323" s="3">
        <v>4</v>
      </c>
      <c r="I323" s="3">
        <v>4</v>
      </c>
      <c r="J323" s="3">
        <v>4</v>
      </c>
      <c r="K323" s="3">
        <v>4</v>
      </c>
      <c r="L323" s="3">
        <v>4</v>
      </c>
      <c r="M323" s="3">
        <v>4</v>
      </c>
      <c r="N323" s="3">
        <v>4</v>
      </c>
      <c r="O323" s="3">
        <v>4</v>
      </c>
      <c r="P323" s="3">
        <v>4</v>
      </c>
      <c r="Q323" s="3">
        <v>4</v>
      </c>
      <c r="R323" s="3">
        <v>4</v>
      </c>
      <c r="S323" s="3">
        <v>4</v>
      </c>
      <c r="T323" s="3">
        <v>4</v>
      </c>
      <c r="U323" s="3">
        <v>4</v>
      </c>
      <c r="V323" s="3">
        <v>4</v>
      </c>
      <c r="W323" s="3">
        <v>4</v>
      </c>
      <c r="X323" s="3">
        <v>4</v>
      </c>
      <c r="Y323" s="3">
        <v>4</v>
      </c>
      <c r="Z323" s="3">
        <v>4</v>
      </c>
      <c r="AA323" s="3">
        <v>4</v>
      </c>
      <c r="AB323" s="3">
        <v>4</v>
      </c>
      <c r="AC323" s="3">
        <v>4</v>
      </c>
      <c r="AD323" s="3">
        <v>5</v>
      </c>
      <c r="AE323" s="3">
        <v>5</v>
      </c>
      <c r="AF323" s="3">
        <v>4</v>
      </c>
      <c r="AG323" s="3">
        <v>4</v>
      </c>
      <c r="AH323" s="3">
        <v>4</v>
      </c>
      <c r="AI323" s="3">
        <v>4</v>
      </c>
      <c r="AJ323" s="3">
        <v>5</v>
      </c>
      <c r="AK323" s="3">
        <v>4</v>
      </c>
      <c r="AL323" s="3">
        <v>5</v>
      </c>
      <c r="AM323" s="3">
        <v>4</v>
      </c>
      <c r="AN323" s="3">
        <v>4</v>
      </c>
      <c r="AO323" s="3">
        <v>4</v>
      </c>
      <c r="AP323" s="3">
        <v>4</v>
      </c>
      <c r="AQ323" s="3">
        <v>5</v>
      </c>
      <c r="AR323" s="3">
        <v>4</v>
      </c>
      <c r="AS323" s="3">
        <v>4</v>
      </c>
      <c r="AT323" s="3">
        <v>4</v>
      </c>
      <c r="AU323" s="3">
        <v>4</v>
      </c>
      <c r="AV323" s="3">
        <v>4</v>
      </c>
      <c r="AW323" s="3">
        <v>5</v>
      </c>
      <c r="AX323" s="3">
        <v>5</v>
      </c>
      <c r="AY323" s="3">
        <v>5</v>
      </c>
      <c r="AZ323" s="3">
        <v>5</v>
      </c>
      <c r="BA323" s="3">
        <v>4</v>
      </c>
      <c r="BB323" s="3">
        <v>4</v>
      </c>
      <c r="BC323" s="3">
        <v>5</v>
      </c>
      <c r="BD323" s="3">
        <v>4</v>
      </c>
      <c r="BE323" s="3">
        <v>5</v>
      </c>
      <c r="BF323" s="3">
        <v>4</v>
      </c>
      <c r="BG323" s="3">
        <v>5</v>
      </c>
      <c r="BH323" s="3">
        <v>5</v>
      </c>
      <c r="BI323" s="3">
        <v>5</v>
      </c>
      <c r="BJ323" s="3">
        <v>5</v>
      </c>
      <c r="BK323" s="3">
        <v>5</v>
      </c>
      <c r="BL323" s="3">
        <v>5</v>
      </c>
      <c r="BM323" s="3">
        <v>5</v>
      </c>
      <c r="BN323" s="3">
        <v>5</v>
      </c>
      <c r="BO323" s="3">
        <v>5</v>
      </c>
      <c r="BP323" s="3" t="s">
        <v>886</v>
      </c>
    </row>
    <row r="324" spans="1:68" ht="22.5" customHeight="1" x14ac:dyDescent="0.25">
      <c r="A324" s="2">
        <v>45986.472306898148</v>
      </c>
      <c r="B324" s="3" t="s">
        <v>887</v>
      </c>
      <c r="C324" s="3" t="s">
        <v>86</v>
      </c>
      <c r="D324" s="3" t="s">
        <v>885</v>
      </c>
      <c r="E324" s="3" t="s">
        <v>87</v>
      </c>
      <c r="F324" s="3" t="s">
        <v>82</v>
      </c>
      <c r="G324" s="3" t="s">
        <v>83</v>
      </c>
      <c r="H324" s="3">
        <v>5</v>
      </c>
      <c r="I324" s="3">
        <v>5</v>
      </c>
      <c r="J324" s="3">
        <v>5</v>
      </c>
      <c r="K324" s="3">
        <v>5</v>
      </c>
      <c r="L324" s="3">
        <v>5</v>
      </c>
      <c r="M324" s="3">
        <v>5</v>
      </c>
      <c r="N324" s="3">
        <v>3</v>
      </c>
      <c r="O324" s="3">
        <v>5</v>
      </c>
      <c r="P324" s="3">
        <v>5</v>
      </c>
      <c r="Q324" s="3">
        <v>5</v>
      </c>
      <c r="R324" s="3">
        <v>5</v>
      </c>
      <c r="S324" s="3">
        <v>5</v>
      </c>
      <c r="T324" s="3">
        <v>5</v>
      </c>
      <c r="U324" s="3">
        <v>5</v>
      </c>
      <c r="V324" s="3">
        <v>5</v>
      </c>
      <c r="W324" s="3">
        <v>4</v>
      </c>
      <c r="X324" s="3">
        <v>4</v>
      </c>
      <c r="Y324" s="3">
        <v>4</v>
      </c>
      <c r="Z324" s="3">
        <v>4</v>
      </c>
      <c r="AA324" s="3">
        <v>5</v>
      </c>
      <c r="AB324" s="3">
        <v>5</v>
      </c>
      <c r="AC324" s="3">
        <v>5</v>
      </c>
      <c r="AD324" s="3">
        <v>5</v>
      </c>
      <c r="AE324" s="3">
        <v>5</v>
      </c>
      <c r="AF324" s="3">
        <v>5</v>
      </c>
      <c r="AG324" s="3">
        <v>5</v>
      </c>
      <c r="AH324" s="3">
        <v>5</v>
      </c>
      <c r="AI324" s="3">
        <v>5</v>
      </c>
      <c r="AJ324" s="3">
        <v>5</v>
      </c>
      <c r="AK324" s="3">
        <v>5</v>
      </c>
      <c r="AL324" s="3">
        <v>5</v>
      </c>
      <c r="AM324" s="3">
        <v>5</v>
      </c>
      <c r="AN324" s="3">
        <v>5</v>
      </c>
      <c r="AO324" s="3">
        <v>4</v>
      </c>
      <c r="AP324" s="3">
        <v>4</v>
      </c>
      <c r="AQ324" s="3">
        <v>5</v>
      </c>
      <c r="AR324" s="3">
        <v>5</v>
      </c>
      <c r="AS324" s="3">
        <v>4</v>
      </c>
      <c r="AT324" s="3">
        <v>4</v>
      </c>
      <c r="AU324" s="3">
        <v>4</v>
      </c>
      <c r="AV324" s="3">
        <v>4</v>
      </c>
      <c r="AW324" s="3">
        <v>5</v>
      </c>
      <c r="AX324" s="3">
        <v>5</v>
      </c>
      <c r="AY324" s="3">
        <v>5</v>
      </c>
      <c r="AZ324" s="3">
        <v>5</v>
      </c>
      <c r="BA324" s="3">
        <v>5</v>
      </c>
      <c r="BB324" s="3">
        <v>5</v>
      </c>
      <c r="BC324" s="3">
        <v>5</v>
      </c>
      <c r="BD324" s="3">
        <v>4</v>
      </c>
      <c r="BE324" s="3">
        <v>4</v>
      </c>
      <c r="BF324" s="3">
        <v>4</v>
      </c>
      <c r="BG324" s="3">
        <v>4</v>
      </c>
      <c r="BH324" s="3">
        <v>4</v>
      </c>
      <c r="BI324" s="3">
        <v>5</v>
      </c>
      <c r="BJ324" s="3">
        <v>5</v>
      </c>
      <c r="BK324" s="3">
        <v>5</v>
      </c>
      <c r="BL324" s="3">
        <v>5</v>
      </c>
      <c r="BM324" s="3">
        <v>5</v>
      </c>
      <c r="BN324" s="3">
        <v>3</v>
      </c>
      <c r="BO324" s="3">
        <v>4</v>
      </c>
      <c r="BP324" s="3" t="s">
        <v>888</v>
      </c>
    </row>
    <row r="325" spans="1:68" ht="22.5" customHeight="1" x14ac:dyDescent="0.25">
      <c r="A325" s="2">
        <v>45986.472839722221</v>
      </c>
      <c r="B325" s="3" t="s">
        <v>889</v>
      </c>
      <c r="C325" s="3" t="s">
        <v>69</v>
      </c>
      <c r="D325" s="3" t="s">
        <v>865</v>
      </c>
      <c r="E325" s="3" t="s">
        <v>119</v>
      </c>
      <c r="F325" s="3" t="s">
        <v>82</v>
      </c>
      <c r="G325" s="3" t="s">
        <v>83</v>
      </c>
      <c r="H325" s="3">
        <v>5</v>
      </c>
      <c r="I325" s="3">
        <v>4</v>
      </c>
      <c r="J325" s="3">
        <v>4</v>
      </c>
      <c r="K325" s="3">
        <v>4</v>
      </c>
      <c r="L325" s="3">
        <v>3</v>
      </c>
      <c r="M325" s="3">
        <v>3</v>
      </c>
      <c r="N325" s="3">
        <v>4</v>
      </c>
      <c r="O325" s="3">
        <v>5</v>
      </c>
      <c r="P325" s="3">
        <v>5</v>
      </c>
      <c r="Q325" s="3">
        <v>5</v>
      </c>
      <c r="R325" s="3">
        <v>5</v>
      </c>
      <c r="S325" s="3">
        <v>5</v>
      </c>
      <c r="T325" s="3">
        <v>4</v>
      </c>
      <c r="U325" s="3">
        <v>4</v>
      </c>
      <c r="V325" s="3">
        <v>4</v>
      </c>
      <c r="W325" s="3">
        <v>3</v>
      </c>
      <c r="X325" s="3">
        <v>4</v>
      </c>
      <c r="Y325" s="3">
        <v>4</v>
      </c>
      <c r="Z325" s="3">
        <v>4</v>
      </c>
      <c r="AA325" s="3">
        <v>4</v>
      </c>
      <c r="AB325" s="3">
        <v>4</v>
      </c>
      <c r="AC325" s="3">
        <v>4</v>
      </c>
      <c r="AD325" s="3">
        <v>5</v>
      </c>
      <c r="AE325" s="3">
        <v>5</v>
      </c>
      <c r="AF325" s="3">
        <v>5</v>
      </c>
      <c r="AG325" s="3">
        <v>5</v>
      </c>
      <c r="AH325" s="3">
        <v>4</v>
      </c>
      <c r="AI325" s="3">
        <v>4</v>
      </c>
      <c r="AJ325" s="3">
        <v>4</v>
      </c>
      <c r="AK325" s="3">
        <v>5</v>
      </c>
      <c r="AL325" s="3">
        <v>4</v>
      </c>
      <c r="AM325" s="3">
        <v>5</v>
      </c>
      <c r="AN325" s="3">
        <v>4</v>
      </c>
      <c r="AO325" s="3">
        <v>4</v>
      </c>
      <c r="AP325" s="3">
        <v>4</v>
      </c>
      <c r="AQ325" s="3">
        <v>4</v>
      </c>
      <c r="AR325" s="3">
        <v>4</v>
      </c>
      <c r="AS325" s="3">
        <v>4</v>
      </c>
      <c r="AT325" s="3">
        <v>4</v>
      </c>
      <c r="AU325" s="3">
        <v>4</v>
      </c>
      <c r="AV325" s="3">
        <v>4</v>
      </c>
      <c r="AW325" s="3">
        <v>5</v>
      </c>
      <c r="AX325" s="3">
        <v>5</v>
      </c>
      <c r="AY325" s="3">
        <v>5</v>
      </c>
      <c r="AZ325" s="3">
        <v>5</v>
      </c>
      <c r="BA325" s="3">
        <v>4</v>
      </c>
      <c r="BB325" s="3">
        <v>4</v>
      </c>
      <c r="BC325" s="3">
        <v>4</v>
      </c>
      <c r="BD325" s="3">
        <v>3</v>
      </c>
      <c r="BE325" s="3">
        <v>4</v>
      </c>
      <c r="BF325" s="3">
        <v>4</v>
      </c>
      <c r="BG325" s="3">
        <v>5</v>
      </c>
      <c r="BH325" s="3">
        <v>5</v>
      </c>
      <c r="BI325" s="3">
        <v>5</v>
      </c>
      <c r="BJ325" s="3">
        <v>5</v>
      </c>
      <c r="BK325" s="3">
        <v>5</v>
      </c>
      <c r="BL325" s="3">
        <v>5</v>
      </c>
      <c r="BM325" s="3">
        <v>5</v>
      </c>
      <c r="BN325" s="3">
        <v>5</v>
      </c>
      <c r="BO325" s="3">
        <v>5</v>
      </c>
      <c r="BP325" s="3" t="s">
        <v>890</v>
      </c>
    </row>
    <row r="326" spans="1:68" ht="22.5" customHeight="1" x14ac:dyDescent="0.25">
      <c r="A326" s="2">
        <v>45986.475325543986</v>
      </c>
      <c r="B326" s="3" t="s">
        <v>891</v>
      </c>
      <c r="C326" s="3" t="s">
        <v>86</v>
      </c>
      <c r="D326" s="3" t="s">
        <v>236</v>
      </c>
      <c r="E326" s="3" t="s">
        <v>119</v>
      </c>
      <c r="F326" s="3" t="s">
        <v>88</v>
      </c>
      <c r="G326" s="3" t="s">
        <v>83</v>
      </c>
      <c r="H326" s="3">
        <v>4</v>
      </c>
      <c r="I326" s="3">
        <v>4</v>
      </c>
      <c r="J326" s="3">
        <v>4</v>
      </c>
      <c r="K326" s="3">
        <v>4</v>
      </c>
      <c r="L326" s="3">
        <v>5</v>
      </c>
      <c r="M326" s="3">
        <v>5</v>
      </c>
      <c r="N326" s="3">
        <v>5</v>
      </c>
      <c r="O326" s="3">
        <v>4</v>
      </c>
      <c r="P326" s="3">
        <v>5</v>
      </c>
      <c r="Q326" s="3">
        <v>5</v>
      </c>
      <c r="R326" s="3">
        <v>5</v>
      </c>
      <c r="S326" s="3">
        <v>5</v>
      </c>
      <c r="T326" s="3">
        <v>5</v>
      </c>
      <c r="U326" s="3">
        <v>5</v>
      </c>
      <c r="V326" s="3">
        <v>5</v>
      </c>
      <c r="W326" s="3">
        <v>5</v>
      </c>
      <c r="X326" s="3">
        <v>5</v>
      </c>
      <c r="Y326" s="3">
        <v>5</v>
      </c>
      <c r="Z326" s="3">
        <v>5</v>
      </c>
      <c r="AA326" s="3">
        <v>4</v>
      </c>
      <c r="AB326" s="3">
        <v>4</v>
      </c>
      <c r="AC326" s="3">
        <v>3</v>
      </c>
      <c r="AD326" s="3">
        <v>4</v>
      </c>
      <c r="AE326" s="3">
        <v>4</v>
      </c>
      <c r="AF326" s="3">
        <v>4</v>
      </c>
      <c r="AG326" s="3">
        <v>4</v>
      </c>
      <c r="AH326" s="3">
        <v>4</v>
      </c>
      <c r="AI326" s="3">
        <v>4</v>
      </c>
      <c r="AJ326" s="3">
        <v>5</v>
      </c>
      <c r="AK326" s="3">
        <v>5</v>
      </c>
      <c r="AL326" s="3">
        <v>5</v>
      </c>
      <c r="AM326" s="3">
        <v>4</v>
      </c>
      <c r="AN326" s="3">
        <v>3</v>
      </c>
      <c r="AO326" s="3">
        <v>4</v>
      </c>
      <c r="AP326" s="3">
        <v>4</v>
      </c>
      <c r="AQ326" s="3">
        <v>3</v>
      </c>
      <c r="AR326" s="3">
        <v>4</v>
      </c>
      <c r="AS326" s="3">
        <v>2</v>
      </c>
      <c r="AT326" s="3">
        <v>4</v>
      </c>
      <c r="AU326" s="3">
        <v>4</v>
      </c>
      <c r="AV326" s="3">
        <v>4</v>
      </c>
      <c r="AW326" s="3">
        <v>4</v>
      </c>
      <c r="AX326" s="3">
        <v>4</v>
      </c>
      <c r="AY326" s="3">
        <v>4</v>
      </c>
      <c r="AZ326" s="3">
        <v>4</v>
      </c>
      <c r="BA326" s="3">
        <v>4</v>
      </c>
      <c r="BB326" s="3">
        <v>3</v>
      </c>
      <c r="BC326" s="3">
        <v>2</v>
      </c>
      <c r="BD326" s="3">
        <v>2</v>
      </c>
      <c r="BE326" s="3">
        <v>2</v>
      </c>
      <c r="BF326" s="3">
        <v>2</v>
      </c>
      <c r="BG326" s="3">
        <v>4</v>
      </c>
      <c r="BH326" s="3">
        <v>4</v>
      </c>
      <c r="BI326" s="3">
        <v>4</v>
      </c>
      <c r="BJ326" s="3">
        <v>4</v>
      </c>
      <c r="BK326" s="3">
        <v>4</v>
      </c>
      <c r="BL326" s="3">
        <v>4</v>
      </c>
      <c r="BM326" s="3">
        <v>4</v>
      </c>
      <c r="BN326" s="3">
        <v>4</v>
      </c>
      <c r="BO326" s="3">
        <v>4</v>
      </c>
      <c r="BP326" s="3" t="s">
        <v>892</v>
      </c>
    </row>
    <row r="327" spans="1:68" ht="22.5" customHeight="1" x14ac:dyDescent="0.25">
      <c r="A327" s="2">
        <v>45986.477429050923</v>
      </c>
      <c r="B327" s="3" t="s">
        <v>893</v>
      </c>
      <c r="C327" s="3" t="s">
        <v>86</v>
      </c>
      <c r="D327" s="3" t="s">
        <v>894</v>
      </c>
      <c r="E327" s="3" t="s">
        <v>77</v>
      </c>
      <c r="F327" s="3" t="s">
        <v>78</v>
      </c>
      <c r="G327" s="3" t="s">
        <v>79</v>
      </c>
      <c r="H327" s="3">
        <v>5</v>
      </c>
      <c r="I327" s="3">
        <v>5</v>
      </c>
      <c r="J327" s="3">
        <v>5</v>
      </c>
      <c r="K327" s="3">
        <v>5</v>
      </c>
      <c r="L327" s="3">
        <v>5</v>
      </c>
      <c r="M327" s="3">
        <v>5</v>
      </c>
      <c r="N327" s="3">
        <v>5</v>
      </c>
      <c r="O327" s="3">
        <v>5</v>
      </c>
      <c r="P327" s="3">
        <v>5</v>
      </c>
      <c r="Q327" s="3">
        <v>5</v>
      </c>
      <c r="R327" s="3">
        <v>5</v>
      </c>
      <c r="S327" s="3">
        <v>5</v>
      </c>
      <c r="T327" s="3">
        <v>5</v>
      </c>
      <c r="U327" s="3">
        <v>5</v>
      </c>
      <c r="V327" s="3">
        <v>5</v>
      </c>
      <c r="W327" s="3">
        <v>5</v>
      </c>
      <c r="X327" s="3">
        <v>5</v>
      </c>
      <c r="Y327" s="3">
        <v>5</v>
      </c>
      <c r="Z327" s="3">
        <v>5</v>
      </c>
      <c r="AA327" s="3">
        <v>5</v>
      </c>
      <c r="AB327" s="3">
        <v>5</v>
      </c>
      <c r="AC327" s="3">
        <v>5</v>
      </c>
      <c r="AD327" s="3">
        <v>5</v>
      </c>
      <c r="AE327" s="3">
        <v>5</v>
      </c>
      <c r="AF327" s="3">
        <v>5</v>
      </c>
      <c r="AG327" s="3">
        <v>5</v>
      </c>
      <c r="AH327" s="3">
        <v>5</v>
      </c>
      <c r="AI327" s="3">
        <v>5</v>
      </c>
      <c r="AJ327" s="3">
        <v>5</v>
      </c>
      <c r="AK327" s="3">
        <v>5</v>
      </c>
      <c r="AL327" s="3">
        <v>5</v>
      </c>
      <c r="AM327" s="3">
        <v>5</v>
      </c>
      <c r="AN327" s="3">
        <v>5</v>
      </c>
      <c r="AO327" s="3">
        <v>5</v>
      </c>
      <c r="AP327" s="3">
        <v>5</v>
      </c>
      <c r="AQ327" s="3">
        <v>5</v>
      </c>
      <c r="AR327" s="3">
        <v>5</v>
      </c>
      <c r="AS327" s="3">
        <v>5</v>
      </c>
      <c r="AT327" s="3">
        <v>5</v>
      </c>
      <c r="AU327" s="3">
        <v>5</v>
      </c>
      <c r="AV327" s="3">
        <v>5</v>
      </c>
      <c r="AW327" s="3">
        <v>5</v>
      </c>
      <c r="AX327" s="3">
        <v>5</v>
      </c>
      <c r="AY327" s="3">
        <v>5</v>
      </c>
      <c r="AZ327" s="3">
        <v>5</v>
      </c>
      <c r="BA327" s="3">
        <v>5</v>
      </c>
      <c r="BB327" s="3">
        <v>5</v>
      </c>
      <c r="BC327" s="3">
        <v>5</v>
      </c>
      <c r="BD327" s="3">
        <v>5</v>
      </c>
      <c r="BE327" s="3">
        <v>5</v>
      </c>
      <c r="BF327" s="3">
        <v>5</v>
      </c>
      <c r="BG327" s="3">
        <v>5</v>
      </c>
      <c r="BH327" s="3">
        <v>5</v>
      </c>
      <c r="BI327" s="3">
        <v>5</v>
      </c>
      <c r="BJ327" s="3">
        <v>5</v>
      </c>
      <c r="BK327" s="3">
        <v>5</v>
      </c>
      <c r="BL327" s="3">
        <v>5</v>
      </c>
      <c r="BM327" s="3">
        <v>5</v>
      </c>
      <c r="BN327" s="3">
        <v>5</v>
      </c>
      <c r="BO327" s="3">
        <v>5</v>
      </c>
      <c r="BP327" s="3" t="s">
        <v>895</v>
      </c>
    </row>
    <row r="328" spans="1:68" ht="22.5" customHeight="1" x14ac:dyDescent="0.25">
      <c r="A328" s="2">
        <v>45986.478595740744</v>
      </c>
      <c r="B328" s="3" t="s">
        <v>896</v>
      </c>
      <c r="C328" s="3" t="s">
        <v>69</v>
      </c>
      <c r="D328" s="3" t="s">
        <v>897</v>
      </c>
      <c r="E328" s="3" t="s">
        <v>77</v>
      </c>
      <c r="F328" s="3" t="s">
        <v>78</v>
      </c>
      <c r="G328" s="3" t="s">
        <v>83</v>
      </c>
      <c r="H328" s="3">
        <v>5</v>
      </c>
      <c r="I328" s="3">
        <v>5</v>
      </c>
      <c r="J328" s="3">
        <v>4</v>
      </c>
      <c r="K328" s="3">
        <v>5</v>
      </c>
      <c r="L328" s="3">
        <v>4</v>
      </c>
      <c r="M328" s="3">
        <v>4</v>
      </c>
      <c r="N328" s="3">
        <v>4</v>
      </c>
      <c r="O328" s="3">
        <v>4</v>
      </c>
      <c r="P328" s="3">
        <v>4</v>
      </c>
      <c r="Q328" s="3">
        <v>4</v>
      </c>
      <c r="R328" s="3">
        <v>4</v>
      </c>
      <c r="S328" s="3">
        <v>4</v>
      </c>
      <c r="T328" s="3">
        <v>4</v>
      </c>
      <c r="U328" s="3">
        <v>4</v>
      </c>
      <c r="V328" s="3">
        <v>4</v>
      </c>
      <c r="W328" s="3">
        <v>4</v>
      </c>
      <c r="X328" s="3">
        <v>4</v>
      </c>
      <c r="Y328" s="3">
        <v>4</v>
      </c>
      <c r="Z328" s="3">
        <v>4</v>
      </c>
      <c r="AA328" s="3">
        <v>4</v>
      </c>
      <c r="AB328" s="3">
        <v>4</v>
      </c>
      <c r="AC328" s="3">
        <v>4</v>
      </c>
      <c r="AD328" s="3">
        <v>4</v>
      </c>
      <c r="AE328" s="3">
        <v>3</v>
      </c>
      <c r="AF328" s="3">
        <v>3</v>
      </c>
      <c r="AG328" s="3">
        <v>3</v>
      </c>
      <c r="AH328" s="3">
        <v>3</v>
      </c>
      <c r="AI328" s="3">
        <v>4</v>
      </c>
      <c r="AJ328" s="3">
        <v>4</v>
      </c>
      <c r="AK328" s="3">
        <v>4</v>
      </c>
      <c r="AL328" s="3">
        <v>4</v>
      </c>
      <c r="AM328" s="3">
        <v>4</v>
      </c>
      <c r="AN328" s="3">
        <v>3</v>
      </c>
      <c r="AO328" s="3">
        <v>3</v>
      </c>
      <c r="AP328" s="3">
        <v>4</v>
      </c>
      <c r="AQ328" s="3">
        <v>3</v>
      </c>
      <c r="AR328" s="3">
        <v>3</v>
      </c>
      <c r="AS328" s="3">
        <v>3</v>
      </c>
      <c r="AT328" s="3">
        <v>3</v>
      </c>
      <c r="AU328" s="3">
        <v>3</v>
      </c>
      <c r="AV328" s="3">
        <v>3</v>
      </c>
      <c r="AW328" s="3">
        <v>4</v>
      </c>
      <c r="AX328" s="3">
        <v>4</v>
      </c>
      <c r="AY328" s="3">
        <v>4</v>
      </c>
      <c r="AZ328" s="3">
        <v>4</v>
      </c>
      <c r="BA328" s="3">
        <v>4</v>
      </c>
      <c r="BB328" s="3">
        <v>4</v>
      </c>
      <c r="BC328" s="3">
        <v>4</v>
      </c>
      <c r="BD328" s="3">
        <v>4</v>
      </c>
      <c r="BE328" s="3">
        <v>4</v>
      </c>
      <c r="BF328" s="3">
        <v>4</v>
      </c>
      <c r="BG328" s="3">
        <v>4</v>
      </c>
      <c r="BH328" s="3">
        <v>4</v>
      </c>
      <c r="BI328" s="3">
        <v>4</v>
      </c>
      <c r="BJ328" s="3">
        <v>4</v>
      </c>
      <c r="BK328" s="3">
        <v>4</v>
      </c>
      <c r="BL328" s="3">
        <v>4</v>
      </c>
      <c r="BM328" s="3">
        <v>4</v>
      </c>
      <c r="BN328" s="3">
        <v>4</v>
      </c>
      <c r="BO328" s="3">
        <v>4</v>
      </c>
      <c r="BP328" s="3" t="s">
        <v>898</v>
      </c>
    </row>
    <row r="329" spans="1:68" ht="22.5" customHeight="1" x14ac:dyDescent="0.25">
      <c r="A329" s="2">
        <v>45986.480829907407</v>
      </c>
      <c r="B329" s="3" t="s">
        <v>899</v>
      </c>
      <c r="C329" s="3" t="s">
        <v>86</v>
      </c>
      <c r="D329" s="3" t="s">
        <v>900</v>
      </c>
      <c r="E329" s="3" t="s">
        <v>77</v>
      </c>
      <c r="F329" s="3" t="s">
        <v>82</v>
      </c>
      <c r="G329" s="3" t="s">
        <v>83</v>
      </c>
      <c r="H329" s="3">
        <v>4</v>
      </c>
      <c r="I329" s="3">
        <v>4</v>
      </c>
      <c r="J329" s="3">
        <v>4</v>
      </c>
      <c r="K329" s="3">
        <v>4</v>
      </c>
      <c r="L329" s="3">
        <v>3</v>
      </c>
      <c r="M329" s="3">
        <v>4</v>
      </c>
      <c r="N329" s="3">
        <v>4</v>
      </c>
      <c r="O329" s="3">
        <v>4</v>
      </c>
      <c r="P329" s="3">
        <v>4</v>
      </c>
      <c r="Q329" s="3">
        <v>4</v>
      </c>
      <c r="R329" s="3">
        <v>4</v>
      </c>
      <c r="S329" s="3">
        <v>4</v>
      </c>
      <c r="T329" s="3">
        <v>4</v>
      </c>
      <c r="U329" s="3">
        <v>4</v>
      </c>
      <c r="V329" s="3">
        <v>4</v>
      </c>
      <c r="W329" s="3">
        <v>4</v>
      </c>
      <c r="X329" s="3">
        <v>4</v>
      </c>
      <c r="Y329" s="3">
        <v>4</v>
      </c>
      <c r="Z329" s="3">
        <v>4</v>
      </c>
      <c r="AA329" s="3">
        <v>5</v>
      </c>
      <c r="AB329" s="3">
        <v>4</v>
      </c>
      <c r="AC329" s="3">
        <v>4</v>
      </c>
      <c r="AD329" s="3">
        <v>5</v>
      </c>
      <c r="AE329" s="3">
        <v>4</v>
      </c>
      <c r="AF329" s="3">
        <v>4</v>
      </c>
      <c r="AG329" s="3">
        <v>4</v>
      </c>
      <c r="AH329" s="3">
        <v>4</v>
      </c>
      <c r="AI329" s="3">
        <v>4</v>
      </c>
      <c r="AJ329" s="3">
        <v>4</v>
      </c>
      <c r="AK329" s="3">
        <v>5</v>
      </c>
      <c r="AL329" s="3">
        <v>4</v>
      </c>
      <c r="AM329" s="3">
        <v>4</v>
      </c>
      <c r="AN329" s="3">
        <v>3</v>
      </c>
      <c r="AO329" s="3">
        <v>4</v>
      </c>
      <c r="AP329" s="3">
        <v>4</v>
      </c>
      <c r="AQ329" s="3">
        <v>4</v>
      </c>
      <c r="AR329" s="3">
        <v>4</v>
      </c>
      <c r="AS329" s="3">
        <v>4</v>
      </c>
      <c r="AT329" s="3">
        <v>4</v>
      </c>
      <c r="AU329" s="3">
        <v>4</v>
      </c>
      <c r="AV329" s="3">
        <v>4</v>
      </c>
      <c r="AW329" s="3">
        <v>5</v>
      </c>
      <c r="AX329" s="3">
        <v>5</v>
      </c>
      <c r="AY329" s="3">
        <v>5</v>
      </c>
      <c r="AZ329" s="3">
        <v>5</v>
      </c>
      <c r="BA329" s="3">
        <v>4</v>
      </c>
      <c r="BB329" s="3">
        <v>3</v>
      </c>
      <c r="BC329" s="3">
        <v>3</v>
      </c>
      <c r="BD329" s="3">
        <v>4</v>
      </c>
      <c r="BE329" s="3">
        <v>4</v>
      </c>
      <c r="BF329" s="3">
        <v>2</v>
      </c>
      <c r="BG329" s="3">
        <v>4</v>
      </c>
      <c r="BH329" s="3">
        <v>4</v>
      </c>
      <c r="BI329" s="3">
        <v>4</v>
      </c>
      <c r="BJ329" s="3">
        <v>4</v>
      </c>
      <c r="BK329" s="3">
        <v>4</v>
      </c>
      <c r="BL329" s="3">
        <v>5</v>
      </c>
      <c r="BM329" s="3">
        <v>4</v>
      </c>
      <c r="BN329" s="3">
        <v>4</v>
      </c>
      <c r="BO329" s="3">
        <v>4</v>
      </c>
      <c r="BP329" s="3" t="s">
        <v>901</v>
      </c>
    </row>
    <row r="330" spans="1:68" ht="22.5" customHeight="1" x14ac:dyDescent="0.25">
      <c r="A330" s="2">
        <v>45986.481733368055</v>
      </c>
      <c r="B330" s="3" t="s">
        <v>902</v>
      </c>
      <c r="C330" s="3" t="s">
        <v>69</v>
      </c>
      <c r="D330" s="3" t="s">
        <v>865</v>
      </c>
      <c r="E330" s="3" t="s">
        <v>77</v>
      </c>
      <c r="F330" s="3" t="s">
        <v>82</v>
      </c>
      <c r="G330" s="3" t="s">
        <v>83</v>
      </c>
      <c r="H330" s="3">
        <v>5</v>
      </c>
      <c r="I330" s="3">
        <v>5</v>
      </c>
      <c r="J330" s="3">
        <v>5</v>
      </c>
      <c r="K330" s="3">
        <v>5</v>
      </c>
      <c r="L330" s="3">
        <v>5</v>
      </c>
      <c r="M330" s="3">
        <v>4</v>
      </c>
      <c r="N330" s="3">
        <v>5</v>
      </c>
      <c r="O330" s="3">
        <v>5</v>
      </c>
      <c r="P330" s="3">
        <v>5</v>
      </c>
      <c r="Q330" s="3">
        <v>5</v>
      </c>
      <c r="R330" s="3">
        <v>5</v>
      </c>
      <c r="S330" s="3">
        <v>5</v>
      </c>
      <c r="T330" s="3">
        <v>5</v>
      </c>
      <c r="U330" s="3">
        <v>5</v>
      </c>
      <c r="V330" s="3">
        <v>4</v>
      </c>
      <c r="W330" s="3">
        <v>4</v>
      </c>
      <c r="X330" s="3">
        <v>5</v>
      </c>
      <c r="Y330" s="3">
        <v>5</v>
      </c>
      <c r="Z330" s="3">
        <v>5</v>
      </c>
      <c r="AA330" s="3">
        <v>5</v>
      </c>
      <c r="AB330" s="3">
        <v>5</v>
      </c>
      <c r="AC330" s="3">
        <v>5</v>
      </c>
      <c r="AD330" s="3">
        <v>5</v>
      </c>
      <c r="AE330" s="3">
        <v>5</v>
      </c>
      <c r="AF330" s="3">
        <v>5</v>
      </c>
      <c r="AG330" s="3">
        <v>5</v>
      </c>
      <c r="AH330" s="3">
        <v>5</v>
      </c>
      <c r="AI330" s="3">
        <v>5</v>
      </c>
      <c r="AJ330" s="3">
        <v>5</v>
      </c>
      <c r="AK330" s="3">
        <v>4</v>
      </c>
      <c r="AL330" s="3">
        <v>4</v>
      </c>
      <c r="AM330" s="3">
        <v>3</v>
      </c>
      <c r="AN330" s="3">
        <v>4</v>
      </c>
      <c r="AO330" s="3">
        <v>4</v>
      </c>
      <c r="AP330" s="3">
        <v>5</v>
      </c>
      <c r="AQ330" s="3">
        <v>4</v>
      </c>
      <c r="AR330" s="3">
        <v>5</v>
      </c>
      <c r="AS330" s="3">
        <v>5</v>
      </c>
      <c r="AT330" s="3">
        <v>5</v>
      </c>
      <c r="AU330" s="3">
        <v>5</v>
      </c>
      <c r="AV330" s="3">
        <v>5</v>
      </c>
      <c r="AW330" s="3">
        <v>4</v>
      </c>
      <c r="AX330" s="3">
        <v>5</v>
      </c>
      <c r="AY330" s="3">
        <v>5</v>
      </c>
      <c r="AZ330" s="3">
        <v>5</v>
      </c>
      <c r="BA330" s="3">
        <v>5</v>
      </c>
      <c r="BB330" s="3">
        <v>5</v>
      </c>
      <c r="BC330" s="3">
        <v>5</v>
      </c>
      <c r="BD330" s="3">
        <v>5</v>
      </c>
      <c r="BE330" s="3">
        <v>5</v>
      </c>
      <c r="BF330" s="3">
        <v>5</v>
      </c>
      <c r="BG330" s="3">
        <v>5</v>
      </c>
      <c r="BH330" s="3">
        <v>5</v>
      </c>
      <c r="BI330" s="3">
        <v>5</v>
      </c>
      <c r="BJ330" s="3">
        <v>5</v>
      </c>
      <c r="BK330" s="3">
        <v>5</v>
      </c>
      <c r="BL330" s="3">
        <v>5</v>
      </c>
      <c r="BM330" s="3">
        <v>5</v>
      </c>
      <c r="BN330" s="3">
        <v>4</v>
      </c>
      <c r="BO330" s="3">
        <v>5</v>
      </c>
      <c r="BP330" s="3" t="s">
        <v>903</v>
      </c>
    </row>
    <row r="331" spans="1:68" ht="22.5" customHeight="1" x14ac:dyDescent="0.25">
      <c r="A331" s="2">
        <v>45986.483676909724</v>
      </c>
      <c r="B331" s="3" t="s">
        <v>904</v>
      </c>
      <c r="C331" s="3" t="s">
        <v>86</v>
      </c>
      <c r="D331" s="3" t="s">
        <v>714</v>
      </c>
      <c r="E331" s="3" t="s">
        <v>119</v>
      </c>
      <c r="F331" s="3" t="s">
        <v>88</v>
      </c>
      <c r="G331" s="3" t="s">
        <v>83</v>
      </c>
      <c r="H331" s="3">
        <v>5</v>
      </c>
      <c r="I331" s="3">
        <v>5</v>
      </c>
      <c r="J331" s="3">
        <v>5</v>
      </c>
      <c r="K331" s="3">
        <v>5</v>
      </c>
      <c r="L331" s="3">
        <v>5</v>
      </c>
      <c r="M331" s="3">
        <v>5</v>
      </c>
      <c r="N331" s="3">
        <v>5</v>
      </c>
      <c r="O331" s="3">
        <v>5</v>
      </c>
      <c r="P331" s="3">
        <v>5</v>
      </c>
      <c r="Q331" s="3">
        <v>5</v>
      </c>
      <c r="R331" s="3">
        <v>5</v>
      </c>
      <c r="S331" s="3">
        <v>4</v>
      </c>
      <c r="T331" s="3">
        <v>4</v>
      </c>
      <c r="U331" s="3">
        <v>4</v>
      </c>
      <c r="V331" s="3">
        <v>4</v>
      </c>
      <c r="W331" s="3">
        <v>4</v>
      </c>
      <c r="X331" s="3">
        <v>3</v>
      </c>
      <c r="Y331" s="3">
        <v>3</v>
      </c>
      <c r="Z331" s="3">
        <v>4</v>
      </c>
      <c r="AA331" s="3">
        <v>3</v>
      </c>
      <c r="AB331" s="3">
        <v>2</v>
      </c>
      <c r="AC331" s="3">
        <v>3</v>
      </c>
      <c r="AD331" s="3">
        <v>4</v>
      </c>
      <c r="AE331" s="3">
        <v>5</v>
      </c>
      <c r="AF331" s="3">
        <v>5</v>
      </c>
      <c r="AG331" s="3">
        <v>5</v>
      </c>
      <c r="AH331" s="3">
        <v>4</v>
      </c>
      <c r="AI331" s="3">
        <v>4</v>
      </c>
      <c r="AJ331" s="3">
        <v>4</v>
      </c>
      <c r="AK331" s="3">
        <v>4</v>
      </c>
      <c r="AL331" s="3">
        <v>4</v>
      </c>
      <c r="AM331" s="3">
        <v>4</v>
      </c>
      <c r="AN331" s="3">
        <v>4</v>
      </c>
      <c r="AO331" s="3">
        <v>4</v>
      </c>
      <c r="AP331" s="3">
        <v>4</v>
      </c>
      <c r="AQ331" s="3">
        <v>4</v>
      </c>
      <c r="AR331" s="3">
        <v>4</v>
      </c>
      <c r="AS331" s="3">
        <v>4</v>
      </c>
      <c r="AT331" s="3">
        <v>4</v>
      </c>
      <c r="AU331" s="3">
        <v>4</v>
      </c>
      <c r="AV331" s="3">
        <v>4</v>
      </c>
      <c r="AW331" s="3">
        <v>5</v>
      </c>
      <c r="AX331" s="3">
        <v>5</v>
      </c>
      <c r="AY331" s="3">
        <v>5</v>
      </c>
      <c r="AZ331" s="3">
        <v>5</v>
      </c>
      <c r="BA331" s="3">
        <v>3</v>
      </c>
      <c r="BB331" s="3">
        <v>3</v>
      </c>
      <c r="BC331" s="3">
        <v>3</v>
      </c>
      <c r="BD331" s="3">
        <v>3</v>
      </c>
      <c r="BE331" s="3">
        <v>3</v>
      </c>
      <c r="BF331" s="3">
        <v>3</v>
      </c>
      <c r="BG331" s="3">
        <v>4</v>
      </c>
      <c r="BH331" s="3">
        <v>4</v>
      </c>
      <c r="BI331" s="3">
        <v>4</v>
      </c>
      <c r="BJ331" s="3">
        <v>5</v>
      </c>
      <c r="BK331" s="3">
        <v>5</v>
      </c>
      <c r="BL331" s="3">
        <v>4</v>
      </c>
      <c r="BM331" s="3">
        <v>5</v>
      </c>
      <c r="BN331" s="3">
        <v>4</v>
      </c>
      <c r="BO331" s="3">
        <v>4</v>
      </c>
      <c r="BP331" s="3" t="s">
        <v>905</v>
      </c>
    </row>
    <row r="332" spans="1:68" ht="22.5" customHeight="1" x14ac:dyDescent="0.25">
      <c r="A332" s="2">
        <v>45986.494618553239</v>
      </c>
      <c r="B332" s="3" t="s">
        <v>906</v>
      </c>
      <c r="C332" s="3" t="s">
        <v>69</v>
      </c>
      <c r="D332" s="3" t="s">
        <v>907</v>
      </c>
      <c r="E332" s="3" t="s">
        <v>77</v>
      </c>
      <c r="F332" s="3" t="s">
        <v>88</v>
      </c>
      <c r="G332" s="3" t="s">
        <v>83</v>
      </c>
      <c r="H332" s="3">
        <v>5</v>
      </c>
      <c r="I332" s="3">
        <v>4</v>
      </c>
      <c r="J332" s="3">
        <v>4</v>
      </c>
      <c r="K332" s="3">
        <v>3</v>
      </c>
      <c r="L332" s="3">
        <v>4</v>
      </c>
      <c r="M332" s="3">
        <v>3</v>
      </c>
      <c r="N332" s="3">
        <v>3</v>
      </c>
      <c r="O332" s="3">
        <v>3</v>
      </c>
      <c r="P332" s="3">
        <v>4</v>
      </c>
      <c r="Q332" s="3">
        <v>4</v>
      </c>
      <c r="R332" s="3">
        <v>3</v>
      </c>
      <c r="S332" s="3">
        <v>4</v>
      </c>
      <c r="T332" s="3">
        <v>5</v>
      </c>
      <c r="U332" s="3">
        <v>4</v>
      </c>
      <c r="V332" s="3">
        <v>3</v>
      </c>
      <c r="W332" s="3">
        <v>3</v>
      </c>
      <c r="X332" s="3">
        <v>4</v>
      </c>
      <c r="Y332" s="3">
        <v>4</v>
      </c>
      <c r="Z332" s="3">
        <v>4</v>
      </c>
      <c r="AA332" s="3">
        <v>5</v>
      </c>
      <c r="AB332" s="3">
        <v>4</v>
      </c>
      <c r="AC332" s="3">
        <v>4</v>
      </c>
      <c r="AD332" s="3">
        <v>5</v>
      </c>
      <c r="AE332" s="3">
        <v>3</v>
      </c>
      <c r="AF332" s="3">
        <v>3</v>
      </c>
      <c r="AG332" s="3">
        <v>4</v>
      </c>
      <c r="AH332" s="3">
        <v>3</v>
      </c>
      <c r="AI332" s="3">
        <v>4</v>
      </c>
      <c r="AJ332" s="3">
        <v>5</v>
      </c>
      <c r="AK332" s="3">
        <v>5</v>
      </c>
      <c r="AL332" s="3">
        <v>4</v>
      </c>
      <c r="AM332" s="3">
        <v>4</v>
      </c>
      <c r="AN332" s="3">
        <v>4</v>
      </c>
      <c r="AO332" s="3">
        <v>4</v>
      </c>
      <c r="AP332" s="3">
        <v>3</v>
      </c>
      <c r="AQ332" s="3">
        <v>5</v>
      </c>
      <c r="AR332" s="3">
        <v>3</v>
      </c>
      <c r="AS332" s="3">
        <v>3</v>
      </c>
      <c r="AT332" s="3">
        <v>4</v>
      </c>
      <c r="AU332" s="3">
        <v>3</v>
      </c>
      <c r="AV332" s="3">
        <v>3</v>
      </c>
      <c r="AW332" s="3">
        <v>5</v>
      </c>
      <c r="AX332" s="3">
        <v>5</v>
      </c>
      <c r="AY332" s="3">
        <v>4</v>
      </c>
      <c r="AZ332" s="3">
        <v>4</v>
      </c>
      <c r="BA332" s="3">
        <v>4</v>
      </c>
      <c r="BB332" s="3">
        <v>4</v>
      </c>
      <c r="BC332" s="3">
        <v>3</v>
      </c>
      <c r="BD332" s="3">
        <v>3</v>
      </c>
      <c r="BE332" s="3">
        <v>3</v>
      </c>
      <c r="BF332" s="3">
        <v>3</v>
      </c>
      <c r="BG332" s="3">
        <v>3</v>
      </c>
      <c r="BH332" s="3">
        <v>4</v>
      </c>
      <c r="BI332" s="3">
        <v>4</v>
      </c>
      <c r="BJ332" s="3">
        <v>5</v>
      </c>
      <c r="BK332" s="3">
        <v>3</v>
      </c>
      <c r="BL332" s="3">
        <v>4</v>
      </c>
      <c r="BM332" s="3">
        <v>4</v>
      </c>
      <c r="BN332" s="3">
        <v>5</v>
      </c>
      <c r="BO332" s="3">
        <v>4</v>
      </c>
      <c r="BP332" s="3" t="s">
        <v>908</v>
      </c>
    </row>
    <row r="333" spans="1:68" ht="22.5" customHeight="1" x14ac:dyDescent="0.25">
      <c r="A333" s="2">
        <v>45986.494820312495</v>
      </c>
      <c r="C333" s="3" t="s">
        <v>69</v>
      </c>
      <c r="D333" s="3" t="s">
        <v>909</v>
      </c>
      <c r="E333" s="3" t="s">
        <v>71</v>
      </c>
      <c r="F333" s="3" t="s">
        <v>72</v>
      </c>
      <c r="G333" s="3" t="s">
        <v>73</v>
      </c>
      <c r="H333" s="3">
        <v>4</v>
      </c>
      <c r="I333" s="3">
        <v>4</v>
      </c>
      <c r="J333" s="3">
        <v>4</v>
      </c>
      <c r="K333" s="3">
        <v>5</v>
      </c>
      <c r="L333" s="3">
        <v>4</v>
      </c>
      <c r="M333" s="3">
        <v>4</v>
      </c>
      <c r="N333" s="3">
        <v>4</v>
      </c>
      <c r="O333" s="3">
        <v>4</v>
      </c>
      <c r="P333" s="3">
        <v>5</v>
      </c>
      <c r="Q333" s="3">
        <v>4</v>
      </c>
      <c r="R333" s="3">
        <v>4</v>
      </c>
      <c r="S333" s="3">
        <v>4</v>
      </c>
      <c r="T333" s="3">
        <v>5</v>
      </c>
      <c r="U333" s="3">
        <v>5</v>
      </c>
      <c r="V333" s="3">
        <v>5</v>
      </c>
      <c r="W333" s="3">
        <v>4</v>
      </c>
      <c r="X333" s="3">
        <v>4</v>
      </c>
      <c r="Y333" s="3">
        <v>5</v>
      </c>
      <c r="Z333" s="3">
        <v>4</v>
      </c>
      <c r="AA333" s="3">
        <v>4</v>
      </c>
      <c r="AB333" s="3">
        <v>4</v>
      </c>
      <c r="AC333" s="3">
        <v>2</v>
      </c>
      <c r="AD333" s="3">
        <v>4</v>
      </c>
      <c r="AE333" s="3">
        <v>4</v>
      </c>
      <c r="AF333" s="3">
        <v>4</v>
      </c>
      <c r="AG333" s="3">
        <v>4</v>
      </c>
      <c r="AH333" s="3">
        <v>4</v>
      </c>
      <c r="AI333" s="3">
        <v>4</v>
      </c>
      <c r="AJ333" s="3">
        <v>4</v>
      </c>
      <c r="AK333" s="3">
        <v>4</v>
      </c>
      <c r="AL333" s="3">
        <v>4</v>
      </c>
      <c r="AM333" s="3">
        <v>4</v>
      </c>
      <c r="AN333" s="3">
        <v>3</v>
      </c>
      <c r="AO333" s="3">
        <v>2</v>
      </c>
      <c r="AP333" s="3">
        <v>3</v>
      </c>
      <c r="AQ333" s="3">
        <v>1</v>
      </c>
      <c r="AR333" s="3">
        <v>3</v>
      </c>
      <c r="AS333" s="3">
        <v>2</v>
      </c>
      <c r="AT333" s="3">
        <v>3</v>
      </c>
      <c r="AU333" s="3">
        <v>3</v>
      </c>
      <c r="AV333" s="3">
        <v>3</v>
      </c>
      <c r="AW333" s="3">
        <v>4</v>
      </c>
      <c r="AX333" s="3">
        <v>4</v>
      </c>
      <c r="AY333" s="3">
        <v>4</v>
      </c>
      <c r="AZ333" s="3">
        <v>4</v>
      </c>
      <c r="BA333" s="3">
        <v>4</v>
      </c>
      <c r="BB333" s="3">
        <v>4</v>
      </c>
      <c r="BC333" s="3">
        <v>4</v>
      </c>
      <c r="BD333" s="3">
        <v>4</v>
      </c>
      <c r="BE333" s="3">
        <v>4</v>
      </c>
      <c r="BF333" s="3">
        <v>4</v>
      </c>
      <c r="BG333" s="3">
        <v>4</v>
      </c>
      <c r="BH333" s="3">
        <v>4</v>
      </c>
      <c r="BI333" s="3">
        <v>5</v>
      </c>
      <c r="BJ333" s="3">
        <v>4</v>
      </c>
      <c r="BK333" s="3">
        <v>4</v>
      </c>
      <c r="BL333" s="3">
        <v>4</v>
      </c>
      <c r="BM333" s="3">
        <v>4</v>
      </c>
      <c r="BN333" s="3">
        <v>2</v>
      </c>
      <c r="BO333" s="3">
        <v>4</v>
      </c>
      <c r="BP333" s="3" t="s">
        <v>910</v>
      </c>
    </row>
    <row r="334" spans="1:68" ht="22.5" customHeight="1" x14ac:dyDescent="0.25">
      <c r="A334" s="2">
        <v>45986.49580931713</v>
      </c>
      <c r="B334" s="3" t="s">
        <v>911</v>
      </c>
      <c r="C334" s="3" t="s">
        <v>69</v>
      </c>
      <c r="D334" s="3" t="s">
        <v>865</v>
      </c>
      <c r="E334" s="3" t="s">
        <v>119</v>
      </c>
      <c r="F334" s="3" t="s">
        <v>72</v>
      </c>
      <c r="G334" s="3" t="s">
        <v>91</v>
      </c>
      <c r="H334" s="3">
        <v>1</v>
      </c>
      <c r="I334" s="3">
        <v>1</v>
      </c>
      <c r="J334" s="3">
        <v>1</v>
      </c>
      <c r="K334" s="3">
        <v>1</v>
      </c>
      <c r="L334" s="3">
        <v>1</v>
      </c>
      <c r="M334" s="3">
        <v>2</v>
      </c>
      <c r="N334" s="3">
        <v>2</v>
      </c>
      <c r="O334" s="3">
        <v>1</v>
      </c>
      <c r="P334" s="3">
        <v>1</v>
      </c>
      <c r="Q334" s="3">
        <v>1</v>
      </c>
      <c r="R334" s="3">
        <v>1</v>
      </c>
      <c r="S334" s="3">
        <v>1</v>
      </c>
      <c r="T334" s="3">
        <v>1</v>
      </c>
      <c r="U334" s="3">
        <v>1</v>
      </c>
      <c r="V334" s="3">
        <v>1</v>
      </c>
      <c r="W334" s="3">
        <v>1</v>
      </c>
      <c r="X334" s="3">
        <v>1</v>
      </c>
      <c r="Y334" s="3">
        <v>1</v>
      </c>
      <c r="Z334" s="3">
        <v>2</v>
      </c>
      <c r="AA334" s="3">
        <v>1</v>
      </c>
      <c r="AB334" s="3">
        <v>2</v>
      </c>
      <c r="AC334" s="3">
        <v>2</v>
      </c>
      <c r="AD334" s="3">
        <v>1</v>
      </c>
      <c r="AE334" s="3">
        <v>1</v>
      </c>
      <c r="AF334" s="3">
        <v>1</v>
      </c>
      <c r="AG334" s="3">
        <v>1</v>
      </c>
      <c r="AH334" s="3">
        <v>1</v>
      </c>
      <c r="AI334" s="3">
        <v>1</v>
      </c>
      <c r="AJ334" s="3">
        <v>1</v>
      </c>
      <c r="AK334" s="3">
        <v>1</v>
      </c>
      <c r="AL334" s="3">
        <v>1</v>
      </c>
      <c r="AM334" s="3">
        <v>1</v>
      </c>
      <c r="AN334" s="3">
        <v>2</v>
      </c>
      <c r="AO334" s="3">
        <v>1</v>
      </c>
      <c r="AP334" s="3">
        <v>1</v>
      </c>
      <c r="AQ334" s="3">
        <v>1</v>
      </c>
      <c r="AR334" s="3">
        <v>2</v>
      </c>
      <c r="AS334" s="3">
        <v>2</v>
      </c>
      <c r="AT334" s="3">
        <v>1</v>
      </c>
      <c r="AU334" s="3">
        <v>1</v>
      </c>
      <c r="AV334" s="3">
        <v>1</v>
      </c>
      <c r="AW334" s="3">
        <v>1</v>
      </c>
      <c r="AX334" s="3">
        <v>1</v>
      </c>
      <c r="AY334" s="3">
        <v>1</v>
      </c>
      <c r="AZ334" s="3">
        <v>1</v>
      </c>
      <c r="BA334" s="3">
        <v>1</v>
      </c>
      <c r="BB334" s="3">
        <v>2</v>
      </c>
      <c r="BC334" s="3">
        <v>2</v>
      </c>
      <c r="BD334" s="3">
        <v>3</v>
      </c>
      <c r="BE334" s="3">
        <v>3</v>
      </c>
      <c r="BF334" s="3">
        <v>3</v>
      </c>
      <c r="BG334" s="3">
        <v>1</v>
      </c>
      <c r="BH334" s="3">
        <v>1</v>
      </c>
      <c r="BI334" s="3">
        <v>1</v>
      </c>
      <c r="BJ334" s="3">
        <v>1</v>
      </c>
      <c r="BK334" s="3">
        <v>1</v>
      </c>
      <c r="BL334" s="3">
        <v>1</v>
      </c>
      <c r="BM334" s="3">
        <v>1</v>
      </c>
      <c r="BN334" s="3">
        <v>1</v>
      </c>
      <c r="BO334" s="3">
        <v>1</v>
      </c>
      <c r="BP334" s="3" t="s">
        <v>912</v>
      </c>
    </row>
    <row r="335" spans="1:68" ht="22.5" customHeight="1" x14ac:dyDescent="0.25">
      <c r="A335" s="2">
        <v>45986.496732233798</v>
      </c>
      <c r="B335" s="3" t="s">
        <v>913</v>
      </c>
      <c r="C335" s="3" t="s">
        <v>69</v>
      </c>
      <c r="D335" s="3" t="s">
        <v>914</v>
      </c>
      <c r="E335" s="3" t="s">
        <v>119</v>
      </c>
      <c r="F335" s="3" t="s">
        <v>82</v>
      </c>
      <c r="G335" s="3" t="s">
        <v>91</v>
      </c>
      <c r="H335" s="3">
        <v>5</v>
      </c>
      <c r="I335" s="3">
        <v>3</v>
      </c>
      <c r="J335" s="3">
        <v>5</v>
      </c>
      <c r="K335" s="3">
        <v>3</v>
      </c>
      <c r="L335" s="3">
        <v>5</v>
      </c>
      <c r="M335" s="3">
        <v>2</v>
      </c>
      <c r="N335" s="3">
        <v>2</v>
      </c>
      <c r="O335" s="3">
        <v>2</v>
      </c>
      <c r="P335" s="3">
        <v>1</v>
      </c>
      <c r="Q335" s="3">
        <v>3</v>
      </c>
      <c r="R335" s="3">
        <v>3</v>
      </c>
      <c r="S335" s="3">
        <v>3</v>
      </c>
      <c r="T335" s="3">
        <v>3</v>
      </c>
      <c r="U335" s="3">
        <v>3</v>
      </c>
      <c r="V335" s="3">
        <v>5</v>
      </c>
      <c r="W335" s="3">
        <v>5</v>
      </c>
      <c r="X335" s="3">
        <v>4</v>
      </c>
      <c r="Y335" s="3">
        <v>4</v>
      </c>
      <c r="Z335" s="3">
        <v>4</v>
      </c>
      <c r="AA335" s="3">
        <v>4</v>
      </c>
      <c r="AB335" s="3">
        <v>4</v>
      </c>
      <c r="AC335" s="3">
        <v>4</v>
      </c>
      <c r="AD335" s="3">
        <v>4</v>
      </c>
      <c r="AE335" s="3">
        <v>2</v>
      </c>
      <c r="AF335" s="3">
        <v>2</v>
      </c>
      <c r="AG335" s="3">
        <v>2</v>
      </c>
      <c r="AH335" s="3">
        <v>2</v>
      </c>
      <c r="AI335" s="3">
        <v>5</v>
      </c>
      <c r="AJ335" s="3">
        <v>5</v>
      </c>
      <c r="AK335" s="3">
        <v>5</v>
      </c>
      <c r="AL335" s="3">
        <v>5</v>
      </c>
      <c r="AM335" s="3">
        <v>5</v>
      </c>
      <c r="AN335" s="3">
        <v>4</v>
      </c>
      <c r="AO335" s="3">
        <v>4</v>
      </c>
      <c r="AP335" s="3">
        <v>5</v>
      </c>
      <c r="AQ335" s="3">
        <v>4</v>
      </c>
      <c r="AR335" s="3">
        <v>4</v>
      </c>
      <c r="AS335" s="3">
        <v>4</v>
      </c>
      <c r="AT335" s="3">
        <v>4</v>
      </c>
      <c r="AU335" s="3">
        <v>4</v>
      </c>
      <c r="AV335" s="3">
        <v>4</v>
      </c>
      <c r="AW335" s="3">
        <v>5</v>
      </c>
      <c r="AX335" s="3">
        <v>5</v>
      </c>
      <c r="AY335" s="3">
        <v>5</v>
      </c>
      <c r="AZ335" s="3">
        <v>5</v>
      </c>
      <c r="BA335" s="3">
        <v>4</v>
      </c>
      <c r="BB335" s="3">
        <v>4</v>
      </c>
      <c r="BC335" s="3">
        <v>4</v>
      </c>
      <c r="BD335" s="3">
        <v>4</v>
      </c>
      <c r="BE335" s="3">
        <v>4</v>
      </c>
      <c r="BF335" s="3">
        <v>4</v>
      </c>
      <c r="BG335" s="3">
        <v>4</v>
      </c>
      <c r="BH335" s="3">
        <v>4</v>
      </c>
      <c r="BI335" s="3">
        <v>4</v>
      </c>
      <c r="BJ335" s="3">
        <v>4</v>
      </c>
      <c r="BK335" s="3">
        <v>4</v>
      </c>
      <c r="BL335" s="3">
        <v>4</v>
      </c>
      <c r="BM335" s="3">
        <v>4</v>
      </c>
      <c r="BN335" s="3">
        <v>4</v>
      </c>
      <c r="BO335" s="3">
        <v>4</v>
      </c>
      <c r="BP335" s="3" t="s">
        <v>915</v>
      </c>
    </row>
    <row r="336" spans="1:68" ht="22.5" customHeight="1" x14ac:dyDescent="0.25">
      <c r="A336" s="2">
        <v>45986.522299212964</v>
      </c>
      <c r="B336" s="3" t="s">
        <v>916</v>
      </c>
      <c r="C336" s="3" t="s">
        <v>69</v>
      </c>
      <c r="D336" s="3" t="s">
        <v>289</v>
      </c>
      <c r="E336" s="3" t="s">
        <v>77</v>
      </c>
      <c r="F336" s="3" t="s">
        <v>78</v>
      </c>
      <c r="G336" s="3" t="s">
        <v>79</v>
      </c>
      <c r="H336" s="3">
        <v>5</v>
      </c>
      <c r="I336" s="3">
        <v>5</v>
      </c>
      <c r="J336" s="3">
        <v>5</v>
      </c>
      <c r="K336" s="3">
        <v>4</v>
      </c>
      <c r="L336" s="3">
        <v>5</v>
      </c>
      <c r="M336" s="3">
        <v>3</v>
      </c>
      <c r="N336" s="3">
        <v>3</v>
      </c>
      <c r="O336" s="3">
        <v>4</v>
      </c>
      <c r="P336" s="3">
        <v>5</v>
      </c>
      <c r="Q336" s="3">
        <v>5</v>
      </c>
      <c r="R336" s="3">
        <v>5</v>
      </c>
      <c r="S336" s="3">
        <v>4</v>
      </c>
      <c r="T336" s="3">
        <v>5</v>
      </c>
      <c r="U336" s="3">
        <v>5</v>
      </c>
      <c r="V336" s="3">
        <v>5</v>
      </c>
      <c r="W336" s="3">
        <v>4</v>
      </c>
      <c r="X336" s="3">
        <v>4</v>
      </c>
      <c r="Y336" s="3">
        <v>3</v>
      </c>
      <c r="Z336" s="3">
        <v>5</v>
      </c>
      <c r="AA336" s="3">
        <v>5</v>
      </c>
      <c r="AB336" s="3">
        <v>5</v>
      </c>
      <c r="AC336" s="3">
        <v>2</v>
      </c>
      <c r="AD336" s="3">
        <v>5</v>
      </c>
      <c r="AE336" s="3">
        <v>5</v>
      </c>
      <c r="AF336" s="3">
        <v>5</v>
      </c>
      <c r="AG336" s="3">
        <v>5</v>
      </c>
      <c r="AH336" s="3">
        <v>5</v>
      </c>
      <c r="AI336" s="3">
        <v>3</v>
      </c>
      <c r="AJ336" s="3">
        <v>4</v>
      </c>
      <c r="AK336" s="3">
        <v>4</v>
      </c>
      <c r="AL336" s="3">
        <v>4</v>
      </c>
      <c r="AM336" s="3">
        <v>3</v>
      </c>
      <c r="AN336" s="3">
        <v>4</v>
      </c>
      <c r="AO336" s="3">
        <v>2</v>
      </c>
      <c r="AP336" s="3">
        <v>5</v>
      </c>
      <c r="AQ336" s="3">
        <v>3</v>
      </c>
      <c r="AR336" s="3">
        <v>3</v>
      </c>
      <c r="AS336" s="3">
        <v>3</v>
      </c>
      <c r="AT336" s="3">
        <v>4</v>
      </c>
      <c r="AU336" s="3">
        <v>5</v>
      </c>
      <c r="AV336" s="3">
        <v>5</v>
      </c>
      <c r="AW336" s="3">
        <v>5</v>
      </c>
      <c r="AX336" s="3">
        <v>5</v>
      </c>
      <c r="AY336" s="3">
        <v>5</v>
      </c>
      <c r="AZ336" s="3">
        <v>5</v>
      </c>
      <c r="BA336" s="3">
        <v>4</v>
      </c>
      <c r="BB336" s="3">
        <v>5</v>
      </c>
      <c r="BC336" s="3">
        <v>4</v>
      </c>
      <c r="BD336" s="3">
        <v>4</v>
      </c>
      <c r="BE336" s="3">
        <v>5</v>
      </c>
      <c r="BF336" s="3">
        <v>5</v>
      </c>
      <c r="BG336" s="3">
        <v>5</v>
      </c>
      <c r="BH336" s="3">
        <v>5</v>
      </c>
      <c r="BI336" s="3">
        <v>5</v>
      </c>
      <c r="BJ336" s="3">
        <v>5</v>
      </c>
      <c r="BK336" s="3">
        <v>4</v>
      </c>
      <c r="BL336" s="3">
        <v>4</v>
      </c>
      <c r="BM336" s="3">
        <v>5</v>
      </c>
      <c r="BN336" s="3">
        <v>5</v>
      </c>
      <c r="BO336" s="3">
        <v>5</v>
      </c>
      <c r="BP336" s="3" t="s">
        <v>917</v>
      </c>
    </row>
    <row r="337" spans="1:68" ht="22.5" customHeight="1" x14ac:dyDescent="0.25">
      <c r="A337" s="2">
        <v>45986.523876701394</v>
      </c>
      <c r="B337" s="3" t="s">
        <v>918</v>
      </c>
      <c r="C337" s="3" t="s">
        <v>86</v>
      </c>
      <c r="D337" s="3" t="s">
        <v>289</v>
      </c>
      <c r="E337" s="3" t="s">
        <v>77</v>
      </c>
      <c r="F337" s="3" t="s">
        <v>78</v>
      </c>
      <c r="G337" s="3" t="s">
        <v>79</v>
      </c>
      <c r="H337" s="3">
        <v>5</v>
      </c>
      <c r="I337" s="3">
        <v>5</v>
      </c>
      <c r="J337" s="3">
        <v>5</v>
      </c>
      <c r="K337" s="3">
        <v>5</v>
      </c>
      <c r="L337" s="3">
        <v>5</v>
      </c>
      <c r="M337" s="3">
        <v>5</v>
      </c>
      <c r="N337" s="3">
        <v>5</v>
      </c>
      <c r="O337" s="3">
        <v>5</v>
      </c>
      <c r="P337" s="3">
        <v>5</v>
      </c>
      <c r="Q337" s="3">
        <v>5</v>
      </c>
      <c r="R337" s="3">
        <v>5</v>
      </c>
      <c r="S337" s="3">
        <v>5</v>
      </c>
      <c r="T337" s="3">
        <v>5</v>
      </c>
      <c r="U337" s="3">
        <v>5</v>
      </c>
      <c r="V337" s="3">
        <v>4</v>
      </c>
      <c r="W337" s="3">
        <v>4</v>
      </c>
      <c r="X337" s="3">
        <v>5</v>
      </c>
      <c r="Y337" s="3">
        <v>5</v>
      </c>
      <c r="Z337" s="3">
        <v>3</v>
      </c>
      <c r="AA337" s="3">
        <v>2</v>
      </c>
      <c r="AB337" s="3">
        <v>3</v>
      </c>
      <c r="AC337" s="3">
        <v>3</v>
      </c>
      <c r="AD337" s="3">
        <v>4</v>
      </c>
      <c r="AE337" s="3">
        <v>4</v>
      </c>
      <c r="AF337" s="3">
        <v>4</v>
      </c>
      <c r="AG337" s="3">
        <v>4</v>
      </c>
      <c r="AH337" s="3">
        <v>4</v>
      </c>
      <c r="AI337" s="3">
        <v>5</v>
      </c>
      <c r="AJ337" s="3">
        <v>5</v>
      </c>
      <c r="AK337" s="3">
        <v>5</v>
      </c>
      <c r="AL337" s="3">
        <v>5</v>
      </c>
      <c r="AM337" s="3">
        <v>5</v>
      </c>
      <c r="AN337" s="3">
        <v>5</v>
      </c>
      <c r="AO337" s="3">
        <v>5</v>
      </c>
      <c r="AP337" s="3">
        <v>5</v>
      </c>
      <c r="AQ337" s="3">
        <v>5</v>
      </c>
      <c r="AR337" s="3">
        <v>5</v>
      </c>
      <c r="AS337" s="3">
        <v>4</v>
      </c>
      <c r="AT337" s="3">
        <v>4</v>
      </c>
      <c r="AU337" s="3">
        <v>5</v>
      </c>
      <c r="AV337" s="3">
        <v>5</v>
      </c>
      <c r="AW337" s="3">
        <v>5</v>
      </c>
      <c r="AX337" s="3">
        <v>5</v>
      </c>
      <c r="AY337" s="3">
        <v>5</v>
      </c>
      <c r="AZ337" s="3">
        <v>5</v>
      </c>
      <c r="BA337" s="3">
        <v>4</v>
      </c>
      <c r="BB337" s="3">
        <v>4</v>
      </c>
      <c r="BC337" s="3">
        <v>4</v>
      </c>
      <c r="BD337" s="3">
        <v>4</v>
      </c>
      <c r="BE337" s="3">
        <v>4</v>
      </c>
      <c r="BF337" s="3">
        <v>4</v>
      </c>
      <c r="BG337" s="3">
        <v>5</v>
      </c>
      <c r="BH337" s="3">
        <v>5</v>
      </c>
      <c r="BI337" s="3">
        <v>5</v>
      </c>
      <c r="BJ337" s="3">
        <v>5</v>
      </c>
      <c r="BK337" s="3">
        <v>5</v>
      </c>
      <c r="BL337" s="3">
        <v>5</v>
      </c>
      <c r="BM337" s="3">
        <v>5</v>
      </c>
      <c r="BN337" s="3">
        <v>5</v>
      </c>
      <c r="BO337" s="3">
        <v>5</v>
      </c>
      <c r="BP337" s="3" t="s">
        <v>919</v>
      </c>
    </row>
    <row r="338" spans="1:68" ht="22.5" customHeight="1" x14ac:dyDescent="0.25">
      <c r="A338" s="2">
        <v>45986.525831331019</v>
      </c>
      <c r="B338" s="3" t="s">
        <v>920</v>
      </c>
      <c r="C338" s="3" t="s">
        <v>86</v>
      </c>
      <c r="D338" s="3" t="s">
        <v>921</v>
      </c>
      <c r="E338" s="3" t="s">
        <v>119</v>
      </c>
      <c r="F338" s="3" t="s">
        <v>72</v>
      </c>
      <c r="G338" s="3" t="s">
        <v>73</v>
      </c>
      <c r="H338" s="3">
        <v>5</v>
      </c>
      <c r="I338" s="3">
        <v>5</v>
      </c>
      <c r="J338" s="3">
        <v>5</v>
      </c>
      <c r="K338" s="3">
        <v>5</v>
      </c>
      <c r="L338" s="3">
        <v>5</v>
      </c>
      <c r="M338" s="3">
        <v>5</v>
      </c>
      <c r="N338" s="3">
        <v>5</v>
      </c>
      <c r="O338" s="3">
        <v>5</v>
      </c>
      <c r="P338" s="3">
        <v>5</v>
      </c>
      <c r="Q338" s="3">
        <v>5</v>
      </c>
      <c r="R338" s="3">
        <v>5</v>
      </c>
      <c r="S338" s="3">
        <v>5</v>
      </c>
      <c r="T338" s="3">
        <v>5</v>
      </c>
      <c r="U338" s="3">
        <v>5</v>
      </c>
      <c r="V338" s="3">
        <v>5</v>
      </c>
      <c r="W338" s="3">
        <v>5</v>
      </c>
      <c r="X338" s="3">
        <v>5</v>
      </c>
      <c r="Y338" s="3">
        <v>5</v>
      </c>
      <c r="Z338" s="3">
        <v>5</v>
      </c>
      <c r="AA338" s="3">
        <v>5</v>
      </c>
      <c r="AB338" s="3">
        <v>5</v>
      </c>
      <c r="AC338" s="3">
        <v>5</v>
      </c>
      <c r="AD338" s="3">
        <v>5</v>
      </c>
      <c r="AE338" s="3">
        <v>5</v>
      </c>
      <c r="AF338" s="3">
        <v>5</v>
      </c>
      <c r="AG338" s="3">
        <v>5</v>
      </c>
      <c r="AH338" s="3">
        <v>5</v>
      </c>
      <c r="AI338" s="3">
        <v>5</v>
      </c>
      <c r="AJ338" s="3">
        <v>5</v>
      </c>
      <c r="AK338" s="3">
        <v>5</v>
      </c>
      <c r="AL338" s="3">
        <v>5</v>
      </c>
      <c r="AM338" s="3">
        <v>5</v>
      </c>
      <c r="AN338" s="3">
        <v>4</v>
      </c>
      <c r="AO338" s="3">
        <v>4</v>
      </c>
      <c r="AP338" s="3">
        <v>4</v>
      </c>
      <c r="AQ338" s="3">
        <v>4</v>
      </c>
      <c r="AR338" s="3">
        <v>4</v>
      </c>
      <c r="AS338" s="3">
        <v>4</v>
      </c>
      <c r="AT338" s="3">
        <v>4</v>
      </c>
      <c r="AU338" s="3">
        <v>4</v>
      </c>
      <c r="AV338" s="3">
        <v>4</v>
      </c>
      <c r="AW338" s="3">
        <v>5</v>
      </c>
      <c r="AX338" s="3">
        <v>5</v>
      </c>
      <c r="AY338" s="3">
        <v>5</v>
      </c>
      <c r="AZ338" s="3">
        <v>5</v>
      </c>
      <c r="BA338" s="3">
        <v>5</v>
      </c>
      <c r="BB338" s="3">
        <v>5</v>
      </c>
      <c r="BC338" s="3">
        <v>5</v>
      </c>
      <c r="BD338" s="3">
        <v>5</v>
      </c>
      <c r="BE338" s="3">
        <v>5</v>
      </c>
      <c r="BF338" s="3">
        <v>5</v>
      </c>
      <c r="BG338" s="3">
        <v>5</v>
      </c>
      <c r="BH338" s="3">
        <v>5</v>
      </c>
      <c r="BI338" s="3">
        <v>5</v>
      </c>
      <c r="BJ338" s="3">
        <v>5</v>
      </c>
      <c r="BK338" s="3">
        <v>5</v>
      </c>
      <c r="BL338" s="3">
        <v>5</v>
      </c>
      <c r="BM338" s="3">
        <v>5</v>
      </c>
      <c r="BN338" s="3">
        <v>5</v>
      </c>
      <c r="BO338" s="3">
        <v>5</v>
      </c>
      <c r="BP338" s="3" t="s">
        <v>922</v>
      </c>
    </row>
    <row r="339" spans="1:68" ht="22.5" customHeight="1" x14ac:dyDescent="0.25">
      <c r="A339" s="2">
        <v>45986.529790868051</v>
      </c>
      <c r="B339" s="3" t="s">
        <v>923</v>
      </c>
      <c r="C339" s="3" t="s">
        <v>69</v>
      </c>
      <c r="D339" s="3" t="s">
        <v>865</v>
      </c>
      <c r="E339" s="3" t="s">
        <v>119</v>
      </c>
      <c r="F339" s="3" t="s">
        <v>82</v>
      </c>
      <c r="G339" s="3" t="s">
        <v>83</v>
      </c>
      <c r="H339" s="3">
        <v>4</v>
      </c>
      <c r="I339" s="3">
        <v>4</v>
      </c>
      <c r="J339" s="3">
        <v>5</v>
      </c>
      <c r="K339" s="3">
        <v>3</v>
      </c>
      <c r="L339" s="3">
        <v>3</v>
      </c>
      <c r="M339" s="3">
        <v>3</v>
      </c>
      <c r="N339" s="3">
        <v>3</v>
      </c>
      <c r="O339" s="3">
        <v>4</v>
      </c>
      <c r="P339" s="3">
        <v>5</v>
      </c>
      <c r="Q339" s="3">
        <v>4</v>
      </c>
      <c r="R339" s="3">
        <v>3</v>
      </c>
      <c r="S339" s="3">
        <v>4</v>
      </c>
      <c r="T339" s="3">
        <v>4</v>
      </c>
      <c r="U339" s="3">
        <v>4</v>
      </c>
      <c r="V339" s="3">
        <v>5</v>
      </c>
      <c r="W339" s="3">
        <v>4</v>
      </c>
      <c r="X339" s="3">
        <v>2</v>
      </c>
      <c r="Y339" s="3">
        <v>2</v>
      </c>
      <c r="Z339" s="3">
        <v>4</v>
      </c>
      <c r="AA339" s="3">
        <v>4</v>
      </c>
      <c r="AB339" s="3">
        <v>4</v>
      </c>
      <c r="AC339" s="3">
        <v>2</v>
      </c>
      <c r="AD339" s="3">
        <v>4</v>
      </c>
      <c r="AE339" s="3">
        <v>4</v>
      </c>
      <c r="AF339" s="3">
        <v>5</v>
      </c>
      <c r="AG339" s="3">
        <v>5</v>
      </c>
      <c r="AH339" s="3">
        <v>5</v>
      </c>
      <c r="AI339" s="3">
        <v>5</v>
      </c>
      <c r="AJ339" s="3">
        <v>5</v>
      </c>
      <c r="AK339" s="3">
        <v>5</v>
      </c>
      <c r="AL339" s="3">
        <v>4</v>
      </c>
      <c r="AM339" s="3">
        <v>4</v>
      </c>
      <c r="AN339" s="3">
        <v>4</v>
      </c>
      <c r="AO339" s="3">
        <v>4</v>
      </c>
      <c r="AP339" s="3">
        <v>4</v>
      </c>
      <c r="AQ339" s="3">
        <v>4</v>
      </c>
      <c r="AR339" s="3">
        <v>4</v>
      </c>
      <c r="AS339" s="3">
        <v>4</v>
      </c>
      <c r="AT339" s="3">
        <v>4</v>
      </c>
      <c r="AU339" s="3">
        <v>4</v>
      </c>
      <c r="AV339" s="3">
        <v>4</v>
      </c>
      <c r="AW339" s="3">
        <v>5</v>
      </c>
      <c r="AX339" s="3">
        <v>5</v>
      </c>
      <c r="AY339" s="3">
        <v>5</v>
      </c>
      <c r="AZ339" s="3">
        <v>5</v>
      </c>
      <c r="BA339" s="3">
        <v>4</v>
      </c>
      <c r="BB339" s="3">
        <v>2</v>
      </c>
      <c r="BC339" s="3">
        <v>2</v>
      </c>
      <c r="BD339" s="3">
        <v>2</v>
      </c>
      <c r="BE339" s="3">
        <v>2</v>
      </c>
      <c r="BF339" s="3">
        <v>2</v>
      </c>
      <c r="BG339" s="3">
        <v>4</v>
      </c>
      <c r="BH339" s="3">
        <v>4</v>
      </c>
      <c r="BI339" s="3">
        <v>5</v>
      </c>
      <c r="BJ339" s="3">
        <v>4</v>
      </c>
      <c r="BK339" s="3">
        <v>4</v>
      </c>
      <c r="BL339" s="3">
        <v>4</v>
      </c>
      <c r="BM339" s="3">
        <v>4</v>
      </c>
      <c r="BN339" s="3">
        <v>3</v>
      </c>
      <c r="BO339" s="3">
        <v>4</v>
      </c>
      <c r="BP339" s="3" t="s">
        <v>924</v>
      </c>
    </row>
    <row r="340" spans="1:68" ht="22.5" customHeight="1" x14ac:dyDescent="0.25">
      <c r="A340" s="2">
        <v>45986.553279479165</v>
      </c>
      <c r="B340" s="3" t="s">
        <v>925</v>
      </c>
      <c r="C340" s="3" t="s">
        <v>86</v>
      </c>
      <c r="D340" s="3" t="s">
        <v>926</v>
      </c>
      <c r="E340" s="3" t="s">
        <v>77</v>
      </c>
      <c r="F340" s="3" t="s">
        <v>78</v>
      </c>
      <c r="G340" s="3" t="s">
        <v>79</v>
      </c>
      <c r="H340" s="3">
        <v>4</v>
      </c>
      <c r="I340" s="3">
        <v>4</v>
      </c>
      <c r="J340" s="3">
        <v>4</v>
      </c>
      <c r="K340" s="3">
        <v>5</v>
      </c>
      <c r="L340" s="3">
        <v>4</v>
      </c>
      <c r="M340" s="3">
        <v>4</v>
      </c>
      <c r="N340" s="3">
        <v>5</v>
      </c>
      <c r="O340" s="3">
        <v>5</v>
      </c>
      <c r="P340" s="3">
        <v>5</v>
      </c>
      <c r="Q340" s="3">
        <v>5</v>
      </c>
      <c r="R340" s="3">
        <v>5</v>
      </c>
      <c r="S340" s="3">
        <v>5</v>
      </c>
      <c r="T340" s="3">
        <v>4</v>
      </c>
      <c r="U340" s="3">
        <v>3</v>
      </c>
      <c r="V340" s="3">
        <v>5</v>
      </c>
      <c r="W340" s="3">
        <v>5</v>
      </c>
      <c r="X340" s="3">
        <v>3</v>
      </c>
      <c r="Y340" s="3">
        <v>1</v>
      </c>
      <c r="Z340" s="3">
        <v>5</v>
      </c>
      <c r="AA340" s="3">
        <v>3</v>
      </c>
      <c r="AB340" s="3">
        <v>2</v>
      </c>
      <c r="AC340" s="3">
        <v>1</v>
      </c>
      <c r="AD340" s="3">
        <v>5</v>
      </c>
      <c r="AE340" s="3">
        <v>4</v>
      </c>
      <c r="AF340" s="3">
        <v>3</v>
      </c>
      <c r="AG340" s="3">
        <v>2</v>
      </c>
      <c r="AH340" s="3">
        <v>2</v>
      </c>
      <c r="AI340" s="3">
        <v>5</v>
      </c>
      <c r="AJ340" s="3">
        <v>5</v>
      </c>
      <c r="AK340" s="3">
        <v>5</v>
      </c>
      <c r="AL340" s="3">
        <v>5</v>
      </c>
      <c r="AM340" s="3">
        <v>5</v>
      </c>
      <c r="AN340" s="3">
        <v>5</v>
      </c>
      <c r="AO340" s="3">
        <v>5</v>
      </c>
      <c r="AP340" s="3">
        <v>5</v>
      </c>
      <c r="AQ340" s="3">
        <v>5</v>
      </c>
      <c r="AR340" s="3">
        <v>5</v>
      </c>
      <c r="AS340" s="3">
        <v>5</v>
      </c>
      <c r="AT340" s="3">
        <v>5</v>
      </c>
      <c r="AU340" s="3">
        <v>5</v>
      </c>
      <c r="AV340" s="3">
        <v>5</v>
      </c>
      <c r="AW340" s="3">
        <v>5</v>
      </c>
      <c r="AX340" s="3">
        <v>5</v>
      </c>
      <c r="AY340" s="3">
        <v>5</v>
      </c>
      <c r="AZ340" s="3">
        <v>5</v>
      </c>
      <c r="BA340" s="3">
        <v>3</v>
      </c>
      <c r="BB340" s="3">
        <v>3</v>
      </c>
      <c r="BC340" s="3">
        <v>4</v>
      </c>
      <c r="BD340" s="3">
        <v>4</v>
      </c>
      <c r="BE340" s="3">
        <v>4</v>
      </c>
      <c r="BF340" s="3">
        <v>4</v>
      </c>
      <c r="BG340" s="3">
        <v>5</v>
      </c>
      <c r="BH340" s="3">
        <v>5</v>
      </c>
      <c r="BI340" s="3">
        <v>5</v>
      </c>
      <c r="BJ340" s="3">
        <v>5</v>
      </c>
      <c r="BK340" s="3">
        <v>5</v>
      </c>
      <c r="BL340" s="3">
        <v>5</v>
      </c>
      <c r="BM340" s="3">
        <v>5</v>
      </c>
      <c r="BN340" s="3">
        <v>5</v>
      </c>
      <c r="BO340" s="3">
        <v>5</v>
      </c>
      <c r="BP340" s="3" t="s">
        <v>927</v>
      </c>
    </row>
    <row r="341" spans="1:68" ht="22.5" customHeight="1" x14ac:dyDescent="0.25">
      <c r="A341" s="2">
        <v>45986.555606805559</v>
      </c>
      <c r="B341" s="3" t="s">
        <v>928</v>
      </c>
      <c r="C341" s="3" t="s">
        <v>69</v>
      </c>
      <c r="D341" s="3" t="s">
        <v>289</v>
      </c>
      <c r="E341" s="3" t="s">
        <v>119</v>
      </c>
      <c r="F341" s="3" t="s">
        <v>82</v>
      </c>
      <c r="G341" s="3" t="s">
        <v>83</v>
      </c>
      <c r="H341" s="3">
        <v>5</v>
      </c>
      <c r="I341" s="3">
        <v>5</v>
      </c>
      <c r="J341" s="3">
        <v>5</v>
      </c>
      <c r="K341" s="3">
        <v>4</v>
      </c>
      <c r="L341" s="3">
        <v>5</v>
      </c>
      <c r="M341" s="3">
        <v>2</v>
      </c>
      <c r="N341" s="3">
        <v>4</v>
      </c>
      <c r="O341" s="3">
        <v>3</v>
      </c>
      <c r="P341" s="3">
        <v>5</v>
      </c>
      <c r="Q341" s="3">
        <v>5</v>
      </c>
      <c r="R341" s="3">
        <v>5</v>
      </c>
      <c r="S341" s="3">
        <v>5</v>
      </c>
      <c r="T341" s="3">
        <v>5</v>
      </c>
      <c r="U341" s="3">
        <v>5</v>
      </c>
      <c r="V341" s="3">
        <v>4</v>
      </c>
      <c r="W341" s="3">
        <v>4</v>
      </c>
      <c r="X341" s="3">
        <v>4</v>
      </c>
      <c r="Y341" s="3">
        <v>4</v>
      </c>
      <c r="Z341" s="3">
        <v>4</v>
      </c>
      <c r="AA341" s="3">
        <v>4</v>
      </c>
      <c r="AB341" s="3">
        <v>4</v>
      </c>
      <c r="AC341" s="3">
        <v>3</v>
      </c>
      <c r="AD341" s="3">
        <v>5</v>
      </c>
      <c r="AE341" s="3">
        <v>3</v>
      </c>
      <c r="AF341" s="3">
        <v>4</v>
      </c>
      <c r="AG341" s="3">
        <v>4</v>
      </c>
      <c r="AH341" s="3">
        <v>3</v>
      </c>
      <c r="AI341" s="3">
        <v>5</v>
      </c>
      <c r="AJ341" s="3">
        <v>5</v>
      </c>
      <c r="AK341" s="3">
        <v>5</v>
      </c>
      <c r="AL341" s="3">
        <v>5</v>
      </c>
      <c r="AM341" s="3">
        <v>5</v>
      </c>
      <c r="AN341" s="3">
        <v>4</v>
      </c>
      <c r="AO341" s="3">
        <v>4</v>
      </c>
      <c r="AP341" s="3">
        <v>4</v>
      </c>
      <c r="AQ341" s="3">
        <v>4</v>
      </c>
      <c r="AR341" s="3">
        <v>4</v>
      </c>
      <c r="AS341" s="3">
        <v>4</v>
      </c>
      <c r="AT341" s="3">
        <v>4</v>
      </c>
      <c r="AU341" s="3">
        <v>4</v>
      </c>
      <c r="AV341" s="3">
        <v>4</v>
      </c>
      <c r="AW341" s="3">
        <v>5</v>
      </c>
      <c r="AX341" s="3">
        <v>5</v>
      </c>
      <c r="AY341" s="3">
        <v>5</v>
      </c>
      <c r="AZ341" s="3">
        <v>5</v>
      </c>
      <c r="BA341" s="3">
        <v>4</v>
      </c>
      <c r="BB341" s="3">
        <v>4</v>
      </c>
      <c r="BC341" s="3">
        <v>3</v>
      </c>
      <c r="BD341" s="3">
        <v>4</v>
      </c>
      <c r="BE341" s="3">
        <v>4</v>
      </c>
      <c r="BF341" s="3">
        <v>4</v>
      </c>
      <c r="BG341" s="3">
        <v>4</v>
      </c>
      <c r="BH341" s="3">
        <v>4</v>
      </c>
      <c r="BI341" s="3">
        <v>4</v>
      </c>
      <c r="BJ341" s="3">
        <v>5</v>
      </c>
      <c r="BK341" s="3">
        <v>5</v>
      </c>
      <c r="BL341" s="3">
        <v>5</v>
      </c>
      <c r="BM341" s="3">
        <v>5</v>
      </c>
      <c r="BN341" s="3">
        <v>5</v>
      </c>
      <c r="BO341" s="3">
        <v>5</v>
      </c>
      <c r="BP341" s="3" t="s">
        <v>929</v>
      </c>
    </row>
    <row r="342" spans="1:68" ht="22.5" customHeight="1" x14ac:dyDescent="0.25">
      <c r="A342" s="2">
        <v>45986.555858796295</v>
      </c>
      <c r="B342" s="3" t="s">
        <v>930</v>
      </c>
      <c r="C342" s="3" t="s">
        <v>86</v>
      </c>
      <c r="D342" s="3" t="s">
        <v>931</v>
      </c>
      <c r="E342" s="3" t="s">
        <v>119</v>
      </c>
      <c r="F342" s="3" t="s">
        <v>72</v>
      </c>
      <c r="G342" s="3" t="s">
        <v>83</v>
      </c>
      <c r="H342" s="3">
        <v>5</v>
      </c>
      <c r="I342" s="3">
        <v>5</v>
      </c>
      <c r="J342" s="3">
        <v>5</v>
      </c>
      <c r="K342" s="3">
        <v>5</v>
      </c>
      <c r="L342" s="3">
        <v>5</v>
      </c>
      <c r="M342" s="3">
        <v>3</v>
      </c>
      <c r="N342" s="3">
        <v>3</v>
      </c>
      <c r="O342" s="3">
        <v>5</v>
      </c>
      <c r="P342" s="3">
        <v>5</v>
      </c>
      <c r="Q342" s="3">
        <v>5</v>
      </c>
      <c r="R342" s="3">
        <v>5</v>
      </c>
      <c r="S342" s="3">
        <v>5</v>
      </c>
      <c r="T342" s="3">
        <v>5</v>
      </c>
      <c r="U342" s="3">
        <v>5</v>
      </c>
      <c r="V342" s="3">
        <v>3</v>
      </c>
      <c r="W342" s="3">
        <v>3</v>
      </c>
      <c r="X342" s="3">
        <v>5</v>
      </c>
      <c r="Y342" s="3">
        <v>5</v>
      </c>
      <c r="Z342" s="3">
        <v>5</v>
      </c>
      <c r="AA342" s="3">
        <v>5</v>
      </c>
      <c r="AB342" s="3">
        <v>5</v>
      </c>
      <c r="AC342" s="3">
        <v>3</v>
      </c>
      <c r="AD342" s="3">
        <v>5</v>
      </c>
      <c r="AE342" s="3">
        <v>5</v>
      </c>
      <c r="AF342" s="3">
        <v>5</v>
      </c>
      <c r="AG342" s="3">
        <v>5</v>
      </c>
      <c r="AH342" s="3">
        <v>5</v>
      </c>
      <c r="AI342" s="3">
        <v>3</v>
      </c>
      <c r="AJ342" s="3">
        <v>5</v>
      </c>
      <c r="AK342" s="3">
        <v>5</v>
      </c>
      <c r="AL342" s="3">
        <v>5</v>
      </c>
      <c r="AM342" s="3">
        <v>3</v>
      </c>
      <c r="AN342" s="3">
        <v>3</v>
      </c>
      <c r="AO342" s="3">
        <v>3</v>
      </c>
      <c r="AP342" s="3">
        <v>4</v>
      </c>
      <c r="AQ342" s="3">
        <v>5</v>
      </c>
      <c r="AR342" s="3">
        <v>5</v>
      </c>
      <c r="AS342" s="3">
        <v>5</v>
      </c>
      <c r="AT342" s="3">
        <v>5</v>
      </c>
      <c r="AU342" s="3">
        <v>5</v>
      </c>
      <c r="AV342" s="3">
        <v>5</v>
      </c>
      <c r="AW342" s="3">
        <v>5</v>
      </c>
      <c r="AX342" s="3">
        <v>5</v>
      </c>
      <c r="AY342" s="3">
        <v>5</v>
      </c>
      <c r="AZ342" s="3">
        <v>5</v>
      </c>
      <c r="BA342" s="3">
        <v>5</v>
      </c>
      <c r="BB342" s="3">
        <v>5</v>
      </c>
      <c r="BC342" s="3">
        <v>5</v>
      </c>
      <c r="BD342" s="3">
        <v>4</v>
      </c>
      <c r="BE342" s="3">
        <v>3</v>
      </c>
      <c r="BF342" s="3">
        <v>3</v>
      </c>
      <c r="BG342" s="3">
        <v>5</v>
      </c>
      <c r="BH342" s="3">
        <v>5</v>
      </c>
      <c r="BI342" s="3">
        <v>5</v>
      </c>
      <c r="BJ342" s="3">
        <v>5</v>
      </c>
      <c r="BK342" s="3">
        <v>5</v>
      </c>
      <c r="BL342" s="3">
        <v>5</v>
      </c>
      <c r="BM342" s="3">
        <v>5</v>
      </c>
      <c r="BN342" s="3">
        <v>5</v>
      </c>
      <c r="BO342" s="3">
        <v>5</v>
      </c>
      <c r="BP342" s="3" t="s">
        <v>932</v>
      </c>
    </row>
    <row r="343" spans="1:68" ht="22.5" customHeight="1" x14ac:dyDescent="0.25">
      <c r="A343" s="2">
        <v>45986.561698680554</v>
      </c>
      <c r="B343" s="3" t="s">
        <v>933</v>
      </c>
      <c r="C343" s="3" t="s">
        <v>86</v>
      </c>
      <c r="D343" s="3" t="s">
        <v>865</v>
      </c>
      <c r="E343" s="3" t="s">
        <v>77</v>
      </c>
      <c r="F343" s="3" t="s">
        <v>78</v>
      </c>
      <c r="G343" s="3" t="s">
        <v>79</v>
      </c>
      <c r="H343" s="3">
        <v>5</v>
      </c>
      <c r="I343" s="3">
        <v>4</v>
      </c>
      <c r="J343" s="3">
        <v>4</v>
      </c>
      <c r="K343" s="3">
        <v>5</v>
      </c>
      <c r="L343" s="3">
        <v>4</v>
      </c>
      <c r="M343" s="3">
        <v>4</v>
      </c>
      <c r="N343" s="3">
        <v>4</v>
      </c>
      <c r="O343" s="3">
        <v>5</v>
      </c>
      <c r="P343" s="3">
        <v>4</v>
      </c>
      <c r="Q343" s="3">
        <v>4</v>
      </c>
      <c r="R343" s="3">
        <v>5</v>
      </c>
      <c r="S343" s="3">
        <v>5</v>
      </c>
      <c r="T343" s="3">
        <v>4</v>
      </c>
      <c r="U343" s="3">
        <v>5</v>
      </c>
      <c r="V343" s="3">
        <v>4</v>
      </c>
      <c r="W343" s="3">
        <v>5</v>
      </c>
      <c r="X343" s="3">
        <v>4</v>
      </c>
      <c r="Y343" s="3">
        <v>4</v>
      </c>
      <c r="Z343" s="3">
        <v>4</v>
      </c>
      <c r="AA343" s="3">
        <v>4</v>
      </c>
      <c r="AB343" s="3">
        <v>4</v>
      </c>
      <c r="AC343" s="3">
        <v>4</v>
      </c>
      <c r="AD343" s="3">
        <v>5</v>
      </c>
      <c r="AE343" s="3">
        <v>4</v>
      </c>
      <c r="AF343" s="3">
        <v>5</v>
      </c>
      <c r="AG343" s="3">
        <v>5</v>
      </c>
      <c r="AH343" s="3">
        <v>4</v>
      </c>
      <c r="AI343" s="3">
        <v>4</v>
      </c>
      <c r="AJ343" s="3">
        <v>5</v>
      </c>
      <c r="AK343" s="3">
        <v>5</v>
      </c>
      <c r="AL343" s="3">
        <v>5</v>
      </c>
      <c r="AM343" s="3">
        <v>5</v>
      </c>
      <c r="AN343" s="3">
        <v>4</v>
      </c>
      <c r="AO343" s="3">
        <v>4</v>
      </c>
      <c r="AP343" s="3">
        <v>5</v>
      </c>
      <c r="AQ343" s="3">
        <v>4</v>
      </c>
      <c r="AR343" s="3">
        <v>4</v>
      </c>
      <c r="AS343" s="3">
        <v>4</v>
      </c>
      <c r="AT343" s="3">
        <v>5</v>
      </c>
      <c r="AU343" s="3">
        <v>5</v>
      </c>
      <c r="AV343" s="3">
        <v>4</v>
      </c>
      <c r="AW343" s="3">
        <v>5</v>
      </c>
      <c r="AX343" s="3">
        <v>5</v>
      </c>
      <c r="AY343" s="3">
        <v>5</v>
      </c>
      <c r="AZ343" s="3">
        <v>5</v>
      </c>
      <c r="BA343" s="3">
        <v>4</v>
      </c>
      <c r="BB343" s="3">
        <v>4</v>
      </c>
      <c r="BC343" s="3">
        <v>5</v>
      </c>
      <c r="BD343" s="3">
        <v>5</v>
      </c>
      <c r="BE343" s="3">
        <v>4</v>
      </c>
      <c r="BF343" s="3">
        <v>5</v>
      </c>
      <c r="BG343" s="3">
        <v>4</v>
      </c>
      <c r="BH343" s="3">
        <v>5</v>
      </c>
      <c r="BI343" s="3">
        <v>5</v>
      </c>
      <c r="BJ343" s="3">
        <v>4</v>
      </c>
      <c r="BK343" s="3">
        <v>4</v>
      </c>
      <c r="BL343" s="3">
        <v>4</v>
      </c>
      <c r="BM343" s="3">
        <v>5</v>
      </c>
      <c r="BN343" s="3">
        <v>4</v>
      </c>
      <c r="BO343" s="3">
        <v>5</v>
      </c>
      <c r="BP343" s="3" t="s">
        <v>934</v>
      </c>
    </row>
    <row r="344" spans="1:68" ht="22.5" customHeight="1" x14ac:dyDescent="0.25">
      <c r="A344" s="2">
        <v>45986.56242101852</v>
      </c>
      <c r="B344" s="3" t="s">
        <v>935</v>
      </c>
      <c r="C344" s="3" t="s">
        <v>69</v>
      </c>
      <c r="D344" s="3" t="s">
        <v>936</v>
      </c>
      <c r="E344" s="3" t="s">
        <v>119</v>
      </c>
      <c r="F344" s="3" t="s">
        <v>72</v>
      </c>
      <c r="G344" s="3" t="s">
        <v>73</v>
      </c>
      <c r="H344" s="3">
        <v>5</v>
      </c>
      <c r="I344" s="3">
        <v>5</v>
      </c>
      <c r="J344" s="3">
        <v>5</v>
      </c>
      <c r="K344" s="3">
        <v>5</v>
      </c>
      <c r="L344" s="3">
        <v>5</v>
      </c>
      <c r="M344" s="3">
        <v>4</v>
      </c>
      <c r="N344" s="3">
        <v>5</v>
      </c>
      <c r="O344" s="3">
        <v>4</v>
      </c>
      <c r="P344" s="3">
        <v>5</v>
      </c>
      <c r="Q344" s="3">
        <v>5</v>
      </c>
      <c r="R344" s="3">
        <v>5</v>
      </c>
      <c r="S344" s="3">
        <v>5</v>
      </c>
      <c r="T344" s="3">
        <v>4</v>
      </c>
      <c r="U344" s="3">
        <v>4</v>
      </c>
      <c r="V344" s="3">
        <v>4</v>
      </c>
      <c r="W344" s="3">
        <v>5</v>
      </c>
      <c r="X344" s="3">
        <v>4</v>
      </c>
      <c r="Y344" s="3">
        <v>5</v>
      </c>
      <c r="Z344" s="3">
        <v>4</v>
      </c>
      <c r="AA344" s="3">
        <v>5</v>
      </c>
      <c r="AB344" s="3">
        <v>4</v>
      </c>
      <c r="AC344" s="3">
        <v>4</v>
      </c>
      <c r="AD344" s="3">
        <v>5</v>
      </c>
      <c r="AE344" s="3">
        <v>5</v>
      </c>
      <c r="AF344" s="3">
        <v>5</v>
      </c>
      <c r="AG344" s="3">
        <v>5</v>
      </c>
      <c r="AH344" s="3">
        <v>5</v>
      </c>
      <c r="AI344" s="3">
        <v>5</v>
      </c>
      <c r="AJ344" s="3">
        <v>5</v>
      </c>
      <c r="AK344" s="3">
        <v>5</v>
      </c>
      <c r="AL344" s="3">
        <v>5</v>
      </c>
      <c r="AM344" s="3">
        <v>5</v>
      </c>
      <c r="AN344" s="3">
        <v>4</v>
      </c>
      <c r="AO344" s="3">
        <v>4</v>
      </c>
      <c r="AP344" s="3">
        <v>4</v>
      </c>
      <c r="AQ344" s="3">
        <v>4</v>
      </c>
      <c r="AR344" s="3">
        <v>4</v>
      </c>
      <c r="AS344" s="3">
        <v>3</v>
      </c>
      <c r="AT344" s="3">
        <v>5</v>
      </c>
      <c r="AU344" s="3">
        <v>5</v>
      </c>
      <c r="AV344" s="3">
        <v>5</v>
      </c>
      <c r="AW344" s="3">
        <v>5</v>
      </c>
      <c r="AX344" s="3">
        <v>5</v>
      </c>
      <c r="AY344" s="3">
        <v>5</v>
      </c>
      <c r="AZ344" s="3">
        <v>5</v>
      </c>
      <c r="BA344" s="3">
        <v>4</v>
      </c>
      <c r="BB344" s="3">
        <v>5</v>
      </c>
      <c r="BC344" s="3">
        <v>4</v>
      </c>
      <c r="BD344" s="3">
        <v>4</v>
      </c>
      <c r="BE344" s="3">
        <v>5</v>
      </c>
      <c r="BF344" s="3">
        <v>4</v>
      </c>
      <c r="BG344" s="3">
        <v>4</v>
      </c>
      <c r="BH344" s="3">
        <v>4</v>
      </c>
      <c r="BI344" s="3">
        <v>4</v>
      </c>
      <c r="BJ344" s="3">
        <v>5</v>
      </c>
      <c r="BK344" s="3">
        <v>5</v>
      </c>
      <c r="BL344" s="3">
        <v>5</v>
      </c>
      <c r="BM344" s="3">
        <v>5</v>
      </c>
      <c r="BN344" s="3">
        <v>5</v>
      </c>
      <c r="BO344" s="3">
        <v>5</v>
      </c>
      <c r="BP344" s="3" t="s">
        <v>937</v>
      </c>
    </row>
    <row r="345" spans="1:68" ht="22.5" customHeight="1" x14ac:dyDescent="0.25">
      <c r="A345" s="2">
        <v>45986.56641186343</v>
      </c>
      <c r="B345" s="3" t="s">
        <v>938</v>
      </c>
      <c r="C345" s="3" t="s">
        <v>86</v>
      </c>
      <c r="D345" s="3" t="s">
        <v>865</v>
      </c>
      <c r="E345" s="3" t="s">
        <v>77</v>
      </c>
      <c r="F345" s="3" t="s">
        <v>78</v>
      </c>
      <c r="G345" s="3" t="s">
        <v>79</v>
      </c>
      <c r="H345" s="3">
        <v>4</v>
      </c>
      <c r="I345" s="3">
        <v>4</v>
      </c>
      <c r="J345" s="3">
        <v>4</v>
      </c>
      <c r="K345" s="3">
        <v>4</v>
      </c>
      <c r="L345" s="3">
        <v>4</v>
      </c>
      <c r="M345" s="3">
        <v>4</v>
      </c>
      <c r="N345" s="3">
        <v>4</v>
      </c>
      <c r="O345" s="3">
        <v>4</v>
      </c>
      <c r="P345" s="3">
        <v>4</v>
      </c>
      <c r="Q345" s="3">
        <v>4</v>
      </c>
      <c r="R345" s="3">
        <v>4</v>
      </c>
      <c r="S345" s="3">
        <v>4</v>
      </c>
      <c r="T345" s="3">
        <v>4</v>
      </c>
      <c r="U345" s="3">
        <v>4</v>
      </c>
      <c r="V345" s="3">
        <v>4</v>
      </c>
      <c r="W345" s="3">
        <v>4</v>
      </c>
      <c r="X345" s="3">
        <v>4</v>
      </c>
      <c r="Y345" s="3">
        <v>4</v>
      </c>
      <c r="Z345" s="3">
        <v>4</v>
      </c>
      <c r="AA345" s="3">
        <v>4</v>
      </c>
      <c r="AB345" s="3">
        <v>4</v>
      </c>
      <c r="AC345" s="3">
        <v>4</v>
      </c>
      <c r="AD345" s="3">
        <v>4</v>
      </c>
      <c r="AE345" s="3">
        <v>4</v>
      </c>
      <c r="AF345" s="3">
        <v>4</v>
      </c>
      <c r="AG345" s="3">
        <v>4</v>
      </c>
      <c r="AH345" s="3">
        <v>4</v>
      </c>
      <c r="AI345" s="3">
        <v>4</v>
      </c>
      <c r="AJ345" s="3">
        <v>4</v>
      </c>
      <c r="AK345" s="3">
        <v>4</v>
      </c>
      <c r="AL345" s="3">
        <v>4</v>
      </c>
      <c r="AM345" s="3">
        <v>4</v>
      </c>
      <c r="AN345" s="3">
        <v>4</v>
      </c>
      <c r="AO345" s="3">
        <v>4</v>
      </c>
      <c r="AP345" s="3">
        <v>4</v>
      </c>
      <c r="AQ345" s="3">
        <v>4</v>
      </c>
      <c r="AR345" s="3">
        <v>4</v>
      </c>
      <c r="AS345" s="3">
        <v>4</v>
      </c>
      <c r="AT345" s="3">
        <v>4</v>
      </c>
      <c r="AU345" s="3">
        <v>4</v>
      </c>
      <c r="AV345" s="3">
        <v>4</v>
      </c>
      <c r="AW345" s="3">
        <v>4</v>
      </c>
      <c r="AX345" s="3">
        <v>4</v>
      </c>
      <c r="AY345" s="3">
        <v>4</v>
      </c>
      <c r="AZ345" s="3">
        <v>4</v>
      </c>
      <c r="BA345" s="3">
        <v>4</v>
      </c>
      <c r="BB345" s="3">
        <v>4</v>
      </c>
      <c r="BC345" s="3">
        <v>4</v>
      </c>
      <c r="BD345" s="3">
        <v>4</v>
      </c>
      <c r="BE345" s="3">
        <v>4</v>
      </c>
      <c r="BF345" s="3">
        <v>4</v>
      </c>
      <c r="BG345" s="3">
        <v>4</v>
      </c>
      <c r="BH345" s="3">
        <v>4</v>
      </c>
      <c r="BI345" s="3">
        <v>4</v>
      </c>
      <c r="BJ345" s="3">
        <v>4</v>
      </c>
      <c r="BK345" s="3">
        <v>4</v>
      </c>
      <c r="BL345" s="3">
        <v>4</v>
      </c>
      <c r="BM345" s="3">
        <v>4</v>
      </c>
      <c r="BN345" s="3">
        <v>4</v>
      </c>
      <c r="BO345" s="3">
        <v>4</v>
      </c>
      <c r="BP345" s="3" t="s">
        <v>939</v>
      </c>
    </row>
    <row r="346" spans="1:68" ht="22.5" customHeight="1" x14ac:dyDescent="0.25">
      <c r="A346" s="2">
        <v>45986.611792650467</v>
      </c>
      <c r="B346" s="3" t="s">
        <v>940</v>
      </c>
      <c r="C346" s="3" t="s">
        <v>86</v>
      </c>
      <c r="D346" s="3" t="s">
        <v>204</v>
      </c>
      <c r="E346" s="3" t="s">
        <v>77</v>
      </c>
      <c r="F346" s="3" t="s">
        <v>78</v>
      </c>
      <c r="G346" s="3" t="s">
        <v>79</v>
      </c>
      <c r="H346" s="3">
        <v>5</v>
      </c>
      <c r="I346" s="3">
        <v>5</v>
      </c>
      <c r="J346" s="3">
        <v>5</v>
      </c>
      <c r="K346" s="3">
        <v>4</v>
      </c>
      <c r="L346" s="3">
        <v>5</v>
      </c>
      <c r="M346" s="3">
        <v>4</v>
      </c>
      <c r="N346" s="3">
        <v>4</v>
      </c>
      <c r="O346" s="3">
        <v>5</v>
      </c>
      <c r="P346" s="3">
        <v>5</v>
      </c>
      <c r="Q346" s="3">
        <v>5</v>
      </c>
      <c r="R346" s="3">
        <v>5</v>
      </c>
      <c r="S346" s="3">
        <v>5</v>
      </c>
      <c r="T346" s="3">
        <v>5</v>
      </c>
      <c r="U346" s="3">
        <v>5</v>
      </c>
      <c r="V346" s="3">
        <v>5</v>
      </c>
      <c r="W346" s="3">
        <v>5</v>
      </c>
      <c r="X346" s="3">
        <v>5</v>
      </c>
      <c r="Y346" s="3">
        <v>5</v>
      </c>
      <c r="Z346" s="3">
        <v>4</v>
      </c>
      <c r="AA346" s="3">
        <v>5</v>
      </c>
      <c r="AB346" s="3">
        <v>4</v>
      </c>
      <c r="AC346" s="3">
        <v>4</v>
      </c>
      <c r="AD346" s="3">
        <v>5</v>
      </c>
      <c r="AE346" s="3">
        <v>5</v>
      </c>
      <c r="AF346" s="3">
        <v>5</v>
      </c>
      <c r="AG346" s="3">
        <v>5</v>
      </c>
      <c r="AH346" s="3">
        <v>5</v>
      </c>
      <c r="AI346" s="3">
        <v>5</v>
      </c>
      <c r="AJ346" s="3">
        <v>5</v>
      </c>
      <c r="AK346" s="3">
        <v>5</v>
      </c>
      <c r="AL346" s="3">
        <v>5</v>
      </c>
      <c r="AM346" s="3">
        <v>5</v>
      </c>
      <c r="AN346" s="3">
        <v>5</v>
      </c>
      <c r="AO346" s="3">
        <v>5</v>
      </c>
      <c r="AP346" s="3">
        <v>5</v>
      </c>
      <c r="AQ346" s="3">
        <v>5</v>
      </c>
      <c r="AR346" s="3">
        <v>5</v>
      </c>
      <c r="AS346" s="3">
        <v>5</v>
      </c>
      <c r="AT346" s="3">
        <v>5</v>
      </c>
      <c r="AU346" s="3">
        <v>5</v>
      </c>
      <c r="AV346" s="3">
        <v>5</v>
      </c>
      <c r="AW346" s="3">
        <v>5</v>
      </c>
      <c r="AX346" s="3">
        <v>5</v>
      </c>
      <c r="AY346" s="3">
        <v>5</v>
      </c>
      <c r="AZ346" s="3">
        <v>5</v>
      </c>
      <c r="BA346" s="3">
        <v>3</v>
      </c>
      <c r="BB346" s="3">
        <v>3</v>
      </c>
      <c r="BC346" s="3">
        <v>3</v>
      </c>
      <c r="BD346" s="3">
        <v>3</v>
      </c>
      <c r="BE346" s="3">
        <v>3</v>
      </c>
      <c r="BF346" s="3">
        <v>3</v>
      </c>
      <c r="BG346" s="3">
        <v>4</v>
      </c>
      <c r="BH346" s="3">
        <v>5</v>
      </c>
      <c r="BI346" s="3">
        <v>5</v>
      </c>
      <c r="BJ346" s="3">
        <v>5</v>
      </c>
      <c r="BK346" s="3">
        <v>5</v>
      </c>
      <c r="BL346" s="3">
        <v>5</v>
      </c>
      <c r="BM346" s="3">
        <v>5</v>
      </c>
      <c r="BN346" s="3">
        <v>5</v>
      </c>
      <c r="BO346" s="3">
        <v>5</v>
      </c>
      <c r="BP346" s="3" t="s">
        <v>941</v>
      </c>
    </row>
    <row r="347" spans="1:68" ht="22.5" customHeight="1" x14ac:dyDescent="0.25">
      <c r="A347" s="2">
        <v>45986.615119328708</v>
      </c>
      <c r="B347" s="3" t="s">
        <v>942</v>
      </c>
      <c r="C347" s="3" t="s">
        <v>69</v>
      </c>
      <c r="D347" s="3" t="s">
        <v>943</v>
      </c>
      <c r="E347" s="3" t="s">
        <v>77</v>
      </c>
      <c r="F347" s="3" t="s">
        <v>88</v>
      </c>
      <c r="G347" s="3" t="s">
        <v>83</v>
      </c>
      <c r="H347" s="3">
        <v>5</v>
      </c>
      <c r="I347" s="3">
        <v>5</v>
      </c>
      <c r="J347" s="3">
        <v>4</v>
      </c>
      <c r="K347" s="3">
        <v>4</v>
      </c>
      <c r="L347" s="3">
        <v>5</v>
      </c>
      <c r="M347" s="3">
        <v>4</v>
      </c>
      <c r="N347" s="3">
        <v>4</v>
      </c>
      <c r="O347" s="3">
        <v>5</v>
      </c>
      <c r="P347" s="3">
        <v>5</v>
      </c>
      <c r="Q347" s="3">
        <v>5</v>
      </c>
      <c r="R347" s="3">
        <v>4</v>
      </c>
      <c r="S347" s="3">
        <v>5</v>
      </c>
      <c r="T347" s="3">
        <v>4</v>
      </c>
      <c r="U347" s="3">
        <v>4</v>
      </c>
      <c r="V347" s="3">
        <v>4</v>
      </c>
      <c r="W347" s="3">
        <v>4</v>
      </c>
      <c r="X347" s="3">
        <v>4</v>
      </c>
      <c r="Y347" s="3">
        <v>4</v>
      </c>
      <c r="Z347" s="3">
        <v>3</v>
      </c>
      <c r="AA347" s="3">
        <v>4</v>
      </c>
      <c r="AB347" s="3">
        <v>4</v>
      </c>
      <c r="AC347" s="3">
        <v>4</v>
      </c>
      <c r="AD347" s="3">
        <v>5</v>
      </c>
      <c r="AE347" s="3">
        <v>5</v>
      </c>
      <c r="AF347" s="3">
        <v>5</v>
      </c>
      <c r="AG347" s="3">
        <v>4</v>
      </c>
      <c r="AH347" s="3">
        <v>4</v>
      </c>
      <c r="AI347" s="3">
        <v>5</v>
      </c>
      <c r="AJ347" s="3">
        <v>5</v>
      </c>
      <c r="AK347" s="3">
        <v>5</v>
      </c>
      <c r="AL347" s="3">
        <v>4</v>
      </c>
      <c r="AM347" s="3">
        <v>5</v>
      </c>
      <c r="AN347" s="3">
        <v>4</v>
      </c>
      <c r="AO347" s="3">
        <v>3</v>
      </c>
      <c r="AP347" s="3">
        <v>4</v>
      </c>
      <c r="AQ347" s="3">
        <v>4</v>
      </c>
      <c r="AR347" s="3">
        <v>1</v>
      </c>
      <c r="AS347" s="3">
        <v>1</v>
      </c>
      <c r="AT347" s="3">
        <v>4</v>
      </c>
      <c r="AU347" s="3">
        <v>4</v>
      </c>
      <c r="AV347" s="3">
        <v>4</v>
      </c>
      <c r="AW347" s="3">
        <v>5</v>
      </c>
      <c r="AX347" s="3">
        <v>5</v>
      </c>
      <c r="AY347" s="3">
        <v>5</v>
      </c>
      <c r="AZ347" s="3">
        <v>5</v>
      </c>
      <c r="BA347" s="3">
        <v>5</v>
      </c>
      <c r="BB347" s="3">
        <v>4</v>
      </c>
      <c r="BC347" s="3">
        <v>4</v>
      </c>
      <c r="BD347" s="3">
        <v>1</v>
      </c>
      <c r="BE347" s="3">
        <v>1</v>
      </c>
      <c r="BF347" s="3">
        <v>1</v>
      </c>
      <c r="BG347" s="3">
        <v>5</v>
      </c>
      <c r="BH347" s="3">
        <v>5</v>
      </c>
      <c r="BI347" s="3">
        <v>5</v>
      </c>
      <c r="BJ347" s="3">
        <v>4</v>
      </c>
      <c r="BK347" s="3">
        <v>4</v>
      </c>
      <c r="BL347" s="3">
        <v>5</v>
      </c>
      <c r="BM347" s="3">
        <v>5</v>
      </c>
      <c r="BN347" s="3">
        <v>4</v>
      </c>
      <c r="BO347" s="3">
        <v>5</v>
      </c>
      <c r="BP347" s="3" t="s">
        <v>944</v>
      </c>
    </row>
    <row r="348" spans="1:68" ht="22.5" customHeight="1" x14ac:dyDescent="0.25">
      <c r="A348" s="2">
        <v>45986.618906122691</v>
      </c>
      <c r="C348" s="3" t="s">
        <v>69</v>
      </c>
      <c r="D348" s="3" t="s">
        <v>945</v>
      </c>
      <c r="E348" s="3" t="s">
        <v>87</v>
      </c>
      <c r="F348" s="3" t="s">
        <v>72</v>
      </c>
      <c r="G348" s="3" t="s">
        <v>73</v>
      </c>
      <c r="H348" s="3">
        <v>5</v>
      </c>
      <c r="I348" s="3">
        <v>5</v>
      </c>
      <c r="J348" s="3">
        <v>4</v>
      </c>
      <c r="K348" s="3">
        <v>4</v>
      </c>
      <c r="L348" s="3">
        <v>4</v>
      </c>
      <c r="M348" s="3">
        <v>4</v>
      </c>
      <c r="N348" s="3">
        <v>4</v>
      </c>
      <c r="O348" s="3">
        <v>4</v>
      </c>
      <c r="P348" s="3">
        <v>4</v>
      </c>
      <c r="Q348" s="3">
        <v>4</v>
      </c>
      <c r="R348" s="3">
        <v>3</v>
      </c>
      <c r="S348" s="3">
        <v>4</v>
      </c>
      <c r="T348" s="3">
        <v>3</v>
      </c>
      <c r="U348" s="3">
        <v>4</v>
      </c>
      <c r="V348" s="3">
        <v>4</v>
      </c>
      <c r="W348" s="3">
        <v>4</v>
      </c>
      <c r="X348" s="3">
        <v>3</v>
      </c>
      <c r="Y348" s="3">
        <v>4</v>
      </c>
      <c r="Z348" s="3">
        <v>3</v>
      </c>
      <c r="AA348" s="3">
        <v>4</v>
      </c>
      <c r="AB348" s="3">
        <v>4</v>
      </c>
      <c r="AC348" s="3">
        <v>4</v>
      </c>
      <c r="AD348" s="3">
        <v>4</v>
      </c>
      <c r="AE348" s="3">
        <v>4</v>
      </c>
      <c r="AF348" s="3">
        <v>4</v>
      </c>
      <c r="AG348" s="3">
        <v>4</v>
      </c>
      <c r="AH348" s="3">
        <v>3</v>
      </c>
      <c r="AI348" s="3">
        <v>4</v>
      </c>
      <c r="AJ348" s="3">
        <v>4</v>
      </c>
      <c r="AK348" s="3">
        <v>4</v>
      </c>
      <c r="AL348" s="3">
        <v>3</v>
      </c>
      <c r="AM348" s="3">
        <v>4</v>
      </c>
      <c r="AN348" s="3">
        <v>4</v>
      </c>
      <c r="AO348" s="3">
        <v>4</v>
      </c>
      <c r="AP348" s="3">
        <v>4</v>
      </c>
      <c r="AQ348" s="3">
        <v>4</v>
      </c>
      <c r="AR348" s="3">
        <v>3</v>
      </c>
      <c r="AS348" s="3">
        <v>3</v>
      </c>
      <c r="AT348" s="3">
        <v>4</v>
      </c>
      <c r="AU348" s="3">
        <v>4</v>
      </c>
      <c r="AV348" s="3">
        <v>4</v>
      </c>
      <c r="AW348" s="3">
        <v>4</v>
      </c>
      <c r="AX348" s="3">
        <v>4</v>
      </c>
      <c r="AY348" s="3">
        <v>4</v>
      </c>
      <c r="AZ348" s="3">
        <v>4</v>
      </c>
      <c r="BA348" s="3">
        <v>4</v>
      </c>
      <c r="BB348" s="3">
        <v>3</v>
      </c>
      <c r="BC348" s="3">
        <v>4</v>
      </c>
      <c r="BD348" s="3">
        <v>4</v>
      </c>
      <c r="BE348" s="3">
        <v>4</v>
      </c>
      <c r="BF348" s="3">
        <v>4</v>
      </c>
      <c r="BG348" s="3">
        <v>4</v>
      </c>
      <c r="BH348" s="3">
        <v>4</v>
      </c>
      <c r="BI348" s="3">
        <v>4</v>
      </c>
      <c r="BJ348" s="3">
        <v>4</v>
      </c>
      <c r="BK348" s="3">
        <v>4</v>
      </c>
      <c r="BL348" s="3">
        <v>4</v>
      </c>
      <c r="BM348" s="3">
        <v>4</v>
      </c>
      <c r="BN348" s="3">
        <v>3</v>
      </c>
      <c r="BO348" s="3">
        <v>4</v>
      </c>
      <c r="BP348" s="3" t="s">
        <v>946</v>
      </c>
    </row>
    <row r="349" spans="1:68" ht="22.5" customHeight="1" x14ac:dyDescent="0.25">
      <c r="A349" s="2">
        <v>45986.620736504628</v>
      </c>
      <c r="B349" s="3" t="s">
        <v>147</v>
      </c>
      <c r="C349" s="3" t="s">
        <v>86</v>
      </c>
      <c r="D349" s="3" t="s">
        <v>947</v>
      </c>
      <c r="E349" s="3" t="s">
        <v>119</v>
      </c>
      <c r="F349" s="3" t="s">
        <v>88</v>
      </c>
      <c r="G349" s="3" t="s">
        <v>83</v>
      </c>
      <c r="H349" s="3">
        <v>5</v>
      </c>
      <c r="I349" s="3">
        <v>5</v>
      </c>
      <c r="J349" s="3">
        <v>5</v>
      </c>
      <c r="K349" s="3">
        <v>5</v>
      </c>
      <c r="L349" s="3">
        <v>5</v>
      </c>
      <c r="M349" s="3">
        <v>5</v>
      </c>
      <c r="N349" s="3">
        <v>5</v>
      </c>
      <c r="O349" s="3">
        <v>5</v>
      </c>
      <c r="P349" s="3">
        <v>5</v>
      </c>
      <c r="Q349" s="3">
        <v>5</v>
      </c>
      <c r="R349" s="3">
        <v>5</v>
      </c>
      <c r="S349" s="3">
        <v>5</v>
      </c>
      <c r="T349" s="3">
        <v>5</v>
      </c>
      <c r="U349" s="3">
        <v>5</v>
      </c>
      <c r="V349" s="3">
        <v>4</v>
      </c>
      <c r="W349" s="3">
        <v>4</v>
      </c>
      <c r="X349" s="3">
        <v>4</v>
      </c>
      <c r="Y349" s="3">
        <v>4</v>
      </c>
      <c r="Z349" s="3">
        <v>4</v>
      </c>
      <c r="AA349" s="3">
        <v>4</v>
      </c>
      <c r="AB349" s="3">
        <v>3</v>
      </c>
      <c r="AC349" s="3">
        <v>3</v>
      </c>
      <c r="AD349" s="3">
        <v>5</v>
      </c>
      <c r="AE349" s="3">
        <v>5</v>
      </c>
      <c r="AF349" s="3">
        <v>5</v>
      </c>
      <c r="AG349" s="3">
        <v>5</v>
      </c>
      <c r="AH349" s="3">
        <v>5</v>
      </c>
      <c r="AI349" s="3">
        <v>4</v>
      </c>
      <c r="AJ349" s="3">
        <v>4</v>
      </c>
      <c r="AK349" s="3">
        <v>4</v>
      </c>
      <c r="AL349" s="3">
        <v>4</v>
      </c>
      <c r="AM349" s="3">
        <v>4</v>
      </c>
      <c r="AN349" s="3">
        <v>3</v>
      </c>
      <c r="AO349" s="3">
        <v>4</v>
      </c>
      <c r="AP349" s="3">
        <v>4</v>
      </c>
      <c r="AQ349" s="3">
        <v>3</v>
      </c>
      <c r="AR349" s="3">
        <v>4</v>
      </c>
      <c r="AS349" s="3">
        <v>4</v>
      </c>
      <c r="AT349" s="3">
        <v>4</v>
      </c>
      <c r="AU349" s="3">
        <v>4</v>
      </c>
      <c r="AV349" s="3">
        <v>4</v>
      </c>
      <c r="AW349" s="3">
        <v>4</v>
      </c>
      <c r="AX349" s="3">
        <v>4</v>
      </c>
      <c r="AY349" s="3">
        <v>4</v>
      </c>
      <c r="AZ349" s="3">
        <v>4</v>
      </c>
      <c r="BA349" s="3">
        <v>3</v>
      </c>
      <c r="BB349" s="3">
        <v>2</v>
      </c>
      <c r="BC349" s="3">
        <v>4</v>
      </c>
      <c r="BD349" s="3">
        <v>3</v>
      </c>
      <c r="BE349" s="3">
        <v>3</v>
      </c>
      <c r="BF349" s="3">
        <v>3</v>
      </c>
      <c r="BG349" s="3">
        <v>5</v>
      </c>
      <c r="BH349" s="3">
        <v>5</v>
      </c>
      <c r="BI349" s="3">
        <v>5</v>
      </c>
      <c r="BJ349" s="3">
        <v>4</v>
      </c>
      <c r="BK349" s="3">
        <v>4</v>
      </c>
      <c r="BL349" s="3">
        <v>4</v>
      </c>
      <c r="BM349" s="3">
        <v>4</v>
      </c>
      <c r="BN349" s="3">
        <v>4</v>
      </c>
      <c r="BO349" s="3">
        <v>4</v>
      </c>
      <c r="BP349" s="3" t="s">
        <v>948</v>
      </c>
    </row>
    <row r="350" spans="1:68" ht="22.5" customHeight="1" x14ac:dyDescent="0.25">
      <c r="A350" s="2">
        <v>45986.625692094909</v>
      </c>
      <c r="B350" s="3" t="s">
        <v>949</v>
      </c>
      <c r="C350" s="3" t="s">
        <v>86</v>
      </c>
      <c r="D350" s="3" t="s">
        <v>950</v>
      </c>
      <c r="E350" s="3" t="s">
        <v>141</v>
      </c>
      <c r="F350" s="3" t="s">
        <v>78</v>
      </c>
      <c r="G350" s="3" t="s">
        <v>79</v>
      </c>
      <c r="H350" s="3">
        <v>1</v>
      </c>
      <c r="I350" s="3">
        <v>1</v>
      </c>
      <c r="J350" s="3">
        <v>1</v>
      </c>
      <c r="K350" s="3">
        <v>1</v>
      </c>
      <c r="L350" s="3">
        <v>1</v>
      </c>
      <c r="M350" s="3">
        <v>1</v>
      </c>
      <c r="N350" s="3">
        <v>1</v>
      </c>
      <c r="O350" s="3">
        <v>1</v>
      </c>
      <c r="P350" s="3">
        <v>1</v>
      </c>
      <c r="Q350" s="3">
        <v>1</v>
      </c>
      <c r="R350" s="3">
        <v>1</v>
      </c>
      <c r="S350" s="3">
        <v>1</v>
      </c>
      <c r="T350" s="3">
        <v>1</v>
      </c>
      <c r="U350" s="3">
        <v>1</v>
      </c>
      <c r="V350" s="3">
        <v>1</v>
      </c>
      <c r="W350" s="3">
        <v>1</v>
      </c>
      <c r="X350" s="3">
        <v>1</v>
      </c>
      <c r="Y350" s="3">
        <v>1</v>
      </c>
      <c r="Z350" s="3">
        <v>1</v>
      </c>
      <c r="AA350" s="3">
        <v>3</v>
      </c>
      <c r="AB350" s="3">
        <v>1</v>
      </c>
      <c r="AC350" s="3">
        <v>3</v>
      </c>
      <c r="AD350" s="3">
        <v>3</v>
      </c>
      <c r="AE350" s="3">
        <v>1</v>
      </c>
      <c r="AF350" s="3">
        <v>1</v>
      </c>
      <c r="AG350" s="3">
        <v>1</v>
      </c>
      <c r="AH350" s="3">
        <v>1</v>
      </c>
      <c r="AI350" s="3">
        <v>1</v>
      </c>
      <c r="AJ350" s="3">
        <v>1</v>
      </c>
      <c r="AK350" s="3">
        <v>1</v>
      </c>
      <c r="AL350" s="3">
        <v>1</v>
      </c>
      <c r="AM350" s="3">
        <v>1</v>
      </c>
      <c r="AN350" s="3">
        <v>1</v>
      </c>
      <c r="AO350" s="3">
        <v>1</v>
      </c>
      <c r="AP350" s="3">
        <v>1</v>
      </c>
      <c r="AQ350" s="3">
        <v>1</v>
      </c>
      <c r="AR350" s="3">
        <v>1</v>
      </c>
      <c r="AS350" s="3">
        <v>1</v>
      </c>
      <c r="AT350" s="3">
        <v>1</v>
      </c>
      <c r="AU350" s="3">
        <v>1</v>
      </c>
      <c r="AV350" s="3">
        <v>1</v>
      </c>
      <c r="AW350" s="3">
        <v>1</v>
      </c>
      <c r="AX350" s="3">
        <v>1</v>
      </c>
      <c r="AY350" s="3">
        <v>1</v>
      </c>
      <c r="AZ350" s="3">
        <v>1</v>
      </c>
      <c r="BA350" s="3">
        <v>1</v>
      </c>
      <c r="BB350" s="3">
        <v>1</v>
      </c>
      <c r="BC350" s="3">
        <v>1</v>
      </c>
      <c r="BD350" s="3">
        <v>1</v>
      </c>
      <c r="BE350" s="3">
        <v>1</v>
      </c>
      <c r="BF350" s="3">
        <v>1</v>
      </c>
      <c r="BG350" s="3">
        <v>1</v>
      </c>
      <c r="BH350" s="3">
        <v>1</v>
      </c>
      <c r="BI350" s="3">
        <v>1</v>
      </c>
      <c r="BJ350" s="3">
        <v>1</v>
      </c>
      <c r="BK350" s="3">
        <v>1</v>
      </c>
      <c r="BL350" s="3">
        <v>1</v>
      </c>
      <c r="BM350" s="3">
        <v>1</v>
      </c>
      <c r="BN350" s="3">
        <v>1</v>
      </c>
      <c r="BO350" s="3">
        <v>1</v>
      </c>
      <c r="BP350" s="3" t="s">
        <v>951</v>
      </c>
    </row>
    <row r="351" spans="1:68" ht="22.5" customHeight="1" x14ac:dyDescent="0.25">
      <c r="A351" s="2">
        <v>45986.626563726852</v>
      </c>
      <c r="B351" s="3" t="s">
        <v>952</v>
      </c>
      <c r="C351" s="3" t="s">
        <v>69</v>
      </c>
      <c r="D351" s="3" t="s">
        <v>953</v>
      </c>
      <c r="E351" s="3" t="s">
        <v>77</v>
      </c>
      <c r="F351" s="3" t="s">
        <v>88</v>
      </c>
      <c r="G351" s="3" t="s">
        <v>91</v>
      </c>
      <c r="H351" s="3">
        <v>5</v>
      </c>
      <c r="I351" s="3">
        <v>5</v>
      </c>
      <c r="J351" s="3">
        <v>5</v>
      </c>
      <c r="K351" s="3">
        <v>5</v>
      </c>
      <c r="L351" s="3">
        <v>5</v>
      </c>
      <c r="M351" s="3">
        <v>5</v>
      </c>
      <c r="N351" s="3">
        <v>5</v>
      </c>
      <c r="O351" s="3">
        <v>5</v>
      </c>
      <c r="P351" s="3">
        <v>5</v>
      </c>
      <c r="Q351" s="3">
        <v>5</v>
      </c>
      <c r="R351" s="3">
        <v>5</v>
      </c>
      <c r="S351" s="3">
        <v>5</v>
      </c>
      <c r="T351" s="3">
        <v>5</v>
      </c>
      <c r="U351" s="3">
        <v>5</v>
      </c>
      <c r="V351" s="3">
        <v>4</v>
      </c>
      <c r="W351" s="3">
        <v>5</v>
      </c>
      <c r="X351" s="3">
        <v>5</v>
      </c>
      <c r="Y351" s="3">
        <v>5</v>
      </c>
      <c r="Z351" s="3">
        <v>5</v>
      </c>
      <c r="AA351" s="3">
        <v>5</v>
      </c>
      <c r="AB351" s="3">
        <v>3</v>
      </c>
      <c r="AC351" s="3">
        <v>3</v>
      </c>
      <c r="AD351" s="3">
        <v>4</v>
      </c>
      <c r="AE351" s="3">
        <v>5</v>
      </c>
      <c r="AF351" s="3">
        <v>5</v>
      </c>
      <c r="AG351" s="3">
        <v>5</v>
      </c>
      <c r="AH351" s="3">
        <v>5</v>
      </c>
      <c r="AI351" s="3">
        <v>5</v>
      </c>
      <c r="AJ351" s="3">
        <v>5</v>
      </c>
      <c r="AK351" s="3">
        <v>5</v>
      </c>
      <c r="AL351" s="3">
        <v>5</v>
      </c>
      <c r="AM351" s="3">
        <v>5</v>
      </c>
      <c r="AN351" s="3">
        <v>5</v>
      </c>
      <c r="AO351" s="3">
        <v>5</v>
      </c>
      <c r="AP351" s="3">
        <v>5</v>
      </c>
      <c r="AQ351" s="3">
        <v>5</v>
      </c>
      <c r="AR351" s="3">
        <v>5</v>
      </c>
      <c r="AS351" s="3">
        <v>2</v>
      </c>
      <c r="AT351" s="3">
        <v>5</v>
      </c>
      <c r="AU351" s="3">
        <v>5</v>
      </c>
      <c r="AV351" s="3">
        <v>5</v>
      </c>
      <c r="AW351" s="3">
        <v>5</v>
      </c>
      <c r="AX351" s="3">
        <v>5</v>
      </c>
      <c r="AY351" s="3">
        <v>5</v>
      </c>
      <c r="AZ351" s="3">
        <v>5</v>
      </c>
      <c r="BA351" s="3">
        <v>5</v>
      </c>
      <c r="BB351" s="3">
        <v>5</v>
      </c>
      <c r="BC351" s="3">
        <v>5</v>
      </c>
      <c r="BD351" s="3">
        <v>4</v>
      </c>
      <c r="BE351" s="3">
        <v>3</v>
      </c>
      <c r="BF351" s="3">
        <v>3</v>
      </c>
      <c r="BG351" s="3">
        <v>5</v>
      </c>
      <c r="BH351" s="3">
        <v>5</v>
      </c>
      <c r="BI351" s="3">
        <v>5</v>
      </c>
      <c r="BJ351" s="3">
        <v>5</v>
      </c>
      <c r="BK351" s="3">
        <v>5</v>
      </c>
      <c r="BL351" s="3">
        <v>5</v>
      </c>
      <c r="BM351" s="3">
        <v>5</v>
      </c>
      <c r="BN351" s="3">
        <v>5</v>
      </c>
      <c r="BO351" s="3">
        <v>4</v>
      </c>
      <c r="BP351" s="3" t="s">
        <v>954</v>
      </c>
    </row>
    <row r="352" spans="1:68" ht="22.5" customHeight="1" x14ac:dyDescent="0.25">
      <c r="A352" s="2">
        <v>45986.627375185184</v>
      </c>
      <c r="B352" s="3" t="s">
        <v>955</v>
      </c>
      <c r="C352" s="3" t="s">
        <v>86</v>
      </c>
      <c r="D352" s="3" t="s">
        <v>956</v>
      </c>
      <c r="E352" s="3" t="s">
        <v>119</v>
      </c>
      <c r="F352" s="3" t="s">
        <v>103</v>
      </c>
      <c r="G352" s="3" t="s">
        <v>73</v>
      </c>
      <c r="H352" s="3">
        <v>4</v>
      </c>
      <c r="I352" s="3">
        <v>4</v>
      </c>
      <c r="J352" s="3">
        <v>4</v>
      </c>
      <c r="K352" s="3">
        <v>3</v>
      </c>
      <c r="L352" s="3">
        <v>4</v>
      </c>
      <c r="M352" s="3">
        <v>2</v>
      </c>
      <c r="N352" s="3">
        <v>2</v>
      </c>
      <c r="O352" s="3">
        <v>4</v>
      </c>
      <c r="P352" s="3">
        <v>4</v>
      </c>
      <c r="Q352" s="3">
        <v>4</v>
      </c>
      <c r="R352" s="3">
        <v>4</v>
      </c>
      <c r="S352" s="3">
        <v>5</v>
      </c>
      <c r="T352" s="3">
        <v>4</v>
      </c>
      <c r="U352" s="3">
        <v>5</v>
      </c>
      <c r="V352" s="3">
        <v>5</v>
      </c>
      <c r="W352" s="3">
        <v>4</v>
      </c>
      <c r="X352" s="3">
        <v>3</v>
      </c>
      <c r="Y352" s="3">
        <v>3</v>
      </c>
      <c r="Z352" s="3">
        <v>3</v>
      </c>
      <c r="AA352" s="3">
        <v>2</v>
      </c>
      <c r="AB352" s="3">
        <v>2</v>
      </c>
      <c r="AC352" s="3">
        <v>3</v>
      </c>
      <c r="AD352" s="3">
        <v>4</v>
      </c>
      <c r="AE352" s="3">
        <v>4</v>
      </c>
      <c r="AF352" s="3">
        <v>4</v>
      </c>
      <c r="AG352" s="3">
        <v>4</v>
      </c>
      <c r="AH352" s="3">
        <v>4</v>
      </c>
      <c r="AI352" s="3">
        <v>4</v>
      </c>
      <c r="AJ352" s="3">
        <v>4</v>
      </c>
      <c r="AK352" s="3">
        <v>4</v>
      </c>
      <c r="AL352" s="3">
        <v>4</v>
      </c>
      <c r="AM352" s="3">
        <v>4</v>
      </c>
      <c r="AN352" s="3">
        <v>2</v>
      </c>
      <c r="AO352" s="3">
        <v>4</v>
      </c>
      <c r="AP352" s="3">
        <v>4</v>
      </c>
      <c r="AQ352" s="3">
        <v>4</v>
      </c>
      <c r="AR352" s="3">
        <v>4</v>
      </c>
      <c r="AS352" s="3">
        <v>3</v>
      </c>
      <c r="AT352" s="3">
        <v>4</v>
      </c>
      <c r="AU352" s="3">
        <v>3</v>
      </c>
      <c r="AV352" s="3">
        <v>3</v>
      </c>
      <c r="AW352" s="3">
        <v>4</v>
      </c>
      <c r="AX352" s="3">
        <v>4</v>
      </c>
      <c r="AY352" s="3">
        <v>3</v>
      </c>
      <c r="AZ352" s="3">
        <v>3</v>
      </c>
      <c r="BA352" s="3">
        <v>2</v>
      </c>
      <c r="BB352" s="3">
        <v>2</v>
      </c>
      <c r="BC352" s="3">
        <v>4</v>
      </c>
      <c r="BD352" s="3">
        <v>2</v>
      </c>
      <c r="BE352" s="3">
        <v>2</v>
      </c>
      <c r="BF352" s="3">
        <v>2</v>
      </c>
      <c r="BG352" s="3">
        <v>4</v>
      </c>
      <c r="BH352" s="3">
        <v>4</v>
      </c>
      <c r="BI352" s="3">
        <v>4</v>
      </c>
      <c r="BJ352" s="3">
        <v>4</v>
      </c>
      <c r="BK352" s="3">
        <v>4</v>
      </c>
      <c r="BL352" s="3">
        <v>4</v>
      </c>
      <c r="BM352" s="3">
        <v>4</v>
      </c>
      <c r="BN352" s="3">
        <v>3</v>
      </c>
      <c r="BO352" s="3">
        <v>4</v>
      </c>
      <c r="BP352" s="3" t="s">
        <v>957</v>
      </c>
    </row>
    <row r="353" spans="1:68" ht="22.5" customHeight="1" x14ac:dyDescent="0.25">
      <c r="A353" s="2">
        <v>45986.629299768523</v>
      </c>
      <c r="B353" s="3" t="s">
        <v>958</v>
      </c>
      <c r="C353" s="3" t="s">
        <v>86</v>
      </c>
      <c r="D353" s="3" t="s">
        <v>959</v>
      </c>
      <c r="E353" s="3" t="s">
        <v>119</v>
      </c>
      <c r="F353" s="3" t="s">
        <v>88</v>
      </c>
      <c r="G353" s="3" t="s">
        <v>83</v>
      </c>
      <c r="H353" s="3">
        <v>5</v>
      </c>
      <c r="I353" s="3">
        <v>5</v>
      </c>
      <c r="J353" s="3">
        <v>4</v>
      </c>
      <c r="K353" s="3">
        <v>5</v>
      </c>
      <c r="L353" s="3">
        <v>5</v>
      </c>
      <c r="M353" s="3">
        <v>3</v>
      </c>
      <c r="N353" s="3">
        <v>3</v>
      </c>
      <c r="O353" s="3">
        <v>4</v>
      </c>
      <c r="P353" s="3">
        <v>5</v>
      </c>
      <c r="Q353" s="3">
        <v>5</v>
      </c>
      <c r="R353" s="3">
        <v>5</v>
      </c>
      <c r="S353" s="3">
        <v>4</v>
      </c>
      <c r="T353" s="3">
        <v>4</v>
      </c>
      <c r="U353" s="3">
        <v>4</v>
      </c>
      <c r="V353" s="3">
        <v>3</v>
      </c>
      <c r="W353" s="3">
        <v>4</v>
      </c>
      <c r="X353" s="3">
        <v>4</v>
      </c>
      <c r="Y353" s="3">
        <v>3</v>
      </c>
      <c r="Z353" s="3">
        <v>4</v>
      </c>
      <c r="AA353" s="3">
        <v>5</v>
      </c>
      <c r="AB353" s="3">
        <v>5</v>
      </c>
      <c r="AC353" s="3">
        <v>5</v>
      </c>
      <c r="AD353" s="3">
        <v>5</v>
      </c>
      <c r="AE353" s="3">
        <v>5</v>
      </c>
      <c r="AF353" s="3">
        <v>5</v>
      </c>
      <c r="AG353" s="3">
        <v>4</v>
      </c>
      <c r="AH353" s="3">
        <v>4</v>
      </c>
      <c r="AI353" s="3">
        <v>4</v>
      </c>
      <c r="AJ353" s="3">
        <v>4</v>
      </c>
      <c r="AK353" s="3">
        <v>4</v>
      </c>
      <c r="AL353" s="3">
        <v>3</v>
      </c>
      <c r="AM353" s="3">
        <v>4</v>
      </c>
      <c r="AN353" s="3">
        <v>4</v>
      </c>
      <c r="AO353" s="3">
        <v>4</v>
      </c>
      <c r="AP353" s="3">
        <v>4</v>
      </c>
      <c r="AQ353" s="3">
        <v>4</v>
      </c>
      <c r="AR353" s="3">
        <v>4</v>
      </c>
      <c r="AS353" s="3">
        <v>3</v>
      </c>
      <c r="AT353" s="3">
        <v>4</v>
      </c>
      <c r="AU353" s="3">
        <v>4</v>
      </c>
      <c r="AV353" s="3">
        <v>4</v>
      </c>
      <c r="AW353" s="3">
        <v>4</v>
      </c>
      <c r="AX353" s="3">
        <v>4</v>
      </c>
      <c r="AY353" s="3">
        <v>4</v>
      </c>
      <c r="AZ353" s="3">
        <v>4</v>
      </c>
      <c r="BA353" s="3">
        <v>4</v>
      </c>
      <c r="BB353" s="3">
        <v>3</v>
      </c>
      <c r="BC353" s="3">
        <v>4</v>
      </c>
      <c r="BD353" s="3">
        <v>4</v>
      </c>
      <c r="BE353" s="3">
        <v>4</v>
      </c>
      <c r="BF353" s="3">
        <v>4</v>
      </c>
      <c r="BG353" s="3">
        <v>5</v>
      </c>
      <c r="BH353" s="3">
        <v>5</v>
      </c>
      <c r="BI353" s="3">
        <v>4</v>
      </c>
      <c r="BJ353" s="3">
        <v>4</v>
      </c>
      <c r="BK353" s="3">
        <v>5</v>
      </c>
      <c r="BL353" s="3">
        <v>4</v>
      </c>
      <c r="BM353" s="3">
        <v>5</v>
      </c>
      <c r="BN353" s="3">
        <v>4</v>
      </c>
      <c r="BO353" s="3">
        <v>5</v>
      </c>
      <c r="BP353" s="3" t="s">
        <v>960</v>
      </c>
    </row>
    <row r="354" spans="1:68" ht="22.5" customHeight="1" x14ac:dyDescent="0.25">
      <c r="A354" s="2">
        <v>45986.630241469902</v>
      </c>
      <c r="B354" s="3" t="s">
        <v>961</v>
      </c>
      <c r="C354" s="3" t="s">
        <v>86</v>
      </c>
      <c r="D354" s="3" t="s">
        <v>962</v>
      </c>
      <c r="E354" s="3" t="s">
        <v>77</v>
      </c>
      <c r="F354" s="3" t="s">
        <v>78</v>
      </c>
      <c r="G354" s="3" t="s">
        <v>79</v>
      </c>
      <c r="H354" s="3">
        <v>5</v>
      </c>
      <c r="I354" s="3">
        <v>5</v>
      </c>
      <c r="J354" s="3">
        <v>5</v>
      </c>
      <c r="K354" s="3">
        <v>5</v>
      </c>
      <c r="L354" s="3">
        <v>5</v>
      </c>
      <c r="M354" s="3">
        <v>5</v>
      </c>
      <c r="N354" s="3">
        <v>5</v>
      </c>
      <c r="O354" s="3">
        <v>5</v>
      </c>
      <c r="P354" s="3">
        <v>5</v>
      </c>
      <c r="Q354" s="3">
        <v>5</v>
      </c>
      <c r="R354" s="3">
        <v>5</v>
      </c>
      <c r="S354" s="3">
        <v>5</v>
      </c>
      <c r="T354" s="3">
        <v>5</v>
      </c>
      <c r="U354" s="3">
        <v>5</v>
      </c>
      <c r="V354" s="3">
        <v>5</v>
      </c>
      <c r="W354" s="3">
        <v>5</v>
      </c>
      <c r="X354" s="3">
        <v>4</v>
      </c>
      <c r="Y354" s="3">
        <v>4</v>
      </c>
      <c r="Z354" s="3">
        <v>4</v>
      </c>
      <c r="AA354" s="3">
        <v>4</v>
      </c>
      <c r="AB354" s="3">
        <v>4</v>
      </c>
      <c r="AC354" s="3">
        <v>5</v>
      </c>
      <c r="AD354" s="3">
        <v>5</v>
      </c>
      <c r="AE354" s="3">
        <v>5</v>
      </c>
      <c r="AF354" s="3">
        <v>5</v>
      </c>
      <c r="AG354" s="3">
        <v>5</v>
      </c>
      <c r="AH354" s="3">
        <v>5</v>
      </c>
      <c r="AI354" s="3">
        <v>5</v>
      </c>
      <c r="AJ354" s="3">
        <v>5</v>
      </c>
      <c r="AK354" s="3">
        <v>5</v>
      </c>
      <c r="AL354" s="3">
        <v>5</v>
      </c>
      <c r="AM354" s="3">
        <v>5</v>
      </c>
      <c r="AN354" s="3">
        <v>5</v>
      </c>
      <c r="AO354" s="3">
        <v>5</v>
      </c>
      <c r="AP354" s="3">
        <v>5</v>
      </c>
      <c r="AQ354" s="3">
        <v>5</v>
      </c>
      <c r="AR354" s="3">
        <v>5</v>
      </c>
      <c r="AS354" s="3">
        <v>5</v>
      </c>
      <c r="AT354" s="3">
        <v>5</v>
      </c>
      <c r="AU354" s="3">
        <v>5</v>
      </c>
      <c r="AV354" s="3">
        <v>5</v>
      </c>
      <c r="AW354" s="3">
        <v>5</v>
      </c>
      <c r="AX354" s="3">
        <v>5</v>
      </c>
      <c r="AY354" s="3">
        <v>5</v>
      </c>
      <c r="AZ354" s="3">
        <v>5</v>
      </c>
      <c r="BA354" s="3">
        <v>5</v>
      </c>
      <c r="BB354" s="3">
        <v>5</v>
      </c>
      <c r="BC354" s="3">
        <v>5</v>
      </c>
      <c r="BD354" s="3">
        <v>5</v>
      </c>
      <c r="BE354" s="3">
        <v>5</v>
      </c>
      <c r="BF354" s="3">
        <v>5</v>
      </c>
      <c r="BG354" s="3">
        <v>5</v>
      </c>
      <c r="BH354" s="3">
        <v>5</v>
      </c>
      <c r="BI354" s="3">
        <v>5</v>
      </c>
      <c r="BJ354" s="3">
        <v>5</v>
      </c>
      <c r="BK354" s="3">
        <v>5</v>
      </c>
      <c r="BL354" s="3">
        <v>5</v>
      </c>
      <c r="BM354" s="3">
        <v>5</v>
      </c>
      <c r="BN354" s="3">
        <v>5</v>
      </c>
      <c r="BO354" s="3">
        <v>5</v>
      </c>
      <c r="BP354" s="3" t="s">
        <v>963</v>
      </c>
    </row>
    <row r="355" spans="1:68" ht="22.5" customHeight="1" x14ac:dyDescent="0.25">
      <c r="A355" s="2">
        <v>45986.630299699071</v>
      </c>
      <c r="C355" s="3" t="s">
        <v>86</v>
      </c>
      <c r="D355" s="3" t="s">
        <v>594</v>
      </c>
      <c r="E355" s="3" t="s">
        <v>77</v>
      </c>
      <c r="F355" s="3" t="s">
        <v>78</v>
      </c>
      <c r="G355" s="3" t="s">
        <v>79</v>
      </c>
      <c r="H355" s="3">
        <v>5</v>
      </c>
      <c r="I355" s="3">
        <v>5</v>
      </c>
      <c r="J355" s="3">
        <v>5</v>
      </c>
      <c r="K355" s="3">
        <v>5</v>
      </c>
      <c r="L355" s="3">
        <v>4</v>
      </c>
      <c r="M355" s="3">
        <v>5</v>
      </c>
      <c r="N355" s="3">
        <v>5</v>
      </c>
      <c r="O355" s="3">
        <v>5</v>
      </c>
      <c r="P355" s="3">
        <v>5</v>
      </c>
      <c r="Q355" s="3">
        <v>5</v>
      </c>
      <c r="R355" s="3">
        <v>4</v>
      </c>
      <c r="S355" s="3">
        <v>4</v>
      </c>
      <c r="T355" s="3">
        <v>5</v>
      </c>
      <c r="U355" s="3">
        <v>4</v>
      </c>
      <c r="V355" s="3">
        <v>5</v>
      </c>
      <c r="W355" s="3">
        <v>4</v>
      </c>
      <c r="X355" s="3">
        <v>4</v>
      </c>
      <c r="Y355" s="3">
        <v>4</v>
      </c>
      <c r="Z355" s="3">
        <v>4</v>
      </c>
      <c r="AA355" s="3">
        <v>5</v>
      </c>
      <c r="AB355" s="3">
        <v>5</v>
      </c>
      <c r="AC355" s="3">
        <v>5</v>
      </c>
      <c r="AD355" s="3">
        <v>5</v>
      </c>
      <c r="AE355" s="3">
        <v>5</v>
      </c>
      <c r="AF355" s="3">
        <v>5</v>
      </c>
      <c r="AG355" s="3">
        <v>4</v>
      </c>
      <c r="AH355" s="3">
        <v>5</v>
      </c>
      <c r="AI355" s="3">
        <v>5</v>
      </c>
      <c r="AJ355" s="3">
        <v>5</v>
      </c>
      <c r="AK355" s="3">
        <v>4</v>
      </c>
      <c r="AL355" s="3">
        <v>5</v>
      </c>
      <c r="AM355" s="3">
        <v>5</v>
      </c>
      <c r="AN355" s="3">
        <v>4</v>
      </c>
      <c r="AO355" s="3">
        <v>4</v>
      </c>
      <c r="AP355" s="3">
        <v>4</v>
      </c>
      <c r="AQ355" s="3">
        <v>4</v>
      </c>
      <c r="AR355" s="3">
        <v>5</v>
      </c>
      <c r="AS355" s="3">
        <v>4</v>
      </c>
      <c r="AT355" s="3">
        <v>4</v>
      </c>
      <c r="AU355" s="3">
        <v>5</v>
      </c>
      <c r="AV355" s="3">
        <v>5</v>
      </c>
      <c r="AW355" s="3">
        <v>4</v>
      </c>
      <c r="AX355" s="3">
        <v>4</v>
      </c>
      <c r="AY355" s="3">
        <v>4</v>
      </c>
      <c r="AZ355" s="3">
        <v>5</v>
      </c>
      <c r="BA355" s="3">
        <v>4</v>
      </c>
      <c r="BB355" s="3">
        <v>5</v>
      </c>
      <c r="BC355" s="3">
        <v>4</v>
      </c>
      <c r="BD355" s="3">
        <v>4</v>
      </c>
      <c r="BE355" s="3">
        <v>4</v>
      </c>
      <c r="BF355" s="3">
        <v>5</v>
      </c>
      <c r="BG355" s="3">
        <v>4</v>
      </c>
      <c r="BH355" s="3">
        <v>5</v>
      </c>
      <c r="BI355" s="3">
        <v>4</v>
      </c>
      <c r="BJ355" s="3">
        <v>5</v>
      </c>
      <c r="BK355" s="3">
        <v>4</v>
      </c>
      <c r="BL355" s="3">
        <v>5</v>
      </c>
      <c r="BM355" s="3">
        <v>4</v>
      </c>
      <c r="BN355" s="3">
        <v>4</v>
      </c>
      <c r="BO355" s="3">
        <v>4</v>
      </c>
      <c r="BP355" s="3" t="s">
        <v>964</v>
      </c>
    </row>
    <row r="356" spans="1:68" ht="22.5" customHeight="1" x14ac:dyDescent="0.25">
      <c r="A356" s="2">
        <v>45986.630570486115</v>
      </c>
      <c r="B356" s="3" t="s">
        <v>965</v>
      </c>
      <c r="C356" s="3" t="s">
        <v>69</v>
      </c>
      <c r="D356" s="3" t="s">
        <v>950</v>
      </c>
      <c r="E356" s="3" t="s">
        <v>77</v>
      </c>
      <c r="F356" s="3" t="s">
        <v>88</v>
      </c>
      <c r="G356" s="3" t="s">
        <v>79</v>
      </c>
      <c r="H356" s="3">
        <v>5</v>
      </c>
      <c r="I356" s="3">
        <v>5</v>
      </c>
      <c r="J356" s="3">
        <v>5</v>
      </c>
      <c r="K356" s="3">
        <v>5</v>
      </c>
      <c r="L356" s="3">
        <v>5</v>
      </c>
      <c r="M356" s="3">
        <v>4</v>
      </c>
      <c r="N356" s="3">
        <v>4</v>
      </c>
      <c r="O356" s="3">
        <v>5</v>
      </c>
      <c r="P356" s="3">
        <v>5</v>
      </c>
      <c r="Q356" s="3">
        <v>5</v>
      </c>
      <c r="R356" s="3">
        <v>5</v>
      </c>
      <c r="S356" s="3">
        <v>5</v>
      </c>
      <c r="T356" s="3">
        <v>5</v>
      </c>
      <c r="U356" s="3">
        <v>5</v>
      </c>
      <c r="V356" s="3">
        <v>5</v>
      </c>
      <c r="W356" s="3">
        <v>5</v>
      </c>
      <c r="X356" s="3">
        <v>4</v>
      </c>
      <c r="Y356" s="3">
        <v>4</v>
      </c>
      <c r="Z356" s="3">
        <v>4</v>
      </c>
      <c r="AA356" s="3">
        <v>5</v>
      </c>
      <c r="AB356" s="3">
        <v>5</v>
      </c>
      <c r="AC356" s="3">
        <v>3</v>
      </c>
      <c r="AD356" s="3">
        <v>5</v>
      </c>
      <c r="AE356" s="3">
        <v>5</v>
      </c>
      <c r="AF356" s="3">
        <v>5</v>
      </c>
      <c r="AG356" s="3">
        <v>5</v>
      </c>
      <c r="AH356" s="3">
        <v>5</v>
      </c>
      <c r="AI356" s="3">
        <v>5</v>
      </c>
      <c r="AJ356" s="3">
        <v>5</v>
      </c>
      <c r="AK356" s="3">
        <v>5</v>
      </c>
      <c r="AL356" s="3">
        <v>5</v>
      </c>
      <c r="AM356" s="3">
        <v>5</v>
      </c>
      <c r="AN356" s="3">
        <v>5</v>
      </c>
      <c r="AO356" s="3">
        <v>5</v>
      </c>
      <c r="AP356" s="3">
        <v>5</v>
      </c>
      <c r="AQ356" s="3">
        <v>5</v>
      </c>
      <c r="AR356" s="3">
        <v>5</v>
      </c>
      <c r="AS356" s="3">
        <v>4</v>
      </c>
      <c r="AT356" s="3">
        <v>5</v>
      </c>
      <c r="AU356" s="3">
        <v>5</v>
      </c>
      <c r="AV356" s="3">
        <v>5</v>
      </c>
      <c r="AW356" s="3">
        <v>5</v>
      </c>
      <c r="AX356" s="3">
        <v>5</v>
      </c>
      <c r="AY356" s="3">
        <v>5</v>
      </c>
      <c r="AZ356" s="3">
        <v>5</v>
      </c>
      <c r="BA356" s="3">
        <v>4</v>
      </c>
      <c r="BB356" s="3">
        <v>4</v>
      </c>
      <c r="BC356" s="3">
        <v>5</v>
      </c>
      <c r="BD356" s="3">
        <v>5</v>
      </c>
      <c r="BE356" s="3">
        <v>4</v>
      </c>
      <c r="BF356" s="3">
        <v>5</v>
      </c>
      <c r="BG356" s="3">
        <v>5</v>
      </c>
      <c r="BH356" s="3">
        <v>5</v>
      </c>
      <c r="BI356" s="3">
        <v>5</v>
      </c>
      <c r="BJ356" s="3">
        <v>5</v>
      </c>
      <c r="BK356" s="3">
        <v>5</v>
      </c>
      <c r="BL356" s="3">
        <v>5</v>
      </c>
      <c r="BM356" s="3">
        <v>5</v>
      </c>
      <c r="BN356" s="3">
        <v>5</v>
      </c>
      <c r="BO356" s="3">
        <v>5</v>
      </c>
      <c r="BP356" s="3" t="s">
        <v>966</v>
      </c>
    </row>
    <row r="357" spans="1:68" ht="22.5" customHeight="1" x14ac:dyDescent="0.25">
      <c r="A357" s="2">
        <v>45986.632155358791</v>
      </c>
      <c r="B357" s="3" t="s">
        <v>967</v>
      </c>
      <c r="C357" s="3" t="s">
        <v>69</v>
      </c>
      <c r="D357" s="3" t="s">
        <v>968</v>
      </c>
      <c r="E357" s="3" t="s">
        <v>77</v>
      </c>
      <c r="F357" s="3" t="s">
        <v>78</v>
      </c>
      <c r="G357" s="3" t="s">
        <v>79</v>
      </c>
      <c r="H357" s="3">
        <v>5</v>
      </c>
      <c r="I357" s="3">
        <v>4</v>
      </c>
      <c r="J357" s="3">
        <v>5</v>
      </c>
      <c r="K357" s="3">
        <v>5</v>
      </c>
      <c r="L357" s="3">
        <v>4</v>
      </c>
      <c r="M357" s="3">
        <v>3</v>
      </c>
      <c r="N357" s="3">
        <v>3</v>
      </c>
      <c r="O357" s="3">
        <v>5</v>
      </c>
      <c r="P357" s="3">
        <v>5</v>
      </c>
      <c r="Q357" s="3">
        <v>5</v>
      </c>
      <c r="R357" s="3">
        <v>3</v>
      </c>
      <c r="S357" s="3">
        <v>5</v>
      </c>
      <c r="T357" s="3">
        <v>5</v>
      </c>
      <c r="U357" s="3">
        <v>5</v>
      </c>
      <c r="V357" s="3">
        <v>5</v>
      </c>
      <c r="W357" s="3">
        <v>5</v>
      </c>
      <c r="X357" s="3">
        <v>4</v>
      </c>
      <c r="Y357" s="3">
        <v>4</v>
      </c>
      <c r="Z357" s="3">
        <v>3</v>
      </c>
      <c r="AA357" s="3">
        <v>4</v>
      </c>
      <c r="AB357" s="3">
        <v>3</v>
      </c>
      <c r="AC357" s="3">
        <v>4</v>
      </c>
      <c r="AD357" s="3">
        <v>5</v>
      </c>
      <c r="AE357" s="3">
        <v>4</v>
      </c>
      <c r="AF357" s="3">
        <v>4</v>
      </c>
      <c r="AG357" s="3">
        <v>5</v>
      </c>
      <c r="AH357" s="3">
        <v>4</v>
      </c>
      <c r="AI357" s="3">
        <v>5</v>
      </c>
      <c r="AJ357" s="3">
        <v>5</v>
      </c>
      <c r="AK357" s="3">
        <v>5</v>
      </c>
      <c r="AL357" s="3">
        <v>5</v>
      </c>
      <c r="AM357" s="3">
        <v>5</v>
      </c>
      <c r="AN357" s="3">
        <v>5</v>
      </c>
      <c r="AO357" s="3">
        <v>4</v>
      </c>
      <c r="AP357" s="3">
        <v>4</v>
      </c>
      <c r="AQ357" s="3">
        <v>5</v>
      </c>
      <c r="AR357" s="3">
        <v>4</v>
      </c>
      <c r="AS357" s="3">
        <v>3</v>
      </c>
      <c r="AT357" s="3">
        <v>4</v>
      </c>
      <c r="AU357" s="3">
        <v>4</v>
      </c>
      <c r="AV357" s="3">
        <v>4</v>
      </c>
      <c r="AW357" s="3">
        <v>5</v>
      </c>
      <c r="AX357" s="3">
        <v>5</v>
      </c>
      <c r="AY357" s="3">
        <v>5</v>
      </c>
      <c r="AZ357" s="3">
        <v>5</v>
      </c>
      <c r="BA357" s="3">
        <v>5</v>
      </c>
      <c r="BB357" s="3">
        <v>5</v>
      </c>
      <c r="BC357" s="3">
        <v>4</v>
      </c>
      <c r="BD357" s="3">
        <v>5</v>
      </c>
      <c r="BE357" s="3">
        <v>5</v>
      </c>
      <c r="BF357" s="3">
        <v>5</v>
      </c>
      <c r="BG357" s="3">
        <v>4</v>
      </c>
      <c r="BH357" s="3">
        <v>5</v>
      </c>
      <c r="BI357" s="3">
        <v>5</v>
      </c>
      <c r="BJ357" s="3">
        <v>5</v>
      </c>
      <c r="BK357" s="3">
        <v>5</v>
      </c>
      <c r="BL357" s="3">
        <v>5</v>
      </c>
      <c r="BM357" s="3">
        <v>5</v>
      </c>
      <c r="BN357" s="3">
        <v>5</v>
      </c>
      <c r="BO357" s="3">
        <v>5</v>
      </c>
      <c r="BP357" s="3" t="s">
        <v>969</v>
      </c>
    </row>
    <row r="358" spans="1:68" ht="22.5" customHeight="1" x14ac:dyDescent="0.25">
      <c r="A358" s="2">
        <v>45986.633346817129</v>
      </c>
      <c r="B358" s="3" t="s">
        <v>970</v>
      </c>
      <c r="C358" s="3" t="s">
        <v>69</v>
      </c>
      <c r="D358" s="3" t="s">
        <v>845</v>
      </c>
      <c r="E358" s="3" t="s">
        <v>77</v>
      </c>
      <c r="F358" s="3" t="s">
        <v>78</v>
      </c>
      <c r="G358" s="3" t="s">
        <v>79</v>
      </c>
      <c r="H358" s="3">
        <v>5</v>
      </c>
      <c r="I358" s="3">
        <v>5</v>
      </c>
      <c r="J358" s="3">
        <v>5</v>
      </c>
      <c r="K358" s="3">
        <v>3</v>
      </c>
      <c r="L358" s="3">
        <v>5</v>
      </c>
      <c r="M358" s="3">
        <v>3</v>
      </c>
      <c r="N358" s="3">
        <v>5</v>
      </c>
      <c r="O358" s="3">
        <v>4</v>
      </c>
      <c r="P358" s="3">
        <v>4</v>
      </c>
      <c r="Q358" s="3">
        <v>4</v>
      </c>
      <c r="R358" s="3">
        <v>5</v>
      </c>
      <c r="S358" s="3">
        <v>5</v>
      </c>
      <c r="T358" s="3">
        <v>5</v>
      </c>
      <c r="U358" s="3">
        <v>5</v>
      </c>
      <c r="V358" s="3">
        <v>5</v>
      </c>
      <c r="W358" s="3">
        <v>5</v>
      </c>
      <c r="X358" s="3">
        <v>4</v>
      </c>
      <c r="Y358" s="3">
        <v>5</v>
      </c>
      <c r="Z358" s="3">
        <v>5</v>
      </c>
      <c r="AA358" s="3">
        <v>3</v>
      </c>
      <c r="AB358" s="3">
        <v>3</v>
      </c>
      <c r="AC358" s="3">
        <v>3</v>
      </c>
      <c r="AD358" s="3">
        <v>3</v>
      </c>
      <c r="AE358" s="3">
        <v>5</v>
      </c>
      <c r="AF358" s="3">
        <v>5</v>
      </c>
      <c r="AG358" s="3">
        <v>5</v>
      </c>
      <c r="AH358" s="3">
        <v>5</v>
      </c>
      <c r="AI358" s="3">
        <v>5</v>
      </c>
      <c r="AJ358" s="3">
        <v>4</v>
      </c>
      <c r="AK358" s="3">
        <v>5</v>
      </c>
      <c r="AL358" s="3">
        <v>5</v>
      </c>
      <c r="AM358" s="3">
        <v>3</v>
      </c>
      <c r="AN358" s="3">
        <v>3</v>
      </c>
      <c r="AO358" s="3">
        <v>5</v>
      </c>
      <c r="AP358" s="3">
        <v>4</v>
      </c>
      <c r="AQ358" s="3">
        <v>5</v>
      </c>
      <c r="AR358" s="3">
        <v>5</v>
      </c>
      <c r="AS358" s="3">
        <v>5</v>
      </c>
      <c r="AT358" s="3">
        <v>5</v>
      </c>
      <c r="AU358" s="3">
        <v>4</v>
      </c>
      <c r="AV358" s="3">
        <v>5</v>
      </c>
      <c r="AW358" s="3">
        <v>4</v>
      </c>
      <c r="AX358" s="3">
        <v>5</v>
      </c>
      <c r="AY358" s="3">
        <v>4</v>
      </c>
      <c r="AZ358" s="3">
        <v>4</v>
      </c>
      <c r="BA358" s="3">
        <v>5</v>
      </c>
      <c r="BB358" s="3">
        <v>4</v>
      </c>
      <c r="BC358" s="3">
        <v>5</v>
      </c>
      <c r="BD358" s="3">
        <v>5</v>
      </c>
      <c r="BE358" s="3">
        <v>5</v>
      </c>
      <c r="BF358" s="3">
        <v>4</v>
      </c>
      <c r="BG358" s="3">
        <v>4</v>
      </c>
      <c r="BH358" s="3">
        <v>5</v>
      </c>
      <c r="BI358" s="3">
        <v>5</v>
      </c>
      <c r="BJ358" s="3">
        <v>5</v>
      </c>
      <c r="BK358" s="3">
        <v>4</v>
      </c>
      <c r="BL358" s="3">
        <v>4</v>
      </c>
      <c r="BM358" s="3">
        <v>4</v>
      </c>
      <c r="BN358" s="3">
        <v>5</v>
      </c>
      <c r="BO358" s="3">
        <v>5</v>
      </c>
      <c r="BP358" s="3" t="s">
        <v>971</v>
      </c>
    </row>
    <row r="359" spans="1:68" ht="22.5" customHeight="1" x14ac:dyDescent="0.25">
      <c r="A359" s="2">
        <v>45986.633652407407</v>
      </c>
      <c r="B359" s="3" t="s">
        <v>972</v>
      </c>
      <c r="C359" s="3" t="s">
        <v>69</v>
      </c>
      <c r="D359" s="3" t="s">
        <v>962</v>
      </c>
      <c r="E359" s="3" t="s">
        <v>77</v>
      </c>
      <c r="F359" s="3" t="s">
        <v>78</v>
      </c>
      <c r="G359" s="3" t="s">
        <v>79</v>
      </c>
      <c r="H359" s="3">
        <v>4</v>
      </c>
      <c r="I359" s="3">
        <v>4</v>
      </c>
      <c r="J359" s="3">
        <v>4</v>
      </c>
      <c r="K359" s="3">
        <v>4</v>
      </c>
      <c r="L359" s="3">
        <v>4</v>
      </c>
      <c r="M359" s="3">
        <v>3</v>
      </c>
      <c r="N359" s="3">
        <v>3</v>
      </c>
      <c r="O359" s="3">
        <v>4</v>
      </c>
      <c r="P359" s="3">
        <v>4</v>
      </c>
      <c r="Q359" s="3">
        <v>4</v>
      </c>
      <c r="R359" s="3">
        <v>4</v>
      </c>
      <c r="S359" s="3">
        <v>4</v>
      </c>
      <c r="T359" s="3">
        <v>4</v>
      </c>
      <c r="U359" s="3">
        <v>4</v>
      </c>
      <c r="V359" s="3">
        <v>4</v>
      </c>
      <c r="W359" s="3">
        <v>3</v>
      </c>
      <c r="X359" s="3">
        <v>4</v>
      </c>
      <c r="Y359" s="3">
        <v>3</v>
      </c>
      <c r="Z359" s="3">
        <v>4</v>
      </c>
      <c r="AA359" s="3">
        <v>3</v>
      </c>
      <c r="AB359" s="3">
        <v>3</v>
      </c>
      <c r="AC359" s="3">
        <v>4</v>
      </c>
      <c r="AD359" s="3">
        <v>4</v>
      </c>
      <c r="AE359" s="3">
        <v>4</v>
      </c>
      <c r="AF359" s="3">
        <v>4</v>
      </c>
      <c r="AG359" s="3">
        <v>4</v>
      </c>
      <c r="AH359" s="3">
        <v>3</v>
      </c>
      <c r="AI359" s="3">
        <v>3</v>
      </c>
      <c r="AJ359" s="3">
        <v>3</v>
      </c>
      <c r="AK359" s="3">
        <v>4</v>
      </c>
      <c r="AL359" s="3">
        <v>4</v>
      </c>
      <c r="AM359" s="3">
        <v>3</v>
      </c>
      <c r="AN359" s="3">
        <v>4</v>
      </c>
      <c r="AO359" s="3">
        <v>3</v>
      </c>
      <c r="AP359" s="3">
        <v>4</v>
      </c>
      <c r="AQ359" s="3">
        <v>3</v>
      </c>
      <c r="AR359" s="3">
        <v>3</v>
      </c>
      <c r="AS359" s="3">
        <v>3</v>
      </c>
      <c r="AT359" s="3">
        <v>3</v>
      </c>
      <c r="AU359" s="3">
        <v>4</v>
      </c>
      <c r="AV359" s="3">
        <v>4</v>
      </c>
      <c r="AW359" s="3">
        <v>4</v>
      </c>
      <c r="AX359" s="3">
        <v>4</v>
      </c>
      <c r="AY359" s="3">
        <v>4</v>
      </c>
      <c r="AZ359" s="3">
        <v>3</v>
      </c>
      <c r="BA359" s="3">
        <v>3</v>
      </c>
      <c r="BB359" s="3">
        <v>4</v>
      </c>
      <c r="BC359" s="3">
        <v>4</v>
      </c>
      <c r="BD359" s="3">
        <v>4</v>
      </c>
      <c r="BE359" s="3">
        <v>4</v>
      </c>
      <c r="BF359" s="3">
        <v>3</v>
      </c>
      <c r="BG359" s="3">
        <v>4</v>
      </c>
      <c r="BH359" s="3">
        <v>4</v>
      </c>
      <c r="BI359" s="3">
        <v>4</v>
      </c>
      <c r="BJ359" s="3">
        <v>4</v>
      </c>
      <c r="BK359" s="3">
        <v>4</v>
      </c>
      <c r="BL359" s="3">
        <v>4</v>
      </c>
      <c r="BM359" s="3">
        <v>4</v>
      </c>
      <c r="BN359" s="3">
        <v>4</v>
      </c>
      <c r="BO359" s="3">
        <v>4</v>
      </c>
      <c r="BP359" s="3" t="s">
        <v>973</v>
      </c>
    </row>
    <row r="360" spans="1:68" ht="22.5" customHeight="1" x14ac:dyDescent="0.25">
      <c r="A360" s="2">
        <v>45986.633825902776</v>
      </c>
      <c r="B360" s="3" t="s">
        <v>974</v>
      </c>
      <c r="C360" s="3" t="s">
        <v>69</v>
      </c>
      <c r="D360" s="3" t="s">
        <v>204</v>
      </c>
      <c r="E360" s="3" t="s">
        <v>77</v>
      </c>
      <c r="F360" s="3" t="s">
        <v>78</v>
      </c>
      <c r="G360" s="3" t="s">
        <v>79</v>
      </c>
      <c r="H360" s="3">
        <v>5</v>
      </c>
      <c r="I360" s="3">
        <v>5</v>
      </c>
      <c r="J360" s="3">
        <v>5</v>
      </c>
      <c r="K360" s="3">
        <v>5</v>
      </c>
      <c r="L360" s="3">
        <v>5</v>
      </c>
      <c r="M360" s="3">
        <v>5</v>
      </c>
      <c r="N360" s="3">
        <v>5</v>
      </c>
      <c r="O360" s="3">
        <v>5</v>
      </c>
      <c r="P360" s="3">
        <v>5</v>
      </c>
      <c r="Q360" s="3">
        <v>5</v>
      </c>
      <c r="R360" s="3">
        <v>5</v>
      </c>
      <c r="S360" s="3">
        <v>5</v>
      </c>
      <c r="T360" s="3">
        <v>5</v>
      </c>
      <c r="U360" s="3">
        <v>5</v>
      </c>
      <c r="V360" s="3">
        <v>5</v>
      </c>
      <c r="W360" s="3">
        <v>5</v>
      </c>
      <c r="X360" s="3">
        <v>4</v>
      </c>
      <c r="Y360" s="3">
        <v>5</v>
      </c>
      <c r="Z360" s="3">
        <v>5</v>
      </c>
      <c r="AA360" s="3">
        <v>5</v>
      </c>
      <c r="AB360" s="3">
        <v>4</v>
      </c>
      <c r="AC360" s="3">
        <v>5</v>
      </c>
      <c r="AD360" s="3">
        <v>5</v>
      </c>
      <c r="AE360" s="3">
        <v>5</v>
      </c>
      <c r="AF360" s="3">
        <v>5</v>
      </c>
      <c r="AG360" s="3">
        <v>5</v>
      </c>
      <c r="AH360" s="3">
        <v>5</v>
      </c>
      <c r="AI360" s="3">
        <v>5</v>
      </c>
      <c r="AJ360" s="3">
        <v>5</v>
      </c>
      <c r="AK360" s="3">
        <v>5</v>
      </c>
      <c r="AL360" s="3">
        <v>5</v>
      </c>
      <c r="AM360" s="3">
        <v>5</v>
      </c>
      <c r="AN360" s="3">
        <v>5</v>
      </c>
      <c r="AO360" s="3">
        <v>5</v>
      </c>
      <c r="AP360" s="3">
        <v>5</v>
      </c>
      <c r="AQ360" s="3">
        <v>5</v>
      </c>
      <c r="AR360" s="3">
        <v>5</v>
      </c>
      <c r="AS360" s="3">
        <v>5</v>
      </c>
      <c r="AT360" s="3">
        <v>5</v>
      </c>
      <c r="AU360" s="3">
        <v>5</v>
      </c>
      <c r="AV360" s="3">
        <v>5</v>
      </c>
      <c r="AW360" s="3">
        <v>5</v>
      </c>
      <c r="AX360" s="3">
        <v>5</v>
      </c>
      <c r="AY360" s="3">
        <v>5</v>
      </c>
      <c r="AZ360" s="3">
        <v>5</v>
      </c>
      <c r="BA360" s="3">
        <v>5</v>
      </c>
      <c r="BB360" s="3">
        <v>5</v>
      </c>
      <c r="BC360" s="3">
        <v>5</v>
      </c>
      <c r="BD360" s="3">
        <v>5</v>
      </c>
      <c r="BE360" s="3">
        <v>5</v>
      </c>
      <c r="BF360" s="3">
        <v>5</v>
      </c>
      <c r="BG360" s="3">
        <v>5</v>
      </c>
      <c r="BH360" s="3">
        <v>5</v>
      </c>
      <c r="BI360" s="3">
        <v>5</v>
      </c>
      <c r="BJ360" s="3">
        <v>5</v>
      </c>
      <c r="BK360" s="3">
        <v>5</v>
      </c>
      <c r="BL360" s="3">
        <v>5</v>
      </c>
      <c r="BM360" s="3">
        <v>5</v>
      </c>
      <c r="BN360" s="3">
        <v>5</v>
      </c>
      <c r="BO360" s="3">
        <v>5</v>
      </c>
      <c r="BP360" s="3" t="s">
        <v>975</v>
      </c>
    </row>
    <row r="361" spans="1:68" ht="22.5" customHeight="1" x14ac:dyDescent="0.25">
      <c r="A361" s="2">
        <v>45986.633875300926</v>
      </c>
      <c r="B361" s="3" t="s">
        <v>976</v>
      </c>
      <c r="C361" s="3" t="s">
        <v>86</v>
      </c>
      <c r="D361" s="3" t="s">
        <v>977</v>
      </c>
      <c r="E361" s="3" t="s">
        <v>77</v>
      </c>
      <c r="F361" s="3" t="s">
        <v>78</v>
      </c>
      <c r="G361" s="3" t="s">
        <v>79</v>
      </c>
      <c r="H361" s="3">
        <v>3</v>
      </c>
      <c r="I361" s="3">
        <v>3</v>
      </c>
      <c r="J361" s="3">
        <v>4</v>
      </c>
      <c r="K361" s="3">
        <v>3</v>
      </c>
      <c r="L361" s="3">
        <v>4</v>
      </c>
      <c r="M361" s="3">
        <v>4</v>
      </c>
      <c r="N361" s="3">
        <v>3</v>
      </c>
      <c r="O361" s="3">
        <v>4</v>
      </c>
      <c r="P361" s="3">
        <v>3</v>
      </c>
      <c r="Q361" s="3">
        <v>4</v>
      </c>
      <c r="R361" s="3">
        <v>3</v>
      </c>
      <c r="S361" s="3">
        <v>4</v>
      </c>
      <c r="T361" s="3">
        <v>3</v>
      </c>
      <c r="U361" s="3">
        <v>4</v>
      </c>
      <c r="V361" s="3">
        <v>4</v>
      </c>
      <c r="W361" s="3">
        <v>4</v>
      </c>
      <c r="X361" s="3">
        <v>3</v>
      </c>
      <c r="Y361" s="3">
        <v>4</v>
      </c>
      <c r="Z361" s="3">
        <v>3</v>
      </c>
      <c r="AA361" s="3">
        <v>4</v>
      </c>
      <c r="AB361" s="3">
        <v>3</v>
      </c>
      <c r="AC361" s="3">
        <v>4</v>
      </c>
      <c r="AD361" s="3">
        <v>3</v>
      </c>
      <c r="AE361" s="3">
        <v>3</v>
      </c>
      <c r="AF361" s="3">
        <v>4</v>
      </c>
      <c r="AG361" s="3">
        <v>3</v>
      </c>
      <c r="AH361" s="3">
        <v>4</v>
      </c>
      <c r="AI361" s="3">
        <v>4</v>
      </c>
      <c r="AJ361" s="3">
        <v>4</v>
      </c>
      <c r="AK361" s="3">
        <v>3</v>
      </c>
      <c r="AL361" s="3">
        <v>4</v>
      </c>
      <c r="AM361" s="3">
        <v>3</v>
      </c>
      <c r="AN361" s="3">
        <v>4</v>
      </c>
      <c r="AO361" s="3">
        <v>3</v>
      </c>
      <c r="AP361" s="3">
        <v>4</v>
      </c>
      <c r="AQ361" s="3">
        <v>3</v>
      </c>
      <c r="AR361" s="3">
        <v>4</v>
      </c>
      <c r="AS361" s="3">
        <v>4</v>
      </c>
      <c r="AT361" s="3">
        <v>3</v>
      </c>
      <c r="AU361" s="3">
        <v>4</v>
      </c>
      <c r="AV361" s="3">
        <v>4</v>
      </c>
      <c r="AW361" s="3">
        <v>4</v>
      </c>
      <c r="AX361" s="3">
        <v>3</v>
      </c>
      <c r="AY361" s="3">
        <v>4</v>
      </c>
      <c r="AZ361" s="3">
        <v>3</v>
      </c>
      <c r="BA361" s="3">
        <v>4</v>
      </c>
      <c r="BB361" s="3">
        <v>3</v>
      </c>
      <c r="BC361" s="3">
        <v>4</v>
      </c>
      <c r="BD361" s="3">
        <v>3</v>
      </c>
      <c r="BE361" s="3">
        <v>4</v>
      </c>
      <c r="BF361" s="3">
        <v>3</v>
      </c>
      <c r="BG361" s="3">
        <v>3</v>
      </c>
      <c r="BH361" s="3">
        <v>4</v>
      </c>
      <c r="BI361" s="3">
        <v>4</v>
      </c>
      <c r="BJ361" s="3">
        <v>4</v>
      </c>
      <c r="BK361" s="3">
        <v>3</v>
      </c>
      <c r="BL361" s="3">
        <v>4</v>
      </c>
      <c r="BM361" s="3">
        <v>3</v>
      </c>
      <c r="BN361" s="3">
        <v>4</v>
      </c>
      <c r="BO361" s="3">
        <v>3</v>
      </c>
      <c r="BP361" s="3" t="s">
        <v>978</v>
      </c>
    </row>
    <row r="362" spans="1:68" ht="22.5" customHeight="1" x14ac:dyDescent="0.25">
      <c r="A362" s="2">
        <v>45986.634132870371</v>
      </c>
      <c r="C362" s="3" t="s">
        <v>69</v>
      </c>
      <c r="D362" s="3" t="s">
        <v>979</v>
      </c>
      <c r="E362" s="3" t="s">
        <v>77</v>
      </c>
      <c r="F362" s="3" t="s">
        <v>82</v>
      </c>
      <c r="G362" s="3" t="s">
        <v>83</v>
      </c>
      <c r="H362" s="3">
        <v>5</v>
      </c>
      <c r="I362" s="3">
        <v>5</v>
      </c>
      <c r="J362" s="3">
        <v>5</v>
      </c>
      <c r="K362" s="3">
        <v>4</v>
      </c>
      <c r="L362" s="3">
        <v>5</v>
      </c>
      <c r="M362" s="3">
        <v>5</v>
      </c>
      <c r="N362" s="3">
        <v>5</v>
      </c>
      <c r="O362" s="3">
        <v>5</v>
      </c>
      <c r="P362" s="3">
        <v>5</v>
      </c>
      <c r="Q362" s="3">
        <v>5</v>
      </c>
      <c r="R362" s="3">
        <v>5</v>
      </c>
      <c r="S362" s="3">
        <v>5</v>
      </c>
      <c r="T362" s="3">
        <v>5</v>
      </c>
      <c r="U362" s="3">
        <v>5</v>
      </c>
      <c r="V362" s="3">
        <v>4</v>
      </c>
      <c r="W362" s="3">
        <v>4</v>
      </c>
      <c r="X362" s="3">
        <v>4</v>
      </c>
      <c r="Y362" s="3">
        <v>4</v>
      </c>
      <c r="Z362" s="3">
        <v>4</v>
      </c>
      <c r="AA362" s="3">
        <v>5</v>
      </c>
      <c r="AB362" s="3">
        <v>4</v>
      </c>
      <c r="AC362" s="3">
        <v>4</v>
      </c>
      <c r="AD362" s="3">
        <v>5</v>
      </c>
      <c r="AE362" s="3">
        <v>5</v>
      </c>
      <c r="AF362" s="3">
        <v>5</v>
      </c>
      <c r="AG362" s="3">
        <v>5</v>
      </c>
      <c r="AH362" s="3">
        <v>5</v>
      </c>
      <c r="AI362" s="3">
        <v>5</v>
      </c>
      <c r="AJ362" s="3">
        <v>5</v>
      </c>
      <c r="AK362" s="3">
        <v>5</v>
      </c>
      <c r="AL362" s="3">
        <v>5</v>
      </c>
      <c r="AM362" s="3">
        <v>5</v>
      </c>
      <c r="AN362" s="3">
        <v>5</v>
      </c>
      <c r="AO362" s="3">
        <v>5</v>
      </c>
      <c r="AP362" s="3">
        <v>5</v>
      </c>
      <c r="AQ362" s="3">
        <v>5</v>
      </c>
      <c r="AR362" s="3">
        <v>5</v>
      </c>
      <c r="AS362" s="3">
        <v>2</v>
      </c>
      <c r="AT362" s="3">
        <v>5</v>
      </c>
      <c r="AU362" s="3">
        <v>5</v>
      </c>
      <c r="AV362" s="3">
        <v>5</v>
      </c>
      <c r="AW362" s="3">
        <v>5</v>
      </c>
      <c r="AX362" s="3">
        <v>5</v>
      </c>
      <c r="AY362" s="3">
        <v>5</v>
      </c>
      <c r="AZ362" s="3">
        <v>5</v>
      </c>
      <c r="BA362" s="3">
        <v>5</v>
      </c>
      <c r="BB362" s="3">
        <v>3</v>
      </c>
      <c r="BC362" s="3">
        <v>2</v>
      </c>
      <c r="BD362" s="3">
        <v>2</v>
      </c>
      <c r="BE362" s="3">
        <v>2</v>
      </c>
      <c r="BF362" s="3">
        <v>2</v>
      </c>
      <c r="BG362" s="3">
        <v>5</v>
      </c>
      <c r="BH362" s="3">
        <v>5</v>
      </c>
      <c r="BI362" s="3">
        <v>5</v>
      </c>
      <c r="BJ362" s="3">
        <v>5</v>
      </c>
      <c r="BK362" s="3">
        <v>5</v>
      </c>
      <c r="BL362" s="3">
        <v>5</v>
      </c>
      <c r="BM362" s="3">
        <v>5</v>
      </c>
      <c r="BN362" s="3">
        <v>4</v>
      </c>
      <c r="BO362" s="3">
        <v>5</v>
      </c>
      <c r="BP362" s="3" t="s">
        <v>980</v>
      </c>
    </row>
    <row r="363" spans="1:68" ht="22.5" customHeight="1" x14ac:dyDescent="0.25">
      <c r="A363" s="2">
        <v>45986.634298171295</v>
      </c>
      <c r="B363" s="3" t="s">
        <v>981</v>
      </c>
      <c r="C363" s="3" t="s">
        <v>86</v>
      </c>
      <c r="D363" s="3" t="s">
        <v>982</v>
      </c>
      <c r="E363" s="3" t="s">
        <v>141</v>
      </c>
      <c r="F363" s="3" t="s">
        <v>103</v>
      </c>
      <c r="G363" s="3" t="s">
        <v>83</v>
      </c>
      <c r="H363" s="3">
        <v>5</v>
      </c>
      <c r="I363" s="3">
        <v>5</v>
      </c>
      <c r="J363" s="3">
        <v>5</v>
      </c>
      <c r="K363" s="3">
        <v>5</v>
      </c>
      <c r="L363" s="3">
        <v>5</v>
      </c>
      <c r="M363" s="3">
        <v>5</v>
      </c>
      <c r="N363" s="3">
        <v>4</v>
      </c>
      <c r="O363" s="3">
        <v>5</v>
      </c>
      <c r="P363" s="3">
        <v>5</v>
      </c>
      <c r="Q363" s="3">
        <v>5</v>
      </c>
      <c r="R363" s="3">
        <v>5</v>
      </c>
      <c r="S363" s="3">
        <v>5</v>
      </c>
      <c r="T363" s="3">
        <v>5</v>
      </c>
      <c r="U363" s="3">
        <v>5</v>
      </c>
      <c r="V363" s="3">
        <v>4</v>
      </c>
      <c r="W363" s="3">
        <v>4</v>
      </c>
      <c r="X363" s="3">
        <v>4</v>
      </c>
      <c r="Y363" s="3">
        <v>4</v>
      </c>
      <c r="Z363" s="3">
        <v>4</v>
      </c>
      <c r="AA363" s="3">
        <v>2</v>
      </c>
      <c r="AB363" s="3">
        <v>2</v>
      </c>
      <c r="AC363" s="3">
        <v>2</v>
      </c>
      <c r="AD363" s="3">
        <v>2</v>
      </c>
      <c r="AE363" s="3">
        <v>5</v>
      </c>
      <c r="AF363" s="3">
        <v>5</v>
      </c>
      <c r="AG363" s="3">
        <v>5</v>
      </c>
      <c r="AH363" s="3">
        <v>5</v>
      </c>
      <c r="AI363" s="3">
        <v>5</v>
      </c>
      <c r="AJ363" s="3">
        <v>5</v>
      </c>
      <c r="AK363" s="3">
        <v>5</v>
      </c>
      <c r="AL363" s="3">
        <v>5</v>
      </c>
      <c r="AM363" s="3">
        <v>5</v>
      </c>
      <c r="AN363" s="3">
        <v>5</v>
      </c>
      <c r="AO363" s="3">
        <v>5</v>
      </c>
      <c r="AP363" s="3">
        <v>5</v>
      </c>
      <c r="AQ363" s="3">
        <v>5</v>
      </c>
      <c r="AR363" s="3">
        <v>5</v>
      </c>
      <c r="AS363" s="3">
        <v>3</v>
      </c>
      <c r="AT363" s="3">
        <v>3</v>
      </c>
      <c r="AU363" s="3">
        <v>4</v>
      </c>
      <c r="AV363" s="3">
        <v>4</v>
      </c>
      <c r="AW363" s="3">
        <v>5</v>
      </c>
      <c r="AX363" s="3">
        <v>5</v>
      </c>
      <c r="AY363" s="3">
        <v>5</v>
      </c>
      <c r="AZ363" s="3">
        <v>5</v>
      </c>
      <c r="BA363" s="3">
        <v>2</v>
      </c>
      <c r="BB363" s="3">
        <v>2</v>
      </c>
      <c r="BC363" s="3">
        <v>2</v>
      </c>
      <c r="BD363" s="3">
        <v>2</v>
      </c>
      <c r="BE363" s="3">
        <v>2</v>
      </c>
      <c r="BF363" s="3">
        <v>2</v>
      </c>
      <c r="BG363" s="3">
        <v>4</v>
      </c>
      <c r="BH363" s="3">
        <v>4</v>
      </c>
      <c r="BI363" s="3">
        <v>4</v>
      </c>
      <c r="BJ363" s="3">
        <v>5</v>
      </c>
      <c r="BK363" s="3">
        <v>5</v>
      </c>
      <c r="BL363" s="3">
        <v>5</v>
      </c>
      <c r="BM363" s="3">
        <v>5</v>
      </c>
      <c r="BN363" s="3">
        <v>5</v>
      </c>
      <c r="BO363" s="3">
        <v>5</v>
      </c>
      <c r="BP363" s="3" t="s">
        <v>983</v>
      </c>
    </row>
    <row r="364" spans="1:68" ht="22.5" customHeight="1" x14ac:dyDescent="0.25">
      <c r="A364" s="2">
        <v>45986.635634641207</v>
      </c>
      <c r="B364" s="3" t="s">
        <v>984</v>
      </c>
      <c r="C364" s="3" t="s">
        <v>86</v>
      </c>
      <c r="D364" s="3" t="s">
        <v>985</v>
      </c>
      <c r="E364" s="3" t="s">
        <v>119</v>
      </c>
      <c r="F364" s="3" t="s">
        <v>72</v>
      </c>
      <c r="G364" s="3" t="s">
        <v>73</v>
      </c>
      <c r="H364" s="3">
        <v>5</v>
      </c>
      <c r="I364" s="3">
        <v>5</v>
      </c>
      <c r="J364" s="3">
        <v>5</v>
      </c>
      <c r="K364" s="3">
        <v>4</v>
      </c>
      <c r="L364" s="3">
        <v>5</v>
      </c>
      <c r="M364" s="3">
        <v>4</v>
      </c>
      <c r="N364" s="3">
        <v>4</v>
      </c>
      <c r="O364" s="3">
        <v>4</v>
      </c>
      <c r="P364" s="3">
        <v>4</v>
      </c>
      <c r="Q364" s="3">
        <v>4</v>
      </c>
      <c r="R364" s="3">
        <v>4</v>
      </c>
      <c r="S364" s="3">
        <v>4</v>
      </c>
      <c r="T364" s="3">
        <v>4</v>
      </c>
      <c r="U364" s="3">
        <v>4</v>
      </c>
      <c r="V364" s="3">
        <v>4</v>
      </c>
      <c r="W364" s="3">
        <v>4</v>
      </c>
      <c r="X364" s="3">
        <v>4</v>
      </c>
      <c r="Y364" s="3">
        <v>4</v>
      </c>
      <c r="Z364" s="3">
        <v>4</v>
      </c>
      <c r="AA364" s="3">
        <v>3</v>
      </c>
      <c r="AB364" s="3">
        <v>3</v>
      </c>
      <c r="AC364" s="3">
        <v>3</v>
      </c>
      <c r="AD364" s="3">
        <v>4</v>
      </c>
      <c r="AE364" s="3">
        <v>4</v>
      </c>
      <c r="AF364" s="3">
        <v>4</v>
      </c>
      <c r="AG364" s="3">
        <v>4</v>
      </c>
      <c r="AH364" s="3">
        <v>4</v>
      </c>
      <c r="AI364" s="3">
        <v>4</v>
      </c>
      <c r="AJ364" s="3">
        <v>4</v>
      </c>
      <c r="AK364" s="3">
        <v>4</v>
      </c>
      <c r="AL364" s="3">
        <v>4</v>
      </c>
      <c r="AM364" s="3">
        <v>4</v>
      </c>
      <c r="AN364" s="3">
        <v>4</v>
      </c>
      <c r="AO364" s="3">
        <v>4</v>
      </c>
      <c r="AP364" s="3">
        <v>4</v>
      </c>
      <c r="AQ364" s="3">
        <v>4</v>
      </c>
      <c r="AR364" s="3">
        <v>4</v>
      </c>
      <c r="AS364" s="3">
        <v>3</v>
      </c>
      <c r="AT364" s="3">
        <v>3</v>
      </c>
      <c r="AU364" s="3">
        <v>3</v>
      </c>
      <c r="AV364" s="3">
        <v>4</v>
      </c>
      <c r="AW364" s="3">
        <v>4</v>
      </c>
      <c r="AX364" s="3">
        <v>5</v>
      </c>
      <c r="AY364" s="3">
        <v>5</v>
      </c>
      <c r="AZ364" s="3">
        <v>4</v>
      </c>
      <c r="BA364" s="3">
        <v>4</v>
      </c>
      <c r="BB364" s="3">
        <v>4</v>
      </c>
      <c r="BC364" s="3">
        <v>3</v>
      </c>
      <c r="BD364" s="3">
        <v>3</v>
      </c>
      <c r="BE364" s="3">
        <v>3</v>
      </c>
      <c r="BF364" s="3">
        <v>3</v>
      </c>
      <c r="BG364" s="3">
        <v>4</v>
      </c>
      <c r="BH364" s="3">
        <v>4</v>
      </c>
      <c r="BI364" s="3">
        <v>4</v>
      </c>
      <c r="BJ364" s="3">
        <v>4</v>
      </c>
      <c r="BK364" s="3">
        <v>4</v>
      </c>
      <c r="BL364" s="3">
        <v>4</v>
      </c>
      <c r="BM364" s="3">
        <v>4</v>
      </c>
      <c r="BN364" s="3">
        <v>4</v>
      </c>
      <c r="BO364" s="3">
        <v>4</v>
      </c>
      <c r="BP364" s="3" t="s">
        <v>986</v>
      </c>
    </row>
    <row r="365" spans="1:68" ht="22.5" customHeight="1" x14ac:dyDescent="0.25">
      <c r="A365" s="2">
        <v>45986.635735659722</v>
      </c>
      <c r="B365" s="3" t="s">
        <v>987</v>
      </c>
      <c r="C365" s="3" t="s">
        <v>86</v>
      </c>
      <c r="D365" s="3" t="s">
        <v>198</v>
      </c>
      <c r="E365" s="3" t="s">
        <v>87</v>
      </c>
      <c r="F365" s="3" t="s">
        <v>103</v>
      </c>
      <c r="G365" s="3" t="s">
        <v>91</v>
      </c>
      <c r="H365" s="3">
        <v>4</v>
      </c>
      <c r="I365" s="3">
        <v>4</v>
      </c>
      <c r="J365" s="3">
        <v>4</v>
      </c>
      <c r="K365" s="3">
        <v>4</v>
      </c>
      <c r="L365" s="3">
        <v>4</v>
      </c>
      <c r="M365" s="3">
        <v>4</v>
      </c>
      <c r="N365" s="3">
        <v>4</v>
      </c>
      <c r="O365" s="3">
        <v>4</v>
      </c>
      <c r="P365" s="3">
        <v>4</v>
      </c>
      <c r="Q365" s="3">
        <v>4</v>
      </c>
      <c r="R365" s="3">
        <v>4</v>
      </c>
      <c r="S365" s="3">
        <v>4</v>
      </c>
      <c r="T365" s="3">
        <v>4</v>
      </c>
      <c r="U365" s="3">
        <v>4</v>
      </c>
      <c r="V365" s="3">
        <v>4</v>
      </c>
      <c r="W365" s="3">
        <v>3</v>
      </c>
      <c r="X365" s="3">
        <v>4</v>
      </c>
      <c r="Y365" s="3">
        <v>3</v>
      </c>
      <c r="Z365" s="3">
        <v>3</v>
      </c>
      <c r="AA365" s="3">
        <v>3</v>
      </c>
      <c r="AB365" s="3">
        <v>4</v>
      </c>
      <c r="AC365" s="3">
        <v>2</v>
      </c>
      <c r="AD365" s="3">
        <v>4</v>
      </c>
      <c r="AE365" s="3">
        <v>4</v>
      </c>
      <c r="AF365" s="3">
        <v>4</v>
      </c>
      <c r="AG365" s="3">
        <v>4</v>
      </c>
      <c r="AH365" s="3">
        <v>4</v>
      </c>
      <c r="AI365" s="3">
        <v>4</v>
      </c>
      <c r="AJ365" s="3">
        <v>4</v>
      </c>
      <c r="AK365" s="3">
        <v>4</v>
      </c>
      <c r="AL365" s="3">
        <v>4</v>
      </c>
      <c r="AM365" s="3">
        <v>3</v>
      </c>
      <c r="AN365" s="3">
        <v>4</v>
      </c>
      <c r="AO365" s="3">
        <v>4</v>
      </c>
      <c r="AP365" s="3">
        <v>4</v>
      </c>
      <c r="AQ365" s="3">
        <v>4</v>
      </c>
      <c r="AR365" s="3">
        <v>4</v>
      </c>
      <c r="AS365" s="3">
        <v>3</v>
      </c>
      <c r="AT365" s="3">
        <v>3</v>
      </c>
      <c r="AU365" s="3">
        <v>4</v>
      </c>
      <c r="AV365" s="3">
        <v>4</v>
      </c>
      <c r="AW365" s="3">
        <v>4</v>
      </c>
      <c r="AX365" s="3">
        <v>4</v>
      </c>
      <c r="AY365" s="3">
        <v>4</v>
      </c>
      <c r="AZ365" s="3">
        <v>4</v>
      </c>
      <c r="BA365" s="3">
        <v>3</v>
      </c>
      <c r="BB365" s="3">
        <v>3</v>
      </c>
      <c r="BC365" s="3">
        <v>3</v>
      </c>
      <c r="BD365" s="3">
        <v>3</v>
      </c>
      <c r="BE365" s="3">
        <v>3</v>
      </c>
      <c r="BF365" s="3">
        <v>3</v>
      </c>
      <c r="BG365" s="3">
        <v>4</v>
      </c>
      <c r="BH365" s="3">
        <v>4</v>
      </c>
      <c r="BI365" s="3">
        <v>4</v>
      </c>
      <c r="BJ365" s="3">
        <v>4</v>
      </c>
      <c r="BK365" s="3">
        <v>4</v>
      </c>
      <c r="BL365" s="3">
        <v>4</v>
      </c>
      <c r="BM365" s="3">
        <v>4</v>
      </c>
      <c r="BN365" s="3">
        <v>4</v>
      </c>
      <c r="BO365" s="3">
        <v>4</v>
      </c>
      <c r="BP365" s="3" t="s">
        <v>988</v>
      </c>
    </row>
    <row r="366" spans="1:68" ht="22.5" customHeight="1" x14ac:dyDescent="0.25">
      <c r="A366" s="2">
        <v>45986.636177395834</v>
      </c>
      <c r="B366" s="3" t="s">
        <v>989</v>
      </c>
      <c r="C366" s="3" t="s">
        <v>86</v>
      </c>
      <c r="D366" s="3" t="s">
        <v>594</v>
      </c>
      <c r="E366" s="3" t="s">
        <v>77</v>
      </c>
      <c r="F366" s="3" t="s">
        <v>78</v>
      </c>
      <c r="G366" s="3" t="s">
        <v>79</v>
      </c>
      <c r="H366" s="3">
        <v>5</v>
      </c>
      <c r="I366" s="3">
        <v>5</v>
      </c>
      <c r="J366" s="3">
        <v>5</v>
      </c>
      <c r="K366" s="3">
        <v>5</v>
      </c>
      <c r="L366" s="3">
        <v>5</v>
      </c>
      <c r="M366" s="3">
        <v>5</v>
      </c>
      <c r="N366" s="3">
        <v>5</v>
      </c>
      <c r="O366" s="3">
        <v>5</v>
      </c>
      <c r="P366" s="3">
        <v>5</v>
      </c>
      <c r="Q366" s="3">
        <v>5</v>
      </c>
      <c r="R366" s="3">
        <v>5</v>
      </c>
      <c r="S366" s="3">
        <v>5</v>
      </c>
      <c r="T366" s="3">
        <v>5</v>
      </c>
      <c r="U366" s="3">
        <v>5</v>
      </c>
      <c r="V366" s="3">
        <v>5</v>
      </c>
      <c r="W366" s="3">
        <v>5</v>
      </c>
      <c r="X366" s="3">
        <v>3</v>
      </c>
      <c r="Y366" s="3">
        <v>5</v>
      </c>
      <c r="Z366" s="3">
        <v>4</v>
      </c>
      <c r="AA366" s="3">
        <v>3</v>
      </c>
      <c r="AB366" s="3">
        <v>2</v>
      </c>
      <c r="AC366" s="3">
        <v>3</v>
      </c>
      <c r="AD366" s="3">
        <v>4</v>
      </c>
      <c r="AE366" s="3">
        <v>4</v>
      </c>
      <c r="AF366" s="3">
        <v>4</v>
      </c>
      <c r="AG366" s="3">
        <v>4</v>
      </c>
      <c r="AH366" s="3">
        <v>3</v>
      </c>
      <c r="AI366" s="3">
        <v>3</v>
      </c>
      <c r="AJ366" s="3">
        <v>3</v>
      </c>
      <c r="AK366" s="3">
        <v>4</v>
      </c>
      <c r="AL366" s="3">
        <v>4</v>
      </c>
      <c r="AM366" s="3">
        <v>4</v>
      </c>
      <c r="AN366" s="3">
        <v>4</v>
      </c>
      <c r="AO366" s="3">
        <v>4</v>
      </c>
      <c r="AP366" s="3">
        <v>4</v>
      </c>
      <c r="AQ366" s="3">
        <v>4</v>
      </c>
      <c r="AR366" s="3">
        <v>4</v>
      </c>
      <c r="AS366" s="3">
        <v>3</v>
      </c>
      <c r="AT366" s="3">
        <v>4</v>
      </c>
      <c r="AU366" s="3">
        <v>4</v>
      </c>
      <c r="AV366" s="3">
        <v>4</v>
      </c>
      <c r="AW366" s="3">
        <v>4</v>
      </c>
      <c r="AX366" s="3">
        <v>4</v>
      </c>
      <c r="AY366" s="3">
        <v>4</v>
      </c>
      <c r="AZ366" s="3">
        <v>5</v>
      </c>
      <c r="BA366" s="3">
        <v>3</v>
      </c>
      <c r="BB366" s="3">
        <v>3</v>
      </c>
      <c r="BC366" s="3">
        <v>3</v>
      </c>
      <c r="BD366" s="3">
        <v>3</v>
      </c>
      <c r="BE366" s="3">
        <v>3</v>
      </c>
      <c r="BF366" s="3">
        <v>3</v>
      </c>
      <c r="BG366" s="3">
        <v>4</v>
      </c>
      <c r="BH366" s="3">
        <v>4</v>
      </c>
      <c r="BI366" s="3">
        <v>4</v>
      </c>
      <c r="BJ366" s="3">
        <v>4</v>
      </c>
      <c r="BK366" s="3">
        <v>4</v>
      </c>
      <c r="BL366" s="3">
        <v>4</v>
      </c>
      <c r="BM366" s="3">
        <v>4</v>
      </c>
      <c r="BN366" s="3">
        <v>4</v>
      </c>
      <c r="BO366" s="3">
        <v>5</v>
      </c>
      <c r="BP366" s="3" t="s">
        <v>990</v>
      </c>
    </row>
    <row r="367" spans="1:68" ht="22.5" customHeight="1" x14ac:dyDescent="0.25">
      <c r="A367" s="2">
        <v>45986.638320185186</v>
      </c>
      <c r="B367" s="3" t="s">
        <v>991</v>
      </c>
      <c r="C367" s="3" t="s">
        <v>86</v>
      </c>
      <c r="D367" s="3" t="s">
        <v>198</v>
      </c>
      <c r="E367" s="3" t="s">
        <v>87</v>
      </c>
      <c r="F367" s="3" t="s">
        <v>88</v>
      </c>
      <c r="G367" s="3" t="s">
        <v>83</v>
      </c>
      <c r="H367" s="3">
        <v>5</v>
      </c>
      <c r="I367" s="3">
        <v>5</v>
      </c>
      <c r="J367" s="3">
        <v>4</v>
      </c>
      <c r="K367" s="3">
        <v>4</v>
      </c>
      <c r="L367" s="3">
        <v>4</v>
      </c>
      <c r="M367" s="3">
        <v>4</v>
      </c>
      <c r="N367" s="3">
        <v>4</v>
      </c>
      <c r="O367" s="3">
        <v>5</v>
      </c>
      <c r="P367" s="3">
        <v>5</v>
      </c>
      <c r="Q367" s="3">
        <v>5</v>
      </c>
      <c r="R367" s="3">
        <v>5</v>
      </c>
      <c r="S367" s="3">
        <v>4</v>
      </c>
      <c r="T367" s="3">
        <v>4</v>
      </c>
      <c r="U367" s="3">
        <v>4</v>
      </c>
      <c r="V367" s="3">
        <v>3</v>
      </c>
      <c r="W367" s="3">
        <v>4</v>
      </c>
      <c r="X367" s="3">
        <v>4</v>
      </c>
      <c r="Y367" s="3">
        <v>4</v>
      </c>
      <c r="Z367" s="3">
        <v>4</v>
      </c>
      <c r="AA367" s="3">
        <v>4</v>
      </c>
      <c r="AB367" s="3">
        <v>4</v>
      </c>
      <c r="AC367" s="3">
        <v>3</v>
      </c>
      <c r="AD367" s="3">
        <v>4</v>
      </c>
      <c r="AE367" s="3">
        <v>4</v>
      </c>
      <c r="AF367" s="3">
        <v>4</v>
      </c>
      <c r="AG367" s="3">
        <v>4</v>
      </c>
      <c r="AH367" s="3">
        <v>4</v>
      </c>
      <c r="AI367" s="3">
        <v>5</v>
      </c>
      <c r="AJ367" s="3">
        <v>4</v>
      </c>
      <c r="AK367" s="3">
        <v>5</v>
      </c>
      <c r="AL367" s="3">
        <v>4</v>
      </c>
      <c r="AM367" s="3">
        <v>4</v>
      </c>
      <c r="AN367" s="3">
        <v>4</v>
      </c>
      <c r="AO367" s="3">
        <v>5</v>
      </c>
      <c r="AP367" s="3">
        <v>4</v>
      </c>
      <c r="AQ367" s="3">
        <v>5</v>
      </c>
      <c r="AR367" s="3">
        <v>5</v>
      </c>
      <c r="AS367" s="3">
        <v>5</v>
      </c>
      <c r="AT367" s="3">
        <v>4</v>
      </c>
      <c r="AU367" s="3">
        <v>4</v>
      </c>
      <c r="AV367" s="3">
        <v>4</v>
      </c>
      <c r="AW367" s="3">
        <v>5</v>
      </c>
      <c r="AX367" s="3">
        <v>4</v>
      </c>
      <c r="AY367" s="3">
        <v>4</v>
      </c>
      <c r="AZ367" s="3">
        <v>4</v>
      </c>
      <c r="BA367" s="3">
        <v>5</v>
      </c>
      <c r="BB367" s="3">
        <v>4</v>
      </c>
      <c r="BC367" s="3">
        <v>4</v>
      </c>
      <c r="BD367" s="3">
        <v>4</v>
      </c>
      <c r="BE367" s="3">
        <v>4</v>
      </c>
      <c r="BF367" s="3">
        <v>5</v>
      </c>
      <c r="BG367" s="3">
        <v>5</v>
      </c>
      <c r="BH367" s="3">
        <v>4</v>
      </c>
      <c r="BI367" s="3">
        <v>4</v>
      </c>
      <c r="BJ367" s="3">
        <v>4</v>
      </c>
      <c r="BK367" s="3">
        <v>4</v>
      </c>
      <c r="BL367" s="3">
        <v>5</v>
      </c>
      <c r="BM367" s="3">
        <v>4</v>
      </c>
      <c r="BN367" s="3">
        <v>5</v>
      </c>
      <c r="BO367" s="3">
        <v>5</v>
      </c>
      <c r="BP367" s="3" t="s">
        <v>992</v>
      </c>
    </row>
    <row r="368" spans="1:68" ht="22.5" customHeight="1" x14ac:dyDescent="0.25">
      <c r="A368" s="2">
        <v>45986.638338067132</v>
      </c>
      <c r="B368" s="3" t="s">
        <v>993</v>
      </c>
      <c r="C368" s="3" t="s">
        <v>86</v>
      </c>
      <c r="D368" s="3" t="s">
        <v>994</v>
      </c>
      <c r="E368" s="3" t="s">
        <v>77</v>
      </c>
      <c r="F368" s="3" t="s">
        <v>78</v>
      </c>
      <c r="G368" s="3" t="s">
        <v>79</v>
      </c>
      <c r="H368" s="3">
        <v>4</v>
      </c>
      <c r="I368" s="3">
        <v>3</v>
      </c>
      <c r="J368" s="3">
        <v>3</v>
      </c>
      <c r="K368" s="3">
        <v>4</v>
      </c>
      <c r="L368" s="3">
        <v>4</v>
      </c>
      <c r="M368" s="3">
        <v>3</v>
      </c>
      <c r="N368" s="3">
        <v>3</v>
      </c>
      <c r="O368" s="3">
        <v>4</v>
      </c>
      <c r="P368" s="3">
        <v>3</v>
      </c>
      <c r="Q368" s="3">
        <v>4</v>
      </c>
      <c r="R368" s="3">
        <v>3</v>
      </c>
      <c r="S368" s="3">
        <v>4</v>
      </c>
      <c r="T368" s="3">
        <v>4</v>
      </c>
      <c r="U368" s="3">
        <v>3</v>
      </c>
      <c r="V368" s="3">
        <v>3</v>
      </c>
      <c r="W368" s="3">
        <v>4</v>
      </c>
      <c r="X368" s="3">
        <v>4</v>
      </c>
      <c r="Y368" s="3">
        <v>3</v>
      </c>
      <c r="Z368" s="3">
        <v>4</v>
      </c>
      <c r="AA368" s="3">
        <v>3</v>
      </c>
      <c r="AB368" s="3">
        <v>3</v>
      </c>
      <c r="AC368" s="3">
        <v>4</v>
      </c>
      <c r="AD368" s="3">
        <v>3</v>
      </c>
      <c r="AE368" s="3">
        <v>3</v>
      </c>
      <c r="AF368" s="3">
        <v>3</v>
      </c>
      <c r="AG368" s="3">
        <v>4</v>
      </c>
      <c r="AH368" s="3">
        <v>3</v>
      </c>
      <c r="AI368" s="3">
        <v>4</v>
      </c>
      <c r="AJ368" s="3">
        <v>3</v>
      </c>
      <c r="AK368" s="3">
        <v>4</v>
      </c>
      <c r="AL368" s="3">
        <v>4</v>
      </c>
      <c r="AM368" s="3">
        <v>3</v>
      </c>
      <c r="AN368" s="3">
        <v>3</v>
      </c>
      <c r="AO368" s="3">
        <v>3</v>
      </c>
      <c r="AP368" s="3">
        <v>4</v>
      </c>
      <c r="AQ368" s="3">
        <v>3</v>
      </c>
      <c r="AR368" s="3">
        <v>3</v>
      </c>
      <c r="AS368" s="3">
        <v>4</v>
      </c>
      <c r="AT368" s="3">
        <v>3</v>
      </c>
      <c r="AU368" s="3">
        <v>3</v>
      </c>
      <c r="AV368" s="3">
        <v>3</v>
      </c>
      <c r="AW368" s="3">
        <v>4</v>
      </c>
      <c r="AX368" s="3">
        <v>3</v>
      </c>
      <c r="AY368" s="3">
        <v>4</v>
      </c>
      <c r="AZ368" s="3">
        <v>4</v>
      </c>
      <c r="BA368" s="3">
        <v>3</v>
      </c>
      <c r="BB368" s="3">
        <v>4</v>
      </c>
      <c r="BC368" s="3">
        <v>3</v>
      </c>
      <c r="BD368" s="3">
        <v>4</v>
      </c>
      <c r="BE368" s="3">
        <v>3</v>
      </c>
      <c r="BF368" s="3">
        <v>4</v>
      </c>
      <c r="BG368" s="3">
        <v>3</v>
      </c>
      <c r="BH368" s="3">
        <v>4</v>
      </c>
      <c r="BI368" s="3">
        <v>4</v>
      </c>
      <c r="BJ368" s="3">
        <v>3</v>
      </c>
      <c r="BK368" s="3">
        <v>4</v>
      </c>
      <c r="BL368" s="3">
        <v>4</v>
      </c>
      <c r="BM368" s="3">
        <v>4</v>
      </c>
      <c r="BN368" s="3">
        <v>4</v>
      </c>
      <c r="BO368" s="3">
        <v>3</v>
      </c>
      <c r="BP368" s="3" t="s">
        <v>995</v>
      </c>
    </row>
    <row r="369" spans="1:68" ht="22.5" customHeight="1" x14ac:dyDescent="0.25">
      <c r="A369" s="2">
        <v>45986.63898476852</v>
      </c>
      <c r="B369" s="3" t="s">
        <v>996</v>
      </c>
      <c r="C369" s="3" t="s">
        <v>86</v>
      </c>
      <c r="D369" s="3" t="s">
        <v>997</v>
      </c>
      <c r="E369" s="3" t="s">
        <v>77</v>
      </c>
      <c r="F369" s="3" t="s">
        <v>78</v>
      </c>
      <c r="G369" s="3" t="s">
        <v>79</v>
      </c>
      <c r="H369" s="3">
        <v>4</v>
      </c>
      <c r="I369" s="3">
        <v>5</v>
      </c>
      <c r="J369" s="3">
        <v>5</v>
      </c>
      <c r="K369" s="3">
        <v>5</v>
      </c>
      <c r="L369" s="3">
        <v>5</v>
      </c>
      <c r="M369" s="3">
        <v>5</v>
      </c>
      <c r="N369" s="3">
        <v>5</v>
      </c>
      <c r="O369" s="3">
        <v>5</v>
      </c>
      <c r="P369" s="3">
        <v>4</v>
      </c>
      <c r="Q369" s="3">
        <v>4</v>
      </c>
      <c r="R369" s="3">
        <v>4</v>
      </c>
      <c r="S369" s="3">
        <v>5</v>
      </c>
      <c r="T369" s="3">
        <v>4</v>
      </c>
      <c r="U369" s="3">
        <v>4</v>
      </c>
      <c r="V369" s="3">
        <v>4</v>
      </c>
      <c r="W369" s="3">
        <v>4</v>
      </c>
      <c r="X369" s="3">
        <v>5</v>
      </c>
      <c r="Y369" s="3">
        <v>4</v>
      </c>
      <c r="Z369" s="3">
        <v>4</v>
      </c>
      <c r="AA369" s="3">
        <v>4</v>
      </c>
      <c r="AB369" s="3">
        <v>4</v>
      </c>
      <c r="AC369" s="3">
        <v>5</v>
      </c>
      <c r="AD369" s="3">
        <v>4</v>
      </c>
      <c r="AE369" s="3">
        <v>5</v>
      </c>
      <c r="AF369" s="3">
        <v>4</v>
      </c>
      <c r="AG369" s="3">
        <v>5</v>
      </c>
      <c r="AH369" s="3">
        <v>4</v>
      </c>
      <c r="AI369" s="3">
        <v>4</v>
      </c>
      <c r="AJ369" s="3">
        <v>5</v>
      </c>
      <c r="AK369" s="3">
        <v>4</v>
      </c>
      <c r="AL369" s="3">
        <v>5</v>
      </c>
      <c r="AM369" s="3">
        <v>4</v>
      </c>
      <c r="AN369" s="3">
        <v>5</v>
      </c>
      <c r="AO369" s="3">
        <v>4</v>
      </c>
      <c r="AP369" s="3">
        <v>5</v>
      </c>
      <c r="AQ369" s="3">
        <v>5</v>
      </c>
      <c r="AR369" s="3">
        <v>4</v>
      </c>
      <c r="AS369" s="3">
        <v>4</v>
      </c>
      <c r="AT369" s="3">
        <v>4</v>
      </c>
      <c r="AU369" s="3">
        <v>4</v>
      </c>
      <c r="AV369" s="3">
        <v>5</v>
      </c>
      <c r="AW369" s="3">
        <v>4</v>
      </c>
      <c r="AX369" s="3">
        <v>5</v>
      </c>
      <c r="AY369" s="3">
        <v>4</v>
      </c>
      <c r="AZ369" s="3">
        <v>5</v>
      </c>
      <c r="BA369" s="3">
        <v>4</v>
      </c>
      <c r="BB369" s="3">
        <v>4</v>
      </c>
      <c r="BC369" s="3">
        <v>5</v>
      </c>
      <c r="BD369" s="3">
        <v>4</v>
      </c>
      <c r="BE369" s="3">
        <v>4</v>
      </c>
      <c r="BF369" s="3">
        <v>4</v>
      </c>
      <c r="BG369" s="3">
        <v>4</v>
      </c>
      <c r="BH369" s="3">
        <v>4</v>
      </c>
      <c r="BI369" s="3">
        <v>4</v>
      </c>
      <c r="BJ369" s="3">
        <v>5</v>
      </c>
      <c r="BK369" s="3">
        <v>4</v>
      </c>
      <c r="BL369" s="3">
        <v>5</v>
      </c>
      <c r="BM369" s="3">
        <v>4</v>
      </c>
      <c r="BN369" s="3">
        <v>5</v>
      </c>
      <c r="BO369" s="3">
        <v>4</v>
      </c>
      <c r="BP369" s="3" t="s">
        <v>998</v>
      </c>
    </row>
    <row r="370" spans="1:68" ht="22.5" customHeight="1" x14ac:dyDescent="0.25">
      <c r="A370" s="2">
        <v>45986.640069317131</v>
      </c>
      <c r="B370" s="3" t="s">
        <v>999</v>
      </c>
      <c r="C370" s="3" t="s">
        <v>86</v>
      </c>
      <c r="D370" s="3" t="s">
        <v>1000</v>
      </c>
      <c r="E370" s="3" t="s">
        <v>77</v>
      </c>
      <c r="F370" s="3" t="s">
        <v>78</v>
      </c>
      <c r="G370" s="3" t="s">
        <v>79</v>
      </c>
      <c r="H370" s="3">
        <v>5</v>
      </c>
      <c r="I370" s="3">
        <v>5</v>
      </c>
      <c r="J370" s="3">
        <v>5</v>
      </c>
      <c r="K370" s="3">
        <v>5</v>
      </c>
      <c r="L370" s="3">
        <v>5</v>
      </c>
      <c r="M370" s="3">
        <v>3</v>
      </c>
      <c r="N370" s="3">
        <v>4</v>
      </c>
      <c r="O370" s="3">
        <v>5</v>
      </c>
      <c r="P370" s="3">
        <v>5</v>
      </c>
      <c r="Q370" s="3">
        <v>4</v>
      </c>
      <c r="R370" s="3">
        <v>4</v>
      </c>
      <c r="S370" s="3">
        <v>5</v>
      </c>
      <c r="T370" s="3">
        <v>5</v>
      </c>
      <c r="U370" s="3">
        <v>5</v>
      </c>
      <c r="V370" s="3">
        <v>3</v>
      </c>
      <c r="W370" s="3">
        <v>3</v>
      </c>
      <c r="X370" s="3">
        <v>3</v>
      </c>
      <c r="Y370" s="3">
        <v>3</v>
      </c>
      <c r="Z370" s="3">
        <v>3</v>
      </c>
      <c r="AA370" s="3">
        <v>4</v>
      </c>
      <c r="AB370" s="3">
        <v>3</v>
      </c>
      <c r="AC370" s="3">
        <v>4</v>
      </c>
      <c r="AD370" s="3">
        <v>4</v>
      </c>
      <c r="AE370" s="3">
        <v>4</v>
      </c>
      <c r="AF370" s="3">
        <v>4</v>
      </c>
      <c r="AG370" s="3">
        <v>4</v>
      </c>
      <c r="AH370" s="3">
        <v>4</v>
      </c>
      <c r="AI370" s="3">
        <v>4</v>
      </c>
      <c r="AJ370" s="3">
        <v>4</v>
      </c>
      <c r="AK370" s="3">
        <v>3</v>
      </c>
      <c r="AL370" s="3">
        <v>3</v>
      </c>
      <c r="AM370" s="3">
        <v>4</v>
      </c>
      <c r="AN370" s="3">
        <v>4</v>
      </c>
      <c r="AO370" s="3">
        <v>4</v>
      </c>
      <c r="AP370" s="3">
        <v>5</v>
      </c>
      <c r="AQ370" s="3">
        <v>4</v>
      </c>
      <c r="AR370" s="3">
        <v>4</v>
      </c>
      <c r="AS370" s="3">
        <v>4</v>
      </c>
      <c r="AT370" s="3">
        <v>4</v>
      </c>
      <c r="AU370" s="3">
        <v>4</v>
      </c>
      <c r="AV370" s="3">
        <v>4</v>
      </c>
      <c r="AW370" s="3">
        <v>4</v>
      </c>
      <c r="AX370" s="3">
        <v>4</v>
      </c>
      <c r="AY370" s="3">
        <v>4</v>
      </c>
      <c r="AZ370" s="3">
        <v>4</v>
      </c>
      <c r="BA370" s="3">
        <v>3</v>
      </c>
      <c r="BB370" s="3">
        <v>3</v>
      </c>
      <c r="BC370" s="3">
        <v>3</v>
      </c>
      <c r="BD370" s="3">
        <v>3</v>
      </c>
      <c r="BE370" s="3">
        <v>3</v>
      </c>
      <c r="BF370" s="3">
        <v>3</v>
      </c>
      <c r="BG370" s="3">
        <v>4</v>
      </c>
      <c r="BH370" s="3">
        <v>5</v>
      </c>
      <c r="BI370" s="3">
        <v>5</v>
      </c>
      <c r="BJ370" s="3">
        <v>4</v>
      </c>
      <c r="BK370" s="3">
        <v>4</v>
      </c>
      <c r="BL370" s="3">
        <v>4</v>
      </c>
      <c r="BM370" s="3">
        <v>4</v>
      </c>
      <c r="BN370" s="3">
        <v>4</v>
      </c>
      <c r="BO370" s="3">
        <v>4</v>
      </c>
      <c r="BP370" s="3" t="s">
        <v>1001</v>
      </c>
    </row>
    <row r="371" spans="1:68" ht="22.5" customHeight="1" x14ac:dyDescent="0.25">
      <c r="A371" s="2">
        <v>45986.641691006946</v>
      </c>
      <c r="B371" s="3" t="s">
        <v>1002</v>
      </c>
      <c r="C371" s="3" t="s">
        <v>86</v>
      </c>
      <c r="D371" s="3" t="s">
        <v>1003</v>
      </c>
      <c r="E371" s="3" t="s">
        <v>119</v>
      </c>
      <c r="F371" s="3" t="s">
        <v>88</v>
      </c>
      <c r="G371" s="3" t="s">
        <v>83</v>
      </c>
      <c r="H371" s="3">
        <v>5</v>
      </c>
      <c r="I371" s="3">
        <v>5</v>
      </c>
      <c r="J371" s="3">
        <v>5</v>
      </c>
      <c r="K371" s="3">
        <v>4</v>
      </c>
      <c r="L371" s="3">
        <v>4</v>
      </c>
      <c r="M371" s="3">
        <v>3</v>
      </c>
      <c r="N371" s="3">
        <v>3</v>
      </c>
      <c r="O371" s="3">
        <v>3</v>
      </c>
      <c r="P371" s="3">
        <v>3</v>
      </c>
      <c r="Q371" s="3">
        <v>5</v>
      </c>
      <c r="R371" s="3">
        <v>5</v>
      </c>
      <c r="S371" s="3">
        <v>5</v>
      </c>
      <c r="T371" s="3">
        <v>4</v>
      </c>
      <c r="U371" s="3">
        <v>3</v>
      </c>
      <c r="V371" s="3">
        <v>5</v>
      </c>
      <c r="W371" s="3">
        <v>3</v>
      </c>
      <c r="X371" s="3">
        <v>3</v>
      </c>
      <c r="Y371" s="3">
        <v>5</v>
      </c>
      <c r="Z371" s="3">
        <v>4</v>
      </c>
      <c r="AA371" s="3">
        <v>5</v>
      </c>
      <c r="AB371" s="3">
        <v>5</v>
      </c>
      <c r="AC371" s="3">
        <v>5</v>
      </c>
      <c r="AD371" s="3">
        <v>5</v>
      </c>
      <c r="AE371" s="3">
        <v>5</v>
      </c>
      <c r="AF371" s="3">
        <v>5</v>
      </c>
      <c r="AG371" s="3">
        <v>5</v>
      </c>
      <c r="AH371" s="3">
        <v>5</v>
      </c>
      <c r="AI371" s="3">
        <v>5</v>
      </c>
      <c r="AJ371" s="3">
        <v>5</v>
      </c>
      <c r="AK371" s="3">
        <v>5</v>
      </c>
      <c r="AL371" s="3">
        <v>5</v>
      </c>
      <c r="AM371" s="3">
        <v>5</v>
      </c>
      <c r="AN371" s="3">
        <v>5</v>
      </c>
      <c r="AO371" s="3">
        <v>5</v>
      </c>
      <c r="AP371" s="3">
        <v>5</v>
      </c>
      <c r="AQ371" s="3">
        <v>5</v>
      </c>
      <c r="AR371" s="3">
        <v>5</v>
      </c>
      <c r="AS371" s="3">
        <v>5</v>
      </c>
      <c r="AT371" s="3">
        <v>5</v>
      </c>
      <c r="AU371" s="3">
        <v>5</v>
      </c>
      <c r="AV371" s="3">
        <v>5</v>
      </c>
      <c r="AW371" s="3">
        <v>5</v>
      </c>
      <c r="AX371" s="3">
        <v>5</v>
      </c>
      <c r="AY371" s="3">
        <v>5</v>
      </c>
      <c r="AZ371" s="3">
        <v>5</v>
      </c>
      <c r="BA371" s="3">
        <v>5</v>
      </c>
      <c r="BB371" s="3">
        <v>5</v>
      </c>
      <c r="BC371" s="3">
        <v>5</v>
      </c>
      <c r="BD371" s="3">
        <v>3</v>
      </c>
      <c r="BE371" s="3">
        <v>3</v>
      </c>
      <c r="BF371" s="3">
        <v>3</v>
      </c>
      <c r="BG371" s="3">
        <v>5</v>
      </c>
      <c r="BH371" s="3">
        <v>5</v>
      </c>
      <c r="BI371" s="3">
        <v>5</v>
      </c>
      <c r="BJ371" s="3">
        <v>5</v>
      </c>
      <c r="BK371" s="3">
        <v>5</v>
      </c>
      <c r="BL371" s="3">
        <v>5</v>
      </c>
      <c r="BM371" s="3">
        <v>5</v>
      </c>
      <c r="BN371" s="3">
        <v>5</v>
      </c>
      <c r="BO371" s="3">
        <v>5</v>
      </c>
      <c r="BP371" s="3" t="s">
        <v>1004</v>
      </c>
    </row>
    <row r="372" spans="1:68" ht="22.5" customHeight="1" x14ac:dyDescent="0.25">
      <c r="A372" s="2">
        <v>45986.641803587961</v>
      </c>
      <c r="B372" s="3" t="s">
        <v>1005</v>
      </c>
      <c r="C372" s="3" t="s">
        <v>69</v>
      </c>
      <c r="D372" s="3" t="s">
        <v>466</v>
      </c>
      <c r="E372" s="3" t="s">
        <v>119</v>
      </c>
      <c r="F372" s="3" t="s">
        <v>103</v>
      </c>
      <c r="G372" s="3" t="s">
        <v>73</v>
      </c>
      <c r="H372" s="3">
        <v>5</v>
      </c>
      <c r="I372" s="3">
        <v>5</v>
      </c>
      <c r="J372" s="3">
        <v>4</v>
      </c>
      <c r="K372" s="3">
        <v>5</v>
      </c>
      <c r="L372" s="3">
        <v>5</v>
      </c>
      <c r="M372" s="3">
        <v>4</v>
      </c>
      <c r="N372" s="3">
        <v>5</v>
      </c>
      <c r="O372" s="3">
        <v>5</v>
      </c>
      <c r="P372" s="3">
        <v>4</v>
      </c>
      <c r="Q372" s="3">
        <v>4</v>
      </c>
      <c r="R372" s="3">
        <v>5</v>
      </c>
      <c r="S372" s="3">
        <v>5</v>
      </c>
      <c r="T372" s="3">
        <v>5</v>
      </c>
      <c r="U372" s="3">
        <v>4</v>
      </c>
      <c r="V372" s="3">
        <v>4</v>
      </c>
      <c r="W372" s="3">
        <v>4</v>
      </c>
      <c r="X372" s="3">
        <v>3</v>
      </c>
      <c r="Y372" s="3">
        <v>4</v>
      </c>
      <c r="Z372" s="3">
        <v>4</v>
      </c>
      <c r="AA372" s="3">
        <v>4</v>
      </c>
      <c r="AB372" s="3">
        <v>2</v>
      </c>
      <c r="AC372" s="3">
        <v>2</v>
      </c>
      <c r="AD372" s="3">
        <v>4</v>
      </c>
      <c r="AE372" s="3">
        <v>4</v>
      </c>
      <c r="AF372" s="3">
        <v>4</v>
      </c>
      <c r="AG372" s="3">
        <v>4</v>
      </c>
      <c r="AH372" s="3">
        <v>4</v>
      </c>
      <c r="AI372" s="3">
        <v>5</v>
      </c>
      <c r="AJ372" s="3">
        <v>5</v>
      </c>
      <c r="AK372" s="3">
        <v>4</v>
      </c>
      <c r="AL372" s="3">
        <v>4</v>
      </c>
      <c r="AM372" s="3">
        <v>5</v>
      </c>
      <c r="AN372" s="3">
        <v>4</v>
      </c>
      <c r="AO372" s="3">
        <v>3</v>
      </c>
      <c r="AP372" s="3">
        <v>4</v>
      </c>
      <c r="AQ372" s="3">
        <v>5</v>
      </c>
      <c r="AR372" s="3">
        <v>5</v>
      </c>
      <c r="AS372" s="3">
        <v>3</v>
      </c>
      <c r="AT372" s="3">
        <v>4</v>
      </c>
      <c r="AU372" s="3">
        <v>4</v>
      </c>
      <c r="AV372" s="3">
        <v>5</v>
      </c>
      <c r="AW372" s="3">
        <v>5</v>
      </c>
      <c r="AX372" s="3">
        <v>5</v>
      </c>
      <c r="AY372" s="3">
        <v>5</v>
      </c>
      <c r="AZ372" s="3">
        <v>5</v>
      </c>
      <c r="BA372" s="3">
        <v>3</v>
      </c>
      <c r="BB372" s="3">
        <v>3</v>
      </c>
      <c r="BC372" s="3">
        <v>2</v>
      </c>
      <c r="BD372" s="3">
        <v>2</v>
      </c>
      <c r="BE372" s="3">
        <v>1</v>
      </c>
      <c r="BF372" s="3">
        <v>1</v>
      </c>
      <c r="BG372" s="3">
        <v>4</v>
      </c>
      <c r="BH372" s="3">
        <v>5</v>
      </c>
      <c r="BI372" s="3">
        <v>4</v>
      </c>
      <c r="BJ372" s="3">
        <v>5</v>
      </c>
      <c r="BK372" s="3">
        <v>4</v>
      </c>
      <c r="BL372" s="3">
        <v>3</v>
      </c>
      <c r="BM372" s="3">
        <v>5</v>
      </c>
      <c r="BN372" s="3">
        <v>4</v>
      </c>
      <c r="BO372" s="3">
        <v>5</v>
      </c>
      <c r="BP372" s="3" t="s">
        <v>1006</v>
      </c>
    </row>
    <row r="373" spans="1:68" ht="22.5" customHeight="1" x14ac:dyDescent="0.25">
      <c r="A373" s="2">
        <v>45986.643714386577</v>
      </c>
      <c r="B373" s="3" t="s">
        <v>1007</v>
      </c>
      <c r="C373" s="3" t="s">
        <v>69</v>
      </c>
      <c r="D373" s="3" t="s">
        <v>1008</v>
      </c>
      <c r="E373" s="3" t="s">
        <v>77</v>
      </c>
      <c r="F373" s="3" t="s">
        <v>78</v>
      </c>
      <c r="G373" s="3" t="s">
        <v>79</v>
      </c>
      <c r="H373" s="3">
        <v>5</v>
      </c>
      <c r="I373" s="3">
        <v>5</v>
      </c>
      <c r="J373" s="3">
        <v>4</v>
      </c>
      <c r="K373" s="3">
        <v>5</v>
      </c>
      <c r="L373" s="3">
        <v>5</v>
      </c>
      <c r="M373" s="3">
        <v>4</v>
      </c>
      <c r="N373" s="3">
        <v>5</v>
      </c>
      <c r="O373" s="3">
        <v>5</v>
      </c>
      <c r="P373" s="3">
        <v>5</v>
      </c>
      <c r="Q373" s="3">
        <v>4</v>
      </c>
      <c r="R373" s="3">
        <v>5</v>
      </c>
      <c r="S373" s="3">
        <v>5</v>
      </c>
      <c r="T373" s="3">
        <v>5</v>
      </c>
      <c r="U373" s="3">
        <v>5</v>
      </c>
      <c r="V373" s="3">
        <v>4</v>
      </c>
      <c r="W373" s="3">
        <v>5</v>
      </c>
      <c r="X373" s="3">
        <v>4</v>
      </c>
      <c r="Y373" s="3">
        <v>4</v>
      </c>
      <c r="Z373" s="3">
        <v>5</v>
      </c>
      <c r="AA373" s="3">
        <v>5</v>
      </c>
      <c r="AB373" s="3">
        <v>3</v>
      </c>
      <c r="AC373" s="3">
        <v>2</v>
      </c>
      <c r="AD373" s="3">
        <v>5</v>
      </c>
      <c r="AE373" s="3">
        <v>5</v>
      </c>
      <c r="AF373" s="3">
        <v>5</v>
      </c>
      <c r="AG373" s="3">
        <v>5</v>
      </c>
      <c r="AH373" s="3">
        <v>4</v>
      </c>
      <c r="AI373" s="3">
        <v>4</v>
      </c>
      <c r="AJ373" s="3">
        <v>5</v>
      </c>
      <c r="AK373" s="3">
        <v>5</v>
      </c>
      <c r="AL373" s="3">
        <v>5</v>
      </c>
      <c r="AM373" s="3">
        <v>5</v>
      </c>
      <c r="AN373" s="3">
        <v>5</v>
      </c>
      <c r="AO373" s="3">
        <v>5</v>
      </c>
      <c r="AP373" s="3">
        <v>3</v>
      </c>
      <c r="AQ373" s="3">
        <v>5</v>
      </c>
      <c r="AR373" s="3">
        <v>5</v>
      </c>
      <c r="AS373" s="3">
        <v>3</v>
      </c>
      <c r="AT373" s="3">
        <v>5</v>
      </c>
      <c r="AU373" s="3">
        <v>5</v>
      </c>
      <c r="AV373" s="3">
        <v>5</v>
      </c>
      <c r="AW373" s="3">
        <v>5</v>
      </c>
      <c r="AX373" s="3">
        <v>5</v>
      </c>
      <c r="AY373" s="3">
        <v>5</v>
      </c>
      <c r="AZ373" s="3">
        <v>5</v>
      </c>
      <c r="BA373" s="3">
        <v>5</v>
      </c>
      <c r="BB373" s="3">
        <v>4</v>
      </c>
      <c r="BC373" s="3">
        <v>4</v>
      </c>
      <c r="BD373" s="3">
        <v>5</v>
      </c>
      <c r="BE373" s="3">
        <v>4</v>
      </c>
      <c r="BF373" s="3">
        <v>3</v>
      </c>
      <c r="BG373" s="3">
        <v>5</v>
      </c>
      <c r="BH373" s="3">
        <v>5</v>
      </c>
      <c r="BI373" s="3">
        <v>5</v>
      </c>
      <c r="BJ373" s="3">
        <v>5</v>
      </c>
      <c r="BK373" s="3">
        <v>5</v>
      </c>
      <c r="BL373" s="3">
        <v>5</v>
      </c>
      <c r="BM373" s="3">
        <v>5</v>
      </c>
      <c r="BN373" s="3">
        <v>3</v>
      </c>
      <c r="BO373" s="3">
        <v>5</v>
      </c>
      <c r="BP373" s="3" t="s">
        <v>1009</v>
      </c>
    </row>
    <row r="374" spans="1:68" ht="22.5" customHeight="1" x14ac:dyDescent="0.25">
      <c r="A374" s="2">
        <v>45986.646637372687</v>
      </c>
      <c r="B374" s="3" t="s">
        <v>1010</v>
      </c>
      <c r="C374" s="3" t="s">
        <v>69</v>
      </c>
      <c r="D374" s="3" t="s">
        <v>466</v>
      </c>
      <c r="E374" s="3" t="s">
        <v>77</v>
      </c>
      <c r="F374" s="3" t="s">
        <v>103</v>
      </c>
      <c r="G374" s="3" t="s">
        <v>79</v>
      </c>
      <c r="H374" s="3">
        <v>5</v>
      </c>
      <c r="I374" s="3">
        <v>4</v>
      </c>
      <c r="J374" s="3">
        <v>3</v>
      </c>
      <c r="K374" s="3">
        <v>4</v>
      </c>
      <c r="L374" s="3">
        <v>4</v>
      </c>
      <c r="M374" s="3">
        <v>4</v>
      </c>
      <c r="N374" s="3">
        <v>4</v>
      </c>
      <c r="O374" s="3">
        <v>4</v>
      </c>
      <c r="P374" s="3">
        <v>5</v>
      </c>
      <c r="Q374" s="3">
        <v>5</v>
      </c>
      <c r="R374" s="3">
        <v>5</v>
      </c>
      <c r="S374" s="3">
        <v>5</v>
      </c>
      <c r="T374" s="3">
        <v>5</v>
      </c>
      <c r="U374" s="3">
        <v>5</v>
      </c>
      <c r="V374" s="3">
        <v>4</v>
      </c>
      <c r="W374" s="3">
        <v>4</v>
      </c>
      <c r="X374" s="3">
        <v>4</v>
      </c>
      <c r="Y374" s="3">
        <v>4</v>
      </c>
      <c r="Z374" s="3">
        <v>4</v>
      </c>
      <c r="AA374" s="3">
        <v>4</v>
      </c>
      <c r="AB374" s="3">
        <v>4</v>
      </c>
      <c r="AC374" s="3">
        <v>3</v>
      </c>
      <c r="AD374" s="3">
        <v>5</v>
      </c>
      <c r="AE374" s="3">
        <v>5</v>
      </c>
      <c r="AF374" s="3">
        <v>4</v>
      </c>
      <c r="AG374" s="3">
        <v>4</v>
      </c>
      <c r="AH374" s="3">
        <v>4</v>
      </c>
      <c r="AI374" s="3">
        <v>4</v>
      </c>
      <c r="AJ374" s="3">
        <v>5</v>
      </c>
      <c r="AK374" s="3">
        <v>4</v>
      </c>
      <c r="AL374" s="3">
        <v>4</v>
      </c>
      <c r="AM374" s="3">
        <v>4</v>
      </c>
      <c r="AN374" s="3">
        <v>3</v>
      </c>
      <c r="AO374" s="3">
        <v>3</v>
      </c>
      <c r="AP374" s="3">
        <v>3</v>
      </c>
      <c r="AQ374" s="3">
        <v>3</v>
      </c>
      <c r="AR374" s="3">
        <v>3</v>
      </c>
      <c r="AS374" s="3">
        <v>3</v>
      </c>
      <c r="AT374" s="3">
        <v>4</v>
      </c>
      <c r="AU374" s="3">
        <v>4</v>
      </c>
      <c r="AV374" s="3">
        <v>4</v>
      </c>
      <c r="AW374" s="3">
        <v>5</v>
      </c>
      <c r="AX374" s="3">
        <v>3</v>
      </c>
      <c r="AY374" s="3">
        <v>4</v>
      </c>
      <c r="AZ374" s="3">
        <v>5</v>
      </c>
      <c r="BA374" s="3">
        <v>3</v>
      </c>
      <c r="BB374" s="3">
        <v>4</v>
      </c>
      <c r="BC374" s="3">
        <v>4</v>
      </c>
      <c r="BD374" s="3">
        <v>3</v>
      </c>
      <c r="BE374" s="3">
        <v>3</v>
      </c>
      <c r="BF374" s="3">
        <v>3</v>
      </c>
      <c r="BG374" s="3">
        <v>4</v>
      </c>
      <c r="BH374" s="3">
        <v>4</v>
      </c>
      <c r="BI374" s="3">
        <v>4</v>
      </c>
      <c r="BJ374" s="3">
        <v>4</v>
      </c>
      <c r="BK374" s="3">
        <v>4</v>
      </c>
      <c r="BL374" s="3">
        <v>4</v>
      </c>
      <c r="BM374" s="3">
        <v>4</v>
      </c>
      <c r="BN374" s="3">
        <v>3</v>
      </c>
      <c r="BO374" s="3">
        <v>5</v>
      </c>
      <c r="BP374" s="3" t="s">
        <v>1011</v>
      </c>
    </row>
    <row r="375" spans="1:68" ht="22.5" customHeight="1" x14ac:dyDescent="0.25">
      <c r="A375" s="2">
        <v>45986.651256041667</v>
      </c>
      <c r="B375" s="3" t="s">
        <v>1012</v>
      </c>
      <c r="C375" s="3" t="s">
        <v>86</v>
      </c>
      <c r="D375" s="3" t="s">
        <v>1013</v>
      </c>
      <c r="E375" s="3" t="s">
        <v>77</v>
      </c>
      <c r="F375" s="3" t="s">
        <v>78</v>
      </c>
      <c r="G375" s="3" t="s">
        <v>79</v>
      </c>
      <c r="H375" s="3">
        <v>5</v>
      </c>
      <c r="I375" s="3">
        <v>5</v>
      </c>
      <c r="J375" s="3">
        <v>5</v>
      </c>
      <c r="K375" s="3">
        <v>5</v>
      </c>
      <c r="L375" s="3">
        <v>5</v>
      </c>
      <c r="M375" s="3">
        <v>5</v>
      </c>
      <c r="N375" s="3">
        <v>5</v>
      </c>
      <c r="O375" s="3">
        <v>5</v>
      </c>
      <c r="P375" s="3">
        <v>5</v>
      </c>
      <c r="Q375" s="3">
        <v>5</v>
      </c>
      <c r="R375" s="3">
        <v>5</v>
      </c>
      <c r="S375" s="3">
        <v>5</v>
      </c>
      <c r="T375" s="3">
        <v>5</v>
      </c>
      <c r="U375" s="3">
        <v>5</v>
      </c>
      <c r="V375" s="3">
        <v>5</v>
      </c>
      <c r="W375" s="3">
        <v>5</v>
      </c>
      <c r="X375" s="3">
        <v>5</v>
      </c>
      <c r="Y375" s="3">
        <v>5</v>
      </c>
      <c r="Z375" s="3">
        <v>5</v>
      </c>
      <c r="AA375" s="3">
        <v>5</v>
      </c>
      <c r="AB375" s="3">
        <v>5</v>
      </c>
      <c r="AC375" s="3">
        <v>5</v>
      </c>
      <c r="AD375" s="3">
        <v>5</v>
      </c>
      <c r="AE375" s="3">
        <v>5</v>
      </c>
      <c r="AF375" s="3">
        <v>5</v>
      </c>
      <c r="AG375" s="3">
        <v>5</v>
      </c>
      <c r="AH375" s="3">
        <v>5</v>
      </c>
      <c r="AI375" s="3">
        <v>5</v>
      </c>
      <c r="AJ375" s="3">
        <v>5</v>
      </c>
      <c r="AK375" s="3">
        <v>5</v>
      </c>
      <c r="AL375" s="3">
        <v>5</v>
      </c>
      <c r="AM375" s="3">
        <v>5</v>
      </c>
      <c r="AN375" s="3">
        <v>5</v>
      </c>
      <c r="AO375" s="3">
        <v>5</v>
      </c>
      <c r="AP375" s="3">
        <v>5</v>
      </c>
      <c r="AQ375" s="3">
        <v>5</v>
      </c>
      <c r="AR375" s="3">
        <v>5</v>
      </c>
      <c r="AS375" s="3">
        <v>5</v>
      </c>
      <c r="AT375" s="3">
        <v>5</v>
      </c>
      <c r="AU375" s="3">
        <v>5</v>
      </c>
      <c r="AV375" s="3">
        <v>5</v>
      </c>
      <c r="AW375" s="3">
        <v>5</v>
      </c>
      <c r="AX375" s="3">
        <v>5</v>
      </c>
      <c r="AY375" s="3">
        <v>5</v>
      </c>
      <c r="AZ375" s="3">
        <v>5</v>
      </c>
      <c r="BA375" s="3">
        <v>5</v>
      </c>
      <c r="BB375" s="3">
        <v>5</v>
      </c>
      <c r="BC375" s="3">
        <v>5</v>
      </c>
      <c r="BD375" s="3">
        <v>5</v>
      </c>
      <c r="BE375" s="3">
        <v>5</v>
      </c>
      <c r="BF375" s="3">
        <v>5</v>
      </c>
      <c r="BG375" s="3">
        <v>5</v>
      </c>
      <c r="BH375" s="3">
        <v>5</v>
      </c>
      <c r="BI375" s="3">
        <v>5</v>
      </c>
      <c r="BJ375" s="3">
        <v>5</v>
      </c>
      <c r="BK375" s="3">
        <v>5</v>
      </c>
      <c r="BL375" s="3">
        <v>5</v>
      </c>
      <c r="BM375" s="3">
        <v>5</v>
      </c>
      <c r="BN375" s="3">
        <v>5</v>
      </c>
      <c r="BO375" s="3">
        <v>5</v>
      </c>
      <c r="BP375" s="3" t="s">
        <v>1014</v>
      </c>
    </row>
    <row r="376" spans="1:68" ht="22.5" customHeight="1" x14ac:dyDescent="0.25">
      <c r="A376" s="2">
        <v>45986.657277604172</v>
      </c>
      <c r="B376" s="3" t="s">
        <v>1015</v>
      </c>
      <c r="C376" s="3" t="s">
        <v>86</v>
      </c>
      <c r="D376" s="3" t="s">
        <v>1016</v>
      </c>
      <c r="E376" s="3" t="s">
        <v>77</v>
      </c>
      <c r="F376" s="3" t="s">
        <v>78</v>
      </c>
      <c r="G376" s="3" t="s">
        <v>79</v>
      </c>
      <c r="H376" s="3">
        <v>5</v>
      </c>
      <c r="I376" s="3">
        <v>5</v>
      </c>
      <c r="J376" s="3">
        <v>5</v>
      </c>
      <c r="K376" s="3">
        <v>4</v>
      </c>
      <c r="L376" s="3">
        <v>5</v>
      </c>
      <c r="M376" s="3">
        <v>4</v>
      </c>
      <c r="N376" s="3">
        <v>5</v>
      </c>
      <c r="O376" s="3">
        <v>4</v>
      </c>
      <c r="P376" s="3">
        <v>5</v>
      </c>
      <c r="Q376" s="3">
        <v>4</v>
      </c>
      <c r="R376" s="3">
        <v>5</v>
      </c>
      <c r="S376" s="3">
        <v>4</v>
      </c>
      <c r="T376" s="3">
        <v>5</v>
      </c>
      <c r="U376" s="3">
        <v>4</v>
      </c>
      <c r="V376" s="3">
        <v>4</v>
      </c>
      <c r="W376" s="3">
        <v>4</v>
      </c>
      <c r="X376" s="3">
        <v>4</v>
      </c>
      <c r="Y376" s="3">
        <v>4</v>
      </c>
      <c r="Z376" s="3">
        <v>5</v>
      </c>
      <c r="AA376" s="3">
        <v>4</v>
      </c>
      <c r="AB376" s="3">
        <v>5</v>
      </c>
      <c r="AC376" s="3">
        <v>4</v>
      </c>
      <c r="AD376" s="3">
        <v>5</v>
      </c>
      <c r="AE376" s="3">
        <v>5</v>
      </c>
      <c r="AF376" s="3">
        <v>4</v>
      </c>
      <c r="AG376" s="3">
        <v>5</v>
      </c>
      <c r="AH376" s="3">
        <v>4</v>
      </c>
      <c r="AI376" s="3">
        <v>4</v>
      </c>
      <c r="AJ376" s="3">
        <v>5</v>
      </c>
      <c r="AK376" s="3">
        <v>4</v>
      </c>
      <c r="AL376" s="3">
        <v>5</v>
      </c>
      <c r="AM376" s="3">
        <v>5</v>
      </c>
      <c r="AN376" s="3">
        <v>4</v>
      </c>
      <c r="AO376" s="3">
        <v>5</v>
      </c>
      <c r="AP376" s="3">
        <v>5</v>
      </c>
      <c r="AQ376" s="3">
        <v>4</v>
      </c>
      <c r="AR376" s="3">
        <v>4</v>
      </c>
      <c r="AS376" s="3">
        <v>5</v>
      </c>
      <c r="AT376" s="3">
        <v>4</v>
      </c>
      <c r="AU376" s="3">
        <v>5</v>
      </c>
      <c r="AV376" s="3">
        <v>4</v>
      </c>
      <c r="AW376" s="3">
        <v>4</v>
      </c>
      <c r="AX376" s="3">
        <v>5</v>
      </c>
      <c r="AY376" s="3">
        <v>4</v>
      </c>
      <c r="AZ376" s="3">
        <v>5</v>
      </c>
      <c r="BA376" s="3">
        <v>5</v>
      </c>
      <c r="BB376" s="3">
        <v>4</v>
      </c>
      <c r="BC376" s="3">
        <v>5</v>
      </c>
      <c r="BD376" s="3">
        <v>4</v>
      </c>
      <c r="BE376" s="3">
        <v>5</v>
      </c>
      <c r="BF376" s="3">
        <v>5</v>
      </c>
      <c r="BG376" s="3">
        <v>5</v>
      </c>
      <c r="BH376" s="3">
        <v>4</v>
      </c>
      <c r="BI376" s="3">
        <v>5</v>
      </c>
      <c r="BJ376" s="3">
        <v>4</v>
      </c>
      <c r="BK376" s="3">
        <v>5</v>
      </c>
      <c r="BL376" s="3">
        <v>5</v>
      </c>
      <c r="BM376" s="3">
        <v>5</v>
      </c>
      <c r="BN376" s="3">
        <v>4</v>
      </c>
      <c r="BO376" s="3">
        <v>4</v>
      </c>
      <c r="BP376" s="3" t="s">
        <v>1017</v>
      </c>
    </row>
    <row r="377" spans="1:68" ht="22.5" customHeight="1" x14ac:dyDescent="0.25">
      <c r="A377" s="2">
        <v>45986.662502453706</v>
      </c>
      <c r="B377" s="3" t="s">
        <v>1018</v>
      </c>
      <c r="C377" s="3" t="s">
        <v>69</v>
      </c>
      <c r="D377" s="3" t="s">
        <v>466</v>
      </c>
      <c r="E377" s="3" t="s">
        <v>119</v>
      </c>
      <c r="F377" s="3" t="s">
        <v>82</v>
      </c>
      <c r="G377" s="3" t="s">
        <v>73</v>
      </c>
      <c r="H377" s="3">
        <v>5</v>
      </c>
      <c r="I377" s="3">
        <v>5</v>
      </c>
      <c r="J377" s="3">
        <v>5</v>
      </c>
      <c r="K377" s="3">
        <v>5</v>
      </c>
      <c r="L377" s="3">
        <v>5</v>
      </c>
      <c r="M377" s="3">
        <v>3</v>
      </c>
      <c r="N377" s="3">
        <v>4</v>
      </c>
      <c r="O377" s="3">
        <v>5</v>
      </c>
      <c r="P377" s="3">
        <v>5</v>
      </c>
      <c r="Q377" s="3">
        <v>5</v>
      </c>
      <c r="R377" s="3">
        <v>5</v>
      </c>
      <c r="S377" s="3">
        <v>5</v>
      </c>
      <c r="T377" s="3">
        <v>5</v>
      </c>
      <c r="U377" s="3">
        <v>5</v>
      </c>
      <c r="V377" s="3">
        <v>5</v>
      </c>
      <c r="W377" s="3">
        <v>5</v>
      </c>
      <c r="X377" s="3">
        <v>5</v>
      </c>
      <c r="Y377" s="3">
        <v>4</v>
      </c>
      <c r="Z377" s="3">
        <v>5</v>
      </c>
      <c r="AA377" s="3">
        <v>5</v>
      </c>
      <c r="AB377" s="3">
        <v>3</v>
      </c>
      <c r="AC377" s="3">
        <v>2</v>
      </c>
      <c r="AD377" s="3">
        <v>5</v>
      </c>
      <c r="AE377" s="3">
        <v>4</v>
      </c>
      <c r="AF377" s="3">
        <v>4</v>
      </c>
      <c r="AG377" s="3">
        <v>4</v>
      </c>
      <c r="AH377" s="3">
        <v>3</v>
      </c>
      <c r="AI377" s="3">
        <v>5</v>
      </c>
      <c r="AJ377" s="3">
        <v>5</v>
      </c>
      <c r="AK377" s="3">
        <v>5</v>
      </c>
      <c r="AL377" s="3">
        <v>5</v>
      </c>
      <c r="AM377" s="3">
        <v>5</v>
      </c>
      <c r="AN377" s="3">
        <v>4</v>
      </c>
      <c r="AO377" s="3">
        <v>4</v>
      </c>
      <c r="AP377" s="3">
        <v>4</v>
      </c>
      <c r="AQ377" s="3">
        <v>5</v>
      </c>
      <c r="AR377" s="3">
        <v>5</v>
      </c>
      <c r="AS377" s="3">
        <v>2</v>
      </c>
      <c r="AT377" s="3">
        <v>5</v>
      </c>
      <c r="AU377" s="3">
        <v>5</v>
      </c>
      <c r="AV377" s="3">
        <v>5</v>
      </c>
      <c r="AW377" s="3">
        <v>5</v>
      </c>
      <c r="AX377" s="3">
        <v>5</v>
      </c>
      <c r="AY377" s="3">
        <v>5</v>
      </c>
      <c r="AZ377" s="3">
        <v>5</v>
      </c>
      <c r="BA377" s="3">
        <v>5</v>
      </c>
      <c r="BB377" s="3">
        <v>4</v>
      </c>
      <c r="BC377" s="3">
        <v>5</v>
      </c>
      <c r="BD377" s="3">
        <v>4</v>
      </c>
      <c r="BE377" s="3">
        <v>4</v>
      </c>
      <c r="BF377" s="3">
        <v>4</v>
      </c>
      <c r="BG377" s="3">
        <v>5</v>
      </c>
      <c r="BH377" s="3">
        <v>5</v>
      </c>
      <c r="BI377" s="3">
        <v>5</v>
      </c>
      <c r="BJ377" s="3">
        <v>5</v>
      </c>
      <c r="BK377" s="3">
        <v>5</v>
      </c>
      <c r="BL377" s="3">
        <v>5</v>
      </c>
      <c r="BM377" s="3">
        <v>5</v>
      </c>
      <c r="BN377" s="3">
        <v>5</v>
      </c>
      <c r="BO377" s="3">
        <v>5</v>
      </c>
      <c r="BP377" s="3" t="s">
        <v>1019</v>
      </c>
    </row>
    <row r="378" spans="1:68" ht="22.5" customHeight="1" x14ac:dyDescent="0.25">
      <c r="A378" s="2">
        <v>45986.662765324072</v>
      </c>
      <c r="B378" s="3" t="s">
        <v>1020</v>
      </c>
      <c r="C378" s="3" t="s">
        <v>69</v>
      </c>
      <c r="D378" s="3" t="s">
        <v>1021</v>
      </c>
      <c r="E378" s="3" t="s">
        <v>119</v>
      </c>
      <c r="F378" s="3" t="s">
        <v>82</v>
      </c>
      <c r="G378" s="3" t="s">
        <v>83</v>
      </c>
      <c r="H378" s="3">
        <v>4</v>
      </c>
      <c r="I378" s="3">
        <v>4</v>
      </c>
      <c r="J378" s="3">
        <v>3</v>
      </c>
      <c r="K378" s="3">
        <v>3</v>
      </c>
      <c r="L378" s="3">
        <v>4</v>
      </c>
      <c r="M378" s="3">
        <v>4</v>
      </c>
      <c r="N378" s="3">
        <v>3</v>
      </c>
      <c r="O378" s="3">
        <v>3</v>
      </c>
      <c r="P378" s="3">
        <v>4</v>
      </c>
      <c r="Q378" s="3">
        <v>3</v>
      </c>
      <c r="R378" s="3">
        <v>4</v>
      </c>
      <c r="S378" s="3">
        <v>4</v>
      </c>
      <c r="T378" s="3">
        <v>4</v>
      </c>
      <c r="U378" s="3">
        <v>4</v>
      </c>
      <c r="V378" s="3">
        <v>3</v>
      </c>
      <c r="W378" s="3">
        <v>3</v>
      </c>
      <c r="X378" s="3">
        <v>3</v>
      </c>
      <c r="Y378" s="3">
        <v>3</v>
      </c>
      <c r="Z378" s="3">
        <v>4</v>
      </c>
      <c r="AA378" s="3">
        <v>4</v>
      </c>
      <c r="AB378" s="3">
        <v>4</v>
      </c>
      <c r="AC378" s="3">
        <v>4</v>
      </c>
      <c r="AD378" s="3">
        <v>4</v>
      </c>
      <c r="AE378" s="3">
        <v>4</v>
      </c>
      <c r="AF378" s="3">
        <v>4</v>
      </c>
      <c r="AG378" s="3">
        <v>4</v>
      </c>
      <c r="AH378" s="3">
        <v>4</v>
      </c>
      <c r="AI378" s="3">
        <v>4</v>
      </c>
      <c r="AJ378" s="3">
        <v>4</v>
      </c>
      <c r="AK378" s="3">
        <v>4</v>
      </c>
      <c r="AL378" s="3">
        <v>4</v>
      </c>
      <c r="AM378" s="3">
        <v>4</v>
      </c>
      <c r="AN378" s="3">
        <v>3</v>
      </c>
      <c r="AO378" s="3">
        <v>4</v>
      </c>
      <c r="AP378" s="3">
        <v>4</v>
      </c>
      <c r="AQ378" s="3">
        <v>3</v>
      </c>
      <c r="AR378" s="3">
        <v>3</v>
      </c>
      <c r="AS378" s="3">
        <v>3</v>
      </c>
      <c r="AT378" s="3">
        <v>3</v>
      </c>
      <c r="AU378" s="3">
        <v>3</v>
      </c>
      <c r="AV378" s="3">
        <v>3</v>
      </c>
      <c r="AW378" s="3">
        <v>4</v>
      </c>
      <c r="AX378" s="3">
        <v>4</v>
      </c>
      <c r="AY378" s="3">
        <v>4</v>
      </c>
      <c r="AZ378" s="3">
        <v>4</v>
      </c>
      <c r="BA378" s="3">
        <v>4</v>
      </c>
      <c r="BB378" s="3">
        <v>4</v>
      </c>
      <c r="BC378" s="3">
        <v>3</v>
      </c>
      <c r="BD378" s="3">
        <v>3</v>
      </c>
      <c r="BE378" s="3">
        <v>3</v>
      </c>
      <c r="BF378" s="3">
        <v>3</v>
      </c>
      <c r="BG378" s="3">
        <v>4</v>
      </c>
      <c r="BH378" s="3">
        <v>4</v>
      </c>
      <c r="BI378" s="3">
        <v>4</v>
      </c>
      <c r="BJ378" s="3">
        <v>4</v>
      </c>
      <c r="BK378" s="3">
        <v>4</v>
      </c>
      <c r="BL378" s="3">
        <v>4</v>
      </c>
      <c r="BM378" s="3">
        <v>4</v>
      </c>
      <c r="BN378" s="3">
        <v>4</v>
      </c>
      <c r="BO378" s="3">
        <v>4</v>
      </c>
      <c r="BP378" s="3" t="s">
        <v>1022</v>
      </c>
    </row>
    <row r="379" spans="1:68" ht="22.5" customHeight="1" x14ac:dyDescent="0.25">
      <c r="A379" s="2">
        <v>45986.6730699537</v>
      </c>
      <c r="B379" s="3" t="s">
        <v>1023</v>
      </c>
      <c r="C379" s="3" t="s">
        <v>69</v>
      </c>
      <c r="D379" s="3" t="s">
        <v>1024</v>
      </c>
      <c r="E379" s="3" t="s">
        <v>77</v>
      </c>
      <c r="F379" s="3" t="s">
        <v>103</v>
      </c>
      <c r="G379" s="3" t="s">
        <v>83</v>
      </c>
      <c r="H379" s="3">
        <v>5</v>
      </c>
      <c r="I379" s="3">
        <v>5</v>
      </c>
      <c r="J379" s="3">
        <v>5</v>
      </c>
      <c r="K379" s="3">
        <v>4</v>
      </c>
      <c r="L379" s="3">
        <v>5</v>
      </c>
      <c r="M379" s="3">
        <v>5</v>
      </c>
      <c r="N379" s="3">
        <v>4</v>
      </c>
      <c r="O379" s="3">
        <v>5</v>
      </c>
      <c r="P379" s="3">
        <v>5</v>
      </c>
      <c r="Q379" s="3">
        <v>5</v>
      </c>
      <c r="R379" s="3">
        <v>5</v>
      </c>
      <c r="S379" s="3">
        <v>5</v>
      </c>
      <c r="T379" s="3">
        <v>5</v>
      </c>
      <c r="U379" s="3">
        <v>5</v>
      </c>
      <c r="V379" s="3">
        <v>4</v>
      </c>
      <c r="W379" s="3">
        <v>4</v>
      </c>
      <c r="X379" s="3">
        <v>3</v>
      </c>
      <c r="Y379" s="3">
        <v>4</v>
      </c>
      <c r="Z379" s="3">
        <v>5</v>
      </c>
      <c r="AA379" s="3">
        <v>4</v>
      </c>
      <c r="AB379" s="3">
        <v>4</v>
      </c>
      <c r="AC379" s="3">
        <v>2</v>
      </c>
      <c r="AD379" s="3">
        <v>4</v>
      </c>
      <c r="AE379" s="3">
        <v>4</v>
      </c>
      <c r="AF379" s="3">
        <v>4</v>
      </c>
      <c r="AG379" s="3">
        <v>4</v>
      </c>
      <c r="AH379" s="3">
        <v>3</v>
      </c>
      <c r="AI379" s="3">
        <v>5</v>
      </c>
      <c r="AJ379" s="3">
        <v>4</v>
      </c>
      <c r="AK379" s="3">
        <v>4</v>
      </c>
      <c r="AL379" s="3">
        <v>4</v>
      </c>
      <c r="AM379" s="3">
        <v>4</v>
      </c>
      <c r="AN379" s="3">
        <v>3</v>
      </c>
      <c r="AO379" s="3">
        <v>4</v>
      </c>
      <c r="AP379" s="3">
        <v>4</v>
      </c>
      <c r="AQ379" s="3">
        <v>3</v>
      </c>
      <c r="AR379" s="3">
        <v>3</v>
      </c>
      <c r="AS379" s="3">
        <v>2</v>
      </c>
      <c r="AT379" s="3">
        <v>3</v>
      </c>
      <c r="AU379" s="3">
        <v>4</v>
      </c>
      <c r="AV379" s="3">
        <v>4</v>
      </c>
      <c r="AW379" s="3">
        <v>5</v>
      </c>
      <c r="AX379" s="3">
        <v>5</v>
      </c>
      <c r="AY379" s="3">
        <v>4</v>
      </c>
      <c r="AZ379" s="3">
        <v>5</v>
      </c>
      <c r="BA379" s="3">
        <v>4</v>
      </c>
      <c r="BB379" s="3">
        <v>4</v>
      </c>
      <c r="BC379" s="3">
        <v>4</v>
      </c>
      <c r="BD379" s="3">
        <v>4</v>
      </c>
      <c r="BE379" s="3">
        <v>4</v>
      </c>
      <c r="BF379" s="3">
        <v>4</v>
      </c>
      <c r="BG379" s="3">
        <v>4</v>
      </c>
      <c r="BH379" s="3">
        <v>4</v>
      </c>
      <c r="BI379" s="3">
        <v>4</v>
      </c>
      <c r="BJ379" s="3">
        <v>4</v>
      </c>
      <c r="BK379" s="3">
        <v>4</v>
      </c>
      <c r="BL379" s="3">
        <v>4</v>
      </c>
      <c r="BM379" s="3">
        <v>4</v>
      </c>
      <c r="BN379" s="3">
        <v>4</v>
      </c>
      <c r="BO379" s="3">
        <v>4</v>
      </c>
      <c r="BP379" s="3" t="s">
        <v>1025</v>
      </c>
    </row>
    <row r="380" spans="1:68" ht="22.5" customHeight="1" x14ac:dyDescent="0.25">
      <c r="A380" s="2">
        <v>45986.679847557869</v>
      </c>
      <c r="B380" s="3" t="s">
        <v>1026</v>
      </c>
      <c r="C380" s="3" t="s">
        <v>86</v>
      </c>
      <c r="D380" s="3" t="s">
        <v>1027</v>
      </c>
      <c r="E380" s="3" t="s">
        <v>77</v>
      </c>
      <c r="F380" s="3" t="s">
        <v>88</v>
      </c>
      <c r="G380" s="3" t="s">
        <v>79</v>
      </c>
      <c r="H380" s="3">
        <v>4</v>
      </c>
      <c r="I380" s="3">
        <v>3</v>
      </c>
      <c r="J380" s="3">
        <v>3</v>
      </c>
      <c r="K380" s="3">
        <v>4</v>
      </c>
      <c r="L380" s="3">
        <v>4</v>
      </c>
      <c r="M380" s="3">
        <v>2</v>
      </c>
      <c r="N380" s="3">
        <v>3</v>
      </c>
      <c r="O380" s="3">
        <v>4</v>
      </c>
      <c r="P380" s="3">
        <v>4</v>
      </c>
      <c r="Q380" s="3">
        <v>4</v>
      </c>
      <c r="R380" s="3">
        <v>3</v>
      </c>
      <c r="S380" s="3">
        <v>4</v>
      </c>
      <c r="T380" s="3">
        <v>3</v>
      </c>
      <c r="U380" s="3">
        <v>3</v>
      </c>
      <c r="V380" s="3">
        <v>4</v>
      </c>
      <c r="W380" s="3">
        <v>4</v>
      </c>
      <c r="X380" s="3">
        <v>2</v>
      </c>
      <c r="Y380" s="3">
        <v>3</v>
      </c>
      <c r="Z380" s="3">
        <v>4</v>
      </c>
      <c r="AA380" s="3">
        <v>2</v>
      </c>
      <c r="AB380" s="3">
        <v>3</v>
      </c>
      <c r="AC380" s="3">
        <v>2</v>
      </c>
      <c r="AD380" s="3">
        <v>4</v>
      </c>
      <c r="AE380" s="3">
        <v>4</v>
      </c>
      <c r="AF380" s="3">
        <v>3</v>
      </c>
      <c r="AG380" s="3">
        <v>4</v>
      </c>
      <c r="AH380" s="3">
        <v>4</v>
      </c>
      <c r="AI380" s="3">
        <v>5</v>
      </c>
      <c r="AJ380" s="3">
        <v>5</v>
      </c>
      <c r="AK380" s="3">
        <v>5</v>
      </c>
      <c r="AL380" s="3">
        <v>5</v>
      </c>
      <c r="AM380" s="3">
        <v>5</v>
      </c>
      <c r="AN380" s="3">
        <v>5</v>
      </c>
      <c r="AO380" s="3">
        <v>5</v>
      </c>
      <c r="AP380" s="3">
        <v>5</v>
      </c>
      <c r="AQ380" s="3">
        <v>4</v>
      </c>
      <c r="AR380" s="3">
        <v>5</v>
      </c>
      <c r="AS380" s="3">
        <v>5</v>
      </c>
      <c r="AT380" s="3">
        <v>5</v>
      </c>
      <c r="AU380" s="3">
        <v>5</v>
      </c>
      <c r="AV380" s="3">
        <v>5</v>
      </c>
      <c r="AW380" s="3">
        <v>4</v>
      </c>
      <c r="AX380" s="3">
        <v>4</v>
      </c>
      <c r="AY380" s="3">
        <v>4</v>
      </c>
      <c r="AZ380" s="3">
        <v>4</v>
      </c>
      <c r="BA380" s="3">
        <v>4</v>
      </c>
      <c r="BB380" s="3">
        <v>3</v>
      </c>
      <c r="BC380" s="3">
        <v>4</v>
      </c>
      <c r="BD380" s="3">
        <v>4</v>
      </c>
      <c r="BE380" s="3">
        <v>3</v>
      </c>
      <c r="BF380" s="3">
        <v>4</v>
      </c>
      <c r="BG380" s="3">
        <v>4</v>
      </c>
      <c r="BH380" s="3">
        <v>4</v>
      </c>
      <c r="BI380" s="3">
        <v>3</v>
      </c>
      <c r="BJ380" s="3">
        <v>4</v>
      </c>
      <c r="BK380" s="3">
        <v>4</v>
      </c>
      <c r="BL380" s="3">
        <v>4</v>
      </c>
      <c r="BM380" s="3">
        <v>4</v>
      </c>
      <c r="BN380" s="3">
        <v>4</v>
      </c>
      <c r="BO380" s="3">
        <v>3</v>
      </c>
      <c r="BP380" s="3" t="s">
        <v>1028</v>
      </c>
    </row>
    <row r="381" spans="1:68" ht="22.5" customHeight="1" x14ac:dyDescent="0.25">
      <c r="A381" s="2">
        <v>45986.684568750003</v>
      </c>
      <c r="B381" s="3" t="s">
        <v>1029</v>
      </c>
      <c r="C381" s="3" t="s">
        <v>69</v>
      </c>
      <c r="D381" s="3" t="s">
        <v>466</v>
      </c>
      <c r="E381" s="3" t="s">
        <v>77</v>
      </c>
      <c r="F381" s="3" t="s">
        <v>88</v>
      </c>
      <c r="G381" s="3" t="s">
        <v>79</v>
      </c>
      <c r="H381" s="3">
        <v>4</v>
      </c>
      <c r="I381" s="3">
        <v>4</v>
      </c>
      <c r="J381" s="3">
        <v>5</v>
      </c>
      <c r="K381" s="3">
        <v>4</v>
      </c>
      <c r="L381" s="3">
        <v>4</v>
      </c>
      <c r="M381" s="3">
        <v>4</v>
      </c>
      <c r="N381" s="3">
        <v>4</v>
      </c>
      <c r="O381" s="3">
        <v>5</v>
      </c>
      <c r="P381" s="3">
        <v>5</v>
      </c>
      <c r="Q381" s="3">
        <v>4</v>
      </c>
      <c r="R381" s="3">
        <v>4</v>
      </c>
      <c r="S381" s="3">
        <v>4</v>
      </c>
      <c r="T381" s="3">
        <v>5</v>
      </c>
      <c r="U381" s="3">
        <v>4</v>
      </c>
      <c r="V381" s="3">
        <v>4</v>
      </c>
      <c r="W381" s="3">
        <v>5</v>
      </c>
      <c r="X381" s="3">
        <v>4</v>
      </c>
      <c r="Y381" s="3">
        <v>4</v>
      </c>
      <c r="Z381" s="3">
        <v>4</v>
      </c>
      <c r="AA381" s="3">
        <v>4</v>
      </c>
      <c r="AB381" s="3">
        <v>5</v>
      </c>
      <c r="AC381" s="3">
        <v>4</v>
      </c>
      <c r="AD381" s="3">
        <v>4</v>
      </c>
      <c r="AE381" s="3">
        <v>4</v>
      </c>
      <c r="AF381" s="3">
        <v>5</v>
      </c>
      <c r="AG381" s="3">
        <v>5</v>
      </c>
      <c r="AH381" s="3">
        <v>5</v>
      </c>
      <c r="AI381" s="3">
        <v>5</v>
      </c>
      <c r="AJ381" s="3">
        <v>5</v>
      </c>
      <c r="AK381" s="3">
        <v>5</v>
      </c>
      <c r="AL381" s="3">
        <v>4</v>
      </c>
      <c r="AM381" s="3">
        <v>5</v>
      </c>
      <c r="AN381" s="3">
        <v>4</v>
      </c>
      <c r="AO381" s="3">
        <v>4</v>
      </c>
      <c r="AP381" s="3">
        <v>4</v>
      </c>
      <c r="AQ381" s="3">
        <v>4</v>
      </c>
      <c r="AR381" s="3">
        <v>4</v>
      </c>
      <c r="AS381" s="3">
        <v>4</v>
      </c>
      <c r="AT381" s="3">
        <v>5</v>
      </c>
      <c r="AU381" s="3">
        <v>4</v>
      </c>
      <c r="AV381" s="3">
        <v>5</v>
      </c>
      <c r="AW381" s="3">
        <v>5</v>
      </c>
      <c r="AX381" s="3">
        <v>5</v>
      </c>
      <c r="AY381" s="3">
        <v>5</v>
      </c>
      <c r="AZ381" s="3">
        <v>5</v>
      </c>
      <c r="BA381" s="3">
        <v>4</v>
      </c>
      <c r="BB381" s="3">
        <v>4</v>
      </c>
      <c r="BC381" s="3">
        <v>4</v>
      </c>
      <c r="BD381" s="3">
        <v>4</v>
      </c>
      <c r="BE381" s="3">
        <v>4</v>
      </c>
      <c r="BF381" s="3">
        <v>4</v>
      </c>
      <c r="BG381" s="3">
        <v>4</v>
      </c>
      <c r="BH381" s="3">
        <v>4</v>
      </c>
      <c r="BI381" s="3">
        <v>4</v>
      </c>
      <c r="BJ381" s="3">
        <v>4</v>
      </c>
      <c r="BK381" s="3">
        <v>5</v>
      </c>
      <c r="BL381" s="3">
        <v>4</v>
      </c>
      <c r="BM381" s="3">
        <v>5</v>
      </c>
      <c r="BN381" s="3">
        <v>5</v>
      </c>
      <c r="BO381" s="3">
        <v>5</v>
      </c>
      <c r="BP381" s="3" t="s">
        <v>1030</v>
      </c>
    </row>
    <row r="382" spans="1:68" ht="22.5" customHeight="1" x14ac:dyDescent="0.25">
      <c r="A382" s="2">
        <v>45986.68919488426</v>
      </c>
      <c r="B382" s="3" t="s">
        <v>1031</v>
      </c>
      <c r="C382" s="3" t="s">
        <v>86</v>
      </c>
      <c r="D382" s="3" t="s">
        <v>1032</v>
      </c>
      <c r="E382" s="3" t="s">
        <v>87</v>
      </c>
      <c r="F382" s="3" t="s">
        <v>82</v>
      </c>
      <c r="G382" s="3" t="s">
        <v>83</v>
      </c>
      <c r="H382" s="3">
        <v>5</v>
      </c>
      <c r="I382" s="3">
        <v>4</v>
      </c>
      <c r="J382" s="3">
        <v>4</v>
      </c>
      <c r="K382" s="3">
        <v>4</v>
      </c>
      <c r="L382" s="3">
        <v>4</v>
      </c>
      <c r="M382" s="3">
        <v>5</v>
      </c>
      <c r="N382" s="3">
        <v>5</v>
      </c>
      <c r="O382" s="3">
        <v>5</v>
      </c>
      <c r="P382" s="3">
        <v>5</v>
      </c>
      <c r="Q382" s="3">
        <v>4</v>
      </c>
      <c r="R382" s="3">
        <v>4</v>
      </c>
      <c r="S382" s="3">
        <v>4</v>
      </c>
      <c r="T382" s="3">
        <v>5</v>
      </c>
      <c r="U382" s="3">
        <v>5</v>
      </c>
      <c r="V382" s="3">
        <v>4</v>
      </c>
      <c r="W382" s="3">
        <v>4</v>
      </c>
      <c r="X382" s="3">
        <v>4</v>
      </c>
      <c r="Y382" s="3">
        <v>4</v>
      </c>
      <c r="Z382" s="3">
        <v>5</v>
      </c>
      <c r="AA382" s="3">
        <v>4</v>
      </c>
      <c r="AB382" s="3">
        <v>4</v>
      </c>
      <c r="AC382" s="3">
        <v>2</v>
      </c>
      <c r="AD382" s="3">
        <v>4</v>
      </c>
      <c r="AE382" s="3">
        <v>5</v>
      </c>
      <c r="AF382" s="3">
        <v>5</v>
      </c>
      <c r="AG382" s="3">
        <v>5</v>
      </c>
      <c r="AH382" s="3">
        <v>4</v>
      </c>
      <c r="AI382" s="3">
        <v>4</v>
      </c>
      <c r="AJ382" s="3">
        <v>4</v>
      </c>
      <c r="AK382" s="3">
        <v>4</v>
      </c>
      <c r="AL382" s="3">
        <v>4</v>
      </c>
      <c r="AM382" s="3">
        <v>4</v>
      </c>
      <c r="AN382" s="3">
        <v>3</v>
      </c>
      <c r="AO382" s="3">
        <v>4</v>
      </c>
      <c r="AP382" s="3">
        <v>4</v>
      </c>
      <c r="AQ382" s="3">
        <v>3</v>
      </c>
      <c r="AR382" s="3">
        <v>3</v>
      </c>
      <c r="AS382" s="3">
        <v>2</v>
      </c>
      <c r="AT382" s="3">
        <v>4</v>
      </c>
      <c r="AU382" s="3">
        <v>4</v>
      </c>
      <c r="AV382" s="3">
        <v>4</v>
      </c>
      <c r="AW382" s="3">
        <v>4</v>
      </c>
      <c r="AX382" s="3">
        <v>5</v>
      </c>
      <c r="AY382" s="3">
        <v>5</v>
      </c>
      <c r="AZ382" s="3">
        <v>5</v>
      </c>
      <c r="BA382" s="3">
        <v>4</v>
      </c>
      <c r="BB382" s="3">
        <v>4</v>
      </c>
      <c r="BC382" s="3">
        <v>4</v>
      </c>
      <c r="BD382" s="3">
        <v>4</v>
      </c>
      <c r="BE382" s="3">
        <v>4</v>
      </c>
      <c r="BF382" s="3">
        <v>3</v>
      </c>
      <c r="BG382" s="3">
        <v>4</v>
      </c>
      <c r="BH382" s="3">
        <v>5</v>
      </c>
      <c r="BI382" s="3">
        <v>5</v>
      </c>
      <c r="BJ382" s="3">
        <v>5</v>
      </c>
      <c r="BK382" s="3">
        <v>5</v>
      </c>
      <c r="BL382" s="3">
        <v>5</v>
      </c>
      <c r="BM382" s="3">
        <v>5</v>
      </c>
      <c r="BN382" s="3">
        <v>4</v>
      </c>
      <c r="BO382" s="3">
        <v>5</v>
      </c>
      <c r="BP382" s="3" t="s">
        <v>1033</v>
      </c>
    </row>
    <row r="383" spans="1:68" ht="22.5" customHeight="1" x14ac:dyDescent="0.25">
      <c r="A383" s="2">
        <v>45986.693637418983</v>
      </c>
      <c r="B383" s="3" t="s">
        <v>1034</v>
      </c>
      <c r="C383" s="3" t="s">
        <v>86</v>
      </c>
      <c r="D383" s="3" t="s">
        <v>1013</v>
      </c>
      <c r="E383" s="3" t="s">
        <v>77</v>
      </c>
      <c r="F383" s="3" t="s">
        <v>78</v>
      </c>
      <c r="G383" s="3" t="s">
        <v>79</v>
      </c>
      <c r="H383" s="3">
        <v>3</v>
      </c>
      <c r="I383" s="3">
        <v>4</v>
      </c>
      <c r="J383" s="3">
        <v>3</v>
      </c>
      <c r="K383" s="3">
        <v>3</v>
      </c>
      <c r="L383" s="3">
        <v>4</v>
      </c>
      <c r="M383" s="3">
        <v>5</v>
      </c>
      <c r="N383" s="3">
        <v>4</v>
      </c>
      <c r="O383" s="3">
        <v>4</v>
      </c>
      <c r="P383" s="3">
        <v>4</v>
      </c>
      <c r="Q383" s="3">
        <v>4</v>
      </c>
      <c r="R383" s="3">
        <v>5</v>
      </c>
      <c r="S383" s="3">
        <v>5</v>
      </c>
      <c r="T383" s="3">
        <v>4</v>
      </c>
      <c r="U383" s="3">
        <v>5</v>
      </c>
      <c r="V383" s="3">
        <v>4</v>
      </c>
      <c r="W383" s="3">
        <v>5</v>
      </c>
      <c r="X383" s="3">
        <v>5</v>
      </c>
      <c r="Y383" s="3">
        <v>5</v>
      </c>
      <c r="Z383" s="3">
        <v>5</v>
      </c>
      <c r="AA383" s="3">
        <v>5</v>
      </c>
      <c r="AB383" s="3">
        <v>5</v>
      </c>
      <c r="AC383" s="3">
        <v>5</v>
      </c>
      <c r="AD383" s="3">
        <v>5</v>
      </c>
      <c r="AE383" s="3">
        <v>5</v>
      </c>
      <c r="AF383" s="3">
        <v>5</v>
      </c>
      <c r="AG383" s="3">
        <v>5</v>
      </c>
      <c r="AH383" s="3">
        <v>5</v>
      </c>
      <c r="AI383" s="3">
        <v>5</v>
      </c>
      <c r="AJ383" s="3">
        <v>5</v>
      </c>
      <c r="AK383" s="3">
        <v>5</v>
      </c>
      <c r="AL383" s="3">
        <v>5</v>
      </c>
      <c r="AM383" s="3">
        <v>5</v>
      </c>
      <c r="AN383" s="3">
        <v>5</v>
      </c>
      <c r="AO383" s="3">
        <v>5</v>
      </c>
      <c r="AP383" s="3">
        <v>5</v>
      </c>
      <c r="AQ383" s="3">
        <v>5</v>
      </c>
      <c r="AR383" s="3">
        <v>5</v>
      </c>
      <c r="AS383" s="3">
        <v>5</v>
      </c>
      <c r="AT383" s="3">
        <v>5</v>
      </c>
      <c r="AU383" s="3">
        <v>5</v>
      </c>
      <c r="AV383" s="3">
        <v>5</v>
      </c>
      <c r="AW383" s="3">
        <v>5</v>
      </c>
      <c r="AX383" s="3">
        <v>5</v>
      </c>
      <c r="AY383" s="3">
        <v>5</v>
      </c>
      <c r="AZ383" s="3">
        <v>5</v>
      </c>
      <c r="BA383" s="3">
        <v>5</v>
      </c>
      <c r="BB383" s="3">
        <v>5</v>
      </c>
      <c r="BC383" s="3">
        <v>5</v>
      </c>
      <c r="BD383" s="3">
        <v>4</v>
      </c>
      <c r="BE383" s="3">
        <v>4</v>
      </c>
      <c r="BF383" s="3">
        <v>4</v>
      </c>
      <c r="BG383" s="3">
        <v>5</v>
      </c>
      <c r="BH383" s="3">
        <v>5</v>
      </c>
      <c r="BI383" s="3">
        <v>5</v>
      </c>
      <c r="BJ383" s="3">
        <v>5</v>
      </c>
      <c r="BK383" s="3">
        <v>5</v>
      </c>
      <c r="BL383" s="3">
        <v>5</v>
      </c>
      <c r="BM383" s="3">
        <v>5</v>
      </c>
      <c r="BN383" s="3">
        <v>5</v>
      </c>
      <c r="BO383" s="3">
        <v>5</v>
      </c>
      <c r="BP383" s="3" t="s">
        <v>1035</v>
      </c>
    </row>
    <row r="384" spans="1:68" ht="22.5" customHeight="1" x14ac:dyDescent="0.25">
      <c r="A384" s="2">
        <v>45986.694868958337</v>
      </c>
      <c r="B384" s="3" t="s">
        <v>1036</v>
      </c>
      <c r="C384" s="3" t="s">
        <v>86</v>
      </c>
      <c r="D384" s="3" t="s">
        <v>1037</v>
      </c>
      <c r="E384" s="3" t="s">
        <v>77</v>
      </c>
      <c r="F384" s="3" t="s">
        <v>78</v>
      </c>
      <c r="G384" s="3" t="s">
        <v>79</v>
      </c>
      <c r="H384" s="3">
        <v>5</v>
      </c>
      <c r="I384" s="3">
        <v>5</v>
      </c>
      <c r="J384" s="3">
        <v>5</v>
      </c>
      <c r="K384" s="3">
        <v>5</v>
      </c>
      <c r="L384" s="3">
        <v>5</v>
      </c>
      <c r="M384" s="3">
        <v>5</v>
      </c>
      <c r="N384" s="3">
        <v>5</v>
      </c>
      <c r="O384" s="3">
        <v>5</v>
      </c>
      <c r="P384" s="3">
        <v>5</v>
      </c>
      <c r="Q384" s="3">
        <v>5</v>
      </c>
      <c r="R384" s="3">
        <v>5</v>
      </c>
      <c r="S384" s="3">
        <v>5</v>
      </c>
      <c r="T384" s="3">
        <v>5</v>
      </c>
      <c r="U384" s="3">
        <v>5</v>
      </c>
      <c r="V384" s="3">
        <v>5</v>
      </c>
      <c r="W384" s="3">
        <v>5</v>
      </c>
      <c r="X384" s="3">
        <v>5</v>
      </c>
      <c r="Y384" s="3">
        <v>3</v>
      </c>
      <c r="Z384" s="3">
        <v>4</v>
      </c>
      <c r="AA384" s="3">
        <v>3</v>
      </c>
      <c r="AB384" s="3">
        <v>3</v>
      </c>
      <c r="AC384" s="3">
        <v>3</v>
      </c>
      <c r="AD384" s="3">
        <v>3</v>
      </c>
      <c r="AE384" s="3">
        <v>4</v>
      </c>
      <c r="AF384" s="3">
        <v>3</v>
      </c>
      <c r="AG384" s="3">
        <v>4</v>
      </c>
      <c r="AH384" s="3">
        <v>5</v>
      </c>
      <c r="AI384" s="3">
        <v>5</v>
      </c>
      <c r="AJ384" s="3">
        <v>5</v>
      </c>
      <c r="AK384" s="3">
        <v>5</v>
      </c>
      <c r="AL384" s="3">
        <v>5</v>
      </c>
      <c r="AM384" s="3">
        <v>5</v>
      </c>
      <c r="AN384" s="3">
        <v>5</v>
      </c>
      <c r="AO384" s="3">
        <v>5</v>
      </c>
      <c r="AP384" s="3">
        <v>4</v>
      </c>
      <c r="AQ384" s="3">
        <v>3</v>
      </c>
      <c r="AR384" s="3">
        <v>5</v>
      </c>
      <c r="AS384" s="3">
        <v>4</v>
      </c>
      <c r="AT384" s="3">
        <v>4</v>
      </c>
      <c r="AU384" s="3">
        <v>5</v>
      </c>
      <c r="AV384" s="3">
        <v>5</v>
      </c>
      <c r="AW384" s="3">
        <v>5</v>
      </c>
      <c r="AX384" s="3">
        <v>5</v>
      </c>
      <c r="AY384" s="3">
        <v>5</v>
      </c>
      <c r="AZ384" s="3">
        <v>5</v>
      </c>
      <c r="BA384" s="3">
        <v>4</v>
      </c>
      <c r="BB384" s="3">
        <v>5</v>
      </c>
      <c r="BC384" s="3">
        <v>4</v>
      </c>
      <c r="BD384" s="3">
        <v>4</v>
      </c>
      <c r="BE384" s="3">
        <v>5</v>
      </c>
      <c r="BF384" s="3">
        <v>5</v>
      </c>
      <c r="BG384" s="3">
        <v>5</v>
      </c>
      <c r="BH384" s="3">
        <v>5</v>
      </c>
      <c r="BI384" s="3">
        <v>5</v>
      </c>
      <c r="BJ384" s="3">
        <v>5</v>
      </c>
      <c r="BK384" s="3">
        <v>5</v>
      </c>
      <c r="BL384" s="3">
        <v>5</v>
      </c>
      <c r="BM384" s="3">
        <v>5</v>
      </c>
      <c r="BN384" s="3">
        <v>5</v>
      </c>
      <c r="BO384" s="3">
        <v>5</v>
      </c>
      <c r="BP384" s="3" t="s">
        <v>1038</v>
      </c>
    </row>
    <row r="385" spans="1:68" ht="22.5" customHeight="1" x14ac:dyDescent="0.25">
      <c r="A385" s="2">
        <v>45986.694872129628</v>
      </c>
      <c r="B385" s="3" t="s">
        <v>1039</v>
      </c>
      <c r="C385" s="3" t="s">
        <v>86</v>
      </c>
      <c r="D385" s="3" t="s">
        <v>1040</v>
      </c>
      <c r="E385" s="3" t="s">
        <v>77</v>
      </c>
      <c r="F385" s="3" t="s">
        <v>78</v>
      </c>
      <c r="G385" s="3" t="s">
        <v>79</v>
      </c>
      <c r="H385" s="3">
        <v>5</v>
      </c>
      <c r="I385" s="3">
        <v>5</v>
      </c>
      <c r="J385" s="3">
        <v>5</v>
      </c>
      <c r="K385" s="3">
        <v>5</v>
      </c>
      <c r="L385" s="3">
        <v>5</v>
      </c>
      <c r="M385" s="3">
        <v>5</v>
      </c>
      <c r="N385" s="3">
        <v>5</v>
      </c>
      <c r="O385" s="3">
        <v>5</v>
      </c>
      <c r="P385" s="3">
        <v>5</v>
      </c>
      <c r="Q385" s="3">
        <v>5</v>
      </c>
      <c r="R385" s="3">
        <v>5</v>
      </c>
      <c r="S385" s="3">
        <v>5</v>
      </c>
      <c r="T385" s="3">
        <v>5</v>
      </c>
      <c r="U385" s="3">
        <v>5</v>
      </c>
      <c r="V385" s="3">
        <v>5</v>
      </c>
      <c r="W385" s="3">
        <v>5</v>
      </c>
      <c r="X385" s="3">
        <v>5</v>
      </c>
      <c r="Y385" s="3">
        <v>5</v>
      </c>
      <c r="Z385" s="3">
        <v>5</v>
      </c>
      <c r="AA385" s="3">
        <v>5</v>
      </c>
      <c r="AB385" s="3">
        <v>5</v>
      </c>
      <c r="AC385" s="3">
        <v>5</v>
      </c>
      <c r="AD385" s="3">
        <v>5</v>
      </c>
      <c r="AE385" s="3">
        <v>5</v>
      </c>
      <c r="AF385" s="3">
        <v>5</v>
      </c>
      <c r="AG385" s="3">
        <v>5</v>
      </c>
      <c r="AH385" s="3">
        <v>5</v>
      </c>
      <c r="AI385" s="3">
        <v>5</v>
      </c>
      <c r="AJ385" s="3">
        <v>5</v>
      </c>
      <c r="AK385" s="3">
        <v>5</v>
      </c>
      <c r="AL385" s="3">
        <v>5</v>
      </c>
      <c r="AM385" s="3">
        <v>5</v>
      </c>
      <c r="AN385" s="3">
        <v>5</v>
      </c>
      <c r="AO385" s="3">
        <v>5</v>
      </c>
      <c r="AP385" s="3">
        <v>5</v>
      </c>
      <c r="AQ385" s="3">
        <v>5</v>
      </c>
      <c r="AR385" s="3">
        <v>5</v>
      </c>
      <c r="AS385" s="3">
        <v>5</v>
      </c>
      <c r="AT385" s="3">
        <v>5</v>
      </c>
      <c r="AU385" s="3">
        <v>5</v>
      </c>
      <c r="AV385" s="3">
        <v>5</v>
      </c>
      <c r="AW385" s="3">
        <v>5</v>
      </c>
      <c r="AX385" s="3">
        <v>5</v>
      </c>
      <c r="AY385" s="3">
        <v>5</v>
      </c>
      <c r="AZ385" s="3">
        <v>5</v>
      </c>
      <c r="BA385" s="3">
        <v>5</v>
      </c>
      <c r="BB385" s="3">
        <v>5</v>
      </c>
      <c r="BC385" s="3">
        <v>5</v>
      </c>
      <c r="BD385" s="3">
        <v>5</v>
      </c>
      <c r="BE385" s="3">
        <v>5</v>
      </c>
      <c r="BF385" s="3">
        <v>5</v>
      </c>
      <c r="BG385" s="3">
        <v>5</v>
      </c>
      <c r="BH385" s="3">
        <v>5</v>
      </c>
      <c r="BI385" s="3">
        <v>5</v>
      </c>
      <c r="BJ385" s="3">
        <v>5</v>
      </c>
      <c r="BK385" s="3">
        <v>5</v>
      </c>
      <c r="BL385" s="3">
        <v>5</v>
      </c>
      <c r="BM385" s="3">
        <v>5</v>
      </c>
      <c r="BN385" s="3">
        <v>5</v>
      </c>
      <c r="BO385" s="3">
        <v>5</v>
      </c>
      <c r="BP385" s="3" t="s">
        <v>1041</v>
      </c>
    </row>
    <row r="386" spans="1:68" ht="22.5" customHeight="1" x14ac:dyDescent="0.25">
      <c r="A386" s="2">
        <v>45986.69489726852</v>
      </c>
      <c r="B386" s="3" t="s">
        <v>1042</v>
      </c>
      <c r="C386" s="3" t="s">
        <v>86</v>
      </c>
      <c r="D386" s="3" t="s">
        <v>1043</v>
      </c>
      <c r="E386" s="3" t="s">
        <v>77</v>
      </c>
      <c r="F386" s="3" t="s">
        <v>78</v>
      </c>
      <c r="G386" s="3" t="s">
        <v>79</v>
      </c>
      <c r="H386" s="3">
        <v>5</v>
      </c>
      <c r="I386" s="3">
        <v>5</v>
      </c>
      <c r="J386" s="3">
        <v>5</v>
      </c>
      <c r="K386" s="3">
        <v>5</v>
      </c>
      <c r="L386" s="3">
        <v>5</v>
      </c>
      <c r="M386" s="3">
        <v>5</v>
      </c>
      <c r="N386" s="3">
        <v>5</v>
      </c>
      <c r="O386" s="3">
        <v>5</v>
      </c>
      <c r="P386" s="3">
        <v>5</v>
      </c>
      <c r="Q386" s="3">
        <v>5</v>
      </c>
      <c r="R386" s="3">
        <v>5</v>
      </c>
      <c r="S386" s="3">
        <v>5</v>
      </c>
      <c r="T386" s="3">
        <v>5</v>
      </c>
      <c r="U386" s="3">
        <v>5</v>
      </c>
      <c r="V386" s="3">
        <v>5</v>
      </c>
      <c r="W386" s="3">
        <v>5</v>
      </c>
      <c r="X386" s="3">
        <v>5</v>
      </c>
      <c r="Y386" s="3">
        <v>5</v>
      </c>
      <c r="Z386" s="3">
        <v>5</v>
      </c>
      <c r="AA386" s="3">
        <v>5</v>
      </c>
      <c r="AB386" s="3">
        <v>5</v>
      </c>
      <c r="AC386" s="3">
        <v>5</v>
      </c>
      <c r="AD386" s="3">
        <v>5</v>
      </c>
      <c r="AE386" s="3">
        <v>5</v>
      </c>
      <c r="AF386" s="3">
        <v>5</v>
      </c>
      <c r="AG386" s="3">
        <v>5</v>
      </c>
      <c r="AH386" s="3">
        <v>5</v>
      </c>
      <c r="AI386" s="3">
        <v>5</v>
      </c>
      <c r="AJ386" s="3">
        <v>5</v>
      </c>
      <c r="AK386" s="3">
        <v>5</v>
      </c>
      <c r="AL386" s="3">
        <v>5</v>
      </c>
      <c r="AM386" s="3">
        <v>5</v>
      </c>
      <c r="AN386" s="3">
        <v>5</v>
      </c>
      <c r="AO386" s="3">
        <v>5</v>
      </c>
      <c r="AP386" s="3">
        <v>5</v>
      </c>
      <c r="AQ386" s="3">
        <v>5</v>
      </c>
      <c r="AR386" s="3">
        <v>5</v>
      </c>
      <c r="AS386" s="3">
        <v>5</v>
      </c>
      <c r="AT386" s="3">
        <v>5</v>
      </c>
      <c r="AU386" s="3">
        <v>5</v>
      </c>
      <c r="AV386" s="3">
        <v>5</v>
      </c>
      <c r="AW386" s="3">
        <v>5</v>
      </c>
      <c r="AX386" s="3">
        <v>5</v>
      </c>
      <c r="AY386" s="3">
        <v>5</v>
      </c>
      <c r="AZ386" s="3">
        <v>5</v>
      </c>
      <c r="BA386" s="3">
        <v>5</v>
      </c>
      <c r="BB386" s="3">
        <v>5</v>
      </c>
      <c r="BC386" s="3">
        <v>5</v>
      </c>
      <c r="BD386" s="3">
        <v>5</v>
      </c>
      <c r="BE386" s="3">
        <v>5</v>
      </c>
      <c r="BF386" s="3">
        <v>5</v>
      </c>
      <c r="BG386" s="3">
        <v>5</v>
      </c>
      <c r="BH386" s="3">
        <v>5</v>
      </c>
      <c r="BI386" s="3">
        <v>5</v>
      </c>
      <c r="BJ386" s="3">
        <v>5</v>
      </c>
      <c r="BK386" s="3">
        <v>5</v>
      </c>
      <c r="BL386" s="3">
        <v>5</v>
      </c>
      <c r="BM386" s="3">
        <v>5</v>
      </c>
      <c r="BN386" s="3">
        <v>5</v>
      </c>
      <c r="BO386" s="3">
        <v>5</v>
      </c>
      <c r="BP386" s="3" t="s">
        <v>1044</v>
      </c>
    </row>
    <row r="387" spans="1:68" ht="22.5" customHeight="1" x14ac:dyDescent="0.25">
      <c r="A387" s="2">
        <v>45986.695316655096</v>
      </c>
      <c r="B387" s="3" t="s">
        <v>1045</v>
      </c>
      <c r="C387" s="3" t="s">
        <v>86</v>
      </c>
      <c r="D387" s="3" t="s">
        <v>1013</v>
      </c>
      <c r="E387" s="3" t="s">
        <v>77</v>
      </c>
      <c r="F387" s="3" t="s">
        <v>78</v>
      </c>
      <c r="G387" s="3" t="s">
        <v>79</v>
      </c>
      <c r="H387" s="3">
        <v>5</v>
      </c>
      <c r="I387" s="3">
        <v>5</v>
      </c>
      <c r="J387" s="3">
        <v>5</v>
      </c>
      <c r="K387" s="3">
        <v>5</v>
      </c>
      <c r="L387" s="3">
        <v>5</v>
      </c>
      <c r="M387" s="3">
        <v>5</v>
      </c>
      <c r="N387" s="3">
        <v>4</v>
      </c>
      <c r="O387" s="3">
        <v>4</v>
      </c>
      <c r="P387" s="3">
        <v>5</v>
      </c>
      <c r="Q387" s="3">
        <v>4</v>
      </c>
      <c r="R387" s="3">
        <v>5</v>
      </c>
      <c r="S387" s="3">
        <v>5</v>
      </c>
      <c r="T387" s="3">
        <v>3</v>
      </c>
      <c r="U387" s="3">
        <v>4</v>
      </c>
      <c r="V387" s="3">
        <v>3</v>
      </c>
      <c r="W387" s="3">
        <v>4</v>
      </c>
      <c r="X387" s="3">
        <v>4</v>
      </c>
      <c r="Y387" s="3">
        <v>5</v>
      </c>
      <c r="Z387" s="3">
        <v>4</v>
      </c>
      <c r="AA387" s="3">
        <v>5</v>
      </c>
      <c r="AB387" s="3">
        <v>4</v>
      </c>
      <c r="AC387" s="3">
        <v>5</v>
      </c>
      <c r="AD387" s="3">
        <v>5</v>
      </c>
      <c r="AE387" s="3">
        <v>4</v>
      </c>
      <c r="AF387" s="3">
        <v>4</v>
      </c>
      <c r="AG387" s="3">
        <v>4</v>
      </c>
      <c r="AH387" s="3">
        <v>5</v>
      </c>
      <c r="AI387" s="3">
        <v>5</v>
      </c>
      <c r="AJ387" s="3">
        <v>5</v>
      </c>
      <c r="AK387" s="3">
        <v>5</v>
      </c>
      <c r="AL387" s="3">
        <v>5</v>
      </c>
      <c r="AM387" s="3">
        <v>4</v>
      </c>
      <c r="AN387" s="3">
        <v>5</v>
      </c>
      <c r="AO387" s="3">
        <v>5</v>
      </c>
      <c r="AP387" s="3">
        <v>4</v>
      </c>
      <c r="AQ387" s="3">
        <v>4</v>
      </c>
      <c r="AR387" s="3">
        <v>5</v>
      </c>
      <c r="AS387" s="3">
        <v>5</v>
      </c>
      <c r="AT387" s="3">
        <v>4</v>
      </c>
      <c r="AU387" s="3">
        <v>5</v>
      </c>
      <c r="AV387" s="3">
        <v>5</v>
      </c>
      <c r="AW387" s="3">
        <v>5</v>
      </c>
      <c r="AX387" s="3">
        <v>5</v>
      </c>
      <c r="AY387" s="3">
        <v>4</v>
      </c>
      <c r="AZ387" s="3">
        <v>5</v>
      </c>
      <c r="BA387" s="3">
        <v>5</v>
      </c>
      <c r="BB387" s="3">
        <v>5</v>
      </c>
      <c r="BC387" s="3">
        <v>5</v>
      </c>
      <c r="BD387" s="3">
        <v>5</v>
      </c>
      <c r="BE387" s="3">
        <v>4</v>
      </c>
      <c r="BF387" s="3">
        <v>5</v>
      </c>
      <c r="BG387" s="3">
        <v>5</v>
      </c>
      <c r="BH387" s="3">
        <v>4</v>
      </c>
      <c r="BI387" s="3">
        <v>5</v>
      </c>
      <c r="BJ387" s="3">
        <v>4</v>
      </c>
      <c r="BK387" s="3">
        <v>5</v>
      </c>
      <c r="BL387" s="3">
        <v>4</v>
      </c>
      <c r="BM387" s="3">
        <v>4</v>
      </c>
      <c r="BN387" s="3">
        <v>5</v>
      </c>
      <c r="BO387" s="3">
        <v>4</v>
      </c>
      <c r="BP387" s="3" t="s">
        <v>1046</v>
      </c>
    </row>
    <row r="388" spans="1:68" ht="22.5" customHeight="1" x14ac:dyDescent="0.25">
      <c r="A388" s="2">
        <v>45986.695352731476</v>
      </c>
      <c r="B388" s="3" t="s">
        <v>1047</v>
      </c>
      <c r="C388" s="3" t="s">
        <v>86</v>
      </c>
      <c r="D388" s="3" t="s">
        <v>1048</v>
      </c>
      <c r="E388" s="3" t="s">
        <v>77</v>
      </c>
      <c r="F388" s="3" t="s">
        <v>78</v>
      </c>
      <c r="G388" s="3" t="s">
        <v>79</v>
      </c>
      <c r="H388" s="3">
        <v>5</v>
      </c>
      <c r="I388" s="3">
        <v>5</v>
      </c>
      <c r="J388" s="3">
        <v>5</v>
      </c>
      <c r="K388" s="3">
        <v>5</v>
      </c>
      <c r="L388" s="3">
        <v>5</v>
      </c>
      <c r="M388" s="3">
        <v>5</v>
      </c>
      <c r="N388" s="3">
        <v>5</v>
      </c>
      <c r="O388" s="3">
        <v>5</v>
      </c>
      <c r="P388" s="3">
        <v>5</v>
      </c>
      <c r="Q388" s="3">
        <v>5</v>
      </c>
      <c r="R388" s="3">
        <v>5</v>
      </c>
      <c r="S388" s="3">
        <v>5</v>
      </c>
      <c r="T388" s="3">
        <v>5</v>
      </c>
      <c r="U388" s="3">
        <v>5</v>
      </c>
      <c r="V388" s="3">
        <v>5</v>
      </c>
      <c r="W388" s="3">
        <v>5</v>
      </c>
      <c r="X388" s="3">
        <v>5</v>
      </c>
      <c r="Y388" s="3">
        <v>5</v>
      </c>
      <c r="Z388" s="3">
        <v>5</v>
      </c>
      <c r="AA388" s="3">
        <v>5</v>
      </c>
      <c r="AB388" s="3">
        <v>4</v>
      </c>
      <c r="AC388" s="3">
        <v>3</v>
      </c>
      <c r="AD388" s="3">
        <v>5</v>
      </c>
      <c r="AE388" s="3">
        <v>5</v>
      </c>
      <c r="AF388" s="3">
        <v>5</v>
      </c>
      <c r="AG388" s="3">
        <v>5</v>
      </c>
      <c r="AH388" s="3">
        <v>5</v>
      </c>
      <c r="AI388" s="3">
        <v>5</v>
      </c>
      <c r="AJ388" s="3">
        <v>5</v>
      </c>
      <c r="AK388" s="3">
        <v>5</v>
      </c>
      <c r="AL388" s="3">
        <v>5</v>
      </c>
      <c r="AM388" s="3">
        <v>5</v>
      </c>
      <c r="AN388" s="3">
        <v>5</v>
      </c>
      <c r="AO388" s="3">
        <v>5</v>
      </c>
      <c r="AP388" s="3">
        <v>5</v>
      </c>
      <c r="AQ388" s="3">
        <v>5</v>
      </c>
      <c r="AR388" s="3">
        <v>5</v>
      </c>
      <c r="AS388" s="3">
        <v>5</v>
      </c>
      <c r="AT388" s="3">
        <v>5</v>
      </c>
      <c r="AU388" s="3">
        <v>5</v>
      </c>
      <c r="AV388" s="3">
        <v>5</v>
      </c>
      <c r="AW388" s="3">
        <v>5</v>
      </c>
      <c r="AX388" s="3">
        <v>5</v>
      </c>
      <c r="AY388" s="3">
        <v>5</v>
      </c>
      <c r="AZ388" s="3">
        <v>5</v>
      </c>
      <c r="BA388" s="3">
        <v>4</v>
      </c>
      <c r="BB388" s="3">
        <v>4</v>
      </c>
      <c r="BC388" s="3">
        <v>3</v>
      </c>
      <c r="BD388" s="3">
        <v>3</v>
      </c>
      <c r="BE388" s="3">
        <v>3</v>
      </c>
      <c r="BF388" s="3">
        <v>1</v>
      </c>
      <c r="BG388" s="3">
        <v>5</v>
      </c>
      <c r="BH388" s="3">
        <v>5</v>
      </c>
      <c r="BI388" s="3">
        <v>5</v>
      </c>
      <c r="BJ388" s="3">
        <v>5</v>
      </c>
      <c r="BK388" s="3">
        <v>5</v>
      </c>
      <c r="BL388" s="3">
        <v>5</v>
      </c>
      <c r="BM388" s="3">
        <v>5</v>
      </c>
      <c r="BN388" s="3">
        <v>3</v>
      </c>
      <c r="BO388" s="3">
        <v>5</v>
      </c>
      <c r="BP388" s="3" t="s">
        <v>1049</v>
      </c>
    </row>
    <row r="389" spans="1:68" ht="22.5" customHeight="1" x14ac:dyDescent="0.25">
      <c r="A389" s="2">
        <v>45986.696021284719</v>
      </c>
      <c r="B389" s="3" t="s">
        <v>1050</v>
      </c>
      <c r="C389" s="3" t="s">
        <v>86</v>
      </c>
      <c r="D389" s="3" t="s">
        <v>1013</v>
      </c>
      <c r="E389" s="3" t="s">
        <v>77</v>
      </c>
      <c r="F389" s="3" t="s">
        <v>78</v>
      </c>
      <c r="G389" s="3" t="s">
        <v>79</v>
      </c>
      <c r="H389" s="3">
        <v>5</v>
      </c>
      <c r="I389" s="3">
        <v>5</v>
      </c>
      <c r="J389" s="3">
        <v>5</v>
      </c>
      <c r="K389" s="3">
        <v>5</v>
      </c>
      <c r="L389" s="3">
        <v>5</v>
      </c>
      <c r="M389" s="3">
        <v>4</v>
      </c>
      <c r="N389" s="3">
        <v>5</v>
      </c>
      <c r="O389" s="3">
        <v>5</v>
      </c>
      <c r="P389" s="3">
        <v>5</v>
      </c>
      <c r="Q389" s="3">
        <v>5</v>
      </c>
      <c r="R389" s="3">
        <v>5</v>
      </c>
      <c r="S389" s="3">
        <v>5</v>
      </c>
      <c r="T389" s="3">
        <v>5</v>
      </c>
      <c r="U389" s="3">
        <v>5</v>
      </c>
      <c r="V389" s="3">
        <v>5</v>
      </c>
      <c r="W389" s="3">
        <v>5</v>
      </c>
      <c r="X389" s="3">
        <v>5</v>
      </c>
      <c r="Y389" s="3">
        <v>3</v>
      </c>
      <c r="Z389" s="3">
        <v>4</v>
      </c>
      <c r="AA389" s="3">
        <v>5</v>
      </c>
      <c r="AB389" s="3">
        <v>5</v>
      </c>
      <c r="AC389" s="3">
        <v>3</v>
      </c>
      <c r="AD389" s="3">
        <v>4</v>
      </c>
      <c r="AE389" s="3">
        <v>5</v>
      </c>
      <c r="AF389" s="3">
        <v>5</v>
      </c>
      <c r="AG389" s="3">
        <v>5</v>
      </c>
      <c r="AH389" s="3">
        <v>5</v>
      </c>
      <c r="AI389" s="3">
        <v>5</v>
      </c>
      <c r="AJ389" s="3">
        <v>5</v>
      </c>
      <c r="AK389" s="3">
        <v>5</v>
      </c>
      <c r="AL389" s="3">
        <v>5</v>
      </c>
      <c r="AM389" s="3">
        <v>5</v>
      </c>
      <c r="AN389" s="3">
        <v>5</v>
      </c>
      <c r="AO389" s="3">
        <v>5</v>
      </c>
      <c r="AP389" s="3">
        <v>5</v>
      </c>
      <c r="AQ389" s="3">
        <v>5</v>
      </c>
      <c r="AR389" s="3">
        <v>5</v>
      </c>
      <c r="AS389" s="3">
        <v>5</v>
      </c>
      <c r="AT389" s="3">
        <v>5</v>
      </c>
      <c r="AU389" s="3">
        <v>5</v>
      </c>
      <c r="AV389" s="3">
        <v>5</v>
      </c>
      <c r="AW389" s="3">
        <v>5</v>
      </c>
      <c r="AX389" s="3">
        <v>5</v>
      </c>
      <c r="AY389" s="3">
        <v>5</v>
      </c>
      <c r="AZ389" s="3">
        <v>5</v>
      </c>
      <c r="BA389" s="3">
        <v>5</v>
      </c>
      <c r="BB389" s="3">
        <v>5</v>
      </c>
      <c r="BC389" s="3">
        <v>5</v>
      </c>
      <c r="BD389" s="3">
        <v>5</v>
      </c>
      <c r="BE389" s="3">
        <v>5</v>
      </c>
      <c r="BF389" s="3">
        <v>5</v>
      </c>
      <c r="BG389" s="3">
        <v>5</v>
      </c>
      <c r="BH389" s="3">
        <v>5</v>
      </c>
      <c r="BI389" s="3">
        <v>5</v>
      </c>
      <c r="BJ389" s="3">
        <v>5</v>
      </c>
      <c r="BK389" s="3">
        <v>5</v>
      </c>
      <c r="BL389" s="3">
        <v>5</v>
      </c>
      <c r="BM389" s="3">
        <v>5</v>
      </c>
      <c r="BN389" s="3">
        <v>5</v>
      </c>
      <c r="BO389" s="3">
        <v>5</v>
      </c>
      <c r="BP389" s="3" t="s">
        <v>1051</v>
      </c>
    </row>
    <row r="390" spans="1:68" ht="22.5" customHeight="1" x14ac:dyDescent="0.25">
      <c r="A390" s="2">
        <v>45986.696718182866</v>
      </c>
      <c r="B390" s="3" t="s">
        <v>1052</v>
      </c>
      <c r="C390" s="3" t="s">
        <v>86</v>
      </c>
      <c r="D390" s="3" t="s">
        <v>1053</v>
      </c>
      <c r="E390" s="3" t="s">
        <v>77</v>
      </c>
      <c r="F390" s="3" t="s">
        <v>78</v>
      </c>
      <c r="G390" s="3" t="s">
        <v>79</v>
      </c>
      <c r="H390" s="3">
        <v>5</v>
      </c>
      <c r="I390" s="3">
        <v>4</v>
      </c>
      <c r="J390" s="3">
        <v>5</v>
      </c>
      <c r="K390" s="3">
        <v>5</v>
      </c>
      <c r="L390" s="3">
        <v>5</v>
      </c>
      <c r="M390" s="3">
        <v>4</v>
      </c>
      <c r="N390" s="3">
        <v>4</v>
      </c>
      <c r="O390" s="3">
        <v>4</v>
      </c>
      <c r="P390" s="3">
        <v>5</v>
      </c>
      <c r="Q390" s="3">
        <v>5</v>
      </c>
      <c r="R390" s="3">
        <v>5</v>
      </c>
      <c r="S390" s="3">
        <v>5</v>
      </c>
      <c r="T390" s="3">
        <v>5</v>
      </c>
      <c r="U390" s="3">
        <v>5</v>
      </c>
      <c r="V390" s="3">
        <v>4</v>
      </c>
      <c r="W390" s="3">
        <v>5</v>
      </c>
      <c r="X390" s="3">
        <v>5</v>
      </c>
      <c r="Y390" s="3">
        <v>5</v>
      </c>
      <c r="Z390" s="3">
        <v>4</v>
      </c>
      <c r="AA390" s="3">
        <v>5</v>
      </c>
      <c r="AB390" s="3">
        <v>4</v>
      </c>
      <c r="AC390" s="3">
        <v>4</v>
      </c>
      <c r="AD390" s="3">
        <v>5</v>
      </c>
      <c r="AE390" s="3">
        <v>4</v>
      </c>
      <c r="AF390" s="3">
        <v>4</v>
      </c>
      <c r="AG390" s="3">
        <v>5</v>
      </c>
      <c r="AH390" s="3">
        <v>4</v>
      </c>
      <c r="AI390" s="3">
        <v>4</v>
      </c>
      <c r="AJ390" s="3">
        <v>5</v>
      </c>
      <c r="AK390" s="3">
        <v>5</v>
      </c>
      <c r="AL390" s="3">
        <v>5</v>
      </c>
      <c r="AM390" s="3">
        <v>5</v>
      </c>
      <c r="AN390" s="3">
        <v>5</v>
      </c>
      <c r="AO390" s="3">
        <v>4</v>
      </c>
      <c r="AP390" s="3">
        <v>5</v>
      </c>
      <c r="AQ390" s="3">
        <v>5</v>
      </c>
      <c r="AR390" s="3">
        <v>5</v>
      </c>
      <c r="AS390" s="3">
        <v>4</v>
      </c>
      <c r="AT390" s="3">
        <v>5</v>
      </c>
      <c r="AU390" s="3">
        <v>4</v>
      </c>
      <c r="AV390" s="3">
        <v>5</v>
      </c>
      <c r="AW390" s="3">
        <v>5</v>
      </c>
      <c r="AX390" s="3">
        <v>5</v>
      </c>
      <c r="AY390" s="3">
        <v>4</v>
      </c>
      <c r="AZ390" s="3">
        <v>5</v>
      </c>
      <c r="BA390" s="3">
        <v>4</v>
      </c>
      <c r="BB390" s="3">
        <v>5</v>
      </c>
      <c r="BC390" s="3">
        <v>4</v>
      </c>
      <c r="BD390" s="3">
        <v>4</v>
      </c>
      <c r="BE390" s="3">
        <v>5</v>
      </c>
      <c r="BF390" s="3">
        <v>4</v>
      </c>
      <c r="BG390" s="3">
        <v>5</v>
      </c>
      <c r="BH390" s="3">
        <v>5</v>
      </c>
      <c r="BI390" s="3">
        <v>4</v>
      </c>
      <c r="BJ390" s="3">
        <v>5</v>
      </c>
      <c r="BK390" s="3">
        <v>5</v>
      </c>
      <c r="BL390" s="3">
        <v>4</v>
      </c>
      <c r="BM390" s="3">
        <v>5</v>
      </c>
      <c r="BN390" s="3">
        <v>4</v>
      </c>
      <c r="BO390" s="3">
        <v>5</v>
      </c>
      <c r="BP390" s="3" t="s">
        <v>1054</v>
      </c>
    </row>
    <row r="391" spans="1:68" ht="22.5" customHeight="1" x14ac:dyDescent="0.25">
      <c r="A391" s="2">
        <v>45986.696843333339</v>
      </c>
      <c r="B391" s="3" t="s">
        <v>1055</v>
      </c>
      <c r="C391" s="3" t="s">
        <v>86</v>
      </c>
      <c r="D391" s="3" t="s">
        <v>1056</v>
      </c>
      <c r="E391" s="3" t="s">
        <v>77</v>
      </c>
      <c r="F391" s="3" t="s">
        <v>78</v>
      </c>
      <c r="G391" s="3" t="s">
        <v>79</v>
      </c>
      <c r="H391" s="3">
        <v>4</v>
      </c>
      <c r="I391" s="3">
        <v>4</v>
      </c>
      <c r="J391" s="3">
        <v>4</v>
      </c>
      <c r="K391" s="3">
        <v>4</v>
      </c>
      <c r="L391" s="3">
        <v>4</v>
      </c>
      <c r="M391" s="3">
        <v>4</v>
      </c>
      <c r="N391" s="3">
        <v>4</v>
      </c>
      <c r="O391" s="3">
        <v>3</v>
      </c>
      <c r="P391" s="3">
        <v>4</v>
      </c>
      <c r="Q391" s="3">
        <v>4</v>
      </c>
      <c r="R391" s="3">
        <v>4</v>
      </c>
      <c r="S391" s="3">
        <v>4</v>
      </c>
      <c r="T391" s="3">
        <v>4</v>
      </c>
      <c r="U391" s="3">
        <v>4</v>
      </c>
      <c r="V391" s="3">
        <v>5</v>
      </c>
      <c r="W391" s="3">
        <v>4</v>
      </c>
      <c r="X391" s="3">
        <v>4</v>
      </c>
      <c r="Y391" s="3">
        <v>4</v>
      </c>
      <c r="Z391" s="3">
        <v>4</v>
      </c>
      <c r="AA391" s="3">
        <v>4</v>
      </c>
      <c r="AB391" s="3">
        <v>4</v>
      </c>
      <c r="AC391" s="3">
        <v>4</v>
      </c>
      <c r="AD391" s="3">
        <v>4</v>
      </c>
      <c r="AE391" s="3">
        <v>4</v>
      </c>
      <c r="AF391" s="3">
        <v>4</v>
      </c>
      <c r="AG391" s="3">
        <v>4</v>
      </c>
      <c r="AH391" s="3">
        <v>4</v>
      </c>
      <c r="AI391" s="3">
        <v>5</v>
      </c>
      <c r="AJ391" s="3">
        <v>4</v>
      </c>
      <c r="AK391" s="3">
        <v>4</v>
      </c>
      <c r="AL391" s="3">
        <v>4</v>
      </c>
      <c r="AM391" s="3">
        <v>4</v>
      </c>
      <c r="AN391" s="3">
        <v>4</v>
      </c>
      <c r="AO391" s="3">
        <v>4</v>
      </c>
      <c r="AP391" s="3">
        <v>4</v>
      </c>
      <c r="AQ391" s="3">
        <v>4</v>
      </c>
      <c r="AR391" s="3">
        <v>4</v>
      </c>
      <c r="AS391" s="3">
        <v>4</v>
      </c>
      <c r="AT391" s="3">
        <v>4</v>
      </c>
      <c r="AU391" s="3">
        <v>4</v>
      </c>
      <c r="AV391" s="3">
        <v>4</v>
      </c>
      <c r="AW391" s="3">
        <v>4</v>
      </c>
      <c r="AX391" s="3">
        <v>4</v>
      </c>
      <c r="AY391" s="3">
        <v>4</v>
      </c>
      <c r="AZ391" s="3">
        <v>4</v>
      </c>
      <c r="BA391" s="3">
        <v>5</v>
      </c>
      <c r="BB391" s="3">
        <v>5</v>
      </c>
      <c r="BC391" s="3">
        <v>4</v>
      </c>
      <c r="BD391" s="3">
        <v>4</v>
      </c>
      <c r="BE391" s="3">
        <v>4</v>
      </c>
      <c r="BF391" s="3">
        <v>4</v>
      </c>
      <c r="BG391" s="3">
        <v>4</v>
      </c>
      <c r="BH391" s="3">
        <v>4</v>
      </c>
      <c r="BI391" s="3">
        <v>4</v>
      </c>
      <c r="BJ391" s="3">
        <v>4</v>
      </c>
      <c r="BK391" s="3">
        <v>4</v>
      </c>
      <c r="BL391" s="3">
        <v>4</v>
      </c>
      <c r="BM391" s="3">
        <v>4</v>
      </c>
      <c r="BN391" s="3">
        <v>4</v>
      </c>
      <c r="BO391" s="3">
        <v>4</v>
      </c>
      <c r="BP391" s="3" t="s">
        <v>1057</v>
      </c>
    </row>
    <row r="392" spans="1:68" ht="22.5" customHeight="1" x14ac:dyDescent="0.25">
      <c r="A392" s="2">
        <v>45986.697775289351</v>
      </c>
      <c r="B392" s="3" t="s">
        <v>1058</v>
      </c>
      <c r="C392" s="3" t="s">
        <v>69</v>
      </c>
      <c r="D392" s="3" t="s">
        <v>1013</v>
      </c>
      <c r="E392" s="3" t="s">
        <v>77</v>
      </c>
      <c r="F392" s="3" t="s">
        <v>78</v>
      </c>
      <c r="G392" s="3" t="s">
        <v>79</v>
      </c>
      <c r="H392" s="3">
        <v>4</v>
      </c>
      <c r="I392" s="3">
        <v>4</v>
      </c>
      <c r="J392" s="3">
        <v>4</v>
      </c>
      <c r="K392" s="3">
        <v>4</v>
      </c>
      <c r="L392" s="3">
        <v>4</v>
      </c>
      <c r="M392" s="3">
        <v>4</v>
      </c>
      <c r="N392" s="3">
        <v>4</v>
      </c>
      <c r="O392" s="3">
        <v>4</v>
      </c>
      <c r="P392" s="3">
        <v>4</v>
      </c>
      <c r="Q392" s="3">
        <v>4</v>
      </c>
      <c r="R392" s="3">
        <v>4</v>
      </c>
      <c r="S392" s="3">
        <v>4</v>
      </c>
      <c r="T392" s="3">
        <v>4</v>
      </c>
      <c r="U392" s="3">
        <v>4</v>
      </c>
      <c r="V392" s="3">
        <v>4</v>
      </c>
      <c r="W392" s="3">
        <v>4</v>
      </c>
      <c r="X392" s="3">
        <v>4</v>
      </c>
      <c r="Y392" s="3">
        <v>4</v>
      </c>
      <c r="Z392" s="3">
        <v>4</v>
      </c>
      <c r="AA392" s="3">
        <v>4</v>
      </c>
      <c r="AB392" s="3">
        <v>4</v>
      </c>
      <c r="AC392" s="3">
        <v>4</v>
      </c>
      <c r="AD392" s="3">
        <v>4</v>
      </c>
      <c r="AE392" s="3">
        <v>4</v>
      </c>
      <c r="AF392" s="3">
        <v>4</v>
      </c>
      <c r="AG392" s="3">
        <v>4</v>
      </c>
      <c r="AH392" s="3">
        <v>4</v>
      </c>
      <c r="AI392" s="3">
        <v>4</v>
      </c>
      <c r="AJ392" s="3">
        <v>4</v>
      </c>
      <c r="AK392" s="3">
        <v>4</v>
      </c>
      <c r="AL392" s="3">
        <v>4</v>
      </c>
      <c r="AM392" s="3">
        <v>4</v>
      </c>
      <c r="AN392" s="3">
        <v>4</v>
      </c>
      <c r="AO392" s="3">
        <v>4</v>
      </c>
      <c r="AP392" s="3">
        <v>4</v>
      </c>
      <c r="AQ392" s="3">
        <v>4</v>
      </c>
      <c r="AR392" s="3">
        <v>4</v>
      </c>
      <c r="AS392" s="3">
        <v>4</v>
      </c>
      <c r="AT392" s="3">
        <v>4</v>
      </c>
      <c r="AU392" s="3">
        <v>4</v>
      </c>
      <c r="AV392" s="3">
        <v>4</v>
      </c>
      <c r="AW392" s="3">
        <v>4</v>
      </c>
      <c r="AX392" s="3">
        <v>4</v>
      </c>
      <c r="AY392" s="3">
        <v>4</v>
      </c>
      <c r="AZ392" s="3">
        <v>4</v>
      </c>
      <c r="BA392" s="3">
        <v>4</v>
      </c>
      <c r="BB392" s="3">
        <v>4</v>
      </c>
      <c r="BC392" s="3">
        <v>4</v>
      </c>
      <c r="BD392" s="3">
        <v>4</v>
      </c>
      <c r="BE392" s="3">
        <v>4</v>
      </c>
      <c r="BF392" s="3">
        <v>4</v>
      </c>
      <c r="BG392" s="3">
        <v>4</v>
      </c>
      <c r="BH392" s="3">
        <v>4</v>
      </c>
      <c r="BI392" s="3">
        <v>4</v>
      </c>
      <c r="BJ392" s="3">
        <v>4</v>
      </c>
      <c r="BK392" s="3">
        <v>4</v>
      </c>
      <c r="BL392" s="3">
        <v>4</v>
      </c>
      <c r="BM392" s="3">
        <v>4</v>
      </c>
      <c r="BN392" s="3">
        <v>4</v>
      </c>
      <c r="BO392" s="3">
        <v>4</v>
      </c>
      <c r="BP392" s="3" t="s">
        <v>1059</v>
      </c>
    </row>
    <row r="393" spans="1:68" ht="22.5" customHeight="1" x14ac:dyDescent="0.25">
      <c r="A393" s="2">
        <v>45986.702113715277</v>
      </c>
      <c r="B393" s="3" t="s">
        <v>1060</v>
      </c>
      <c r="C393" s="3" t="s">
        <v>69</v>
      </c>
      <c r="D393" s="3" t="s">
        <v>466</v>
      </c>
      <c r="E393" s="3" t="s">
        <v>141</v>
      </c>
      <c r="F393" s="3" t="s">
        <v>78</v>
      </c>
      <c r="G393" s="3" t="s">
        <v>79</v>
      </c>
      <c r="H393" s="3">
        <v>5</v>
      </c>
      <c r="I393" s="3">
        <v>5</v>
      </c>
      <c r="J393" s="3">
        <v>3</v>
      </c>
      <c r="K393" s="3">
        <v>4</v>
      </c>
      <c r="L393" s="3">
        <v>4</v>
      </c>
      <c r="M393" s="3">
        <v>5</v>
      </c>
      <c r="N393" s="3">
        <v>2</v>
      </c>
      <c r="O393" s="3">
        <v>4</v>
      </c>
      <c r="P393" s="3">
        <v>3</v>
      </c>
      <c r="Q393" s="3">
        <v>5</v>
      </c>
      <c r="R393" s="3">
        <v>4</v>
      </c>
      <c r="S393" s="3">
        <v>4</v>
      </c>
      <c r="T393" s="3">
        <v>5</v>
      </c>
      <c r="U393" s="3">
        <v>3</v>
      </c>
      <c r="V393" s="3">
        <v>4</v>
      </c>
      <c r="W393" s="3">
        <v>2</v>
      </c>
      <c r="X393" s="3">
        <v>5</v>
      </c>
      <c r="Y393" s="3">
        <v>3</v>
      </c>
      <c r="Z393" s="3">
        <v>3</v>
      </c>
      <c r="AA393" s="3">
        <v>4</v>
      </c>
      <c r="AB393" s="3">
        <v>5</v>
      </c>
      <c r="AC393" s="3">
        <v>2</v>
      </c>
      <c r="AD393" s="3">
        <v>3</v>
      </c>
      <c r="AE393" s="3">
        <v>5</v>
      </c>
      <c r="AF393" s="3">
        <v>4</v>
      </c>
      <c r="AG393" s="3">
        <v>3</v>
      </c>
      <c r="AH393" s="3">
        <v>3</v>
      </c>
      <c r="AI393" s="3">
        <v>4</v>
      </c>
      <c r="AJ393" s="3">
        <v>4</v>
      </c>
      <c r="AK393" s="3">
        <v>4</v>
      </c>
      <c r="AL393" s="3">
        <v>3</v>
      </c>
      <c r="AM393" s="3">
        <v>3</v>
      </c>
      <c r="AN393" s="3">
        <v>4</v>
      </c>
      <c r="AO393" s="3">
        <v>3</v>
      </c>
      <c r="AP393" s="3">
        <v>3</v>
      </c>
      <c r="AQ393" s="3">
        <v>4</v>
      </c>
      <c r="AR393" s="3">
        <v>3</v>
      </c>
      <c r="AS393" s="3">
        <v>3</v>
      </c>
      <c r="AT393" s="3">
        <v>3</v>
      </c>
      <c r="AU393" s="3">
        <v>3</v>
      </c>
      <c r="AV393" s="3">
        <v>3</v>
      </c>
      <c r="AW393" s="3">
        <v>5</v>
      </c>
      <c r="AX393" s="3">
        <v>4</v>
      </c>
      <c r="AY393" s="3">
        <v>3</v>
      </c>
      <c r="AZ393" s="3">
        <v>4</v>
      </c>
      <c r="BA393" s="3">
        <v>3</v>
      </c>
      <c r="BB393" s="3">
        <v>3</v>
      </c>
      <c r="BC393" s="3">
        <v>3</v>
      </c>
      <c r="BD393" s="3">
        <v>3</v>
      </c>
      <c r="BE393" s="3">
        <v>3</v>
      </c>
      <c r="BF393" s="3">
        <v>3</v>
      </c>
      <c r="BG393" s="3">
        <v>3</v>
      </c>
      <c r="BH393" s="3">
        <v>4</v>
      </c>
      <c r="BI393" s="3">
        <v>4</v>
      </c>
      <c r="BJ393" s="3">
        <v>5</v>
      </c>
      <c r="BK393" s="3">
        <v>3</v>
      </c>
      <c r="BL393" s="3">
        <v>3</v>
      </c>
      <c r="BM393" s="3">
        <v>4</v>
      </c>
      <c r="BN393" s="3">
        <v>4</v>
      </c>
      <c r="BO393" s="3">
        <v>3</v>
      </c>
      <c r="BP393" s="3" t="s">
        <v>1061</v>
      </c>
    </row>
    <row r="394" spans="1:68" ht="22.5" customHeight="1" x14ac:dyDescent="0.25">
      <c r="A394" s="2">
        <v>45986.702384675926</v>
      </c>
      <c r="B394" s="3" t="s">
        <v>1062</v>
      </c>
      <c r="C394" s="3" t="s">
        <v>86</v>
      </c>
      <c r="D394" s="3" t="s">
        <v>1048</v>
      </c>
      <c r="E394" s="3" t="s">
        <v>77</v>
      </c>
      <c r="F394" s="3" t="s">
        <v>78</v>
      </c>
      <c r="G394" s="3" t="s">
        <v>79</v>
      </c>
      <c r="H394" s="3">
        <v>5</v>
      </c>
      <c r="I394" s="3">
        <v>5</v>
      </c>
      <c r="J394" s="3">
        <v>5</v>
      </c>
      <c r="K394" s="3">
        <v>5</v>
      </c>
      <c r="L394" s="3">
        <v>5</v>
      </c>
      <c r="M394" s="3">
        <v>5</v>
      </c>
      <c r="N394" s="3">
        <v>5</v>
      </c>
      <c r="O394" s="3">
        <v>5</v>
      </c>
      <c r="P394" s="3">
        <v>5</v>
      </c>
      <c r="Q394" s="3">
        <v>5</v>
      </c>
      <c r="R394" s="3">
        <v>5</v>
      </c>
      <c r="S394" s="3">
        <v>5</v>
      </c>
      <c r="T394" s="3">
        <v>5</v>
      </c>
      <c r="U394" s="3">
        <v>5</v>
      </c>
      <c r="V394" s="3">
        <v>5</v>
      </c>
      <c r="W394" s="3">
        <v>5</v>
      </c>
      <c r="X394" s="3">
        <v>5</v>
      </c>
      <c r="Y394" s="3">
        <v>5</v>
      </c>
      <c r="Z394" s="3">
        <v>5</v>
      </c>
      <c r="AA394" s="3">
        <v>5</v>
      </c>
      <c r="AB394" s="3">
        <v>5</v>
      </c>
      <c r="AC394" s="3">
        <v>5</v>
      </c>
      <c r="AD394" s="3">
        <v>5</v>
      </c>
      <c r="AE394" s="3">
        <v>5</v>
      </c>
      <c r="AF394" s="3">
        <v>5</v>
      </c>
      <c r="AG394" s="3">
        <v>5</v>
      </c>
      <c r="AH394" s="3">
        <v>5</v>
      </c>
      <c r="AI394" s="3">
        <v>5</v>
      </c>
      <c r="AJ394" s="3">
        <v>5</v>
      </c>
      <c r="AK394" s="3">
        <v>5</v>
      </c>
      <c r="AL394" s="3">
        <v>5</v>
      </c>
      <c r="AM394" s="3">
        <v>5</v>
      </c>
      <c r="AN394" s="3">
        <v>5</v>
      </c>
      <c r="AO394" s="3">
        <v>5</v>
      </c>
      <c r="AP394" s="3">
        <v>5</v>
      </c>
      <c r="AQ394" s="3">
        <v>5</v>
      </c>
      <c r="AR394" s="3">
        <v>5</v>
      </c>
      <c r="AS394" s="3">
        <v>5</v>
      </c>
      <c r="AT394" s="3">
        <v>5</v>
      </c>
      <c r="AU394" s="3">
        <v>5</v>
      </c>
      <c r="AV394" s="3">
        <v>5</v>
      </c>
      <c r="AW394" s="3">
        <v>5</v>
      </c>
      <c r="AX394" s="3">
        <v>5</v>
      </c>
      <c r="AY394" s="3">
        <v>5</v>
      </c>
      <c r="AZ394" s="3">
        <v>5</v>
      </c>
      <c r="BA394" s="3">
        <v>5</v>
      </c>
      <c r="BB394" s="3">
        <v>5</v>
      </c>
      <c r="BC394" s="3">
        <v>5</v>
      </c>
      <c r="BD394" s="3">
        <v>5</v>
      </c>
      <c r="BE394" s="3">
        <v>5</v>
      </c>
      <c r="BF394" s="3">
        <v>5</v>
      </c>
      <c r="BG394" s="3">
        <v>5</v>
      </c>
      <c r="BH394" s="3">
        <v>5</v>
      </c>
      <c r="BI394" s="3">
        <v>5</v>
      </c>
      <c r="BJ394" s="3">
        <v>5</v>
      </c>
      <c r="BK394" s="3">
        <v>5</v>
      </c>
      <c r="BL394" s="3">
        <v>5</v>
      </c>
      <c r="BM394" s="3">
        <v>5</v>
      </c>
      <c r="BN394" s="3">
        <v>5</v>
      </c>
      <c r="BO394" s="3">
        <v>5</v>
      </c>
      <c r="BP394" s="3" t="s">
        <v>1063</v>
      </c>
    </row>
    <row r="395" spans="1:68" ht="22.5" customHeight="1" x14ac:dyDescent="0.25">
      <c r="A395" s="2">
        <v>45986.744070173612</v>
      </c>
      <c r="B395" s="3" t="s">
        <v>1064</v>
      </c>
      <c r="C395" s="3" t="s">
        <v>69</v>
      </c>
      <c r="D395" s="3" t="s">
        <v>1065</v>
      </c>
      <c r="E395" s="3" t="s">
        <v>77</v>
      </c>
      <c r="F395" s="3" t="s">
        <v>103</v>
      </c>
      <c r="G395" s="3" t="s">
        <v>91</v>
      </c>
      <c r="H395" s="3">
        <v>5</v>
      </c>
      <c r="I395" s="3">
        <v>4</v>
      </c>
      <c r="J395" s="3">
        <v>4</v>
      </c>
      <c r="K395" s="3">
        <v>5</v>
      </c>
      <c r="L395" s="3">
        <v>4</v>
      </c>
      <c r="M395" s="3">
        <v>4</v>
      </c>
      <c r="N395" s="3">
        <v>4</v>
      </c>
      <c r="O395" s="3">
        <v>4</v>
      </c>
      <c r="P395" s="3">
        <v>5</v>
      </c>
      <c r="Q395" s="3">
        <v>4</v>
      </c>
      <c r="R395" s="3">
        <v>4</v>
      </c>
      <c r="S395" s="3">
        <v>5</v>
      </c>
      <c r="T395" s="3">
        <v>4</v>
      </c>
      <c r="U395" s="3">
        <v>4</v>
      </c>
      <c r="V395" s="3">
        <v>4</v>
      </c>
      <c r="W395" s="3">
        <v>4</v>
      </c>
      <c r="X395" s="3">
        <v>4</v>
      </c>
      <c r="Y395" s="3">
        <v>5</v>
      </c>
      <c r="Z395" s="3">
        <v>4</v>
      </c>
      <c r="AA395" s="3">
        <v>4</v>
      </c>
      <c r="AB395" s="3">
        <v>4</v>
      </c>
      <c r="AC395" s="3">
        <v>5</v>
      </c>
      <c r="AD395" s="3">
        <v>5</v>
      </c>
      <c r="AE395" s="3">
        <v>4</v>
      </c>
      <c r="AF395" s="3">
        <v>4</v>
      </c>
      <c r="AG395" s="3">
        <v>5</v>
      </c>
      <c r="AH395" s="3">
        <v>4</v>
      </c>
      <c r="AI395" s="3">
        <v>4</v>
      </c>
      <c r="AJ395" s="3">
        <v>5</v>
      </c>
      <c r="AK395" s="3">
        <v>5</v>
      </c>
      <c r="AL395" s="3">
        <v>5</v>
      </c>
      <c r="AM395" s="3">
        <v>4</v>
      </c>
      <c r="AN395" s="3">
        <v>4</v>
      </c>
      <c r="AO395" s="3">
        <v>4</v>
      </c>
      <c r="AP395" s="3">
        <v>4</v>
      </c>
      <c r="AQ395" s="3">
        <v>4</v>
      </c>
      <c r="AR395" s="3">
        <v>4</v>
      </c>
      <c r="AS395" s="3">
        <v>5</v>
      </c>
      <c r="AT395" s="3">
        <v>4</v>
      </c>
      <c r="AU395" s="3">
        <v>4</v>
      </c>
      <c r="AV395" s="3">
        <v>4</v>
      </c>
      <c r="AW395" s="3">
        <v>5</v>
      </c>
      <c r="AX395" s="3">
        <v>4</v>
      </c>
      <c r="AY395" s="3">
        <v>4</v>
      </c>
      <c r="AZ395" s="3">
        <v>4</v>
      </c>
      <c r="BA395" s="3">
        <v>4</v>
      </c>
      <c r="BB395" s="3">
        <v>4</v>
      </c>
      <c r="BC395" s="3">
        <v>4</v>
      </c>
      <c r="BD395" s="3">
        <v>5</v>
      </c>
      <c r="BE395" s="3">
        <v>4</v>
      </c>
      <c r="BF395" s="3">
        <v>4</v>
      </c>
      <c r="BG395" s="3">
        <v>5</v>
      </c>
      <c r="BH395" s="3">
        <v>5</v>
      </c>
      <c r="BI395" s="3">
        <v>5</v>
      </c>
      <c r="BJ395" s="3">
        <v>5</v>
      </c>
      <c r="BK395" s="3">
        <v>5</v>
      </c>
      <c r="BL395" s="3">
        <v>4</v>
      </c>
      <c r="BM395" s="3">
        <v>4</v>
      </c>
      <c r="BN395" s="3">
        <v>4</v>
      </c>
      <c r="BO395" s="3">
        <v>4</v>
      </c>
      <c r="BP395" s="3" t="s">
        <v>1066</v>
      </c>
    </row>
    <row r="396" spans="1:68" ht="22.5" customHeight="1" x14ac:dyDescent="0.25">
      <c r="A396" s="2">
        <v>45986.840304942132</v>
      </c>
      <c r="B396" s="3" t="s">
        <v>1067</v>
      </c>
      <c r="C396" s="3" t="s">
        <v>69</v>
      </c>
      <c r="D396" s="3" t="s">
        <v>198</v>
      </c>
      <c r="E396" s="3" t="s">
        <v>87</v>
      </c>
      <c r="F396" s="3" t="s">
        <v>103</v>
      </c>
      <c r="G396" s="3" t="s">
        <v>83</v>
      </c>
      <c r="H396" s="3">
        <v>4</v>
      </c>
      <c r="I396" s="3">
        <v>5</v>
      </c>
      <c r="J396" s="3">
        <v>4</v>
      </c>
      <c r="K396" s="3">
        <v>4</v>
      </c>
      <c r="L396" s="3">
        <v>3</v>
      </c>
      <c r="M396" s="3">
        <v>3</v>
      </c>
      <c r="N396" s="3">
        <v>4</v>
      </c>
      <c r="O396" s="3">
        <v>4</v>
      </c>
      <c r="P396" s="3">
        <v>4</v>
      </c>
      <c r="Q396" s="3">
        <v>4</v>
      </c>
      <c r="R396" s="3">
        <v>5</v>
      </c>
      <c r="S396" s="3">
        <v>5</v>
      </c>
      <c r="T396" s="3">
        <v>4</v>
      </c>
      <c r="U396" s="3">
        <v>5</v>
      </c>
      <c r="V396" s="3">
        <v>3</v>
      </c>
      <c r="W396" s="3">
        <v>4</v>
      </c>
      <c r="X396" s="3">
        <v>4</v>
      </c>
      <c r="Y396" s="3">
        <v>3</v>
      </c>
      <c r="Z396" s="3">
        <v>4</v>
      </c>
      <c r="AA396" s="3">
        <v>4</v>
      </c>
      <c r="AB396" s="3">
        <v>4</v>
      </c>
      <c r="AC396" s="3">
        <v>5</v>
      </c>
      <c r="AD396" s="3">
        <v>4</v>
      </c>
      <c r="AE396" s="3">
        <v>4</v>
      </c>
      <c r="AF396" s="3">
        <v>4</v>
      </c>
      <c r="AG396" s="3">
        <v>5</v>
      </c>
      <c r="AH396" s="3">
        <v>3</v>
      </c>
      <c r="AI396" s="3">
        <v>4</v>
      </c>
      <c r="AJ396" s="3">
        <v>4</v>
      </c>
      <c r="AK396" s="3">
        <v>4</v>
      </c>
      <c r="AL396" s="3">
        <v>4</v>
      </c>
      <c r="AM396" s="3">
        <v>3</v>
      </c>
      <c r="AN396" s="3">
        <v>3</v>
      </c>
      <c r="AO396" s="3">
        <v>3</v>
      </c>
      <c r="AP396" s="3">
        <v>4</v>
      </c>
      <c r="AQ396" s="3">
        <v>4</v>
      </c>
      <c r="AR396" s="3">
        <v>4</v>
      </c>
      <c r="AS396" s="3">
        <v>4</v>
      </c>
      <c r="AT396" s="3">
        <v>4</v>
      </c>
      <c r="AU396" s="3">
        <v>4</v>
      </c>
      <c r="AV396" s="3">
        <v>3</v>
      </c>
      <c r="AW396" s="3">
        <v>5</v>
      </c>
      <c r="AX396" s="3">
        <v>5</v>
      </c>
      <c r="AY396" s="3">
        <v>4</v>
      </c>
      <c r="AZ396" s="3">
        <v>4</v>
      </c>
      <c r="BA396" s="3">
        <v>4</v>
      </c>
      <c r="BB396" s="3">
        <v>4</v>
      </c>
      <c r="BC396" s="3">
        <v>5</v>
      </c>
      <c r="BD396" s="3">
        <v>4</v>
      </c>
      <c r="BE396" s="3">
        <v>4</v>
      </c>
      <c r="BF396" s="3">
        <v>4</v>
      </c>
      <c r="BG396" s="3">
        <v>4</v>
      </c>
      <c r="BH396" s="3">
        <v>5</v>
      </c>
      <c r="BI396" s="3">
        <v>4</v>
      </c>
      <c r="BJ396" s="3">
        <v>5</v>
      </c>
      <c r="BK396" s="3">
        <v>4</v>
      </c>
      <c r="BL396" s="3">
        <v>4</v>
      </c>
      <c r="BM396" s="3">
        <v>4</v>
      </c>
      <c r="BN396" s="3">
        <v>4</v>
      </c>
      <c r="BO396" s="3">
        <v>4</v>
      </c>
      <c r="BP396" s="3" t="s">
        <v>1068</v>
      </c>
    </row>
    <row r="397" spans="1:68" ht="22.5" customHeight="1" x14ac:dyDescent="0.25">
      <c r="A397" s="2">
        <v>45987.352302650463</v>
      </c>
      <c r="B397" s="3" t="s">
        <v>1069</v>
      </c>
      <c r="C397" s="3" t="s">
        <v>69</v>
      </c>
      <c r="D397" s="3" t="s">
        <v>1070</v>
      </c>
      <c r="E397" s="3" t="s">
        <v>71</v>
      </c>
      <c r="F397" s="3" t="s">
        <v>103</v>
      </c>
      <c r="G397" s="3" t="s">
        <v>91</v>
      </c>
      <c r="H397" s="3">
        <v>4</v>
      </c>
      <c r="I397" s="3">
        <v>4</v>
      </c>
      <c r="J397" s="3">
        <v>4</v>
      </c>
      <c r="K397" s="3">
        <v>2</v>
      </c>
      <c r="L397" s="3">
        <v>4</v>
      </c>
      <c r="M397" s="3">
        <v>2</v>
      </c>
      <c r="N397" s="3">
        <v>4</v>
      </c>
      <c r="O397" s="3">
        <v>5</v>
      </c>
      <c r="P397" s="3">
        <v>5</v>
      </c>
      <c r="Q397" s="3">
        <v>5</v>
      </c>
      <c r="R397" s="3">
        <v>4</v>
      </c>
      <c r="S397" s="3">
        <v>5</v>
      </c>
      <c r="T397" s="3">
        <v>5</v>
      </c>
      <c r="U397" s="3">
        <v>5</v>
      </c>
      <c r="V397" s="3">
        <v>3</v>
      </c>
      <c r="W397" s="3">
        <v>3</v>
      </c>
      <c r="X397" s="3">
        <v>4</v>
      </c>
      <c r="Y397" s="3">
        <v>4</v>
      </c>
      <c r="Z397" s="3">
        <v>3</v>
      </c>
      <c r="AA397" s="3">
        <v>4</v>
      </c>
      <c r="AB397" s="3">
        <v>4</v>
      </c>
      <c r="AC397" s="3">
        <v>5</v>
      </c>
      <c r="AD397" s="3">
        <v>5</v>
      </c>
      <c r="AE397" s="3">
        <v>5</v>
      </c>
      <c r="AF397" s="3">
        <v>5</v>
      </c>
      <c r="AG397" s="3">
        <v>5</v>
      </c>
      <c r="AH397" s="3">
        <v>4</v>
      </c>
      <c r="AI397" s="3">
        <v>3</v>
      </c>
      <c r="AJ397" s="3">
        <v>3</v>
      </c>
      <c r="AK397" s="3">
        <v>4</v>
      </c>
      <c r="AL397" s="3">
        <v>5</v>
      </c>
      <c r="AM397" s="3">
        <v>5</v>
      </c>
      <c r="AN397" s="3">
        <v>2</v>
      </c>
      <c r="AO397" s="3">
        <v>4</v>
      </c>
      <c r="AP397" s="3">
        <v>4</v>
      </c>
      <c r="AQ397" s="3">
        <v>5</v>
      </c>
      <c r="AR397" s="3">
        <v>2</v>
      </c>
      <c r="AS397" s="3">
        <v>5</v>
      </c>
      <c r="AT397" s="3">
        <v>3</v>
      </c>
      <c r="AU397" s="3">
        <v>5</v>
      </c>
      <c r="AV397" s="3">
        <v>5</v>
      </c>
      <c r="AW397" s="3">
        <v>5</v>
      </c>
      <c r="AX397" s="3">
        <v>5</v>
      </c>
      <c r="AY397" s="3">
        <v>5</v>
      </c>
      <c r="AZ397" s="3">
        <v>5</v>
      </c>
      <c r="BA397" s="3">
        <v>3</v>
      </c>
      <c r="BB397" s="3">
        <v>4</v>
      </c>
      <c r="BC397" s="3">
        <v>5</v>
      </c>
      <c r="BD397" s="3">
        <v>4</v>
      </c>
      <c r="BE397" s="3">
        <v>5</v>
      </c>
      <c r="BF397" s="3">
        <v>5</v>
      </c>
      <c r="BG397" s="3">
        <v>4</v>
      </c>
      <c r="BH397" s="3">
        <v>4</v>
      </c>
      <c r="BI397" s="3">
        <v>4</v>
      </c>
      <c r="BJ397" s="3">
        <v>2</v>
      </c>
      <c r="BK397" s="3">
        <v>4</v>
      </c>
      <c r="BL397" s="3">
        <v>2</v>
      </c>
      <c r="BM397" s="3">
        <v>4</v>
      </c>
      <c r="BN397" s="3">
        <v>4</v>
      </c>
      <c r="BO397" s="3">
        <v>5</v>
      </c>
      <c r="BP397" s="3" t="s">
        <v>1071</v>
      </c>
    </row>
    <row r="398" spans="1:68" ht="22.5" customHeight="1" x14ac:dyDescent="0.25">
      <c r="A398" s="2">
        <v>45987.355742233798</v>
      </c>
      <c r="B398" s="3" t="s">
        <v>1072</v>
      </c>
      <c r="C398" s="3" t="s">
        <v>69</v>
      </c>
      <c r="D398" s="3" t="s">
        <v>272</v>
      </c>
      <c r="E398" s="3" t="s">
        <v>77</v>
      </c>
      <c r="F398" s="3" t="s">
        <v>78</v>
      </c>
      <c r="G398" s="3" t="s">
        <v>79</v>
      </c>
      <c r="H398" s="3">
        <v>5</v>
      </c>
      <c r="I398" s="3">
        <v>5</v>
      </c>
      <c r="J398" s="3">
        <v>5</v>
      </c>
      <c r="K398" s="3">
        <v>5</v>
      </c>
      <c r="L398" s="3">
        <v>5</v>
      </c>
      <c r="M398" s="3">
        <v>5</v>
      </c>
      <c r="N398" s="3">
        <v>5</v>
      </c>
      <c r="O398" s="3">
        <v>5</v>
      </c>
      <c r="P398" s="3">
        <v>5</v>
      </c>
      <c r="Q398" s="3">
        <v>5</v>
      </c>
      <c r="R398" s="3">
        <v>5</v>
      </c>
      <c r="S398" s="3">
        <v>5</v>
      </c>
      <c r="T398" s="3">
        <v>5</v>
      </c>
      <c r="U398" s="3">
        <v>5</v>
      </c>
      <c r="V398" s="3">
        <v>4</v>
      </c>
      <c r="W398" s="3">
        <v>3</v>
      </c>
      <c r="X398" s="3">
        <v>4</v>
      </c>
      <c r="Y398" s="3">
        <v>4</v>
      </c>
      <c r="Z398" s="3">
        <v>4</v>
      </c>
      <c r="AA398" s="3">
        <v>5</v>
      </c>
      <c r="AB398" s="3">
        <v>5</v>
      </c>
      <c r="AC398" s="3">
        <v>3</v>
      </c>
      <c r="AD398" s="3">
        <v>4</v>
      </c>
      <c r="AE398" s="3">
        <v>4</v>
      </c>
      <c r="AF398" s="3">
        <v>4</v>
      </c>
      <c r="AG398" s="3">
        <v>4</v>
      </c>
      <c r="AH398" s="3">
        <v>3</v>
      </c>
      <c r="AI398" s="3">
        <v>4</v>
      </c>
      <c r="AJ398" s="3">
        <v>4</v>
      </c>
      <c r="AK398" s="3">
        <v>5</v>
      </c>
      <c r="AL398" s="3">
        <v>4</v>
      </c>
      <c r="AM398" s="3">
        <v>4</v>
      </c>
      <c r="AN398" s="3">
        <v>3</v>
      </c>
      <c r="AO398" s="3">
        <v>3</v>
      </c>
      <c r="AP398" s="3">
        <v>3</v>
      </c>
      <c r="AQ398" s="3">
        <v>3</v>
      </c>
      <c r="AR398" s="3">
        <v>3</v>
      </c>
      <c r="AS398" s="3">
        <v>3</v>
      </c>
      <c r="AT398" s="3">
        <v>3</v>
      </c>
      <c r="AU398" s="3">
        <v>3</v>
      </c>
      <c r="AV398" s="3">
        <v>3</v>
      </c>
      <c r="AW398" s="3">
        <v>5</v>
      </c>
      <c r="AX398" s="3">
        <v>5</v>
      </c>
      <c r="AY398" s="3">
        <v>5</v>
      </c>
      <c r="AZ398" s="3">
        <v>5</v>
      </c>
      <c r="BA398" s="3">
        <v>3</v>
      </c>
      <c r="BB398" s="3">
        <v>3</v>
      </c>
      <c r="BC398" s="3">
        <v>3</v>
      </c>
      <c r="BD398" s="3">
        <v>3</v>
      </c>
      <c r="BE398" s="3">
        <v>3</v>
      </c>
      <c r="BF398" s="3">
        <v>3</v>
      </c>
      <c r="BG398" s="3">
        <v>4</v>
      </c>
      <c r="BH398" s="3">
        <v>4</v>
      </c>
      <c r="BI398" s="3">
        <v>4</v>
      </c>
      <c r="BJ398" s="3">
        <v>4</v>
      </c>
      <c r="BK398" s="3">
        <v>5</v>
      </c>
      <c r="BL398" s="3">
        <v>5</v>
      </c>
      <c r="BM398" s="3">
        <v>3</v>
      </c>
      <c r="BN398" s="3">
        <v>4</v>
      </c>
      <c r="BO398" s="3">
        <v>4</v>
      </c>
      <c r="BP398" s="3" t="s">
        <v>1073</v>
      </c>
    </row>
    <row r="399" spans="1:68" ht="22.5" customHeight="1" x14ac:dyDescent="0.25">
      <c r="A399" s="2">
        <v>45987.449881076391</v>
      </c>
      <c r="B399" s="3" t="s">
        <v>1074</v>
      </c>
      <c r="C399" s="3" t="s">
        <v>86</v>
      </c>
      <c r="D399" s="3" t="s">
        <v>1075</v>
      </c>
      <c r="E399" s="3" t="s">
        <v>77</v>
      </c>
      <c r="F399" s="3" t="s">
        <v>82</v>
      </c>
      <c r="G399" s="3" t="s">
        <v>83</v>
      </c>
      <c r="H399" s="3">
        <v>5</v>
      </c>
      <c r="I399" s="3">
        <v>5</v>
      </c>
      <c r="J399" s="3">
        <v>5</v>
      </c>
      <c r="K399" s="3">
        <v>4</v>
      </c>
      <c r="L399" s="3">
        <v>5</v>
      </c>
      <c r="M399" s="3">
        <v>4</v>
      </c>
      <c r="N399" s="3">
        <v>4</v>
      </c>
      <c r="O399" s="3">
        <v>4</v>
      </c>
      <c r="P399" s="3">
        <v>5</v>
      </c>
      <c r="Q399" s="3">
        <v>4</v>
      </c>
      <c r="R399" s="3">
        <v>5</v>
      </c>
      <c r="S399" s="3">
        <v>4</v>
      </c>
      <c r="T399" s="3">
        <v>4</v>
      </c>
      <c r="U399" s="3">
        <v>4</v>
      </c>
      <c r="V399" s="3">
        <v>4</v>
      </c>
      <c r="W399" s="3">
        <v>4</v>
      </c>
      <c r="X399" s="3">
        <v>3</v>
      </c>
      <c r="Y399" s="3">
        <v>3</v>
      </c>
      <c r="Z399" s="3">
        <v>2</v>
      </c>
      <c r="AA399" s="3">
        <v>4</v>
      </c>
      <c r="AB399" s="3">
        <v>4</v>
      </c>
      <c r="AC399" s="3">
        <v>3</v>
      </c>
      <c r="AD399" s="3">
        <v>5</v>
      </c>
      <c r="AE399" s="3">
        <v>5</v>
      </c>
      <c r="AF399" s="3">
        <v>5</v>
      </c>
      <c r="AG399" s="3">
        <v>5</v>
      </c>
      <c r="AH399" s="3">
        <v>4</v>
      </c>
      <c r="AI399" s="3">
        <v>4</v>
      </c>
      <c r="AJ399" s="3">
        <v>4</v>
      </c>
      <c r="AK399" s="3">
        <v>4</v>
      </c>
      <c r="AL399" s="3">
        <v>4</v>
      </c>
      <c r="AM399" s="3">
        <v>4</v>
      </c>
      <c r="AN399" s="3">
        <v>3</v>
      </c>
      <c r="AO399" s="3">
        <v>4</v>
      </c>
      <c r="AP399" s="3">
        <v>4</v>
      </c>
      <c r="AQ399" s="3">
        <v>4</v>
      </c>
      <c r="AR399" s="3">
        <v>4</v>
      </c>
      <c r="AS399" s="3">
        <v>4</v>
      </c>
      <c r="AT399" s="3">
        <v>4</v>
      </c>
      <c r="AU399" s="3">
        <v>4</v>
      </c>
      <c r="AV399" s="3">
        <v>4</v>
      </c>
      <c r="AW399" s="3">
        <v>5</v>
      </c>
      <c r="AX399" s="3">
        <v>5</v>
      </c>
      <c r="AY399" s="3">
        <v>5</v>
      </c>
      <c r="AZ399" s="3">
        <v>5</v>
      </c>
      <c r="BA399" s="3">
        <v>2</v>
      </c>
      <c r="BB399" s="3">
        <v>2</v>
      </c>
      <c r="BC399" s="3">
        <v>2</v>
      </c>
      <c r="BD399" s="3">
        <v>2</v>
      </c>
      <c r="BE399" s="3">
        <v>2</v>
      </c>
      <c r="BF399" s="3">
        <v>2</v>
      </c>
      <c r="BG399" s="3">
        <v>4</v>
      </c>
      <c r="BH399" s="3">
        <v>4</v>
      </c>
      <c r="BI399" s="3">
        <v>4</v>
      </c>
      <c r="BJ399" s="3">
        <v>4</v>
      </c>
      <c r="BK399" s="3">
        <v>4</v>
      </c>
      <c r="BL399" s="3">
        <v>4</v>
      </c>
      <c r="BM399" s="3">
        <v>4</v>
      </c>
      <c r="BN399" s="3">
        <v>3</v>
      </c>
      <c r="BO399" s="3">
        <v>5</v>
      </c>
      <c r="BP399" s="3" t="s">
        <v>1076</v>
      </c>
    </row>
    <row r="400" spans="1:68" ht="22.5" customHeight="1" x14ac:dyDescent="0.25">
      <c r="A400" s="2">
        <v>45987.455893483799</v>
      </c>
      <c r="B400" s="3" t="s">
        <v>1077</v>
      </c>
      <c r="C400" s="3" t="s">
        <v>86</v>
      </c>
      <c r="D400" s="3" t="s">
        <v>1078</v>
      </c>
      <c r="E400" s="3" t="s">
        <v>77</v>
      </c>
      <c r="F400" s="3" t="s">
        <v>88</v>
      </c>
      <c r="G400" s="3" t="s">
        <v>79</v>
      </c>
      <c r="H400" s="3">
        <v>4</v>
      </c>
      <c r="I400" s="3">
        <v>3</v>
      </c>
      <c r="J400" s="3">
        <v>3</v>
      </c>
      <c r="K400" s="3">
        <v>4</v>
      </c>
      <c r="L400" s="3">
        <v>3</v>
      </c>
      <c r="M400" s="3">
        <v>3</v>
      </c>
      <c r="N400" s="3">
        <v>4</v>
      </c>
      <c r="O400" s="3">
        <v>4</v>
      </c>
      <c r="P400" s="3">
        <v>5</v>
      </c>
      <c r="Q400" s="3">
        <v>3</v>
      </c>
      <c r="R400" s="3">
        <v>3</v>
      </c>
      <c r="S400" s="3">
        <v>3</v>
      </c>
      <c r="T400" s="3">
        <v>4</v>
      </c>
      <c r="U400" s="3">
        <v>4</v>
      </c>
      <c r="V400" s="3">
        <v>3</v>
      </c>
      <c r="W400" s="3">
        <v>3</v>
      </c>
      <c r="X400" s="3">
        <v>4</v>
      </c>
      <c r="Y400" s="3">
        <v>4</v>
      </c>
      <c r="Z400" s="3">
        <v>4</v>
      </c>
      <c r="AA400" s="3">
        <v>4</v>
      </c>
      <c r="AB400" s="3">
        <v>4</v>
      </c>
      <c r="AC400" s="3">
        <v>4</v>
      </c>
      <c r="AD400" s="3">
        <v>4</v>
      </c>
      <c r="AE400" s="3">
        <v>4</v>
      </c>
      <c r="AF400" s="3">
        <v>4</v>
      </c>
      <c r="AG400" s="3">
        <v>4</v>
      </c>
      <c r="AH400" s="3">
        <v>4</v>
      </c>
      <c r="AI400" s="3">
        <v>4</v>
      </c>
      <c r="AJ400" s="3">
        <v>4</v>
      </c>
      <c r="AK400" s="3">
        <v>4</v>
      </c>
      <c r="AL400" s="3">
        <v>3</v>
      </c>
      <c r="AM400" s="3">
        <v>3</v>
      </c>
      <c r="AN400" s="3">
        <v>4</v>
      </c>
      <c r="AO400" s="3">
        <v>4</v>
      </c>
      <c r="AP400" s="3">
        <v>4</v>
      </c>
      <c r="AQ400" s="3">
        <v>4</v>
      </c>
      <c r="AR400" s="3">
        <v>4</v>
      </c>
      <c r="AS400" s="3">
        <v>4</v>
      </c>
      <c r="AT400" s="3">
        <v>4</v>
      </c>
      <c r="AU400" s="3">
        <v>4</v>
      </c>
      <c r="AV400" s="3">
        <v>4</v>
      </c>
      <c r="AW400" s="3">
        <v>4</v>
      </c>
      <c r="AX400" s="3">
        <v>4</v>
      </c>
      <c r="AY400" s="3">
        <v>4</v>
      </c>
      <c r="AZ400" s="3">
        <v>4</v>
      </c>
      <c r="BA400" s="3">
        <v>4</v>
      </c>
      <c r="BB400" s="3">
        <v>4</v>
      </c>
      <c r="BC400" s="3">
        <v>4</v>
      </c>
      <c r="BD400" s="3">
        <v>4</v>
      </c>
      <c r="BE400" s="3">
        <v>4</v>
      </c>
      <c r="BF400" s="3">
        <v>4</v>
      </c>
      <c r="BG400" s="3">
        <v>4</v>
      </c>
      <c r="BH400" s="3">
        <v>4</v>
      </c>
      <c r="BI400" s="3">
        <v>4</v>
      </c>
      <c r="BJ400" s="3">
        <v>4</v>
      </c>
      <c r="BK400" s="3">
        <v>4</v>
      </c>
      <c r="BL400" s="3">
        <v>4</v>
      </c>
      <c r="BM400" s="3">
        <v>4</v>
      </c>
      <c r="BN400" s="3">
        <v>4</v>
      </c>
      <c r="BO400" s="3">
        <v>4</v>
      </c>
      <c r="BP400" s="3" t="s">
        <v>1079</v>
      </c>
    </row>
    <row r="401" spans="1:68" ht="22.5" customHeight="1" x14ac:dyDescent="0.25">
      <c r="A401" s="2">
        <v>45987.501733483798</v>
      </c>
      <c r="B401" s="3" t="s">
        <v>1080</v>
      </c>
      <c r="C401" s="3" t="s">
        <v>86</v>
      </c>
      <c r="D401" s="3" t="s">
        <v>1081</v>
      </c>
      <c r="E401" s="3" t="s">
        <v>77</v>
      </c>
      <c r="F401" s="3" t="s">
        <v>78</v>
      </c>
      <c r="G401" s="3" t="s">
        <v>79</v>
      </c>
      <c r="H401" s="3">
        <v>5</v>
      </c>
      <c r="I401" s="3">
        <v>3</v>
      </c>
      <c r="J401" s="3">
        <v>4</v>
      </c>
      <c r="K401" s="3">
        <v>2</v>
      </c>
      <c r="L401" s="3">
        <v>4</v>
      </c>
      <c r="M401" s="3">
        <v>3</v>
      </c>
      <c r="N401" s="3">
        <v>4</v>
      </c>
      <c r="O401" s="3">
        <v>5</v>
      </c>
      <c r="P401" s="3">
        <v>5</v>
      </c>
      <c r="Q401" s="3">
        <v>2</v>
      </c>
      <c r="R401" s="3">
        <v>4</v>
      </c>
      <c r="S401" s="3">
        <v>5</v>
      </c>
      <c r="T401" s="3">
        <v>5</v>
      </c>
      <c r="U401" s="3">
        <v>4</v>
      </c>
      <c r="V401" s="3">
        <v>4</v>
      </c>
      <c r="W401" s="3">
        <v>5</v>
      </c>
      <c r="X401" s="3">
        <v>4</v>
      </c>
      <c r="Y401" s="3">
        <v>3</v>
      </c>
      <c r="Z401" s="3">
        <v>3</v>
      </c>
      <c r="AA401" s="3">
        <v>5</v>
      </c>
      <c r="AB401" s="3">
        <v>5</v>
      </c>
      <c r="AC401" s="3">
        <v>5</v>
      </c>
      <c r="AD401" s="3">
        <v>5</v>
      </c>
      <c r="AE401" s="3">
        <v>4</v>
      </c>
      <c r="AF401" s="3">
        <v>4</v>
      </c>
      <c r="AG401" s="3">
        <v>5</v>
      </c>
      <c r="AH401" s="3">
        <v>3</v>
      </c>
      <c r="AI401" s="3">
        <v>3</v>
      </c>
      <c r="AJ401" s="3">
        <v>5</v>
      </c>
      <c r="AK401" s="3">
        <v>3</v>
      </c>
      <c r="AL401" s="3">
        <v>4</v>
      </c>
      <c r="AM401" s="3">
        <v>4</v>
      </c>
      <c r="AN401" s="3">
        <v>3</v>
      </c>
      <c r="AO401" s="3">
        <v>4</v>
      </c>
      <c r="AP401" s="3">
        <v>4</v>
      </c>
      <c r="AQ401" s="3">
        <v>5</v>
      </c>
      <c r="AR401" s="3">
        <v>4</v>
      </c>
      <c r="AS401" s="3">
        <v>3</v>
      </c>
      <c r="AT401" s="3">
        <v>4</v>
      </c>
      <c r="AU401" s="3">
        <v>3</v>
      </c>
      <c r="AV401" s="3">
        <v>5</v>
      </c>
      <c r="AW401" s="3">
        <v>4</v>
      </c>
      <c r="AX401" s="3">
        <v>5</v>
      </c>
      <c r="AY401" s="3">
        <v>5</v>
      </c>
      <c r="AZ401" s="3">
        <v>5</v>
      </c>
      <c r="BA401" s="3">
        <v>4</v>
      </c>
      <c r="BB401" s="3">
        <v>4</v>
      </c>
      <c r="BC401" s="3">
        <v>3</v>
      </c>
      <c r="BD401" s="3">
        <v>4</v>
      </c>
      <c r="BE401" s="3">
        <v>3</v>
      </c>
      <c r="BF401" s="3">
        <v>5</v>
      </c>
      <c r="BG401" s="3">
        <v>4</v>
      </c>
      <c r="BH401" s="3">
        <v>5</v>
      </c>
      <c r="BI401" s="3">
        <v>5</v>
      </c>
      <c r="BJ401" s="3">
        <v>5</v>
      </c>
      <c r="BK401" s="3">
        <v>5</v>
      </c>
      <c r="BL401" s="3">
        <v>3</v>
      </c>
      <c r="BM401" s="3">
        <v>5</v>
      </c>
      <c r="BN401" s="3">
        <v>3</v>
      </c>
      <c r="BO401" s="3">
        <v>4</v>
      </c>
      <c r="BP401" s="3" t="s">
        <v>1082</v>
      </c>
    </row>
    <row r="402" spans="1:68" ht="22.5" customHeight="1" x14ac:dyDescent="0.25">
      <c r="A402" s="2">
        <v>45987.513463275463</v>
      </c>
      <c r="B402" s="3" t="s">
        <v>1083</v>
      </c>
      <c r="C402" s="3" t="s">
        <v>69</v>
      </c>
      <c r="D402" s="3" t="s">
        <v>1084</v>
      </c>
      <c r="E402" s="3" t="s">
        <v>77</v>
      </c>
      <c r="F402" s="3" t="s">
        <v>88</v>
      </c>
      <c r="G402" s="3" t="s">
        <v>79</v>
      </c>
      <c r="H402" s="3">
        <v>5</v>
      </c>
      <c r="I402" s="3">
        <v>4</v>
      </c>
      <c r="J402" s="3">
        <v>4</v>
      </c>
      <c r="K402" s="3">
        <v>4</v>
      </c>
      <c r="L402" s="3">
        <v>3</v>
      </c>
      <c r="M402" s="3">
        <v>2</v>
      </c>
      <c r="N402" s="3">
        <v>2</v>
      </c>
      <c r="O402" s="3">
        <v>4</v>
      </c>
      <c r="P402" s="3">
        <v>5</v>
      </c>
      <c r="Q402" s="3">
        <v>4</v>
      </c>
      <c r="R402" s="3">
        <v>4</v>
      </c>
      <c r="S402" s="3">
        <v>4</v>
      </c>
      <c r="T402" s="3">
        <v>4</v>
      </c>
      <c r="U402" s="3">
        <v>4</v>
      </c>
      <c r="V402" s="3">
        <v>4</v>
      </c>
      <c r="W402" s="3">
        <v>4</v>
      </c>
      <c r="X402" s="3">
        <v>3</v>
      </c>
      <c r="Y402" s="3">
        <v>4</v>
      </c>
      <c r="Z402" s="3">
        <v>4</v>
      </c>
      <c r="AA402" s="3">
        <v>4</v>
      </c>
      <c r="AB402" s="3">
        <v>4</v>
      </c>
      <c r="AC402" s="3">
        <v>5</v>
      </c>
      <c r="AD402" s="3">
        <v>5</v>
      </c>
      <c r="AE402" s="3">
        <v>4</v>
      </c>
      <c r="AF402" s="3">
        <v>4</v>
      </c>
      <c r="AG402" s="3">
        <v>3</v>
      </c>
      <c r="AH402" s="3">
        <v>3</v>
      </c>
      <c r="AI402" s="3">
        <v>4</v>
      </c>
      <c r="AJ402" s="3">
        <v>3</v>
      </c>
      <c r="AK402" s="3">
        <v>3</v>
      </c>
      <c r="AL402" s="3">
        <v>3</v>
      </c>
      <c r="AM402" s="3">
        <v>3</v>
      </c>
      <c r="AN402" s="3">
        <v>4</v>
      </c>
      <c r="AO402" s="3">
        <v>4</v>
      </c>
      <c r="AP402" s="3">
        <v>4</v>
      </c>
      <c r="AQ402" s="3">
        <v>4</v>
      </c>
      <c r="AR402" s="3">
        <v>4</v>
      </c>
      <c r="AS402" s="3">
        <v>3</v>
      </c>
      <c r="AT402" s="3">
        <v>4</v>
      </c>
      <c r="AU402" s="3">
        <v>4</v>
      </c>
      <c r="AV402" s="3">
        <v>4</v>
      </c>
      <c r="AW402" s="3">
        <v>5</v>
      </c>
      <c r="AX402" s="3">
        <v>5</v>
      </c>
      <c r="AY402" s="3">
        <v>5</v>
      </c>
      <c r="AZ402" s="3">
        <v>5</v>
      </c>
      <c r="BA402" s="3">
        <v>4</v>
      </c>
      <c r="BB402" s="3">
        <v>4</v>
      </c>
      <c r="BC402" s="3">
        <v>4</v>
      </c>
      <c r="BD402" s="3">
        <v>4</v>
      </c>
      <c r="BE402" s="3">
        <v>4</v>
      </c>
      <c r="BF402" s="3">
        <v>4</v>
      </c>
      <c r="BG402" s="3">
        <v>4</v>
      </c>
      <c r="BH402" s="3">
        <v>5</v>
      </c>
      <c r="BI402" s="3">
        <v>5</v>
      </c>
      <c r="BJ402" s="3">
        <v>4</v>
      </c>
      <c r="BK402" s="3">
        <v>4</v>
      </c>
      <c r="BL402" s="3">
        <v>4</v>
      </c>
      <c r="BM402" s="3">
        <v>4</v>
      </c>
      <c r="BN402" s="3">
        <v>3</v>
      </c>
      <c r="BO402" s="3">
        <v>5</v>
      </c>
      <c r="BP402" s="3" t="s">
        <v>1085</v>
      </c>
    </row>
    <row r="403" spans="1:68" ht="22.5" customHeight="1" x14ac:dyDescent="0.25">
      <c r="A403" s="2">
        <v>45987.548769884263</v>
      </c>
      <c r="B403" s="3" t="s">
        <v>1086</v>
      </c>
      <c r="C403" s="3" t="s">
        <v>86</v>
      </c>
      <c r="D403" s="3" t="s">
        <v>1087</v>
      </c>
      <c r="E403" s="3" t="s">
        <v>141</v>
      </c>
      <c r="F403" s="3" t="s">
        <v>72</v>
      </c>
      <c r="G403" s="3" t="s">
        <v>91</v>
      </c>
      <c r="H403" s="3">
        <v>4</v>
      </c>
      <c r="I403" s="3">
        <v>4</v>
      </c>
      <c r="J403" s="3">
        <v>4</v>
      </c>
      <c r="K403" s="3">
        <v>5</v>
      </c>
      <c r="L403" s="3">
        <v>5</v>
      </c>
      <c r="M403" s="3">
        <v>4</v>
      </c>
      <c r="N403" s="3">
        <v>5</v>
      </c>
      <c r="O403" s="3">
        <v>5</v>
      </c>
      <c r="P403" s="3">
        <v>5</v>
      </c>
      <c r="Q403" s="3">
        <v>4</v>
      </c>
      <c r="R403" s="3">
        <v>5</v>
      </c>
      <c r="S403" s="3">
        <v>5</v>
      </c>
      <c r="T403" s="3">
        <v>5</v>
      </c>
      <c r="U403" s="3">
        <v>5</v>
      </c>
      <c r="V403" s="3">
        <v>3</v>
      </c>
      <c r="W403" s="3">
        <v>4</v>
      </c>
      <c r="X403" s="3">
        <v>5</v>
      </c>
      <c r="Y403" s="3">
        <v>5</v>
      </c>
      <c r="Z403" s="3">
        <v>5</v>
      </c>
      <c r="AA403" s="3">
        <v>5</v>
      </c>
      <c r="AB403" s="3">
        <v>5</v>
      </c>
      <c r="AC403" s="3">
        <v>5</v>
      </c>
      <c r="AD403" s="3">
        <v>5</v>
      </c>
      <c r="AE403" s="3">
        <v>4</v>
      </c>
      <c r="AF403" s="3">
        <v>4</v>
      </c>
      <c r="AG403" s="3">
        <v>4</v>
      </c>
      <c r="AH403" s="3">
        <v>4</v>
      </c>
      <c r="AI403" s="3">
        <v>3</v>
      </c>
      <c r="AJ403" s="3">
        <v>4</v>
      </c>
      <c r="AK403" s="3">
        <v>2</v>
      </c>
      <c r="AL403" s="3">
        <v>4</v>
      </c>
      <c r="AM403" s="3">
        <v>3</v>
      </c>
      <c r="AN403" s="3">
        <v>5</v>
      </c>
      <c r="AO403" s="3">
        <v>5</v>
      </c>
      <c r="AP403" s="3">
        <v>5</v>
      </c>
      <c r="AQ403" s="3">
        <v>4</v>
      </c>
      <c r="AR403" s="3">
        <v>3</v>
      </c>
      <c r="AS403" s="3">
        <v>5</v>
      </c>
      <c r="AT403" s="3">
        <v>5</v>
      </c>
      <c r="AU403" s="3">
        <v>5</v>
      </c>
      <c r="AV403" s="3">
        <v>5</v>
      </c>
      <c r="AW403" s="3">
        <v>5</v>
      </c>
      <c r="AX403" s="3">
        <v>4</v>
      </c>
      <c r="AY403" s="3">
        <v>5</v>
      </c>
      <c r="AZ403" s="3">
        <v>5</v>
      </c>
      <c r="BA403" s="3">
        <v>4</v>
      </c>
      <c r="BB403" s="3">
        <v>4</v>
      </c>
      <c r="BC403" s="3">
        <v>5</v>
      </c>
      <c r="BD403" s="3">
        <v>5</v>
      </c>
      <c r="BE403" s="3">
        <v>5</v>
      </c>
      <c r="BF403" s="3">
        <v>5</v>
      </c>
      <c r="BG403" s="3">
        <v>4</v>
      </c>
      <c r="BH403" s="3">
        <v>5</v>
      </c>
      <c r="BI403" s="3">
        <v>5</v>
      </c>
      <c r="BJ403" s="3">
        <v>5</v>
      </c>
      <c r="BK403" s="3">
        <v>5</v>
      </c>
      <c r="BL403" s="3">
        <v>5</v>
      </c>
      <c r="BM403" s="3">
        <v>5</v>
      </c>
      <c r="BN403" s="3">
        <v>5</v>
      </c>
      <c r="BO403" s="3">
        <v>5</v>
      </c>
      <c r="BP403" s="3" t="s">
        <v>1088</v>
      </c>
    </row>
    <row r="404" spans="1:68" ht="22.5" customHeight="1" x14ac:dyDescent="0.25">
      <c r="A404" s="2">
        <v>45987.553626793982</v>
      </c>
      <c r="B404" s="3" t="s">
        <v>1089</v>
      </c>
      <c r="C404" s="3" t="s">
        <v>86</v>
      </c>
      <c r="D404" s="3" t="s">
        <v>1090</v>
      </c>
      <c r="E404" s="3" t="s">
        <v>141</v>
      </c>
      <c r="F404" s="3" t="s">
        <v>78</v>
      </c>
      <c r="G404" s="3" t="s">
        <v>79</v>
      </c>
      <c r="H404" s="3">
        <v>5</v>
      </c>
      <c r="I404" s="3">
        <v>3</v>
      </c>
      <c r="J404" s="3">
        <v>4</v>
      </c>
      <c r="K404" s="3">
        <v>3</v>
      </c>
      <c r="L404" s="3">
        <v>4</v>
      </c>
      <c r="M404" s="3">
        <v>3</v>
      </c>
      <c r="N404" s="3">
        <v>3</v>
      </c>
      <c r="O404" s="3">
        <v>5</v>
      </c>
      <c r="P404" s="3">
        <v>5</v>
      </c>
      <c r="Q404" s="3">
        <v>4</v>
      </c>
      <c r="R404" s="3">
        <v>4</v>
      </c>
      <c r="S404" s="3">
        <v>5</v>
      </c>
      <c r="T404" s="3">
        <v>5</v>
      </c>
      <c r="U404" s="3">
        <v>5</v>
      </c>
      <c r="V404" s="3">
        <v>4</v>
      </c>
      <c r="W404" s="3">
        <v>3</v>
      </c>
      <c r="X404" s="3">
        <v>4</v>
      </c>
      <c r="Y404" s="3">
        <v>3</v>
      </c>
      <c r="Z404" s="3">
        <v>3</v>
      </c>
      <c r="AA404" s="3">
        <v>4</v>
      </c>
      <c r="AB404" s="3">
        <v>3</v>
      </c>
      <c r="AC404" s="3">
        <v>4</v>
      </c>
      <c r="AD404" s="3">
        <v>3</v>
      </c>
      <c r="AE404" s="3">
        <v>4</v>
      </c>
      <c r="AF404" s="3">
        <v>4</v>
      </c>
      <c r="AG404" s="3">
        <v>4</v>
      </c>
      <c r="AH404" s="3">
        <v>4</v>
      </c>
      <c r="AI404" s="3">
        <v>4</v>
      </c>
      <c r="AJ404" s="3">
        <v>4</v>
      </c>
      <c r="AK404" s="3">
        <v>4</v>
      </c>
      <c r="AL404" s="3">
        <v>4</v>
      </c>
      <c r="AM404" s="3">
        <v>3</v>
      </c>
      <c r="AN404" s="3">
        <v>3</v>
      </c>
      <c r="AO404" s="3">
        <v>4</v>
      </c>
      <c r="AP404" s="3">
        <v>4</v>
      </c>
      <c r="AQ404" s="3">
        <v>4</v>
      </c>
      <c r="AR404" s="3">
        <v>3</v>
      </c>
      <c r="AS404" s="3">
        <v>3</v>
      </c>
      <c r="AT404" s="3">
        <v>4</v>
      </c>
      <c r="AU404" s="3">
        <v>3</v>
      </c>
      <c r="AV404" s="3">
        <v>4</v>
      </c>
      <c r="AW404" s="3">
        <v>4</v>
      </c>
      <c r="AX404" s="3">
        <v>4</v>
      </c>
      <c r="AY404" s="3">
        <v>5</v>
      </c>
      <c r="AZ404" s="3">
        <v>4</v>
      </c>
      <c r="BA404" s="3">
        <v>4</v>
      </c>
      <c r="BB404" s="3">
        <v>4</v>
      </c>
      <c r="BC404" s="3">
        <v>3</v>
      </c>
      <c r="BD404" s="3">
        <v>4</v>
      </c>
      <c r="BE404" s="3">
        <v>4</v>
      </c>
      <c r="BF404" s="3">
        <v>3</v>
      </c>
      <c r="BG404" s="3">
        <v>4</v>
      </c>
      <c r="BH404" s="3">
        <v>4</v>
      </c>
      <c r="BI404" s="3">
        <v>5</v>
      </c>
      <c r="BJ404" s="3">
        <v>3</v>
      </c>
      <c r="BK404" s="3">
        <v>5</v>
      </c>
      <c r="BL404" s="3">
        <v>4</v>
      </c>
      <c r="BM404" s="3">
        <v>5</v>
      </c>
      <c r="BN404" s="3">
        <v>3</v>
      </c>
      <c r="BO404" s="3">
        <v>5</v>
      </c>
      <c r="BP404" s="3" t="s">
        <v>1091</v>
      </c>
    </row>
    <row r="405" spans="1:68" ht="22.5" customHeight="1" x14ac:dyDescent="0.25">
      <c r="A405" s="2">
        <v>45987.589669976849</v>
      </c>
      <c r="B405" s="3" t="s">
        <v>1092</v>
      </c>
      <c r="C405" s="3" t="s">
        <v>69</v>
      </c>
      <c r="D405" s="3" t="s">
        <v>1093</v>
      </c>
      <c r="E405" s="3" t="s">
        <v>119</v>
      </c>
      <c r="F405" s="3" t="s">
        <v>103</v>
      </c>
      <c r="G405" s="3" t="s">
        <v>91</v>
      </c>
      <c r="H405" s="3">
        <v>5</v>
      </c>
      <c r="I405" s="3">
        <v>5</v>
      </c>
      <c r="J405" s="3">
        <v>4</v>
      </c>
      <c r="K405" s="3">
        <v>4</v>
      </c>
      <c r="L405" s="3">
        <v>5</v>
      </c>
      <c r="M405" s="3">
        <v>3</v>
      </c>
      <c r="N405" s="3">
        <v>3</v>
      </c>
      <c r="O405" s="3">
        <v>4</v>
      </c>
      <c r="P405" s="3">
        <v>5</v>
      </c>
      <c r="Q405" s="3">
        <v>5</v>
      </c>
      <c r="R405" s="3">
        <v>5</v>
      </c>
      <c r="S405" s="3">
        <v>5</v>
      </c>
      <c r="T405" s="3">
        <v>5</v>
      </c>
      <c r="U405" s="3">
        <v>5</v>
      </c>
      <c r="V405" s="3">
        <v>3</v>
      </c>
      <c r="W405" s="3">
        <v>3</v>
      </c>
      <c r="X405" s="3">
        <v>3</v>
      </c>
      <c r="Y405" s="3">
        <v>3</v>
      </c>
      <c r="Z405" s="3">
        <v>3</v>
      </c>
      <c r="AA405" s="3">
        <v>4</v>
      </c>
      <c r="AB405" s="3">
        <v>4</v>
      </c>
      <c r="AC405" s="3">
        <v>4</v>
      </c>
      <c r="AD405" s="3">
        <v>4</v>
      </c>
      <c r="AE405" s="3">
        <v>5</v>
      </c>
      <c r="AF405" s="3">
        <v>5</v>
      </c>
      <c r="AG405" s="3">
        <v>5</v>
      </c>
      <c r="AH405" s="3">
        <v>5</v>
      </c>
      <c r="AI405" s="3">
        <v>5</v>
      </c>
      <c r="AJ405" s="3">
        <v>5</v>
      </c>
      <c r="AK405" s="3">
        <v>5</v>
      </c>
      <c r="AL405" s="3">
        <v>5</v>
      </c>
      <c r="AM405" s="3">
        <v>5</v>
      </c>
      <c r="AN405" s="3">
        <v>3</v>
      </c>
      <c r="AO405" s="3">
        <v>4</v>
      </c>
      <c r="AP405" s="3">
        <v>5</v>
      </c>
      <c r="AQ405" s="3">
        <v>3</v>
      </c>
      <c r="AR405" s="3">
        <v>3</v>
      </c>
      <c r="AS405" s="3">
        <v>3</v>
      </c>
      <c r="AT405" s="3">
        <v>4</v>
      </c>
      <c r="AU405" s="3">
        <v>4</v>
      </c>
      <c r="AV405" s="3">
        <v>4</v>
      </c>
      <c r="AW405" s="3">
        <v>5</v>
      </c>
      <c r="AX405" s="3">
        <v>5</v>
      </c>
      <c r="AY405" s="3">
        <v>5</v>
      </c>
      <c r="AZ405" s="3">
        <v>5</v>
      </c>
      <c r="BA405" s="3">
        <v>4</v>
      </c>
      <c r="BB405" s="3">
        <v>4</v>
      </c>
      <c r="BC405" s="3">
        <v>5</v>
      </c>
      <c r="BD405" s="3">
        <v>4</v>
      </c>
      <c r="BE405" s="3">
        <v>4</v>
      </c>
      <c r="BF405" s="3">
        <v>5</v>
      </c>
      <c r="BG405" s="3">
        <v>5</v>
      </c>
      <c r="BH405" s="3">
        <v>5</v>
      </c>
      <c r="BI405" s="3">
        <v>5</v>
      </c>
      <c r="BJ405" s="3">
        <v>5</v>
      </c>
      <c r="BK405" s="3">
        <v>5</v>
      </c>
      <c r="BL405" s="3">
        <v>5</v>
      </c>
      <c r="BM405" s="3">
        <v>5</v>
      </c>
      <c r="BN405" s="3">
        <v>5</v>
      </c>
      <c r="BO405" s="3">
        <v>5</v>
      </c>
      <c r="BP405" s="3" t="s">
        <v>1094</v>
      </c>
    </row>
    <row r="406" spans="1:68" ht="22.5" customHeight="1" x14ac:dyDescent="0.25">
      <c r="A406" s="2">
        <v>45987.593266956013</v>
      </c>
      <c r="B406" s="3" t="s">
        <v>1095</v>
      </c>
      <c r="C406" s="3" t="s">
        <v>86</v>
      </c>
      <c r="D406" s="3" t="s">
        <v>1096</v>
      </c>
      <c r="E406" s="3" t="s">
        <v>77</v>
      </c>
      <c r="F406" s="3" t="s">
        <v>78</v>
      </c>
      <c r="G406" s="3" t="s">
        <v>79</v>
      </c>
      <c r="H406" s="3">
        <v>4</v>
      </c>
      <c r="I406" s="3">
        <v>4</v>
      </c>
      <c r="J406" s="3">
        <v>4</v>
      </c>
      <c r="K406" s="3">
        <v>4</v>
      </c>
      <c r="L406" s="3">
        <v>4</v>
      </c>
      <c r="M406" s="3">
        <v>4</v>
      </c>
      <c r="N406" s="3">
        <v>4</v>
      </c>
      <c r="O406" s="3">
        <v>4</v>
      </c>
      <c r="P406" s="3">
        <v>4</v>
      </c>
      <c r="Q406" s="3">
        <v>4</v>
      </c>
      <c r="R406" s="3">
        <v>4</v>
      </c>
      <c r="S406" s="3">
        <v>4</v>
      </c>
      <c r="T406" s="3">
        <v>4</v>
      </c>
      <c r="U406" s="3">
        <v>4</v>
      </c>
      <c r="V406" s="3">
        <v>4</v>
      </c>
      <c r="W406" s="3">
        <v>4</v>
      </c>
      <c r="X406" s="3">
        <v>4</v>
      </c>
      <c r="Y406" s="3">
        <v>4</v>
      </c>
      <c r="Z406" s="3">
        <v>4</v>
      </c>
      <c r="AA406" s="3">
        <v>4</v>
      </c>
      <c r="AB406" s="3">
        <v>4</v>
      </c>
      <c r="AC406" s="3">
        <v>4</v>
      </c>
      <c r="AD406" s="3">
        <v>4</v>
      </c>
      <c r="AE406" s="3">
        <v>4</v>
      </c>
      <c r="AF406" s="3">
        <v>4</v>
      </c>
      <c r="AG406" s="3">
        <v>4</v>
      </c>
      <c r="AH406" s="3">
        <v>4</v>
      </c>
      <c r="AI406" s="3">
        <v>4</v>
      </c>
      <c r="AJ406" s="3">
        <v>4</v>
      </c>
      <c r="AK406" s="3">
        <v>4</v>
      </c>
      <c r="AL406" s="3">
        <v>4</v>
      </c>
      <c r="AM406" s="3">
        <v>4</v>
      </c>
      <c r="AN406" s="3">
        <v>4</v>
      </c>
      <c r="AO406" s="3">
        <v>4</v>
      </c>
      <c r="AP406" s="3">
        <v>4</v>
      </c>
      <c r="AQ406" s="3">
        <v>4</v>
      </c>
      <c r="AR406" s="3">
        <v>4</v>
      </c>
      <c r="AS406" s="3">
        <v>4</v>
      </c>
      <c r="AT406" s="3">
        <v>4</v>
      </c>
      <c r="AU406" s="3">
        <v>4</v>
      </c>
      <c r="AV406" s="3">
        <v>4</v>
      </c>
      <c r="AW406" s="3">
        <v>4</v>
      </c>
      <c r="AX406" s="3">
        <v>4</v>
      </c>
      <c r="AY406" s="3">
        <v>4</v>
      </c>
      <c r="AZ406" s="3">
        <v>4</v>
      </c>
      <c r="BA406" s="3">
        <v>4</v>
      </c>
      <c r="BB406" s="3">
        <v>4</v>
      </c>
      <c r="BC406" s="3">
        <v>4</v>
      </c>
      <c r="BD406" s="3">
        <v>4</v>
      </c>
      <c r="BE406" s="3">
        <v>4</v>
      </c>
      <c r="BF406" s="3">
        <v>4</v>
      </c>
      <c r="BG406" s="3">
        <v>4</v>
      </c>
      <c r="BH406" s="3">
        <v>4</v>
      </c>
      <c r="BI406" s="3">
        <v>4</v>
      </c>
      <c r="BJ406" s="3">
        <v>4</v>
      </c>
      <c r="BK406" s="3">
        <v>4</v>
      </c>
      <c r="BL406" s="3">
        <v>4</v>
      </c>
      <c r="BM406" s="3">
        <v>4</v>
      </c>
      <c r="BN406" s="3">
        <v>4</v>
      </c>
      <c r="BO406" s="3">
        <v>4</v>
      </c>
      <c r="BP406" s="3" t="s">
        <v>1097</v>
      </c>
    </row>
    <row r="407" spans="1:68" ht="22.5" customHeight="1" x14ac:dyDescent="0.25">
      <c r="A407" s="2">
        <v>45987.599523634257</v>
      </c>
      <c r="B407" s="3" t="s">
        <v>1098</v>
      </c>
      <c r="C407" s="3" t="s">
        <v>86</v>
      </c>
      <c r="D407" s="3" t="s">
        <v>1099</v>
      </c>
      <c r="E407" s="3" t="s">
        <v>77</v>
      </c>
      <c r="F407" s="3" t="s">
        <v>78</v>
      </c>
      <c r="G407" s="3" t="s">
        <v>79</v>
      </c>
      <c r="H407" s="3">
        <v>3</v>
      </c>
      <c r="I407" s="3">
        <v>3</v>
      </c>
      <c r="J407" s="3">
        <v>3</v>
      </c>
      <c r="K407" s="3">
        <v>3</v>
      </c>
      <c r="L407" s="3">
        <v>3</v>
      </c>
      <c r="M407" s="3">
        <v>3</v>
      </c>
      <c r="N407" s="3">
        <v>4</v>
      </c>
      <c r="O407" s="3">
        <v>3</v>
      </c>
      <c r="P407" s="3">
        <v>3</v>
      </c>
      <c r="Q407" s="3">
        <v>4</v>
      </c>
      <c r="R407" s="3">
        <v>4</v>
      </c>
      <c r="S407" s="3">
        <v>4</v>
      </c>
      <c r="T407" s="3">
        <v>3</v>
      </c>
      <c r="U407" s="3">
        <v>3</v>
      </c>
      <c r="V407" s="3">
        <v>3</v>
      </c>
      <c r="W407" s="3">
        <v>3</v>
      </c>
      <c r="X407" s="3">
        <v>4</v>
      </c>
      <c r="Y407" s="3">
        <v>4</v>
      </c>
      <c r="Z407" s="3">
        <v>3</v>
      </c>
      <c r="AA407" s="3">
        <v>3</v>
      </c>
      <c r="AB407" s="3">
        <v>3</v>
      </c>
      <c r="AC407" s="3">
        <v>3</v>
      </c>
      <c r="AD407" s="3">
        <v>3</v>
      </c>
      <c r="AE407" s="3">
        <v>3</v>
      </c>
      <c r="AF407" s="3">
        <v>3</v>
      </c>
      <c r="AG407" s="3">
        <v>3</v>
      </c>
      <c r="AH407" s="3">
        <v>3</v>
      </c>
      <c r="AI407" s="3">
        <v>4</v>
      </c>
      <c r="AJ407" s="3">
        <v>4</v>
      </c>
      <c r="AK407" s="3">
        <v>4</v>
      </c>
      <c r="AL407" s="3">
        <v>4</v>
      </c>
      <c r="AM407" s="3">
        <v>4</v>
      </c>
      <c r="AN407" s="3">
        <v>3</v>
      </c>
      <c r="AO407" s="3">
        <v>3</v>
      </c>
      <c r="AP407" s="3">
        <v>3</v>
      </c>
      <c r="AQ407" s="3">
        <v>3</v>
      </c>
      <c r="AR407" s="3">
        <v>3</v>
      </c>
      <c r="AS407" s="3">
        <v>3</v>
      </c>
      <c r="AT407" s="3">
        <v>3</v>
      </c>
      <c r="AU407" s="3">
        <v>3</v>
      </c>
      <c r="AV407" s="3">
        <v>3</v>
      </c>
      <c r="AW407" s="3">
        <v>3</v>
      </c>
      <c r="AX407" s="3">
        <v>3</v>
      </c>
      <c r="AY407" s="3">
        <v>3</v>
      </c>
      <c r="AZ407" s="3">
        <v>3</v>
      </c>
      <c r="BA407" s="3">
        <v>4</v>
      </c>
      <c r="BB407" s="3">
        <v>3</v>
      </c>
      <c r="BC407" s="3">
        <v>3</v>
      </c>
      <c r="BD407" s="3">
        <v>3</v>
      </c>
      <c r="BE407" s="3">
        <v>4</v>
      </c>
      <c r="BF407" s="3">
        <v>3</v>
      </c>
      <c r="BG407" s="3">
        <v>3</v>
      </c>
      <c r="BH407" s="3">
        <v>3</v>
      </c>
      <c r="BI407" s="3">
        <v>3</v>
      </c>
      <c r="BJ407" s="3">
        <v>3</v>
      </c>
      <c r="BK407" s="3">
        <v>3</v>
      </c>
      <c r="BL407" s="3">
        <v>4</v>
      </c>
      <c r="BM407" s="3">
        <v>3</v>
      </c>
      <c r="BN407" s="3">
        <v>3</v>
      </c>
      <c r="BO407" s="3">
        <v>3</v>
      </c>
      <c r="BP407" s="3" t="s">
        <v>1100</v>
      </c>
    </row>
    <row r="408" spans="1:68" ht="22.5" customHeight="1" x14ac:dyDescent="0.25">
      <c r="A408" s="2">
        <v>45987.607699884262</v>
      </c>
      <c r="B408" s="3" t="s">
        <v>1101</v>
      </c>
      <c r="C408" s="3" t="s">
        <v>86</v>
      </c>
      <c r="D408" s="3" t="s">
        <v>1102</v>
      </c>
      <c r="E408" s="3" t="s">
        <v>77</v>
      </c>
      <c r="F408" s="3" t="s">
        <v>103</v>
      </c>
      <c r="G408" s="3" t="s">
        <v>91</v>
      </c>
      <c r="H408" s="3">
        <v>5</v>
      </c>
      <c r="I408" s="3">
        <v>5</v>
      </c>
      <c r="J408" s="3">
        <v>5</v>
      </c>
      <c r="K408" s="3">
        <v>4</v>
      </c>
      <c r="L408" s="3">
        <v>5</v>
      </c>
      <c r="M408" s="3">
        <v>4</v>
      </c>
      <c r="N408" s="3">
        <v>4</v>
      </c>
      <c r="O408" s="3">
        <v>5</v>
      </c>
      <c r="P408" s="3">
        <v>5</v>
      </c>
      <c r="Q408" s="3">
        <v>4</v>
      </c>
      <c r="R408" s="3">
        <v>4</v>
      </c>
      <c r="S408" s="3">
        <v>5</v>
      </c>
      <c r="T408" s="3">
        <v>5</v>
      </c>
      <c r="U408" s="3">
        <v>5</v>
      </c>
      <c r="V408" s="3">
        <v>4</v>
      </c>
      <c r="W408" s="3">
        <v>4</v>
      </c>
      <c r="X408" s="3">
        <v>4</v>
      </c>
      <c r="Y408" s="3">
        <v>4</v>
      </c>
      <c r="Z408" s="3">
        <v>4</v>
      </c>
      <c r="AA408" s="3">
        <v>5</v>
      </c>
      <c r="AB408" s="3">
        <v>5</v>
      </c>
      <c r="AC408" s="3">
        <v>4</v>
      </c>
      <c r="AD408" s="3">
        <v>5</v>
      </c>
      <c r="AE408" s="3">
        <v>5</v>
      </c>
      <c r="AF408" s="3">
        <v>4</v>
      </c>
      <c r="AG408" s="3">
        <v>4</v>
      </c>
      <c r="AH408" s="3">
        <v>4</v>
      </c>
      <c r="AI408" s="3">
        <v>4</v>
      </c>
      <c r="AJ408" s="3">
        <v>4</v>
      </c>
      <c r="AK408" s="3">
        <v>5</v>
      </c>
      <c r="AL408" s="3">
        <v>5</v>
      </c>
      <c r="AM408" s="3">
        <v>4</v>
      </c>
      <c r="AN408" s="3">
        <v>4</v>
      </c>
      <c r="AO408" s="3">
        <v>4</v>
      </c>
      <c r="AP408" s="3">
        <v>4</v>
      </c>
      <c r="AQ408" s="3">
        <v>4</v>
      </c>
      <c r="AR408" s="3">
        <v>4</v>
      </c>
      <c r="AS408" s="3">
        <v>4</v>
      </c>
      <c r="AT408" s="3">
        <v>4</v>
      </c>
      <c r="AU408" s="3">
        <v>4</v>
      </c>
      <c r="AV408" s="3">
        <v>4</v>
      </c>
      <c r="AW408" s="3">
        <v>5</v>
      </c>
      <c r="AX408" s="3">
        <v>5</v>
      </c>
      <c r="AY408" s="3">
        <v>5</v>
      </c>
      <c r="AZ408" s="3">
        <v>5</v>
      </c>
      <c r="BA408" s="3">
        <v>5</v>
      </c>
      <c r="BB408" s="3">
        <v>4</v>
      </c>
      <c r="BC408" s="3">
        <v>4</v>
      </c>
      <c r="BD408" s="3">
        <v>4</v>
      </c>
      <c r="BE408" s="3">
        <v>4</v>
      </c>
      <c r="BF408" s="3">
        <v>3</v>
      </c>
      <c r="BG408" s="3">
        <v>5</v>
      </c>
      <c r="BH408" s="3">
        <v>5</v>
      </c>
      <c r="BI408" s="3">
        <v>5</v>
      </c>
      <c r="BJ408" s="3">
        <v>5</v>
      </c>
      <c r="BK408" s="3">
        <v>5</v>
      </c>
      <c r="BL408" s="3">
        <v>5</v>
      </c>
      <c r="BM408" s="3">
        <v>4</v>
      </c>
      <c r="BN408" s="3">
        <v>4</v>
      </c>
      <c r="BO408" s="3">
        <v>5</v>
      </c>
      <c r="BP408" s="3" t="s">
        <v>1103</v>
      </c>
    </row>
    <row r="409" spans="1:68" ht="22.5" customHeight="1" x14ac:dyDescent="0.25">
      <c r="A409" s="2">
        <v>45987.607924733791</v>
      </c>
      <c r="B409" s="3" t="s">
        <v>1104</v>
      </c>
      <c r="C409" s="3" t="s">
        <v>86</v>
      </c>
      <c r="D409" s="3" t="s">
        <v>1105</v>
      </c>
      <c r="E409" s="3" t="s">
        <v>77</v>
      </c>
      <c r="F409" s="3" t="s">
        <v>103</v>
      </c>
      <c r="G409" s="3" t="s">
        <v>79</v>
      </c>
      <c r="H409" s="3">
        <v>4</v>
      </c>
      <c r="I409" s="3">
        <v>4</v>
      </c>
      <c r="J409" s="3">
        <v>3</v>
      </c>
      <c r="K409" s="3">
        <v>3</v>
      </c>
      <c r="L409" s="3">
        <v>4</v>
      </c>
      <c r="M409" s="3">
        <v>4</v>
      </c>
      <c r="N409" s="3">
        <v>3</v>
      </c>
      <c r="O409" s="3">
        <v>3</v>
      </c>
      <c r="P409" s="3">
        <v>3</v>
      </c>
      <c r="Q409" s="3">
        <v>4</v>
      </c>
      <c r="R409" s="3">
        <v>4</v>
      </c>
      <c r="S409" s="3">
        <v>4</v>
      </c>
      <c r="T409" s="3">
        <v>3</v>
      </c>
      <c r="U409" s="3">
        <v>4</v>
      </c>
      <c r="V409" s="3">
        <v>3</v>
      </c>
      <c r="W409" s="3">
        <v>3</v>
      </c>
      <c r="X409" s="3">
        <v>4</v>
      </c>
      <c r="Y409" s="3">
        <v>4</v>
      </c>
      <c r="Z409" s="3">
        <v>5</v>
      </c>
      <c r="AA409" s="3">
        <v>4</v>
      </c>
      <c r="AB409" s="3">
        <v>4</v>
      </c>
      <c r="AC409" s="3">
        <v>4</v>
      </c>
      <c r="AD409" s="3">
        <v>5</v>
      </c>
      <c r="AE409" s="3">
        <v>5</v>
      </c>
      <c r="AF409" s="3">
        <v>5</v>
      </c>
      <c r="AG409" s="3">
        <v>4</v>
      </c>
      <c r="AH409" s="3">
        <v>3</v>
      </c>
      <c r="AI409" s="3">
        <v>4</v>
      </c>
      <c r="AJ409" s="3">
        <v>4</v>
      </c>
      <c r="AK409" s="3">
        <v>4</v>
      </c>
      <c r="AL409" s="3">
        <v>4</v>
      </c>
      <c r="AM409" s="3">
        <v>4</v>
      </c>
      <c r="AN409" s="3">
        <v>3</v>
      </c>
      <c r="AO409" s="3">
        <v>3</v>
      </c>
      <c r="AP409" s="3">
        <v>3</v>
      </c>
      <c r="AQ409" s="3">
        <v>3</v>
      </c>
      <c r="AR409" s="3">
        <v>3</v>
      </c>
      <c r="AS409" s="3">
        <v>3</v>
      </c>
      <c r="AT409" s="3">
        <v>4</v>
      </c>
      <c r="AU409" s="3">
        <v>4</v>
      </c>
      <c r="AV409" s="3">
        <v>4</v>
      </c>
      <c r="AW409" s="3">
        <v>5</v>
      </c>
      <c r="AX409" s="3">
        <v>5</v>
      </c>
      <c r="AY409" s="3">
        <v>5</v>
      </c>
      <c r="AZ409" s="3">
        <v>4</v>
      </c>
      <c r="BA409" s="3">
        <v>3</v>
      </c>
      <c r="BB409" s="3">
        <v>4</v>
      </c>
      <c r="BC409" s="3">
        <v>4</v>
      </c>
      <c r="BD409" s="3">
        <v>4</v>
      </c>
      <c r="BE409" s="3">
        <v>4</v>
      </c>
      <c r="BF409" s="3">
        <v>4</v>
      </c>
      <c r="BG409" s="3">
        <v>4</v>
      </c>
      <c r="BH409" s="3">
        <v>4</v>
      </c>
      <c r="BI409" s="3">
        <v>4</v>
      </c>
      <c r="BJ409" s="3">
        <v>4</v>
      </c>
      <c r="BK409" s="3">
        <v>4</v>
      </c>
      <c r="BL409" s="3">
        <v>4</v>
      </c>
      <c r="BM409" s="3">
        <v>4</v>
      </c>
      <c r="BN409" s="3">
        <v>4</v>
      </c>
      <c r="BO409" s="3">
        <v>4</v>
      </c>
      <c r="BP409" s="3" t="s">
        <v>1106</v>
      </c>
    </row>
    <row r="410" spans="1:68" ht="22.5" customHeight="1" x14ac:dyDescent="0.25">
      <c r="A410" s="2">
        <v>45987.617144826392</v>
      </c>
      <c r="B410" s="3" t="s">
        <v>1107</v>
      </c>
      <c r="C410" s="3" t="s">
        <v>86</v>
      </c>
      <c r="D410" s="3" t="s">
        <v>1108</v>
      </c>
      <c r="E410" s="3" t="s">
        <v>77</v>
      </c>
      <c r="F410" s="3" t="s">
        <v>78</v>
      </c>
      <c r="G410" s="3" t="s">
        <v>79</v>
      </c>
      <c r="H410" s="3">
        <v>4</v>
      </c>
      <c r="I410" s="3">
        <v>4</v>
      </c>
      <c r="J410" s="3">
        <v>4</v>
      </c>
      <c r="K410" s="3">
        <v>4</v>
      </c>
      <c r="L410" s="3">
        <v>4</v>
      </c>
      <c r="M410" s="3">
        <v>4</v>
      </c>
      <c r="N410" s="3">
        <v>4</v>
      </c>
      <c r="O410" s="3">
        <v>4</v>
      </c>
      <c r="P410" s="3">
        <v>4</v>
      </c>
      <c r="Q410" s="3">
        <v>3</v>
      </c>
      <c r="R410" s="3">
        <v>4</v>
      </c>
      <c r="S410" s="3">
        <v>4</v>
      </c>
      <c r="T410" s="3">
        <v>3</v>
      </c>
      <c r="U410" s="3">
        <v>4</v>
      </c>
      <c r="V410" s="3">
        <v>4</v>
      </c>
      <c r="W410" s="3">
        <v>4</v>
      </c>
      <c r="X410" s="3">
        <v>4</v>
      </c>
      <c r="Y410" s="3">
        <v>3</v>
      </c>
      <c r="Z410" s="3">
        <v>4</v>
      </c>
      <c r="AA410" s="3">
        <v>3</v>
      </c>
      <c r="AB410" s="3">
        <v>3</v>
      </c>
      <c r="AC410" s="3">
        <v>4</v>
      </c>
      <c r="AD410" s="3">
        <v>4</v>
      </c>
      <c r="AE410" s="3">
        <v>4</v>
      </c>
      <c r="AF410" s="3">
        <v>4</v>
      </c>
      <c r="AG410" s="3">
        <v>4</v>
      </c>
      <c r="AH410" s="3">
        <v>4</v>
      </c>
      <c r="AI410" s="3">
        <v>4</v>
      </c>
      <c r="AJ410" s="3">
        <v>3</v>
      </c>
      <c r="AK410" s="3">
        <v>4</v>
      </c>
      <c r="AL410" s="3">
        <v>4</v>
      </c>
      <c r="AM410" s="3">
        <v>4</v>
      </c>
      <c r="AN410" s="3">
        <v>4</v>
      </c>
      <c r="AO410" s="3">
        <v>4</v>
      </c>
      <c r="AP410" s="3">
        <v>4</v>
      </c>
      <c r="AQ410" s="3">
        <v>3</v>
      </c>
      <c r="AR410" s="3">
        <v>4</v>
      </c>
      <c r="AS410" s="3">
        <v>4</v>
      </c>
      <c r="AT410" s="3">
        <v>4</v>
      </c>
      <c r="AU410" s="3">
        <v>4</v>
      </c>
      <c r="AV410" s="3">
        <v>4</v>
      </c>
      <c r="AW410" s="3">
        <v>4</v>
      </c>
      <c r="AX410" s="3">
        <v>4</v>
      </c>
      <c r="AY410" s="3">
        <v>4</v>
      </c>
      <c r="AZ410" s="3">
        <v>4</v>
      </c>
      <c r="BA410" s="3">
        <v>4</v>
      </c>
      <c r="BB410" s="3">
        <v>4</v>
      </c>
      <c r="BC410" s="3">
        <v>4</v>
      </c>
      <c r="BD410" s="3">
        <v>4</v>
      </c>
      <c r="BE410" s="3">
        <v>4</v>
      </c>
      <c r="BF410" s="3">
        <v>4</v>
      </c>
      <c r="BG410" s="3">
        <v>4</v>
      </c>
      <c r="BH410" s="3">
        <v>3</v>
      </c>
      <c r="BI410" s="3">
        <v>3</v>
      </c>
      <c r="BJ410" s="3">
        <v>4</v>
      </c>
      <c r="BK410" s="3">
        <v>4</v>
      </c>
      <c r="BL410" s="3">
        <v>4</v>
      </c>
      <c r="BM410" s="3">
        <v>4</v>
      </c>
      <c r="BN410" s="3">
        <v>4</v>
      </c>
      <c r="BO410" s="3">
        <v>4</v>
      </c>
      <c r="BP410" s="3" t="s">
        <v>1109</v>
      </c>
    </row>
    <row r="411" spans="1:68" ht="22.5" customHeight="1" x14ac:dyDescent="0.25">
      <c r="A411" s="2">
        <v>45987.618689583338</v>
      </c>
      <c r="B411" s="3" t="s">
        <v>1110</v>
      </c>
      <c r="C411" s="3" t="s">
        <v>86</v>
      </c>
      <c r="D411" s="3" t="s">
        <v>1111</v>
      </c>
      <c r="E411" s="3" t="s">
        <v>119</v>
      </c>
      <c r="F411" s="3" t="s">
        <v>82</v>
      </c>
      <c r="G411" s="3" t="s">
        <v>83</v>
      </c>
      <c r="H411" s="3">
        <v>4</v>
      </c>
      <c r="I411" s="3">
        <v>4</v>
      </c>
      <c r="J411" s="3">
        <v>4</v>
      </c>
      <c r="K411" s="3">
        <v>4</v>
      </c>
      <c r="L411" s="3">
        <v>4</v>
      </c>
      <c r="M411" s="3">
        <v>4</v>
      </c>
      <c r="N411" s="3">
        <v>4</v>
      </c>
      <c r="O411" s="3">
        <v>4</v>
      </c>
      <c r="P411" s="3">
        <v>4</v>
      </c>
      <c r="Q411" s="3">
        <v>4</v>
      </c>
      <c r="R411" s="3">
        <v>4</v>
      </c>
      <c r="S411" s="3">
        <v>4</v>
      </c>
      <c r="T411" s="3">
        <v>4</v>
      </c>
      <c r="U411" s="3">
        <v>4</v>
      </c>
      <c r="V411" s="3">
        <v>4</v>
      </c>
      <c r="W411" s="3">
        <v>4</v>
      </c>
      <c r="X411" s="3">
        <v>4</v>
      </c>
      <c r="Y411" s="3">
        <v>4</v>
      </c>
      <c r="Z411" s="3">
        <v>4</v>
      </c>
      <c r="AA411" s="3">
        <v>4</v>
      </c>
      <c r="AB411" s="3">
        <v>4</v>
      </c>
      <c r="AC411" s="3">
        <v>4</v>
      </c>
      <c r="AD411" s="3">
        <v>4</v>
      </c>
      <c r="AE411" s="3">
        <v>4</v>
      </c>
      <c r="AF411" s="3">
        <v>4</v>
      </c>
      <c r="AG411" s="3">
        <v>4</v>
      </c>
      <c r="AH411" s="3">
        <v>4</v>
      </c>
      <c r="AI411" s="3">
        <v>4</v>
      </c>
      <c r="AJ411" s="3">
        <v>4</v>
      </c>
      <c r="AK411" s="3">
        <v>4</v>
      </c>
      <c r="AL411" s="3">
        <v>4</v>
      </c>
      <c r="AM411" s="3">
        <v>4</v>
      </c>
      <c r="AN411" s="3">
        <v>4</v>
      </c>
      <c r="AO411" s="3">
        <v>4</v>
      </c>
      <c r="AP411" s="3">
        <v>4</v>
      </c>
      <c r="AQ411" s="3">
        <v>4</v>
      </c>
      <c r="AR411" s="3">
        <v>4</v>
      </c>
      <c r="AS411" s="3">
        <v>4</v>
      </c>
      <c r="AT411" s="3">
        <v>4</v>
      </c>
      <c r="AU411" s="3">
        <v>4</v>
      </c>
      <c r="AV411" s="3">
        <v>4</v>
      </c>
      <c r="AW411" s="3">
        <v>4</v>
      </c>
      <c r="AX411" s="3">
        <v>4</v>
      </c>
      <c r="AY411" s="3">
        <v>4</v>
      </c>
      <c r="AZ411" s="3">
        <v>4</v>
      </c>
      <c r="BA411" s="3">
        <v>4</v>
      </c>
      <c r="BB411" s="3">
        <v>4</v>
      </c>
      <c r="BC411" s="3">
        <v>4</v>
      </c>
      <c r="BD411" s="3">
        <v>4</v>
      </c>
      <c r="BE411" s="3">
        <v>4</v>
      </c>
      <c r="BF411" s="3">
        <v>4</v>
      </c>
      <c r="BG411" s="3">
        <v>4</v>
      </c>
      <c r="BH411" s="3">
        <v>4</v>
      </c>
      <c r="BI411" s="3">
        <v>4</v>
      </c>
      <c r="BJ411" s="3">
        <v>4</v>
      </c>
      <c r="BK411" s="3">
        <v>4</v>
      </c>
      <c r="BL411" s="3">
        <v>4</v>
      </c>
      <c r="BM411" s="3">
        <v>4</v>
      </c>
      <c r="BN411" s="3">
        <v>4</v>
      </c>
      <c r="BO411" s="3">
        <v>4</v>
      </c>
      <c r="BP411" s="3" t="s">
        <v>1112</v>
      </c>
    </row>
    <row r="412" spans="1:68" ht="22.5" customHeight="1" x14ac:dyDescent="0.25">
      <c r="A412" s="2">
        <v>45987.618906631949</v>
      </c>
      <c r="C412" s="3" t="s">
        <v>86</v>
      </c>
      <c r="D412" s="3" t="s">
        <v>1113</v>
      </c>
      <c r="E412" s="3" t="s">
        <v>77</v>
      </c>
      <c r="F412" s="3" t="s">
        <v>88</v>
      </c>
      <c r="G412" s="3" t="s">
        <v>79</v>
      </c>
      <c r="H412" s="3">
        <v>3</v>
      </c>
      <c r="I412" s="3">
        <v>3</v>
      </c>
      <c r="J412" s="3">
        <v>3</v>
      </c>
      <c r="K412" s="3">
        <v>3</v>
      </c>
      <c r="L412" s="3">
        <v>3</v>
      </c>
      <c r="M412" s="3">
        <v>3</v>
      </c>
      <c r="N412" s="3">
        <v>3</v>
      </c>
      <c r="O412" s="3">
        <v>3</v>
      </c>
      <c r="P412" s="3">
        <v>3</v>
      </c>
      <c r="Q412" s="3">
        <v>3</v>
      </c>
      <c r="R412" s="3">
        <v>3</v>
      </c>
      <c r="S412" s="3">
        <v>3</v>
      </c>
      <c r="T412" s="3">
        <v>3</v>
      </c>
      <c r="U412" s="3">
        <v>3</v>
      </c>
      <c r="V412" s="3">
        <v>3</v>
      </c>
      <c r="W412" s="3">
        <v>3</v>
      </c>
      <c r="X412" s="3">
        <v>3</v>
      </c>
      <c r="Y412" s="3">
        <v>3</v>
      </c>
      <c r="Z412" s="3">
        <v>3</v>
      </c>
      <c r="AA412" s="3">
        <v>3</v>
      </c>
      <c r="AB412" s="3">
        <v>3</v>
      </c>
      <c r="AC412" s="3">
        <v>3</v>
      </c>
      <c r="AD412" s="3">
        <v>3</v>
      </c>
      <c r="AE412" s="3">
        <v>3</v>
      </c>
      <c r="AF412" s="3">
        <v>3</v>
      </c>
      <c r="AG412" s="3">
        <v>3</v>
      </c>
      <c r="AH412" s="3">
        <v>3</v>
      </c>
      <c r="AI412" s="3">
        <v>3</v>
      </c>
      <c r="AJ412" s="3">
        <v>3</v>
      </c>
      <c r="AK412" s="3">
        <v>3</v>
      </c>
      <c r="AL412" s="3">
        <v>3</v>
      </c>
      <c r="AM412" s="3">
        <v>3</v>
      </c>
      <c r="AN412" s="3">
        <v>3</v>
      </c>
      <c r="AO412" s="3">
        <v>3</v>
      </c>
      <c r="AP412" s="3">
        <v>3</v>
      </c>
      <c r="AQ412" s="3">
        <v>3</v>
      </c>
      <c r="AR412" s="3">
        <v>3</v>
      </c>
      <c r="AS412" s="3">
        <v>3</v>
      </c>
      <c r="AT412" s="3">
        <v>2</v>
      </c>
      <c r="AU412" s="3">
        <v>3</v>
      </c>
      <c r="AV412" s="3">
        <v>3</v>
      </c>
      <c r="AW412" s="3">
        <v>3</v>
      </c>
      <c r="AX412" s="3">
        <v>3</v>
      </c>
      <c r="AY412" s="3">
        <v>3</v>
      </c>
      <c r="AZ412" s="3">
        <v>3</v>
      </c>
      <c r="BA412" s="3">
        <v>3</v>
      </c>
      <c r="BB412" s="3">
        <v>3</v>
      </c>
      <c r="BC412" s="3">
        <v>3</v>
      </c>
      <c r="BD412" s="3">
        <v>3</v>
      </c>
      <c r="BE412" s="3">
        <v>3</v>
      </c>
      <c r="BF412" s="3">
        <v>3</v>
      </c>
      <c r="BG412" s="3">
        <v>3</v>
      </c>
      <c r="BH412" s="3">
        <v>3</v>
      </c>
      <c r="BI412" s="3">
        <v>3</v>
      </c>
      <c r="BJ412" s="3">
        <v>3</v>
      </c>
      <c r="BK412" s="3">
        <v>3</v>
      </c>
      <c r="BL412" s="3">
        <v>3</v>
      </c>
      <c r="BM412" s="3">
        <v>3</v>
      </c>
      <c r="BN412" s="3">
        <v>3</v>
      </c>
      <c r="BO412" s="3">
        <v>3</v>
      </c>
      <c r="BP412" s="3" t="s">
        <v>1114</v>
      </c>
    </row>
    <row r="413" spans="1:68" ht="22.5" customHeight="1" x14ac:dyDescent="0.25">
      <c r="A413" s="2">
        <v>45987.625678506942</v>
      </c>
      <c r="B413" s="3" t="s">
        <v>1115</v>
      </c>
      <c r="C413" s="3" t="s">
        <v>86</v>
      </c>
      <c r="D413" s="3" t="s">
        <v>1116</v>
      </c>
      <c r="E413" s="3" t="s">
        <v>77</v>
      </c>
      <c r="F413" s="3" t="s">
        <v>103</v>
      </c>
      <c r="G413" s="3" t="s">
        <v>79</v>
      </c>
      <c r="H413" s="3">
        <v>4</v>
      </c>
      <c r="I413" s="3">
        <v>4</v>
      </c>
      <c r="J413" s="3">
        <v>3</v>
      </c>
      <c r="K413" s="3">
        <v>4</v>
      </c>
      <c r="L413" s="3">
        <v>4</v>
      </c>
      <c r="M413" s="3">
        <v>4</v>
      </c>
      <c r="N413" s="3">
        <v>4</v>
      </c>
      <c r="O413" s="3">
        <v>4</v>
      </c>
      <c r="P413" s="3">
        <v>4</v>
      </c>
      <c r="Q413" s="3">
        <v>4</v>
      </c>
      <c r="R413" s="3">
        <v>3</v>
      </c>
      <c r="S413" s="3">
        <v>4</v>
      </c>
      <c r="T413" s="3">
        <v>4</v>
      </c>
      <c r="U413" s="3">
        <v>4</v>
      </c>
      <c r="V413" s="3">
        <v>5</v>
      </c>
      <c r="W413" s="3">
        <v>3</v>
      </c>
      <c r="X413" s="3">
        <v>3</v>
      </c>
      <c r="Y413" s="3">
        <v>5</v>
      </c>
      <c r="Z413" s="3">
        <v>5</v>
      </c>
      <c r="AA413" s="3">
        <v>5</v>
      </c>
      <c r="AB413" s="3">
        <v>4</v>
      </c>
      <c r="AC413" s="3">
        <v>4</v>
      </c>
      <c r="AD413" s="3">
        <v>5</v>
      </c>
      <c r="AE413" s="3">
        <v>4</v>
      </c>
      <c r="AF413" s="3">
        <v>4</v>
      </c>
      <c r="AG413" s="3">
        <v>4</v>
      </c>
      <c r="AH413" s="3">
        <v>3</v>
      </c>
      <c r="AI413" s="3">
        <v>4</v>
      </c>
      <c r="AJ413" s="3">
        <v>5</v>
      </c>
      <c r="AK413" s="3">
        <v>5</v>
      </c>
      <c r="AL413" s="3">
        <v>5</v>
      </c>
      <c r="AM413" s="3">
        <v>4</v>
      </c>
      <c r="AN413" s="3">
        <v>3</v>
      </c>
      <c r="AO413" s="3">
        <v>3</v>
      </c>
      <c r="AP413" s="3">
        <v>3</v>
      </c>
      <c r="AQ413" s="3">
        <v>3</v>
      </c>
      <c r="AR413" s="3">
        <v>3</v>
      </c>
      <c r="AS413" s="3">
        <v>3</v>
      </c>
      <c r="AT413" s="3">
        <v>4</v>
      </c>
      <c r="AU413" s="3">
        <v>3</v>
      </c>
      <c r="AV413" s="3">
        <v>4</v>
      </c>
      <c r="AW413" s="3">
        <v>4</v>
      </c>
      <c r="AX413" s="3">
        <v>5</v>
      </c>
      <c r="AY413" s="3">
        <v>5</v>
      </c>
      <c r="AZ413" s="3">
        <v>5</v>
      </c>
      <c r="BA413" s="3">
        <v>4</v>
      </c>
      <c r="BB413" s="3">
        <v>3</v>
      </c>
      <c r="BC413" s="3">
        <v>3</v>
      </c>
      <c r="BD413" s="3">
        <v>3</v>
      </c>
      <c r="BE413" s="3">
        <v>3</v>
      </c>
      <c r="BF413" s="3">
        <v>3</v>
      </c>
      <c r="BG413" s="3">
        <v>4</v>
      </c>
      <c r="BH413" s="3">
        <v>4</v>
      </c>
      <c r="BI413" s="3">
        <v>4</v>
      </c>
      <c r="BJ413" s="3">
        <v>4</v>
      </c>
      <c r="BK413" s="3">
        <v>3</v>
      </c>
      <c r="BL413" s="3">
        <v>4</v>
      </c>
      <c r="BM413" s="3">
        <v>4</v>
      </c>
      <c r="BN413" s="3">
        <v>4</v>
      </c>
      <c r="BO413" s="3">
        <v>5</v>
      </c>
      <c r="BP413" s="3" t="s">
        <v>1117</v>
      </c>
    </row>
    <row r="414" spans="1:68" ht="22.5" customHeight="1" x14ac:dyDescent="0.25">
      <c r="A414" s="2">
        <v>45987.629504849538</v>
      </c>
      <c r="B414" s="3" t="s">
        <v>1118</v>
      </c>
      <c r="C414" s="3" t="s">
        <v>86</v>
      </c>
      <c r="D414" s="3" t="s">
        <v>1119</v>
      </c>
      <c r="E414" s="3" t="s">
        <v>71</v>
      </c>
      <c r="F414" s="3" t="s">
        <v>72</v>
      </c>
      <c r="G414" s="3" t="s">
        <v>73</v>
      </c>
      <c r="H414" s="3">
        <v>5</v>
      </c>
      <c r="I414" s="3">
        <v>5</v>
      </c>
      <c r="J414" s="3">
        <v>5</v>
      </c>
      <c r="K414" s="3">
        <v>5</v>
      </c>
      <c r="L414" s="3">
        <v>5</v>
      </c>
      <c r="M414" s="3">
        <v>4</v>
      </c>
      <c r="N414" s="3">
        <v>5</v>
      </c>
      <c r="O414" s="3">
        <v>5</v>
      </c>
      <c r="P414" s="3">
        <v>5</v>
      </c>
      <c r="Q414" s="3">
        <v>5</v>
      </c>
      <c r="R414" s="3">
        <v>5</v>
      </c>
      <c r="S414" s="3">
        <v>5</v>
      </c>
      <c r="T414" s="3">
        <v>5</v>
      </c>
      <c r="U414" s="3">
        <v>5</v>
      </c>
      <c r="V414" s="3">
        <v>5</v>
      </c>
      <c r="W414" s="3">
        <v>5</v>
      </c>
      <c r="X414" s="3">
        <v>5</v>
      </c>
      <c r="Y414" s="3">
        <v>5</v>
      </c>
      <c r="Z414" s="3">
        <v>4</v>
      </c>
      <c r="AA414" s="3">
        <v>5</v>
      </c>
      <c r="AB414" s="3">
        <v>4</v>
      </c>
      <c r="AC414" s="3">
        <v>4</v>
      </c>
      <c r="AD414" s="3">
        <v>5</v>
      </c>
      <c r="AE414" s="3">
        <v>5</v>
      </c>
      <c r="AF414" s="3">
        <v>5</v>
      </c>
      <c r="AG414" s="3">
        <v>5</v>
      </c>
      <c r="AH414" s="3">
        <v>5</v>
      </c>
      <c r="AI414" s="3">
        <v>5</v>
      </c>
      <c r="AJ414" s="3">
        <v>4</v>
      </c>
      <c r="AK414" s="3">
        <v>5</v>
      </c>
      <c r="AL414" s="3">
        <v>4</v>
      </c>
      <c r="AM414" s="3">
        <v>5</v>
      </c>
      <c r="AN414" s="3">
        <v>5</v>
      </c>
      <c r="AO414" s="3">
        <v>5</v>
      </c>
      <c r="AP414" s="3">
        <v>5</v>
      </c>
      <c r="AQ414" s="3">
        <v>4</v>
      </c>
      <c r="AR414" s="3">
        <v>5</v>
      </c>
      <c r="AS414" s="3">
        <v>2</v>
      </c>
      <c r="AT414" s="3">
        <v>5</v>
      </c>
      <c r="AU414" s="3">
        <v>5</v>
      </c>
      <c r="AV414" s="3">
        <v>5</v>
      </c>
      <c r="AW414" s="3">
        <v>5</v>
      </c>
      <c r="AX414" s="3">
        <v>5</v>
      </c>
      <c r="AY414" s="3">
        <v>5</v>
      </c>
      <c r="AZ414" s="3">
        <v>5</v>
      </c>
      <c r="BA414" s="3">
        <v>5</v>
      </c>
      <c r="BB414" s="3">
        <v>5</v>
      </c>
      <c r="BC414" s="3">
        <v>5</v>
      </c>
      <c r="BD414" s="3">
        <v>4</v>
      </c>
      <c r="BE414" s="3">
        <v>4</v>
      </c>
      <c r="BF414" s="3">
        <v>4</v>
      </c>
      <c r="BG414" s="3">
        <v>5</v>
      </c>
      <c r="BH414" s="3">
        <v>5</v>
      </c>
      <c r="BI414" s="3">
        <v>5</v>
      </c>
      <c r="BJ414" s="3">
        <v>5</v>
      </c>
      <c r="BK414" s="3">
        <v>5</v>
      </c>
      <c r="BL414" s="3">
        <v>5</v>
      </c>
      <c r="BM414" s="3">
        <v>5</v>
      </c>
      <c r="BN414" s="3">
        <v>5</v>
      </c>
      <c r="BO414" s="3">
        <v>5</v>
      </c>
      <c r="BP414" s="3" t="s">
        <v>1120</v>
      </c>
    </row>
    <row r="415" spans="1:68" ht="22.5" customHeight="1" x14ac:dyDescent="0.25">
      <c r="A415" s="2">
        <v>45987.656357777778</v>
      </c>
      <c r="B415" s="3" t="s">
        <v>1121</v>
      </c>
      <c r="C415" s="3" t="s">
        <v>69</v>
      </c>
      <c r="D415" s="3" t="s">
        <v>1122</v>
      </c>
      <c r="E415" s="3" t="s">
        <v>119</v>
      </c>
      <c r="F415" s="3" t="s">
        <v>103</v>
      </c>
      <c r="G415" s="3" t="s">
        <v>73</v>
      </c>
      <c r="H415" s="3">
        <v>5</v>
      </c>
      <c r="I415" s="3">
        <v>5</v>
      </c>
      <c r="J415" s="3">
        <v>5</v>
      </c>
      <c r="K415" s="3">
        <v>5</v>
      </c>
      <c r="L415" s="3">
        <v>5</v>
      </c>
      <c r="M415" s="3">
        <v>5</v>
      </c>
      <c r="N415" s="3">
        <v>5</v>
      </c>
      <c r="O415" s="3">
        <v>5</v>
      </c>
      <c r="P415" s="3">
        <v>5</v>
      </c>
      <c r="Q415" s="3">
        <v>5</v>
      </c>
      <c r="R415" s="3">
        <v>5</v>
      </c>
      <c r="S415" s="3">
        <v>5</v>
      </c>
      <c r="T415" s="3">
        <v>5</v>
      </c>
      <c r="U415" s="3">
        <v>5</v>
      </c>
      <c r="V415" s="3">
        <v>5</v>
      </c>
      <c r="W415" s="3">
        <v>5</v>
      </c>
      <c r="X415" s="3">
        <v>5</v>
      </c>
      <c r="Y415" s="3">
        <v>5</v>
      </c>
      <c r="Z415" s="3">
        <v>5</v>
      </c>
      <c r="AA415" s="3">
        <v>1</v>
      </c>
      <c r="AB415" s="3">
        <v>1</v>
      </c>
      <c r="AC415" s="3">
        <v>1</v>
      </c>
      <c r="AD415" s="3">
        <v>4</v>
      </c>
      <c r="AE415" s="3">
        <v>5</v>
      </c>
      <c r="AF415" s="3">
        <v>5</v>
      </c>
      <c r="AG415" s="3">
        <v>5</v>
      </c>
      <c r="AH415" s="3">
        <v>5</v>
      </c>
      <c r="AI415" s="3">
        <v>5</v>
      </c>
      <c r="AJ415" s="3">
        <v>5</v>
      </c>
      <c r="AK415" s="3">
        <v>5</v>
      </c>
      <c r="AL415" s="3">
        <v>5</v>
      </c>
      <c r="AM415" s="3">
        <v>5</v>
      </c>
      <c r="AN415" s="3">
        <v>5</v>
      </c>
      <c r="AO415" s="3">
        <v>5</v>
      </c>
      <c r="AP415" s="3">
        <v>5</v>
      </c>
      <c r="AQ415" s="3">
        <v>3</v>
      </c>
      <c r="AR415" s="3">
        <v>3</v>
      </c>
      <c r="AS415" s="3">
        <v>3</v>
      </c>
      <c r="AT415" s="3">
        <v>4</v>
      </c>
      <c r="AU415" s="3">
        <v>5</v>
      </c>
      <c r="AV415" s="3">
        <v>5</v>
      </c>
      <c r="AW415" s="3">
        <v>5</v>
      </c>
      <c r="AX415" s="3">
        <v>5</v>
      </c>
      <c r="AY415" s="3">
        <v>5</v>
      </c>
      <c r="AZ415" s="3">
        <v>5</v>
      </c>
      <c r="BA415" s="3">
        <v>5</v>
      </c>
      <c r="BB415" s="3">
        <v>1</v>
      </c>
      <c r="BC415" s="3">
        <v>3</v>
      </c>
      <c r="BD415" s="3">
        <v>3</v>
      </c>
      <c r="BE415" s="3">
        <v>3</v>
      </c>
      <c r="BF415" s="3">
        <v>3</v>
      </c>
      <c r="BG415" s="3">
        <v>5</v>
      </c>
      <c r="BH415" s="3">
        <v>5</v>
      </c>
      <c r="BI415" s="3">
        <v>5</v>
      </c>
      <c r="BJ415" s="3">
        <v>5</v>
      </c>
      <c r="BK415" s="3">
        <v>5</v>
      </c>
      <c r="BL415" s="3">
        <v>5</v>
      </c>
      <c r="BM415" s="3">
        <v>5</v>
      </c>
      <c r="BN415" s="3">
        <v>3</v>
      </c>
      <c r="BO415" s="3">
        <v>5</v>
      </c>
      <c r="BP415" s="3" t="s">
        <v>1123</v>
      </c>
    </row>
    <row r="416" spans="1:68" ht="22.5" customHeight="1" x14ac:dyDescent="0.25">
      <c r="A416" s="2">
        <v>45987.668967812497</v>
      </c>
      <c r="B416" s="3" t="s">
        <v>1124</v>
      </c>
      <c r="C416" s="3" t="s">
        <v>69</v>
      </c>
      <c r="D416" s="3" t="s">
        <v>1125</v>
      </c>
      <c r="E416" s="3" t="s">
        <v>77</v>
      </c>
      <c r="F416" s="3" t="s">
        <v>82</v>
      </c>
      <c r="G416" s="3" t="s">
        <v>79</v>
      </c>
      <c r="H416" s="3">
        <v>4</v>
      </c>
      <c r="I416" s="3">
        <v>3</v>
      </c>
      <c r="J416" s="3">
        <v>4</v>
      </c>
      <c r="K416" s="3">
        <v>4</v>
      </c>
      <c r="L416" s="3">
        <v>3</v>
      </c>
      <c r="M416" s="3">
        <v>3</v>
      </c>
      <c r="N416" s="3">
        <v>3</v>
      </c>
      <c r="O416" s="3">
        <v>4</v>
      </c>
      <c r="P416" s="3">
        <v>4</v>
      </c>
      <c r="Q416" s="3">
        <v>4</v>
      </c>
      <c r="R416" s="3">
        <v>3</v>
      </c>
      <c r="S416" s="3">
        <v>3</v>
      </c>
      <c r="T416" s="3">
        <v>4</v>
      </c>
      <c r="U416" s="3">
        <v>3</v>
      </c>
      <c r="V416" s="3">
        <v>3</v>
      </c>
      <c r="W416" s="3">
        <v>3</v>
      </c>
      <c r="X416" s="3">
        <v>3</v>
      </c>
      <c r="Y416" s="3">
        <v>2</v>
      </c>
      <c r="Z416" s="3">
        <v>3</v>
      </c>
      <c r="AA416" s="3">
        <v>4</v>
      </c>
      <c r="AB416" s="3">
        <v>4</v>
      </c>
      <c r="AC416" s="3">
        <v>3</v>
      </c>
      <c r="AD416" s="3">
        <v>4</v>
      </c>
      <c r="AE416" s="3">
        <v>3</v>
      </c>
      <c r="AF416" s="3">
        <v>4</v>
      </c>
      <c r="AG416" s="3">
        <v>4</v>
      </c>
      <c r="AH416" s="3">
        <v>3</v>
      </c>
      <c r="AI416" s="3">
        <v>3</v>
      </c>
      <c r="AJ416" s="3">
        <v>3</v>
      </c>
      <c r="AK416" s="3">
        <v>4</v>
      </c>
      <c r="AL416" s="3">
        <v>3</v>
      </c>
      <c r="AM416" s="3">
        <v>4</v>
      </c>
      <c r="AN416" s="3">
        <v>3</v>
      </c>
      <c r="AO416" s="3">
        <v>3</v>
      </c>
      <c r="AP416" s="3">
        <v>4</v>
      </c>
      <c r="AQ416" s="3">
        <v>3</v>
      </c>
      <c r="AR416" s="3">
        <v>3</v>
      </c>
      <c r="AS416" s="3">
        <v>3</v>
      </c>
      <c r="AT416" s="3">
        <v>3</v>
      </c>
      <c r="AU416" s="3">
        <v>4</v>
      </c>
      <c r="AV416" s="3">
        <v>4</v>
      </c>
      <c r="AW416" s="3">
        <v>4</v>
      </c>
      <c r="AX416" s="3">
        <v>3</v>
      </c>
      <c r="AY416" s="3">
        <v>3</v>
      </c>
      <c r="AZ416" s="3">
        <v>4</v>
      </c>
      <c r="BA416" s="3">
        <v>3</v>
      </c>
      <c r="BB416" s="3">
        <v>4</v>
      </c>
      <c r="BC416" s="3">
        <v>3</v>
      </c>
      <c r="BD416" s="3">
        <v>4</v>
      </c>
      <c r="BE416" s="3">
        <v>3</v>
      </c>
      <c r="BF416" s="3">
        <v>3</v>
      </c>
      <c r="BG416" s="3">
        <v>3</v>
      </c>
      <c r="BH416" s="3">
        <v>3</v>
      </c>
      <c r="BI416" s="3">
        <v>4</v>
      </c>
      <c r="BJ416" s="3">
        <v>4</v>
      </c>
      <c r="BK416" s="3">
        <v>3</v>
      </c>
      <c r="BL416" s="3">
        <v>3</v>
      </c>
      <c r="BM416" s="3">
        <v>4</v>
      </c>
      <c r="BN416" s="3">
        <v>3</v>
      </c>
      <c r="BO416" s="3">
        <v>3</v>
      </c>
      <c r="BP416" s="3" t="s">
        <v>1126</v>
      </c>
    </row>
    <row r="417" spans="1:68" ht="22.5" customHeight="1" x14ac:dyDescent="0.25">
      <c r="A417" s="2">
        <v>45987.669989594906</v>
      </c>
      <c r="B417" s="3" t="s">
        <v>1127</v>
      </c>
      <c r="C417" s="3" t="s">
        <v>69</v>
      </c>
      <c r="D417" s="3" t="s">
        <v>1128</v>
      </c>
      <c r="E417" s="3" t="s">
        <v>77</v>
      </c>
      <c r="F417" s="3" t="s">
        <v>78</v>
      </c>
      <c r="G417" s="3" t="s">
        <v>79</v>
      </c>
      <c r="H417" s="3">
        <v>4</v>
      </c>
      <c r="I417" s="3">
        <v>4</v>
      </c>
      <c r="J417" s="3">
        <v>4</v>
      </c>
      <c r="K417" s="3">
        <v>3</v>
      </c>
      <c r="L417" s="3">
        <v>5</v>
      </c>
      <c r="M417" s="3">
        <v>5</v>
      </c>
      <c r="N417" s="3">
        <v>5</v>
      </c>
      <c r="O417" s="3">
        <v>4</v>
      </c>
      <c r="P417" s="3">
        <v>4</v>
      </c>
      <c r="Q417" s="3">
        <v>3</v>
      </c>
      <c r="R417" s="3">
        <v>5</v>
      </c>
      <c r="S417" s="3">
        <v>4</v>
      </c>
      <c r="T417" s="3">
        <v>4</v>
      </c>
      <c r="U417" s="3">
        <v>5</v>
      </c>
      <c r="V417" s="3">
        <v>3</v>
      </c>
      <c r="W417" s="3">
        <v>3</v>
      </c>
      <c r="X417" s="3">
        <v>3</v>
      </c>
      <c r="Y417" s="3">
        <v>4</v>
      </c>
      <c r="Z417" s="3">
        <v>5</v>
      </c>
      <c r="AA417" s="3">
        <v>4</v>
      </c>
      <c r="AB417" s="3">
        <v>4</v>
      </c>
      <c r="AC417" s="3">
        <v>4</v>
      </c>
      <c r="AD417" s="3">
        <v>4</v>
      </c>
      <c r="AE417" s="3">
        <v>4</v>
      </c>
      <c r="AF417" s="3">
        <v>4</v>
      </c>
      <c r="AG417" s="3">
        <v>4</v>
      </c>
      <c r="AH417" s="3">
        <v>4</v>
      </c>
      <c r="AI417" s="3">
        <v>4</v>
      </c>
      <c r="AJ417" s="3">
        <v>4</v>
      </c>
      <c r="AK417" s="3">
        <v>4</v>
      </c>
      <c r="AL417" s="3">
        <v>4</v>
      </c>
      <c r="AM417" s="3">
        <v>4</v>
      </c>
      <c r="AN417" s="3">
        <v>4</v>
      </c>
      <c r="AO417" s="3">
        <v>4</v>
      </c>
      <c r="AP417" s="3">
        <v>4</v>
      </c>
      <c r="AQ417" s="3">
        <v>4</v>
      </c>
      <c r="AR417" s="3">
        <v>4</v>
      </c>
      <c r="AS417" s="3">
        <v>4</v>
      </c>
      <c r="AT417" s="3">
        <v>4</v>
      </c>
      <c r="AU417" s="3">
        <v>4</v>
      </c>
      <c r="AV417" s="3">
        <v>4</v>
      </c>
      <c r="AW417" s="3">
        <v>4</v>
      </c>
      <c r="AX417" s="3">
        <v>4</v>
      </c>
      <c r="AY417" s="3">
        <v>4</v>
      </c>
      <c r="AZ417" s="3">
        <v>4</v>
      </c>
      <c r="BA417" s="3">
        <v>4</v>
      </c>
      <c r="BB417" s="3">
        <v>4</v>
      </c>
      <c r="BC417" s="3">
        <v>4</v>
      </c>
      <c r="BD417" s="3">
        <v>4</v>
      </c>
      <c r="BE417" s="3">
        <v>4</v>
      </c>
      <c r="BF417" s="3">
        <v>4</v>
      </c>
      <c r="BG417" s="3">
        <v>4</v>
      </c>
      <c r="BH417" s="3">
        <v>4</v>
      </c>
      <c r="BI417" s="3">
        <v>4</v>
      </c>
      <c r="BJ417" s="3">
        <v>4</v>
      </c>
      <c r="BK417" s="3">
        <v>4</v>
      </c>
      <c r="BL417" s="3">
        <v>4</v>
      </c>
      <c r="BM417" s="3">
        <v>4</v>
      </c>
      <c r="BN417" s="3">
        <v>4</v>
      </c>
      <c r="BO417" s="3">
        <v>4</v>
      </c>
      <c r="BP417" s="3" t="s">
        <v>1129</v>
      </c>
    </row>
    <row r="418" spans="1:68" ht="22.5" customHeight="1" x14ac:dyDescent="0.25">
      <c r="A418" s="2">
        <v>45987.670087905091</v>
      </c>
      <c r="B418" s="3" t="s">
        <v>1130</v>
      </c>
      <c r="C418" s="3" t="s">
        <v>69</v>
      </c>
      <c r="D418" s="3" t="s">
        <v>1131</v>
      </c>
      <c r="E418" s="3" t="s">
        <v>119</v>
      </c>
      <c r="F418" s="3" t="s">
        <v>103</v>
      </c>
      <c r="G418" s="3" t="s">
        <v>73</v>
      </c>
      <c r="H418" s="3">
        <v>5</v>
      </c>
      <c r="I418" s="3">
        <v>5</v>
      </c>
      <c r="J418" s="3">
        <v>5</v>
      </c>
      <c r="K418" s="3">
        <v>5</v>
      </c>
      <c r="L418" s="3">
        <v>5</v>
      </c>
      <c r="M418" s="3">
        <v>5</v>
      </c>
      <c r="N418" s="3">
        <v>5</v>
      </c>
      <c r="O418" s="3">
        <v>5</v>
      </c>
      <c r="P418" s="3">
        <v>5</v>
      </c>
      <c r="Q418" s="3">
        <v>4</v>
      </c>
      <c r="R418" s="3">
        <v>4</v>
      </c>
      <c r="S418" s="3">
        <v>4</v>
      </c>
      <c r="T418" s="3">
        <v>5</v>
      </c>
      <c r="U418" s="3">
        <v>5</v>
      </c>
      <c r="V418" s="3">
        <v>3</v>
      </c>
      <c r="W418" s="3">
        <v>3</v>
      </c>
      <c r="X418" s="3">
        <v>3</v>
      </c>
      <c r="Y418" s="3">
        <v>3</v>
      </c>
      <c r="Z418" s="3">
        <v>3</v>
      </c>
      <c r="AA418" s="3">
        <v>3</v>
      </c>
      <c r="AB418" s="3">
        <v>3</v>
      </c>
      <c r="AC418" s="3">
        <v>3</v>
      </c>
      <c r="AD418" s="3">
        <v>3</v>
      </c>
      <c r="AE418" s="3">
        <v>3</v>
      </c>
      <c r="AF418" s="3">
        <v>3</v>
      </c>
      <c r="AG418" s="3">
        <v>3</v>
      </c>
      <c r="AH418" s="3">
        <v>3</v>
      </c>
      <c r="AI418" s="3">
        <v>3</v>
      </c>
      <c r="AJ418" s="3">
        <v>3</v>
      </c>
      <c r="AK418" s="3">
        <v>3</v>
      </c>
      <c r="AL418" s="3">
        <v>3</v>
      </c>
      <c r="AM418" s="3">
        <v>3</v>
      </c>
      <c r="AN418" s="3">
        <v>3</v>
      </c>
      <c r="AO418" s="3">
        <v>3</v>
      </c>
      <c r="AP418" s="3">
        <v>3</v>
      </c>
      <c r="AQ418" s="3">
        <v>3</v>
      </c>
      <c r="AR418" s="3">
        <v>3</v>
      </c>
      <c r="AS418" s="3">
        <v>3</v>
      </c>
      <c r="AT418" s="3">
        <v>3</v>
      </c>
      <c r="AU418" s="3">
        <v>3</v>
      </c>
      <c r="AV418" s="3">
        <v>3</v>
      </c>
      <c r="AW418" s="3">
        <v>4</v>
      </c>
      <c r="AX418" s="3">
        <v>4</v>
      </c>
      <c r="AY418" s="3">
        <v>4</v>
      </c>
      <c r="AZ418" s="3">
        <v>5</v>
      </c>
      <c r="BA418" s="3">
        <v>4</v>
      </c>
      <c r="BB418" s="3">
        <v>4</v>
      </c>
      <c r="BC418" s="3">
        <v>4</v>
      </c>
      <c r="BD418" s="3">
        <v>4</v>
      </c>
      <c r="BE418" s="3">
        <v>4</v>
      </c>
      <c r="BF418" s="3">
        <v>5</v>
      </c>
      <c r="BG418" s="3">
        <v>5</v>
      </c>
      <c r="BH418" s="3">
        <v>5</v>
      </c>
      <c r="BI418" s="3">
        <v>5</v>
      </c>
      <c r="BJ418" s="3">
        <v>5</v>
      </c>
      <c r="BK418" s="3">
        <v>5</v>
      </c>
      <c r="BL418" s="3">
        <v>5</v>
      </c>
      <c r="BM418" s="3">
        <v>5</v>
      </c>
      <c r="BN418" s="3">
        <v>5</v>
      </c>
      <c r="BO418" s="3">
        <v>5</v>
      </c>
      <c r="BP418" s="3" t="s">
        <v>1132</v>
      </c>
    </row>
    <row r="419" spans="1:68" ht="22.5" customHeight="1" x14ac:dyDescent="0.25">
      <c r="A419" s="2">
        <v>45987.670696157409</v>
      </c>
      <c r="B419" s="3" t="s">
        <v>1133</v>
      </c>
      <c r="C419" s="3" t="s">
        <v>86</v>
      </c>
      <c r="D419" s="3" t="s">
        <v>1134</v>
      </c>
      <c r="E419" s="3" t="s">
        <v>77</v>
      </c>
      <c r="F419" s="3" t="s">
        <v>78</v>
      </c>
      <c r="G419" s="3" t="s">
        <v>79</v>
      </c>
      <c r="H419" s="3">
        <v>5</v>
      </c>
      <c r="I419" s="3">
        <v>5</v>
      </c>
      <c r="J419" s="3">
        <v>4</v>
      </c>
      <c r="K419" s="3">
        <v>5</v>
      </c>
      <c r="L419" s="3">
        <v>4</v>
      </c>
      <c r="M419" s="3">
        <v>3</v>
      </c>
      <c r="N419" s="3">
        <v>3</v>
      </c>
      <c r="O419" s="3">
        <v>4</v>
      </c>
      <c r="P419" s="3">
        <v>5</v>
      </c>
      <c r="Q419" s="3">
        <v>5</v>
      </c>
      <c r="R419" s="3">
        <v>5</v>
      </c>
      <c r="S419" s="3">
        <v>5</v>
      </c>
      <c r="T419" s="3">
        <v>5</v>
      </c>
      <c r="U419" s="3">
        <v>5</v>
      </c>
      <c r="V419" s="3">
        <v>3</v>
      </c>
      <c r="W419" s="3">
        <v>4</v>
      </c>
      <c r="X419" s="3">
        <v>3</v>
      </c>
      <c r="Y419" s="3">
        <v>4</v>
      </c>
      <c r="Z419" s="3">
        <v>5</v>
      </c>
      <c r="AA419" s="3">
        <v>5</v>
      </c>
      <c r="AB419" s="3">
        <v>5</v>
      </c>
      <c r="AC419" s="3">
        <v>3</v>
      </c>
      <c r="AD419" s="3">
        <v>5</v>
      </c>
      <c r="AE419" s="3">
        <v>5</v>
      </c>
      <c r="AF419" s="3">
        <v>5</v>
      </c>
      <c r="AG419" s="3">
        <v>5</v>
      </c>
      <c r="AH419" s="3">
        <v>4</v>
      </c>
      <c r="AI419" s="3">
        <v>5</v>
      </c>
      <c r="AJ419" s="3">
        <v>5</v>
      </c>
      <c r="AK419" s="3">
        <v>5</v>
      </c>
      <c r="AL419" s="3">
        <v>5</v>
      </c>
      <c r="AM419" s="3">
        <v>5</v>
      </c>
      <c r="AN419" s="3">
        <v>4</v>
      </c>
      <c r="AO419" s="3">
        <v>4</v>
      </c>
      <c r="AP419" s="3">
        <v>5</v>
      </c>
      <c r="AQ419" s="3">
        <v>4</v>
      </c>
      <c r="AR419" s="3">
        <v>5</v>
      </c>
      <c r="AS419" s="3">
        <v>3</v>
      </c>
      <c r="AT419" s="3">
        <v>3</v>
      </c>
      <c r="AU419" s="3">
        <v>4</v>
      </c>
      <c r="AV419" s="3">
        <v>4</v>
      </c>
      <c r="AW419" s="3">
        <v>5</v>
      </c>
      <c r="AX419" s="3">
        <v>5</v>
      </c>
      <c r="AY419" s="3">
        <v>5</v>
      </c>
      <c r="AZ419" s="3">
        <v>5</v>
      </c>
      <c r="BA419" s="3">
        <v>5</v>
      </c>
      <c r="BB419" s="3">
        <v>4</v>
      </c>
      <c r="BC419" s="3">
        <v>3</v>
      </c>
      <c r="BD419" s="3">
        <v>4</v>
      </c>
      <c r="BE419" s="3">
        <v>4</v>
      </c>
      <c r="BF419" s="3">
        <v>4</v>
      </c>
      <c r="BG419" s="3">
        <v>4</v>
      </c>
      <c r="BH419" s="3">
        <v>4</v>
      </c>
      <c r="BI419" s="3">
        <v>5</v>
      </c>
      <c r="BJ419" s="3">
        <v>4</v>
      </c>
      <c r="BK419" s="3">
        <v>5</v>
      </c>
      <c r="BL419" s="3">
        <v>5</v>
      </c>
      <c r="BM419" s="3">
        <v>5</v>
      </c>
      <c r="BN419" s="3">
        <v>5</v>
      </c>
      <c r="BO419" s="3">
        <v>5</v>
      </c>
      <c r="BP419" s="3" t="s">
        <v>1135</v>
      </c>
    </row>
    <row r="420" spans="1:68" ht="22.5" customHeight="1" x14ac:dyDescent="0.25">
      <c r="A420" s="2">
        <v>45987.672036400458</v>
      </c>
      <c r="B420" s="3" t="s">
        <v>1136</v>
      </c>
      <c r="C420" s="3" t="s">
        <v>69</v>
      </c>
      <c r="D420" s="3" t="s">
        <v>195</v>
      </c>
      <c r="E420" s="3" t="s">
        <v>71</v>
      </c>
      <c r="F420" s="3" t="s">
        <v>82</v>
      </c>
      <c r="G420" s="3" t="s">
        <v>83</v>
      </c>
      <c r="H420" s="3">
        <v>5</v>
      </c>
      <c r="I420" s="3">
        <v>5</v>
      </c>
      <c r="J420" s="3">
        <v>5</v>
      </c>
      <c r="K420" s="3">
        <v>5</v>
      </c>
      <c r="L420" s="3">
        <v>5</v>
      </c>
      <c r="M420" s="3">
        <v>5</v>
      </c>
      <c r="N420" s="3">
        <v>3</v>
      </c>
      <c r="O420" s="3">
        <v>5</v>
      </c>
      <c r="P420" s="3">
        <v>5</v>
      </c>
      <c r="Q420" s="3">
        <v>4</v>
      </c>
      <c r="R420" s="3">
        <v>5</v>
      </c>
      <c r="S420" s="3">
        <v>5</v>
      </c>
      <c r="T420" s="3">
        <v>4</v>
      </c>
      <c r="U420" s="3">
        <v>4</v>
      </c>
      <c r="V420" s="3">
        <v>5</v>
      </c>
      <c r="W420" s="3">
        <v>5</v>
      </c>
      <c r="X420" s="3">
        <v>5</v>
      </c>
      <c r="Y420" s="3">
        <v>5</v>
      </c>
      <c r="Z420" s="3">
        <v>5</v>
      </c>
      <c r="AA420" s="3">
        <v>4</v>
      </c>
      <c r="AB420" s="3">
        <v>5</v>
      </c>
      <c r="AC420" s="3">
        <v>4</v>
      </c>
      <c r="AD420" s="3">
        <v>4</v>
      </c>
      <c r="AE420" s="3">
        <v>4</v>
      </c>
      <c r="AF420" s="3">
        <v>4</v>
      </c>
      <c r="AG420" s="3">
        <v>4</v>
      </c>
      <c r="AH420" s="3">
        <v>4</v>
      </c>
      <c r="AI420" s="3">
        <v>5</v>
      </c>
      <c r="AJ420" s="3">
        <v>5</v>
      </c>
      <c r="AK420" s="3">
        <v>5</v>
      </c>
      <c r="AL420" s="3">
        <v>5</v>
      </c>
      <c r="AM420" s="3">
        <v>5</v>
      </c>
      <c r="AN420" s="3">
        <v>4</v>
      </c>
      <c r="AO420" s="3">
        <v>4</v>
      </c>
      <c r="AP420" s="3">
        <v>4</v>
      </c>
      <c r="AQ420" s="3">
        <v>5</v>
      </c>
      <c r="AR420" s="3">
        <v>5</v>
      </c>
      <c r="AS420" s="3">
        <v>5</v>
      </c>
      <c r="AT420" s="3">
        <v>4</v>
      </c>
      <c r="AU420" s="3">
        <v>4</v>
      </c>
      <c r="AV420" s="3">
        <v>5</v>
      </c>
      <c r="AW420" s="3">
        <v>5</v>
      </c>
      <c r="AX420" s="3">
        <v>5</v>
      </c>
      <c r="AY420" s="3">
        <v>5</v>
      </c>
      <c r="AZ420" s="3">
        <v>5</v>
      </c>
      <c r="BA420" s="3">
        <v>5</v>
      </c>
      <c r="BB420" s="3">
        <v>5</v>
      </c>
      <c r="BC420" s="3">
        <v>5</v>
      </c>
      <c r="BD420" s="3">
        <v>5</v>
      </c>
      <c r="BE420" s="3">
        <v>5</v>
      </c>
      <c r="BF420" s="3">
        <v>5</v>
      </c>
      <c r="BG420" s="3">
        <v>5</v>
      </c>
      <c r="BH420" s="3">
        <v>5</v>
      </c>
      <c r="BI420" s="3">
        <v>5</v>
      </c>
      <c r="BJ420" s="3">
        <v>5</v>
      </c>
      <c r="BK420" s="3">
        <v>5</v>
      </c>
      <c r="BL420" s="3">
        <v>5</v>
      </c>
      <c r="BM420" s="3">
        <v>5</v>
      </c>
      <c r="BN420" s="3">
        <v>5</v>
      </c>
      <c r="BO420" s="3">
        <v>5</v>
      </c>
      <c r="BP420" s="3" t="s">
        <v>1137</v>
      </c>
    </row>
    <row r="421" spans="1:68" ht="22.5" customHeight="1" x14ac:dyDescent="0.25">
      <c r="A421" s="2">
        <v>45987.672675266207</v>
      </c>
      <c r="B421" s="3" t="s">
        <v>1138</v>
      </c>
      <c r="C421" s="3" t="s">
        <v>69</v>
      </c>
      <c r="D421" s="3" t="s">
        <v>1139</v>
      </c>
      <c r="E421" s="3" t="s">
        <v>77</v>
      </c>
      <c r="F421" s="3" t="s">
        <v>78</v>
      </c>
      <c r="G421" s="3" t="s">
        <v>79</v>
      </c>
      <c r="H421" s="3">
        <v>5</v>
      </c>
      <c r="I421" s="3">
        <v>4</v>
      </c>
      <c r="J421" s="3">
        <v>5</v>
      </c>
      <c r="K421" s="3">
        <v>5</v>
      </c>
      <c r="L421" s="3">
        <v>4</v>
      </c>
      <c r="M421" s="3">
        <v>4</v>
      </c>
      <c r="N421" s="3">
        <v>3</v>
      </c>
      <c r="O421" s="3">
        <v>5</v>
      </c>
      <c r="P421" s="3">
        <v>5</v>
      </c>
      <c r="Q421" s="3">
        <v>5</v>
      </c>
      <c r="R421" s="3">
        <v>4</v>
      </c>
      <c r="S421" s="3">
        <v>4</v>
      </c>
      <c r="T421" s="3">
        <v>4</v>
      </c>
      <c r="U421" s="3">
        <v>5</v>
      </c>
      <c r="V421" s="3">
        <v>4</v>
      </c>
      <c r="W421" s="3">
        <v>5</v>
      </c>
      <c r="X421" s="3">
        <v>2</v>
      </c>
      <c r="Y421" s="3">
        <v>4</v>
      </c>
      <c r="Z421" s="3">
        <v>3</v>
      </c>
      <c r="AA421" s="3">
        <v>4</v>
      </c>
      <c r="AB421" s="3">
        <v>5</v>
      </c>
      <c r="AC421" s="3">
        <v>4</v>
      </c>
      <c r="AD421" s="3">
        <v>5</v>
      </c>
      <c r="AE421" s="3">
        <v>5</v>
      </c>
      <c r="AF421" s="3">
        <v>4</v>
      </c>
      <c r="AG421" s="3">
        <v>4</v>
      </c>
      <c r="AH421" s="3">
        <v>4</v>
      </c>
      <c r="AI421" s="3">
        <v>4</v>
      </c>
      <c r="AJ421" s="3">
        <v>5</v>
      </c>
      <c r="AK421" s="3">
        <v>4</v>
      </c>
      <c r="AL421" s="3">
        <v>4</v>
      </c>
      <c r="AM421" s="3">
        <v>5</v>
      </c>
      <c r="AN421" s="3">
        <v>5</v>
      </c>
      <c r="AO421" s="3">
        <v>4</v>
      </c>
      <c r="AP421" s="3">
        <v>5</v>
      </c>
      <c r="AQ421" s="3">
        <v>3</v>
      </c>
      <c r="AR421" s="3">
        <v>4</v>
      </c>
      <c r="AS421" s="3">
        <v>4</v>
      </c>
      <c r="AT421" s="3">
        <v>4</v>
      </c>
      <c r="AU421" s="3">
        <v>5</v>
      </c>
      <c r="AV421" s="3">
        <v>4</v>
      </c>
      <c r="AW421" s="3">
        <v>4</v>
      </c>
      <c r="AX421" s="3">
        <v>5</v>
      </c>
      <c r="AY421" s="3">
        <v>4</v>
      </c>
      <c r="AZ421" s="3">
        <v>4</v>
      </c>
      <c r="BA421" s="3">
        <v>4</v>
      </c>
      <c r="BB421" s="3">
        <v>5</v>
      </c>
      <c r="BC421" s="3">
        <v>5</v>
      </c>
      <c r="BD421" s="3">
        <v>4</v>
      </c>
      <c r="BE421" s="3">
        <v>4</v>
      </c>
      <c r="BF421" s="3">
        <v>4</v>
      </c>
      <c r="BG421" s="3">
        <v>4</v>
      </c>
      <c r="BH421" s="3">
        <v>5</v>
      </c>
      <c r="BI421" s="3">
        <v>5</v>
      </c>
      <c r="BJ421" s="3">
        <v>4</v>
      </c>
      <c r="BK421" s="3">
        <v>4</v>
      </c>
      <c r="BL421" s="3">
        <v>5</v>
      </c>
      <c r="BM421" s="3">
        <v>5</v>
      </c>
      <c r="BN421" s="3">
        <v>4</v>
      </c>
      <c r="BO421" s="3">
        <v>5</v>
      </c>
      <c r="BP421" s="3" t="s">
        <v>1140</v>
      </c>
    </row>
    <row r="422" spans="1:68" ht="22.5" customHeight="1" x14ac:dyDescent="0.25">
      <c r="A422" s="2">
        <v>45987.673506203704</v>
      </c>
      <c r="B422" s="3" t="s">
        <v>1141</v>
      </c>
      <c r="C422" s="3" t="s">
        <v>86</v>
      </c>
      <c r="D422" s="3" t="s">
        <v>195</v>
      </c>
      <c r="E422" s="3" t="s">
        <v>77</v>
      </c>
      <c r="F422" s="3" t="s">
        <v>78</v>
      </c>
      <c r="G422" s="3" t="s">
        <v>79</v>
      </c>
      <c r="H422" s="3">
        <v>5</v>
      </c>
      <c r="I422" s="3">
        <v>5</v>
      </c>
      <c r="J422" s="3">
        <v>5</v>
      </c>
      <c r="K422" s="3">
        <v>5</v>
      </c>
      <c r="L422" s="3">
        <v>5</v>
      </c>
      <c r="M422" s="3">
        <v>5</v>
      </c>
      <c r="N422" s="3">
        <v>4</v>
      </c>
      <c r="O422" s="3">
        <v>5</v>
      </c>
      <c r="P422" s="3">
        <v>5</v>
      </c>
      <c r="Q422" s="3">
        <v>5</v>
      </c>
      <c r="R422" s="3">
        <v>5</v>
      </c>
      <c r="S422" s="3">
        <v>5</v>
      </c>
      <c r="T422" s="3">
        <v>4</v>
      </c>
      <c r="U422" s="3">
        <v>4</v>
      </c>
      <c r="V422" s="3">
        <v>4</v>
      </c>
      <c r="W422" s="3">
        <v>4</v>
      </c>
      <c r="X422" s="3">
        <v>5</v>
      </c>
      <c r="Y422" s="3">
        <v>4</v>
      </c>
      <c r="Z422" s="3">
        <v>4</v>
      </c>
      <c r="AA422" s="3">
        <v>5</v>
      </c>
      <c r="AB422" s="3">
        <v>4</v>
      </c>
      <c r="AC422" s="3">
        <v>5</v>
      </c>
      <c r="AD422" s="3">
        <v>5</v>
      </c>
      <c r="AE422" s="3">
        <v>4</v>
      </c>
      <c r="AF422" s="3">
        <v>5</v>
      </c>
      <c r="AG422" s="3">
        <v>5</v>
      </c>
      <c r="AH422" s="3">
        <v>4</v>
      </c>
      <c r="AI422" s="3">
        <v>4</v>
      </c>
      <c r="AJ422" s="3">
        <v>4</v>
      </c>
      <c r="AK422" s="3">
        <v>3</v>
      </c>
      <c r="AL422" s="3">
        <v>4</v>
      </c>
      <c r="AM422" s="3">
        <v>3</v>
      </c>
      <c r="AN422" s="3">
        <v>5</v>
      </c>
      <c r="AO422" s="3">
        <v>4</v>
      </c>
      <c r="AP422" s="3">
        <v>4</v>
      </c>
      <c r="AQ422" s="3">
        <v>4</v>
      </c>
      <c r="AR422" s="3">
        <v>4</v>
      </c>
      <c r="AS422" s="3">
        <v>4</v>
      </c>
      <c r="AT422" s="3">
        <v>4</v>
      </c>
      <c r="AU422" s="3">
        <v>4</v>
      </c>
      <c r="AV422" s="3">
        <v>4</v>
      </c>
      <c r="AW422" s="3">
        <v>5</v>
      </c>
      <c r="AX422" s="3">
        <v>5</v>
      </c>
      <c r="AY422" s="3">
        <v>4</v>
      </c>
      <c r="AZ422" s="3">
        <v>4</v>
      </c>
      <c r="BA422" s="3">
        <v>4</v>
      </c>
      <c r="BB422" s="3">
        <v>4</v>
      </c>
      <c r="BC422" s="3">
        <v>4</v>
      </c>
      <c r="BD422" s="3">
        <v>5</v>
      </c>
      <c r="BE422" s="3">
        <v>5</v>
      </c>
      <c r="BF422" s="3">
        <v>5</v>
      </c>
      <c r="BG422" s="3">
        <v>5</v>
      </c>
      <c r="BH422" s="3">
        <v>4</v>
      </c>
      <c r="BI422" s="3">
        <v>4</v>
      </c>
      <c r="BJ422" s="3">
        <v>4</v>
      </c>
      <c r="BK422" s="3">
        <v>4</v>
      </c>
      <c r="BL422" s="3">
        <v>5</v>
      </c>
      <c r="BM422" s="3">
        <v>5</v>
      </c>
      <c r="BN422" s="3">
        <v>5</v>
      </c>
      <c r="BO422" s="3">
        <v>5</v>
      </c>
      <c r="BP422" s="3" t="s">
        <v>1142</v>
      </c>
    </row>
    <row r="423" spans="1:68" ht="22.5" customHeight="1" x14ac:dyDescent="0.25">
      <c r="A423" s="2">
        <v>45987.674038634257</v>
      </c>
      <c r="B423" s="3" t="s">
        <v>1143</v>
      </c>
      <c r="C423" s="3" t="s">
        <v>69</v>
      </c>
      <c r="D423" s="3" t="s">
        <v>1134</v>
      </c>
      <c r="E423" s="3" t="s">
        <v>77</v>
      </c>
      <c r="F423" s="3" t="s">
        <v>78</v>
      </c>
      <c r="G423" s="3" t="s">
        <v>79</v>
      </c>
      <c r="H423" s="3">
        <v>5</v>
      </c>
      <c r="I423" s="3">
        <v>5</v>
      </c>
      <c r="J423" s="3">
        <v>5</v>
      </c>
      <c r="K423" s="3">
        <v>5</v>
      </c>
      <c r="L423" s="3">
        <v>5</v>
      </c>
      <c r="M423" s="3">
        <v>3</v>
      </c>
      <c r="N423" s="3">
        <v>4</v>
      </c>
      <c r="O423" s="3">
        <v>4</v>
      </c>
      <c r="P423" s="3">
        <v>4</v>
      </c>
      <c r="Q423" s="3">
        <v>4</v>
      </c>
      <c r="R423" s="3">
        <v>3</v>
      </c>
      <c r="S423" s="3">
        <v>4</v>
      </c>
      <c r="T423" s="3">
        <v>5</v>
      </c>
      <c r="U423" s="3">
        <v>5</v>
      </c>
      <c r="V423" s="3">
        <v>5</v>
      </c>
      <c r="W423" s="3">
        <v>5</v>
      </c>
      <c r="X423" s="3">
        <v>5</v>
      </c>
      <c r="Y423" s="3">
        <v>5</v>
      </c>
      <c r="Z423" s="3">
        <v>5</v>
      </c>
      <c r="AA423" s="3">
        <v>5</v>
      </c>
      <c r="AB423" s="3">
        <v>5</v>
      </c>
      <c r="AC423" s="3">
        <v>5</v>
      </c>
      <c r="AD423" s="3">
        <v>5</v>
      </c>
      <c r="AE423" s="3">
        <v>5</v>
      </c>
      <c r="AF423" s="3">
        <v>5</v>
      </c>
      <c r="AG423" s="3">
        <v>5</v>
      </c>
      <c r="AH423" s="3">
        <v>5</v>
      </c>
      <c r="AI423" s="3">
        <v>5</v>
      </c>
      <c r="AJ423" s="3">
        <v>5</v>
      </c>
      <c r="AK423" s="3">
        <v>5</v>
      </c>
      <c r="AL423" s="3">
        <v>5</v>
      </c>
      <c r="AM423" s="3">
        <v>5</v>
      </c>
      <c r="AN423" s="3">
        <v>5</v>
      </c>
      <c r="AO423" s="3">
        <v>5</v>
      </c>
      <c r="AP423" s="3">
        <v>5</v>
      </c>
      <c r="AQ423" s="3">
        <v>3</v>
      </c>
      <c r="AR423" s="3">
        <v>3</v>
      </c>
      <c r="AS423" s="3">
        <v>3</v>
      </c>
      <c r="AT423" s="3">
        <v>4</v>
      </c>
      <c r="AU423" s="3">
        <v>4</v>
      </c>
      <c r="AV423" s="3">
        <v>5</v>
      </c>
      <c r="AW423" s="3">
        <v>5</v>
      </c>
      <c r="AX423" s="3">
        <v>5</v>
      </c>
      <c r="AY423" s="3">
        <v>5</v>
      </c>
      <c r="AZ423" s="3">
        <v>5</v>
      </c>
      <c r="BA423" s="3">
        <v>1</v>
      </c>
      <c r="BB423" s="3">
        <v>1</v>
      </c>
      <c r="BC423" s="3">
        <v>4</v>
      </c>
      <c r="BD423" s="3">
        <v>4</v>
      </c>
      <c r="BE423" s="3">
        <v>3</v>
      </c>
      <c r="BF423" s="3">
        <v>4</v>
      </c>
      <c r="BG423" s="3">
        <v>4</v>
      </c>
      <c r="BH423" s="3">
        <v>4</v>
      </c>
      <c r="BI423" s="3">
        <v>4</v>
      </c>
      <c r="BJ423" s="3">
        <v>4</v>
      </c>
      <c r="BK423" s="3">
        <v>5</v>
      </c>
      <c r="BL423" s="3">
        <v>5</v>
      </c>
      <c r="BM423" s="3">
        <v>5</v>
      </c>
      <c r="BN423" s="3">
        <v>4</v>
      </c>
      <c r="BO423" s="3">
        <v>5</v>
      </c>
      <c r="BP423" s="3" t="s">
        <v>1144</v>
      </c>
    </row>
    <row r="424" spans="1:68" ht="22.5" customHeight="1" x14ac:dyDescent="0.25">
      <c r="A424" s="2">
        <v>45987.674377407406</v>
      </c>
      <c r="C424" s="3" t="s">
        <v>69</v>
      </c>
      <c r="D424" s="3" t="s">
        <v>195</v>
      </c>
      <c r="E424" s="3" t="s">
        <v>77</v>
      </c>
      <c r="F424" s="3" t="s">
        <v>78</v>
      </c>
      <c r="G424" s="3" t="s">
        <v>83</v>
      </c>
      <c r="H424" s="3">
        <v>5</v>
      </c>
      <c r="I424" s="3">
        <v>5</v>
      </c>
      <c r="J424" s="3">
        <v>5</v>
      </c>
      <c r="K424" s="3">
        <v>5</v>
      </c>
      <c r="L424" s="3">
        <v>5</v>
      </c>
      <c r="M424" s="3">
        <v>3</v>
      </c>
      <c r="N424" s="3">
        <v>4</v>
      </c>
      <c r="O424" s="3">
        <v>5</v>
      </c>
      <c r="P424" s="3">
        <v>5</v>
      </c>
      <c r="Q424" s="3">
        <v>5</v>
      </c>
      <c r="R424" s="3">
        <v>5</v>
      </c>
      <c r="S424" s="3">
        <v>5</v>
      </c>
      <c r="T424" s="3">
        <v>5</v>
      </c>
      <c r="U424" s="3">
        <v>5</v>
      </c>
      <c r="V424" s="3">
        <v>5</v>
      </c>
      <c r="W424" s="3">
        <v>5</v>
      </c>
      <c r="X424" s="3">
        <v>3</v>
      </c>
      <c r="Y424" s="3">
        <v>4</v>
      </c>
      <c r="Z424" s="3">
        <v>4</v>
      </c>
      <c r="AA424" s="3">
        <v>4</v>
      </c>
      <c r="AB424" s="3">
        <v>3</v>
      </c>
      <c r="AC424" s="3">
        <v>3</v>
      </c>
      <c r="AD424" s="3">
        <v>4</v>
      </c>
      <c r="AE424" s="3">
        <v>4</v>
      </c>
      <c r="AF424" s="3">
        <v>4</v>
      </c>
      <c r="AG424" s="3">
        <v>4</v>
      </c>
      <c r="AH424" s="3">
        <v>4</v>
      </c>
      <c r="AI424" s="3">
        <v>5</v>
      </c>
      <c r="AJ424" s="3">
        <v>5</v>
      </c>
      <c r="AK424" s="3">
        <v>5</v>
      </c>
      <c r="AL424" s="3">
        <v>5</v>
      </c>
      <c r="AM424" s="3">
        <v>5</v>
      </c>
      <c r="AN424" s="3">
        <v>5</v>
      </c>
      <c r="AO424" s="3">
        <v>5</v>
      </c>
      <c r="AP424" s="3">
        <v>5</v>
      </c>
      <c r="AQ424" s="3">
        <v>5</v>
      </c>
      <c r="AR424" s="3">
        <v>5</v>
      </c>
      <c r="AS424" s="3">
        <v>5</v>
      </c>
      <c r="AT424" s="3">
        <v>5</v>
      </c>
      <c r="AU424" s="3">
        <v>5</v>
      </c>
      <c r="AV424" s="3">
        <v>5</v>
      </c>
      <c r="AW424" s="3">
        <v>5</v>
      </c>
      <c r="AX424" s="3">
        <v>5</v>
      </c>
      <c r="AY424" s="3">
        <v>5</v>
      </c>
      <c r="AZ424" s="3">
        <v>5</v>
      </c>
      <c r="BA424" s="3">
        <v>4</v>
      </c>
      <c r="BB424" s="3">
        <v>3</v>
      </c>
      <c r="BC424" s="3">
        <v>3</v>
      </c>
      <c r="BD424" s="3">
        <v>3</v>
      </c>
      <c r="BE424" s="3">
        <v>3</v>
      </c>
      <c r="BF424" s="3">
        <v>3</v>
      </c>
      <c r="BG424" s="3">
        <v>5</v>
      </c>
      <c r="BH424" s="3">
        <v>5</v>
      </c>
      <c r="BI424" s="3">
        <v>5</v>
      </c>
      <c r="BJ424" s="3">
        <v>5</v>
      </c>
      <c r="BK424" s="3">
        <v>5</v>
      </c>
      <c r="BL424" s="3">
        <v>4</v>
      </c>
      <c r="BM424" s="3">
        <v>5</v>
      </c>
      <c r="BN424" s="3">
        <v>5</v>
      </c>
      <c r="BO424" s="3">
        <v>4</v>
      </c>
      <c r="BP424" s="3" t="s">
        <v>1145</v>
      </c>
    </row>
    <row r="425" spans="1:68" ht="22.5" customHeight="1" x14ac:dyDescent="0.25">
      <c r="A425" s="2">
        <v>45987.677071365746</v>
      </c>
      <c r="B425" s="3" t="s">
        <v>1146</v>
      </c>
      <c r="C425" s="3" t="s">
        <v>86</v>
      </c>
      <c r="D425" s="3" t="s">
        <v>1134</v>
      </c>
      <c r="E425" s="3" t="s">
        <v>77</v>
      </c>
      <c r="F425" s="3" t="s">
        <v>78</v>
      </c>
      <c r="G425" s="3" t="s">
        <v>79</v>
      </c>
      <c r="H425" s="3">
        <v>5</v>
      </c>
      <c r="I425" s="3">
        <v>5</v>
      </c>
      <c r="J425" s="3">
        <v>4</v>
      </c>
      <c r="K425" s="3">
        <v>4</v>
      </c>
      <c r="L425" s="3">
        <v>4</v>
      </c>
      <c r="M425" s="3">
        <v>5</v>
      </c>
      <c r="N425" s="3">
        <v>5</v>
      </c>
      <c r="O425" s="3">
        <v>5</v>
      </c>
      <c r="P425" s="3">
        <v>5</v>
      </c>
      <c r="Q425" s="3">
        <v>4</v>
      </c>
      <c r="R425" s="3">
        <v>5</v>
      </c>
      <c r="S425" s="3">
        <v>5</v>
      </c>
      <c r="T425" s="3">
        <v>5</v>
      </c>
      <c r="U425" s="3">
        <v>5</v>
      </c>
      <c r="V425" s="3">
        <v>5</v>
      </c>
      <c r="W425" s="3">
        <v>5</v>
      </c>
      <c r="X425" s="3">
        <v>5</v>
      </c>
      <c r="Y425" s="3">
        <v>5</v>
      </c>
      <c r="Z425" s="3">
        <v>4</v>
      </c>
      <c r="AA425" s="3">
        <v>5</v>
      </c>
      <c r="AB425" s="3">
        <v>4</v>
      </c>
      <c r="AC425" s="3">
        <v>4</v>
      </c>
      <c r="AD425" s="3">
        <v>5</v>
      </c>
      <c r="AE425" s="3">
        <v>5</v>
      </c>
      <c r="AF425" s="3">
        <v>5</v>
      </c>
      <c r="AG425" s="3">
        <v>5</v>
      </c>
      <c r="AH425" s="3">
        <v>4</v>
      </c>
      <c r="AI425" s="3">
        <v>5</v>
      </c>
      <c r="AJ425" s="3">
        <v>5</v>
      </c>
      <c r="AK425" s="3">
        <v>5</v>
      </c>
      <c r="AL425" s="3">
        <v>5</v>
      </c>
      <c r="AM425" s="3">
        <v>5</v>
      </c>
      <c r="AN425" s="3">
        <v>4</v>
      </c>
      <c r="AO425" s="3">
        <v>4</v>
      </c>
      <c r="AP425" s="3">
        <v>4</v>
      </c>
      <c r="AQ425" s="3">
        <v>5</v>
      </c>
      <c r="AR425" s="3">
        <v>5</v>
      </c>
      <c r="AS425" s="3">
        <v>4</v>
      </c>
      <c r="AT425" s="3">
        <v>4</v>
      </c>
      <c r="AU425" s="3">
        <v>4</v>
      </c>
      <c r="AV425" s="3">
        <v>4</v>
      </c>
      <c r="AW425" s="3">
        <v>5</v>
      </c>
      <c r="AX425" s="3">
        <v>4</v>
      </c>
      <c r="AY425" s="3">
        <v>5</v>
      </c>
      <c r="AZ425" s="3">
        <v>5</v>
      </c>
      <c r="BA425" s="3">
        <v>3</v>
      </c>
      <c r="BB425" s="3">
        <v>4</v>
      </c>
      <c r="BC425" s="3">
        <v>3</v>
      </c>
      <c r="BD425" s="3">
        <v>4</v>
      </c>
      <c r="BE425" s="3">
        <v>3</v>
      </c>
      <c r="BF425" s="3">
        <v>3</v>
      </c>
      <c r="BG425" s="3">
        <v>5</v>
      </c>
      <c r="BH425" s="3">
        <v>5</v>
      </c>
      <c r="BI425" s="3">
        <v>5</v>
      </c>
      <c r="BJ425" s="3">
        <v>5</v>
      </c>
      <c r="BK425" s="3">
        <v>5</v>
      </c>
      <c r="BL425" s="3">
        <v>5</v>
      </c>
      <c r="BM425" s="3">
        <v>5</v>
      </c>
      <c r="BN425" s="3">
        <v>4</v>
      </c>
      <c r="BO425" s="3">
        <v>4</v>
      </c>
      <c r="BP425" s="3" t="s">
        <v>1147</v>
      </c>
    </row>
    <row r="426" spans="1:68" ht="22.5" customHeight="1" x14ac:dyDescent="0.25">
      <c r="A426" s="2">
        <v>45987.67733259259</v>
      </c>
      <c r="B426" s="3" t="s">
        <v>1148</v>
      </c>
      <c r="C426" s="3" t="s">
        <v>86</v>
      </c>
      <c r="D426" s="3" t="s">
        <v>897</v>
      </c>
      <c r="E426" s="3" t="s">
        <v>77</v>
      </c>
      <c r="F426" s="3" t="s">
        <v>88</v>
      </c>
      <c r="G426" s="3" t="s">
        <v>83</v>
      </c>
      <c r="H426" s="3">
        <v>4</v>
      </c>
      <c r="I426" s="3">
        <v>3</v>
      </c>
      <c r="J426" s="3">
        <v>4</v>
      </c>
      <c r="K426" s="3">
        <v>4</v>
      </c>
      <c r="L426" s="3">
        <v>4</v>
      </c>
      <c r="M426" s="3">
        <v>3</v>
      </c>
      <c r="N426" s="3">
        <v>3</v>
      </c>
      <c r="O426" s="3">
        <v>4</v>
      </c>
      <c r="P426" s="3">
        <v>4</v>
      </c>
      <c r="Q426" s="3">
        <v>4</v>
      </c>
      <c r="R426" s="3">
        <v>4</v>
      </c>
      <c r="S426" s="3">
        <v>4</v>
      </c>
      <c r="T426" s="3">
        <v>5</v>
      </c>
      <c r="U426" s="3">
        <v>4</v>
      </c>
      <c r="V426" s="3">
        <v>4</v>
      </c>
      <c r="W426" s="3">
        <v>4</v>
      </c>
      <c r="X426" s="3">
        <v>4</v>
      </c>
      <c r="Y426" s="3">
        <v>3</v>
      </c>
      <c r="Z426" s="3">
        <v>4</v>
      </c>
      <c r="AA426" s="3">
        <v>4</v>
      </c>
      <c r="AB426" s="3">
        <v>3</v>
      </c>
      <c r="AC426" s="3">
        <v>3</v>
      </c>
      <c r="AD426" s="3">
        <v>4</v>
      </c>
      <c r="AE426" s="3">
        <v>4</v>
      </c>
      <c r="AF426" s="3">
        <v>4</v>
      </c>
      <c r="AG426" s="3">
        <v>4</v>
      </c>
      <c r="AH426" s="3">
        <v>4</v>
      </c>
      <c r="AI426" s="3">
        <v>3</v>
      </c>
      <c r="AJ426" s="3">
        <v>4</v>
      </c>
      <c r="AK426" s="3">
        <v>4</v>
      </c>
      <c r="AL426" s="3">
        <v>4</v>
      </c>
      <c r="AM426" s="3">
        <v>4</v>
      </c>
      <c r="AN426" s="3">
        <v>3</v>
      </c>
      <c r="AO426" s="3">
        <v>4</v>
      </c>
      <c r="AP426" s="3">
        <v>4</v>
      </c>
      <c r="AQ426" s="3">
        <v>4</v>
      </c>
      <c r="AR426" s="3">
        <v>4</v>
      </c>
      <c r="AS426" s="3">
        <v>4</v>
      </c>
      <c r="AT426" s="3">
        <v>3</v>
      </c>
      <c r="AU426" s="3">
        <v>4</v>
      </c>
      <c r="AV426" s="3">
        <v>4</v>
      </c>
      <c r="AW426" s="3">
        <v>4</v>
      </c>
      <c r="AX426" s="3">
        <v>4</v>
      </c>
      <c r="AY426" s="3">
        <v>4</v>
      </c>
      <c r="AZ426" s="3">
        <v>4</v>
      </c>
      <c r="BA426" s="3">
        <v>4</v>
      </c>
      <c r="BB426" s="3">
        <v>4</v>
      </c>
      <c r="BC426" s="3">
        <v>4</v>
      </c>
      <c r="BD426" s="3">
        <v>4</v>
      </c>
      <c r="BE426" s="3">
        <v>4</v>
      </c>
      <c r="BF426" s="3">
        <v>3</v>
      </c>
      <c r="BG426" s="3">
        <v>4</v>
      </c>
      <c r="BH426" s="3">
        <v>4</v>
      </c>
      <c r="BI426" s="3">
        <v>4</v>
      </c>
      <c r="BJ426" s="3">
        <v>4</v>
      </c>
      <c r="BK426" s="3">
        <v>4</v>
      </c>
      <c r="BL426" s="3">
        <v>4</v>
      </c>
      <c r="BM426" s="3">
        <v>4</v>
      </c>
      <c r="BN426" s="3">
        <v>4</v>
      </c>
      <c r="BO426" s="3">
        <v>4</v>
      </c>
      <c r="BP426" s="3" t="s">
        <v>1149</v>
      </c>
    </row>
    <row r="427" spans="1:68" ht="22.5" customHeight="1" x14ac:dyDescent="0.25">
      <c r="A427" s="2">
        <v>45987.678723171295</v>
      </c>
      <c r="B427" s="3" t="s">
        <v>1150</v>
      </c>
      <c r="C427" s="3" t="s">
        <v>69</v>
      </c>
      <c r="D427" s="3" t="s">
        <v>1122</v>
      </c>
      <c r="E427" s="3" t="s">
        <v>77</v>
      </c>
      <c r="F427" s="3" t="s">
        <v>103</v>
      </c>
      <c r="G427" s="3" t="s">
        <v>73</v>
      </c>
      <c r="H427" s="3">
        <v>5</v>
      </c>
      <c r="I427" s="3">
        <v>5</v>
      </c>
      <c r="J427" s="3">
        <v>5</v>
      </c>
      <c r="K427" s="3">
        <v>4</v>
      </c>
      <c r="L427" s="3">
        <v>4</v>
      </c>
      <c r="M427" s="3">
        <v>3</v>
      </c>
      <c r="N427" s="3">
        <v>3</v>
      </c>
      <c r="O427" s="3">
        <v>5</v>
      </c>
      <c r="P427" s="3">
        <v>5</v>
      </c>
      <c r="Q427" s="3">
        <v>5</v>
      </c>
      <c r="R427" s="3">
        <v>5</v>
      </c>
      <c r="S427" s="3">
        <v>5</v>
      </c>
      <c r="T427" s="3">
        <v>5</v>
      </c>
      <c r="U427" s="3">
        <v>5</v>
      </c>
      <c r="V427" s="3">
        <v>5</v>
      </c>
      <c r="W427" s="3">
        <v>5</v>
      </c>
      <c r="X427" s="3">
        <v>4</v>
      </c>
      <c r="Y427" s="3">
        <v>4</v>
      </c>
      <c r="Z427" s="3">
        <v>4</v>
      </c>
      <c r="AA427" s="3">
        <v>4</v>
      </c>
      <c r="AB427" s="3">
        <v>4</v>
      </c>
      <c r="AC427" s="3">
        <v>4</v>
      </c>
      <c r="AD427" s="3">
        <v>4</v>
      </c>
      <c r="AE427" s="3">
        <v>4</v>
      </c>
      <c r="AF427" s="3">
        <v>4</v>
      </c>
      <c r="AG427" s="3">
        <v>4</v>
      </c>
      <c r="AH427" s="3">
        <v>4</v>
      </c>
      <c r="AI427" s="3">
        <v>5</v>
      </c>
      <c r="AJ427" s="3">
        <v>5</v>
      </c>
      <c r="AK427" s="3">
        <v>5</v>
      </c>
      <c r="AL427" s="3">
        <v>5</v>
      </c>
      <c r="AM427" s="3">
        <v>5</v>
      </c>
      <c r="AN427" s="3">
        <v>4</v>
      </c>
      <c r="AO427" s="3">
        <v>4</v>
      </c>
      <c r="AP427" s="3">
        <v>4</v>
      </c>
      <c r="AQ427" s="3">
        <v>4</v>
      </c>
      <c r="AR427" s="3">
        <v>4</v>
      </c>
      <c r="AS427" s="3">
        <v>4</v>
      </c>
      <c r="AT427" s="3">
        <v>4</v>
      </c>
      <c r="AU427" s="3">
        <v>4</v>
      </c>
      <c r="AV427" s="3">
        <v>4</v>
      </c>
      <c r="AW427" s="3">
        <v>5</v>
      </c>
      <c r="AX427" s="3">
        <v>5</v>
      </c>
      <c r="AY427" s="3">
        <v>5</v>
      </c>
      <c r="AZ427" s="3">
        <v>5</v>
      </c>
      <c r="BA427" s="3">
        <v>5</v>
      </c>
      <c r="BB427" s="3">
        <v>5</v>
      </c>
      <c r="BC427" s="3">
        <v>5</v>
      </c>
      <c r="BD427" s="3">
        <v>5</v>
      </c>
      <c r="BE427" s="3">
        <v>5</v>
      </c>
      <c r="BF427" s="3">
        <v>5</v>
      </c>
      <c r="BG427" s="3">
        <v>5</v>
      </c>
      <c r="BH427" s="3">
        <v>5</v>
      </c>
      <c r="BI427" s="3">
        <v>5</v>
      </c>
      <c r="BJ427" s="3">
        <v>5</v>
      </c>
      <c r="BK427" s="3">
        <v>5</v>
      </c>
      <c r="BL427" s="3">
        <v>5</v>
      </c>
      <c r="BM427" s="3">
        <v>5</v>
      </c>
      <c r="BN427" s="3">
        <v>5</v>
      </c>
      <c r="BO427" s="3">
        <v>5</v>
      </c>
      <c r="BP427" s="3" t="s">
        <v>1151</v>
      </c>
    </row>
    <row r="428" spans="1:68" ht="22.5" customHeight="1" x14ac:dyDescent="0.25">
      <c r="A428" s="2">
        <v>45987.686787604165</v>
      </c>
      <c r="B428" s="3" t="s">
        <v>1152</v>
      </c>
      <c r="C428" s="3" t="s">
        <v>86</v>
      </c>
      <c r="D428" s="3" t="s">
        <v>213</v>
      </c>
      <c r="E428" s="3" t="s">
        <v>119</v>
      </c>
      <c r="F428" s="3" t="s">
        <v>103</v>
      </c>
      <c r="G428" s="3" t="s">
        <v>91</v>
      </c>
      <c r="H428" s="3">
        <v>5</v>
      </c>
      <c r="I428" s="3">
        <v>5</v>
      </c>
      <c r="J428" s="3">
        <v>5</v>
      </c>
      <c r="K428" s="3">
        <v>4</v>
      </c>
      <c r="L428" s="3">
        <v>5</v>
      </c>
      <c r="M428" s="3">
        <v>4</v>
      </c>
      <c r="N428" s="3">
        <v>4</v>
      </c>
      <c r="O428" s="3">
        <v>4</v>
      </c>
      <c r="P428" s="3">
        <v>5</v>
      </c>
      <c r="Q428" s="3">
        <v>5</v>
      </c>
      <c r="R428" s="3">
        <v>5</v>
      </c>
      <c r="S428" s="3">
        <v>5</v>
      </c>
      <c r="T428" s="3">
        <v>5</v>
      </c>
      <c r="U428" s="3">
        <v>5</v>
      </c>
      <c r="V428" s="3">
        <v>4</v>
      </c>
      <c r="W428" s="3">
        <v>4</v>
      </c>
      <c r="X428" s="3">
        <v>4</v>
      </c>
      <c r="Y428" s="3">
        <v>4</v>
      </c>
      <c r="Z428" s="3">
        <v>4</v>
      </c>
      <c r="AA428" s="3">
        <v>4</v>
      </c>
      <c r="AB428" s="3">
        <v>4</v>
      </c>
      <c r="AC428" s="3">
        <v>4</v>
      </c>
      <c r="AD428" s="3">
        <v>4</v>
      </c>
      <c r="AE428" s="3">
        <v>4</v>
      </c>
      <c r="AF428" s="3">
        <v>4</v>
      </c>
      <c r="AG428" s="3">
        <v>4</v>
      </c>
      <c r="AH428" s="3">
        <v>4</v>
      </c>
      <c r="AI428" s="3">
        <v>5</v>
      </c>
      <c r="AJ428" s="3">
        <v>5</v>
      </c>
      <c r="AK428" s="3">
        <v>5</v>
      </c>
      <c r="AL428" s="3">
        <v>5</v>
      </c>
      <c r="AM428" s="3">
        <v>5</v>
      </c>
      <c r="AN428" s="3">
        <v>4</v>
      </c>
      <c r="AO428" s="3">
        <v>3</v>
      </c>
      <c r="AP428" s="3">
        <v>4</v>
      </c>
      <c r="AQ428" s="3">
        <v>4</v>
      </c>
      <c r="AR428" s="3">
        <v>4</v>
      </c>
      <c r="AS428" s="3">
        <v>3</v>
      </c>
      <c r="AT428" s="3">
        <v>4</v>
      </c>
      <c r="AU428" s="3">
        <v>4</v>
      </c>
      <c r="AV428" s="3">
        <v>4</v>
      </c>
      <c r="AW428" s="3">
        <v>5</v>
      </c>
      <c r="AX428" s="3">
        <v>5</v>
      </c>
      <c r="AY428" s="3">
        <v>5</v>
      </c>
      <c r="AZ428" s="3">
        <v>5</v>
      </c>
      <c r="BA428" s="3">
        <v>3</v>
      </c>
      <c r="BB428" s="3">
        <v>3</v>
      </c>
      <c r="BC428" s="3">
        <v>3</v>
      </c>
      <c r="BD428" s="3">
        <v>3</v>
      </c>
      <c r="BE428" s="3">
        <v>3</v>
      </c>
      <c r="BF428" s="3">
        <v>3</v>
      </c>
      <c r="BG428" s="3">
        <v>5</v>
      </c>
      <c r="BH428" s="3">
        <v>5</v>
      </c>
      <c r="BI428" s="3">
        <v>5</v>
      </c>
      <c r="BJ428" s="3">
        <v>5</v>
      </c>
      <c r="BK428" s="3">
        <v>5</v>
      </c>
      <c r="BL428" s="3">
        <v>5</v>
      </c>
      <c r="BM428" s="3">
        <v>5</v>
      </c>
      <c r="BN428" s="3">
        <v>4</v>
      </c>
      <c r="BO428" s="3">
        <v>5</v>
      </c>
      <c r="BP428" s="3" t="s">
        <v>1153</v>
      </c>
    </row>
    <row r="429" spans="1:68" ht="22.5" customHeight="1" x14ac:dyDescent="0.25">
      <c r="A429" s="2">
        <v>45987.6870437037</v>
      </c>
      <c r="B429" s="3" t="s">
        <v>1154</v>
      </c>
      <c r="C429" s="3" t="s">
        <v>69</v>
      </c>
      <c r="D429" s="3" t="s">
        <v>1155</v>
      </c>
      <c r="E429" s="3" t="s">
        <v>87</v>
      </c>
      <c r="F429" s="3" t="s">
        <v>88</v>
      </c>
      <c r="G429" s="3" t="s">
        <v>73</v>
      </c>
      <c r="H429" s="3">
        <v>5</v>
      </c>
      <c r="I429" s="3">
        <v>4</v>
      </c>
      <c r="J429" s="3">
        <v>4</v>
      </c>
      <c r="K429" s="3">
        <v>4</v>
      </c>
      <c r="L429" s="3">
        <v>4</v>
      </c>
      <c r="M429" s="3">
        <v>3</v>
      </c>
      <c r="N429" s="3">
        <v>3</v>
      </c>
      <c r="O429" s="3">
        <v>5</v>
      </c>
      <c r="P429" s="3">
        <v>5</v>
      </c>
      <c r="Q429" s="3">
        <v>5</v>
      </c>
      <c r="R429" s="3">
        <v>4</v>
      </c>
      <c r="S429" s="3">
        <v>4</v>
      </c>
      <c r="T429" s="3">
        <v>5</v>
      </c>
      <c r="U429" s="3">
        <v>4</v>
      </c>
      <c r="V429" s="3">
        <v>3</v>
      </c>
      <c r="W429" s="3">
        <v>3</v>
      </c>
      <c r="X429" s="3">
        <v>5</v>
      </c>
      <c r="Y429" s="3">
        <v>5</v>
      </c>
      <c r="Z429" s="3">
        <v>3</v>
      </c>
      <c r="AA429" s="3">
        <v>4</v>
      </c>
      <c r="AB429" s="3">
        <v>4</v>
      </c>
      <c r="AC429" s="3">
        <v>4</v>
      </c>
      <c r="AD429" s="3">
        <v>3</v>
      </c>
      <c r="AE429" s="3">
        <v>3</v>
      </c>
      <c r="AF429" s="3">
        <v>4</v>
      </c>
      <c r="AG429" s="3">
        <v>4</v>
      </c>
      <c r="AH429" s="3">
        <v>4</v>
      </c>
      <c r="AI429" s="3">
        <v>4</v>
      </c>
      <c r="AJ429" s="3">
        <v>4</v>
      </c>
      <c r="AK429" s="3">
        <v>5</v>
      </c>
      <c r="AL429" s="3">
        <v>5</v>
      </c>
      <c r="AM429" s="3">
        <v>3</v>
      </c>
      <c r="AN429" s="3">
        <v>3</v>
      </c>
      <c r="AO429" s="3">
        <v>4</v>
      </c>
      <c r="AP429" s="3">
        <v>3</v>
      </c>
      <c r="AQ429" s="3">
        <v>4</v>
      </c>
      <c r="AR429" s="3">
        <v>4</v>
      </c>
      <c r="AS429" s="3">
        <v>5</v>
      </c>
      <c r="AT429" s="3">
        <v>5</v>
      </c>
      <c r="AU429" s="3">
        <v>4</v>
      </c>
      <c r="AV429" s="3">
        <v>4</v>
      </c>
      <c r="AW429" s="3">
        <v>5</v>
      </c>
      <c r="AX429" s="3">
        <v>4</v>
      </c>
      <c r="AY429" s="3">
        <v>3</v>
      </c>
      <c r="AZ429" s="3">
        <v>4</v>
      </c>
      <c r="BA429" s="3">
        <v>4</v>
      </c>
      <c r="BB429" s="3">
        <v>4</v>
      </c>
      <c r="BC429" s="3">
        <v>3</v>
      </c>
      <c r="BD429" s="3">
        <v>4</v>
      </c>
      <c r="BE429" s="3">
        <v>5</v>
      </c>
      <c r="BF429" s="3">
        <v>4</v>
      </c>
      <c r="BG429" s="3">
        <v>4</v>
      </c>
      <c r="BH429" s="3">
        <v>4</v>
      </c>
      <c r="BI429" s="3">
        <v>4</v>
      </c>
      <c r="BJ429" s="3">
        <v>4</v>
      </c>
      <c r="BK429" s="3">
        <v>4</v>
      </c>
      <c r="BL429" s="3">
        <v>4</v>
      </c>
      <c r="BM429" s="3">
        <v>3</v>
      </c>
      <c r="BN429" s="3">
        <v>5</v>
      </c>
      <c r="BO429" s="3">
        <v>5</v>
      </c>
      <c r="BP429" s="3" t="s">
        <v>1156</v>
      </c>
    </row>
    <row r="430" spans="1:68" ht="22.5" customHeight="1" x14ac:dyDescent="0.25">
      <c r="A430" s="2">
        <v>45987.692322754629</v>
      </c>
      <c r="B430" s="3" t="s">
        <v>1157</v>
      </c>
      <c r="C430" s="3" t="s">
        <v>69</v>
      </c>
      <c r="D430" s="3" t="s">
        <v>1134</v>
      </c>
      <c r="E430" s="3" t="s">
        <v>873</v>
      </c>
      <c r="F430" s="3" t="s">
        <v>78</v>
      </c>
      <c r="G430" s="3" t="s">
        <v>79</v>
      </c>
      <c r="H430" s="3">
        <v>5</v>
      </c>
      <c r="I430" s="3">
        <v>4</v>
      </c>
      <c r="J430" s="3">
        <v>4</v>
      </c>
      <c r="K430" s="3">
        <v>5</v>
      </c>
      <c r="L430" s="3">
        <v>3</v>
      </c>
      <c r="M430" s="3">
        <v>3</v>
      </c>
      <c r="N430" s="3">
        <v>3</v>
      </c>
      <c r="O430" s="3">
        <v>5</v>
      </c>
      <c r="P430" s="3">
        <v>4</v>
      </c>
      <c r="Q430" s="3">
        <v>5</v>
      </c>
      <c r="R430" s="3">
        <v>5</v>
      </c>
      <c r="S430" s="3">
        <v>5</v>
      </c>
      <c r="T430" s="3">
        <v>5</v>
      </c>
      <c r="U430" s="3">
        <v>4</v>
      </c>
      <c r="V430" s="3">
        <v>4</v>
      </c>
      <c r="W430" s="3">
        <v>5</v>
      </c>
      <c r="X430" s="3">
        <v>5</v>
      </c>
      <c r="Y430" s="3">
        <v>2</v>
      </c>
      <c r="Z430" s="3">
        <v>3</v>
      </c>
      <c r="AA430" s="3">
        <v>4</v>
      </c>
      <c r="AB430" s="3">
        <v>4</v>
      </c>
      <c r="AC430" s="3">
        <v>4</v>
      </c>
      <c r="AD430" s="3">
        <v>5</v>
      </c>
      <c r="AE430" s="3">
        <v>4</v>
      </c>
      <c r="AF430" s="3">
        <v>4</v>
      </c>
      <c r="AG430" s="3">
        <v>4</v>
      </c>
      <c r="AH430" s="3">
        <v>4</v>
      </c>
      <c r="AI430" s="3">
        <v>5</v>
      </c>
      <c r="AJ430" s="3">
        <v>3</v>
      </c>
      <c r="AK430" s="3">
        <v>4</v>
      </c>
      <c r="AL430" s="3">
        <v>4</v>
      </c>
      <c r="AM430" s="3">
        <v>4</v>
      </c>
      <c r="AN430" s="3">
        <v>5</v>
      </c>
      <c r="AO430" s="3">
        <v>3</v>
      </c>
      <c r="AP430" s="3">
        <v>5</v>
      </c>
      <c r="AQ430" s="3">
        <v>4</v>
      </c>
      <c r="AR430" s="3">
        <v>3</v>
      </c>
      <c r="AS430" s="3">
        <v>3</v>
      </c>
      <c r="AT430" s="3">
        <v>4</v>
      </c>
      <c r="AU430" s="3">
        <v>5</v>
      </c>
      <c r="AV430" s="3">
        <v>5</v>
      </c>
      <c r="AW430" s="3">
        <v>5</v>
      </c>
      <c r="AX430" s="3">
        <v>4</v>
      </c>
      <c r="AY430" s="3">
        <v>4</v>
      </c>
      <c r="AZ430" s="3">
        <v>4</v>
      </c>
      <c r="BA430" s="3">
        <v>4</v>
      </c>
      <c r="BB430" s="3">
        <v>4</v>
      </c>
      <c r="BC430" s="3">
        <v>4</v>
      </c>
      <c r="BD430" s="3">
        <v>4</v>
      </c>
      <c r="BE430" s="3">
        <v>3</v>
      </c>
      <c r="BF430" s="3">
        <v>3</v>
      </c>
      <c r="BG430" s="3">
        <v>5</v>
      </c>
      <c r="BH430" s="3">
        <v>4</v>
      </c>
      <c r="BI430" s="3">
        <v>4</v>
      </c>
      <c r="BJ430" s="3">
        <v>4</v>
      </c>
      <c r="BK430" s="3">
        <v>4</v>
      </c>
      <c r="BL430" s="3">
        <v>5</v>
      </c>
      <c r="BM430" s="3">
        <v>5</v>
      </c>
      <c r="BN430" s="3">
        <v>4</v>
      </c>
      <c r="BO430" s="3">
        <v>4</v>
      </c>
      <c r="BP430" s="3" t="s">
        <v>1158</v>
      </c>
    </row>
    <row r="431" spans="1:68" ht="22.5" customHeight="1" x14ac:dyDescent="0.25">
      <c r="A431" s="2">
        <v>45987.70399962963</v>
      </c>
      <c r="B431" s="3" t="s">
        <v>1159</v>
      </c>
      <c r="C431" s="3" t="s">
        <v>69</v>
      </c>
      <c r="D431" s="3" t="s">
        <v>1160</v>
      </c>
      <c r="E431" s="3" t="s">
        <v>119</v>
      </c>
      <c r="F431" s="3" t="s">
        <v>72</v>
      </c>
      <c r="G431" s="3" t="s">
        <v>73</v>
      </c>
      <c r="H431" s="3">
        <v>5</v>
      </c>
      <c r="I431" s="3">
        <v>5</v>
      </c>
      <c r="J431" s="3">
        <v>5</v>
      </c>
      <c r="K431" s="3">
        <v>5</v>
      </c>
      <c r="L431" s="3">
        <v>5</v>
      </c>
      <c r="M431" s="3">
        <v>3</v>
      </c>
      <c r="N431" s="3">
        <v>3</v>
      </c>
      <c r="O431" s="3">
        <v>5</v>
      </c>
      <c r="P431" s="3">
        <v>5</v>
      </c>
      <c r="Q431" s="3">
        <v>5</v>
      </c>
      <c r="R431" s="3">
        <v>5</v>
      </c>
      <c r="S431" s="3">
        <v>5</v>
      </c>
      <c r="T431" s="3">
        <v>5</v>
      </c>
      <c r="U431" s="3">
        <v>5</v>
      </c>
      <c r="V431" s="3">
        <v>3</v>
      </c>
      <c r="W431" s="3">
        <v>3</v>
      </c>
      <c r="X431" s="3">
        <v>3</v>
      </c>
      <c r="Y431" s="3">
        <v>3</v>
      </c>
      <c r="Z431" s="3">
        <v>5</v>
      </c>
      <c r="AA431" s="3">
        <v>5</v>
      </c>
      <c r="AB431" s="3">
        <v>5</v>
      </c>
      <c r="AC431" s="3">
        <v>4</v>
      </c>
      <c r="AD431" s="3">
        <v>5</v>
      </c>
      <c r="AE431" s="3">
        <v>5</v>
      </c>
      <c r="AF431" s="3">
        <v>5</v>
      </c>
      <c r="AG431" s="3">
        <v>5</v>
      </c>
      <c r="AH431" s="3">
        <v>5</v>
      </c>
      <c r="AI431" s="3">
        <v>4</v>
      </c>
      <c r="AJ431" s="3">
        <v>5</v>
      </c>
      <c r="AK431" s="3">
        <v>5</v>
      </c>
      <c r="AL431" s="3">
        <v>4</v>
      </c>
      <c r="AM431" s="3">
        <v>4</v>
      </c>
      <c r="AN431" s="3">
        <v>5</v>
      </c>
      <c r="AO431" s="3">
        <v>4</v>
      </c>
      <c r="AP431" s="3">
        <v>4</v>
      </c>
      <c r="AQ431" s="3">
        <v>4</v>
      </c>
      <c r="AR431" s="3">
        <v>4</v>
      </c>
      <c r="AS431" s="3">
        <v>4</v>
      </c>
      <c r="AT431" s="3">
        <v>4</v>
      </c>
      <c r="AU431" s="3">
        <v>4</v>
      </c>
      <c r="AV431" s="3">
        <v>4</v>
      </c>
      <c r="AW431" s="3">
        <v>5</v>
      </c>
      <c r="AX431" s="3">
        <v>5</v>
      </c>
      <c r="AY431" s="3">
        <v>5</v>
      </c>
      <c r="AZ431" s="3">
        <v>4</v>
      </c>
      <c r="BA431" s="3">
        <v>4</v>
      </c>
      <c r="BB431" s="3">
        <v>4</v>
      </c>
      <c r="BC431" s="3">
        <v>4</v>
      </c>
      <c r="BD431" s="3">
        <v>4</v>
      </c>
      <c r="BE431" s="3">
        <v>4</v>
      </c>
      <c r="BF431" s="3">
        <v>4</v>
      </c>
      <c r="BG431" s="3">
        <v>3</v>
      </c>
      <c r="BH431" s="3">
        <v>5</v>
      </c>
      <c r="BI431" s="3">
        <v>5</v>
      </c>
      <c r="BJ431" s="3">
        <v>4</v>
      </c>
      <c r="BK431" s="3">
        <v>3</v>
      </c>
      <c r="BL431" s="3">
        <v>3</v>
      </c>
      <c r="BM431" s="3">
        <v>4</v>
      </c>
      <c r="BN431" s="3">
        <v>5</v>
      </c>
      <c r="BO431" s="3">
        <v>5</v>
      </c>
      <c r="BP431" s="3" t="s">
        <v>1161</v>
      </c>
    </row>
    <row r="432" spans="1:68" ht="22.5" customHeight="1" x14ac:dyDescent="0.25">
      <c r="A432" s="2">
        <v>45987.707281747687</v>
      </c>
      <c r="B432" s="3" t="s">
        <v>1162</v>
      </c>
      <c r="C432" s="3" t="s">
        <v>86</v>
      </c>
      <c r="D432" s="3" t="s">
        <v>1163</v>
      </c>
      <c r="E432" s="3" t="s">
        <v>77</v>
      </c>
      <c r="F432" s="3" t="s">
        <v>78</v>
      </c>
      <c r="G432" s="3" t="s">
        <v>79</v>
      </c>
      <c r="H432" s="3">
        <v>5</v>
      </c>
      <c r="I432" s="3">
        <v>5</v>
      </c>
      <c r="J432" s="3">
        <v>5</v>
      </c>
      <c r="K432" s="3">
        <v>5</v>
      </c>
      <c r="L432" s="3">
        <v>5</v>
      </c>
      <c r="M432" s="3">
        <v>5</v>
      </c>
      <c r="N432" s="3">
        <v>5</v>
      </c>
      <c r="O432" s="3">
        <v>5</v>
      </c>
      <c r="P432" s="3">
        <v>5</v>
      </c>
      <c r="Q432" s="3">
        <v>5</v>
      </c>
      <c r="R432" s="3">
        <v>5</v>
      </c>
      <c r="S432" s="3">
        <v>4</v>
      </c>
      <c r="T432" s="3">
        <v>5</v>
      </c>
      <c r="U432" s="3">
        <v>4</v>
      </c>
      <c r="V432" s="3">
        <v>4</v>
      </c>
      <c r="W432" s="3">
        <v>5</v>
      </c>
      <c r="X432" s="3">
        <v>5</v>
      </c>
      <c r="Y432" s="3">
        <v>4</v>
      </c>
      <c r="Z432" s="3">
        <v>4</v>
      </c>
      <c r="AA432" s="3">
        <v>5</v>
      </c>
      <c r="AB432" s="3">
        <v>4</v>
      </c>
      <c r="AC432" s="3">
        <v>5</v>
      </c>
      <c r="AD432" s="3">
        <v>5</v>
      </c>
      <c r="AE432" s="3">
        <v>4</v>
      </c>
      <c r="AF432" s="3">
        <v>5</v>
      </c>
      <c r="AG432" s="3">
        <v>5</v>
      </c>
      <c r="AH432" s="3">
        <v>4</v>
      </c>
      <c r="AI432" s="3">
        <v>5</v>
      </c>
      <c r="AJ432" s="3">
        <v>5</v>
      </c>
      <c r="AK432" s="3">
        <v>5</v>
      </c>
      <c r="AL432" s="3">
        <v>4</v>
      </c>
      <c r="AM432" s="3">
        <v>4</v>
      </c>
      <c r="AN432" s="3">
        <v>4</v>
      </c>
      <c r="AO432" s="3">
        <v>5</v>
      </c>
      <c r="AP432" s="3">
        <v>4</v>
      </c>
      <c r="AQ432" s="3">
        <v>4</v>
      </c>
      <c r="AR432" s="3">
        <v>5</v>
      </c>
      <c r="AS432" s="3">
        <v>5</v>
      </c>
      <c r="AT432" s="3">
        <v>5</v>
      </c>
      <c r="AU432" s="3">
        <v>5</v>
      </c>
      <c r="AV432" s="3">
        <v>4</v>
      </c>
      <c r="AW432" s="3">
        <v>5</v>
      </c>
      <c r="AX432" s="3">
        <v>4</v>
      </c>
      <c r="AY432" s="3">
        <v>4</v>
      </c>
      <c r="AZ432" s="3">
        <v>4</v>
      </c>
      <c r="BA432" s="3">
        <v>4</v>
      </c>
      <c r="BB432" s="3">
        <v>4</v>
      </c>
      <c r="BC432" s="3">
        <v>5</v>
      </c>
      <c r="BD432" s="3">
        <v>5</v>
      </c>
      <c r="BE432" s="3">
        <v>5</v>
      </c>
      <c r="BF432" s="3">
        <v>5</v>
      </c>
      <c r="BG432" s="3">
        <v>5</v>
      </c>
      <c r="BH432" s="3">
        <v>4</v>
      </c>
      <c r="BI432" s="3">
        <v>4</v>
      </c>
      <c r="BJ432" s="3">
        <v>5</v>
      </c>
      <c r="BK432" s="3">
        <v>5</v>
      </c>
      <c r="BL432" s="3">
        <v>5</v>
      </c>
      <c r="BM432" s="3">
        <v>4</v>
      </c>
      <c r="BN432" s="3">
        <v>4</v>
      </c>
      <c r="BO432" s="3">
        <v>4</v>
      </c>
      <c r="BP432" s="3" t="s">
        <v>1164</v>
      </c>
    </row>
    <row r="433" spans="1:68" ht="22.5" customHeight="1" x14ac:dyDescent="0.25">
      <c r="A433" s="2">
        <v>45987.708365023151</v>
      </c>
      <c r="B433" s="3" t="s">
        <v>1165</v>
      </c>
      <c r="C433" s="3" t="s">
        <v>86</v>
      </c>
      <c r="D433" s="3" t="s">
        <v>1166</v>
      </c>
      <c r="E433" s="3" t="s">
        <v>77</v>
      </c>
      <c r="F433" s="3" t="s">
        <v>88</v>
      </c>
      <c r="G433" s="3" t="s">
        <v>83</v>
      </c>
      <c r="H433" s="3">
        <v>5</v>
      </c>
      <c r="I433" s="3">
        <v>5</v>
      </c>
      <c r="J433" s="3">
        <v>5</v>
      </c>
      <c r="K433" s="3">
        <v>5</v>
      </c>
      <c r="L433" s="3">
        <v>5</v>
      </c>
      <c r="M433" s="3">
        <v>3</v>
      </c>
      <c r="N433" s="3">
        <v>3</v>
      </c>
      <c r="O433" s="3">
        <v>5</v>
      </c>
      <c r="P433" s="3">
        <v>4</v>
      </c>
      <c r="Q433" s="3">
        <v>4</v>
      </c>
      <c r="R433" s="3">
        <v>5</v>
      </c>
      <c r="S433" s="3">
        <v>5</v>
      </c>
      <c r="T433" s="3">
        <v>5</v>
      </c>
      <c r="U433" s="3">
        <v>5</v>
      </c>
      <c r="V433" s="3">
        <v>4</v>
      </c>
      <c r="W433" s="3">
        <v>4</v>
      </c>
      <c r="X433" s="3">
        <v>4</v>
      </c>
      <c r="Y433" s="3">
        <v>5</v>
      </c>
      <c r="Z433" s="3">
        <v>5</v>
      </c>
      <c r="AA433" s="3">
        <v>2</v>
      </c>
      <c r="AB433" s="3">
        <v>1</v>
      </c>
      <c r="AC433" s="3">
        <v>1</v>
      </c>
      <c r="AD433" s="3">
        <v>1</v>
      </c>
      <c r="AE433" s="3">
        <v>5</v>
      </c>
      <c r="AF433" s="3">
        <v>5</v>
      </c>
      <c r="AG433" s="3">
        <v>5</v>
      </c>
      <c r="AH433" s="3">
        <v>4</v>
      </c>
      <c r="AI433" s="3">
        <v>5</v>
      </c>
      <c r="AJ433" s="3">
        <v>5</v>
      </c>
      <c r="AK433" s="3">
        <v>5</v>
      </c>
      <c r="AL433" s="3">
        <v>5</v>
      </c>
      <c r="AM433" s="3">
        <v>5</v>
      </c>
      <c r="AN433" s="3">
        <v>4</v>
      </c>
      <c r="AO433" s="3">
        <v>3</v>
      </c>
      <c r="AP433" s="3">
        <v>3</v>
      </c>
      <c r="AQ433" s="3">
        <v>5</v>
      </c>
      <c r="AR433" s="3">
        <v>5</v>
      </c>
      <c r="AS433" s="3">
        <v>3</v>
      </c>
      <c r="AT433" s="3">
        <v>3</v>
      </c>
      <c r="AU433" s="3">
        <v>5</v>
      </c>
      <c r="AV433" s="3">
        <v>5</v>
      </c>
      <c r="AW433" s="3">
        <v>5</v>
      </c>
      <c r="AX433" s="3">
        <v>5</v>
      </c>
      <c r="AY433" s="3">
        <v>5</v>
      </c>
      <c r="AZ433" s="3">
        <v>5</v>
      </c>
      <c r="BA433" s="3">
        <v>5</v>
      </c>
      <c r="BB433" s="3">
        <v>4</v>
      </c>
      <c r="BC433" s="3">
        <v>3</v>
      </c>
      <c r="BD433" s="3">
        <v>2</v>
      </c>
      <c r="BE433" s="3">
        <v>2</v>
      </c>
      <c r="BF433" s="3">
        <v>2</v>
      </c>
      <c r="BG433" s="3">
        <v>5</v>
      </c>
      <c r="BH433" s="3">
        <v>4</v>
      </c>
      <c r="BI433" s="3">
        <v>4</v>
      </c>
      <c r="BJ433" s="3">
        <v>5</v>
      </c>
      <c r="BK433" s="3">
        <v>5</v>
      </c>
      <c r="BL433" s="3">
        <v>4</v>
      </c>
      <c r="BM433" s="3">
        <v>4</v>
      </c>
      <c r="BN433" s="3">
        <v>5</v>
      </c>
      <c r="BO433" s="3">
        <v>5</v>
      </c>
      <c r="BP433" s="3" t="s">
        <v>1167</v>
      </c>
    </row>
    <row r="434" spans="1:68" ht="22.5" customHeight="1" x14ac:dyDescent="0.25">
      <c r="A434" s="2">
        <v>45987.712888576389</v>
      </c>
      <c r="B434" s="3" t="s">
        <v>1168</v>
      </c>
      <c r="C434" s="3" t="s">
        <v>69</v>
      </c>
      <c r="D434" s="3" t="s">
        <v>1169</v>
      </c>
      <c r="E434" s="3" t="s">
        <v>119</v>
      </c>
      <c r="F434" s="3" t="s">
        <v>103</v>
      </c>
      <c r="G434" s="3" t="s">
        <v>91</v>
      </c>
      <c r="H434" s="3">
        <v>4</v>
      </c>
      <c r="I434" s="3">
        <v>4</v>
      </c>
      <c r="J434" s="3">
        <v>4</v>
      </c>
      <c r="K434" s="3">
        <v>3</v>
      </c>
      <c r="L434" s="3">
        <v>4</v>
      </c>
      <c r="M434" s="3">
        <v>4</v>
      </c>
      <c r="N434" s="3">
        <v>4</v>
      </c>
      <c r="O434" s="3">
        <v>4</v>
      </c>
      <c r="P434" s="3">
        <v>5</v>
      </c>
      <c r="Q434" s="3">
        <v>4</v>
      </c>
      <c r="R434" s="3">
        <v>5</v>
      </c>
      <c r="S434" s="3">
        <v>5</v>
      </c>
      <c r="T434" s="3">
        <v>5</v>
      </c>
      <c r="U434" s="3">
        <v>4</v>
      </c>
      <c r="V434" s="3">
        <v>4</v>
      </c>
      <c r="W434" s="3">
        <v>4</v>
      </c>
      <c r="X434" s="3">
        <v>4</v>
      </c>
      <c r="Y434" s="3">
        <v>4</v>
      </c>
      <c r="Z434" s="3">
        <v>4</v>
      </c>
      <c r="AA434" s="3">
        <v>4</v>
      </c>
      <c r="AB434" s="3">
        <v>4</v>
      </c>
      <c r="AC434" s="3">
        <v>3</v>
      </c>
      <c r="AD434" s="3">
        <v>4</v>
      </c>
      <c r="AE434" s="3">
        <v>4</v>
      </c>
      <c r="AF434" s="3">
        <v>4</v>
      </c>
      <c r="AG434" s="3">
        <v>4</v>
      </c>
      <c r="AH434" s="3">
        <v>3</v>
      </c>
      <c r="AI434" s="3">
        <v>4</v>
      </c>
      <c r="AJ434" s="3">
        <v>4</v>
      </c>
      <c r="AK434" s="3">
        <v>4</v>
      </c>
      <c r="AL434" s="3">
        <v>4</v>
      </c>
      <c r="AM434" s="3">
        <v>5</v>
      </c>
      <c r="AN434" s="3">
        <v>4</v>
      </c>
      <c r="AO434" s="3">
        <v>4</v>
      </c>
      <c r="AP434" s="3">
        <v>4</v>
      </c>
      <c r="AQ434" s="3">
        <v>4</v>
      </c>
      <c r="AR434" s="3">
        <v>4</v>
      </c>
      <c r="AS434" s="3">
        <v>3</v>
      </c>
      <c r="AT434" s="3">
        <v>4</v>
      </c>
      <c r="AU434" s="3">
        <v>4</v>
      </c>
      <c r="AV434" s="3">
        <v>4</v>
      </c>
      <c r="AW434" s="3">
        <v>4</v>
      </c>
      <c r="AX434" s="3">
        <v>4</v>
      </c>
      <c r="AY434" s="3">
        <v>4</v>
      </c>
      <c r="AZ434" s="3">
        <v>4</v>
      </c>
      <c r="BA434" s="3">
        <v>4</v>
      </c>
      <c r="BB434" s="3">
        <v>4</v>
      </c>
      <c r="BC434" s="3">
        <v>4</v>
      </c>
      <c r="BD434" s="3">
        <v>4</v>
      </c>
      <c r="BE434" s="3">
        <v>4</v>
      </c>
      <c r="BF434" s="3">
        <v>4</v>
      </c>
      <c r="BG434" s="3">
        <v>4</v>
      </c>
      <c r="BH434" s="3">
        <v>4</v>
      </c>
      <c r="BI434" s="3">
        <v>4</v>
      </c>
      <c r="BJ434" s="3">
        <v>4</v>
      </c>
      <c r="BK434" s="3">
        <v>4</v>
      </c>
      <c r="BL434" s="3">
        <v>4</v>
      </c>
      <c r="BM434" s="3">
        <v>4</v>
      </c>
      <c r="BN434" s="3">
        <v>4</v>
      </c>
      <c r="BO434" s="3">
        <v>4</v>
      </c>
      <c r="BP434" s="3" t="s">
        <v>1170</v>
      </c>
    </row>
    <row r="435" spans="1:68" ht="22.5" customHeight="1" x14ac:dyDescent="0.25">
      <c r="A435" s="2">
        <v>45987.715043715274</v>
      </c>
      <c r="B435" s="3" t="s">
        <v>1171</v>
      </c>
      <c r="C435" s="3" t="s">
        <v>86</v>
      </c>
      <c r="D435" s="3" t="s">
        <v>1172</v>
      </c>
      <c r="E435" s="3" t="s">
        <v>77</v>
      </c>
      <c r="F435" s="3" t="s">
        <v>78</v>
      </c>
      <c r="G435" s="3" t="s">
        <v>79</v>
      </c>
      <c r="H435" s="3">
        <v>5</v>
      </c>
      <c r="I435" s="3">
        <v>4</v>
      </c>
      <c r="J435" s="3">
        <v>5</v>
      </c>
      <c r="K435" s="3">
        <v>4</v>
      </c>
      <c r="L435" s="3">
        <v>4</v>
      </c>
      <c r="M435" s="3">
        <v>3</v>
      </c>
      <c r="N435" s="3">
        <v>4</v>
      </c>
      <c r="O435" s="3">
        <v>5</v>
      </c>
      <c r="P435" s="3">
        <v>5</v>
      </c>
      <c r="Q435" s="3">
        <v>4</v>
      </c>
      <c r="R435" s="3">
        <v>5</v>
      </c>
      <c r="S435" s="3">
        <v>5</v>
      </c>
      <c r="T435" s="3">
        <v>4</v>
      </c>
      <c r="U435" s="3">
        <v>4</v>
      </c>
      <c r="V435" s="3">
        <v>4</v>
      </c>
      <c r="W435" s="3">
        <v>4</v>
      </c>
      <c r="X435" s="3">
        <v>5</v>
      </c>
      <c r="Y435" s="3">
        <v>4</v>
      </c>
      <c r="Z435" s="3">
        <v>5</v>
      </c>
      <c r="AA435" s="3">
        <v>5</v>
      </c>
      <c r="AB435" s="3">
        <v>5</v>
      </c>
      <c r="AC435" s="3">
        <v>5</v>
      </c>
      <c r="AD435" s="3">
        <v>5</v>
      </c>
      <c r="AE435" s="3">
        <v>5</v>
      </c>
      <c r="AF435" s="3">
        <v>5</v>
      </c>
      <c r="AG435" s="3">
        <v>4</v>
      </c>
      <c r="AH435" s="3">
        <v>3</v>
      </c>
      <c r="AI435" s="3">
        <v>5</v>
      </c>
      <c r="AJ435" s="3">
        <v>3</v>
      </c>
      <c r="AK435" s="3">
        <v>4</v>
      </c>
      <c r="AL435" s="3">
        <v>4</v>
      </c>
      <c r="AM435" s="3">
        <v>4</v>
      </c>
      <c r="AN435" s="3">
        <v>4</v>
      </c>
      <c r="AO435" s="3">
        <v>4</v>
      </c>
      <c r="AP435" s="3">
        <v>5</v>
      </c>
      <c r="AQ435" s="3">
        <v>4</v>
      </c>
      <c r="AR435" s="3">
        <v>5</v>
      </c>
      <c r="AS435" s="3">
        <v>3</v>
      </c>
      <c r="AT435" s="3">
        <v>5</v>
      </c>
      <c r="AU435" s="3">
        <v>5</v>
      </c>
      <c r="AV435" s="3">
        <v>5</v>
      </c>
      <c r="AW435" s="3">
        <v>5</v>
      </c>
      <c r="AX435" s="3">
        <v>5</v>
      </c>
      <c r="AY435" s="3">
        <v>5</v>
      </c>
      <c r="AZ435" s="3">
        <v>5</v>
      </c>
      <c r="BA435" s="3">
        <v>4</v>
      </c>
      <c r="BB435" s="3">
        <v>4</v>
      </c>
      <c r="BC435" s="3">
        <v>5</v>
      </c>
      <c r="BD435" s="3">
        <v>5</v>
      </c>
      <c r="BE435" s="3">
        <v>5</v>
      </c>
      <c r="BF435" s="3">
        <v>5</v>
      </c>
      <c r="BG435" s="3">
        <v>4</v>
      </c>
      <c r="BH435" s="3">
        <v>3</v>
      </c>
      <c r="BI435" s="3">
        <v>4</v>
      </c>
      <c r="BJ435" s="3">
        <v>5</v>
      </c>
      <c r="BK435" s="3">
        <v>5</v>
      </c>
      <c r="BL435" s="3">
        <v>4</v>
      </c>
      <c r="BM435" s="3">
        <v>5</v>
      </c>
      <c r="BN435" s="3">
        <v>4</v>
      </c>
      <c r="BO435" s="3">
        <v>5</v>
      </c>
      <c r="BP435" s="3" t="s">
        <v>1173</v>
      </c>
    </row>
    <row r="436" spans="1:68" ht="22.5" customHeight="1" x14ac:dyDescent="0.25">
      <c r="A436" s="2">
        <v>45987.716227581019</v>
      </c>
      <c r="B436" s="3" t="s">
        <v>1174</v>
      </c>
      <c r="C436" s="3" t="s">
        <v>69</v>
      </c>
      <c r="D436" s="3" t="s">
        <v>1175</v>
      </c>
      <c r="E436" s="3" t="s">
        <v>119</v>
      </c>
      <c r="F436" s="3" t="s">
        <v>72</v>
      </c>
      <c r="G436" s="3" t="s">
        <v>73</v>
      </c>
      <c r="H436" s="3">
        <v>4</v>
      </c>
      <c r="I436" s="3">
        <v>4</v>
      </c>
      <c r="J436" s="3">
        <v>4</v>
      </c>
      <c r="K436" s="3">
        <v>4</v>
      </c>
      <c r="L436" s="3">
        <v>4</v>
      </c>
      <c r="M436" s="3">
        <v>4</v>
      </c>
      <c r="N436" s="3">
        <v>4</v>
      </c>
      <c r="O436" s="3">
        <v>4</v>
      </c>
      <c r="P436" s="3">
        <v>4</v>
      </c>
      <c r="Q436" s="3">
        <v>4</v>
      </c>
      <c r="R436" s="3">
        <v>4</v>
      </c>
      <c r="S436" s="3">
        <v>4</v>
      </c>
      <c r="T436" s="3">
        <v>4</v>
      </c>
      <c r="U436" s="3">
        <v>4</v>
      </c>
      <c r="V436" s="3">
        <v>3</v>
      </c>
      <c r="W436" s="3">
        <v>4</v>
      </c>
      <c r="X436" s="3">
        <v>3</v>
      </c>
      <c r="Y436" s="3">
        <v>3</v>
      </c>
      <c r="Z436" s="3">
        <v>4</v>
      </c>
      <c r="AA436" s="3">
        <v>4</v>
      </c>
      <c r="AB436" s="3">
        <v>3</v>
      </c>
      <c r="AC436" s="3">
        <v>2</v>
      </c>
      <c r="AD436" s="3">
        <v>4</v>
      </c>
      <c r="AE436" s="3">
        <v>4</v>
      </c>
      <c r="AF436" s="3">
        <v>4</v>
      </c>
      <c r="AG436" s="3">
        <v>4</v>
      </c>
      <c r="AH436" s="3">
        <v>3</v>
      </c>
      <c r="AI436" s="3">
        <v>4</v>
      </c>
      <c r="AJ436" s="3">
        <v>4</v>
      </c>
      <c r="AK436" s="3">
        <v>4</v>
      </c>
      <c r="AL436" s="3">
        <v>4</v>
      </c>
      <c r="AM436" s="3">
        <v>4</v>
      </c>
      <c r="AN436" s="3">
        <v>4</v>
      </c>
      <c r="AO436" s="3">
        <v>4</v>
      </c>
      <c r="AP436" s="3">
        <v>4</v>
      </c>
      <c r="AQ436" s="3">
        <v>3</v>
      </c>
      <c r="AR436" s="3">
        <v>3</v>
      </c>
      <c r="AS436" s="3">
        <v>3</v>
      </c>
      <c r="AT436" s="3">
        <v>3</v>
      </c>
      <c r="AU436" s="3">
        <v>4</v>
      </c>
      <c r="AV436" s="3">
        <v>4</v>
      </c>
      <c r="AW436" s="3">
        <v>4</v>
      </c>
      <c r="AX436" s="3">
        <v>4</v>
      </c>
      <c r="AY436" s="3">
        <v>4</v>
      </c>
      <c r="AZ436" s="3">
        <v>4</v>
      </c>
      <c r="BA436" s="3">
        <v>4</v>
      </c>
      <c r="BB436" s="3">
        <v>4</v>
      </c>
      <c r="BC436" s="3">
        <v>3</v>
      </c>
      <c r="BD436" s="3">
        <v>3</v>
      </c>
      <c r="BE436" s="3">
        <v>3</v>
      </c>
      <c r="BF436" s="3">
        <v>3</v>
      </c>
      <c r="BG436" s="3">
        <v>4</v>
      </c>
      <c r="BH436" s="3">
        <v>4</v>
      </c>
      <c r="BI436" s="3">
        <v>4</v>
      </c>
      <c r="BJ436" s="3">
        <v>3</v>
      </c>
      <c r="BK436" s="3">
        <v>3</v>
      </c>
      <c r="BL436" s="3">
        <v>4</v>
      </c>
      <c r="BM436" s="3">
        <v>3</v>
      </c>
      <c r="BN436" s="3">
        <v>3</v>
      </c>
      <c r="BO436" s="3">
        <v>4</v>
      </c>
      <c r="BP436" s="3" t="s">
        <v>1176</v>
      </c>
    </row>
    <row r="437" spans="1:68" ht="22.5" customHeight="1" x14ac:dyDescent="0.25">
      <c r="A437" s="2">
        <v>45987.719241145838</v>
      </c>
      <c r="B437" s="3" t="s">
        <v>1177</v>
      </c>
      <c r="C437" s="3" t="s">
        <v>69</v>
      </c>
      <c r="D437" s="3" t="s">
        <v>1178</v>
      </c>
      <c r="E437" s="3" t="s">
        <v>119</v>
      </c>
      <c r="F437" s="3" t="s">
        <v>88</v>
      </c>
      <c r="G437" s="3" t="s">
        <v>83</v>
      </c>
      <c r="H437" s="3">
        <v>5</v>
      </c>
      <c r="I437" s="3">
        <v>5</v>
      </c>
      <c r="J437" s="3">
        <v>5</v>
      </c>
      <c r="K437" s="3">
        <v>5</v>
      </c>
      <c r="L437" s="3">
        <v>5</v>
      </c>
      <c r="M437" s="3">
        <v>3</v>
      </c>
      <c r="N437" s="3">
        <v>3</v>
      </c>
      <c r="O437" s="3">
        <v>5</v>
      </c>
      <c r="P437" s="3">
        <v>4</v>
      </c>
      <c r="Q437" s="3">
        <v>4</v>
      </c>
      <c r="R437" s="3">
        <v>5</v>
      </c>
      <c r="S437" s="3">
        <v>4</v>
      </c>
      <c r="T437" s="3">
        <v>4</v>
      </c>
      <c r="U437" s="3">
        <v>4</v>
      </c>
      <c r="V437" s="3">
        <v>4</v>
      </c>
      <c r="W437" s="3">
        <v>4</v>
      </c>
      <c r="X437" s="3">
        <v>4</v>
      </c>
      <c r="Y437" s="3">
        <v>5</v>
      </c>
      <c r="Z437" s="3">
        <v>4</v>
      </c>
      <c r="AA437" s="3">
        <v>5</v>
      </c>
      <c r="AB437" s="3">
        <v>4</v>
      </c>
      <c r="AC437" s="3">
        <v>3</v>
      </c>
      <c r="AD437" s="3">
        <v>4</v>
      </c>
      <c r="AE437" s="3">
        <v>4</v>
      </c>
      <c r="AF437" s="3">
        <v>4</v>
      </c>
      <c r="AG437" s="3">
        <v>4</v>
      </c>
      <c r="AH437" s="3">
        <v>3</v>
      </c>
      <c r="AI437" s="3">
        <v>4</v>
      </c>
      <c r="AJ437" s="3">
        <v>4</v>
      </c>
      <c r="AK437" s="3">
        <v>4</v>
      </c>
      <c r="AL437" s="3">
        <v>3</v>
      </c>
      <c r="AM437" s="3">
        <v>4</v>
      </c>
      <c r="AN437" s="3">
        <v>4</v>
      </c>
      <c r="AO437" s="3">
        <v>3</v>
      </c>
      <c r="AP437" s="3">
        <v>4</v>
      </c>
      <c r="AQ437" s="3">
        <v>3</v>
      </c>
      <c r="AR437" s="3">
        <v>4</v>
      </c>
      <c r="AS437" s="3">
        <v>4</v>
      </c>
      <c r="AT437" s="3">
        <v>4</v>
      </c>
      <c r="AU437" s="3">
        <v>4</v>
      </c>
      <c r="AV437" s="3">
        <v>5</v>
      </c>
      <c r="AW437" s="3">
        <v>5</v>
      </c>
      <c r="AX437" s="3">
        <v>4</v>
      </c>
      <c r="AY437" s="3">
        <v>5</v>
      </c>
      <c r="AZ437" s="3">
        <v>4</v>
      </c>
      <c r="BA437" s="3">
        <v>4</v>
      </c>
      <c r="BB437" s="3">
        <v>3</v>
      </c>
      <c r="BC437" s="3">
        <v>4</v>
      </c>
      <c r="BD437" s="3">
        <v>3</v>
      </c>
      <c r="BE437" s="3">
        <v>4</v>
      </c>
      <c r="BF437" s="3">
        <v>4</v>
      </c>
      <c r="BG437" s="3">
        <v>4</v>
      </c>
      <c r="BH437" s="3">
        <v>4</v>
      </c>
      <c r="BI437" s="3">
        <v>3</v>
      </c>
      <c r="BJ437" s="3">
        <v>4</v>
      </c>
      <c r="BK437" s="3">
        <v>5</v>
      </c>
      <c r="BL437" s="3">
        <v>4</v>
      </c>
      <c r="BM437" s="3">
        <v>5</v>
      </c>
      <c r="BN437" s="3">
        <v>4</v>
      </c>
      <c r="BO437" s="3">
        <v>5</v>
      </c>
      <c r="BP437" s="3" t="s">
        <v>1179</v>
      </c>
    </row>
    <row r="438" spans="1:68" ht="22.5" customHeight="1" x14ac:dyDescent="0.25">
      <c r="A438" s="2">
        <v>45987.797058414348</v>
      </c>
      <c r="B438" s="3" t="s">
        <v>1180</v>
      </c>
      <c r="C438" s="3" t="s">
        <v>86</v>
      </c>
      <c r="D438" s="3" t="s">
        <v>1181</v>
      </c>
      <c r="E438" s="3" t="s">
        <v>77</v>
      </c>
      <c r="F438" s="3" t="s">
        <v>78</v>
      </c>
      <c r="G438" s="3" t="s">
        <v>79</v>
      </c>
      <c r="H438" s="3">
        <v>5</v>
      </c>
      <c r="I438" s="3">
        <v>5</v>
      </c>
      <c r="J438" s="3">
        <v>5</v>
      </c>
      <c r="K438" s="3">
        <v>5</v>
      </c>
      <c r="L438" s="3">
        <v>5</v>
      </c>
      <c r="M438" s="3">
        <v>5</v>
      </c>
      <c r="N438" s="3">
        <v>5</v>
      </c>
      <c r="O438" s="3">
        <v>5</v>
      </c>
      <c r="P438" s="3">
        <v>5</v>
      </c>
      <c r="Q438" s="3">
        <v>5</v>
      </c>
      <c r="R438" s="3">
        <v>5</v>
      </c>
      <c r="S438" s="3">
        <v>5</v>
      </c>
      <c r="T438" s="3">
        <v>5</v>
      </c>
      <c r="U438" s="3">
        <v>5</v>
      </c>
      <c r="V438" s="3">
        <v>5</v>
      </c>
      <c r="W438" s="3">
        <v>5</v>
      </c>
      <c r="X438" s="3">
        <v>5</v>
      </c>
      <c r="Y438" s="3">
        <v>5</v>
      </c>
      <c r="Z438" s="3">
        <v>5</v>
      </c>
      <c r="AA438" s="3">
        <v>2</v>
      </c>
      <c r="AB438" s="3">
        <v>3</v>
      </c>
      <c r="AC438" s="3">
        <v>4</v>
      </c>
      <c r="AD438" s="3">
        <v>5</v>
      </c>
      <c r="AE438" s="3">
        <v>5</v>
      </c>
      <c r="AF438" s="3">
        <v>5</v>
      </c>
      <c r="AG438" s="3">
        <v>5</v>
      </c>
      <c r="AH438" s="3">
        <v>5</v>
      </c>
      <c r="AI438" s="3">
        <v>5</v>
      </c>
      <c r="AJ438" s="3">
        <v>5</v>
      </c>
      <c r="AK438" s="3">
        <v>5</v>
      </c>
      <c r="AL438" s="3">
        <v>5</v>
      </c>
      <c r="AM438" s="3">
        <v>5</v>
      </c>
      <c r="AN438" s="3">
        <v>5</v>
      </c>
      <c r="AO438" s="3">
        <v>5</v>
      </c>
      <c r="AP438" s="3">
        <v>5</v>
      </c>
      <c r="AQ438" s="3">
        <v>5</v>
      </c>
      <c r="AR438" s="3">
        <v>5</v>
      </c>
      <c r="AS438" s="3">
        <v>5</v>
      </c>
      <c r="AT438" s="3">
        <v>5</v>
      </c>
      <c r="AU438" s="3">
        <v>5</v>
      </c>
      <c r="AV438" s="3">
        <v>5</v>
      </c>
      <c r="AW438" s="3">
        <v>5</v>
      </c>
      <c r="AX438" s="3">
        <v>5</v>
      </c>
      <c r="AY438" s="3">
        <v>5</v>
      </c>
      <c r="AZ438" s="3">
        <v>5</v>
      </c>
      <c r="BA438" s="3">
        <v>3</v>
      </c>
      <c r="BB438" s="3">
        <v>3</v>
      </c>
      <c r="BC438" s="3">
        <v>3</v>
      </c>
      <c r="BD438" s="3">
        <v>3</v>
      </c>
      <c r="BE438" s="3">
        <v>3</v>
      </c>
      <c r="BF438" s="3">
        <v>3</v>
      </c>
      <c r="BG438" s="3">
        <v>5</v>
      </c>
      <c r="BH438" s="3">
        <v>5</v>
      </c>
      <c r="BI438" s="3">
        <v>5</v>
      </c>
      <c r="BJ438" s="3">
        <v>5</v>
      </c>
      <c r="BK438" s="3">
        <v>5</v>
      </c>
      <c r="BL438" s="3">
        <v>5</v>
      </c>
      <c r="BM438" s="3">
        <v>5</v>
      </c>
      <c r="BN438" s="3">
        <v>5</v>
      </c>
      <c r="BO438" s="3">
        <v>5</v>
      </c>
      <c r="BP438" s="3" t="s">
        <v>1182</v>
      </c>
    </row>
    <row r="439" spans="1:68" ht="22.5" customHeight="1" x14ac:dyDescent="0.25">
      <c r="A439" s="2">
        <v>45987.856726111109</v>
      </c>
      <c r="B439" s="3" t="s">
        <v>1183</v>
      </c>
      <c r="C439" s="3" t="s">
        <v>69</v>
      </c>
      <c r="D439" s="3" t="s">
        <v>1134</v>
      </c>
      <c r="E439" s="3" t="s">
        <v>119</v>
      </c>
      <c r="F439" s="3" t="s">
        <v>72</v>
      </c>
      <c r="G439" s="3" t="s">
        <v>73</v>
      </c>
      <c r="H439" s="3">
        <v>4</v>
      </c>
      <c r="I439" s="3">
        <v>4</v>
      </c>
      <c r="J439" s="3">
        <v>4</v>
      </c>
      <c r="K439" s="3">
        <v>4</v>
      </c>
      <c r="L439" s="3">
        <v>5</v>
      </c>
      <c r="M439" s="3">
        <v>4</v>
      </c>
      <c r="N439" s="3">
        <v>4</v>
      </c>
      <c r="O439" s="3">
        <v>4</v>
      </c>
      <c r="P439" s="3">
        <v>5</v>
      </c>
      <c r="Q439" s="3">
        <v>5</v>
      </c>
      <c r="R439" s="3">
        <v>5</v>
      </c>
      <c r="S439" s="3">
        <v>5</v>
      </c>
      <c r="T439" s="3">
        <v>5</v>
      </c>
      <c r="U439" s="3">
        <v>5</v>
      </c>
      <c r="V439" s="3">
        <v>4</v>
      </c>
      <c r="W439" s="3">
        <v>4</v>
      </c>
      <c r="X439" s="3">
        <v>3</v>
      </c>
      <c r="Y439" s="3">
        <v>3</v>
      </c>
      <c r="Z439" s="3">
        <v>4</v>
      </c>
      <c r="AA439" s="3">
        <v>3</v>
      </c>
      <c r="AB439" s="3">
        <v>3</v>
      </c>
      <c r="AC439" s="3">
        <v>2</v>
      </c>
      <c r="AD439" s="3">
        <v>4</v>
      </c>
      <c r="AE439" s="3">
        <v>4</v>
      </c>
      <c r="AF439" s="3">
        <v>4</v>
      </c>
      <c r="AG439" s="3">
        <v>4</v>
      </c>
      <c r="AH439" s="3">
        <v>3</v>
      </c>
      <c r="AI439" s="3">
        <v>4</v>
      </c>
      <c r="AJ439" s="3">
        <v>4</v>
      </c>
      <c r="AK439" s="3">
        <v>4</v>
      </c>
      <c r="AL439" s="3">
        <v>4</v>
      </c>
      <c r="AM439" s="3">
        <v>4</v>
      </c>
      <c r="AN439" s="3">
        <v>4</v>
      </c>
      <c r="AO439" s="3">
        <v>4</v>
      </c>
      <c r="AP439" s="3">
        <v>4</v>
      </c>
      <c r="AQ439" s="3">
        <v>4</v>
      </c>
      <c r="AR439" s="3">
        <v>4</v>
      </c>
      <c r="AS439" s="3">
        <v>3</v>
      </c>
      <c r="AT439" s="3">
        <v>4</v>
      </c>
      <c r="AU439" s="3">
        <v>4</v>
      </c>
      <c r="AV439" s="3">
        <v>4</v>
      </c>
      <c r="AW439" s="3">
        <v>5</v>
      </c>
      <c r="AX439" s="3">
        <v>4</v>
      </c>
      <c r="AY439" s="3">
        <v>4</v>
      </c>
      <c r="AZ439" s="3">
        <v>4</v>
      </c>
      <c r="BA439" s="3">
        <v>4</v>
      </c>
      <c r="BB439" s="3">
        <v>2</v>
      </c>
      <c r="BC439" s="3">
        <v>4</v>
      </c>
      <c r="BD439" s="3">
        <v>4</v>
      </c>
      <c r="BE439" s="3">
        <v>3</v>
      </c>
      <c r="BF439" s="3">
        <v>2</v>
      </c>
      <c r="BG439" s="3">
        <v>4</v>
      </c>
      <c r="BH439" s="3">
        <v>4</v>
      </c>
      <c r="BI439" s="3">
        <v>4</v>
      </c>
      <c r="BJ439" s="3">
        <v>4</v>
      </c>
      <c r="BK439" s="3">
        <v>4</v>
      </c>
      <c r="BL439" s="3">
        <v>4</v>
      </c>
      <c r="BM439" s="3">
        <v>5</v>
      </c>
      <c r="BN439" s="3">
        <v>4</v>
      </c>
      <c r="BO439" s="3">
        <v>5</v>
      </c>
      <c r="BP439" s="3" t="s">
        <v>1184</v>
      </c>
    </row>
    <row r="440" spans="1:68" ht="22.5" customHeight="1" x14ac:dyDescent="0.25">
      <c r="A440" s="2">
        <v>45988.345093159718</v>
      </c>
      <c r="B440" s="3" t="s">
        <v>1185</v>
      </c>
      <c r="C440" s="3" t="s">
        <v>69</v>
      </c>
      <c r="D440" s="3" t="s">
        <v>151</v>
      </c>
      <c r="E440" s="3" t="s">
        <v>119</v>
      </c>
      <c r="F440" s="3" t="s">
        <v>82</v>
      </c>
      <c r="G440" s="3" t="s">
        <v>91</v>
      </c>
      <c r="H440" s="3">
        <v>4</v>
      </c>
      <c r="I440" s="3">
        <v>4</v>
      </c>
      <c r="J440" s="3">
        <v>3</v>
      </c>
      <c r="K440" s="3">
        <v>4</v>
      </c>
      <c r="L440" s="3">
        <v>3</v>
      </c>
      <c r="M440" s="3">
        <v>3</v>
      </c>
      <c r="N440" s="3">
        <v>3</v>
      </c>
      <c r="O440" s="3">
        <v>3</v>
      </c>
      <c r="P440" s="3">
        <v>4</v>
      </c>
      <c r="Q440" s="3">
        <v>3</v>
      </c>
      <c r="R440" s="3">
        <v>4</v>
      </c>
      <c r="S440" s="3">
        <v>4</v>
      </c>
      <c r="T440" s="3">
        <v>4</v>
      </c>
      <c r="U440" s="3">
        <v>4</v>
      </c>
      <c r="V440" s="3">
        <v>3</v>
      </c>
      <c r="W440" s="3">
        <v>3</v>
      </c>
      <c r="X440" s="3">
        <v>3</v>
      </c>
      <c r="Y440" s="3">
        <v>3</v>
      </c>
      <c r="Z440" s="3">
        <v>3</v>
      </c>
      <c r="AA440" s="3">
        <v>4</v>
      </c>
      <c r="AB440" s="3">
        <v>4</v>
      </c>
      <c r="AC440" s="3">
        <v>4</v>
      </c>
      <c r="AD440" s="3">
        <v>4</v>
      </c>
      <c r="AE440" s="3">
        <v>4</v>
      </c>
      <c r="AF440" s="3">
        <v>4</v>
      </c>
      <c r="AG440" s="3">
        <v>4</v>
      </c>
      <c r="AH440" s="3">
        <v>4</v>
      </c>
      <c r="AI440" s="3">
        <v>3</v>
      </c>
      <c r="AJ440" s="3">
        <v>3</v>
      </c>
      <c r="AK440" s="3">
        <v>3</v>
      </c>
      <c r="AL440" s="3">
        <v>3</v>
      </c>
      <c r="AM440" s="3">
        <v>3</v>
      </c>
      <c r="AN440" s="3">
        <v>3</v>
      </c>
      <c r="AO440" s="3">
        <v>2</v>
      </c>
      <c r="AP440" s="3">
        <v>3</v>
      </c>
      <c r="AQ440" s="3">
        <v>3</v>
      </c>
      <c r="AR440" s="3">
        <v>3</v>
      </c>
      <c r="AS440" s="3">
        <v>4</v>
      </c>
      <c r="AT440" s="3">
        <v>3</v>
      </c>
      <c r="AU440" s="3">
        <v>3</v>
      </c>
      <c r="AV440" s="3">
        <v>4</v>
      </c>
      <c r="AW440" s="3">
        <v>3</v>
      </c>
      <c r="AX440" s="3">
        <v>4</v>
      </c>
      <c r="AY440" s="3">
        <v>4</v>
      </c>
      <c r="AZ440" s="3">
        <v>4</v>
      </c>
      <c r="BA440" s="3">
        <v>4</v>
      </c>
      <c r="BB440" s="3">
        <v>4</v>
      </c>
      <c r="BC440" s="3">
        <v>4</v>
      </c>
      <c r="BD440" s="3">
        <v>4</v>
      </c>
      <c r="BE440" s="3">
        <v>4</v>
      </c>
      <c r="BF440" s="3">
        <v>3</v>
      </c>
      <c r="BG440" s="3">
        <v>4</v>
      </c>
      <c r="BH440" s="3">
        <v>4</v>
      </c>
      <c r="BI440" s="3">
        <v>4</v>
      </c>
      <c r="BJ440" s="3">
        <v>3</v>
      </c>
      <c r="BK440" s="3">
        <v>3</v>
      </c>
      <c r="BL440" s="3">
        <v>3</v>
      </c>
      <c r="BM440" s="3">
        <v>3</v>
      </c>
      <c r="BN440" s="3">
        <v>4</v>
      </c>
      <c r="BO440" s="3">
        <v>4</v>
      </c>
      <c r="BP440" s="3" t="s">
        <v>1186</v>
      </c>
    </row>
    <row r="441" spans="1:68" ht="22.5" customHeight="1" x14ac:dyDescent="0.25">
      <c r="A441" s="2">
        <v>45988.345807071761</v>
      </c>
      <c r="B441" s="3" t="s">
        <v>1187</v>
      </c>
      <c r="C441" s="3" t="s">
        <v>69</v>
      </c>
      <c r="D441" s="3" t="s">
        <v>151</v>
      </c>
      <c r="E441" s="3" t="s">
        <v>77</v>
      </c>
      <c r="F441" s="3" t="s">
        <v>78</v>
      </c>
      <c r="G441" s="3" t="s">
        <v>79</v>
      </c>
      <c r="H441" s="3">
        <v>1</v>
      </c>
      <c r="I441" s="3">
        <v>1</v>
      </c>
      <c r="J441" s="3">
        <v>1</v>
      </c>
      <c r="K441" s="3">
        <v>1</v>
      </c>
      <c r="L441" s="3">
        <v>1</v>
      </c>
      <c r="M441" s="3">
        <v>1</v>
      </c>
      <c r="N441" s="3">
        <v>1</v>
      </c>
      <c r="O441" s="3">
        <v>1</v>
      </c>
      <c r="P441" s="3">
        <v>1</v>
      </c>
      <c r="Q441" s="3">
        <v>1</v>
      </c>
      <c r="R441" s="3">
        <v>1</v>
      </c>
      <c r="S441" s="3">
        <v>1</v>
      </c>
      <c r="T441" s="3">
        <v>1</v>
      </c>
      <c r="U441" s="3">
        <v>1</v>
      </c>
      <c r="V441" s="3">
        <v>2</v>
      </c>
      <c r="W441" s="3">
        <v>2</v>
      </c>
      <c r="X441" s="3">
        <v>1</v>
      </c>
      <c r="Y441" s="3">
        <v>2</v>
      </c>
      <c r="Z441" s="3">
        <v>2</v>
      </c>
      <c r="AA441" s="3">
        <v>2</v>
      </c>
      <c r="AB441" s="3">
        <v>1</v>
      </c>
      <c r="AC441" s="3">
        <v>2</v>
      </c>
      <c r="AD441" s="3">
        <v>2</v>
      </c>
      <c r="AE441" s="3">
        <v>2</v>
      </c>
      <c r="AF441" s="3">
        <v>1</v>
      </c>
      <c r="AG441" s="3">
        <v>2</v>
      </c>
      <c r="AH441" s="3">
        <v>1</v>
      </c>
      <c r="AI441" s="3">
        <v>2</v>
      </c>
      <c r="AJ441" s="3">
        <v>1</v>
      </c>
      <c r="AK441" s="3">
        <v>2</v>
      </c>
      <c r="AL441" s="3">
        <v>2</v>
      </c>
      <c r="AM441" s="3">
        <v>1</v>
      </c>
      <c r="AN441" s="3">
        <v>2</v>
      </c>
      <c r="AO441" s="3">
        <v>1</v>
      </c>
      <c r="AP441" s="3">
        <v>1</v>
      </c>
      <c r="AQ441" s="3">
        <v>1</v>
      </c>
      <c r="AR441" s="3">
        <v>1</v>
      </c>
      <c r="AS441" s="3">
        <v>1</v>
      </c>
      <c r="AT441" s="3">
        <v>1</v>
      </c>
      <c r="AU441" s="3">
        <v>1</v>
      </c>
      <c r="AV441" s="3">
        <v>1</v>
      </c>
      <c r="AW441" s="3">
        <v>1</v>
      </c>
      <c r="AX441" s="3">
        <v>2</v>
      </c>
      <c r="AY441" s="3">
        <v>2</v>
      </c>
      <c r="AZ441" s="3">
        <v>1</v>
      </c>
      <c r="BA441" s="3">
        <v>2</v>
      </c>
      <c r="BB441" s="3">
        <v>2</v>
      </c>
      <c r="BC441" s="3">
        <v>1</v>
      </c>
      <c r="BD441" s="3">
        <v>2</v>
      </c>
      <c r="BE441" s="3">
        <v>1</v>
      </c>
      <c r="BF441" s="3">
        <v>1</v>
      </c>
      <c r="BG441" s="3">
        <v>2</v>
      </c>
      <c r="BH441" s="3">
        <v>1</v>
      </c>
      <c r="BI441" s="3">
        <v>1</v>
      </c>
      <c r="BJ441" s="3">
        <v>2</v>
      </c>
      <c r="BK441" s="3">
        <v>1</v>
      </c>
      <c r="BL441" s="3">
        <v>2</v>
      </c>
      <c r="BM441" s="3">
        <v>1</v>
      </c>
      <c r="BN441" s="3">
        <v>1</v>
      </c>
      <c r="BO441" s="3">
        <v>2</v>
      </c>
      <c r="BP441" s="3" t="s">
        <v>1188</v>
      </c>
    </row>
    <row r="442" spans="1:68" ht="22.5" customHeight="1" x14ac:dyDescent="0.25">
      <c r="A442" s="2">
        <v>45988.352112303241</v>
      </c>
      <c r="B442" s="3" t="s">
        <v>1189</v>
      </c>
      <c r="C442" s="3" t="s">
        <v>69</v>
      </c>
      <c r="D442" s="3" t="s">
        <v>1190</v>
      </c>
      <c r="E442" s="3" t="s">
        <v>119</v>
      </c>
      <c r="F442" s="3" t="s">
        <v>72</v>
      </c>
      <c r="G442" s="3" t="s">
        <v>73</v>
      </c>
      <c r="H442" s="3">
        <v>5</v>
      </c>
      <c r="I442" s="3">
        <v>5</v>
      </c>
      <c r="J442" s="3">
        <v>5</v>
      </c>
      <c r="K442" s="3">
        <v>5</v>
      </c>
      <c r="L442" s="3">
        <v>4</v>
      </c>
      <c r="M442" s="3">
        <v>4</v>
      </c>
      <c r="N442" s="3">
        <v>4</v>
      </c>
      <c r="O442" s="3">
        <v>5</v>
      </c>
      <c r="P442" s="3">
        <v>5</v>
      </c>
      <c r="Q442" s="3">
        <v>5</v>
      </c>
      <c r="R442" s="3">
        <v>5</v>
      </c>
      <c r="S442" s="3">
        <v>5</v>
      </c>
      <c r="T442" s="3">
        <v>5</v>
      </c>
      <c r="U442" s="3">
        <v>5</v>
      </c>
      <c r="V442" s="3">
        <v>4</v>
      </c>
      <c r="W442" s="3">
        <v>4</v>
      </c>
      <c r="X442" s="3">
        <v>3</v>
      </c>
      <c r="Y442" s="3">
        <v>5</v>
      </c>
      <c r="Z442" s="3">
        <v>5</v>
      </c>
      <c r="AA442" s="3">
        <v>5</v>
      </c>
      <c r="AB442" s="3">
        <v>3</v>
      </c>
      <c r="AC442" s="3">
        <v>3</v>
      </c>
      <c r="AD442" s="3">
        <v>5</v>
      </c>
      <c r="AE442" s="3">
        <v>5</v>
      </c>
      <c r="AF442" s="3">
        <v>5</v>
      </c>
      <c r="AG442" s="3">
        <v>5</v>
      </c>
      <c r="AH442" s="3">
        <v>5</v>
      </c>
      <c r="AI442" s="3">
        <v>4</v>
      </c>
      <c r="AJ442" s="3">
        <v>4</v>
      </c>
      <c r="AK442" s="3">
        <v>4</v>
      </c>
      <c r="AL442" s="3">
        <v>4</v>
      </c>
      <c r="AM442" s="3">
        <v>4</v>
      </c>
      <c r="AN442" s="3">
        <v>3</v>
      </c>
      <c r="AO442" s="3">
        <v>3</v>
      </c>
      <c r="AP442" s="3">
        <v>4</v>
      </c>
      <c r="AQ442" s="3">
        <v>4</v>
      </c>
      <c r="AR442" s="3">
        <v>4</v>
      </c>
      <c r="AS442" s="3">
        <v>5</v>
      </c>
      <c r="AT442" s="3">
        <v>5</v>
      </c>
      <c r="AU442" s="3">
        <v>4</v>
      </c>
      <c r="AV442" s="3">
        <v>4</v>
      </c>
      <c r="AW442" s="3">
        <v>5</v>
      </c>
      <c r="AX442" s="3">
        <v>5</v>
      </c>
      <c r="AY442" s="3">
        <v>5</v>
      </c>
      <c r="AZ442" s="3">
        <v>5</v>
      </c>
      <c r="BA442" s="3">
        <v>3</v>
      </c>
      <c r="BB442" s="3">
        <v>3</v>
      </c>
      <c r="BC442" s="3">
        <v>4</v>
      </c>
      <c r="BD442" s="3">
        <v>4</v>
      </c>
      <c r="BE442" s="3">
        <v>4</v>
      </c>
      <c r="BF442" s="3">
        <v>5</v>
      </c>
      <c r="BG442" s="3">
        <v>5</v>
      </c>
      <c r="BH442" s="3">
        <v>5</v>
      </c>
      <c r="BI442" s="3">
        <v>5</v>
      </c>
      <c r="BJ442" s="3">
        <v>4</v>
      </c>
      <c r="BK442" s="3">
        <v>4</v>
      </c>
      <c r="BL442" s="3">
        <v>4</v>
      </c>
      <c r="BM442" s="3">
        <v>5</v>
      </c>
      <c r="BN442" s="3">
        <v>3</v>
      </c>
      <c r="BO442" s="3">
        <v>4</v>
      </c>
      <c r="BP442" s="3" t="s">
        <v>1191</v>
      </c>
    </row>
    <row r="443" spans="1:68" ht="22.5" customHeight="1" x14ac:dyDescent="0.25">
      <c r="A443" s="2">
        <v>45988.352354641203</v>
      </c>
      <c r="B443" s="3" t="s">
        <v>1192</v>
      </c>
      <c r="C443" s="3" t="s">
        <v>69</v>
      </c>
      <c r="D443" s="3" t="s">
        <v>1193</v>
      </c>
      <c r="E443" s="3" t="s">
        <v>141</v>
      </c>
      <c r="F443" s="3" t="s">
        <v>78</v>
      </c>
      <c r="G443" s="3" t="s">
        <v>79</v>
      </c>
      <c r="H443" s="3">
        <v>1</v>
      </c>
      <c r="I443" s="3">
        <v>2</v>
      </c>
      <c r="J443" s="3">
        <v>1</v>
      </c>
      <c r="K443" s="3">
        <v>2</v>
      </c>
      <c r="L443" s="3">
        <v>1</v>
      </c>
      <c r="M443" s="3">
        <v>2</v>
      </c>
      <c r="N443" s="3">
        <v>2</v>
      </c>
      <c r="O443" s="3">
        <v>1</v>
      </c>
      <c r="P443" s="3">
        <v>1</v>
      </c>
      <c r="Q443" s="3">
        <v>3</v>
      </c>
      <c r="R443" s="3">
        <v>2</v>
      </c>
      <c r="S443" s="3">
        <v>3</v>
      </c>
      <c r="T443" s="3">
        <v>1</v>
      </c>
      <c r="U443" s="3">
        <v>1</v>
      </c>
      <c r="V443" s="3">
        <v>1</v>
      </c>
      <c r="W443" s="3">
        <v>1</v>
      </c>
      <c r="X443" s="3">
        <v>3</v>
      </c>
      <c r="Y443" s="3">
        <v>2</v>
      </c>
      <c r="Z443" s="3">
        <v>2</v>
      </c>
      <c r="AA443" s="3">
        <v>2</v>
      </c>
      <c r="AB443" s="3">
        <v>4</v>
      </c>
      <c r="AC443" s="3">
        <v>3</v>
      </c>
      <c r="AD443" s="3">
        <v>2</v>
      </c>
      <c r="AE443" s="3">
        <v>2</v>
      </c>
      <c r="AF443" s="3">
        <v>3</v>
      </c>
      <c r="AG443" s="3">
        <v>2</v>
      </c>
      <c r="AH443" s="3">
        <v>3</v>
      </c>
      <c r="AI443" s="3">
        <v>2</v>
      </c>
      <c r="AJ443" s="3">
        <v>2</v>
      </c>
      <c r="AK443" s="3">
        <v>2</v>
      </c>
      <c r="AL443" s="3">
        <v>1</v>
      </c>
      <c r="AM443" s="3">
        <v>1</v>
      </c>
      <c r="AN443" s="3">
        <v>2</v>
      </c>
      <c r="AO443" s="3">
        <v>3</v>
      </c>
      <c r="AP443" s="3">
        <v>2</v>
      </c>
      <c r="AQ443" s="3">
        <v>2</v>
      </c>
      <c r="AR443" s="3">
        <v>2</v>
      </c>
      <c r="AS443" s="3">
        <v>3</v>
      </c>
      <c r="AT443" s="3">
        <v>2</v>
      </c>
      <c r="AU443" s="3">
        <v>2</v>
      </c>
      <c r="AV443" s="3">
        <v>2</v>
      </c>
      <c r="AW443" s="3">
        <v>1</v>
      </c>
      <c r="AX443" s="3">
        <v>2</v>
      </c>
      <c r="AY443" s="3">
        <v>2</v>
      </c>
      <c r="AZ443" s="3">
        <v>2</v>
      </c>
      <c r="BA443" s="3">
        <v>3</v>
      </c>
      <c r="BB443" s="3">
        <v>3</v>
      </c>
      <c r="BC443" s="3">
        <v>3</v>
      </c>
      <c r="BD443" s="3">
        <v>3</v>
      </c>
      <c r="BE443" s="3">
        <v>3</v>
      </c>
      <c r="BF443" s="3">
        <v>3</v>
      </c>
      <c r="BG443" s="3">
        <v>3</v>
      </c>
      <c r="BH443" s="3">
        <v>2</v>
      </c>
      <c r="BI443" s="3">
        <v>2</v>
      </c>
      <c r="BJ443" s="3">
        <v>3</v>
      </c>
      <c r="BK443" s="3">
        <v>2</v>
      </c>
      <c r="BL443" s="3">
        <v>2</v>
      </c>
      <c r="BM443" s="3">
        <v>2</v>
      </c>
      <c r="BN443" s="3">
        <v>2</v>
      </c>
      <c r="BO443" s="3">
        <v>2</v>
      </c>
      <c r="BP443" s="3" t="s">
        <v>1194</v>
      </c>
    </row>
    <row r="444" spans="1:68" ht="22.5" customHeight="1" x14ac:dyDescent="0.25">
      <c r="A444" s="2">
        <v>45988.358635613426</v>
      </c>
      <c r="B444" s="3" t="s">
        <v>1195</v>
      </c>
      <c r="C444" s="3" t="s">
        <v>69</v>
      </c>
      <c r="D444" s="3" t="s">
        <v>1196</v>
      </c>
      <c r="E444" s="3" t="s">
        <v>119</v>
      </c>
      <c r="F444" s="3" t="s">
        <v>82</v>
      </c>
      <c r="G444" s="3" t="s">
        <v>91</v>
      </c>
      <c r="H444" s="3">
        <v>4</v>
      </c>
      <c r="I444" s="3">
        <v>4</v>
      </c>
      <c r="J444" s="3">
        <v>4</v>
      </c>
      <c r="K444" s="3">
        <v>4</v>
      </c>
      <c r="L444" s="3">
        <v>4</v>
      </c>
      <c r="M444" s="3">
        <v>4</v>
      </c>
      <c r="N444" s="3">
        <v>3</v>
      </c>
      <c r="O444" s="3">
        <v>4</v>
      </c>
      <c r="P444" s="3">
        <v>4</v>
      </c>
      <c r="Q444" s="3">
        <v>4</v>
      </c>
      <c r="R444" s="3">
        <v>4</v>
      </c>
      <c r="S444" s="3">
        <v>4</v>
      </c>
      <c r="T444" s="3">
        <v>4</v>
      </c>
      <c r="U444" s="3">
        <v>4</v>
      </c>
      <c r="V444" s="3">
        <v>3</v>
      </c>
      <c r="W444" s="3">
        <v>3</v>
      </c>
      <c r="X444" s="3">
        <v>3</v>
      </c>
      <c r="Y444" s="3">
        <v>4</v>
      </c>
      <c r="Z444" s="3">
        <v>3</v>
      </c>
      <c r="AA444" s="3">
        <v>4</v>
      </c>
      <c r="AB444" s="3">
        <v>4</v>
      </c>
      <c r="AC444" s="3">
        <v>4</v>
      </c>
      <c r="AD444" s="3">
        <v>4</v>
      </c>
      <c r="AE444" s="3">
        <v>4</v>
      </c>
      <c r="AF444" s="3">
        <v>4</v>
      </c>
      <c r="AG444" s="3">
        <v>4</v>
      </c>
      <c r="AH444" s="3">
        <v>4</v>
      </c>
      <c r="AI444" s="3">
        <v>4</v>
      </c>
      <c r="AJ444" s="3">
        <v>4</v>
      </c>
      <c r="AK444" s="3">
        <v>4</v>
      </c>
      <c r="AL444" s="3">
        <v>4</v>
      </c>
      <c r="AM444" s="3">
        <v>4</v>
      </c>
      <c r="AN444" s="3">
        <v>4</v>
      </c>
      <c r="AO444" s="3">
        <v>4</v>
      </c>
      <c r="AP444" s="3">
        <v>4</v>
      </c>
      <c r="AQ444" s="3">
        <v>4</v>
      </c>
      <c r="AR444" s="3">
        <v>4</v>
      </c>
      <c r="AS444" s="3">
        <v>3</v>
      </c>
      <c r="AT444" s="3">
        <v>4</v>
      </c>
      <c r="AU444" s="3">
        <v>4</v>
      </c>
      <c r="AV444" s="3">
        <v>4</v>
      </c>
      <c r="AW444" s="3">
        <v>4</v>
      </c>
      <c r="AX444" s="3">
        <v>4</v>
      </c>
      <c r="AY444" s="3">
        <v>4</v>
      </c>
      <c r="AZ444" s="3">
        <v>4</v>
      </c>
      <c r="BA444" s="3">
        <v>3</v>
      </c>
      <c r="BB444" s="3">
        <v>4</v>
      </c>
      <c r="BC444" s="3">
        <v>4</v>
      </c>
      <c r="BD444" s="3">
        <v>4</v>
      </c>
      <c r="BE444" s="3">
        <v>4</v>
      </c>
      <c r="BF444" s="3">
        <v>4</v>
      </c>
      <c r="BG444" s="3">
        <v>4</v>
      </c>
      <c r="BH444" s="3">
        <v>4</v>
      </c>
      <c r="BI444" s="3">
        <v>4</v>
      </c>
      <c r="BJ444" s="3">
        <v>4</v>
      </c>
      <c r="BK444" s="3">
        <v>4</v>
      </c>
      <c r="BL444" s="3">
        <v>4</v>
      </c>
      <c r="BM444" s="3">
        <v>4</v>
      </c>
      <c r="BN444" s="3">
        <v>4</v>
      </c>
      <c r="BO444" s="3">
        <v>4</v>
      </c>
      <c r="BP444" s="3" t="s">
        <v>1197</v>
      </c>
    </row>
    <row r="445" spans="1:68" ht="22.5" customHeight="1" x14ac:dyDescent="0.25">
      <c r="A445" s="2">
        <v>45988.419215949078</v>
      </c>
      <c r="B445" s="3" t="s">
        <v>1198</v>
      </c>
      <c r="C445" s="3" t="s">
        <v>86</v>
      </c>
      <c r="D445" s="3" t="s">
        <v>151</v>
      </c>
      <c r="E445" s="3" t="s">
        <v>87</v>
      </c>
      <c r="F445" s="3" t="s">
        <v>88</v>
      </c>
      <c r="G445" s="3" t="s">
        <v>83</v>
      </c>
      <c r="H445" s="3">
        <v>5</v>
      </c>
      <c r="I445" s="3">
        <v>5</v>
      </c>
      <c r="J445" s="3">
        <v>5</v>
      </c>
      <c r="K445" s="3">
        <v>4</v>
      </c>
      <c r="L445" s="3">
        <v>5</v>
      </c>
      <c r="M445" s="3">
        <v>3</v>
      </c>
      <c r="N445" s="3">
        <v>3</v>
      </c>
      <c r="O445" s="3">
        <v>5</v>
      </c>
      <c r="P445" s="3">
        <v>5</v>
      </c>
      <c r="Q445" s="3">
        <v>5</v>
      </c>
      <c r="R445" s="3">
        <v>4</v>
      </c>
      <c r="S445" s="3">
        <v>4</v>
      </c>
      <c r="T445" s="3">
        <v>5</v>
      </c>
      <c r="U445" s="3">
        <v>4</v>
      </c>
      <c r="V445" s="3">
        <v>4</v>
      </c>
      <c r="W445" s="3">
        <v>4</v>
      </c>
      <c r="X445" s="3">
        <v>4</v>
      </c>
      <c r="Y445" s="3">
        <v>5</v>
      </c>
      <c r="Z445" s="3">
        <v>4</v>
      </c>
      <c r="AA445" s="3">
        <v>5</v>
      </c>
      <c r="AB445" s="3">
        <v>5</v>
      </c>
      <c r="AC445" s="3">
        <v>4</v>
      </c>
      <c r="AD445" s="3">
        <v>5</v>
      </c>
      <c r="AE445" s="3">
        <v>4</v>
      </c>
      <c r="AF445" s="3">
        <v>4</v>
      </c>
      <c r="AG445" s="3">
        <v>4</v>
      </c>
      <c r="AH445" s="3">
        <v>3</v>
      </c>
      <c r="AI445" s="3">
        <v>4</v>
      </c>
      <c r="AJ445" s="3">
        <v>4</v>
      </c>
      <c r="AK445" s="3">
        <v>5</v>
      </c>
      <c r="AL445" s="3">
        <v>5</v>
      </c>
      <c r="AM445" s="3">
        <v>4</v>
      </c>
      <c r="AN445" s="3">
        <v>4</v>
      </c>
      <c r="AO445" s="3">
        <v>4</v>
      </c>
      <c r="AP445" s="3">
        <v>4</v>
      </c>
      <c r="AQ445" s="3">
        <v>4</v>
      </c>
      <c r="AR445" s="3">
        <v>4</v>
      </c>
      <c r="AS445" s="3">
        <v>4</v>
      </c>
      <c r="AT445" s="3">
        <v>4</v>
      </c>
      <c r="AU445" s="3">
        <v>4</v>
      </c>
      <c r="AV445" s="3">
        <v>4</v>
      </c>
      <c r="AW445" s="3">
        <v>5</v>
      </c>
      <c r="AX445" s="3">
        <v>5</v>
      </c>
      <c r="AY445" s="3">
        <v>5</v>
      </c>
      <c r="AZ445" s="3">
        <v>5</v>
      </c>
      <c r="BA445" s="3">
        <v>3</v>
      </c>
      <c r="BB445" s="3">
        <v>3</v>
      </c>
      <c r="BC445" s="3">
        <v>4</v>
      </c>
      <c r="BD445" s="3">
        <v>3</v>
      </c>
      <c r="BE445" s="3">
        <v>2</v>
      </c>
      <c r="BF445" s="3">
        <v>2</v>
      </c>
      <c r="BG445" s="3">
        <v>4</v>
      </c>
      <c r="BH445" s="3">
        <v>4</v>
      </c>
      <c r="BI445" s="3">
        <v>4</v>
      </c>
      <c r="BJ445" s="3">
        <v>4</v>
      </c>
      <c r="BK445" s="3">
        <v>4</v>
      </c>
      <c r="BL445" s="3">
        <v>4</v>
      </c>
      <c r="BM445" s="3">
        <v>4</v>
      </c>
      <c r="BN445" s="3">
        <v>4</v>
      </c>
      <c r="BO445" s="3">
        <v>4</v>
      </c>
      <c r="BP445" s="3" t="s">
        <v>1199</v>
      </c>
    </row>
    <row r="446" spans="1:68" ht="22.5" customHeight="1" x14ac:dyDescent="0.25">
      <c r="A446" s="2">
        <v>45988.424095671297</v>
      </c>
      <c r="B446" s="3" t="s">
        <v>1200</v>
      </c>
      <c r="C446" s="3" t="s">
        <v>69</v>
      </c>
      <c r="D446" s="3" t="s">
        <v>1201</v>
      </c>
      <c r="E446" s="3" t="s">
        <v>77</v>
      </c>
      <c r="F446" s="3" t="s">
        <v>78</v>
      </c>
      <c r="G446" s="3" t="s">
        <v>79</v>
      </c>
      <c r="H446" s="3">
        <v>5</v>
      </c>
      <c r="I446" s="3">
        <v>5</v>
      </c>
      <c r="J446" s="3">
        <v>5</v>
      </c>
      <c r="K446" s="3">
        <v>5</v>
      </c>
      <c r="L446" s="3">
        <v>5</v>
      </c>
      <c r="M446" s="3">
        <v>5</v>
      </c>
      <c r="N446" s="3">
        <v>5</v>
      </c>
      <c r="O446" s="3">
        <v>5</v>
      </c>
      <c r="P446" s="3">
        <v>5</v>
      </c>
      <c r="Q446" s="3">
        <v>5</v>
      </c>
      <c r="R446" s="3">
        <v>5</v>
      </c>
      <c r="S446" s="3">
        <v>5</v>
      </c>
      <c r="T446" s="3">
        <v>5</v>
      </c>
      <c r="U446" s="3">
        <v>5</v>
      </c>
      <c r="V446" s="3">
        <v>5</v>
      </c>
      <c r="W446" s="3">
        <v>5</v>
      </c>
      <c r="X446" s="3">
        <v>5</v>
      </c>
      <c r="Y446" s="3">
        <v>5</v>
      </c>
      <c r="Z446" s="3">
        <v>5</v>
      </c>
      <c r="AA446" s="3">
        <v>5</v>
      </c>
      <c r="AB446" s="3">
        <v>5</v>
      </c>
      <c r="AC446" s="3">
        <v>5</v>
      </c>
      <c r="AD446" s="3">
        <v>5</v>
      </c>
      <c r="AE446" s="3">
        <v>5</v>
      </c>
      <c r="AF446" s="3">
        <v>5</v>
      </c>
      <c r="AG446" s="3">
        <v>5</v>
      </c>
      <c r="AH446" s="3">
        <v>5</v>
      </c>
      <c r="AI446" s="3">
        <v>5</v>
      </c>
      <c r="AJ446" s="3">
        <v>5</v>
      </c>
      <c r="AK446" s="3">
        <v>5</v>
      </c>
      <c r="AL446" s="3">
        <v>5</v>
      </c>
      <c r="AM446" s="3">
        <v>5</v>
      </c>
      <c r="AN446" s="3">
        <v>5</v>
      </c>
      <c r="AO446" s="3">
        <v>5</v>
      </c>
      <c r="AP446" s="3">
        <v>5</v>
      </c>
      <c r="AQ446" s="3">
        <v>5</v>
      </c>
      <c r="AR446" s="3">
        <v>5</v>
      </c>
      <c r="AS446" s="3">
        <v>5</v>
      </c>
      <c r="AT446" s="3">
        <v>5</v>
      </c>
      <c r="AU446" s="3">
        <v>5</v>
      </c>
      <c r="AV446" s="3">
        <v>5</v>
      </c>
      <c r="AW446" s="3">
        <v>5</v>
      </c>
      <c r="AX446" s="3">
        <v>5</v>
      </c>
      <c r="AY446" s="3">
        <v>5</v>
      </c>
      <c r="AZ446" s="3">
        <v>5</v>
      </c>
      <c r="BA446" s="3">
        <v>5</v>
      </c>
      <c r="BB446" s="3">
        <v>5</v>
      </c>
      <c r="BC446" s="3">
        <v>5</v>
      </c>
      <c r="BD446" s="3">
        <v>5</v>
      </c>
      <c r="BE446" s="3">
        <v>5</v>
      </c>
      <c r="BF446" s="3">
        <v>5</v>
      </c>
      <c r="BG446" s="3">
        <v>5</v>
      </c>
      <c r="BH446" s="3">
        <v>5</v>
      </c>
      <c r="BI446" s="3">
        <v>5</v>
      </c>
      <c r="BJ446" s="3">
        <v>5</v>
      </c>
      <c r="BK446" s="3">
        <v>5</v>
      </c>
      <c r="BL446" s="3">
        <v>5</v>
      </c>
      <c r="BM446" s="3">
        <v>5</v>
      </c>
      <c r="BN446" s="3">
        <v>5</v>
      </c>
      <c r="BO446" s="3">
        <v>5</v>
      </c>
      <c r="BP446" s="3" t="s">
        <v>1202</v>
      </c>
    </row>
    <row r="447" spans="1:68" ht="22.5" customHeight="1" x14ac:dyDescent="0.25">
      <c r="A447" s="2">
        <v>45988.428454409717</v>
      </c>
      <c r="B447" s="3" t="s">
        <v>1203</v>
      </c>
      <c r="C447" s="3" t="s">
        <v>69</v>
      </c>
      <c r="D447" s="3" t="s">
        <v>1204</v>
      </c>
      <c r="E447" s="3" t="s">
        <v>119</v>
      </c>
      <c r="F447" s="3" t="s">
        <v>103</v>
      </c>
      <c r="G447" s="3" t="s">
        <v>73</v>
      </c>
      <c r="H447" s="3">
        <v>4</v>
      </c>
      <c r="I447" s="3">
        <v>4</v>
      </c>
      <c r="J447" s="3">
        <v>4</v>
      </c>
      <c r="K447" s="3">
        <v>4</v>
      </c>
      <c r="L447" s="3">
        <v>4</v>
      </c>
      <c r="M447" s="3">
        <v>4</v>
      </c>
      <c r="N447" s="3">
        <v>4</v>
      </c>
      <c r="O447" s="3">
        <v>4</v>
      </c>
      <c r="P447" s="3">
        <v>4</v>
      </c>
      <c r="Q447" s="3">
        <v>4</v>
      </c>
      <c r="R447" s="3">
        <v>4</v>
      </c>
      <c r="S447" s="3">
        <v>4</v>
      </c>
      <c r="T447" s="3">
        <v>4</v>
      </c>
      <c r="U447" s="3">
        <v>4</v>
      </c>
      <c r="V447" s="3">
        <v>4</v>
      </c>
      <c r="W447" s="3">
        <v>4</v>
      </c>
      <c r="X447" s="3">
        <v>2</v>
      </c>
      <c r="Y447" s="3">
        <v>3</v>
      </c>
      <c r="Z447" s="3">
        <v>3</v>
      </c>
      <c r="AA447" s="3">
        <v>4</v>
      </c>
      <c r="AB447" s="3">
        <v>3</v>
      </c>
      <c r="AC447" s="3">
        <v>3</v>
      </c>
      <c r="AD447" s="3">
        <v>4</v>
      </c>
      <c r="AE447" s="3">
        <v>4</v>
      </c>
      <c r="AF447" s="3">
        <v>4</v>
      </c>
      <c r="AG447" s="3">
        <v>4</v>
      </c>
      <c r="AH447" s="3">
        <v>4</v>
      </c>
      <c r="AI447" s="3">
        <v>4</v>
      </c>
      <c r="AJ447" s="3">
        <v>4</v>
      </c>
      <c r="AK447" s="3">
        <v>4</v>
      </c>
      <c r="AL447" s="3">
        <v>4</v>
      </c>
      <c r="AM447" s="3">
        <v>4</v>
      </c>
      <c r="AN447" s="3">
        <v>4</v>
      </c>
      <c r="AO447" s="3">
        <v>4</v>
      </c>
      <c r="AP447" s="3">
        <v>4</v>
      </c>
      <c r="AQ447" s="3">
        <v>4</v>
      </c>
      <c r="AR447" s="3">
        <v>4</v>
      </c>
      <c r="AS447" s="3">
        <v>3</v>
      </c>
      <c r="AT447" s="3">
        <v>4</v>
      </c>
      <c r="AU447" s="3">
        <v>4</v>
      </c>
      <c r="AV447" s="3">
        <v>4</v>
      </c>
      <c r="AW447" s="3">
        <v>4</v>
      </c>
      <c r="AX447" s="3">
        <v>4</v>
      </c>
      <c r="AY447" s="3">
        <v>4</v>
      </c>
      <c r="AZ447" s="3">
        <v>4</v>
      </c>
      <c r="BA447" s="3">
        <v>4</v>
      </c>
      <c r="BB447" s="3">
        <v>4</v>
      </c>
      <c r="BC447" s="3">
        <v>4</v>
      </c>
      <c r="BD447" s="3">
        <v>3</v>
      </c>
      <c r="BE447" s="3">
        <v>3</v>
      </c>
      <c r="BF447" s="3">
        <v>3</v>
      </c>
      <c r="BG447" s="3">
        <v>4</v>
      </c>
      <c r="BH447" s="3">
        <v>4</v>
      </c>
      <c r="BI447" s="3">
        <v>4</v>
      </c>
      <c r="BJ447" s="3">
        <v>4</v>
      </c>
      <c r="BK447" s="3">
        <v>4</v>
      </c>
      <c r="BL447" s="3">
        <v>4</v>
      </c>
      <c r="BM447" s="3">
        <v>4</v>
      </c>
      <c r="BN447" s="3">
        <v>4</v>
      </c>
      <c r="BO447" s="3">
        <v>4</v>
      </c>
      <c r="BP447" s="3" t="s">
        <v>1205</v>
      </c>
    </row>
    <row r="448" spans="1:68" ht="22.5" customHeight="1" x14ac:dyDescent="0.25">
      <c r="A448" s="2">
        <v>45988.505983668976</v>
      </c>
      <c r="B448" s="3" t="s">
        <v>1206</v>
      </c>
      <c r="C448" s="3" t="s">
        <v>69</v>
      </c>
      <c r="D448" s="3" t="s">
        <v>1207</v>
      </c>
      <c r="E448" s="3" t="s">
        <v>77</v>
      </c>
      <c r="F448" s="3" t="s">
        <v>78</v>
      </c>
      <c r="G448" s="3" t="s">
        <v>79</v>
      </c>
      <c r="H448" s="3">
        <v>5</v>
      </c>
      <c r="I448" s="3">
        <v>5</v>
      </c>
      <c r="J448" s="3">
        <v>5</v>
      </c>
      <c r="K448" s="3">
        <v>3</v>
      </c>
      <c r="L448" s="3">
        <v>5</v>
      </c>
      <c r="M448" s="3">
        <v>4</v>
      </c>
      <c r="N448" s="3">
        <v>3</v>
      </c>
      <c r="O448" s="3">
        <v>3</v>
      </c>
      <c r="P448" s="3">
        <v>3</v>
      </c>
      <c r="Q448" s="3">
        <v>4</v>
      </c>
      <c r="R448" s="3">
        <v>4</v>
      </c>
      <c r="S448" s="3">
        <v>4</v>
      </c>
      <c r="T448" s="3">
        <v>4</v>
      </c>
      <c r="U448" s="3">
        <v>4</v>
      </c>
      <c r="V448" s="3">
        <v>4</v>
      </c>
      <c r="W448" s="3">
        <v>4</v>
      </c>
      <c r="X448" s="3">
        <v>4</v>
      </c>
      <c r="Y448" s="3">
        <v>4</v>
      </c>
      <c r="Z448" s="3">
        <v>4</v>
      </c>
      <c r="AA448" s="3">
        <v>4</v>
      </c>
      <c r="AB448" s="3">
        <v>4</v>
      </c>
      <c r="AC448" s="3">
        <v>4</v>
      </c>
      <c r="AD448" s="3">
        <v>4</v>
      </c>
      <c r="AE448" s="3">
        <v>4</v>
      </c>
      <c r="AF448" s="3">
        <v>4</v>
      </c>
      <c r="AG448" s="3">
        <v>4</v>
      </c>
      <c r="AH448" s="3">
        <v>4</v>
      </c>
      <c r="AI448" s="3">
        <v>4</v>
      </c>
      <c r="AJ448" s="3">
        <v>4</v>
      </c>
      <c r="AK448" s="3">
        <v>4</v>
      </c>
      <c r="AL448" s="3">
        <v>4</v>
      </c>
      <c r="AM448" s="3">
        <v>4</v>
      </c>
      <c r="AN448" s="3">
        <v>4</v>
      </c>
      <c r="AO448" s="3">
        <v>4</v>
      </c>
      <c r="AP448" s="3">
        <v>4</v>
      </c>
      <c r="AQ448" s="3">
        <v>4</v>
      </c>
      <c r="AR448" s="3">
        <v>4</v>
      </c>
      <c r="AS448" s="3">
        <v>4</v>
      </c>
      <c r="AT448" s="3">
        <v>4</v>
      </c>
      <c r="AU448" s="3">
        <v>4</v>
      </c>
      <c r="AV448" s="3">
        <v>4</v>
      </c>
      <c r="AW448" s="3">
        <v>4</v>
      </c>
      <c r="AX448" s="3">
        <v>4</v>
      </c>
      <c r="AY448" s="3">
        <v>4</v>
      </c>
      <c r="AZ448" s="3">
        <v>4</v>
      </c>
      <c r="BA448" s="3">
        <v>4</v>
      </c>
      <c r="BB448" s="3">
        <v>4</v>
      </c>
      <c r="BC448" s="3">
        <v>4</v>
      </c>
      <c r="BD448" s="3">
        <v>4</v>
      </c>
      <c r="BE448" s="3">
        <v>4</v>
      </c>
      <c r="BF448" s="3">
        <v>4</v>
      </c>
      <c r="BG448" s="3">
        <v>4</v>
      </c>
      <c r="BH448" s="3">
        <v>4</v>
      </c>
      <c r="BI448" s="3">
        <v>4</v>
      </c>
      <c r="BJ448" s="3">
        <v>4</v>
      </c>
      <c r="BK448" s="3">
        <v>4</v>
      </c>
      <c r="BL448" s="3">
        <v>4</v>
      </c>
      <c r="BM448" s="3">
        <v>4</v>
      </c>
      <c r="BN448" s="3">
        <v>4</v>
      </c>
      <c r="BO448" s="3">
        <v>4</v>
      </c>
      <c r="BP448" s="3" t="s">
        <v>1208</v>
      </c>
    </row>
    <row r="449" spans="1:68" ht="22.5" customHeight="1" x14ac:dyDescent="0.25">
      <c r="A449" s="2">
        <v>45988.506089456016</v>
      </c>
      <c r="B449" s="3" t="s">
        <v>1209</v>
      </c>
      <c r="C449" s="3" t="s">
        <v>69</v>
      </c>
      <c r="D449" s="3" t="s">
        <v>1210</v>
      </c>
      <c r="E449" s="3" t="s">
        <v>77</v>
      </c>
      <c r="F449" s="3" t="s">
        <v>78</v>
      </c>
      <c r="G449" s="3" t="s">
        <v>79</v>
      </c>
      <c r="H449" s="3">
        <v>5</v>
      </c>
      <c r="I449" s="3">
        <v>5</v>
      </c>
      <c r="J449" s="3">
        <v>5</v>
      </c>
      <c r="K449" s="3">
        <v>5</v>
      </c>
      <c r="L449" s="3">
        <v>5</v>
      </c>
      <c r="M449" s="3">
        <v>3</v>
      </c>
      <c r="N449" s="3">
        <v>3</v>
      </c>
      <c r="O449" s="3">
        <v>5</v>
      </c>
      <c r="P449" s="3">
        <v>5</v>
      </c>
      <c r="Q449" s="3">
        <v>4</v>
      </c>
      <c r="R449" s="3">
        <v>4</v>
      </c>
      <c r="S449" s="3">
        <v>4</v>
      </c>
      <c r="T449" s="3">
        <v>4</v>
      </c>
      <c r="U449" s="3">
        <v>4</v>
      </c>
      <c r="V449" s="3">
        <v>5</v>
      </c>
      <c r="W449" s="3">
        <v>5</v>
      </c>
      <c r="X449" s="3">
        <v>4</v>
      </c>
      <c r="Y449" s="3">
        <v>5</v>
      </c>
      <c r="Z449" s="3">
        <v>5</v>
      </c>
      <c r="AA449" s="3">
        <v>4</v>
      </c>
      <c r="AB449" s="3">
        <v>4</v>
      </c>
      <c r="AC449" s="3">
        <v>4</v>
      </c>
      <c r="AD449" s="3">
        <v>4</v>
      </c>
      <c r="AE449" s="3">
        <v>5</v>
      </c>
      <c r="AF449" s="3">
        <v>5</v>
      </c>
      <c r="AG449" s="3">
        <v>5</v>
      </c>
      <c r="AH449" s="3">
        <v>5</v>
      </c>
      <c r="AI449" s="3">
        <v>5</v>
      </c>
      <c r="AJ449" s="3">
        <v>5</v>
      </c>
      <c r="AK449" s="3">
        <v>5</v>
      </c>
      <c r="AL449" s="3">
        <v>5</v>
      </c>
      <c r="AM449" s="3">
        <v>5</v>
      </c>
      <c r="AN449" s="3">
        <v>5</v>
      </c>
      <c r="AO449" s="3">
        <v>5</v>
      </c>
      <c r="AP449" s="3">
        <v>5</v>
      </c>
      <c r="AQ449" s="3">
        <v>5</v>
      </c>
      <c r="AR449" s="3">
        <v>5</v>
      </c>
      <c r="AS449" s="3">
        <v>5</v>
      </c>
      <c r="AT449" s="3">
        <v>5</v>
      </c>
      <c r="AU449" s="3">
        <v>5</v>
      </c>
      <c r="AV449" s="3">
        <v>5</v>
      </c>
      <c r="AW449" s="3">
        <v>4</v>
      </c>
      <c r="AX449" s="3">
        <v>4</v>
      </c>
      <c r="AY449" s="3">
        <v>4</v>
      </c>
      <c r="AZ449" s="3">
        <v>4</v>
      </c>
      <c r="BA449" s="3">
        <v>4</v>
      </c>
      <c r="BB449" s="3">
        <v>5</v>
      </c>
      <c r="BC449" s="3">
        <v>4</v>
      </c>
      <c r="BD449" s="3">
        <v>5</v>
      </c>
      <c r="BE449" s="3">
        <v>5</v>
      </c>
      <c r="BF449" s="3">
        <v>4</v>
      </c>
      <c r="BG449" s="3">
        <v>4</v>
      </c>
      <c r="BH449" s="3">
        <v>5</v>
      </c>
      <c r="BI449" s="3">
        <v>5</v>
      </c>
      <c r="BJ449" s="3">
        <v>4</v>
      </c>
      <c r="BK449" s="3">
        <v>5</v>
      </c>
      <c r="BL449" s="3">
        <v>5</v>
      </c>
      <c r="BM449" s="3">
        <v>5</v>
      </c>
      <c r="BN449" s="3">
        <v>5</v>
      </c>
      <c r="BO449" s="3">
        <v>5</v>
      </c>
      <c r="BP449" s="3" t="s">
        <v>1211</v>
      </c>
    </row>
    <row r="450" spans="1:68" ht="22.5" customHeight="1" x14ac:dyDescent="0.25">
      <c r="A450" s="2">
        <v>45988.516893657405</v>
      </c>
      <c r="B450" s="3" t="s">
        <v>1212</v>
      </c>
      <c r="C450" s="3" t="s">
        <v>86</v>
      </c>
      <c r="D450" s="3" t="s">
        <v>1213</v>
      </c>
      <c r="E450" s="3" t="s">
        <v>119</v>
      </c>
      <c r="F450" s="3" t="s">
        <v>88</v>
      </c>
      <c r="G450" s="3" t="s">
        <v>83</v>
      </c>
      <c r="H450" s="3">
        <v>5</v>
      </c>
      <c r="I450" s="3">
        <v>5</v>
      </c>
      <c r="J450" s="3">
        <v>5</v>
      </c>
      <c r="K450" s="3">
        <v>3</v>
      </c>
      <c r="L450" s="3">
        <v>4</v>
      </c>
      <c r="M450" s="3">
        <v>4</v>
      </c>
      <c r="N450" s="3">
        <v>4</v>
      </c>
      <c r="O450" s="3">
        <v>4</v>
      </c>
      <c r="P450" s="3">
        <v>4</v>
      </c>
      <c r="Q450" s="3">
        <v>5</v>
      </c>
      <c r="R450" s="3">
        <v>5</v>
      </c>
      <c r="S450" s="3">
        <v>5</v>
      </c>
      <c r="T450" s="3">
        <v>5</v>
      </c>
      <c r="U450" s="3">
        <v>5</v>
      </c>
      <c r="V450" s="3">
        <v>4</v>
      </c>
      <c r="W450" s="3">
        <v>4</v>
      </c>
      <c r="X450" s="3">
        <v>3</v>
      </c>
      <c r="Y450" s="3">
        <v>3</v>
      </c>
      <c r="Z450" s="3">
        <v>4</v>
      </c>
      <c r="AA450" s="3">
        <v>3</v>
      </c>
      <c r="AB450" s="3">
        <v>3</v>
      </c>
      <c r="AC450" s="3">
        <v>3</v>
      </c>
      <c r="AD450" s="3">
        <v>3</v>
      </c>
      <c r="AE450" s="3">
        <v>3</v>
      </c>
      <c r="AF450" s="3">
        <v>3</v>
      </c>
      <c r="AG450" s="3">
        <v>3</v>
      </c>
      <c r="AH450" s="3">
        <v>3</v>
      </c>
      <c r="AI450" s="3">
        <v>4</v>
      </c>
      <c r="AJ450" s="3">
        <v>4</v>
      </c>
      <c r="AK450" s="3">
        <v>4</v>
      </c>
      <c r="AL450" s="3">
        <v>4</v>
      </c>
      <c r="AM450" s="3">
        <v>4</v>
      </c>
      <c r="AN450" s="3">
        <v>4</v>
      </c>
      <c r="AO450" s="3">
        <v>3</v>
      </c>
      <c r="AP450" s="3">
        <v>3</v>
      </c>
      <c r="AQ450" s="3">
        <v>4</v>
      </c>
      <c r="AR450" s="3">
        <v>4</v>
      </c>
      <c r="AS450" s="3">
        <v>3</v>
      </c>
      <c r="AT450" s="3">
        <v>3</v>
      </c>
      <c r="AU450" s="3">
        <v>3</v>
      </c>
      <c r="AV450" s="3">
        <v>4</v>
      </c>
      <c r="AW450" s="3">
        <v>4</v>
      </c>
      <c r="AX450" s="3">
        <v>4</v>
      </c>
      <c r="AY450" s="3">
        <v>4</v>
      </c>
      <c r="AZ450" s="3">
        <v>4</v>
      </c>
      <c r="BA450" s="3">
        <v>3</v>
      </c>
      <c r="BB450" s="3">
        <v>3</v>
      </c>
      <c r="BC450" s="3">
        <v>3</v>
      </c>
      <c r="BD450" s="3">
        <v>4</v>
      </c>
      <c r="BE450" s="3">
        <v>4</v>
      </c>
      <c r="BF450" s="3">
        <v>4</v>
      </c>
      <c r="BG450" s="3">
        <v>4</v>
      </c>
      <c r="BH450" s="3">
        <v>4</v>
      </c>
      <c r="BI450" s="3">
        <v>4</v>
      </c>
      <c r="BJ450" s="3">
        <v>4</v>
      </c>
      <c r="BK450" s="3">
        <v>4</v>
      </c>
      <c r="BL450" s="3">
        <v>4</v>
      </c>
      <c r="BM450" s="3">
        <v>5</v>
      </c>
      <c r="BN450" s="3">
        <v>3</v>
      </c>
      <c r="BO450" s="3">
        <v>2</v>
      </c>
      <c r="BP450" s="3" t="s">
        <v>1214</v>
      </c>
    </row>
    <row r="451" spans="1:68" ht="22.5" customHeight="1" x14ac:dyDescent="0.25">
      <c r="A451" s="2">
        <v>45988.547832905097</v>
      </c>
      <c r="B451" s="3" t="s">
        <v>1215</v>
      </c>
      <c r="C451" s="3" t="s">
        <v>69</v>
      </c>
      <c r="D451" s="3" t="s">
        <v>1216</v>
      </c>
      <c r="E451" s="3" t="s">
        <v>77</v>
      </c>
      <c r="F451" s="3" t="s">
        <v>78</v>
      </c>
      <c r="G451" s="3" t="s">
        <v>83</v>
      </c>
      <c r="H451" s="3">
        <v>5</v>
      </c>
      <c r="I451" s="3">
        <v>5</v>
      </c>
      <c r="J451" s="3">
        <v>5</v>
      </c>
      <c r="K451" s="3">
        <v>5</v>
      </c>
      <c r="L451" s="3">
        <v>5</v>
      </c>
      <c r="M451" s="3">
        <v>5</v>
      </c>
      <c r="N451" s="3">
        <v>5</v>
      </c>
      <c r="O451" s="3">
        <v>5</v>
      </c>
      <c r="P451" s="3">
        <v>5</v>
      </c>
      <c r="Q451" s="3">
        <v>5</v>
      </c>
      <c r="R451" s="3">
        <v>5</v>
      </c>
      <c r="S451" s="3">
        <v>5</v>
      </c>
      <c r="T451" s="3">
        <v>5</v>
      </c>
      <c r="U451" s="3">
        <v>5</v>
      </c>
      <c r="V451" s="3">
        <v>5</v>
      </c>
      <c r="W451" s="3">
        <v>5</v>
      </c>
      <c r="X451" s="3">
        <v>5</v>
      </c>
      <c r="Y451" s="3">
        <v>5</v>
      </c>
      <c r="Z451" s="3">
        <v>5</v>
      </c>
      <c r="AA451" s="3">
        <v>5</v>
      </c>
      <c r="AB451" s="3">
        <v>5</v>
      </c>
      <c r="AC451" s="3">
        <v>5</v>
      </c>
      <c r="AD451" s="3">
        <v>5</v>
      </c>
      <c r="AE451" s="3">
        <v>4</v>
      </c>
      <c r="AF451" s="3">
        <v>4</v>
      </c>
      <c r="AG451" s="3">
        <v>4</v>
      </c>
      <c r="AH451" s="3">
        <v>5</v>
      </c>
      <c r="AI451" s="3">
        <v>5</v>
      </c>
      <c r="AJ451" s="3">
        <v>5</v>
      </c>
      <c r="AK451" s="3">
        <v>5</v>
      </c>
      <c r="AL451" s="3">
        <v>5</v>
      </c>
      <c r="AM451" s="3">
        <v>5</v>
      </c>
      <c r="AN451" s="3">
        <v>5</v>
      </c>
      <c r="AO451" s="3">
        <v>5</v>
      </c>
      <c r="AP451" s="3">
        <v>5</v>
      </c>
      <c r="AQ451" s="3">
        <v>5</v>
      </c>
      <c r="AR451" s="3">
        <v>5</v>
      </c>
      <c r="AS451" s="3">
        <v>5</v>
      </c>
      <c r="AT451" s="3">
        <v>5</v>
      </c>
      <c r="AU451" s="3">
        <v>5</v>
      </c>
      <c r="AV451" s="3">
        <v>5</v>
      </c>
      <c r="AW451" s="3">
        <v>5</v>
      </c>
      <c r="AX451" s="3">
        <v>5</v>
      </c>
      <c r="AY451" s="3">
        <v>5</v>
      </c>
      <c r="AZ451" s="3">
        <v>5</v>
      </c>
      <c r="BA451" s="3">
        <v>5</v>
      </c>
      <c r="BB451" s="3">
        <v>5</v>
      </c>
      <c r="BC451" s="3">
        <v>5</v>
      </c>
      <c r="BD451" s="3">
        <v>5</v>
      </c>
      <c r="BE451" s="3">
        <v>5</v>
      </c>
      <c r="BF451" s="3">
        <v>5</v>
      </c>
      <c r="BG451" s="3">
        <v>5</v>
      </c>
      <c r="BH451" s="3">
        <v>5</v>
      </c>
      <c r="BI451" s="3">
        <v>5</v>
      </c>
      <c r="BJ451" s="3">
        <v>5</v>
      </c>
      <c r="BK451" s="3">
        <v>5</v>
      </c>
      <c r="BL451" s="3">
        <v>5</v>
      </c>
      <c r="BM451" s="3">
        <v>5</v>
      </c>
      <c r="BN451" s="3">
        <v>5</v>
      </c>
      <c r="BO451" s="3">
        <v>5</v>
      </c>
      <c r="BP451" s="3" t="s">
        <v>1217</v>
      </c>
    </row>
    <row r="452" spans="1:68" ht="22.5" customHeight="1" x14ac:dyDescent="0.25">
      <c r="A452" s="2">
        <v>45988.550306655088</v>
      </c>
      <c r="B452" s="3" t="s">
        <v>1218</v>
      </c>
      <c r="C452" s="3" t="s">
        <v>69</v>
      </c>
      <c r="D452" s="3" t="s">
        <v>714</v>
      </c>
      <c r="E452" s="3" t="s">
        <v>77</v>
      </c>
      <c r="F452" s="3" t="s">
        <v>78</v>
      </c>
      <c r="G452" s="3" t="s">
        <v>79</v>
      </c>
      <c r="H452" s="3">
        <v>3</v>
      </c>
      <c r="I452" s="3">
        <v>4</v>
      </c>
      <c r="J452" s="3">
        <v>5</v>
      </c>
      <c r="K452" s="3">
        <v>4</v>
      </c>
      <c r="L452" s="3">
        <v>3</v>
      </c>
      <c r="M452" s="3">
        <v>5</v>
      </c>
      <c r="N452" s="3">
        <v>4</v>
      </c>
      <c r="O452" s="3">
        <v>4</v>
      </c>
      <c r="P452" s="3">
        <v>5</v>
      </c>
      <c r="Q452" s="3">
        <v>5</v>
      </c>
      <c r="R452" s="3">
        <v>5</v>
      </c>
      <c r="S452" s="3">
        <v>4</v>
      </c>
      <c r="T452" s="3">
        <v>3</v>
      </c>
      <c r="U452" s="3">
        <v>4</v>
      </c>
      <c r="V452" s="3">
        <v>4</v>
      </c>
      <c r="W452" s="3">
        <v>5</v>
      </c>
      <c r="X452" s="3">
        <v>4</v>
      </c>
      <c r="Y452" s="3">
        <v>5</v>
      </c>
      <c r="Z452" s="3">
        <v>4</v>
      </c>
      <c r="AA452" s="3">
        <v>4</v>
      </c>
      <c r="AB452" s="3">
        <v>4</v>
      </c>
      <c r="AC452" s="3">
        <v>3</v>
      </c>
      <c r="AD452" s="3">
        <v>3</v>
      </c>
      <c r="AE452" s="3">
        <v>1</v>
      </c>
      <c r="AF452" s="3">
        <v>2</v>
      </c>
      <c r="AG452" s="3">
        <v>4</v>
      </c>
      <c r="AH452" s="3">
        <v>4</v>
      </c>
      <c r="AI452" s="3">
        <v>4</v>
      </c>
      <c r="AJ452" s="3">
        <v>5</v>
      </c>
      <c r="AK452" s="3">
        <v>4</v>
      </c>
      <c r="AL452" s="3">
        <v>3</v>
      </c>
      <c r="AM452" s="3">
        <v>4</v>
      </c>
      <c r="AN452" s="3">
        <v>4</v>
      </c>
      <c r="AO452" s="3">
        <v>5</v>
      </c>
      <c r="AP452" s="3">
        <v>4</v>
      </c>
      <c r="AQ452" s="3">
        <v>3</v>
      </c>
      <c r="AR452" s="3">
        <v>4</v>
      </c>
      <c r="AS452" s="3">
        <v>3</v>
      </c>
      <c r="AT452" s="3">
        <v>3</v>
      </c>
      <c r="AU452" s="3">
        <v>4</v>
      </c>
      <c r="AV452" s="3">
        <v>3</v>
      </c>
      <c r="AW452" s="3">
        <v>5</v>
      </c>
      <c r="AX452" s="3">
        <v>5</v>
      </c>
      <c r="AY452" s="3">
        <v>5</v>
      </c>
      <c r="AZ452" s="3">
        <v>3</v>
      </c>
      <c r="BA452" s="3">
        <v>4</v>
      </c>
      <c r="BB452" s="3">
        <v>5</v>
      </c>
      <c r="BC452" s="3">
        <v>4</v>
      </c>
      <c r="BD452" s="3">
        <v>3</v>
      </c>
      <c r="BE452" s="3">
        <v>4</v>
      </c>
      <c r="BF452" s="3">
        <v>4</v>
      </c>
      <c r="BG452" s="3">
        <v>4</v>
      </c>
      <c r="BH452" s="3">
        <v>5</v>
      </c>
      <c r="BI452" s="3">
        <v>4</v>
      </c>
      <c r="BJ452" s="3">
        <v>4</v>
      </c>
      <c r="BK452" s="3">
        <v>3</v>
      </c>
      <c r="BL452" s="3">
        <v>3</v>
      </c>
      <c r="BM452" s="3">
        <v>5</v>
      </c>
      <c r="BN452" s="3">
        <v>5</v>
      </c>
      <c r="BO452" s="3">
        <v>5</v>
      </c>
      <c r="BP452" s="3" t="s">
        <v>1219</v>
      </c>
    </row>
    <row r="453" spans="1:68" ht="22.5" customHeight="1" x14ac:dyDescent="0.25">
      <c r="A453" s="2">
        <v>45988.556479398147</v>
      </c>
      <c r="B453" s="3" t="s">
        <v>1220</v>
      </c>
      <c r="C453" s="3" t="s">
        <v>69</v>
      </c>
      <c r="D453" s="3" t="s">
        <v>466</v>
      </c>
      <c r="E453" s="3" t="s">
        <v>77</v>
      </c>
      <c r="F453" s="3" t="s">
        <v>82</v>
      </c>
      <c r="G453" s="3" t="s">
        <v>91</v>
      </c>
      <c r="H453" s="3">
        <v>5</v>
      </c>
      <c r="I453" s="3">
        <v>4</v>
      </c>
      <c r="J453" s="3">
        <v>4</v>
      </c>
      <c r="K453" s="3">
        <v>4</v>
      </c>
      <c r="L453" s="3">
        <v>4</v>
      </c>
      <c r="M453" s="3">
        <v>3</v>
      </c>
      <c r="N453" s="3">
        <v>3</v>
      </c>
      <c r="O453" s="3">
        <v>4</v>
      </c>
      <c r="P453" s="3">
        <v>4</v>
      </c>
      <c r="Q453" s="3">
        <v>4</v>
      </c>
      <c r="R453" s="3">
        <v>4</v>
      </c>
      <c r="S453" s="3">
        <v>4</v>
      </c>
      <c r="T453" s="3">
        <v>4</v>
      </c>
      <c r="U453" s="3">
        <v>4</v>
      </c>
      <c r="V453" s="3">
        <v>3</v>
      </c>
      <c r="W453" s="3">
        <v>3</v>
      </c>
      <c r="X453" s="3">
        <v>3</v>
      </c>
      <c r="Y453" s="3">
        <v>3</v>
      </c>
      <c r="Z453" s="3">
        <v>3</v>
      </c>
      <c r="AA453" s="3">
        <v>4</v>
      </c>
      <c r="AB453" s="3">
        <v>4</v>
      </c>
      <c r="AC453" s="3">
        <v>4</v>
      </c>
      <c r="AD453" s="3">
        <v>4</v>
      </c>
      <c r="AE453" s="3">
        <v>4</v>
      </c>
      <c r="AF453" s="3">
        <v>4</v>
      </c>
      <c r="AG453" s="3">
        <v>4</v>
      </c>
      <c r="AH453" s="3">
        <v>3</v>
      </c>
      <c r="AI453" s="3">
        <v>4</v>
      </c>
      <c r="AJ453" s="3">
        <v>4</v>
      </c>
      <c r="AK453" s="3">
        <v>4</v>
      </c>
      <c r="AL453" s="3">
        <v>4</v>
      </c>
      <c r="AM453" s="3">
        <v>4</v>
      </c>
      <c r="AN453" s="3">
        <v>3</v>
      </c>
      <c r="AO453" s="3">
        <v>3</v>
      </c>
      <c r="AP453" s="3">
        <v>3</v>
      </c>
      <c r="AQ453" s="3">
        <v>3</v>
      </c>
      <c r="AR453" s="3">
        <v>3</v>
      </c>
      <c r="AS453" s="3">
        <v>2</v>
      </c>
      <c r="AT453" s="3">
        <v>4</v>
      </c>
      <c r="AU453" s="3">
        <v>4</v>
      </c>
      <c r="AV453" s="3">
        <v>4</v>
      </c>
      <c r="AW453" s="3">
        <v>4</v>
      </c>
      <c r="AX453" s="3">
        <v>4</v>
      </c>
      <c r="AY453" s="3">
        <v>4</v>
      </c>
      <c r="AZ453" s="3">
        <v>4</v>
      </c>
      <c r="BA453" s="3">
        <v>4</v>
      </c>
      <c r="BB453" s="3">
        <v>4</v>
      </c>
      <c r="BC453" s="3">
        <v>4</v>
      </c>
      <c r="BD453" s="3">
        <v>4</v>
      </c>
      <c r="BE453" s="3">
        <v>4</v>
      </c>
      <c r="BF453" s="3">
        <v>4</v>
      </c>
      <c r="BG453" s="3">
        <v>4</v>
      </c>
      <c r="BH453" s="3">
        <v>4</v>
      </c>
      <c r="BI453" s="3">
        <v>4</v>
      </c>
      <c r="BJ453" s="3">
        <v>4</v>
      </c>
      <c r="BK453" s="3">
        <v>4</v>
      </c>
      <c r="BL453" s="3">
        <v>4</v>
      </c>
      <c r="BM453" s="3">
        <v>4</v>
      </c>
      <c r="BN453" s="3">
        <v>4</v>
      </c>
      <c r="BO453" s="3">
        <v>4</v>
      </c>
      <c r="BP453" s="3" t="s">
        <v>1221</v>
      </c>
    </row>
    <row r="454" spans="1:68" ht="22.5" customHeight="1" x14ac:dyDescent="0.25">
      <c r="A454" s="2">
        <v>45988.560686805555</v>
      </c>
      <c r="B454" s="3" t="s">
        <v>1222</v>
      </c>
      <c r="C454" s="3" t="s">
        <v>86</v>
      </c>
      <c r="D454" s="3" t="s">
        <v>446</v>
      </c>
      <c r="E454" s="3" t="s">
        <v>77</v>
      </c>
      <c r="F454" s="3" t="s">
        <v>78</v>
      </c>
      <c r="G454" s="3" t="s">
        <v>79</v>
      </c>
      <c r="H454" s="3">
        <v>5</v>
      </c>
      <c r="I454" s="3">
        <v>5</v>
      </c>
      <c r="J454" s="3">
        <v>5</v>
      </c>
      <c r="K454" s="3">
        <v>4</v>
      </c>
      <c r="L454" s="3">
        <v>4</v>
      </c>
      <c r="M454" s="3">
        <v>3</v>
      </c>
      <c r="N454" s="3">
        <v>3</v>
      </c>
      <c r="O454" s="3">
        <v>4</v>
      </c>
      <c r="P454" s="3">
        <v>4</v>
      </c>
      <c r="Q454" s="3">
        <v>5</v>
      </c>
      <c r="R454" s="3">
        <v>5</v>
      </c>
      <c r="S454" s="3">
        <v>5</v>
      </c>
      <c r="T454" s="3">
        <v>4</v>
      </c>
      <c r="U454" s="3">
        <v>5</v>
      </c>
      <c r="V454" s="3">
        <v>4</v>
      </c>
      <c r="W454" s="3">
        <v>3</v>
      </c>
      <c r="X454" s="3">
        <v>3</v>
      </c>
      <c r="Y454" s="3">
        <v>4</v>
      </c>
      <c r="Z454" s="3">
        <v>3</v>
      </c>
      <c r="AA454" s="3">
        <v>4</v>
      </c>
      <c r="AB454" s="3">
        <v>4</v>
      </c>
      <c r="AC454" s="3">
        <v>4</v>
      </c>
      <c r="AD454" s="3">
        <v>4</v>
      </c>
      <c r="AE454" s="3">
        <v>5</v>
      </c>
      <c r="AF454" s="3">
        <v>5</v>
      </c>
      <c r="AG454" s="3">
        <v>5</v>
      </c>
      <c r="AH454" s="3">
        <v>5</v>
      </c>
      <c r="AI454" s="3">
        <v>3</v>
      </c>
      <c r="AJ454" s="3">
        <v>4</v>
      </c>
      <c r="AK454" s="3">
        <v>4</v>
      </c>
      <c r="AL454" s="3">
        <v>3</v>
      </c>
      <c r="AM454" s="3">
        <v>4</v>
      </c>
      <c r="AN454" s="3">
        <v>3</v>
      </c>
      <c r="AO454" s="3">
        <v>3</v>
      </c>
      <c r="AP454" s="3">
        <v>4</v>
      </c>
      <c r="AQ454" s="3">
        <v>3</v>
      </c>
      <c r="AR454" s="3">
        <v>3</v>
      </c>
      <c r="AS454" s="3">
        <v>3</v>
      </c>
      <c r="AT454" s="3">
        <v>3</v>
      </c>
      <c r="AU454" s="3">
        <v>3</v>
      </c>
      <c r="AV454" s="3">
        <v>4</v>
      </c>
      <c r="AW454" s="3">
        <v>5</v>
      </c>
      <c r="AX454" s="3">
        <v>5</v>
      </c>
      <c r="AY454" s="3">
        <v>4</v>
      </c>
      <c r="AZ454" s="3">
        <v>5</v>
      </c>
      <c r="BA454" s="3">
        <v>5</v>
      </c>
      <c r="BB454" s="3">
        <v>4</v>
      </c>
      <c r="BC454" s="3">
        <v>3</v>
      </c>
      <c r="BD454" s="3">
        <v>4</v>
      </c>
      <c r="BE454" s="3">
        <v>4</v>
      </c>
      <c r="BF454" s="3">
        <v>4</v>
      </c>
      <c r="BG454" s="3">
        <v>3</v>
      </c>
      <c r="BH454" s="3">
        <v>4</v>
      </c>
      <c r="BI454" s="3">
        <v>3</v>
      </c>
      <c r="BJ454" s="3">
        <v>4</v>
      </c>
      <c r="BK454" s="3">
        <v>3</v>
      </c>
      <c r="BL454" s="3">
        <v>4</v>
      </c>
      <c r="BM454" s="3">
        <v>4</v>
      </c>
      <c r="BN454" s="3">
        <v>4</v>
      </c>
      <c r="BO454" s="3">
        <v>5</v>
      </c>
      <c r="BP454" s="3" t="s">
        <v>1223</v>
      </c>
    </row>
    <row r="455" spans="1:68" ht="22.5" customHeight="1" x14ac:dyDescent="0.25">
      <c r="A455" s="2">
        <v>45988.562489247684</v>
      </c>
      <c r="B455" s="3" t="s">
        <v>805</v>
      </c>
      <c r="C455" s="3" t="s">
        <v>69</v>
      </c>
      <c r="D455" s="3" t="s">
        <v>808</v>
      </c>
      <c r="E455" s="3" t="s">
        <v>87</v>
      </c>
      <c r="F455" s="3" t="s">
        <v>88</v>
      </c>
      <c r="G455" s="3" t="s">
        <v>83</v>
      </c>
      <c r="H455" s="3">
        <v>5</v>
      </c>
      <c r="I455" s="3">
        <v>5</v>
      </c>
      <c r="J455" s="3">
        <v>5</v>
      </c>
      <c r="K455" s="3">
        <v>5</v>
      </c>
      <c r="L455" s="3">
        <v>5</v>
      </c>
      <c r="M455" s="3">
        <v>5</v>
      </c>
      <c r="N455" s="3">
        <v>5</v>
      </c>
      <c r="O455" s="3">
        <v>5</v>
      </c>
      <c r="P455" s="3">
        <v>5</v>
      </c>
      <c r="Q455" s="3">
        <v>5</v>
      </c>
      <c r="R455" s="3">
        <v>5</v>
      </c>
      <c r="S455" s="3">
        <v>5</v>
      </c>
      <c r="T455" s="3">
        <v>5</v>
      </c>
      <c r="U455" s="3">
        <v>5</v>
      </c>
      <c r="V455" s="3">
        <v>4</v>
      </c>
      <c r="W455" s="3">
        <v>4</v>
      </c>
      <c r="X455" s="3">
        <v>4</v>
      </c>
      <c r="Y455" s="3">
        <v>4</v>
      </c>
      <c r="Z455" s="3">
        <v>5</v>
      </c>
      <c r="AA455" s="3">
        <v>5</v>
      </c>
      <c r="AB455" s="3">
        <v>4</v>
      </c>
      <c r="AC455" s="3">
        <v>4</v>
      </c>
      <c r="AD455" s="3">
        <v>5</v>
      </c>
      <c r="AE455" s="3">
        <v>5</v>
      </c>
      <c r="AF455" s="3">
        <v>4</v>
      </c>
      <c r="AG455" s="3">
        <v>5</v>
      </c>
      <c r="AH455" s="3">
        <v>5</v>
      </c>
      <c r="AI455" s="3">
        <v>4</v>
      </c>
      <c r="AJ455" s="3">
        <v>5</v>
      </c>
      <c r="AK455" s="3">
        <v>5</v>
      </c>
      <c r="AL455" s="3">
        <v>5</v>
      </c>
      <c r="AM455" s="3">
        <v>5</v>
      </c>
      <c r="AN455" s="3">
        <v>4</v>
      </c>
      <c r="AO455" s="3">
        <v>4</v>
      </c>
      <c r="AP455" s="3">
        <v>5</v>
      </c>
      <c r="AQ455" s="3">
        <v>4</v>
      </c>
      <c r="AR455" s="3">
        <v>5</v>
      </c>
      <c r="AS455" s="3">
        <v>4</v>
      </c>
      <c r="AT455" s="3">
        <v>5</v>
      </c>
      <c r="AU455" s="3">
        <v>4</v>
      </c>
      <c r="AV455" s="3">
        <v>5</v>
      </c>
      <c r="AW455" s="3">
        <v>5</v>
      </c>
      <c r="AX455" s="3">
        <v>5</v>
      </c>
      <c r="AY455" s="3">
        <v>5</v>
      </c>
      <c r="AZ455" s="3">
        <v>5</v>
      </c>
      <c r="BA455" s="3">
        <v>5</v>
      </c>
      <c r="BB455" s="3">
        <v>5</v>
      </c>
      <c r="BC455" s="3">
        <v>5</v>
      </c>
      <c r="BD455" s="3">
        <v>4</v>
      </c>
      <c r="BE455" s="3">
        <v>5</v>
      </c>
      <c r="BF455" s="3">
        <v>4</v>
      </c>
      <c r="BG455" s="3">
        <v>4</v>
      </c>
      <c r="BH455" s="3">
        <v>5</v>
      </c>
      <c r="BI455" s="3">
        <v>5</v>
      </c>
      <c r="BJ455" s="3">
        <v>5</v>
      </c>
      <c r="BK455" s="3">
        <v>5</v>
      </c>
      <c r="BL455" s="3">
        <v>4</v>
      </c>
      <c r="BM455" s="3">
        <v>5</v>
      </c>
      <c r="BN455" s="3">
        <v>4</v>
      </c>
      <c r="BO455" s="3">
        <v>5</v>
      </c>
      <c r="BP455" s="3" t="s">
        <v>1224</v>
      </c>
    </row>
    <row r="456" spans="1:68" ht="22.5" customHeight="1" x14ac:dyDescent="0.25">
      <c r="A456" s="2">
        <v>45988.579475902778</v>
      </c>
      <c r="B456" s="3" t="s">
        <v>1225</v>
      </c>
      <c r="C456" s="3" t="s">
        <v>69</v>
      </c>
      <c r="D456" s="3" t="s">
        <v>466</v>
      </c>
      <c r="E456" s="3" t="s">
        <v>77</v>
      </c>
      <c r="F456" s="3" t="s">
        <v>78</v>
      </c>
      <c r="G456" s="3" t="s">
        <v>79</v>
      </c>
      <c r="H456" s="3">
        <v>5</v>
      </c>
      <c r="I456" s="3">
        <v>4</v>
      </c>
      <c r="J456" s="3">
        <v>4</v>
      </c>
      <c r="K456" s="3">
        <v>4</v>
      </c>
      <c r="L456" s="3">
        <v>4</v>
      </c>
      <c r="M456" s="3">
        <v>4</v>
      </c>
      <c r="N456" s="3">
        <v>4</v>
      </c>
      <c r="O456" s="3">
        <v>4</v>
      </c>
      <c r="P456" s="3">
        <v>4</v>
      </c>
      <c r="Q456" s="3">
        <v>4</v>
      </c>
      <c r="R456" s="3">
        <v>4</v>
      </c>
      <c r="S456" s="3">
        <v>4</v>
      </c>
      <c r="T456" s="3">
        <v>4</v>
      </c>
      <c r="U456" s="3">
        <v>4</v>
      </c>
      <c r="V456" s="3">
        <v>4</v>
      </c>
      <c r="W456" s="3">
        <v>4</v>
      </c>
      <c r="X456" s="3">
        <v>3</v>
      </c>
      <c r="Y456" s="3">
        <v>3</v>
      </c>
      <c r="Z456" s="3">
        <v>3</v>
      </c>
      <c r="AA456" s="3">
        <v>4</v>
      </c>
      <c r="AB456" s="3">
        <v>3</v>
      </c>
      <c r="AC456" s="3">
        <v>4</v>
      </c>
      <c r="AD456" s="3">
        <v>4</v>
      </c>
      <c r="AE456" s="3">
        <v>4</v>
      </c>
      <c r="AF456" s="3">
        <v>4</v>
      </c>
      <c r="AG456" s="3">
        <v>4</v>
      </c>
      <c r="AH456" s="3">
        <v>4</v>
      </c>
      <c r="AI456" s="3">
        <v>4</v>
      </c>
      <c r="AJ456" s="3">
        <v>4</v>
      </c>
      <c r="AK456" s="3">
        <v>4</v>
      </c>
      <c r="AL456" s="3">
        <v>3</v>
      </c>
      <c r="AM456" s="3">
        <v>4</v>
      </c>
      <c r="AN456" s="3">
        <v>3</v>
      </c>
      <c r="AO456" s="3">
        <v>3</v>
      </c>
      <c r="AP456" s="3">
        <v>3</v>
      </c>
      <c r="AQ456" s="3">
        <v>4</v>
      </c>
      <c r="AR456" s="3">
        <v>4</v>
      </c>
      <c r="AS456" s="3">
        <v>4</v>
      </c>
      <c r="AT456" s="3">
        <v>4</v>
      </c>
      <c r="AU456" s="3">
        <v>4</v>
      </c>
      <c r="AV456" s="3">
        <v>3</v>
      </c>
      <c r="AW456" s="3">
        <v>4</v>
      </c>
      <c r="AX456" s="3">
        <v>4</v>
      </c>
      <c r="AY456" s="3">
        <v>4</v>
      </c>
      <c r="AZ456" s="3">
        <v>4</v>
      </c>
      <c r="BA456" s="3">
        <v>3</v>
      </c>
      <c r="BB456" s="3">
        <v>3</v>
      </c>
      <c r="BC456" s="3">
        <v>3</v>
      </c>
      <c r="BD456" s="3">
        <v>3</v>
      </c>
      <c r="BE456" s="3">
        <v>3</v>
      </c>
      <c r="BF456" s="3">
        <v>3</v>
      </c>
      <c r="BG456" s="3">
        <v>3</v>
      </c>
      <c r="BH456" s="3">
        <v>3</v>
      </c>
      <c r="BI456" s="3">
        <v>4</v>
      </c>
      <c r="BJ456" s="3">
        <v>4</v>
      </c>
      <c r="BK456" s="3">
        <v>4</v>
      </c>
      <c r="BL456" s="3">
        <v>3</v>
      </c>
      <c r="BM456" s="3">
        <v>4</v>
      </c>
      <c r="BN456" s="3">
        <v>3</v>
      </c>
      <c r="BO456" s="3">
        <v>4</v>
      </c>
      <c r="BP456" s="3" t="s">
        <v>1226</v>
      </c>
    </row>
    <row r="457" spans="1:68" ht="22.5" customHeight="1" x14ac:dyDescent="0.25">
      <c r="A457" s="2">
        <v>45988.600862106483</v>
      </c>
      <c r="B457" s="3" t="s">
        <v>1227</v>
      </c>
      <c r="C457" s="3" t="s">
        <v>86</v>
      </c>
      <c r="D457" s="3" t="s">
        <v>446</v>
      </c>
      <c r="E457" s="3" t="s">
        <v>77</v>
      </c>
      <c r="F457" s="3" t="s">
        <v>78</v>
      </c>
      <c r="G457" s="3" t="s">
        <v>79</v>
      </c>
      <c r="H457" s="3">
        <v>5</v>
      </c>
      <c r="I457" s="3">
        <v>5</v>
      </c>
      <c r="J457" s="3">
        <v>5</v>
      </c>
      <c r="K457" s="3">
        <v>4</v>
      </c>
      <c r="L457" s="3">
        <v>4</v>
      </c>
      <c r="M457" s="3">
        <v>5</v>
      </c>
      <c r="N457" s="3">
        <v>5</v>
      </c>
      <c r="O457" s="3">
        <v>5</v>
      </c>
      <c r="P457" s="3">
        <v>5</v>
      </c>
      <c r="Q457" s="3">
        <v>5</v>
      </c>
      <c r="R457" s="3">
        <v>5</v>
      </c>
      <c r="S457" s="3">
        <v>5</v>
      </c>
      <c r="T457" s="3">
        <v>5</v>
      </c>
      <c r="U457" s="3">
        <v>5</v>
      </c>
      <c r="V457" s="3">
        <v>4</v>
      </c>
      <c r="W457" s="3">
        <v>5</v>
      </c>
      <c r="X457" s="3">
        <v>4</v>
      </c>
      <c r="Y457" s="3">
        <v>4</v>
      </c>
      <c r="Z457" s="3">
        <v>4</v>
      </c>
      <c r="AA457" s="3">
        <v>4</v>
      </c>
      <c r="AB457" s="3">
        <v>4</v>
      </c>
      <c r="AC457" s="3">
        <v>4</v>
      </c>
      <c r="AD457" s="3">
        <v>4</v>
      </c>
      <c r="AE457" s="3">
        <v>5</v>
      </c>
      <c r="AF457" s="3">
        <v>5</v>
      </c>
      <c r="AG457" s="3">
        <v>5</v>
      </c>
      <c r="AH457" s="3">
        <v>5</v>
      </c>
      <c r="AI457" s="3">
        <v>5</v>
      </c>
      <c r="AJ457" s="3">
        <v>5</v>
      </c>
      <c r="AK457" s="3">
        <v>5</v>
      </c>
      <c r="AL457" s="3">
        <v>5</v>
      </c>
      <c r="AM457" s="3">
        <v>5</v>
      </c>
      <c r="AN457" s="3">
        <v>5</v>
      </c>
      <c r="AO457" s="3">
        <v>4</v>
      </c>
      <c r="AP457" s="3">
        <v>4</v>
      </c>
      <c r="AQ457" s="3">
        <v>4</v>
      </c>
      <c r="AR457" s="3">
        <v>4</v>
      </c>
      <c r="AS457" s="3">
        <v>4</v>
      </c>
      <c r="AT457" s="3">
        <v>4</v>
      </c>
      <c r="AU457" s="3">
        <v>4</v>
      </c>
      <c r="AV457" s="3">
        <v>4</v>
      </c>
      <c r="AW457" s="3">
        <v>5</v>
      </c>
      <c r="AX457" s="3">
        <v>5</v>
      </c>
      <c r="AY457" s="3">
        <v>5</v>
      </c>
      <c r="AZ457" s="3">
        <v>5</v>
      </c>
      <c r="BA457" s="3">
        <v>4</v>
      </c>
      <c r="BB457" s="3">
        <v>4</v>
      </c>
      <c r="BC457" s="3">
        <v>4</v>
      </c>
      <c r="BD457" s="3">
        <v>4</v>
      </c>
      <c r="BE457" s="3">
        <v>4</v>
      </c>
      <c r="BF457" s="3">
        <v>4</v>
      </c>
      <c r="BG457" s="3">
        <v>5</v>
      </c>
      <c r="BH457" s="3">
        <v>5</v>
      </c>
      <c r="BI457" s="3">
        <v>5</v>
      </c>
      <c r="BJ457" s="3">
        <v>5</v>
      </c>
      <c r="BK457" s="3">
        <v>5</v>
      </c>
      <c r="BL457" s="3">
        <v>5</v>
      </c>
      <c r="BM457" s="3">
        <v>5</v>
      </c>
      <c r="BN457" s="3">
        <v>5</v>
      </c>
      <c r="BO457" s="3">
        <v>4</v>
      </c>
      <c r="BP457" s="3" t="s">
        <v>1228</v>
      </c>
    </row>
    <row r="458" spans="1:68" ht="22.5" customHeight="1" x14ac:dyDescent="0.25">
      <c r="A458" s="2">
        <v>45988.601993194447</v>
      </c>
      <c r="B458" s="3" t="s">
        <v>1229</v>
      </c>
      <c r="C458" s="3" t="s">
        <v>86</v>
      </c>
      <c r="D458" s="3" t="s">
        <v>1230</v>
      </c>
      <c r="E458" s="3" t="s">
        <v>87</v>
      </c>
      <c r="F458" s="3" t="s">
        <v>82</v>
      </c>
      <c r="G458" s="3" t="s">
        <v>83</v>
      </c>
      <c r="H458" s="3">
        <v>5</v>
      </c>
      <c r="I458" s="3">
        <v>4</v>
      </c>
      <c r="J458" s="3">
        <v>4</v>
      </c>
      <c r="K458" s="3">
        <v>4</v>
      </c>
      <c r="L458" s="3">
        <v>4</v>
      </c>
      <c r="M458" s="3">
        <v>3</v>
      </c>
      <c r="N458" s="3">
        <v>3</v>
      </c>
      <c r="O458" s="3">
        <v>4</v>
      </c>
      <c r="P458" s="3">
        <v>4</v>
      </c>
      <c r="Q458" s="3">
        <v>4</v>
      </c>
      <c r="R458" s="3">
        <v>4</v>
      </c>
      <c r="S458" s="3">
        <v>4</v>
      </c>
      <c r="T458" s="3">
        <v>4</v>
      </c>
      <c r="U458" s="3">
        <v>4</v>
      </c>
      <c r="V458" s="3">
        <v>4</v>
      </c>
      <c r="W458" s="3">
        <v>4</v>
      </c>
      <c r="X458" s="3">
        <v>4</v>
      </c>
      <c r="Y458" s="3">
        <v>4</v>
      </c>
      <c r="Z458" s="3">
        <v>4</v>
      </c>
      <c r="AA458" s="3">
        <v>4</v>
      </c>
      <c r="AB458" s="3">
        <v>3</v>
      </c>
      <c r="AC458" s="3">
        <v>3</v>
      </c>
      <c r="AD458" s="3">
        <v>4</v>
      </c>
      <c r="AE458" s="3">
        <v>4</v>
      </c>
      <c r="AF458" s="3">
        <v>4</v>
      </c>
      <c r="AG458" s="3">
        <v>4</v>
      </c>
      <c r="AH458" s="3">
        <v>4</v>
      </c>
      <c r="AI458" s="3">
        <v>5</v>
      </c>
      <c r="AJ458" s="3">
        <v>5</v>
      </c>
      <c r="AK458" s="3">
        <v>5</v>
      </c>
      <c r="AL458" s="3">
        <v>5</v>
      </c>
      <c r="AM458" s="3">
        <v>5</v>
      </c>
      <c r="AN458" s="3">
        <v>4</v>
      </c>
      <c r="AO458" s="3">
        <v>4</v>
      </c>
      <c r="AP458" s="3">
        <v>4</v>
      </c>
      <c r="AQ458" s="3">
        <v>4</v>
      </c>
      <c r="AR458" s="3">
        <v>4</v>
      </c>
      <c r="AS458" s="3">
        <v>4</v>
      </c>
      <c r="AT458" s="3">
        <v>4</v>
      </c>
      <c r="AU458" s="3">
        <v>4</v>
      </c>
      <c r="AV458" s="3">
        <v>4</v>
      </c>
      <c r="AW458" s="3">
        <v>4</v>
      </c>
      <c r="AX458" s="3">
        <v>4</v>
      </c>
      <c r="AY458" s="3">
        <v>4</v>
      </c>
      <c r="AZ458" s="3">
        <v>4</v>
      </c>
      <c r="BA458" s="3">
        <v>4</v>
      </c>
      <c r="BB458" s="3">
        <v>4</v>
      </c>
      <c r="BC458" s="3">
        <v>4</v>
      </c>
      <c r="BD458" s="3">
        <v>4</v>
      </c>
      <c r="BE458" s="3">
        <v>4</v>
      </c>
      <c r="BF458" s="3">
        <v>4</v>
      </c>
      <c r="BG458" s="3">
        <v>4</v>
      </c>
      <c r="BH458" s="3">
        <v>4</v>
      </c>
      <c r="BI458" s="3">
        <v>4</v>
      </c>
      <c r="BJ458" s="3">
        <v>4</v>
      </c>
      <c r="BK458" s="3">
        <v>4</v>
      </c>
      <c r="BL458" s="3">
        <v>4</v>
      </c>
      <c r="BM458" s="3">
        <v>4</v>
      </c>
      <c r="BN458" s="3">
        <v>4</v>
      </c>
      <c r="BO458" s="3">
        <v>4</v>
      </c>
      <c r="BP458" s="3" t="s">
        <v>1231</v>
      </c>
    </row>
    <row r="459" spans="1:68" ht="22.5" customHeight="1" x14ac:dyDescent="0.25">
      <c r="A459" s="2">
        <v>45988.605501226848</v>
      </c>
      <c r="B459" s="3" t="s">
        <v>1232</v>
      </c>
      <c r="C459" s="3" t="s">
        <v>86</v>
      </c>
      <c r="D459" s="3" t="s">
        <v>466</v>
      </c>
      <c r="E459" s="3" t="s">
        <v>119</v>
      </c>
      <c r="F459" s="3" t="s">
        <v>72</v>
      </c>
      <c r="G459" s="3" t="s">
        <v>91</v>
      </c>
      <c r="H459" s="3">
        <v>5</v>
      </c>
      <c r="I459" s="3">
        <v>5</v>
      </c>
      <c r="J459" s="3">
        <v>5</v>
      </c>
      <c r="K459" s="3">
        <v>5</v>
      </c>
      <c r="L459" s="3">
        <v>5</v>
      </c>
      <c r="M459" s="3">
        <v>5</v>
      </c>
      <c r="N459" s="3">
        <v>5</v>
      </c>
      <c r="O459" s="3">
        <v>5</v>
      </c>
      <c r="P459" s="3">
        <v>5</v>
      </c>
      <c r="Q459" s="3">
        <v>5</v>
      </c>
      <c r="R459" s="3">
        <v>5</v>
      </c>
      <c r="S459" s="3">
        <v>5</v>
      </c>
      <c r="T459" s="3">
        <v>5</v>
      </c>
      <c r="U459" s="3">
        <v>5</v>
      </c>
      <c r="V459" s="3">
        <v>5</v>
      </c>
      <c r="W459" s="3">
        <v>5</v>
      </c>
      <c r="X459" s="3">
        <v>5</v>
      </c>
      <c r="Y459" s="3">
        <v>5</v>
      </c>
      <c r="Z459" s="3">
        <v>5</v>
      </c>
      <c r="AA459" s="3">
        <v>5</v>
      </c>
      <c r="AB459" s="3">
        <v>5</v>
      </c>
      <c r="AC459" s="3">
        <v>5</v>
      </c>
      <c r="AD459" s="3">
        <v>5</v>
      </c>
      <c r="AE459" s="3">
        <v>5</v>
      </c>
      <c r="AF459" s="3">
        <v>5</v>
      </c>
      <c r="AG459" s="3">
        <v>5</v>
      </c>
      <c r="AH459" s="3">
        <v>5</v>
      </c>
      <c r="AI459" s="3">
        <v>5</v>
      </c>
      <c r="AJ459" s="3">
        <v>5</v>
      </c>
      <c r="AK459" s="3">
        <v>5</v>
      </c>
      <c r="AL459" s="3">
        <v>5</v>
      </c>
      <c r="AM459" s="3">
        <v>5</v>
      </c>
      <c r="AN459" s="3">
        <v>5</v>
      </c>
      <c r="AO459" s="3">
        <v>5</v>
      </c>
      <c r="AP459" s="3">
        <v>5</v>
      </c>
      <c r="AQ459" s="3">
        <v>5</v>
      </c>
      <c r="AR459" s="3">
        <v>5</v>
      </c>
      <c r="AS459" s="3">
        <v>5</v>
      </c>
      <c r="AT459" s="3">
        <v>5</v>
      </c>
      <c r="AU459" s="3">
        <v>5</v>
      </c>
      <c r="AV459" s="3">
        <v>5</v>
      </c>
      <c r="AW459" s="3">
        <v>5</v>
      </c>
      <c r="AX459" s="3">
        <v>5</v>
      </c>
      <c r="AY459" s="3">
        <v>5</v>
      </c>
      <c r="AZ459" s="3">
        <v>5</v>
      </c>
      <c r="BA459" s="3">
        <v>5</v>
      </c>
      <c r="BB459" s="3">
        <v>5</v>
      </c>
      <c r="BC459" s="3">
        <v>5</v>
      </c>
      <c r="BD459" s="3">
        <v>5</v>
      </c>
      <c r="BE459" s="3">
        <v>5</v>
      </c>
      <c r="BF459" s="3">
        <v>5</v>
      </c>
      <c r="BG459" s="3">
        <v>5</v>
      </c>
      <c r="BH459" s="3">
        <v>5</v>
      </c>
      <c r="BI459" s="3">
        <v>5</v>
      </c>
      <c r="BJ459" s="3">
        <v>5</v>
      </c>
      <c r="BK459" s="3">
        <v>5</v>
      </c>
      <c r="BL459" s="3">
        <v>5</v>
      </c>
      <c r="BM459" s="3">
        <v>5</v>
      </c>
      <c r="BN459" s="3">
        <v>5</v>
      </c>
      <c r="BO459" s="3">
        <v>5</v>
      </c>
      <c r="BP459" s="3" t="s">
        <v>1233</v>
      </c>
    </row>
    <row r="460" spans="1:68" ht="22.5" customHeight="1" x14ac:dyDescent="0.25">
      <c r="A460" s="2">
        <v>45988.638220046298</v>
      </c>
      <c r="B460" s="3" t="s">
        <v>1234</v>
      </c>
      <c r="C460" s="3" t="s">
        <v>69</v>
      </c>
      <c r="D460" s="3" t="s">
        <v>1235</v>
      </c>
      <c r="E460" s="3" t="s">
        <v>539</v>
      </c>
      <c r="F460" s="3" t="s">
        <v>72</v>
      </c>
      <c r="G460" s="3" t="s">
        <v>73</v>
      </c>
      <c r="H460" s="3">
        <v>4</v>
      </c>
      <c r="I460" s="3">
        <v>4</v>
      </c>
      <c r="J460" s="3">
        <v>4</v>
      </c>
      <c r="K460" s="3">
        <v>4</v>
      </c>
      <c r="L460" s="3">
        <v>4</v>
      </c>
      <c r="M460" s="3">
        <v>4</v>
      </c>
      <c r="N460" s="3">
        <v>4</v>
      </c>
      <c r="O460" s="3">
        <v>4</v>
      </c>
      <c r="P460" s="3">
        <v>4</v>
      </c>
      <c r="Q460" s="3">
        <v>4</v>
      </c>
      <c r="R460" s="3">
        <v>4</v>
      </c>
      <c r="S460" s="3">
        <v>4</v>
      </c>
      <c r="T460" s="3">
        <v>4</v>
      </c>
      <c r="U460" s="3">
        <v>4</v>
      </c>
      <c r="V460" s="3">
        <v>3</v>
      </c>
      <c r="W460" s="3">
        <v>3</v>
      </c>
      <c r="X460" s="3">
        <v>3</v>
      </c>
      <c r="Y460" s="3">
        <v>3</v>
      </c>
      <c r="Z460" s="3">
        <v>3</v>
      </c>
      <c r="AA460" s="3">
        <v>3</v>
      </c>
      <c r="AB460" s="3">
        <v>3</v>
      </c>
      <c r="AC460" s="3">
        <v>3</v>
      </c>
      <c r="AD460" s="3">
        <v>3</v>
      </c>
      <c r="AE460" s="3">
        <v>3</v>
      </c>
      <c r="AF460" s="3">
        <v>3</v>
      </c>
      <c r="AG460" s="3">
        <v>3</v>
      </c>
      <c r="AH460" s="3">
        <v>3</v>
      </c>
      <c r="AI460" s="3">
        <v>4</v>
      </c>
      <c r="AJ460" s="3">
        <v>4</v>
      </c>
      <c r="AK460" s="3">
        <v>4</v>
      </c>
      <c r="AL460" s="3">
        <v>4</v>
      </c>
      <c r="AM460" s="3">
        <v>4</v>
      </c>
      <c r="AN460" s="3">
        <v>4</v>
      </c>
      <c r="AO460" s="3">
        <v>4</v>
      </c>
      <c r="AP460" s="3">
        <v>4</v>
      </c>
      <c r="AQ460" s="3">
        <v>4</v>
      </c>
      <c r="AR460" s="3">
        <v>4</v>
      </c>
      <c r="AS460" s="3">
        <v>4</v>
      </c>
      <c r="AT460" s="3">
        <v>4</v>
      </c>
      <c r="AU460" s="3">
        <v>4</v>
      </c>
      <c r="AV460" s="3">
        <v>3</v>
      </c>
      <c r="AW460" s="3">
        <v>4</v>
      </c>
      <c r="AX460" s="3">
        <v>4</v>
      </c>
      <c r="AY460" s="3">
        <v>4</v>
      </c>
      <c r="AZ460" s="3">
        <v>4</v>
      </c>
      <c r="BA460" s="3">
        <v>4</v>
      </c>
      <c r="BB460" s="3">
        <v>4</v>
      </c>
      <c r="BC460" s="3">
        <v>4</v>
      </c>
      <c r="BD460" s="3">
        <v>4</v>
      </c>
      <c r="BE460" s="3">
        <v>4</v>
      </c>
      <c r="BF460" s="3">
        <v>4</v>
      </c>
      <c r="BG460" s="3">
        <v>4</v>
      </c>
      <c r="BH460" s="3">
        <v>4</v>
      </c>
      <c r="BI460" s="3">
        <v>4</v>
      </c>
      <c r="BJ460" s="3">
        <v>4</v>
      </c>
      <c r="BK460" s="3">
        <v>4</v>
      </c>
      <c r="BL460" s="3">
        <v>4</v>
      </c>
      <c r="BM460" s="3">
        <v>4</v>
      </c>
      <c r="BN460" s="3">
        <v>4</v>
      </c>
      <c r="BO460" s="3">
        <v>4</v>
      </c>
      <c r="BP460" s="3" t="s">
        <v>1236</v>
      </c>
    </row>
    <row r="461" spans="1:68" ht="22.5" customHeight="1" x14ac:dyDescent="0.25">
      <c r="A461" s="2">
        <v>45988.642558217594</v>
      </c>
      <c r="B461" s="3" t="s">
        <v>1237</v>
      </c>
      <c r="C461" s="3" t="s">
        <v>86</v>
      </c>
      <c r="D461" s="3" t="s">
        <v>1238</v>
      </c>
      <c r="E461" s="3" t="s">
        <v>71</v>
      </c>
      <c r="F461" s="3" t="s">
        <v>82</v>
      </c>
      <c r="G461" s="3" t="s">
        <v>83</v>
      </c>
      <c r="H461" s="3">
        <v>4</v>
      </c>
      <c r="I461" s="3">
        <v>4</v>
      </c>
      <c r="J461" s="3">
        <v>4</v>
      </c>
      <c r="K461" s="3">
        <v>4</v>
      </c>
      <c r="L461" s="3">
        <v>4</v>
      </c>
      <c r="M461" s="3">
        <v>4</v>
      </c>
      <c r="N461" s="3">
        <v>4</v>
      </c>
      <c r="O461" s="3">
        <v>4</v>
      </c>
      <c r="P461" s="3">
        <v>4</v>
      </c>
      <c r="Q461" s="3">
        <v>4</v>
      </c>
      <c r="R461" s="3">
        <v>4</v>
      </c>
      <c r="S461" s="3">
        <v>4</v>
      </c>
      <c r="T461" s="3">
        <v>4</v>
      </c>
      <c r="U461" s="3">
        <v>4</v>
      </c>
      <c r="V461" s="3">
        <v>4</v>
      </c>
      <c r="W461" s="3">
        <v>4</v>
      </c>
      <c r="X461" s="3">
        <v>4</v>
      </c>
      <c r="Y461" s="3">
        <v>4</v>
      </c>
      <c r="Z461" s="3">
        <v>4</v>
      </c>
      <c r="AA461" s="3">
        <v>4</v>
      </c>
      <c r="AB461" s="3">
        <v>4</v>
      </c>
      <c r="AC461" s="3">
        <v>4</v>
      </c>
      <c r="AD461" s="3">
        <v>4</v>
      </c>
      <c r="AE461" s="3">
        <v>4</v>
      </c>
      <c r="AF461" s="3">
        <v>4</v>
      </c>
      <c r="AG461" s="3">
        <v>4</v>
      </c>
      <c r="AH461" s="3">
        <v>4</v>
      </c>
      <c r="AI461" s="3">
        <v>4</v>
      </c>
      <c r="AJ461" s="3">
        <v>4</v>
      </c>
      <c r="AK461" s="3">
        <v>4</v>
      </c>
      <c r="AL461" s="3">
        <v>4</v>
      </c>
      <c r="AM461" s="3">
        <v>4</v>
      </c>
      <c r="AN461" s="3">
        <v>4</v>
      </c>
      <c r="AO461" s="3">
        <v>4</v>
      </c>
      <c r="AP461" s="3">
        <v>4</v>
      </c>
      <c r="AQ461" s="3">
        <v>4</v>
      </c>
      <c r="AR461" s="3">
        <v>4</v>
      </c>
      <c r="AS461" s="3">
        <v>4</v>
      </c>
      <c r="AT461" s="3">
        <v>4</v>
      </c>
      <c r="AU461" s="3">
        <v>4</v>
      </c>
      <c r="AV461" s="3">
        <v>4</v>
      </c>
      <c r="AW461" s="3">
        <v>4</v>
      </c>
      <c r="AX461" s="3">
        <v>4</v>
      </c>
      <c r="AY461" s="3">
        <v>4</v>
      </c>
      <c r="AZ461" s="3">
        <v>4</v>
      </c>
      <c r="BA461" s="3">
        <v>4</v>
      </c>
      <c r="BB461" s="3">
        <v>4</v>
      </c>
      <c r="BC461" s="3">
        <v>4</v>
      </c>
      <c r="BD461" s="3">
        <v>4</v>
      </c>
      <c r="BE461" s="3">
        <v>4</v>
      </c>
      <c r="BF461" s="3">
        <v>4</v>
      </c>
      <c r="BG461" s="3">
        <v>4</v>
      </c>
      <c r="BH461" s="3">
        <v>4</v>
      </c>
      <c r="BI461" s="3">
        <v>4</v>
      </c>
      <c r="BJ461" s="3">
        <v>4</v>
      </c>
      <c r="BK461" s="3">
        <v>4</v>
      </c>
      <c r="BL461" s="3">
        <v>4</v>
      </c>
      <c r="BM461" s="3">
        <v>4</v>
      </c>
      <c r="BN461" s="3">
        <v>4</v>
      </c>
      <c r="BO461" s="3">
        <v>4</v>
      </c>
      <c r="BP461" s="3" t="s">
        <v>1239</v>
      </c>
    </row>
    <row r="462" spans="1:68" ht="22.5" customHeight="1" x14ac:dyDescent="0.25">
      <c r="A462" s="2">
        <v>45988.644300949076</v>
      </c>
      <c r="B462" s="3" t="s">
        <v>1240</v>
      </c>
      <c r="C462" s="3" t="s">
        <v>69</v>
      </c>
      <c r="D462" s="3" t="s">
        <v>1241</v>
      </c>
      <c r="E462" s="3" t="s">
        <v>539</v>
      </c>
      <c r="F462" s="3" t="s">
        <v>82</v>
      </c>
      <c r="G462" s="3" t="s">
        <v>83</v>
      </c>
      <c r="H462" s="3">
        <v>4</v>
      </c>
      <c r="I462" s="3">
        <v>4</v>
      </c>
      <c r="J462" s="3">
        <v>3</v>
      </c>
      <c r="K462" s="3">
        <v>4</v>
      </c>
      <c r="L462" s="3">
        <v>4</v>
      </c>
      <c r="M462" s="3">
        <v>3</v>
      </c>
      <c r="N462" s="3">
        <v>2</v>
      </c>
      <c r="O462" s="3">
        <v>4</v>
      </c>
      <c r="P462" s="3">
        <v>4</v>
      </c>
      <c r="Q462" s="3">
        <v>4</v>
      </c>
      <c r="R462" s="3">
        <v>4</v>
      </c>
      <c r="S462" s="3">
        <v>4</v>
      </c>
      <c r="T462" s="3">
        <v>4</v>
      </c>
      <c r="U462" s="3">
        <v>4</v>
      </c>
      <c r="V462" s="3">
        <v>3</v>
      </c>
      <c r="W462" s="3">
        <v>3</v>
      </c>
      <c r="X462" s="3">
        <v>3</v>
      </c>
      <c r="Y462" s="3">
        <v>3</v>
      </c>
      <c r="Z462" s="3">
        <v>3</v>
      </c>
      <c r="AA462" s="3">
        <v>4</v>
      </c>
      <c r="AB462" s="3">
        <v>4</v>
      </c>
      <c r="AC462" s="3">
        <v>3</v>
      </c>
      <c r="AD462" s="3">
        <v>4</v>
      </c>
      <c r="AE462" s="3">
        <v>4</v>
      </c>
      <c r="AF462" s="3">
        <v>4</v>
      </c>
      <c r="AG462" s="3">
        <v>4</v>
      </c>
      <c r="AH462" s="3">
        <v>4</v>
      </c>
      <c r="AI462" s="3">
        <v>3</v>
      </c>
      <c r="AJ462" s="3">
        <v>3</v>
      </c>
      <c r="AK462" s="3">
        <v>3</v>
      </c>
      <c r="AL462" s="3">
        <v>3</v>
      </c>
      <c r="AM462" s="3">
        <v>3</v>
      </c>
      <c r="AN462" s="3">
        <v>3</v>
      </c>
      <c r="AO462" s="3">
        <v>3</v>
      </c>
      <c r="AP462" s="3">
        <v>3</v>
      </c>
      <c r="AQ462" s="3">
        <v>3</v>
      </c>
      <c r="AR462" s="3">
        <v>3</v>
      </c>
      <c r="AS462" s="3">
        <v>3</v>
      </c>
      <c r="AT462" s="3">
        <v>3</v>
      </c>
      <c r="AU462" s="3">
        <v>3</v>
      </c>
      <c r="AV462" s="3">
        <v>3</v>
      </c>
      <c r="AW462" s="3">
        <v>4</v>
      </c>
      <c r="AX462" s="3">
        <v>4</v>
      </c>
      <c r="AY462" s="3">
        <v>4</v>
      </c>
      <c r="AZ462" s="3">
        <v>4</v>
      </c>
      <c r="BA462" s="3">
        <v>3</v>
      </c>
      <c r="BB462" s="3">
        <v>3</v>
      </c>
      <c r="BC462" s="3">
        <v>4</v>
      </c>
      <c r="BD462" s="3">
        <v>3</v>
      </c>
      <c r="BE462" s="3">
        <v>3</v>
      </c>
      <c r="BF462" s="3">
        <v>3</v>
      </c>
      <c r="BG462" s="3">
        <v>3</v>
      </c>
      <c r="BH462" s="3">
        <v>3</v>
      </c>
      <c r="BI462" s="3">
        <v>3</v>
      </c>
      <c r="BJ462" s="3">
        <v>3</v>
      </c>
      <c r="BK462" s="3">
        <v>3</v>
      </c>
      <c r="BL462" s="3">
        <v>3</v>
      </c>
      <c r="BM462" s="3">
        <v>3</v>
      </c>
      <c r="BN462" s="3">
        <v>3</v>
      </c>
      <c r="BO462" s="3">
        <v>3</v>
      </c>
      <c r="BP462" s="3" t="s">
        <v>1242</v>
      </c>
    </row>
    <row r="463" spans="1:68" ht="22.5" customHeight="1" x14ac:dyDescent="0.25">
      <c r="A463" s="2">
        <v>45988.644842430556</v>
      </c>
      <c r="B463" s="3" t="s">
        <v>1243</v>
      </c>
      <c r="C463" s="3" t="s">
        <v>69</v>
      </c>
      <c r="D463" s="3" t="s">
        <v>1244</v>
      </c>
      <c r="E463" s="3" t="s">
        <v>141</v>
      </c>
      <c r="F463" s="3" t="s">
        <v>88</v>
      </c>
      <c r="G463" s="3" t="s">
        <v>83</v>
      </c>
      <c r="H463" s="3">
        <v>5</v>
      </c>
      <c r="I463" s="3">
        <v>5</v>
      </c>
      <c r="J463" s="3">
        <v>5</v>
      </c>
      <c r="K463" s="3">
        <v>5</v>
      </c>
      <c r="L463" s="3">
        <v>5</v>
      </c>
      <c r="M463" s="3">
        <v>5</v>
      </c>
      <c r="N463" s="3">
        <v>5</v>
      </c>
      <c r="O463" s="3">
        <v>3</v>
      </c>
      <c r="P463" s="3">
        <v>4</v>
      </c>
      <c r="Q463" s="3">
        <v>5</v>
      </c>
      <c r="R463" s="3">
        <v>5</v>
      </c>
      <c r="S463" s="3">
        <v>5</v>
      </c>
      <c r="T463" s="3">
        <v>5</v>
      </c>
      <c r="U463" s="3">
        <v>5</v>
      </c>
      <c r="V463" s="3">
        <v>3</v>
      </c>
      <c r="W463" s="3">
        <v>3</v>
      </c>
      <c r="X463" s="3">
        <v>3</v>
      </c>
      <c r="Y463" s="3">
        <v>3</v>
      </c>
      <c r="Z463" s="3">
        <v>3</v>
      </c>
      <c r="AA463" s="3">
        <v>5</v>
      </c>
      <c r="AB463" s="3">
        <v>3</v>
      </c>
      <c r="AC463" s="3">
        <v>5</v>
      </c>
      <c r="AD463" s="3">
        <v>5</v>
      </c>
      <c r="AE463" s="3">
        <v>5</v>
      </c>
      <c r="AF463" s="3">
        <v>5</v>
      </c>
      <c r="AG463" s="3">
        <v>5</v>
      </c>
      <c r="AH463" s="3">
        <v>5</v>
      </c>
      <c r="AI463" s="3">
        <v>3</v>
      </c>
      <c r="AJ463" s="3">
        <v>3</v>
      </c>
      <c r="AK463" s="3">
        <v>3</v>
      </c>
      <c r="AL463" s="3">
        <v>3</v>
      </c>
      <c r="AM463" s="3">
        <v>3</v>
      </c>
      <c r="AN463" s="3">
        <v>3</v>
      </c>
      <c r="AO463" s="3">
        <v>2</v>
      </c>
      <c r="AP463" s="3">
        <v>1</v>
      </c>
      <c r="AQ463" s="3">
        <v>1</v>
      </c>
      <c r="AR463" s="3">
        <v>2</v>
      </c>
      <c r="AS463" s="3">
        <v>4</v>
      </c>
      <c r="AT463" s="3">
        <v>5</v>
      </c>
      <c r="AU463" s="3">
        <v>3</v>
      </c>
      <c r="AV463" s="3">
        <v>3</v>
      </c>
      <c r="AW463" s="3">
        <v>5</v>
      </c>
      <c r="AX463" s="3">
        <v>4</v>
      </c>
      <c r="AY463" s="3">
        <v>4</v>
      </c>
      <c r="AZ463" s="3">
        <v>5</v>
      </c>
      <c r="BA463" s="3">
        <v>4</v>
      </c>
      <c r="BB463" s="3">
        <v>5</v>
      </c>
      <c r="BC463" s="3">
        <v>5</v>
      </c>
      <c r="BD463" s="3">
        <v>5</v>
      </c>
      <c r="BE463" s="3">
        <v>5</v>
      </c>
      <c r="BF463" s="3">
        <v>3</v>
      </c>
      <c r="BG463" s="3">
        <v>5</v>
      </c>
      <c r="BH463" s="3">
        <v>5</v>
      </c>
      <c r="BI463" s="3">
        <v>5</v>
      </c>
      <c r="BJ463" s="3">
        <v>5</v>
      </c>
      <c r="BK463" s="3">
        <v>5</v>
      </c>
      <c r="BL463" s="3">
        <v>5</v>
      </c>
      <c r="BM463" s="3">
        <v>5</v>
      </c>
      <c r="BN463" s="3">
        <v>5</v>
      </c>
      <c r="BO463" s="3">
        <v>5</v>
      </c>
      <c r="BP463" s="3" t="s">
        <v>1245</v>
      </c>
    </row>
    <row r="464" spans="1:68" ht="22.5" customHeight="1" x14ac:dyDescent="0.25">
      <c r="A464" s="2">
        <v>45988.646171840279</v>
      </c>
      <c r="B464" s="3" t="s">
        <v>1246</v>
      </c>
      <c r="C464" s="3" t="s">
        <v>69</v>
      </c>
      <c r="D464" s="3" t="s">
        <v>423</v>
      </c>
      <c r="E464" s="3" t="s">
        <v>71</v>
      </c>
      <c r="F464" s="3" t="s">
        <v>82</v>
      </c>
      <c r="G464" s="3" t="s">
        <v>73</v>
      </c>
      <c r="H464" s="3">
        <v>4</v>
      </c>
      <c r="I464" s="3">
        <v>4</v>
      </c>
      <c r="J464" s="3">
        <v>4</v>
      </c>
      <c r="K464" s="3">
        <v>4</v>
      </c>
      <c r="L464" s="3">
        <v>4</v>
      </c>
      <c r="M464" s="3">
        <v>4</v>
      </c>
      <c r="N464" s="3">
        <v>4</v>
      </c>
      <c r="O464" s="3">
        <v>4</v>
      </c>
      <c r="P464" s="3">
        <v>4</v>
      </c>
      <c r="Q464" s="3">
        <v>4</v>
      </c>
      <c r="R464" s="3">
        <v>4</v>
      </c>
      <c r="S464" s="3">
        <v>4</v>
      </c>
      <c r="T464" s="3">
        <v>4</v>
      </c>
      <c r="U464" s="3">
        <v>4</v>
      </c>
      <c r="V464" s="3">
        <v>4</v>
      </c>
      <c r="W464" s="3">
        <v>4</v>
      </c>
      <c r="X464" s="3">
        <v>3</v>
      </c>
      <c r="Y464" s="3">
        <v>4</v>
      </c>
      <c r="Z464" s="3">
        <v>4</v>
      </c>
      <c r="AA464" s="3">
        <v>3</v>
      </c>
      <c r="AB464" s="3">
        <v>4</v>
      </c>
      <c r="AC464" s="3">
        <v>4</v>
      </c>
      <c r="AD464" s="3">
        <v>4</v>
      </c>
      <c r="AE464" s="3">
        <v>4</v>
      </c>
      <c r="AF464" s="3">
        <v>4</v>
      </c>
      <c r="AG464" s="3">
        <v>4</v>
      </c>
      <c r="AH464" s="3">
        <v>4</v>
      </c>
      <c r="AI464" s="3">
        <v>4</v>
      </c>
      <c r="AJ464" s="3">
        <v>4</v>
      </c>
      <c r="AK464" s="3">
        <v>4</v>
      </c>
      <c r="AL464" s="3">
        <v>4</v>
      </c>
      <c r="AM464" s="3">
        <v>4</v>
      </c>
      <c r="AN464" s="3">
        <v>4</v>
      </c>
      <c r="AO464" s="3">
        <v>4</v>
      </c>
      <c r="AP464" s="3">
        <v>4</v>
      </c>
      <c r="AQ464" s="3">
        <v>4</v>
      </c>
      <c r="AR464" s="3">
        <v>4</v>
      </c>
      <c r="AS464" s="3">
        <v>3</v>
      </c>
      <c r="AT464" s="3">
        <v>4</v>
      </c>
      <c r="AU464" s="3">
        <v>4</v>
      </c>
      <c r="AV464" s="3">
        <v>3</v>
      </c>
      <c r="AW464" s="3">
        <v>4</v>
      </c>
      <c r="AX464" s="3">
        <v>4</v>
      </c>
      <c r="AY464" s="3">
        <v>4</v>
      </c>
      <c r="AZ464" s="3">
        <v>4</v>
      </c>
      <c r="BA464" s="3">
        <v>4</v>
      </c>
      <c r="BB464" s="3">
        <v>4</v>
      </c>
      <c r="BC464" s="3">
        <v>4</v>
      </c>
      <c r="BD464" s="3">
        <v>4</v>
      </c>
      <c r="BE464" s="3">
        <v>4</v>
      </c>
      <c r="BF464" s="3">
        <v>4</v>
      </c>
      <c r="BG464" s="3">
        <v>4</v>
      </c>
      <c r="BH464" s="3">
        <v>4</v>
      </c>
      <c r="BI464" s="3">
        <v>4</v>
      </c>
      <c r="BJ464" s="3">
        <v>4</v>
      </c>
      <c r="BK464" s="3">
        <v>4</v>
      </c>
      <c r="BL464" s="3">
        <v>4</v>
      </c>
      <c r="BM464" s="3">
        <v>4</v>
      </c>
      <c r="BN464" s="3">
        <v>4</v>
      </c>
      <c r="BO464" s="3">
        <v>4</v>
      </c>
      <c r="BP464" s="3" t="s">
        <v>1247</v>
      </c>
    </row>
    <row r="465" spans="1:68" ht="22.5" customHeight="1" x14ac:dyDescent="0.25">
      <c r="A465" s="2">
        <v>45988.646397129633</v>
      </c>
      <c r="B465" s="3" t="s">
        <v>1248</v>
      </c>
      <c r="C465" s="3" t="s">
        <v>86</v>
      </c>
      <c r="D465" s="3" t="s">
        <v>1249</v>
      </c>
      <c r="E465" s="3" t="s">
        <v>77</v>
      </c>
      <c r="F465" s="3" t="s">
        <v>78</v>
      </c>
      <c r="G465" s="3" t="s">
        <v>79</v>
      </c>
      <c r="H465" s="3">
        <v>4</v>
      </c>
      <c r="I465" s="3">
        <v>4</v>
      </c>
      <c r="J465" s="3">
        <v>4</v>
      </c>
      <c r="K465" s="3">
        <v>4</v>
      </c>
      <c r="L465" s="3">
        <v>4</v>
      </c>
      <c r="M465" s="3">
        <v>4</v>
      </c>
      <c r="N465" s="3">
        <v>4</v>
      </c>
      <c r="O465" s="3">
        <v>4</v>
      </c>
      <c r="P465" s="3">
        <v>4</v>
      </c>
      <c r="Q465" s="3">
        <v>4</v>
      </c>
      <c r="R465" s="3">
        <v>4</v>
      </c>
      <c r="S465" s="3">
        <v>4</v>
      </c>
      <c r="T465" s="3">
        <v>4</v>
      </c>
      <c r="U465" s="3">
        <v>4</v>
      </c>
      <c r="V465" s="3">
        <v>4</v>
      </c>
      <c r="W465" s="3">
        <v>4</v>
      </c>
      <c r="X465" s="3">
        <v>4</v>
      </c>
      <c r="Y465" s="3">
        <v>4</v>
      </c>
      <c r="Z465" s="3">
        <v>4</v>
      </c>
      <c r="AA465" s="3">
        <v>4</v>
      </c>
      <c r="AB465" s="3">
        <v>4</v>
      </c>
      <c r="AC465" s="3">
        <v>4</v>
      </c>
      <c r="AD465" s="3">
        <v>4</v>
      </c>
      <c r="AE465" s="3">
        <v>4</v>
      </c>
      <c r="AF465" s="3">
        <v>4</v>
      </c>
      <c r="AG465" s="3">
        <v>4</v>
      </c>
      <c r="AH465" s="3">
        <v>4</v>
      </c>
      <c r="AI465" s="3">
        <v>4</v>
      </c>
      <c r="AJ465" s="3">
        <v>4</v>
      </c>
      <c r="AK465" s="3">
        <v>4</v>
      </c>
      <c r="AL465" s="3">
        <v>4</v>
      </c>
      <c r="AM465" s="3">
        <v>4</v>
      </c>
      <c r="AN465" s="3">
        <v>4</v>
      </c>
      <c r="AO465" s="3">
        <v>4</v>
      </c>
      <c r="AP465" s="3">
        <v>4</v>
      </c>
      <c r="AQ465" s="3">
        <v>4</v>
      </c>
      <c r="AR465" s="3">
        <v>4</v>
      </c>
      <c r="AS465" s="3">
        <v>4</v>
      </c>
      <c r="AT465" s="3">
        <v>4</v>
      </c>
      <c r="AU465" s="3">
        <v>4</v>
      </c>
      <c r="AV465" s="3">
        <v>4</v>
      </c>
      <c r="AW465" s="3">
        <v>4</v>
      </c>
      <c r="AX465" s="3">
        <v>4</v>
      </c>
      <c r="AY465" s="3">
        <v>4</v>
      </c>
      <c r="AZ465" s="3">
        <v>4</v>
      </c>
      <c r="BA465" s="3">
        <v>4</v>
      </c>
      <c r="BB465" s="3">
        <v>3</v>
      </c>
      <c r="BC465" s="3">
        <v>4</v>
      </c>
      <c r="BD465" s="3">
        <v>4</v>
      </c>
      <c r="BE465" s="3">
        <v>4</v>
      </c>
      <c r="BF465" s="3">
        <v>4</v>
      </c>
      <c r="BG465" s="3">
        <v>4</v>
      </c>
      <c r="BH465" s="3">
        <v>4</v>
      </c>
      <c r="BI465" s="3">
        <v>4</v>
      </c>
      <c r="BJ465" s="3">
        <v>4</v>
      </c>
      <c r="BK465" s="3">
        <v>4</v>
      </c>
      <c r="BL465" s="3">
        <v>4</v>
      </c>
      <c r="BM465" s="3">
        <v>4</v>
      </c>
      <c r="BN465" s="3">
        <v>4</v>
      </c>
      <c r="BO465" s="3">
        <v>4</v>
      </c>
      <c r="BP465" s="3" t="s">
        <v>1250</v>
      </c>
    </row>
    <row r="466" spans="1:68" ht="22.5" customHeight="1" x14ac:dyDescent="0.25">
      <c r="A466" s="2">
        <v>45988.646512060186</v>
      </c>
      <c r="B466" s="3" t="s">
        <v>1251</v>
      </c>
      <c r="C466" s="3" t="s">
        <v>69</v>
      </c>
      <c r="D466" s="3" t="s">
        <v>1252</v>
      </c>
      <c r="E466" s="3" t="s">
        <v>77</v>
      </c>
      <c r="F466" s="3" t="s">
        <v>78</v>
      </c>
      <c r="G466" s="3" t="s">
        <v>79</v>
      </c>
      <c r="H466" s="3">
        <v>5</v>
      </c>
      <c r="I466" s="3">
        <v>5</v>
      </c>
      <c r="J466" s="3">
        <v>5</v>
      </c>
      <c r="K466" s="3">
        <v>5</v>
      </c>
      <c r="L466" s="3">
        <v>5</v>
      </c>
      <c r="M466" s="3">
        <v>5</v>
      </c>
      <c r="N466" s="3">
        <v>5</v>
      </c>
      <c r="O466" s="3">
        <v>5</v>
      </c>
      <c r="P466" s="3">
        <v>5</v>
      </c>
      <c r="Q466" s="3">
        <v>5</v>
      </c>
      <c r="R466" s="3">
        <v>4</v>
      </c>
      <c r="S466" s="3">
        <v>5</v>
      </c>
      <c r="T466" s="3">
        <v>5</v>
      </c>
      <c r="U466" s="3">
        <v>5</v>
      </c>
      <c r="V466" s="3">
        <v>5</v>
      </c>
      <c r="W466" s="3">
        <v>5</v>
      </c>
      <c r="X466" s="3">
        <v>4</v>
      </c>
      <c r="Y466" s="3">
        <v>4</v>
      </c>
      <c r="Z466" s="3">
        <v>4</v>
      </c>
      <c r="AA466" s="3">
        <v>3</v>
      </c>
      <c r="AB466" s="3">
        <v>1</v>
      </c>
      <c r="AC466" s="3">
        <v>3</v>
      </c>
      <c r="AD466" s="3">
        <v>3</v>
      </c>
      <c r="AE466" s="3">
        <v>5</v>
      </c>
      <c r="AF466" s="3">
        <v>5</v>
      </c>
      <c r="AG466" s="3">
        <v>5</v>
      </c>
      <c r="AH466" s="3">
        <v>5</v>
      </c>
      <c r="AI466" s="3">
        <v>5</v>
      </c>
      <c r="AJ466" s="3">
        <v>5</v>
      </c>
      <c r="AK466" s="3">
        <v>5</v>
      </c>
      <c r="AL466" s="3">
        <v>5</v>
      </c>
      <c r="AM466" s="3">
        <v>5</v>
      </c>
      <c r="AN466" s="3">
        <v>5</v>
      </c>
      <c r="AO466" s="3">
        <v>5</v>
      </c>
      <c r="AP466" s="3">
        <v>5</v>
      </c>
      <c r="AQ466" s="3">
        <v>5</v>
      </c>
      <c r="AR466" s="3">
        <v>5</v>
      </c>
      <c r="AS466" s="3">
        <v>5</v>
      </c>
      <c r="AT466" s="3">
        <v>5</v>
      </c>
      <c r="AU466" s="3">
        <v>5</v>
      </c>
      <c r="AV466" s="3">
        <v>5</v>
      </c>
      <c r="AW466" s="3">
        <v>5</v>
      </c>
      <c r="AX466" s="3">
        <v>5</v>
      </c>
      <c r="AY466" s="3">
        <v>5</v>
      </c>
      <c r="AZ466" s="3">
        <v>5</v>
      </c>
      <c r="BA466" s="3">
        <v>3</v>
      </c>
      <c r="BB466" s="3">
        <v>3</v>
      </c>
      <c r="BC466" s="3">
        <v>5</v>
      </c>
      <c r="BD466" s="3">
        <v>5</v>
      </c>
      <c r="BE466" s="3">
        <v>5</v>
      </c>
      <c r="BF466" s="3">
        <v>5</v>
      </c>
      <c r="BG466" s="3">
        <v>5</v>
      </c>
      <c r="BH466" s="3">
        <v>5</v>
      </c>
      <c r="BI466" s="3">
        <v>5</v>
      </c>
      <c r="BJ466" s="3">
        <v>5</v>
      </c>
      <c r="BK466" s="3">
        <v>5</v>
      </c>
      <c r="BL466" s="3">
        <v>5</v>
      </c>
      <c r="BM466" s="3">
        <v>5</v>
      </c>
      <c r="BN466" s="3">
        <v>5</v>
      </c>
      <c r="BO466" s="3">
        <v>5</v>
      </c>
      <c r="BP466" s="3" t="s">
        <v>1253</v>
      </c>
    </row>
    <row r="467" spans="1:68" ht="22.5" customHeight="1" x14ac:dyDescent="0.25">
      <c r="A467" s="2">
        <v>45988.648183437501</v>
      </c>
      <c r="B467" s="3" t="s">
        <v>1254</v>
      </c>
      <c r="C467" s="3" t="s">
        <v>69</v>
      </c>
      <c r="D467" s="3" t="s">
        <v>1255</v>
      </c>
      <c r="E467" s="3" t="s">
        <v>77</v>
      </c>
      <c r="F467" s="3" t="s">
        <v>78</v>
      </c>
      <c r="G467" s="3" t="s">
        <v>79</v>
      </c>
      <c r="H467" s="3">
        <v>5</v>
      </c>
      <c r="I467" s="3">
        <v>4</v>
      </c>
      <c r="J467" s="3">
        <v>4</v>
      </c>
      <c r="K467" s="3">
        <v>4</v>
      </c>
      <c r="L467" s="3">
        <v>3</v>
      </c>
      <c r="M467" s="3">
        <v>3</v>
      </c>
      <c r="N467" s="3">
        <v>3</v>
      </c>
      <c r="O467" s="3">
        <v>4</v>
      </c>
      <c r="P467" s="3">
        <v>4</v>
      </c>
      <c r="Q467" s="3">
        <v>4</v>
      </c>
      <c r="R467" s="3">
        <v>4</v>
      </c>
      <c r="S467" s="3">
        <v>4</v>
      </c>
      <c r="T467" s="3">
        <v>5</v>
      </c>
      <c r="U467" s="3">
        <v>5</v>
      </c>
      <c r="V467" s="3">
        <v>3</v>
      </c>
      <c r="W467" s="3">
        <v>3</v>
      </c>
      <c r="X467" s="3">
        <v>4</v>
      </c>
      <c r="Y467" s="3">
        <v>4</v>
      </c>
      <c r="Z467" s="3">
        <v>5</v>
      </c>
      <c r="AA467" s="3">
        <v>5</v>
      </c>
      <c r="AB467" s="3">
        <v>4</v>
      </c>
      <c r="AC467" s="3">
        <v>4</v>
      </c>
      <c r="AD467" s="3">
        <v>4</v>
      </c>
      <c r="AE467" s="3">
        <v>5</v>
      </c>
      <c r="AF467" s="3">
        <v>4</v>
      </c>
      <c r="AG467" s="3">
        <v>4</v>
      </c>
      <c r="AH467" s="3">
        <v>4</v>
      </c>
      <c r="AI467" s="3">
        <v>5</v>
      </c>
      <c r="AJ467" s="3">
        <v>4</v>
      </c>
      <c r="AK467" s="3">
        <v>4</v>
      </c>
      <c r="AL467" s="3">
        <v>4</v>
      </c>
      <c r="AM467" s="3">
        <v>4</v>
      </c>
      <c r="AN467" s="3">
        <v>4</v>
      </c>
      <c r="AO467" s="3">
        <v>3</v>
      </c>
      <c r="AP467" s="3">
        <v>4</v>
      </c>
      <c r="AQ467" s="3">
        <v>4</v>
      </c>
      <c r="AR467" s="3">
        <v>3</v>
      </c>
      <c r="AS467" s="3">
        <v>4</v>
      </c>
      <c r="AT467" s="3">
        <v>3</v>
      </c>
      <c r="AU467" s="3">
        <v>4</v>
      </c>
      <c r="AV467" s="3">
        <v>3</v>
      </c>
      <c r="AW467" s="3">
        <v>5</v>
      </c>
      <c r="AX467" s="3">
        <v>4</v>
      </c>
      <c r="AY467" s="3">
        <v>4</v>
      </c>
      <c r="AZ467" s="3">
        <v>4</v>
      </c>
      <c r="BA467" s="3">
        <v>4</v>
      </c>
      <c r="BB467" s="3">
        <v>3</v>
      </c>
      <c r="BC467" s="3">
        <v>3</v>
      </c>
      <c r="BD467" s="3">
        <v>4</v>
      </c>
      <c r="BE467" s="3">
        <v>4</v>
      </c>
      <c r="BF467" s="3">
        <v>3</v>
      </c>
      <c r="BG467" s="3">
        <v>4</v>
      </c>
      <c r="BH467" s="3">
        <v>4</v>
      </c>
      <c r="BI467" s="3">
        <v>4</v>
      </c>
      <c r="BJ467" s="3">
        <v>5</v>
      </c>
      <c r="BK467" s="3">
        <v>4</v>
      </c>
      <c r="BL467" s="3">
        <v>4</v>
      </c>
      <c r="BM467" s="3">
        <v>4</v>
      </c>
      <c r="BN467" s="3">
        <v>4</v>
      </c>
      <c r="BO467" s="3">
        <v>4</v>
      </c>
      <c r="BP467" s="3" t="s">
        <v>1256</v>
      </c>
    </row>
    <row r="468" spans="1:68" ht="22.5" customHeight="1" x14ac:dyDescent="0.25">
      <c r="A468" s="2">
        <v>45988.649482349538</v>
      </c>
      <c r="B468" s="3" t="s">
        <v>1257</v>
      </c>
      <c r="C468" s="3" t="s">
        <v>69</v>
      </c>
      <c r="D468" s="3" t="s">
        <v>1258</v>
      </c>
      <c r="E468" s="3" t="s">
        <v>77</v>
      </c>
      <c r="F468" s="3" t="s">
        <v>78</v>
      </c>
      <c r="G468" s="3" t="s">
        <v>79</v>
      </c>
      <c r="H468" s="3">
        <v>5</v>
      </c>
      <c r="I468" s="3">
        <v>4</v>
      </c>
      <c r="J468" s="3">
        <v>5</v>
      </c>
      <c r="K468" s="3">
        <v>3</v>
      </c>
      <c r="L468" s="3">
        <v>4</v>
      </c>
      <c r="M468" s="3">
        <v>3</v>
      </c>
      <c r="N468" s="3">
        <v>4</v>
      </c>
      <c r="O468" s="3">
        <v>4</v>
      </c>
      <c r="P468" s="3">
        <v>4</v>
      </c>
      <c r="Q468" s="3">
        <v>5</v>
      </c>
      <c r="R468" s="3">
        <v>5</v>
      </c>
      <c r="S468" s="3">
        <v>5</v>
      </c>
      <c r="T468" s="3">
        <v>3</v>
      </c>
      <c r="U468" s="3">
        <v>4</v>
      </c>
      <c r="V468" s="3">
        <v>4</v>
      </c>
      <c r="W468" s="3">
        <v>4</v>
      </c>
      <c r="X468" s="3">
        <v>5</v>
      </c>
      <c r="Y468" s="3">
        <v>3</v>
      </c>
      <c r="Z468" s="3">
        <v>3</v>
      </c>
      <c r="AA468" s="3">
        <v>4</v>
      </c>
      <c r="AB468" s="3">
        <v>4</v>
      </c>
      <c r="AC468" s="3">
        <v>4</v>
      </c>
      <c r="AD468" s="3">
        <v>4</v>
      </c>
      <c r="AE468" s="3">
        <v>5</v>
      </c>
      <c r="AF468" s="3">
        <v>5</v>
      </c>
      <c r="AG468" s="3">
        <v>5</v>
      </c>
      <c r="AH468" s="3">
        <v>5</v>
      </c>
      <c r="AI468" s="3">
        <v>4</v>
      </c>
      <c r="AJ468" s="3">
        <v>4</v>
      </c>
      <c r="AK468" s="3">
        <v>4</v>
      </c>
      <c r="AL468" s="3">
        <v>4</v>
      </c>
      <c r="AM468" s="3">
        <v>4</v>
      </c>
      <c r="AN468" s="3">
        <v>4</v>
      </c>
      <c r="AO468" s="3">
        <v>4</v>
      </c>
      <c r="AP468" s="3">
        <v>4</v>
      </c>
      <c r="AQ468" s="3">
        <v>4</v>
      </c>
      <c r="AR468" s="3">
        <v>4</v>
      </c>
      <c r="AS468" s="3">
        <v>4</v>
      </c>
      <c r="AT468" s="3">
        <v>4</v>
      </c>
      <c r="AU468" s="3">
        <v>4</v>
      </c>
      <c r="AV468" s="3">
        <v>4</v>
      </c>
      <c r="AW468" s="3">
        <v>5</v>
      </c>
      <c r="AX468" s="3">
        <v>5</v>
      </c>
      <c r="AY468" s="3">
        <v>5</v>
      </c>
      <c r="AZ468" s="3">
        <v>5</v>
      </c>
      <c r="BA468" s="3">
        <v>4</v>
      </c>
      <c r="BB468" s="3">
        <v>4</v>
      </c>
      <c r="BC468" s="3">
        <v>4</v>
      </c>
      <c r="BD468" s="3">
        <v>4</v>
      </c>
      <c r="BE468" s="3">
        <v>4</v>
      </c>
      <c r="BF468" s="3">
        <v>4</v>
      </c>
      <c r="BG468" s="3">
        <v>4</v>
      </c>
      <c r="BH468" s="3">
        <v>4</v>
      </c>
      <c r="BI468" s="3">
        <v>4</v>
      </c>
      <c r="BJ468" s="3">
        <v>5</v>
      </c>
      <c r="BK468" s="3">
        <v>5</v>
      </c>
      <c r="BL468" s="3">
        <v>5</v>
      </c>
      <c r="BM468" s="3">
        <v>5</v>
      </c>
      <c r="BN468" s="3">
        <v>5</v>
      </c>
      <c r="BO468" s="3">
        <v>5</v>
      </c>
      <c r="BP468" s="3" t="s">
        <v>1259</v>
      </c>
    </row>
    <row r="469" spans="1:68" ht="22.5" customHeight="1" x14ac:dyDescent="0.25">
      <c r="A469" s="2">
        <v>45988.650299444445</v>
      </c>
      <c r="B469" s="3" t="s">
        <v>1260</v>
      </c>
      <c r="C469" s="3" t="s">
        <v>86</v>
      </c>
      <c r="D469" s="3" t="s">
        <v>1255</v>
      </c>
      <c r="E469" s="3" t="s">
        <v>77</v>
      </c>
      <c r="F469" s="3" t="s">
        <v>78</v>
      </c>
      <c r="G469" s="3" t="s">
        <v>79</v>
      </c>
      <c r="H469" s="3">
        <v>5</v>
      </c>
      <c r="I469" s="3">
        <v>3</v>
      </c>
      <c r="J469" s="3">
        <v>4</v>
      </c>
      <c r="K469" s="3">
        <v>4</v>
      </c>
      <c r="L469" s="3">
        <v>4</v>
      </c>
      <c r="M469" s="3">
        <v>4</v>
      </c>
      <c r="N469" s="3">
        <v>4</v>
      </c>
      <c r="O469" s="3">
        <v>4</v>
      </c>
      <c r="P469" s="3">
        <v>4</v>
      </c>
      <c r="Q469" s="3">
        <v>5</v>
      </c>
      <c r="R469" s="3">
        <v>4</v>
      </c>
      <c r="S469" s="3">
        <v>5</v>
      </c>
      <c r="T469" s="3">
        <v>5</v>
      </c>
      <c r="U469" s="3">
        <v>5</v>
      </c>
      <c r="V469" s="3">
        <v>3</v>
      </c>
      <c r="W469" s="3">
        <v>4</v>
      </c>
      <c r="X469" s="3">
        <v>3</v>
      </c>
      <c r="Y469" s="3">
        <v>3</v>
      </c>
      <c r="Z469" s="3">
        <v>3</v>
      </c>
      <c r="AA469" s="3">
        <v>3</v>
      </c>
      <c r="AB469" s="3">
        <v>2</v>
      </c>
      <c r="AC469" s="3">
        <v>3</v>
      </c>
      <c r="AD469" s="3">
        <v>3</v>
      </c>
      <c r="AE469" s="3">
        <v>4</v>
      </c>
      <c r="AF469" s="3">
        <v>4</v>
      </c>
      <c r="AG469" s="3">
        <v>4</v>
      </c>
      <c r="AH469" s="3">
        <v>3</v>
      </c>
      <c r="AI469" s="3">
        <v>5</v>
      </c>
      <c r="AJ469" s="3">
        <v>5</v>
      </c>
      <c r="AK469" s="3">
        <v>5</v>
      </c>
      <c r="AL469" s="3">
        <v>5</v>
      </c>
      <c r="AM469" s="3">
        <v>5</v>
      </c>
      <c r="AN469" s="3">
        <v>4</v>
      </c>
      <c r="AO469" s="3">
        <v>4</v>
      </c>
      <c r="AP469" s="3">
        <v>4</v>
      </c>
      <c r="AQ469" s="3">
        <v>4</v>
      </c>
      <c r="AR469" s="3">
        <v>3</v>
      </c>
      <c r="AS469" s="3">
        <v>3</v>
      </c>
      <c r="AT469" s="3">
        <v>3</v>
      </c>
      <c r="AU469" s="3">
        <v>3</v>
      </c>
      <c r="AV469" s="3">
        <v>3</v>
      </c>
      <c r="AW469" s="3">
        <v>5</v>
      </c>
      <c r="AX469" s="3">
        <v>5</v>
      </c>
      <c r="AY469" s="3">
        <v>5</v>
      </c>
      <c r="AZ469" s="3">
        <v>5</v>
      </c>
      <c r="BA469" s="3">
        <v>3</v>
      </c>
      <c r="BB469" s="3">
        <v>3</v>
      </c>
      <c r="BC469" s="3">
        <v>3</v>
      </c>
      <c r="BD469" s="3">
        <v>3</v>
      </c>
      <c r="BE469" s="3">
        <v>3</v>
      </c>
      <c r="BF469" s="3">
        <v>3</v>
      </c>
      <c r="BG469" s="3">
        <v>4</v>
      </c>
      <c r="BH469" s="3">
        <v>4</v>
      </c>
      <c r="BI469" s="3">
        <v>4</v>
      </c>
      <c r="BJ469" s="3">
        <v>4</v>
      </c>
      <c r="BK469" s="3">
        <v>4</v>
      </c>
      <c r="BL469" s="3">
        <v>4</v>
      </c>
      <c r="BM469" s="3">
        <v>5</v>
      </c>
      <c r="BN469" s="3">
        <v>4</v>
      </c>
      <c r="BO469" s="3">
        <v>5</v>
      </c>
      <c r="BP469" s="3" t="s">
        <v>1261</v>
      </c>
    </row>
    <row r="470" spans="1:68" ht="22.5" customHeight="1" x14ac:dyDescent="0.25">
      <c r="A470" s="2">
        <v>45988.650565208329</v>
      </c>
      <c r="B470" s="3" t="s">
        <v>1262</v>
      </c>
      <c r="C470" s="3" t="s">
        <v>86</v>
      </c>
      <c r="D470" s="3" t="s">
        <v>1255</v>
      </c>
      <c r="E470" s="3" t="s">
        <v>77</v>
      </c>
      <c r="F470" s="3" t="s">
        <v>78</v>
      </c>
      <c r="G470" s="3" t="s">
        <v>79</v>
      </c>
      <c r="H470" s="3">
        <v>5</v>
      </c>
      <c r="I470" s="3">
        <v>5</v>
      </c>
      <c r="J470" s="3">
        <v>5</v>
      </c>
      <c r="K470" s="3">
        <v>5</v>
      </c>
      <c r="L470" s="3">
        <v>5</v>
      </c>
      <c r="M470" s="3">
        <v>5</v>
      </c>
      <c r="N470" s="3">
        <v>5</v>
      </c>
      <c r="O470" s="3">
        <v>5</v>
      </c>
      <c r="P470" s="3">
        <v>5</v>
      </c>
      <c r="Q470" s="3">
        <v>5</v>
      </c>
      <c r="R470" s="3">
        <v>5</v>
      </c>
      <c r="S470" s="3">
        <v>5</v>
      </c>
      <c r="T470" s="3">
        <v>5</v>
      </c>
      <c r="U470" s="3">
        <v>5</v>
      </c>
      <c r="V470" s="3">
        <v>5</v>
      </c>
      <c r="W470" s="3">
        <v>5</v>
      </c>
      <c r="X470" s="3">
        <v>5</v>
      </c>
      <c r="Y470" s="3">
        <v>5</v>
      </c>
      <c r="Z470" s="3">
        <v>5</v>
      </c>
      <c r="AA470" s="3">
        <v>5</v>
      </c>
      <c r="AB470" s="3">
        <v>5</v>
      </c>
      <c r="AC470" s="3">
        <v>5</v>
      </c>
      <c r="AD470" s="3">
        <v>5</v>
      </c>
      <c r="AE470" s="3">
        <v>5</v>
      </c>
      <c r="AF470" s="3">
        <v>5</v>
      </c>
      <c r="AG470" s="3">
        <v>5</v>
      </c>
      <c r="AH470" s="3">
        <v>5</v>
      </c>
      <c r="AI470" s="3">
        <v>5</v>
      </c>
      <c r="AJ470" s="3">
        <v>5</v>
      </c>
      <c r="AK470" s="3">
        <v>5</v>
      </c>
      <c r="AL470" s="3">
        <v>5</v>
      </c>
      <c r="AM470" s="3">
        <v>5</v>
      </c>
      <c r="AN470" s="3">
        <v>5</v>
      </c>
      <c r="AO470" s="3">
        <v>5</v>
      </c>
      <c r="AP470" s="3">
        <v>5</v>
      </c>
      <c r="AQ470" s="3">
        <v>5</v>
      </c>
      <c r="AR470" s="3">
        <v>5</v>
      </c>
      <c r="AS470" s="3">
        <v>5</v>
      </c>
      <c r="AT470" s="3">
        <v>5</v>
      </c>
      <c r="AU470" s="3">
        <v>5</v>
      </c>
      <c r="AV470" s="3">
        <v>5</v>
      </c>
      <c r="AW470" s="3">
        <v>5</v>
      </c>
      <c r="AX470" s="3">
        <v>5</v>
      </c>
      <c r="AY470" s="3">
        <v>5</v>
      </c>
      <c r="AZ470" s="3">
        <v>5</v>
      </c>
      <c r="BA470" s="3">
        <v>5</v>
      </c>
      <c r="BB470" s="3">
        <v>5</v>
      </c>
      <c r="BC470" s="3">
        <v>5</v>
      </c>
      <c r="BD470" s="3">
        <v>5</v>
      </c>
      <c r="BE470" s="3">
        <v>5</v>
      </c>
      <c r="BF470" s="3">
        <v>5</v>
      </c>
      <c r="BG470" s="3">
        <v>5</v>
      </c>
      <c r="BH470" s="3">
        <v>5</v>
      </c>
      <c r="BI470" s="3">
        <v>5</v>
      </c>
      <c r="BJ470" s="3">
        <v>5</v>
      </c>
      <c r="BK470" s="3">
        <v>5</v>
      </c>
      <c r="BL470" s="3">
        <v>5</v>
      </c>
      <c r="BM470" s="3">
        <v>5</v>
      </c>
      <c r="BN470" s="3">
        <v>5</v>
      </c>
      <c r="BO470" s="3">
        <v>5</v>
      </c>
      <c r="BP470" s="3" t="s">
        <v>1263</v>
      </c>
    </row>
    <row r="471" spans="1:68" ht="22.5" customHeight="1" x14ac:dyDescent="0.25">
      <c r="A471" s="2">
        <v>45988.651792291668</v>
      </c>
      <c r="B471" s="3" t="s">
        <v>1264</v>
      </c>
      <c r="C471" s="3" t="s">
        <v>69</v>
      </c>
      <c r="D471" s="3" t="s">
        <v>1255</v>
      </c>
      <c r="E471" s="3" t="s">
        <v>77</v>
      </c>
      <c r="F471" s="3" t="s">
        <v>78</v>
      </c>
      <c r="G471" s="3" t="s">
        <v>79</v>
      </c>
      <c r="H471" s="3">
        <v>4</v>
      </c>
      <c r="I471" s="3">
        <v>4</v>
      </c>
      <c r="J471" s="3">
        <v>4</v>
      </c>
      <c r="K471" s="3">
        <v>3</v>
      </c>
      <c r="L471" s="3">
        <v>3</v>
      </c>
      <c r="M471" s="3">
        <v>3</v>
      </c>
      <c r="N471" s="3">
        <v>3</v>
      </c>
      <c r="O471" s="3">
        <v>4</v>
      </c>
      <c r="P471" s="3">
        <v>5</v>
      </c>
      <c r="Q471" s="3">
        <v>3</v>
      </c>
      <c r="R471" s="3">
        <v>5</v>
      </c>
      <c r="S471" s="3">
        <v>4</v>
      </c>
      <c r="T471" s="3">
        <v>5</v>
      </c>
      <c r="U471" s="3">
        <v>2</v>
      </c>
      <c r="V471" s="3">
        <v>3</v>
      </c>
      <c r="W471" s="3">
        <v>2</v>
      </c>
      <c r="X471" s="3">
        <v>3</v>
      </c>
      <c r="Y471" s="3">
        <v>4</v>
      </c>
      <c r="Z471" s="3">
        <v>4</v>
      </c>
      <c r="AA471" s="3">
        <v>3</v>
      </c>
      <c r="AB471" s="3">
        <v>4</v>
      </c>
      <c r="AC471" s="3">
        <v>2</v>
      </c>
      <c r="AD471" s="3">
        <v>4</v>
      </c>
      <c r="AE471" s="3">
        <v>4</v>
      </c>
      <c r="AF471" s="3">
        <v>4</v>
      </c>
      <c r="AG471" s="3">
        <v>4</v>
      </c>
      <c r="AH471" s="3">
        <v>4</v>
      </c>
      <c r="AI471" s="3">
        <v>3</v>
      </c>
      <c r="AJ471" s="3">
        <v>5</v>
      </c>
      <c r="AK471" s="3">
        <v>4</v>
      </c>
      <c r="AL471" s="3">
        <v>4</v>
      </c>
      <c r="AM471" s="3">
        <v>3</v>
      </c>
      <c r="AN471" s="3">
        <v>4</v>
      </c>
      <c r="AO471" s="3">
        <v>5</v>
      </c>
      <c r="AP471" s="3">
        <v>5</v>
      </c>
      <c r="AQ471" s="3">
        <v>5</v>
      </c>
      <c r="AR471" s="3">
        <v>3</v>
      </c>
      <c r="AS471" s="3">
        <v>3</v>
      </c>
      <c r="AT471" s="3">
        <v>3</v>
      </c>
      <c r="AU471" s="3">
        <v>3</v>
      </c>
      <c r="AV471" s="3">
        <v>4</v>
      </c>
      <c r="AW471" s="3">
        <v>5</v>
      </c>
      <c r="AX471" s="3">
        <v>5</v>
      </c>
      <c r="AY471" s="3">
        <v>5</v>
      </c>
      <c r="AZ471" s="3">
        <v>5</v>
      </c>
      <c r="BA471" s="3">
        <v>5</v>
      </c>
      <c r="BB471" s="3">
        <v>3</v>
      </c>
      <c r="BC471" s="3">
        <v>3</v>
      </c>
      <c r="BD471" s="3">
        <v>2</v>
      </c>
      <c r="BE471" s="3">
        <v>2</v>
      </c>
      <c r="BF471" s="3">
        <v>3</v>
      </c>
      <c r="BG471" s="3">
        <v>3</v>
      </c>
      <c r="BH471" s="3">
        <v>3</v>
      </c>
      <c r="BI471" s="3">
        <v>5</v>
      </c>
      <c r="BJ471" s="3">
        <v>4</v>
      </c>
      <c r="BK471" s="3">
        <v>4</v>
      </c>
      <c r="BL471" s="3">
        <v>4</v>
      </c>
      <c r="BM471" s="3">
        <v>4</v>
      </c>
      <c r="BN471" s="3">
        <v>4</v>
      </c>
      <c r="BO471" s="3">
        <v>4</v>
      </c>
      <c r="BP471" s="3" t="s">
        <v>1265</v>
      </c>
    </row>
    <row r="472" spans="1:68" ht="22.5" customHeight="1" x14ac:dyDescent="0.25">
      <c r="A472" s="2">
        <v>45988.653026342596</v>
      </c>
      <c r="B472" s="3" t="s">
        <v>1266</v>
      </c>
      <c r="C472" s="3" t="s">
        <v>69</v>
      </c>
      <c r="D472" s="3" t="s">
        <v>1255</v>
      </c>
      <c r="E472" s="3" t="s">
        <v>77</v>
      </c>
      <c r="F472" s="3" t="s">
        <v>78</v>
      </c>
      <c r="G472" s="3" t="s">
        <v>79</v>
      </c>
      <c r="H472" s="3">
        <v>5</v>
      </c>
      <c r="I472" s="3">
        <v>5</v>
      </c>
      <c r="J472" s="3">
        <v>4</v>
      </c>
      <c r="K472" s="3">
        <v>4</v>
      </c>
      <c r="L472" s="3">
        <v>5</v>
      </c>
      <c r="M472" s="3">
        <v>4</v>
      </c>
      <c r="N472" s="3">
        <v>5</v>
      </c>
      <c r="O472" s="3">
        <v>5</v>
      </c>
      <c r="P472" s="3">
        <v>5</v>
      </c>
      <c r="Q472" s="3">
        <v>5</v>
      </c>
      <c r="R472" s="3">
        <v>5</v>
      </c>
      <c r="S472" s="3">
        <v>5</v>
      </c>
      <c r="T472" s="3">
        <v>5</v>
      </c>
      <c r="U472" s="3">
        <v>5</v>
      </c>
      <c r="V472" s="3">
        <v>5</v>
      </c>
      <c r="W472" s="3">
        <v>5</v>
      </c>
      <c r="X472" s="3">
        <v>5</v>
      </c>
      <c r="Y472" s="3">
        <v>4</v>
      </c>
      <c r="Z472" s="3">
        <v>5</v>
      </c>
      <c r="AA472" s="3">
        <v>5</v>
      </c>
      <c r="AB472" s="3">
        <v>5</v>
      </c>
      <c r="AC472" s="3">
        <v>4</v>
      </c>
      <c r="AD472" s="3">
        <v>5</v>
      </c>
      <c r="AE472" s="3">
        <v>5</v>
      </c>
      <c r="AF472" s="3">
        <v>5</v>
      </c>
      <c r="AG472" s="3">
        <v>5</v>
      </c>
      <c r="AH472" s="3">
        <v>4</v>
      </c>
      <c r="AI472" s="3">
        <v>5</v>
      </c>
      <c r="AJ472" s="3">
        <v>5</v>
      </c>
      <c r="AK472" s="3">
        <v>5</v>
      </c>
      <c r="AL472" s="3">
        <v>5</v>
      </c>
      <c r="AM472" s="3">
        <v>5</v>
      </c>
      <c r="AN472" s="3">
        <v>5</v>
      </c>
      <c r="AO472" s="3">
        <v>5</v>
      </c>
      <c r="AP472" s="3">
        <v>5</v>
      </c>
      <c r="AQ472" s="3">
        <v>5</v>
      </c>
      <c r="AR472" s="3">
        <v>5</v>
      </c>
      <c r="AS472" s="3">
        <v>5</v>
      </c>
      <c r="AT472" s="3">
        <v>5</v>
      </c>
      <c r="AU472" s="3">
        <v>5</v>
      </c>
      <c r="AV472" s="3">
        <v>5</v>
      </c>
      <c r="AW472" s="3">
        <v>5</v>
      </c>
      <c r="AX472" s="3">
        <v>5</v>
      </c>
      <c r="AY472" s="3">
        <v>5</v>
      </c>
      <c r="AZ472" s="3">
        <v>5</v>
      </c>
      <c r="BA472" s="3">
        <v>5</v>
      </c>
      <c r="BB472" s="3">
        <v>5</v>
      </c>
      <c r="BC472" s="3">
        <v>4</v>
      </c>
      <c r="BD472" s="3">
        <v>4</v>
      </c>
      <c r="BE472" s="3">
        <v>4</v>
      </c>
      <c r="BF472" s="3">
        <v>4</v>
      </c>
      <c r="BG472" s="3">
        <v>5</v>
      </c>
      <c r="BH472" s="3">
        <v>5</v>
      </c>
      <c r="BI472" s="3">
        <v>5</v>
      </c>
      <c r="BJ472" s="3">
        <v>5</v>
      </c>
      <c r="BK472" s="3">
        <v>5</v>
      </c>
      <c r="BL472" s="3">
        <v>5</v>
      </c>
      <c r="BM472" s="3">
        <v>5</v>
      </c>
      <c r="BN472" s="3">
        <v>5</v>
      </c>
      <c r="BO472" s="3">
        <v>5</v>
      </c>
      <c r="BP472" s="3" t="s">
        <v>1267</v>
      </c>
    </row>
    <row r="473" spans="1:68" ht="22.5" customHeight="1" x14ac:dyDescent="0.25">
      <c r="A473" s="2">
        <v>45988.660709444448</v>
      </c>
      <c r="B473" s="3" t="s">
        <v>1268</v>
      </c>
      <c r="C473" s="3" t="s">
        <v>69</v>
      </c>
      <c r="D473" s="3" t="s">
        <v>1269</v>
      </c>
      <c r="E473" s="3" t="s">
        <v>141</v>
      </c>
      <c r="F473" s="3" t="s">
        <v>78</v>
      </c>
      <c r="G473" s="3" t="s">
        <v>79</v>
      </c>
      <c r="H473" s="3">
        <v>4</v>
      </c>
      <c r="I473" s="3">
        <v>4</v>
      </c>
      <c r="J473" s="3">
        <v>4</v>
      </c>
      <c r="K473" s="3">
        <v>4</v>
      </c>
      <c r="L473" s="3">
        <v>4</v>
      </c>
      <c r="M473" s="3">
        <v>4</v>
      </c>
      <c r="N473" s="3">
        <v>4</v>
      </c>
      <c r="O473" s="3">
        <v>4</v>
      </c>
      <c r="P473" s="3">
        <v>4</v>
      </c>
      <c r="Q473" s="3">
        <v>4</v>
      </c>
      <c r="R473" s="3">
        <v>4</v>
      </c>
      <c r="S473" s="3">
        <v>4</v>
      </c>
      <c r="T473" s="3">
        <v>4</v>
      </c>
      <c r="U473" s="3">
        <v>4</v>
      </c>
      <c r="V473" s="3">
        <v>4</v>
      </c>
      <c r="W473" s="3">
        <v>4</v>
      </c>
      <c r="X473" s="3">
        <v>4</v>
      </c>
      <c r="Y473" s="3">
        <v>4</v>
      </c>
      <c r="Z473" s="3">
        <v>4</v>
      </c>
      <c r="AA473" s="3">
        <v>4</v>
      </c>
      <c r="AB473" s="3">
        <v>4</v>
      </c>
      <c r="AC473" s="3">
        <v>4</v>
      </c>
      <c r="AD473" s="3">
        <v>4</v>
      </c>
      <c r="AE473" s="3">
        <v>4</v>
      </c>
      <c r="AF473" s="3">
        <v>4</v>
      </c>
      <c r="AG473" s="3">
        <v>4</v>
      </c>
      <c r="AH473" s="3">
        <v>4</v>
      </c>
      <c r="AI473" s="3">
        <v>4</v>
      </c>
      <c r="AJ473" s="3">
        <v>4</v>
      </c>
      <c r="AK473" s="3">
        <v>4</v>
      </c>
      <c r="AL473" s="3">
        <v>4</v>
      </c>
      <c r="AM473" s="3">
        <v>4</v>
      </c>
      <c r="AN473" s="3">
        <v>3</v>
      </c>
      <c r="AO473" s="3">
        <v>3</v>
      </c>
      <c r="AP473" s="3">
        <v>3</v>
      </c>
      <c r="AQ473" s="3">
        <v>3</v>
      </c>
      <c r="AR473" s="3">
        <v>3</v>
      </c>
      <c r="AS473" s="3">
        <v>3</v>
      </c>
      <c r="AT473" s="3">
        <v>3</v>
      </c>
      <c r="AU473" s="3">
        <v>3</v>
      </c>
      <c r="AV473" s="3">
        <v>3</v>
      </c>
      <c r="AW473" s="3">
        <v>4</v>
      </c>
      <c r="AX473" s="3">
        <v>4</v>
      </c>
      <c r="AY473" s="3">
        <v>4</v>
      </c>
      <c r="AZ473" s="3">
        <v>4</v>
      </c>
      <c r="BA473" s="3">
        <v>4</v>
      </c>
      <c r="BB473" s="3">
        <v>4</v>
      </c>
      <c r="BC473" s="3">
        <v>4</v>
      </c>
      <c r="BD473" s="3">
        <v>4</v>
      </c>
      <c r="BE473" s="3">
        <v>4</v>
      </c>
      <c r="BF473" s="3">
        <v>4</v>
      </c>
      <c r="BG473" s="3">
        <v>4</v>
      </c>
      <c r="BH473" s="3">
        <v>4</v>
      </c>
      <c r="BI473" s="3">
        <v>4</v>
      </c>
      <c r="BJ473" s="3">
        <v>4</v>
      </c>
      <c r="BK473" s="3">
        <v>4</v>
      </c>
      <c r="BL473" s="3">
        <v>4</v>
      </c>
      <c r="BM473" s="3">
        <v>4</v>
      </c>
      <c r="BN473" s="3">
        <v>4</v>
      </c>
      <c r="BO473" s="3">
        <v>4</v>
      </c>
      <c r="BP473" s="3" t="s">
        <v>1270</v>
      </c>
    </row>
    <row r="474" spans="1:68" ht="22.5" customHeight="1" x14ac:dyDescent="0.25">
      <c r="A474" s="2">
        <v>45988.660965752315</v>
      </c>
      <c r="B474" s="3" t="s">
        <v>1271</v>
      </c>
      <c r="C474" s="3" t="s">
        <v>69</v>
      </c>
      <c r="D474" s="3" t="s">
        <v>1255</v>
      </c>
      <c r="E474" s="3" t="s">
        <v>119</v>
      </c>
      <c r="F474" s="3" t="s">
        <v>82</v>
      </c>
      <c r="G474" s="3" t="s">
        <v>73</v>
      </c>
      <c r="H474" s="3">
        <v>5</v>
      </c>
      <c r="I474" s="3">
        <v>5</v>
      </c>
      <c r="J474" s="3">
        <v>5</v>
      </c>
      <c r="K474" s="3">
        <v>5</v>
      </c>
      <c r="L474" s="3">
        <v>5</v>
      </c>
      <c r="M474" s="3">
        <v>5</v>
      </c>
      <c r="N474" s="3">
        <v>5</v>
      </c>
      <c r="O474" s="3">
        <v>5</v>
      </c>
      <c r="P474" s="3">
        <v>5</v>
      </c>
      <c r="Q474" s="3">
        <v>5</v>
      </c>
      <c r="R474" s="3">
        <v>5</v>
      </c>
      <c r="S474" s="3">
        <v>5</v>
      </c>
      <c r="T474" s="3">
        <v>5</v>
      </c>
      <c r="U474" s="3">
        <v>5</v>
      </c>
      <c r="V474" s="3">
        <v>4</v>
      </c>
      <c r="W474" s="3">
        <v>4</v>
      </c>
      <c r="X474" s="3">
        <v>4</v>
      </c>
      <c r="Y474" s="3">
        <v>4</v>
      </c>
      <c r="Z474" s="3">
        <v>5</v>
      </c>
      <c r="AA474" s="3">
        <v>4</v>
      </c>
      <c r="AB474" s="3">
        <v>3</v>
      </c>
      <c r="AC474" s="3">
        <v>3</v>
      </c>
      <c r="AD474" s="3">
        <v>4</v>
      </c>
      <c r="AE474" s="3">
        <v>4</v>
      </c>
      <c r="AF474" s="3">
        <v>4</v>
      </c>
      <c r="AG474" s="3">
        <v>4</v>
      </c>
      <c r="AH474" s="3">
        <v>4</v>
      </c>
      <c r="AI474" s="3">
        <v>4</v>
      </c>
      <c r="AJ474" s="3">
        <v>4</v>
      </c>
      <c r="AK474" s="3">
        <v>4</v>
      </c>
      <c r="AL474" s="3">
        <v>4</v>
      </c>
      <c r="AM474" s="3">
        <v>4</v>
      </c>
      <c r="AN474" s="3">
        <v>4</v>
      </c>
      <c r="AO474" s="3">
        <v>4</v>
      </c>
      <c r="AP474" s="3">
        <v>4</v>
      </c>
      <c r="AQ474" s="3">
        <v>4</v>
      </c>
      <c r="AR474" s="3">
        <v>4</v>
      </c>
      <c r="AS474" s="3">
        <v>4</v>
      </c>
      <c r="AT474" s="3">
        <v>4</v>
      </c>
      <c r="AU474" s="3">
        <v>4</v>
      </c>
      <c r="AV474" s="3">
        <v>4</v>
      </c>
      <c r="AW474" s="3">
        <v>4</v>
      </c>
      <c r="AX474" s="3">
        <v>4</v>
      </c>
      <c r="AY474" s="3">
        <v>4</v>
      </c>
      <c r="AZ474" s="3">
        <v>4</v>
      </c>
      <c r="BA474" s="3">
        <v>4</v>
      </c>
      <c r="BB474" s="3">
        <v>4</v>
      </c>
      <c r="BC474" s="3">
        <v>4</v>
      </c>
      <c r="BD474" s="3">
        <v>4</v>
      </c>
      <c r="BE474" s="3">
        <v>4</v>
      </c>
      <c r="BF474" s="3">
        <v>4</v>
      </c>
      <c r="BG474" s="3">
        <v>4</v>
      </c>
      <c r="BH474" s="3">
        <v>4</v>
      </c>
      <c r="BI474" s="3">
        <v>4</v>
      </c>
      <c r="BJ474" s="3">
        <v>4</v>
      </c>
      <c r="BK474" s="3">
        <v>4</v>
      </c>
      <c r="BL474" s="3">
        <v>4</v>
      </c>
      <c r="BM474" s="3">
        <v>4</v>
      </c>
      <c r="BN474" s="3">
        <v>4</v>
      </c>
      <c r="BO474" s="3">
        <v>4</v>
      </c>
      <c r="BP474" s="3" t="s">
        <v>1272</v>
      </c>
    </row>
    <row r="475" spans="1:68" ht="22.5" customHeight="1" x14ac:dyDescent="0.25">
      <c r="A475" s="2">
        <v>45988.662592499997</v>
      </c>
      <c r="B475" s="3" t="s">
        <v>1273</v>
      </c>
      <c r="C475" s="3" t="s">
        <v>86</v>
      </c>
      <c r="D475" s="3" t="s">
        <v>1274</v>
      </c>
      <c r="E475" s="3" t="s">
        <v>77</v>
      </c>
      <c r="F475" s="3" t="s">
        <v>78</v>
      </c>
      <c r="G475" s="3" t="s">
        <v>79</v>
      </c>
      <c r="H475" s="3">
        <v>5</v>
      </c>
      <c r="I475" s="3">
        <v>5</v>
      </c>
      <c r="J475" s="3">
        <v>5</v>
      </c>
      <c r="K475" s="3">
        <v>5</v>
      </c>
      <c r="L475" s="3">
        <v>5</v>
      </c>
      <c r="M475" s="3">
        <v>4</v>
      </c>
      <c r="N475" s="3">
        <v>5</v>
      </c>
      <c r="O475" s="3">
        <v>5</v>
      </c>
      <c r="P475" s="3">
        <v>5</v>
      </c>
      <c r="Q475" s="3">
        <v>5</v>
      </c>
      <c r="R475" s="3">
        <v>5</v>
      </c>
      <c r="S475" s="3">
        <v>5</v>
      </c>
      <c r="T475" s="3">
        <v>5</v>
      </c>
      <c r="U475" s="3">
        <v>5</v>
      </c>
      <c r="V475" s="3">
        <v>5</v>
      </c>
      <c r="W475" s="3">
        <v>5</v>
      </c>
      <c r="X475" s="3">
        <v>5</v>
      </c>
      <c r="Y475" s="3">
        <v>5</v>
      </c>
      <c r="Z475" s="3">
        <v>5</v>
      </c>
      <c r="AA475" s="3">
        <v>5</v>
      </c>
      <c r="AB475" s="3">
        <v>5</v>
      </c>
      <c r="AC475" s="3">
        <v>5</v>
      </c>
      <c r="AD475" s="3">
        <v>5</v>
      </c>
      <c r="AE475" s="3">
        <v>5</v>
      </c>
      <c r="AF475" s="3">
        <v>4</v>
      </c>
      <c r="AG475" s="3">
        <v>5</v>
      </c>
      <c r="AH475" s="3">
        <v>4</v>
      </c>
      <c r="AI475" s="3">
        <v>5</v>
      </c>
      <c r="AJ475" s="3">
        <v>5</v>
      </c>
      <c r="AK475" s="3">
        <v>5</v>
      </c>
      <c r="AL475" s="3">
        <v>5</v>
      </c>
      <c r="AM475" s="3">
        <v>5</v>
      </c>
      <c r="AN475" s="3">
        <v>5</v>
      </c>
      <c r="AO475" s="3">
        <v>5</v>
      </c>
      <c r="AP475" s="3">
        <v>5</v>
      </c>
      <c r="AQ475" s="3">
        <v>5</v>
      </c>
      <c r="AR475" s="3">
        <v>5</v>
      </c>
      <c r="AS475" s="3">
        <v>4</v>
      </c>
      <c r="AT475" s="3">
        <v>5</v>
      </c>
      <c r="AU475" s="3">
        <v>5</v>
      </c>
      <c r="AV475" s="3">
        <v>5</v>
      </c>
      <c r="AW475" s="3">
        <v>5</v>
      </c>
      <c r="AX475" s="3">
        <v>5</v>
      </c>
      <c r="AY475" s="3">
        <v>5</v>
      </c>
      <c r="AZ475" s="3">
        <v>5</v>
      </c>
      <c r="BA475" s="3">
        <v>5</v>
      </c>
      <c r="BB475" s="3">
        <v>5</v>
      </c>
      <c r="BC475" s="3">
        <v>5</v>
      </c>
      <c r="BD475" s="3">
        <v>5</v>
      </c>
      <c r="BE475" s="3">
        <v>5</v>
      </c>
      <c r="BF475" s="3">
        <v>5</v>
      </c>
      <c r="BG475" s="3">
        <v>5</v>
      </c>
      <c r="BH475" s="3">
        <v>5</v>
      </c>
      <c r="BI475" s="3">
        <v>5</v>
      </c>
      <c r="BJ475" s="3">
        <v>5</v>
      </c>
      <c r="BK475" s="3">
        <v>5</v>
      </c>
      <c r="BL475" s="3">
        <v>5</v>
      </c>
      <c r="BM475" s="3">
        <v>5</v>
      </c>
      <c r="BN475" s="3">
        <v>5</v>
      </c>
      <c r="BO475" s="3">
        <v>5</v>
      </c>
      <c r="BP475" s="3" t="s">
        <v>1275</v>
      </c>
    </row>
    <row r="476" spans="1:68" ht="22.5" customHeight="1" x14ac:dyDescent="0.25">
      <c r="A476" s="2">
        <v>45988.662992916667</v>
      </c>
      <c r="B476" s="3" t="s">
        <v>1276</v>
      </c>
      <c r="C476" s="3" t="s">
        <v>86</v>
      </c>
      <c r="D476" s="3" t="s">
        <v>1277</v>
      </c>
      <c r="E476" s="3" t="s">
        <v>77</v>
      </c>
      <c r="F476" s="3" t="s">
        <v>88</v>
      </c>
      <c r="G476" s="3" t="s">
        <v>79</v>
      </c>
      <c r="H476" s="3">
        <v>5</v>
      </c>
      <c r="I476" s="3">
        <v>5</v>
      </c>
      <c r="J476" s="3">
        <v>5</v>
      </c>
      <c r="K476" s="3">
        <v>5</v>
      </c>
      <c r="L476" s="3">
        <v>5</v>
      </c>
      <c r="M476" s="3">
        <v>5</v>
      </c>
      <c r="N476" s="3">
        <v>5</v>
      </c>
      <c r="O476" s="3">
        <v>5</v>
      </c>
      <c r="P476" s="3">
        <v>5</v>
      </c>
      <c r="Q476" s="3">
        <v>5</v>
      </c>
      <c r="R476" s="3">
        <v>5</v>
      </c>
      <c r="S476" s="3">
        <v>5</v>
      </c>
      <c r="T476" s="3">
        <v>5</v>
      </c>
      <c r="U476" s="3">
        <v>5</v>
      </c>
      <c r="V476" s="3">
        <v>4</v>
      </c>
      <c r="W476" s="3">
        <v>3</v>
      </c>
      <c r="X476" s="3">
        <v>3</v>
      </c>
      <c r="Y476" s="3">
        <v>3</v>
      </c>
      <c r="Z476" s="3">
        <v>3</v>
      </c>
      <c r="AA476" s="3">
        <v>3</v>
      </c>
      <c r="AB476" s="3">
        <v>3</v>
      </c>
      <c r="AC476" s="3">
        <v>3</v>
      </c>
      <c r="AD476" s="3">
        <v>4</v>
      </c>
      <c r="AE476" s="3">
        <v>4</v>
      </c>
      <c r="AF476" s="3">
        <v>4</v>
      </c>
      <c r="AG476" s="3">
        <v>4</v>
      </c>
      <c r="AH476" s="3">
        <v>3</v>
      </c>
      <c r="AI476" s="3">
        <v>4</v>
      </c>
      <c r="AJ476" s="3">
        <v>4</v>
      </c>
      <c r="AK476" s="3">
        <v>5</v>
      </c>
      <c r="AL476" s="3">
        <v>5</v>
      </c>
      <c r="AM476" s="3">
        <v>5</v>
      </c>
      <c r="AN476" s="3">
        <v>4</v>
      </c>
      <c r="AO476" s="3">
        <v>4</v>
      </c>
      <c r="AP476" s="3">
        <v>4</v>
      </c>
      <c r="AQ476" s="3">
        <v>4</v>
      </c>
      <c r="AR476" s="3">
        <v>4</v>
      </c>
      <c r="AS476" s="3">
        <v>4</v>
      </c>
      <c r="AT476" s="3">
        <v>4</v>
      </c>
      <c r="AU476" s="3">
        <v>4</v>
      </c>
      <c r="AV476" s="3">
        <v>4</v>
      </c>
      <c r="AW476" s="3">
        <v>4</v>
      </c>
      <c r="AX476" s="3">
        <v>5</v>
      </c>
      <c r="AY476" s="3">
        <v>5</v>
      </c>
      <c r="AZ476" s="3">
        <v>5</v>
      </c>
      <c r="BA476" s="3">
        <v>5</v>
      </c>
      <c r="BB476" s="3">
        <v>5</v>
      </c>
      <c r="BC476" s="3">
        <v>5</v>
      </c>
      <c r="BD476" s="3">
        <v>5</v>
      </c>
      <c r="BE476" s="3">
        <v>5</v>
      </c>
      <c r="BF476" s="3">
        <v>5</v>
      </c>
      <c r="BG476" s="3">
        <v>5</v>
      </c>
      <c r="BH476" s="3">
        <v>5</v>
      </c>
      <c r="BI476" s="3">
        <v>5</v>
      </c>
      <c r="BJ476" s="3">
        <v>5</v>
      </c>
      <c r="BK476" s="3">
        <v>5</v>
      </c>
      <c r="BL476" s="3">
        <v>5</v>
      </c>
      <c r="BM476" s="3">
        <v>5</v>
      </c>
      <c r="BN476" s="3">
        <v>5</v>
      </c>
      <c r="BO476" s="3">
        <v>5</v>
      </c>
      <c r="BP476" s="3" t="s">
        <v>1278</v>
      </c>
    </row>
    <row r="477" spans="1:68" ht="22.5" customHeight="1" x14ac:dyDescent="0.25">
      <c r="A477" s="2">
        <v>45990.455121354171</v>
      </c>
      <c r="B477" s="3" t="s">
        <v>1279</v>
      </c>
      <c r="C477" s="3" t="s">
        <v>86</v>
      </c>
      <c r="D477" s="3" t="s">
        <v>1280</v>
      </c>
      <c r="E477" s="3" t="s">
        <v>141</v>
      </c>
      <c r="F477" s="3" t="s">
        <v>88</v>
      </c>
      <c r="G477" s="3" t="s">
        <v>83</v>
      </c>
      <c r="H477" s="3">
        <v>5</v>
      </c>
      <c r="I477" s="3">
        <v>5</v>
      </c>
      <c r="J477" s="3">
        <v>5</v>
      </c>
      <c r="K477" s="3">
        <v>5</v>
      </c>
      <c r="L477" s="3">
        <v>5</v>
      </c>
      <c r="M477" s="3">
        <v>4</v>
      </c>
      <c r="N477" s="3">
        <v>4</v>
      </c>
      <c r="O477" s="3">
        <v>5</v>
      </c>
      <c r="P477" s="3">
        <v>5</v>
      </c>
      <c r="Q477" s="3">
        <v>5</v>
      </c>
      <c r="R477" s="3">
        <v>5</v>
      </c>
      <c r="S477" s="3">
        <v>5</v>
      </c>
      <c r="T477" s="3">
        <v>5</v>
      </c>
      <c r="U477" s="3">
        <v>5</v>
      </c>
      <c r="V477" s="3">
        <v>4</v>
      </c>
      <c r="W477" s="3">
        <v>4</v>
      </c>
      <c r="X477" s="3">
        <v>5</v>
      </c>
      <c r="Y477" s="3">
        <v>5</v>
      </c>
      <c r="Z477" s="3">
        <v>5</v>
      </c>
      <c r="AA477" s="3">
        <v>5</v>
      </c>
      <c r="AB477" s="3">
        <v>4</v>
      </c>
      <c r="AC477" s="3">
        <v>3</v>
      </c>
      <c r="AD477" s="3">
        <v>5</v>
      </c>
      <c r="AE477" s="3">
        <v>4</v>
      </c>
      <c r="AF477" s="3">
        <v>4</v>
      </c>
      <c r="AG477" s="3">
        <v>5</v>
      </c>
      <c r="AH477" s="3">
        <v>5</v>
      </c>
      <c r="AI477" s="3">
        <v>5</v>
      </c>
      <c r="AJ477" s="3">
        <v>5</v>
      </c>
      <c r="AK477" s="3">
        <v>5</v>
      </c>
      <c r="AL477" s="3">
        <v>3</v>
      </c>
      <c r="AM477" s="3">
        <v>5</v>
      </c>
      <c r="AN477" s="3">
        <v>3</v>
      </c>
      <c r="AO477" s="3">
        <v>3</v>
      </c>
      <c r="AP477" s="3">
        <v>3</v>
      </c>
      <c r="AQ477" s="3">
        <v>3</v>
      </c>
      <c r="AR477" s="3">
        <v>3</v>
      </c>
      <c r="AS477" s="3">
        <v>3</v>
      </c>
      <c r="AT477" s="3">
        <v>3</v>
      </c>
      <c r="AU477" s="3">
        <v>3</v>
      </c>
      <c r="AV477" s="3">
        <v>3</v>
      </c>
      <c r="AW477" s="3">
        <v>5</v>
      </c>
      <c r="AX477" s="3">
        <v>5</v>
      </c>
      <c r="AY477" s="3">
        <v>5</v>
      </c>
      <c r="AZ477" s="3">
        <v>5</v>
      </c>
      <c r="BA477" s="3">
        <v>5</v>
      </c>
      <c r="BB477" s="3">
        <v>5</v>
      </c>
      <c r="BC477" s="3">
        <v>5</v>
      </c>
      <c r="BD477" s="3">
        <v>5</v>
      </c>
      <c r="BE477" s="3">
        <v>5</v>
      </c>
      <c r="BF477" s="3">
        <v>5</v>
      </c>
      <c r="BG477" s="3">
        <v>5</v>
      </c>
      <c r="BH477" s="3">
        <v>5</v>
      </c>
      <c r="BI477" s="3">
        <v>5</v>
      </c>
      <c r="BJ477" s="3">
        <v>5</v>
      </c>
      <c r="BK477" s="3">
        <v>5</v>
      </c>
      <c r="BL477" s="3">
        <v>5</v>
      </c>
      <c r="BM477" s="3">
        <v>5</v>
      </c>
      <c r="BN477" s="3">
        <v>5</v>
      </c>
      <c r="BO477" s="3">
        <v>5</v>
      </c>
      <c r="BP477" s="3" t="s">
        <v>1281</v>
      </c>
    </row>
    <row r="478" spans="1:68" ht="22.5" customHeight="1" x14ac:dyDescent="0.25">
      <c r="A478" s="2">
        <v>45990.607121805559</v>
      </c>
      <c r="B478" s="3" t="s">
        <v>1282</v>
      </c>
      <c r="C478" s="3" t="s">
        <v>86</v>
      </c>
      <c r="D478" s="3" t="s">
        <v>1283</v>
      </c>
      <c r="E478" s="3" t="s">
        <v>119</v>
      </c>
      <c r="F478" s="3" t="s">
        <v>103</v>
      </c>
      <c r="G478" s="3" t="s">
        <v>91</v>
      </c>
      <c r="H478" s="3">
        <v>5</v>
      </c>
      <c r="I478" s="3">
        <v>4</v>
      </c>
      <c r="J478" s="3">
        <v>4</v>
      </c>
      <c r="K478" s="3">
        <v>4</v>
      </c>
      <c r="L478" s="3">
        <v>4</v>
      </c>
      <c r="M478" s="3">
        <v>4</v>
      </c>
      <c r="N478" s="3">
        <v>4</v>
      </c>
      <c r="O478" s="3">
        <v>4</v>
      </c>
      <c r="P478" s="3">
        <v>4</v>
      </c>
      <c r="Q478" s="3">
        <v>4</v>
      </c>
      <c r="R478" s="3">
        <v>4</v>
      </c>
      <c r="S478" s="3">
        <v>4</v>
      </c>
      <c r="T478" s="3">
        <v>4</v>
      </c>
      <c r="U478" s="3">
        <v>4</v>
      </c>
      <c r="V478" s="3">
        <v>4</v>
      </c>
      <c r="W478" s="3">
        <v>4</v>
      </c>
      <c r="X478" s="3">
        <v>4</v>
      </c>
      <c r="Y478" s="3">
        <v>4</v>
      </c>
      <c r="Z478" s="3">
        <v>4</v>
      </c>
      <c r="AA478" s="3">
        <v>4</v>
      </c>
      <c r="AB478" s="3">
        <v>4</v>
      </c>
      <c r="AC478" s="3">
        <v>4</v>
      </c>
      <c r="AD478" s="3">
        <v>4</v>
      </c>
      <c r="AE478" s="3">
        <v>4</v>
      </c>
      <c r="AF478" s="3">
        <v>4</v>
      </c>
      <c r="AG478" s="3">
        <v>4</v>
      </c>
      <c r="AH478" s="3">
        <v>4</v>
      </c>
      <c r="AI478" s="3">
        <v>4</v>
      </c>
      <c r="AJ478" s="3">
        <v>4</v>
      </c>
      <c r="AK478" s="3">
        <v>4</v>
      </c>
      <c r="AL478" s="3">
        <v>4</v>
      </c>
      <c r="AM478" s="3">
        <v>4</v>
      </c>
      <c r="AN478" s="3">
        <v>4</v>
      </c>
      <c r="AO478" s="3">
        <v>4</v>
      </c>
      <c r="AP478" s="3">
        <v>4</v>
      </c>
      <c r="AQ478" s="3">
        <v>4</v>
      </c>
      <c r="AR478" s="3">
        <v>4</v>
      </c>
      <c r="AS478" s="3">
        <v>4</v>
      </c>
      <c r="AT478" s="3">
        <v>4</v>
      </c>
      <c r="AU478" s="3">
        <v>4</v>
      </c>
      <c r="AV478" s="3">
        <v>4</v>
      </c>
      <c r="AW478" s="3">
        <v>4</v>
      </c>
      <c r="AX478" s="3">
        <v>4</v>
      </c>
      <c r="AY478" s="3">
        <v>4</v>
      </c>
      <c r="AZ478" s="3">
        <v>4</v>
      </c>
      <c r="BA478" s="3">
        <v>4</v>
      </c>
      <c r="BB478" s="3">
        <v>4</v>
      </c>
      <c r="BC478" s="3">
        <v>4</v>
      </c>
      <c r="BD478" s="3">
        <v>4</v>
      </c>
      <c r="BE478" s="3">
        <v>4</v>
      </c>
      <c r="BF478" s="3">
        <v>4</v>
      </c>
      <c r="BG478" s="3">
        <v>4</v>
      </c>
      <c r="BH478" s="3">
        <v>4</v>
      </c>
      <c r="BI478" s="3">
        <v>4</v>
      </c>
      <c r="BJ478" s="3">
        <v>4</v>
      </c>
      <c r="BK478" s="3">
        <v>4</v>
      </c>
      <c r="BL478" s="3">
        <v>4</v>
      </c>
      <c r="BM478" s="3">
        <v>4</v>
      </c>
      <c r="BN478" s="3">
        <v>4</v>
      </c>
      <c r="BO478" s="3">
        <v>4</v>
      </c>
      <c r="BP478" s="3" t="s">
        <v>1284</v>
      </c>
    </row>
    <row r="479" spans="1:68" ht="22.5" customHeight="1" x14ac:dyDescent="0.25">
      <c r="A479" s="2">
        <v>45990.610799837959</v>
      </c>
      <c r="B479" s="3" t="s">
        <v>1285</v>
      </c>
      <c r="C479" s="3" t="s">
        <v>69</v>
      </c>
      <c r="D479" s="3" t="s">
        <v>1286</v>
      </c>
      <c r="E479" s="3" t="s">
        <v>77</v>
      </c>
      <c r="F479" s="3" t="s">
        <v>78</v>
      </c>
      <c r="G479" s="3" t="s">
        <v>79</v>
      </c>
      <c r="H479" s="3">
        <v>5</v>
      </c>
      <c r="I479" s="3">
        <v>5</v>
      </c>
      <c r="J479" s="3">
        <v>5</v>
      </c>
      <c r="K479" s="3">
        <v>5</v>
      </c>
      <c r="L479" s="3">
        <v>5</v>
      </c>
      <c r="M479" s="3">
        <v>5</v>
      </c>
      <c r="N479" s="3">
        <v>5</v>
      </c>
      <c r="O479" s="3">
        <v>5</v>
      </c>
      <c r="P479" s="3">
        <v>5</v>
      </c>
      <c r="Q479" s="3">
        <v>5</v>
      </c>
      <c r="R479" s="3">
        <v>5</v>
      </c>
      <c r="S479" s="3">
        <v>5</v>
      </c>
      <c r="T479" s="3">
        <v>5</v>
      </c>
      <c r="U479" s="3">
        <v>5</v>
      </c>
      <c r="V479" s="3">
        <v>5</v>
      </c>
      <c r="W479" s="3">
        <v>5</v>
      </c>
      <c r="X479" s="3">
        <v>4</v>
      </c>
      <c r="Y479" s="3">
        <v>5</v>
      </c>
      <c r="Z479" s="3">
        <v>4</v>
      </c>
      <c r="AA479" s="3">
        <v>5</v>
      </c>
      <c r="AB479" s="3">
        <v>4</v>
      </c>
      <c r="AC479" s="3">
        <v>3</v>
      </c>
      <c r="AD479" s="3">
        <v>5</v>
      </c>
      <c r="AE479" s="3">
        <v>5</v>
      </c>
      <c r="AF479" s="3">
        <v>5</v>
      </c>
      <c r="AG479" s="3">
        <v>5</v>
      </c>
      <c r="AH479" s="3">
        <v>5</v>
      </c>
      <c r="AI479" s="3">
        <v>5</v>
      </c>
      <c r="AJ479" s="3">
        <v>5</v>
      </c>
      <c r="AK479" s="3">
        <v>5</v>
      </c>
      <c r="AL479" s="3">
        <v>5</v>
      </c>
      <c r="AM479" s="3">
        <v>5</v>
      </c>
      <c r="AN479" s="3">
        <v>5</v>
      </c>
      <c r="AO479" s="3">
        <v>5</v>
      </c>
      <c r="AP479" s="3">
        <v>4</v>
      </c>
      <c r="AQ479" s="3">
        <v>5</v>
      </c>
      <c r="AR479" s="3">
        <v>5</v>
      </c>
      <c r="AS479" s="3">
        <v>4</v>
      </c>
      <c r="AT479" s="3">
        <v>4</v>
      </c>
      <c r="AU479" s="3">
        <v>5</v>
      </c>
      <c r="AV479" s="3">
        <v>4</v>
      </c>
      <c r="AW479" s="3">
        <v>5</v>
      </c>
      <c r="AX479" s="3">
        <v>5</v>
      </c>
      <c r="AY479" s="3">
        <v>5</v>
      </c>
      <c r="AZ479" s="3">
        <v>5</v>
      </c>
      <c r="BA479" s="3">
        <v>4</v>
      </c>
      <c r="BB479" s="3">
        <v>4</v>
      </c>
      <c r="BC479" s="3">
        <v>4</v>
      </c>
      <c r="BD479" s="3">
        <v>3</v>
      </c>
      <c r="BE479" s="3">
        <v>3</v>
      </c>
      <c r="BF479" s="3">
        <v>3</v>
      </c>
      <c r="BG479" s="3">
        <v>5</v>
      </c>
      <c r="BH479" s="3">
        <v>5</v>
      </c>
      <c r="BI479" s="3">
        <v>5</v>
      </c>
      <c r="BJ479" s="3">
        <v>5</v>
      </c>
      <c r="BK479" s="3">
        <v>5</v>
      </c>
      <c r="BL479" s="3">
        <v>5</v>
      </c>
      <c r="BM479" s="3">
        <v>5</v>
      </c>
      <c r="BN479" s="3">
        <v>5</v>
      </c>
      <c r="BO479" s="3">
        <v>5</v>
      </c>
      <c r="BP479" s="3" t="s">
        <v>1287</v>
      </c>
    </row>
    <row r="480" spans="1:68" ht="22.5" customHeight="1" x14ac:dyDescent="0.25">
      <c r="A480" s="2">
        <v>45990.612831724538</v>
      </c>
      <c r="B480" s="3" t="s">
        <v>1288</v>
      </c>
      <c r="C480" s="3" t="s">
        <v>86</v>
      </c>
      <c r="D480" s="3" t="s">
        <v>1286</v>
      </c>
      <c r="E480" s="3" t="s">
        <v>77</v>
      </c>
      <c r="F480" s="3" t="s">
        <v>88</v>
      </c>
      <c r="G480" s="3" t="s">
        <v>83</v>
      </c>
      <c r="H480" s="3">
        <v>5</v>
      </c>
      <c r="I480" s="3">
        <v>5</v>
      </c>
      <c r="J480" s="3">
        <v>5</v>
      </c>
      <c r="K480" s="3">
        <v>4</v>
      </c>
      <c r="L480" s="3">
        <v>4</v>
      </c>
      <c r="M480" s="3">
        <v>3</v>
      </c>
      <c r="N480" s="3">
        <v>3</v>
      </c>
      <c r="O480" s="3">
        <v>5</v>
      </c>
      <c r="P480" s="3">
        <v>5</v>
      </c>
      <c r="Q480" s="3">
        <v>5</v>
      </c>
      <c r="R480" s="3">
        <v>5</v>
      </c>
      <c r="S480" s="3">
        <v>5</v>
      </c>
      <c r="T480" s="3">
        <v>5</v>
      </c>
      <c r="U480" s="3">
        <v>5</v>
      </c>
      <c r="V480" s="3">
        <v>4</v>
      </c>
      <c r="W480" s="3">
        <v>3</v>
      </c>
      <c r="X480" s="3">
        <v>5</v>
      </c>
      <c r="Y480" s="3">
        <v>4</v>
      </c>
      <c r="Z480" s="3">
        <v>4</v>
      </c>
      <c r="AA480" s="3">
        <v>4</v>
      </c>
      <c r="AB480" s="3">
        <v>3</v>
      </c>
      <c r="AC480" s="3">
        <v>3</v>
      </c>
      <c r="AD480" s="3">
        <v>4</v>
      </c>
      <c r="AE480" s="3">
        <v>4</v>
      </c>
      <c r="AF480" s="3">
        <v>4</v>
      </c>
      <c r="AG480" s="3">
        <v>4</v>
      </c>
      <c r="AH480" s="3">
        <v>3</v>
      </c>
      <c r="AI480" s="3">
        <v>5</v>
      </c>
      <c r="AJ480" s="3">
        <v>5</v>
      </c>
      <c r="AK480" s="3">
        <v>5</v>
      </c>
      <c r="AL480" s="3">
        <v>5</v>
      </c>
      <c r="AM480" s="3">
        <v>5</v>
      </c>
      <c r="AN480" s="3">
        <v>4</v>
      </c>
      <c r="AO480" s="3">
        <v>3</v>
      </c>
      <c r="AP480" s="3">
        <v>4</v>
      </c>
      <c r="AQ480" s="3">
        <v>4</v>
      </c>
      <c r="AR480" s="3">
        <v>4</v>
      </c>
      <c r="AS480" s="3">
        <v>3</v>
      </c>
      <c r="AT480" s="3">
        <v>4</v>
      </c>
      <c r="AU480" s="3">
        <v>4</v>
      </c>
      <c r="AV480" s="3">
        <v>4</v>
      </c>
      <c r="AW480" s="3">
        <v>5</v>
      </c>
      <c r="AX480" s="3">
        <v>5</v>
      </c>
      <c r="AY480" s="3">
        <v>5</v>
      </c>
      <c r="AZ480" s="3">
        <v>5</v>
      </c>
      <c r="BA480" s="3">
        <v>4</v>
      </c>
      <c r="BB480" s="3">
        <v>4</v>
      </c>
      <c r="BC480" s="3">
        <v>4</v>
      </c>
      <c r="BD480" s="3">
        <v>2</v>
      </c>
      <c r="BE480" s="3">
        <v>2</v>
      </c>
      <c r="BF480" s="3">
        <v>2</v>
      </c>
      <c r="BG480" s="3">
        <v>4</v>
      </c>
      <c r="BH480" s="3">
        <v>5</v>
      </c>
      <c r="BI480" s="3">
        <v>5</v>
      </c>
      <c r="BJ480" s="3">
        <v>4</v>
      </c>
      <c r="BK480" s="3">
        <v>4</v>
      </c>
      <c r="BL480" s="3">
        <v>4</v>
      </c>
      <c r="BM480" s="3">
        <v>4</v>
      </c>
      <c r="BN480" s="3">
        <v>4</v>
      </c>
      <c r="BO480" s="3">
        <v>4</v>
      </c>
      <c r="BP480" s="3" t="s">
        <v>1289</v>
      </c>
    </row>
    <row r="481" spans="1:68" ht="22.5" customHeight="1" x14ac:dyDescent="0.25">
      <c r="A481" s="2">
        <v>45990.613235543977</v>
      </c>
      <c r="B481" s="3" t="s">
        <v>1290</v>
      </c>
      <c r="C481" s="3" t="s">
        <v>86</v>
      </c>
      <c r="D481" s="3" t="s">
        <v>1286</v>
      </c>
      <c r="E481" s="3" t="s">
        <v>119</v>
      </c>
      <c r="F481" s="3" t="s">
        <v>103</v>
      </c>
      <c r="G481" s="3" t="s">
        <v>73</v>
      </c>
      <c r="H481" s="3">
        <v>5</v>
      </c>
      <c r="I481" s="3">
        <v>5</v>
      </c>
      <c r="J481" s="3">
        <v>4</v>
      </c>
      <c r="K481" s="3">
        <v>4</v>
      </c>
      <c r="L481" s="3">
        <v>5</v>
      </c>
      <c r="M481" s="3">
        <v>4</v>
      </c>
      <c r="N481" s="3">
        <v>4</v>
      </c>
      <c r="O481" s="3">
        <v>4</v>
      </c>
      <c r="P481" s="3">
        <v>4</v>
      </c>
      <c r="Q481" s="3">
        <v>5</v>
      </c>
      <c r="R481" s="3">
        <v>5</v>
      </c>
      <c r="S481" s="3">
        <v>5</v>
      </c>
      <c r="T481" s="3">
        <v>5</v>
      </c>
      <c r="U481" s="3">
        <v>5</v>
      </c>
      <c r="V481" s="3">
        <v>4</v>
      </c>
      <c r="W481" s="3">
        <v>4</v>
      </c>
      <c r="X481" s="3">
        <v>4</v>
      </c>
      <c r="Y481" s="3">
        <v>4</v>
      </c>
      <c r="Z481" s="3">
        <v>4</v>
      </c>
      <c r="AA481" s="3">
        <v>4</v>
      </c>
      <c r="AB481" s="3">
        <v>3</v>
      </c>
      <c r="AC481" s="3">
        <v>3</v>
      </c>
      <c r="AD481" s="3">
        <v>5</v>
      </c>
      <c r="AE481" s="3">
        <v>4</v>
      </c>
      <c r="AF481" s="3">
        <v>4</v>
      </c>
      <c r="AG481" s="3">
        <v>4</v>
      </c>
      <c r="AH481" s="3">
        <v>4</v>
      </c>
      <c r="AI481" s="3">
        <v>4</v>
      </c>
      <c r="AJ481" s="3">
        <v>4</v>
      </c>
      <c r="AK481" s="3">
        <v>4</v>
      </c>
      <c r="AL481" s="3">
        <v>4</v>
      </c>
      <c r="AM481" s="3">
        <v>4</v>
      </c>
      <c r="AN481" s="3">
        <v>4</v>
      </c>
      <c r="AO481" s="3">
        <v>3</v>
      </c>
      <c r="AP481" s="3">
        <v>4</v>
      </c>
      <c r="AQ481" s="3">
        <v>4</v>
      </c>
      <c r="AR481" s="3">
        <v>4</v>
      </c>
      <c r="AS481" s="3">
        <v>4</v>
      </c>
      <c r="AT481" s="3">
        <v>4</v>
      </c>
      <c r="AU481" s="3">
        <v>4</v>
      </c>
      <c r="AV481" s="3">
        <v>4</v>
      </c>
      <c r="AW481" s="3">
        <v>4</v>
      </c>
      <c r="AX481" s="3">
        <v>4</v>
      </c>
      <c r="AY481" s="3">
        <v>4</v>
      </c>
      <c r="AZ481" s="3">
        <v>4</v>
      </c>
      <c r="BA481" s="3">
        <v>3</v>
      </c>
      <c r="BB481" s="3">
        <v>3</v>
      </c>
      <c r="BC481" s="3">
        <v>3</v>
      </c>
      <c r="BD481" s="3">
        <v>4</v>
      </c>
      <c r="BE481" s="3">
        <v>4</v>
      </c>
      <c r="BF481" s="3">
        <v>3</v>
      </c>
      <c r="BG481" s="3">
        <v>4</v>
      </c>
      <c r="BH481" s="3">
        <v>4</v>
      </c>
      <c r="BI481" s="3">
        <v>4</v>
      </c>
      <c r="BJ481" s="3">
        <v>4</v>
      </c>
      <c r="BK481" s="3">
        <v>4</v>
      </c>
      <c r="BL481" s="3">
        <v>4</v>
      </c>
      <c r="BM481" s="3">
        <v>4</v>
      </c>
      <c r="BN481" s="3">
        <v>4</v>
      </c>
      <c r="BO481" s="3">
        <v>4</v>
      </c>
      <c r="BP481" s="3" t="s">
        <v>1291</v>
      </c>
    </row>
    <row r="482" spans="1:68" ht="22.5" customHeight="1" x14ac:dyDescent="0.25">
      <c r="A482" s="2">
        <v>45991.44381996528</v>
      </c>
      <c r="B482" s="3" t="s">
        <v>1292</v>
      </c>
      <c r="C482" s="3" t="s">
        <v>86</v>
      </c>
      <c r="D482" s="3" t="s">
        <v>1293</v>
      </c>
      <c r="E482" s="3" t="s">
        <v>77</v>
      </c>
      <c r="F482" s="3" t="s">
        <v>78</v>
      </c>
      <c r="G482" s="3" t="s">
        <v>79</v>
      </c>
      <c r="H482" s="3">
        <v>5</v>
      </c>
      <c r="I482" s="3">
        <v>5</v>
      </c>
      <c r="J482" s="3">
        <v>5</v>
      </c>
      <c r="K482" s="3">
        <v>5</v>
      </c>
      <c r="L482" s="3">
        <v>5</v>
      </c>
      <c r="M482" s="3">
        <v>5</v>
      </c>
      <c r="N482" s="3">
        <v>5</v>
      </c>
      <c r="O482" s="3">
        <v>5</v>
      </c>
      <c r="P482" s="3">
        <v>5</v>
      </c>
      <c r="Q482" s="3">
        <v>5</v>
      </c>
      <c r="R482" s="3">
        <v>5</v>
      </c>
      <c r="S482" s="3">
        <v>5</v>
      </c>
      <c r="T482" s="3">
        <v>5</v>
      </c>
      <c r="U482" s="3">
        <v>5</v>
      </c>
      <c r="V482" s="3">
        <v>4</v>
      </c>
      <c r="W482" s="3">
        <v>4</v>
      </c>
      <c r="X482" s="3">
        <v>5</v>
      </c>
      <c r="Y482" s="3">
        <v>5</v>
      </c>
      <c r="Z482" s="3">
        <v>5</v>
      </c>
      <c r="AA482" s="3">
        <v>5</v>
      </c>
      <c r="AB482" s="3">
        <v>5</v>
      </c>
      <c r="AC482" s="3">
        <v>5</v>
      </c>
      <c r="AD482" s="3">
        <v>5</v>
      </c>
      <c r="AE482" s="3">
        <v>5</v>
      </c>
      <c r="AF482" s="3">
        <v>5</v>
      </c>
      <c r="AG482" s="3">
        <v>4</v>
      </c>
      <c r="AH482" s="3">
        <v>4</v>
      </c>
      <c r="AI482" s="3">
        <v>4</v>
      </c>
      <c r="AJ482" s="3">
        <v>5</v>
      </c>
      <c r="AK482" s="3">
        <v>5</v>
      </c>
      <c r="AL482" s="3">
        <v>4</v>
      </c>
      <c r="AM482" s="3">
        <v>4</v>
      </c>
      <c r="AN482" s="3">
        <v>5</v>
      </c>
      <c r="AO482" s="3">
        <v>5</v>
      </c>
      <c r="AP482" s="3">
        <v>5</v>
      </c>
      <c r="AQ482" s="3">
        <v>5</v>
      </c>
      <c r="AR482" s="3">
        <v>5</v>
      </c>
      <c r="AS482" s="3">
        <v>4</v>
      </c>
      <c r="AT482" s="3">
        <v>5</v>
      </c>
      <c r="AU482" s="3">
        <v>5</v>
      </c>
      <c r="AV482" s="3">
        <v>5</v>
      </c>
      <c r="AW482" s="3">
        <v>5</v>
      </c>
      <c r="AX482" s="3">
        <v>5</v>
      </c>
      <c r="AY482" s="3">
        <v>5</v>
      </c>
      <c r="AZ482" s="3">
        <v>5</v>
      </c>
      <c r="BA482" s="3">
        <v>5</v>
      </c>
      <c r="BB482" s="3">
        <v>5</v>
      </c>
      <c r="BC482" s="3">
        <v>5</v>
      </c>
      <c r="BD482" s="3">
        <v>5</v>
      </c>
      <c r="BE482" s="3">
        <v>5</v>
      </c>
      <c r="BF482" s="3">
        <v>5</v>
      </c>
      <c r="BG482" s="3">
        <v>5</v>
      </c>
      <c r="BH482" s="3">
        <v>5</v>
      </c>
      <c r="BI482" s="3">
        <v>5</v>
      </c>
      <c r="BJ482" s="3">
        <v>5</v>
      </c>
      <c r="BK482" s="3">
        <v>5</v>
      </c>
      <c r="BL482" s="3">
        <v>5</v>
      </c>
      <c r="BM482" s="3">
        <v>5</v>
      </c>
      <c r="BN482" s="3">
        <v>5</v>
      </c>
      <c r="BO482" s="3">
        <v>5</v>
      </c>
      <c r="BP482" s="3" t="s">
        <v>1294</v>
      </c>
    </row>
    <row r="483" spans="1:68" ht="22.5" customHeight="1" x14ac:dyDescent="0.25">
      <c r="A483" s="2">
        <v>45992.391404780094</v>
      </c>
      <c r="B483" s="3" t="s">
        <v>1295</v>
      </c>
      <c r="C483" s="3" t="s">
        <v>86</v>
      </c>
      <c r="D483" s="3" t="s">
        <v>1296</v>
      </c>
      <c r="E483" s="3" t="s">
        <v>77</v>
      </c>
      <c r="F483" s="3" t="s">
        <v>78</v>
      </c>
      <c r="G483" s="3" t="s">
        <v>79</v>
      </c>
      <c r="H483" s="3">
        <v>1</v>
      </c>
      <c r="I483" s="3">
        <v>1</v>
      </c>
      <c r="J483" s="3">
        <v>1</v>
      </c>
      <c r="K483" s="3">
        <v>1</v>
      </c>
      <c r="L483" s="3">
        <v>1</v>
      </c>
      <c r="M483" s="3">
        <v>1</v>
      </c>
      <c r="N483" s="3">
        <v>1</v>
      </c>
      <c r="O483" s="3">
        <v>1</v>
      </c>
      <c r="P483" s="3">
        <v>1</v>
      </c>
      <c r="Q483" s="3">
        <v>1</v>
      </c>
      <c r="R483" s="3">
        <v>1</v>
      </c>
      <c r="S483" s="3">
        <v>1</v>
      </c>
      <c r="T483" s="3">
        <v>1</v>
      </c>
      <c r="U483" s="3">
        <v>1</v>
      </c>
      <c r="V483" s="3">
        <v>1</v>
      </c>
      <c r="W483" s="3">
        <v>1</v>
      </c>
      <c r="X483" s="3">
        <v>1</v>
      </c>
      <c r="Y483" s="3">
        <v>1</v>
      </c>
      <c r="Z483" s="3">
        <v>1</v>
      </c>
      <c r="AA483" s="3">
        <v>1</v>
      </c>
      <c r="AB483" s="3">
        <v>1</v>
      </c>
      <c r="AC483" s="3">
        <v>1</v>
      </c>
      <c r="AD483" s="3">
        <v>1</v>
      </c>
      <c r="AE483" s="3">
        <v>1</v>
      </c>
      <c r="AF483" s="3">
        <v>1</v>
      </c>
      <c r="AG483" s="3">
        <v>1</v>
      </c>
      <c r="AH483" s="3">
        <v>1</v>
      </c>
      <c r="AI483" s="3">
        <v>1</v>
      </c>
      <c r="AJ483" s="3">
        <v>1</v>
      </c>
      <c r="AK483" s="3">
        <v>1</v>
      </c>
      <c r="AL483" s="3">
        <v>1</v>
      </c>
      <c r="AM483" s="3">
        <v>1</v>
      </c>
      <c r="AN483" s="3">
        <v>1</v>
      </c>
      <c r="AO483" s="3">
        <v>1</v>
      </c>
      <c r="AP483" s="3">
        <v>1</v>
      </c>
      <c r="AQ483" s="3">
        <v>1</v>
      </c>
      <c r="AR483" s="3">
        <v>1</v>
      </c>
      <c r="AS483" s="3">
        <v>1</v>
      </c>
      <c r="AT483" s="3">
        <v>1</v>
      </c>
      <c r="AU483" s="3">
        <v>1</v>
      </c>
      <c r="AV483" s="3">
        <v>1</v>
      </c>
      <c r="AW483" s="3">
        <v>1</v>
      </c>
      <c r="AX483" s="3">
        <v>1</v>
      </c>
      <c r="AY483" s="3">
        <v>1</v>
      </c>
      <c r="AZ483" s="3">
        <v>1</v>
      </c>
      <c r="BA483" s="3">
        <v>1</v>
      </c>
      <c r="BB483" s="3">
        <v>1</v>
      </c>
      <c r="BC483" s="3">
        <v>1</v>
      </c>
      <c r="BD483" s="3">
        <v>1</v>
      </c>
      <c r="BE483" s="3">
        <v>1</v>
      </c>
      <c r="BF483" s="3">
        <v>1</v>
      </c>
      <c r="BG483" s="3">
        <v>1</v>
      </c>
      <c r="BH483" s="3">
        <v>1</v>
      </c>
      <c r="BI483" s="3">
        <v>1</v>
      </c>
      <c r="BJ483" s="3">
        <v>1</v>
      </c>
      <c r="BK483" s="3">
        <v>1</v>
      </c>
      <c r="BL483" s="3">
        <v>1</v>
      </c>
      <c r="BM483" s="3">
        <v>1</v>
      </c>
      <c r="BN483" s="3">
        <v>1</v>
      </c>
      <c r="BO483" s="3">
        <v>1</v>
      </c>
      <c r="BP483" s="3" t="s">
        <v>1297</v>
      </c>
    </row>
    <row r="484" spans="1:68" ht="22.5" customHeight="1" x14ac:dyDescent="0.25">
      <c r="A484" s="2">
        <v>45992.399266354165</v>
      </c>
      <c r="B484" s="3" t="s">
        <v>1298</v>
      </c>
      <c r="C484" s="3" t="s">
        <v>86</v>
      </c>
      <c r="D484" s="3" t="s">
        <v>195</v>
      </c>
      <c r="E484" s="3" t="s">
        <v>77</v>
      </c>
      <c r="F484" s="3" t="s">
        <v>78</v>
      </c>
      <c r="G484" s="3" t="s">
        <v>79</v>
      </c>
      <c r="H484" s="3">
        <v>5</v>
      </c>
      <c r="I484" s="3">
        <v>4</v>
      </c>
      <c r="J484" s="3">
        <v>5</v>
      </c>
      <c r="K484" s="3">
        <v>4</v>
      </c>
      <c r="L484" s="3">
        <v>4</v>
      </c>
      <c r="M484" s="3">
        <v>4</v>
      </c>
      <c r="N484" s="3">
        <v>4</v>
      </c>
      <c r="O484" s="3">
        <v>5</v>
      </c>
      <c r="P484" s="3">
        <v>5</v>
      </c>
      <c r="Q484" s="3">
        <v>4</v>
      </c>
      <c r="R484" s="3">
        <v>4</v>
      </c>
      <c r="S484" s="3">
        <v>5</v>
      </c>
      <c r="T484" s="3">
        <v>4</v>
      </c>
      <c r="U484" s="3">
        <v>5</v>
      </c>
      <c r="V484" s="3">
        <v>4</v>
      </c>
      <c r="W484" s="3">
        <v>5</v>
      </c>
      <c r="X484" s="3">
        <v>4</v>
      </c>
      <c r="Y484" s="3">
        <v>5</v>
      </c>
      <c r="Z484" s="3">
        <v>4</v>
      </c>
      <c r="AA484" s="3">
        <v>5</v>
      </c>
      <c r="AB484" s="3">
        <v>4</v>
      </c>
      <c r="AC484" s="3">
        <v>4</v>
      </c>
      <c r="AD484" s="3">
        <v>5</v>
      </c>
      <c r="AE484" s="3">
        <v>4</v>
      </c>
      <c r="AF484" s="3">
        <v>4</v>
      </c>
      <c r="AG484" s="3">
        <v>4</v>
      </c>
      <c r="AH484" s="3">
        <v>4</v>
      </c>
      <c r="AI484" s="3">
        <v>4</v>
      </c>
      <c r="AJ484" s="3">
        <v>5</v>
      </c>
      <c r="AK484" s="3">
        <v>5</v>
      </c>
      <c r="AL484" s="3">
        <v>4</v>
      </c>
      <c r="AM484" s="3">
        <v>4</v>
      </c>
      <c r="AN484" s="3">
        <v>4</v>
      </c>
      <c r="AO484" s="3">
        <v>4</v>
      </c>
      <c r="AP484" s="3">
        <v>4</v>
      </c>
      <c r="AQ484" s="3">
        <v>3</v>
      </c>
      <c r="AR484" s="3">
        <v>4</v>
      </c>
      <c r="AS484" s="3">
        <v>4</v>
      </c>
      <c r="AT484" s="3">
        <v>4</v>
      </c>
      <c r="AU484" s="3">
        <v>3</v>
      </c>
      <c r="AV484" s="3">
        <v>4</v>
      </c>
      <c r="AW484" s="3">
        <v>5</v>
      </c>
      <c r="AX484" s="3">
        <v>5</v>
      </c>
      <c r="AY484" s="3">
        <v>5</v>
      </c>
      <c r="AZ484" s="3">
        <v>5</v>
      </c>
      <c r="BA484" s="3">
        <v>5</v>
      </c>
      <c r="BB484" s="3">
        <v>4</v>
      </c>
      <c r="BC484" s="3">
        <v>4</v>
      </c>
      <c r="BD484" s="3">
        <v>4</v>
      </c>
      <c r="BE484" s="3">
        <v>3</v>
      </c>
      <c r="BF484" s="3">
        <v>3</v>
      </c>
      <c r="BG484" s="3">
        <v>4</v>
      </c>
      <c r="BH484" s="3">
        <v>5</v>
      </c>
      <c r="BI484" s="3">
        <v>4</v>
      </c>
      <c r="BJ484" s="3">
        <v>4</v>
      </c>
      <c r="BK484" s="3">
        <v>5</v>
      </c>
      <c r="BL484" s="3">
        <v>5</v>
      </c>
      <c r="BM484" s="3">
        <v>5</v>
      </c>
      <c r="BN484" s="3">
        <v>5</v>
      </c>
      <c r="BO484" s="3">
        <v>5</v>
      </c>
      <c r="BP484" s="3" t="s">
        <v>1299</v>
      </c>
    </row>
    <row r="485" spans="1:68" ht="22.5" customHeight="1" x14ac:dyDescent="0.25">
      <c r="A485" s="2">
        <v>45992.68358542824</v>
      </c>
      <c r="B485" s="3" t="s">
        <v>1300</v>
      </c>
      <c r="C485" s="3" t="s">
        <v>86</v>
      </c>
      <c r="D485" s="3" t="s">
        <v>1301</v>
      </c>
      <c r="E485" s="3" t="s">
        <v>77</v>
      </c>
      <c r="F485" s="3" t="s">
        <v>88</v>
      </c>
      <c r="G485" s="3" t="s">
        <v>91</v>
      </c>
      <c r="H485" s="3">
        <v>5</v>
      </c>
      <c r="I485" s="3">
        <v>5</v>
      </c>
      <c r="J485" s="3">
        <v>5</v>
      </c>
      <c r="K485" s="3">
        <v>5</v>
      </c>
      <c r="L485" s="3">
        <v>4</v>
      </c>
      <c r="M485" s="3">
        <v>5</v>
      </c>
      <c r="N485" s="3">
        <v>4</v>
      </c>
      <c r="O485" s="3">
        <v>4</v>
      </c>
      <c r="P485" s="3">
        <v>4</v>
      </c>
      <c r="Q485" s="3">
        <v>4</v>
      </c>
      <c r="R485" s="3">
        <v>4</v>
      </c>
      <c r="S485" s="3">
        <v>5</v>
      </c>
      <c r="T485" s="3">
        <v>5</v>
      </c>
      <c r="U485" s="3">
        <v>5</v>
      </c>
      <c r="V485" s="3">
        <v>4</v>
      </c>
      <c r="W485" s="3">
        <v>4</v>
      </c>
      <c r="X485" s="3">
        <v>4</v>
      </c>
      <c r="Y485" s="3">
        <v>4</v>
      </c>
      <c r="Z485" s="3">
        <v>4</v>
      </c>
      <c r="AA485" s="3">
        <v>3</v>
      </c>
      <c r="AB485" s="3">
        <v>4</v>
      </c>
      <c r="AC485" s="3">
        <v>4</v>
      </c>
      <c r="AD485" s="3">
        <v>4</v>
      </c>
      <c r="AE485" s="3">
        <v>4</v>
      </c>
      <c r="AF485" s="3">
        <v>4</v>
      </c>
      <c r="AG485" s="3">
        <v>4</v>
      </c>
      <c r="AH485" s="3">
        <v>3</v>
      </c>
      <c r="AI485" s="3">
        <v>3</v>
      </c>
      <c r="AJ485" s="3">
        <v>4</v>
      </c>
      <c r="AK485" s="3">
        <v>4</v>
      </c>
      <c r="AL485" s="3">
        <v>4</v>
      </c>
      <c r="AM485" s="3">
        <v>4</v>
      </c>
      <c r="AN485" s="3">
        <v>4</v>
      </c>
      <c r="AO485" s="3">
        <v>4</v>
      </c>
      <c r="AP485" s="3">
        <v>4</v>
      </c>
      <c r="AQ485" s="3">
        <v>4</v>
      </c>
      <c r="AR485" s="3">
        <v>4</v>
      </c>
      <c r="AS485" s="3">
        <v>4</v>
      </c>
      <c r="AT485" s="3">
        <v>4</v>
      </c>
      <c r="AU485" s="3">
        <v>4</v>
      </c>
      <c r="AV485" s="3">
        <v>4</v>
      </c>
      <c r="AW485" s="3">
        <v>5</v>
      </c>
      <c r="AX485" s="3">
        <v>5</v>
      </c>
      <c r="AY485" s="3">
        <v>5</v>
      </c>
      <c r="AZ485" s="3">
        <v>5</v>
      </c>
      <c r="BA485" s="3">
        <v>4</v>
      </c>
      <c r="BB485" s="3">
        <v>4</v>
      </c>
      <c r="BC485" s="3">
        <v>4</v>
      </c>
      <c r="BD485" s="3">
        <v>3</v>
      </c>
      <c r="BE485" s="3">
        <v>4</v>
      </c>
      <c r="BF485" s="3">
        <v>3</v>
      </c>
      <c r="BG485" s="3">
        <v>4</v>
      </c>
      <c r="BH485" s="3">
        <v>4</v>
      </c>
      <c r="BI485" s="3">
        <v>4</v>
      </c>
      <c r="BJ485" s="3">
        <v>4</v>
      </c>
      <c r="BK485" s="3">
        <v>4</v>
      </c>
      <c r="BL485" s="3">
        <v>5</v>
      </c>
      <c r="BM485" s="3">
        <v>5</v>
      </c>
      <c r="BN485" s="3">
        <v>4</v>
      </c>
      <c r="BO485" s="3">
        <v>4</v>
      </c>
      <c r="BP485" s="3" t="s">
        <v>1302</v>
      </c>
    </row>
    <row r="486" spans="1:68" ht="22.5" customHeight="1" x14ac:dyDescent="0.25">
      <c r="A486" s="2">
        <v>45992.703450439818</v>
      </c>
      <c r="B486" s="3" t="s">
        <v>1303</v>
      </c>
      <c r="C486" s="3" t="s">
        <v>86</v>
      </c>
      <c r="D486" s="3" t="s">
        <v>1304</v>
      </c>
      <c r="E486" s="3" t="s">
        <v>77</v>
      </c>
      <c r="F486" s="3" t="s">
        <v>103</v>
      </c>
      <c r="G486" s="3" t="s">
        <v>73</v>
      </c>
      <c r="H486" s="3">
        <v>5</v>
      </c>
      <c r="I486" s="3">
        <v>4</v>
      </c>
      <c r="J486" s="3">
        <v>5</v>
      </c>
      <c r="K486" s="3">
        <v>5</v>
      </c>
      <c r="L486" s="3">
        <v>5</v>
      </c>
      <c r="M486" s="3">
        <v>3</v>
      </c>
      <c r="N486" s="3">
        <v>4</v>
      </c>
      <c r="O486" s="3">
        <v>5</v>
      </c>
      <c r="P486" s="3">
        <v>5</v>
      </c>
      <c r="Q486" s="3">
        <v>5</v>
      </c>
      <c r="R486" s="3">
        <v>5</v>
      </c>
      <c r="S486" s="3">
        <v>5</v>
      </c>
      <c r="T486" s="3">
        <v>5</v>
      </c>
      <c r="U486" s="3">
        <v>5</v>
      </c>
      <c r="V486" s="3">
        <v>3</v>
      </c>
      <c r="W486" s="3">
        <v>3</v>
      </c>
      <c r="X486" s="3">
        <v>3</v>
      </c>
      <c r="Y486" s="3">
        <v>4</v>
      </c>
      <c r="Z486" s="3">
        <v>3</v>
      </c>
      <c r="AA486" s="3">
        <v>4</v>
      </c>
      <c r="AB486" s="3">
        <v>3</v>
      </c>
      <c r="AC486" s="3">
        <v>2</v>
      </c>
      <c r="AD486" s="3">
        <v>4</v>
      </c>
      <c r="AE486" s="3">
        <v>4</v>
      </c>
      <c r="AF486" s="3">
        <v>4</v>
      </c>
      <c r="AG486" s="3">
        <v>4</v>
      </c>
      <c r="AH486" s="3">
        <v>4</v>
      </c>
      <c r="AI486" s="3">
        <v>5</v>
      </c>
      <c r="AJ486" s="3">
        <v>5</v>
      </c>
      <c r="AK486" s="3">
        <v>5</v>
      </c>
      <c r="AL486" s="3">
        <v>5</v>
      </c>
      <c r="AM486" s="3">
        <v>5</v>
      </c>
      <c r="AN486" s="3">
        <v>3</v>
      </c>
      <c r="AO486" s="3">
        <v>4</v>
      </c>
      <c r="AP486" s="3">
        <v>4</v>
      </c>
      <c r="AQ486" s="3">
        <v>4</v>
      </c>
      <c r="AR486" s="3">
        <v>4</v>
      </c>
      <c r="AS486" s="3">
        <v>4</v>
      </c>
      <c r="AT486" s="3">
        <v>4</v>
      </c>
      <c r="AU486" s="3">
        <v>4</v>
      </c>
      <c r="AV486" s="3">
        <v>4</v>
      </c>
      <c r="AW486" s="3">
        <v>5</v>
      </c>
      <c r="AX486" s="3">
        <v>5</v>
      </c>
      <c r="AY486" s="3">
        <v>5</v>
      </c>
      <c r="AZ486" s="3">
        <v>5</v>
      </c>
      <c r="BA486" s="3">
        <v>5</v>
      </c>
      <c r="BB486" s="3">
        <v>4</v>
      </c>
      <c r="BC486" s="3">
        <v>4</v>
      </c>
      <c r="BD486" s="3">
        <v>4</v>
      </c>
      <c r="BE486" s="3">
        <v>4</v>
      </c>
      <c r="BF486" s="3">
        <v>4</v>
      </c>
      <c r="BG486" s="3">
        <v>5</v>
      </c>
      <c r="BH486" s="3">
        <v>5</v>
      </c>
      <c r="BI486" s="3">
        <v>5</v>
      </c>
      <c r="BJ486" s="3">
        <v>5</v>
      </c>
      <c r="BK486" s="3">
        <v>4</v>
      </c>
      <c r="BL486" s="3">
        <v>5</v>
      </c>
      <c r="BM486" s="3">
        <v>5</v>
      </c>
      <c r="BN486" s="3">
        <v>5</v>
      </c>
      <c r="BO486" s="3">
        <v>5</v>
      </c>
      <c r="BP486" s="3" t="s">
        <v>1305</v>
      </c>
    </row>
    <row r="487" spans="1:68" ht="22.5" customHeight="1" x14ac:dyDescent="0.25">
      <c r="A487" s="2">
        <v>45993.589603958331</v>
      </c>
      <c r="B487" s="3" t="s">
        <v>1306</v>
      </c>
      <c r="C487" s="3" t="s">
        <v>86</v>
      </c>
      <c r="D487" s="3" t="s">
        <v>479</v>
      </c>
      <c r="E487" s="3" t="s">
        <v>119</v>
      </c>
      <c r="F487" s="3" t="s">
        <v>72</v>
      </c>
      <c r="G487" s="3" t="s">
        <v>73</v>
      </c>
      <c r="H487" s="3">
        <v>5</v>
      </c>
      <c r="I487" s="3">
        <v>5</v>
      </c>
      <c r="J487" s="3">
        <v>5</v>
      </c>
      <c r="K487" s="3">
        <v>3</v>
      </c>
      <c r="L487" s="3">
        <v>5</v>
      </c>
      <c r="M487" s="3">
        <v>4</v>
      </c>
      <c r="N487" s="3">
        <v>5</v>
      </c>
      <c r="O487" s="3">
        <v>4</v>
      </c>
      <c r="P487" s="3">
        <v>4</v>
      </c>
      <c r="Q487" s="3">
        <v>5</v>
      </c>
      <c r="R487" s="3">
        <v>5</v>
      </c>
      <c r="S487" s="3">
        <v>5</v>
      </c>
      <c r="T487" s="3">
        <v>5</v>
      </c>
      <c r="U487" s="3">
        <v>5</v>
      </c>
      <c r="V487" s="3">
        <v>4</v>
      </c>
      <c r="W487" s="3">
        <v>4</v>
      </c>
      <c r="X487" s="3">
        <v>4</v>
      </c>
      <c r="Y487" s="3">
        <v>4</v>
      </c>
      <c r="Z487" s="3">
        <v>5</v>
      </c>
      <c r="AA487" s="3">
        <v>3</v>
      </c>
      <c r="AB487" s="3">
        <v>3</v>
      </c>
      <c r="AC487" s="3">
        <v>2</v>
      </c>
      <c r="AD487" s="3">
        <v>5</v>
      </c>
      <c r="AE487" s="3">
        <v>5</v>
      </c>
      <c r="AF487" s="3">
        <v>5</v>
      </c>
      <c r="AG487" s="3">
        <v>5</v>
      </c>
      <c r="AH487" s="3">
        <v>4</v>
      </c>
      <c r="AI487" s="3">
        <v>5</v>
      </c>
      <c r="AJ487" s="3">
        <v>5</v>
      </c>
      <c r="AK487" s="3">
        <v>5</v>
      </c>
      <c r="AL487" s="3">
        <v>5</v>
      </c>
      <c r="AM487" s="3">
        <v>5</v>
      </c>
      <c r="AN487" s="3">
        <v>3</v>
      </c>
      <c r="AO487" s="3">
        <v>3</v>
      </c>
      <c r="AP487" s="3">
        <v>4</v>
      </c>
      <c r="AQ487" s="3">
        <v>5</v>
      </c>
      <c r="AR487" s="3">
        <v>5</v>
      </c>
      <c r="AS487" s="3">
        <v>3</v>
      </c>
      <c r="AT487" s="3">
        <v>4</v>
      </c>
      <c r="AU487" s="3">
        <v>4</v>
      </c>
      <c r="AV487" s="3">
        <v>4</v>
      </c>
      <c r="AW487" s="3">
        <v>5</v>
      </c>
      <c r="AX487" s="3">
        <v>5</v>
      </c>
      <c r="AY487" s="3">
        <v>5</v>
      </c>
      <c r="AZ487" s="3">
        <v>5</v>
      </c>
      <c r="BA487" s="3">
        <v>3</v>
      </c>
      <c r="BB487" s="3">
        <v>3</v>
      </c>
      <c r="BC487" s="3">
        <v>3</v>
      </c>
      <c r="BD487" s="3">
        <v>2</v>
      </c>
      <c r="BE487" s="3">
        <v>2</v>
      </c>
      <c r="BF487" s="3">
        <v>2</v>
      </c>
      <c r="BG487" s="3">
        <v>3</v>
      </c>
      <c r="BH487" s="3">
        <v>3</v>
      </c>
      <c r="BI487" s="3">
        <v>4</v>
      </c>
      <c r="BJ487" s="3">
        <v>5</v>
      </c>
      <c r="BK487" s="3">
        <v>5</v>
      </c>
      <c r="BL487" s="3">
        <v>5</v>
      </c>
      <c r="BM487" s="3">
        <v>5</v>
      </c>
      <c r="BN487" s="3">
        <v>4</v>
      </c>
      <c r="BO487" s="3">
        <v>5</v>
      </c>
      <c r="BP487" s="3" t="s">
        <v>1307</v>
      </c>
    </row>
    <row r="488" spans="1:68" ht="22.5" customHeight="1" x14ac:dyDescent="0.25">
      <c r="A488" s="2">
        <v>45993.600569085647</v>
      </c>
      <c r="C488" s="3" t="s">
        <v>86</v>
      </c>
      <c r="D488" s="3" t="s">
        <v>188</v>
      </c>
      <c r="E488" s="3" t="s">
        <v>119</v>
      </c>
      <c r="F488" s="3" t="s">
        <v>88</v>
      </c>
      <c r="G488" s="3" t="s">
        <v>91</v>
      </c>
      <c r="H488" s="3">
        <v>5</v>
      </c>
      <c r="I488" s="3">
        <v>5</v>
      </c>
      <c r="J488" s="3">
        <v>5</v>
      </c>
      <c r="K488" s="3">
        <v>5</v>
      </c>
      <c r="L488" s="3">
        <v>5</v>
      </c>
      <c r="M488" s="3">
        <v>4</v>
      </c>
      <c r="N488" s="3">
        <v>5</v>
      </c>
      <c r="O488" s="3">
        <v>5</v>
      </c>
      <c r="P488" s="3">
        <v>5</v>
      </c>
      <c r="Q488" s="3">
        <v>5</v>
      </c>
      <c r="R488" s="3">
        <v>5</v>
      </c>
      <c r="S488" s="3">
        <v>5</v>
      </c>
      <c r="T488" s="3">
        <v>5</v>
      </c>
      <c r="U488" s="3">
        <v>5</v>
      </c>
      <c r="V488" s="3">
        <v>5</v>
      </c>
      <c r="W488" s="3">
        <v>5</v>
      </c>
      <c r="X488" s="3">
        <v>5</v>
      </c>
      <c r="Y488" s="3">
        <v>4</v>
      </c>
      <c r="Z488" s="3">
        <v>5</v>
      </c>
      <c r="AA488" s="3">
        <v>3</v>
      </c>
      <c r="AB488" s="3">
        <v>3</v>
      </c>
      <c r="AC488" s="3">
        <v>2</v>
      </c>
      <c r="AD488" s="3">
        <v>5</v>
      </c>
      <c r="AE488" s="3">
        <v>5</v>
      </c>
      <c r="AF488" s="3">
        <v>5</v>
      </c>
      <c r="AG488" s="3">
        <v>5</v>
      </c>
      <c r="AH488" s="3">
        <v>5</v>
      </c>
      <c r="AI488" s="3">
        <v>5</v>
      </c>
      <c r="AJ488" s="3">
        <v>5</v>
      </c>
      <c r="AK488" s="3">
        <v>5</v>
      </c>
      <c r="AL488" s="3">
        <v>5</v>
      </c>
      <c r="AM488" s="3">
        <v>5</v>
      </c>
      <c r="AN488" s="3">
        <v>5</v>
      </c>
      <c r="AO488" s="3">
        <v>5</v>
      </c>
      <c r="AP488" s="3">
        <v>5</v>
      </c>
      <c r="AQ488" s="3">
        <v>5</v>
      </c>
      <c r="AR488" s="3">
        <v>4</v>
      </c>
      <c r="AS488" s="3">
        <v>3</v>
      </c>
      <c r="AT488" s="3">
        <v>4</v>
      </c>
      <c r="AU488" s="3">
        <v>3</v>
      </c>
      <c r="AV488" s="3">
        <v>4</v>
      </c>
      <c r="AW488" s="3">
        <v>5</v>
      </c>
      <c r="AX488" s="3">
        <v>5</v>
      </c>
      <c r="AY488" s="3">
        <v>5</v>
      </c>
      <c r="AZ488" s="3">
        <v>5</v>
      </c>
      <c r="BA488" s="3">
        <v>5</v>
      </c>
      <c r="BB488" s="3">
        <v>4</v>
      </c>
      <c r="BC488" s="3">
        <v>4</v>
      </c>
      <c r="BD488" s="3">
        <v>4</v>
      </c>
      <c r="BE488" s="3">
        <v>4</v>
      </c>
      <c r="BF488" s="3">
        <v>3</v>
      </c>
      <c r="BG488" s="3">
        <v>5</v>
      </c>
      <c r="BH488" s="3">
        <v>5</v>
      </c>
      <c r="BI488" s="3">
        <v>5</v>
      </c>
      <c r="BJ488" s="3">
        <v>5</v>
      </c>
      <c r="BK488" s="3">
        <v>5</v>
      </c>
      <c r="BL488" s="3">
        <v>5</v>
      </c>
      <c r="BM488" s="3">
        <v>5</v>
      </c>
      <c r="BN488" s="3">
        <v>5</v>
      </c>
      <c r="BO488" s="3">
        <v>5</v>
      </c>
      <c r="BP488" s="3" t="s">
        <v>1308</v>
      </c>
    </row>
    <row r="489" spans="1:68" ht="22.5" customHeight="1" x14ac:dyDescent="0.25">
      <c r="A489" s="2">
        <v>45993.785035555557</v>
      </c>
      <c r="B489" s="3" t="s">
        <v>1309</v>
      </c>
      <c r="C489" s="3" t="s">
        <v>69</v>
      </c>
      <c r="D489" s="3" t="s">
        <v>1310</v>
      </c>
      <c r="E489" s="3" t="s">
        <v>77</v>
      </c>
      <c r="F489" s="3" t="s">
        <v>78</v>
      </c>
      <c r="G489" s="3" t="s">
        <v>83</v>
      </c>
      <c r="H489" s="3">
        <v>5</v>
      </c>
      <c r="I489" s="3">
        <v>5</v>
      </c>
      <c r="J489" s="3">
        <v>5</v>
      </c>
      <c r="K489" s="3">
        <v>5</v>
      </c>
      <c r="L489" s="3">
        <v>5</v>
      </c>
      <c r="M489" s="3">
        <v>5</v>
      </c>
      <c r="N489" s="3">
        <v>5</v>
      </c>
      <c r="O489" s="3">
        <v>5</v>
      </c>
      <c r="P489" s="3">
        <v>5</v>
      </c>
      <c r="Q489" s="3">
        <v>5</v>
      </c>
      <c r="R489" s="3">
        <v>5</v>
      </c>
      <c r="S489" s="3">
        <v>5</v>
      </c>
      <c r="T489" s="3">
        <v>5</v>
      </c>
      <c r="U489" s="3">
        <v>5</v>
      </c>
      <c r="V489" s="3">
        <v>5</v>
      </c>
      <c r="W489" s="3">
        <v>5</v>
      </c>
      <c r="X489" s="3">
        <v>5</v>
      </c>
      <c r="Y489" s="3">
        <v>5</v>
      </c>
      <c r="Z489" s="3">
        <v>5</v>
      </c>
      <c r="AA489" s="3">
        <v>5</v>
      </c>
      <c r="AB489" s="3">
        <v>5</v>
      </c>
      <c r="AC489" s="3">
        <v>5</v>
      </c>
      <c r="AD489" s="3">
        <v>5</v>
      </c>
      <c r="AE489" s="3">
        <v>5</v>
      </c>
      <c r="AF489" s="3">
        <v>5</v>
      </c>
      <c r="AG489" s="3">
        <v>5</v>
      </c>
      <c r="AH489" s="3">
        <v>5</v>
      </c>
      <c r="AI489" s="3">
        <v>5</v>
      </c>
      <c r="AJ489" s="3">
        <v>5</v>
      </c>
      <c r="AK489" s="3">
        <v>5</v>
      </c>
      <c r="AL489" s="3">
        <v>5</v>
      </c>
      <c r="AM489" s="3">
        <v>5</v>
      </c>
      <c r="AN489" s="3">
        <v>5</v>
      </c>
      <c r="AO489" s="3">
        <v>5</v>
      </c>
      <c r="AP489" s="3">
        <v>5</v>
      </c>
      <c r="AQ489" s="3">
        <v>5</v>
      </c>
      <c r="AR489" s="3">
        <v>5</v>
      </c>
      <c r="AS489" s="3">
        <v>5</v>
      </c>
      <c r="AT489" s="3">
        <v>5</v>
      </c>
      <c r="AU489" s="3">
        <v>5</v>
      </c>
      <c r="AV489" s="3">
        <v>5</v>
      </c>
      <c r="AW489" s="3">
        <v>5</v>
      </c>
      <c r="AX489" s="3">
        <v>5</v>
      </c>
      <c r="AY489" s="3">
        <v>5</v>
      </c>
      <c r="AZ489" s="3">
        <v>5</v>
      </c>
      <c r="BA489" s="3">
        <v>5</v>
      </c>
      <c r="BB489" s="3">
        <v>5</v>
      </c>
      <c r="BC489" s="3">
        <v>5</v>
      </c>
      <c r="BD489" s="3">
        <v>5</v>
      </c>
      <c r="BE489" s="3">
        <v>5</v>
      </c>
      <c r="BF489" s="3">
        <v>5</v>
      </c>
      <c r="BG489" s="3">
        <v>5</v>
      </c>
      <c r="BH489" s="3">
        <v>5</v>
      </c>
      <c r="BI489" s="3">
        <v>5</v>
      </c>
      <c r="BJ489" s="3">
        <v>5</v>
      </c>
      <c r="BK489" s="3">
        <v>5</v>
      </c>
      <c r="BL489" s="3">
        <v>5</v>
      </c>
      <c r="BM489" s="3">
        <v>5</v>
      </c>
      <c r="BN489" s="3">
        <v>5</v>
      </c>
      <c r="BO489" s="3">
        <v>5</v>
      </c>
      <c r="BP489" s="3" t="s">
        <v>1311</v>
      </c>
    </row>
    <row r="490" spans="1:68" ht="22.5" customHeight="1" x14ac:dyDescent="0.25">
      <c r="A490" s="2">
        <v>45994.430094432872</v>
      </c>
      <c r="B490" s="3" t="s">
        <v>1312</v>
      </c>
      <c r="C490" s="3" t="s">
        <v>86</v>
      </c>
      <c r="D490" s="3" t="s">
        <v>1313</v>
      </c>
      <c r="E490" s="3" t="s">
        <v>119</v>
      </c>
      <c r="F490" s="3" t="s">
        <v>103</v>
      </c>
      <c r="G490" s="3" t="s">
        <v>73</v>
      </c>
      <c r="H490" s="3">
        <v>5</v>
      </c>
      <c r="I490" s="3">
        <v>4</v>
      </c>
      <c r="J490" s="3">
        <v>4</v>
      </c>
      <c r="K490" s="3">
        <v>4</v>
      </c>
      <c r="L490" s="3">
        <v>4</v>
      </c>
      <c r="M490" s="3">
        <v>4</v>
      </c>
      <c r="N490" s="3">
        <v>4</v>
      </c>
      <c r="O490" s="3">
        <v>4</v>
      </c>
      <c r="P490" s="3">
        <v>4</v>
      </c>
      <c r="Q490" s="3">
        <v>4</v>
      </c>
      <c r="R490" s="3">
        <v>5</v>
      </c>
      <c r="S490" s="3">
        <v>5</v>
      </c>
      <c r="T490" s="3">
        <v>5</v>
      </c>
      <c r="U490" s="3">
        <v>5</v>
      </c>
      <c r="V490" s="3">
        <v>4</v>
      </c>
      <c r="W490" s="3">
        <v>4</v>
      </c>
      <c r="X490" s="3">
        <v>4</v>
      </c>
      <c r="Y490" s="3">
        <v>4</v>
      </c>
      <c r="Z490" s="3">
        <v>4</v>
      </c>
      <c r="AA490" s="3">
        <v>5</v>
      </c>
      <c r="AB490" s="3">
        <v>4</v>
      </c>
      <c r="AC490" s="3">
        <v>4</v>
      </c>
      <c r="AD490" s="3">
        <v>4</v>
      </c>
      <c r="AE490" s="3">
        <v>5</v>
      </c>
      <c r="AF490" s="3">
        <v>5</v>
      </c>
      <c r="AG490" s="3">
        <v>5</v>
      </c>
      <c r="AH490" s="3">
        <v>5</v>
      </c>
      <c r="AI490" s="3">
        <v>5</v>
      </c>
      <c r="AJ490" s="3">
        <v>5</v>
      </c>
      <c r="AK490" s="3">
        <v>5</v>
      </c>
      <c r="AL490" s="3">
        <v>5</v>
      </c>
      <c r="AM490" s="3">
        <v>5</v>
      </c>
      <c r="AN490" s="3">
        <v>4</v>
      </c>
      <c r="AO490" s="3">
        <v>4</v>
      </c>
      <c r="AP490" s="3">
        <v>4</v>
      </c>
      <c r="AQ490" s="3">
        <v>5</v>
      </c>
      <c r="AR490" s="3">
        <v>5</v>
      </c>
      <c r="AS490" s="3">
        <v>4</v>
      </c>
      <c r="AT490" s="3">
        <v>4</v>
      </c>
      <c r="AU490" s="3">
        <v>4</v>
      </c>
      <c r="AV490" s="3">
        <v>4</v>
      </c>
      <c r="AW490" s="3">
        <v>5</v>
      </c>
      <c r="AX490" s="3">
        <v>5</v>
      </c>
      <c r="AY490" s="3">
        <v>5</v>
      </c>
      <c r="AZ490" s="3">
        <v>5</v>
      </c>
      <c r="BA490" s="3">
        <v>4</v>
      </c>
      <c r="BB490" s="3">
        <v>4</v>
      </c>
      <c r="BC490" s="3">
        <v>4</v>
      </c>
      <c r="BD490" s="3">
        <v>4</v>
      </c>
      <c r="BE490" s="3">
        <v>4</v>
      </c>
      <c r="BF490" s="3">
        <v>4</v>
      </c>
      <c r="BG490" s="3">
        <v>4</v>
      </c>
      <c r="BH490" s="3">
        <v>4</v>
      </c>
      <c r="BI490" s="3">
        <v>4</v>
      </c>
      <c r="BJ490" s="3">
        <v>5</v>
      </c>
      <c r="BK490" s="3">
        <v>4</v>
      </c>
      <c r="BL490" s="3">
        <v>4</v>
      </c>
      <c r="BM490" s="3">
        <v>4</v>
      </c>
      <c r="BN490" s="3">
        <v>4</v>
      </c>
      <c r="BO490" s="3">
        <v>4</v>
      </c>
      <c r="BP490" s="3" t="s">
        <v>1314</v>
      </c>
    </row>
    <row r="491" spans="1:68" ht="22.5" customHeight="1" x14ac:dyDescent="0.25">
      <c r="A491" s="2">
        <v>45994.735947199079</v>
      </c>
      <c r="B491" s="3" t="s">
        <v>1315</v>
      </c>
      <c r="C491" s="3" t="s">
        <v>86</v>
      </c>
      <c r="D491" s="3" t="s">
        <v>1316</v>
      </c>
      <c r="E491" s="3" t="s">
        <v>141</v>
      </c>
      <c r="F491" s="3" t="s">
        <v>78</v>
      </c>
      <c r="G491" s="3" t="s">
        <v>79</v>
      </c>
      <c r="H491" s="3">
        <v>5</v>
      </c>
      <c r="I491" s="3">
        <v>5</v>
      </c>
      <c r="J491" s="3">
        <v>5</v>
      </c>
      <c r="K491" s="3">
        <v>5</v>
      </c>
      <c r="L491" s="3">
        <v>5</v>
      </c>
      <c r="M491" s="3">
        <v>5</v>
      </c>
      <c r="N491" s="3">
        <v>5</v>
      </c>
      <c r="O491" s="3">
        <v>5</v>
      </c>
      <c r="P491" s="3">
        <v>4</v>
      </c>
      <c r="Q491" s="3">
        <v>4</v>
      </c>
      <c r="R491" s="3">
        <v>5</v>
      </c>
      <c r="S491" s="3">
        <v>4</v>
      </c>
      <c r="T491" s="3">
        <v>4</v>
      </c>
      <c r="U491" s="3">
        <v>3</v>
      </c>
      <c r="V491" s="3">
        <v>4</v>
      </c>
      <c r="W491" s="3">
        <v>4</v>
      </c>
      <c r="X491" s="3">
        <v>4</v>
      </c>
      <c r="Y491" s="3">
        <v>4</v>
      </c>
      <c r="Z491" s="3">
        <v>4</v>
      </c>
      <c r="AA491" s="3">
        <v>5</v>
      </c>
      <c r="AB491" s="3">
        <v>5</v>
      </c>
      <c r="AC491" s="3">
        <v>4</v>
      </c>
      <c r="AD491" s="3">
        <v>5</v>
      </c>
      <c r="AE491" s="3">
        <v>4</v>
      </c>
      <c r="AF491" s="3">
        <v>4</v>
      </c>
      <c r="AG491" s="3">
        <v>4</v>
      </c>
      <c r="AH491" s="3">
        <v>4</v>
      </c>
      <c r="AI491" s="3">
        <v>4</v>
      </c>
      <c r="AJ491" s="3">
        <v>4</v>
      </c>
      <c r="AK491" s="3">
        <v>3</v>
      </c>
      <c r="AL491" s="3">
        <v>3</v>
      </c>
      <c r="AM491" s="3">
        <v>3</v>
      </c>
      <c r="AN491" s="3">
        <v>4</v>
      </c>
      <c r="AO491" s="3">
        <v>4</v>
      </c>
      <c r="AP491" s="3">
        <v>4</v>
      </c>
      <c r="AQ491" s="3">
        <v>4</v>
      </c>
      <c r="AR491" s="3">
        <v>3</v>
      </c>
      <c r="AS491" s="3">
        <v>4</v>
      </c>
      <c r="AT491" s="3">
        <v>4</v>
      </c>
      <c r="AU491" s="3">
        <v>4</v>
      </c>
      <c r="AV491" s="3">
        <v>3</v>
      </c>
      <c r="AW491" s="3">
        <v>5</v>
      </c>
      <c r="AX491" s="3">
        <v>4</v>
      </c>
      <c r="AY491" s="3">
        <v>5</v>
      </c>
      <c r="AZ491" s="3">
        <v>5</v>
      </c>
      <c r="BA491" s="3">
        <v>4</v>
      </c>
      <c r="BB491" s="3">
        <v>4</v>
      </c>
      <c r="BC491" s="3">
        <v>4</v>
      </c>
      <c r="BD491" s="3">
        <v>4</v>
      </c>
      <c r="BE491" s="3">
        <v>3</v>
      </c>
      <c r="BF491" s="3">
        <v>3</v>
      </c>
      <c r="BG491" s="3">
        <v>4</v>
      </c>
      <c r="BH491" s="3">
        <v>4</v>
      </c>
      <c r="BI491" s="3">
        <v>4</v>
      </c>
      <c r="BJ491" s="3">
        <v>4</v>
      </c>
      <c r="BK491" s="3">
        <v>4</v>
      </c>
      <c r="BL491" s="3">
        <v>4</v>
      </c>
      <c r="BM491" s="3">
        <v>4</v>
      </c>
      <c r="BN491" s="3">
        <v>4</v>
      </c>
      <c r="BO491" s="3">
        <v>4</v>
      </c>
      <c r="BP491" s="3" t="s">
        <v>1317</v>
      </c>
    </row>
    <row r="492" spans="1:68" ht="22.5" customHeight="1" x14ac:dyDescent="0.25">
      <c r="A492" s="2">
        <v>45994.749680567125</v>
      </c>
      <c r="B492" s="3" t="s">
        <v>1318</v>
      </c>
      <c r="C492" s="3" t="s">
        <v>86</v>
      </c>
      <c r="D492" s="3" t="s">
        <v>1319</v>
      </c>
      <c r="E492" s="3" t="s">
        <v>77</v>
      </c>
      <c r="F492" s="3" t="s">
        <v>78</v>
      </c>
      <c r="G492" s="3" t="s">
        <v>79</v>
      </c>
      <c r="H492" s="3">
        <v>4</v>
      </c>
      <c r="I492" s="3">
        <v>4</v>
      </c>
      <c r="J492" s="3">
        <v>4</v>
      </c>
      <c r="K492" s="3">
        <v>4</v>
      </c>
      <c r="L492" s="3">
        <v>4</v>
      </c>
      <c r="M492" s="3">
        <v>4</v>
      </c>
      <c r="N492" s="3">
        <v>4</v>
      </c>
      <c r="O492" s="3">
        <v>4</v>
      </c>
      <c r="P492" s="3">
        <v>4</v>
      </c>
      <c r="Q492" s="3">
        <v>4</v>
      </c>
      <c r="R492" s="3">
        <v>4</v>
      </c>
      <c r="S492" s="3">
        <v>4</v>
      </c>
      <c r="T492" s="3">
        <v>4</v>
      </c>
      <c r="U492" s="3">
        <v>4</v>
      </c>
      <c r="V492" s="3">
        <v>4</v>
      </c>
      <c r="W492" s="3">
        <v>4</v>
      </c>
      <c r="X492" s="3">
        <v>4</v>
      </c>
      <c r="Y492" s="3">
        <v>4</v>
      </c>
      <c r="Z492" s="3">
        <v>4</v>
      </c>
      <c r="AA492" s="3">
        <v>4</v>
      </c>
      <c r="AB492" s="3">
        <v>4</v>
      </c>
      <c r="AC492" s="3">
        <v>4</v>
      </c>
      <c r="AD492" s="3">
        <v>4</v>
      </c>
      <c r="AE492" s="3">
        <v>4</v>
      </c>
      <c r="AF492" s="3">
        <v>4</v>
      </c>
      <c r="AG492" s="3">
        <v>4</v>
      </c>
      <c r="AH492" s="3">
        <v>4</v>
      </c>
      <c r="AI492" s="3">
        <v>4</v>
      </c>
      <c r="AJ492" s="3">
        <v>4</v>
      </c>
      <c r="AK492" s="3">
        <v>4</v>
      </c>
      <c r="AL492" s="3">
        <v>4</v>
      </c>
      <c r="AM492" s="3">
        <v>4</v>
      </c>
      <c r="AN492" s="3">
        <v>4</v>
      </c>
      <c r="AO492" s="3">
        <v>4</v>
      </c>
      <c r="AP492" s="3">
        <v>4</v>
      </c>
      <c r="AQ492" s="3">
        <v>4</v>
      </c>
      <c r="AR492" s="3">
        <v>4</v>
      </c>
      <c r="AS492" s="3">
        <v>4</v>
      </c>
      <c r="AT492" s="3">
        <v>4</v>
      </c>
      <c r="AU492" s="3">
        <v>4</v>
      </c>
      <c r="AV492" s="3">
        <v>4</v>
      </c>
      <c r="AW492" s="3">
        <v>4</v>
      </c>
      <c r="AX492" s="3">
        <v>4</v>
      </c>
      <c r="AY492" s="3">
        <v>4</v>
      </c>
      <c r="AZ492" s="3">
        <v>4</v>
      </c>
      <c r="BA492" s="3">
        <v>4</v>
      </c>
      <c r="BB492" s="3">
        <v>4</v>
      </c>
      <c r="BC492" s="3">
        <v>4</v>
      </c>
      <c r="BD492" s="3">
        <v>4</v>
      </c>
      <c r="BE492" s="3">
        <v>4</v>
      </c>
      <c r="BF492" s="3">
        <v>4</v>
      </c>
      <c r="BG492" s="3">
        <v>4</v>
      </c>
      <c r="BH492" s="3">
        <v>4</v>
      </c>
      <c r="BI492" s="3">
        <v>4</v>
      </c>
      <c r="BJ492" s="3">
        <v>4</v>
      </c>
      <c r="BK492" s="3">
        <v>4</v>
      </c>
      <c r="BL492" s="3">
        <v>4</v>
      </c>
      <c r="BM492" s="3">
        <v>4</v>
      </c>
      <c r="BN492" s="3">
        <v>4</v>
      </c>
      <c r="BO492" s="3">
        <v>4</v>
      </c>
      <c r="BP492" s="3" t="s">
        <v>1320</v>
      </c>
    </row>
    <row r="493" spans="1:68" ht="22.5" customHeight="1" x14ac:dyDescent="0.25">
      <c r="A493" s="2">
        <v>45994.776381631949</v>
      </c>
      <c r="B493" s="3" t="s">
        <v>1321</v>
      </c>
      <c r="C493" s="3" t="s">
        <v>86</v>
      </c>
      <c r="D493" s="3" t="s">
        <v>1322</v>
      </c>
      <c r="E493" s="3" t="s">
        <v>77</v>
      </c>
      <c r="F493" s="3" t="s">
        <v>78</v>
      </c>
      <c r="G493" s="3" t="s">
        <v>79</v>
      </c>
      <c r="H493" s="3">
        <v>5</v>
      </c>
      <c r="I493" s="3">
        <v>5</v>
      </c>
      <c r="J493" s="3">
        <v>5</v>
      </c>
      <c r="K493" s="3">
        <v>4</v>
      </c>
      <c r="L493" s="3">
        <v>5</v>
      </c>
      <c r="M493" s="3">
        <v>5</v>
      </c>
      <c r="N493" s="3">
        <v>5</v>
      </c>
      <c r="O493" s="3">
        <v>5</v>
      </c>
      <c r="P493" s="3">
        <v>5</v>
      </c>
      <c r="Q493" s="3">
        <v>4</v>
      </c>
      <c r="R493" s="3">
        <v>5</v>
      </c>
      <c r="S493" s="3">
        <v>5</v>
      </c>
      <c r="T493" s="3">
        <v>5</v>
      </c>
      <c r="U493" s="3">
        <v>5</v>
      </c>
      <c r="V493" s="3">
        <v>4</v>
      </c>
      <c r="W493" s="3">
        <v>4</v>
      </c>
      <c r="X493" s="3">
        <v>4</v>
      </c>
      <c r="Y493" s="3">
        <v>4</v>
      </c>
      <c r="Z493" s="3">
        <v>4</v>
      </c>
      <c r="AA493" s="3">
        <v>5</v>
      </c>
      <c r="AB493" s="3">
        <v>5</v>
      </c>
      <c r="AC493" s="3">
        <v>4</v>
      </c>
      <c r="AD493" s="3">
        <v>4</v>
      </c>
      <c r="AE493" s="3">
        <v>5</v>
      </c>
      <c r="AF493" s="3">
        <v>5</v>
      </c>
      <c r="AG493" s="3">
        <v>5</v>
      </c>
      <c r="AH493" s="3">
        <v>5</v>
      </c>
      <c r="AI493" s="3">
        <v>5</v>
      </c>
      <c r="AJ493" s="3">
        <v>4</v>
      </c>
      <c r="AK493" s="3">
        <v>4</v>
      </c>
      <c r="AL493" s="3">
        <v>4</v>
      </c>
      <c r="AM493" s="3">
        <v>4</v>
      </c>
      <c r="AN493" s="3">
        <v>3</v>
      </c>
      <c r="AO493" s="3">
        <v>3</v>
      </c>
      <c r="AP493" s="3">
        <v>3</v>
      </c>
      <c r="AQ493" s="3">
        <v>3</v>
      </c>
      <c r="AR493" s="3">
        <v>3</v>
      </c>
      <c r="AS493" s="3">
        <v>3</v>
      </c>
      <c r="AT493" s="3">
        <v>3</v>
      </c>
      <c r="AU493" s="3">
        <v>3</v>
      </c>
      <c r="AV493" s="3">
        <v>3</v>
      </c>
      <c r="AW493" s="3">
        <v>5</v>
      </c>
      <c r="AX493" s="3">
        <v>5</v>
      </c>
      <c r="AY493" s="3">
        <v>5</v>
      </c>
      <c r="AZ493" s="3">
        <v>5</v>
      </c>
      <c r="BA493" s="3">
        <v>4</v>
      </c>
      <c r="BB493" s="3">
        <v>4</v>
      </c>
      <c r="BC493" s="3">
        <v>4</v>
      </c>
      <c r="BD493" s="3">
        <v>4</v>
      </c>
      <c r="BE493" s="3">
        <v>4</v>
      </c>
      <c r="BF493" s="3">
        <v>4</v>
      </c>
      <c r="BG493" s="3">
        <v>4</v>
      </c>
      <c r="BH493" s="3">
        <v>4</v>
      </c>
      <c r="BI493" s="3">
        <v>4</v>
      </c>
      <c r="BJ493" s="3">
        <v>5</v>
      </c>
      <c r="BK493" s="3">
        <v>5</v>
      </c>
      <c r="BL493" s="3">
        <v>5</v>
      </c>
      <c r="BM493" s="3">
        <v>5</v>
      </c>
      <c r="BN493" s="3">
        <v>4</v>
      </c>
      <c r="BO493" s="3">
        <v>4</v>
      </c>
      <c r="BP493" s="3" t="s">
        <v>1323</v>
      </c>
    </row>
    <row r="494" spans="1:68" ht="22.5" customHeight="1" x14ac:dyDescent="0.25">
      <c r="A494" s="2">
        <v>45994.783233738424</v>
      </c>
      <c r="C494" s="3" t="s">
        <v>69</v>
      </c>
      <c r="D494" s="3" t="s">
        <v>1324</v>
      </c>
      <c r="E494" s="3" t="s">
        <v>87</v>
      </c>
      <c r="F494" s="3" t="s">
        <v>82</v>
      </c>
      <c r="G494" s="3" t="s">
        <v>91</v>
      </c>
      <c r="H494" s="3">
        <v>5</v>
      </c>
      <c r="I494" s="3">
        <v>4</v>
      </c>
      <c r="J494" s="3">
        <v>4</v>
      </c>
      <c r="K494" s="3">
        <v>5</v>
      </c>
      <c r="L494" s="3">
        <v>4</v>
      </c>
      <c r="M494" s="3">
        <v>3</v>
      </c>
      <c r="N494" s="3">
        <v>3</v>
      </c>
      <c r="O494" s="3">
        <v>4</v>
      </c>
      <c r="P494" s="3">
        <v>5</v>
      </c>
      <c r="Q494" s="3">
        <v>4</v>
      </c>
      <c r="R494" s="3">
        <v>4</v>
      </c>
      <c r="S494" s="3">
        <v>3</v>
      </c>
      <c r="T494" s="3">
        <v>3</v>
      </c>
      <c r="U494" s="3">
        <v>3</v>
      </c>
      <c r="V494" s="3">
        <v>4</v>
      </c>
      <c r="W494" s="3">
        <v>4</v>
      </c>
      <c r="X494" s="3">
        <v>4</v>
      </c>
      <c r="Y494" s="3">
        <v>4</v>
      </c>
      <c r="Z494" s="3">
        <v>3</v>
      </c>
      <c r="AA494" s="3">
        <v>4</v>
      </c>
      <c r="AB494" s="3">
        <v>4</v>
      </c>
      <c r="AC494" s="3">
        <v>4</v>
      </c>
      <c r="AD494" s="3">
        <v>4</v>
      </c>
      <c r="AE494" s="3">
        <v>3</v>
      </c>
      <c r="AF494" s="3">
        <v>3</v>
      </c>
      <c r="AG494" s="3">
        <v>2</v>
      </c>
      <c r="AH494" s="3">
        <v>2</v>
      </c>
      <c r="AI494" s="3">
        <v>4</v>
      </c>
      <c r="AJ494" s="3">
        <v>3</v>
      </c>
      <c r="AK494" s="3">
        <v>4</v>
      </c>
      <c r="AL494" s="3">
        <v>3</v>
      </c>
      <c r="AM494" s="3">
        <v>2</v>
      </c>
      <c r="AN494" s="3">
        <v>4</v>
      </c>
      <c r="AO494" s="3">
        <v>4</v>
      </c>
      <c r="AP494" s="3">
        <v>3</v>
      </c>
      <c r="AQ494" s="3">
        <v>4</v>
      </c>
      <c r="AR494" s="3">
        <v>4</v>
      </c>
      <c r="AS494" s="3">
        <v>4</v>
      </c>
      <c r="AT494" s="3">
        <v>4</v>
      </c>
      <c r="AU494" s="3">
        <v>4</v>
      </c>
      <c r="AV494" s="3">
        <v>4</v>
      </c>
      <c r="AW494" s="3">
        <v>4</v>
      </c>
      <c r="AX494" s="3">
        <v>4</v>
      </c>
      <c r="AY494" s="3">
        <v>4</v>
      </c>
      <c r="AZ494" s="3">
        <v>4</v>
      </c>
      <c r="BA494" s="3">
        <v>4</v>
      </c>
      <c r="BB494" s="3">
        <v>3</v>
      </c>
      <c r="BC494" s="3">
        <v>3</v>
      </c>
      <c r="BD494" s="3">
        <v>3</v>
      </c>
      <c r="BE494" s="3">
        <v>3</v>
      </c>
      <c r="BF494" s="3">
        <v>3</v>
      </c>
      <c r="BG494" s="3">
        <v>4</v>
      </c>
      <c r="BH494" s="3">
        <v>4</v>
      </c>
      <c r="BI494" s="3">
        <v>4</v>
      </c>
      <c r="BJ494" s="3">
        <v>4</v>
      </c>
      <c r="BK494" s="3">
        <v>4</v>
      </c>
      <c r="BL494" s="3">
        <v>4</v>
      </c>
      <c r="BM494" s="3">
        <v>4</v>
      </c>
      <c r="BN494" s="3">
        <v>4</v>
      </c>
      <c r="BO494" s="3">
        <v>4</v>
      </c>
      <c r="BP494" s="3" t="s">
        <v>1325</v>
      </c>
    </row>
    <row r="495" spans="1:68" ht="22.5" customHeight="1" x14ac:dyDescent="0.25">
      <c r="A495" s="2">
        <v>45994.785617071757</v>
      </c>
      <c r="C495" s="3" t="s">
        <v>86</v>
      </c>
      <c r="D495" s="3" t="s">
        <v>1326</v>
      </c>
      <c r="E495" s="3" t="s">
        <v>119</v>
      </c>
      <c r="F495" s="3" t="s">
        <v>82</v>
      </c>
      <c r="G495" s="3" t="s">
        <v>83</v>
      </c>
      <c r="H495" s="3">
        <v>4</v>
      </c>
      <c r="I495" s="3">
        <v>4</v>
      </c>
      <c r="J495" s="3">
        <v>4</v>
      </c>
      <c r="K495" s="3">
        <v>4</v>
      </c>
      <c r="L495" s="3">
        <v>4</v>
      </c>
      <c r="M495" s="3">
        <v>3</v>
      </c>
      <c r="N495" s="3">
        <v>3</v>
      </c>
      <c r="O495" s="3">
        <v>4</v>
      </c>
      <c r="P495" s="3">
        <v>4</v>
      </c>
      <c r="Q495" s="3">
        <v>4</v>
      </c>
      <c r="R495" s="3">
        <v>4</v>
      </c>
      <c r="S495" s="3">
        <v>5</v>
      </c>
      <c r="T495" s="3">
        <v>5</v>
      </c>
      <c r="U495" s="3">
        <v>5</v>
      </c>
      <c r="V495" s="3">
        <v>4</v>
      </c>
      <c r="W495" s="3">
        <v>4</v>
      </c>
      <c r="X495" s="3">
        <v>4</v>
      </c>
      <c r="Y495" s="3">
        <v>4</v>
      </c>
      <c r="Z495" s="3">
        <v>4</v>
      </c>
      <c r="AA495" s="3">
        <v>4</v>
      </c>
      <c r="AB495" s="3">
        <v>4</v>
      </c>
      <c r="AC495" s="3">
        <v>4</v>
      </c>
      <c r="AD495" s="3">
        <v>4</v>
      </c>
      <c r="AE495" s="3">
        <v>4</v>
      </c>
      <c r="AF495" s="3">
        <v>4</v>
      </c>
      <c r="AG495" s="3">
        <v>4</v>
      </c>
      <c r="AH495" s="3">
        <v>3</v>
      </c>
      <c r="AI495" s="3">
        <v>4</v>
      </c>
      <c r="AJ495" s="3">
        <v>4</v>
      </c>
      <c r="AK495" s="3">
        <v>4</v>
      </c>
      <c r="AL495" s="3">
        <v>4</v>
      </c>
      <c r="AM495" s="3">
        <v>3</v>
      </c>
      <c r="AN495" s="3">
        <v>3</v>
      </c>
      <c r="AO495" s="3">
        <v>3</v>
      </c>
      <c r="AP495" s="3">
        <v>4</v>
      </c>
      <c r="AQ495" s="3">
        <v>5</v>
      </c>
      <c r="AR495" s="3">
        <v>4</v>
      </c>
      <c r="AS495" s="3">
        <v>4</v>
      </c>
      <c r="AT495" s="3">
        <v>4</v>
      </c>
      <c r="AU495" s="3">
        <v>4</v>
      </c>
      <c r="AV495" s="3">
        <v>4</v>
      </c>
      <c r="AW495" s="3">
        <v>4</v>
      </c>
      <c r="AX495" s="3">
        <v>4</v>
      </c>
      <c r="AY495" s="3">
        <v>4</v>
      </c>
      <c r="AZ495" s="3">
        <v>4</v>
      </c>
      <c r="BA495" s="3">
        <v>4</v>
      </c>
      <c r="BB495" s="3">
        <v>4</v>
      </c>
      <c r="BC495" s="3">
        <v>4</v>
      </c>
      <c r="BD495" s="3">
        <v>4</v>
      </c>
      <c r="BE495" s="3">
        <v>4</v>
      </c>
      <c r="BF495" s="3">
        <v>4</v>
      </c>
      <c r="BG495" s="3">
        <v>4</v>
      </c>
      <c r="BH495" s="3">
        <v>4</v>
      </c>
      <c r="BI495" s="3">
        <v>4</v>
      </c>
      <c r="BJ495" s="3">
        <v>4</v>
      </c>
      <c r="BK495" s="3">
        <v>4</v>
      </c>
      <c r="BL495" s="3">
        <v>4</v>
      </c>
      <c r="BM495" s="3">
        <v>4</v>
      </c>
      <c r="BN495" s="3">
        <v>4</v>
      </c>
      <c r="BO495" s="3">
        <v>4</v>
      </c>
      <c r="BP495" s="3" t="s">
        <v>1327</v>
      </c>
    </row>
    <row r="496" spans="1:68" ht="22.5" customHeight="1" x14ac:dyDescent="0.25">
      <c r="A496" s="2">
        <v>45995.370399606487</v>
      </c>
      <c r="B496" s="3" t="s">
        <v>1328</v>
      </c>
      <c r="C496" s="3" t="s">
        <v>86</v>
      </c>
      <c r="D496" s="3" t="s">
        <v>1329</v>
      </c>
      <c r="E496" s="3" t="s">
        <v>119</v>
      </c>
      <c r="F496" s="3" t="s">
        <v>82</v>
      </c>
      <c r="G496" s="3" t="s">
        <v>91</v>
      </c>
      <c r="H496" s="3">
        <v>5</v>
      </c>
      <c r="I496" s="3">
        <v>4</v>
      </c>
      <c r="J496" s="3">
        <v>5</v>
      </c>
      <c r="K496" s="3">
        <v>4</v>
      </c>
      <c r="L496" s="3">
        <v>5</v>
      </c>
      <c r="M496" s="3">
        <v>4</v>
      </c>
      <c r="N496" s="3">
        <v>4</v>
      </c>
      <c r="O496" s="3">
        <v>5</v>
      </c>
      <c r="P496" s="3">
        <v>5</v>
      </c>
      <c r="Q496" s="3">
        <v>5</v>
      </c>
      <c r="R496" s="3">
        <v>5</v>
      </c>
      <c r="S496" s="3">
        <v>5</v>
      </c>
      <c r="T496" s="3">
        <v>5</v>
      </c>
      <c r="U496" s="3">
        <v>5</v>
      </c>
      <c r="V496" s="3">
        <v>4</v>
      </c>
      <c r="W496" s="3">
        <v>4</v>
      </c>
      <c r="X496" s="3">
        <v>4</v>
      </c>
      <c r="Y496" s="3">
        <v>4</v>
      </c>
      <c r="Z496" s="3">
        <v>4</v>
      </c>
      <c r="AA496" s="3">
        <v>3</v>
      </c>
      <c r="AB496" s="3">
        <v>3</v>
      </c>
      <c r="AC496" s="3">
        <v>3</v>
      </c>
      <c r="AD496" s="3">
        <v>4</v>
      </c>
      <c r="AE496" s="3">
        <v>3</v>
      </c>
      <c r="AF496" s="3">
        <v>3</v>
      </c>
      <c r="AG496" s="3">
        <v>3</v>
      </c>
      <c r="AH496" s="3">
        <v>3</v>
      </c>
      <c r="AI496" s="3">
        <v>4</v>
      </c>
      <c r="AJ496" s="3">
        <v>4</v>
      </c>
      <c r="AK496" s="3">
        <v>4</v>
      </c>
      <c r="AL496" s="3">
        <v>4</v>
      </c>
      <c r="AM496" s="3">
        <v>4</v>
      </c>
      <c r="AN496" s="3">
        <v>4</v>
      </c>
      <c r="AO496" s="3">
        <v>4</v>
      </c>
      <c r="AP496" s="3">
        <v>4</v>
      </c>
      <c r="AQ496" s="3">
        <v>5</v>
      </c>
      <c r="AR496" s="3">
        <v>5</v>
      </c>
      <c r="AS496" s="3">
        <v>3</v>
      </c>
      <c r="AT496" s="3">
        <v>3</v>
      </c>
      <c r="AU496" s="3">
        <v>3</v>
      </c>
      <c r="AV496" s="3">
        <v>3</v>
      </c>
      <c r="AW496" s="3">
        <v>4</v>
      </c>
      <c r="AX496" s="3">
        <v>4</v>
      </c>
      <c r="AY496" s="3">
        <v>4</v>
      </c>
      <c r="AZ496" s="3">
        <v>4</v>
      </c>
      <c r="BA496" s="3">
        <v>3</v>
      </c>
      <c r="BB496" s="3">
        <v>3</v>
      </c>
      <c r="BC496" s="3">
        <v>3</v>
      </c>
      <c r="BD496" s="3">
        <v>3</v>
      </c>
      <c r="BE496" s="3">
        <v>4</v>
      </c>
      <c r="BF496" s="3">
        <v>3</v>
      </c>
      <c r="BG496" s="3">
        <v>4</v>
      </c>
      <c r="BH496" s="3">
        <v>4</v>
      </c>
      <c r="BI496" s="3">
        <v>4</v>
      </c>
      <c r="BJ496" s="3">
        <v>4</v>
      </c>
      <c r="BK496" s="3">
        <v>4</v>
      </c>
      <c r="BL496" s="3">
        <v>4</v>
      </c>
      <c r="BM496" s="3">
        <v>4</v>
      </c>
      <c r="BN496" s="3">
        <v>4</v>
      </c>
      <c r="BO496" s="3">
        <v>4</v>
      </c>
      <c r="BP496" s="3" t="s">
        <v>1330</v>
      </c>
    </row>
    <row r="497" spans="1:68" ht="22.5" customHeight="1" x14ac:dyDescent="0.25">
      <c r="A497" s="2">
        <v>45995.462526400464</v>
      </c>
      <c r="B497" s="3" t="s">
        <v>1331</v>
      </c>
      <c r="C497" s="3" t="s">
        <v>86</v>
      </c>
      <c r="D497" s="3" t="s">
        <v>1332</v>
      </c>
      <c r="E497" s="3" t="s">
        <v>119</v>
      </c>
      <c r="F497" s="3" t="s">
        <v>88</v>
      </c>
      <c r="G497" s="3" t="s">
        <v>83</v>
      </c>
      <c r="H497" s="3">
        <v>5</v>
      </c>
      <c r="I497" s="3">
        <v>5</v>
      </c>
      <c r="J497" s="3">
        <v>5</v>
      </c>
      <c r="K497" s="3">
        <v>3</v>
      </c>
      <c r="L497" s="3">
        <v>3</v>
      </c>
      <c r="M497" s="3">
        <v>4</v>
      </c>
      <c r="N497" s="3">
        <v>5</v>
      </c>
      <c r="O497" s="3">
        <v>5</v>
      </c>
      <c r="P497" s="3">
        <v>5</v>
      </c>
      <c r="Q497" s="3">
        <v>5</v>
      </c>
      <c r="R497" s="3">
        <v>5</v>
      </c>
      <c r="S497" s="3">
        <v>4</v>
      </c>
      <c r="T497" s="3">
        <v>5</v>
      </c>
      <c r="U497" s="3">
        <v>5</v>
      </c>
      <c r="V497" s="3">
        <v>4</v>
      </c>
      <c r="W497" s="3">
        <v>3</v>
      </c>
      <c r="X497" s="3">
        <v>5</v>
      </c>
      <c r="Y497" s="3">
        <v>5</v>
      </c>
      <c r="Z497" s="3">
        <v>5</v>
      </c>
      <c r="AA497" s="3">
        <v>5</v>
      </c>
      <c r="AB497" s="3">
        <v>4</v>
      </c>
      <c r="AC497" s="3">
        <v>5</v>
      </c>
      <c r="AD497" s="3">
        <v>5</v>
      </c>
      <c r="AE497" s="3">
        <v>5</v>
      </c>
      <c r="AF497" s="3">
        <v>5</v>
      </c>
      <c r="AG497" s="3">
        <v>5</v>
      </c>
      <c r="AH497" s="3">
        <v>5</v>
      </c>
      <c r="AI497" s="3">
        <v>5</v>
      </c>
      <c r="AJ497" s="3">
        <v>5</v>
      </c>
      <c r="AK497" s="3">
        <v>4</v>
      </c>
      <c r="AL497" s="3">
        <v>4</v>
      </c>
      <c r="AM497" s="3">
        <v>5</v>
      </c>
      <c r="AN497" s="3">
        <v>4</v>
      </c>
      <c r="AO497" s="3">
        <v>4</v>
      </c>
      <c r="AP497" s="3">
        <v>4</v>
      </c>
      <c r="AQ497" s="3">
        <v>5</v>
      </c>
      <c r="AR497" s="3">
        <v>4</v>
      </c>
      <c r="AS497" s="3">
        <v>3</v>
      </c>
      <c r="AT497" s="3">
        <v>3</v>
      </c>
      <c r="AU497" s="3">
        <v>4</v>
      </c>
      <c r="AV497" s="3">
        <v>5</v>
      </c>
      <c r="AW497" s="3">
        <v>5</v>
      </c>
      <c r="AX497" s="3">
        <v>5</v>
      </c>
      <c r="AY497" s="3">
        <v>4</v>
      </c>
      <c r="AZ497" s="3">
        <v>4</v>
      </c>
      <c r="BA497" s="3">
        <v>5</v>
      </c>
      <c r="BB497" s="3">
        <v>4</v>
      </c>
      <c r="BC497" s="3">
        <v>4</v>
      </c>
      <c r="BD497" s="3">
        <v>4</v>
      </c>
      <c r="BE497" s="3">
        <v>4</v>
      </c>
      <c r="BF497" s="3">
        <v>4</v>
      </c>
      <c r="BG497" s="3">
        <v>4</v>
      </c>
      <c r="BH497" s="3">
        <v>4</v>
      </c>
      <c r="BI497" s="3">
        <v>4</v>
      </c>
      <c r="BJ497" s="3">
        <v>4</v>
      </c>
      <c r="BK497" s="3">
        <v>5</v>
      </c>
      <c r="BL497" s="3">
        <v>4</v>
      </c>
      <c r="BM497" s="3">
        <v>4</v>
      </c>
      <c r="BN497" s="3">
        <v>4</v>
      </c>
      <c r="BO497" s="3">
        <v>4</v>
      </c>
      <c r="BP497" s="3" t="s">
        <v>1333</v>
      </c>
    </row>
    <row r="498" spans="1:68" ht="22.5" customHeight="1" x14ac:dyDescent="0.25">
      <c r="A498" s="2">
        <v>46001.438102025466</v>
      </c>
      <c r="B498" s="3" t="s">
        <v>1334</v>
      </c>
      <c r="C498" s="3" t="s">
        <v>69</v>
      </c>
      <c r="D498" s="3" t="s">
        <v>70</v>
      </c>
      <c r="E498" s="3" t="s">
        <v>71</v>
      </c>
      <c r="F498" s="3" t="s">
        <v>72</v>
      </c>
      <c r="G498" s="3" t="s">
        <v>73</v>
      </c>
      <c r="H498" s="3">
        <v>4</v>
      </c>
      <c r="I498" s="3">
        <v>4</v>
      </c>
      <c r="J498" s="3">
        <v>4</v>
      </c>
      <c r="K498" s="3">
        <v>4</v>
      </c>
      <c r="L498" s="3">
        <v>4</v>
      </c>
      <c r="M498" s="3">
        <v>4</v>
      </c>
      <c r="N498" s="3">
        <v>4</v>
      </c>
      <c r="O498" s="3">
        <v>4</v>
      </c>
      <c r="P498" s="3">
        <v>4</v>
      </c>
      <c r="Q498" s="3">
        <v>4</v>
      </c>
      <c r="R498" s="3">
        <v>4</v>
      </c>
      <c r="S498" s="3">
        <v>4</v>
      </c>
      <c r="T498" s="3">
        <v>4</v>
      </c>
      <c r="U498" s="3">
        <v>4</v>
      </c>
      <c r="V498" s="3">
        <v>4</v>
      </c>
      <c r="W498" s="3">
        <v>4</v>
      </c>
      <c r="X498" s="3">
        <v>4</v>
      </c>
      <c r="Y498" s="3">
        <v>4</v>
      </c>
      <c r="Z498" s="3">
        <v>4</v>
      </c>
      <c r="AA498" s="3">
        <v>4</v>
      </c>
      <c r="AB498" s="3">
        <v>4</v>
      </c>
      <c r="AC498" s="3">
        <v>3</v>
      </c>
      <c r="AD498" s="3">
        <v>4</v>
      </c>
      <c r="AE498" s="3">
        <v>4</v>
      </c>
      <c r="AF498" s="3">
        <v>4</v>
      </c>
      <c r="AG498" s="3">
        <v>4</v>
      </c>
      <c r="AH498" s="3">
        <v>4</v>
      </c>
      <c r="AI498" s="3">
        <v>5</v>
      </c>
      <c r="AJ498" s="3">
        <v>5</v>
      </c>
      <c r="AK498" s="3">
        <v>5</v>
      </c>
      <c r="AL498" s="3">
        <v>5</v>
      </c>
      <c r="AM498" s="3">
        <v>5</v>
      </c>
      <c r="AN498" s="3">
        <v>4</v>
      </c>
      <c r="AO498" s="3">
        <v>4</v>
      </c>
      <c r="AP498" s="3">
        <v>4</v>
      </c>
      <c r="AQ498" s="3">
        <v>4</v>
      </c>
      <c r="AR498" s="3">
        <v>4</v>
      </c>
      <c r="AS498" s="3">
        <v>4</v>
      </c>
      <c r="AT498" s="3">
        <v>4</v>
      </c>
      <c r="AU498" s="3">
        <v>4</v>
      </c>
      <c r="AV498" s="3">
        <v>4</v>
      </c>
      <c r="AW498" s="3">
        <v>5</v>
      </c>
      <c r="AX498" s="3">
        <v>4</v>
      </c>
      <c r="AY498" s="3">
        <v>4</v>
      </c>
      <c r="AZ498" s="3">
        <v>4</v>
      </c>
      <c r="BA498" s="3">
        <v>4</v>
      </c>
      <c r="BB498" s="3">
        <v>3</v>
      </c>
      <c r="BC498" s="3">
        <v>3</v>
      </c>
      <c r="BD498" s="3">
        <v>4</v>
      </c>
      <c r="BE498" s="3">
        <v>4</v>
      </c>
      <c r="BF498" s="3">
        <v>3</v>
      </c>
      <c r="BG498" s="3">
        <v>3</v>
      </c>
      <c r="BH498" s="3">
        <v>4</v>
      </c>
      <c r="BI498" s="3">
        <v>4</v>
      </c>
      <c r="BJ498" s="3">
        <v>4</v>
      </c>
      <c r="BK498" s="3">
        <v>5</v>
      </c>
      <c r="BL498" s="3">
        <v>4</v>
      </c>
      <c r="BM498" s="3">
        <v>4</v>
      </c>
      <c r="BN498" s="3">
        <v>4</v>
      </c>
      <c r="BO498" s="3">
        <v>4</v>
      </c>
      <c r="BP498" s="3" t="s">
        <v>1335</v>
      </c>
    </row>
    <row r="499" spans="1:68" ht="22.5" customHeight="1" x14ac:dyDescent="0.25">
      <c r="A499" s="2">
        <v>46001.452930185187</v>
      </c>
      <c r="B499" s="3" t="s">
        <v>1336</v>
      </c>
      <c r="C499" s="3" t="s">
        <v>69</v>
      </c>
      <c r="D499" s="3" t="s">
        <v>1337</v>
      </c>
      <c r="E499" s="3" t="s">
        <v>71</v>
      </c>
      <c r="F499" s="3" t="s">
        <v>72</v>
      </c>
      <c r="G499" s="3" t="s">
        <v>73</v>
      </c>
      <c r="H499" s="3">
        <v>5</v>
      </c>
      <c r="I499" s="3">
        <v>5</v>
      </c>
      <c r="J499" s="3">
        <v>5</v>
      </c>
      <c r="K499" s="3">
        <v>5</v>
      </c>
      <c r="L499" s="3">
        <v>5</v>
      </c>
      <c r="M499" s="3">
        <v>1</v>
      </c>
      <c r="N499" s="3">
        <v>5</v>
      </c>
      <c r="O499" s="3">
        <v>5</v>
      </c>
      <c r="P499" s="3">
        <v>5</v>
      </c>
      <c r="Q499" s="3">
        <v>5</v>
      </c>
      <c r="R499" s="3">
        <v>5</v>
      </c>
      <c r="S499" s="3">
        <v>5</v>
      </c>
      <c r="T499" s="3">
        <v>5</v>
      </c>
      <c r="U499" s="3">
        <v>5</v>
      </c>
      <c r="V499" s="3">
        <v>5</v>
      </c>
      <c r="W499" s="3">
        <v>5</v>
      </c>
      <c r="X499" s="3">
        <v>5</v>
      </c>
      <c r="Y499" s="3">
        <v>5</v>
      </c>
      <c r="Z499" s="3">
        <v>5</v>
      </c>
      <c r="AA499" s="3">
        <v>5</v>
      </c>
      <c r="AB499" s="3">
        <v>5</v>
      </c>
      <c r="AC499" s="3">
        <v>5</v>
      </c>
      <c r="AD499" s="3">
        <v>5</v>
      </c>
      <c r="AE499" s="3">
        <v>5</v>
      </c>
      <c r="AF499" s="3">
        <v>5</v>
      </c>
      <c r="AG499" s="3">
        <v>5</v>
      </c>
      <c r="AH499" s="3">
        <v>5</v>
      </c>
      <c r="AI499" s="3">
        <v>5</v>
      </c>
      <c r="AJ499" s="3">
        <v>5</v>
      </c>
      <c r="AK499" s="3">
        <v>5</v>
      </c>
      <c r="AL499" s="3">
        <v>5</v>
      </c>
      <c r="AM499" s="3">
        <v>5</v>
      </c>
      <c r="AN499" s="3">
        <v>4</v>
      </c>
      <c r="AO499" s="3">
        <v>4</v>
      </c>
      <c r="AP499" s="3">
        <v>4</v>
      </c>
      <c r="AQ499" s="3">
        <v>4</v>
      </c>
      <c r="AR499" s="3">
        <v>4</v>
      </c>
      <c r="AS499" s="3">
        <v>2</v>
      </c>
      <c r="AT499" s="3">
        <v>4</v>
      </c>
      <c r="AU499" s="3">
        <v>4</v>
      </c>
      <c r="AV499" s="3">
        <v>4</v>
      </c>
      <c r="AW499" s="3">
        <v>5</v>
      </c>
      <c r="AX499" s="3">
        <v>5</v>
      </c>
      <c r="AY499" s="3">
        <v>5</v>
      </c>
      <c r="AZ499" s="3">
        <v>5</v>
      </c>
      <c r="BA499" s="3">
        <v>1</v>
      </c>
      <c r="BB499" s="3">
        <v>1</v>
      </c>
      <c r="BC499" s="3">
        <v>5</v>
      </c>
      <c r="BD499" s="3">
        <v>5</v>
      </c>
      <c r="BE499" s="3">
        <v>5</v>
      </c>
      <c r="BF499" s="3">
        <v>5</v>
      </c>
      <c r="BG499" s="3">
        <v>5</v>
      </c>
      <c r="BH499" s="3">
        <v>5</v>
      </c>
      <c r="BI499" s="3">
        <v>5</v>
      </c>
      <c r="BJ499" s="3">
        <v>5</v>
      </c>
      <c r="BK499" s="3">
        <v>5</v>
      </c>
      <c r="BL499" s="3">
        <v>5</v>
      </c>
      <c r="BM499" s="3">
        <v>5</v>
      </c>
      <c r="BN499" s="3">
        <v>5</v>
      </c>
      <c r="BO499" s="3">
        <v>5</v>
      </c>
      <c r="BP499" s="3" t="s">
        <v>1338</v>
      </c>
    </row>
    <row r="500" spans="1:68" ht="22.5" customHeight="1" x14ac:dyDescent="0.25">
      <c r="A500" s="2">
        <v>46001.552983715279</v>
      </c>
      <c r="B500" s="3" t="s">
        <v>1339</v>
      </c>
      <c r="C500" s="3" t="s">
        <v>86</v>
      </c>
      <c r="D500" s="3" t="s">
        <v>1340</v>
      </c>
      <c r="E500" s="3" t="s">
        <v>119</v>
      </c>
      <c r="F500" s="3" t="s">
        <v>82</v>
      </c>
      <c r="G500" s="3" t="s">
        <v>91</v>
      </c>
      <c r="H500" s="3">
        <v>5</v>
      </c>
      <c r="I500" s="3">
        <v>5</v>
      </c>
      <c r="J500" s="3">
        <v>5</v>
      </c>
      <c r="K500" s="3">
        <v>5</v>
      </c>
      <c r="L500" s="3">
        <v>5</v>
      </c>
      <c r="M500" s="3">
        <v>4</v>
      </c>
      <c r="N500" s="3">
        <v>4</v>
      </c>
      <c r="O500" s="3">
        <v>5</v>
      </c>
      <c r="P500" s="3">
        <v>5</v>
      </c>
      <c r="Q500" s="3">
        <v>5</v>
      </c>
      <c r="R500" s="3">
        <v>5</v>
      </c>
      <c r="S500" s="3">
        <v>5</v>
      </c>
      <c r="T500" s="3">
        <v>5</v>
      </c>
      <c r="U500" s="3">
        <v>5</v>
      </c>
      <c r="V500" s="3">
        <v>4</v>
      </c>
      <c r="W500" s="3">
        <v>4</v>
      </c>
      <c r="X500" s="3">
        <v>4</v>
      </c>
      <c r="Y500" s="3">
        <v>5</v>
      </c>
      <c r="Z500" s="3">
        <v>4</v>
      </c>
      <c r="AA500" s="3">
        <v>3</v>
      </c>
      <c r="AB500" s="3">
        <v>3</v>
      </c>
      <c r="AC500" s="3">
        <v>3</v>
      </c>
      <c r="AD500" s="3">
        <v>5</v>
      </c>
      <c r="AE500" s="3">
        <v>4</v>
      </c>
      <c r="AF500" s="3">
        <v>4</v>
      </c>
      <c r="AG500" s="3">
        <v>4</v>
      </c>
      <c r="AH500" s="3">
        <v>4</v>
      </c>
      <c r="AI500" s="3">
        <v>4</v>
      </c>
      <c r="AJ500" s="3">
        <v>4</v>
      </c>
      <c r="AK500" s="3">
        <v>4</v>
      </c>
      <c r="AL500" s="3">
        <v>4</v>
      </c>
      <c r="AM500" s="3">
        <v>4</v>
      </c>
      <c r="AN500" s="3">
        <v>4</v>
      </c>
      <c r="AO500" s="3">
        <v>4</v>
      </c>
      <c r="AP500" s="3">
        <v>4</v>
      </c>
      <c r="AQ500" s="3">
        <v>3</v>
      </c>
      <c r="AR500" s="3">
        <v>3</v>
      </c>
      <c r="AS500" s="3">
        <v>4</v>
      </c>
      <c r="AT500" s="3">
        <v>4</v>
      </c>
      <c r="AU500" s="3">
        <v>4</v>
      </c>
      <c r="AV500" s="3">
        <v>4</v>
      </c>
      <c r="AW500" s="3">
        <v>5</v>
      </c>
      <c r="AX500" s="3">
        <v>5</v>
      </c>
      <c r="AY500" s="3">
        <v>5</v>
      </c>
      <c r="AZ500" s="3">
        <v>5</v>
      </c>
      <c r="BA500" s="3">
        <v>5</v>
      </c>
      <c r="BB500" s="3">
        <v>5</v>
      </c>
      <c r="BC500" s="3">
        <v>5</v>
      </c>
      <c r="BD500" s="3">
        <v>5</v>
      </c>
      <c r="BE500" s="3">
        <v>5</v>
      </c>
      <c r="BF500" s="3">
        <v>5</v>
      </c>
      <c r="BG500" s="3">
        <v>5</v>
      </c>
      <c r="BH500" s="3">
        <v>5</v>
      </c>
      <c r="BI500" s="3">
        <v>5</v>
      </c>
      <c r="BJ500" s="3">
        <v>5</v>
      </c>
      <c r="BK500" s="3">
        <v>4</v>
      </c>
      <c r="BL500" s="3">
        <v>5</v>
      </c>
      <c r="BM500" s="3">
        <v>5</v>
      </c>
      <c r="BN500" s="3">
        <v>4</v>
      </c>
      <c r="BO500" s="3">
        <v>4</v>
      </c>
      <c r="BP500" s="3" t="s">
        <v>1341</v>
      </c>
    </row>
    <row r="501" spans="1:68" ht="22.5" customHeight="1" x14ac:dyDescent="0.25">
      <c r="A501" s="2">
        <v>46001.555940439815</v>
      </c>
      <c r="C501" s="3" t="s">
        <v>86</v>
      </c>
      <c r="D501" s="3" t="s">
        <v>70</v>
      </c>
      <c r="E501" s="3" t="s">
        <v>119</v>
      </c>
      <c r="F501" s="3" t="s">
        <v>88</v>
      </c>
      <c r="G501" s="3" t="s">
        <v>83</v>
      </c>
      <c r="H501" s="3">
        <v>5</v>
      </c>
      <c r="I501" s="3">
        <v>5</v>
      </c>
      <c r="J501" s="3">
        <v>5</v>
      </c>
      <c r="K501" s="3">
        <v>4</v>
      </c>
      <c r="L501" s="3">
        <v>5</v>
      </c>
      <c r="M501" s="3">
        <v>4</v>
      </c>
      <c r="N501" s="3">
        <v>4</v>
      </c>
      <c r="O501" s="3">
        <v>5</v>
      </c>
      <c r="P501" s="3">
        <v>5</v>
      </c>
      <c r="Q501" s="3">
        <v>5</v>
      </c>
      <c r="R501" s="3">
        <v>5</v>
      </c>
      <c r="S501" s="3">
        <v>5</v>
      </c>
      <c r="T501" s="3">
        <v>5</v>
      </c>
      <c r="U501" s="3">
        <v>5</v>
      </c>
      <c r="V501" s="3">
        <v>4</v>
      </c>
      <c r="W501" s="3">
        <v>4</v>
      </c>
      <c r="X501" s="3">
        <v>4</v>
      </c>
      <c r="Y501" s="3">
        <v>4</v>
      </c>
      <c r="Z501" s="3">
        <v>4</v>
      </c>
      <c r="AA501" s="3">
        <v>4</v>
      </c>
      <c r="AB501" s="3">
        <v>5</v>
      </c>
      <c r="AC501" s="3">
        <v>5</v>
      </c>
      <c r="AD501" s="3">
        <v>5</v>
      </c>
      <c r="AE501" s="3">
        <v>4</v>
      </c>
      <c r="AF501" s="3">
        <v>4</v>
      </c>
      <c r="AG501" s="3">
        <v>4</v>
      </c>
      <c r="AH501" s="3">
        <v>4</v>
      </c>
      <c r="AI501" s="3">
        <v>4</v>
      </c>
      <c r="AJ501" s="3">
        <v>4</v>
      </c>
      <c r="AK501" s="3">
        <v>5</v>
      </c>
      <c r="AL501" s="3">
        <v>5</v>
      </c>
      <c r="AM501" s="3">
        <v>5</v>
      </c>
      <c r="AN501" s="3">
        <v>4</v>
      </c>
      <c r="AO501" s="3">
        <v>4</v>
      </c>
      <c r="AP501" s="3">
        <v>4</v>
      </c>
      <c r="AQ501" s="3">
        <v>4</v>
      </c>
      <c r="AR501" s="3">
        <v>4</v>
      </c>
      <c r="AS501" s="3">
        <v>4</v>
      </c>
      <c r="AT501" s="3">
        <v>4</v>
      </c>
      <c r="AU501" s="3">
        <v>4</v>
      </c>
      <c r="AV501" s="3">
        <v>4</v>
      </c>
      <c r="AW501" s="3">
        <v>5</v>
      </c>
      <c r="AX501" s="3">
        <v>5</v>
      </c>
      <c r="AY501" s="3">
        <v>5</v>
      </c>
      <c r="AZ501" s="3">
        <v>5</v>
      </c>
      <c r="BA501" s="3">
        <v>4</v>
      </c>
      <c r="BB501" s="3">
        <v>4</v>
      </c>
      <c r="BC501" s="3">
        <v>4</v>
      </c>
      <c r="BD501" s="3">
        <v>4</v>
      </c>
      <c r="BE501" s="3">
        <v>4</v>
      </c>
      <c r="BF501" s="3">
        <v>4</v>
      </c>
      <c r="BG501" s="3">
        <v>5</v>
      </c>
      <c r="BH501" s="3">
        <v>5</v>
      </c>
      <c r="BI501" s="3">
        <v>5</v>
      </c>
      <c r="BJ501" s="3">
        <v>5</v>
      </c>
      <c r="BK501" s="3">
        <v>5</v>
      </c>
      <c r="BL501" s="3">
        <v>5</v>
      </c>
      <c r="BM501" s="3">
        <v>5</v>
      </c>
      <c r="BN501" s="3">
        <v>5</v>
      </c>
      <c r="BO501" s="3">
        <v>5</v>
      </c>
      <c r="BP501" s="3" t="s">
        <v>1342</v>
      </c>
    </row>
    <row r="502" spans="1:68" ht="22.5" customHeight="1" x14ac:dyDescent="0.25">
      <c r="A502" s="2">
        <v>46001.606385277773</v>
      </c>
      <c r="B502" s="3" t="s">
        <v>1343</v>
      </c>
      <c r="C502" s="3" t="s">
        <v>86</v>
      </c>
      <c r="D502" s="3" t="s">
        <v>1344</v>
      </c>
      <c r="E502" s="3" t="s">
        <v>77</v>
      </c>
      <c r="F502" s="3" t="s">
        <v>82</v>
      </c>
      <c r="G502" s="3" t="s">
        <v>91</v>
      </c>
      <c r="H502" s="3">
        <v>5</v>
      </c>
      <c r="I502" s="3">
        <v>5</v>
      </c>
      <c r="J502" s="3">
        <v>5</v>
      </c>
      <c r="K502" s="3">
        <v>5</v>
      </c>
      <c r="L502" s="3">
        <v>5</v>
      </c>
      <c r="M502" s="3">
        <v>5</v>
      </c>
      <c r="N502" s="3">
        <v>5</v>
      </c>
      <c r="O502" s="3">
        <v>5</v>
      </c>
      <c r="P502" s="3">
        <v>4</v>
      </c>
      <c r="Q502" s="3">
        <v>5</v>
      </c>
      <c r="R502" s="3">
        <v>5</v>
      </c>
      <c r="S502" s="3">
        <v>5</v>
      </c>
      <c r="T502" s="3">
        <v>5</v>
      </c>
      <c r="U502" s="3">
        <v>5</v>
      </c>
      <c r="V502" s="3">
        <v>4</v>
      </c>
      <c r="W502" s="3">
        <v>4</v>
      </c>
      <c r="X502" s="3">
        <v>3</v>
      </c>
      <c r="Y502" s="3">
        <v>4</v>
      </c>
      <c r="Z502" s="3">
        <v>4</v>
      </c>
      <c r="AA502" s="3">
        <v>4</v>
      </c>
      <c r="AB502" s="3">
        <v>4</v>
      </c>
      <c r="AC502" s="3">
        <v>4</v>
      </c>
      <c r="AD502" s="3">
        <v>5</v>
      </c>
      <c r="AE502" s="3">
        <v>4</v>
      </c>
      <c r="AF502" s="3">
        <v>4</v>
      </c>
      <c r="AG502" s="3">
        <v>5</v>
      </c>
      <c r="AH502" s="3">
        <v>4</v>
      </c>
      <c r="AI502" s="3">
        <v>5</v>
      </c>
      <c r="AJ502" s="3">
        <v>4</v>
      </c>
      <c r="AK502" s="3">
        <v>4</v>
      </c>
      <c r="AL502" s="3">
        <v>5</v>
      </c>
      <c r="AM502" s="3">
        <v>4</v>
      </c>
      <c r="AN502" s="3">
        <v>4</v>
      </c>
      <c r="AO502" s="3">
        <v>4</v>
      </c>
      <c r="AP502" s="3">
        <v>4</v>
      </c>
      <c r="AQ502" s="3">
        <v>4</v>
      </c>
      <c r="AR502" s="3">
        <v>4</v>
      </c>
      <c r="AS502" s="3">
        <v>4</v>
      </c>
      <c r="AT502" s="3">
        <v>5</v>
      </c>
      <c r="AU502" s="3">
        <v>5</v>
      </c>
      <c r="AV502" s="3">
        <v>5</v>
      </c>
      <c r="AW502" s="3">
        <v>5</v>
      </c>
      <c r="AX502" s="3">
        <v>5</v>
      </c>
      <c r="AY502" s="3">
        <v>5</v>
      </c>
      <c r="AZ502" s="3">
        <v>5</v>
      </c>
      <c r="BA502" s="3">
        <v>5</v>
      </c>
      <c r="BB502" s="3">
        <v>4</v>
      </c>
      <c r="BC502" s="3">
        <v>5</v>
      </c>
      <c r="BD502" s="3">
        <v>4</v>
      </c>
      <c r="BE502" s="3">
        <v>4</v>
      </c>
      <c r="BF502" s="3">
        <v>4</v>
      </c>
      <c r="BG502" s="3">
        <v>5</v>
      </c>
      <c r="BH502" s="3">
        <v>5</v>
      </c>
      <c r="BI502" s="3">
        <v>5</v>
      </c>
      <c r="BJ502" s="3">
        <v>5</v>
      </c>
      <c r="BK502" s="3">
        <v>5</v>
      </c>
      <c r="BL502" s="3">
        <v>5</v>
      </c>
      <c r="BM502" s="3">
        <v>5</v>
      </c>
      <c r="BN502" s="3">
        <v>5</v>
      </c>
      <c r="BO502" s="3">
        <v>5</v>
      </c>
      <c r="BP502" s="3" t="s">
        <v>1345</v>
      </c>
    </row>
    <row r="503" spans="1:68" ht="22.5" customHeight="1" x14ac:dyDescent="0.25">
      <c r="A503" s="2">
        <v>46007.432488414357</v>
      </c>
      <c r="B503" s="3" t="s">
        <v>1346</v>
      </c>
      <c r="C503" s="3" t="s">
        <v>69</v>
      </c>
      <c r="D503" s="3" t="s">
        <v>1304</v>
      </c>
      <c r="E503" s="3" t="s">
        <v>77</v>
      </c>
      <c r="F503" s="3" t="s">
        <v>88</v>
      </c>
      <c r="G503" s="3" t="s">
        <v>83</v>
      </c>
      <c r="H503" s="3">
        <v>5</v>
      </c>
      <c r="I503" s="3">
        <v>5</v>
      </c>
      <c r="J503" s="3">
        <v>5</v>
      </c>
      <c r="K503" s="3">
        <v>5</v>
      </c>
      <c r="L503" s="3">
        <v>5</v>
      </c>
      <c r="M503" s="3">
        <v>5</v>
      </c>
      <c r="N503" s="3">
        <v>3</v>
      </c>
      <c r="O503" s="3">
        <v>5</v>
      </c>
      <c r="P503" s="3">
        <v>5</v>
      </c>
      <c r="Q503" s="3">
        <v>4</v>
      </c>
      <c r="R503" s="3">
        <v>5</v>
      </c>
      <c r="S503" s="3">
        <v>5</v>
      </c>
      <c r="T503" s="3">
        <v>5</v>
      </c>
      <c r="U503" s="3">
        <v>5</v>
      </c>
      <c r="V503" s="3">
        <v>5</v>
      </c>
      <c r="W503" s="3">
        <v>5</v>
      </c>
      <c r="X503" s="3">
        <v>3</v>
      </c>
      <c r="Y503" s="3">
        <v>5</v>
      </c>
      <c r="Z503" s="3">
        <v>5</v>
      </c>
      <c r="AA503" s="3">
        <v>4</v>
      </c>
      <c r="AB503" s="3">
        <v>5</v>
      </c>
      <c r="AC503" s="3">
        <v>5</v>
      </c>
      <c r="AD503" s="3">
        <v>5</v>
      </c>
      <c r="AE503" s="3">
        <v>5</v>
      </c>
      <c r="AF503" s="3">
        <v>5</v>
      </c>
      <c r="AG503" s="3">
        <v>5</v>
      </c>
      <c r="AH503" s="3">
        <v>5</v>
      </c>
      <c r="AI503" s="3">
        <v>5</v>
      </c>
      <c r="AJ503" s="3">
        <v>5</v>
      </c>
      <c r="AK503" s="3">
        <v>5</v>
      </c>
      <c r="AL503" s="3">
        <v>5</v>
      </c>
      <c r="AM503" s="3">
        <v>5</v>
      </c>
      <c r="AN503" s="3">
        <v>5</v>
      </c>
      <c r="AO503" s="3">
        <v>5</v>
      </c>
      <c r="AP503" s="3">
        <v>5</v>
      </c>
      <c r="AQ503" s="3">
        <v>5</v>
      </c>
      <c r="AR503" s="3">
        <v>5</v>
      </c>
      <c r="AS503" s="3">
        <v>5</v>
      </c>
      <c r="AT503" s="3">
        <v>5</v>
      </c>
      <c r="AU503" s="3">
        <v>5</v>
      </c>
      <c r="AV503" s="3">
        <v>5</v>
      </c>
      <c r="AW503" s="3">
        <v>5</v>
      </c>
      <c r="AX503" s="3">
        <v>5</v>
      </c>
      <c r="AY503" s="3">
        <v>5</v>
      </c>
      <c r="AZ503" s="3">
        <v>5</v>
      </c>
      <c r="BA503" s="3">
        <v>5</v>
      </c>
      <c r="BB503" s="3">
        <v>5</v>
      </c>
      <c r="BC503" s="3">
        <v>5</v>
      </c>
      <c r="BD503" s="3">
        <v>5</v>
      </c>
      <c r="BE503" s="3">
        <v>5</v>
      </c>
      <c r="BF503" s="3">
        <v>5</v>
      </c>
      <c r="BG503" s="3">
        <v>4</v>
      </c>
      <c r="BH503" s="3">
        <v>5</v>
      </c>
      <c r="BI503" s="3">
        <v>5</v>
      </c>
      <c r="BJ503" s="3">
        <v>5</v>
      </c>
      <c r="BK503" s="3">
        <v>5</v>
      </c>
      <c r="BL503" s="3">
        <v>5</v>
      </c>
      <c r="BM503" s="3">
        <v>5</v>
      </c>
      <c r="BN503" s="3">
        <v>5</v>
      </c>
      <c r="BO503" s="3">
        <v>5</v>
      </c>
      <c r="BP503" s="3" t="s">
        <v>1347</v>
      </c>
    </row>
    <row r="504" spans="1:68" ht="22.5" customHeight="1" x14ac:dyDescent="0.25">
      <c r="A504" s="2">
        <v>46007.448291527777</v>
      </c>
      <c r="B504" s="3" t="s">
        <v>1348</v>
      </c>
      <c r="C504" s="3" t="s">
        <v>86</v>
      </c>
      <c r="D504" s="3" t="s">
        <v>1304</v>
      </c>
      <c r="E504" s="3" t="s">
        <v>119</v>
      </c>
      <c r="F504" s="3" t="s">
        <v>103</v>
      </c>
      <c r="G504" s="3" t="s">
        <v>73</v>
      </c>
      <c r="H504" s="3">
        <v>5</v>
      </c>
      <c r="I504" s="3">
        <v>5</v>
      </c>
      <c r="J504" s="3">
        <v>5</v>
      </c>
      <c r="K504" s="3">
        <v>4</v>
      </c>
      <c r="L504" s="3">
        <v>5</v>
      </c>
      <c r="M504" s="3">
        <v>4</v>
      </c>
      <c r="N504" s="3">
        <v>4</v>
      </c>
      <c r="O504" s="3">
        <v>4</v>
      </c>
      <c r="P504" s="3">
        <v>5</v>
      </c>
      <c r="Q504" s="3">
        <v>5</v>
      </c>
      <c r="R504" s="3">
        <v>5</v>
      </c>
      <c r="S504" s="3">
        <v>5</v>
      </c>
      <c r="T504" s="3">
        <v>5</v>
      </c>
      <c r="U504" s="3">
        <v>5</v>
      </c>
      <c r="V504" s="3">
        <v>5</v>
      </c>
      <c r="W504" s="3">
        <v>5</v>
      </c>
      <c r="X504" s="3">
        <v>4</v>
      </c>
      <c r="Y504" s="3">
        <v>5</v>
      </c>
      <c r="Z504" s="3">
        <v>4</v>
      </c>
      <c r="AA504" s="3">
        <v>4</v>
      </c>
      <c r="AB504" s="3">
        <v>4</v>
      </c>
      <c r="AC504" s="3">
        <v>4</v>
      </c>
      <c r="AD504" s="3">
        <v>4</v>
      </c>
      <c r="AE504" s="3">
        <v>5</v>
      </c>
      <c r="AF504" s="3">
        <v>5</v>
      </c>
      <c r="AG504" s="3">
        <v>5</v>
      </c>
      <c r="AH504" s="3">
        <v>5</v>
      </c>
      <c r="AI504" s="3">
        <v>5</v>
      </c>
      <c r="AJ504" s="3">
        <v>5</v>
      </c>
      <c r="AK504" s="3">
        <v>5</v>
      </c>
      <c r="AL504" s="3">
        <v>5</v>
      </c>
      <c r="AM504" s="3">
        <v>5</v>
      </c>
      <c r="AN504" s="3">
        <v>4</v>
      </c>
      <c r="AO504" s="3">
        <v>4</v>
      </c>
      <c r="AP504" s="3">
        <v>4</v>
      </c>
      <c r="AQ504" s="3">
        <v>4</v>
      </c>
      <c r="AR504" s="3">
        <v>4</v>
      </c>
      <c r="AS504" s="3">
        <v>4</v>
      </c>
      <c r="AT504" s="3">
        <v>4</v>
      </c>
      <c r="AU504" s="3">
        <v>4</v>
      </c>
      <c r="AV504" s="3">
        <v>4</v>
      </c>
      <c r="AW504" s="3">
        <v>5</v>
      </c>
      <c r="AX504" s="3">
        <v>5</v>
      </c>
      <c r="AY504" s="3">
        <v>5</v>
      </c>
      <c r="AZ504" s="3">
        <v>5</v>
      </c>
      <c r="BA504" s="3">
        <v>4</v>
      </c>
      <c r="BB504" s="3">
        <v>4</v>
      </c>
      <c r="BC504" s="3">
        <v>4</v>
      </c>
      <c r="BD504" s="3">
        <v>4</v>
      </c>
      <c r="BE504" s="3">
        <v>4</v>
      </c>
      <c r="BF504" s="3">
        <v>4</v>
      </c>
      <c r="BG504" s="3">
        <v>4</v>
      </c>
      <c r="BH504" s="3">
        <v>4</v>
      </c>
      <c r="BI504" s="3">
        <v>4</v>
      </c>
      <c r="BJ504" s="3">
        <v>4</v>
      </c>
      <c r="BK504" s="3">
        <v>4</v>
      </c>
      <c r="BL504" s="3">
        <v>4</v>
      </c>
      <c r="BM504" s="3">
        <v>4</v>
      </c>
      <c r="BN504" s="3">
        <v>4</v>
      </c>
      <c r="BO504" s="3">
        <v>4</v>
      </c>
      <c r="BP504" s="3" t="s">
        <v>1349</v>
      </c>
    </row>
    <row r="505" spans="1:68" ht="22.5" customHeight="1" x14ac:dyDescent="0.25">
      <c r="A505" s="2">
        <v>46007.472785787038</v>
      </c>
      <c r="B505" s="3" t="s">
        <v>1350</v>
      </c>
      <c r="C505" s="3" t="s">
        <v>86</v>
      </c>
      <c r="D505" s="3" t="s">
        <v>1304</v>
      </c>
      <c r="E505" s="3" t="s">
        <v>119</v>
      </c>
      <c r="F505" s="3" t="s">
        <v>88</v>
      </c>
      <c r="G505" s="3" t="s">
        <v>83</v>
      </c>
      <c r="H505" s="3">
        <v>4</v>
      </c>
      <c r="I505" s="3">
        <v>4</v>
      </c>
      <c r="J505" s="3">
        <v>4</v>
      </c>
      <c r="K505" s="3">
        <v>4</v>
      </c>
      <c r="L505" s="3">
        <v>4</v>
      </c>
      <c r="M505" s="3">
        <v>4</v>
      </c>
      <c r="N505" s="3">
        <v>4</v>
      </c>
      <c r="O505" s="3">
        <v>4</v>
      </c>
      <c r="P505" s="3">
        <v>4</v>
      </c>
      <c r="Q505" s="3">
        <v>4</v>
      </c>
      <c r="R505" s="3">
        <v>4</v>
      </c>
      <c r="S505" s="3">
        <v>4</v>
      </c>
      <c r="T505" s="3">
        <v>4</v>
      </c>
      <c r="U505" s="3">
        <v>4</v>
      </c>
      <c r="V505" s="3">
        <v>3</v>
      </c>
      <c r="W505" s="3">
        <v>3</v>
      </c>
      <c r="X505" s="3">
        <v>3</v>
      </c>
      <c r="Y505" s="3">
        <v>3</v>
      </c>
      <c r="Z505" s="3">
        <v>3</v>
      </c>
      <c r="AA505" s="3">
        <v>3</v>
      </c>
      <c r="AB505" s="3">
        <v>3</v>
      </c>
      <c r="AC505" s="3">
        <v>3</v>
      </c>
      <c r="AD505" s="3">
        <v>3</v>
      </c>
      <c r="AE505" s="3">
        <v>4</v>
      </c>
      <c r="AF505" s="3">
        <v>4</v>
      </c>
      <c r="AG505" s="3">
        <v>4</v>
      </c>
      <c r="AH505" s="3">
        <v>3</v>
      </c>
      <c r="AI505" s="3">
        <v>4</v>
      </c>
      <c r="AJ505" s="3">
        <v>4</v>
      </c>
      <c r="AK505" s="3">
        <v>4</v>
      </c>
      <c r="AL505" s="3">
        <v>4</v>
      </c>
      <c r="AM505" s="3">
        <v>4</v>
      </c>
      <c r="AN505" s="3">
        <v>3</v>
      </c>
      <c r="AO505" s="3">
        <v>3</v>
      </c>
      <c r="AP505" s="3">
        <v>3</v>
      </c>
      <c r="AQ505" s="3">
        <v>3</v>
      </c>
      <c r="AR505" s="3">
        <v>3</v>
      </c>
      <c r="AS505" s="3">
        <v>3</v>
      </c>
      <c r="AT505" s="3">
        <v>3</v>
      </c>
      <c r="AU505" s="3">
        <v>3</v>
      </c>
      <c r="AV505" s="3">
        <v>3</v>
      </c>
      <c r="AW505" s="3">
        <v>4</v>
      </c>
      <c r="AX505" s="3">
        <v>4</v>
      </c>
      <c r="AY505" s="3">
        <v>4</v>
      </c>
      <c r="AZ505" s="3">
        <v>4</v>
      </c>
      <c r="BA505" s="3">
        <v>4</v>
      </c>
      <c r="BB505" s="3">
        <v>3</v>
      </c>
      <c r="BC505" s="3">
        <v>4</v>
      </c>
      <c r="BD505" s="3">
        <v>3</v>
      </c>
      <c r="BE505" s="3">
        <v>3</v>
      </c>
      <c r="BF505" s="3">
        <v>3</v>
      </c>
      <c r="BG505" s="3">
        <v>4</v>
      </c>
      <c r="BH505" s="3">
        <v>4</v>
      </c>
      <c r="BI505" s="3">
        <v>4</v>
      </c>
      <c r="BJ505" s="3">
        <v>4</v>
      </c>
      <c r="BK505" s="3">
        <v>4</v>
      </c>
      <c r="BL505" s="3">
        <v>4</v>
      </c>
      <c r="BM505" s="3">
        <v>4</v>
      </c>
      <c r="BN505" s="3">
        <v>4</v>
      </c>
      <c r="BO505" s="3">
        <v>4</v>
      </c>
      <c r="BP505" s="3" t="s">
        <v>1351</v>
      </c>
    </row>
    <row r="506" spans="1:68" ht="22.5" customHeight="1" x14ac:dyDescent="0.25">
      <c r="A506" s="2">
        <v>46007.553964525461</v>
      </c>
      <c r="B506" s="3" t="s">
        <v>1352</v>
      </c>
      <c r="C506" s="3" t="s">
        <v>69</v>
      </c>
      <c r="D506" s="3" t="s">
        <v>1304</v>
      </c>
      <c r="E506" s="3" t="s">
        <v>119</v>
      </c>
      <c r="F506" s="3" t="s">
        <v>88</v>
      </c>
      <c r="G506" s="3" t="s">
        <v>83</v>
      </c>
      <c r="H506" s="3">
        <v>5</v>
      </c>
      <c r="I506" s="3">
        <v>5</v>
      </c>
      <c r="J506" s="3">
        <v>5</v>
      </c>
      <c r="K506" s="3">
        <v>5</v>
      </c>
      <c r="L506" s="3">
        <v>5</v>
      </c>
      <c r="M506" s="3">
        <v>5</v>
      </c>
      <c r="N506" s="3">
        <v>5</v>
      </c>
      <c r="O506" s="3">
        <v>5</v>
      </c>
      <c r="P506" s="3">
        <v>5</v>
      </c>
      <c r="Q506" s="3">
        <v>5</v>
      </c>
      <c r="R506" s="3">
        <v>5</v>
      </c>
      <c r="S506" s="3">
        <v>5</v>
      </c>
      <c r="T506" s="3">
        <v>5</v>
      </c>
      <c r="U506" s="3">
        <v>5</v>
      </c>
      <c r="V506" s="3">
        <v>5</v>
      </c>
      <c r="W506" s="3">
        <v>5</v>
      </c>
      <c r="X506" s="3">
        <v>5</v>
      </c>
      <c r="Y506" s="3">
        <v>5</v>
      </c>
      <c r="Z506" s="3">
        <v>5</v>
      </c>
      <c r="AA506" s="3">
        <v>5</v>
      </c>
      <c r="AB506" s="3">
        <v>5</v>
      </c>
      <c r="AC506" s="3">
        <v>5</v>
      </c>
      <c r="AD506" s="3">
        <v>5</v>
      </c>
      <c r="AE506" s="3">
        <v>4</v>
      </c>
      <c r="AF506" s="3">
        <v>4</v>
      </c>
      <c r="AG506" s="3">
        <v>4</v>
      </c>
      <c r="AH506" s="3">
        <v>4</v>
      </c>
      <c r="AI506" s="3">
        <v>5</v>
      </c>
      <c r="AJ506" s="3">
        <v>5</v>
      </c>
      <c r="AK506" s="3">
        <v>5</v>
      </c>
      <c r="AL506" s="3">
        <v>5</v>
      </c>
      <c r="AM506" s="3">
        <v>5</v>
      </c>
      <c r="AN506" s="3">
        <v>5</v>
      </c>
      <c r="AO506" s="3">
        <v>5</v>
      </c>
      <c r="AP506" s="3">
        <v>5</v>
      </c>
      <c r="AQ506" s="3">
        <v>5</v>
      </c>
      <c r="AR506" s="3">
        <v>5</v>
      </c>
      <c r="AS506" s="3">
        <v>5</v>
      </c>
      <c r="AT506" s="3">
        <v>5</v>
      </c>
      <c r="AU506" s="3">
        <v>5</v>
      </c>
      <c r="AV506" s="3">
        <v>5</v>
      </c>
      <c r="AW506" s="3">
        <v>5</v>
      </c>
      <c r="AX506" s="3">
        <v>5</v>
      </c>
      <c r="AY506" s="3">
        <v>5</v>
      </c>
      <c r="AZ506" s="3">
        <v>5</v>
      </c>
      <c r="BA506" s="3">
        <v>5</v>
      </c>
      <c r="BB506" s="3">
        <v>5</v>
      </c>
      <c r="BC506" s="3">
        <v>5</v>
      </c>
      <c r="BD506" s="3">
        <v>5</v>
      </c>
      <c r="BE506" s="3">
        <v>5</v>
      </c>
      <c r="BF506" s="3">
        <v>5</v>
      </c>
      <c r="BG506" s="3">
        <v>5</v>
      </c>
      <c r="BH506" s="3">
        <v>5</v>
      </c>
      <c r="BI506" s="3">
        <v>5</v>
      </c>
      <c r="BJ506" s="3">
        <v>5</v>
      </c>
      <c r="BK506" s="3">
        <v>5</v>
      </c>
      <c r="BL506" s="3">
        <v>5</v>
      </c>
      <c r="BM506" s="3">
        <v>5</v>
      </c>
      <c r="BN506" s="3">
        <v>5</v>
      </c>
      <c r="BO506" s="3">
        <v>5</v>
      </c>
      <c r="BP506" s="3" t="s">
        <v>1353</v>
      </c>
    </row>
    <row r="507" spans="1:68" ht="22.5" customHeight="1" x14ac:dyDescent="0.25">
      <c r="A507" s="2">
        <v>46008.866041631947</v>
      </c>
      <c r="B507" s="3" t="s">
        <v>1354</v>
      </c>
      <c r="C507" s="3" t="s">
        <v>86</v>
      </c>
      <c r="D507" s="3" t="s">
        <v>1280</v>
      </c>
      <c r="E507" s="3" t="s">
        <v>77</v>
      </c>
      <c r="F507" s="3" t="s">
        <v>88</v>
      </c>
      <c r="G507" s="3" t="s">
        <v>79</v>
      </c>
      <c r="H507" s="3">
        <v>4</v>
      </c>
      <c r="I507" s="3">
        <v>4</v>
      </c>
      <c r="J507" s="3">
        <v>4</v>
      </c>
      <c r="K507" s="3">
        <v>3</v>
      </c>
      <c r="L507" s="3">
        <v>4</v>
      </c>
      <c r="M507" s="3">
        <v>3</v>
      </c>
      <c r="N507" s="3">
        <v>3</v>
      </c>
      <c r="O507" s="3">
        <v>3</v>
      </c>
      <c r="P507" s="3">
        <v>4</v>
      </c>
      <c r="Q507" s="3">
        <v>4</v>
      </c>
      <c r="R507" s="3">
        <v>4</v>
      </c>
      <c r="S507" s="3">
        <v>4</v>
      </c>
      <c r="T507" s="3">
        <v>3</v>
      </c>
      <c r="U507" s="3">
        <v>3</v>
      </c>
      <c r="V507" s="3">
        <v>3</v>
      </c>
      <c r="W507" s="3">
        <v>3</v>
      </c>
      <c r="X507" s="3">
        <v>2</v>
      </c>
      <c r="Y507" s="3">
        <v>3</v>
      </c>
      <c r="Z507" s="3">
        <v>2</v>
      </c>
      <c r="AA507" s="3">
        <v>3</v>
      </c>
      <c r="AB507" s="3">
        <v>3</v>
      </c>
      <c r="AC507" s="3">
        <v>2</v>
      </c>
      <c r="AD507" s="3">
        <v>4</v>
      </c>
      <c r="AE507" s="3">
        <v>3</v>
      </c>
      <c r="AF507" s="3">
        <v>3</v>
      </c>
      <c r="AG507" s="3">
        <v>4</v>
      </c>
      <c r="AH507" s="3">
        <v>3</v>
      </c>
      <c r="AI507" s="3">
        <v>4</v>
      </c>
      <c r="AJ507" s="3">
        <v>4</v>
      </c>
      <c r="AK507" s="3">
        <v>4</v>
      </c>
      <c r="AL507" s="3">
        <v>4</v>
      </c>
      <c r="AM507" s="3">
        <v>3</v>
      </c>
      <c r="AN507" s="3">
        <v>5</v>
      </c>
      <c r="AO507" s="3">
        <v>4</v>
      </c>
      <c r="AP507" s="3">
        <v>4</v>
      </c>
      <c r="AQ507" s="3">
        <v>4</v>
      </c>
      <c r="AR507" s="3">
        <v>4</v>
      </c>
      <c r="AS507" s="3">
        <v>3</v>
      </c>
      <c r="AT507" s="3">
        <v>3</v>
      </c>
      <c r="AU507" s="3">
        <v>3</v>
      </c>
      <c r="AV507" s="3">
        <v>3</v>
      </c>
      <c r="AW507" s="3">
        <v>4</v>
      </c>
      <c r="AX507" s="3">
        <v>4</v>
      </c>
      <c r="AY507" s="3">
        <v>4</v>
      </c>
      <c r="AZ507" s="3">
        <v>4</v>
      </c>
      <c r="BA507" s="3">
        <v>3</v>
      </c>
      <c r="BB507" s="3">
        <v>3</v>
      </c>
      <c r="BC507" s="3">
        <v>3</v>
      </c>
      <c r="BD507" s="3">
        <v>3</v>
      </c>
      <c r="BE507" s="3">
        <v>3</v>
      </c>
      <c r="BF507" s="3">
        <v>3</v>
      </c>
      <c r="BG507" s="3">
        <v>3</v>
      </c>
      <c r="BH507" s="3">
        <v>4</v>
      </c>
      <c r="BI507" s="3">
        <v>4</v>
      </c>
      <c r="BJ507" s="3">
        <v>4</v>
      </c>
      <c r="BK507" s="3">
        <v>4</v>
      </c>
      <c r="BL507" s="3">
        <v>4</v>
      </c>
      <c r="BM507" s="3">
        <v>4</v>
      </c>
      <c r="BN507" s="3">
        <v>4</v>
      </c>
      <c r="BO507" s="3">
        <v>4</v>
      </c>
      <c r="BP507" s="3" t="s">
        <v>1355</v>
      </c>
    </row>
    <row r="508" spans="1:68" ht="22.5" customHeight="1" x14ac:dyDescent="0.25">
      <c r="A508" s="2">
        <v>46009.357368055556</v>
      </c>
      <c r="B508" s="3" t="s">
        <v>1356</v>
      </c>
      <c r="C508" s="3" t="s">
        <v>69</v>
      </c>
      <c r="D508" s="3" t="s">
        <v>1280</v>
      </c>
      <c r="E508" s="3" t="s">
        <v>77</v>
      </c>
      <c r="F508" s="3" t="s">
        <v>88</v>
      </c>
      <c r="G508" s="3" t="s">
        <v>83</v>
      </c>
      <c r="H508" s="3">
        <v>4</v>
      </c>
      <c r="I508" s="3">
        <v>4</v>
      </c>
      <c r="J508" s="3">
        <v>4</v>
      </c>
      <c r="K508" s="3">
        <v>4</v>
      </c>
      <c r="L508" s="3">
        <v>4</v>
      </c>
      <c r="M508" s="3">
        <v>4</v>
      </c>
      <c r="N508" s="3">
        <v>3</v>
      </c>
      <c r="O508" s="3">
        <v>5</v>
      </c>
      <c r="P508" s="3">
        <v>5</v>
      </c>
      <c r="Q508" s="3">
        <v>4</v>
      </c>
      <c r="R508" s="3">
        <v>4</v>
      </c>
      <c r="S508" s="3">
        <v>3</v>
      </c>
      <c r="T508" s="3">
        <v>4</v>
      </c>
      <c r="U508" s="3">
        <v>4</v>
      </c>
      <c r="V508" s="3">
        <v>3</v>
      </c>
      <c r="W508" s="3">
        <v>3</v>
      </c>
      <c r="X508" s="3">
        <v>3</v>
      </c>
      <c r="Y508" s="3">
        <v>3</v>
      </c>
      <c r="Z508" s="3">
        <v>4</v>
      </c>
      <c r="AA508" s="3">
        <v>4</v>
      </c>
      <c r="AB508" s="3">
        <v>4</v>
      </c>
      <c r="AC508" s="3">
        <v>3</v>
      </c>
      <c r="AD508" s="3">
        <v>5</v>
      </c>
      <c r="AE508" s="3">
        <v>3</v>
      </c>
      <c r="AF508" s="3">
        <v>3</v>
      </c>
      <c r="AG508" s="3">
        <v>3</v>
      </c>
      <c r="AH508" s="3">
        <v>3</v>
      </c>
      <c r="AI508" s="3">
        <v>3</v>
      </c>
      <c r="AJ508" s="3">
        <v>3</v>
      </c>
      <c r="AK508" s="3">
        <v>4</v>
      </c>
      <c r="AL508" s="3">
        <v>3</v>
      </c>
      <c r="AM508" s="3">
        <v>4</v>
      </c>
      <c r="AN508" s="3">
        <v>3</v>
      </c>
      <c r="AO508" s="3">
        <v>4</v>
      </c>
      <c r="AP508" s="3">
        <v>4</v>
      </c>
      <c r="AQ508" s="3">
        <v>4</v>
      </c>
      <c r="AR508" s="3">
        <v>4</v>
      </c>
      <c r="AS508" s="3">
        <v>4</v>
      </c>
      <c r="AT508" s="3">
        <v>3</v>
      </c>
      <c r="AU508" s="3">
        <v>4</v>
      </c>
      <c r="AV508" s="3">
        <v>5</v>
      </c>
      <c r="AW508" s="3">
        <v>4</v>
      </c>
      <c r="AX508" s="3">
        <v>4</v>
      </c>
      <c r="AY508" s="3">
        <v>4</v>
      </c>
      <c r="AZ508" s="3">
        <v>4</v>
      </c>
      <c r="BA508" s="3">
        <v>3</v>
      </c>
      <c r="BB508" s="3">
        <v>4</v>
      </c>
      <c r="BC508" s="3">
        <v>4</v>
      </c>
      <c r="BD508" s="3">
        <v>4</v>
      </c>
      <c r="BE508" s="3">
        <v>4</v>
      </c>
      <c r="BF508" s="3">
        <v>4</v>
      </c>
      <c r="BG508" s="3">
        <v>3</v>
      </c>
      <c r="BH508" s="3">
        <v>3</v>
      </c>
      <c r="BI508" s="3">
        <v>3</v>
      </c>
      <c r="BJ508" s="3">
        <v>4</v>
      </c>
      <c r="BK508" s="3">
        <v>4</v>
      </c>
      <c r="BL508" s="3">
        <v>4</v>
      </c>
      <c r="BM508" s="3">
        <v>4</v>
      </c>
      <c r="BN508" s="3">
        <v>4</v>
      </c>
      <c r="BO508" s="3">
        <v>4</v>
      </c>
      <c r="BP508" s="3" t="s">
        <v>1357</v>
      </c>
    </row>
    <row r="509" spans="1:68" ht="22.5" customHeight="1" x14ac:dyDescent="0.25">
      <c r="A509" s="2">
        <v>46009.385470925925</v>
      </c>
      <c r="B509" s="3" t="s">
        <v>1358</v>
      </c>
      <c r="C509" s="3" t="s">
        <v>86</v>
      </c>
      <c r="D509" s="3" t="s">
        <v>1216</v>
      </c>
      <c r="E509" s="3" t="s">
        <v>77</v>
      </c>
      <c r="F509" s="3" t="s">
        <v>78</v>
      </c>
      <c r="G509" s="3" t="s">
        <v>83</v>
      </c>
      <c r="H509" s="3">
        <v>5</v>
      </c>
      <c r="I509" s="3">
        <v>5</v>
      </c>
      <c r="J509" s="3">
        <v>5</v>
      </c>
      <c r="K509" s="3">
        <v>4</v>
      </c>
      <c r="L509" s="3">
        <v>5</v>
      </c>
      <c r="M509" s="3">
        <v>4</v>
      </c>
      <c r="N509" s="3">
        <v>5</v>
      </c>
      <c r="O509" s="3">
        <v>5</v>
      </c>
      <c r="P509" s="3">
        <v>5</v>
      </c>
      <c r="Q509" s="3">
        <v>5</v>
      </c>
      <c r="R509" s="3">
        <v>5</v>
      </c>
      <c r="S509" s="3">
        <v>5</v>
      </c>
      <c r="T509" s="3">
        <v>5</v>
      </c>
      <c r="U509" s="3">
        <v>5</v>
      </c>
      <c r="V509" s="3">
        <v>3</v>
      </c>
      <c r="W509" s="3">
        <v>3</v>
      </c>
      <c r="X509" s="3">
        <v>4</v>
      </c>
      <c r="Y509" s="3">
        <v>5</v>
      </c>
      <c r="Z509" s="3">
        <v>4</v>
      </c>
      <c r="AA509" s="3">
        <v>5</v>
      </c>
      <c r="AB509" s="3">
        <v>5</v>
      </c>
      <c r="AC509" s="3">
        <v>4</v>
      </c>
      <c r="AD509" s="3">
        <v>5</v>
      </c>
      <c r="AE509" s="3">
        <v>4</v>
      </c>
      <c r="AF509" s="3">
        <v>4</v>
      </c>
      <c r="AG509" s="3">
        <v>4</v>
      </c>
      <c r="AH509" s="3">
        <v>4</v>
      </c>
      <c r="AI509" s="3">
        <v>4</v>
      </c>
      <c r="AJ509" s="3">
        <v>4</v>
      </c>
      <c r="AK509" s="3">
        <v>4</v>
      </c>
      <c r="AL509" s="3">
        <v>5</v>
      </c>
      <c r="AM509" s="3">
        <v>5</v>
      </c>
      <c r="AN509" s="3">
        <v>4</v>
      </c>
      <c r="AO509" s="3">
        <v>3</v>
      </c>
      <c r="AP509" s="3">
        <v>5</v>
      </c>
      <c r="AQ509" s="3">
        <v>5</v>
      </c>
      <c r="AR509" s="3">
        <v>5</v>
      </c>
      <c r="AS509" s="3">
        <v>3</v>
      </c>
      <c r="AT509" s="3">
        <v>4</v>
      </c>
      <c r="AU509" s="3">
        <v>4</v>
      </c>
      <c r="AV509" s="3">
        <v>5</v>
      </c>
      <c r="AW509" s="3">
        <v>5</v>
      </c>
      <c r="AX509" s="3">
        <v>5</v>
      </c>
      <c r="AY509" s="3">
        <v>5</v>
      </c>
      <c r="AZ509" s="3">
        <v>5</v>
      </c>
      <c r="BA509" s="3">
        <v>4</v>
      </c>
      <c r="BB509" s="3">
        <v>4</v>
      </c>
      <c r="BC509" s="3">
        <v>4</v>
      </c>
      <c r="BD509" s="3">
        <v>5</v>
      </c>
      <c r="BE509" s="3">
        <v>4</v>
      </c>
      <c r="BF509" s="3">
        <v>4</v>
      </c>
      <c r="BG509" s="3">
        <v>5</v>
      </c>
      <c r="BH509" s="3">
        <v>5</v>
      </c>
      <c r="BI509" s="3">
        <v>4</v>
      </c>
      <c r="BJ509" s="3">
        <v>5</v>
      </c>
      <c r="BK509" s="3">
        <v>5</v>
      </c>
      <c r="BL509" s="3">
        <v>4</v>
      </c>
      <c r="BM509" s="3">
        <v>4</v>
      </c>
      <c r="BN509" s="3">
        <v>4</v>
      </c>
      <c r="BO509" s="3">
        <v>5</v>
      </c>
      <c r="BP509" s="3" t="s">
        <v>1359</v>
      </c>
    </row>
    <row r="510" spans="1:68" ht="22.5" customHeight="1" x14ac:dyDescent="0.25">
      <c r="A510" s="2">
        <v>46009.415670034723</v>
      </c>
      <c r="B510" s="3" t="s">
        <v>1360</v>
      </c>
      <c r="C510" s="3" t="s">
        <v>69</v>
      </c>
      <c r="D510" s="3" t="s">
        <v>437</v>
      </c>
      <c r="E510" s="3" t="s">
        <v>77</v>
      </c>
      <c r="F510" s="3" t="s">
        <v>88</v>
      </c>
      <c r="G510" s="3" t="s">
        <v>83</v>
      </c>
      <c r="H510" s="3">
        <v>5</v>
      </c>
      <c r="I510" s="3">
        <v>4</v>
      </c>
      <c r="J510" s="3">
        <v>4</v>
      </c>
      <c r="K510" s="3">
        <v>3</v>
      </c>
      <c r="L510" s="3">
        <v>5</v>
      </c>
      <c r="M510" s="3">
        <v>4</v>
      </c>
      <c r="N510" s="3">
        <v>4</v>
      </c>
      <c r="O510" s="3">
        <v>4</v>
      </c>
      <c r="P510" s="3">
        <v>5</v>
      </c>
      <c r="Q510" s="3">
        <v>4</v>
      </c>
      <c r="R510" s="3">
        <v>5</v>
      </c>
      <c r="S510" s="3">
        <v>4</v>
      </c>
      <c r="T510" s="3">
        <v>5</v>
      </c>
      <c r="U510" s="3">
        <v>4</v>
      </c>
      <c r="V510" s="3">
        <v>4</v>
      </c>
      <c r="W510" s="3">
        <v>3</v>
      </c>
      <c r="X510" s="3">
        <v>4</v>
      </c>
      <c r="Y510" s="3">
        <v>4</v>
      </c>
      <c r="Z510" s="3">
        <v>5</v>
      </c>
      <c r="AA510" s="3">
        <v>5</v>
      </c>
      <c r="AB510" s="3">
        <v>4</v>
      </c>
      <c r="AC510" s="3">
        <v>5</v>
      </c>
      <c r="AD510" s="3">
        <v>5</v>
      </c>
      <c r="AE510" s="3">
        <v>5</v>
      </c>
      <c r="AF510" s="3">
        <v>5</v>
      </c>
      <c r="AG510" s="3">
        <v>5</v>
      </c>
      <c r="AH510" s="3">
        <v>4</v>
      </c>
      <c r="AI510" s="3">
        <v>5</v>
      </c>
      <c r="AJ510" s="3">
        <v>4</v>
      </c>
      <c r="AK510" s="3">
        <v>4</v>
      </c>
      <c r="AL510" s="3">
        <v>5</v>
      </c>
      <c r="AM510" s="3">
        <v>5</v>
      </c>
      <c r="AN510" s="3">
        <v>5</v>
      </c>
      <c r="AO510" s="3">
        <v>4</v>
      </c>
      <c r="AP510" s="3">
        <v>4</v>
      </c>
      <c r="AQ510" s="3">
        <v>4</v>
      </c>
      <c r="AR510" s="3">
        <v>4</v>
      </c>
      <c r="AS510" s="3">
        <v>3</v>
      </c>
      <c r="AT510" s="3">
        <v>4</v>
      </c>
      <c r="AU510" s="3">
        <v>4</v>
      </c>
      <c r="AV510" s="3">
        <v>5</v>
      </c>
      <c r="AW510" s="3">
        <v>5</v>
      </c>
      <c r="AX510" s="3">
        <v>4</v>
      </c>
      <c r="AY510" s="3">
        <v>4</v>
      </c>
      <c r="AZ510" s="3">
        <v>5</v>
      </c>
      <c r="BA510" s="3">
        <v>4</v>
      </c>
      <c r="BB510" s="3">
        <v>4</v>
      </c>
      <c r="BC510" s="3">
        <v>3</v>
      </c>
      <c r="BD510" s="3">
        <v>4</v>
      </c>
      <c r="BE510" s="3">
        <v>4</v>
      </c>
      <c r="BF510" s="3">
        <v>4</v>
      </c>
      <c r="BG510" s="3">
        <v>4</v>
      </c>
      <c r="BH510" s="3">
        <v>4</v>
      </c>
      <c r="BI510" s="3">
        <v>4</v>
      </c>
      <c r="BJ510" s="3">
        <v>5</v>
      </c>
      <c r="BK510" s="3">
        <v>4</v>
      </c>
      <c r="BL510" s="3">
        <v>4</v>
      </c>
      <c r="BM510" s="3">
        <v>4</v>
      </c>
      <c r="BN510" s="3">
        <v>4</v>
      </c>
      <c r="BO510" s="3">
        <v>4</v>
      </c>
      <c r="BP510" s="3" t="s">
        <v>1361</v>
      </c>
    </row>
    <row r="511" spans="1:68" ht="22.5" customHeight="1" x14ac:dyDescent="0.25">
      <c r="A511" s="2">
        <v>46010.445781076385</v>
      </c>
      <c r="B511" s="3" t="s">
        <v>1362</v>
      </c>
      <c r="C511" s="3" t="s">
        <v>69</v>
      </c>
      <c r="D511" s="3" t="s">
        <v>1363</v>
      </c>
      <c r="E511" s="3" t="s">
        <v>77</v>
      </c>
      <c r="F511" s="3" t="s">
        <v>78</v>
      </c>
      <c r="G511" s="3" t="s">
        <v>79</v>
      </c>
      <c r="H511" s="3">
        <v>4</v>
      </c>
      <c r="I511" s="3">
        <v>4</v>
      </c>
      <c r="J511" s="3">
        <v>3</v>
      </c>
      <c r="K511" s="3">
        <v>3</v>
      </c>
      <c r="L511" s="3">
        <v>4</v>
      </c>
      <c r="M511" s="3">
        <v>4</v>
      </c>
      <c r="N511" s="3">
        <v>4</v>
      </c>
      <c r="O511" s="3">
        <v>4</v>
      </c>
      <c r="P511" s="3">
        <v>4</v>
      </c>
      <c r="Q511" s="3">
        <v>3</v>
      </c>
      <c r="R511" s="3">
        <v>5</v>
      </c>
      <c r="S511" s="3">
        <v>3</v>
      </c>
      <c r="T511" s="3">
        <v>5</v>
      </c>
      <c r="U511" s="3">
        <v>4</v>
      </c>
      <c r="V511" s="3">
        <v>5</v>
      </c>
      <c r="W511" s="3">
        <v>4</v>
      </c>
      <c r="X511" s="3">
        <v>5</v>
      </c>
      <c r="Y511" s="3">
        <v>3</v>
      </c>
      <c r="Z511" s="3">
        <v>3</v>
      </c>
      <c r="AA511" s="3">
        <v>2</v>
      </c>
      <c r="AB511" s="3">
        <v>2</v>
      </c>
      <c r="AC511" s="3">
        <v>3</v>
      </c>
      <c r="AD511" s="3">
        <v>5</v>
      </c>
      <c r="AE511" s="3">
        <v>3</v>
      </c>
      <c r="AF511" s="3">
        <v>3</v>
      </c>
      <c r="AG511" s="3">
        <v>4</v>
      </c>
      <c r="AH511" s="3">
        <v>4</v>
      </c>
      <c r="AI511" s="3">
        <v>5</v>
      </c>
      <c r="AJ511" s="3">
        <v>4</v>
      </c>
      <c r="AK511" s="3">
        <v>3</v>
      </c>
      <c r="AL511" s="3">
        <v>4</v>
      </c>
      <c r="AM511" s="3">
        <v>5</v>
      </c>
      <c r="AN511" s="3">
        <v>5</v>
      </c>
      <c r="AO511" s="3">
        <v>3</v>
      </c>
      <c r="AP511" s="3">
        <v>4</v>
      </c>
      <c r="AQ511" s="3">
        <v>5</v>
      </c>
      <c r="AR511" s="3">
        <v>4</v>
      </c>
      <c r="AS511" s="3">
        <v>4</v>
      </c>
      <c r="AT511" s="3">
        <v>4</v>
      </c>
      <c r="AU511" s="3">
        <v>2</v>
      </c>
      <c r="AV511" s="3">
        <v>2</v>
      </c>
      <c r="AW511" s="3">
        <v>3</v>
      </c>
      <c r="AX511" s="3">
        <v>4</v>
      </c>
      <c r="AY511" s="3">
        <v>5</v>
      </c>
      <c r="AZ511" s="3">
        <v>4</v>
      </c>
      <c r="BA511" s="3">
        <v>4</v>
      </c>
      <c r="BB511" s="3">
        <v>4</v>
      </c>
      <c r="BC511" s="3">
        <v>3</v>
      </c>
      <c r="BD511" s="3">
        <v>2</v>
      </c>
      <c r="BE511" s="3">
        <v>5</v>
      </c>
      <c r="BF511" s="3">
        <v>4</v>
      </c>
      <c r="BG511" s="3">
        <v>4</v>
      </c>
      <c r="BH511" s="3">
        <v>3</v>
      </c>
      <c r="BI511" s="3">
        <v>3</v>
      </c>
      <c r="BJ511" s="3">
        <v>4</v>
      </c>
      <c r="BK511" s="3">
        <v>4</v>
      </c>
      <c r="BL511" s="3">
        <v>5</v>
      </c>
      <c r="BM511" s="3">
        <v>3</v>
      </c>
      <c r="BN511" s="3">
        <v>4</v>
      </c>
      <c r="BO511" s="3">
        <v>5</v>
      </c>
      <c r="BP511" s="3" t="s">
        <v>1364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70"/>
  <sheetViews>
    <sheetView workbookViewId="0"/>
  </sheetViews>
  <sheetFormatPr defaultColWidth="12.6640625" defaultRowHeight="15.75" customHeight="1" x14ac:dyDescent="0.25"/>
  <sheetData>
    <row r="1" spans="1:5" x14ac:dyDescent="0.25">
      <c r="A1" s="4" t="s">
        <v>1365</v>
      </c>
      <c r="B1" s="4" t="s">
        <v>1366</v>
      </c>
      <c r="C1" s="4" t="s">
        <v>1367</v>
      </c>
      <c r="D1" s="4" t="s">
        <v>1368</v>
      </c>
      <c r="E1" s="4" t="s">
        <v>1369</v>
      </c>
    </row>
    <row r="2" spans="1:5" x14ac:dyDescent="0.25">
      <c r="A2" s="4" t="s">
        <v>0</v>
      </c>
      <c r="C2" s="4" t="s">
        <v>1370</v>
      </c>
      <c r="D2" s="4" t="s">
        <v>1370</v>
      </c>
    </row>
    <row r="3" spans="1:5" x14ac:dyDescent="0.25">
      <c r="A3" s="4" t="s">
        <v>1</v>
      </c>
      <c r="C3" s="4" t="s">
        <v>1371</v>
      </c>
      <c r="D3" s="4"/>
      <c r="E3" s="4" t="s">
        <v>1372</v>
      </c>
    </row>
    <row r="4" spans="1:5" x14ac:dyDescent="0.25">
      <c r="A4" s="4" t="s">
        <v>2</v>
      </c>
      <c r="C4" s="4" t="s">
        <v>1373</v>
      </c>
      <c r="D4" s="4" t="s">
        <v>1374</v>
      </c>
      <c r="E4" s="4" t="s">
        <v>1375</v>
      </c>
    </row>
    <row r="5" spans="1:5" x14ac:dyDescent="0.25">
      <c r="A5" s="4" t="s">
        <v>3</v>
      </c>
      <c r="C5" s="4" t="s">
        <v>1376</v>
      </c>
      <c r="D5" s="4" t="s">
        <v>1377</v>
      </c>
    </row>
    <row r="6" spans="1:5" x14ac:dyDescent="0.25">
      <c r="A6" s="4" t="s">
        <v>1378</v>
      </c>
      <c r="C6" s="4" t="s">
        <v>1379</v>
      </c>
      <c r="D6" s="4" t="s">
        <v>1379</v>
      </c>
    </row>
    <row r="7" spans="1:5" x14ac:dyDescent="0.25">
      <c r="A7" s="4" t="s">
        <v>4</v>
      </c>
      <c r="C7" s="4" t="s">
        <v>1380</v>
      </c>
      <c r="D7" s="4" t="s">
        <v>1381</v>
      </c>
    </row>
    <row r="8" spans="1:5" x14ac:dyDescent="0.25">
      <c r="A8" s="4" t="s">
        <v>5</v>
      </c>
      <c r="C8" s="4" t="s">
        <v>1382</v>
      </c>
      <c r="D8" s="4" t="s">
        <v>1383</v>
      </c>
    </row>
    <row r="9" spans="1:5" x14ac:dyDescent="0.25">
      <c r="A9" s="4" t="s">
        <v>6</v>
      </c>
      <c r="C9" s="4" t="s">
        <v>1384</v>
      </c>
      <c r="D9" s="4" t="s">
        <v>1385</v>
      </c>
    </row>
    <row r="10" spans="1:5" x14ac:dyDescent="0.25">
      <c r="A10" s="4" t="s">
        <v>1386</v>
      </c>
      <c r="B10" s="4" t="s">
        <v>1387</v>
      </c>
      <c r="C10" s="4" t="s">
        <v>1388</v>
      </c>
      <c r="D10" s="4" t="s">
        <v>1389</v>
      </c>
    </row>
    <row r="11" spans="1:5" x14ac:dyDescent="0.25">
      <c r="A11" s="4" t="s">
        <v>1390</v>
      </c>
      <c r="B11" s="4" t="s">
        <v>1387</v>
      </c>
      <c r="C11" s="4" t="s">
        <v>1391</v>
      </c>
      <c r="D11" s="4" t="s">
        <v>1392</v>
      </c>
    </row>
    <row r="12" spans="1:5" x14ac:dyDescent="0.25">
      <c r="A12" s="4" t="s">
        <v>1393</v>
      </c>
      <c r="B12" s="4" t="s">
        <v>1387</v>
      </c>
      <c r="C12" s="4" t="s">
        <v>1394</v>
      </c>
      <c r="D12" s="4" t="s">
        <v>1395</v>
      </c>
    </row>
    <row r="13" spans="1:5" x14ac:dyDescent="0.25">
      <c r="A13" s="4" t="s">
        <v>1396</v>
      </c>
      <c r="B13" s="4" t="s">
        <v>1387</v>
      </c>
      <c r="C13" s="4" t="s">
        <v>1397</v>
      </c>
      <c r="D13" s="4" t="s">
        <v>1398</v>
      </c>
    </row>
    <row r="14" spans="1:5" x14ac:dyDescent="0.25">
      <c r="A14" s="4" t="s">
        <v>1399</v>
      </c>
      <c r="B14" s="4" t="s">
        <v>1387</v>
      </c>
      <c r="C14" s="4" t="s">
        <v>1400</v>
      </c>
      <c r="D14" s="4" t="s">
        <v>1401</v>
      </c>
    </row>
    <row r="15" spans="1:5" x14ac:dyDescent="0.25">
      <c r="A15" s="4" t="s">
        <v>1402</v>
      </c>
      <c r="B15" s="4" t="s">
        <v>1387</v>
      </c>
      <c r="C15" s="4" t="s">
        <v>1403</v>
      </c>
      <c r="D15" s="4" t="s">
        <v>1404</v>
      </c>
    </row>
    <row r="16" spans="1:5" x14ac:dyDescent="0.25">
      <c r="A16" s="4" t="s">
        <v>1405</v>
      </c>
      <c r="B16" s="4" t="s">
        <v>1387</v>
      </c>
      <c r="C16" s="4" t="s">
        <v>1406</v>
      </c>
      <c r="D16" s="4" t="s">
        <v>1407</v>
      </c>
    </row>
    <row r="17" spans="1:4" x14ac:dyDescent="0.25">
      <c r="A17" s="4" t="s">
        <v>1408</v>
      </c>
      <c r="B17" s="4" t="s">
        <v>1387</v>
      </c>
      <c r="C17" s="4" t="s">
        <v>1409</v>
      </c>
      <c r="D17" s="4" t="s">
        <v>1410</v>
      </c>
    </row>
    <row r="18" spans="1:4" x14ac:dyDescent="0.25">
      <c r="A18" s="4" t="s">
        <v>1411</v>
      </c>
      <c r="B18" s="4" t="s">
        <v>1387</v>
      </c>
      <c r="C18" s="4" t="s">
        <v>1412</v>
      </c>
      <c r="D18" s="4" t="s">
        <v>1413</v>
      </c>
    </row>
    <row r="19" spans="1:4" x14ac:dyDescent="0.25">
      <c r="A19" s="4" t="s">
        <v>1414</v>
      </c>
      <c r="B19" s="4" t="s">
        <v>1415</v>
      </c>
      <c r="C19" s="4" t="s">
        <v>1416</v>
      </c>
      <c r="D19" s="4" t="s">
        <v>1417</v>
      </c>
    </row>
    <row r="20" spans="1:4" x14ac:dyDescent="0.25">
      <c r="A20" s="4" t="s">
        <v>1418</v>
      </c>
      <c r="B20" s="4" t="s">
        <v>1415</v>
      </c>
      <c r="C20" s="4" t="s">
        <v>1419</v>
      </c>
      <c r="D20" s="4" t="s">
        <v>1420</v>
      </c>
    </row>
    <row r="21" spans="1:4" x14ac:dyDescent="0.25">
      <c r="A21" s="4" t="s">
        <v>1421</v>
      </c>
      <c r="B21" s="4" t="s">
        <v>1415</v>
      </c>
      <c r="C21" s="4" t="s">
        <v>1422</v>
      </c>
      <c r="D21" s="4" t="s">
        <v>1423</v>
      </c>
    </row>
    <row r="22" spans="1:4" x14ac:dyDescent="0.25">
      <c r="A22" s="4" t="s">
        <v>1424</v>
      </c>
      <c r="B22" s="4" t="s">
        <v>1415</v>
      </c>
      <c r="C22" s="4" t="s">
        <v>1425</v>
      </c>
      <c r="D22" s="4" t="s">
        <v>1426</v>
      </c>
    </row>
    <row r="23" spans="1:4" x14ac:dyDescent="0.25">
      <c r="A23" s="4" t="s">
        <v>1427</v>
      </c>
      <c r="B23" s="4" t="s">
        <v>1415</v>
      </c>
      <c r="C23" s="4" t="s">
        <v>1428</v>
      </c>
      <c r="D23" s="4" t="s">
        <v>1429</v>
      </c>
    </row>
    <row r="24" spans="1:4" x14ac:dyDescent="0.25">
      <c r="A24" s="4" t="s">
        <v>1430</v>
      </c>
      <c r="B24" s="4" t="s">
        <v>1431</v>
      </c>
      <c r="C24" s="4" t="s">
        <v>1432</v>
      </c>
      <c r="D24" s="4" t="s">
        <v>1433</v>
      </c>
    </row>
    <row r="25" spans="1:4" x14ac:dyDescent="0.25">
      <c r="A25" s="4" t="s">
        <v>1434</v>
      </c>
      <c r="B25" s="4" t="s">
        <v>1431</v>
      </c>
      <c r="C25" s="4" t="s">
        <v>1435</v>
      </c>
      <c r="D25" s="4" t="s">
        <v>1436</v>
      </c>
    </row>
    <row r="26" spans="1:4" x14ac:dyDescent="0.25">
      <c r="A26" s="4" t="s">
        <v>1437</v>
      </c>
      <c r="B26" s="4" t="s">
        <v>1431</v>
      </c>
      <c r="C26" s="4" t="s">
        <v>1438</v>
      </c>
      <c r="D26" s="4" t="s">
        <v>1439</v>
      </c>
    </row>
    <row r="27" spans="1:4" x14ac:dyDescent="0.25">
      <c r="A27" s="4" t="s">
        <v>1440</v>
      </c>
      <c r="B27" s="4" t="s">
        <v>1431</v>
      </c>
      <c r="C27" s="4" t="s">
        <v>1441</v>
      </c>
      <c r="D27" s="4" t="s">
        <v>1442</v>
      </c>
    </row>
    <row r="28" spans="1:4" x14ac:dyDescent="0.25">
      <c r="A28" s="4" t="s">
        <v>1443</v>
      </c>
      <c r="B28" s="4" t="s">
        <v>1431</v>
      </c>
      <c r="C28" s="4" t="s">
        <v>1444</v>
      </c>
      <c r="D28" s="4" t="s">
        <v>1445</v>
      </c>
    </row>
    <row r="29" spans="1:4" x14ac:dyDescent="0.25">
      <c r="A29" s="4" t="s">
        <v>1446</v>
      </c>
      <c r="B29" s="4" t="s">
        <v>1447</v>
      </c>
      <c r="C29" s="4" t="s">
        <v>1448</v>
      </c>
      <c r="D29" s="4" t="s">
        <v>1449</v>
      </c>
    </row>
    <row r="30" spans="1:4" x14ac:dyDescent="0.25">
      <c r="A30" s="4" t="s">
        <v>1450</v>
      </c>
      <c r="B30" s="4" t="s">
        <v>1447</v>
      </c>
      <c r="C30" s="4" t="s">
        <v>1451</v>
      </c>
      <c r="D30" s="4" t="s">
        <v>1452</v>
      </c>
    </row>
    <row r="31" spans="1:4" x14ac:dyDescent="0.25">
      <c r="A31" s="4" t="s">
        <v>1453</v>
      </c>
      <c r="B31" s="4" t="s">
        <v>1447</v>
      </c>
      <c r="C31" s="4" t="s">
        <v>1454</v>
      </c>
      <c r="D31" s="4" t="s">
        <v>1455</v>
      </c>
    </row>
    <row r="32" spans="1:4" x14ac:dyDescent="0.25">
      <c r="A32" s="4" t="s">
        <v>1456</v>
      </c>
      <c r="B32" s="4" t="s">
        <v>1447</v>
      </c>
      <c r="C32" s="4" t="s">
        <v>1457</v>
      </c>
      <c r="D32" s="4" t="s">
        <v>1458</v>
      </c>
    </row>
    <row r="33" spans="1:4" x14ac:dyDescent="0.25">
      <c r="A33" s="4" t="s">
        <v>1459</v>
      </c>
      <c r="B33" s="4" t="s">
        <v>1460</v>
      </c>
      <c r="C33" s="4" t="s">
        <v>1461</v>
      </c>
      <c r="D33" s="4" t="s">
        <v>1462</v>
      </c>
    </row>
    <row r="34" spans="1:4" x14ac:dyDescent="0.25">
      <c r="A34" s="4" t="s">
        <v>1463</v>
      </c>
      <c r="B34" s="4" t="s">
        <v>1460</v>
      </c>
      <c r="C34" s="4" t="s">
        <v>1464</v>
      </c>
      <c r="D34" s="4" t="s">
        <v>1465</v>
      </c>
    </row>
    <row r="35" spans="1:4" x14ac:dyDescent="0.25">
      <c r="A35" s="4" t="s">
        <v>1466</v>
      </c>
      <c r="B35" s="4" t="s">
        <v>1460</v>
      </c>
      <c r="C35" s="4" t="s">
        <v>1467</v>
      </c>
      <c r="D35" s="4" t="s">
        <v>1468</v>
      </c>
    </row>
    <row r="36" spans="1:4" x14ac:dyDescent="0.25">
      <c r="A36" s="4" t="s">
        <v>1469</v>
      </c>
      <c r="B36" s="4" t="s">
        <v>1460</v>
      </c>
      <c r="C36" s="4" t="s">
        <v>1470</v>
      </c>
      <c r="D36" s="4" t="s">
        <v>1471</v>
      </c>
    </row>
    <row r="37" spans="1:4" x14ac:dyDescent="0.25">
      <c r="A37" s="4" t="s">
        <v>1472</v>
      </c>
      <c r="B37" s="4" t="s">
        <v>1473</v>
      </c>
      <c r="C37" s="4" t="s">
        <v>1474</v>
      </c>
      <c r="D37" s="4" t="s">
        <v>1475</v>
      </c>
    </row>
    <row r="38" spans="1:4" x14ac:dyDescent="0.25">
      <c r="A38" s="4" t="s">
        <v>1476</v>
      </c>
      <c r="B38" s="4" t="s">
        <v>1473</v>
      </c>
      <c r="C38" s="4" t="s">
        <v>1477</v>
      </c>
      <c r="D38" s="4" t="s">
        <v>1478</v>
      </c>
    </row>
    <row r="39" spans="1:4" x14ac:dyDescent="0.25">
      <c r="A39" s="4" t="s">
        <v>1479</v>
      </c>
      <c r="B39" s="4" t="s">
        <v>1473</v>
      </c>
      <c r="C39" s="4" t="s">
        <v>1480</v>
      </c>
      <c r="D39" s="4" t="s">
        <v>1481</v>
      </c>
    </row>
    <row r="40" spans="1:4" x14ac:dyDescent="0.25">
      <c r="A40" s="4" t="s">
        <v>1482</v>
      </c>
      <c r="B40" s="4" t="s">
        <v>1473</v>
      </c>
      <c r="C40" s="4" t="s">
        <v>1483</v>
      </c>
      <c r="D40" s="4" t="s">
        <v>1484</v>
      </c>
    </row>
    <row r="41" spans="1:4" x14ac:dyDescent="0.25">
      <c r="A41" s="4" t="s">
        <v>1485</v>
      </c>
      <c r="B41" s="4" t="s">
        <v>1473</v>
      </c>
      <c r="C41" s="4" t="s">
        <v>1486</v>
      </c>
      <c r="D41" s="4" t="s">
        <v>1487</v>
      </c>
    </row>
    <row r="42" spans="1:4" x14ac:dyDescent="0.25">
      <c r="A42" s="4" t="s">
        <v>1488</v>
      </c>
      <c r="B42" s="4" t="s">
        <v>1489</v>
      </c>
      <c r="C42" s="4" t="s">
        <v>1490</v>
      </c>
      <c r="D42" s="4" t="s">
        <v>1491</v>
      </c>
    </row>
    <row r="43" spans="1:4" x14ac:dyDescent="0.25">
      <c r="A43" s="4" t="s">
        <v>1492</v>
      </c>
      <c r="B43" s="4" t="s">
        <v>1489</v>
      </c>
      <c r="C43" s="4" t="s">
        <v>1493</v>
      </c>
      <c r="D43" s="4" t="s">
        <v>1494</v>
      </c>
    </row>
    <row r="44" spans="1:4" x14ac:dyDescent="0.25">
      <c r="A44" s="4" t="s">
        <v>1495</v>
      </c>
      <c r="B44" s="4" t="s">
        <v>1489</v>
      </c>
      <c r="C44" s="4" t="s">
        <v>1496</v>
      </c>
      <c r="D44" s="4" t="s">
        <v>1497</v>
      </c>
    </row>
    <row r="45" spans="1:4" x14ac:dyDescent="0.25">
      <c r="A45" s="4" t="s">
        <v>1498</v>
      </c>
      <c r="B45" s="4" t="s">
        <v>1489</v>
      </c>
      <c r="C45" s="4" t="s">
        <v>1499</v>
      </c>
      <c r="D45" s="4" t="s">
        <v>1500</v>
      </c>
    </row>
    <row r="46" spans="1:4" x14ac:dyDescent="0.25">
      <c r="A46" s="4" t="s">
        <v>1501</v>
      </c>
      <c r="B46" s="4" t="s">
        <v>1489</v>
      </c>
      <c r="C46" s="4" t="s">
        <v>1502</v>
      </c>
      <c r="D46" s="4" t="s">
        <v>1503</v>
      </c>
    </row>
    <row r="47" spans="1:4" x14ac:dyDescent="0.25">
      <c r="A47" s="4" t="s">
        <v>1504</v>
      </c>
      <c r="B47" s="4" t="s">
        <v>1489</v>
      </c>
      <c r="C47" s="4" t="s">
        <v>1505</v>
      </c>
      <c r="D47" s="4" t="s">
        <v>1506</v>
      </c>
    </row>
    <row r="48" spans="1:4" x14ac:dyDescent="0.25">
      <c r="A48" s="4" t="s">
        <v>1507</v>
      </c>
      <c r="B48" s="4" t="s">
        <v>1489</v>
      </c>
      <c r="C48" s="4" t="s">
        <v>1508</v>
      </c>
      <c r="D48" s="4" t="s">
        <v>1509</v>
      </c>
    </row>
    <row r="49" spans="1:4" x14ac:dyDescent="0.25">
      <c r="A49" s="4" t="s">
        <v>1510</v>
      </c>
      <c r="B49" s="4" t="s">
        <v>1489</v>
      </c>
      <c r="C49" s="4" t="s">
        <v>1511</v>
      </c>
      <c r="D49" s="4" t="s">
        <v>1512</v>
      </c>
    </row>
    <row r="50" spans="1:4" x14ac:dyDescent="0.25">
      <c r="A50" s="4" t="s">
        <v>1513</v>
      </c>
      <c r="B50" s="4" t="s">
        <v>1489</v>
      </c>
      <c r="C50" s="4" t="s">
        <v>1514</v>
      </c>
      <c r="D50" s="4" t="s">
        <v>1515</v>
      </c>
    </row>
    <row r="51" spans="1:4" x14ac:dyDescent="0.25">
      <c r="A51" s="4" t="s">
        <v>1516</v>
      </c>
      <c r="B51" s="4" t="s">
        <v>1517</v>
      </c>
      <c r="C51" s="4" t="s">
        <v>1518</v>
      </c>
      <c r="D51" s="4" t="s">
        <v>1519</v>
      </c>
    </row>
    <row r="52" spans="1:4" x14ac:dyDescent="0.25">
      <c r="A52" s="4" t="s">
        <v>1520</v>
      </c>
      <c r="B52" s="4" t="s">
        <v>1517</v>
      </c>
      <c r="C52" s="4" t="s">
        <v>1521</v>
      </c>
      <c r="D52" s="4" t="s">
        <v>1522</v>
      </c>
    </row>
    <row r="53" spans="1:4" x14ac:dyDescent="0.25">
      <c r="A53" s="4" t="s">
        <v>1523</v>
      </c>
      <c r="B53" s="4" t="s">
        <v>1517</v>
      </c>
      <c r="C53" s="4" t="s">
        <v>1524</v>
      </c>
      <c r="D53" s="4" t="s">
        <v>1525</v>
      </c>
    </row>
    <row r="54" spans="1:4" x14ac:dyDescent="0.25">
      <c r="A54" s="4" t="s">
        <v>1526</v>
      </c>
      <c r="B54" s="4" t="s">
        <v>1517</v>
      </c>
      <c r="C54" s="4" t="s">
        <v>1527</v>
      </c>
      <c r="D54" s="4" t="s">
        <v>1528</v>
      </c>
    </row>
    <row r="55" spans="1:4" x14ac:dyDescent="0.25">
      <c r="A55" s="4" t="s">
        <v>1529</v>
      </c>
      <c r="B55" s="4" t="s">
        <v>1530</v>
      </c>
      <c r="C55" s="4" t="s">
        <v>1531</v>
      </c>
      <c r="D55" s="4" t="s">
        <v>1532</v>
      </c>
    </row>
    <row r="56" spans="1:4" x14ac:dyDescent="0.25">
      <c r="A56" s="4" t="s">
        <v>1533</v>
      </c>
      <c r="B56" s="4" t="s">
        <v>1530</v>
      </c>
      <c r="C56" s="4" t="s">
        <v>1534</v>
      </c>
      <c r="D56" s="4" t="s">
        <v>1535</v>
      </c>
    </row>
    <row r="57" spans="1:4" x14ac:dyDescent="0.25">
      <c r="A57" s="4" t="s">
        <v>1536</v>
      </c>
      <c r="B57" s="4" t="s">
        <v>1530</v>
      </c>
      <c r="C57" s="4" t="s">
        <v>1537</v>
      </c>
      <c r="D57" s="4" t="s">
        <v>1538</v>
      </c>
    </row>
    <row r="58" spans="1:4" x14ac:dyDescent="0.25">
      <c r="A58" s="4" t="s">
        <v>1539</v>
      </c>
      <c r="B58" s="4" t="s">
        <v>1530</v>
      </c>
      <c r="C58" s="4" t="s">
        <v>1540</v>
      </c>
      <c r="D58" s="4" t="s">
        <v>1541</v>
      </c>
    </row>
    <row r="59" spans="1:4" x14ac:dyDescent="0.25">
      <c r="A59" s="4" t="s">
        <v>1542</v>
      </c>
      <c r="B59" s="4" t="s">
        <v>1530</v>
      </c>
      <c r="C59" s="4" t="s">
        <v>1543</v>
      </c>
      <c r="D59" s="4" t="s">
        <v>1544</v>
      </c>
    </row>
    <row r="60" spans="1:4" x14ac:dyDescent="0.25">
      <c r="A60" s="4" t="s">
        <v>1545</v>
      </c>
      <c r="B60" s="4" t="s">
        <v>1530</v>
      </c>
      <c r="C60" s="4" t="s">
        <v>1546</v>
      </c>
      <c r="D60" s="4" t="s">
        <v>1547</v>
      </c>
    </row>
    <row r="61" spans="1:4" x14ac:dyDescent="0.25">
      <c r="A61" s="4" t="s">
        <v>1548</v>
      </c>
      <c r="B61" s="4" t="s">
        <v>1549</v>
      </c>
      <c r="C61" s="4" t="s">
        <v>1550</v>
      </c>
      <c r="D61" s="4" t="s">
        <v>1551</v>
      </c>
    </row>
    <row r="62" spans="1:4" x14ac:dyDescent="0.25">
      <c r="A62" s="4" t="s">
        <v>1552</v>
      </c>
      <c r="B62" s="4" t="s">
        <v>1549</v>
      </c>
      <c r="C62" s="4" t="s">
        <v>1553</v>
      </c>
      <c r="D62" s="4" t="s">
        <v>1554</v>
      </c>
    </row>
    <row r="63" spans="1:4" x14ac:dyDescent="0.25">
      <c r="A63" s="4" t="s">
        <v>1555</v>
      </c>
      <c r="B63" s="4" t="s">
        <v>1549</v>
      </c>
      <c r="C63" s="4" t="s">
        <v>1556</v>
      </c>
      <c r="D63" s="4" t="s">
        <v>1557</v>
      </c>
    </row>
    <row r="64" spans="1:4" x14ac:dyDescent="0.25">
      <c r="A64" s="4" t="s">
        <v>1558</v>
      </c>
      <c r="B64" s="4" t="s">
        <v>1559</v>
      </c>
      <c r="C64" s="4" t="s">
        <v>1560</v>
      </c>
      <c r="D64" s="4" t="s">
        <v>1561</v>
      </c>
    </row>
    <row r="65" spans="1:4" x14ac:dyDescent="0.25">
      <c r="A65" s="4" t="s">
        <v>1562</v>
      </c>
      <c r="B65" s="4" t="s">
        <v>1559</v>
      </c>
      <c r="C65" s="4" t="s">
        <v>1563</v>
      </c>
      <c r="D65" s="4" t="s">
        <v>1564</v>
      </c>
    </row>
    <row r="66" spans="1:4" x14ac:dyDescent="0.25">
      <c r="A66" s="4" t="s">
        <v>1565</v>
      </c>
      <c r="B66" s="4" t="s">
        <v>1559</v>
      </c>
      <c r="C66" s="4" t="s">
        <v>1566</v>
      </c>
      <c r="D66" s="4" t="s">
        <v>1567</v>
      </c>
    </row>
    <row r="67" spans="1:4" x14ac:dyDescent="0.25">
      <c r="A67" s="4" t="s">
        <v>1568</v>
      </c>
      <c r="B67" s="4" t="s">
        <v>1559</v>
      </c>
      <c r="C67" s="4" t="s">
        <v>1569</v>
      </c>
      <c r="D67" s="4" t="s">
        <v>1570</v>
      </c>
    </row>
    <row r="68" spans="1:4" x14ac:dyDescent="0.25">
      <c r="A68" s="4" t="s">
        <v>1571</v>
      </c>
      <c r="B68" s="4" t="s">
        <v>1559</v>
      </c>
      <c r="C68" s="4" t="s">
        <v>1572</v>
      </c>
      <c r="D68" s="4" t="s">
        <v>1573</v>
      </c>
    </row>
    <row r="69" spans="1:4" x14ac:dyDescent="0.25">
      <c r="A69" s="4" t="s">
        <v>1574</v>
      </c>
      <c r="B69" s="4" t="s">
        <v>1559</v>
      </c>
      <c r="C69" s="4" t="s">
        <v>1575</v>
      </c>
      <c r="D69" s="4" t="s">
        <v>1576</v>
      </c>
    </row>
    <row r="70" spans="1:4" x14ac:dyDescent="0.25">
      <c r="A70" s="4" t="s">
        <v>67</v>
      </c>
      <c r="C70" s="4" t="s">
        <v>67</v>
      </c>
      <c r="D70" s="4" t="s">
        <v>1577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P956"/>
  <sheetViews>
    <sheetView tabSelected="1" workbookViewId="0">
      <selection activeCell="A116" sqref="A116:XFD116"/>
    </sheetView>
  </sheetViews>
  <sheetFormatPr defaultColWidth="12.6640625" defaultRowHeight="15.75" customHeight="1" x14ac:dyDescent="0.25"/>
  <cols>
    <col min="2" max="2" width="17.77734375" customWidth="1"/>
    <col min="5" max="5" width="51.88671875" customWidth="1"/>
    <col min="8" max="8" width="28.109375" customWidth="1"/>
    <col min="9" max="17" width="5.88671875" customWidth="1"/>
    <col min="18" max="22" width="4.109375" customWidth="1"/>
    <col min="23" max="27" width="4.6640625" customWidth="1"/>
    <col min="28" max="31" width="4" customWidth="1"/>
    <col min="32" max="35" width="3.33203125" customWidth="1"/>
    <col min="36" max="40" width="5.33203125" customWidth="1"/>
    <col min="41" max="49" width="4.33203125" customWidth="1"/>
    <col min="50" max="53" width="5.21875" customWidth="1"/>
    <col min="54" max="59" width="4.109375" customWidth="1"/>
    <col min="60" max="63" width="3.88671875" customWidth="1"/>
    <col min="64" max="68" width="4.33203125" customWidth="1"/>
  </cols>
  <sheetData>
    <row r="1" spans="1:68" x14ac:dyDescent="0.25">
      <c r="A1" s="6" t="s">
        <v>67</v>
      </c>
      <c r="B1" s="6" t="s">
        <v>1370</v>
      </c>
      <c r="C1" s="6" t="s">
        <v>1371</v>
      </c>
      <c r="D1" s="6" t="s">
        <v>1373</v>
      </c>
      <c r="E1" s="6" t="s">
        <v>1376</v>
      </c>
      <c r="F1" s="6" t="s">
        <v>1380</v>
      </c>
      <c r="G1" s="6" t="s">
        <v>1382</v>
      </c>
      <c r="H1" s="6" t="s">
        <v>1384</v>
      </c>
      <c r="I1" s="6" t="s">
        <v>1388</v>
      </c>
      <c r="J1" s="6" t="s">
        <v>1391</v>
      </c>
      <c r="K1" s="6" t="s">
        <v>1394</v>
      </c>
      <c r="L1" s="6" t="s">
        <v>1397</v>
      </c>
      <c r="M1" s="6" t="s">
        <v>1400</v>
      </c>
      <c r="N1" s="6" t="s">
        <v>1403</v>
      </c>
      <c r="O1" s="6" t="s">
        <v>1406</v>
      </c>
      <c r="P1" s="6" t="s">
        <v>1409</v>
      </c>
      <c r="Q1" s="6" t="s">
        <v>1412</v>
      </c>
      <c r="R1" s="6" t="s">
        <v>1416</v>
      </c>
      <c r="S1" s="6" t="s">
        <v>1419</v>
      </c>
      <c r="T1" s="6" t="s">
        <v>1422</v>
      </c>
      <c r="U1" s="6" t="s">
        <v>1425</v>
      </c>
      <c r="V1" s="6" t="s">
        <v>1428</v>
      </c>
      <c r="W1" s="6" t="s">
        <v>1432</v>
      </c>
      <c r="X1" s="6" t="s">
        <v>1435</v>
      </c>
      <c r="Y1" s="6" t="s">
        <v>1438</v>
      </c>
      <c r="Z1" s="6" t="s">
        <v>1441</v>
      </c>
      <c r="AA1" s="6" t="s">
        <v>1444</v>
      </c>
      <c r="AB1" s="6" t="s">
        <v>1448</v>
      </c>
      <c r="AC1" s="6" t="s">
        <v>1451</v>
      </c>
      <c r="AD1" s="6" t="s">
        <v>1454</v>
      </c>
      <c r="AE1" s="6" t="s">
        <v>1457</v>
      </c>
      <c r="AF1" s="6" t="s">
        <v>1461</v>
      </c>
      <c r="AG1" s="6" t="s">
        <v>1464</v>
      </c>
      <c r="AH1" s="6" t="s">
        <v>1467</v>
      </c>
      <c r="AI1" s="6" t="s">
        <v>1470</v>
      </c>
      <c r="AJ1" s="6" t="s">
        <v>1474</v>
      </c>
      <c r="AK1" s="6" t="s">
        <v>1477</v>
      </c>
      <c r="AL1" s="6" t="s">
        <v>1480</v>
      </c>
      <c r="AM1" s="6" t="s">
        <v>1483</v>
      </c>
      <c r="AN1" s="6" t="s">
        <v>1486</v>
      </c>
      <c r="AO1" s="6" t="s">
        <v>1490</v>
      </c>
      <c r="AP1" s="6" t="s">
        <v>1493</v>
      </c>
      <c r="AQ1" s="6" t="s">
        <v>1496</v>
      </c>
      <c r="AR1" s="6" t="s">
        <v>1499</v>
      </c>
      <c r="AS1" s="6" t="s">
        <v>1502</v>
      </c>
      <c r="AT1" s="6" t="s">
        <v>1505</v>
      </c>
      <c r="AU1" s="6" t="s">
        <v>1508</v>
      </c>
      <c r="AV1" s="6" t="s">
        <v>1511</v>
      </c>
      <c r="AW1" s="6" t="s">
        <v>1514</v>
      </c>
      <c r="AX1" s="6" t="s">
        <v>1518</v>
      </c>
      <c r="AY1" s="6" t="s">
        <v>1521</v>
      </c>
      <c r="AZ1" s="6" t="s">
        <v>1524</v>
      </c>
      <c r="BA1" s="6" t="s">
        <v>1527</v>
      </c>
      <c r="BB1" s="6" t="s">
        <v>1531</v>
      </c>
      <c r="BC1" s="6" t="s">
        <v>1534</v>
      </c>
      <c r="BD1" s="6" t="s">
        <v>1537</v>
      </c>
      <c r="BE1" s="6" t="s">
        <v>1540</v>
      </c>
      <c r="BF1" s="6" t="s">
        <v>1543</v>
      </c>
      <c r="BG1" s="6" t="s">
        <v>1546</v>
      </c>
      <c r="BH1" s="6" t="s">
        <v>1550</v>
      </c>
      <c r="BI1" s="6" t="s">
        <v>1553</v>
      </c>
      <c r="BJ1" s="6" t="s">
        <v>1556</v>
      </c>
      <c r="BK1" s="6" t="s">
        <v>1560</v>
      </c>
      <c r="BL1" s="6" t="s">
        <v>1563</v>
      </c>
      <c r="BM1" s="6" t="s">
        <v>1566</v>
      </c>
      <c r="BN1" s="6" t="s">
        <v>1569</v>
      </c>
      <c r="BO1" s="6" t="s">
        <v>1572</v>
      </c>
      <c r="BP1" s="6" t="s">
        <v>1575</v>
      </c>
    </row>
    <row r="2" spans="1:68" x14ac:dyDescent="0.25">
      <c r="A2" s="7" t="str">
        <f ca="1">IFERROR(__xludf.DUMMYFUNCTION("FILTER('Form Responses 1'!$A$2:$BR$2508,'Form Responses 1'!$A$1:$BR$1=INDEX(Code_book!$A:$A,match(A$1,Code_book!$C:$C,0)))"),"2_ABaOnucyA0OfArirpwozcUbgBq7a2pCXGekPb74X2dZh1hSRz6_dRw-IaSVecI-U1Q")</f>
        <v>2_ABaOnucyA0OfArirpwozcUbgBq7a2pCXGekPb74X2dZh1hSRz6_dRw-IaSVecI-U1Q</v>
      </c>
      <c r="B2" s="14">
        <f ca="1">IFERROR(__xludf.DUMMYFUNCTION("FILTER('Form Responses 1'!$A$2:$BR$2508,'Form Responses 1'!$A$1:$BR$1=INDEX(Code_book!$A:$A,match(B$1,Code_book!$C:$C,0)))"),45966.4507774305)</f>
        <v>45966.450777430502</v>
      </c>
      <c r="C2" s="7" t="str">
        <f ca="1">IFERROR(__xludf.DUMMYFUNCTION("FILTER('Form Responses 1'!$A$2:$BR$2508,'Form Responses 1'!$A$1:$BR$1=INDEX(Code_book!$A:$A,match(C$1,Code_book!$C:$C,0)))"),"Nguyễn Thanh Hồng")</f>
        <v>Nguyễn Thanh Hồng</v>
      </c>
      <c r="D2" s="7" t="str">
        <f ca="1">IFERROR(__xludf.DUMMYFUNCTION("FILTER('Form Responses 1'!$A$2:$BR$2508,'Form Responses 1'!$A$1:$BR$1=INDEX(Code_book!$A:$A,match(D$1,Code_book!$C:$C,0)))"),"Nam")</f>
        <v>Nam</v>
      </c>
      <c r="E2" s="7" t="str">
        <f ca="1">IFERROR(__xludf.DUMMYFUNCTION("FILTER('Form Responses 1'!$A$2:$BR$2508,'Form Responses 1'!$A$1:$BR$1=INDEX(Code_book!$A:$A,match(E$1,Code_book!$C:$C,0)))"),"Công ty TNHH Kiểm toán và Tư vấn Chuẩn Việt")</f>
        <v>Công ty TNHH Kiểm toán và Tư vấn Chuẩn Việt</v>
      </c>
      <c r="F2" s="7" t="str">
        <f ca="1">IFERROR(__xludf.DUMMYFUNCTION("FILTER('Form Responses 1'!$A$2:$BR$2508,'Form Responses 1'!$A$1:$BR$1=INDEX(Code_book!$A:$A,match(F$1,Code_book!$C:$C,0)))"),"Sau đại học, Chứng chỉ Kiểm toán viên")</f>
        <v>Sau đại học, Chứng chỉ Kiểm toán viên</v>
      </c>
      <c r="G2" s="7" t="str">
        <f ca="1">IFERROR(__xludf.DUMMYFUNCTION("FILTER('Form Responses 1'!$A$2:$BR$2508,'Form Responses 1'!$A$1:$BR$1=INDEX(Code_book!$A:$A,match(G$1,Code_book!$C:$C,0)))"),"Trên 20 năm")</f>
        <v>Trên 20 năm</v>
      </c>
      <c r="H2" s="7" t="str">
        <f ca="1">IFERROR(__xludf.DUMMYFUNCTION("FILTER('Form Responses 1'!$A$2:$BR$2508,'Form Responses 1'!$A$1:$BR$1=INDEX(Code_book!$A:$A,match(H$1,Code_book!$C:$C,0)))"),"Ban giám đốc")</f>
        <v>Ban giám đốc</v>
      </c>
      <c r="I2" s="7">
        <f ca="1">IFERROR(__xludf.DUMMYFUNCTION("FILTER('Form Responses 1'!$A$2:$BR$2508,'Form Responses 1'!$A$1:$BR$1=INDEX(Code_book!$A:$A,match(I$1,Code_book!$C:$C,0)))"),4)</f>
        <v>4</v>
      </c>
      <c r="J2" s="7">
        <f ca="1">IFERROR(__xludf.DUMMYFUNCTION("FILTER('Form Responses 1'!$A$2:$BR$2508,'Form Responses 1'!$A$1:$BR$1=INDEX(Code_book!$A:$A,match(J$1,Code_book!$C:$C,0)))"),4)</f>
        <v>4</v>
      </c>
      <c r="K2" s="7">
        <f ca="1">IFERROR(__xludf.DUMMYFUNCTION("FILTER('Form Responses 1'!$A$2:$BR$2508,'Form Responses 1'!$A$1:$BR$1=INDEX(Code_book!$A:$A,match(K$1,Code_book!$C:$C,0)))"),4)</f>
        <v>4</v>
      </c>
      <c r="L2" s="7">
        <f ca="1">IFERROR(__xludf.DUMMYFUNCTION("FILTER('Form Responses 1'!$A$2:$BR$2508,'Form Responses 1'!$A$1:$BR$1=INDEX(Code_book!$A:$A,match(L$1,Code_book!$C:$C,0)))"),5)</f>
        <v>5</v>
      </c>
      <c r="M2" s="7">
        <f ca="1">IFERROR(__xludf.DUMMYFUNCTION("FILTER('Form Responses 1'!$A$2:$BR$2508,'Form Responses 1'!$A$1:$BR$1=INDEX(Code_book!$A:$A,match(M$1,Code_book!$C:$C,0)))"),4)</f>
        <v>4</v>
      </c>
      <c r="N2" s="7">
        <f ca="1">IFERROR(__xludf.DUMMYFUNCTION("FILTER('Form Responses 1'!$A$2:$BR$2508,'Form Responses 1'!$A$1:$BR$1=INDEX(Code_book!$A:$A,match(N$1,Code_book!$C:$C,0)))"),5)</f>
        <v>5</v>
      </c>
      <c r="O2" s="7">
        <f ca="1">IFERROR(__xludf.DUMMYFUNCTION("FILTER('Form Responses 1'!$A$2:$BR$2508,'Form Responses 1'!$A$1:$BR$1=INDEX(Code_book!$A:$A,match(O$1,Code_book!$C:$C,0)))"),4)</f>
        <v>4</v>
      </c>
      <c r="P2" s="7">
        <f ca="1">IFERROR(__xludf.DUMMYFUNCTION("FILTER('Form Responses 1'!$A$2:$BR$2508,'Form Responses 1'!$A$1:$BR$1=INDEX(Code_book!$A:$A,match(P$1,Code_book!$C:$C,0)))"),4)</f>
        <v>4</v>
      </c>
      <c r="Q2" s="7">
        <f ca="1">IFERROR(__xludf.DUMMYFUNCTION("FILTER('Form Responses 1'!$A$2:$BR$2508,'Form Responses 1'!$A$1:$BR$1=INDEX(Code_book!$A:$A,match(Q$1,Code_book!$C:$C,0)))"),5)</f>
        <v>5</v>
      </c>
      <c r="R2" s="7">
        <f ca="1">IFERROR(__xludf.DUMMYFUNCTION("FILTER('Form Responses 1'!$A$2:$BR$2508,'Form Responses 1'!$A$1:$BR$1=INDEX(Code_book!$A:$A,match(R$1,Code_book!$C:$C,0)))"),5)</f>
        <v>5</v>
      </c>
      <c r="S2" s="7">
        <f ca="1">IFERROR(__xludf.DUMMYFUNCTION("FILTER('Form Responses 1'!$A$2:$BR$2508,'Form Responses 1'!$A$1:$BR$1=INDEX(Code_book!$A:$A,match(S$1,Code_book!$C:$C,0)))"),5)</f>
        <v>5</v>
      </c>
      <c r="T2" s="7">
        <f ca="1">IFERROR(__xludf.DUMMYFUNCTION("FILTER('Form Responses 1'!$A$2:$BR$2508,'Form Responses 1'!$A$1:$BR$1=INDEX(Code_book!$A:$A,match(T$1,Code_book!$C:$C,0)))"),5)</f>
        <v>5</v>
      </c>
      <c r="U2" s="7">
        <f ca="1">IFERROR(__xludf.DUMMYFUNCTION("FILTER('Form Responses 1'!$A$2:$BR$2508,'Form Responses 1'!$A$1:$BR$1=INDEX(Code_book!$A:$A,match(U$1,Code_book!$C:$C,0)))"),5)</f>
        <v>5</v>
      </c>
      <c r="V2" s="7">
        <f ca="1">IFERROR(__xludf.DUMMYFUNCTION("FILTER('Form Responses 1'!$A$2:$BR$2508,'Form Responses 1'!$A$1:$BR$1=INDEX(Code_book!$A:$A,match(V$1,Code_book!$C:$C,0)))"),5)</f>
        <v>5</v>
      </c>
      <c r="W2" s="7">
        <f ca="1">IFERROR(__xludf.DUMMYFUNCTION("FILTER('Form Responses 1'!$A$2:$BR$2508,'Form Responses 1'!$A$1:$BR$1=INDEX(Code_book!$A:$A,match(W$1,Code_book!$C:$C,0)))"),4)</f>
        <v>4</v>
      </c>
      <c r="X2" s="7">
        <f ca="1">IFERROR(__xludf.DUMMYFUNCTION("FILTER('Form Responses 1'!$A$2:$BR$2508,'Form Responses 1'!$A$1:$BR$1=INDEX(Code_book!$A:$A,match(X$1,Code_book!$C:$C,0)))"),4)</f>
        <v>4</v>
      </c>
      <c r="Y2" s="7">
        <f ca="1">IFERROR(__xludf.DUMMYFUNCTION("FILTER('Form Responses 1'!$A$2:$BR$2508,'Form Responses 1'!$A$1:$BR$1=INDEX(Code_book!$A:$A,match(Y$1,Code_book!$C:$C,0)))"),4)</f>
        <v>4</v>
      </c>
      <c r="Z2" s="7">
        <f ca="1">IFERROR(__xludf.DUMMYFUNCTION("FILTER('Form Responses 1'!$A$2:$BR$2508,'Form Responses 1'!$A$1:$BR$1=INDEX(Code_book!$A:$A,match(Z$1,Code_book!$C:$C,0)))"),3)</f>
        <v>3</v>
      </c>
      <c r="AA2" s="7">
        <f ca="1">IFERROR(__xludf.DUMMYFUNCTION("FILTER('Form Responses 1'!$A$2:$BR$2508,'Form Responses 1'!$A$1:$BR$1=INDEX(Code_book!$A:$A,match(AA$1,Code_book!$C:$C,0)))"),4)</f>
        <v>4</v>
      </c>
      <c r="AB2" s="7">
        <f ca="1">IFERROR(__xludf.DUMMYFUNCTION("FILTER('Form Responses 1'!$A$2:$BR$2508,'Form Responses 1'!$A$1:$BR$1=INDEX(Code_book!$A:$A,match(AB$1,Code_book!$C:$C,0)))"),4)</f>
        <v>4</v>
      </c>
      <c r="AC2" s="7">
        <f ca="1">IFERROR(__xludf.DUMMYFUNCTION("FILTER('Form Responses 1'!$A$2:$BR$2508,'Form Responses 1'!$A$1:$BR$1=INDEX(Code_book!$A:$A,match(AC$1,Code_book!$C:$C,0)))"),3)</f>
        <v>3</v>
      </c>
      <c r="AD2" s="7">
        <f ca="1">IFERROR(__xludf.DUMMYFUNCTION("FILTER('Form Responses 1'!$A$2:$BR$2508,'Form Responses 1'!$A$1:$BR$1=INDEX(Code_book!$A:$A,match(AD$1,Code_book!$C:$C,0)))"),4)</f>
        <v>4</v>
      </c>
      <c r="AE2" s="7">
        <f ca="1">IFERROR(__xludf.DUMMYFUNCTION("FILTER('Form Responses 1'!$A$2:$BR$2508,'Form Responses 1'!$A$1:$BR$1=INDEX(Code_book!$A:$A,match(AE$1,Code_book!$C:$C,0)))"),4)</f>
        <v>4</v>
      </c>
      <c r="AF2" s="7">
        <f ca="1">IFERROR(__xludf.DUMMYFUNCTION("FILTER('Form Responses 1'!$A$2:$BR$2508,'Form Responses 1'!$A$1:$BR$1=INDEX(Code_book!$A:$A,match(AF$1,Code_book!$C:$C,0)))"),4)</f>
        <v>4</v>
      </c>
      <c r="AG2" s="7">
        <f ca="1">IFERROR(__xludf.DUMMYFUNCTION("FILTER('Form Responses 1'!$A$2:$BR$2508,'Form Responses 1'!$A$1:$BR$1=INDEX(Code_book!$A:$A,match(AG$1,Code_book!$C:$C,0)))"),4)</f>
        <v>4</v>
      </c>
      <c r="AH2" s="7">
        <f ca="1">IFERROR(__xludf.DUMMYFUNCTION("FILTER('Form Responses 1'!$A$2:$BR$2508,'Form Responses 1'!$A$1:$BR$1=INDEX(Code_book!$A:$A,match(AH$1,Code_book!$C:$C,0)))"),4)</f>
        <v>4</v>
      </c>
      <c r="AI2" s="7">
        <f ca="1">IFERROR(__xludf.DUMMYFUNCTION("FILTER('Form Responses 1'!$A$2:$BR$2508,'Form Responses 1'!$A$1:$BR$1=INDEX(Code_book!$A:$A,match(AI$1,Code_book!$C:$C,0)))"),4)</f>
        <v>4</v>
      </c>
      <c r="AJ2" s="7">
        <f ca="1">IFERROR(__xludf.DUMMYFUNCTION("FILTER('Form Responses 1'!$A$2:$BR$2508,'Form Responses 1'!$A$1:$BR$1=INDEX(Code_book!$A:$A,match(AJ$1,Code_book!$C:$C,0)))"),4)</f>
        <v>4</v>
      </c>
      <c r="AK2" s="7">
        <f ca="1">IFERROR(__xludf.DUMMYFUNCTION("FILTER('Form Responses 1'!$A$2:$BR$2508,'Form Responses 1'!$A$1:$BR$1=INDEX(Code_book!$A:$A,match(AK$1,Code_book!$C:$C,0)))"),5)</f>
        <v>5</v>
      </c>
      <c r="AL2" s="7">
        <f ca="1">IFERROR(__xludf.DUMMYFUNCTION("FILTER('Form Responses 1'!$A$2:$BR$2508,'Form Responses 1'!$A$1:$BR$1=INDEX(Code_book!$A:$A,match(AL$1,Code_book!$C:$C,0)))"),5)</f>
        <v>5</v>
      </c>
      <c r="AM2" s="7">
        <f ca="1">IFERROR(__xludf.DUMMYFUNCTION("FILTER('Form Responses 1'!$A$2:$BR$2508,'Form Responses 1'!$A$1:$BR$1=INDEX(Code_book!$A:$A,match(AM$1,Code_book!$C:$C,0)))"),4)</f>
        <v>4</v>
      </c>
      <c r="AN2" s="7">
        <f ca="1">IFERROR(__xludf.DUMMYFUNCTION("FILTER('Form Responses 1'!$A$2:$BR$2508,'Form Responses 1'!$A$1:$BR$1=INDEX(Code_book!$A:$A,match(AN$1,Code_book!$C:$C,0)))"),4)</f>
        <v>4</v>
      </c>
      <c r="AO2" s="7">
        <f ca="1">IFERROR(__xludf.DUMMYFUNCTION("FILTER('Form Responses 1'!$A$2:$BR$2508,'Form Responses 1'!$A$1:$BR$1=INDEX(Code_book!$A:$A,match(AO$1,Code_book!$C:$C,0)))"),3)</f>
        <v>3</v>
      </c>
      <c r="AP2" s="7">
        <f ca="1">IFERROR(__xludf.DUMMYFUNCTION("FILTER('Form Responses 1'!$A$2:$BR$2508,'Form Responses 1'!$A$1:$BR$1=INDEX(Code_book!$A:$A,match(AP$1,Code_book!$C:$C,0)))"),4)</f>
        <v>4</v>
      </c>
      <c r="AQ2" s="7">
        <f ca="1">IFERROR(__xludf.DUMMYFUNCTION("FILTER('Form Responses 1'!$A$2:$BR$2508,'Form Responses 1'!$A$1:$BR$1=INDEX(Code_book!$A:$A,match(AQ$1,Code_book!$C:$C,0)))"),3)</f>
        <v>3</v>
      </c>
      <c r="AR2" s="7">
        <f ca="1">IFERROR(__xludf.DUMMYFUNCTION("FILTER('Form Responses 1'!$A$2:$BR$2508,'Form Responses 1'!$A$1:$BR$1=INDEX(Code_book!$A:$A,match(AR$1,Code_book!$C:$C,0)))"),3)</f>
        <v>3</v>
      </c>
      <c r="AS2" s="7">
        <f ca="1">IFERROR(__xludf.DUMMYFUNCTION("FILTER('Form Responses 1'!$A$2:$BR$2508,'Form Responses 1'!$A$1:$BR$1=INDEX(Code_book!$A:$A,match(AS$1,Code_book!$C:$C,0)))"),3)</f>
        <v>3</v>
      </c>
      <c r="AT2" s="7">
        <f ca="1">IFERROR(__xludf.DUMMYFUNCTION("FILTER('Form Responses 1'!$A$2:$BR$2508,'Form Responses 1'!$A$1:$BR$1=INDEX(Code_book!$A:$A,match(AT$1,Code_book!$C:$C,0)))"),3)</f>
        <v>3</v>
      </c>
      <c r="AU2" s="7">
        <f ca="1">IFERROR(__xludf.DUMMYFUNCTION("FILTER('Form Responses 1'!$A$2:$BR$2508,'Form Responses 1'!$A$1:$BR$1=INDEX(Code_book!$A:$A,match(AU$1,Code_book!$C:$C,0)))"),3)</f>
        <v>3</v>
      </c>
      <c r="AV2" s="7">
        <f ca="1">IFERROR(__xludf.DUMMYFUNCTION("FILTER('Form Responses 1'!$A$2:$BR$2508,'Form Responses 1'!$A$1:$BR$1=INDEX(Code_book!$A:$A,match(AV$1,Code_book!$C:$C,0)))"),3)</f>
        <v>3</v>
      </c>
      <c r="AW2" s="7">
        <f ca="1">IFERROR(__xludf.DUMMYFUNCTION("FILTER('Form Responses 1'!$A$2:$BR$2508,'Form Responses 1'!$A$1:$BR$1=INDEX(Code_book!$A:$A,match(AW$1,Code_book!$C:$C,0)))"),3)</f>
        <v>3</v>
      </c>
      <c r="AX2" s="7">
        <f ca="1">IFERROR(__xludf.DUMMYFUNCTION("FILTER('Form Responses 1'!$A$2:$BR$2508,'Form Responses 1'!$A$1:$BR$1=INDEX(Code_book!$A:$A,match(AX$1,Code_book!$C:$C,0)))"),5)</f>
        <v>5</v>
      </c>
      <c r="AY2" s="7">
        <f ca="1">IFERROR(__xludf.DUMMYFUNCTION("FILTER('Form Responses 1'!$A$2:$BR$2508,'Form Responses 1'!$A$1:$BR$1=INDEX(Code_book!$A:$A,match(AY$1,Code_book!$C:$C,0)))"),5)</f>
        <v>5</v>
      </c>
      <c r="AZ2" s="7">
        <f ca="1">IFERROR(__xludf.DUMMYFUNCTION("FILTER('Form Responses 1'!$A$2:$BR$2508,'Form Responses 1'!$A$1:$BR$1=INDEX(Code_book!$A:$A,match(AZ$1,Code_book!$C:$C,0)))"),4)</f>
        <v>4</v>
      </c>
      <c r="BA2" s="7">
        <f ca="1">IFERROR(__xludf.DUMMYFUNCTION("FILTER('Form Responses 1'!$A$2:$BR$2508,'Form Responses 1'!$A$1:$BR$1=INDEX(Code_book!$A:$A,match(BA$1,Code_book!$C:$C,0)))"),5)</f>
        <v>5</v>
      </c>
      <c r="BB2" s="7">
        <f ca="1">IFERROR(__xludf.DUMMYFUNCTION("FILTER('Form Responses 1'!$A$2:$BR$2508,'Form Responses 1'!$A$1:$BR$1=INDEX(Code_book!$A:$A,match(BB$1,Code_book!$C:$C,0)))"),4)</f>
        <v>4</v>
      </c>
      <c r="BC2" s="7">
        <f ca="1">IFERROR(__xludf.DUMMYFUNCTION("FILTER('Form Responses 1'!$A$2:$BR$2508,'Form Responses 1'!$A$1:$BR$1=INDEX(Code_book!$A:$A,match(BC$1,Code_book!$C:$C,0)))"),4)</f>
        <v>4</v>
      </c>
      <c r="BD2" s="7">
        <f ca="1">IFERROR(__xludf.DUMMYFUNCTION("FILTER('Form Responses 1'!$A$2:$BR$2508,'Form Responses 1'!$A$1:$BR$1=INDEX(Code_book!$A:$A,match(BD$1,Code_book!$C:$C,0)))"),4)</f>
        <v>4</v>
      </c>
      <c r="BE2" s="7">
        <f ca="1">IFERROR(__xludf.DUMMYFUNCTION("FILTER('Form Responses 1'!$A$2:$BR$2508,'Form Responses 1'!$A$1:$BR$1=INDEX(Code_book!$A:$A,match(BE$1,Code_book!$C:$C,0)))"),4)</f>
        <v>4</v>
      </c>
      <c r="BF2" s="7">
        <f ca="1">IFERROR(__xludf.DUMMYFUNCTION("FILTER('Form Responses 1'!$A$2:$BR$2508,'Form Responses 1'!$A$1:$BR$1=INDEX(Code_book!$A:$A,match(BF$1,Code_book!$C:$C,0)))"),4)</f>
        <v>4</v>
      </c>
      <c r="BG2" s="7">
        <f ca="1">IFERROR(__xludf.DUMMYFUNCTION("FILTER('Form Responses 1'!$A$2:$BR$2508,'Form Responses 1'!$A$1:$BR$1=INDEX(Code_book!$A:$A,match(BG$1,Code_book!$C:$C,0)))"),4)</f>
        <v>4</v>
      </c>
      <c r="BH2" s="7">
        <f ca="1">IFERROR(__xludf.DUMMYFUNCTION("FILTER('Form Responses 1'!$A$2:$BR$2508,'Form Responses 1'!$A$1:$BR$1=INDEX(Code_book!$A:$A,match(BH$1,Code_book!$C:$C,0)))"),4)</f>
        <v>4</v>
      </c>
      <c r="BI2" s="7">
        <f ca="1">IFERROR(__xludf.DUMMYFUNCTION("FILTER('Form Responses 1'!$A$2:$BR$2508,'Form Responses 1'!$A$1:$BR$1=INDEX(Code_book!$A:$A,match(BI$1,Code_book!$C:$C,0)))"),4)</f>
        <v>4</v>
      </c>
      <c r="BJ2" s="7">
        <f ca="1">IFERROR(__xludf.DUMMYFUNCTION("FILTER('Form Responses 1'!$A$2:$BR$2508,'Form Responses 1'!$A$1:$BR$1=INDEX(Code_book!$A:$A,match(BJ$1,Code_book!$C:$C,0)))"),4)</f>
        <v>4</v>
      </c>
      <c r="BK2" s="7">
        <f ca="1">IFERROR(__xludf.DUMMYFUNCTION("FILTER('Form Responses 1'!$A$2:$BR$2508,'Form Responses 1'!$A$1:$BR$1=INDEX(Code_book!$A:$A,match(BK$1,Code_book!$C:$C,0)))"),4)</f>
        <v>4</v>
      </c>
      <c r="BL2" s="7">
        <f ca="1">IFERROR(__xludf.DUMMYFUNCTION("FILTER('Form Responses 1'!$A$2:$BR$2508,'Form Responses 1'!$A$1:$BR$1=INDEX(Code_book!$A:$A,match(BL$1,Code_book!$C:$C,0)))"),4)</f>
        <v>4</v>
      </c>
      <c r="BM2" s="7">
        <f ca="1">IFERROR(__xludf.DUMMYFUNCTION("FILTER('Form Responses 1'!$A$2:$BR$2508,'Form Responses 1'!$A$1:$BR$1=INDEX(Code_book!$A:$A,match(BM$1,Code_book!$C:$C,0)))"),4)</f>
        <v>4</v>
      </c>
      <c r="BN2" s="7">
        <f ca="1">IFERROR(__xludf.DUMMYFUNCTION("FILTER('Form Responses 1'!$A$2:$BR$2508,'Form Responses 1'!$A$1:$BR$1=INDEX(Code_book!$A:$A,match(BN$1,Code_book!$C:$C,0)))"),4)</f>
        <v>4</v>
      </c>
      <c r="BO2" s="7">
        <f ca="1">IFERROR(__xludf.DUMMYFUNCTION("FILTER('Form Responses 1'!$A$2:$BR$2508,'Form Responses 1'!$A$1:$BR$1=INDEX(Code_book!$A:$A,match(BO$1,Code_book!$C:$C,0)))"),4)</f>
        <v>4</v>
      </c>
      <c r="BP2" s="7">
        <f ca="1">IFERROR(__xludf.DUMMYFUNCTION("FILTER('Form Responses 1'!$A$2:$BR$2508,'Form Responses 1'!$A$1:$BR$1=INDEX(Code_book!$A:$A,match(BP$1,Code_book!$C:$C,0)))"),4)</f>
        <v>4</v>
      </c>
    </row>
    <row r="3" spans="1:68" x14ac:dyDescent="0.25">
      <c r="A3" s="4" t="str">
        <f ca="1">IFERROR(__xludf.DUMMYFUNCTION("""COMPUTED_VALUE"""),"2_ABaOnufn_N38SITZCrLWScnITcXthmzx-Y4ddsBdIC1ULBtgD1jeqnjEZfL6gnX0eQ")</f>
        <v>2_ABaOnufn_N38SITZCrLWScnITcXthmzx-Y4ddsBdIC1ULBtgD1jeqnjEZfL6gnX0eQ</v>
      </c>
      <c r="B3" s="5">
        <f ca="1">IFERROR(__xludf.DUMMYFUNCTION("""COMPUTED_VALUE"""),45966.4563717824)</f>
        <v>45966.456371782398</v>
      </c>
      <c r="C3" s="4" t="str">
        <f ca="1">IFERROR(__xludf.DUMMYFUNCTION("""COMPUTED_VALUE"""),"Trang Ngọc Quí")</f>
        <v>Trang Ngọc Quí</v>
      </c>
      <c r="D3" s="4" t="str">
        <f ca="1">IFERROR(__xludf.DUMMYFUNCTION("""COMPUTED_VALUE"""),"Nam")</f>
        <v>Nam</v>
      </c>
      <c r="E3" s="4" t="str">
        <f ca="1">IFERROR(__xludf.DUMMYFUNCTION("""COMPUTED_VALUE"""),"Công ty TNHH Kiểm toán và Tư vấn Chuẩn VIệt")</f>
        <v>Công ty TNHH Kiểm toán và Tư vấn Chuẩn VIệt</v>
      </c>
      <c r="F3" s="4" t="str">
        <f ca="1">IFERROR(__xludf.DUMMYFUNCTION("""COMPUTED_VALUE"""),"Đại học")</f>
        <v>Đại học</v>
      </c>
      <c r="G3" s="4" t="str">
        <f ca="1">IFERROR(__xludf.DUMMYFUNCTION("""COMPUTED_VALUE"""),"Từ 3 đến 5 năm")</f>
        <v>Từ 3 đến 5 năm</v>
      </c>
      <c r="H3" s="4" t="str">
        <f ca="1">IFERROR(__xludf.DUMMYFUNCTION("""COMPUTED_VALUE"""),"Trợ lý kiểm toán")</f>
        <v>Trợ lý kiểm toán</v>
      </c>
      <c r="I3" s="4">
        <f ca="1">IFERROR(__xludf.DUMMYFUNCTION("""COMPUTED_VALUE"""),5)</f>
        <v>5</v>
      </c>
      <c r="J3" s="4">
        <f ca="1">IFERROR(__xludf.DUMMYFUNCTION("""COMPUTED_VALUE"""),4)</f>
        <v>4</v>
      </c>
      <c r="K3" s="4">
        <f ca="1">IFERROR(__xludf.DUMMYFUNCTION("""COMPUTED_VALUE"""),4)</f>
        <v>4</v>
      </c>
      <c r="L3" s="4">
        <f ca="1">IFERROR(__xludf.DUMMYFUNCTION("""COMPUTED_VALUE"""),3)</f>
        <v>3</v>
      </c>
      <c r="M3" s="4">
        <f ca="1">IFERROR(__xludf.DUMMYFUNCTION("""COMPUTED_VALUE"""),5)</f>
        <v>5</v>
      </c>
      <c r="N3" s="4">
        <f ca="1">IFERROR(__xludf.DUMMYFUNCTION("""COMPUTED_VALUE"""),3)</f>
        <v>3</v>
      </c>
      <c r="O3" s="4">
        <f ca="1">IFERROR(__xludf.DUMMYFUNCTION("""COMPUTED_VALUE"""),4)</f>
        <v>4</v>
      </c>
      <c r="P3" s="4">
        <f ca="1">IFERROR(__xludf.DUMMYFUNCTION("""COMPUTED_VALUE"""),5)</f>
        <v>5</v>
      </c>
      <c r="Q3" s="4">
        <f ca="1">IFERROR(__xludf.DUMMYFUNCTION("""COMPUTED_VALUE"""),5)</f>
        <v>5</v>
      </c>
      <c r="R3" s="4">
        <f ca="1">IFERROR(__xludf.DUMMYFUNCTION("""COMPUTED_VALUE"""),5)</f>
        <v>5</v>
      </c>
      <c r="S3" s="4">
        <f ca="1">IFERROR(__xludf.DUMMYFUNCTION("""COMPUTED_VALUE"""),5)</f>
        <v>5</v>
      </c>
      <c r="T3" s="4">
        <f ca="1">IFERROR(__xludf.DUMMYFUNCTION("""COMPUTED_VALUE"""),5)</f>
        <v>5</v>
      </c>
      <c r="U3" s="4">
        <f ca="1">IFERROR(__xludf.DUMMYFUNCTION("""COMPUTED_VALUE"""),5)</f>
        <v>5</v>
      </c>
      <c r="V3" s="4">
        <f ca="1">IFERROR(__xludf.DUMMYFUNCTION("""COMPUTED_VALUE"""),5)</f>
        <v>5</v>
      </c>
      <c r="W3" s="4">
        <f ca="1">IFERROR(__xludf.DUMMYFUNCTION("""COMPUTED_VALUE"""),4)</f>
        <v>4</v>
      </c>
      <c r="X3" s="4">
        <f ca="1">IFERROR(__xludf.DUMMYFUNCTION("""COMPUTED_VALUE"""),3)</f>
        <v>3</v>
      </c>
      <c r="Y3" s="4">
        <f ca="1">IFERROR(__xludf.DUMMYFUNCTION("""COMPUTED_VALUE"""),2)</f>
        <v>2</v>
      </c>
      <c r="Z3" s="4">
        <f ca="1">IFERROR(__xludf.DUMMYFUNCTION("""COMPUTED_VALUE"""),4)</f>
        <v>4</v>
      </c>
      <c r="AA3" s="4">
        <f ca="1">IFERROR(__xludf.DUMMYFUNCTION("""COMPUTED_VALUE"""),4)</f>
        <v>4</v>
      </c>
      <c r="AB3" s="4">
        <f ca="1">IFERROR(__xludf.DUMMYFUNCTION("""COMPUTED_VALUE"""),5)</f>
        <v>5</v>
      </c>
      <c r="AC3" s="4">
        <f ca="1">IFERROR(__xludf.DUMMYFUNCTION("""COMPUTED_VALUE"""),4)</f>
        <v>4</v>
      </c>
      <c r="AD3" s="4">
        <f ca="1">IFERROR(__xludf.DUMMYFUNCTION("""COMPUTED_VALUE"""),5)</f>
        <v>5</v>
      </c>
      <c r="AE3" s="4">
        <f ca="1">IFERROR(__xludf.DUMMYFUNCTION("""COMPUTED_VALUE"""),5)</f>
        <v>5</v>
      </c>
      <c r="AF3" s="4">
        <f ca="1">IFERROR(__xludf.DUMMYFUNCTION("""COMPUTED_VALUE"""),5)</f>
        <v>5</v>
      </c>
      <c r="AG3" s="4">
        <f ca="1">IFERROR(__xludf.DUMMYFUNCTION("""COMPUTED_VALUE"""),5)</f>
        <v>5</v>
      </c>
      <c r="AH3" s="4">
        <f ca="1">IFERROR(__xludf.DUMMYFUNCTION("""COMPUTED_VALUE"""),5)</f>
        <v>5</v>
      </c>
      <c r="AI3" s="4">
        <f ca="1">IFERROR(__xludf.DUMMYFUNCTION("""COMPUTED_VALUE"""),5)</f>
        <v>5</v>
      </c>
      <c r="AJ3" s="4">
        <f ca="1">IFERROR(__xludf.DUMMYFUNCTION("""COMPUTED_VALUE"""),5)</f>
        <v>5</v>
      </c>
      <c r="AK3" s="4">
        <f ca="1">IFERROR(__xludf.DUMMYFUNCTION("""COMPUTED_VALUE"""),5)</f>
        <v>5</v>
      </c>
      <c r="AL3" s="4">
        <f ca="1">IFERROR(__xludf.DUMMYFUNCTION("""COMPUTED_VALUE"""),4)</f>
        <v>4</v>
      </c>
      <c r="AM3" s="4">
        <f ca="1">IFERROR(__xludf.DUMMYFUNCTION("""COMPUTED_VALUE"""),4)</f>
        <v>4</v>
      </c>
      <c r="AN3" s="4">
        <f ca="1">IFERROR(__xludf.DUMMYFUNCTION("""COMPUTED_VALUE"""),4)</f>
        <v>4</v>
      </c>
      <c r="AO3" s="4">
        <f ca="1">IFERROR(__xludf.DUMMYFUNCTION("""COMPUTED_VALUE"""),4)</f>
        <v>4</v>
      </c>
      <c r="AP3" s="4">
        <f ca="1">IFERROR(__xludf.DUMMYFUNCTION("""COMPUTED_VALUE"""),4)</f>
        <v>4</v>
      </c>
      <c r="AQ3" s="4">
        <f ca="1">IFERROR(__xludf.DUMMYFUNCTION("""COMPUTED_VALUE"""),4)</f>
        <v>4</v>
      </c>
      <c r="AR3" s="4">
        <f ca="1">IFERROR(__xludf.DUMMYFUNCTION("""COMPUTED_VALUE"""),4)</f>
        <v>4</v>
      </c>
      <c r="AS3" s="4">
        <f ca="1">IFERROR(__xludf.DUMMYFUNCTION("""COMPUTED_VALUE"""),4)</f>
        <v>4</v>
      </c>
      <c r="AT3" s="4">
        <f ca="1">IFERROR(__xludf.DUMMYFUNCTION("""COMPUTED_VALUE"""),4)</f>
        <v>4</v>
      </c>
      <c r="AU3" s="4">
        <f ca="1">IFERROR(__xludf.DUMMYFUNCTION("""COMPUTED_VALUE"""),4)</f>
        <v>4</v>
      </c>
      <c r="AV3" s="4">
        <f ca="1">IFERROR(__xludf.DUMMYFUNCTION("""COMPUTED_VALUE"""),4)</f>
        <v>4</v>
      </c>
      <c r="AW3" s="4">
        <f ca="1">IFERROR(__xludf.DUMMYFUNCTION("""COMPUTED_VALUE"""),4)</f>
        <v>4</v>
      </c>
      <c r="AX3" s="4">
        <f ca="1">IFERROR(__xludf.DUMMYFUNCTION("""COMPUTED_VALUE"""),5)</f>
        <v>5</v>
      </c>
      <c r="AY3" s="4">
        <f ca="1">IFERROR(__xludf.DUMMYFUNCTION("""COMPUTED_VALUE"""),5)</f>
        <v>5</v>
      </c>
      <c r="AZ3" s="4">
        <f ca="1">IFERROR(__xludf.DUMMYFUNCTION("""COMPUTED_VALUE"""),5)</f>
        <v>5</v>
      </c>
      <c r="BA3" s="4">
        <f ca="1">IFERROR(__xludf.DUMMYFUNCTION("""COMPUTED_VALUE"""),5)</f>
        <v>5</v>
      </c>
      <c r="BB3" s="4">
        <f ca="1">IFERROR(__xludf.DUMMYFUNCTION("""COMPUTED_VALUE"""),3)</f>
        <v>3</v>
      </c>
      <c r="BC3" s="4">
        <f ca="1">IFERROR(__xludf.DUMMYFUNCTION("""COMPUTED_VALUE"""),3)</f>
        <v>3</v>
      </c>
      <c r="BD3" s="4">
        <f ca="1">IFERROR(__xludf.DUMMYFUNCTION("""COMPUTED_VALUE"""),3)</f>
        <v>3</v>
      </c>
      <c r="BE3" s="4">
        <f ca="1">IFERROR(__xludf.DUMMYFUNCTION("""COMPUTED_VALUE"""),3)</f>
        <v>3</v>
      </c>
      <c r="BF3" s="4">
        <f ca="1">IFERROR(__xludf.DUMMYFUNCTION("""COMPUTED_VALUE"""),3)</f>
        <v>3</v>
      </c>
      <c r="BG3" s="4">
        <f ca="1">IFERROR(__xludf.DUMMYFUNCTION("""COMPUTED_VALUE"""),3)</f>
        <v>3</v>
      </c>
      <c r="BH3" s="4">
        <f ca="1">IFERROR(__xludf.DUMMYFUNCTION("""COMPUTED_VALUE"""),4)</f>
        <v>4</v>
      </c>
      <c r="BI3" s="4">
        <f ca="1">IFERROR(__xludf.DUMMYFUNCTION("""COMPUTED_VALUE"""),4)</f>
        <v>4</v>
      </c>
      <c r="BJ3" s="4">
        <f ca="1">IFERROR(__xludf.DUMMYFUNCTION("""COMPUTED_VALUE"""),4)</f>
        <v>4</v>
      </c>
      <c r="BK3" s="4">
        <f ca="1">IFERROR(__xludf.DUMMYFUNCTION("""COMPUTED_VALUE"""),5)</f>
        <v>5</v>
      </c>
      <c r="BL3" s="4">
        <f ca="1">IFERROR(__xludf.DUMMYFUNCTION("""COMPUTED_VALUE"""),5)</f>
        <v>5</v>
      </c>
      <c r="BM3" s="4">
        <f ca="1">IFERROR(__xludf.DUMMYFUNCTION("""COMPUTED_VALUE"""),5)</f>
        <v>5</v>
      </c>
      <c r="BN3" s="4">
        <f ca="1">IFERROR(__xludf.DUMMYFUNCTION("""COMPUTED_VALUE"""),5)</f>
        <v>5</v>
      </c>
      <c r="BO3" s="4">
        <f ca="1">IFERROR(__xludf.DUMMYFUNCTION("""COMPUTED_VALUE"""),5)</f>
        <v>5</v>
      </c>
      <c r="BP3" s="4">
        <f ca="1">IFERROR(__xludf.DUMMYFUNCTION("""COMPUTED_VALUE"""),5)</f>
        <v>5</v>
      </c>
    </row>
    <row r="4" spans="1:68" x14ac:dyDescent="0.25">
      <c r="A4" s="4" t="str">
        <f ca="1">IFERROR(__xludf.DUMMYFUNCTION("""COMPUTED_VALUE"""),"2_ABaOnuezf9brWEWKpeOpOwob8vUTak-hcbN7soiM220x67FnztNYbQTz9GB2ljXzlw")</f>
        <v>2_ABaOnuezf9brWEWKpeOpOwob8vUTak-hcbN7soiM220x67FnztNYbQTz9GB2ljXzlw</v>
      </c>
      <c r="B4" s="5">
        <f ca="1">IFERROR(__xludf.DUMMYFUNCTION("""COMPUTED_VALUE"""),45966.4589755787)</f>
        <v>45966.458975578702</v>
      </c>
      <c r="C4" s="4" t="str">
        <f ca="1">IFERROR(__xludf.DUMMYFUNCTION("""COMPUTED_VALUE"""),"Trần Văn Hiệp")</f>
        <v>Trần Văn Hiệp</v>
      </c>
      <c r="D4" s="4" t="str">
        <f ca="1">IFERROR(__xludf.DUMMYFUNCTION("""COMPUTED_VALUE"""),"Nam")</f>
        <v>Nam</v>
      </c>
      <c r="E4" s="4" t="str">
        <f ca="1">IFERROR(__xludf.DUMMYFUNCTION("""COMPUTED_VALUE"""),"Công ty TNHH Kiểm toán và Tư vấn Chuẩn Việt")</f>
        <v>Công ty TNHH Kiểm toán và Tư vấn Chuẩn Việt</v>
      </c>
      <c r="F4" s="4" t="str">
        <f ca="1">IFERROR(__xludf.DUMMYFUNCTION("""COMPUTED_VALUE"""),"Đại học")</f>
        <v>Đại học</v>
      </c>
      <c r="G4" s="4" t="str">
        <f ca="1">IFERROR(__xludf.DUMMYFUNCTION("""COMPUTED_VALUE"""),"Trên 10 đến 15 năm")</f>
        <v>Trên 10 đến 15 năm</v>
      </c>
      <c r="H4" s="4" t="str">
        <f ca="1">IFERROR(__xludf.DUMMYFUNCTION("""COMPUTED_VALUE"""),"Kiểm toán viên/Trưởng nhóm")</f>
        <v>Kiểm toán viên/Trưởng nhóm</v>
      </c>
      <c r="I4" s="4">
        <f ca="1">IFERROR(__xludf.DUMMYFUNCTION("""COMPUTED_VALUE"""),5)</f>
        <v>5</v>
      </c>
      <c r="J4" s="4">
        <f ca="1">IFERROR(__xludf.DUMMYFUNCTION("""COMPUTED_VALUE"""),4)</f>
        <v>4</v>
      </c>
      <c r="K4" s="4">
        <f ca="1">IFERROR(__xludf.DUMMYFUNCTION("""COMPUTED_VALUE"""),4)</f>
        <v>4</v>
      </c>
      <c r="L4" s="4">
        <f ca="1">IFERROR(__xludf.DUMMYFUNCTION("""COMPUTED_VALUE"""),4)</f>
        <v>4</v>
      </c>
      <c r="M4" s="4">
        <f ca="1">IFERROR(__xludf.DUMMYFUNCTION("""COMPUTED_VALUE"""),5)</f>
        <v>5</v>
      </c>
      <c r="N4" s="4">
        <f ca="1">IFERROR(__xludf.DUMMYFUNCTION("""COMPUTED_VALUE"""),4)</f>
        <v>4</v>
      </c>
      <c r="O4" s="4">
        <f ca="1">IFERROR(__xludf.DUMMYFUNCTION("""COMPUTED_VALUE"""),4)</f>
        <v>4</v>
      </c>
      <c r="P4" s="4">
        <f ca="1">IFERROR(__xludf.DUMMYFUNCTION("""COMPUTED_VALUE"""),4)</f>
        <v>4</v>
      </c>
      <c r="Q4" s="4">
        <f ca="1">IFERROR(__xludf.DUMMYFUNCTION("""COMPUTED_VALUE"""),4)</f>
        <v>4</v>
      </c>
      <c r="R4" s="4">
        <f ca="1">IFERROR(__xludf.DUMMYFUNCTION("""COMPUTED_VALUE"""),5)</f>
        <v>5</v>
      </c>
      <c r="S4" s="4">
        <f ca="1">IFERROR(__xludf.DUMMYFUNCTION("""COMPUTED_VALUE"""),4)</f>
        <v>4</v>
      </c>
      <c r="T4" s="4">
        <f ca="1">IFERROR(__xludf.DUMMYFUNCTION("""COMPUTED_VALUE"""),4)</f>
        <v>4</v>
      </c>
      <c r="U4" s="4">
        <f ca="1">IFERROR(__xludf.DUMMYFUNCTION("""COMPUTED_VALUE"""),4)</f>
        <v>4</v>
      </c>
      <c r="V4" s="4">
        <f ca="1">IFERROR(__xludf.DUMMYFUNCTION("""COMPUTED_VALUE"""),4)</f>
        <v>4</v>
      </c>
      <c r="W4" s="4">
        <f ca="1">IFERROR(__xludf.DUMMYFUNCTION("""COMPUTED_VALUE"""),4)</f>
        <v>4</v>
      </c>
      <c r="X4" s="4">
        <f ca="1">IFERROR(__xludf.DUMMYFUNCTION("""COMPUTED_VALUE"""),3)</f>
        <v>3</v>
      </c>
      <c r="Y4" s="4">
        <f ca="1">IFERROR(__xludf.DUMMYFUNCTION("""COMPUTED_VALUE"""),3)</f>
        <v>3</v>
      </c>
      <c r="Z4" s="4">
        <f ca="1">IFERROR(__xludf.DUMMYFUNCTION("""COMPUTED_VALUE"""),3)</f>
        <v>3</v>
      </c>
      <c r="AA4" s="4">
        <f ca="1">IFERROR(__xludf.DUMMYFUNCTION("""COMPUTED_VALUE"""),2)</f>
        <v>2</v>
      </c>
      <c r="AB4" s="4">
        <f ca="1">IFERROR(__xludf.DUMMYFUNCTION("""COMPUTED_VALUE"""),3)</f>
        <v>3</v>
      </c>
      <c r="AC4" s="4">
        <f ca="1">IFERROR(__xludf.DUMMYFUNCTION("""COMPUTED_VALUE"""),4)</f>
        <v>4</v>
      </c>
      <c r="AD4" s="4">
        <f ca="1">IFERROR(__xludf.DUMMYFUNCTION("""COMPUTED_VALUE"""),3)</f>
        <v>3</v>
      </c>
      <c r="AE4" s="4">
        <f ca="1">IFERROR(__xludf.DUMMYFUNCTION("""COMPUTED_VALUE"""),5)</f>
        <v>5</v>
      </c>
      <c r="AF4" s="4">
        <f ca="1">IFERROR(__xludf.DUMMYFUNCTION("""COMPUTED_VALUE"""),4)</f>
        <v>4</v>
      </c>
      <c r="AG4" s="4">
        <f ca="1">IFERROR(__xludf.DUMMYFUNCTION("""COMPUTED_VALUE"""),4)</f>
        <v>4</v>
      </c>
      <c r="AH4" s="4">
        <f ca="1">IFERROR(__xludf.DUMMYFUNCTION("""COMPUTED_VALUE"""),4)</f>
        <v>4</v>
      </c>
      <c r="AI4" s="4">
        <f ca="1">IFERROR(__xludf.DUMMYFUNCTION("""COMPUTED_VALUE"""),4)</f>
        <v>4</v>
      </c>
      <c r="AJ4" s="4">
        <f ca="1">IFERROR(__xludf.DUMMYFUNCTION("""COMPUTED_VALUE"""),4)</f>
        <v>4</v>
      </c>
      <c r="AK4" s="4">
        <f ca="1">IFERROR(__xludf.DUMMYFUNCTION("""COMPUTED_VALUE"""),4)</f>
        <v>4</v>
      </c>
      <c r="AL4" s="4">
        <f ca="1">IFERROR(__xludf.DUMMYFUNCTION("""COMPUTED_VALUE"""),4)</f>
        <v>4</v>
      </c>
      <c r="AM4" s="4">
        <f ca="1">IFERROR(__xludf.DUMMYFUNCTION("""COMPUTED_VALUE"""),4)</f>
        <v>4</v>
      </c>
      <c r="AN4" s="4">
        <f ca="1">IFERROR(__xludf.DUMMYFUNCTION("""COMPUTED_VALUE"""),4)</f>
        <v>4</v>
      </c>
      <c r="AO4" s="4">
        <f ca="1">IFERROR(__xludf.DUMMYFUNCTION("""COMPUTED_VALUE"""),4)</f>
        <v>4</v>
      </c>
      <c r="AP4" s="4">
        <f ca="1">IFERROR(__xludf.DUMMYFUNCTION("""COMPUTED_VALUE"""),3)</f>
        <v>3</v>
      </c>
      <c r="AQ4" s="4">
        <f ca="1">IFERROR(__xludf.DUMMYFUNCTION("""COMPUTED_VALUE"""),4)</f>
        <v>4</v>
      </c>
      <c r="AR4" s="4">
        <f ca="1">IFERROR(__xludf.DUMMYFUNCTION("""COMPUTED_VALUE"""),4)</f>
        <v>4</v>
      </c>
      <c r="AS4" s="4">
        <f ca="1">IFERROR(__xludf.DUMMYFUNCTION("""COMPUTED_VALUE"""),4)</f>
        <v>4</v>
      </c>
      <c r="AT4" s="4">
        <f ca="1">IFERROR(__xludf.DUMMYFUNCTION("""COMPUTED_VALUE"""),3)</f>
        <v>3</v>
      </c>
      <c r="AU4" s="4">
        <f ca="1">IFERROR(__xludf.DUMMYFUNCTION("""COMPUTED_VALUE"""),4)</f>
        <v>4</v>
      </c>
      <c r="AV4" s="4">
        <f ca="1">IFERROR(__xludf.DUMMYFUNCTION("""COMPUTED_VALUE"""),4)</f>
        <v>4</v>
      </c>
      <c r="AW4" s="4">
        <f ca="1">IFERROR(__xludf.DUMMYFUNCTION("""COMPUTED_VALUE"""),4)</f>
        <v>4</v>
      </c>
      <c r="AX4" s="4">
        <f ca="1">IFERROR(__xludf.DUMMYFUNCTION("""COMPUTED_VALUE"""),4)</f>
        <v>4</v>
      </c>
      <c r="AY4" s="4">
        <f ca="1">IFERROR(__xludf.DUMMYFUNCTION("""COMPUTED_VALUE"""),4)</f>
        <v>4</v>
      </c>
      <c r="AZ4" s="4">
        <f ca="1">IFERROR(__xludf.DUMMYFUNCTION("""COMPUTED_VALUE"""),4)</f>
        <v>4</v>
      </c>
      <c r="BA4" s="4">
        <f ca="1">IFERROR(__xludf.DUMMYFUNCTION("""COMPUTED_VALUE"""),4)</f>
        <v>4</v>
      </c>
      <c r="BB4" s="4">
        <f ca="1">IFERROR(__xludf.DUMMYFUNCTION("""COMPUTED_VALUE"""),4)</f>
        <v>4</v>
      </c>
      <c r="BC4" s="4">
        <f ca="1">IFERROR(__xludf.DUMMYFUNCTION("""COMPUTED_VALUE"""),3)</f>
        <v>3</v>
      </c>
      <c r="BD4" s="4">
        <f ca="1">IFERROR(__xludf.DUMMYFUNCTION("""COMPUTED_VALUE"""),4)</f>
        <v>4</v>
      </c>
      <c r="BE4" s="4">
        <f ca="1">IFERROR(__xludf.DUMMYFUNCTION("""COMPUTED_VALUE"""),4)</f>
        <v>4</v>
      </c>
      <c r="BF4" s="4">
        <f ca="1">IFERROR(__xludf.DUMMYFUNCTION("""COMPUTED_VALUE"""),4)</f>
        <v>4</v>
      </c>
      <c r="BG4" s="4">
        <f ca="1">IFERROR(__xludf.DUMMYFUNCTION("""COMPUTED_VALUE"""),4)</f>
        <v>4</v>
      </c>
      <c r="BH4" s="4">
        <f ca="1">IFERROR(__xludf.DUMMYFUNCTION("""COMPUTED_VALUE"""),4)</f>
        <v>4</v>
      </c>
      <c r="BI4" s="4">
        <f ca="1">IFERROR(__xludf.DUMMYFUNCTION("""COMPUTED_VALUE"""),4)</f>
        <v>4</v>
      </c>
      <c r="BJ4" s="4">
        <f ca="1">IFERROR(__xludf.DUMMYFUNCTION("""COMPUTED_VALUE"""),4)</f>
        <v>4</v>
      </c>
      <c r="BK4" s="4">
        <f ca="1">IFERROR(__xludf.DUMMYFUNCTION("""COMPUTED_VALUE"""),4)</f>
        <v>4</v>
      </c>
      <c r="BL4" s="4">
        <f ca="1">IFERROR(__xludf.DUMMYFUNCTION("""COMPUTED_VALUE"""),4)</f>
        <v>4</v>
      </c>
      <c r="BM4" s="4">
        <f ca="1">IFERROR(__xludf.DUMMYFUNCTION("""COMPUTED_VALUE"""),4)</f>
        <v>4</v>
      </c>
      <c r="BN4" s="4">
        <f ca="1">IFERROR(__xludf.DUMMYFUNCTION("""COMPUTED_VALUE"""),4)</f>
        <v>4</v>
      </c>
      <c r="BO4" s="4">
        <f ca="1">IFERROR(__xludf.DUMMYFUNCTION("""COMPUTED_VALUE"""),4)</f>
        <v>4</v>
      </c>
      <c r="BP4" s="4">
        <f ca="1">IFERROR(__xludf.DUMMYFUNCTION("""COMPUTED_VALUE"""),4)</f>
        <v>4</v>
      </c>
    </row>
    <row r="5" spans="1:68" x14ac:dyDescent="0.25">
      <c r="A5" s="4" t="str">
        <f ca="1">IFERROR(__xludf.DUMMYFUNCTION("""COMPUTED_VALUE"""),"2_ABaOnuei91-2GcOZTHhaoGWKhwZj_y-mPzugCYXIvb-PgRrNAHkUDWAdDjzIXXv_cg")</f>
        <v>2_ABaOnuei91-2GcOZTHhaoGWKhwZj_y-mPzugCYXIvb-PgRrNAHkUDWAdDjzIXXv_cg</v>
      </c>
      <c r="B5" s="5">
        <f ca="1">IFERROR(__xludf.DUMMYFUNCTION("""COMPUTED_VALUE"""),45966.4645784375)</f>
        <v>45966.464578437502</v>
      </c>
      <c r="C5" s="4" t="str">
        <f ca="1">IFERROR(__xludf.DUMMYFUNCTION("""COMPUTED_VALUE"""),"Nguyễn Thị Hồng Yến")</f>
        <v>Nguyễn Thị Hồng Yến</v>
      </c>
      <c r="D5" s="4" t="str">
        <f ca="1">IFERROR(__xludf.DUMMYFUNCTION("""COMPUTED_VALUE"""),"Nữ")</f>
        <v>Nữ</v>
      </c>
      <c r="E5" s="4" t="str">
        <f ca="1">IFERROR(__xludf.DUMMYFUNCTION("""COMPUTED_VALUE"""),"Công ty TNHH Kiểm toán và Tư vấn Chuẩn Việt")</f>
        <v>Công ty TNHH Kiểm toán và Tư vấn Chuẩn Việt</v>
      </c>
      <c r="F5" s="4" t="str">
        <f ca="1">IFERROR(__xludf.DUMMYFUNCTION("""COMPUTED_VALUE"""),"Chứng chỉ Kiểm toán viên")</f>
        <v>Chứng chỉ Kiểm toán viên</v>
      </c>
      <c r="G5" s="4" t="str">
        <f ca="1">IFERROR(__xludf.DUMMYFUNCTION("""COMPUTED_VALUE"""),"Trên 5 đến 10 năm")</f>
        <v>Trên 5 đến 10 năm</v>
      </c>
      <c r="H5" s="4" t="str">
        <f ca="1">IFERROR(__xludf.DUMMYFUNCTION("""COMPUTED_VALUE"""),"Kiểm toán viên/Trưởng nhóm")</f>
        <v>Kiểm toán viên/Trưởng nhóm</v>
      </c>
      <c r="I5" s="4">
        <f ca="1">IFERROR(__xludf.DUMMYFUNCTION("""COMPUTED_VALUE"""),5)</f>
        <v>5</v>
      </c>
      <c r="J5" s="4">
        <f ca="1">IFERROR(__xludf.DUMMYFUNCTION("""COMPUTED_VALUE"""),5)</f>
        <v>5</v>
      </c>
      <c r="K5" s="4">
        <f ca="1">IFERROR(__xludf.DUMMYFUNCTION("""COMPUTED_VALUE"""),5)</f>
        <v>5</v>
      </c>
      <c r="L5" s="4">
        <f ca="1">IFERROR(__xludf.DUMMYFUNCTION("""COMPUTED_VALUE"""),4)</f>
        <v>4</v>
      </c>
      <c r="M5" s="4">
        <f ca="1">IFERROR(__xludf.DUMMYFUNCTION("""COMPUTED_VALUE"""),5)</f>
        <v>5</v>
      </c>
      <c r="N5" s="4">
        <f ca="1">IFERROR(__xludf.DUMMYFUNCTION("""COMPUTED_VALUE"""),4)</f>
        <v>4</v>
      </c>
      <c r="O5" s="4">
        <f ca="1">IFERROR(__xludf.DUMMYFUNCTION("""COMPUTED_VALUE"""),4)</f>
        <v>4</v>
      </c>
      <c r="P5" s="4">
        <f ca="1">IFERROR(__xludf.DUMMYFUNCTION("""COMPUTED_VALUE"""),5)</f>
        <v>5</v>
      </c>
      <c r="Q5" s="4">
        <f ca="1">IFERROR(__xludf.DUMMYFUNCTION("""COMPUTED_VALUE"""),5)</f>
        <v>5</v>
      </c>
      <c r="R5" s="4">
        <f ca="1">IFERROR(__xludf.DUMMYFUNCTION("""COMPUTED_VALUE"""),5)</f>
        <v>5</v>
      </c>
      <c r="S5" s="4">
        <f ca="1">IFERROR(__xludf.DUMMYFUNCTION("""COMPUTED_VALUE"""),5)</f>
        <v>5</v>
      </c>
      <c r="T5" s="4">
        <f ca="1">IFERROR(__xludf.DUMMYFUNCTION("""COMPUTED_VALUE"""),5)</f>
        <v>5</v>
      </c>
      <c r="U5" s="4">
        <f ca="1">IFERROR(__xludf.DUMMYFUNCTION("""COMPUTED_VALUE"""),5)</f>
        <v>5</v>
      </c>
      <c r="V5" s="4">
        <f ca="1">IFERROR(__xludf.DUMMYFUNCTION("""COMPUTED_VALUE"""),5)</f>
        <v>5</v>
      </c>
      <c r="W5" s="4">
        <f ca="1">IFERROR(__xludf.DUMMYFUNCTION("""COMPUTED_VALUE"""),4)</f>
        <v>4</v>
      </c>
      <c r="X5" s="4">
        <f ca="1">IFERROR(__xludf.DUMMYFUNCTION("""COMPUTED_VALUE"""),4)</f>
        <v>4</v>
      </c>
      <c r="Y5" s="4">
        <f ca="1">IFERROR(__xludf.DUMMYFUNCTION("""COMPUTED_VALUE"""),4)</f>
        <v>4</v>
      </c>
      <c r="Z5" s="4">
        <f ca="1">IFERROR(__xludf.DUMMYFUNCTION("""COMPUTED_VALUE"""),3)</f>
        <v>3</v>
      </c>
      <c r="AA5" s="4">
        <f ca="1">IFERROR(__xludf.DUMMYFUNCTION("""COMPUTED_VALUE"""),3)</f>
        <v>3</v>
      </c>
      <c r="AB5" s="4">
        <f ca="1">IFERROR(__xludf.DUMMYFUNCTION("""COMPUTED_VALUE"""),2)</f>
        <v>2</v>
      </c>
      <c r="AC5" s="4">
        <f ca="1">IFERROR(__xludf.DUMMYFUNCTION("""COMPUTED_VALUE"""),2)</f>
        <v>2</v>
      </c>
      <c r="AD5" s="4">
        <f ca="1">IFERROR(__xludf.DUMMYFUNCTION("""COMPUTED_VALUE"""),4)</f>
        <v>4</v>
      </c>
      <c r="AE5" s="4">
        <f ca="1">IFERROR(__xludf.DUMMYFUNCTION("""COMPUTED_VALUE"""),4)</f>
        <v>4</v>
      </c>
      <c r="AF5" s="4">
        <f ca="1">IFERROR(__xludf.DUMMYFUNCTION("""COMPUTED_VALUE"""),5)</f>
        <v>5</v>
      </c>
      <c r="AG5" s="4">
        <f ca="1">IFERROR(__xludf.DUMMYFUNCTION("""COMPUTED_VALUE"""),4)</f>
        <v>4</v>
      </c>
      <c r="AH5" s="4">
        <f ca="1">IFERROR(__xludf.DUMMYFUNCTION("""COMPUTED_VALUE"""),4)</f>
        <v>4</v>
      </c>
      <c r="AI5" s="4">
        <f ca="1">IFERROR(__xludf.DUMMYFUNCTION("""COMPUTED_VALUE"""),4)</f>
        <v>4</v>
      </c>
      <c r="AJ5" s="4">
        <f ca="1">IFERROR(__xludf.DUMMYFUNCTION("""COMPUTED_VALUE"""),4)</f>
        <v>4</v>
      </c>
      <c r="AK5" s="4">
        <f ca="1">IFERROR(__xludf.DUMMYFUNCTION("""COMPUTED_VALUE"""),3)</f>
        <v>3</v>
      </c>
      <c r="AL5" s="4">
        <f ca="1">IFERROR(__xludf.DUMMYFUNCTION("""COMPUTED_VALUE"""),5)</f>
        <v>5</v>
      </c>
      <c r="AM5" s="4">
        <f ca="1">IFERROR(__xludf.DUMMYFUNCTION("""COMPUTED_VALUE"""),4)</f>
        <v>4</v>
      </c>
      <c r="AN5" s="4">
        <f ca="1">IFERROR(__xludf.DUMMYFUNCTION("""COMPUTED_VALUE"""),4)</f>
        <v>4</v>
      </c>
      <c r="AO5" s="4">
        <f ca="1">IFERROR(__xludf.DUMMYFUNCTION("""COMPUTED_VALUE"""),4)</f>
        <v>4</v>
      </c>
      <c r="AP5" s="4">
        <f ca="1">IFERROR(__xludf.DUMMYFUNCTION("""COMPUTED_VALUE"""),3)</f>
        <v>3</v>
      </c>
      <c r="AQ5" s="4">
        <f ca="1">IFERROR(__xludf.DUMMYFUNCTION("""COMPUTED_VALUE"""),4)</f>
        <v>4</v>
      </c>
      <c r="AR5" s="4">
        <f ca="1">IFERROR(__xludf.DUMMYFUNCTION("""COMPUTED_VALUE"""),3)</f>
        <v>3</v>
      </c>
      <c r="AS5" s="4">
        <f ca="1">IFERROR(__xludf.DUMMYFUNCTION("""COMPUTED_VALUE"""),3)</f>
        <v>3</v>
      </c>
      <c r="AT5" s="4">
        <f ca="1">IFERROR(__xludf.DUMMYFUNCTION("""COMPUTED_VALUE"""),4)</f>
        <v>4</v>
      </c>
      <c r="AU5" s="4">
        <f ca="1">IFERROR(__xludf.DUMMYFUNCTION("""COMPUTED_VALUE"""),4)</f>
        <v>4</v>
      </c>
      <c r="AV5" s="4">
        <f ca="1">IFERROR(__xludf.DUMMYFUNCTION("""COMPUTED_VALUE"""),4)</f>
        <v>4</v>
      </c>
      <c r="AW5" s="4">
        <f ca="1">IFERROR(__xludf.DUMMYFUNCTION("""COMPUTED_VALUE"""),4)</f>
        <v>4</v>
      </c>
      <c r="AX5" s="4">
        <f ca="1">IFERROR(__xludf.DUMMYFUNCTION("""COMPUTED_VALUE"""),4)</f>
        <v>4</v>
      </c>
      <c r="AY5" s="4">
        <f ca="1">IFERROR(__xludf.DUMMYFUNCTION("""COMPUTED_VALUE"""),4)</f>
        <v>4</v>
      </c>
      <c r="AZ5" s="4">
        <f ca="1">IFERROR(__xludf.DUMMYFUNCTION("""COMPUTED_VALUE"""),4)</f>
        <v>4</v>
      </c>
      <c r="BA5" s="4">
        <f ca="1">IFERROR(__xludf.DUMMYFUNCTION("""COMPUTED_VALUE"""),4)</f>
        <v>4</v>
      </c>
      <c r="BB5" s="4">
        <f ca="1">IFERROR(__xludf.DUMMYFUNCTION("""COMPUTED_VALUE"""),4)</f>
        <v>4</v>
      </c>
      <c r="BC5" s="4">
        <f ca="1">IFERROR(__xludf.DUMMYFUNCTION("""COMPUTED_VALUE"""),2)</f>
        <v>2</v>
      </c>
      <c r="BD5" s="4">
        <f ca="1">IFERROR(__xludf.DUMMYFUNCTION("""COMPUTED_VALUE"""),2)</f>
        <v>2</v>
      </c>
      <c r="BE5" s="4">
        <f ca="1">IFERROR(__xludf.DUMMYFUNCTION("""COMPUTED_VALUE"""),2)</f>
        <v>2</v>
      </c>
      <c r="BF5" s="4">
        <f ca="1">IFERROR(__xludf.DUMMYFUNCTION("""COMPUTED_VALUE"""),2)</f>
        <v>2</v>
      </c>
      <c r="BG5" s="4">
        <f ca="1">IFERROR(__xludf.DUMMYFUNCTION("""COMPUTED_VALUE"""),2)</f>
        <v>2</v>
      </c>
      <c r="BH5" s="4">
        <f ca="1">IFERROR(__xludf.DUMMYFUNCTION("""COMPUTED_VALUE"""),4)</f>
        <v>4</v>
      </c>
      <c r="BI5" s="4">
        <f ca="1">IFERROR(__xludf.DUMMYFUNCTION("""COMPUTED_VALUE"""),4)</f>
        <v>4</v>
      </c>
      <c r="BJ5" s="4">
        <f ca="1">IFERROR(__xludf.DUMMYFUNCTION("""COMPUTED_VALUE"""),4)</f>
        <v>4</v>
      </c>
      <c r="BK5" s="4">
        <f ca="1">IFERROR(__xludf.DUMMYFUNCTION("""COMPUTED_VALUE"""),5)</f>
        <v>5</v>
      </c>
      <c r="BL5" s="4">
        <f ca="1">IFERROR(__xludf.DUMMYFUNCTION("""COMPUTED_VALUE"""),5)</f>
        <v>5</v>
      </c>
      <c r="BM5" s="4">
        <f ca="1">IFERROR(__xludf.DUMMYFUNCTION("""COMPUTED_VALUE"""),5)</f>
        <v>5</v>
      </c>
      <c r="BN5" s="4">
        <f ca="1">IFERROR(__xludf.DUMMYFUNCTION("""COMPUTED_VALUE"""),5)</f>
        <v>5</v>
      </c>
      <c r="BO5" s="4">
        <f ca="1">IFERROR(__xludf.DUMMYFUNCTION("""COMPUTED_VALUE"""),4)</f>
        <v>4</v>
      </c>
      <c r="BP5" s="4">
        <f ca="1">IFERROR(__xludf.DUMMYFUNCTION("""COMPUTED_VALUE"""),4)</f>
        <v>4</v>
      </c>
    </row>
    <row r="6" spans="1:68" x14ac:dyDescent="0.25">
      <c r="A6" s="4" t="str">
        <f ca="1">IFERROR(__xludf.DUMMYFUNCTION("""COMPUTED_VALUE"""),"2_ABaOnucGK-jgVzLJQ9jtJxrX2D9DxT5CIalnRxlYdkIpqyQO2b7wFv4pY-yeazHvQg")</f>
        <v>2_ABaOnucGK-jgVzLJQ9jtJxrX2D9DxT5CIalnRxlYdkIpqyQO2b7wFv4pY-yeazHvQg</v>
      </c>
      <c r="B6" s="5">
        <f ca="1">IFERROR(__xludf.DUMMYFUNCTION("""COMPUTED_VALUE"""),45966.4660231944)</f>
        <v>45966.4660231944</v>
      </c>
      <c r="C6" s="4" t="str">
        <f ca="1">IFERROR(__xludf.DUMMYFUNCTION("""COMPUTED_VALUE"""),"Nguyễn Hồng Phúc")</f>
        <v>Nguyễn Hồng Phúc</v>
      </c>
      <c r="D6" s="4" t="str">
        <f ca="1">IFERROR(__xludf.DUMMYFUNCTION("""COMPUTED_VALUE"""),"Nam")</f>
        <v>Nam</v>
      </c>
      <c r="E6" s="4" t="str">
        <f ca="1">IFERROR(__xludf.DUMMYFUNCTION("""COMPUTED_VALUE"""),"Công ty TNHH Kiểm toán và Tư vấn Chuẩn Việt")</f>
        <v>Công ty TNHH Kiểm toán và Tư vấn Chuẩn Việt</v>
      </c>
      <c r="F6" s="4" t="str">
        <f ca="1">IFERROR(__xludf.DUMMYFUNCTION("""COMPUTED_VALUE"""),"Sau đại học, Chứng chỉ Kiểm toán viên")</f>
        <v>Sau đại học, Chứng chỉ Kiểm toán viên</v>
      </c>
      <c r="G6" s="4" t="str">
        <f ca="1">IFERROR(__xludf.DUMMYFUNCTION("""COMPUTED_VALUE"""),"Trên 10 đến 15 năm")</f>
        <v>Trên 10 đến 15 năm</v>
      </c>
      <c r="H6" s="4" t="str">
        <f ca="1">IFERROR(__xludf.DUMMYFUNCTION("""COMPUTED_VALUE"""),"Trưởng phòng")</f>
        <v>Trưởng phòng</v>
      </c>
      <c r="I6" s="4">
        <f ca="1">IFERROR(__xludf.DUMMYFUNCTION("""COMPUTED_VALUE"""),5)</f>
        <v>5</v>
      </c>
      <c r="J6" s="4">
        <f ca="1">IFERROR(__xludf.DUMMYFUNCTION("""COMPUTED_VALUE"""),5)</f>
        <v>5</v>
      </c>
      <c r="K6" s="4">
        <f ca="1">IFERROR(__xludf.DUMMYFUNCTION("""COMPUTED_VALUE"""),5)</f>
        <v>5</v>
      </c>
      <c r="L6" s="4">
        <f ca="1">IFERROR(__xludf.DUMMYFUNCTION("""COMPUTED_VALUE"""),5)</f>
        <v>5</v>
      </c>
      <c r="M6" s="4">
        <f ca="1">IFERROR(__xludf.DUMMYFUNCTION("""COMPUTED_VALUE"""),5)</f>
        <v>5</v>
      </c>
      <c r="N6" s="4">
        <f ca="1">IFERROR(__xludf.DUMMYFUNCTION("""COMPUTED_VALUE"""),3)</f>
        <v>3</v>
      </c>
      <c r="O6" s="4">
        <f ca="1">IFERROR(__xludf.DUMMYFUNCTION("""COMPUTED_VALUE"""),4)</f>
        <v>4</v>
      </c>
      <c r="P6" s="4">
        <f ca="1">IFERROR(__xludf.DUMMYFUNCTION("""COMPUTED_VALUE"""),5)</f>
        <v>5</v>
      </c>
      <c r="Q6" s="4">
        <f ca="1">IFERROR(__xludf.DUMMYFUNCTION("""COMPUTED_VALUE"""),5)</f>
        <v>5</v>
      </c>
      <c r="R6" s="4">
        <f ca="1">IFERROR(__xludf.DUMMYFUNCTION("""COMPUTED_VALUE"""),5)</f>
        <v>5</v>
      </c>
      <c r="S6" s="4">
        <f ca="1">IFERROR(__xludf.DUMMYFUNCTION("""COMPUTED_VALUE"""),5)</f>
        <v>5</v>
      </c>
      <c r="T6" s="4">
        <f ca="1">IFERROR(__xludf.DUMMYFUNCTION("""COMPUTED_VALUE"""),5)</f>
        <v>5</v>
      </c>
      <c r="U6" s="4">
        <f ca="1">IFERROR(__xludf.DUMMYFUNCTION("""COMPUTED_VALUE"""),5)</f>
        <v>5</v>
      </c>
      <c r="V6" s="4">
        <f ca="1">IFERROR(__xludf.DUMMYFUNCTION("""COMPUTED_VALUE"""),5)</f>
        <v>5</v>
      </c>
      <c r="W6" s="4">
        <f ca="1">IFERROR(__xludf.DUMMYFUNCTION("""COMPUTED_VALUE"""),5)</f>
        <v>5</v>
      </c>
      <c r="X6" s="4">
        <f ca="1">IFERROR(__xludf.DUMMYFUNCTION("""COMPUTED_VALUE"""),5)</f>
        <v>5</v>
      </c>
      <c r="Y6" s="4">
        <f ca="1">IFERROR(__xludf.DUMMYFUNCTION("""COMPUTED_VALUE"""),5)</f>
        <v>5</v>
      </c>
      <c r="Z6" s="4">
        <f ca="1">IFERROR(__xludf.DUMMYFUNCTION("""COMPUTED_VALUE"""),4)</f>
        <v>4</v>
      </c>
      <c r="AA6" s="4">
        <f ca="1">IFERROR(__xludf.DUMMYFUNCTION("""COMPUTED_VALUE"""),3)</f>
        <v>3</v>
      </c>
      <c r="AB6" s="4">
        <f ca="1">IFERROR(__xludf.DUMMYFUNCTION("""COMPUTED_VALUE"""),5)</f>
        <v>5</v>
      </c>
      <c r="AC6" s="4">
        <f ca="1">IFERROR(__xludf.DUMMYFUNCTION("""COMPUTED_VALUE"""),5)</f>
        <v>5</v>
      </c>
      <c r="AD6" s="4">
        <f ca="1">IFERROR(__xludf.DUMMYFUNCTION("""COMPUTED_VALUE"""),5)</f>
        <v>5</v>
      </c>
      <c r="AE6" s="4">
        <f ca="1">IFERROR(__xludf.DUMMYFUNCTION("""COMPUTED_VALUE"""),5)</f>
        <v>5</v>
      </c>
      <c r="AF6" s="4">
        <f ca="1">IFERROR(__xludf.DUMMYFUNCTION("""COMPUTED_VALUE"""),5)</f>
        <v>5</v>
      </c>
      <c r="AG6" s="4">
        <f ca="1">IFERROR(__xludf.DUMMYFUNCTION("""COMPUTED_VALUE"""),5)</f>
        <v>5</v>
      </c>
      <c r="AH6" s="4">
        <f ca="1">IFERROR(__xludf.DUMMYFUNCTION("""COMPUTED_VALUE"""),5)</f>
        <v>5</v>
      </c>
      <c r="AI6" s="4">
        <f ca="1">IFERROR(__xludf.DUMMYFUNCTION("""COMPUTED_VALUE"""),5)</f>
        <v>5</v>
      </c>
      <c r="AJ6" s="4">
        <f ca="1">IFERROR(__xludf.DUMMYFUNCTION("""COMPUTED_VALUE"""),5)</f>
        <v>5</v>
      </c>
      <c r="AK6" s="4">
        <f ca="1">IFERROR(__xludf.DUMMYFUNCTION("""COMPUTED_VALUE"""),5)</f>
        <v>5</v>
      </c>
      <c r="AL6" s="4">
        <f ca="1">IFERROR(__xludf.DUMMYFUNCTION("""COMPUTED_VALUE"""),5)</f>
        <v>5</v>
      </c>
      <c r="AM6" s="4">
        <f ca="1">IFERROR(__xludf.DUMMYFUNCTION("""COMPUTED_VALUE"""),5)</f>
        <v>5</v>
      </c>
      <c r="AN6" s="4">
        <f ca="1">IFERROR(__xludf.DUMMYFUNCTION("""COMPUTED_VALUE"""),5)</f>
        <v>5</v>
      </c>
      <c r="AO6" s="4">
        <f ca="1">IFERROR(__xludf.DUMMYFUNCTION("""COMPUTED_VALUE"""),5)</f>
        <v>5</v>
      </c>
      <c r="AP6" s="4">
        <f ca="1">IFERROR(__xludf.DUMMYFUNCTION("""COMPUTED_VALUE"""),5)</f>
        <v>5</v>
      </c>
      <c r="AQ6" s="4">
        <f ca="1">IFERROR(__xludf.DUMMYFUNCTION("""COMPUTED_VALUE"""),5)</f>
        <v>5</v>
      </c>
      <c r="AR6" s="4">
        <f ca="1">IFERROR(__xludf.DUMMYFUNCTION("""COMPUTED_VALUE"""),5)</f>
        <v>5</v>
      </c>
      <c r="AS6" s="4">
        <f ca="1">IFERROR(__xludf.DUMMYFUNCTION("""COMPUTED_VALUE"""),5)</f>
        <v>5</v>
      </c>
      <c r="AT6" s="4">
        <f ca="1">IFERROR(__xludf.DUMMYFUNCTION("""COMPUTED_VALUE"""),3)</f>
        <v>3</v>
      </c>
      <c r="AU6" s="4">
        <f ca="1">IFERROR(__xludf.DUMMYFUNCTION("""COMPUTED_VALUE"""),5)</f>
        <v>5</v>
      </c>
      <c r="AV6" s="4">
        <f ca="1">IFERROR(__xludf.DUMMYFUNCTION("""COMPUTED_VALUE"""),5)</f>
        <v>5</v>
      </c>
      <c r="AW6" s="4">
        <f ca="1">IFERROR(__xludf.DUMMYFUNCTION("""COMPUTED_VALUE"""),5)</f>
        <v>5</v>
      </c>
      <c r="AX6" s="4">
        <f ca="1">IFERROR(__xludf.DUMMYFUNCTION("""COMPUTED_VALUE"""),5)</f>
        <v>5</v>
      </c>
      <c r="AY6" s="4">
        <f ca="1">IFERROR(__xludf.DUMMYFUNCTION("""COMPUTED_VALUE"""),5)</f>
        <v>5</v>
      </c>
      <c r="AZ6" s="4">
        <f ca="1">IFERROR(__xludf.DUMMYFUNCTION("""COMPUTED_VALUE"""),5)</f>
        <v>5</v>
      </c>
      <c r="BA6" s="4">
        <f ca="1">IFERROR(__xludf.DUMMYFUNCTION("""COMPUTED_VALUE"""),5)</f>
        <v>5</v>
      </c>
      <c r="BB6" s="4">
        <f ca="1">IFERROR(__xludf.DUMMYFUNCTION("""COMPUTED_VALUE"""),4)</f>
        <v>4</v>
      </c>
      <c r="BC6" s="4">
        <f ca="1">IFERROR(__xludf.DUMMYFUNCTION("""COMPUTED_VALUE"""),4)</f>
        <v>4</v>
      </c>
      <c r="BD6" s="4">
        <f ca="1">IFERROR(__xludf.DUMMYFUNCTION("""COMPUTED_VALUE"""),4)</f>
        <v>4</v>
      </c>
      <c r="BE6" s="4">
        <f ca="1">IFERROR(__xludf.DUMMYFUNCTION("""COMPUTED_VALUE"""),4)</f>
        <v>4</v>
      </c>
      <c r="BF6" s="4">
        <f ca="1">IFERROR(__xludf.DUMMYFUNCTION("""COMPUTED_VALUE"""),4)</f>
        <v>4</v>
      </c>
      <c r="BG6" s="4">
        <f ca="1">IFERROR(__xludf.DUMMYFUNCTION("""COMPUTED_VALUE"""),4)</f>
        <v>4</v>
      </c>
      <c r="BH6" s="4">
        <f ca="1">IFERROR(__xludf.DUMMYFUNCTION("""COMPUTED_VALUE"""),4)</f>
        <v>4</v>
      </c>
      <c r="BI6" s="4">
        <f ca="1">IFERROR(__xludf.DUMMYFUNCTION("""COMPUTED_VALUE"""),4)</f>
        <v>4</v>
      </c>
      <c r="BJ6" s="4">
        <f ca="1">IFERROR(__xludf.DUMMYFUNCTION("""COMPUTED_VALUE"""),4)</f>
        <v>4</v>
      </c>
      <c r="BK6" s="4">
        <f ca="1">IFERROR(__xludf.DUMMYFUNCTION("""COMPUTED_VALUE"""),4)</f>
        <v>4</v>
      </c>
      <c r="BL6" s="4">
        <f ca="1">IFERROR(__xludf.DUMMYFUNCTION("""COMPUTED_VALUE"""),4)</f>
        <v>4</v>
      </c>
      <c r="BM6" s="4">
        <f ca="1">IFERROR(__xludf.DUMMYFUNCTION("""COMPUTED_VALUE"""),4)</f>
        <v>4</v>
      </c>
      <c r="BN6" s="4">
        <f ca="1">IFERROR(__xludf.DUMMYFUNCTION("""COMPUTED_VALUE"""),4)</f>
        <v>4</v>
      </c>
      <c r="BO6" s="4">
        <f ca="1">IFERROR(__xludf.DUMMYFUNCTION("""COMPUTED_VALUE"""),4)</f>
        <v>4</v>
      </c>
      <c r="BP6" s="4">
        <f ca="1">IFERROR(__xludf.DUMMYFUNCTION("""COMPUTED_VALUE"""),4)</f>
        <v>4</v>
      </c>
    </row>
    <row r="7" spans="1:68" x14ac:dyDescent="0.25">
      <c r="A7" s="4" t="str">
        <f ca="1">IFERROR(__xludf.DUMMYFUNCTION("""COMPUTED_VALUE"""),"2_ABaOnufTsD36kd5aEcPnkbYSlZmnQXV4XsPShZHzoWt5YlVoPeji_Q0Vh9c1NOZlyQ")</f>
        <v>2_ABaOnufTsD36kd5aEcPnkbYSlZmnQXV4XsPShZHzoWt5YlVoPeji_Q0Vh9c1NOZlyQ</v>
      </c>
      <c r="B7" s="5">
        <f ca="1">IFERROR(__xludf.DUMMYFUNCTION("""COMPUTED_VALUE"""),45966.4681634259)</f>
        <v>45966.468163425903</v>
      </c>
      <c r="C7" s="4" t="str">
        <f ca="1">IFERROR(__xludf.DUMMYFUNCTION("""COMPUTED_VALUE"""),"Nguyễn Thị Kim Ngân")</f>
        <v>Nguyễn Thị Kim Ngân</v>
      </c>
      <c r="D7" s="4" t="str">
        <f ca="1">IFERROR(__xludf.DUMMYFUNCTION("""COMPUTED_VALUE"""),"Nữ")</f>
        <v>Nữ</v>
      </c>
      <c r="E7" s="4" t="str">
        <f ca="1">IFERROR(__xludf.DUMMYFUNCTION("""COMPUTED_VALUE"""),"Công ty TNHH Kiểm Toán và Tư Vấn Chuẩn Việt")</f>
        <v>Công ty TNHH Kiểm Toán và Tư Vấn Chuẩn Việt</v>
      </c>
      <c r="F7" s="4" t="str">
        <f ca="1">IFERROR(__xludf.DUMMYFUNCTION("""COMPUTED_VALUE"""),"Đại học")</f>
        <v>Đại học</v>
      </c>
      <c r="G7" s="4" t="str">
        <f ca="1">IFERROR(__xludf.DUMMYFUNCTION("""COMPUTED_VALUE"""),"Từ 3 đến 5 năm")</f>
        <v>Từ 3 đến 5 năm</v>
      </c>
      <c r="H7" s="4" t="str">
        <f ca="1">IFERROR(__xludf.DUMMYFUNCTION("""COMPUTED_VALUE"""),"Trợ lý kiểm toán")</f>
        <v>Trợ lý kiểm toán</v>
      </c>
      <c r="I7" s="4">
        <f ca="1">IFERROR(__xludf.DUMMYFUNCTION("""COMPUTED_VALUE"""),5)</f>
        <v>5</v>
      </c>
      <c r="J7" s="4">
        <f ca="1">IFERROR(__xludf.DUMMYFUNCTION("""COMPUTED_VALUE"""),5)</f>
        <v>5</v>
      </c>
      <c r="K7" s="4">
        <f ca="1">IFERROR(__xludf.DUMMYFUNCTION("""COMPUTED_VALUE"""),5)</f>
        <v>5</v>
      </c>
      <c r="L7" s="4">
        <f ca="1">IFERROR(__xludf.DUMMYFUNCTION("""COMPUTED_VALUE"""),5)</f>
        <v>5</v>
      </c>
      <c r="M7" s="4">
        <f ca="1">IFERROR(__xludf.DUMMYFUNCTION("""COMPUTED_VALUE"""),5)</f>
        <v>5</v>
      </c>
      <c r="N7" s="4">
        <f ca="1">IFERROR(__xludf.DUMMYFUNCTION("""COMPUTED_VALUE"""),5)</f>
        <v>5</v>
      </c>
      <c r="O7" s="4">
        <f ca="1">IFERROR(__xludf.DUMMYFUNCTION("""COMPUTED_VALUE"""),5)</f>
        <v>5</v>
      </c>
      <c r="P7" s="4">
        <f ca="1">IFERROR(__xludf.DUMMYFUNCTION("""COMPUTED_VALUE"""),5)</f>
        <v>5</v>
      </c>
      <c r="Q7" s="4">
        <f ca="1">IFERROR(__xludf.DUMMYFUNCTION("""COMPUTED_VALUE"""),5)</f>
        <v>5</v>
      </c>
      <c r="R7" s="4">
        <f ca="1">IFERROR(__xludf.DUMMYFUNCTION("""COMPUTED_VALUE"""),5)</f>
        <v>5</v>
      </c>
      <c r="S7" s="4">
        <f ca="1">IFERROR(__xludf.DUMMYFUNCTION("""COMPUTED_VALUE"""),5)</f>
        <v>5</v>
      </c>
      <c r="T7" s="4">
        <f ca="1">IFERROR(__xludf.DUMMYFUNCTION("""COMPUTED_VALUE"""),5)</f>
        <v>5</v>
      </c>
      <c r="U7" s="4">
        <f ca="1">IFERROR(__xludf.DUMMYFUNCTION("""COMPUTED_VALUE"""),5)</f>
        <v>5</v>
      </c>
      <c r="V7" s="4">
        <f ca="1">IFERROR(__xludf.DUMMYFUNCTION("""COMPUTED_VALUE"""),5)</f>
        <v>5</v>
      </c>
      <c r="W7" s="4">
        <f ca="1">IFERROR(__xludf.DUMMYFUNCTION("""COMPUTED_VALUE"""),4)</f>
        <v>4</v>
      </c>
      <c r="X7" s="4">
        <f ca="1">IFERROR(__xludf.DUMMYFUNCTION("""COMPUTED_VALUE"""),4)</f>
        <v>4</v>
      </c>
      <c r="Y7" s="4">
        <f ca="1">IFERROR(__xludf.DUMMYFUNCTION("""COMPUTED_VALUE"""),5)</f>
        <v>5</v>
      </c>
      <c r="Z7" s="4">
        <f ca="1">IFERROR(__xludf.DUMMYFUNCTION("""COMPUTED_VALUE"""),3)</f>
        <v>3</v>
      </c>
      <c r="AA7" s="4">
        <f ca="1">IFERROR(__xludf.DUMMYFUNCTION("""COMPUTED_VALUE"""),5)</f>
        <v>5</v>
      </c>
      <c r="AB7" s="4">
        <f ca="1">IFERROR(__xludf.DUMMYFUNCTION("""COMPUTED_VALUE"""),4)</f>
        <v>4</v>
      </c>
      <c r="AC7" s="4">
        <f ca="1">IFERROR(__xludf.DUMMYFUNCTION("""COMPUTED_VALUE"""),3)</f>
        <v>3</v>
      </c>
      <c r="AD7" s="4">
        <f ca="1">IFERROR(__xludf.DUMMYFUNCTION("""COMPUTED_VALUE"""),4)</f>
        <v>4</v>
      </c>
      <c r="AE7" s="4">
        <f ca="1">IFERROR(__xludf.DUMMYFUNCTION("""COMPUTED_VALUE"""),5)</f>
        <v>5</v>
      </c>
      <c r="AF7" s="4">
        <f ca="1">IFERROR(__xludf.DUMMYFUNCTION("""COMPUTED_VALUE"""),5)</f>
        <v>5</v>
      </c>
      <c r="AG7" s="4">
        <f ca="1">IFERROR(__xludf.DUMMYFUNCTION("""COMPUTED_VALUE"""),5)</f>
        <v>5</v>
      </c>
      <c r="AH7" s="4">
        <f ca="1">IFERROR(__xludf.DUMMYFUNCTION("""COMPUTED_VALUE"""),5)</f>
        <v>5</v>
      </c>
      <c r="AI7" s="4">
        <f ca="1">IFERROR(__xludf.DUMMYFUNCTION("""COMPUTED_VALUE"""),4)</f>
        <v>4</v>
      </c>
      <c r="AJ7" s="4">
        <f ca="1">IFERROR(__xludf.DUMMYFUNCTION("""COMPUTED_VALUE"""),5)</f>
        <v>5</v>
      </c>
      <c r="AK7" s="4">
        <f ca="1">IFERROR(__xludf.DUMMYFUNCTION("""COMPUTED_VALUE"""),5)</f>
        <v>5</v>
      </c>
      <c r="AL7" s="4">
        <f ca="1">IFERROR(__xludf.DUMMYFUNCTION("""COMPUTED_VALUE"""),5)</f>
        <v>5</v>
      </c>
      <c r="AM7" s="4">
        <f ca="1">IFERROR(__xludf.DUMMYFUNCTION("""COMPUTED_VALUE"""),5)</f>
        <v>5</v>
      </c>
      <c r="AN7" s="4">
        <f ca="1">IFERROR(__xludf.DUMMYFUNCTION("""COMPUTED_VALUE"""),5)</f>
        <v>5</v>
      </c>
      <c r="AO7" s="4">
        <f ca="1">IFERROR(__xludf.DUMMYFUNCTION("""COMPUTED_VALUE"""),5)</f>
        <v>5</v>
      </c>
      <c r="AP7" s="4">
        <f ca="1">IFERROR(__xludf.DUMMYFUNCTION("""COMPUTED_VALUE"""),5)</f>
        <v>5</v>
      </c>
      <c r="AQ7" s="4">
        <f ca="1">IFERROR(__xludf.DUMMYFUNCTION("""COMPUTED_VALUE"""),5)</f>
        <v>5</v>
      </c>
      <c r="AR7" s="4">
        <f ca="1">IFERROR(__xludf.DUMMYFUNCTION("""COMPUTED_VALUE"""),5)</f>
        <v>5</v>
      </c>
      <c r="AS7" s="4">
        <f ca="1">IFERROR(__xludf.DUMMYFUNCTION("""COMPUTED_VALUE"""),5)</f>
        <v>5</v>
      </c>
      <c r="AT7" s="4">
        <f ca="1">IFERROR(__xludf.DUMMYFUNCTION("""COMPUTED_VALUE"""),5)</f>
        <v>5</v>
      </c>
      <c r="AU7" s="4">
        <f ca="1">IFERROR(__xludf.DUMMYFUNCTION("""COMPUTED_VALUE"""),5)</f>
        <v>5</v>
      </c>
      <c r="AV7" s="4">
        <f ca="1">IFERROR(__xludf.DUMMYFUNCTION("""COMPUTED_VALUE"""),5)</f>
        <v>5</v>
      </c>
      <c r="AW7" s="4">
        <f ca="1">IFERROR(__xludf.DUMMYFUNCTION("""COMPUTED_VALUE"""),5)</f>
        <v>5</v>
      </c>
      <c r="AX7" s="4">
        <f ca="1">IFERROR(__xludf.DUMMYFUNCTION("""COMPUTED_VALUE"""),5)</f>
        <v>5</v>
      </c>
      <c r="AY7" s="4">
        <f ca="1">IFERROR(__xludf.DUMMYFUNCTION("""COMPUTED_VALUE"""),5)</f>
        <v>5</v>
      </c>
      <c r="AZ7" s="4">
        <f ca="1">IFERROR(__xludf.DUMMYFUNCTION("""COMPUTED_VALUE"""),5)</f>
        <v>5</v>
      </c>
      <c r="BA7" s="4">
        <f ca="1">IFERROR(__xludf.DUMMYFUNCTION("""COMPUTED_VALUE"""),5)</f>
        <v>5</v>
      </c>
      <c r="BB7" s="4">
        <f ca="1">IFERROR(__xludf.DUMMYFUNCTION("""COMPUTED_VALUE"""),4)</f>
        <v>4</v>
      </c>
      <c r="BC7" s="4">
        <f ca="1">IFERROR(__xludf.DUMMYFUNCTION("""COMPUTED_VALUE"""),4)</f>
        <v>4</v>
      </c>
      <c r="BD7" s="4">
        <f ca="1">IFERROR(__xludf.DUMMYFUNCTION("""COMPUTED_VALUE"""),4)</f>
        <v>4</v>
      </c>
      <c r="BE7" s="4">
        <f ca="1">IFERROR(__xludf.DUMMYFUNCTION("""COMPUTED_VALUE"""),4)</f>
        <v>4</v>
      </c>
      <c r="BF7" s="4">
        <f ca="1">IFERROR(__xludf.DUMMYFUNCTION("""COMPUTED_VALUE"""),4)</f>
        <v>4</v>
      </c>
      <c r="BG7" s="4">
        <f ca="1">IFERROR(__xludf.DUMMYFUNCTION("""COMPUTED_VALUE"""),4)</f>
        <v>4</v>
      </c>
      <c r="BH7" s="4">
        <f ca="1">IFERROR(__xludf.DUMMYFUNCTION("""COMPUTED_VALUE"""),5)</f>
        <v>5</v>
      </c>
      <c r="BI7" s="4">
        <f ca="1">IFERROR(__xludf.DUMMYFUNCTION("""COMPUTED_VALUE"""),5)</f>
        <v>5</v>
      </c>
      <c r="BJ7" s="4">
        <f ca="1">IFERROR(__xludf.DUMMYFUNCTION("""COMPUTED_VALUE"""),5)</f>
        <v>5</v>
      </c>
      <c r="BK7" s="4">
        <f ca="1">IFERROR(__xludf.DUMMYFUNCTION("""COMPUTED_VALUE"""),5)</f>
        <v>5</v>
      </c>
      <c r="BL7" s="4">
        <f ca="1">IFERROR(__xludf.DUMMYFUNCTION("""COMPUTED_VALUE"""),4)</f>
        <v>4</v>
      </c>
      <c r="BM7" s="4">
        <f ca="1">IFERROR(__xludf.DUMMYFUNCTION("""COMPUTED_VALUE"""),5)</f>
        <v>5</v>
      </c>
      <c r="BN7" s="4">
        <f ca="1">IFERROR(__xludf.DUMMYFUNCTION("""COMPUTED_VALUE"""),5)</f>
        <v>5</v>
      </c>
      <c r="BO7" s="4">
        <f ca="1">IFERROR(__xludf.DUMMYFUNCTION("""COMPUTED_VALUE"""),5)</f>
        <v>5</v>
      </c>
      <c r="BP7" s="4">
        <f ca="1">IFERROR(__xludf.DUMMYFUNCTION("""COMPUTED_VALUE"""),5)</f>
        <v>5</v>
      </c>
    </row>
    <row r="8" spans="1:68" x14ac:dyDescent="0.25">
      <c r="A8" s="4" t="str">
        <f ca="1">IFERROR(__xludf.DUMMYFUNCTION("""COMPUTED_VALUE"""),"2_ABaOnucnhpF1D0gs7rgu_rtMnRVpUAV049-DyjtW65TSaEAQfoNB0VlpfLI_E_nmFw")</f>
        <v>2_ABaOnucnhpF1D0gs7rgu_rtMnRVpUAV049-DyjtW65TSaEAQfoNB0VlpfLI_E_nmFw</v>
      </c>
      <c r="B8" s="5">
        <f ca="1">IFERROR(__xludf.DUMMYFUNCTION("""COMPUTED_VALUE"""),45966.4748764351)</f>
        <v>45966.474876435102</v>
      </c>
      <c r="C8" s="4" t="str">
        <f ca="1">IFERROR(__xludf.DUMMYFUNCTION("""COMPUTED_VALUE"""),"Nguyễn Thị Hồng Trân")</f>
        <v>Nguyễn Thị Hồng Trân</v>
      </c>
      <c r="D8" s="4" t="str">
        <f ca="1">IFERROR(__xludf.DUMMYFUNCTION("""COMPUTED_VALUE"""),"Nữ")</f>
        <v>Nữ</v>
      </c>
      <c r="E8" s="4" t="str">
        <f ca="1">IFERROR(__xludf.DUMMYFUNCTION("""COMPUTED_VALUE"""),"Công ty TNHH Kiểm toán và Tư vấn Chuẩn Việt")</f>
        <v>Công ty TNHH Kiểm toán và Tư vấn Chuẩn Việt</v>
      </c>
      <c r="F8" s="4" t="str">
        <f ca="1">IFERROR(__xludf.DUMMYFUNCTION("""COMPUTED_VALUE"""),"Đại học")</f>
        <v>Đại học</v>
      </c>
      <c r="G8" s="4" t="str">
        <f ca="1">IFERROR(__xludf.DUMMYFUNCTION("""COMPUTED_VALUE"""),"Trên 5 đến 10 năm")</f>
        <v>Trên 5 đến 10 năm</v>
      </c>
      <c r="H8" s="4" t="str">
        <f ca="1">IFERROR(__xludf.DUMMYFUNCTION("""COMPUTED_VALUE"""),"Trợ lý kiểm toán")</f>
        <v>Trợ lý kiểm toán</v>
      </c>
      <c r="I8" s="4">
        <f ca="1">IFERROR(__xludf.DUMMYFUNCTION("""COMPUTED_VALUE"""),5)</f>
        <v>5</v>
      </c>
      <c r="J8" s="4">
        <f ca="1">IFERROR(__xludf.DUMMYFUNCTION("""COMPUTED_VALUE"""),5)</f>
        <v>5</v>
      </c>
      <c r="K8" s="4">
        <f ca="1">IFERROR(__xludf.DUMMYFUNCTION("""COMPUTED_VALUE"""),5)</f>
        <v>5</v>
      </c>
      <c r="L8" s="4">
        <f ca="1">IFERROR(__xludf.DUMMYFUNCTION("""COMPUTED_VALUE"""),5)</f>
        <v>5</v>
      </c>
      <c r="M8" s="4">
        <f ca="1">IFERROR(__xludf.DUMMYFUNCTION("""COMPUTED_VALUE"""),5)</f>
        <v>5</v>
      </c>
      <c r="N8" s="4">
        <f ca="1">IFERROR(__xludf.DUMMYFUNCTION("""COMPUTED_VALUE"""),5)</f>
        <v>5</v>
      </c>
      <c r="O8" s="4">
        <f ca="1">IFERROR(__xludf.DUMMYFUNCTION("""COMPUTED_VALUE"""),4)</f>
        <v>4</v>
      </c>
      <c r="P8" s="4">
        <f ca="1">IFERROR(__xludf.DUMMYFUNCTION("""COMPUTED_VALUE"""),4)</f>
        <v>4</v>
      </c>
      <c r="Q8" s="4">
        <f ca="1">IFERROR(__xludf.DUMMYFUNCTION("""COMPUTED_VALUE"""),4)</f>
        <v>4</v>
      </c>
      <c r="R8" s="4">
        <f ca="1">IFERROR(__xludf.DUMMYFUNCTION("""COMPUTED_VALUE"""),5)</f>
        <v>5</v>
      </c>
      <c r="S8" s="4">
        <f ca="1">IFERROR(__xludf.DUMMYFUNCTION("""COMPUTED_VALUE"""),4)</f>
        <v>4</v>
      </c>
      <c r="T8" s="4">
        <f ca="1">IFERROR(__xludf.DUMMYFUNCTION("""COMPUTED_VALUE"""),5)</f>
        <v>5</v>
      </c>
      <c r="U8" s="4">
        <f ca="1">IFERROR(__xludf.DUMMYFUNCTION("""COMPUTED_VALUE"""),5)</f>
        <v>5</v>
      </c>
      <c r="V8" s="4">
        <f ca="1">IFERROR(__xludf.DUMMYFUNCTION("""COMPUTED_VALUE"""),5)</f>
        <v>5</v>
      </c>
      <c r="W8" s="4">
        <f ca="1">IFERROR(__xludf.DUMMYFUNCTION("""COMPUTED_VALUE"""),4)</f>
        <v>4</v>
      </c>
      <c r="X8" s="4">
        <f ca="1">IFERROR(__xludf.DUMMYFUNCTION("""COMPUTED_VALUE"""),4)</f>
        <v>4</v>
      </c>
      <c r="Y8" s="4">
        <f ca="1">IFERROR(__xludf.DUMMYFUNCTION("""COMPUTED_VALUE"""),4)</f>
        <v>4</v>
      </c>
      <c r="Z8" s="4">
        <f ca="1">IFERROR(__xludf.DUMMYFUNCTION("""COMPUTED_VALUE"""),4)</f>
        <v>4</v>
      </c>
      <c r="AA8" s="4">
        <f ca="1">IFERROR(__xludf.DUMMYFUNCTION("""COMPUTED_VALUE"""),4)</f>
        <v>4</v>
      </c>
      <c r="AB8" s="4">
        <f ca="1">IFERROR(__xludf.DUMMYFUNCTION("""COMPUTED_VALUE"""),5)</f>
        <v>5</v>
      </c>
      <c r="AC8" s="4">
        <f ca="1">IFERROR(__xludf.DUMMYFUNCTION("""COMPUTED_VALUE"""),5)</f>
        <v>5</v>
      </c>
      <c r="AD8" s="4">
        <f ca="1">IFERROR(__xludf.DUMMYFUNCTION("""COMPUTED_VALUE"""),4)</f>
        <v>4</v>
      </c>
      <c r="AE8" s="4">
        <f ca="1">IFERROR(__xludf.DUMMYFUNCTION("""COMPUTED_VALUE"""),4)</f>
        <v>4</v>
      </c>
      <c r="AF8" s="4">
        <f ca="1">IFERROR(__xludf.DUMMYFUNCTION("""COMPUTED_VALUE"""),4)</f>
        <v>4</v>
      </c>
      <c r="AG8" s="4">
        <f ca="1">IFERROR(__xludf.DUMMYFUNCTION("""COMPUTED_VALUE"""),4)</f>
        <v>4</v>
      </c>
      <c r="AH8" s="4">
        <f ca="1">IFERROR(__xludf.DUMMYFUNCTION("""COMPUTED_VALUE"""),4)</f>
        <v>4</v>
      </c>
      <c r="AI8" s="4">
        <f ca="1">IFERROR(__xludf.DUMMYFUNCTION("""COMPUTED_VALUE"""),4)</f>
        <v>4</v>
      </c>
      <c r="AJ8" s="4">
        <f ca="1">IFERROR(__xludf.DUMMYFUNCTION("""COMPUTED_VALUE"""),4)</f>
        <v>4</v>
      </c>
      <c r="AK8" s="4">
        <f ca="1">IFERROR(__xludf.DUMMYFUNCTION("""COMPUTED_VALUE"""),4)</f>
        <v>4</v>
      </c>
      <c r="AL8" s="4">
        <f ca="1">IFERROR(__xludf.DUMMYFUNCTION("""COMPUTED_VALUE"""),4)</f>
        <v>4</v>
      </c>
      <c r="AM8" s="4">
        <f ca="1">IFERROR(__xludf.DUMMYFUNCTION("""COMPUTED_VALUE"""),4)</f>
        <v>4</v>
      </c>
      <c r="AN8" s="4">
        <f ca="1">IFERROR(__xludf.DUMMYFUNCTION("""COMPUTED_VALUE"""),4)</f>
        <v>4</v>
      </c>
      <c r="AO8" s="4">
        <f ca="1">IFERROR(__xludf.DUMMYFUNCTION("""COMPUTED_VALUE"""),4)</f>
        <v>4</v>
      </c>
      <c r="AP8" s="4">
        <f ca="1">IFERROR(__xludf.DUMMYFUNCTION("""COMPUTED_VALUE"""),4)</f>
        <v>4</v>
      </c>
      <c r="AQ8" s="4">
        <f ca="1">IFERROR(__xludf.DUMMYFUNCTION("""COMPUTED_VALUE"""),4)</f>
        <v>4</v>
      </c>
      <c r="AR8" s="4">
        <f ca="1">IFERROR(__xludf.DUMMYFUNCTION("""COMPUTED_VALUE"""),4)</f>
        <v>4</v>
      </c>
      <c r="AS8" s="4">
        <f ca="1">IFERROR(__xludf.DUMMYFUNCTION("""COMPUTED_VALUE"""),4)</f>
        <v>4</v>
      </c>
      <c r="AT8" s="4">
        <f ca="1">IFERROR(__xludf.DUMMYFUNCTION("""COMPUTED_VALUE"""),3)</f>
        <v>3</v>
      </c>
      <c r="AU8" s="4">
        <f ca="1">IFERROR(__xludf.DUMMYFUNCTION("""COMPUTED_VALUE"""),3)</f>
        <v>3</v>
      </c>
      <c r="AV8" s="4">
        <f ca="1">IFERROR(__xludf.DUMMYFUNCTION("""COMPUTED_VALUE"""),4)</f>
        <v>4</v>
      </c>
      <c r="AW8" s="4">
        <f ca="1">IFERROR(__xludf.DUMMYFUNCTION("""COMPUTED_VALUE"""),4)</f>
        <v>4</v>
      </c>
      <c r="AX8" s="4">
        <f ca="1">IFERROR(__xludf.DUMMYFUNCTION("""COMPUTED_VALUE"""),4)</f>
        <v>4</v>
      </c>
      <c r="AY8" s="4">
        <f ca="1">IFERROR(__xludf.DUMMYFUNCTION("""COMPUTED_VALUE"""),4)</f>
        <v>4</v>
      </c>
      <c r="AZ8" s="4">
        <f ca="1">IFERROR(__xludf.DUMMYFUNCTION("""COMPUTED_VALUE"""),4)</f>
        <v>4</v>
      </c>
      <c r="BA8" s="4">
        <f ca="1">IFERROR(__xludf.DUMMYFUNCTION("""COMPUTED_VALUE"""),4)</f>
        <v>4</v>
      </c>
      <c r="BB8" s="4">
        <f ca="1">IFERROR(__xludf.DUMMYFUNCTION("""COMPUTED_VALUE"""),4)</f>
        <v>4</v>
      </c>
      <c r="BC8" s="4">
        <f ca="1">IFERROR(__xludf.DUMMYFUNCTION("""COMPUTED_VALUE"""),4)</f>
        <v>4</v>
      </c>
      <c r="BD8" s="4">
        <f ca="1">IFERROR(__xludf.DUMMYFUNCTION("""COMPUTED_VALUE"""),4)</f>
        <v>4</v>
      </c>
      <c r="BE8" s="4">
        <f ca="1">IFERROR(__xludf.DUMMYFUNCTION("""COMPUTED_VALUE"""),4)</f>
        <v>4</v>
      </c>
      <c r="BF8" s="4">
        <f ca="1">IFERROR(__xludf.DUMMYFUNCTION("""COMPUTED_VALUE"""),4)</f>
        <v>4</v>
      </c>
      <c r="BG8" s="4">
        <f ca="1">IFERROR(__xludf.DUMMYFUNCTION("""COMPUTED_VALUE"""),4)</f>
        <v>4</v>
      </c>
      <c r="BH8" s="4">
        <f ca="1">IFERROR(__xludf.DUMMYFUNCTION("""COMPUTED_VALUE"""),5)</f>
        <v>5</v>
      </c>
      <c r="BI8" s="4">
        <f ca="1">IFERROR(__xludf.DUMMYFUNCTION("""COMPUTED_VALUE"""),5)</f>
        <v>5</v>
      </c>
      <c r="BJ8" s="4">
        <f ca="1">IFERROR(__xludf.DUMMYFUNCTION("""COMPUTED_VALUE"""),5)</f>
        <v>5</v>
      </c>
      <c r="BK8" s="4">
        <f ca="1">IFERROR(__xludf.DUMMYFUNCTION("""COMPUTED_VALUE"""),4)</f>
        <v>4</v>
      </c>
      <c r="BL8" s="4">
        <f ca="1">IFERROR(__xludf.DUMMYFUNCTION("""COMPUTED_VALUE"""),5)</f>
        <v>5</v>
      </c>
      <c r="BM8" s="4">
        <f ca="1">IFERROR(__xludf.DUMMYFUNCTION("""COMPUTED_VALUE"""),5)</f>
        <v>5</v>
      </c>
      <c r="BN8" s="4">
        <f ca="1">IFERROR(__xludf.DUMMYFUNCTION("""COMPUTED_VALUE"""),5)</f>
        <v>5</v>
      </c>
      <c r="BO8" s="4">
        <f ca="1">IFERROR(__xludf.DUMMYFUNCTION("""COMPUTED_VALUE"""),5)</f>
        <v>5</v>
      </c>
      <c r="BP8" s="4">
        <f ca="1">IFERROR(__xludf.DUMMYFUNCTION("""COMPUTED_VALUE"""),5)</f>
        <v>5</v>
      </c>
    </row>
    <row r="9" spans="1:68" x14ac:dyDescent="0.25">
      <c r="A9" s="4" t="str">
        <f ca="1">IFERROR(__xludf.DUMMYFUNCTION("""COMPUTED_VALUE"""),"2_ABaOnufaMcfhspG98R1ShQx10pKMmq_t4SnRxEO9U0HdGVObWv-qbsOEXB90mSbseQ")</f>
        <v>2_ABaOnufaMcfhspG98R1ShQx10pKMmq_t4SnRxEO9U0HdGVObWv-qbsOEXB90mSbseQ</v>
      </c>
      <c r="B9" s="5">
        <f ca="1">IFERROR(__xludf.DUMMYFUNCTION("""COMPUTED_VALUE"""),45966.4755426041)</f>
        <v>45966.475542604101</v>
      </c>
      <c r="C9" s="4" t="str">
        <f ca="1">IFERROR(__xludf.DUMMYFUNCTION("""COMPUTED_VALUE"""),"NGUYỄN ĐAN ANH")</f>
        <v>NGUYỄN ĐAN ANH</v>
      </c>
      <c r="D9" s="4" t="str">
        <f ca="1">IFERROR(__xludf.DUMMYFUNCTION("""COMPUTED_VALUE"""),"Nữ")</f>
        <v>Nữ</v>
      </c>
      <c r="E9" s="4" t="str">
        <f ca="1">IFERROR(__xludf.DUMMYFUNCTION("""COMPUTED_VALUE"""),"CÔNG TY TNHH KIỂM TOÁN VÀ TƯ VẤN CHUẨN VIỆT")</f>
        <v>CÔNG TY TNHH KIỂM TOÁN VÀ TƯ VẤN CHUẨN VIỆT</v>
      </c>
      <c r="F9" s="4" t="str">
        <f ca="1">IFERROR(__xludf.DUMMYFUNCTION("""COMPUTED_VALUE"""),"Đại học")</f>
        <v>Đại học</v>
      </c>
      <c r="G9" s="4" t="str">
        <f ca="1">IFERROR(__xludf.DUMMYFUNCTION("""COMPUTED_VALUE"""),"Trên 10 đến 15 năm")</f>
        <v>Trên 10 đến 15 năm</v>
      </c>
      <c r="H9" s="4" t="str">
        <f ca="1">IFERROR(__xludf.DUMMYFUNCTION("""COMPUTED_VALUE"""),"Kiểm toán viên/Trưởng nhóm")</f>
        <v>Kiểm toán viên/Trưởng nhóm</v>
      </c>
      <c r="I9" s="4">
        <f ca="1">IFERROR(__xludf.DUMMYFUNCTION("""COMPUTED_VALUE"""),5)</f>
        <v>5</v>
      </c>
      <c r="J9" s="4">
        <f ca="1">IFERROR(__xludf.DUMMYFUNCTION("""COMPUTED_VALUE"""),4)</f>
        <v>4</v>
      </c>
      <c r="K9" s="4">
        <f ca="1">IFERROR(__xludf.DUMMYFUNCTION("""COMPUTED_VALUE"""),4)</f>
        <v>4</v>
      </c>
      <c r="L9" s="4">
        <f ca="1">IFERROR(__xludf.DUMMYFUNCTION("""COMPUTED_VALUE"""),4)</f>
        <v>4</v>
      </c>
      <c r="M9" s="4">
        <f ca="1">IFERROR(__xludf.DUMMYFUNCTION("""COMPUTED_VALUE"""),5)</f>
        <v>5</v>
      </c>
      <c r="N9" s="4">
        <f ca="1">IFERROR(__xludf.DUMMYFUNCTION("""COMPUTED_VALUE"""),4)</f>
        <v>4</v>
      </c>
      <c r="O9" s="4">
        <f ca="1">IFERROR(__xludf.DUMMYFUNCTION("""COMPUTED_VALUE"""),4)</f>
        <v>4</v>
      </c>
      <c r="P9" s="4">
        <f ca="1">IFERROR(__xludf.DUMMYFUNCTION("""COMPUTED_VALUE"""),5)</f>
        <v>5</v>
      </c>
      <c r="Q9" s="4">
        <f ca="1">IFERROR(__xludf.DUMMYFUNCTION("""COMPUTED_VALUE"""),5)</f>
        <v>5</v>
      </c>
      <c r="R9" s="4">
        <f ca="1">IFERROR(__xludf.DUMMYFUNCTION("""COMPUTED_VALUE"""),5)</f>
        <v>5</v>
      </c>
      <c r="S9" s="4">
        <f ca="1">IFERROR(__xludf.DUMMYFUNCTION("""COMPUTED_VALUE"""),5)</f>
        <v>5</v>
      </c>
      <c r="T9" s="4">
        <f ca="1">IFERROR(__xludf.DUMMYFUNCTION("""COMPUTED_VALUE"""),5)</f>
        <v>5</v>
      </c>
      <c r="U9" s="4">
        <f ca="1">IFERROR(__xludf.DUMMYFUNCTION("""COMPUTED_VALUE"""),5)</f>
        <v>5</v>
      </c>
      <c r="V9" s="4">
        <f ca="1">IFERROR(__xludf.DUMMYFUNCTION("""COMPUTED_VALUE"""),5)</f>
        <v>5</v>
      </c>
      <c r="W9" s="4">
        <f ca="1">IFERROR(__xludf.DUMMYFUNCTION("""COMPUTED_VALUE"""),4)</f>
        <v>4</v>
      </c>
      <c r="X9" s="4">
        <f ca="1">IFERROR(__xludf.DUMMYFUNCTION("""COMPUTED_VALUE"""),4)</f>
        <v>4</v>
      </c>
      <c r="Y9" s="4">
        <f ca="1">IFERROR(__xludf.DUMMYFUNCTION("""COMPUTED_VALUE"""),4)</f>
        <v>4</v>
      </c>
      <c r="Z9" s="4">
        <f ca="1">IFERROR(__xludf.DUMMYFUNCTION("""COMPUTED_VALUE"""),4)</f>
        <v>4</v>
      </c>
      <c r="AA9" s="4">
        <f ca="1">IFERROR(__xludf.DUMMYFUNCTION("""COMPUTED_VALUE"""),4)</f>
        <v>4</v>
      </c>
      <c r="AB9" s="4">
        <f ca="1">IFERROR(__xludf.DUMMYFUNCTION("""COMPUTED_VALUE"""),5)</f>
        <v>5</v>
      </c>
      <c r="AC9" s="4">
        <f ca="1">IFERROR(__xludf.DUMMYFUNCTION("""COMPUTED_VALUE"""),4)</f>
        <v>4</v>
      </c>
      <c r="AD9" s="4">
        <f ca="1">IFERROR(__xludf.DUMMYFUNCTION("""COMPUTED_VALUE"""),3)</f>
        <v>3</v>
      </c>
      <c r="AE9" s="4">
        <f ca="1">IFERROR(__xludf.DUMMYFUNCTION("""COMPUTED_VALUE"""),4)</f>
        <v>4</v>
      </c>
      <c r="AF9" s="4">
        <f ca="1">IFERROR(__xludf.DUMMYFUNCTION("""COMPUTED_VALUE"""),4)</f>
        <v>4</v>
      </c>
      <c r="AG9" s="4">
        <f ca="1">IFERROR(__xludf.DUMMYFUNCTION("""COMPUTED_VALUE"""),4)</f>
        <v>4</v>
      </c>
      <c r="AH9" s="4">
        <f ca="1">IFERROR(__xludf.DUMMYFUNCTION("""COMPUTED_VALUE"""),4)</f>
        <v>4</v>
      </c>
      <c r="AI9" s="4">
        <f ca="1">IFERROR(__xludf.DUMMYFUNCTION("""COMPUTED_VALUE"""),4)</f>
        <v>4</v>
      </c>
      <c r="AJ9" s="4">
        <f ca="1">IFERROR(__xludf.DUMMYFUNCTION("""COMPUTED_VALUE"""),4)</f>
        <v>4</v>
      </c>
      <c r="AK9" s="4">
        <f ca="1">IFERROR(__xludf.DUMMYFUNCTION("""COMPUTED_VALUE"""),4)</f>
        <v>4</v>
      </c>
      <c r="AL9" s="4">
        <f ca="1">IFERROR(__xludf.DUMMYFUNCTION("""COMPUTED_VALUE"""),4)</f>
        <v>4</v>
      </c>
      <c r="AM9" s="4">
        <f ca="1">IFERROR(__xludf.DUMMYFUNCTION("""COMPUTED_VALUE"""),4)</f>
        <v>4</v>
      </c>
      <c r="AN9" s="4">
        <f ca="1">IFERROR(__xludf.DUMMYFUNCTION("""COMPUTED_VALUE"""),4)</f>
        <v>4</v>
      </c>
      <c r="AO9" s="4">
        <f ca="1">IFERROR(__xludf.DUMMYFUNCTION("""COMPUTED_VALUE"""),4)</f>
        <v>4</v>
      </c>
      <c r="AP9" s="4">
        <f ca="1">IFERROR(__xludf.DUMMYFUNCTION("""COMPUTED_VALUE"""),3)</f>
        <v>3</v>
      </c>
      <c r="AQ9" s="4">
        <f ca="1">IFERROR(__xludf.DUMMYFUNCTION("""COMPUTED_VALUE"""),4)</f>
        <v>4</v>
      </c>
      <c r="AR9" s="4">
        <f ca="1">IFERROR(__xludf.DUMMYFUNCTION("""COMPUTED_VALUE"""),5)</f>
        <v>5</v>
      </c>
      <c r="AS9" s="4">
        <f ca="1">IFERROR(__xludf.DUMMYFUNCTION("""COMPUTED_VALUE"""),5)</f>
        <v>5</v>
      </c>
      <c r="AT9" s="4">
        <f ca="1">IFERROR(__xludf.DUMMYFUNCTION("""COMPUTED_VALUE"""),3)</f>
        <v>3</v>
      </c>
      <c r="AU9" s="4">
        <f ca="1">IFERROR(__xludf.DUMMYFUNCTION("""COMPUTED_VALUE"""),4)</f>
        <v>4</v>
      </c>
      <c r="AV9" s="4">
        <f ca="1">IFERROR(__xludf.DUMMYFUNCTION("""COMPUTED_VALUE"""),4)</f>
        <v>4</v>
      </c>
      <c r="AW9" s="4">
        <f ca="1">IFERROR(__xludf.DUMMYFUNCTION("""COMPUTED_VALUE"""),4)</f>
        <v>4</v>
      </c>
      <c r="AX9" s="4">
        <f ca="1">IFERROR(__xludf.DUMMYFUNCTION("""COMPUTED_VALUE"""),4)</f>
        <v>4</v>
      </c>
      <c r="AY9" s="4">
        <f ca="1">IFERROR(__xludf.DUMMYFUNCTION("""COMPUTED_VALUE"""),4)</f>
        <v>4</v>
      </c>
      <c r="AZ9" s="4">
        <f ca="1">IFERROR(__xludf.DUMMYFUNCTION("""COMPUTED_VALUE"""),4)</f>
        <v>4</v>
      </c>
      <c r="BA9" s="4">
        <f ca="1">IFERROR(__xludf.DUMMYFUNCTION("""COMPUTED_VALUE"""),4)</f>
        <v>4</v>
      </c>
      <c r="BB9" s="4">
        <f ca="1">IFERROR(__xludf.DUMMYFUNCTION("""COMPUTED_VALUE"""),4)</f>
        <v>4</v>
      </c>
      <c r="BC9" s="4">
        <f ca="1">IFERROR(__xludf.DUMMYFUNCTION("""COMPUTED_VALUE"""),4)</f>
        <v>4</v>
      </c>
      <c r="BD9" s="4">
        <f ca="1">IFERROR(__xludf.DUMMYFUNCTION("""COMPUTED_VALUE"""),4)</f>
        <v>4</v>
      </c>
      <c r="BE9" s="4">
        <f ca="1">IFERROR(__xludf.DUMMYFUNCTION("""COMPUTED_VALUE"""),4)</f>
        <v>4</v>
      </c>
      <c r="BF9" s="4">
        <f ca="1">IFERROR(__xludf.DUMMYFUNCTION("""COMPUTED_VALUE"""),4)</f>
        <v>4</v>
      </c>
      <c r="BG9" s="4">
        <f ca="1">IFERROR(__xludf.DUMMYFUNCTION("""COMPUTED_VALUE"""),4)</f>
        <v>4</v>
      </c>
      <c r="BH9" s="4">
        <f ca="1">IFERROR(__xludf.DUMMYFUNCTION("""COMPUTED_VALUE"""),4)</f>
        <v>4</v>
      </c>
      <c r="BI9" s="4">
        <f ca="1">IFERROR(__xludf.DUMMYFUNCTION("""COMPUTED_VALUE"""),4)</f>
        <v>4</v>
      </c>
      <c r="BJ9" s="4">
        <f ca="1">IFERROR(__xludf.DUMMYFUNCTION("""COMPUTED_VALUE"""),4)</f>
        <v>4</v>
      </c>
      <c r="BK9" s="4">
        <f ca="1">IFERROR(__xludf.DUMMYFUNCTION("""COMPUTED_VALUE"""),4)</f>
        <v>4</v>
      </c>
      <c r="BL9" s="4">
        <f ca="1">IFERROR(__xludf.DUMMYFUNCTION("""COMPUTED_VALUE"""),4)</f>
        <v>4</v>
      </c>
      <c r="BM9" s="4">
        <f ca="1">IFERROR(__xludf.DUMMYFUNCTION("""COMPUTED_VALUE"""),4)</f>
        <v>4</v>
      </c>
      <c r="BN9" s="4">
        <f ca="1">IFERROR(__xludf.DUMMYFUNCTION("""COMPUTED_VALUE"""),4)</f>
        <v>4</v>
      </c>
      <c r="BO9" s="4">
        <f ca="1">IFERROR(__xludf.DUMMYFUNCTION("""COMPUTED_VALUE"""),4)</f>
        <v>4</v>
      </c>
      <c r="BP9" s="4">
        <f ca="1">IFERROR(__xludf.DUMMYFUNCTION("""COMPUTED_VALUE"""),4)</f>
        <v>4</v>
      </c>
    </row>
    <row r="10" spans="1:68" x14ac:dyDescent="0.25">
      <c r="A10" s="4" t="str">
        <f ca="1">IFERROR(__xludf.DUMMYFUNCTION("""COMPUTED_VALUE"""),"2_ABaOnufnGHzWy-WgRsr1bwfmKUfwiPkNEqFwHyFH5E2Fh4AAXCft77vRcldCtGbGgg")</f>
        <v>2_ABaOnufnGHzWy-WgRsr1bwfmKUfwiPkNEqFwHyFH5E2Fh4AAXCft77vRcldCtGbGgg</v>
      </c>
      <c r="B10" s="5">
        <f ca="1">IFERROR(__xludf.DUMMYFUNCTION("""COMPUTED_VALUE"""),45966.4777321643)</f>
        <v>45966.477732164298</v>
      </c>
      <c r="C10" s="4"/>
      <c r="D10" s="4" t="str">
        <f ca="1">IFERROR(__xludf.DUMMYFUNCTION("""COMPUTED_VALUE"""),"Nữ")</f>
        <v>Nữ</v>
      </c>
      <c r="E10" s="4" t="str">
        <f ca="1">IFERROR(__xludf.DUMMYFUNCTION("""COMPUTED_VALUE"""),"Công ty TNHH Kiểm toán và Tư vấn Chuẩn Việt")</f>
        <v>Công ty TNHH Kiểm toán và Tư vấn Chuẩn Việt</v>
      </c>
      <c r="F10" s="4" t="str">
        <f ca="1">IFERROR(__xludf.DUMMYFUNCTION("""COMPUTED_VALUE"""),"Đại học")</f>
        <v>Đại học</v>
      </c>
      <c r="G10" s="4" t="str">
        <f ca="1">IFERROR(__xludf.DUMMYFUNCTION("""COMPUTED_VALUE"""),"Trên 5 đến 10 năm")</f>
        <v>Trên 5 đến 10 năm</v>
      </c>
      <c r="H10" s="4" t="str">
        <f ca="1">IFERROR(__xludf.DUMMYFUNCTION("""COMPUTED_VALUE"""),"Kiểm toán viên/Trưởng nhóm")</f>
        <v>Kiểm toán viên/Trưởng nhóm</v>
      </c>
      <c r="I10" s="4">
        <f ca="1">IFERROR(__xludf.DUMMYFUNCTION("""COMPUTED_VALUE"""),4)</f>
        <v>4</v>
      </c>
      <c r="J10" s="4">
        <f ca="1">IFERROR(__xludf.DUMMYFUNCTION("""COMPUTED_VALUE"""),4)</f>
        <v>4</v>
      </c>
      <c r="K10" s="4">
        <f ca="1">IFERROR(__xludf.DUMMYFUNCTION("""COMPUTED_VALUE"""),4)</f>
        <v>4</v>
      </c>
      <c r="L10" s="4">
        <f ca="1">IFERROR(__xludf.DUMMYFUNCTION("""COMPUTED_VALUE"""),4)</f>
        <v>4</v>
      </c>
      <c r="M10" s="4">
        <f ca="1">IFERROR(__xludf.DUMMYFUNCTION("""COMPUTED_VALUE"""),4)</f>
        <v>4</v>
      </c>
      <c r="N10" s="4">
        <f ca="1">IFERROR(__xludf.DUMMYFUNCTION("""COMPUTED_VALUE"""),3)</f>
        <v>3</v>
      </c>
      <c r="O10" s="4">
        <f ca="1">IFERROR(__xludf.DUMMYFUNCTION("""COMPUTED_VALUE"""),3)</f>
        <v>3</v>
      </c>
      <c r="P10" s="4">
        <f ca="1">IFERROR(__xludf.DUMMYFUNCTION("""COMPUTED_VALUE"""),4)</f>
        <v>4</v>
      </c>
      <c r="Q10" s="4">
        <f ca="1">IFERROR(__xludf.DUMMYFUNCTION("""COMPUTED_VALUE"""),4)</f>
        <v>4</v>
      </c>
      <c r="R10" s="4">
        <f ca="1">IFERROR(__xludf.DUMMYFUNCTION("""COMPUTED_VALUE"""),4)</f>
        <v>4</v>
      </c>
      <c r="S10" s="4">
        <f ca="1">IFERROR(__xludf.DUMMYFUNCTION("""COMPUTED_VALUE"""),4)</f>
        <v>4</v>
      </c>
      <c r="T10" s="4">
        <f ca="1">IFERROR(__xludf.DUMMYFUNCTION("""COMPUTED_VALUE"""),4)</f>
        <v>4</v>
      </c>
      <c r="U10" s="4">
        <f ca="1">IFERROR(__xludf.DUMMYFUNCTION("""COMPUTED_VALUE"""),4)</f>
        <v>4</v>
      </c>
      <c r="V10" s="4">
        <f ca="1">IFERROR(__xludf.DUMMYFUNCTION("""COMPUTED_VALUE"""),4)</f>
        <v>4</v>
      </c>
      <c r="W10" s="4">
        <f ca="1">IFERROR(__xludf.DUMMYFUNCTION("""COMPUTED_VALUE"""),3)</f>
        <v>3</v>
      </c>
      <c r="X10" s="4">
        <f ca="1">IFERROR(__xludf.DUMMYFUNCTION("""COMPUTED_VALUE"""),3)</f>
        <v>3</v>
      </c>
      <c r="Y10" s="4">
        <f ca="1">IFERROR(__xludf.DUMMYFUNCTION("""COMPUTED_VALUE"""),3)</f>
        <v>3</v>
      </c>
      <c r="Z10" s="4">
        <f ca="1">IFERROR(__xludf.DUMMYFUNCTION("""COMPUTED_VALUE"""),4)</f>
        <v>4</v>
      </c>
      <c r="AA10" s="4">
        <f ca="1">IFERROR(__xludf.DUMMYFUNCTION("""COMPUTED_VALUE"""),4)</f>
        <v>4</v>
      </c>
      <c r="AB10" s="4">
        <f ca="1">IFERROR(__xludf.DUMMYFUNCTION("""COMPUTED_VALUE"""),3)</f>
        <v>3</v>
      </c>
      <c r="AC10" s="4">
        <f ca="1">IFERROR(__xludf.DUMMYFUNCTION("""COMPUTED_VALUE"""),4)</f>
        <v>4</v>
      </c>
      <c r="AD10" s="4">
        <f ca="1">IFERROR(__xludf.DUMMYFUNCTION("""COMPUTED_VALUE"""),4)</f>
        <v>4</v>
      </c>
      <c r="AE10" s="4">
        <f ca="1">IFERROR(__xludf.DUMMYFUNCTION("""COMPUTED_VALUE"""),4)</f>
        <v>4</v>
      </c>
      <c r="AF10" s="4">
        <f ca="1">IFERROR(__xludf.DUMMYFUNCTION("""COMPUTED_VALUE"""),4)</f>
        <v>4</v>
      </c>
      <c r="AG10" s="4">
        <f ca="1">IFERROR(__xludf.DUMMYFUNCTION("""COMPUTED_VALUE"""),4)</f>
        <v>4</v>
      </c>
      <c r="AH10" s="4">
        <f ca="1">IFERROR(__xludf.DUMMYFUNCTION("""COMPUTED_VALUE"""),4)</f>
        <v>4</v>
      </c>
      <c r="AI10" s="4">
        <f ca="1">IFERROR(__xludf.DUMMYFUNCTION("""COMPUTED_VALUE"""),4)</f>
        <v>4</v>
      </c>
      <c r="AJ10" s="4">
        <f ca="1">IFERROR(__xludf.DUMMYFUNCTION("""COMPUTED_VALUE"""),4)</f>
        <v>4</v>
      </c>
      <c r="AK10" s="4">
        <f ca="1">IFERROR(__xludf.DUMMYFUNCTION("""COMPUTED_VALUE"""),4)</f>
        <v>4</v>
      </c>
      <c r="AL10" s="4">
        <f ca="1">IFERROR(__xludf.DUMMYFUNCTION("""COMPUTED_VALUE"""),4)</f>
        <v>4</v>
      </c>
      <c r="AM10" s="4">
        <f ca="1">IFERROR(__xludf.DUMMYFUNCTION("""COMPUTED_VALUE"""),4)</f>
        <v>4</v>
      </c>
      <c r="AN10" s="4">
        <f ca="1">IFERROR(__xludf.DUMMYFUNCTION("""COMPUTED_VALUE"""),4)</f>
        <v>4</v>
      </c>
      <c r="AO10" s="4">
        <f ca="1">IFERROR(__xludf.DUMMYFUNCTION("""COMPUTED_VALUE"""),3)</f>
        <v>3</v>
      </c>
      <c r="AP10" s="4">
        <f ca="1">IFERROR(__xludf.DUMMYFUNCTION("""COMPUTED_VALUE"""),3)</f>
        <v>3</v>
      </c>
      <c r="AQ10" s="4">
        <f ca="1">IFERROR(__xludf.DUMMYFUNCTION("""COMPUTED_VALUE"""),3)</f>
        <v>3</v>
      </c>
      <c r="AR10" s="4">
        <f ca="1">IFERROR(__xludf.DUMMYFUNCTION("""COMPUTED_VALUE"""),3)</f>
        <v>3</v>
      </c>
      <c r="AS10" s="4">
        <f ca="1">IFERROR(__xludf.DUMMYFUNCTION("""COMPUTED_VALUE"""),3)</f>
        <v>3</v>
      </c>
      <c r="AT10" s="4">
        <f ca="1">IFERROR(__xludf.DUMMYFUNCTION("""COMPUTED_VALUE"""),3)</f>
        <v>3</v>
      </c>
      <c r="AU10" s="4">
        <f ca="1">IFERROR(__xludf.DUMMYFUNCTION("""COMPUTED_VALUE"""),3)</f>
        <v>3</v>
      </c>
      <c r="AV10" s="4">
        <f ca="1">IFERROR(__xludf.DUMMYFUNCTION("""COMPUTED_VALUE"""),3)</f>
        <v>3</v>
      </c>
      <c r="AW10" s="4">
        <f ca="1">IFERROR(__xludf.DUMMYFUNCTION("""COMPUTED_VALUE"""),3)</f>
        <v>3</v>
      </c>
      <c r="AX10" s="4">
        <f ca="1">IFERROR(__xludf.DUMMYFUNCTION("""COMPUTED_VALUE"""),4)</f>
        <v>4</v>
      </c>
      <c r="AY10" s="4">
        <f ca="1">IFERROR(__xludf.DUMMYFUNCTION("""COMPUTED_VALUE"""),4)</f>
        <v>4</v>
      </c>
      <c r="AZ10" s="4">
        <f ca="1">IFERROR(__xludf.DUMMYFUNCTION("""COMPUTED_VALUE"""),4)</f>
        <v>4</v>
      </c>
      <c r="BA10" s="4">
        <f ca="1">IFERROR(__xludf.DUMMYFUNCTION("""COMPUTED_VALUE"""),4)</f>
        <v>4</v>
      </c>
      <c r="BB10" s="4">
        <f ca="1">IFERROR(__xludf.DUMMYFUNCTION("""COMPUTED_VALUE"""),4)</f>
        <v>4</v>
      </c>
      <c r="BC10" s="4">
        <f ca="1">IFERROR(__xludf.DUMMYFUNCTION("""COMPUTED_VALUE"""),4)</f>
        <v>4</v>
      </c>
      <c r="BD10" s="4">
        <f ca="1">IFERROR(__xludf.DUMMYFUNCTION("""COMPUTED_VALUE"""),4)</f>
        <v>4</v>
      </c>
      <c r="BE10" s="4">
        <f ca="1">IFERROR(__xludf.DUMMYFUNCTION("""COMPUTED_VALUE"""),4)</f>
        <v>4</v>
      </c>
      <c r="BF10" s="4">
        <f ca="1">IFERROR(__xludf.DUMMYFUNCTION("""COMPUTED_VALUE"""),4)</f>
        <v>4</v>
      </c>
      <c r="BG10" s="4">
        <f ca="1">IFERROR(__xludf.DUMMYFUNCTION("""COMPUTED_VALUE"""),4)</f>
        <v>4</v>
      </c>
      <c r="BH10" s="4">
        <f ca="1">IFERROR(__xludf.DUMMYFUNCTION("""COMPUTED_VALUE"""),4)</f>
        <v>4</v>
      </c>
      <c r="BI10" s="4">
        <f ca="1">IFERROR(__xludf.DUMMYFUNCTION("""COMPUTED_VALUE"""),4)</f>
        <v>4</v>
      </c>
      <c r="BJ10" s="4">
        <f ca="1">IFERROR(__xludf.DUMMYFUNCTION("""COMPUTED_VALUE"""),4)</f>
        <v>4</v>
      </c>
      <c r="BK10" s="4">
        <f ca="1">IFERROR(__xludf.DUMMYFUNCTION("""COMPUTED_VALUE"""),3)</f>
        <v>3</v>
      </c>
      <c r="BL10" s="4">
        <f ca="1">IFERROR(__xludf.DUMMYFUNCTION("""COMPUTED_VALUE"""),4)</f>
        <v>4</v>
      </c>
      <c r="BM10" s="4">
        <f ca="1">IFERROR(__xludf.DUMMYFUNCTION("""COMPUTED_VALUE"""),4)</f>
        <v>4</v>
      </c>
      <c r="BN10" s="4">
        <f ca="1">IFERROR(__xludf.DUMMYFUNCTION("""COMPUTED_VALUE"""),4)</f>
        <v>4</v>
      </c>
      <c r="BO10" s="4">
        <f ca="1">IFERROR(__xludf.DUMMYFUNCTION("""COMPUTED_VALUE"""),4)</f>
        <v>4</v>
      </c>
      <c r="BP10" s="4">
        <f ca="1">IFERROR(__xludf.DUMMYFUNCTION("""COMPUTED_VALUE"""),4)</f>
        <v>4</v>
      </c>
    </row>
    <row r="11" spans="1:68" x14ac:dyDescent="0.25">
      <c r="A11" s="4" t="str">
        <f ca="1">IFERROR(__xludf.DUMMYFUNCTION("""COMPUTED_VALUE"""),"2_ABaOnueuG_XkuyjUrCy9crcBgsdlA_zfSb8RofXEYkQPzgKtMh3XkXvaxJ36LaXRhQ")</f>
        <v>2_ABaOnueuG_XkuyjUrCy9crcBgsdlA_zfSb8RofXEYkQPzgKtMh3XkXvaxJ36LaXRhQ</v>
      </c>
      <c r="B11" s="5">
        <f ca="1">IFERROR(__xludf.DUMMYFUNCTION("""COMPUTED_VALUE"""),45966.4790895254)</f>
        <v>45966.479089525397</v>
      </c>
      <c r="C11" s="4" t="str">
        <f ca="1">IFERROR(__xludf.DUMMYFUNCTION("""COMPUTED_VALUE"""),"NGUYỄN THỊ TUYẾT VÂN")</f>
        <v>NGUYỄN THỊ TUYẾT VÂN</v>
      </c>
      <c r="D11" s="4" t="str">
        <f ca="1">IFERROR(__xludf.DUMMYFUNCTION("""COMPUTED_VALUE"""),"Nữ")</f>
        <v>Nữ</v>
      </c>
      <c r="E11" s="4" t="str">
        <f ca="1">IFERROR(__xludf.DUMMYFUNCTION("""COMPUTED_VALUE"""),"CÔNG TY TNHH KIỂM TOÁN VÀ TƯ VẤN CHUẨN VIỆT")</f>
        <v>CÔNG TY TNHH KIỂM TOÁN VÀ TƯ VẤN CHUẨN VIỆT</v>
      </c>
      <c r="F11" s="4" t="str">
        <f ca="1">IFERROR(__xludf.DUMMYFUNCTION("""COMPUTED_VALUE"""),"Đại học")</f>
        <v>Đại học</v>
      </c>
      <c r="G11" s="4" t="str">
        <f ca="1">IFERROR(__xludf.DUMMYFUNCTION("""COMPUTED_VALUE"""),"Trên 15 đến 20 năm")</f>
        <v>Trên 15 đến 20 năm</v>
      </c>
      <c r="H11" s="4" t="str">
        <f ca="1">IFERROR(__xludf.DUMMYFUNCTION("""COMPUTED_VALUE"""),"Ban giám đốc")</f>
        <v>Ban giám đốc</v>
      </c>
      <c r="I11" s="4">
        <f ca="1">IFERROR(__xludf.DUMMYFUNCTION("""COMPUTED_VALUE"""),5)</f>
        <v>5</v>
      </c>
      <c r="J11" s="4">
        <f ca="1">IFERROR(__xludf.DUMMYFUNCTION("""COMPUTED_VALUE"""),5)</f>
        <v>5</v>
      </c>
      <c r="K11" s="4">
        <f ca="1">IFERROR(__xludf.DUMMYFUNCTION("""COMPUTED_VALUE"""),5)</f>
        <v>5</v>
      </c>
      <c r="L11" s="4">
        <f ca="1">IFERROR(__xludf.DUMMYFUNCTION("""COMPUTED_VALUE"""),5)</f>
        <v>5</v>
      </c>
      <c r="M11" s="4">
        <f ca="1">IFERROR(__xludf.DUMMYFUNCTION("""COMPUTED_VALUE"""),5)</f>
        <v>5</v>
      </c>
      <c r="N11" s="4">
        <f ca="1">IFERROR(__xludf.DUMMYFUNCTION("""COMPUTED_VALUE"""),5)</f>
        <v>5</v>
      </c>
      <c r="O11" s="4">
        <f ca="1">IFERROR(__xludf.DUMMYFUNCTION("""COMPUTED_VALUE"""),5)</f>
        <v>5</v>
      </c>
      <c r="P11" s="4">
        <f ca="1">IFERROR(__xludf.DUMMYFUNCTION("""COMPUTED_VALUE"""),5)</f>
        <v>5</v>
      </c>
      <c r="Q11" s="4">
        <f ca="1">IFERROR(__xludf.DUMMYFUNCTION("""COMPUTED_VALUE"""),5)</f>
        <v>5</v>
      </c>
      <c r="R11" s="4">
        <f ca="1">IFERROR(__xludf.DUMMYFUNCTION("""COMPUTED_VALUE"""),5)</f>
        <v>5</v>
      </c>
      <c r="S11" s="4">
        <f ca="1">IFERROR(__xludf.DUMMYFUNCTION("""COMPUTED_VALUE"""),5)</f>
        <v>5</v>
      </c>
      <c r="T11" s="4">
        <f ca="1">IFERROR(__xludf.DUMMYFUNCTION("""COMPUTED_VALUE"""),5)</f>
        <v>5</v>
      </c>
      <c r="U11" s="4">
        <f ca="1">IFERROR(__xludf.DUMMYFUNCTION("""COMPUTED_VALUE"""),5)</f>
        <v>5</v>
      </c>
      <c r="V11" s="4">
        <f ca="1">IFERROR(__xludf.DUMMYFUNCTION("""COMPUTED_VALUE"""),5)</f>
        <v>5</v>
      </c>
      <c r="W11" s="4">
        <f ca="1">IFERROR(__xludf.DUMMYFUNCTION("""COMPUTED_VALUE"""),5)</f>
        <v>5</v>
      </c>
      <c r="X11" s="4">
        <f ca="1">IFERROR(__xludf.DUMMYFUNCTION("""COMPUTED_VALUE"""),5)</f>
        <v>5</v>
      </c>
      <c r="Y11" s="4">
        <f ca="1">IFERROR(__xludf.DUMMYFUNCTION("""COMPUTED_VALUE"""),5)</f>
        <v>5</v>
      </c>
      <c r="Z11" s="4">
        <f ca="1">IFERROR(__xludf.DUMMYFUNCTION("""COMPUTED_VALUE"""),5)</f>
        <v>5</v>
      </c>
      <c r="AA11" s="4">
        <f ca="1">IFERROR(__xludf.DUMMYFUNCTION("""COMPUTED_VALUE"""),5)</f>
        <v>5</v>
      </c>
      <c r="AB11" s="4">
        <f ca="1">IFERROR(__xludf.DUMMYFUNCTION("""COMPUTED_VALUE"""),3)</f>
        <v>3</v>
      </c>
      <c r="AC11" s="4">
        <f ca="1">IFERROR(__xludf.DUMMYFUNCTION("""COMPUTED_VALUE"""),3)</f>
        <v>3</v>
      </c>
      <c r="AD11" s="4">
        <f ca="1">IFERROR(__xludf.DUMMYFUNCTION("""COMPUTED_VALUE"""),3)</f>
        <v>3</v>
      </c>
      <c r="AE11" s="4">
        <f ca="1">IFERROR(__xludf.DUMMYFUNCTION("""COMPUTED_VALUE"""),5)</f>
        <v>5</v>
      </c>
      <c r="AF11" s="4">
        <f ca="1">IFERROR(__xludf.DUMMYFUNCTION("""COMPUTED_VALUE"""),5)</f>
        <v>5</v>
      </c>
      <c r="AG11" s="4">
        <f ca="1">IFERROR(__xludf.DUMMYFUNCTION("""COMPUTED_VALUE"""),5)</f>
        <v>5</v>
      </c>
      <c r="AH11" s="4">
        <f ca="1">IFERROR(__xludf.DUMMYFUNCTION("""COMPUTED_VALUE"""),5)</f>
        <v>5</v>
      </c>
      <c r="AI11" s="4">
        <f ca="1">IFERROR(__xludf.DUMMYFUNCTION("""COMPUTED_VALUE"""),5)</f>
        <v>5</v>
      </c>
      <c r="AJ11" s="4">
        <f ca="1">IFERROR(__xludf.DUMMYFUNCTION("""COMPUTED_VALUE"""),5)</f>
        <v>5</v>
      </c>
      <c r="AK11" s="4">
        <f ca="1">IFERROR(__xludf.DUMMYFUNCTION("""COMPUTED_VALUE"""),5)</f>
        <v>5</v>
      </c>
      <c r="AL11" s="4">
        <f ca="1">IFERROR(__xludf.DUMMYFUNCTION("""COMPUTED_VALUE"""),5)</f>
        <v>5</v>
      </c>
      <c r="AM11" s="4">
        <f ca="1">IFERROR(__xludf.DUMMYFUNCTION("""COMPUTED_VALUE"""),5)</f>
        <v>5</v>
      </c>
      <c r="AN11" s="4">
        <f ca="1">IFERROR(__xludf.DUMMYFUNCTION("""COMPUTED_VALUE"""),5)</f>
        <v>5</v>
      </c>
      <c r="AO11" s="4">
        <f ca="1">IFERROR(__xludf.DUMMYFUNCTION("""COMPUTED_VALUE"""),5)</f>
        <v>5</v>
      </c>
      <c r="AP11" s="4">
        <f ca="1">IFERROR(__xludf.DUMMYFUNCTION("""COMPUTED_VALUE"""),5)</f>
        <v>5</v>
      </c>
      <c r="AQ11" s="4">
        <f ca="1">IFERROR(__xludf.DUMMYFUNCTION("""COMPUTED_VALUE"""),5)</f>
        <v>5</v>
      </c>
      <c r="AR11" s="4">
        <f ca="1">IFERROR(__xludf.DUMMYFUNCTION("""COMPUTED_VALUE"""),5)</f>
        <v>5</v>
      </c>
      <c r="AS11" s="4">
        <f ca="1">IFERROR(__xludf.DUMMYFUNCTION("""COMPUTED_VALUE"""),5)</f>
        <v>5</v>
      </c>
      <c r="AT11" s="4">
        <f ca="1">IFERROR(__xludf.DUMMYFUNCTION("""COMPUTED_VALUE"""),3)</f>
        <v>3</v>
      </c>
      <c r="AU11" s="4">
        <f ca="1">IFERROR(__xludf.DUMMYFUNCTION("""COMPUTED_VALUE"""),3)</f>
        <v>3</v>
      </c>
      <c r="AV11" s="4">
        <f ca="1">IFERROR(__xludf.DUMMYFUNCTION("""COMPUTED_VALUE"""),4)</f>
        <v>4</v>
      </c>
      <c r="AW11" s="4">
        <f ca="1">IFERROR(__xludf.DUMMYFUNCTION("""COMPUTED_VALUE"""),5)</f>
        <v>5</v>
      </c>
      <c r="AX11" s="4">
        <f ca="1">IFERROR(__xludf.DUMMYFUNCTION("""COMPUTED_VALUE"""),5)</f>
        <v>5</v>
      </c>
      <c r="AY11" s="4">
        <f ca="1">IFERROR(__xludf.DUMMYFUNCTION("""COMPUTED_VALUE"""),5)</f>
        <v>5</v>
      </c>
      <c r="AZ11" s="4">
        <f ca="1">IFERROR(__xludf.DUMMYFUNCTION("""COMPUTED_VALUE"""),5)</f>
        <v>5</v>
      </c>
      <c r="BA11" s="4">
        <f ca="1">IFERROR(__xludf.DUMMYFUNCTION("""COMPUTED_VALUE"""),5)</f>
        <v>5</v>
      </c>
      <c r="BB11" s="4">
        <f ca="1">IFERROR(__xludf.DUMMYFUNCTION("""COMPUTED_VALUE"""),3)</f>
        <v>3</v>
      </c>
      <c r="BC11" s="4">
        <f ca="1">IFERROR(__xludf.DUMMYFUNCTION("""COMPUTED_VALUE"""),3)</f>
        <v>3</v>
      </c>
      <c r="BD11" s="4">
        <f ca="1">IFERROR(__xludf.DUMMYFUNCTION("""COMPUTED_VALUE"""),4)</f>
        <v>4</v>
      </c>
      <c r="BE11" s="4">
        <f ca="1">IFERROR(__xludf.DUMMYFUNCTION("""COMPUTED_VALUE"""),3)</f>
        <v>3</v>
      </c>
      <c r="BF11" s="4">
        <f ca="1">IFERROR(__xludf.DUMMYFUNCTION("""COMPUTED_VALUE"""),3)</f>
        <v>3</v>
      </c>
      <c r="BG11" s="4">
        <f ca="1">IFERROR(__xludf.DUMMYFUNCTION("""COMPUTED_VALUE"""),3)</f>
        <v>3</v>
      </c>
      <c r="BH11" s="4">
        <f ca="1">IFERROR(__xludf.DUMMYFUNCTION("""COMPUTED_VALUE"""),5)</f>
        <v>5</v>
      </c>
      <c r="BI11" s="4">
        <f ca="1">IFERROR(__xludf.DUMMYFUNCTION("""COMPUTED_VALUE"""),5)</f>
        <v>5</v>
      </c>
      <c r="BJ11" s="4">
        <f ca="1">IFERROR(__xludf.DUMMYFUNCTION("""COMPUTED_VALUE"""),5)</f>
        <v>5</v>
      </c>
      <c r="BK11" s="4">
        <f ca="1">IFERROR(__xludf.DUMMYFUNCTION("""COMPUTED_VALUE"""),5)</f>
        <v>5</v>
      </c>
      <c r="BL11" s="4">
        <f ca="1">IFERROR(__xludf.DUMMYFUNCTION("""COMPUTED_VALUE"""),4)</f>
        <v>4</v>
      </c>
      <c r="BM11" s="4">
        <f ca="1">IFERROR(__xludf.DUMMYFUNCTION("""COMPUTED_VALUE"""),5)</f>
        <v>5</v>
      </c>
      <c r="BN11" s="4">
        <f ca="1">IFERROR(__xludf.DUMMYFUNCTION("""COMPUTED_VALUE"""),5)</f>
        <v>5</v>
      </c>
      <c r="BO11" s="4">
        <f ca="1">IFERROR(__xludf.DUMMYFUNCTION("""COMPUTED_VALUE"""),5)</f>
        <v>5</v>
      </c>
      <c r="BP11" s="4">
        <f ca="1">IFERROR(__xludf.DUMMYFUNCTION("""COMPUTED_VALUE"""),5)</f>
        <v>5</v>
      </c>
    </row>
    <row r="12" spans="1:68" x14ac:dyDescent="0.25">
      <c r="A12" s="4" t="str">
        <f ca="1">IFERROR(__xludf.DUMMYFUNCTION("""COMPUTED_VALUE"""),"2_ABaOnud90VqlzXlN8NANERrsJNNLG6PN-iCD1EY1ycIGhmabAXVVxuVYCJ3IoB5xrQ")</f>
        <v>2_ABaOnud90VqlzXlN8NANERrsJNNLG6PN-iCD1EY1ycIGhmabAXVVxuVYCJ3IoB5xrQ</v>
      </c>
      <c r="B12" s="5">
        <f ca="1">IFERROR(__xludf.DUMMYFUNCTION("""COMPUTED_VALUE"""),45966.4855686574)</f>
        <v>45966.485568657401</v>
      </c>
      <c r="C12" s="4" t="str">
        <f ca="1">IFERROR(__xludf.DUMMYFUNCTION("""COMPUTED_VALUE"""),"Phạm Minh Hằng")</f>
        <v>Phạm Minh Hằng</v>
      </c>
      <c r="D12" s="4" t="str">
        <f ca="1">IFERROR(__xludf.DUMMYFUNCTION("""COMPUTED_VALUE"""),"Nữ")</f>
        <v>Nữ</v>
      </c>
      <c r="E12" s="4" t="str">
        <f ca="1">IFERROR(__xludf.DUMMYFUNCTION("""COMPUTED_VALUE"""),"Công ty TNHH Kiểm toán ES")</f>
        <v>Công ty TNHH Kiểm toán ES</v>
      </c>
      <c r="F12" s="4" t="str">
        <f ca="1">IFERROR(__xludf.DUMMYFUNCTION("""COMPUTED_VALUE"""),"Đại học")</f>
        <v>Đại học</v>
      </c>
      <c r="G12" s="4" t="str">
        <f ca="1">IFERROR(__xludf.DUMMYFUNCTION("""COMPUTED_VALUE"""),"Từ 3 đến 5 năm")</f>
        <v>Từ 3 đến 5 năm</v>
      </c>
      <c r="H12" s="4" t="str">
        <f ca="1">IFERROR(__xludf.DUMMYFUNCTION("""COMPUTED_VALUE"""),"Trợ lý kiểm toán")</f>
        <v>Trợ lý kiểm toán</v>
      </c>
      <c r="I12" s="4">
        <f ca="1">IFERROR(__xludf.DUMMYFUNCTION("""COMPUTED_VALUE"""),5)</f>
        <v>5</v>
      </c>
      <c r="J12" s="4">
        <f ca="1">IFERROR(__xludf.DUMMYFUNCTION("""COMPUTED_VALUE"""),4)</f>
        <v>4</v>
      </c>
      <c r="K12" s="4">
        <f ca="1">IFERROR(__xludf.DUMMYFUNCTION("""COMPUTED_VALUE"""),4)</f>
        <v>4</v>
      </c>
      <c r="L12" s="4">
        <f ca="1">IFERROR(__xludf.DUMMYFUNCTION("""COMPUTED_VALUE"""),4)</f>
        <v>4</v>
      </c>
      <c r="M12" s="4">
        <f ca="1">IFERROR(__xludf.DUMMYFUNCTION("""COMPUTED_VALUE"""),4)</f>
        <v>4</v>
      </c>
      <c r="N12" s="4">
        <f ca="1">IFERROR(__xludf.DUMMYFUNCTION("""COMPUTED_VALUE"""),4)</f>
        <v>4</v>
      </c>
      <c r="O12" s="4">
        <f ca="1">IFERROR(__xludf.DUMMYFUNCTION("""COMPUTED_VALUE"""),4)</f>
        <v>4</v>
      </c>
      <c r="P12" s="4">
        <f ca="1">IFERROR(__xludf.DUMMYFUNCTION("""COMPUTED_VALUE"""),4)</f>
        <v>4</v>
      </c>
      <c r="Q12" s="4">
        <f ca="1">IFERROR(__xludf.DUMMYFUNCTION("""COMPUTED_VALUE"""),4)</f>
        <v>4</v>
      </c>
      <c r="R12" s="4">
        <f ca="1">IFERROR(__xludf.DUMMYFUNCTION("""COMPUTED_VALUE"""),4)</f>
        <v>4</v>
      </c>
      <c r="S12" s="4">
        <f ca="1">IFERROR(__xludf.DUMMYFUNCTION("""COMPUTED_VALUE"""),4)</f>
        <v>4</v>
      </c>
      <c r="T12" s="4">
        <f ca="1">IFERROR(__xludf.DUMMYFUNCTION("""COMPUTED_VALUE"""),4)</f>
        <v>4</v>
      </c>
      <c r="U12" s="4">
        <f ca="1">IFERROR(__xludf.DUMMYFUNCTION("""COMPUTED_VALUE"""),5)</f>
        <v>5</v>
      </c>
      <c r="V12" s="4">
        <f ca="1">IFERROR(__xludf.DUMMYFUNCTION("""COMPUTED_VALUE"""),4)</f>
        <v>4</v>
      </c>
      <c r="W12" s="4">
        <f ca="1">IFERROR(__xludf.DUMMYFUNCTION("""COMPUTED_VALUE"""),4)</f>
        <v>4</v>
      </c>
      <c r="X12" s="4">
        <f ca="1">IFERROR(__xludf.DUMMYFUNCTION("""COMPUTED_VALUE"""),4)</f>
        <v>4</v>
      </c>
      <c r="Y12" s="4">
        <f ca="1">IFERROR(__xludf.DUMMYFUNCTION("""COMPUTED_VALUE"""),4)</f>
        <v>4</v>
      </c>
      <c r="Z12" s="4">
        <f ca="1">IFERROR(__xludf.DUMMYFUNCTION("""COMPUTED_VALUE"""),4)</f>
        <v>4</v>
      </c>
      <c r="AA12" s="4">
        <f ca="1">IFERROR(__xludf.DUMMYFUNCTION("""COMPUTED_VALUE"""),4)</f>
        <v>4</v>
      </c>
      <c r="AB12" s="4">
        <f ca="1">IFERROR(__xludf.DUMMYFUNCTION("""COMPUTED_VALUE"""),4)</f>
        <v>4</v>
      </c>
      <c r="AC12" s="4">
        <f ca="1">IFERROR(__xludf.DUMMYFUNCTION("""COMPUTED_VALUE"""),4)</f>
        <v>4</v>
      </c>
      <c r="AD12" s="4">
        <f ca="1">IFERROR(__xludf.DUMMYFUNCTION("""COMPUTED_VALUE"""),4)</f>
        <v>4</v>
      </c>
      <c r="AE12" s="4">
        <f ca="1">IFERROR(__xludf.DUMMYFUNCTION("""COMPUTED_VALUE"""),4)</f>
        <v>4</v>
      </c>
      <c r="AF12" s="4">
        <f ca="1">IFERROR(__xludf.DUMMYFUNCTION("""COMPUTED_VALUE"""),4)</f>
        <v>4</v>
      </c>
      <c r="AG12" s="4">
        <f ca="1">IFERROR(__xludf.DUMMYFUNCTION("""COMPUTED_VALUE"""),4)</f>
        <v>4</v>
      </c>
      <c r="AH12" s="4">
        <f ca="1">IFERROR(__xludf.DUMMYFUNCTION("""COMPUTED_VALUE"""),4)</f>
        <v>4</v>
      </c>
      <c r="AI12" s="4">
        <f ca="1">IFERROR(__xludf.DUMMYFUNCTION("""COMPUTED_VALUE"""),2)</f>
        <v>2</v>
      </c>
      <c r="AJ12" s="4">
        <f ca="1">IFERROR(__xludf.DUMMYFUNCTION("""COMPUTED_VALUE"""),2)</f>
        <v>2</v>
      </c>
      <c r="AK12" s="4">
        <f ca="1">IFERROR(__xludf.DUMMYFUNCTION("""COMPUTED_VALUE"""),4)</f>
        <v>4</v>
      </c>
      <c r="AL12" s="4">
        <f ca="1">IFERROR(__xludf.DUMMYFUNCTION("""COMPUTED_VALUE"""),2)</f>
        <v>2</v>
      </c>
      <c r="AM12" s="4">
        <f ca="1">IFERROR(__xludf.DUMMYFUNCTION("""COMPUTED_VALUE"""),3)</f>
        <v>3</v>
      </c>
      <c r="AN12" s="4">
        <f ca="1">IFERROR(__xludf.DUMMYFUNCTION("""COMPUTED_VALUE"""),2)</f>
        <v>2</v>
      </c>
      <c r="AO12" s="4">
        <f ca="1">IFERROR(__xludf.DUMMYFUNCTION("""COMPUTED_VALUE"""),4)</f>
        <v>4</v>
      </c>
      <c r="AP12" s="4">
        <f ca="1">IFERROR(__xludf.DUMMYFUNCTION("""COMPUTED_VALUE"""),2)</f>
        <v>2</v>
      </c>
      <c r="AQ12" s="4">
        <f ca="1">IFERROR(__xludf.DUMMYFUNCTION("""COMPUTED_VALUE"""),4)</f>
        <v>4</v>
      </c>
      <c r="AR12" s="4">
        <f ca="1">IFERROR(__xludf.DUMMYFUNCTION("""COMPUTED_VALUE"""),2)</f>
        <v>2</v>
      </c>
      <c r="AS12" s="4">
        <f ca="1">IFERROR(__xludf.DUMMYFUNCTION("""COMPUTED_VALUE"""),2)</f>
        <v>2</v>
      </c>
      <c r="AT12" s="4">
        <f ca="1">IFERROR(__xludf.DUMMYFUNCTION("""COMPUTED_VALUE"""),4)</f>
        <v>4</v>
      </c>
      <c r="AU12" s="4">
        <f ca="1">IFERROR(__xludf.DUMMYFUNCTION("""COMPUTED_VALUE"""),4)</f>
        <v>4</v>
      </c>
      <c r="AV12" s="4">
        <f ca="1">IFERROR(__xludf.DUMMYFUNCTION("""COMPUTED_VALUE"""),4)</f>
        <v>4</v>
      </c>
      <c r="AW12" s="4">
        <f ca="1">IFERROR(__xludf.DUMMYFUNCTION("""COMPUTED_VALUE"""),4)</f>
        <v>4</v>
      </c>
      <c r="AX12" s="4">
        <f ca="1">IFERROR(__xludf.DUMMYFUNCTION("""COMPUTED_VALUE"""),4)</f>
        <v>4</v>
      </c>
      <c r="AY12" s="4">
        <f ca="1">IFERROR(__xludf.DUMMYFUNCTION("""COMPUTED_VALUE"""),4)</f>
        <v>4</v>
      </c>
      <c r="AZ12" s="4">
        <f ca="1">IFERROR(__xludf.DUMMYFUNCTION("""COMPUTED_VALUE"""),4)</f>
        <v>4</v>
      </c>
      <c r="BA12" s="4">
        <f ca="1">IFERROR(__xludf.DUMMYFUNCTION("""COMPUTED_VALUE"""),4)</f>
        <v>4</v>
      </c>
      <c r="BB12" s="4">
        <f ca="1">IFERROR(__xludf.DUMMYFUNCTION("""COMPUTED_VALUE"""),4)</f>
        <v>4</v>
      </c>
      <c r="BC12" s="4">
        <f ca="1">IFERROR(__xludf.DUMMYFUNCTION("""COMPUTED_VALUE"""),4)</f>
        <v>4</v>
      </c>
      <c r="BD12" s="4">
        <f ca="1">IFERROR(__xludf.DUMMYFUNCTION("""COMPUTED_VALUE"""),4)</f>
        <v>4</v>
      </c>
      <c r="BE12" s="4">
        <f ca="1">IFERROR(__xludf.DUMMYFUNCTION("""COMPUTED_VALUE"""),2)</f>
        <v>2</v>
      </c>
      <c r="BF12" s="4">
        <f ca="1">IFERROR(__xludf.DUMMYFUNCTION("""COMPUTED_VALUE"""),2)</f>
        <v>2</v>
      </c>
      <c r="BG12" s="4">
        <f ca="1">IFERROR(__xludf.DUMMYFUNCTION("""COMPUTED_VALUE"""),2)</f>
        <v>2</v>
      </c>
      <c r="BH12" s="4">
        <f ca="1">IFERROR(__xludf.DUMMYFUNCTION("""COMPUTED_VALUE"""),4)</f>
        <v>4</v>
      </c>
      <c r="BI12" s="4">
        <f ca="1">IFERROR(__xludf.DUMMYFUNCTION("""COMPUTED_VALUE"""),4)</f>
        <v>4</v>
      </c>
      <c r="BJ12" s="4">
        <f ca="1">IFERROR(__xludf.DUMMYFUNCTION("""COMPUTED_VALUE"""),4)</f>
        <v>4</v>
      </c>
      <c r="BK12" s="4">
        <f ca="1">IFERROR(__xludf.DUMMYFUNCTION("""COMPUTED_VALUE"""),4)</f>
        <v>4</v>
      </c>
      <c r="BL12" s="4">
        <f ca="1">IFERROR(__xludf.DUMMYFUNCTION("""COMPUTED_VALUE"""),4)</f>
        <v>4</v>
      </c>
      <c r="BM12" s="4">
        <f ca="1">IFERROR(__xludf.DUMMYFUNCTION("""COMPUTED_VALUE"""),4)</f>
        <v>4</v>
      </c>
      <c r="BN12" s="4">
        <f ca="1">IFERROR(__xludf.DUMMYFUNCTION("""COMPUTED_VALUE"""),4)</f>
        <v>4</v>
      </c>
      <c r="BO12" s="4">
        <f ca="1">IFERROR(__xludf.DUMMYFUNCTION("""COMPUTED_VALUE"""),4)</f>
        <v>4</v>
      </c>
      <c r="BP12" s="4">
        <f ca="1">IFERROR(__xludf.DUMMYFUNCTION("""COMPUTED_VALUE"""),4)</f>
        <v>4</v>
      </c>
    </row>
    <row r="13" spans="1:68" x14ac:dyDescent="0.25">
      <c r="A13" s="4" t="str">
        <f ca="1">IFERROR(__xludf.DUMMYFUNCTION("""COMPUTED_VALUE"""),"2_ABaOnucXl57VKypm1DowSxvPh9ZI5SQ7A01mNmKCr_FjOQX1uRioEEA-X0g49y_pXA")</f>
        <v>2_ABaOnucXl57VKypm1DowSxvPh9ZI5SQ7A01mNmKCr_FjOQX1uRioEEA-X0g49y_pXA</v>
      </c>
      <c r="B13" s="5">
        <f ca="1">IFERROR(__xludf.DUMMYFUNCTION("""COMPUTED_VALUE"""),45966.48590728)</f>
        <v>45966.485907280003</v>
      </c>
      <c r="C13" s="4" t="str">
        <f ca="1">IFERROR(__xludf.DUMMYFUNCTION("""COMPUTED_VALUE"""),"hai.nguyen@es.com.vn")</f>
        <v>hai.nguyen@es.com.vn</v>
      </c>
      <c r="D13" s="4" t="str">
        <f ca="1">IFERROR(__xludf.DUMMYFUNCTION("""COMPUTED_VALUE"""),"Nam")</f>
        <v>Nam</v>
      </c>
      <c r="E13" s="4" t="str">
        <f ca="1">IFERROR(__xludf.DUMMYFUNCTION("""COMPUTED_VALUE"""),"Công ty TNHH Kiểm toán ES")</f>
        <v>Công ty TNHH Kiểm toán ES</v>
      </c>
      <c r="F13" s="4" t="str">
        <f ca="1">IFERROR(__xludf.DUMMYFUNCTION("""COMPUTED_VALUE"""),"Sau đại học, Chứng chỉ Kiểm toán viên")</f>
        <v>Sau đại học, Chứng chỉ Kiểm toán viên</v>
      </c>
      <c r="G13" s="4" t="str">
        <f ca="1">IFERROR(__xludf.DUMMYFUNCTION("""COMPUTED_VALUE"""),"Trên 10 đến 15 năm")</f>
        <v>Trên 10 đến 15 năm</v>
      </c>
      <c r="H13" s="4" t="str">
        <f ca="1">IFERROR(__xludf.DUMMYFUNCTION("""COMPUTED_VALUE"""),"Ban giám đốc")</f>
        <v>Ban giám đốc</v>
      </c>
      <c r="I13" s="4">
        <f ca="1">IFERROR(__xludf.DUMMYFUNCTION("""COMPUTED_VALUE"""),4)</f>
        <v>4</v>
      </c>
      <c r="J13" s="4">
        <f ca="1">IFERROR(__xludf.DUMMYFUNCTION("""COMPUTED_VALUE"""),4)</f>
        <v>4</v>
      </c>
      <c r="K13" s="4">
        <f ca="1">IFERROR(__xludf.DUMMYFUNCTION("""COMPUTED_VALUE"""),3)</f>
        <v>3</v>
      </c>
      <c r="L13" s="4">
        <f ca="1">IFERROR(__xludf.DUMMYFUNCTION("""COMPUTED_VALUE"""),4)</f>
        <v>4</v>
      </c>
      <c r="M13" s="4">
        <f ca="1">IFERROR(__xludf.DUMMYFUNCTION("""COMPUTED_VALUE"""),4)</f>
        <v>4</v>
      </c>
      <c r="N13" s="4">
        <f ca="1">IFERROR(__xludf.DUMMYFUNCTION("""COMPUTED_VALUE"""),5)</f>
        <v>5</v>
      </c>
      <c r="O13" s="4">
        <f ca="1">IFERROR(__xludf.DUMMYFUNCTION("""COMPUTED_VALUE"""),3)</f>
        <v>3</v>
      </c>
      <c r="P13" s="4">
        <f ca="1">IFERROR(__xludf.DUMMYFUNCTION("""COMPUTED_VALUE"""),3)</f>
        <v>3</v>
      </c>
      <c r="Q13" s="4">
        <f ca="1">IFERROR(__xludf.DUMMYFUNCTION("""COMPUTED_VALUE"""),5)</f>
        <v>5</v>
      </c>
      <c r="R13" s="4">
        <f ca="1">IFERROR(__xludf.DUMMYFUNCTION("""COMPUTED_VALUE"""),4)</f>
        <v>4</v>
      </c>
      <c r="S13" s="4">
        <f ca="1">IFERROR(__xludf.DUMMYFUNCTION("""COMPUTED_VALUE"""),4)</f>
        <v>4</v>
      </c>
      <c r="T13" s="4">
        <f ca="1">IFERROR(__xludf.DUMMYFUNCTION("""COMPUTED_VALUE"""),3)</f>
        <v>3</v>
      </c>
      <c r="U13" s="4">
        <f ca="1">IFERROR(__xludf.DUMMYFUNCTION("""COMPUTED_VALUE"""),4)</f>
        <v>4</v>
      </c>
      <c r="V13" s="4">
        <f ca="1">IFERROR(__xludf.DUMMYFUNCTION("""COMPUTED_VALUE"""),5)</f>
        <v>5</v>
      </c>
      <c r="W13" s="4">
        <f ca="1">IFERROR(__xludf.DUMMYFUNCTION("""COMPUTED_VALUE"""),4)</f>
        <v>4</v>
      </c>
      <c r="X13" s="4">
        <f ca="1">IFERROR(__xludf.DUMMYFUNCTION("""COMPUTED_VALUE"""),5)</f>
        <v>5</v>
      </c>
      <c r="Y13" s="4">
        <f ca="1">IFERROR(__xludf.DUMMYFUNCTION("""COMPUTED_VALUE"""),1)</f>
        <v>1</v>
      </c>
      <c r="Z13" s="4">
        <f ca="1">IFERROR(__xludf.DUMMYFUNCTION("""COMPUTED_VALUE"""),4)</f>
        <v>4</v>
      </c>
      <c r="AA13" s="4">
        <f ca="1">IFERROR(__xludf.DUMMYFUNCTION("""COMPUTED_VALUE"""),3)</f>
        <v>3</v>
      </c>
      <c r="AB13" s="4">
        <f ca="1">IFERROR(__xludf.DUMMYFUNCTION("""COMPUTED_VALUE"""),4)</f>
        <v>4</v>
      </c>
      <c r="AC13" s="4">
        <f ca="1">IFERROR(__xludf.DUMMYFUNCTION("""COMPUTED_VALUE"""),3)</f>
        <v>3</v>
      </c>
      <c r="AD13" s="4">
        <f ca="1">IFERROR(__xludf.DUMMYFUNCTION("""COMPUTED_VALUE"""),4)</f>
        <v>4</v>
      </c>
      <c r="AE13" s="4">
        <f ca="1">IFERROR(__xludf.DUMMYFUNCTION("""COMPUTED_VALUE"""),5)</f>
        <v>5</v>
      </c>
      <c r="AF13" s="4">
        <f ca="1">IFERROR(__xludf.DUMMYFUNCTION("""COMPUTED_VALUE"""),4)</f>
        <v>4</v>
      </c>
      <c r="AG13" s="4">
        <f ca="1">IFERROR(__xludf.DUMMYFUNCTION("""COMPUTED_VALUE"""),5)</f>
        <v>5</v>
      </c>
      <c r="AH13" s="4">
        <f ca="1">IFERROR(__xludf.DUMMYFUNCTION("""COMPUTED_VALUE"""),4)</f>
        <v>4</v>
      </c>
      <c r="AI13" s="4">
        <f ca="1">IFERROR(__xludf.DUMMYFUNCTION("""COMPUTED_VALUE"""),5)</f>
        <v>5</v>
      </c>
      <c r="AJ13" s="4">
        <f ca="1">IFERROR(__xludf.DUMMYFUNCTION("""COMPUTED_VALUE"""),4)</f>
        <v>4</v>
      </c>
      <c r="AK13" s="4">
        <f ca="1">IFERROR(__xludf.DUMMYFUNCTION("""COMPUTED_VALUE"""),5)</f>
        <v>5</v>
      </c>
      <c r="AL13" s="4">
        <f ca="1">IFERROR(__xludf.DUMMYFUNCTION("""COMPUTED_VALUE"""),5)</f>
        <v>5</v>
      </c>
      <c r="AM13" s="4">
        <f ca="1">IFERROR(__xludf.DUMMYFUNCTION("""COMPUTED_VALUE"""),3)</f>
        <v>3</v>
      </c>
      <c r="AN13" s="4">
        <f ca="1">IFERROR(__xludf.DUMMYFUNCTION("""COMPUTED_VALUE"""),5)</f>
        <v>5</v>
      </c>
      <c r="AO13" s="4">
        <f ca="1">IFERROR(__xludf.DUMMYFUNCTION("""COMPUTED_VALUE"""),3)</f>
        <v>3</v>
      </c>
      <c r="AP13" s="4">
        <f ca="1">IFERROR(__xludf.DUMMYFUNCTION("""COMPUTED_VALUE"""),3)</f>
        <v>3</v>
      </c>
      <c r="AQ13" s="4">
        <f ca="1">IFERROR(__xludf.DUMMYFUNCTION("""COMPUTED_VALUE"""),4)</f>
        <v>4</v>
      </c>
      <c r="AR13" s="4">
        <f ca="1">IFERROR(__xludf.DUMMYFUNCTION("""COMPUTED_VALUE"""),4)</f>
        <v>4</v>
      </c>
      <c r="AS13" s="4">
        <f ca="1">IFERROR(__xludf.DUMMYFUNCTION("""COMPUTED_VALUE"""),4)</f>
        <v>4</v>
      </c>
      <c r="AT13" s="4">
        <f ca="1">IFERROR(__xludf.DUMMYFUNCTION("""COMPUTED_VALUE"""),2)</f>
        <v>2</v>
      </c>
      <c r="AU13" s="4">
        <f ca="1">IFERROR(__xludf.DUMMYFUNCTION("""COMPUTED_VALUE"""),4)</f>
        <v>4</v>
      </c>
      <c r="AV13" s="4">
        <f ca="1">IFERROR(__xludf.DUMMYFUNCTION("""COMPUTED_VALUE"""),4)</f>
        <v>4</v>
      </c>
      <c r="AW13" s="4">
        <f ca="1">IFERROR(__xludf.DUMMYFUNCTION("""COMPUTED_VALUE"""),3)</f>
        <v>3</v>
      </c>
      <c r="AX13" s="4">
        <f ca="1">IFERROR(__xludf.DUMMYFUNCTION("""COMPUTED_VALUE"""),4)</f>
        <v>4</v>
      </c>
      <c r="AY13" s="4">
        <f ca="1">IFERROR(__xludf.DUMMYFUNCTION("""COMPUTED_VALUE"""),4)</f>
        <v>4</v>
      </c>
      <c r="AZ13" s="4">
        <f ca="1">IFERROR(__xludf.DUMMYFUNCTION("""COMPUTED_VALUE"""),3)</f>
        <v>3</v>
      </c>
      <c r="BA13" s="4">
        <f ca="1">IFERROR(__xludf.DUMMYFUNCTION("""COMPUTED_VALUE"""),4)</f>
        <v>4</v>
      </c>
      <c r="BB13" s="4">
        <f ca="1">IFERROR(__xludf.DUMMYFUNCTION("""COMPUTED_VALUE"""),3)</f>
        <v>3</v>
      </c>
      <c r="BC13" s="4">
        <f ca="1">IFERROR(__xludf.DUMMYFUNCTION("""COMPUTED_VALUE"""),4)</f>
        <v>4</v>
      </c>
      <c r="BD13" s="4">
        <f ca="1">IFERROR(__xludf.DUMMYFUNCTION("""COMPUTED_VALUE"""),4)</f>
        <v>4</v>
      </c>
      <c r="BE13" s="4">
        <f ca="1">IFERROR(__xludf.DUMMYFUNCTION("""COMPUTED_VALUE"""),4)</f>
        <v>4</v>
      </c>
      <c r="BF13" s="4">
        <f ca="1">IFERROR(__xludf.DUMMYFUNCTION("""COMPUTED_VALUE"""),3)</f>
        <v>3</v>
      </c>
      <c r="BG13" s="4">
        <f ca="1">IFERROR(__xludf.DUMMYFUNCTION("""COMPUTED_VALUE"""),4)</f>
        <v>4</v>
      </c>
      <c r="BH13" s="4">
        <f ca="1">IFERROR(__xludf.DUMMYFUNCTION("""COMPUTED_VALUE"""),4)</f>
        <v>4</v>
      </c>
      <c r="BI13" s="4">
        <f ca="1">IFERROR(__xludf.DUMMYFUNCTION("""COMPUTED_VALUE"""),5)</f>
        <v>5</v>
      </c>
      <c r="BJ13" s="4">
        <f ca="1">IFERROR(__xludf.DUMMYFUNCTION("""COMPUTED_VALUE"""),5)</f>
        <v>5</v>
      </c>
      <c r="BK13" s="4">
        <f ca="1">IFERROR(__xludf.DUMMYFUNCTION("""COMPUTED_VALUE"""),4)</f>
        <v>4</v>
      </c>
      <c r="BL13" s="4">
        <f ca="1">IFERROR(__xludf.DUMMYFUNCTION("""COMPUTED_VALUE"""),3)</f>
        <v>3</v>
      </c>
      <c r="BM13" s="4">
        <f ca="1">IFERROR(__xludf.DUMMYFUNCTION("""COMPUTED_VALUE"""),4)</f>
        <v>4</v>
      </c>
      <c r="BN13" s="4">
        <f ca="1">IFERROR(__xludf.DUMMYFUNCTION("""COMPUTED_VALUE"""),4)</f>
        <v>4</v>
      </c>
      <c r="BO13" s="4">
        <f ca="1">IFERROR(__xludf.DUMMYFUNCTION("""COMPUTED_VALUE"""),5)</f>
        <v>5</v>
      </c>
      <c r="BP13" s="4">
        <f ca="1">IFERROR(__xludf.DUMMYFUNCTION("""COMPUTED_VALUE"""),4)</f>
        <v>4</v>
      </c>
    </row>
    <row r="14" spans="1:68" x14ac:dyDescent="0.25">
      <c r="A14" s="4" t="str">
        <f ca="1">IFERROR(__xludf.DUMMYFUNCTION("""COMPUTED_VALUE"""),"2_ABaOnudJJtmIx6_aqG2bf2g2R6KQHTP5c0Q6ytMCqhP92djMFqHi8S_8gvGGRLmy1A")</f>
        <v>2_ABaOnudJJtmIx6_aqG2bf2g2R6KQHTP5c0Q6ytMCqhP92djMFqHi8S_8gvGGRLmy1A</v>
      </c>
      <c r="B14" s="5">
        <f ca="1">IFERROR(__xludf.DUMMYFUNCTION("""COMPUTED_VALUE"""),45966.4862404398)</f>
        <v>45966.486240439801</v>
      </c>
      <c r="C14" s="4" t="str">
        <f ca="1">IFERROR(__xludf.DUMMYFUNCTION("""COMPUTED_VALUE"""),"Hoàng Đức")</f>
        <v>Hoàng Đức</v>
      </c>
      <c r="D14" s="4" t="str">
        <f ca="1">IFERROR(__xludf.DUMMYFUNCTION("""COMPUTED_VALUE"""),"Nam")</f>
        <v>Nam</v>
      </c>
      <c r="E14" s="4" t="str">
        <f ca="1">IFERROR(__xludf.DUMMYFUNCTION("""COMPUTED_VALUE"""),"Công ty TNHH kiểm toán ES")</f>
        <v>Công ty TNHH kiểm toán ES</v>
      </c>
      <c r="F14" s="4" t="str">
        <f ca="1">IFERROR(__xludf.DUMMYFUNCTION("""COMPUTED_VALUE"""),"Đại học")</f>
        <v>Đại học</v>
      </c>
      <c r="G14" s="4" t="str">
        <f ca="1">IFERROR(__xludf.DUMMYFUNCTION("""COMPUTED_VALUE"""),"Từ 3 đến 5 năm")</f>
        <v>Từ 3 đến 5 năm</v>
      </c>
      <c r="H14" s="4" t="str">
        <f ca="1">IFERROR(__xludf.DUMMYFUNCTION("""COMPUTED_VALUE"""),"Trợ lý kiểm toán")</f>
        <v>Trợ lý kiểm toán</v>
      </c>
      <c r="I14" s="4">
        <f ca="1">IFERROR(__xludf.DUMMYFUNCTION("""COMPUTED_VALUE"""),5)</f>
        <v>5</v>
      </c>
      <c r="J14" s="4">
        <f ca="1">IFERROR(__xludf.DUMMYFUNCTION("""COMPUTED_VALUE"""),5)</f>
        <v>5</v>
      </c>
      <c r="K14" s="4">
        <f ca="1">IFERROR(__xludf.DUMMYFUNCTION("""COMPUTED_VALUE"""),5)</f>
        <v>5</v>
      </c>
      <c r="L14" s="4">
        <f ca="1">IFERROR(__xludf.DUMMYFUNCTION("""COMPUTED_VALUE"""),5)</f>
        <v>5</v>
      </c>
      <c r="M14" s="4">
        <f ca="1">IFERROR(__xludf.DUMMYFUNCTION("""COMPUTED_VALUE"""),5)</f>
        <v>5</v>
      </c>
      <c r="N14" s="4">
        <f ca="1">IFERROR(__xludf.DUMMYFUNCTION("""COMPUTED_VALUE"""),5)</f>
        <v>5</v>
      </c>
      <c r="O14" s="4">
        <f ca="1">IFERROR(__xludf.DUMMYFUNCTION("""COMPUTED_VALUE"""),5)</f>
        <v>5</v>
      </c>
      <c r="P14" s="4">
        <f ca="1">IFERROR(__xludf.DUMMYFUNCTION("""COMPUTED_VALUE"""),5)</f>
        <v>5</v>
      </c>
      <c r="Q14" s="4">
        <f ca="1">IFERROR(__xludf.DUMMYFUNCTION("""COMPUTED_VALUE"""),5)</f>
        <v>5</v>
      </c>
      <c r="R14" s="4">
        <f ca="1">IFERROR(__xludf.DUMMYFUNCTION("""COMPUTED_VALUE"""),5)</f>
        <v>5</v>
      </c>
      <c r="S14" s="4">
        <f ca="1">IFERROR(__xludf.DUMMYFUNCTION("""COMPUTED_VALUE"""),5)</f>
        <v>5</v>
      </c>
      <c r="T14" s="4">
        <f ca="1">IFERROR(__xludf.DUMMYFUNCTION("""COMPUTED_VALUE"""),5)</f>
        <v>5</v>
      </c>
      <c r="U14" s="4">
        <f ca="1">IFERROR(__xludf.DUMMYFUNCTION("""COMPUTED_VALUE"""),5)</f>
        <v>5</v>
      </c>
      <c r="V14" s="4">
        <f ca="1">IFERROR(__xludf.DUMMYFUNCTION("""COMPUTED_VALUE"""),5)</f>
        <v>5</v>
      </c>
      <c r="W14" s="4">
        <f ca="1">IFERROR(__xludf.DUMMYFUNCTION("""COMPUTED_VALUE"""),5)</f>
        <v>5</v>
      </c>
      <c r="X14" s="4">
        <f ca="1">IFERROR(__xludf.DUMMYFUNCTION("""COMPUTED_VALUE"""),5)</f>
        <v>5</v>
      </c>
      <c r="Y14" s="4">
        <f ca="1">IFERROR(__xludf.DUMMYFUNCTION("""COMPUTED_VALUE"""),5)</f>
        <v>5</v>
      </c>
      <c r="Z14" s="4">
        <f ca="1">IFERROR(__xludf.DUMMYFUNCTION("""COMPUTED_VALUE"""),5)</f>
        <v>5</v>
      </c>
      <c r="AA14" s="4">
        <f ca="1">IFERROR(__xludf.DUMMYFUNCTION("""COMPUTED_VALUE"""),5)</f>
        <v>5</v>
      </c>
      <c r="AB14" s="4">
        <f ca="1">IFERROR(__xludf.DUMMYFUNCTION("""COMPUTED_VALUE"""),5)</f>
        <v>5</v>
      </c>
      <c r="AC14" s="4">
        <f ca="1">IFERROR(__xludf.DUMMYFUNCTION("""COMPUTED_VALUE"""),5)</f>
        <v>5</v>
      </c>
      <c r="AD14" s="4">
        <f ca="1">IFERROR(__xludf.DUMMYFUNCTION("""COMPUTED_VALUE"""),5)</f>
        <v>5</v>
      </c>
      <c r="AE14" s="4">
        <f ca="1">IFERROR(__xludf.DUMMYFUNCTION("""COMPUTED_VALUE"""),5)</f>
        <v>5</v>
      </c>
      <c r="AF14" s="4">
        <f ca="1">IFERROR(__xludf.DUMMYFUNCTION("""COMPUTED_VALUE"""),5)</f>
        <v>5</v>
      </c>
      <c r="AG14" s="4">
        <f ca="1">IFERROR(__xludf.DUMMYFUNCTION("""COMPUTED_VALUE"""),5)</f>
        <v>5</v>
      </c>
      <c r="AH14" s="4">
        <f ca="1">IFERROR(__xludf.DUMMYFUNCTION("""COMPUTED_VALUE"""),5)</f>
        <v>5</v>
      </c>
      <c r="AI14" s="4">
        <f ca="1">IFERROR(__xludf.DUMMYFUNCTION("""COMPUTED_VALUE"""),5)</f>
        <v>5</v>
      </c>
      <c r="AJ14" s="4">
        <f ca="1">IFERROR(__xludf.DUMMYFUNCTION("""COMPUTED_VALUE"""),5)</f>
        <v>5</v>
      </c>
      <c r="AK14" s="4">
        <f ca="1">IFERROR(__xludf.DUMMYFUNCTION("""COMPUTED_VALUE"""),5)</f>
        <v>5</v>
      </c>
      <c r="AL14" s="4">
        <f ca="1">IFERROR(__xludf.DUMMYFUNCTION("""COMPUTED_VALUE"""),5)</f>
        <v>5</v>
      </c>
      <c r="AM14" s="4">
        <f ca="1">IFERROR(__xludf.DUMMYFUNCTION("""COMPUTED_VALUE"""),5)</f>
        <v>5</v>
      </c>
      <c r="AN14" s="4">
        <f ca="1">IFERROR(__xludf.DUMMYFUNCTION("""COMPUTED_VALUE"""),5)</f>
        <v>5</v>
      </c>
      <c r="AO14" s="4">
        <f ca="1">IFERROR(__xludf.DUMMYFUNCTION("""COMPUTED_VALUE"""),5)</f>
        <v>5</v>
      </c>
      <c r="AP14" s="4">
        <f ca="1">IFERROR(__xludf.DUMMYFUNCTION("""COMPUTED_VALUE"""),5)</f>
        <v>5</v>
      </c>
      <c r="AQ14" s="4">
        <f ca="1">IFERROR(__xludf.DUMMYFUNCTION("""COMPUTED_VALUE"""),5)</f>
        <v>5</v>
      </c>
      <c r="AR14" s="4">
        <f ca="1">IFERROR(__xludf.DUMMYFUNCTION("""COMPUTED_VALUE"""),5)</f>
        <v>5</v>
      </c>
      <c r="AS14" s="4">
        <f ca="1">IFERROR(__xludf.DUMMYFUNCTION("""COMPUTED_VALUE"""),5)</f>
        <v>5</v>
      </c>
      <c r="AT14" s="4">
        <f ca="1">IFERROR(__xludf.DUMMYFUNCTION("""COMPUTED_VALUE"""),5)</f>
        <v>5</v>
      </c>
      <c r="AU14" s="4">
        <f ca="1">IFERROR(__xludf.DUMMYFUNCTION("""COMPUTED_VALUE"""),5)</f>
        <v>5</v>
      </c>
      <c r="AV14" s="4">
        <f ca="1">IFERROR(__xludf.DUMMYFUNCTION("""COMPUTED_VALUE"""),5)</f>
        <v>5</v>
      </c>
      <c r="AW14" s="4">
        <f ca="1">IFERROR(__xludf.DUMMYFUNCTION("""COMPUTED_VALUE"""),5)</f>
        <v>5</v>
      </c>
      <c r="AX14" s="4">
        <f ca="1">IFERROR(__xludf.DUMMYFUNCTION("""COMPUTED_VALUE"""),4)</f>
        <v>4</v>
      </c>
      <c r="AY14" s="4">
        <f ca="1">IFERROR(__xludf.DUMMYFUNCTION("""COMPUTED_VALUE"""),4)</f>
        <v>4</v>
      </c>
      <c r="AZ14" s="4">
        <f ca="1">IFERROR(__xludf.DUMMYFUNCTION("""COMPUTED_VALUE"""),4)</f>
        <v>4</v>
      </c>
      <c r="BA14" s="4">
        <f ca="1">IFERROR(__xludf.DUMMYFUNCTION("""COMPUTED_VALUE"""),4)</f>
        <v>4</v>
      </c>
      <c r="BB14" s="4">
        <f ca="1">IFERROR(__xludf.DUMMYFUNCTION("""COMPUTED_VALUE"""),3)</f>
        <v>3</v>
      </c>
      <c r="BC14" s="4">
        <f ca="1">IFERROR(__xludf.DUMMYFUNCTION("""COMPUTED_VALUE"""),3)</f>
        <v>3</v>
      </c>
      <c r="BD14" s="4">
        <f ca="1">IFERROR(__xludf.DUMMYFUNCTION("""COMPUTED_VALUE"""),3)</f>
        <v>3</v>
      </c>
      <c r="BE14" s="4">
        <f ca="1">IFERROR(__xludf.DUMMYFUNCTION("""COMPUTED_VALUE"""),3)</f>
        <v>3</v>
      </c>
      <c r="BF14" s="4">
        <f ca="1">IFERROR(__xludf.DUMMYFUNCTION("""COMPUTED_VALUE"""),3)</f>
        <v>3</v>
      </c>
      <c r="BG14" s="4">
        <f ca="1">IFERROR(__xludf.DUMMYFUNCTION("""COMPUTED_VALUE"""),3)</f>
        <v>3</v>
      </c>
      <c r="BH14" s="4">
        <f ca="1">IFERROR(__xludf.DUMMYFUNCTION("""COMPUTED_VALUE"""),3)</f>
        <v>3</v>
      </c>
      <c r="BI14" s="4">
        <f ca="1">IFERROR(__xludf.DUMMYFUNCTION("""COMPUTED_VALUE"""),3)</f>
        <v>3</v>
      </c>
      <c r="BJ14" s="4">
        <f ca="1">IFERROR(__xludf.DUMMYFUNCTION("""COMPUTED_VALUE"""),3)</f>
        <v>3</v>
      </c>
      <c r="BK14" s="4">
        <f ca="1">IFERROR(__xludf.DUMMYFUNCTION("""COMPUTED_VALUE"""),4)</f>
        <v>4</v>
      </c>
      <c r="BL14" s="4">
        <f ca="1">IFERROR(__xludf.DUMMYFUNCTION("""COMPUTED_VALUE"""),4)</f>
        <v>4</v>
      </c>
      <c r="BM14" s="4">
        <f ca="1">IFERROR(__xludf.DUMMYFUNCTION("""COMPUTED_VALUE"""),3)</f>
        <v>3</v>
      </c>
      <c r="BN14" s="4">
        <f ca="1">IFERROR(__xludf.DUMMYFUNCTION("""COMPUTED_VALUE"""),3)</f>
        <v>3</v>
      </c>
      <c r="BO14" s="4">
        <f ca="1">IFERROR(__xludf.DUMMYFUNCTION("""COMPUTED_VALUE"""),3)</f>
        <v>3</v>
      </c>
      <c r="BP14" s="4">
        <f ca="1">IFERROR(__xludf.DUMMYFUNCTION("""COMPUTED_VALUE"""),3)</f>
        <v>3</v>
      </c>
    </row>
    <row r="15" spans="1:68" x14ac:dyDescent="0.25">
      <c r="A15" s="4" t="str">
        <f ca="1">IFERROR(__xludf.DUMMYFUNCTION("""COMPUTED_VALUE"""),"2_ABaOnucwXvipOj1Glas4MnGOtOX4BB1cDoDvUa_kuGVUMUVxgZON1sJhWhDc_DIHuA")</f>
        <v>2_ABaOnucwXvipOj1Glas4MnGOtOX4BB1cDoDvUa_kuGVUMUVxgZON1sJhWhDc_DIHuA</v>
      </c>
      <c r="B15" s="5">
        <f ca="1">IFERROR(__xludf.DUMMYFUNCTION("""COMPUTED_VALUE"""),45966.4873419907)</f>
        <v>45966.487341990702</v>
      </c>
      <c r="C15" s="4" t="str">
        <f ca="1">IFERROR(__xludf.DUMMYFUNCTION("""COMPUTED_VALUE"""),"Đoàn Thị Nhàn")</f>
        <v>Đoàn Thị Nhàn</v>
      </c>
      <c r="D15" s="4" t="str">
        <f ca="1">IFERROR(__xludf.DUMMYFUNCTION("""COMPUTED_VALUE"""),"Nữ")</f>
        <v>Nữ</v>
      </c>
      <c r="E15" s="4" t="str">
        <f ca="1">IFERROR(__xludf.DUMMYFUNCTION("""COMPUTED_VALUE"""),"Công ty TNHH Kiểm toán ES")</f>
        <v>Công ty TNHH Kiểm toán ES</v>
      </c>
      <c r="F15" s="4" t="str">
        <f ca="1">IFERROR(__xludf.DUMMYFUNCTION("""COMPUTED_VALUE"""),"Đại học")</f>
        <v>Đại học</v>
      </c>
      <c r="G15" s="4" t="str">
        <f ca="1">IFERROR(__xludf.DUMMYFUNCTION("""COMPUTED_VALUE"""),"Từ 3 đến 5 năm")</f>
        <v>Từ 3 đến 5 năm</v>
      </c>
      <c r="H15" s="4" t="str">
        <f ca="1">IFERROR(__xludf.DUMMYFUNCTION("""COMPUTED_VALUE"""),"Trợ lý kiểm toán")</f>
        <v>Trợ lý kiểm toán</v>
      </c>
      <c r="I15" s="4">
        <f ca="1">IFERROR(__xludf.DUMMYFUNCTION("""COMPUTED_VALUE"""),5)</f>
        <v>5</v>
      </c>
      <c r="J15" s="4">
        <f ca="1">IFERROR(__xludf.DUMMYFUNCTION("""COMPUTED_VALUE"""),4)</f>
        <v>4</v>
      </c>
      <c r="K15" s="4">
        <f ca="1">IFERROR(__xludf.DUMMYFUNCTION("""COMPUTED_VALUE"""),4)</f>
        <v>4</v>
      </c>
      <c r="L15" s="4">
        <f ca="1">IFERROR(__xludf.DUMMYFUNCTION("""COMPUTED_VALUE"""),5)</f>
        <v>5</v>
      </c>
      <c r="M15" s="4">
        <f ca="1">IFERROR(__xludf.DUMMYFUNCTION("""COMPUTED_VALUE"""),4)</f>
        <v>4</v>
      </c>
      <c r="N15" s="4">
        <f ca="1">IFERROR(__xludf.DUMMYFUNCTION("""COMPUTED_VALUE"""),3)</f>
        <v>3</v>
      </c>
      <c r="O15" s="4">
        <f ca="1">IFERROR(__xludf.DUMMYFUNCTION("""COMPUTED_VALUE"""),3)</f>
        <v>3</v>
      </c>
      <c r="P15" s="4">
        <f ca="1">IFERROR(__xludf.DUMMYFUNCTION("""COMPUTED_VALUE"""),4)</f>
        <v>4</v>
      </c>
      <c r="Q15" s="4">
        <f ca="1">IFERROR(__xludf.DUMMYFUNCTION("""COMPUTED_VALUE"""),3)</f>
        <v>3</v>
      </c>
      <c r="R15" s="4">
        <f ca="1">IFERROR(__xludf.DUMMYFUNCTION("""COMPUTED_VALUE"""),4)</f>
        <v>4</v>
      </c>
      <c r="S15" s="4">
        <f ca="1">IFERROR(__xludf.DUMMYFUNCTION("""COMPUTED_VALUE"""),3)</f>
        <v>3</v>
      </c>
      <c r="T15" s="4">
        <f ca="1">IFERROR(__xludf.DUMMYFUNCTION("""COMPUTED_VALUE"""),3)</f>
        <v>3</v>
      </c>
      <c r="U15" s="4">
        <f ca="1">IFERROR(__xludf.DUMMYFUNCTION("""COMPUTED_VALUE"""),3)</f>
        <v>3</v>
      </c>
      <c r="V15" s="4">
        <f ca="1">IFERROR(__xludf.DUMMYFUNCTION("""COMPUTED_VALUE"""),4)</f>
        <v>4</v>
      </c>
      <c r="W15" s="4">
        <f ca="1">IFERROR(__xludf.DUMMYFUNCTION("""COMPUTED_VALUE"""),3)</f>
        <v>3</v>
      </c>
      <c r="X15" s="4">
        <f ca="1">IFERROR(__xludf.DUMMYFUNCTION("""COMPUTED_VALUE"""),3)</f>
        <v>3</v>
      </c>
      <c r="Y15" s="4">
        <f ca="1">IFERROR(__xludf.DUMMYFUNCTION("""COMPUTED_VALUE"""),4)</f>
        <v>4</v>
      </c>
      <c r="Z15" s="4">
        <f ca="1">IFERROR(__xludf.DUMMYFUNCTION("""COMPUTED_VALUE"""),4)</f>
        <v>4</v>
      </c>
      <c r="AA15" s="4">
        <f ca="1">IFERROR(__xludf.DUMMYFUNCTION("""COMPUTED_VALUE"""),4)</f>
        <v>4</v>
      </c>
      <c r="AB15" s="4">
        <f ca="1">IFERROR(__xludf.DUMMYFUNCTION("""COMPUTED_VALUE"""),5)</f>
        <v>5</v>
      </c>
      <c r="AC15" s="4">
        <f ca="1">IFERROR(__xludf.DUMMYFUNCTION("""COMPUTED_VALUE"""),5)</f>
        <v>5</v>
      </c>
      <c r="AD15" s="4">
        <f ca="1">IFERROR(__xludf.DUMMYFUNCTION("""COMPUTED_VALUE"""),4)</f>
        <v>4</v>
      </c>
      <c r="AE15" s="4">
        <f ca="1">IFERROR(__xludf.DUMMYFUNCTION("""COMPUTED_VALUE"""),5)</f>
        <v>5</v>
      </c>
      <c r="AF15" s="4">
        <f ca="1">IFERROR(__xludf.DUMMYFUNCTION("""COMPUTED_VALUE"""),3)</f>
        <v>3</v>
      </c>
      <c r="AG15" s="4">
        <f ca="1">IFERROR(__xludf.DUMMYFUNCTION("""COMPUTED_VALUE"""),4)</f>
        <v>4</v>
      </c>
      <c r="AH15" s="4">
        <f ca="1">IFERROR(__xludf.DUMMYFUNCTION("""COMPUTED_VALUE"""),4)</f>
        <v>4</v>
      </c>
      <c r="AI15" s="4">
        <f ca="1">IFERROR(__xludf.DUMMYFUNCTION("""COMPUTED_VALUE"""),3)</f>
        <v>3</v>
      </c>
      <c r="AJ15" s="4">
        <f ca="1">IFERROR(__xludf.DUMMYFUNCTION("""COMPUTED_VALUE"""),3)</f>
        <v>3</v>
      </c>
      <c r="AK15" s="4">
        <f ca="1">IFERROR(__xludf.DUMMYFUNCTION("""COMPUTED_VALUE"""),3)</f>
        <v>3</v>
      </c>
      <c r="AL15" s="4">
        <f ca="1">IFERROR(__xludf.DUMMYFUNCTION("""COMPUTED_VALUE"""),4)</f>
        <v>4</v>
      </c>
      <c r="AM15" s="4">
        <f ca="1">IFERROR(__xludf.DUMMYFUNCTION("""COMPUTED_VALUE"""),3)</f>
        <v>3</v>
      </c>
      <c r="AN15" s="4">
        <f ca="1">IFERROR(__xludf.DUMMYFUNCTION("""COMPUTED_VALUE"""),3)</f>
        <v>3</v>
      </c>
      <c r="AO15" s="4">
        <f ca="1">IFERROR(__xludf.DUMMYFUNCTION("""COMPUTED_VALUE"""),3)</f>
        <v>3</v>
      </c>
      <c r="AP15" s="4">
        <f ca="1">IFERROR(__xludf.DUMMYFUNCTION("""COMPUTED_VALUE"""),3)</f>
        <v>3</v>
      </c>
      <c r="AQ15" s="4">
        <f ca="1">IFERROR(__xludf.DUMMYFUNCTION("""COMPUTED_VALUE"""),3)</f>
        <v>3</v>
      </c>
      <c r="AR15" s="4">
        <f ca="1">IFERROR(__xludf.DUMMYFUNCTION("""COMPUTED_VALUE"""),3)</f>
        <v>3</v>
      </c>
      <c r="AS15" s="4">
        <f ca="1">IFERROR(__xludf.DUMMYFUNCTION("""COMPUTED_VALUE"""),3)</f>
        <v>3</v>
      </c>
      <c r="AT15" s="4">
        <f ca="1">IFERROR(__xludf.DUMMYFUNCTION("""COMPUTED_VALUE"""),3)</f>
        <v>3</v>
      </c>
      <c r="AU15" s="4">
        <f ca="1">IFERROR(__xludf.DUMMYFUNCTION("""COMPUTED_VALUE"""),3)</f>
        <v>3</v>
      </c>
      <c r="AV15" s="4">
        <f ca="1">IFERROR(__xludf.DUMMYFUNCTION("""COMPUTED_VALUE"""),3)</f>
        <v>3</v>
      </c>
      <c r="AW15" s="4">
        <f ca="1">IFERROR(__xludf.DUMMYFUNCTION("""COMPUTED_VALUE"""),3)</f>
        <v>3</v>
      </c>
      <c r="AX15" s="4">
        <f ca="1">IFERROR(__xludf.DUMMYFUNCTION("""COMPUTED_VALUE"""),4)</f>
        <v>4</v>
      </c>
      <c r="AY15" s="4">
        <f ca="1">IFERROR(__xludf.DUMMYFUNCTION("""COMPUTED_VALUE"""),4)</f>
        <v>4</v>
      </c>
      <c r="AZ15" s="4">
        <f ca="1">IFERROR(__xludf.DUMMYFUNCTION("""COMPUTED_VALUE"""),4)</f>
        <v>4</v>
      </c>
      <c r="BA15" s="4">
        <f ca="1">IFERROR(__xludf.DUMMYFUNCTION("""COMPUTED_VALUE"""),4)</f>
        <v>4</v>
      </c>
      <c r="BB15" s="4">
        <f ca="1">IFERROR(__xludf.DUMMYFUNCTION("""COMPUTED_VALUE"""),4)</f>
        <v>4</v>
      </c>
      <c r="BC15" s="4">
        <f ca="1">IFERROR(__xludf.DUMMYFUNCTION("""COMPUTED_VALUE"""),4)</f>
        <v>4</v>
      </c>
      <c r="BD15" s="4">
        <f ca="1">IFERROR(__xludf.DUMMYFUNCTION("""COMPUTED_VALUE"""),5)</f>
        <v>5</v>
      </c>
      <c r="BE15" s="4">
        <f ca="1">IFERROR(__xludf.DUMMYFUNCTION("""COMPUTED_VALUE"""),4)</f>
        <v>4</v>
      </c>
      <c r="BF15" s="4">
        <f ca="1">IFERROR(__xludf.DUMMYFUNCTION("""COMPUTED_VALUE"""),4)</f>
        <v>4</v>
      </c>
      <c r="BG15" s="4">
        <f ca="1">IFERROR(__xludf.DUMMYFUNCTION("""COMPUTED_VALUE"""),4)</f>
        <v>4</v>
      </c>
      <c r="BH15" s="4">
        <f ca="1">IFERROR(__xludf.DUMMYFUNCTION("""COMPUTED_VALUE"""),4)</f>
        <v>4</v>
      </c>
      <c r="BI15" s="4">
        <f ca="1">IFERROR(__xludf.DUMMYFUNCTION("""COMPUTED_VALUE"""),4)</f>
        <v>4</v>
      </c>
      <c r="BJ15" s="4">
        <f ca="1">IFERROR(__xludf.DUMMYFUNCTION("""COMPUTED_VALUE"""),4)</f>
        <v>4</v>
      </c>
      <c r="BK15" s="4">
        <f ca="1">IFERROR(__xludf.DUMMYFUNCTION("""COMPUTED_VALUE"""),5)</f>
        <v>5</v>
      </c>
      <c r="BL15" s="4">
        <f ca="1">IFERROR(__xludf.DUMMYFUNCTION("""COMPUTED_VALUE"""),4)</f>
        <v>4</v>
      </c>
      <c r="BM15" s="4">
        <f ca="1">IFERROR(__xludf.DUMMYFUNCTION("""COMPUTED_VALUE"""),4)</f>
        <v>4</v>
      </c>
      <c r="BN15" s="4">
        <f ca="1">IFERROR(__xludf.DUMMYFUNCTION("""COMPUTED_VALUE"""),5)</f>
        <v>5</v>
      </c>
      <c r="BO15" s="4">
        <f ca="1">IFERROR(__xludf.DUMMYFUNCTION("""COMPUTED_VALUE"""),4)</f>
        <v>4</v>
      </c>
      <c r="BP15" s="4">
        <f ca="1">IFERROR(__xludf.DUMMYFUNCTION("""COMPUTED_VALUE"""),4)</f>
        <v>4</v>
      </c>
    </row>
    <row r="16" spans="1:68" x14ac:dyDescent="0.25">
      <c r="A16" s="4" t="str">
        <f ca="1">IFERROR(__xludf.DUMMYFUNCTION("""COMPUTED_VALUE"""),"2_ABaOnuf8umykjX3xKyCdEvfO9mdjI3kFPlRIXL6oX_W6zvPuVplXB4f4wQYlOBKgXg")</f>
        <v>2_ABaOnuf8umykjX3xKyCdEvfO9mdjI3kFPlRIXL6oX_W6zvPuVplXB4f4wQYlOBKgXg</v>
      </c>
      <c r="B16" s="5">
        <f ca="1">IFERROR(__xludf.DUMMYFUNCTION("""COMPUTED_VALUE"""),45966.4876062037)</f>
        <v>45966.4876062037</v>
      </c>
      <c r="C16" s="4" t="str">
        <f ca="1">IFERROR(__xludf.DUMMYFUNCTION("""COMPUTED_VALUE"""),"Nguyễn Diệu Linh")</f>
        <v>Nguyễn Diệu Linh</v>
      </c>
      <c r="D16" s="4" t="str">
        <f ca="1">IFERROR(__xludf.DUMMYFUNCTION("""COMPUTED_VALUE"""),"Nữ")</f>
        <v>Nữ</v>
      </c>
      <c r="E16" s="4" t="str">
        <f ca="1">IFERROR(__xludf.DUMMYFUNCTION("""COMPUTED_VALUE"""),"Công ty TNHH Kiểm toán ES")</f>
        <v>Công ty TNHH Kiểm toán ES</v>
      </c>
      <c r="F16" s="4" t="str">
        <f ca="1">IFERROR(__xludf.DUMMYFUNCTION("""COMPUTED_VALUE"""),"Đại học")</f>
        <v>Đại học</v>
      </c>
      <c r="G16" s="4" t="str">
        <f ca="1">IFERROR(__xludf.DUMMYFUNCTION("""COMPUTED_VALUE"""),"Từ 3 đến 5 năm")</f>
        <v>Từ 3 đến 5 năm</v>
      </c>
      <c r="H16" s="4" t="str">
        <f ca="1">IFERROR(__xludf.DUMMYFUNCTION("""COMPUTED_VALUE"""),"Trợ lý kiểm toán")</f>
        <v>Trợ lý kiểm toán</v>
      </c>
      <c r="I16" s="4">
        <f ca="1">IFERROR(__xludf.DUMMYFUNCTION("""COMPUTED_VALUE"""),5)</f>
        <v>5</v>
      </c>
      <c r="J16" s="4">
        <f ca="1">IFERROR(__xludf.DUMMYFUNCTION("""COMPUTED_VALUE"""),4)</f>
        <v>4</v>
      </c>
      <c r="K16" s="4">
        <f ca="1">IFERROR(__xludf.DUMMYFUNCTION("""COMPUTED_VALUE"""),4)</f>
        <v>4</v>
      </c>
      <c r="L16" s="4">
        <f ca="1">IFERROR(__xludf.DUMMYFUNCTION("""COMPUTED_VALUE"""),3)</f>
        <v>3</v>
      </c>
      <c r="M16" s="4">
        <f ca="1">IFERROR(__xludf.DUMMYFUNCTION("""COMPUTED_VALUE"""),4)</f>
        <v>4</v>
      </c>
      <c r="N16" s="4">
        <f ca="1">IFERROR(__xludf.DUMMYFUNCTION("""COMPUTED_VALUE"""),3)</f>
        <v>3</v>
      </c>
      <c r="O16" s="4">
        <f ca="1">IFERROR(__xludf.DUMMYFUNCTION("""COMPUTED_VALUE"""),3)</f>
        <v>3</v>
      </c>
      <c r="P16" s="4">
        <f ca="1">IFERROR(__xludf.DUMMYFUNCTION("""COMPUTED_VALUE"""),5)</f>
        <v>5</v>
      </c>
      <c r="Q16" s="4">
        <f ca="1">IFERROR(__xludf.DUMMYFUNCTION("""COMPUTED_VALUE"""),5)</f>
        <v>5</v>
      </c>
      <c r="R16" s="4">
        <f ca="1">IFERROR(__xludf.DUMMYFUNCTION("""COMPUTED_VALUE"""),4)</f>
        <v>4</v>
      </c>
      <c r="S16" s="4">
        <f ca="1">IFERROR(__xludf.DUMMYFUNCTION("""COMPUTED_VALUE"""),4)</f>
        <v>4</v>
      </c>
      <c r="T16" s="4">
        <f ca="1">IFERROR(__xludf.DUMMYFUNCTION("""COMPUTED_VALUE"""),4)</f>
        <v>4</v>
      </c>
      <c r="U16" s="4">
        <f ca="1">IFERROR(__xludf.DUMMYFUNCTION("""COMPUTED_VALUE"""),4)</f>
        <v>4</v>
      </c>
      <c r="V16" s="4">
        <f ca="1">IFERROR(__xludf.DUMMYFUNCTION("""COMPUTED_VALUE"""),4)</f>
        <v>4</v>
      </c>
      <c r="W16" s="4">
        <f ca="1">IFERROR(__xludf.DUMMYFUNCTION("""COMPUTED_VALUE"""),4)</f>
        <v>4</v>
      </c>
      <c r="X16" s="4">
        <f ca="1">IFERROR(__xludf.DUMMYFUNCTION("""COMPUTED_VALUE"""),4)</f>
        <v>4</v>
      </c>
      <c r="Y16" s="4">
        <f ca="1">IFERROR(__xludf.DUMMYFUNCTION("""COMPUTED_VALUE"""),3)</f>
        <v>3</v>
      </c>
      <c r="Z16" s="4">
        <f ca="1">IFERROR(__xludf.DUMMYFUNCTION("""COMPUTED_VALUE"""),3)</f>
        <v>3</v>
      </c>
      <c r="AA16" s="4">
        <f ca="1">IFERROR(__xludf.DUMMYFUNCTION("""COMPUTED_VALUE"""),4)</f>
        <v>4</v>
      </c>
      <c r="AB16" s="4">
        <f ca="1">IFERROR(__xludf.DUMMYFUNCTION("""COMPUTED_VALUE"""),5)</f>
        <v>5</v>
      </c>
      <c r="AC16" s="4">
        <f ca="1">IFERROR(__xludf.DUMMYFUNCTION("""COMPUTED_VALUE"""),4)</f>
        <v>4</v>
      </c>
      <c r="AD16" s="4">
        <f ca="1">IFERROR(__xludf.DUMMYFUNCTION("""COMPUTED_VALUE"""),4)</f>
        <v>4</v>
      </c>
      <c r="AE16" s="4">
        <f ca="1">IFERROR(__xludf.DUMMYFUNCTION("""COMPUTED_VALUE"""),3)</f>
        <v>3</v>
      </c>
      <c r="AF16" s="4">
        <f ca="1">IFERROR(__xludf.DUMMYFUNCTION("""COMPUTED_VALUE"""),5)</f>
        <v>5</v>
      </c>
      <c r="AG16" s="4">
        <f ca="1">IFERROR(__xludf.DUMMYFUNCTION("""COMPUTED_VALUE"""),5)</f>
        <v>5</v>
      </c>
      <c r="AH16" s="4">
        <f ca="1">IFERROR(__xludf.DUMMYFUNCTION("""COMPUTED_VALUE"""),5)</f>
        <v>5</v>
      </c>
      <c r="AI16" s="4">
        <f ca="1">IFERROR(__xludf.DUMMYFUNCTION("""COMPUTED_VALUE"""),4)</f>
        <v>4</v>
      </c>
      <c r="AJ16" s="4">
        <f ca="1">IFERROR(__xludf.DUMMYFUNCTION("""COMPUTED_VALUE"""),5)</f>
        <v>5</v>
      </c>
      <c r="AK16" s="4">
        <f ca="1">IFERROR(__xludf.DUMMYFUNCTION("""COMPUTED_VALUE"""),5)</f>
        <v>5</v>
      </c>
      <c r="AL16" s="4">
        <f ca="1">IFERROR(__xludf.DUMMYFUNCTION("""COMPUTED_VALUE"""),5)</f>
        <v>5</v>
      </c>
      <c r="AM16" s="4">
        <f ca="1">IFERROR(__xludf.DUMMYFUNCTION("""COMPUTED_VALUE"""),5)</f>
        <v>5</v>
      </c>
      <c r="AN16" s="4">
        <f ca="1">IFERROR(__xludf.DUMMYFUNCTION("""COMPUTED_VALUE"""),5)</f>
        <v>5</v>
      </c>
      <c r="AO16" s="4">
        <f ca="1">IFERROR(__xludf.DUMMYFUNCTION("""COMPUTED_VALUE"""),4)</f>
        <v>4</v>
      </c>
      <c r="AP16" s="4">
        <f ca="1">IFERROR(__xludf.DUMMYFUNCTION("""COMPUTED_VALUE"""),4)</f>
        <v>4</v>
      </c>
      <c r="AQ16" s="4">
        <f ca="1">IFERROR(__xludf.DUMMYFUNCTION("""COMPUTED_VALUE"""),4)</f>
        <v>4</v>
      </c>
      <c r="AR16" s="4">
        <f ca="1">IFERROR(__xludf.DUMMYFUNCTION("""COMPUTED_VALUE"""),4)</f>
        <v>4</v>
      </c>
      <c r="AS16" s="4">
        <f ca="1">IFERROR(__xludf.DUMMYFUNCTION("""COMPUTED_VALUE"""),4)</f>
        <v>4</v>
      </c>
      <c r="AT16" s="4">
        <f ca="1">IFERROR(__xludf.DUMMYFUNCTION("""COMPUTED_VALUE"""),4)</f>
        <v>4</v>
      </c>
      <c r="AU16" s="4">
        <f ca="1">IFERROR(__xludf.DUMMYFUNCTION("""COMPUTED_VALUE"""),4)</f>
        <v>4</v>
      </c>
      <c r="AV16" s="4">
        <f ca="1">IFERROR(__xludf.DUMMYFUNCTION("""COMPUTED_VALUE"""),4)</f>
        <v>4</v>
      </c>
      <c r="AW16" s="4">
        <f ca="1">IFERROR(__xludf.DUMMYFUNCTION("""COMPUTED_VALUE"""),4)</f>
        <v>4</v>
      </c>
      <c r="AX16" s="4">
        <f ca="1">IFERROR(__xludf.DUMMYFUNCTION("""COMPUTED_VALUE"""),5)</f>
        <v>5</v>
      </c>
      <c r="AY16" s="4">
        <f ca="1">IFERROR(__xludf.DUMMYFUNCTION("""COMPUTED_VALUE"""),4)</f>
        <v>4</v>
      </c>
      <c r="AZ16" s="4">
        <f ca="1">IFERROR(__xludf.DUMMYFUNCTION("""COMPUTED_VALUE"""),4)</f>
        <v>4</v>
      </c>
      <c r="BA16" s="4">
        <f ca="1">IFERROR(__xludf.DUMMYFUNCTION("""COMPUTED_VALUE"""),5)</f>
        <v>5</v>
      </c>
      <c r="BB16" s="4">
        <f ca="1">IFERROR(__xludf.DUMMYFUNCTION("""COMPUTED_VALUE"""),4)</f>
        <v>4</v>
      </c>
      <c r="BC16" s="4">
        <f ca="1">IFERROR(__xludf.DUMMYFUNCTION("""COMPUTED_VALUE"""),3)</f>
        <v>3</v>
      </c>
      <c r="BD16" s="4">
        <f ca="1">IFERROR(__xludf.DUMMYFUNCTION("""COMPUTED_VALUE"""),4)</f>
        <v>4</v>
      </c>
      <c r="BE16" s="4">
        <f ca="1">IFERROR(__xludf.DUMMYFUNCTION("""COMPUTED_VALUE"""),3)</f>
        <v>3</v>
      </c>
      <c r="BF16" s="4">
        <f ca="1">IFERROR(__xludf.DUMMYFUNCTION("""COMPUTED_VALUE"""),4)</f>
        <v>4</v>
      </c>
      <c r="BG16" s="4">
        <f ca="1">IFERROR(__xludf.DUMMYFUNCTION("""COMPUTED_VALUE"""),4)</f>
        <v>4</v>
      </c>
      <c r="BH16" s="4">
        <f ca="1">IFERROR(__xludf.DUMMYFUNCTION("""COMPUTED_VALUE"""),4)</f>
        <v>4</v>
      </c>
      <c r="BI16" s="4">
        <f ca="1">IFERROR(__xludf.DUMMYFUNCTION("""COMPUTED_VALUE"""),4)</f>
        <v>4</v>
      </c>
      <c r="BJ16" s="4">
        <f ca="1">IFERROR(__xludf.DUMMYFUNCTION("""COMPUTED_VALUE"""),4)</f>
        <v>4</v>
      </c>
      <c r="BK16" s="4">
        <f ca="1">IFERROR(__xludf.DUMMYFUNCTION("""COMPUTED_VALUE"""),4)</f>
        <v>4</v>
      </c>
      <c r="BL16" s="4">
        <f ca="1">IFERROR(__xludf.DUMMYFUNCTION("""COMPUTED_VALUE"""),4)</f>
        <v>4</v>
      </c>
      <c r="BM16" s="4">
        <f ca="1">IFERROR(__xludf.DUMMYFUNCTION("""COMPUTED_VALUE"""),4)</f>
        <v>4</v>
      </c>
      <c r="BN16" s="4">
        <f ca="1">IFERROR(__xludf.DUMMYFUNCTION("""COMPUTED_VALUE"""),4)</f>
        <v>4</v>
      </c>
      <c r="BO16" s="4">
        <f ca="1">IFERROR(__xludf.DUMMYFUNCTION("""COMPUTED_VALUE"""),4)</f>
        <v>4</v>
      </c>
      <c r="BP16" s="4">
        <f ca="1">IFERROR(__xludf.DUMMYFUNCTION("""COMPUTED_VALUE"""),4)</f>
        <v>4</v>
      </c>
    </row>
    <row r="17" spans="1:68" x14ac:dyDescent="0.25">
      <c r="A17" s="4" t="str">
        <f ca="1">IFERROR(__xludf.DUMMYFUNCTION("""COMPUTED_VALUE"""),"2_ABaOnueTmIvQgiczgKIimUWGVsZXjQ_rmP4xYtdvyPeUuAmgho-sL5t96YeQtL0UhA")</f>
        <v>2_ABaOnueTmIvQgiczgKIimUWGVsZXjQ_rmP4xYtdvyPeUuAmgho-sL5t96YeQtL0UhA</v>
      </c>
      <c r="B17" s="5">
        <f ca="1">IFERROR(__xludf.DUMMYFUNCTION("""COMPUTED_VALUE"""),45966.4897904282)</f>
        <v>45966.489790428197</v>
      </c>
      <c r="C17" s="4" t="str">
        <f ca="1">IFERROR(__xludf.DUMMYFUNCTION("""COMPUTED_VALUE"""),"Lê Văn Trắng")</f>
        <v>Lê Văn Trắng</v>
      </c>
      <c r="D17" s="4" t="str">
        <f ca="1">IFERROR(__xludf.DUMMYFUNCTION("""COMPUTED_VALUE"""),"Nam")</f>
        <v>Nam</v>
      </c>
      <c r="E17" s="4" t="str">
        <f ca="1">IFERROR(__xludf.DUMMYFUNCTION("""COMPUTED_VALUE"""),"Công Ty TNHH Kiểm Toán I.T.O")</f>
        <v>Công Ty TNHH Kiểm Toán I.T.O</v>
      </c>
      <c r="F17" s="4" t="str">
        <f ca="1">IFERROR(__xludf.DUMMYFUNCTION("""COMPUTED_VALUE"""),"Đại học, Chứng chỉ Kiểm toán viên")</f>
        <v>Đại học, Chứng chỉ Kiểm toán viên</v>
      </c>
      <c r="G17" s="4" t="str">
        <f ca="1">IFERROR(__xludf.DUMMYFUNCTION("""COMPUTED_VALUE"""),"Trên 20 năm")</f>
        <v>Trên 20 năm</v>
      </c>
      <c r="H17" s="4" t="str">
        <f ca="1">IFERROR(__xludf.DUMMYFUNCTION("""COMPUTED_VALUE"""),"Ban giám đốc")</f>
        <v>Ban giám đốc</v>
      </c>
      <c r="I17" s="4">
        <f ca="1">IFERROR(__xludf.DUMMYFUNCTION("""COMPUTED_VALUE"""),5)</f>
        <v>5</v>
      </c>
      <c r="J17" s="4">
        <f ca="1">IFERROR(__xludf.DUMMYFUNCTION("""COMPUTED_VALUE"""),5)</f>
        <v>5</v>
      </c>
      <c r="K17" s="4">
        <f ca="1">IFERROR(__xludf.DUMMYFUNCTION("""COMPUTED_VALUE"""),5)</f>
        <v>5</v>
      </c>
      <c r="L17" s="4">
        <f ca="1">IFERROR(__xludf.DUMMYFUNCTION("""COMPUTED_VALUE"""),5)</f>
        <v>5</v>
      </c>
      <c r="M17" s="4">
        <f ca="1">IFERROR(__xludf.DUMMYFUNCTION("""COMPUTED_VALUE"""),5)</f>
        <v>5</v>
      </c>
      <c r="N17" s="4">
        <f ca="1">IFERROR(__xludf.DUMMYFUNCTION("""COMPUTED_VALUE"""),5)</f>
        <v>5</v>
      </c>
      <c r="O17" s="4">
        <f ca="1">IFERROR(__xludf.DUMMYFUNCTION("""COMPUTED_VALUE"""),5)</f>
        <v>5</v>
      </c>
      <c r="P17" s="4">
        <f ca="1">IFERROR(__xludf.DUMMYFUNCTION("""COMPUTED_VALUE"""),5)</f>
        <v>5</v>
      </c>
      <c r="Q17" s="4">
        <f ca="1">IFERROR(__xludf.DUMMYFUNCTION("""COMPUTED_VALUE"""),5)</f>
        <v>5</v>
      </c>
      <c r="R17" s="4">
        <f ca="1">IFERROR(__xludf.DUMMYFUNCTION("""COMPUTED_VALUE"""),5)</f>
        <v>5</v>
      </c>
      <c r="S17" s="4">
        <f ca="1">IFERROR(__xludf.DUMMYFUNCTION("""COMPUTED_VALUE"""),5)</f>
        <v>5</v>
      </c>
      <c r="T17" s="4">
        <f ca="1">IFERROR(__xludf.DUMMYFUNCTION("""COMPUTED_VALUE"""),5)</f>
        <v>5</v>
      </c>
      <c r="U17" s="4">
        <f ca="1">IFERROR(__xludf.DUMMYFUNCTION("""COMPUTED_VALUE"""),4)</f>
        <v>4</v>
      </c>
      <c r="V17" s="4">
        <f ca="1">IFERROR(__xludf.DUMMYFUNCTION("""COMPUTED_VALUE"""),5)</f>
        <v>5</v>
      </c>
      <c r="W17" s="4">
        <f ca="1">IFERROR(__xludf.DUMMYFUNCTION("""COMPUTED_VALUE"""),5)</f>
        <v>5</v>
      </c>
      <c r="X17" s="4">
        <f ca="1">IFERROR(__xludf.DUMMYFUNCTION("""COMPUTED_VALUE"""),5)</f>
        <v>5</v>
      </c>
      <c r="Y17" s="4">
        <f ca="1">IFERROR(__xludf.DUMMYFUNCTION("""COMPUTED_VALUE"""),5)</f>
        <v>5</v>
      </c>
      <c r="Z17" s="4">
        <f ca="1">IFERROR(__xludf.DUMMYFUNCTION("""COMPUTED_VALUE"""),5)</f>
        <v>5</v>
      </c>
      <c r="AA17" s="4">
        <f ca="1">IFERROR(__xludf.DUMMYFUNCTION("""COMPUTED_VALUE"""),5)</f>
        <v>5</v>
      </c>
      <c r="AB17" s="4">
        <f ca="1">IFERROR(__xludf.DUMMYFUNCTION("""COMPUTED_VALUE"""),5)</f>
        <v>5</v>
      </c>
      <c r="AC17" s="4">
        <f ca="1">IFERROR(__xludf.DUMMYFUNCTION("""COMPUTED_VALUE"""),5)</f>
        <v>5</v>
      </c>
      <c r="AD17" s="4">
        <f ca="1">IFERROR(__xludf.DUMMYFUNCTION("""COMPUTED_VALUE"""),5)</f>
        <v>5</v>
      </c>
      <c r="AE17" s="4">
        <f ca="1">IFERROR(__xludf.DUMMYFUNCTION("""COMPUTED_VALUE"""),5)</f>
        <v>5</v>
      </c>
      <c r="AF17" s="4">
        <f ca="1">IFERROR(__xludf.DUMMYFUNCTION("""COMPUTED_VALUE"""),5)</f>
        <v>5</v>
      </c>
      <c r="AG17" s="4">
        <f ca="1">IFERROR(__xludf.DUMMYFUNCTION("""COMPUTED_VALUE"""),5)</f>
        <v>5</v>
      </c>
      <c r="AH17" s="4">
        <f ca="1">IFERROR(__xludf.DUMMYFUNCTION("""COMPUTED_VALUE"""),5)</f>
        <v>5</v>
      </c>
      <c r="AI17" s="4">
        <f ca="1">IFERROR(__xludf.DUMMYFUNCTION("""COMPUTED_VALUE"""),5)</f>
        <v>5</v>
      </c>
      <c r="AJ17" s="4">
        <f ca="1">IFERROR(__xludf.DUMMYFUNCTION("""COMPUTED_VALUE"""),5)</f>
        <v>5</v>
      </c>
      <c r="AK17" s="4">
        <f ca="1">IFERROR(__xludf.DUMMYFUNCTION("""COMPUTED_VALUE"""),5)</f>
        <v>5</v>
      </c>
      <c r="AL17" s="4">
        <f ca="1">IFERROR(__xludf.DUMMYFUNCTION("""COMPUTED_VALUE"""),5)</f>
        <v>5</v>
      </c>
      <c r="AM17" s="4">
        <f ca="1">IFERROR(__xludf.DUMMYFUNCTION("""COMPUTED_VALUE"""),5)</f>
        <v>5</v>
      </c>
      <c r="AN17" s="4">
        <f ca="1">IFERROR(__xludf.DUMMYFUNCTION("""COMPUTED_VALUE"""),5)</f>
        <v>5</v>
      </c>
      <c r="AO17" s="4">
        <f ca="1">IFERROR(__xludf.DUMMYFUNCTION("""COMPUTED_VALUE"""),5)</f>
        <v>5</v>
      </c>
      <c r="AP17" s="4">
        <f ca="1">IFERROR(__xludf.DUMMYFUNCTION("""COMPUTED_VALUE"""),4)</f>
        <v>4</v>
      </c>
      <c r="AQ17" s="4">
        <f ca="1">IFERROR(__xludf.DUMMYFUNCTION("""COMPUTED_VALUE"""),5)</f>
        <v>5</v>
      </c>
      <c r="AR17" s="4">
        <f ca="1">IFERROR(__xludf.DUMMYFUNCTION("""COMPUTED_VALUE"""),5)</f>
        <v>5</v>
      </c>
      <c r="AS17" s="4">
        <f ca="1">IFERROR(__xludf.DUMMYFUNCTION("""COMPUTED_VALUE"""),5)</f>
        <v>5</v>
      </c>
      <c r="AT17" s="4">
        <f ca="1">IFERROR(__xludf.DUMMYFUNCTION("""COMPUTED_VALUE"""),5)</f>
        <v>5</v>
      </c>
      <c r="AU17" s="4">
        <f ca="1">IFERROR(__xludf.DUMMYFUNCTION("""COMPUTED_VALUE"""),5)</f>
        <v>5</v>
      </c>
      <c r="AV17" s="4">
        <f ca="1">IFERROR(__xludf.DUMMYFUNCTION("""COMPUTED_VALUE"""),5)</f>
        <v>5</v>
      </c>
      <c r="AW17" s="4">
        <f ca="1">IFERROR(__xludf.DUMMYFUNCTION("""COMPUTED_VALUE"""),5)</f>
        <v>5</v>
      </c>
      <c r="AX17" s="4">
        <f ca="1">IFERROR(__xludf.DUMMYFUNCTION("""COMPUTED_VALUE"""),5)</f>
        <v>5</v>
      </c>
      <c r="AY17" s="4">
        <f ca="1">IFERROR(__xludf.DUMMYFUNCTION("""COMPUTED_VALUE"""),5)</f>
        <v>5</v>
      </c>
      <c r="AZ17" s="4">
        <f ca="1">IFERROR(__xludf.DUMMYFUNCTION("""COMPUTED_VALUE"""),5)</f>
        <v>5</v>
      </c>
      <c r="BA17" s="4">
        <f ca="1">IFERROR(__xludf.DUMMYFUNCTION("""COMPUTED_VALUE"""),5)</f>
        <v>5</v>
      </c>
      <c r="BB17" s="4">
        <f ca="1">IFERROR(__xludf.DUMMYFUNCTION("""COMPUTED_VALUE"""),5)</f>
        <v>5</v>
      </c>
      <c r="BC17" s="4">
        <f ca="1">IFERROR(__xludf.DUMMYFUNCTION("""COMPUTED_VALUE"""),5)</f>
        <v>5</v>
      </c>
      <c r="BD17" s="4">
        <f ca="1">IFERROR(__xludf.DUMMYFUNCTION("""COMPUTED_VALUE"""),5)</f>
        <v>5</v>
      </c>
      <c r="BE17" s="4">
        <f ca="1">IFERROR(__xludf.DUMMYFUNCTION("""COMPUTED_VALUE"""),5)</f>
        <v>5</v>
      </c>
      <c r="BF17" s="4">
        <f ca="1">IFERROR(__xludf.DUMMYFUNCTION("""COMPUTED_VALUE"""),5)</f>
        <v>5</v>
      </c>
      <c r="BG17" s="4">
        <f ca="1">IFERROR(__xludf.DUMMYFUNCTION("""COMPUTED_VALUE"""),5)</f>
        <v>5</v>
      </c>
      <c r="BH17" s="4">
        <f ca="1">IFERROR(__xludf.DUMMYFUNCTION("""COMPUTED_VALUE"""),5)</f>
        <v>5</v>
      </c>
      <c r="BI17" s="4">
        <f ca="1">IFERROR(__xludf.DUMMYFUNCTION("""COMPUTED_VALUE"""),5)</f>
        <v>5</v>
      </c>
      <c r="BJ17" s="4">
        <f ca="1">IFERROR(__xludf.DUMMYFUNCTION("""COMPUTED_VALUE"""),5)</f>
        <v>5</v>
      </c>
      <c r="BK17" s="4">
        <f ca="1">IFERROR(__xludf.DUMMYFUNCTION("""COMPUTED_VALUE"""),5)</f>
        <v>5</v>
      </c>
      <c r="BL17" s="4">
        <f ca="1">IFERROR(__xludf.DUMMYFUNCTION("""COMPUTED_VALUE"""),5)</f>
        <v>5</v>
      </c>
      <c r="BM17" s="4">
        <f ca="1">IFERROR(__xludf.DUMMYFUNCTION("""COMPUTED_VALUE"""),5)</f>
        <v>5</v>
      </c>
      <c r="BN17" s="4">
        <f ca="1">IFERROR(__xludf.DUMMYFUNCTION("""COMPUTED_VALUE"""),5)</f>
        <v>5</v>
      </c>
      <c r="BO17" s="4">
        <f ca="1">IFERROR(__xludf.DUMMYFUNCTION("""COMPUTED_VALUE"""),5)</f>
        <v>5</v>
      </c>
      <c r="BP17" s="4">
        <f ca="1">IFERROR(__xludf.DUMMYFUNCTION("""COMPUTED_VALUE"""),5)</f>
        <v>5</v>
      </c>
    </row>
    <row r="18" spans="1:68" x14ac:dyDescent="0.25">
      <c r="A18" s="4" t="str">
        <f ca="1">IFERROR(__xludf.DUMMYFUNCTION("""COMPUTED_VALUE"""),"2_ABaOnue-W7z73JeXe-cl8xw4JtbJ_mEOZP3t4QhU2hdFfeLirWhum17UDIxe6a9dfQ")</f>
        <v>2_ABaOnue-W7z73JeXe-cl8xw4JtbJ_mEOZP3t4QhU2hdFfeLirWhum17UDIxe6a9dfQ</v>
      </c>
      <c r="B18" s="5">
        <f ca="1">IFERROR(__xludf.DUMMYFUNCTION("""COMPUTED_VALUE"""),45966.5004527314)</f>
        <v>45966.500452731401</v>
      </c>
      <c r="C18" s="4" t="str">
        <f ca="1">IFERROR(__xludf.DUMMYFUNCTION("""COMPUTED_VALUE"""),"Đỗ Hoàng Mai Hương")</f>
        <v>Đỗ Hoàng Mai Hương</v>
      </c>
      <c r="D18" s="4" t="str">
        <f ca="1">IFERROR(__xludf.DUMMYFUNCTION("""COMPUTED_VALUE"""),"Nữ")</f>
        <v>Nữ</v>
      </c>
      <c r="E18" s="4" t="str">
        <f ca="1">IFERROR(__xludf.DUMMYFUNCTION("""COMPUTED_VALUE"""),"Công ty TNHH Kiểm toán ES")</f>
        <v>Công ty TNHH Kiểm toán ES</v>
      </c>
      <c r="F18" s="4" t="str">
        <f ca="1">IFERROR(__xludf.DUMMYFUNCTION("""COMPUTED_VALUE"""),"Đại học")</f>
        <v>Đại học</v>
      </c>
      <c r="G18" s="4" t="str">
        <f ca="1">IFERROR(__xludf.DUMMYFUNCTION("""COMPUTED_VALUE"""),"Từ 3 đến 5 năm")</f>
        <v>Từ 3 đến 5 năm</v>
      </c>
      <c r="H18" s="4" t="str">
        <f ca="1">IFERROR(__xludf.DUMMYFUNCTION("""COMPUTED_VALUE"""),"Trợ lý kiểm toán")</f>
        <v>Trợ lý kiểm toán</v>
      </c>
      <c r="I18" s="4">
        <f ca="1">IFERROR(__xludf.DUMMYFUNCTION("""COMPUTED_VALUE"""),5)</f>
        <v>5</v>
      </c>
      <c r="J18" s="4">
        <f ca="1">IFERROR(__xludf.DUMMYFUNCTION("""COMPUTED_VALUE"""),5)</f>
        <v>5</v>
      </c>
      <c r="K18" s="4">
        <f ca="1">IFERROR(__xludf.DUMMYFUNCTION("""COMPUTED_VALUE"""),5)</f>
        <v>5</v>
      </c>
      <c r="L18" s="4">
        <f ca="1">IFERROR(__xludf.DUMMYFUNCTION("""COMPUTED_VALUE"""),5)</f>
        <v>5</v>
      </c>
      <c r="M18" s="4">
        <f ca="1">IFERROR(__xludf.DUMMYFUNCTION("""COMPUTED_VALUE"""),5)</f>
        <v>5</v>
      </c>
      <c r="N18" s="4">
        <f ca="1">IFERROR(__xludf.DUMMYFUNCTION("""COMPUTED_VALUE"""),4)</f>
        <v>4</v>
      </c>
      <c r="O18" s="4">
        <f ca="1">IFERROR(__xludf.DUMMYFUNCTION("""COMPUTED_VALUE"""),4)</f>
        <v>4</v>
      </c>
      <c r="P18" s="4">
        <f ca="1">IFERROR(__xludf.DUMMYFUNCTION("""COMPUTED_VALUE"""),4)</f>
        <v>4</v>
      </c>
      <c r="Q18" s="4">
        <f ca="1">IFERROR(__xludf.DUMMYFUNCTION("""COMPUTED_VALUE"""),4)</f>
        <v>4</v>
      </c>
      <c r="R18" s="4">
        <f ca="1">IFERROR(__xludf.DUMMYFUNCTION("""COMPUTED_VALUE"""),3)</f>
        <v>3</v>
      </c>
      <c r="S18" s="4">
        <f ca="1">IFERROR(__xludf.DUMMYFUNCTION("""COMPUTED_VALUE"""),4)</f>
        <v>4</v>
      </c>
      <c r="T18" s="4">
        <f ca="1">IFERROR(__xludf.DUMMYFUNCTION("""COMPUTED_VALUE"""),4)</f>
        <v>4</v>
      </c>
      <c r="U18" s="4">
        <f ca="1">IFERROR(__xludf.DUMMYFUNCTION("""COMPUTED_VALUE"""),4)</f>
        <v>4</v>
      </c>
      <c r="V18" s="4">
        <f ca="1">IFERROR(__xludf.DUMMYFUNCTION("""COMPUTED_VALUE"""),4)</f>
        <v>4</v>
      </c>
      <c r="W18" s="4">
        <f ca="1">IFERROR(__xludf.DUMMYFUNCTION("""COMPUTED_VALUE"""),4)</f>
        <v>4</v>
      </c>
      <c r="X18" s="4">
        <f ca="1">IFERROR(__xludf.DUMMYFUNCTION("""COMPUTED_VALUE"""),4)</f>
        <v>4</v>
      </c>
      <c r="Y18" s="4">
        <f ca="1">IFERROR(__xludf.DUMMYFUNCTION("""COMPUTED_VALUE"""),4)</f>
        <v>4</v>
      </c>
      <c r="Z18" s="4">
        <f ca="1">IFERROR(__xludf.DUMMYFUNCTION("""COMPUTED_VALUE"""),4)</f>
        <v>4</v>
      </c>
      <c r="AA18" s="4">
        <f ca="1">IFERROR(__xludf.DUMMYFUNCTION("""COMPUTED_VALUE"""),4)</f>
        <v>4</v>
      </c>
      <c r="AB18" s="4">
        <f ca="1">IFERROR(__xludf.DUMMYFUNCTION("""COMPUTED_VALUE"""),5)</f>
        <v>5</v>
      </c>
      <c r="AC18" s="4">
        <f ca="1">IFERROR(__xludf.DUMMYFUNCTION("""COMPUTED_VALUE"""),5)</f>
        <v>5</v>
      </c>
      <c r="AD18" s="4">
        <f ca="1">IFERROR(__xludf.DUMMYFUNCTION("""COMPUTED_VALUE"""),5)</f>
        <v>5</v>
      </c>
      <c r="AE18" s="4">
        <f ca="1">IFERROR(__xludf.DUMMYFUNCTION("""COMPUTED_VALUE"""),5)</f>
        <v>5</v>
      </c>
      <c r="AF18" s="4">
        <f ca="1">IFERROR(__xludf.DUMMYFUNCTION("""COMPUTED_VALUE"""),4)</f>
        <v>4</v>
      </c>
      <c r="AG18" s="4">
        <f ca="1">IFERROR(__xludf.DUMMYFUNCTION("""COMPUTED_VALUE"""),4)</f>
        <v>4</v>
      </c>
      <c r="AH18" s="4">
        <f ca="1">IFERROR(__xludf.DUMMYFUNCTION("""COMPUTED_VALUE"""),4)</f>
        <v>4</v>
      </c>
      <c r="AI18" s="4">
        <f ca="1">IFERROR(__xludf.DUMMYFUNCTION("""COMPUTED_VALUE"""),4)</f>
        <v>4</v>
      </c>
      <c r="AJ18" s="4">
        <f ca="1">IFERROR(__xludf.DUMMYFUNCTION("""COMPUTED_VALUE"""),4)</f>
        <v>4</v>
      </c>
      <c r="AK18" s="4">
        <f ca="1">IFERROR(__xludf.DUMMYFUNCTION("""COMPUTED_VALUE"""),4)</f>
        <v>4</v>
      </c>
      <c r="AL18" s="4">
        <f ca="1">IFERROR(__xludf.DUMMYFUNCTION("""COMPUTED_VALUE"""),4)</f>
        <v>4</v>
      </c>
      <c r="AM18" s="4">
        <f ca="1">IFERROR(__xludf.DUMMYFUNCTION("""COMPUTED_VALUE"""),4)</f>
        <v>4</v>
      </c>
      <c r="AN18" s="4">
        <f ca="1">IFERROR(__xludf.DUMMYFUNCTION("""COMPUTED_VALUE"""),4)</f>
        <v>4</v>
      </c>
      <c r="AO18" s="4">
        <f ca="1">IFERROR(__xludf.DUMMYFUNCTION("""COMPUTED_VALUE"""),4)</f>
        <v>4</v>
      </c>
      <c r="AP18" s="4">
        <f ca="1">IFERROR(__xludf.DUMMYFUNCTION("""COMPUTED_VALUE"""),4)</f>
        <v>4</v>
      </c>
      <c r="AQ18" s="4">
        <f ca="1">IFERROR(__xludf.DUMMYFUNCTION("""COMPUTED_VALUE"""),4)</f>
        <v>4</v>
      </c>
      <c r="AR18" s="4">
        <f ca="1">IFERROR(__xludf.DUMMYFUNCTION("""COMPUTED_VALUE"""),4)</f>
        <v>4</v>
      </c>
      <c r="AS18" s="4">
        <f ca="1">IFERROR(__xludf.DUMMYFUNCTION("""COMPUTED_VALUE"""),4)</f>
        <v>4</v>
      </c>
      <c r="AT18" s="4">
        <f ca="1">IFERROR(__xludf.DUMMYFUNCTION("""COMPUTED_VALUE"""),4)</f>
        <v>4</v>
      </c>
      <c r="AU18" s="4">
        <f ca="1">IFERROR(__xludf.DUMMYFUNCTION("""COMPUTED_VALUE"""),3)</f>
        <v>3</v>
      </c>
      <c r="AV18" s="4">
        <f ca="1">IFERROR(__xludf.DUMMYFUNCTION("""COMPUTED_VALUE"""),3)</f>
        <v>3</v>
      </c>
      <c r="AW18" s="4">
        <f ca="1">IFERROR(__xludf.DUMMYFUNCTION("""COMPUTED_VALUE"""),3)</f>
        <v>3</v>
      </c>
      <c r="AX18" s="4">
        <f ca="1">IFERROR(__xludf.DUMMYFUNCTION("""COMPUTED_VALUE"""),4)</f>
        <v>4</v>
      </c>
      <c r="AY18" s="4">
        <f ca="1">IFERROR(__xludf.DUMMYFUNCTION("""COMPUTED_VALUE"""),4)</f>
        <v>4</v>
      </c>
      <c r="AZ18" s="4">
        <f ca="1">IFERROR(__xludf.DUMMYFUNCTION("""COMPUTED_VALUE"""),4)</f>
        <v>4</v>
      </c>
      <c r="BA18" s="4">
        <f ca="1">IFERROR(__xludf.DUMMYFUNCTION("""COMPUTED_VALUE"""),4)</f>
        <v>4</v>
      </c>
      <c r="BB18" s="4">
        <f ca="1">IFERROR(__xludf.DUMMYFUNCTION("""COMPUTED_VALUE"""),4)</f>
        <v>4</v>
      </c>
      <c r="BC18" s="4">
        <f ca="1">IFERROR(__xludf.DUMMYFUNCTION("""COMPUTED_VALUE"""),4)</f>
        <v>4</v>
      </c>
      <c r="BD18" s="4">
        <f ca="1">IFERROR(__xludf.DUMMYFUNCTION("""COMPUTED_VALUE"""),3)</f>
        <v>3</v>
      </c>
      <c r="BE18" s="4">
        <f ca="1">IFERROR(__xludf.DUMMYFUNCTION("""COMPUTED_VALUE"""),3)</f>
        <v>3</v>
      </c>
      <c r="BF18" s="4">
        <f ca="1">IFERROR(__xludf.DUMMYFUNCTION("""COMPUTED_VALUE"""),3)</f>
        <v>3</v>
      </c>
      <c r="BG18" s="4">
        <f ca="1">IFERROR(__xludf.DUMMYFUNCTION("""COMPUTED_VALUE"""),3)</f>
        <v>3</v>
      </c>
      <c r="BH18" s="4">
        <f ca="1">IFERROR(__xludf.DUMMYFUNCTION("""COMPUTED_VALUE"""),4)</f>
        <v>4</v>
      </c>
      <c r="BI18" s="4">
        <f ca="1">IFERROR(__xludf.DUMMYFUNCTION("""COMPUTED_VALUE"""),4)</f>
        <v>4</v>
      </c>
      <c r="BJ18" s="4">
        <f ca="1">IFERROR(__xludf.DUMMYFUNCTION("""COMPUTED_VALUE"""),4)</f>
        <v>4</v>
      </c>
      <c r="BK18" s="4">
        <f ca="1">IFERROR(__xludf.DUMMYFUNCTION("""COMPUTED_VALUE"""),4)</f>
        <v>4</v>
      </c>
      <c r="BL18" s="4">
        <f ca="1">IFERROR(__xludf.DUMMYFUNCTION("""COMPUTED_VALUE"""),4)</f>
        <v>4</v>
      </c>
      <c r="BM18" s="4">
        <f ca="1">IFERROR(__xludf.DUMMYFUNCTION("""COMPUTED_VALUE"""),4)</f>
        <v>4</v>
      </c>
      <c r="BN18" s="4">
        <f ca="1">IFERROR(__xludf.DUMMYFUNCTION("""COMPUTED_VALUE"""),4)</f>
        <v>4</v>
      </c>
      <c r="BO18" s="4">
        <f ca="1">IFERROR(__xludf.DUMMYFUNCTION("""COMPUTED_VALUE"""),5)</f>
        <v>5</v>
      </c>
      <c r="BP18" s="4">
        <f ca="1">IFERROR(__xludf.DUMMYFUNCTION("""COMPUTED_VALUE"""),4)</f>
        <v>4</v>
      </c>
    </row>
    <row r="19" spans="1:68" x14ac:dyDescent="0.25">
      <c r="A19" s="4" t="str">
        <f ca="1">IFERROR(__xludf.DUMMYFUNCTION("""COMPUTED_VALUE"""),"2_ABaOnueudbFrT36reFmevD8yYmGeTIv_IfTX4oOFzjndbFn_A6EPKb00Ts0d2yJbvQ")</f>
        <v>2_ABaOnueudbFrT36reFmevD8yYmGeTIv_IfTX4oOFzjndbFn_A6EPKb00Ts0d2yJbvQ</v>
      </c>
      <c r="B19" s="5">
        <f ca="1">IFERROR(__xludf.DUMMYFUNCTION("""COMPUTED_VALUE"""),45966.5050320601)</f>
        <v>45966.5050320601</v>
      </c>
      <c r="C19" s="4" t="str">
        <f ca="1">IFERROR(__xludf.DUMMYFUNCTION("""COMPUTED_VALUE"""),"Lê Thị Cẩm")</f>
        <v>Lê Thị Cẩm</v>
      </c>
      <c r="D19" s="4" t="str">
        <f ca="1">IFERROR(__xludf.DUMMYFUNCTION("""COMPUTED_VALUE"""),"Nữ")</f>
        <v>Nữ</v>
      </c>
      <c r="E19" s="4" t="str">
        <f ca="1">IFERROR(__xludf.DUMMYFUNCTION("""COMPUTED_VALUE"""),"Công ty TNHH Kiểm toán và Tư vấn Chuẩn Việt")</f>
        <v>Công ty TNHH Kiểm toán và Tư vấn Chuẩn Việt</v>
      </c>
      <c r="F19" s="4" t="str">
        <f ca="1">IFERROR(__xludf.DUMMYFUNCTION("""COMPUTED_VALUE"""),"Đại học")</f>
        <v>Đại học</v>
      </c>
      <c r="G19" s="4" t="str">
        <f ca="1">IFERROR(__xludf.DUMMYFUNCTION("""COMPUTED_VALUE"""),"Trên 5 đến 10 năm")</f>
        <v>Trên 5 đến 10 năm</v>
      </c>
      <c r="H19" s="4" t="str">
        <f ca="1">IFERROR(__xludf.DUMMYFUNCTION("""COMPUTED_VALUE"""),"Kiểm toán viên/Trưởng nhóm")</f>
        <v>Kiểm toán viên/Trưởng nhóm</v>
      </c>
      <c r="I19" s="4">
        <f ca="1">IFERROR(__xludf.DUMMYFUNCTION("""COMPUTED_VALUE"""),5)</f>
        <v>5</v>
      </c>
      <c r="J19" s="4">
        <f ca="1">IFERROR(__xludf.DUMMYFUNCTION("""COMPUTED_VALUE"""),5)</f>
        <v>5</v>
      </c>
      <c r="K19" s="4">
        <f ca="1">IFERROR(__xludf.DUMMYFUNCTION("""COMPUTED_VALUE"""),5)</f>
        <v>5</v>
      </c>
      <c r="L19" s="4">
        <f ca="1">IFERROR(__xludf.DUMMYFUNCTION("""COMPUTED_VALUE"""),5)</f>
        <v>5</v>
      </c>
      <c r="M19" s="4">
        <f ca="1">IFERROR(__xludf.DUMMYFUNCTION("""COMPUTED_VALUE"""),5)</f>
        <v>5</v>
      </c>
      <c r="N19" s="4">
        <f ca="1">IFERROR(__xludf.DUMMYFUNCTION("""COMPUTED_VALUE"""),4)</f>
        <v>4</v>
      </c>
      <c r="O19" s="4">
        <f ca="1">IFERROR(__xludf.DUMMYFUNCTION("""COMPUTED_VALUE"""),4)</f>
        <v>4</v>
      </c>
      <c r="P19" s="4">
        <f ca="1">IFERROR(__xludf.DUMMYFUNCTION("""COMPUTED_VALUE"""),4)</f>
        <v>4</v>
      </c>
      <c r="Q19" s="4">
        <f ca="1">IFERROR(__xludf.DUMMYFUNCTION("""COMPUTED_VALUE"""),5)</f>
        <v>5</v>
      </c>
      <c r="R19" s="4">
        <f ca="1">IFERROR(__xludf.DUMMYFUNCTION("""COMPUTED_VALUE"""),5)</f>
        <v>5</v>
      </c>
      <c r="S19" s="4">
        <f ca="1">IFERROR(__xludf.DUMMYFUNCTION("""COMPUTED_VALUE"""),5)</f>
        <v>5</v>
      </c>
      <c r="T19" s="4">
        <f ca="1">IFERROR(__xludf.DUMMYFUNCTION("""COMPUTED_VALUE"""),5)</f>
        <v>5</v>
      </c>
      <c r="U19" s="4">
        <f ca="1">IFERROR(__xludf.DUMMYFUNCTION("""COMPUTED_VALUE"""),5)</f>
        <v>5</v>
      </c>
      <c r="V19" s="4">
        <f ca="1">IFERROR(__xludf.DUMMYFUNCTION("""COMPUTED_VALUE"""),5)</f>
        <v>5</v>
      </c>
      <c r="W19" s="4">
        <f ca="1">IFERROR(__xludf.DUMMYFUNCTION("""COMPUTED_VALUE"""),5)</f>
        <v>5</v>
      </c>
      <c r="X19" s="4">
        <f ca="1">IFERROR(__xludf.DUMMYFUNCTION("""COMPUTED_VALUE"""),5)</f>
        <v>5</v>
      </c>
      <c r="Y19" s="4">
        <f ca="1">IFERROR(__xludf.DUMMYFUNCTION("""COMPUTED_VALUE"""),4)</f>
        <v>4</v>
      </c>
      <c r="Z19" s="4">
        <f ca="1">IFERROR(__xludf.DUMMYFUNCTION("""COMPUTED_VALUE"""),4)</f>
        <v>4</v>
      </c>
      <c r="AA19" s="4">
        <f ca="1">IFERROR(__xludf.DUMMYFUNCTION("""COMPUTED_VALUE"""),5)</f>
        <v>5</v>
      </c>
      <c r="AB19" s="4">
        <f ca="1">IFERROR(__xludf.DUMMYFUNCTION("""COMPUTED_VALUE"""),5)</f>
        <v>5</v>
      </c>
      <c r="AC19" s="4">
        <f ca="1">IFERROR(__xludf.DUMMYFUNCTION("""COMPUTED_VALUE"""),5)</f>
        <v>5</v>
      </c>
      <c r="AD19" s="4">
        <f ca="1">IFERROR(__xludf.DUMMYFUNCTION("""COMPUTED_VALUE"""),5)</f>
        <v>5</v>
      </c>
      <c r="AE19" s="4">
        <f ca="1">IFERROR(__xludf.DUMMYFUNCTION("""COMPUTED_VALUE"""),5)</f>
        <v>5</v>
      </c>
      <c r="AF19" s="4">
        <f ca="1">IFERROR(__xludf.DUMMYFUNCTION("""COMPUTED_VALUE"""),5)</f>
        <v>5</v>
      </c>
      <c r="AG19" s="4">
        <f ca="1">IFERROR(__xludf.DUMMYFUNCTION("""COMPUTED_VALUE"""),5)</f>
        <v>5</v>
      </c>
      <c r="AH19" s="4">
        <f ca="1">IFERROR(__xludf.DUMMYFUNCTION("""COMPUTED_VALUE"""),5)</f>
        <v>5</v>
      </c>
      <c r="AI19" s="4">
        <f ca="1">IFERROR(__xludf.DUMMYFUNCTION("""COMPUTED_VALUE"""),5)</f>
        <v>5</v>
      </c>
      <c r="AJ19" s="4">
        <f ca="1">IFERROR(__xludf.DUMMYFUNCTION("""COMPUTED_VALUE"""),5)</f>
        <v>5</v>
      </c>
      <c r="AK19" s="4">
        <f ca="1">IFERROR(__xludf.DUMMYFUNCTION("""COMPUTED_VALUE"""),5)</f>
        <v>5</v>
      </c>
      <c r="AL19" s="4">
        <f ca="1">IFERROR(__xludf.DUMMYFUNCTION("""COMPUTED_VALUE"""),5)</f>
        <v>5</v>
      </c>
      <c r="AM19" s="4">
        <f ca="1">IFERROR(__xludf.DUMMYFUNCTION("""COMPUTED_VALUE"""),4)</f>
        <v>4</v>
      </c>
      <c r="AN19" s="4">
        <f ca="1">IFERROR(__xludf.DUMMYFUNCTION("""COMPUTED_VALUE"""),4)</f>
        <v>4</v>
      </c>
      <c r="AO19" s="4">
        <f ca="1">IFERROR(__xludf.DUMMYFUNCTION("""COMPUTED_VALUE"""),5)</f>
        <v>5</v>
      </c>
      <c r="AP19" s="4">
        <f ca="1">IFERROR(__xludf.DUMMYFUNCTION("""COMPUTED_VALUE"""),5)</f>
        <v>5</v>
      </c>
      <c r="AQ19" s="4">
        <f ca="1">IFERROR(__xludf.DUMMYFUNCTION("""COMPUTED_VALUE"""),4)</f>
        <v>4</v>
      </c>
      <c r="AR19" s="4">
        <f ca="1">IFERROR(__xludf.DUMMYFUNCTION("""COMPUTED_VALUE"""),5)</f>
        <v>5</v>
      </c>
      <c r="AS19" s="4">
        <f ca="1">IFERROR(__xludf.DUMMYFUNCTION("""COMPUTED_VALUE"""),5)</f>
        <v>5</v>
      </c>
      <c r="AT19" s="4">
        <f ca="1">IFERROR(__xludf.DUMMYFUNCTION("""COMPUTED_VALUE"""),4)</f>
        <v>4</v>
      </c>
      <c r="AU19" s="4">
        <f ca="1">IFERROR(__xludf.DUMMYFUNCTION("""COMPUTED_VALUE"""),4)</f>
        <v>4</v>
      </c>
      <c r="AV19" s="4">
        <f ca="1">IFERROR(__xludf.DUMMYFUNCTION("""COMPUTED_VALUE"""),4)</f>
        <v>4</v>
      </c>
      <c r="AW19" s="4">
        <f ca="1">IFERROR(__xludf.DUMMYFUNCTION("""COMPUTED_VALUE"""),4)</f>
        <v>4</v>
      </c>
      <c r="AX19" s="4">
        <f ca="1">IFERROR(__xludf.DUMMYFUNCTION("""COMPUTED_VALUE"""),5)</f>
        <v>5</v>
      </c>
      <c r="AY19" s="4">
        <f ca="1">IFERROR(__xludf.DUMMYFUNCTION("""COMPUTED_VALUE"""),5)</f>
        <v>5</v>
      </c>
      <c r="AZ19" s="4">
        <f ca="1">IFERROR(__xludf.DUMMYFUNCTION("""COMPUTED_VALUE"""),5)</f>
        <v>5</v>
      </c>
      <c r="BA19" s="4">
        <f ca="1">IFERROR(__xludf.DUMMYFUNCTION("""COMPUTED_VALUE"""),5)</f>
        <v>5</v>
      </c>
      <c r="BB19" s="4">
        <f ca="1">IFERROR(__xludf.DUMMYFUNCTION("""COMPUTED_VALUE"""),5)</f>
        <v>5</v>
      </c>
      <c r="BC19" s="4">
        <f ca="1">IFERROR(__xludf.DUMMYFUNCTION("""COMPUTED_VALUE"""),4)</f>
        <v>4</v>
      </c>
      <c r="BD19" s="4">
        <f ca="1">IFERROR(__xludf.DUMMYFUNCTION("""COMPUTED_VALUE"""),4)</f>
        <v>4</v>
      </c>
      <c r="BE19" s="4">
        <f ca="1">IFERROR(__xludf.DUMMYFUNCTION("""COMPUTED_VALUE"""),4)</f>
        <v>4</v>
      </c>
      <c r="BF19" s="4">
        <f ca="1">IFERROR(__xludf.DUMMYFUNCTION("""COMPUTED_VALUE"""),4)</f>
        <v>4</v>
      </c>
      <c r="BG19" s="4">
        <f ca="1">IFERROR(__xludf.DUMMYFUNCTION("""COMPUTED_VALUE"""),3)</f>
        <v>3</v>
      </c>
      <c r="BH19" s="4">
        <f ca="1">IFERROR(__xludf.DUMMYFUNCTION("""COMPUTED_VALUE"""),4)</f>
        <v>4</v>
      </c>
      <c r="BI19" s="4">
        <f ca="1">IFERROR(__xludf.DUMMYFUNCTION("""COMPUTED_VALUE"""),4)</f>
        <v>4</v>
      </c>
      <c r="BJ19" s="4">
        <f ca="1">IFERROR(__xludf.DUMMYFUNCTION("""COMPUTED_VALUE"""),4)</f>
        <v>4</v>
      </c>
      <c r="BK19" s="4">
        <f ca="1">IFERROR(__xludf.DUMMYFUNCTION("""COMPUTED_VALUE"""),4)</f>
        <v>4</v>
      </c>
      <c r="BL19" s="4">
        <f ca="1">IFERROR(__xludf.DUMMYFUNCTION("""COMPUTED_VALUE"""),4)</f>
        <v>4</v>
      </c>
      <c r="BM19" s="4">
        <f ca="1">IFERROR(__xludf.DUMMYFUNCTION("""COMPUTED_VALUE"""),4)</f>
        <v>4</v>
      </c>
      <c r="BN19" s="4">
        <f ca="1">IFERROR(__xludf.DUMMYFUNCTION("""COMPUTED_VALUE"""),5)</f>
        <v>5</v>
      </c>
      <c r="BO19" s="4">
        <f ca="1">IFERROR(__xludf.DUMMYFUNCTION("""COMPUTED_VALUE"""),5)</f>
        <v>5</v>
      </c>
      <c r="BP19" s="4">
        <f ca="1">IFERROR(__xludf.DUMMYFUNCTION("""COMPUTED_VALUE"""),4)</f>
        <v>4</v>
      </c>
    </row>
    <row r="20" spans="1:68" x14ac:dyDescent="0.25">
      <c r="A20" s="4" t="str">
        <f ca="1">IFERROR(__xludf.DUMMYFUNCTION("""COMPUTED_VALUE"""),"2_ABaOnuflwNU-EqHZ8BJhsXiGQ3tfyg9C8gUBN2crITwH_K4TYOBU6OO3evbuGPhlJg")</f>
        <v>2_ABaOnuflwNU-EqHZ8BJhsXiGQ3tfyg9C8gUBN2crITwH_K4TYOBU6OO3evbuGPhlJg</v>
      </c>
      <c r="B20" s="5">
        <f ca="1">IFERROR(__xludf.DUMMYFUNCTION("""COMPUTED_VALUE"""),45966.5238791782)</f>
        <v>45966.523879178203</v>
      </c>
      <c r="C20" s="4" t="str">
        <f ca="1">IFERROR(__xludf.DUMMYFUNCTION("""COMPUTED_VALUE"""),"Nguyễn Bá Thiện")</f>
        <v>Nguyễn Bá Thiện</v>
      </c>
      <c r="D20" s="4" t="str">
        <f ca="1">IFERROR(__xludf.DUMMYFUNCTION("""COMPUTED_VALUE"""),"Nam")</f>
        <v>Nam</v>
      </c>
      <c r="E20" s="4" t="str">
        <f ca="1">IFERROR(__xludf.DUMMYFUNCTION("""COMPUTED_VALUE"""),"Công ty TNHH Kiểm toán và Dịch vụ tư vấn Hà Nội")</f>
        <v>Công ty TNHH Kiểm toán và Dịch vụ tư vấn Hà Nội</v>
      </c>
      <c r="F20" s="4" t="str">
        <f ca="1">IFERROR(__xludf.DUMMYFUNCTION("""COMPUTED_VALUE"""),"Chứng chỉ Kiểm toán viên")</f>
        <v>Chứng chỉ Kiểm toán viên</v>
      </c>
      <c r="G20" s="4" t="str">
        <f ca="1">IFERROR(__xludf.DUMMYFUNCTION("""COMPUTED_VALUE"""),"Trên 5 đến 10 năm")</f>
        <v>Trên 5 đến 10 năm</v>
      </c>
      <c r="H20" s="4" t="str">
        <f ca="1">IFERROR(__xludf.DUMMYFUNCTION("""COMPUTED_VALUE"""),"Trưởng phòng")</f>
        <v>Trưởng phòng</v>
      </c>
      <c r="I20" s="4">
        <f ca="1">IFERROR(__xludf.DUMMYFUNCTION("""COMPUTED_VALUE"""),5)</f>
        <v>5</v>
      </c>
      <c r="J20" s="4">
        <f ca="1">IFERROR(__xludf.DUMMYFUNCTION("""COMPUTED_VALUE"""),5)</f>
        <v>5</v>
      </c>
      <c r="K20" s="4">
        <f ca="1">IFERROR(__xludf.DUMMYFUNCTION("""COMPUTED_VALUE"""),5)</f>
        <v>5</v>
      </c>
      <c r="L20" s="4">
        <f ca="1">IFERROR(__xludf.DUMMYFUNCTION("""COMPUTED_VALUE"""),5)</f>
        <v>5</v>
      </c>
      <c r="M20" s="4">
        <f ca="1">IFERROR(__xludf.DUMMYFUNCTION("""COMPUTED_VALUE"""),5)</f>
        <v>5</v>
      </c>
      <c r="N20" s="4">
        <f ca="1">IFERROR(__xludf.DUMMYFUNCTION("""COMPUTED_VALUE"""),4)</f>
        <v>4</v>
      </c>
      <c r="O20" s="4">
        <f ca="1">IFERROR(__xludf.DUMMYFUNCTION("""COMPUTED_VALUE"""),5)</f>
        <v>5</v>
      </c>
      <c r="P20" s="4">
        <f ca="1">IFERROR(__xludf.DUMMYFUNCTION("""COMPUTED_VALUE"""),4)</f>
        <v>4</v>
      </c>
      <c r="Q20" s="4">
        <f ca="1">IFERROR(__xludf.DUMMYFUNCTION("""COMPUTED_VALUE"""),5)</f>
        <v>5</v>
      </c>
      <c r="R20" s="4">
        <f ca="1">IFERROR(__xludf.DUMMYFUNCTION("""COMPUTED_VALUE"""),5)</f>
        <v>5</v>
      </c>
      <c r="S20" s="4">
        <f ca="1">IFERROR(__xludf.DUMMYFUNCTION("""COMPUTED_VALUE"""),4)</f>
        <v>4</v>
      </c>
      <c r="T20" s="4">
        <f ca="1">IFERROR(__xludf.DUMMYFUNCTION("""COMPUTED_VALUE"""),5)</f>
        <v>5</v>
      </c>
      <c r="U20" s="4">
        <f ca="1">IFERROR(__xludf.DUMMYFUNCTION("""COMPUTED_VALUE"""),5)</f>
        <v>5</v>
      </c>
      <c r="V20" s="4">
        <f ca="1">IFERROR(__xludf.DUMMYFUNCTION("""COMPUTED_VALUE"""),5)</f>
        <v>5</v>
      </c>
      <c r="W20" s="4">
        <f ca="1">IFERROR(__xludf.DUMMYFUNCTION("""COMPUTED_VALUE"""),5)</f>
        <v>5</v>
      </c>
      <c r="X20" s="4">
        <f ca="1">IFERROR(__xludf.DUMMYFUNCTION("""COMPUTED_VALUE"""),5)</f>
        <v>5</v>
      </c>
      <c r="Y20" s="4">
        <f ca="1">IFERROR(__xludf.DUMMYFUNCTION("""COMPUTED_VALUE"""),4)</f>
        <v>4</v>
      </c>
      <c r="Z20" s="4">
        <f ca="1">IFERROR(__xludf.DUMMYFUNCTION("""COMPUTED_VALUE"""),4)</f>
        <v>4</v>
      </c>
      <c r="AA20" s="4">
        <f ca="1">IFERROR(__xludf.DUMMYFUNCTION("""COMPUTED_VALUE"""),4)</f>
        <v>4</v>
      </c>
      <c r="AB20" s="4">
        <f ca="1">IFERROR(__xludf.DUMMYFUNCTION("""COMPUTED_VALUE"""),4)</f>
        <v>4</v>
      </c>
      <c r="AC20" s="4">
        <f ca="1">IFERROR(__xludf.DUMMYFUNCTION("""COMPUTED_VALUE"""),4)</f>
        <v>4</v>
      </c>
      <c r="AD20" s="4">
        <f ca="1">IFERROR(__xludf.DUMMYFUNCTION("""COMPUTED_VALUE"""),3)</f>
        <v>3</v>
      </c>
      <c r="AE20" s="4">
        <f ca="1">IFERROR(__xludf.DUMMYFUNCTION("""COMPUTED_VALUE"""),4)</f>
        <v>4</v>
      </c>
      <c r="AF20" s="4">
        <f ca="1">IFERROR(__xludf.DUMMYFUNCTION("""COMPUTED_VALUE"""),5)</f>
        <v>5</v>
      </c>
      <c r="AG20" s="4">
        <f ca="1">IFERROR(__xludf.DUMMYFUNCTION("""COMPUTED_VALUE"""),5)</f>
        <v>5</v>
      </c>
      <c r="AH20" s="4">
        <f ca="1">IFERROR(__xludf.DUMMYFUNCTION("""COMPUTED_VALUE"""),5)</f>
        <v>5</v>
      </c>
      <c r="AI20" s="4">
        <f ca="1">IFERROR(__xludf.DUMMYFUNCTION("""COMPUTED_VALUE"""),2)</f>
        <v>2</v>
      </c>
      <c r="AJ20" s="4">
        <f ca="1">IFERROR(__xludf.DUMMYFUNCTION("""COMPUTED_VALUE"""),5)</f>
        <v>5</v>
      </c>
      <c r="AK20" s="4">
        <f ca="1">IFERROR(__xludf.DUMMYFUNCTION("""COMPUTED_VALUE"""),5)</f>
        <v>5</v>
      </c>
      <c r="AL20" s="4">
        <f ca="1">IFERROR(__xludf.DUMMYFUNCTION("""COMPUTED_VALUE"""),5)</f>
        <v>5</v>
      </c>
      <c r="AM20" s="4">
        <f ca="1">IFERROR(__xludf.DUMMYFUNCTION("""COMPUTED_VALUE"""),5)</f>
        <v>5</v>
      </c>
      <c r="AN20" s="4">
        <f ca="1">IFERROR(__xludf.DUMMYFUNCTION("""COMPUTED_VALUE"""),5)</f>
        <v>5</v>
      </c>
      <c r="AO20" s="4">
        <f ca="1">IFERROR(__xludf.DUMMYFUNCTION("""COMPUTED_VALUE"""),4)</f>
        <v>4</v>
      </c>
      <c r="AP20" s="4">
        <f ca="1">IFERROR(__xludf.DUMMYFUNCTION("""COMPUTED_VALUE"""),3)</f>
        <v>3</v>
      </c>
      <c r="AQ20" s="4">
        <f ca="1">IFERROR(__xludf.DUMMYFUNCTION("""COMPUTED_VALUE"""),5)</f>
        <v>5</v>
      </c>
      <c r="AR20" s="4">
        <f ca="1">IFERROR(__xludf.DUMMYFUNCTION("""COMPUTED_VALUE"""),3)</f>
        <v>3</v>
      </c>
      <c r="AS20" s="4">
        <f ca="1">IFERROR(__xludf.DUMMYFUNCTION("""COMPUTED_VALUE"""),5)</f>
        <v>5</v>
      </c>
      <c r="AT20" s="4">
        <f ca="1">IFERROR(__xludf.DUMMYFUNCTION("""COMPUTED_VALUE"""),4)</f>
        <v>4</v>
      </c>
      <c r="AU20" s="4">
        <f ca="1">IFERROR(__xludf.DUMMYFUNCTION("""COMPUTED_VALUE"""),4)</f>
        <v>4</v>
      </c>
      <c r="AV20" s="4">
        <f ca="1">IFERROR(__xludf.DUMMYFUNCTION("""COMPUTED_VALUE"""),5)</f>
        <v>5</v>
      </c>
      <c r="AW20" s="4">
        <f ca="1">IFERROR(__xludf.DUMMYFUNCTION("""COMPUTED_VALUE"""),5)</f>
        <v>5</v>
      </c>
      <c r="AX20" s="4">
        <f ca="1">IFERROR(__xludf.DUMMYFUNCTION("""COMPUTED_VALUE"""),5)</f>
        <v>5</v>
      </c>
      <c r="AY20" s="4">
        <f ca="1">IFERROR(__xludf.DUMMYFUNCTION("""COMPUTED_VALUE"""),5)</f>
        <v>5</v>
      </c>
      <c r="AZ20" s="4">
        <f ca="1">IFERROR(__xludf.DUMMYFUNCTION("""COMPUTED_VALUE"""),4)</f>
        <v>4</v>
      </c>
      <c r="BA20" s="4">
        <f ca="1">IFERROR(__xludf.DUMMYFUNCTION("""COMPUTED_VALUE"""),5)</f>
        <v>5</v>
      </c>
      <c r="BB20" s="4">
        <f ca="1">IFERROR(__xludf.DUMMYFUNCTION("""COMPUTED_VALUE"""),4)</f>
        <v>4</v>
      </c>
      <c r="BC20" s="4">
        <f ca="1">IFERROR(__xludf.DUMMYFUNCTION("""COMPUTED_VALUE"""),4)</f>
        <v>4</v>
      </c>
      <c r="BD20" s="4">
        <f ca="1">IFERROR(__xludf.DUMMYFUNCTION("""COMPUTED_VALUE"""),5)</f>
        <v>5</v>
      </c>
      <c r="BE20" s="4">
        <f ca="1">IFERROR(__xludf.DUMMYFUNCTION("""COMPUTED_VALUE"""),5)</f>
        <v>5</v>
      </c>
      <c r="BF20" s="4">
        <f ca="1">IFERROR(__xludf.DUMMYFUNCTION("""COMPUTED_VALUE"""),3)</f>
        <v>3</v>
      </c>
      <c r="BG20" s="4">
        <f ca="1">IFERROR(__xludf.DUMMYFUNCTION("""COMPUTED_VALUE"""),3)</f>
        <v>3</v>
      </c>
      <c r="BH20" s="4">
        <f ca="1">IFERROR(__xludf.DUMMYFUNCTION("""COMPUTED_VALUE"""),5)</f>
        <v>5</v>
      </c>
      <c r="BI20" s="4">
        <f ca="1">IFERROR(__xludf.DUMMYFUNCTION("""COMPUTED_VALUE"""),5)</f>
        <v>5</v>
      </c>
      <c r="BJ20" s="4">
        <f ca="1">IFERROR(__xludf.DUMMYFUNCTION("""COMPUTED_VALUE"""),5)</f>
        <v>5</v>
      </c>
      <c r="BK20" s="4">
        <f ca="1">IFERROR(__xludf.DUMMYFUNCTION("""COMPUTED_VALUE"""),5)</f>
        <v>5</v>
      </c>
      <c r="BL20" s="4">
        <f ca="1">IFERROR(__xludf.DUMMYFUNCTION("""COMPUTED_VALUE"""),5)</f>
        <v>5</v>
      </c>
      <c r="BM20" s="4">
        <f ca="1">IFERROR(__xludf.DUMMYFUNCTION("""COMPUTED_VALUE"""),5)</f>
        <v>5</v>
      </c>
      <c r="BN20" s="4">
        <f ca="1">IFERROR(__xludf.DUMMYFUNCTION("""COMPUTED_VALUE"""),5)</f>
        <v>5</v>
      </c>
      <c r="BO20" s="4">
        <f ca="1">IFERROR(__xludf.DUMMYFUNCTION("""COMPUTED_VALUE"""),5)</f>
        <v>5</v>
      </c>
      <c r="BP20" s="4">
        <f ca="1">IFERROR(__xludf.DUMMYFUNCTION("""COMPUTED_VALUE"""),4)</f>
        <v>4</v>
      </c>
    </row>
    <row r="21" spans="1:68" x14ac:dyDescent="0.25">
      <c r="A21" s="4" t="str">
        <f ca="1">IFERROR(__xludf.DUMMYFUNCTION("""COMPUTED_VALUE"""),"2_ABaOnufEhDHb2ceq2XJ8ii8pdRgPgTTEpGYinfti4oxhhCQbBbKVOADaYPZPvFzvvQ")</f>
        <v>2_ABaOnufEhDHb2ceq2XJ8ii8pdRgPgTTEpGYinfti4oxhhCQbBbKVOADaYPZPvFzvvQ</v>
      </c>
      <c r="B21" s="5">
        <f ca="1">IFERROR(__xludf.DUMMYFUNCTION("""COMPUTED_VALUE"""),45966.571117824)</f>
        <v>45966.571117824002</v>
      </c>
      <c r="C21" s="4" t="str">
        <f ca="1">IFERROR(__xludf.DUMMYFUNCTION("""COMPUTED_VALUE"""),"Thạch Hoàng Lâm Phúc")</f>
        <v>Thạch Hoàng Lâm Phúc</v>
      </c>
      <c r="D21" s="4" t="str">
        <f ca="1">IFERROR(__xludf.DUMMYFUNCTION("""COMPUTED_VALUE"""),"Nam")</f>
        <v>Nam</v>
      </c>
      <c r="E21" s="4" t="str">
        <f ca="1">IFERROR(__xludf.DUMMYFUNCTION("""COMPUTED_VALUE"""),"ES Group")</f>
        <v>ES Group</v>
      </c>
      <c r="F21" s="4" t="str">
        <f ca="1">IFERROR(__xludf.DUMMYFUNCTION("""COMPUTED_VALUE"""),"Đại học")</f>
        <v>Đại học</v>
      </c>
      <c r="G21" s="4" t="str">
        <f ca="1">IFERROR(__xludf.DUMMYFUNCTION("""COMPUTED_VALUE"""),"Từ 3 đến 5 năm")</f>
        <v>Từ 3 đến 5 năm</v>
      </c>
      <c r="H21" s="4" t="str">
        <f ca="1">IFERROR(__xludf.DUMMYFUNCTION("""COMPUTED_VALUE"""),"Trợ lý kiểm toán")</f>
        <v>Trợ lý kiểm toán</v>
      </c>
      <c r="I21" s="4">
        <f ca="1">IFERROR(__xludf.DUMMYFUNCTION("""COMPUTED_VALUE"""),3)</f>
        <v>3</v>
      </c>
      <c r="J21" s="4">
        <f ca="1">IFERROR(__xludf.DUMMYFUNCTION("""COMPUTED_VALUE"""),2)</f>
        <v>2</v>
      </c>
      <c r="K21" s="4">
        <f ca="1">IFERROR(__xludf.DUMMYFUNCTION("""COMPUTED_VALUE"""),3)</f>
        <v>3</v>
      </c>
      <c r="L21" s="4">
        <f ca="1">IFERROR(__xludf.DUMMYFUNCTION("""COMPUTED_VALUE"""),4)</f>
        <v>4</v>
      </c>
      <c r="M21" s="4">
        <f ca="1">IFERROR(__xludf.DUMMYFUNCTION("""COMPUTED_VALUE"""),1)</f>
        <v>1</v>
      </c>
      <c r="N21" s="4">
        <f ca="1">IFERROR(__xludf.DUMMYFUNCTION("""COMPUTED_VALUE"""),1)</f>
        <v>1</v>
      </c>
      <c r="O21" s="4">
        <f ca="1">IFERROR(__xludf.DUMMYFUNCTION("""COMPUTED_VALUE"""),3)</f>
        <v>3</v>
      </c>
      <c r="P21" s="4">
        <f ca="1">IFERROR(__xludf.DUMMYFUNCTION("""COMPUTED_VALUE"""),2)</f>
        <v>2</v>
      </c>
      <c r="Q21" s="4">
        <f ca="1">IFERROR(__xludf.DUMMYFUNCTION("""COMPUTED_VALUE"""),2)</f>
        <v>2</v>
      </c>
      <c r="R21" s="4">
        <f ca="1">IFERROR(__xludf.DUMMYFUNCTION("""COMPUTED_VALUE"""),2)</f>
        <v>2</v>
      </c>
      <c r="S21" s="4">
        <f ca="1">IFERROR(__xludf.DUMMYFUNCTION("""COMPUTED_VALUE"""),3)</f>
        <v>3</v>
      </c>
      <c r="T21" s="4">
        <f ca="1">IFERROR(__xludf.DUMMYFUNCTION("""COMPUTED_VALUE"""),2)</f>
        <v>2</v>
      </c>
      <c r="U21" s="4">
        <f ca="1">IFERROR(__xludf.DUMMYFUNCTION("""COMPUTED_VALUE"""),2)</f>
        <v>2</v>
      </c>
      <c r="V21" s="4">
        <f ca="1">IFERROR(__xludf.DUMMYFUNCTION("""COMPUTED_VALUE"""),4)</f>
        <v>4</v>
      </c>
      <c r="W21" s="4">
        <f ca="1">IFERROR(__xludf.DUMMYFUNCTION("""COMPUTED_VALUE"""),4)</f>
        <v>4</v>
      </c>
      <c r="X21" s="4">
        <f ca="1">IFERROR(__xludf.DUMMYFUNCTION("""COMPUTED_VALUE"""),3)</f>
        <v>3</v>
      </c>
      <c r="Y21" s="4">
        <f ca="1">IFERROR(__xludf.DUMMYFUNCTION("""COMPUTED_VALUE"""),4)</f>
        <v>4</v>
      </c>
      <c r="Z21" s="4">
        <f ca="1">IFERROR(__xludf.DUMMYFUNCTION("""COMPUTED_VALUE"""),4)</f>
        <v>4</v>
      </c>
      <c r="AA21" s="4">
        <f ca="1">IFERROR(__xludf.DUMMYFUNCTION("""COMPUTED_VALUE"""),4)</f>
        <v>4</v>
      </c>
      <c r="AB21" s="4">
        <f ca="1">IFERROR(__xludf.DUMMYFUNCTION("""COMPUTED_VALUE"""),4)</f>
        <v>4</v>
      </c>
      <c r="AC21" s="4">
        <f ca="1">IFERROR(__xludf.DUMMYFUNCTION("""COMPUTED_VALUE"""),4)</f>
        <v>4</v>
      </c>
      <c r="AD21" s="4">
        <f ca="1">IFERROR(__xludf.DUMMYFUNCTION("""COMPUTED_VALUE"""),4)</f>
        <v>4</v>
      </c>
      <c r="AE21" s="4">
        <f ca="1">IFERROR(__xludf.DUMMYFUNCTION("""COMPUTED_VALUE"""),3)</f>
        <v>3</v>
      </c>
      <c r="AF21" s="4">
        <f ca="1">IFERROR(__xludf.DUMMYFUNCTION("""COMPUTED_VALUE"""),4)</f>
        <v>4</v>
      </c>
      <c r="AG21" s="4">
        <f ca="1">IFERROR(__xludf.DUMMYFUNCTION("""COMPUTED_VALUE"""),4)</f>
        <v>4</v>
      </c>
      <c r="AH21" s="4">
        <f ca="1">IFERROR(__xludf.DUMMYFUNCTION("""COMPUTED_VALUE"""),5)</f>
        <v>5</v>
      </c>
      <c r="AI21" s="4">
        <f ca="1">IFERROR(__xludf.DUMMYFUNCTION("""COMPUTED_VALUE"""),4)</f>
        <v>4</v>
      </c>
      <c r="AJ21" s="4">
        <f ca="1">IFERROR(__xludf.DUMMYFUNCTION("""COMPUTED_VALUE"""),4)</f>
        <v>4</v>
      </c>
      <c r="AK21" s="4">
        <f ca="1">IFERROR(__xludf.DUMMYFUNCTION("""COMPUTED_VALUE"""),3)</f>
        <v>3</v>
      </c>
      <c r="AL21" s="4">
        <f ca="1">IFERROR(__xludf.DUMMYFUNCTION("""COMPUTED_VALUE"""),5)</f>
        <v>5</v>
      </c>
      <c r="AM21" s="4">
        <f ca="1">IFERROR(__xludf.DUMMYFUNCTION("""COMPUTED_VALUE"""),4)</f>
        <v>4</v>
      </c>
      <c r="AN21" s="4">
        <f ca="1">IFERROR(__xludf.DUMMYFUNCTION("""COMPUTED_VALUE"""),4)</f>
        <v>4</v>
      </c>
      <c r="AO21" s="4">
        <f ca="1">IFERROR(__xludf.DUMMYFUNCTION("""COMPUTED_VALUE"""),4)</f>
        <v>4</v>
      </c>
      <c r="AP21" s="4">
        <f ca="1">IFERROR(__xludf.DUMMYFUNCTION("""COMPUTED_VALUE"""),5)</f>
        <v>5</v>
      </c>
      <c r="AQ21" s="4">
        <f ca="1">IFERROR(__xludf.DUMMYFUNCTION("""COMPUTED_VALUE"""),5)</f>
        <v>5</v>
      </c>
      <c r="AR21" s="4">
        <f ca="1">IFERROR(__xludf.DUMMYFUNCTION("""COMPUTED_VALUE"""),5)</f>
        <v>5</v>
      </c>
      <c r="AS21" s="4">
        <f ca="1">IFERROR(__xludf.DUMMYFUNCTION("""COMPUTED_VALUE"""),4)</f>
        <v>4</v>
      </c>
      <c r="AT21" s="4">
        <f ca="1">IFERROR(__xludf.DUMMYFUNCTION("""COMPUTED_VALUE"""),4)</f>
        <v>4</v>
      </c>
      <c r="AU21" s="4">
        <f ca="1">IFERROR(__xludf.DUMMYFUNCTION("""COMPUTED_VALUE"""),4)</f>
        <v>4</v>
      </c>
      <c r="AV21" s="4">
        <f ca="1">IFERROR(__xludf.DUMMYFUNCTION("""COMPUTED_VALUE"""),5)</f>
        <v>5</v>
      </c>
      <c r="AW21" s="4">
        <f ca="1">IFERROR(__xludf.DUMMYFUNCTION("""COMPUTED_VALUE"""),4)</f>
        <v>4</v>
      </c>
      <c r="AX21" s="4">
        <f ca="1">IFERROR(__xludf.DUMMYFUNCTION("""COMPUTED_VALUE"""),4)</f>
        <v>4</v>
      </c>
      <c r="AY21" s="4">
        <f ca="1">IFERROR(__xludf.DUMMYFUNCTION("""COMPUTED_VALUE"""),5)</f>
        <v>5</v>
      </c>
      <c r="AZ21" s="4">
        <f ca="1">IFERROR(__xludf.DUMMYFUNCTION("""COMPUTED_VALUE"""),4)</f>
        <v>4</v>
      </c>
      <c r="BA21" s="4">
        <f ca="1">IFERROR(__xludf.DUMMYFUNCTION("""COMPUTED_VALUE"""),4)</f>
        <v>4</v>
      </c>
      <c r="BB21" s="4">
        <f ca="1">IFERROR(__xludf.DUMMYFUNCTION("""COMPUTED_VALUE"""),4)</f>
        <v>4</v>
      </c>
      <c r="BC21" s="4">
        <f ca="1">IFERROR(__xludf.DUMMYFUNCTION("""COMPUTED_VALUE"""),5)</f>
        <v>5</v>
      </c>
      <c r="BD21" s="4">
        <f ca="1">IFERROR(__xludf.DUMMYFUNCTION("""COMPUTED_VALUE"""),4)</f>
        <v>4</v>
      </c>
      <c r="BE21" s="4">
        <f ca="1">IFERROR(__xludf.DUMMYFUNCTION("""COMPUTED_VALUE"""),4)</f>
        <v>4</v>
      </c>
      <c r="BF21" s="4">
        <f ca="1">IFERROR(__xludf.DUMMYFUNCTION("""COMPUTED_VALUE"""),5)</f>
        <v>5</v>
      </c>
      <c r="BG21" s="4">
        <f ca="1">IFERROR(__xludf.DUMMYFUNCTION("""COMPUTED_VALUE"""),4)</f>
        <v>4</v>
      </c>
      <c r="BH21" s="4">
        <f ca="1">IFERROR(__xludf.DUMMYFUNCTION("""COMPUTED_VALUE"""),4)</f>
        <v>4</v>
      </c>
      <c r="BI21" s="4">
        <f ca="1">IFERROR(__xludf.DUMMYFUNCTION("""COMPUTED_VALUE"""),3)</f>
        <v>3</v>
      </c>
      <c r="BJ21" s="4">
        <f ca="1">IFERROR(__xludf.DUMMYFUNCTION("""COMPUTED_VALUE"""),4)</f>
        <v>4</v>
      </c>
      <c r="BK21" s="4">
        <f ca="1">IFERROR(__xludf.DUMMYFUNCTION("""COMPUTED_VALUE"""),3)</f>
        <v>3</v>
      </c>
      <c r="BL21" s="4">
        <f ca="1">IFERROR(__xludf.DUMMYFUNCTION("""COMPUTED_VALUE"""),4)</f>
        <v>4</v>
      </c>
      <c r="BM21" s="4">
        <f ca="1">IFERROR(__xludf.DUMMYFUNCTION("""COMPUTED_VALUE"""),4)</f>
        <v>4</v>
      </c>
      <c r="BN21" s="4">
        <f ca="1">IFERROR(__xludf.DUMMYFUNCTION("""COMPUTED_VALUE"""),5)</f>
        <v>5</v>
      </c>
      <c r="BO21" s="4">
        <f ca="1">IFERROR(__xludf.DUMMYFUNCTION("""COMPUTED_VALUE"""),5)</f>
        <v>5</v>
      </c>
      <c r="BP21" s="4">
        <f ca="1">IFERROR(__xludf.DUMMYFUNCTION("""COMPUTED_VALUE"""),5)</f>
        <v>5</v>
      </c>
    </row>
    <row r="22" spans="1:68" x14ac:dyDescent="0.25">
      <c r="A22" s="4" t="str">
        <f ca="1">IFERROR(__xludf.DUMMYFUNCTION("""COMPUTED_VALUE"""),"2_ABaOnudS7zXGIT8zwEQUNobK7FHC_CedHTkhZUMWD3TesoAdkcRj74nDfrLBour7Pw")</f>
        <v>2_ABaOnudS7zXGIT8zwEQUNobK7FHC_CedHTkhZUMWD3TesoAdkcRj74nDfrLBour7Pw</v>
      </c>
      <c r="B22" s="5">
        <f ca="1">IFERROR(__xludf.DUMMYFUNCTION("""COMPUTED_VALUE"""),45966.616873993)</f>
        <v>45966.616873993</v>
      </c>
      <c r="C22" s="4" t="str">
        <f ca="1">IFERROR(__xludf.DUMMYFUNCTION("""COMPUTED_VALUE"""),"Nguyễn Thúy Hằng")</f>
        <v>Nguyễn Thúy Hằng</v>
      </c>
      <c r="D22" s="4" t="str">
        <f ca="1">IFERROR(__xludf.DUMMYFUNCTION("""COMPUTED_VALUE"""),"Nữ")</f>
        <v>Nữ</v>
      </c>
      <c r="E22" s="4" t="str">
        <f ca="1">IFERROR(__xludf.DUMMYFUNCTION("""COMPUTED_VALUE"""),"Công ty TNHH Kiểm toán và Tư vấn Chuẩn Việt")</f>
        <v>Công ty TNHH Kiểm toán và Tư vấn Chuẩn Việt</v>
      </c>
      <c r="F22" s="4" t="str">
        <f ca="1">IFERROR(__xludf.DUMMYFUNCTION("""COMPUTED_VALUE"""),"Đại học")</f>
        <v>Đại học</v>
      </c>
      <c r="G22" s="4" t="str">
        <f ca="1">IFERROR(__xludf.DUMMYFUNCTION("""COMPUTED_VALUE"""),"Từ 3 đến 5 năm")</f>
        <v>Từ 3 đến 5 năm</v>
      </c>
      <c r="H22" s="4" t="str">
        <f ca="1">IFERROR(__xludf.DUMMYFUNCTION("""COMPUTED_VALUE"""),"Trợ lý kiểm toán")</f>
        <v>Trợ lý kiểm toán</v>
      </c>
      <c r="I22" s="4">
        <f ca="1">IFERROR(__xludf.DUMMYFUNCTION("""COMPUTED_VALUE"""),5)</f>
        <v>5</v>
      </c>
      <c r="J22" s="4">
        <f ca="1">IFERROR(__xludf.DUMMYFUNCTION("""COMPUTED_VALUE"""),4)</f>
        <v>4</v>
      </c>
      <c r="K22" s="4">
        <f ca="1">IFERROR(__xludf.DUMMYFUNCTION("""COMPUTED_VALUE"""),4)</f>
        <v>4</v>
      </c>
      <c r="L22" s="4">
        <f ca="1">IFERROR(__xludf.DUMMYFUNCTION("""COMPUTED_VALUE"""),3)</f>
        <v>3</v>
      </c>
      <c r="M22" s="4">
        <f ca="1">IFERROR(__xludf.DUMMYFUNCTION("""COMPUTED_VALUE"""),4)</f>
        <v>4</v>
      </c>
      <c r="N22" s="4">
        <f ca="1">IFERROR(__xludf.DUMMYFUNCTION("""COMPUTED_VALUE"""),3)</f>
        <v>3</v>
      </c>
      <c r="O22" s="4">
        <f ca="1">IFERROR(__xludf.DUMMYFUNCTION("""COMPUTED_VALUE"""),3)</f>
        <v>3</v>
      </c>
      <c r="P22" s="4">
        <f ca="1">IFERROR(__xludf.DUMMYFUNCTION("""COMPUTED_VALUE"""),4)</f>
        <v>4</v>
      </c>
      <c r="Q22" s="4">
        <f ca="1">IFERROR(__xludf.DUMMYFUNCTION("""COMPUTED_VALUE"""),5)</f>
        <v>5</v>
      </c>
      <c r="R22" s="4">
        <f ca="1">IFERROR(__xludf.DUMMYFUNCTION("""COMPUTED_VALUE"""),4)</f>
        <v>4</v>
      </c>
      <c r="S22" s="4">
        <f ca="1">IFERROR(__xludf.DUMMYFUNCTION("""COMPUTED_VALUE"""),5)</f>
        <v>5</v>
      </c>
      <c r="T22" s="4">
        <f ca="1">IFERROR(__xludf.DUMMYFUNCTION("""COMPUTED_VALUE"""),4)</f>
        <v>4</v>
      </c>
      <c r="U22" s="4">
        <f ca="1">IFERROR(__xludf.DUMMYFUNCTION("""COMPUTED_VALUE"""),5)</f>
        <v>5</v>
      </c>
      <c r="V22" s="4">
        <f ca="1">IFERROR(__xludf.DUMMYFUNCTION("""COMPUTED_VALUE"""),5)</f>
        <v>5</v>
      </c>
      <c r="W22" s="4">
        <f ca="1">IFERROR(__xludf.DUMMYFUNCTION("""COMPUTED_VALUE"""),4)</f>
        <v>4</v>
      </c>
      <c r="X22" s="4">
        <f ca="1">IFERROR(__xludf.DUMMYFUNCTION("""COMPUTED_VALUE"""),4)</f>
        <v>4</v>
      </c>
      <c r="Y22" s="4">
        <f ca="1">IFERROR(__xludf.DUMMYFUNCTION("""COMPUTED_VALUE"""),4)</f>
        <v>4</v>
      </c>
      <c r="Z22" s="4">
        <f ca="1">IFERROR(__xludf.DUMMYFUNCTION("""COMPUTED_VALUE"""),3)</f>
        <v>3</v>
      </c>
      <c r="AA22" s="4">
        <f ca="1">IFERROR(__xludf.DUMMYFUNCTION("""COMPUTED_VALUE"""),4)</f>
        <v>4</v>
      </c>
      <c r="AB22" s="4">
        <f ca="1">IFERROR(__xludf.DUMMYFUNCTION("""COMPUTED_VALUE"""),4)</f>
        <v>4</v>
      </c>
      <c r="AC22" s="4">
        <f ca="1">IFERROR(__xludf.DUMMYFUNCTION("""COMPUTED_VALUE"""),3)</f>
        <v>3</v>
      </c>
      <c r="AD22" s="4">
        <f ca="1">IFERROR(__xludf.DUMMYFUNCTION("""COMPUTED_VALUE"""),3)</f>
        <v>3</v>
      </c>
      <c r="AE22" s="4">
        <f ca="1">IFERROR(__xludf.DUMMYFUNCTION("""COMPUTED_VALUE"""),4)</f>
        <v>4</v>
      </c>
      <c r="AF22" s="4">
        <f ca="1">IFERROR(__xludf.DUMMYFUNCTION("""COMPUTED_VALUE"""),3)</f>
        <v>3</v>
      </c>
      <c r="AG22" s="4">
        <f ca="1">IFERROR(__xludf.DUMMYFUNCTION("""COMPUTED_VALUE"""),3)</f>
        <v>3</v>
      </c>
      <c r="AH22" s="4">
        <f ca="1">IFERROR(__xludf.DUMMYFUNCTION("""COMPUTED_VALUE"""),4)</f>
        <v>4</v>
      </c>
      <c r="AI22" s="4">
        <f ca="1">IFERROR(__xludf.DUMMYFUNCTION("""COMPUTED_VALUE"""),3)</f>
        <v>3</v>
      </c>
      <c r="AJ22" s="4">
        <f ca="1">IFERROR(__xludf.DUMMYFUNCTION("""COMPUTED_VALUE"""),4)</f>
        <v>4</v>
      </c>
      <c r="AK22" s="4">
        <f ca="1">IFERROR(__xludf.DUMMYFUNCTION("""COMPUTED_VALUE"""),4)</f>
        <v>4</v>
      </c>
      <c r="AL22" s="4">
        <f ca="1">IFERROR(__xludf.DUMMYFUNCTION("""COMPUTED_VALUE"""),5)</f>
        <v>5</v>
      </c>
      <c r="AM22" s="4">
        <f ca="1">IFERROR(__xludf.DUMMYFUNCTION("""COMPUTED_VALUE"""),3)</f>
        <v>3</v>
      </c>
      <c r="AN22" s="4">
        <f ca="1">IFERROR(__xludf.DUMMYFUNCTION("""COMPUTED_VALUE"""),4)</f>
        <v>4</v>
      </c>
      <c r="AO22" s="4">
        <f ca="1">IFERROR(__xludf.DUMMYFUNCTION("""COMPUTED_VALUE"""),4)</f>
        <v>4</v>
      </c>
      <c r="AP22" s="4">
        <f ca="1">IFERROR(__xludf.DUMMYFUNCTION("""COMPUTED_VALUE"""),3)</f>
        <v>3</v>
      </c>
      <c r="AQ22" s="4">
        <f ca="1">IFERROR(__xludf.DUMMYFUNCTION("""COMPUTED_VALUE"""),5)</f>
        <v>5</v>
      </c>
      <c r="AR22" s="4">
        <f ca="1">IFERROR(__xludf.DUMMYFUNCTION("""COMPUTED_VALUE"""),4)</f>
        <v>4</v>
      </c>
      <c r="AS22" s="4">
        <f ca="1">IFERROR(__xludf.DUMMYFUNCTION("""COMPUTED_VALUE"""),4)</f>
        <v>4</v>
      </c>
      <c r="AT22" s="4">
        <f ca="1">IFERROR(__xludf.DUMMYFUNCTION("""COMPUTED_VALUE"""),3)</f>
        <v>3</v>
      </c>
      <c r="AU22" s="4">
        <f ca="1">IFERROR(__xludf.DUMMYFUNCTION("""COMPUTED_VALUE"""),3)</f>
        <v>3</v>
      </c>
      <c r="AV22" s="4">
        <f ca="1">IFERROR(__xludf.DUMMYFUNCTION("""COMPUTED_VALUE"""),4)</f>
        <v>4</v>
      </c>
      <c r="AW22" s="4">
        <f ca="1">IFERROR(__xludf.DUMMYFUNCTION("""COMPUTED_VALUE"""),4)</f>
        <v>4</v>
      </c>
      <c r="AX22" s="4">
        <f ca="1">IFERROR(__xludf.DUMMYFUNCTION("""COMPUTED_VALUE"""),4)</f>
        <v>4</v>
      </c>
      <c r="AY22" s="4">
        <f ca="1">IFERROR(__xludf.DUMMYFUNCTION("""COMPUTED_VALUE"""),4)</f>
        <v>4</v>
      </c>
      <c r="AZ22" s="4">
        <f ca="1">IFERROR(__xludf.DUMMYFUNCTION("""COMPUTED_VALUE"""),4)</f>
        <v>4</v>
      </c>
      <c r="BA22" s="4">
        <f ca="1">IFERROR(__xludf.DUMMYFUNCTION("""COMPUTED_VALUE"""),4)</f>
        <v>4</v>
      </c>
      <c r="BB22" s="4">
        <f ca="1">IFERROR(__xludf.DUMMYFUNCTION("""COMPUTED_VALUE"""),4)</f>
        <v>4</v>
      </c>
      <c r="BC22" s="4">
        <f ca="1">IFERROR(__xludf.DUMMYFUNCTION("""COMPUTED_VALUE"""),4)</f>
        <v>4</v>
      </c>
      <c r="BD22" s="4">
        <f ca="1">IFERROR(__xludf.DUMMYFUNCTION("""COMPUTED_VALUE"""),3)</f>
        <v>3</v>
      </c>
      <c r="BE22" s="4">
        <f ca="1">IFERROR(__xludf.DUMMYFUNCTION("""COMPUTED_VALUE"""),4)</f>
        <v>4</v>
      </c>
      <c r="BF22" s="4">
        <f ca="1">IFERROR(__xludf.DUMMYFUNCTION("""COMPUTED_VALUE"""),4)</f>
        <v>4</v>
      </c>
      <c r="BG22" s="4">
        <f ca="1">IFERROR(__xludf.DUMMYFUNCTION("""COMPUTED_VALUE"""),3)</f>
        <v>3</v>
      </c>
      <c r="BH22" s="4">
        <f ca="1">IFERROR(__xludf.DUMMYFUNCTION("""COMPUTED_VALUE"""),4)</f>
        <v>4</v>
      </c>
      <c r="BI22" s="4">
        <f ca="1">IFERROR(__xludf.DUMMYFUNCTION("""COMPUTED_VALUE"""),4)</f>
        <v>4</v>
      </c>
      <c r="BJ22" s="4">
        <f ca="1">IFERROR(__xludf.DUMMYFUNCTION("""COMPUTED_VALUE"""),4)</f>
        <v>4</v>
      </c>
      <c r="BK22" s="4">
        <f ca="1">IFERROR(__xludf.DUMMYFUNCTION("""COMPUTED_VALUE"""),4)</f>
        <v>4</v>
      </c>
      <c r="BL22" s="4">
        <f ca="1">IFERROR(__xludf.DUMMYFUNCTION("""COMPUTED_VALUE"""),3)</f>
        <v>3</v>
      </c>
      <c r="BM22" s="4">
        <f ca="1">IFERROR(__xludf.DUMMYFUNCTION("""COMPUTED_VALUE"""),4)</f>
        <v>4</v>
      </c>
      <c r="BN22" s="4">
        <f ca="1">IFERROR(__xludf.DUMMYFUNCTION("""COMPUTED_VALUE"""),4)</f>
        <v>4</v>
      </c>
      <c r="BO22" s="4">
        <f ca="1">IFERROR(__xludf.DUMMYFUNCTION("""COMPUTED_VALUE"""),4)</f>
        <v>4</v>
      </c>
      <c r="BP22" s="4">
        <f ca="1">IFERROR(__xludf.DUMMYFUNCTION("""COMPUTED_VALUE"""),4)</f>
        <v>4</v>
      </c>
    </row>
    <row r="23" spans="1:68" x14ac:dyDescent="0.25">
      <c r="A23" s="4" t="str">
        <f ca="1">IFERROR(__xludf.DUMMYFUNCTION("""COMPUTED_VALUE"""),"2_ABaOnucbFrEY5SVX0suAsNypzBkQ0vNUKltfFnT7OZhJ9QR2q8lugF22mfEbkgsaQQ")</f>
        <v>2_ABaOnucbFrEY5SVX0suAsNypzBkQ0vNUKltfFnT7OZhJ9QR2q8lugF22mfEbkgsaQQ</v>
      </c>
      <c r="B23" s="5">
        <f ca="1">IFERROR(__xludf.DUMMYFUNCTION("""COMPUTED_VALUE"""),45966.6620599537)</f>
        <v>45966.662059953698</v>
      </c>
      <c r="C23" s="4" t="str">
        <f ca="1">IFERROR(__xludf.DUMMYFUNCTION("""COMPUTED_VALUE"""),"Nguyễn Như Yến")</f>
        <v>Nguyễn Như Yến</v>
      </c>
      <c r="D23" s="4" t="str">
        <f ca="1">IFERROR(__xludf.DUMMYFUNCTION("""COMPUTED_VALUE"""),"Nữ")</f>
        <v>Nữ</v>
      </c>
      <c r="E23" s="4" t="str">
        <f ca="1">IFERROR(__xludf.DUMMYFUNCTION("""COMPUTED_VALUE"""),"Công ty TNHH Kiểm toán và Dịch vụ tin học Moore AISC")</f>
        <v>Công ty TNHH Kiểm toán và Dịch vụ tin học Moore AISC</v>
      </c>
      <c r="F23" s="4" t="str">
        <f ca="1">IFERROR(__xludf.DUMMYFUNCTION("""COMPUTED_VALUE"""),"Chứng chỉ Kiểm toán viên")</f>
        <v>Chứng chỉ Kiểm toán viên</v>
      </c>
      <c r="G23" s="4" t="str">
        <f ca="1">IFERROR(__xludf.DUMMYFUNCTION("""COMPUTED_VALUE"""),"Trên 5 đến 10 năm")</f>
        <v>Trên 5 đến 10 năm</v>
      </c>
      <c r="H23" s="4" t="str">
        <f ca="1">IFERROR(__xludf.DUMMYFUNCTION("""COMPUTED_VALUE"""),"Trưởng phòng")</f>
        <v>Trưởng phòng</v>
      </c>
      <c r="I23" s="4">
        <f ca="1">IFERROR(__xludf.DUMMYFUNCTION("""COMPUTED_VALUE"""),5)</f>
        <v>5</v>
      </c>
      <c r="J23" s="4">
        <f ca="1">IFERROR(__xludf.DUMMYFUNCTION("""COMPUTED_VALUE"""),5)</f>
        <v>5</v>
      </c>
      <c r="K23" s="4">
        <f ca="1">IFERROR(__xludf.DUMMYFUNCTION("""COMPUTED_VALUE"""),5)</f>
        <v>5</v>
      </c>
      <c r="L23" s="4">
        <f ca="1">IFERROR(__xludf.DUMMYFUNCTION("""COMPUTED_VALUE"""),4)</f>
        <v>4</v>
      </c>
      <c r="M23" s="4">
        <f ca="1">IFERROR(__xludf.DUMMYFUNCTION("""COMPUTED_VALUE"""),5)</f>
        <v>5</v>
      </c>
      <c r="N23" s="4">
        <f ca="1">IFERROR(__xludf.DUMMYFUNCTION("""COMPUTED_VALUE"""),3)</f>
        <v>3</v>
      </c>
      <c r="O23" s="4">
        <f ca="1">IFERROR(__xludf.DUMMYFUNCTION("""COMPUTED_VALUE"""),4)</f>
        <v>4</v>
      </c>
      <c r="P23" s="4">
        <f ca="1">IFERROR(__xludf.DUMMYFUNCTION("""COMPUTED_VALUE"""),5)</f>
        <v>5</v>
      </c>
      <c r="Q23" s="4">
        <f ca="1">IFERROR(__xludf.DUMMYFUNCTION("""COMPUTED_VALUE"""),4)</f>
        <v>4</v>
      </c>
      <c r="R23" s="4">
        <f ca="1">IFERROR(__xludf.DUMMYFUNCTION("""COMPUTED_VALUE"""),5)</f>
        <v>5</v>
      </c>
      <c r="S23" s="4">
        <f ca="1">IFERROR(__xludf.DUMMYFUNCTION("""COMPUTED_VALUE"""),5)</f>
        <v>5</v>
      </c>
      <c r="T23" s="4">
        <f ca="1">IFERROR(__xludf.DUMMYFUNCTION("""COMPUTED_VALUE"""),5)</f>
        <v>5</v>
      </c>
      <c r="U23" s="4">
        <f ca="1">IFERROR(__xludf.DUMMYFUNCTION("""COMPUTED_VALUE"""),5)</f>
        <v>5</v>
      </c>
      <c r="V23" s="4">
        <f ca="1">IFERROR(__xludf.DUMMYFUNCTION("""COMPUTED_VALUE"""),5)</f>
        <v>5</v>
      </c>
      <c r="W23" s="4">
        <f ca="1">IFERROR(__xludf.DUMMYFUNCTION("""COMPUTED_VALUE"""),4)</f>
        <v>4</v>
      </c>
      <c r="X23" s="4">
        <f ca="1">IFERROR(__xludf.DUMMYFUNCTION("""COMPUTED_VALUE"""),4)</f>
        <v>4</v>
      </c>
      <c r="Y23" s="4">
        <f ca="1">IFERROR(__xludf.DUMMYFUNCTION("""COMPUTED_VALUE"""),4)</f>
        <v>4</v>
      </c>
      <c r="Z23" s="4">
        <f ca="1">IFERROR(__xludf.DUMMYFUNCTION("""COMPUTED_VALUE"""),4)</f>
        <v>4</v>
      </c>
      <c r="AA23" s="4">
        <f ca="1">IFERROR(__xludf.DUMMYFUNCTION("""COMPUTED_VALUE"""),4)</f>
        <v>4</v>
      </c>
      <c r="AB23" s="4">
        <f ca="1">IFERROR(__xludf.DUMMYFUNCTION("""COMPUTED_VALUE"""),4)</f>
        <v>4</v>
      </c>
      <c r="AC23" s="4">
        <f ca="1">IFERROR(__xludf.DUMMYFUNCTION("""COMPUTED_VALUE"""),4)</f>
        <v>4</v>
      </c>
      <c r="AD23" s="4">
        <f ca="1">IFERROR(__xludf.DUMMYFUNCTION("""COMPUTED_VALUE"""),4)</f>
        <v>4</v>
      </c>
      <c r="AE23" s="4">
        <f ca="1">IFERROR(__xludf.DUMMYFUNCTION("""COMPUTED_VALUE"""),5)</f>
        <v>5</v>
      </c>
      <c r="AF23" s="4">
        <f ca="1">IFERROR(__xludf.DUMMYFUNCTION("""COMPUTED_VALUE"""),5)</f>
        <v>5</v>
      </c>
      <c r="AG23" s="4">
        <f ca="1">IFERROR(__xludf.DUMMYFUNCTION("""COMPUTED_VALUE"""),5)</f>
        <v>5</v>
      </c>
      <c r="AH23" s="4">
        <f ca="1">IFERROR(__xludf.DUMMYFUNCTION("""COMPUTED_VALUE"""),5)</f>
        <v>5</v>
      </c>
      <c r="AI23" s="4">
        <f ca="1">IFERROR(__xludf.DUMMYFUNCTION("""COMPUTED_VALUE"""),4)</f>
        <v>4</v>
      </c>
      <c r="AJ23" s="4">
        <f ca="1">IFERROR(__xludf.DUMMYFUNCTION("""COMPUTED_VALUE"""),4)</f>
        <v>4</v>
      </c>
      <c r="AK23" s="4">
        <f ca="1">IFERROR(__xludf.DUMMYFUNCTION("""COMPUTED_VALUE"""),5)</f>
        <v>5</v>
      </c>
      <c r="AL23" s="4">
        <f ca="1">IFERROR(__xludf.DUMMYFUNCTION("""COMPUTED_VALUE"""),5)</f>
        <v>5</v>
      </c>
      <c r="AM23" s="4">
        <f ca="1">IFERROR(__xludf.DUMMYFUNCTION("""COMPUTED_VALUE"""),4)</f>
        <v>4</v>
      </c>
      <c r="AN23" s="4">
        <f ca="1">IFERROR(__xludf.DUMMYFUNCTION("""COMPUTED_VALUE"""),4)</f>
        <v>4</v>
      </c>
      <c r="AO23" s="4">
        <f ca="1">IFERROR(__xludf.DUMMYFUNCTION("""COMPUTED_VALUE"""),3)</f>
        <v>3</v>
      </c>
      <c r="AP23" s="4">
        <f ca="1">IFERROR(__xludf.DUMMYFUNCTION("""COMPUTED_VALUE"""),4)</f>
        <v>4</v>
      </c>
      <c r="AQ23" s="4">
        <f ca="1">IFERROR(__xludf.DUMMYFUNCTION("""COMPUTED_VALUE"""),4)</f>
        <v>4</v>
      </c>
      <c r="AR23" s="4">
        <f ca="1">IFERROR(__xludf.DUMMYFUNCTION("""COMPUTED_VALUE"""),4)</f>
        <v>4</v>
      </c>
      <c r="AS23" s="4">
        <f ca="1">IFERROR(__xludf.DUMMYFUNCTION("""COMPUTED_VALUE"""),4)</f>
        <v>4</v>
      </c>
      <c r="AT23" s="4">
        <f ca="1">IFERROR(__xludf.DUMMYFUNCTION("""COMPUTED_VALUE"""),3)</f>
        <v>3</v>
      </c>
      <c r="AU23" s="4">
        <f ca="1">IFERROR(__xludf.DUMMYFUNCTION("""COMPUTED_VALUE"""),5)</f>
        <v>5</v>
      </c>
      <c r="AV23" s="4">
        <f ca="1">IFERROR(__xludf.DUMMYFUNCTION("""COMPUTED_VALUE"""),4)</f>
        <v>4</v>
      </c>
      <c r="AW23" s="4">
        <f ca="1">IFERROR(__xludf.DUMMYFUNCTION("""COMPUTED_VALUE"""),4)</f>
        <v>4</v>
      </c>
      <c r="AX23" s="4">
        <f ca="1">IFERROR(__xludf.DUMMYFUNCTION("""COMPUTED_VALUE"""),5)</f>
        <v>5</v>
      </c>
      <c r="AY23" s="4">
        <f ca="1">IFERROR(__xludf.DUMMYFUNCTION("""COMPUTED_VALUE"""),5)</f>
        <v>5</v>
      </c>
      <c r="AZ23" s="4">
        <f ca="1">IFERROR(__xludf.DUMMYFUNCTION("""COMPUTED_VALUE"""),5)</f>
        <v>5</v>
      </c>
      <c r="BA23" s="4">
        <f ca="1">IFERROR(__xludf.DUMMYFUNCTION("""COMPUTED_VALUE"""),5)</f>
        <v>5</v>
      </c>
      <c r="BB23" s="4">
        <f ca="1">IFERROR(__xludf.DUMMYFUNCTION("""COMPUTED_VALUE"""),4)</f>
        <v>4</v>
      </c>
      <c r="BC23" s="4">
        <f ca="1">IFERROR(__xludf.DUMMYFUNCTION("""COMPUTED_VALUE"""),5)</f>
        <v>5</v>
      </c>
      <c r="BD23" s="4">
        <f ca="1">IFERROR(__xludf.DUMMYFUNCTION("""COMPUTED_VALUE"""),4)</f>
        <v>4</v>
      </c>
      <c r="BE23" s="4">
        <f ca="1">IFERROR(__xludf.DUMMYFUNCTION("""COMPUTED_VALUE"""),4)</f>
        <v>4</v>
      </c>
      <c r="BF23" s="4">
        <f ca="1">IFERROR(__xludf.DUMMYFUNCTION("""COMPUTED_VALUE"""),4)</f>
        <v>4</v>
      </c>
      <c r="BG23" s="4">
        <f ca="1">IFERROR(__xludf.DUMMYFUNCTION("""COMPUTED_VALUE"""),3)</f>
        <v>3</v>
      </c>
      <c r="BH23" s="4">
        <f ca="1">IFERROR(__xludf.DUMMYFUNCTION("""COMPUTED_VALUE"""),4)</f>
        <v>4</v>
      </c>
      <c r="BI23" s="4">
        <f ca="1">IFERROR(__xludf.DUMMYFUNCTION("""COMPUTED_VALUE"""),5)</f>
        <v>5</v>
      </c>
      <c r="BJ23" s="4">
        <f ca="1">IFERROR(__xludf.DUMMYFUNCTION("""COMPUTED_VALUE"""),4)</f>
        <v>4</v>
      </c>
      <c r="BK23" s="4">
        <f ca="1">IFERROR(__xludf.DUMMYFUNCTION("""COMPUTED_VALUE"""),5)</f>
        <v>5</v>
      </c>
      <c r="BL23" s="4">
        <f ca="1">IFERROR(__xludf.DUMMYFUNCTION("""COMPUTED_VALUE"""),3)</f>
        <v>3</v>
      </c>
      <c r="BM23" s="4">
        <f ca="1">IFERROR(__xludf.DUMMYFUNCTION("""COMPUTED_VALUE"""),5)</f>
        <v>5</v>
      </c>
      <c r="BN23" s="4">
        <f ca="1">IFERROR(__xludf.DUMMYFUNCTION("""COMPUTED_VALUE"""),5)</f>
        <v>5</v>
      </c>
      <c r="BO23" s="4">
        <f ca="1">IFERROR(__xludf.DUMMYFUNCTION("""COMPUTED_VALUE"""),5)</f>
        <v>5</v>
      </c>
      <c r="BP23" s="4">
        <f ca="1">IFERROR(__xludf.DUMMYFUNCTION("""COMPUTED_VALUE"""),4)</f>
        <v>4</v>
      </c>
    </row>
    <row r="24" spans="1:68" x14ac:dyDescent="0.25">
      <c r="A24" s="4" t="str">
        <f ca="1">IFERROR(__xludf.DUMMYFUNCTION("""COMPUTED_VALUE"""),"2_ABaOnudXyJQeH9669Q5fgWEJ5zoCxb1J7GHc7xCPWvGUHFIL00Dvmxeygmv65N6QXg")</f>
        <v>2_ABaOnudXyJQeH9669Q5fgWEJ5zoCxb1J7GHc7xCPWvGUHFIL00Dvmxeygmv65N6QXg</v>
      </c>
      <c r="B24" s="5">
        <f ca="1">IFERROR(__xludf.DUMMYFUNCTION("""COMPUTED_VALUE"""),45966.7023039699)</f>
        <v>45966.702303969898</v>
      </c>
      <c r="C24" s="4" t="str">
        <f ca="1">IFERROR(__xludf.DUMMYFUNCTION("""COMPUTED_VALUE"""),"Trình Quốc Việt")</f>
        <v>Trình Quốc Việt</v>
      </c>
      <c r="D24" s="4" t="str">
        <f ca="1">IFERROR(__xludf.DUMMYFUNCTION("""COMPUTED_VALUE"""),"Nam")</f>
        <v>Nam</v>
      </c>
      <c r="E24" s="4" t="str">
        <f ca="1">IFERROR(__xludf.DUMMYFUNCTION("""COMPUTED_VALUE"""),"Công ty TNHH kiểm toán Thái Bình Dương")</f>
        <v>Công ty TNHH kiểm toán Thái Bình Dương</v>
      </c>
      <c r="F24" s="4" t="str">
        <f ca="1">IFERROR(__xludf.DUMMYFUNCTION("""COMPUTED_VALUE"""),"Đại học, Chứng chỉ Kiểm toán viên")</f>
        <v>Đại học, Chứng chỉ Kiểm toán viên</v>
      </c>
      <c r="G24" s="4" t="str">
        <f ca="1">IFERROR(__xludf.DUMMYFUNCTION("""COMPUTED_VALUE"""),"Trên 20 năm")</f>
        <v>Trên 20 năm</v>
      </c>
      <c r="H24" s="4" t="str">
        <f ca="1">IFERROR(__xludf.DUMMYFUNCTION("""COMPUTED_VALUE"""),"Ban giám đốc")</f>
        <v>Ban giám đốc</v>
      </c>
      <c r="I24" s="4">
        <f ca="1">IFERROR(__xludf.DUMMYFUNCTION("""COMPUTED_VALUE"""),5)</f>
        <v>5</v>
      </c>
      <c r="J24" s="4">
        <f ca="1">IFERROR(__xludf.DUMMYFUNCTION("""COMPUTED_VALUE"""),5)</f>
        <v>5</v>
      </c>
      <c r="K24" s="4">
        <f ca="1">IFERROR(__xludf.DUMMYFUNCTION("""COMPUTED_VALUE"""),5)</f>
        <v>5</v>
      </c>
      <c r="L24" s="4">
        <f ca="1">IFERROR(__xludf.DUMMYFUNCTION("""COMPUTED_VALUE"""),5)</f>
        <v>5</v>
      </c>
      <c r="M24" s="4">
        <f ca="1">IFERROR(__xludf.DUMMYFUNCTION("""COMPUTED_VALUE"""),5)</f>
        <v>5</v>
      </c>
      <c r="N24" s="4">
        <f ca="1">IFERROR(__xludf.DUMMYFUNCTION("""COMPUTED_VALUE"""),4)</f>
        <v>4</v>
      </c>
      <c r="O24" s="4">
        <f ca="1">IFERROR(__xludf.DUMMYFUNCTION("""COMPUTED_VALUE"""),5)</f>
        <v>5</v>
      </c>
      <c r="P24" s="4">
        <f ca="1">IFERROR(__xludf.DUMMYFUNCTION("""COMPUTED_VALUE"""),5)</f>
        <v>5</v>
      </c>
      <c r="Q24" s="4">
        <f ca="1">IFERROR(__xludf.DUMMYFUNCTION("""COMPUTED_VALUE"""),5)</f>
        <v>5</v>
      </c>
      <c r="R24" s="4">
        <f ca="1">IFERROR(__xludf.DUMMYFUNCTION("""COMPUTED_VALUE"""),5)</f>
        <v>5</v>
      </c>
      <c r="S24" s="4">
        <f ca="1">IFERROR(__xludf.DUMMYFUNCTION("""COMPUTED_VALUE"""),5)</f>
        <v>5</v>
      </c>
      <c r="T24" s="4">
        <f ca="1">IFERROR(__xludf.DUMMYFUNCTION("""COMPUTED_VALUE"""),5)</f>
        <v>5</v>
      </c>
      <c r="U24" s="4">
        <f ca="1">IFERROR(__xludf.DUMMYFUNCTION("""COMPUTED_VALUE"""),5)</f>
        <v>5</v>
      </c>
      <c r="V24" s="4">
        <f ca="1">IFERROR(__xludf.DUMMYFUNCTION("""COMPUTED_VALUE"""),5)</f>
        <v>5</v>
      </c>
      <c r="W24" s="4">
        <f ca="1">IFERROR(__xludf.DUMMYFUNCTION("""COMPUTED_VALUE"""),5)</f>
        <v>5</v>
      </c>
      <c r="X24" s="4">
        <f ca="1">IFERROR(__xludf.DUMMYFUNCTION("""COMPUTED_VALUE"""),5)</f>
        <v>5</v>
      </c>
      <c r="Y24" s="4">
        <f ca="1">IFERROR(__xludf.DUMMYFUNCTION("""COMPUTED_VALUE"""),5)</f>
        <v>5</v>
      </c>
      <c r="Z24" s="4">
        <f ca="1">IFERROR(__xludf.DUMMYFUNCTION("""COMPUTED_VALUE"""),5)</f>
        <v>5</v>
      </c>
      <c r="AA24" s="4">
        <f ca="1">IFERROR(__xludf.DUMMYFUNCTION("""COMPUTED_VALUE"""),5)</f>
        <v>5</v>
      </c>
      <c r="AB24" s="4">
        <f ca="1">IFERROR(__xludf.DUMMYFUNCTION("""COMPUTED_VALUE"""),4)</f>
        <v>4</v>
      </c>
      <c r="AC24" s="4">
        <f ca="1">IFERROR(__xludf.DUMMYFUNCTION("""COMPUTED_VALUE"""),2)</f>
        <v>2</v>
      </c>
      <c r="AD24" s="4">
        <f ca="1">IFERROR(__xludf.DUMMYFUNCTION("""COMPUTED_VALUE"""),3)</f>
        <v>3</v>
      </c>
      <c r="AE24" s="4">
        <f ca="1">IFERROR(__xludf.DUMMYFUNCTION("""COMPUTED_VALUE"""),4)</f>
        <v>4</v>
      </c>
      <c r="AF24" s="4">
        <f ca="1">IFERROR(__xludf.DUMMYFUNCTION("""COMPUTED_VALUE"""),5)</f>
        <v>5</v>
      </c>
      <c r="AG24" s="4">
        <f ca="1">IFERROR(__xludf.DUMMYFUNCTION("""COMPUTED_VALUE"""),5)</f>
        <v>5</v>
      </c>
      <c r="AH24" s="4">
        <f ca="1">IFERROR(__xludf.DUMMYFUNCTION("""COMPUTED_VALUE"""),5)</f>
        <v>5</v>
      </c>
      <c r="AI24" s="4">
        <f ca="1">IFERROR(__xludf.DUMMYFUNCTION("""COMPUTED_VALUE"""),5)</f>
        <v>5</v>
      </c>
      <c r="AJ24" s="4">
        <f ca="1">IFERROR(__xludf.DUMMYFUNCTION("""COMPUTED_VALUE"""),5)</f>
        <v>5</v>
      </c>
      <c r="AK24" s="4">
        <f ca="1">IFERROR(__xludf.DUMMYFUNCTION("""COMPUTED_VALUE"""),5)</f>
        <v>5</v>
      </c>
      <c r="AL24" s="4">
        <f ca="1">IFERROR(__xludf.DUMMYFUNCTION("""COMPUTED_VALUE"""),5)</f>
        <v>5</v>
      </c>
      <c r="AM24" s="4">
        <f ca="1">IFERROR(__xludf.DUMMYFUNCTION("""COMPUTED_VALUE"""),5)</f>
        <v>5</v>
      </c>
      <c r="AN24" s="4">
        <f ca="1">IFERROR(__xludf.DUMMYFUNCTION("""COMPUTED_VALUE"""),5)</f>
        <v>5</v>
      </c>
      <c r="AO24" s="4">
        <f ca="1">IFERROR(__xludf.DUMMYFUNCTION("""COMPUTED_VALUE"""),4)</f>
        <v>4</v>
      </c>
      <c r="AP24" s="4">
        <f ca="1">IFERROR(__xludf.DUMMYFUNCTION("""COMPUTED_VALUE"""),4)</f>
        <v>4</v>
      </c>
      <c r="AQ24" s="4">
        <f ca="1">IFERROR(__xludf.DUMMYFUNCTION("""COMPUTED_VALUE"""),4)</f>
        <v>4</v>
      </c>
      <c r="AR24" s="4">
        <f ca="1">IFERROR(__xludf.DUMMYFUNCTION("""COMPUTED_VALUE"""),4)</f>
        <v>4</v>
      </c>
      <c r="AS24" s="4">
        <f ca="1">IFERROR(__xludf.DUMMYFUNCTION("""COMPUTED_VALUE"""),4)</f>
        <v>4</v>
      </c>
      <c r="AT24" s="4">
        <f ca="1">IFERROR(__xludf.DUMMYFUNCTION("""COMPUTED_VALUE"""),4)</f>
        <v>4</v>
      </c>
      <c r="AU24" s="4">
        <f ca="1">IFERROR(__xludf.DUMMYFUNCTION("""COMPUTED_VALUE"""),4)</f>
        <v>4</v>
      </c>
      <c r="AV24" s="4">
        <f ca="1">IFERROR(__xludf.DUMMYFUNCTION("""COMPUTED_VALUE"""),4)</f>
        <v>4</v>
      </c>
      <c r="AW24" s="4">
        <f ca="1">IFERROR(__xludf.DUMMYFUNCTION("""COMPUTED_VALUE"""),4)</f>
        <v>4</v>
      </c>
      <c r="AX24" s="4">
        <f ca="1">IFERROR(__xludf.DUMMYFUNCTION("""COMPUTED_VALUE"""),5)</f>
        <v>5</v>
      </c>
      <c r="AY24" s="4">
        <f ca="1">IFERROR(__xludf.DUMMYFUNCTION("""COMPUTED_VALUE"""),5)</f>
        <v>5</v>
      </c>
      <c r="AZ24" s="4">
        <f ca="1">IFERROR(__xludf.DUMMYFUNCTION("""COMPUTED_VALUE"""),5)</f>
        <v>5</v>
      </c>
      <c r="BA24" s="4">
        <f ca="1">IFERROR(__xludf.DUMMYFUNCTION("""COMPUTED_VALUE"""),5)</f>
        <v>5</v>
      </c>
      <c r="BB24" s="4">
        <f ca="1">IFERROR(__xludf.DUMMYFUNCTION("""COMPUTED_VALUE"""),4)</f>
        <v>4</v>
      </c>
      <c r="BC24" s="4">
        <f ca="1">IFERROR(__xludf.DUMMYFUNCTION("""COMPUTED_VALUE"""),5)</f>
        <v>5</v>
      </c>
      <c r="BD24" s="4">
        <f ca="1">IFERROR(__xludf.DUMMYFUNCTION("""COMPUTED_VALUE"""),3)</f>
        <v>3</v>
      </c>
      <c r="BE24" s="4">
        <f ca="1">IFERROR(__xludf.DUMMYFUNCTION("""COMPUTED_VALUE"""),3)</f>
        <v>3</v>
      </c>
      <c r="BF24" s="4">
        <f ca="1">IFERROR(__xludf.DUMMYFUNCTION("""COMPUTED_VALUE"""),3)</f>
        <v>3</v>
      </c>
      <c r="BG24" s="4">
        <f ca="1">IFERROR(__xludf.DUMMYFUNCTION("""COMPUTED_VALUE"""),3)</f>
        <v>3</v>
      </c>
      <c r="BH24" s="4">
        <f ca="1">IFERROR(__xludf.DUMMYFUNCTION("""COMPUTED_VALUE"""),5)</f>
        <v>5</v>
      </c>
      <c r="BI24" s="4">
        <f ca="1">IFERROR(__xludf.DUMMYFUNCTION("""COMPUTED_VALUE"""),5)</f>
        <v>5</v>
      </c>
      <c r="BJ24" s="4">
        <f ca="1">IFERROR(__xludf.DUMMYFUNCTION("""COMPUTED_VALUE"""),5)</f>
        <v>5</v>
      </c>
      <c r="BK24" s="4">
        <f ca="1">IFERROR(__xludf.DUMMYFUNCTION("""COMPUTED_VALUE"""),5)</f>
        <v>5</v>
      </c>
      <c r="BL24" s="4">
        <f ca="1">IFERROR(__xludf.DUMMYFUNCTION("""COMPUTED_VALUE"""),5)</f>
        <v>5</v>
      </c>
      <c r="BM24" s="4">
        <f ca="1">IFERROR(__xludf.DUMMYFUNCTION("""COMPUTED_VALUE"""),5)</f>
        <v>5</v>
      </c>
      <c r="BN24" s="4">
        <f ca="1">IFERROR(__xludf.DUMMYFUNCTION("""COMPUTED_VALUE"""),5)</f>
        <v>5</v>
      </c>
      <c r="BO24" s="4">
        <f ca="1">IFERROR(__xludf.DUMMYFUNCTION("""COMPUTED_VALUE"""),5)</f>
        <v>5</v>
      </c>
      <c r="BP24" s="4">
        <f ca="1">IFERROR(__xludf.DUMMYFUNCTION("""COMPUTED_VALUE"""),5)</f>
        <v>5</v>
      </c>
    </row>
    <row r="25" spans="1:68" x14ac:dyDescent="0.25">
      <c r="A25" s="4" t="str">
        <f ca="1">IFERROR(__xludf.DUMMYFUNCTION("""COMPUTED_VALUE"""),"2_ABaOnufBJySDSod0ZzuK-Td5iFiJdo-tV0USCtMbJJjl6hh53eWLru7aW5XNS1oxjg")</f>
        <v>2_ABaOnufBJySDSod0ZzuK-Td5iFiJdo-tV0USCtMbJJjl6hh53eWLru7aW5XNS1oxjg</v>
      </c>
      <c r="B25" s="5">
        <f ca="1">IFERROR(__xludf.DUMMYFUNCTION("""COMPUTED_VALUE"""),45966.7045276273)</f>
        <v>45966.704527627298</v>
      </c>
      <c r="C25" s="4" t="str">
        <f ca="1">IFERROR(__xludf.DUMMYFUNCTION("""COMPUTED_VALUE"""),"Lê Thị Bích Nga")</f>
        <v>Lê Thị Bích Nga</v>
      </c>
      <c r="D25" s="4" t="str">
        <f ca="1">IFERROR(__xludf.DUMMYFUNCTION("""COMPUTED_VALUE"""),"Nữ")</f>
        <v>Nữ</v>
      </c>
      <c r="E25" s="4" t="str">
        <f ca="1">IFERROR(__xludf.DUMMYFUNCTION("""COMPUTED_VALUE"""),"Công ty TNHH Kiểm toán KMF")</f>
        <v>Công ty TNHH Kiểm toán KMF</v>
      </c>
      <c r="F25" s="4" t="str">
        <f ca="1">IFERROR(__xludf.DUMMYFUNCTION("""COMPUTED_VALUE"""),"Sau đại học")</f>
        <v>Sau đại học</v>
      </c>
      <c r="G25" s="4" t="str">
        <f ca="1">IFERROR(__xludf.DUMMYFUNCTION("""COMPUTED_VALUE"""),"Từ 3 đến 5 năm")</f>
        <v>Từ 3 đến 5 năm</v>
      </c>
      <c r="H25" s="4" t="str">
        <f ca="1">IFERROR(__xludf.DUMMYFUNCTION("""COMPUTED_VALUE"""),"Kiểm toán viên/Trưởng nhóm")</f>
        <v>Kiểm toán viên/Trưởng nhóm</v>
      </c>
      <c r="I25" s="4">
        <f ca="1">IFERROR(__xludf.DUMMYFUNCTION("""COMPUTED_VALUE"""),5)</f>
        <v>5</v>
      </c>
      <c r="J25" s="4">
        <f ca="1">IFERROR(__xludf.DUMMYFUNCTION("""COMPUTED_VALUE"""),5)</f>
        <v>5</v>
      </c>
      <c r="K25" s="4">
        <f ca="1">IFERROR(__xludf.DUMMYFUNCTION("""COMPUTED_VALUE"""),5)</f>
        <v>5</v>
      </c>
      <c r="L25" s="4">
        <f ca="1">IFERROR(__xludf.DUMMYFUNCTION("""COMPUTED_VALUE"""),5)</f>
        <v>5</v>
      </c>
      <c r="M25" s="4">
        <f ca="1">IFERROR(__xludf.DUMMYFUNCTION("""COMPUTED_VALUE"""),5)</f>
        <v>5</v>
      </c>
      <c r="N25" s="4">
        <f ca="1">IFERROR(__xludf.DUMMYFUNCTION("""COMPUTED_VALUE"""),5)</f>
        <v>5</v>
      </c>
      <c r="O25" s="4">
        <f ca="1">IFERROR(__xludf.DUMMYFUNCTION("""COMPUTED_VALUE"""),5)</f>
        <v>5</v>
      </c>
      <c r="P25" s="4">
        <f ca="1">IFERROR(__xludf.DUMMYFUNCTION("""COMPUTED_VALUE"""),5)</f>
        <v>5</v>
      </c>
      <c r="Q25" s="4">
        <f ca="1">IFERROR(__xludf.DUMMYFUNCTION("""COMPUTED_VALUE"""),5)</f>
        <v>5</v>
      </c>
      <c r="R25" s="4">
        <f ca="1">IFERROR(__xludf.DUMMYFUNCTION("""COMPUTED_VALUE"""),4)</f>
        <v>4</v>
      </c>
      <c r="S25" s="4">
        <f ca="1">IFERROR(__xludf.DUMMYFUNCTION("""COMPUTED_VALUE"""),4)</f>
        <v>4</v>
      </c>
      <c r="T25" s="4">
        <f ca="1">IFERROR(__xludf.DUMMYFUNCTION("""COMPUTED_VALUE"""),4)</f>
        <v>4</v>
      </c>
      <c r="U25" s="4">
        <f ca="1">IFERROR(__xludf.DUMMYFUNCTION("""COMPUTED_VALUE"""),4)</f>
        <v>4</v>
      </c>
      <c r="V25" s="4">
        <f ca="1">IFERROR(__xludf.DUMMYFUNCTION("""COMPUTED_VALUE"""),4)</f>
        <v>4</v>
      </c>
      <c r="W25" s="4">
        <f ca="1">IFERROR(__xludf.DUMMYFUNCTION("""COMPUTED_VALUE"""),4)</f>
        <v>4</v>
      </c>
      <c r="X25" s="4">
        <f ca="1">IFERROR(__xludf.DUMMYFUNCTION("""COMPUTED_VALUE"""),4)</f>
        <v>4</v>
      </c>
      <c r="Y25" s="4">
        <f ca="1">IFERROR(__xludf.DUMMYFUNCTION("""COMPUTED_VALUE"""),4)</f>
        <v>4</v>
      </c>
      <c r="Z25" s="4">
        <f ca="1">IFERROR(__xludf.DUMMYFUNCTION("""COMPUTED_VALUE"""),4)</f>
        <v>4</v>
      </c>
      <c r="AA25" s="4">
        <f ca="1">IFERROR(__xludf.DUMMYFUNCTION("""COMPUTED_VALUE"""),4)</f>
        <v>4</v>
      </c>
      <c r="AB25" s="4">
        <f ca="1">IFERROR(__xludf.DUMMYFUNCTION("""COMPUTED_VALUE"""),4)</f>
        <v>4</v>
      </c>
      <c r="AC25" s="4">
        <f ca="1">IFERROR(__xludf.DUMMYFUNCTION("""COMPUTED_VALUE"""),4)</f>
        <v>4</v>
      </c>
      <c r="AD25" s="4">
        <f ca="1">IFERROR(__xludf.DUMMYFUNCTION("""COMPUTED_VALUE"""),4)</f>
        <v>4</v>
      </c>
      <c r="AE25" s="4">
        <f ca="1">IFERROR(__xludf.DUMMYFUNCTION("""COMPUTED_VALUE"""),4)</f>
        <v>4</v>
      </c>
      <c r="AF25" s="4">
        <f ca="1">IFERROR(__xludf.DUMMYFUNCTION("""COMPUTED_VALUE"""),4)</f>
        <v>4</v>
      </c>
      <c r="AG25" s="4">
        <f ca="1">IFERROR(__xludf.DUMMYFUNCTION("""COMPUTED_VALUE"""),4)</f>
        <v>4</v>
      </c>
      <c r="AH25" s="4">
        <f ca="1">IFERROR(__xludf.DUMMYFUNCTION("""COMPUTED_VALUE"""),4)</f>
        <v>4</v>
      </c>
      <c r="AI25" s="4">
        <f ca="1">IFERROR(__xludf.DUMMYFUNCTION("""COMPUTED_VALUE"""),4)</f>
        <v>4</v>
      </c>
      <c r="AJ25" s="4">
        <f ca="1">IFERROR(__xludf.DUMMYFUNCTION("""COMPUTED_VALUE"""),4)</f>
        <v>4</v>
      </c>
      <c r="AK25" s="4">
        <f ca="1">IFERROR(__xludf.DUMMYFUNCTION("""COMPUTED_VALUE"""),4)</f>
        <v>4</v>
      </c>
      <c r="AL25" s="4">
        <f ca="1">IFERROR(__xludf.DUMMYFUNCTION("""COMPUTED_VALUE"""),4)</f>
        <v>4</v>
      </c>
      <c r="AM25" s="4">
        <f ca="1">IFERROR(__xludf.DUMMYFUNCTION("""COMPUTED_VALUE"""),4)</f>
        <v>4</v>
      </c>
      <c r="AN25" s="4">
        <f ca="1">IFERROR(__xludf.DUMMYFUNCTION("""COMPUTED_VALUE"""),4)</f>
        <v>4</v>
      </c>
      <c r="AO25" s="4">
        <f ca="1">IFERROR(__xludf.DUMMYFUNCTION("""COMPUTED_VALUE"""),3)</f>
        <v>3</v>
      </c>
      <c r="AP25" s="4">
        <f ca="1">IFERROR(__xludf.DUMMYFUNCTION("""COMPUTED_VALUE"""),3)</f>
        <v>3</v>
      </c>
      <c r="AQ25" s="4">
        <f ca="1">IFERROR(__xludf.DUMMYFUNCTION("""COMPUTED_VALUE"""),3)</f>
        <v>3</v>
      </c>
      <c r="AR25" s="4">
        <f ca="1">IFERROR(__xludf.DUMMYFUNCTION("""COMPUTED_VALUE"""),3)</f>
        <v>3</v>
      </c>
      <c r="AS25" s="4">
        <f ca="1">IFERROR(__xludf.DUMMYFUNCTION("""COMPUTED_VALUE"""),3)</f>
        <v>3</v>
      </c>
      <c r="AT25" s="4">
        <f ca="1">IFERROR(__xludf.DUMMYFUNCTION("""COMPUTED_VALUE"""),3)</f>
        <v>3</v>
      </c>
      <c r="AU25" s="4">
        <f ca="1">IFERROR(__xludf.DUMMYFUNCTION("""COMPUTED_VALUE"""),3)</f>
        <v>3</v>
      </c>
      <c r="AV25" s="4">
        <f ca="1">IFERROR(__xludf.DUMMYFUNCTION("""COMPUTED_VALUE"""),3)</f>
        <v>3</v>
      </c>
      <c r="AW25" s="4">
        <f ca="1">IFERROR(__xludf.DUMMYFUNCTION("""COMPUTED_VALUE"""),3)</f>
        <v>3</v>
      </c>
      <c r="AX25" s="4">
        <f ca="1">IFERROR(__xludf.DUMMYFUNCTION("""COMPUTED_VALUE"""),4)</f>
        <v>4</v>
      </c>
      <c r="AY25" s="4">
        <f ca="1">IFERROR(__xludf.DUMMYFUNCTION("""COMPUTED_VALUE"""),4)</f>
        <v>4</v>
      </c>
      <c r="AZ25" s="4">
        <f ca="1">IFERROR(__xludf.DUMMYFUNCTION("""COMPUTED_VALUE"""),4)</f>
        <v>4</v>
      </c>
      <c r="BA25" s="4">
        <f ca="1">IFERROR(__xludf.DUMMYFUNCTION("""COMPUTED_VALUE"""),4)</f>
        <v>4</v>
      </c>
      <c r="BB25" s="4">
        <f ca="1">IFERROR(__xludf.DUMMYFUNCTION("""COMPUTED_VALUE"""),3)</f>
        <v>3</v>
      </c>
      <c r="BC25" s="4">
        <f ca="1">IFERROR(__xludf.DUMMYFUNCTION("""COMPUTED_VALUE"""),3)</f>
        <v>3</v>
      </c>
      <c r="BD25" s="4">
        <f ca="1">IFERROR(__xludf.DUMMYFUNCTION("""COMPUTED_VALUE"""),3)</f>
        <v>3</v>
      </c>
      <c r="BE25" s="4">
        <f ca="1">IFERROR(__xludf.DUMMYFUNCTION("""COMPUTED_VALUE"""),3)</f>
        <v>3</v>
      </c>
      <c r="BF25" s="4">
        <f ca="1">IFERROR(__xludf.DUMMYFUNCTION("""COMPUTED_VALUE"""),3)</f>
        <v>3</v>
      </c>
      <c r="BG25" s="4">
        <f ca="1">IFERROR(__xludf.DUMMYFUNCTION("""COMPUTED_VALUE"""),3)</f>
        <v>3</v>
      </c>
      <c r="BH25" s="4">
        <f ca="1">IFERROR(__xludf.DUMMYFUNCTION("""COMPUTED_VALUE"""),4)</f>
        <v>4</v>
      </c>
      <c r="BI25" s="4">
        <f ca="1">IFERROR(__xludf.DUMMYFUNCTION("""COMPUTED_VALUE"""),4)</f>
        <v>4</v>
      </c>
      <c r="BJ25" s="4">
        <f ca="1">IFERROR(__xludf.DUMMYFUNCTION("""COMPUTED_VALUE"""),4)</f>
        <v>4</v>
      </c>
      <c r="BK25" s="4">
        <f ca="1">IFERROR(__xludf.DUMMYFUNCTION("""COMPUTED_VALUE"""),4)</f>
        <v>4</v>
      </c>
      <c r="BL25" s="4">
        <f ca="1">IFERROR(__xludf.DUMMYFUNCTION("""COMPUTED_VALUE"""),4)</f>
        <v>4</v>
      </c>
      <c r="BM25" s="4">
        <f ca="1">IFERROR(__xludf.DUMMYFUNCTION("""COMPUTED_VALUE"""),4)</f>
        <v>4</v>
      </c>
      <c r="BN25" s="4">
        <f ca="1">IFERROR(__xludf.DUMMYFUNCTION("""COMPUTED_VALUE"""),4)</f>
        <v>4</v>
      </c>
      <c r="BO25" s="4">
        <f ca="1">IFERROR(__xludf.DUMMYFUNCTION("""COMPUTED_VALUE"""),4)</f>
        <v>4</v>
      </c>
      <c r="BP25" s="4">
        <f ca="1">IFERROR(__xludf.DUMMYFUNCTION("""COMPUTED_VALUE"""),4)</f>
        <v>4</v>
      </c>
    </row>
    <row r="26" spans="1:68" x14ac:dyDescent="0.25">
      <c r="A26" s="4" t="str">
        <f ca="1">IFERROR(__xludf.DUMMYFUNCTION("""COMPUTED_VALUE"""),"2_ABaOnudrOLv1zMWukse6gqnPCQ0MjWuW4RP9JcYjPPpqPTkglFC43ISmdVhyVU-fRQ")</f>
        <v>2_ABaOnudrOLv1zMWukse6gqnPCQ0MjWuW4RP9JcYjPPpqPTkglFC43ISmdVhyVU-fRQ</v>
      </c>
      <c r="B26" s="5">
        <f ca="1">IFERROR(__xludf.DUMMYFUNCTION("""COMPUTED_VALUE"""),45966.712143449)</f>
        <v>45966.712143449004</v>
      </c>
      <c r="C26" s="4"/>
      <c r="D26" s="4" t="str">
        <f ca="1">IFERROR(__xludf.DUMMYFUNCTION("""COMPUTED_VALUE"""),"Nữ")</f>
        <v>Nữ</v>
      </c>
      <c r="E26" s="4" t="str">
        <f ca="1">IFERROR(__xludf.DUMMYFUNCTION("""COMPUTED_VALUE"""),"Công ty TNHH Kiểm toán và DVTH MOORE AISC")</f>
        <v>Công ty TNHH Kiểm toán và DVTH MOORE AISC</v>
      </c>
      <c r="F26" s="4" t="str">
        <f ca="1">IFERROR(__xludf.DUMMYFUNCTION("""COMPUTED_VALUE"""),"Sau đại học, Chứng chỉ Kiểm toán viên")</f>
        <v>Sau đại học, Chứng chỉ Kiểm toán viên</v>
      </c>
      <c r="G26" s="4" t="str">
        <f ca="1">IFERROR(__xludf.DUMMYFUNCTION("""COMPUTED_VALUE"""),"Trên 20 năm")</f>
        <v>Trên 20 năm</v>
      </c>
      <c r="H26" s="4" t="str">
        <f ca="1">IFERROR(__xludf.DUMMYFUNCTION("""COMPUTED_VALUE"""),"Ban giám đốc")</f>
        <v>Ban giám đốc</v>
      </c>
      <c r="I26" s="4">
        <f ca="1">IFERROR(__xludf.DUMMYFUNCTION("""COMPUTED_VALUE"""),5)</f>
        <v>5</v>
      </c>
      <c r="J26" s="4">
        <f ca="1">IFERROR(__xludf.DUMMYFUNCTION("""COMPUTED_VALUE"""),5)</f>
        <v>5</v>
      </c>
      <c r="K26" s="4">
        <f ca="1">IFERROR(__xludf.DUMMYFUNCTION("""COMPUTED_VALUE"""),3)</f>
        <v>3</v>
      </c>
      <c r="L26" s="4">
        <f ca="1">IFERROR(__xludf.DUMMYFUNCTION("""COMPUTED_VALUE"""),4)</f>
        <v>4</v>
      </c>
      <c r="M26" s="4">
        <f ca="1">IFERROR(__xludf.DUMMYFUNCTION("""COMPUTED_VALUE"""),4)</f>
        <v>4</v>
      </c>
      <c r="N26" s="4">
        <f ca="1">IFERROR(__xludf.DUMMYFUNCTION("""COMPUTED_VALUE"""),3)</f>
        <v>3</v>
      </c>
      <c r="O26" s="4">
        <f ca="1">IFERROR(__xludf.DUMMYFUNCTION("""COMPUTED_VALUE"""),3)</f>
        <v>3</v>
      </c>
      <c r="P26" s="4">
        <f ca="1">IFERROR(__xludf.DUMMYFUNCTION("""COMPUTED_VALUE"""),4)</f>
        <v>4</v>
      </c>
      <c r="Q26" s="4">
        <f ca="1">IFERROR(__xludf.DUMMYFUNCTION("""COMPUTED_VALUE"""),5)</f>
        <v>5</v>
      </c>
      <c r="R26" s="4">
        <f ca="1">IFERROR(__xludf.DUMMYFUNCTION("""COMPUTED_VALUE"""),4)</f>
        <v>4</v>
      </c>
      <c r="S26" s="4">
        <f ca="1">IFERROR(__xludf.DUMMYFUNCTION("""COMPUTED_VALUE"""),4)</f>
        <v>4</v>
      </c>
      <c r="T26" s="4">
        <f ca="1">IFERROR(__xludf.DUMMYFUNCTION("""COMPUTED_VALUE"""),4)</f>
        <v>4</v>
      </c>
      <c r="U26" s="4">
        <f ca="1">IFERROR(__xludf.DUMMYFUNCTION("""COMPUTED_VALUE"""),5)</f>
        <v>5</v>
      </c>
      <c r="V26" s="4">
        <f ca="1">IFERROR(__xludf.DUMMYFUNCTION("""COMPUTED_VALUE"""),4)</f>
        <v>4</v>
      </c>
      <c r="W26" s="4">
        <f ca="1">IFERROR(__xludf.DUMMYFUNCTION("""COMPUTED_VALUE"""),3)</f>
        <v>3</v>
      </c>
      <c r="X26" s="4">
        <f ca="1">IFERROR(__xludf.DUMMYFUNCTION("""COMPUTED_VALUE"""),3)</f>
        <v>3</v>
      </c>
      <c r="Y26" s="4">
        <f ca="1">IFERROR(__xludf.DUMMYFUNCTION("""COMPUTED_VALUE"""),4)</f>
        <v>4</v>
      </c>
      <c r="Z26" s="4">
        <f ca="1">IFERROR(__xludf.DUMMYFUNCTION("""COMPUTED_VALUE"""),3)</f>
        <v>3</v>
      </c>
      <c r="AA26" s="4">
        <f ca="1">IFERROR(__xludf.DUMMYFUNCTION("""COMPUTED_VALUE"""),4)</f>
        <v>4</v>
      </c>
      <c r="AB26" s="4">
        <f ca="1">IFERROR(__xludf.DUMMYFUNCTION("""COMPUTED_VALUE"""),4)</f>
        <v>4</v>
      </c>
      <c r="AC26" s="4">
        <f ca="1">IFERROR(__xludf.DUMMYFUNCTION("""COMPUTED_VALUE"""),2)</f>
        <v>2</v>
      </c>
      <c r="AD26" s="4">
        <f ca="1">IFERROR(__xludf.DUMMYFUNCTION("""COMPUTED_VALUE"""),2)</f>
        <v>2</v>
      </c>
      <c r="AE26" s="4">
        <f ca="1">IFERROR(__xludf.DUMMYFUNCTION("""COMPUTED_VALUE"""),4)</f>
        <v>4</v>
      </c>
      <c r="AF26" s="4">
        <f ca="1">IFERROR(__xludf.DUMMYFUNCTION("""COMPUTED_VALUE"""),4)</f>
        <v>4</v>
      </c>
      <c r="AG26" s="4">
        <f ca="1">IFERROR(__xludf.DUMMYFUNCTION("""COMPUTED_VALUE"""),3)</f>
        <v>3</v>
      </c>
      <c r="AH26" s="4">
        <f ca="1">IFERROR(__xludf.DUMMYFUNCTION("""COMPUTED_VALUE"""),4)</f>
        <v>4</v>
      </c>
      <c r="AI26" s="4">
        <f ca="1">IFERROR(__xludf.DUMMYFUNCTION("""COMPUTED_VALUE"""),3)</f>
        <v>3</v>
      </c>
      <c r="AJ26" s="4">
        <f ca="1">IFERROR(__xludf.DUMMYFUNCTION("""COMPUTED_VALUE"""),4)</f>
        <v>4</v>
      </c>
      <c r="AK26" s="4">
        <f ca="1">IFERROR(__xludf.DUMMYFUNCTION("""COMPUTED_VALUE"""),4)</f>
        <v>4</v>
      </c>
      <c r="AL26" s="4">
        <f ca="1">IFERROR(__xludf.DUMMYFUNCTION("""COMPUTED_VALUE"""),4)</f>
        <v>4</v>
      </c>
      <c r="AM26" s="4">
        <f ca="1">IFERROR(__xludf.DUMMYFUNCTION("""COMPUTED_VALUE"""),4)</f>
        <v>4</v>
      </c>
      <c r="AN26" s="4">
        <f ca="1">IFERROR(__xludf.DUMMYFUNCTION("""COMPUTED_VALUE"""),5)</f>
        <v>5</v>
      </c>
      <c r="AO26" s="4">
        <f ca="1">IFERROR(__xludf.DUMMYFUNCTION("""COMPUTED_VALUE"""),4)</f>
        <v>4</v>
      </c>
      <c r="AP26" s="4">
        <f ca="1">IFERROR(__xludf.DUMMYFUNCTION("""COMPUTED_VALUE"""),4)</f>
        <v>4</v>
      </c>
      <c r="AQ26" s="4">
        <f ca="1">IFERROR(__xludf.DUMMYFUNCTION("""COMPUTED_VALUE"""),4)</f>
        <v>4</v>
      </c>
      <c r="AR26" s="4">
        <f ca="1">IFERROR(__xludf.DUMMYFUNCTION("""COMPUTED_VALUE"""),4)</f>
        <v>4</v>
      </c>
      <c r="AS26" s="4">
        <f ca="1">IFERROR(__xludf.DUMMYFUNCTION("""COMPUTED_VALUE"""),4)</f>
        <v>4</v>
      </c>
      <c r="AT26" s="4">
        <f ca="1">IFERROR(__xludf.DUMMYFUNCTION("""COMPUTED_VALUE"""),4)</f>
        <v>4</v>
      </c>
      <c r="AU26" s="4">
        <f ca="1">IFERROR(__xludf.DUMMYFUNCTION("""COMPUTED_VALUE"""),4)</f>
        <v>4</v>
      </c>
      <c r="AV26" s="4">
        <f ca="1">IFERROR(__xludf.DUMMYFUNCTION("""COMPUTED_VALUE"""),3)</f>
        <v>3</v>
      </c>
      <c r="AW26" s="4">
        <f ca="1">IFERROR(__xludf.DUMMYFUNCTION("""COMPUTED_VALUE"""),4)</f>
        <v>4</v>
      </c>
      <c r="AX26" s="4">
        <f ca="1">IFERROR(__xludf.DUMMYFUNCTION("""COMPUTED_VALUE"""),4)</f>
        <v>4</v>
      </c>
      <c r="AY26" s="4">
        <f ca="1">IFERROR(__xludf.DUMMYFUNCTION("""COMPUTED_VALUE"""),4)</f>
        <v>4</v>
      </c>
      <c r="AZ26" s="4">
        <f ca="1">IFERROR(__xludf.DUMMYFUNCTION("""COMPUTED_VALUE"""),4)</f>
        <v>4</v>
      </c>
      <c r="BA26" s="4">
        <f ca="1">IFERROR(__xludf.DUMMYFUNCTION("""COMPUTED_VALUE"""),4)</f>
        <v>4</v>
      </c>
      <c r="BB26" s="4">
        <f ca="1">IFERROR(__xludf.DUMMYFUNCTION("""COMPUTED_VALUE"""),4)</f>
        <v>4</v>
      </c>
      <c r="BC26" s="4">
        <f ca="1">IFERROR(__xludf.DUMMYFUNCTION("""COMPUTED_VALUE"""),2)</f>
        <v>2</v>
      </c>
      <c r="BD26" s="4">
        <f ca="1">IFERROR(__xludf.DUMMYFUNCTION("""COMPUTED_VALUE"""),4)</f>
        <v>4</v>
      </c>
      <c r="BE26" s="4">
        <f ca="1">IFERROR(__xludf.DUMMYFUNCTION("""COMPUTED_VALUE"""),4)</f>
        <v>4</v>
      </c>
      <c r="BF26" s="4">
        <f ca="1">IFERROR(__xludf.DUMMYFUNCTION("""COMPUTED_VALUE"""),4)</f>
        <v>4</v>
      </c>
      <c r="BG26" s="4">
        <f ca="1">IFERROR(__xludf.DUMMYFUNCTION("""COMPUTED_VALUE"""),2)</f>
        <v>2</v>
      </c>
      <c r="BH26" s="4">
        <f ca="1">IFERROR(__xludf.DUMMYFUNCTION("""COMPUTED_VALUE"""),4)</f>
        <v>4</v>
      </c>
      <c r="BI26" s="4">
        <f ca="1">IFERROR(__xludf.DUMMYFUNCTION("""COMPUTED_VALUE"""),4)</f>
        <v>4</v>
      </c>
      <c r="BJ26" s="4">
        <f ca="1">IFERROR(__xludf.DUMMYFUNCTION("""COMPUTED_VALUE"""),4)</f>
        <v>4</v>
      </c>
      <c r="BK26" s="4">
        <f ca="1">IFERROR(__xludf.DUMMYFUNCTION("""COMPUTED_VALUE"""),4)</f>
        <v>4</v>
      </c>
      <c r="BL26" s="4">
        <f ca="1">IFERROR(__xludf.DUMMYFUNCTION("""COMPUTED_VALUE"""),4)</f>
        <v>4</v>
      </c>
      <c r="BM26" s="4">
        <f ca="1">IFERROR(__xludf.DUMMYFUNCTION("""COMPUTED_VALUE"""),4)</f>
        <v>4</v>
      </c>
      <c r="BN26" s="4">
        <f ca="1">IFERROR(__xludf.DUMMYFUNCTION("""COMPUTED_VALUE"""),4)</f>
        <v>4</v>
      </c>
      <c r="BO26" s="4">
        <f ca="1">IFERROR(__xludf.DUMMYFUNCTION("""COMPUTED_VALUE"""),5)</f>
        <v>5</v>
      </c>
      <c r="BP26" s="4">
        <f ca="1">IFERROR(__xludf.DUMMYFUNCTION("""COMPUTED_VALUE"""),5)</f>
        <v>5</v>
      </c>
    </row>
    <row r="27" spans="1:68" x14ac:dyDescent="0.25">
      <c r="A27" s="4" t="str">
        <f ca="1">IFERROR(__xludf.DUMMYFUNCTION("""COMPUTED_VALUE"""),"2_ABaOnufUsI6rl_9AzOMVJGGmEW_Dvx0DW6kDWlM10D7SQiUtx0YR9flLTP9WSFkmMA")</f>
        <v>2_ABaOnufUsI6rl_9AzOMVJGGmEW_Dvx0DW6kDWlM10D7SQiUtx0YR9flLTP9WSFkmMA</v>
      </c>
      <c r="B27" s="5">
        <f ca="1">IFERROR(__xludf.DUMMYFUNCTION("""COMPUTED_VALUE"""),45966.7136405671)</f>
        <v>45966.713640567097</v>
      </c>
      <c r="C27" s="4" t="str">
        <f ca="1">IFERROR(__xludf.DUMMYFUNCTION("""COMPUTED_VALUE"""),"Ngô Thị Thùy Vân")</f>
        <v>Ngô Thị Thùy Vân</v>
      </c>
      <c r="D27" s="4" t="str">
        <f ca="1">IFERROR(__xludf.DUMMYFUNCTION("""COMPUTED_VALUE"""),"Nữ")</f>
        <v>Nữ</v>
      </c>
      <c r="E27" s="4" t="str">
        <f ca="1">IFERROR(__xludf.DUMMYFUNCTION("""COMPUTED_VALUE"""),"Công ty TNHH Kiểm toán và Dịch vụ tin học Moore AISC")</f>
        <v>Công ty TNHH Kiểm toán và Dịch vụ tin học Moore AISC</v>
      </c>
      <c r="F27" s="4" t="str">
        <f ca="1">IFERROR(__xludf.DUMMYFUNCTION("""COMPUTED_VALUE"""),"Sau đại học")</f>
        <v>Sau đại học</v>
      </c>
      <c r="G27" s="4" t="str">
        <f ca="1">IFERROR(__xludf.DUMMYFUNCTION("""COMPUTED_VALUE"""),"Từ 3 đến 5 năm")</f>
        <v>Từ 3 đến 5 năm</v>
      </c>
      <c r="H27" s="4" t="str">
        <f ca="1">IFERROR(__xludf.DUMMYFUNCTION("""COMPUTED_VALUE"""),"Trợ lý kiểm toán")</f>
        <v>Trợ lý kiểm toán</v>
      </c>
      <c r="I27" s="4">
        <f ca="1">IFERROR(__xludf.DUMMYFUNCTION("""COMPUTED_VALUE"""),5)</f>
        <v>5</v>
      </c>
      <c r="J27" s="4">
        <f ca="1">IFERROR(__xludf.DUMMYFUNCTION("""COMPUTED_VALUE"""),5)</f>
        <v>5</v>
      </c>
      <c r="K27" s="4">
        <f ca="1">IFERROR(__xludf.DUMMYFUNCTION("""COMPUTED_VALUE"""),5)</f>
        <v>5</v>
      </c>
      <c r="L27" s="4">
        <f ca="1">IFERROR(__xludf.DUMMYFUNCTION("""COMPUTED_VALUE"""),3)</f>
        <v>3</v>
      </c>
      <c r="M27" s="4">
        <f ca="1">IFERROR(__xludf.DUMMYFUNCTION("""COMPUTED_VALUE"""),5)</f>
        <v>5</v>
      </c>
      <c r="N27" s="4">
        <f ca="1">IFERROR(__xludf.DUMMYFUNCTION("""COMPUTED_VALUE"""),4)</f>
        <v>4</v>
      </c>
      <c r="O27" s="4">
        <f ca="1">IFERROR(__xludf.DUMMYFUNCTION("""COMPUTED_VALUE"""),4)</f>
        <v>4</v>
      </c>
      <c r="P27" s="4">
        <f ca="1">IFERROR(__xludf.DUMMYFUNCTION("""COMPUTED_VALUE"""),4)</f>
        <v>4</v>
      </c>
      <c r="Q27" s="4">
        <f ca="1">IFERROR(__xludf.DUMMYFUNCTION("""COMPUTED_VALUE"""),5)</f>
        <v>5</v>
      </c>
      <c r="R27" s="4">
        <f ca="1">IFERROR(__xludf.DUMMYFUNCTION("""COMPUTED_VALUE"""),5)</f>
        <v>5</v>
      </c>
      <c r="S27" s="4">
        <f ca="1">IFERROR(__xludf.DUMMYFUNCTION("""COMPUTED_VALUE"""),5)</f>
        <v>5</v>
      </c>
      <c r="T27" s="4">
        <f ca="1">IFERROR(__xludf.DUMMYFUNCTION("""COMPUTED_VALUE"""),5)</f>
        <v>5</v>
      </c>
      <c r="U27" s="4">
        <f ca="1">IFERROR(__xludf.DUMMYFUNCTION("""COMPUTED_VALUE"""),5)</f>
        <v>5</v>
      </c>
      <c r="V27" s="4">
        <f ca="1">IFERROR(__xludf.DUMMYFUNCTION("""COMPUTED_VALUE"""),5)</f>
        <v>5</v>
      </c>
      <c r="W27" s="4">
        <f ca="1">IFERROR(__xludf.DUMMYFUNCTION("""COMPUTED_VALUE"""),4)</f>
        <v>4</v>
      </c>
      <c r="X27" s="4">
        <f ca="1">IFERROR(__xludf.DUMMYFUNCTION("""COMPUTED_VALUE"""),4)</f>
        <v>4</v>
      </c>
      <c r="Y27" s="4">
        <f ca="1">IFERROR(__xludf.DUMMYFUNCTION("""COMPUTED_VALUE"""),4)</f>
        <v>4</v>
      </c>
      <c r="Z27" s="4">
        <f ca="1">IFERROR(__xludf.DUMMYFUNCTION("""COMPUTED_VALUE"""),4)</f>
        <v>4</v>
      </c>
      <c r="AA27" s="4">
        <f ca="1">IFERROR(__xludf.DUMMYFUNCTION("""COMPUTED_VALUE"""),4)</f>
        <v>4</v>
      </c>
      <c r="AB27" s="4">
        <f ca="1">IFERROR(__xludf.DUMMYFUNCTION("""COMPUTED_VALUE"""),4)</f>
        <v>4</v>
      </c>
      <c r="AC27" s="4">
        <f ca="1">IFERROR(__xludf.DUMMYFUNCTION("""COMPUTED_VALUE"""),4)</f>
        <v>4</v>
      </c>
      <c r="AD27" s="4">
        <f ca="1">IFERROR(__xludf.DUMMYFUNCTION("""COMPUTED_VALUE"""),4)</f>
        <v>4</v>
      </c>
      <c r="AE27" s="4">
        <f ca="1">IFERROR(__xludf.DUMMYFUNCTION("""COMPUTED_VALUE"""),4)</f>
        <v>4</v>
      </c>
      <c r="AF27" s="4">
        <f ca="1">IFERROR(__xludf.DUMMYFUNCTION("""COMPUTED_VALUE"""),4)</f>
        <v>4</v>
      </c>
      <c r="AG27" s="4">
        <f ca="1">IFERROR(__xludf.DUMMYFUNCTION("""COMPUTED_VALUE"""),4)</f>
        <v>4</v>
      </c>
      <c r="AH27" s="4">
        <f ca="1">IFERROR(__xludf.DUMMYFUNCTION("""COMPUTED_VALUE"""),4)</f>
        <v>4</v>
      </c>
      <c r="AI27" s="4">
        <f ca="1">IFERROR(__xludf.DUMMYFUNCTION("""COMPUTED_VALUE"""),4)</f>
        <v>4</v>
      </c>
      <c r="AJ27" s="4">
        <f ca="1">IFERROR(__xludf.DUMMYFUNCTION("""COMPUTED_VALUE"""),4)</f>
        <v>4</v>
      </c>
      <c r="AK27" s="4">
        <f ca="1">IFERROR(__xludf.DUMMYFUNCTION("""COMPUTED_VALUE"""),4)</f>
        <v>4</v>
      </c>
      <c r="AL27" s="4">
        <f ca="1">IFERROR(__xludf.DUMMYFUNCTION("""COMPUTED_VALUE"""),4)</f>
        <v>4</v>
      </c>
      <c r="AM27" s="4">
        <f ca="1">IFERROR(__xludf.DUMMYFUNCTION("""COMPUTED_VALUE"""),4)</f>
        <v>4</v>
      </c>
      <c r="AN27" s="4">
        <f ca="1">IFERROR(__xludf.DUMMYFUNCTION("""COMPUTED_VALUE"""),4)</f>
        <v>4</v>
      </c>
      <c r="AO27" s="4">
        <f ca="1">IFERROR(__xludf.DUMMYFUNCTION("""COMPUTED_VALUE"""),4)</f>
        <v>4</v>
      </c>
      <c r="AP27" s="4">
        <f ca="1">IFERROR(__xludf.DUMMYFUNCTION("""COMPUTED_VALUE"""),4)</f>
        <v>4</v>
      </c>
      <c r="AQ27" s="4">
        <f ca="1">IFERROR(__xludf.DUMMYFUNCTION("""COMPUTED_VALUE"""),4)</f>
        <v>4</v>
      </c>
      <c r="AR27" s="4">
        <f ca="1">IFERROR(__xludf.DUMMYFUNCTION("""COMPUTED_VALUE"""),4)</f>
        <v>4</v>
      </c>
      <c r="AS27" s="4">
        <f ca="1">IFERROR(__xludf.DUMMYFUNCTION("""COMPUTED_VALUE"""),4)</f>
        <v>4</v>
      </c>
      <c r="AT27" s="4">
        <f ca="1">IFERROR(__xludf.DUMMYFUNCTION("""COMPUTED_VALUE"""),4)</f>
        <v>4</v>
      </c>
      <c r="AU27" s="4">
        <f ca="1">IFERROR(__xludf.DUMMYFUNCTION("""COMPUTED_VALUE"""),4)</f>
        <v>4</v>
      </c>
      <c r="AV27" s="4">
        <f ca="1">IFERROR(__xludf.DUMMYFUNCTION("""COMPUTED_VALUE"""),4)</f>
        <v>4</v>
      </c>
      <c r="AW27" s="4">
        <f ca="1">IFERROR(__xludf.DUMMYFUNCTION("""COMPUTED_VALUE"""),4)</f>
        <v>4</v>
      </c>
      <c r="AX27" s="4">
        <f ca="1">IFERROR(__xludf.DUMMYFUNCTION("""COMPUTED_VALUE"""),4)</f>
        <v>4</v>
      </c>
      <c r="AY27" s="4">
        <f ca="1">IFERROR(__xludf.DUMMYFUNCTION("""COMPUTED_VALUE"""),4)</f>
        <v>4</v>
      </c>
      <c r="AZ27" s="4">
        <f ca="1">IFERROR(__xludf.DUMMYFUNCTION("""COMPUTED_VALUE"""),4)</f>
        <v>4</v>
      </c>
      <c r="BA27" s="4">
        <f ca="1">IFERROR(__xludf.DUMMYFUNCTION("""COMPUTED_VALUE"""),4)</f>
        <v>4</v>
      </c>
      <c r="BB27" s="4">
        <f ca="1">IFERROR(__xludf.DUMMYFUNCTION("""COMPUTED_VALUE"""),4)</f>
        <v>4</v>
      </c>
      <c r="BC27" s="4">
        <f ca="1">IFERROR(__xludf.DUMMYFUNCTION("""COMPUTED_VALUE"""),4)</f>
        <v>4</v>
      </c>
      <c r="BD27" s="4">
        <f ca="1">IFERROR(__xludf.DUMMYFUNCTION("""COMPUTED_VALUE"""),4)</f>
        <v>4</v>
      </c>
      <c r="BE27" s="4">
        <f ca="1">IFERROR(__xludf.DUMMYFUNCTION("""COMPUTED_VALUE"""),4)</f>
        <v>4</v>
      </c>
      <c r="BF27" s="4">
        <f ca="1">IFERROR(__xludf.DUMMYFUNCTION("""COMPUTED_VALUE"""),4)</f>
        <v>4</v>
      </c>
      <c r="BG27" s="4">
        <f ca="1">IFERROR(__xludf.DUMMYFUNCTION("""COMPUTED_VALUE"""),4)</f>
        <v>4</v>
      </c>
      <c r="BH27" s="4">
        <f ca="1">IFERROR(__xludf.DUMMYFUNCTION("""COMPUTED_VALUE"""),4)</f>
        <v>4</v>
      </c>
      <c r="BI27" s="4">
        <f ca="1">IFERROR(__xludf.DUMMYFUNCTION("""COMPUTED_VALUE"""),4)</f>
        <v>4</v>
      </c>
      <c r="BJ27" s="4">
        <f ca="1">IFERROR(__xludf.DUMMYFUNCTION("""COMPUTED_VALUE"""),4)</f>
        <v>4</v>
      </c>
      <c r="BK27" s="4">
        <f ca="1">IFERROR(__xludf.DUMMYFUNCTION("""COMPUTED_VALUE"""),4)</f>
        <v>4</v>
      </c>
      <c r="BL27" s="4">
        <f ca="1">IFERROR(__xludf.DUMMYFUNCTION("""COMPUTED_VALUE"""),4)</f>
        <v>4</v>
      </c>
      <c r="BM27" s="4">
        <f ca="1">IFERROR(__xludf.DUMMYFUNCTION("""COMPUTED_VALUE"""),4)</f>
        <v>4</v>
      </c>
      <c r="BN27" s="4">
        <f ca="1">IFERROR(__xludf.DUMMYFUNCTION("""COMPUTED_VALUE"""),5)</f>
        <v>5</v>
      </c>
      <c r="BO27" s="4">
        <f ca="1">IFERROR(__xludf.DUMMYFUNCTION("""COMPUTED_VALUE"""),4)</f>
        <v>4</v>
      </c>
      <c r="BP27" s="4">
        <f ca="1">IFERROR(__xludf.DUMMYFUNCTION("""COMPUTED_VALUE"""),5)</f>
        <v>5</v>
      </c>
    </row>
    <row r="28" spans="1:68" x14ac:dyDescent="0.25">
      <c r="A28" s="4" t="str">
        <f ca="1">IFERROR(__xludf.DUMMYFUNCTION("""COMPUTED_VALUE"""),"2_ABaOnufDWZbeYqUhTqfMpV6burq0NC_TFYG1TgTt-DanLFogPsZQ97s5mSWuscZRdA")</f>
        <v>2_ABaOnufDWZbeYqUhTqfMpV6burq0NC_TFYG1TgTt-DanLFogPsZQ97s5mSWuscZRdA</v>
      </c>
      <c r="B28" s="5">
        <f ca="1">IFERROR(__xludf.DUMMYFUNCTION("""COMPUTED_VALUE"""),45966.7146286689)</f>
        <v>45966.714628668902</v>
      </c>
      <c r="C28" s="4" t="str">
        <f ca="1">IFERROR(__xludf.DUMMYFUNCTION("""COMPUTED_VALUE"""),"Nguyễn Thị Huyền Trang")</f>
        <v>Nguyễn Thị Huyền Trang</v>
      </c>
      <c r="D28" s="4" t="str">
        <f ca="1">IFERROR(__xludf.DUMMYFUNCTION("""COMPUTED_VALUE"""),"Nữ")</f>
        <v>Nữ</v>
      </c>
      <c r="E28" s="4" t="str">
        <f ca="1">IFERROR(__xludf.DUMMYFUNCTION("""COMPUTED_VALUE"""),"Công ty TNHH Kiểm Toán Quốc Tế - Chi nhánh Sài Gòn")</f>
        <v>Công ty TNHH Kiểm Toán Quốc Tế - Chi nhánh Sài Gòn</v>
      </c>
      <c r="F28" s="4" t="str">
        <f ca="1">IFERROR(__xludf.DUMMYFUNCTION("""COMPUTED_VALUE"""),"Đại học, Chứng chỉ Kiểm toán viên")</f>
        <v>Đại học, Chứng chỉ Kiểm toán viên</v>
      </c>
      <c r="G28" s="4" t="str">
        <f ca="1">IFERROR(__xludf.DUMMYFUNCTION("""COMPUTED_VALUE"""),"Trên 5 đến 10 năm")</f>
        <v>Trên 5 đến 10 năm</v>
      </c>
      <c r="H28" s="4" t="str">
        <f ca="1">IFERROR(__xludf.DUMMYFUNCTION("""COMPUTED_VALUE"""),"Kiểm toán viên/Trưởng nhóm")</f>
        <v>Kiểm toán viên/Trưởng nhóm</v>
      </c>
      <c r="I28" s="4">
        <f ca="1">IFERROR(__xludf.DUMMYFUNCTION("""COMPUTED_VALUE"""),5)</f>
        <v>5</v>
      </c>
      <c r="J28" s="4">
        <f ca="1">IFERROR(__xludf.DUMMYFUNCTION("""COMPUTED_VALUE"""),5)</f>
        <v>5</v>
      </c>
      <c r="K28" s="4">
        <f ca="1">IFERROR(__xludf.DUMMYFUNCTION("""COMPUTED_VALUE"""),4)</f>
        <v>4</v>
      </c>
      <c r="L28" s="4">
        <f ca="1">IFERROR(__xludf.DUMMYFUNCTION("""COMPUTED_VALUE"""),5)</f>
        <v>5</v>
      </c>
      <c r="M28" s="4">
        <f ca="1">IFERROR(__xludf.DUMMYFUNCTION("""COMPUTED_VALUE"""),5)</f>
        <v>5</v>
      </c>
      <c r="N28" s="4">
        <f ca="1">IFERROR(__xludf.DUMMYFUNCTION("""COMPUTED_VALUE"""),3)</f>
        <v>3</v>
      </c>
      <c r="O28" s="4">
        <f ca="1">IFERROR(__xludf.DUMMYFUNCTION("""COMPUTED_VALUE"""),5)</f>
        <v>5</v>
      </c>
      <c r="P28" s="4">
        <f ca="1">IFERROR(__xludf.DUMMYFUNCTION("""COMPUTED_VALUE"""),5)</f>
        <v>5</v>
      </c>
      <c r="Q28" s="4">
        <f ca="1">IFERROR(__xludf.DUMMYFUNCTION("""COMPUTED_VALUE"""),5)</f>
        <v>5</v>
      </c>
      <c r="R28" s="4">
        <f ca="1">IFERROR(__xludf.DUMMYFUNCTION("""COMPUTED_VALUE"""),5)</f>
        <v>5</v>
      </c>
      <c r="S28" s="4">
        <f ca="1">IFERROR(__xludf.DUMMYFUNCTION("""COMPUTED_VALUE"""),5)</f>
        <v>5</v>
      </c>
      <c r="T28" s="4">
        <f ca="1">IFERROR(__xludf.DUMMYFUNCTION("""COMPUTED_VALUE"""),5)</f>
        <v>5</v>
      </c>
      <c r="U28" s="4">
        <f ca="1">IFERROR(__xludf.DUMMYFUNCTION("""COMPUTED_VALUE"""),5)</f>
        <v>5</v>
      </c>
      <c r="V28" s="4">
        <f ca="1">IFERROR(__xludf.DUMMYFUNCTION("""COMPUTED_VALUE"""),5)</f>
        <v>5</v>
      </c>
      <c r="W28" s="4">
        <f ca="1">IFERROR(__xludf.DUMMYFUNCTION("""COMPUTED_VALUE"""),5)</f>
        <v>5</v>
      </c>
      <c r="X28" s="4">
        <f ca="1">IFERROR(__xludf.DUMMYFUNCTION("""COMPUTED_VALUE"""),5)</f>
        <v>5</v>
      </c>
      <c r="Y28" s="4">
        <f ca="1">IFERROR(__xludf.DUMMYFUNCTION("""COMPUTED_VALUE"""),5)</f>
        <v>5</v>
      </c>
      <c r="Z28" s="4">
        <f ca="1">IFERROR(__xludf.DUMMYFUNCTION("""COMPUTED_VALUE"""),5)</f>
        <v>5</v>
      </c>
      <c r="AA28" s="4">
        <f ca="1">IFERROR(__xludf.DUMMYFUNCTION("""COMPUTED_VALUE"""),5)</f>
        <v>5</v>
      </c>
      <c r="AB28" s="4">
        <f ca="1">IFERROR(__xludf.DUMMYFUNCTION("""COMPUTED_VALUE"""),5)</f>
        <v>5</v>
      </c>
      <c r="AC28" s="4">
        <f ca="1">IFERROR(__xludf.DUMMYFUNCTION("""COMPUTED_VALUE"""),3)</f>
        <v>3</v>
      </c>
      <c r="AD28" s="4">
        <f ca="1">IFERROR(__xludf.DUMMYFUNCTION("""COMPUTED_VALUE"""),3)</f>
        <v>3</v>
      </c>
      <c r="AE28" s="4">
        <f ca="1">IFERROR(__xludf.DUMMYFUNCTION("""COMPUTED_VALUE"""),5)</f>
        <v>5</v>
      </c>
      <c r="AF28" s="4">
        <f ca="1">IFERROR(__xludf.DUMMYFUNCTION("""COMPUTED_VALUE"""),4)</f>
        <v>4</v>
      </c>
      <c r="AG28" s="4">
        <f ca="1">IFERROR(__xludf.DUMMYFUNCTION("""COMPUTED_VALUE"""),4)</f>
        <v>4</v>
      </c>
      <c r="AH28" s="4">
        <f ca="1">IFERROR(__xludf.DUMMYFUNCTION("""COMPUTED_VALUE"""),4)</f>
        <v>4</v>
      </c>
      <c r="AI28" s="4">
        <f ca="1">IFERROR(__xludf.DUMMYFUNCTION("""COMPUTED_VALUE"""),4)</f>
        <v>4</v>
      </c>
      <c r="AJ28" s="4">
        <f ca="1">IFERROR(__xludf.DUMMYFUNCTION("""COMPUTED_VALUE"""),4)</f>
        <v>4</v>
      </c>
      <c r="AK28" s="4">
        <f ca="1">IFERROR(__xludf.DUMMYFUNCTION("""COMPUTED_VALUE"""),4)</f>
        <v>4</v>
      </c>
      <c r="AL28" s="4">
        <f ca="1">IFERROR(__xludf.DUMMYFUNCTION("""COMPUTED_VALUE"""),3)</f>
        <v>3</v>
      </c>
      <c r="AM28" s="4">
        <f ca="1">IFERROR(__xludf.DUMMYFUNCTION("""COMPUTED_VALUE"""),4)</f>
        <v>4</v>
      </c>
      <c r="AN28" s="4">
        <f ca="1">IFERROR(__xludf.DUMMYFUNCTION("""COMPUTED_VALUE"""),3)</f>
        <v>3</v>
      </c>
      <c r="AO28" s="4">
        <f ca="1">IFERROR(__xludf.DUMMYFUNCTION("""COMPUTED_VALUE"""),4)</f>
        <v>4</v>
      </c>
      <c r="AP28" s="4">
        <f ca="1">IFERROR(__xludf.DUMMYFUNCTION("""COMPUTED_VALUE"""),4)</f>
        <v>4</v>
      </c>
      <c r="AQ28" s="4">
        <f ca="1">IFERROR(__xludf.DUMMYFUNCTION("""COMPUTED_VALUE"""),4)</f>
        <v>4</v>
      </c>
      <c r="AR28" s="4">
        <f ca="1">IFERROR(__xludf.DUMMYFUNCTION("""COMPUTED_VALUE"""),3)</f>
        <v>3</v>
      </c>
      <c r="AS28" s="4">
        <f ca="1">IFERROR(__xludf.DUMMYFUNCTION("""COMPUTED_VALUE"""),4)</f>
        <v>4</v>
      </c>
      <c r="AT28" s="4">
        <f ca="1">IFERROR(__xludf.DUMMYFUNCTION("""COMPUTED_VALUE"""),4)</f>
        <v>4</v>
      </c>
      <c r="AU28" s="4">
        <f ca="1">IFERROR(__xludf.DUMMYFUNCTION("""COMPUTED_VALUE"""),4)</f>
        <v>4</v>
      </c>
      <c r="AV28" s="4">
        <f ca="1">IFERROR(__xludf.DUMMYFUNCTION("""COMPUTED_VALUE"""),4)</f>
        <v>4</v>
      </c>
      <c r="AW28" s="4">
        <f ca="1">IFERROR(__xludf.DUMMYFUNCTION("""COMPUTED_VALUE"""),4)</f>
        <v>4</v>
      </c>
      <c r="AX28" s="4">
        <f ca="1">IFERROR(__xludf.DUMMYFUNCTION("""COMPUTED_VALUE"""),5)</f>
        <v>5</v>
      </c>
      <c r="AY28" s="4">
        <f ca="1">IFERROR(__xludf.DUMMYFUNCTION("""COMPUTED_VALUE"""),5)</f>
        <v>5</v>
      </c>
      <c r="AZ28" s="4">
        <f ca="1">IFERROR(__xludf.DUMMYFUNCTION("""COMPUTED_VALUE"""),5)</f>
        <v>5</v>
      </c>
      <c r="BA28" s="4">
        <f ca="1">IFERROR(__xludf.DUMMYFUNCTION("""COMPUTED_VALUE"""),5)</f>
        <v>5</v>
      </c>
      <c r="BB28" s="4">
        <f ca="1">IFERROR(__xludf.DUMMYFUNCTION("""COMPUTED_VALUE"""),4)</f>
        <v>4</v>
      </c>
      <c r="BC28" s="4">
        <f ca="1">IFERROR(__xludf.DUMMYFUNCTION("""COMPUTED_VALUE"""),4)</f>
        <v>4</v>
      </c>
      <c r="BD28" s="4">
        <f ca="1">IFERROR(__xludf.DUMMYFUNCTION("""COMPUTED_VALUE"""),4)</f>
        <v>4</v>
      </c>
      <c r="BE28" s="4">
        <f ca="1">IFERROR(__xludf.DUMMYFUNCTION("""COMPUTED_VALUE"""),4)</f>
        <v>4</v>
      </c>
      <c r="BF28" s="4">
        <f ca="1">IFERROR(__xludf.DUMMYFUNCTION("""COMPUTED_VALUE"""),4)</f>
        <v>4</v>
      </c>
      <c r="BG28" s="4">
        <f ca="1">IFERROR(__xludf.DUMMYFUNCTION("""COMPUTED_VALUE"""),4)</f>
        <v>4</v>
      </c>
      <c r="BH28" s="4">
        <f ca="1">IFERROR(__xludf.DUMMYFUNCTION("""COMPUTED_VALUE"""),4)</f>
        <v>4</v>
      </c>
      <c r="BI28" s="4">
        <f ca="1">IFERROR(__xludf.DUMMYFUNCTION("""COMPUTED_VALUE"""),4)</f>
        <v>4</v>
      </c>
      <c r="BJ28" s="4">
        <f ca="1">IFERROR(__xludf.DUMMYFUNCTION("""COMPUTED_VALUE"""),4)</f>
        <v>4</v>
      </c>
      <c r="BK28" s="4">
        <f ca="1">IFERROR(__xludf.DUMMYFUNCTION("""COMPUTED_VALUE"""),5)</f>
        <v>5</v>
      </c>
      <c r="BL28" s="4">
        <f ca="1">IFERROR(__xludf.DUMMYFUNCTION("""COMPUTED_VALUE"""),4)</f>
        <v>4</v>
      </c>
      <c r="BM28" s="4">
        <f ca="1">IFERROR(__xludf.DUMMYFUNCTION("""COMPUTED_VALUE"""),5)</f>
        <v>5</v>
      </c>
      <c r="BN28" s="4">
        <f ca="1">IFERROR(__xludf.DUMMYFUNCTION("""COMPUTED_VALUE"""),5)</f>
        <v>5</v>
      </c>
      <c r="BO28" s="4">
        <f ca="1">IFERROR(__xludf.DUMMYFUNCTION("""COMPUTED_VALUE"""),5)</f>
        <v>5</v>
      </c>
      <c r="BP28" s="4">
        <f ca="1">IFERROR(__xludf.DUMMYFUNCTION("""COMPUTED_VALUE"""),5)</f>
        <v>5</v>
      </c>
    </row>
    <row r="29" spans="1:68" x14ac:dyDescent="0.25">
      <c r="A29" s="4" t="str">
        <f ca="1">IFERROR(__xludf.DUMMYFUNCTION("""COMPUTED_VALUE"""),"2_ABaOnud_4trULQTJ8HjOMUhbKZiqOb2QAZqz4J6h4teCbY2hMR2nGElNsRVeVQY2QQ")</f>
        <v>2_ABaOnud_4trULQTJ8HjOMUhbKZiqOb2QAZqz4J6h4teCbY2hMR2nGElNsRVeVQY2QQ</v>
      </c>
      <c r="B29" s="5">
        <f ca="1">IFERROR(__xludf.DUMMYFUNCTION("""COMPUTED_VALUE"""),45966.715832581)</f>
        <v>45966.715832581001</v>
      </c>
      <c r="C29" s="4" t="str">
        <f ca="1">IFERROR(__xludf.DUMMYFUNCTION("""COMPUTED_VALUE"""),"Nguyễn Thành Đại")</f>
        <v>Nguyễn Thành Đại</v>
      </c>
      <c r="D29" s="4" t="str">
        <f ca="1">IFERROR(__xludf.DUMMYFUNCTION("""COMPUTED_VALUE"""),"Nam")</f>
        <v>Nam</v>
      </c>
      <c r="E29" s="4" t="str">
        <f ca="1">IFERROR(__xludf.DUMMYFUNCTION("""COMPUTED_VALUE"""),"Công ty TNHH Kiểm toán FAC")</f>
        <v>Công ty TNHH Kiểm toán FAC</v>
      </c>
      <c r="F29" s="4" t="str">
        <f ca="1">IFERROR(__xludf.DUMMYFUNCTION("""COMPUTED_VALUE"""),"Chứng chỉ Kiểm toán viên")</f>
        <v>Chứng chỉ Kiểm toán viên</v>
      </c>
      <c r="G29" s="4" t="str">
        <f ca="1">IFERROR(__xludf.DUMMYFUNCTION("""COMPUTED_VALUE"""),"Trên 5 đến 10 năm")</f>
        <v>Trên 5 đến 10 năm</v>
      </c>
      <c r="H29" s="4" t="str">
        <f ca="1">IFERROR(__xludf.DUMMYFUNCTION("""COMPUTED_VALUE"""),"Kiểm toán viên/Trưởng nhóm")</f>
        <v>Kiểm toán viên/Trưởng nhóm</v>
      </c>
      <c r="I29" s="4">
        <f ca="1">IFERROR(__xludf.DUMMYFUNCTION("""COMPUTED_VALUE"""),4)</f>
        <v>4</v>
      </c>
      <c r="J29" s="4">
        <f ca="1">IFERROR(__xludf.DUMMYFUNCTION("""COMPUTED_VALUE"""),4)</f>
        <v>4</v>
      </c>
      <c r="K29" s="4">
        <f ca="1">IFERROR(__xludf.DUMMYFUNCTION("""COMPUTED_VALUE"""),4)</f>
        <v>4</v>
      </c>
      <c r="L29" s="4">
        <f ca="1">IFERROR(__xludf.DUMMYFUNCTION("""COMPUTED_VALUE"""),4)</f>
        <v>4</v>
      </c>
      <c r="M29" s="4">
        <f ca="1">IFERROR(__xludf.DUMMYFUNCTION("""COMPUTED_VALUE"""),5)</f>
        <v>5</v>
      </c>
      <c r="N29" s="4">
        <f ca="1">IFERROR(__xludf.DUMMYFUNCTION("""COMPUTED_VALUE"""),4)</f>
        <v>4</v>
      </c>
      <c r="O29" s="4">
        <f ca="1">IFERROR(__xludf.DUMMYFUNCTION("""COMPUTED_VALUE"""),4)</f>
        <v>4</v>
      </c>
      <c r="P29" s="4">
        <f ca="1">IFERROR(__xludf.DUMMYFUNCTION("""COMPUTED_VALUE"""),5)</f>
        <v>5</v>
      </c>
      <c r="Q29" s="4">
        <f ca="1">IFERROR(__xludf.DUMMYFUNCTION("""COMPUTED_VALUE"""),5)</f>
        <v>5</v>
      </c>
      <c r="R29" s="4">
        <f ca="1">IFERROR(__xludf.DUMMYFUNCTION("""COMPUTED_VALUE"""),5)</f>
        <v>5</v>
      </c>
      <c r="S29" s="4">
        <f ca="1">IFERROR(__xludf.DUMMYFUNCTION("""COMPUTED_VALUE"""),5)</f>
        <v>5</v>
      </c>
      <c r="T29" s="4">
        <f ca="1">IFERROR(__xludf.DUMMYFUNCTION("""COMPUTED_VALUE"""),5)</f>
        <v>5</v>
      </c>
      <c r="U29" s="4">
        <f ca="1">IFERROR(__xludf.DUMMYFUNCTION("""COMPUTED_VALUE"""),5)</f>
        <v>5</v>
      </c>
      <c r="V29" s="4">
        <f ca="1">IFERROR(__xludf.DUMMYFUNCTION("""COMPUTED_VALUE"""),5)</f>
        <v>5</v>
      </c>
      <c r="W29" s="4">
        <f ca="1">IFERROR(__xludf.DUMMYFUNCTION("""COMPUTED_VALUE"""),4)</f>
        <v>4</v>
      </c>
      <c r="X29" s="4">
        <f ca="1">IFERROR(__xludf.DUMMYFUNCTION("""COMPUTED_VALUE"""),4)</f>
        <v>4</v>
      </c>
      <c r="Y29" s="4">
        <f ca="1">IFERROR(__xludf.DUMMYFUNCTION("""COMPUTED_VALUE"""),4)</f>
        <v>4</v>
      </c>
      <c r="Z29" s="4">
        <f ca="1">IFERROR(__xludf.DUMMYFUNCTION("""COMPUTED_VALUE"""),4)</f>
        <v>4</v>
      </c>
      <c r="AA29" s="4">
        <f ca="1">IFERROR(__xludf.DUMMYFUNCTION("""COMPUTED_VALUE"""),4)</f>
        <v>4</v>
      </c>
      <c r="AB29" s="4">
        <f ca="1">IFERROR(__xludf.DUMMYFUNCTION("""COMPUTED_VALUE"""),5)</f>
        <v>5</v>
      </c>
      <c r="AC29" s="4">
        <f ca="1">IFERROR(__xludf.DUMMYFUNCTION("""COMPUTED_VALUE"""),4)</f>
        <v>4</v>
      </c>
      <c r="AD29" s="4">
        <f ca="1">IFERROR(__xludf.DUMMYFUNCTION("""COMPUTED_VALUE"""),3)</f>
        <v>3</v>
      </c>
      <c r="AE29" s="4">
        <f ca="1">IFERROR(__xludf.DUMMYFUNCTION("""COMPUTED_VALUE"""),4)</f>
        <v>4</v>
      </c>
      <c r="AF29" s="4">
        <f ca="1">IFERROR(__xludf.DUMMYFUNCTION("""COMPUTED_VALUE"""),5)</f>
        <v>5</v>
      </c>
      <c r="AG29" s="4">
        <f ca="1">IFERROR(__xludf.DUMMYFUNCTION("""COMPUTED_VALUE"""),4)</f>
        <v>4</v>
      </c>
      <c r="AH29" s="4">
        <f ca="1">IFERROR(__xludf.DUMMYFUNCTION("""COMPUTED_VALUE"""),5)</f>
        <v>5</v>
      </c>
      <c r="AI29" s="4">
        <f ca="1">IFERROR(__xludf.DUMMYFUNCTION("""COMPUTED_VALUE"""),5)</f>
        <v>5</v>
      </c>
      <c r="AJ29" s="4">
        <f ca="1">IFERROR(__xludf.DUMMYFUNCTION("""COMPUTED_VALUE"""),4)</f>
        <v>4</v>
      </c>
      <c r="AK29" s="4">
        <f ca="1">IFERROR(__xludf.DUMMYFUNCTION("""COMPUTED_VALUE"""),5)</f>
        <v>5</v>
      </c>
      <c r="AL29" s="4">
        <f ca="1">IFERROR(__xludf.DUMMYFUNCTION("""COMPUTED_VALUE"""),5)</f>
        <v>5</v>
      </c>
      <c r="AM29" s="4">
        <f ca="1">IFERROR(__xludf.DUMMYFUNCTION("""COMPUTED_VALUE"""),4)</f>
        <v>4</v>
      </c>
      <c r="AN29" s="4">
        <f ca="1">IFERROR(__xludf.DUMMYFUNCTION("""COMPUTED_VALUE"""),4)</f>
        <v>4</v>
      </c>
      <c r="AO29" s="4">
        <f ca="1">IFERROR(__xludf.DUMMYFUNCTION("""COMPUTED_VALUE"""),4)</f>
        <v>4</v>
      </c>
      <c r="AP29" s="4">
        <f ca="1">IFERROR(__xludf.DUMMYFUNCTION("""COMPUTED_VALUE"""),4)</f>
        <v>4</v>
      </c>
      <c r="AQ29" s="4">
        <f ca="1">IFERROR(__xludf.DUMMYFUNCTION("""COMPUTED_VALUE"""),4)</f>
        <v>4</v>
      </c>
      <c r="AR29" s="4">
        <f ca="1">IFERROR(__xludf.DUMMYFUNCTION("""COMPUTED_VALUE"""),3)</f>
        <v>3</v>
      </c>
      <c r="AS29" s="4">
        <f ca="1">IFERROR(__xludf.DUMMYFUNCTION("""COMPUTED_VALUE"""),2)</f>
        <v>2</v>
      </c>
      <c r="AT29" s="4">
        <f ca="1">IFERROR(__xludf.DUMMYFUNCTION("""COMPUTED_VALUE"""),3)</f>
        <v>3</v>
      </c>
      <c r="AU29" s="4">
        <f ca="1">IFERROR(__xludf.DUMMYFUNCTION("""COMPUTED_VALUE"""),4)</f>
        <v>4</v>
      </c>
      <c r="AV29" s="4">
        <f ca="1">IFERROR(__xludf.DUMMYFUNCTION("""COMPUTED_VALUE"""),4)</f>
        <v>4</v>
      </c>
      <c r="AW29" s="4">
        <f ca="1">IFERROR(__xludf.DUMMYFUNCTION("""COMPUTED_VALUE"""),5)</f>
        <v>5</v>
      </c>
      <c r="AX29" s="4">
        <f ca="1">IFERROR(__xludf.DUMMYFUNCTION("""COMPUTED_VALUE"""),5)</f>
        <v>5</v>
      </c>
      <c r="AY29" s="4">
        <f ca="1">IFERROR(__xludf.DUMMYFUNCTION("""COMPUTED_VALUE"""),5)</f>
        <v>5</v>
      </c>
      <c r="AZ29" s="4">
        <f ca="1">IFERROR(__xludf.DUMMYFUNCTION("""COMPUTED_VALUE"""),5)</f>
        <v>5</v>
      </c>
      <c r="BA29" s="4">
        <f ca="1">IFERROR(__xludf.DUMMYFUNCTION("""COMPUTED_VALUE"""),5)</f>
        <v>5</v>
      </c>
      <c r="BB29" s="4">
        <f ca="1">IFERROR(__xludf.DUMMYFUNCTION("""COMPUTED_VALUE"""),5)</f>
        <v>5</v>
      </c>
      <c r="BC29" s="4">
        <f ca="1">IFERROR(__xludf.DUMMYFUNCTION("""COMPUTED_VALUE"""),4)</f>
        <v>4</v>
      </c>
      <c r="BD29" s="4">
        <f ca="1">IFERROR(__xludf.DUMMYFUNCTION("""COMPUTED_VALUE"""),4)</f>
        <v>4</v>
      </c>
      <c r="BE29" s="4">
        <f ca="1">IFERROR(__xludf.DUMMYFUNCTION("""COMPUTED_VALUE"""),2)</f>
        <v>2</v>
      </c>
      <c r="BF29" s="4">
        <f ca="1">IFERROR(__xludf.DUMMYFUNCTION("""COMPUTED_VALUE"""),3)</f>
        <v>3</v>
      </c>
      <c r="BG29" s="4">
        <f ca="1">IFERROR(__xludf.DUMMYFUNCTION("""COMPUTED_VALUE"""),3)</f>
        <v>3</v>
      </c>
      <c r="BH29" s="4">
        <f ca="1">IFERROR(__xludf.DUMMYFUNCTION("""COMPUTED_VALUE"""),4)</f>
        <v>4</v>
      </c>
      <c r="BI29" s="4">
        <f ca="1">IFERROR(__xludf.DUMMYFUNCTION("""COMPUTED_VALUE"""),4)</f>
        <v>4</v>
      </c>
      <c r="BJ29" s="4">
        <f ca="1">IFERROR(__xludf.DUMMYFUNCTION("""COMPUTED_VALUE"""),4)</f>
        <v>4</v>
      </c>
      <c r="BK29" s="4">
        <f ca="1">IFERROR(__xludf.DUMMYFUNCTION("""COMPUTED_VALUE"""),4)</f>
        <v>4</v>
      </c>
      <c r="BL29" s="4">
        <f ca="1">IFERROR(__xludf.DUMMYFUNCTION("""COMPUTED_VALUE"""),4)</f>
        <v>4</v>
      </c>
      <c r="BM29" s="4">
        <f ca="1">IFERROR(__xludf.DUMMYFUNCTION("""COMPUTED_VALUE"""),4)</f>
        <v>4</v>
      </c>
      <c r="BN29" s="4">
        <f ca="1">IFERROR(__xludf.DUMMYFUNCTION("""COMPUTED_VALUE"""),5)</f>
        <v>5</v>
      </c>
      <c r="BO29" s="4">
        <f ca="1">IFERROR(__xludf.DUMMYFUNCTION("""COMPUTED_VALUE"""),5)</f>
        <v>5</v>
      </c>
      <c r="BP29" s="4">
        <f ca="1">IFERROR(__xludf.DUMMYFUNCTION("""COMPUTED_VALUE"""),4)</f>
        <v>4</v>
      </c>
    </row>
    <row r="30" spans="1:68" x14ac:dyDescent="0.25">
      <c r="A30" s="4" t="str">
        <f ca="1">IFERROR(__xludf.DUMMYFUNCTION("""COMPUTED_VALUE"""),"2_ABaOnucLy0-NZMTB0BgSbySRDhLcAOu0a4ujjz-pp8yeJ05qpKWqJyocpJVyrpaPEA")</f>
        <v>2_ABaOnucLy0-NZMTB0BgSbySRDhLcAOu0a4ujjz-pp8yeJ05qpKWqJyocpJVyrpaPEA</v>
      </c>
      <c r="B30" s="5">
        <f ca="1">IFERROR(__xludf.DUMMYFUNCTION("""COMPUTED_VALUE"""),45966.7164502777)</f>
        <v>45966.716450277701</v>
      </c>
      <c r="C30" s="4" t="str">
        <f ca="1">IFERROR(__xludf.DUMMYFUNCTION("""COMPUTED_VALUE"""),"Võ Thị Xuân Quỳnh")</f>
        <v>Võ Thị Xuân Quỳnh</v>
      </c>
      <c r="D30" s="4" t="str">
        <f ca="1">IFERROR(__xludf.DUMMYFUNCTION("""COMPUTED_VALUE"""),"Nữ")</f>
        <v>Nữ</v>
      </c>
      <c r="E30" s="4" t="str">
        <f ca="1">IFERROR(__xludf.DUMMYFUNCTION("""COMPUTED_VALUE"""),"Moore AISC")</f>
        <v>Moore AISC</v>
      </c>
      <c r="F30" s="4" t="str">
        <f ca="1">IFERROR(__xludf.DUMMYFUNCTION("""COMPUTED_VALUE"""),"Đại học, Chứng chỉ Kiểm toán viên")</f>
        <v>Đại học, Chứng chỉ Kiểm toán viên</v>
      </c>
      <c r="G30" s="4" t="str">
        <f ca="1">IFERROR(__xludf.DUMMYFUNCTION("""COMPUTED_VALUE"""),"Trên 10 đến 15 năm")</f>
        <v>Trên 10 đến 15 năm</v>
      </c>
      <c r="H30" s="4" t="str">
        <f ca="1">IFERROR(__xludf.DUMMYFUNCTION("""COMPUTED_VALUE"""),"Trưởng phòng")</f>
        <v>Trưởng phòng</v>
      </c>
      <c r="I30" s="4">
        <f ca="1">IFERROR(__xludf.DUMMYFUNCTION("""COMPUTED_VALUE"""),5)</f>
        <v>5</v>
      </c>
      <c r="J30" s="4">
        <f ca="1">IFERROR(__xludf.DUMMYFUNCTION("""COMPUTED_VALUE"""),5)</f>
        <v>5</v>
      </c>
      <c r="K30" s="4">
        <f ca="1">IFERROR(__xludf.DUMMYFUNCTION("""COMPUTED_VALUE"""),5)</f>
        <v>5</v>
      </c>
      <c r="L30" s="4">
        <f ca="1">IFERROR(__xludf.DUMMYFUNCTION("""COMPUTED_VALUE"""),3)</f>
        <v>3</v>
      </c>
      <c r="M30" s="4">
        <f ca="1">IFERROR(__xludf.DUMMYFUNCTION("""COMPUTED_VALUE"""),5)</f>
        <v>5</v>
      </c>
      <c r="N30" s="4">
        <f ca="1">IFERROR(__xludf.DUMMYFUNCTION("""COMPUTED_VALUE"""),4)</f>
        <v>4</v>
      </c>
      <c r="O30" s="4">
        <f ca="1">IFERROR(__xludf.DUMMYFUNCTION("""COMPUTED_VALUE"""),4)</f>
        <v>4</v>
      </c>
      <c r="P30" s="4">
        <f ca="1">IFERROR(__xludf.DUMMYFUNCTION("""COMPUTED_VALUE"""),4)</f>
        <v>4</v>
      </c>
      <c r="Q30" s="4">
        <f ca="1">IFERROR(__xludf.DUMMYFUNCTION("""COMPUTED_VALUE"""),5)</f>
        <v>5</v>
      </c>
      <c r="R30" s="4">
        <f ca="1">IFERROR(__xludf.DUMMYFUNCTION("""COMPUTED_VALUE"""),5)</f>
        <v>5</v>
      </c>
      <c r="S30" s="4">
        <f ca="1">IFERROR(__xludf.DUMMYFUNCTION("""COMPUTED_VALUE"""),5)</f>
        <v>5</v>
      </c>
      <c r="T30" s="4">
        <f ca="1">IFERROR(__xludf.DUMMYFUNCTION("""COMPUTED_VALUE"""),5)</f>
        <v>5</v>
      </c>
      <c r="U30" s="4">
        <f ca="1">IFERROR(__xludf.DUMMYFUNCTION("""COMPUTED_VALUE"""),5)</f>
        <v>5</v>
      </c>
      <c r="V30" s="4">
        <f ca="1">IFERROR(__xludf.DUMMYFUNCTION("""COMPUTED_VALUE"""),5)</f>
        <v>5</v>
      </c>
      <c r="W30" s="4">
        <f ca="1">IFERROR(__xludf.DUMMYFUNCTION("""COMPUTED_VALUE"""),4)</f>
        <v>4</v>
      </c>
      <c r="X30" s="4">
        <f ca="1">IFERROR(__xludf.DUMMYFUNCTION("""COMPUTED_VALUE"""),4)</f>
        <v>4</v>
      </c>
      <c r="Y30" s="4">
        <f ca="1">IFERROR(__xludf.DUMMYFUNCTION("""COMPUTED_VALUE"""),4)</f>
        <v>4</v>
      </c>
      <c r="Z30" s="4">
        <f ca="1">IFERROR(__xludf.DUMMYFUNCTION("""COMPUTED_VALUE"""),3)</f>
        <v>3</v>
      </c>
      <c r="AA30" s="4">
        <f ca="1">IFERROR(__xludf.DUMMYFUNCTION("""COMPUTED_VALUE"""),3)</f>
        <v>3</v>
      </c>
      <c r="AB30" s="4">
        <f ca="1">IFERROR(__xludf.DUMMYFUNCTION("""COMPUTED_VALUE"""),4)</f>
        <v>4</v>
      </c>
      <c r="AC30" s="4">
        <f ca="1">IFERROR(__xludf.DUMMYFUNCTION("""COMPUTED_VALUE"""),4)</f>
        <v>4</v>
      </c>
      <c r="AD30" s="4">
        <f ca="1">IFERROR(__xludf.DUMMYFUNCTION("""COMPUTED_VALUE"""),4)</f>
        <v>4</v>
      </c>
      <c r="AE30" s="4">
        <f ca="1">IFERROR(__xludf.DUMMYFUNCTION("""COMPUTED_VALUE"""),5)</f>
        <v>5</v>
      </c>
      <c r="AF30" s="4">
        <f ca="1">IFERROR(__xludf.DUMMYFUNCTION("""COMPUTED_VALUE"""),4)</f>
        <v>4</v>
      </c>
      <c r="AG30" s="4">
        <f ca="1">IFERROR(__xludf.DUMMYFUNCTION("""COMPUTED_VALUE"""),4)</f>
        <v>4</v>
      </c>
      <c r="AH30" s="4">
        <f ca="1">IFERROR(__xludf.DUMMYFUNCTION("""COMPUTED_VALUE"""),4)</f>
        <v>4</v>
      </c>
      <c r="AI30" s="4">
        <f ca="1">IFERROR(__xludf.DUMMYFUNCTION("""COMPUTED_VALUE"""),3)</f>
        <v>3</v>
      </c>
      <c r="AJ30" s="4">
        <f ca="1">IFERROR(__xludf.DUMMYFUNCTION("""COMPUTED_VALUE"""),4)</f>
        <v>4</v>
      </c>
      <c r="AK30" s="4">
        <f ca="1">IFERROR(__xludf.DUMMYFUNCTION("""COMPUTED_VALUE"""),4)</f>
        <v>4</v>
      </c>
      <c r="AL30" s="4">
        <f ca="1">IFERROR(__xludf.DUMMYFUNCTION("""COMPUTED_VALUE"""),5)</f>
        <v>5</v>
      </c>
      <c r="AM30" s="4">
        <f ca="1">IFERROR(__xludf.DUMMYFUNCTION("""COMPUTED_VALUE"""),5)</f>
        <v>5</v>
      </c>
      <c r="AN30" s="4">
        <f ca="1">IFERROR(__xludf.DUMMYFUNCTION("""COMPUTED_VALUE"""),5)</f>
        <v>5</v>
      </c>
      <c r="AO30" s="4">
        <f ca="1">IFERROR(__xludf.DUMMYFUNCTION("""COMPUTED_VALUE"""),4)</f>
        <v>4</v>
      </c>
      <c r="AP30" s="4">
        <f ca="1">IFERROR(__xludf.DUMMYFUNCTION("""COMPUTED_VALUE"""),4)</f>
        <v>4</v>
      </c>
      <c r="AQ30" s="4">
        <f ca="1">IFERROR(__xludf.DUMMYFUNCTION("""COMPUTED_VALUE"""),4)</f>
        <v>4</v>
      </c>
      <c r="AR30" s="4">
        <f ca="1">IFERROR(__xludf.DUMMYFUNCTION("""COMPUTED_VALUE"""),3)</f>
        <v>3</v>
      </c>
      <c r="AS30" s="4">
        <f ca="1">IFERROR(__xludf.DUMMYFUNCTION("""COMPUTED_VALUE"""),4)</f>
        <v>4</v>
      </c>
      <c r="AT30" s="4">
        <f ca="1">IFERROR(__xludf.DUMMYFUNCTION("""COMPUTED_VALUE"""),4)</f>
        <v>4</v>
      </c>
      <c r="AU30" s="4">
        <f ca="1">IFERROR(__xludf.DUMMYFUNCTION("""COMPUTED_VALUE"""),4)</f>
        <v>4</v>
      </c>
      <c r="AV30" s="4">
        <f ca="1">IFERROR(__xludf.DUMMYFUNCTION("""COMPUTED_VALUE"""),4)</f>
        <v>4</v>
      </c>
      <c r="AW30" s="4">
        <f ca="1">IFERROR(__xludf.DUMMYFUNCTION("""COMPUTED_VALUE"""),4)</f>
        <v>4</v>
      </c>
      <c r="AX30" s="4">
        <f ca="1">IFERROR(__xludf.DUMMYFUNCTION("""COMPUTED_VALUE"""),5)</f>
        <v>5</v>
      </c>
      <c r="AY30" s="4">
        <f ca="1">IFERROR(__xludf.DUMMYFUNCTION("""COMPUTED_VALUE"""),5)</f>
        <v>5</v>
      </c>
      <c r="AZ30" s="4">
        <f ca="1">IFERROR(__xludf.DUMMYFUNCTION("""COMPUTED_VALUE"""),5)</f>
        <v>5</v>
      </c>
      <c r="BA30" s="4">
        <f ca="1">IFERROR(__xludf.DUMMYFUNCTION("""COMPUTED_VALUE"""),5)</f>
        <v>5</v>
      </c>
      <c r="BB30" s="4">
        <f ca="1">IFERROR(__xludf.DUMMYFUNCTION("""COMPUTED_VALUE"""),4)</f>
        <v>4</v>
      </c>
      <c r="BC30" s="4">
        <f ca="1">IFERROR(__xludf.DUMMYFUNCTION("""COMPUTED_VALUE"""),4)</f>
        <v>4</v>
      </c>
      <c r="BD30" s="4">
        <f ca="1">IFERROR(__xludf.DUMMYFUNCTION("""COMPUTED_VALUE"""),3)</f>
        <v>3</v>
      </c>
      <c r="BE30" s="4">
        <f ca="1">IFERROR(__xludf.DUMMYFUNCTION("""COMPUTED_VALUE"""),3)</f>
        <v>3</v>
      </c>
      <c r="BF30" s="4">
        <f ca="1">IFERROR(__xludf.DUMMYFUNCTION("""COMPUTED_VALUE"""),3)</f>
        <v>3</v>
      </c>
      <c r="BG30" s="4">
        <f ca="1">IFERROR(__xludf.DUMMYFUNCTION("""COMPUTED_VALUE"""),3)</f>
        <v>3</v>
      </c>
      <c r="BH30" s="4">
        <f ca="1">IFERROR(__xludf.DUMMYFUNCTION("""COMPUTED_VALUE"""),4)</f>
        <v>4</v>
      </c>
      <c r="BI30" s="4">
        <f ca="1">IFERROR(__xludf.DUMMYFUNCTION("""COMPUTED_VALUE"""),4)</f>
        <v>4</v>
      </c>
      <c r="BJ30" s="4">
        <f ca="1">IFERROR(__xludf.DUMMYFUNCTION("""COMPUTED_VALUE"""),4)</f>
        <v>4</v>
      </c>
      <c r="BK30" s="4">
        <f ca="1">IFERROR(__xludf.DUMMYFUNCTION("""COMPUTED_VALUE"""),4)</f>
        <v>4</v>
      </c>
      <c r="BL30" s="4">
        <f ca="1">IFERROR(__xludf.DUMMYFUNCTION("""COMPUTED_VALUE"""),4)</f>
        <v>4</v>
      </c>
      <c r="BM30" s="4">
        <f ca="1">IFERROR(__xludf.DUMMYFUNCTION("""COMPUTED_VALUE"""),4)</f>
        <v>4</v>
      </c>
      <c r="BN30" s="4">
        <f ca="1">IFERROR(__xludf.DUMMYFUNCTION("""COMPUTED_VALUE"""),4)</f>
        <v>4</v>
      </c>
      <c r="BO30" s="4">
        <f ca="1">IFERROR(__xludf.DUMMYFUNCTION("""COMPUTED_VALUE"""),4)</f>
        <v>4</v>
      </c>
      <c r="BP30" s="4">
        <f ca="1">IFERROR(__xludf.DUMMYFUNCTION("""COMPUTED_VALUE"""),4)</f>
        <v>4</v>
      </c>
    </row>
    <row r="31" spans="1:68" x14ac:dyDescent="0.25">
      <c r="A31" s="4" t="str">
        <f ca="1">IFERROR(__xludf.DUMMYFUNCTION("""COMPUTED_VALUE"""),"2_ABaOnueSQLuJRKuJ8Pi9Cc2PTYT5EtBb9kBPFfoCE17oh0uAI2cDfWStr5fKeKcxZA")</f>
        <v>2_ABaOnueSQLuJRKuJ8Pi9Cc2PTYT5EtBb9kBPFfoCE17oh0uAI2cDfWStr5fKeKcxZA</v>
      </c>
      <c r="B31" s="5">
        <f ca="1">IFERROR(__xludf.DUMMYFUNCTION("""COMPUTED_VALUE"""),45966.717598912)</f>
        <v>45966.717598912001</v>
      </c>
      <c r="C31" s="4" t="str">
        <f ca="1">IFERROR(__xludf.DUMMYFUNCTION("""COMPUTED_VALUE"""),"Nguyễn Quang Thông")</f>
        <v>Nguyễn Quang Thông</v>
      </c>
      <c r="D31" s="4" t="str">
        <f ca="1">IFERROR(__xludf.DUMMYFUNCTION("""COMPUTED_VALUE"""),"Nam")</f>
        <v>Nam</v>
      </c>
      <c r="E31" s="4" t="str">
        <f ca="1">IFERROR(__xludf.DUMMYFUNCTION("""COMPUTED_VALUE"""),"FAC-CN Đệ Nhất")</f>
        <v>FAC-CN Đệ Nhất</v>
      </c>
      <c r="F31" s="4" t="str">
        <f ca="1">IFERROR(__xludf.DUMMYFUNCTION("""COMPUTED_VALUE"""),"Đại học, Chứng chỉ Kiểm toán viên")</f>
        <v>Đại học, Chứng chỉ Kiểm toán viên</v>
      </c>
      <c r="G31" s="4" t="str">
        <f ca="1">IFERROR(__xludf.DUMMYFUNCTION("""COMPUTED_VALUE"""),"Trên 10 đến 15 năm")</f>
        <v>Trên 10 đến 15 năm</v>
      </c>
      <c r="H31" s="4" t="str">
        <f ca="1">IFERROR(__xludf.DUMMYFUNCTION("""COMPUTED_VALUE"""),"Kiểm toán viên/Trưởng nhóm")</f>
        <v>Kiểm toán viên/Trưởng nhóm</v>
      </c>
      <c r="I31" s="4">
        <f ca="1">IFERROR(__xludf.DUMMYFUNCTION("""COMPUTED_VALUE"""),5)</f>
        <v>5</v>
      </c>
      <c r="J31" s="4">
        <f ca="1">IFERROR(__xludf.DUMMYFUNCTION("""COMPUTED_VALUE"""),4)</f>
        <v>4</v>
      </c>
      <c r="K31" s="4">
        <f ca="1">IFERROR(__xludf.DUMMYFUNCTION("""COMPUTED_VALUE"""),4)</f>
        <v>4</v>
      </c>
      <c r="L31" s="4">
        <f ca="1">IFERROR(__xludf.DUMMYFUNCTION("""COMPUTED_VALUE"""),3)</f>
        <v>3</v>
      </c>
      <c r="M31" s="4">
        <f ca="1">IFERROR(__xludf.DUMMYFUNCTION("""COMPUTED_VALUE"""),4)</f>
        <v>4</v>
      </c>
      <c r="N31" s="4">
        <f ca="1">IFERROR(__xludf.DUMMYFUNCTION("""COMPUTED_VALUE"""),3)</f>
        <v>3</v>
      </c>
      <c r="O31" s="4">
        <f ca="1">IFERROR(__xludf.DUMMYFUNCTION("""COMPUTED_VALUE"""),3)</f>
        <v>3</v>
      </c>
      <c r="P31" s="4">
        <f ca="1">IFERROR(__xludf.DUMMYFUNCTION("""COMPUTED_VALUE"""),4)</f>
        <v>4</v>
      </c>
      <c r="Q31" s="4">
        <f ca="1">IFERROR(__xludf.DUMMYFUNCTION("""COMPUTED_VALUE"""),4)</f>
        <v>4</v>
      </c>
      <c r="R31" s="4">
        <f ca="1">IFERROR(__xludf.DUMMYFUNCTION("""COMPUTED_VALUE"""),4)</f>
        <v>4</v>
      </c>
      <c r="S31" s="4">
        <f ca="1">IFERROR(__xludf.DUMMYFUNCTION("""COMPUTED_VALUE"""),4)</f>
        <v>4</v>
      </c>
      <c r="T31" s="4">
        <f ca="1">IFERROR(__xludf.DUMMYFUNCTION("""COMPUTED_VALUE"""),5)</f>
        <v>5</v>
      </c>
      <c r="U31" s="4">
        <f ca="1">IFERROR(__xludf.DUMMYFUNCTION("""COMPUTED_VALUE"""),4)</f>
        <v>4</v>
      </c>
      <c r="V31" s="4">
        <f ca="1">IFERROR(__xludf.DUMMYFUNCTION("""COMPUTED_VALUE"""),5)</f>
        <v>5</v>
      </c>
      <c r="W31" s="4">
        <f ca="1">IFERROR(__xludf.DUMMYFUNCTION("""COMPUTED_VALUE"""),3)</f>
        <v>3</v>
      </c>
      <c r="X31" s="4">
        <f ca="1">IFERROR(__xludf.DUMMYFUNCTION("""COMPUTED_VALUE"""),3)</f>
        <v>3</v>
      </c>
      <c r="Y31" s="4">
        <f ca="1">IFERROR(__xludf.DUMMYFUNCTION("""COMPUTED_VALUE"""),3)</f>
        <v>3</v>
      </c>
      <c r="Z31" s="4">
        <f ca="1">IFERROR(__xludf.DUMMYFUNCTION("""COMPUTED_VALUE"""),4)</f>
        <v>4</v>
      </c>
      <c r="AA31" s="4">
        <f ca="1">IFERROR(__xludf.DUMMYFUNCTION("""COMPUTED_VALUE"""),4)</f>
        <v>4</v>
      </c>
      <c r="AB31" s="4">
        <f ca="1">IFERROR(__xludf.DUMMYFUNCTION("""COMPUTED_VALUE"""),4)</f>
        <v>4</v>
      </c>
      <c r="AC31" s="4">
        <f ca="1">IFERROR(__xludf.DUMMYFUNCTION("""COMPUTED_VALUE"""),4)</f>
        <v>4</v>
      </c>
      <c r="AD31" s="4">
        <f ca="1">IFERROR(__xludf.DUMMYFUNCTION("""COMPUTED_VALUE"""),4)</f>
        <v>4</v>
      </c>
      <c r="AE31" s="4">
        <f ca="1">IFERROR(__xludf.DUMMYFUNCTION("""COMPUTED_VALUE"""),4)</f>
        <v>4</v>
      </c>
      <c r="AF31" s="4">
        <f ca="1">IFERROR(__xludf.DUMMYFUNCTION("""COMPUTED_VALUE"""),4)</f>
        <v>4</v>
      </c>
      <c r="AG31" s="4">
        <f ca="1">IFERROR(__xludf.DUMMYFUNCTION("""COMPUTED_VALUE"""),4)</f>
        <v>4</v>
      </c>
      <c r="AH31" s="4">
        <f ca="1">IFERROR(__xludf.DUMMYFUNCTION("""COMPUTED_VALUE"""),4)</f>
        <v>4</v>
      </c>
      <c r="AI31" s="4">
        <f ca="1">IFERROR(__xludf.DUMMYFUNCTION("""COMPUTED_VALUE"""),4)</f>
        <v>4</v>
      </c>
      <c r="AJ31" s="4">
        <f ca="1">IFERROR(__xludf.DUMMYFUNCTION("""COMPUTED_VALUE"""),4)</f>
        <v>4</v>
      </c>
      <c r="AK31" s="4">
        <f ca="1">IFERROR(__xludf.DUMMYFUNCTION("""COMPUTED_VALUE"""),4)</f>
        <v>4</v>
      </c>
      <c r="AL31" s="4">
        <f ca="1">IFERROR(__xludf.DUMMYFUNCTION("""COMPUTED_VALUE"""),4)</f>
        <v>4</v>
      </c>
      <c r="AM31" s="4">
        <f ca="1">IFERROR(__xludf.DUMMYFUNCTION("""COMPUTED_VALUE"""),4)</f>
        <v>4</v>
      </c>
      <c r="AN31" s="4">
        <f ca="1">IFERROR(__xludf.DUMMYFUNCTION("""COMPUTED_VALUE"""),4)</f>
        <v>4</v>
      </c>
      <c r="AO31" s="4">
        <f ca="1">IFERROR(__xludf.DUMMYFUNCTION("""COMPUTED_VALUE"""),4)</f>
        <v>4</v>
      </c>
      <c r="AP31" s="4">
        <f ca="1">IFERROR(__xludf.DUMMYFUNCTION("""COMPUTED_VALUE"""),4)</f>
        <v>4</v>
      </c>
      <c r="AQ31" s="4">
        <f ca="1">IFERROR(__xludf.DUMMYFUNCTION("""COMPUTED_VALUE"""),4)</f>
        <v>4</v>
      </c>
      <c r="AR31" s="4">
        <f ca="1">IFERROR(__xludf.DUMMYFUNCTION("""COMPUTED_VALUE"""),4)</f>
        <v>4</v>
      </c>
      <c r="AS31" s="4">
        <f ca="1">IFERROR(__xludf.DUMMYFUNCTION("""COMPUTED_VALUE"""),4)</f>
        <v>4</v>
      </c>
      <c r="AT31" s="4">
        <f ca="1">IFERROR(__xludf.DUMMYFUNCTION("""COMPUTED_VALUE"""),3)</f>
        <v>3</v>
      </c>
      <c r="AU31" s="4">
        <f ca="1">IFERROR(__xludf.DUMMYFUNCTION("""COMPUTED_VALUE"""),4)</f>
        <v>4</v>
      </c>
      <c r="AV31" s="4">
        <f ca="1">IFERROR(__xludf.DUMMYFUNCTION("""COMPUTED_VALUE"""),4)</f>
        <v>4</v>
      </c>
      <c r="AW31" s="4">
        <f ca="1">IFERROR(__xludf.DUMMYFUNCTION("""COMPUTED_VALUE"""),4)</f>
        <v>4</v>
      </c>
      <c r="AX31" s="4">
        <f ca="1">IFERROR(__xludf.DUMMYFUNCTION("""COMPUTED_VALUE"""),4)</f>
        <v>4</v>
      </c>
      <c r="AY31" s="4">
        <f ca="1">IFERROR(__xludf.DUMMYFUNCTION("""COMPUTED_VALUE"""),4)</f>
        <v>4</v>
      </c>
      <c r="AZ31" s="4">
        <f ca="1">IFERROR(__xludf.DUMMYFUNCTION("""COMPUTED_VALUE"""),4)</f>
        <v>4</v>
      </c>
      <c r="BA31" s="4">
        <f ca="1">IFERROR(__xludf.DUMMYFUNCTION("""COMPUTED_VALUE"""),4)</f>
        <v>4</v>
      </c>
      <c r="BB31" s="4">
        <f ca="1">IFERROR(__xludf.DUMMYFUNCTION("""COMPUTED_VALUE"""),3)</f>
        <v>3</v>
      </c>
      <c r="BC31" s="4">
        <f ca="1">IFERROR(__xludf.DUMMYFUNCTION("""COMPUTED_VALUE"""),3)</f>
        <v>3</v>
      </c>
      <c r="BD31" s="4">
        <f ca="1">IFERROR(__xludf.DUMMYFUNCTION("""COMPUTED_VALUE"""),3)</f>
        <v>3</v>
      </c>
      <c r="BE31" s="4">
        <f ca="1">IFERROR(__xludf.DUMMYFUNCTION("""COMPUTED_VALUE"""),3)</f>
        <v>3</v>
      </c>
      <c r="BF31" s="4">
        <f ca="1">IFERROR(__xludf.DUMMYFUNCTION("""COMPUTED_VALUE"""),3)</f>
        <v>3</v>
      </c>
      <c r="BG31" s="4">
        <f ca="1">IFERROR(__xludf.DUMMYFUNCTION("""COMPUTED_VALUE"""),3)</f>
        <v>3</v>
      </c>
      <c r="BH31" s="4">
        <f ca="1">IFERROR(__xludf.DUMMYFUNCTION("""COMPUTED_VALUE"""),4)</f>
        <v>4</v>
      </c>
      <c r="BI31" s="4">
        <f ca="1">IFERROR(__xludf.DUMMYFUNCTION("""COMPUTED_VALUE"""),4)</f>
        <v>4</v>
      </c>
      <c r="BJ31" s="4">
        <f ca="1">IFERROR(__xludf.DUMMYFUNCTION("""COMPUTED_VALUE"""),4)</f>
        <v>4</v>
      </c>
      <c r="BK31" s="4">
        <f ca="1">IFERROR(__xludf.DUMMYFUNCTION("""COMPUTED_VALUE"""),4)</f>
        <v>4</v>
      </c>
      <c r="BL31" s="4">
        <f ca="1">IFERROR(__xludf.DUMMYFUNCTION("""COMPUTED_VALUE"""),4)</f>
        <v>4</v>
      </c>
      <c r="BM31" s="4">
        <f ca="1">IFERROR(__xludf.DUMMYFUNCTION("""COMPUTED_VALUE"""),4)</f>
        <v>4</v>
      </c>
      <c r="BN31" s="4">
        <f ca="1">IFERROR(__xludf.DUMMYFUNCTION("""COMPUTED_VALUE"""),4)</f>
        <v>4</v>
      </c>
      <c r="BO31" s="4">
        <f ca="1">IFERROR(__xludf.DUMMYFUNCTION("""COMPUTED_VALUE"""),5)</f>
        <v>5</v>
      </c>
      <c r="BP31" s="4">
        <f ca="1">IFERROR(__xludf.DUMMYFUNCTION("""COMPUTED_VALUE"""),3)</f>
        <v>3</v>
      </c>
    </row>
    <row r="32" spans="1:68" x14ac:dyDescent="0.25">
      <c r="A32" s="4" t="str">
        <f ca="1">IFERROR(__xludf.DUMMYFUNCTION("""COMPUTED_VALUE"""),"2_ABaOnucZn0HGwSx6YxsNg52U2Idvhdaj_pYwqDXk5PZqZmBAWxC_r9x0FxFc7IwYxg")</f>
        <v>2_ABaOnucZn0HGwSx6YxsNg52U2Idvhdaj_pYwqDXk5PZqZmBAWxC_r9x0FxFc7IwYxg</v>
      </c>
      <c r="B32" s="5">
        <f ca="1">IFERROR(__xludf.DUMMYFUNCTION("""COMPUTED_VALUE"""),45966.7211412962)</f>
        <v>45966.721141296199</v>
      </c>
      <c r="C32" s="4" t="str">
        <f ca="1">IFERROR(__xludf.DUMMYFUNCTION("""COMPUTED_VALUE"""),"Lê Trung Hiếu")</f>
        <v>Lê Trung Hiếu</v>
      </c>
      <c r="D32" s="4" t="str">
        <f ca="1">IFERROR(__xludf.DUMMYFUNCTION("""COMPUTED_VALUE"""),"Nam")</f>
        <v>Nam</v>
      </c>
      <c r="E32" s="4" t="str">
        <f ca="1">IFERROR(__xludf.DUMMYFUNCTION("""COMPUTED_VALUE"""),"EY Việt Nam")</f>
        <v>EY Việt Nam</v>
      </c>
      <c r="F32" s="4" t="str">
        <f ca="1">IFERROR(__xludf.DUMMYFUNCTION("""COMPUTED_VALUE"""),"Đại học, Chứng chỉ Kiểm toán viên, CPA Aus")</f>
        <v>Đại học, Chứng chỉ Kiểm toán viên, CPA Aus</v>
      </c>
      <c r="G32" s="4" t="str">
        <f ca="1">IFERROR(__xludf.DUMMYFUNCTION("""COMPUTED_VALUE"""),"Trên 5 đến 10 năm")</f>
        <v>Trên 5 đến 10 năm</v>
      </c>
      <c r="H32" s="4" t="str">
        <f ca="1">IFERROR(__xludf.DUMMYFUNCTION("""COMPUTED_VALUE"""),"Trưởng phòng")</f>
        <v>Trưởng phòng</v>
      </c>
      <c r="I32" s="4">
        <f ca="1">IFERROR(__xludf.DUMMYFUNCTION("""COMPUTED_VALUE"""),5)</f>
        <v>5</v>
      </c>
      <c r="J32" s="4">
        <f ca="1">IFERROR(__xludf.DUMMYFUNCTION("""COMPUTED_VALUE"""),4)</f>
        <v>4</v>
      </c>
      <c r="K32" s="4">
        <f ca="1">IFERROR(__xludf.DUMMYFUNCTION("""COMPUTED_VALUE"""),4)</f>
        <v>4</v>
      </c>
      <c r="L32" s="4">
        <f ca="1">IFERROR(__xludf.DUMMYFUNCTION("""COMPUTED_VALUE"""),5)</f>
        <v>5</v>
      </c>
      <c r="M32" s="4">
        <f ca="1">IFERROR(__xludf.DUMMYFUNCTION("""COMPUTED_VALUE"""),5)</f>
        <v>5</v>
      </c>
      <c r="N32" s="4">
        <f ca="1">IFERROR(__xludf.DUMMYFUNCTION("""COMPUTED_VALUE"""),5)</f>
        <v>5</v>
      </c>
      <c r="O32" s="4">
        <f ca="1">IFERROR(__xludf.DUMMYFUNCTION("""COMPUTED_VALUE"""),5)</f>
        <v>5</v>
      </c>
      <c r="P32" s="4">
        <f ca="1">IFERROR(__xludf.DUMMYFUNCTION("""COMPUTED_VALUE"""),5)</f>
        <v>5</v>
      </c>
      <c r="Q32" s="4">
        <f ca="1">IFERROR(__xludf.DUMMYFUNCTION("""COMPUTED_VALUE"""),5)</f>
        <v>5</v>
      </c>
      <c r="R32" s="4">
        <f ca="1">IFERROR(__xludf.DUMMYFUNCTION("""COMPUTED_VALUE"""),4)</f>
        <v>4</v>
      </c>
      <c r="S32" s="4">
        <f ca="1">IFERROR(__xludf.DUMMYFUNCTION("""COMPUTED_VALUE"""),4)</f>
        <v>4</v>
      </c>
      <c r="T32" s="4">
        <f ca="1">IFERROR(__xludf.DUMMYFUNCTION("""COMPUTED_VALUE"""),4)</f>
        <v>4</v>
      </c>
      <c r="U32" s="4">
        <f ca="1">IFERROR(__xludf.DUMMYFUNCTION("""COMPUTED_VALUE"""),5)</f>
        <v>5</v>
      </c>
      <c r="V32" s="4">
        <f ca="1">IFERROR(__xludf.DUMMYFUNCTION("""COMPUTED_VALUE"""),4)</f>
        <v>4</v>
      </c>
      <c r="W32" s="4">
        <f ca="1">IFERROR(__xludf.DUMMYFUNCTION("""COMPUTED_VALUE"""),4)</f>
        <v>4</v>
      </c>
      <c r="X32" s="4">
        <f ca="1">IFERROR(__xludf.DUMMYFUNCTION("""COMPUTED_VALUE"""),4)</f>
        <v>4</v>
      </c>
      <c r="Y32" s="4">
        <f ca="1">IFERROR(__xludf.DUMMYFUNCTION("""COMPUTED_VALUE"""),4)</f>
        <v>4</v>
      </c>
      <c r="Z32" s="4">
        <f ca="1">IFERROR(__xludf.DUMMYFUNCTION("""COMPUTED_VALUE"""),4)</f>
        <v>4</v>
      </c>
      <c r="AA32" s="4">
        <f ca="1">IFERROR(__xludf.DUMMYFUNCTION("""COMPUTED_VALUE"""),4)</f>
        <v>4</v>
      </c>
      <c r="AB32" s="4">
        <f ca="1">IFERROR(__xludf.DUMMYFUNCTION("""COMPUTED_VALUE"""),3)</f>
        <v>3</v>
      </c>
      <c r="AC32" s="4">
        <f ca="1">IFERROR(__xludf.DUMMYFUNCTION("""COMPUTED_VALUE"""),3)</f>
        <v>3</v>
      </c>
      <c r="AD32" s="4">
        <f ca="1">IFERROR(__xludf.DUMMYFUNCTION("""COMPUTED_VALUE"""),3)</f>
        <v>3</v>
      </c>
      <c r="AE32" s="4">
        <f ca="1">IFERROR(__xludf.DUMMYFUNCTION("""COMPUTED_VALUE"""),5)</f>
        <v>5</v>
      </c>
      <c r="AF32" s="4">
        <f ca="1">IFERROR(__xludf.DUMMYFUNCTION("""COMPUTED_VALUE"""),5)</f>
        <v>5</v>
      </c>
      <c r="AG32" s="4">
        <f ca="1">IFERROR(__xludf.DUMMYFUNCTION("""COMPUTED_VALUE"""),5)</f>
        <v>5</v>
      </c>
      <c r="AH32" s="4">
        <f ca="1">IFERROR(__xludf.DUMMYFUNCTION("""COMPUTED_VALUE"""),5)</f>
        <v>5</v>
      </c>
      <c r="AI32" s="4">
        <f ca="1">IFERROR(__xludf.DUMMYFUNCTION("""COMPUTED_VALUE"""),5)</f>
        <v>5</v>
      </c>
      <c r="AJ32" s="4">
        <f ca="1">IFERROR(__xludf.DUMMYFUNCTION("""COMPUTED_VALUE"""),4)</f>
        <v>4</v>
      </c>
      <c r="AK32" s="4">
        <f ca="1">IFERROR(__xludf.DUMMYFUNCTION("""COMPUTED_VALUE"""),4)</f>
        <v>4</v>
      </c>
      <c r="AL32" s="4">
        <f ca="1">IFERROR(__xludf.DUMMYFUNCTION("""COMPUTED_VALUE"""),4)</f>
        <v>4</v>
      </c>
      <c r="AM32" s="4">
        <f ca="1">IFERROR(__xludf.DUMMYFUNCTION("""COMPUTED_VALUE"""),5)</f>
        <v>5</v>
      </c>
      <c r="AN32" s="4">
        <f ca="1">IFERROR(__xludf.DUMMYFUNCTION("""COMPUTED_VALUE"""),5)</f>
        <v>5</v>
      </c>
      <c r="AO32" s="4">
        <f ca="1">IFERROR(__xludf.DUMMYFUNCTION("""COMPUTED_VALUE"""),4)</f>
        <v>4</v>
      </c>
      <c r="AP32" s="4">
        <f ca="1">IFERROR(__xludf.DUMMYFUNCTION("""COMPUTED_VALUE"""),3)</f>
        <v>3</v>
      </c>
      <c r="AQ32" s="4">
        <f ca="1">IFERROR(__xludf.DUMMYFUNCTION("""COMPUTED_VALUE"""),4)</f>
        <v>4</v>
      </c>
      <c r="AR32" s="4">
        <f ca="1">IFERROR(__xludf.DUMMYFUNCTION("""COMPUTED_VALUE"""),3)</f>
        <v>3</v>
      </c>
      <c r="AS32" s="4">
        <f ca="1">IFERROR(__xludf.DUMMYFUNCTION("""COMPUTED_VALUE"""),3)</f>
        <v>3</v>
      </c>
      <c r="AT32" s="4">
        <f ca="1">IFERROR(__xludf.DUMMYFUNCTION("""COMPUTED_VALUE"""),4)</f>
        <v>4</v>
      </c>
      <c r="AU32" s="4">
        <f ca="1">IFERROR(__xludf.DUMMYFUNCTION("""COMPUTED_VALUE"""),3)</f>
        <v>3</v>
      </c>
      <c r="AV32" s="4">
        <f ca="1">IFERROR(__xludf.DUMMYFUNCTION("""COMPUTED_VALUE"""),4)</f>
        <v>4</v>
      </c>
      <c r="AW32" s="4">
        <f ca="1">IFERROR(__xludf.DUMMYFUNCTION("""COMPUTED_VALUE"""),3)</f>
        <v>3</v>
      </c>
      <c r="AX32" s="4">
        <f ca="1">IFERROR(__xludf.DUMMYFUNCTION("""COMPUTED_VALUE"""),5)</f>
        <v>5</v>
      </c>
      <c r="AY32" s="4">
        <f ca="1">IFERROR(__xludf.DUMMYFUNCTION("""COMPUTED_VALUE"""),5)</f>
        <v>5</v>
      </c>
      <c r="AZ32" s="4">
        <f ca="1">IFERROR(__xludf.DUMMYFUNCTION("""COMPUTED_VALUE"""),5)</f>
        <v>5</v>
      </c>
      <c r="BA32" s="4">
        <f ca="1">IFERROR(__xludf.DUMMYFUNCTION("""COMPUTED_VALUE"""),5)</f>
        <v>5</v>
      </c>
      <c r="BB32" s="4">
        <f ca="1">IFERROR(__xludf.DUMMYFUNCTION("""COMPUTED_VALUE"""),4)</f>
        <v>4</v>
      </c>
      <c r="BC32" s="4">
        <f ca="1">IFERROR(__xludf.DUMMYFUNCTION("""COMPUTED_VALUE"""),4)</f>
        <v>4</v>
      </c>
      <c r="BD32" s="4">
        <f ca="1">IFERROR(__xludf.DUMMYFUNCTION("""COMPUTED_VALUE"""),4)</f>
        <v>4</v>
      </c>
      <c r="BE32" s="4">
        <f ca="1">IFERROR(__xludf.DUMMYFUNCTION("""COMPUTED_VALUE"""),3)</f>
        <v>3</v>
      </c>
      <c r="BF32" s="4">
        <f ca="1">IFERROR(__xludf.DUMMYFUNCTION("""COMPUTED_VALUE"""),4)</f>
        <v>4</v>
      </c>
      <c r="BG32" s="4">
        <f ca="1">IFERROR(__xludf.DUMMYFUNCTION("""COMPUTED_VALUE"""),3)</f>
        <v>3</v>
      </c>
      <c r="BH32" s="4">
        <f ca="1">IFERROR(__xludf.DUMMYFUNCTION("""COMPUTED_VALUE"""),4)</f>
        <v>4</v>
      </c>
      <c r="BI32" s="4">
        <f ca="1">IFERROR(__xludf.DUMMYFUNCTION("""COMPUTED_VALUE"""),4)</f>
        <v>4</v>
      </c>
      <c r="BJ32" s="4">
        <f ca="1">IFERROR(__xludf.DUMMYFUNCTION("""COMPUTED_VALUE"""),5)</f>
        <v>5</v>
      </c>
      <c r="BK32" s="4">
        <f ca="1">IFERROR(__xludf.DUMMYFUNCTION("""COMPUTED_VALUE"""),5)</f>
        <v>5</v>
      </c>
      <c r="BL32" s="4">
        <f ca="1">IFERROR(__xludf.DUMMYFUNCTION("""COMPUTED_VALUE"""),4)</f>
        <v>4</v>
      </c>
      <c r="BM32" s="4">
        <f ca="1">IFERROR(__xludf.DUMMYFUNCTION("""COMPUTED_VALUE"""),4)</f>
        <v>4</v>
      </c>
      <c r="BN32" s="4">
        <f ca="1">IFERROR(__xludf.DUMMYFUNCTION("""COMPUTED_VALUE"""),4)</f>
        <v>4</v>
      </c>
      <c r="BO32" s="4">
        <f ca="1">IFERROR(__xludf.DUMMYFUNCTION("""COMPUTED_VALUE"""),5)</f>
        <v>5</v>
      </c>
      <c r="BP32" s="4">
        <f ca="1">IFERROR(__xludf.DUMMYFUNCTION("""COMPUTED_VALUE"""),4)</f>
        <v>4</v>
      </c>
    </row>
    <row r="33" spans="1:68" x14ac:dyDescent="0.25">
      <c r="A33" s="4" t="str">
        <f ca="1">IFERROR(__xludf.DUMMYFUNCTION("""COMPUTED_VALUE"""),"2_ABaOnufcsC9cS6xjacnjORilw7rk8LUU76NPUz9rDM60DVH9_qowgFC-ILrOdEDCPA")</f>
        <v>2_ABaOnufcsC9cS6xjacnjORilw7rk8LUU76NPUz9rDM60DVH9_qowgFC-ILrOdEDCPA</v>
      </c>
      <c r="B33" s="5">
        <f ca="1">IFERROR(__xludf.DUMMYFUNCTION("""COMPUTED_VALUE"""),45966.7308567476)</f>
        <v>45966.730856747599</v>
      </c>
      <c r="C33" s="4" t="str">
        <f ca="1">IFERROR(__xludf.DUMMYFUNCTION("""COMPUTED_VALUE"""),"Hoàng Thái Tân")</f>
        <v>Hoàng Thái Tân</v>
      </c>
      <c r="D33" s="4" t="str">
        <f ca="1">IFERROR(__xludf.DUMMYFUNCTION("""COMPUTED_VALUE"""),"Nam")</f>
        <v>Nam</v>
      </c>
      <c r="E33" s="4" t="str">
        <f ca="1">IFERROR(__xludf.DUMMYFUNCTION("""COMPUTED_VALUE"""),"Công ty TNHH Kiểm toán và Tư vấn Chuẩn Việt")</f>
        <v>Công ty TNHH Kiểm toán và Tư vấn Chuẩn Việt</v>
      </c>
      <c r="F33" s="4" t="str">
        <f ca="1">IFERROR(__xludf.DUMMYFUNCTION("""COMPUTED_VALUE"""),"Đại học, Chứng chỉ Kiểm toán viên")</f>
        <v>Đại học, Chứng chỉ Kiểm toán viên</v>
      </c>
      <c r="G33" s="4" t="str">
        <f ca="1">IFERROR(__xludf.DUMMYFUNCTION("""COMPUTED_VALUE"""),"Trên 15 đến 20 năm")</f>
        <v>Trên 15 đến 20 năm</v>
      </c>
      <c r="H33" s="4" t="str">
        <f ca="1">IFERROR(__xludf.DUMMYFUNCTION("""COMPUTED_VALUE"""),"Trưởng phòng")</f>
        <v>Trưởng phòng</v>
      </c>
      <c r="I33" s="4">
        <f ca="1">IFERROR(__xludf.DUMMYFUNCTION("""COMPUTED_VALUE"""),5)</f>
        <v>5</v>
      </c>
      <c r="J33" s="4">
        <f ca="1">IFERROR(__xludf.DUMMYFUNCTION("""COMPUTED_VALUE"""),4)</f>
        <v>4</v>
      </c>
      <c r="K33" s="4">
        <f ca="1">IFERROR(__xludf.DUMMYFUNCTION("""COMPUTED_VALUE"""),4)</f>
        <v>4</v>
      </c>
      <c r="L33" s="4">
        <f ca="1">IFERROR(__xludf.DUMMYFUNCTION("""COMPUTED_VALUE"""),4)</f>
        <v>4</v>
      </c>
      <c r="M33" s="4">
        <f ca="1">IFERROR(__xludf.DUMMYFUNCTION("""COMPUTED_VALUE"""),5)</f>
        <v>5</v>
      </c>
      <c r="N33" s="4">
        <f ca="1">IFERROR(__xludf.DUMMYFUNCTION("""COMPUTED_VALUE"""),3)</f>
        <v>3</v>
      </c>
      <c r="O33" s="4">
        <f ca="1">IFERROR(__xludf.DUMMYFUNCTION("""COMPUTED_VALUE"""),3)</f>
        <v>3</v>
      </c>
      <c r="P33" s="4">
        <f ca="1">IFERROR(__xludf.DUMMYFUNCTION("""COMPUTED_VALUE"""),5)</f>
        <v>5</v>
      </c>
      <c r="Q33" s="4">
        <f ca="1">IFERROR(__xludf.DUMMYFUNCTION("""COMPUTED_VALUE"""),5)</f>
        <v>5</v>
      </c>
      <c r="R33" s="4">
        <f ca="1">IFERROR(__xludf.DUMMYFUNCTION("""COMPUTED_VALUE"""),4)</f>
        <v>4</v>
      </c>
      <c r="S33" s="4">
        <f ca="1">IFERROR(__xludf.DUMMYFUNCTION("""COMPUTED_VALUE"""),4)</f>
        <v>4</v>
      </c>
      <c r="T33" s="4">
        <f ca="1">IFERROR(__xludf.DUMMYFUNCTION("""COMPUTED_VALUE"""),4)</f>
        <v>4</v>
      </c>
      <c r="U33" s="4">
        <f ca="1">IFERROR(__xludf.DUMMYFUNCTION("""COMPUTED_VALUE"""),3)</f>
        <v>3</v>
      </c>
      <c r="V33" s="4">
        <f ca="1">IFERROR(__xludf.DUMMYFUNCTION("""COMPUTED_VALUE"""),3)</f>
        <v>3</v>
      </c>
      <c r="W33" s="4">
        <f ca="1">IFERROR(__xludf.DUMMYFUNCTION("""COMPUTED_VALUE"""),3)</f>
        <v>3</v>
      </c>
      <c r="X33" s="4">
        <f ca="1">IFERROR(__xludf.DUMMYFUNCTION("""COMPUTED_VALUE"""),3)</f>
        <v>3</v>
      </c>
      <c r="Y33" s="4">
        <f ca="1">IFERROR(__xludf.DUMMYFUNCTION("""COMPUTED_VALUE"""),2)</f>
        <v>2</v>
      </c>
      <c r="Z33" s="4">
        <f ca="1">IFERROR(__xludf.DUMMYFUNCTION("""COMPUTED_VALUE"""),3)</f>
        <v>3</v>
      </c>
      <c r="AA33" s="4">
        <f ca="1">IFERROR(__xludf.DUMMYFUNCTION("""COMPUTED_VALUE"""),3)</f>
        <v>3</v>
      </c>
      <c r="AB33" s="4">
        <f ca="1">IFERROR(__xludf.DUMMYFUNCTION("""COMPUTED_VALUE"""),3)</f>
        <v>3</v>
      </c>
      <c r="AC33" s="4">
        <f ca="1">IFERROR(__xludf.DUMMYFUNCTION("""COMPUTED_VALUE"""),3)</f>
        <v>3</v>
      </c>
      <c r="AD33" s="4">
        <f ca="1">IFERROR(__xludf.DUMMYFUNCTION("""COMPUTED_VALUE"""),1)</f>
        <v>1</v>
      </c>
      <c r="AE33" s="4">
        <f ca="1">IFERROR(__xludf.DUMMYFUNCTION("""COMPUTED_VALUE"""),3)</f>
        <v>3</v>
      </c>
      <c r="AF33" s="4">
        <f ca="1">IFERROR(__xludf.DUMMYFUNCTION("""COMPUTED_VALUE"""),3)</f>
        <v>3</v>
      </c>
      <c r="AG33" s="4">
        <f ca="1">IFERROR(__xludf.DUMMYFUNCTION("""COMPUTED_VALUE"""),3)</f>
        <v>3</v>
      </c>
      <c r="AH33" s="4">
        <f ca="1">IFERROR(__xludf.DUMMYFUNCTION("""COMPUTED_VALUE"""),3)</f>
        <v>3</v>
      </c>
      <c r="AI33" s="4">
        <f ca="1">IFERROR(__xludf.DUMMYFUNCTION("""COMPUTED_VALUE"""),3)</f>
        <v>3</v>
      </c>
      <c r="AJ33" s="4">
        <f ca="1">IFERROR(__xludf.DUMMYFUNCTION("""COMPUTED_VALUE"""),3)</f>
        <v>3</v>
      </c>
      <c r="AK33" s="4">
        <f ca="1">IFERROR(__xludf.DUMMYFUNCTION("""COMPUTED_VALUE"""),3)</f>
        <v>3</v>
      </c>
      <c r="AL33" s="4">
        <f ca="1">IFERROR(__xludf.DUMMYFUNCTION("""COMPUTED_VALUE"""),4)</f>
        <v>4</v>
      </c>
      <c r="AM33" s="4">
        <f ca="1">IFERROR(__xludf.DUMMYFUNCTION("""COMPUTED_VALUE"""),3)</f>
        <v>3</v>
      </c>
      <c r="AN33" s="4">
        <f ca="1">IFERROR(__xludf.DUMMYFUNCTION("""COMPUTED_VALUE"""),3)</f>
        <v>3</v>
      </c>
      <c r="AO33" s="4">
        <f ca="1">IFERROR(__xludf.DUMMYFUNCTION("""COMPUTED_VALUE"""),3)</f>
        <v>3</v>
      </c>
      <c r="AP33" s="4">
        <f ca="1">IFERROR(__xludf.DUMMYFUNCTION("""COMPUTED_VALUE"""),2)</f>
        <v>2</v>
      </c>
      <c r="AQ33" s="4">
        <f ca="1">IFERROR(__xludf.DUMMYFUNCTION("""COMPUTED_VALUE"""),3)</f>
        <v>3</v>
      </c>
      <c r="AR33" s="4">
        <f ca="1">IFERROR(__xludf.DUMMYFUNCTION("""COMPUTED_VALUE"""),4)</f>
        <v>4</v>
      </c>
      <c r="AS33" s="4">
        <f ca="1">IFERROR(__xludf.DUMMYFUNCTION("""COMPUTED_VALUE"""),4)</f>
        <v>4</v>
      </c>
      <c r="AT33" s="4">
        <f ca="1">IFERROR(__xludf.DUMMYFUNCTION("""COMPUTED_VALUE"""),2)</f>
        <v>2</v>
      </c>
      <c r="AU33" s="4">
        <f ca="1">IFERROR(__xludf.DUMMYFUNCTION("""COMPUTED_VALUE"""),3)</f>
        <v>3</v>
      </c>
      <c r="AV33" s="4">
        <f ca="1">IFERROR(__xludf.DUMMYFUNCTION("""COMPUTED_VALUE"""),3)</f>
        <v>3</v>
      </c>
      <c r="AW33" s="4">
        <f ca="1">IFERROR(__xludf.DUMMYFUNCTION("""COMPUTED_VALUE"""),3)</f>
        <v>3</v>
      </c>
      <c r="AX33" s="4">
        <f ca="1">IFERROR(__xludf.DUMMYFUNCTION("""COMPUTED_VALUE"""),4)</f>
        <v>4</v>
      </c>
      <c r="AY33" s="4">
        <f ca="1">IFERROR(__xludf.DUMMYFUNCTION("""COMPUTED_VALUE"""),4)</f>
        <v>4</v>
      </c>
      <c r="AZ33" s="4">
        <f ca="1">IFERROR(__xludf.DUMMYFUNCTION("""COMPUTED_VALUE"""),4)</f>
        <v>4</v>
      </c>
      <c r="BA33" s="4">
        <f ca="1">IFERROR(__xludf.DUMMYFUNCTION("""COMPUTED_VALUE"""),4)</f>
        <v>4</v>
      </c>
      <c r="BB33" s="4">
        <f ca="1">IFERROR(__xludf.DUMMYFUNCTION("""COMPUTED_VALUE"""),3)</f>
        <v>3</v>
      </c>
      <c r="BC33" s="4">
        <f ca="1">IFERROR(__xludf.DUMMYFUNCTION("""COMPUTED_VALUE"""),3)</f>
        <v>3</v>
      </c>
      <c r="BD33" s="4">
        <f ca="1">IFERROR(__xludf.DUMMYFUNCTION("""COMPUTED_VALUE"""),3)</f>
        <v>3</v>
      </c>
      <c r="BE33" s="4">
        <f ca="1">IFERROR(__xludf.DUMMYFUNCTION("""COMPUTED_VALUE"""),2)</f>
        <v>2</v>
      </c>
      <c r="BF33" s="4">
        <f ca="1">IFERROR(__xludf.DUMMYFUNCTION("""COMPUTED_VALUE"""),2)</f>
        <v>2</v>
      </c>
      <c r="BG33" s="4">
        <f ca="1">IFERROR(__xludf.DUMMYFUNCTION("""COMPUTED_VALUE"""),2)</f>
        <v>2</v>
      </c>
      <c r="BH33" s="4">
        <f ca="1">IFERROR(__xludf.DUMMYFUNCTION("""COMPUTED_VALUE"""),3)</f>
        <v>3</v>
      </c>
      <c r="BI33" s="4">
        <f ca="1">IFERROR(__xludf.DUMMYFUNCTION("""COMPUTED_VALUE"""),3)</f>
        <v>3</v>
      </c>
      <c r="BJ33" s="4">
        <f ca="1">IFERROR(__xludf.DUMMYFUNCTION("""COMPUTED_VALUE"""),4)</f>
        <v>4</v>
      </c>
      <c r="BK33" s="4">
        <f ca="1">IFERROR(__xludf.DUMMYFUNCTION("""COMPUTED_VALUE"""),4)</f>
        <v>4</v>
      </c>
      <c r="BL33" s="4">
        <f ca="1">IFERROR(__xludf.DUMMYFUNCTION("""COMPUTED_VALUE"""),4)</f>
        <v>4</v>
      </c>
      <c r="BM33" s="4">
        <f ca="1">IFERROR(__xludf.DUMMYFUNCTION("""COMPUTED_VALUE"""),4)</f>
        <v>4</v>
      </c>
      <c r="BN33" s="4">
        <f ca="1">IFERROR(__xludf.DUMMYFUNCTION("""COMPUTED_VALUE"""),4)</f>
        <v>4</v>
      </c>
      <c r="BO33" s="4">
        <f ca="1">IFERROR(__xludf.DUMMYFUNCTION("""COMPUTED_VALUE"""),4)</f>
        <v>4</v>
      </c>
      <c r="BP33" s="4">
        <f ca="1">IFERROR(__xludf.DUMMYFUNCTION("""COMPUTED_VALUE"""),4)</f>
        <v>4</v>
      </c>
    </row>
    <row r="34" spans="1:68" x14ac:dyDescent="0.25">
      <c r="A34" s="4" t="str">
        <f ca="1">IFERROR(__xludf.DUMMYFUNCTION("""COMPUTED_VALUE"""),"2_ABaOnuelv1IKa9c8ysPvZxZeMm_tVJ3qtl7z9iYRG8_vobvsFL6DIjipofvfW9UdNg")</f>
        <v>2_ABaOnuelv1IKa9c8ysPvZxZeMm_tVJ3qtl7z9iYRG8_vobvsFL6DIjipofvfW9UdNg</v>
      </c>
      <c r="B34" s="5">
        <f ca="1">IFERROR(__xludf.DUMMYFUNCTION("""COMPUTED_VALUE"""),45966.7658876504)</f>
        <v>45966.765887650399</v>
      </c>
      <c r="C34" s="4" t="str">
        <f ca="1">IFERROR(__xludf.DUMMYFUNCTION("""COMPUTED_VALUE"""),"Nguyễn Thanh Thịnh")</f>
        <v>Nguyễn Thanh Thịnh</v>
      </c>
      <c r="D34" s="4" t="str">
        <f ca="1">IFERROR(__xludf.DUMMYFUNCTION("""COMPUTED_VALUE"""),"Nam")</f>
        <v>Nam</v>
      </c>
      <c r="E34" s="4" t="str">
        <f ca="1">IFERROR(__xludf.DUMMYFUNCTION("""COMPUTED_VALUE"""),"Công ty TNHH Kiểm toán Thái Bình Dương")</f>
        <v>Công ty TNHH Kiểm toán Thái Bình Dương</v>
      </c>
      <c r="F34" s="4" t="str">
        <f ca="1">IFERROR(__xludf.DUMMYFUNCTION("""COMPUTED_VALUE"""),"Đại học")</f>
        <v>Đại học</v>
      </c>
      <c r="G34" s="4" t="str">
        <f ca="1">IFERROR(__xludf.DUMMYFUNCTION("""COMPUTED_VALUE"""),"Từ 3 đến 5 năm")</f>
        <v>Từ 3 đến 5 năm</v>
      </c>
      <c r="H34" s="4" t="str">
        <f ca="1">IFERROR(__xludf.DUMMYFUNCTION("""COMPUTED_VALUE"""),"Trợ lý kiểm toán")</f>
        <v>Trợ lý kiểm toán</v>
      </c>
      <c r="I34" s="4">
        <f ca="1">IFERROR(__xludf.DUMMYFUNCTION("""COMPUTED_VALUE"""),5)</f>
        <v>5</v>
      </c>
      <c r="J34" s="4">
        <f ca="1">IFERROR(__xludf.DUMMYFUNCTION("""COMPUTED_VALUE"""),5)</f>
        <v>5</v>
      </c>
      <c r="K34" s="4">
        <f ca="1">IFERROR(__xludf.DUMMYFUNCTION("""COMPUTED_VALUE"""),5)</f>
        <v>5</v>
      </c>
      <c r="L34" s="4">
        <f ca="1">IFERROR(__xludf.DUMMYFUNCTION("""COMPUTED_VALUE"""),5)</f>
        <v>5</v>
      </c>
      <c r="M34" s="4">
        <f ca="1">IFERROR(__xludf.DUMMYFUNCTION("""COMPUTED_VALUE"""),5)</f>
        <v>5</v>
      </c>
      <c r="N34" s="4">
        <f ca="1">IFERROR(__xludf.DUMMYFUNCTION("""COMPUTED_VALUE"""),5)</f>
        <v>5</v>
      </c>
      <c r="O34" s="4">
        <f ca="1">IFERROR(__xludf.DUMMYFUNCTION("""COMPUTED_VALUE"""),5)</f>
        <v>5</v>
      </c>
      <c r="P34" s="4">
        <f ca="1">IFERROR(__xludf.DUMMYFUNCTION("""COMPUTED_VALUE"""),5)</f>
        <v>5</v>
      </c>
      <c r="Q34" s="4">
        <f ca="1">IFERROR(__xludf.DUMMYFUNCTION("""COMPUTED_VALUE"""),5)</f>
        <v>5</v>
      </c>
      <c r="R34" s="4">
        <f ca="1">IFERROR(__xludf.DUMMYFUNCTION("""COMPUTED_VALUE"""),5)</f>
        <v>5</v>
      </c>
      <c r="S34" s="4">
        <f ca="1">IFERROR(__xludf.DUMMYFUNCTION("""COMPUTED_VALUE"""),5)</f>
        <v>5</v>
      </c>
      <c r="T34" s="4">
        <f ca="1">IFERROR(__xludf.DUMMYFUNCTION("""COMPUTED_VALUE"""),5)</f>
        <v>5</v>
      </c>
      <c r="U34" s="4">
        <f ca="1">IFERROR(__xludf.DUMMYFUNCTION("""COMPUTED_VALUE"""),5)</f>
        <v>5</v>
      </c>
      <c r="V34" s="4">
        <f ca="1">IFERROR(__xludf.DUMMYFUNCTION("""COMPUTED_VALUE"""),5)</f>
        <v>5</v>
      </c>
      <c r="W34" s="4">
        <f ca="1">IFERROR(__xludf.DUMMYFUNCTION("""COMPUTED_VALUE"""),5)</f>
        <v>5</v>
      </c>
      <c r="X34" s="4">
        <f ca="1">IFERROR(__xludf.DUMMYFUNCTION("""COMPUTED_VALUE"""),5)</f>
        <v>5</v>
      </c>
      <c r="Y34" s="4">
        <f ca="1">IFERROR(__xludf.DUMMYFUNCTION("""COMPUTED_VALUE"""),5)</f>
        <v>5</v>
      </c>
      <c r="Z34" s="4">
        <f ca="1">IFERROR(__xludf.DUMMYFUNCTION("""COMPUTED_VALUE"""),5)</f>
        <v>5</v>
      </c>
      <c r="AA34" s="4">
        <f ca="1">IFERROR(__xludf.DUMMYFUNCTION("""COMPUTED_VALUE"""),5)</f>
        <v>5</v>
      </c>
      <c r="AB34" s="4">
        <f ca="1">IFERROR(__xludf.DUMMYFUNCTION("""COMPUTED_VALUE"""),5)</f>
        <v>5</v>
      </c>
      <c r="AC34" s="4">
        <f ca="1">IFERROR(__xludf.DUMMYFUNCTION("""COMPUTED_VALUE"""),5)</f>
        <v>5</v>
      </c>
      <c r="AD34" s="4">
        <f ca="1">IFERROR(__xludf.DUMMYFUNCTION("""COMPUTED_VALUE"""),5)</f>
        <v>5</v>
      </c>
      <c r="AE34" s="4">
        <f ca="1">IFERROR(__xludf.DUMMYFUNCTION("""COMPUTED_VALUE"""),5)</f>
        <v>5</v>
      </c>
      <c r="AF34" s="4">
        <f ca="1">IFERROR(__xludf.DUMMYFUNCTION("""COMPUTED_VALUE"""),5)</f>
        <v>5</v>
      </c>
      <c r="AG34" s="4">
        <f ca="1">IFERROR(__xludf.DUMMYFUNCTION("""COMPUTED_VALUE"""),5)</f>
        <v>5</v>
      </c>
      <c r="AH34" s="4">
        <f ca="1">IFERROR(__xludf.DUMMYFUNCTION("""COMPUTED_VALUE"""),5)</f>
        <v>5</v>
      </c>
      <c r="AI34" s="4">
        <f ca="1">IFERROR(__xludf.DUMMYFUNCTION("""COMPUTED_VALUE"""),5)</f>
        <v>5</v>
      </c>
      <c r="AJ34" s="4">
        <f ca="1">IFERROR(__xludf.DUMMYFUNCTION("""COMPUTED_VALUE"""),5)</f>
        <v>5</v>
      </c>
      <c r="AK34" s="4">
        <f ca="1">IFERROR(__xludf.DUMMYFUNCTION("""COMPUTED_VALUE"""),5)</f>
        <v>5</v>
      </c>
      <c r="AL34" s="4">
        <f ca="1">IFERROR(__xludf.DUMMYFUNCTION("""COMPUTED_VALUE"""),5)</f>
        <v>5</v>
      </c>
      <c r="AM34" s="4">
        <f ca="1">IFERROR(__xludf.DUMMYFUNCTION("""COMPUTED_VALUE"""),5)</f>
        <v>5</v>
      </c>
      <c r="AN34" s="4">
        <f ca="1">IFERROR(__xludf.DUMMYFUNCTION("""COMPUTED_VALUE"""),5)</f>
        <v>5</v>
      </c>
      <c r="AO34" s="4">
        <f ca="1">IFERROR(__xludf.DUMMYFUNCTION("""COMPUTED_VALUE"""),5)</f>
        <v>5</v>
      </c>
      <c r="AP34" s="4">
        <f ca="1">IFERROR(__xludf.DUMMYFUNCTION("""COMPUTED_VALUE"""),5)</f>
        <v>5</v>
      </c>
      <c r="AQ34" s="4">
        <f ca="1">IFERROR(__xludf.DUMMYFUNCTION("""COMPUTED_VALUE"""),5)</f>
        <v>5</v>
      </c>
      <c r="AR34" s="4">
        <f ca="1">IFERROR(__xludf.DUMMYFUNCTION("""COMPUTED_VALUE"""),5)</f>
        <v>5</v>
      </c>
      <c r="AS34" s="4">
        <f ca="1">IFERROR(__xludf.DUMMYFUNCTION("""COMPUTED_VALUE"""),5)</f>
        <v>5</v>
      </c>
      <c r="AT34" s="4">
        <f ca="1">IFERROR(__xludf.DUMMYFUNCTION("""COMPUTED_VALUE"""),5)</f>
        <v>5</v>
      </c>
      <c r="AU34" s="4">
        <f ca="1">IFERROR(__xludf.DUMMYFUNCTION("""COMPUTED_VALUE"""),5)</f>
        <v>5</v>
      </c>
      <c r="AV34" s="4">
        <f ca="1">IFERROR(__xludf.DUMMYFUNCTION("""COMPUTED_VALUE"""),5)</f>
        <v>5</v>
      </c>
      <c r="AW34" s="4">
        <f ca="1">IFERROR(__xludf.DUMMYFUNCTION("""COMPUTED_VALUE"""),5)</f>
        <v>5</v>
      </c>
      <c r="AX34" s="4">
        <f ca="1">IFERROR(__xludf.DUMMYFUNCTION("""COMPUTED_VALUE"""),5)</f>
        <v>5</v>
      </c>
      <c r="AY34" s="4">
        <f ca="1">IFERROR(__xludf.DUMMYFUNCTION("""COMPUTED_VALUE"""),5)</f>
        <v>5</v>
      </c>
      <c r="AZ34" s="4">
        <f ca="1">IFERROR(__xludf.DUMMYFUNCTION("""COMPUTED_VALUE"""),5)</f>
        <v>5</v>
      </c>
      <c r="BA34" s="4">
        <f ca="1">IFERROR(__xludf.DUMMYFUNCTION("""COMPUTED_VALUE"""),5)</f>
        <v>5</v>
      </c>
      <c r="BB34" s="4">
        <f ca="1">IFERROR(__xludf.DUMMYFUNCTION("""COMPUTED_VALUE"""),5)</f>
        <v>5</v>
      </c>
      <c r="BC34" s="4">
        <f ca="1">IFERROR(__xludf.DUMMYFUNCTION("""COMPUTED_VALUE"""),5)</f>
        <v>5</v>
      </c>
      <c r="BD34" s="4">
        <f ca="1">IFERROR(__xludf.DUMMYFUNCTION("""COMPUTED_VALUE"""),5)</f>
        <v>5</v>
      </c>
      <c r="BE34" s="4">
        <f ca="1">IFERROR(__xludf.DUMMYFUNCTION("""COMPUTED_VALUE"""),5)</f>
        <v>5</v>
      </c>
      <c r="BF34" s="4">
        <f ca="1">IFERROR(__xludf.DUMMYFUNCTION("""COMPUTED_VALUE"""),5)</f>
        <v>5</v>
      </c>
      <c r="BG34" s="4">
        <f ca="1">IFERROR(__xludf.DUMMYFUNCTION("""COMPUTED_VALUE"""),5)</f>
        <v>5</v>
      </c>
      <c r="BH34" s="4">
        <f ca="1">IFERROR(__xludf.DUMMYFUNCTION("""COMPUTED_VALUE"""),5)</f>
        <v>5</v>
      </c>
      <c r="BI34" s="4">
        <f ca="1">IFERROR(__xludf.DUMMYFUNCTION("""COMPUTED_VALUE"""),5)</f>
        <v>5</v>
      </c>
      <c r="BJ34" s="4">
        <f ca="1">IFERROR(__xludf.DUMMYFUNCTION("""COMPUTED_VALUE"""),5)</f>
        <v>5</v>
      </c>
      <c r="BK34" s="4">
        <f ca="1">IFERROR(__xludf.DUMMYFUNCTION("""COMPUTED_VALUE"""),5)</f>
        <v>5</v>
      </c>
      <c r="BL34" s="4">
        <f ca="1">IFERROR(__xludf.DUMMYFUNCTION("""COMPUTED_VALUE"""),5)</f>
        <v>5</v>
      </c>
      <c r="BM34" s="4">
        <f ca="1">IFERROR(__xludf.DUMMYFUNCTION("""COMPUTED_VALUE"""),5)</f>
        <v>5</v>
      </c>
      <c r="BN34" s="4">
        <f ca="1">IFERROR(__xludf.DUMMYFUNCTION("""COMPUTED_VALUE"""),5)</f>
        <v>5</v>
      </c>
      <c r="BO34" s="4">
        <f ca="1">IFERROR(__xludf.DUMMYFUNCTION("""COMPUTED_VALUE"""),5)</f>
        <v>5</v>
      </c>
      <c r="BP34" s="4">
        <f ca="1">IFERROR(__xludf.DUMMYFUNCTION("""COMPUTED_VALUE"""),5)</f>
        <v>5</v>
      </c>
    </row>
    <row r="35" spans="1:68" x14ac:dyDescent="0.25">
      <c r="A35" s="4" t="str">
        <f ca="1">IFERROR(__xludf.DUMMYFUNCTION("""COMPUTED_VALUE"""),"2_ABaOnudmicRj8ewv935db0WMYcKRjjbwNzRjSaGgn_yyMB5jONAdSaOU8qrzF1IUvg")</f>
        <v>2_ABaOnudmicRj8ewv935db0WMYcKRjjbwNzRjSaGgn_yyMB5jONAdSaOU8qrzF1IUvg</v>
      </c>
      <c r="B35" s="5">
        <f ca="1">IFERROR(__xludf.DUMMYFUNCTION("""COMPUTED_VALUE"""),45966.8582728703)</f>
        <v>45966.858272870297</v>
      </c>
      <c r="C35" s="4" t="str">
        <f ca="1">IFERROR(__xludf.DUMMYFUNCTION("""COMPUTED_VALUE"""),"Phạm Đức Thắng")</f>
        <v>Phạm Đức Thắng</v>
      </c>
      <c r="D35" s="4" t="str">
        <f ca="1">IFERROR(__xludf.DUMMYFUNCTION("""COMPUTED_VALUE"""),"Nam")</f>
        <v>Nam</v>
      </c>
      <c r="E35" s="4" t="str">
        <f ca="1">IFERROR(__xludf.DUMMYFUNCTION("""COMPUTED_VALUE"""),"Công ty TNHH Kiểm toán DFK Việt Nam")</f>
        <v>Công ty TNHH Kiểm toán DFK Việt Nam</v>
      </c>
      <c r="F35" s="4" t="str">
        <f ca="1">IFERROR(__xludf.DUMMYFUNCTION("""COMPUTED_VALUE"""),"Sau đại học, Chứng chỉ Kiểm toán viên")</f>
        <v>Sau đại học, Chứng chỉ Kiểm toán viên</v>
      </c>
      <c r="G35" s="4" t="str">
        <f ca="1">IFERROR(__xludf.DUMMYFUNCTION("""COMPUTED_VALUE"""),"Trên 15 đến 20 năm")</f>
        <v>Trên 15 đến 20 năm</v>
      </c>
      <c r="H35" s="4" t="str">
        <f ca="1">IFERROR(__xludf.DUMMYFUNCTION("""COMPUTED_VALUE"""),"Ban giám đốc")</f>
        <v>Ban giám đốc</v>
      </c>
      <c r="I35" s="4">
        <f ca="1">IFERROR(__xludf.DUMMYFUNCTION("""COMPUTED_VALUE"""),4)</f>
        <v>4</v>
      </c>
      <c r="J35" s="4">
        <f ca="1">IFERROR(__xludf.DUMMYFUNCTION("""COMPUTED_VALUE"""),4)</f>
        <v>4</v>
      </c>
      <c r="K35" s="4">
        <f ca="1">IFERROR(__xludf.DUMMYFUNCTION("""COMPUTED_VALUE"""),4)</f>
        <v>4</v>
      </c>
      <c r="L35" s="4">
        <f ca="1">IFERROR(__xludf.DUMMYFUNCTION("""COMPUTED_VALUE"""),4)</f>
        <v>4</v>
      </c>
      <c r="M35" s="4">
        <f ca="1">IFERROR(__xludf.DUMMYFUNCTION("""COMPUTED_VALUE"""),4)</f>
        <v>4</v>
      </c>
      <c r="N35" s="4">
        <f ca="1">IFERROR(__xludf.DUMMYFUNCTION("""COMPUTED_VALUE"""),4)</f>
        <v>4</v>
      </c>
      <c r="O35" s="4">
        <f ca="1">IFERROR(__xludf.DUMMYFUNCTION("""COMPUTED_VALUE"""),4)</f>
        <v>4</v>
      </c>
      <c r="P35" s="4">
        <f ca="1">IFERROR(__xludf.DUMMYFUNCTION("""COMPUTED_VALUE"""),4)</f>
        <v>4</v>
      </c>
      <c r="Q35" s="4">
        <f ca="1">IFERROR(__xludf.DUMMYFUNCTION("""COMPUTED_VALUE"""),4)</f>
        <v>4</v>
      </c>
      <c r="R35" s="4">
        <f ca="1">IFERROR(__xludf.DUMMYFUNCTION("""COMPUTED_VALUE"""),4)</f>
        <v>4</v>
      </c>
      <c r="S35" s="4">
        <f ca="1">IFERROR(__xludf.DUMMYFUNCTION("""COMPUTED_VALUE"""),4)</f>
        <v>4</v>
      </c>
      <c r="T35" s="4">
        <f ca="1">IFERROR(__xludf.DUMMYFUNCTION("""COMPUTED_VALUE"""),4)</f>
        <v>4</v>
      </c>
      <c r="U35" s="4">
        <f ca="1">IFERROR(__xludf.DUMMYFUNCTION("""COMPUTED_VALUE"""),4)</f>
        <v>4</v>
      </c>
      <c r="V35" s="4">
        <f ca="1">IFERROR(__xludf.DUMMYFUNCTION("""COMPUTED_VALUE"""),4)</f>
        <v>4</v>
      </c>
      <c r="W35" s="4">
        <f ca="1">IFERROR(__xludf.DUMMYFUNCTION("""COMPUTED_VALUE"""),4)</f>
        <v>4</v>
      </c>
      <c r="X35" s="4">
        <f ca="1">IFERROR(__xludf.DUMMYFUNCTION("""COMPUTED_VALUE"""),4)</f>
        <v>4</v>
      </c>
      <c r="Y35" s="4">
        <f ca="1">IFERROR(__xludf.DUMMYFUNCTION("""COMPUTED_VALUE"""),4)</f>
        <v>4</v>
      </c>
      <c r="Z35" s="4">
        <f ca="1">IFERROR(__xludf.DUMMYFUNCTION("""COMPUTED_VALUE"""),4)</f>
        <v>4</v>
      </c>
      <c r="AA35" s="4">
        <f ca="1">IFERROR(__xludf.DUMMYFUNCTION("""COMPUTED_VALUE"""),4)</f>
        <v>4</v>
      </c>
      <c r="AB35" s="4">
        <f ca="1">IFERROR(__xludf.DUMMYFUNCTION("""COMPUTED_VALUE"""),4)</f>
        <v>4</v>
      </c>
      <c r="AC35" s="4">
        <f ca="1">IFERROR(__xludf.DUMMYFUNCTION("""COMPUTED_VALUE"""),4)</f>
        <v>4</v>
      </c>
      <c r="AD35" s="4">
        <f ca="1">IFERROR(__xludf.DUMMYFUNCTION("""COMPUTED_VALUE"""),4)</f>
        <v>4</v>
      </c>
      <c r="AE35" s="4">
        <f ca="1">IFERROR(__xludf.DUMMYFUNCTION("""COMPUTED_VALUE"""),4)</f>
        <v>4</v>
      </c>
      <c r="AF35" s="4">
        <f ca="1">IFERROR(__xludf.DUMMYFUNCTION("""COMPUTED_VALUE"""),4)</f>
        <v>4</v>
      </c>
      <c r="AG35" s="4">
        <f ca="1">IFERROR(__xludf.DUMMYFUNCTION("""COMPUTED_VALUE"""),4)</f>
        <v>4</v>
      </c>
      <c r="AH35" s="4">
        <f ca="1">IFERROR(__xludf.DUMMYFUNCTION("""COMPUTED_VALUE"""),4)</f>
        <v>4</v>
      </c>
      <c r="AI35" s="4">
        <f ca="1">IFERROR(__xludf.DUMMYFUNCTION("""COMPUTED_VALUE"""),4)</f>
        <v>4</v>
      </c>
      <c r="AJ35" s="4">
        <f ca="1">IFERROR(__xludf.DUMMYFUNCTION("""COMPUTED_VALUE"""),4)</f>
        <v>4</v>
      </c>
      <c r="AK35" s="4">
        <f ca="1">IFERROR(__xludf.DUMMYFUNCTION("""COMPUTED_VALUE"""),4)</f>
        <v>4</v>
      </c>
      <c r="AL35" s="4">
        <f ca="1">IFERROR(__xludf.DUMMYFUNCTION("""COMPUTED_VALUE"""),4)</f>
        <v>4</v>
      </c>
      <c r="AM35" s="4">
        <f ca="1">IFERROR(__xludf.DUMMYFUNCTION("""COMPUTED_VALUE"""),4)</f>
        <v>4</v>
      </c>
      <c r="AN35" s="4">
        <f ca="1">IFERROR(__xludf.DUMMYFUNCTION("""COMPUTED_VALUE"""),4)</f>
        <v>4</v>
      </c>
      <c r="AO35" s="4">
        <f ca="1">IFERROR(__xludf.DUMMYFUNCTION("""COMPUTED_VALUE"""),4)</f>
        <v>4</v>
      </c>
      <c r="AP35" s="4">
        <f ca="1">IFERROR(__xludf.DUMMYFUNCTION("""COMPUTED_VALUE"""),4)</f>
        <v>4</v>
      </c>
      <c r="AQ35" s="4">
        <f ca="1">IFERROR(__xludf.DUMMYFUNCTION("""COMPUTED_VALUE"""),4)</f>
        <v>4</v>
      </c>
      <c r="AR35" s="4">
        <f ca="1">IFERROR(__xludf.DUMMYFUNCTION("""COMPUTED_VALUE"""),4)</f>
        <v>4</v>
      </c>
      <c r="AS35" s="4">
        <f ca="1">IFERROR(__xludf.DUMMYFUNCTION("""COMPUTED_VALUE"""),4)</f>
        <v>4</v>
      </c>
      <c r="AT35" s="4">
        <f ca="1">IFERROR(__xludf.DUMMYFUNCTION("""COMPUTED_VALUE"""),4)</f>
        <v>4</v>
      </c>
      <c r="AU35" s="4">
        <f ca="1">IFERROR(__xludf.DUMMYFUNCTION("""COMPUTED_VALUE"""),4)</f>
        <v>4</v>
      </c>
      <c r="AV35" s="4">
        <f ca="1">IFERROR(__xludf.DUMMYFUNCTION("""COMPUTED_VALUE"""),4)</f>
        <v>4</v>
      </c>
      <c r="AW35" s="4">
        <f ca="1">IFERROR(__xludf.DUMMYFUNCTION("""COMPUTED_VALUE"""),4)</f>
        <v>4</v>
      </c>
      <c r="AX35" s="4">
        <f ca="1">IFERROR(__xludf.DUMMYFUNCTION("""COMPUTED_VALUE"""),4)</f>
        <v>4</v>
      </c>
      <c r="AY35" s="4">
        <f ca="1">IFERROR(__xludf.DUMMYFUNCTION("""COMPUTED_VALUE"""),4)</f>
        <v>4</v>
      </c>
      <c r="AZ35" s="4">
        <f ca="1">IFERROR(__xludf.DUMMYFUNCTION("""COMPUTED_VALUE"""),4)</f>
        <v>4</v>
      </c>
      <c r="BA35" s="4">
        <f ca="1">IFERROR(__xludf.DUMMYFUNCTION("""COMPUTED_VALUE"""),4)</f>
        <v>4</v>
      </c>
      <c r="BB35" s="4">
        <f ca="1">IFERROR(__xludf.DUMMYFUNCTION("""COMPUTED_VALUE"""),4)</f>
        <v>4</v>
      </c>
      <c r="BC35" s="4">
        <f ca="1">IFERROR(__xludf.DUMMYFUNCTION("""COMPUTED_VALUE"""),4)</f>
        <v>4</v>
      </c>
      <c r="BD35" s="4">
        <f ca="1">IFERROR(__xludf.DUMMYFUNCTION("""COMPUTED_VALUE"""),4)</f>
        <v>4</v>
      </c>
      <c r="BE35" s="4">
        <f ca="1">IFERROR(__xludf.DUMMYFUNCTION("""COMPUTED_VALUE"""),4)</f>
        <v>4</v>
      </c>
      <c r="BF35" s="4">
        <f ca="1">IFERROR(__xludf.DUMMYFUNCTION("""COMPUTED_VALUE"""),4)</f>
        <v>4</v>
      </c>
      <c r="BG35" s="4">
        <f ca="1">IFERROR(__xludf.DUMMYFUNCTION("""COMPUTED_VALUE"""),4)</f>
        <v>4</v>
      </c>
      <c r="BH35" s="4">
        <f ca="1">IFERROR(__xludf.DUMMYFUNCTION("""COMPUTED_VALUE"""),4)</f>
        <v>4</v>
      </c>
      <c r="BI35" s="4">
        <f ca="1">IFERROR(__xludf.DUMMYFUNCTION("""COMPUTED_VALUE"""),4)</f>
        <v>4</v>
      </c>
      <c r="BJ35" s="4">
        <f ca="1">IFERROR(__xludf.DUMMYFUNCTION("""COMPUTED_VALUE"""),4)</f>
        <v>4</v>
      </c>
      <c r="BK35" s="4">
        <f ca="1">IFERROR(__xludf.DUMMYFUNCTION("""COMPUTED_VALUE"""),4)</f>
        <v>4</v>
      </c>
      <c r="BL35" s="4">
        <f ca="1">IFERROR(__xludf.DUMMYFUNCTION("""COMPUTED_VALUE"""),4)</f>
        <v>4</v>
      </c>
      <c r="BM35" s="4">
        <f ca="1">IFERROR(__xludf.DUMMYFUNCTION("""COMPUTED_VALUE"""),4)</f>
        <v>4</v>
      </c>
      <c r="BN35" s="4">
        <f ca="1">IFERROR(__xludf.DUMMYFUNCTION("""COMPUTED_VALUE"""),4)</f>
        <v>4</v>
      </c>
      <c r="BO35" s="4">
        <f ca="1">IFERROR(__xludf.DUMMYFUNCTION("""COMPUTED_VALUE"""),4)</f>
        <v>4</v>
      </c>
      <c r="BP35" s="4">
        <f ca="1">IFERROR(__xludf.DUMMYFUNCTION("""COMPUTED_VALUE"""),4)</f>
        <v>4</v>
      </c>
    </row>
    <row r="36" spans="1:68" x14ac:dyDescent="0.25">
      <c r="A36" s="4" t="str">
        <f ca="1">IFERROR(__xludf.DUMMYFUNCTION("""COMPUTED_VALUE"""),"2_ABaOnueJpppp5UdcCC-xjz3wZmhoDY0y2W0CrIzeWCyMBwzxr_919Gky_VJwM6UZKw")</f>
        <v>2_ABaOnueJpppp5UdcCC-xjz3wZmhoDY0y2W0CrIzeWCyMBwzxr_919Gky_VJwM6UZKw</v>
      </c>
      <c r="B36" s="5">
        <f ca="1">IFERROR(__xludf.DUMMYFUNCTION("""COMPUTED_VALUE"""),45967.3968859375)</f>
        <v>45967.396885937502</v>
      </c>
      <c r="C36" s="4" t="str">
        <f ca="1">IFERROR(__xludf.DUMMYFUNCTION("""COMPUTED_VALUE"""),"Phan Thị Tố Trinh")</f>
        <v>Phan Thị Tố Trinh</v>
      </c>
      <c r="D36" s="4" t="str">
        <f ca="1">IFERROR(__xludf.DUMMYFUNCTION("""COMPUTED_VALUE"""),"Nữ")</f>
        <v>Nữ</v>
      </c>
      <c r="E36" s="4" t="str">
        <f ca="1">IFERROR(__xludf.DUMMYFUNCTION("""COMPUTED_VALUE"""),"Công ty TNHH Kiểm toán Thái Bình Dương - CN Miền TRung")</f>
        <v>Công ty TNHH Kiểm toán Thái Bình Dương - CN Miền TRung</v>
      </c>
      <c r="F36" s="4" t="str">
        <f ca="1">IFERROR(__xludf.DUMMYFUNCTION("""COMPUTED_VALUE"""),"Đại học")</f>
        <v>Đại học</v>
      </c>
      <c r="G36" s="4" t="str">
        <f ca="1">IFERROR(__xludf.DUMMYFUNCTION("""COMPUTED_VALUE"""),"Trên 10 đến 15 năm")</f>
        <v>Trên 10 đến 15 năm</v>
      </c>
      <c r="H36" s="4" t="str">
        <f ca="1">IFERROR(__xludf.DUMMYFUNCTION("""COMPUTED_VALUE"""),"Ban giám đốc")</f>
        <v>Ban giám đốc</v>
      </c>
      <c r="I36" s="4">
        <f ca="1">IFERROR(__xludf.DUMMYFUNCTION("""COMPUTED_VALUE"""),1)</f>
        <v>1</v>
      </c>
      <c r="J36" s="4">
        <f ca="1">IFERROR(__xludf.DUMMYFUNCTION("""COMPUTED_VALUE"""),1)</f>
        <v>1</v>
      </c>
      <c r="K36" s="4">
        <f ca="1">IFERROR(__xludf.DUMMYFUNCTION("""COMPUTED_VALUE"""),1)</f>
        <v>1</v>
      </c>
      <c r="L36" s="4">
        <f ca="1">IFERROR(__xludf.DUMMYFUNCTION("""COMPUTED_VALUE"""),1)</f>
        <v>1</v>
      </c>
      <c r="M36" s="4">
        <f ca="1">IFERROR(__xludf.DUMMYFUNCTION("""COMPUTED_VALUE"""),1)</f>
        <v>1</v>
      </c>
      <c r="N36" s="4">
        <f ca="1">IFERROR(__xludf.DUMMYFUNCTION("""COMPUTED_VALUE"""),1)</f>
        <v>1</v>
      </c>
      <c r="O36" s="4">
        <f ca="1">IFERROR(__xludf.DUMMYFUNCTION("""COMPUTED_VALUE"""),1)</f>
        <v>1</v>
      </c>
      <c r="P36" s="4">
        <f ca="1">IFERROR(__xludf.DUMMYFUNCTION("""COMPUTED_VALUE"""),1)</f>
        <v>1</v>
      </c>
      <c r="Q36" s="4">
        <f ca="1">IFERROR(__xludf.DUMMYFUNCTION("""COMPUTED_VALUE"""),1)</f>
        <v>1</v>
      </c>
      <c r="R36" s="4">
        <f ca="1">IFERROR(__xludf.DUMMYFUNCTION("""COMPUTED_VALUE"""),1)</f>
        <v>1</v>
      </c>
      <c r="S36" s="4">
        <f ca="1">IFERROR(__xludf.DUMMYFUNCTION("""COMPUTED_VALUE"""),1)</f>
        <v>1</v>
      </c>
      <c r="T36" s="4">
        <f ca="1">IFERROR(__xludf.DUMMYFUNCTION("""COMPUTED_VALUE"""),1)</f>
        <v>1</v>
      </c>
      <c r="U36" s="4">
        <f ca="1">IFERROR(__xludf.DUMMYFUNCTION("""COMPUTED_VALUE"""),1)</f>
        <v>1</v>
      </c>
      <c r="V36" s="4">
        <f ca="1">IFERROR(__xludf.DUMMYFUNCTION("""COMPUTED_VALUE"""),1)</f>
        <v>1</v>
      </c>
      <c r="W36" s="4">
        <f ca="1">IFERROR(__xludf.DUMMYFUNCTION("""COMPUTED_VALUE"""),1)</f>
        <v>1</v>
      </c>
      <c r="X36" s="4">
        <f ca="1">IFERROR(__xludf.DUMMYFUNCTION("""COMPUTED_VALUE"""),1)</f>
        <v>1</v>
      </c>
      <c r="Y36" s="4">
        <f ca="1">IFERROR(__xludf.DUMMYFUNCTION("""COMPUTED_VALUE"""),1)</f>
        <v>1</v>
      </c>
      <c r="Z36" s="4">
        <f ca="1">IFERROR(__xludf.DUMMYFUNCTION("""COMPUTED_VALUE"""),1)</f>
        <v>1</v>
      </c>
      <c r="AA36" s="4">
        <f ca="1">IFERROR(__xludf.DUMMYFUNCTION("""COMPUTED_VALUE"""),1)</f>
        <v>1</v>
      </c>
      <c r="AB36" s="4">
        <f ca="1">IFERROR(__xludf.DUMMYFUNCTION("""COMPUTED_VALUE"""),1)</f>
        <v>1</v>
      </c>
      <c r="AC36" s="4">
        <f ca="1">IFERROR(__xludf.DUMMYFUNCTION("""COMPUTED_VALUE"""),1)</f>
        <v>1</v>
      </c>
      <c r="AD36" s="4">
        <f ca="1">IFERROR(__xludf.DUMMYFUNCTION("""COMPUTED_VALUE"""),1)</f>
        <v>1</v>
      </c>
      <c r="AE36" s="4">
        <f ca="1">IFERROR(__xludf.DUMMYFUNCTION("""COMPUTED_VALUE"""),1)</f>
        <v>1</v>
      </c>
      <c r="AF36" s="4">
        <f ca="1">IFERROR(__xludf.DUMMYFUNCTION("""COMPUTED_VALUE"""),1)</f>
        <v>1</v>
      </c>
      <c r="AG36" s="4">
        <f ca="1">IFERROR(__xludf.DUMMYFUNCTION("""COMPUTED_VALUE"""),1)</f>
        <v>1</v>
      </c>
      <c r="AH36" s="4">
        <f ca="1">IFERROR(__xludf.DUMMYFUNCTION("""COMPUTED_VALUE"""),1)</f>
        <v>1</v>
      </c>
      <c r="AI36" s="4">
        <f ca="1">IFERROR(__xludf.DUMMYFUNCTION("""COMPUTED_VALUE"""),1)</f>
        <v>1</v>
      </c>
      <c r="AJ36" s="4">
        <f ca="1">IFERROR(__xludf.DUMMYFUNCTION("""COMPUTED_VALUE"""),1)</f>
        <v>1</v>
      </c>
      <c r="AK36" s="4">
        <f ca="1">IFERROR(__xludf.DUMMYFUNCTION("""COMPUTED_VALUE"""),1)</f>
        <v>1</v>
      </c>
      <c r="AL36" s="4">
        <f ca="1">IFERROR(__xludf.DUMMYFUNCTION("""COMPUTED_VALUE"""),1)</f>
        <v>1</v>
      </c>
      <c r="AM36" s="4">
        <f ca="1">IFERROR(__xludf.DUMMYFUNCTION("""COMPUTED_VALUE"""),1)</f>
        <v>1</v>
      </c>
      <c r="AN36" s="4">
        <f ca="1">IFERROR(__xludf.DUMMYFUNCTION("""COMPUTED_VALUE"""),1)</f>
        <v>1</v>
      </c>
      <c r="AO36" s="4">
        <f ca="1">IFERROR(__xludf.DUMMYFUNCTION("""COMPUTED_VALUE"""),1)</f>
        <v>1</v>
      </c>
      <c r="AP36" s="4">
        <f ca="1">IFERROR(__xludf.DUMMYFUNCTION("""COMPUTED_VALUE"""),1)</f>
        <v>1</v>
      </c>
      <c r="AQ36" s="4">
        <f ca="1">IFERROR(__xludf.DUMMYFUNCTION("""COMPUTED_VALUE"""),1)</f>
        <v>1</v>
      </c>
      <c r="AR36" s="4">
        <f ca="1">IFERROR(__xludf.DUMMYFUNCTION("""COMPUTED_VALUE"""),1)</f>
        <v>1</v>
      </c>
      <c r="AS36" s="4">
        <f ca="1">IFERROR(__xludf.DUMMYFUNCTION("""COMPUTED_VALUE"""),1)</f>
        <v>1</v>
      </c>
      <c r="AT36" s="4">
        <f ca="1">IFERROR(__xludf.DUMMYFUNCTION("""COMPUTED_VALUE"""),1)</f>
        <v>1</v>
      </c>
      <c r="AU36" s="4">
        <f ca="1">IFERROR(__xludf.DUMMYFUNCTION("""COMPUTED_VALUE"""),1)</f>
        <v>1</v>
      </c>
      <c r="AV36" s="4">
        <f ca="1">IFERROR(__xludf.DUMMYFUNCTION("""COMPUTED_VALUE"""),1)</f>
        <v>1</v>
      </c>
      <c r="AW36" s="4">
        <f ca="1">IFERROR(__xludf.DUMMYFUNCTION("""COMPUTED_VALUE"""),1)</f>
        <v>1</v>
      </c>
      <c r="AX36" s="4">
        <f ca="1">IFERROR(__xludf.DUMMYFUNCTION("""COMPUTED_VALUE"""),1)</f>
        <v>1</v>
      </c>
      <c r="AY36" s="4">
        <f ca="1">IFERROR(__xludf.DUMMYFUNCTION("""COMPUTED_VALUE"""),1)</f>
        <v>1</v>
      </c>
      <c r="AZ36" s="4">
        <f ca="1">IFERROR(__xludf.DUMMYFUNCTION("""COMPUTED_VALUE"""),1)</f>
        <v>1</v>
      </c>
      <c r="BA36" s="4">
        <f ca="1">IFERROR(__xludf.DUMMYFUNCTION("""COMPUTED_VALUE"""),1)</f>
        <v>1</v>
      </c>
      <c r="BB36" s="4">
        <f ca="1">IFERROR(__xludf.DUMMYFUNCTION("""COMPUTED_VALUE"""),1)</f>
        <v>1</v>
      </c>
      <c r="BC36" s="4">
        <f ca="1">IFERROR(__xludf.DUMMYFUNCTION("""COMPUTED_VALUE"""),1)</f>
        <v>1</v>
      </c>
      <c r="BD36" s="4">
        <f ca="1">IFERROR(__xludf.DUMMYFUNCTION("""COMPUTED_VALUE"""),1)</f>
        <v>1</v>
      </c>
      <c r="BE36" s="4">
        <f ca="1">IFERROR(__xludf.DUMMYFUNCTION("""COMPUTED_VALUE"""),1)</f>
        <v>1</v>
      </c>
      <c r="BF36" s="4">
        <f ca="1">IFERROR(__xludf.DUMMYFUNCTION("""COMPUTED_VALUE"""),1)</f>
        <v>1</v>
      </c>
      <c r="BG36" s="4">
        <f ca="1">IFERROR(__xludf.DUMMYFUNCTION("""COMPUTED_VALUE"""),1)</f>
        <v>1</v>
      </c>
      <c r="BH36" s="4">
        <f ca="1">IFERROR(__xludf.DUMMYFUNCTION("""COMPUTED_VALUE"""),1)</f>
        <v>1</v>
      </c>
      <c r="BI36" s="4">
        <f ca="1">IFERROR(__xludf.DUMMYFUNCTION("""COMPUTED_VALUE"""),1)</f>
        <v>1</v>
      </c>
      <c r="BJ36" s="4">
        <f ca="1">IFERROR(__xludf.DUMMYFUNCTION("""COMPUTED_VALUE"""),1)</f>
        <v>1</v>
      </c>
      <c r="BK36" s="4">
        <f ca="1">IFERROR(__xludf.DUMMYFUNCTION("""COMPUTED_VALUE"""),1)</f>
        <v>1</v>
      </c>
      <c r="BL36" s="4">
        <f ca="1">IFERROR(__xludf.DUMMYFUNCTION("""COMPUTED_VALUE"""),1)</f>
        <v>1</v>
      </c>
      <c r="BM36" s="4">
        <f ca="1">IFERROR(__xludf.DUMMYFUNCTION("""COMPUTED_VALUE"""),1)</f>
        <v>1</v>
      </c>
      <c r="BN36" s="4">
        <f ca="1">IFERROR(__xludf.DUMMYFUNCTION("""COMPUTED_VALUE"""),1)</f>
        <v>1</v>
      </c>
      <c r="BO36" s="4">
        <f ca="1">IFERROR(__xludf.DUMMYFUNCTION("""COMPUTED_VALUE"""),1)</f>
        <v>1</v>
      </c>
      <c r="BP36" s="4">
        <f ca="1">IFERROR(__xludf.DUMMYFUNCTION("""COMPUTED_VALUE"""),1)</f>
        <v>1</v>
      </c>
    </row>
    <row r="37" spans="1:68" x14ac:dyDescent="0.25">
      <c r="A37" s="4" t="str">
        <f ca="1">IFERROR(__xludf.DUMMYFUNCTION("""COMPUTED_VALUE"""),"2_ABaOnufzAfUHRIhZ940Sajos-Liaibs3pZ_22BoUevP2074aQsl2MINJsCoOm4_BUg")</f>
        <v>2_ABaOnufzAfUHRIhZ940Sajos-Liaibs3pZ_22BoUevP2074aQsl2MINJsCoOm4_BUg</v>
      </c>
      <c r="B37" s="5">
        <f ca="1">IFERROR(__xludf.DUMMYFUNCTION("""COMPUTED_VALUE"""),45967.430535706)</f>
        <v>45967.430535706</v>
      </c>
      <c r="C37" s="4" t="str">
        <f ca="1">IFERROR(__xludf.DUMMYFUNCTION("""COMPUTED_VALUE"""),"Đào Thị Ngọc Tuyền")</f>
        <v>Đào Thị Ngọc Tuyền</v>
      </c>
      <c r="D37" s="4" t="str">
        <f ca="1">IFERROR(__xludf.DUMMYFUNCTION("""COMPUTED_VALUE"""),"Nữ")</f>
        <v>Nữ</v>
      </c>
      <c r="E37" s="4" t="str">
        <f ca="1">IFERROR(__xludf.DUMMYFUNCTION("""COMPUTED_VALUE"""),"Công ty TNHH Kiểm toán FAC - Chi nhánh Đệ Nhất")</f>
        <v>Công ty TNHH Kiểm toán FAC - Chi nhánh Đệ Nhất</v>
      </c>
      <c r="F37" s="4" t="str">
        <f ca="1">IFERROR(__xludf.DUMMYFUNCTION("""COMPUTED_VALUE"""),"Đại học")</f>
        <v>Đại học</v>
      </c>
      <c r="G37" s="4" t="str">
        <f ca="1">IFERROR(__xludf.DUMMYFUNCTION("""COMPUTED_VALUE"""),"Trên 5 đến 10 năm")</f>
        <v>Trên 5 đến 10 năm</v>
      </c>
      <c r="H37" s="4" t="str">
        <f ca="1">IFERROR(__xludf.DUMMYFUNCTION("""COMPUTED_VALUE"""),"Trợ lý kiểm toán")</f>
        <v>Trợ lý kiểm toán</v>
      </c>
      <c r="I37" s="4">
        <f ca="1">IFERROR(__xludf.DUMMYFUNCTION("""COMPUTED_VALUE"""),5)</f>
        <v>5</v>
      </c>
      <c r="J37" s="4">
        <f ca="1">IFERROR(__xludf.DUMMYFUNCTION("""COMPUTED_VALUE"""),4)</f>
        <v>4</v>
      </c>
      <c r="K37" s="4">
        <f ca="1">IFERROR(__xludf.DUMMYFUNCTION("""COMPUTED_VALUE"""),4)</f>
        <v>4</v>
      </c>
      <c r="L37" s="4">
        <f ca="1">IFERROR(__xludf.DUMMYFUNCTION("""COMPUTED_VALUE"""),4)</f>
        <v>4</v>
      </c>
      <c r="M37" s="4">
        <f ca="1">IFERROR(__xludf.DUMMYFUNCTION("""COMPUTED_VALUE"""),4)</f>
        <v>4</v>
      </c>
      <c r="N37" s="4">
        <f ca="1">IFERROR(__xludf.DUMMYFUNCTION("""COMPUTED_VALUE"""),5)</f>
        <v>5</v>
      </c>
      <c r="O37" s="4">
        <f ca="1">IFERROR(__xludf.DUMMYFUNCTION("""COMPUTED_VALUE"""),5)</f>
        <v>5</v>
      </c>
      <c r="P37" s="4">
        <f ca="1">IFERROR(__xludf.DUMMYFUNCTION("""COMPUTED_VALUE"""),5)</f>
        <v>5</v>
      </c>
      <c r="Q37" s="4">
        <f ca="1">IFERROR(__xludf.DUMMYFUNCTION("""COMPUTED_VALUE"""),5)</f>
        <v>5</v>
      </c>
      <c r="R37" s="4">
        <f ca="1">IFERROR(__xludf.DUMMYFUNCTION("""COMPUTED_VALUE"""),5)</f>
        <v>5</v>
      </c>
      <c r="S37" s="4">
        <f ca="1">IFERROR(__xludf.DUMMYFUNCTION("""COMPUTED_VALUE"""),5)</f>
        <v>5</v>
      </c>
      <c r="T37" s="4">
        <f ca="1">IFERROR(__xludf.DUMMYFUNCTION("""COMPUTED_VALUE"""),5)</f>
        <v>5</v>
      </c>
      <c r="U37" s="4">
        <f ca="1">IFERROR(__xludf.DUMMYFUNCTION("""COMPUTED_VALUE"""),5)</f>
        <v>5</v>
      </c>
      <c r="V37" s="4">
        <f ca="1">IFERROR(__xludf.DUMMYFUNCTION("""COMPUTED_VALUE"""),5)</f>
        <v>5</v>
      </c>
      <c r="W37" s="4">
        <f ca="1">IFERROR(__xludf.DUMMYFUNCTION("""COMPUTED_VALUE"""),3)</f>
        <v>3</v>
      </c>
      <c r="X37" s="4">
        <f ca="1">IFERROR(__xludf.DUMMYFUNCTION("""COMPUTED_VALUE"""),3)</f>
        <v>3</v>
      </c>
      <c r="Y37" s="4">
        <f ca="1">IFERROR(__xludf.DUMMYFUNCTION("""COMPUTED_VALUE"""),3)</f>
        <v>3</v>
      </c>
      <c r="Z37" s="4">
        <f ca="1">IFERROR(__xludf.DUMMYFUNCTION("""COMPUTED_VALUE"""),4)</f>
        <v>4</v>
      </c>
      <c r="AA37" s="4">
        <f ca="1">IFERROR(__xludf.DUMMYFUNCTION("""COMPUTED_VALUE"""),4)</f>
        <v>4</v>
      </c>
      <c r="AB37" s="4">
        <f ca="1">IFERROR(__xludf.DUMMYFUNCTION("""COMPUTED_VALUE"""),5)</f>
        <v>5</v>
      </c>
      <c r="AC37" s="4">
        <f ca="1">IFERROR(__xludf.DUMMYFUNCTION("""COMPUTED_VALUE"""),4)</f>
        <v>4</v>
      </c>
      <c r="AD37" s="4">
        <f ca="1">IFERROR(__xludf.DUMMYFUNCTION("""COMPUTED_VALUE"""),4)</f>
        <v>4</v>
      </c>
      <c r="AE37" s="4">
        <f ca="1">IFERROR(__xludf.DUMMYFUNCTION("""COMPUTED_VALUE"""),5)</f>
        <v>5</v>
      </c>
      <c r="AF37" s="4">
        <f ca="1">IFERROR(__xludf.DUMMYFUNCTION("""COMPUTED_VALUE"""),5)</f>
        <v>5</v>
      </c>
      <c r="AG37" s="4">
        <f ca="1">IFERROR(__xludf.DUMMYFUNCTION("""COMPUTED_VALUE"""),4)</f>
        <v>4</v>
      </c>
      <c r="AH37" s="4">
        <f ca="1">IFERROR(__xludf.DUMMYFUNCTION("""COMPUTED_VALUE"""),4)</f>
        <v>4</v>
      </c>
      <c r="AI37" s="4">
        <f ca="1">IFERROR(__xludf.DUMMYFUNCTION("""COMPUTED_VALUE"""),4)</f>
        <v>4</v>
      </c>
      <c r="AJ37" s="4">
        <f ca="1">IFERROR(__xludf.DUMMYFUNCTION("""COMPUTED_VALUE"""),4)</f>
        <v>4</v>
      </c>
      <c r="AK37" s="4">
        <f ca="1">IFERROR(__xludf.DUMMYFUNCTION("""COMPUTED_VALUE"""),4)</f>
        <v>4</v>
      </c>
      <c r="AL37" s="4">
        <f ca="1">IFERROR(__xludf.DUMMYFUNCTION("""COMPUTED_VALUE"""),5)</f>
        <v>5</v>
      </c>
      <c r="AM37" s="4">
        <f ca="1">IFERROR(__xludf.DUMMYFUNCTION("""COMPUTED_VALUE"""),4)</f>
        <v>4</v>
      </c>
      <c r="AN37" s="4">
        <f ca="1">IFERROR(__xludf.DUMMYFUNCTION("""COMPUTED_VALUE"""),4)</f>
        <v>4</v>
      </c>
      <c r="AO37" s="4">
        <f ca="1">IFERROR(__xludf.DUMMYFUNCTION("""COMPUTED_VALUE"""),4)</f>
        <v>4</v>
      </c>
      <c r="AP37" s="4">
        <f ca="1">IFERROR(__xludf.DUMMYFUNCTION("""COMPUTED_VALUE"""),4)</f>
        <v>4</v>
      </c>
      <c r="AQ37" s="4">
        <f ca="1">IFERROR(__xludf.DUMMYFUNCTION("""COMPUTED_VALUE"""),4)</f>
        <v>4</v>
      </c>
      <c r="AR37" s="4">
        <f ca="1">IFERROR(__xludf.DUMMYFUNCTION("""COMPUTED_VALUE"""),4)</f>
        <v>4</v>
      </c>
      <c r="AS37" s="4">
        <f ca="1">IFERROR(__xludf.DUMMYFUNCTION("""COMPUTED_VALUE"""),4)</f>
        <v>4</v>
      </c>
      <c r="AT37" s="4">
        <f ca="1">IFERROR(__xludf.DUMMYFUNCTION("""COMPUTED_VALUE"""),4)</f>
        <v>4</v>
      </c>
      <c r="AU37" s="4">
        <f ca="1">IFERROR(__xludf.DUMMYFUNCTION("""COMPUTED_VALUE"""),4)</f>
        <v>4</v>
      </c>
      <c r="AV37" s="4">
        <f ca="1">IFERROR(__xludf.DUMMYFUNCTION("""COMPUTED_VALUE"""),4)</f>
        <v>4</v>
      </c>
      <c r="AW37" s="4">
        <f ca="1">IFERROR(__xludf.DUMMYFUNCTION("""COMPUTED_VALUE"""),4)</f>
        <v>4</v>
      </c>
      <c r="AX37" s="4">
        <f ca="1">IFERROR(__xludf.DUMMYFUNCTION("""COMPUTED_VALUE"""),5)</f>
        <v>5</v>
      </c>
      <c r="AY37" s="4">
        <f ca="1">IFERROR(__xludf.DUMMYFUNCTION("""COMPUTED_VALUE"""),5)</f>
        <v>5</v>
      </c>
      <c r="AZ37" s="4">
        <f ca="1">IFERROR(__xludf.DUMMYFUNCTION("""COMPUTED_VALUE"""),5)</f>
        <v>5</v>
      </c>
      <c r="BA37" s="4">
        <f ca="1">IFERROR(__xludf.DUMMYFUNCTION("""COMPUTED_VALUE"""),5)</f>
        <v>5</v>
      </c>
      <c r="BB37" s="4">
        <f ca="1">IFERROR(__xludf.DUMMYFUNCTION("""COMPUTED_VALUE"""),4)</f>
        <v>4</v>
      </c>
      <c r="BC37" s="4">
        <f ca="1">IFERROR(__xludf.DUMMYFUNCTION("""COMPUTED_VALUE"""),4)</f>
        <v>4</v>
      </c>
      <c r="BD37" s="4">
        <f ca="1">IFERROR(__xludf.DUMMYFUNCTION("""COMPUTED_VALUE"""),3)</f>
        <v>3</v>
      </c>
      <c r="BE37" s="4">
        <f ca="1">IFERROR(__xludf.DUMMYFUNCTION("""COMPUTED_VALUE"""),3)</f>
        <v>3</v>
      </c>
      <c r="BF37" s="4">
        <f ca="1">IFERROR(__xludf.DUMMYFUNCTION("""COMPUTED_VALUE"""),3)</f>
        <v>3</v>
      </c>
      <c r="BG37" s="4">
        <f ca="1">IFERROR(__xludf.DUMMYFUNCTION("""COMPUTED_VALUE"""),3)</f>
        <v>3</v>
      </c>
      <c r="BH37" s="4">
        <f ca="1">IFERROR(__xludf.DUMMYFUNCTION("""COMPUTED_VALUE"""),4)</f>
        <v>4</v>
      </c>
      <c r="BI37" s="4">
        <f ca="1">IFERROR(__xludf.DUMMYFUNCTION("""COMPUTED_VALUE"""),4)</f>
        <v>4</v>
      </c>
      <c r="BJ37" s="4">
        <f ca="1">IFERROR(__xludf.DUMMYFUNCTION("""COMPUTED_VALUE"""),4)</f>
        <v>4</v>
      </c>
      <c r="BK37" s="4">
        <f ca="1">IFERROR(__xludf.DUMMYFUNCTION("""COMPUTED_VALUE"""),4)</f>
        <v>4</v>
      </c>
      <c r="BL37" s="4">
        <f ca="1">IFERROR(__xludf.DUMMYFUNCTION("""COMPUTED_VALUE"""),4)</f>
        <v>4</v>
      </c>
      <c r="BM37" s="4">
        <f ca="1">IFERROR(__xludf.DUMMYFUNCTION("""COMPUTED_VALUE"""),4)</f>
        <v>4</v>
      </c>
      <c r="BN37" s="4">
        <f ca="1">IFERROR(__xludf.DUMMYFUNCTION("""COMPUTED_VALUE"""),4)</f>
        <v>4</v>
      </c>
      <c r="BO37" s="4">
        <f ca="1">IFERROR(__xludf.DUMMYFUNCTION("""COMPUTED_VALUE"""),4)</f>
        <v>4</v>
      </c>
      <c r="BP37" s="4">
        <f ca="1">IFERROR(__xludf.DUMMYFUNCTION("""COMPUTED_VALUE"""),4)</f>
        <v>4</v>
      </c>
    </row>
    <row r="38" spans="1:68" x14ac:dyDescent="0.25">
      <c r="A38" s="4" t="str">
        <f ca="1">IFERROR(__xludf.DUMMYFUNCTION("""COMPUTED_VALUE"""),"2_ABaOnuc022ebL8DQ2OFIimxOX5GXJR-ufNOao42Xc9UY9ari6XP66ySWxmDj7EpbPA")</f>
        <v>2_ABaOnuc022ebL8DQ2OFIimxOX5GXJR-ufNOao42Xc9UY9ari6XP66ySWxmDj7EpbPA</v>
      </c>
      <c r="B38" s="5">
        <f ca="1">IFERROR(__xludf.DUMMYFUNCTION("""COMPUTED_VALUE"""),45967.4334605324)</f>
        <v>45967.433460532397</v>
      </c>
      <c r="C38" s="4"/>
      <c r="D38" s="4" t="str">
        <f ca="1">IFERROR(__xludf.DUMMYFUNCTION("""COMPUTED_VALUE"""),"Nữ")</f>
        <v>Nữ</v>
      </c>
      <c r="E38" s="4" t="str">
        <f ca="1">IFERROR(__xludf.DUMMYFUNCTION("""COMPUTED_VALUE"""),"Công ty TNHH Kiểm toán FAC - CN Đệ Nhất")</f>
        <v>Công ty TNHH Kiểm toán FAC - CN Đệ Nhất</v>
      </c>
      <c r="F38" s="4" t="str">
        <f ca="1">IFERROR(__xludf.DUMMYFUNCTION("""COMPUTED_VALUE"""),"Đại học")</f>
        <v>Đại học</v>
      </c>
      <c r="G38" s="4" t="str">
        <f ca="1">IFERROR(__xludf.DUMMYFUNCTION("""COMPUTED_VALUE"""),"Trên 10 đến 15 năm")</f>
        <v>Trên 10 đến 15 năm</v>
      </c>
      <c r="H38" s="4" t="str">
        <f ca="1">IFERROR(__xludf.DUMMYFUNCTION("""COMPUTED_VALUE"""),"Trợ lý kiểm toán")</f>
        <v>Trợ lý kiểm toán</v>
      </c>
      <c r="I38" s="4">
        <f ca="1">IFERROR(__xludf.DUMMYFUNCTION("""COMPUTED_VALUE"""),4)</f>
        <v>4</v>
      </c>
      <c r="J38" s="4">
        <f ca="1">IFERROR(__xludf.DUMMYFUNCTION("""COMPUTED_VALUE"""),3)</f>
        <v>3</v>
      </c>
      <c r="K38" s="4">
        <f ca="1">IFERROR(__xludf.DUMMYFUNCTION("""COMPUTED_VALUE"""),3)</f>
        <v>3</v>
      </c>
      <c r="L38" s="4">
        <f ca="1">IFERROR(__xludf.DUMMYFUNCTION("""COMPUTED_VALUE"""),4)</f>
        <v>4</v>
      </c>
      <c r="M38" s="4">
        <f ca="1">IFERROR(__xludf.DUMMYFUNCTION("""COMPUTED_VALUE"""),3)</f>
        <v>3</v>
      </c>
      <c r="N38" s="4">
        <f ca="1">IFERROR(__xludf.DUMMYFUNCTION("""COMPUTED_VALUE"""),4)</f>
        <v>4</v>
      </c>
      <c r="O38" s="4">
        <f ca="1">IFERROR(__xludf.DUMMYFUNCTION("""COMPUTED_VALUE"""),4)</f>
        <v>4</v>
      </c>
      <c r="P38" s="4">
        <f ca="1">IFERROR(__xludf.DUMMYFUNCTION("""COMPUTED_VALUE"""),4)</f>
        <v>4</v>
      </c>
      <c r="Q38" s="4">
        <f ca="1">IFERROR(__xludf.DUMMYFUNCTION("""COMPUTED_VALUE"""),4)</f>
        <v>4</v>
      </c>
      <c r="R38" s="4">
        <f ca="1">IFERROR(__xludf.DUMMYFUNCTION("""COMPUTED_VALUE"""),4)</f>
        <v>4</v>
      </c>
      <c r="S38" s="4">
        <f ca="1">IFERROR(__xludf.DUMMYFUNCTION("""COMPUTED_VALUE"""),4)</f>
        <v>4</v>
      </c>
      <c r="T38" s="4">
        <f ca="1">IFERROR(__xludf.DUMMYFUNCTION("""COMPUTED_VALUE"""),4)</f>
        <v>4</v>
      </c>
      <c r="U38" s="4">
        <f ca="1">IFERROR(__xludf.DUMMYFUNCTION("""COMPUTED_VALUE"""),4)</f>
        <v>4</v>
      </c>
      <c r="V38" s="4">
        <f ca="1">IFERROR(__xludf.DUMMYFUNCTION("""COMPUTED_VALUE"""),4)</f>
        <v>4</v>
      </c>
      <c r="W38" s="4">
        <f ca="1">IFERROR(__xludf.DUMMYFUNCTION("""COMPUTED_VALUE"""),3)</f>
        <v>3</v>
      </c>
      <c r="X38" s="4">
        <f ca="1">IFERROR(__xludf.DUMMYFUNCTION("""COMPUTED_VALUE"""),3)</f>
        <v>3</v>
      </c>
      <c r="Y38" s="4">
        <f ca="1">IFERROR(__xludf.DUMMYFUNCTION("""COMPUTED_VALUE"""),4)</f>
        <v>4</v>
      </c>
      <c r="Z38" s="4">
        <f ca="1">IFERROR(__xludf.DUMMYFUNCTION("""COMPUTED_VALUE"""),3)</f>
        <v>3</v>
      </c>
      <c r="AA38" s="4">
        <f ca="1">IFERROR(__xludf.DUMMYFUNCTION("""COMPUTED_VALUE"""),4)</f>
        <v>4</v>
      </c>
      <c r="AB38" s="4">
        <f ca="1">IFERROR(__xludf.DUMMYFUNCTION("""COMPUTED_VALUE"""),5)</f>
        <v>5</v>
      </c>
      <c r="AC38" s="4">
        <f ca="1">IFERROR(__xludf.DUMMYFUNCTION("""COMPUTED_VALUE"""),5)</f>
        <v>5</v>
      </c>
      <c r="AD38" s="4">
        <f ca="1">IFERROR(__xludf.DUMMYFUNCTION("""COMPUTED_VALUE"""),4)</f>
        <v>4</v>
      </c>
      <c r="AE38" s="4">
        <f ca="1">IFERROR(__xludf.DUMMYFUNCTION("""COMPUTED_VALUE"""),5)</f>
        <v>5</v>
      </c>
      <c r="AF38" s="4">
        <f ca="1">IFERROR(__xludf.DUMMYFUNCTION("""COMPUTED_VALUE"""),5)</f>
        <v>5</v>
      </c>
      <c r="AG38" s="4">
        <f ca="1">IFERROR(__xludf.DUMMYFUNCTION("""COMPUTED_VALUE"""),4)</f>
        <v>4</v>
      </c>
      <c r="AH38" s="4">
        <f ca="1">IFERROR(__xludf.DUMMYFUNCTION("""COMPUTED_VALUE"""),4)</f>
        <v>4</v>
      </c>
      <c r="AI38" s="4">
        <f ca="1">IFERROR(__xludf.DUMMYFUNCTION("""COMPUTED_VALUE"""),4)</f>
        <v>4</v>
      </c>
      <c r="AJ38" s="4">
        <f ca="1">IFERROR(__xludf.DUMMYFUNCTION("""COMPUTED_VALUE"""),4)</f>
        <v>4</v>
      </c>
      <c r="AK38" s="4">
        <f ca="1">IFERROR(__xludf.DUMMYFUNCTION("""COMPUTED_VALUE"""),3)</f>
        <v>3</v>
      </c>
      <c r="AL38" s="4">
        <f ca="1">IFERROR(__xludf.DUMMYFUNCTION("""COMPUTED_VALUE"""),3)</f>
        <v>3</v>
      </c>
      <c r="AM38" s="4">
        <f ca="1">IFERROR(__xludf.DUMMYFUNCTION("""COMPUTED_VALUE"""),3)</f>
        <v>3</v>
      </c>
      <c r="AN38" s="4">
        <f ca="1">IFERROR(__xludf.DUMMYFUNCTION("""COMPUTED_VALUE"""),3)</f>
        <v>3</v>
      </c>
      <c r="AO38" s="4">
        <f ca="1">IFERROR(__xludf.DUMMYFUNCTION("""COMPUTED_VALUE"""),3)</f>
        <v>3</v>
      </c>
      <c r="AP38" s="4">
        <f ca="1">IFERROR(__xludf.DUMMYFUNCTION("""COMPUTED_VALUE"""),3)</f>
        <v>3</v>
      </c>
      <c r="AQ38" s="4">
        <f ca="1">IFERROR(__xludf.DUMMYFUNCTION("""COMPUTED_VALUE"""),4)</f>
        <v>4</v>
      </c>
      <c r="AR38" s="4">
        <f ca="1">IFERROR(__xludf.DUMMYFUNCTION("""COMPUTED_VALUE"""),3)</f>
        <v>3</v>
      </c>
      <c r="AS38" s="4">
        <f ca="1">IFERROR(__xludf.DUMMYFUNCTION("""COMPUTED_VALUE"""),3)</f>
        <v>3</v>
      </c>
      <c r="AT38" s="4">
        <f ca="1">IFERROR(__xludf.DUMMYFUNCTION("""COMPUTED_VALUE"""),3)</f>
        <v>3</v>
      </c>
      <c r="AU38" s="4">
        <f ca="1">IFERROR(__xludf.DUMMYFUNCTION("""COMPUTED_VALUE"""),4)</f>
        <v>4</v>
      </c>
      <c r="AV38" s="4">
        <f ca="1">IFERROR(__xludf.DUMMYFUNCTION("""COMPUTED_VALUE"""),4)</f>
        <v>4</v>
      </c>
      <c r="AW38" s="4">
        <f ca="1">IFERROR(__xludf.DUMMYFUNCTION("""COMPUTED_VALUE"""),4)</f>
        <v>4</v>
      </c>
      <c r="AX38" s="4">
        <f ca="1">IFERROR(__xludf.DUMMYFUNCTION("""COMPUTED_VALUE"""),5)</f>
        <v>5</v>
      </c>
      <c r="AY38" s="4">
        <f ca="1">IFERROR(__xludf.DUMMYFUNCTION("""COMPUTED_VALUE"""),5)</f>
        <v>5</v>
      </c>
      <c r="AZ38" s="4">
        <f ca="1">IFERROR(__xludf.DUMMYFUNCTION("""COMPUTED_VALUE"""),4)</f>
        <v>4</v>
      </c>
      <c r="BA38" s="4">
        <f ca="1">IFERROR(__xludf.DUMMYFUNCTION("""COMPUTED_VALUE"""),4)</f>
        <v>4</v>
      </c>
      <c r="BB38" s="4">
        <f ca="1">IFERROR(__xludf.DUMMYFUNCTION("""COMPUTED_VALUE"""),4)</f>
        <v>4</v>
      </c>
      <c r="BC38" s="4">
        <f ca="1">IFERROR(__xludf.DUMMYFUNCTION("""COMPUTED_VALUE"""),3)</f>
        <v>3</v>
      </c>
      <c r="BD38" s="4">
        <f ca="1">IFERROR(__xludf.DUMMYFUNCTION("""COMPUTED_VALUE"""),4)</f>
        <v>4</v>
      </c>
      <c r="BE38" s="4">
        <f ca="1">IFERROR(__xludf.DUMMYFUNCTION("""COMPUTED_VALUE"""),3)</f>
        <v>3</v>
      </c>
      <c r="BF38" s="4">
        <f ca="1">IFERROR(__xludf.DUMMYFUNCTION("""COMPUTED_VALUE"""),3)</f>
        <v>3</v>
      </c>
      <c r="BG38" s="4">
        <f ca="1">IFERROR(__xludf.DUMMYFUNCTION("""COMPUTED_VALUE"""),3)</f>
        <v>3</v>
      </c>
      <c r="BH38" s="4">
        <f ca="1">IFERROR(__xludf.DUMMYFUNCTION("""COMPUTED_VALUE"""),4)</f>
        <v>4</v>
      </c>
      <c r="BI38" s="4">
        <f ca="1">IFERROR(__xludf.DUMMYFUNCTION("""COMPUTED_VALUE"""),4)</f>
        <v>4</v>
      </c>
      <c r="BJ38" s="4">
        <f ca="1">IFERROR(__xludf.DUMMYFUNCTION("""COMPUTED_VALUE"""),4)</f>
        <v>4</v>
      </c>
      <c r="BK38" s="4">
        <f ca="1">IFERROR(__xludf.DUMMYFUNCTION("""COMPUTED_VALUE"""),3)</f>
        <v>3</v>
      </c>
      <c r="BL38" s="4">
        <f ca="1">IFERROR(__xludf.DUMMYFUNCTION("""COMPUTED_VALUE"""),4)</f>
        <v>4</v>
      </c>
      <c r="BM38" s="4">
        <f ca="1">IFERROR(__xludf.DUMMYFUNCTION("""COMPUTED_VALUE"""),4)</f>
        <v>4</v>
      </c>
      <c r="BN38" s="4">
        <f ca="1">IFERROR(__xludf.DUMMYFUNCTION("""COMPUTED_VALUE"""),4)</f>
        <v>4</v>
      </c>
      <c r="BO38" s="4">
        <f ca="1">IFERROR(__xludf.DUMMYFUNCTION("""COMPUTED_VALUE"""),4)</f>
        <v>4</v>
      </c>
      <c r="BP38" s="4">
        <f ca="1">IFERROR(__xludf.DUMMYFUNCTION("""COMPUTED_VALUE"""),3)</f>
        <v>3</v>
      </c>
    </row>
    <row r="39" spans="1:68" x14ac:dyDescent="0.25">
      <c r="A39" s="4" t="str">
        <f ca="1">IFERROR(__xludf.DUMMYFUNCTION("""COMPUTED_VALUE"""),"2_ABaOnucNYlbAHDHshzoPPI4QqvvFw2bZqm9x090Hh1XQj7NHsQb_mw2Xvuyl4Wzp2A")</f>
        <v>2_ABaOnucNYlbAHDHshzoPPI4QqvvFw2bZqm9x090Hh1XQj7NHsQb_mw2Xvuyl4Wzp2A</v>
      </c>
      <c r="B39" s="5">
        <f ca="1">IFERROR(__xludf.DUMMYFUNCTION("""COMPUTED_VALUE"""),45967.4403040625)</f>
        <v>45967.440304062497</v>
      </c>
      <c r="C39" s="4"/>
      <c r="D39" s="4" t="str">
        <f ca="1">IFERROR(__xludf.DUMMYFUNCTION("""COMPUTED_VALUE"""),"Nữ")</f>
        <v>Nữ</v>
      </c>
      <c r="E39" s="4" t="str">
        <f ca="1">IFERROR(__xludf.DUMMYFUNCTION("""COMPUTED_VALUE"""),"Công ty TNHH Kiểm toán FAC")</f>
        <v>Công ty TNHH Kiểm toán FAC</v>
      </c>
      <c r="F39" s="4" t="str">
        <f ca="1">IFERROR(__xludf.DUMMYFUNCTION("""COMPUTED_VALUE"""),"Đại học")</f>
        <v>Đại học</v>
      </c>
      <c r="G39" s="4" t="str">
        <f ca="1">IFERROR(__xludf.DUMMYFUNCTION("""COMPUTED_VALUE"""),"Từ 3 đến 5 năm")</f>
        <v>Từ 3 đến 5 năm</v>
      </c>
      <c r="H39" s="4" t="str">
        <f ca="1">IFERROR(__xludf.DUMMYFUNCTION("""COMPUTED_VALUE"""),"Trợ lý kiểm toán")</f>
        <v>Trợ lý kiểm toán</v>
      </c>
      <c r="I39" s="4">
        <f ca="1">IFERROR(__xludf.DUMMYFUNCTION("""COMPUTED_VALUE"""),4)</f>
        <v>4</v>
      </c>
      <c r="J39" s="4">
        <f ca="1">IFERROR(__xludf.DUMMYFUNCTION("""COMPUTED_VALUE"""),4)</f>
        <v>4</v>
      </c>
      <c r="K39" s="4">
        <f ca="1">IFERROR(__xludf.DUMMYFUNCTION("""COMPUTED_VALUE"""),4)</f>
        <v>4</v>
      </c>
      <c r="L39" s="4">
        <f ca="1">IFERROR(__xludf.DUMMYFUNCTION("""COMPUTED_VALUE"""),5)</f>
        <v>5</v>
      </c>
      <c r="M39" s="4">
        <f ca="1">IFERROR(__xludf.DUMMYFUNCTION("""COMPUTED_VALUE"""),4)</f>
        <v>4</v>
      </c>
      <c r="N39" s="4">
        <f ca="1">IFERROR(__xludf.DUMMYFUNCTION("""COMPUTED_VALUE"""),4)</f>
        <v>4</v>
      </c>
      <c r="O39" s="4">
        <f ca="1">IFERROR(__xludf.DUMMYFUNCTION("""COMPUTED_VALUE"""),4)</f>
        <v>4</v>
      </c>
      <c r="P39" s="4">
        <f ca="1">IFERROR(__xludf.DUMMYFUNCTION("""COMPUTED_VALUE"""),4)</f>
        <v>4</v>
      </c>
      <c r="Q39" s="4">
        <f ca="1">IFERROR(__xludf.DUMMYFUNCTION("""COMPUTED_VALUE"""),5)</f>
        <v>5</v>
      </c>
      <c r="R39" s="4">
        <f ca="1">IFERROR(__xludf.DUMMYFUNCTION("""COMPUTED_VALUE"""),4)</f>
        <v>4</v>
      </c>
      <c r="S39" s="4">
        <f ca="1">IFERROR(__xludf.DUMMYFUNCTION("""COMPUTED_VALUE"""),4)</f>
        <v>4</v>
      </c>
      <c r="T39" s="4">
        <f ca="1">IFERROR(__xludf.DUMMYFUNCTION("""COMPUTED_VALUE"""),4)</f>
        <v>4</v>
      </c>
      <c r="U39" s="4">
        <f ca="1">IFERROR(__xludf.DUMMYFUNCTION("""COMPUTED_VALUE"""),5)</f>
        <v>5</v>
      </c>
      <c r="V39" s="4">
        <f ca="1">IFERROR(__xludf.DUMMYFUNCTION("""COMPUTED_VALUE"""),4)</f>
        <v>4</v>
      </c>
      <c r="W39" s="4">
        <f ca="1">IFERROR(__xludf.DUMMYFUNCTION("""COMPUTED_VALUE"""),3)</f>
        <v>3</v>
      </c>
      <c r="X39" s="4">
        <f ca="1">IFERROR(__xludf.DUMMYFUNCTION("""COMPUTED_VALUE"""),4)</f>
        <v>4</v>
      </c>
      <c r="Y39" s="4">
        <f ca="1">IFERROR(__xludf.DUMMYFUNCTION("""COMPUTED_VALUE"""),4)</f>
        <v>4</v>
      </c>
      <c r="Z39" s="4">
        <f ca="1">IFERROR(__xludf.DUMMYFUNCTION("""COMPUTED_VALUE"""),4)</f>
        <v>4</v>
      </c>
      <c r="AA39" s="4">
        <f ca="1">IFERROR(__xludf.DUMMYFUNCTION("""COMPUTED_VALUE"""),4)</f>
        <v>4</v>
      </c>
      <c r="AB39" s="4">
        <f ca="1">IFERROR(__xludf.DUMMYFUNCTION("""COMPUTED_VALUE"""),5)</f>
        <v>5</v>
      </c>
      <c r="AC39" s="4">
        <f ca="1">IFERROR(__xludf.DUMMYFUNCTION("""COMPUTED_VALUE"""),5)</f>
        <v>5</v>
      </c>
      <c r="AD39" s="4">
        <f ca="1">IFERROR(__xludf.DUMMYFUNCTION("""COMPUTED_VALUE"""),4)</f>
        <v>4</v>
      </c>
      <c r="AE39" s="4">
        <f ca="1">IFERROR(__xludf.DUMMYFUNCTION("""COMPUTED_VALUE"""),5)</f>
        <v>5</v>
      </c>
      <c r="AF39" s="4">
        <f ca="1">IFERROR(__xludf.DUMMYFUNCTION("""COMPUTED_VALUE"""),4)</f>
        <v>4</v>
      </c>
      <c r="AG39" s="4">
        <f ca="1">IFERROR(__xludf.DUMMYFUNCTION("""COMPUTED_VALUE"""),4)</f>
        <v>4</v>
      </c>
      <c r="AH39" s="4">
        <f ca="1">IFERROR(__xludf.DUMMYFUNCTION("""COMPUTED_VALUE"""),4)</f>
        <v>4</v>
      </c>
      <c r="AI39" s="4">
        <f ca="1">IFERROR(__xludf.DUMMYFUNCTION("""COMPUTED_VALUE"""),4)</f>
        <v>4</v>
      </c>
      <c r="AJ39" s="4">
        <f ca="1">IFERROR(__xludf.DUMMYFUNCTION("""COMPUTED_VALUE"""),4)</f>
        <v>4</v>
      </c>
      <c r="AK39" s="4">
        <f ca="1">IFERROR(__xludf.DUMMYFUNCTION("""COMPUTED_VALUE"""),4)</f>
        <v>4</v>
      </c>
      <c r="AL39" s="4">
        <f ca="1">IFERROR(__xludf.DUMMYFUNCTION("""COMPUTED_VALUE"""),4)</f>
        <v>4</v>
      </c>
      <c r="AM39" s="4">
        <f ca="1">IFERROR(__xludf.DUMMYFUNCTION("""COMPUTED_VALUE"""),4)</f>
        <v>4</v>
      </c>
      <c r="AN39" s="4">
        <f ca="1">IFERROR(__xludf.DUMMYFUNCTION("""COMPUTED_VALUE"""),4)</f>
        <v>4</v>
      </c>
      <c r="AO39" s="4">
        <f ca="1">IFERROR(__xludf.DUMMYFUNCTION("""COMPUTED_VALUE"""),4)</f>
        <v>4</v>
      </c>
      <c r="AP39" s="4">
        <f ca="1">IFERROR(__xludf.DUMMYFUNCTION("""COMPUTED_VALUE"""),4)</f>
        <v>4</v>
      </c>
      <c r="AQ39" s="4">
        <f ca="1">IFERROR(__xludf.DUMMYFUNCTION("""COMPUTED_VALUE"""),4)</f>
        <v>4</v>
      </c>
      <c r="AR39" s="4">
        <f ca="1">IFERROR(__xludf.DUMMYFUNCTION("""COMPUTED_VALUE"""),4)</f>
        <v>4</v>
      </c>
      <c r="AS39" s="4">
        <f ca="1">IFERROR(__xludf.DUMMYFUNCTION("""COMPUTED_VALUE"""),4)</f>
        <v>4</v>
      </c>
      <c r="AT39" s="4">
        <f ca="1">IFERROR(__xludf.DUMMYFUNCTION("""COMPUTED_VALUE"""),4)</f>
        <v>4</v>
      </c>
      <c r="AU39" s="4">
        <f ca="1">IFERROR(__xludf.DUMMYFUNCTION("""COMPUTED_VALUE"""),4)</f>
        <v>4</v>
      </c>
      <c r="AV39" s="4">
        <f ca="1">IFERROR(__xludf.DUMMYFUNCTION("""COMPUTED_VALUE"""),4)</f>
        <v>4</v>
      </c>
      <c r="AW39" s="4">
        <f ca="1">IFERROR(__xludf.DUMMYFUNCTION("""COMPUTED_VALUE"""),4)</f>
        <v>4</v>
      </c>
      <c r="AX39" s="4">
        <f ca="1">IFERROR(__xludf.DUMMYFUNCTION("""COMPUTED_VALUE"""),4)</f>
        <v>4</v>
      </c>
      <c r="AY39" s="4">
        <f ca="1">IFERROR(__xludf.DUMMYFUNCTION("""COMPUTED_VALUE"""),4)</f>
        <v>4</v>
      </c>
      <c r="AZ39" s="4">
        <f ca="1">IFERROR(__xludf.DUMMYFUNCTION("""COMPUTED_VALUE"""),4)</f>
        <v>4</v>
      </c>
      <c r="BA39" s="4">
        <f ca="1">IFERROR(__xludf.DUMMYFUNCTION("""COMPUTED_VALUE"""),4)</f>
        <v>4</v>
      </c>
      <c r="BB39" s="4">
        <f ca="1">IFERROR(__xludf.DUMMYFUNCTION("""COMPUTED_VALUE"""),4)</f>
        <v>4</v>
      </c>
      <c r="BC39" s="4">
        <f ca="1">IFERROR(__xludf.DUMMYFUNCTION("""COMPUTED_VALUE"""),4)</f>
        <v>4</v>
      </c>
      <c r="BD39" s="4">
        <f ca="1">IFERROR(__xludf.DUMMYFUNCTION("""COMPUTED_VALUE"""),4)</f>
        <v>4</v>
      </c>
      <c r="BE39" s="4">
        <f ca="1">IFERROR(__xludf.DUMMYFUNCTION("""COMPUTED_VALUE"""),4)</f>
        <v>4</v>
      </c>
      <c r="BF39" s="4">
        <f ca="1">IFERROR(__xludf.DUMMYFUNCTION("""COMPUTED_VALUE"""),4)</f>
        <v>4</v>
      </c>
      <c r="BG39" s="4">
        <f ca="1">IFERROR(__xludf.DUMMYFUNCTION("""COMPUTED_VALUE"""),4)</f>
        <v>4</v>
      </c>
      <c r="BH39" s="4">
        <f ca="1">IFERROR(__xludf.DUMMYFUNCTION("""COMPUTED_VALUE"""),4)</f>
        <v>4</v>
      </c>
      <c r="BI39" s="4">
        <f ca="1">IFERROR(__xludf.DUMMYFUNCTION("""COMPUTED_VALUE"""),4)</f>
        <v>4</v>
      </c>
      <c r="BJ39" s="4">
        <f ca="1">IFERROR(__xludf.DUMMYFUNCTION("""COMPUTED_VALUE"""),4)</f>
        <v>4</v>
      </c>
      <c r="BK39" s="4">
        <f ca="1">IFERROR(__xludf.DUMMYFUNCTION("""COMPUTED_VALUE"""),4)</f>
        <v>4</v>
      </c>
      <c r="BL39" s="4">
        <f ca="1">IFERROR(__xludf.DUMMYFUNCTION("""COMPUTED_VALUE"""),4)</f>
        <v>4</v>
      </c>
      <c r="BM39" s="4">
        <f ca="1">IFERROR(__xludf.DUMMYFUNCTION("""COMPUTED_VALUE"""),4)</f>
        <v>4</v>
      </c>
      <c r="BN39" s="4">
        <f ca="1">IFERROR(__xludf.DUMMYFUNCTION("""COMPUTED_VALUE"""),4)</f>
        <v>4</v>
      </c>
      <c r="BO39" s="4">
        <f ca="1">IFERROR(__xludf.DUMMYFUNCTION("""COMPUTED_VALUE"""),4)</f>
        <v>4</v>
      </c>
      <c r="BP39" s="4">
        <f ca="1">IFERROR(__xludf.DUMMYFUNCTION("""COMPUTED_VALUE"""),4)</f>
        <v>4</v>
      </c>
    </row>
    <row r="40" spans="1:68" x14ac:dyDescent="0.25">
      <c r="A40" s="4" t="str">
        <f ca="1">IFERROR(__xludf.DUMMYFUNCTION("""COMPUTED_VALUE"""),"2_ABaOnucuGP2OZZHZfgqC4dPLOZXxEjm60ZWtfr5CpWWRjThB2zD63DnjiCWJ60Bwlw")</f>
        <v>2_ABaOnucuGP2OZZHZfgqC4dPLOZXxEjm60ZWtfr5CpWWRjThB2zD63DnjiCWJ60Bwlw</v>
      </c>
      <c r="B40" s="5">
        <f ca="1">IFERROR(__xludf.DUMMYFUNCTION("""COMPUTED_VALUE"""),45967.4663359375)</f>
        <v>45967.466335937497</v>
      </c>
      <c r="C40" s="4"/>
      <c r="D40" s="4" t="str">
        <f ca="1">IFERROR(__xludf.DUMMYFUNCTION("""COMPUTED_VALUE"""),"Nữ")</f>
        <v>Nữ</v>
      </c>
      <c r="E40" s="4" t="str">
        <f ca="1">IFERROR(__xludf.DUMMYFUNCTION("""COMPUTED_VALUE"""),"Moore AISC")</f>
        <v>Moore AISC</v>
      </c>
      <c r="F40" s="4" t="str">
        <f ca="1">IFERROR(__xludf.DUMMYFUNCTION("""COMPUTED_VALUE"""),"Chứng chỉ Kiểm toán viên")</f>
        <v>Chứng chỉ Kiểm toán viên</v>
      </c>
      <c r="G40" s="4" t="str">
        <f ca="1">IFERROR(__xludf.DUMMYFUNCTION("""COMPUTED_VALUE"""),"Trên 10 đến 15 năm")</f>
        <v>Trên 10 đến 15 năm</v>
      </c>
      <c r="H40" s="4" t="str">
        <f ca="1">IFERROR(__xludf.DUMMYFUNCTION("""COMPUTED_VALUE"""),"Trưởng phòng")</f>
        <v>Trưởng phòng</v>
      </c>
      <c r="I40" s="4">
        <f ca="1">IFERROR(__xludf.DUMMYFUNCTION("""COMPUTED_VALUE"""),4)</f>
        <v>4</v>
      </c>
      <c r="J40" s="4">
        <f ca="1">IFERROR(__xludf.DUMMYFUNCTION("""COMPUTED_VALUE"""),4)</f>
        <v>4</v>
      </c>
      <c r="K40" s="4">
        <f ca="1">IFERROR(__xludf.DUMMYFUNCTION("""COMPUTED_VALUE"""),4)</f>
        <v>4</v>
      </c>
      <c r="L40" s="4">
        <f ca="1">IFERROR(__xludf.DUMMYFUNCTION("""COMPUTED_VALUE"""),4)</f>
        <v>4</v>
      </c>
      <c r="M40" s="4">
        <f ca="1">IFERROR(__xludf.DUMMYFUNCTION("""COMPUTED_VALUE"""),4)</f>
        <v>4</v>
      </c>
      <c r="N40" s="4">
        <f ca="1">IFERROR(__xludf.DUMMYFUNCTION("""COMPUTED_VALUE"""),3)</f>
        <v>3</v>
      </c>
      <c r="O40" s="4">
        <f ca="1">IFERROR(__xludf.DUMMYFUNCTION("""COMPUTED_VALUE"""),3)</f>
        <v>3</v>
      </c>
      <c r="P40" s="4">
        <f ca="1">IFERROR(__xludf.DUMMYFUNCTION("""COMPUTED_VALUE"""),4)</f>
        <v>4</v>
      </c>
      <c r="Q40" s="4">
        <f ca="1">IFERROR(__xludf.DUMMYFUNCTION("""COMPUTED_VALUE"""),4)</f>
        <v>4</v>
      </c>
      <c r="R40" s="4">
        <f ca="1">IFERROR(__xludf.DUMMYFUNCTION("""COMPUTED_VALUE"""),4)</f>
        <v>4</v>
      </c>
      <c r="S40" s="4">
        <f ca="1">IFERROR(__xludf.DUMMYFUNCTION("""COMPUTED_VALUE"""),5)</f>
        <v>5</v>
      </c>
      <c r="T40" s="4">
        <f ca="1">IFERROR(__xludf.DUMMYFUNCTION("""COMPUTED_VALUE"""),4)</f>
        <v>4</v>
      </c>
      <c r="U40" s="4">
        <f ca="1">IFERROR(__xludf.DUMMYFUNCTION("""COMPUTED_VALUE"""),5)</f>
        <v>5</v>
      </c>
      <c r="V40" s="4">
        <f ca="1">IFERROR(__xludf.DUMMYFUNCTION("""COMPUTED_VALUE"""),5)</f>
        <v>5</v>
      </c>
      <c r="W40" s="4">
        <f ca="1">IFERROR(__xludf.DUMMYFUNCTION("""COMPUTED_VALUE"""),4)</f>
        <v>4</v>
      </c>
      <c r="X40" s="4">
        <f ca="1">IFERROR(__xludf.DUMMYFUNCTION("""COMPUTED_VALUE"""),4)</f>
        <v>4</v>
      </c>
      <c r="Y40" s="4">
        <f ca="1">IFERROR(__xludf.DUMMYFUNCTION("""COMPUTED_VALUE"""),4)</f>
        <v>4</v>
      </c>
      <c r="Z40" s="4">
        <f ca="1">IFERROR(__xludf.DUMMYFUNCTION("""COMPUTED_VALUE"""),4)</f>
        <v>4</v>
      </c>
      <c r="AA40" s="4">
        <f ca="1">IFERROR(__xludf.DUMMYFUNCTION("""COMPUTED_VALUE"""),4)</f>
        <v>4</v>
      </c>
      <c r="AB40" s="4">
        <f ca="1">IFERROR(__xludf.DUMMYFUNCTION("""COMPUTED_VALUE"""),4)</f>
        <v>4</v>
      </c>
      <c r="AC40" s="4">
        <f ca="1">IFERROR(__xludf.DUMMYFUNCTION("""COMPUTED_VALUE"""),3)</f>
        <v>3</v>
      </c>
      <c r="AD40" s="4">
        <f ca="1">IFERROR(__xludf.DUMMYFUNCTION("""COMPUTED_VALUE"""),3)</f>
        <v>3</v>
      </c>
      <c r="AE40" s="4">
        <f ca="1">IFERROR(__xludf.DUMMYFUNCTION("""COMPUTED_VALUE"""),4)</f>
        <v>4</v>
      </c>
      <c r="AF40" s="4">
        <f ca="1">IFERROR(__xludf.DUMMYFUNCTION("""COMPUTED_VALUE"""),4)</f>
        <v>4</v>
      </c>
      <c r="AG40" s="4">
        <f ca="1">IFERROR(__xludf.DUMMYFUNCTION("""COMPUTED_VALUE"""),4)</f>
        <v>4</v>
      </c>
      <c r="AH40" s="4">
        <f ca="1">IFERROR(__xludf.DUMMYFUNCTION("""COMPUTED_VALUE"""),4)</f>
        <v>4</v>
      </c>
      <c r="AI40" s="4">
        <f ca="1">IFERROR(__xludf.DUMMYFUNCTION("""COMPUTED_VALUE"""),4)</f>
        <v>4</v>
      </c>
      <c r="AJ40" s="4">
        <f ca="1">IFERROR(__xludf.DUMMYFUNCTION("""COMPUTED_VALUE"""),4)</f>
        <v>4</v>
      </c>
      <c r="AK40" s="4">
        <f ca="1">IFERROR(__xludf.DUMMYFUNCTION("""COMPUTED_VALUE"""),5)</f>
        <v>5</v>
      </c>
      <c r="AL40" s="4">
        <f ca="1">IFERROR(__xludf.DUMMYFUNCTION("""COMPUTED_VALUE"""),5)</f>
        <v>5</v>
      </c>
      <c r="AM40" s="4">
        <f ca="1">IFERROR(__xludf.DUMMYFUNCTION("""COMPUTED_VALUE"""),4)</f>
        <v>4</v>
      </c>
      <c r="AN40" s="4">
        <f ca="1">IFERROR(__xludf.DUMMYFUNCTION("""COMPUTED_VALUE"""),5)</f>
        <v>5</v>
      </c>
      <c r="AO40" s="4">
        <f ca="1">IFERROR(__xludf.DUMMYFUNCTION("""COMPUTED_VALUE"""),4)</f>
        <v>4</v>
      </c>
      <c r="AP40" s="4">
        <f ca="1">IFERROR(__xludf.DUMMYFUNCTION("""COMPUTED_VALUE"""),4)</f>
        <v>4</v>
      </c>
      <c r="AQ40" s="4">
        <f ca="1">IFERROR(__xludf.DUMMYFUNCTION("""COMPUTED_VALUE"""),4)</f>
        <v>4</v>
      </c>
      <c r="AR40" s="4">
        <f ca="1">IFERROR(__xludf.DUMMYFUNCTION("""COMPUTED_VALUE"""),4)</f>
        <v>4</v>
      </c>
      <c r="AS40" s="4">
        <f ca="1">IFERROR(__xludf.DUMMYFUNCTION("""COMPUTED_VALUE"""),4)</f>
        <v>4</v>
      </c>
      <c r="AT40" s="4">
        <f ca="1">IFERROR(__xludf.DUMMYFUNCTION("""COMPUTED_VALUE"""),3)</f>
        <v>3</v>
      </c>
      <c r="AU40" s="4">
        <f ca="1">IFERROR(__xludf.DUMMYFUNCTION("""COMPUTED_VALUE"""),3)</f>
        <v>3</v>
      </c>
      <c r="AV40" s="4">
        <f ca="1">IFERROR(__xludf.DUMMYFUNCTION("""COMPUTED_VALUE"""),3)</f>
        <v>3</v>
      </c>
      <c r="AW40" s="4">
        <f ca="1">IFERROR(__xludf.DUMMYFUNCTION("""COMPUTED_VALUE"""),3)</f>
        <v>3</v>
      </c>
      <c r="AX40" s="4">
        <f ca="1">IFERROR(__xludf.DUMMYFUNCTION("""COMPUTED_VALUE"""),5)</f>
        <v>5</v>
      </c>
      <c r="AY40" s="4">
        <f ca="1">IFERROR(__xludf.DUMMYFUNCTION("""COMPUTED_VALUE"""),4)</f>
        <v>4</v>
      </c>
      <c r="AZ40" s="4">
        <f ca="1">IFERROR(__xludf.DUMMYFUNCTION("""COMPUTED_VALUE"""),4)</f>
        <v>4</v>
      </c>
      <c r="BA40" s="4">
        <f ca="1">IFERROR(__xludf.DUMMYFUNCTION("""COMPUTED_VALUE"""),4)</f>
        <v>4</v>
      </c>
      <c r="BB40" s="4">
        <f ca="1">IFERROR(__xludf.DUMMYFUNCTION("""COMPUTED_VALUE"""),3)</f>
        <v>3</v>
      </c>
      <c r="BC40" s="4">
        <f ca="1">IFERROR(__xludf.DUMMYFUNCTION("""COMPUTED_VALUE"""),3)</f>
        <v>3</v>
      </c>
      <c r="BD40" s="4">
        <f ca="1">IFERROR(__xludf.DUMMYFUNCTION("""COMPUTED_VALUE"""),3)</f>
        <v>3</v>
      </c>
      <c r="BE40" s="4">
        <f ca="1">IFERROR(__xludf.DUMMYFUNCTION("""COMPUTED_VALUE"""),4)</f>
        <v>4</v>
      </c>
      <c r="BF40" s="4">
        <f ca="1">IFERROR(__xludf.DUMMYFUNCTION("""COMPUTED_VALUE"""),4)</f>
        <v>4</v>
      </c>
      <c r="BG40" s="4">
        <f ca="1">IFERROR(__xludf.DUMMYFUNCTION("""COMPUTED_VALUE"""),4)</f>
        <v>4</v>
      </c>
      <c r="BH40" s="4">
        <f ca="1">IFERROR(__xludf.DUMMYFUNCTION("""COMPUTED_VALUE"""),4)</f>
        <v>4</v>
      </c>
      <c r="BI40" s="4">
        <f ca="1">IFERROR(__xludf.DUMMYFUNCTION("""COMPUTED_VALUE"""),4)</f>
        <v>4</v>
      </c>
      <c r="BJ40" s="4">
        <f ca="1">IFERROR(__xludf.DUMMYFUNCTION("""COMPUTED_VALUE"""),4)</f>
        <v>4</v>
      </c>
      <c r="BK40" s="4">
        <f ca="1">IFERROR(__xludf.DUMMYFUNCTION("""COMPUTED_VALUE"""),4)</f>
        <v>4</v>
      </c>
      <c r="BL40" s="4">
        <f ca="1">IFERROR(__xludf.DUMMYFUNCTION("""COMPUTED_VALUE"""),4)</f>
        <v>4</v>
      </c>
      <c r="BM40" s="4">
        <f ca="1">IFERROR(__xludf.DUMMYFUNCTION("""COMPUTED_VALUE"""),4)</f>
        <v>4</v>
      </c>
      <c r="BN40" s="4">
        <f ca="1">IFERROR(__xludf.DUMMYFUNCTION("""COMPUTED_VALUE"""),4)</f>
        <v>4</v>
      </c>
      <c r="BO40" s="4">
        <f ca="1">IFERROR(__xludf.DUMMYFUNCTION("""COMPUTED_VALUE"""),4)</f>
        <v>4</v>
      </c>
      <c r="BP40" s="4">
        <f ca="1">IFERROR(__xludf.DUMMYFUNCTION("""COMPUTED_VALUE"""),4)</f>
        <v>4</v>
      </c>
    </row>
    <row r="41" spans="1:68" x14ac:dyDescent="0.25">
      <c r="A41" s="4" t="str">
        <f ca="1">IFERROR(__xludf.DUMMYFUNCTION("""COMPUTED_VALUE"""),"2_ABaOnuenRQxM0CB9LWkoWii2SIaFJGq-exKvLlRZZKTGKrQxdgaHnQPmoWzRxHSP2A")</f>
        <v>2_ABaOnuenRQxM0CB9LWkoWii2SIaFJGq-exKvLlRZZKTGKrQxdgaHnQPmoWzRxHSP2A</v>
      </c>
      <c r="B41" s="5">
        <f ca="1">IFERROR(__xludf.DUMMYFUNCTION("""COMPUTED_VALUE"""),45967.4771152546)</f>
        <v>45967.477115254602</v>
      </c>
      <c r="C41" s="4" t="str">
        <f ca="1">IFERROR(__xludf.DUMMYFUNCTION("""COMPUTED_VALUE"""),"PHẠM ĐỨC THUẬN")</f>
        <v>PHẠM ĐỨC THUẬN</v>
      </c>
      <c r="D41" s="4" t="str">
        <f ca="1">IFERROR(__xludf.DUMMYFUNCTION("""COMPUTED_VALUE"""),"Nam")</f>
        <v>Nam</v>
      </c>
      <c r="E41" s="4" t="str">
        <f ca="1">IFERROR(__xludf.DUMMYFUNCTION("""COMPUTED_VALUE"""),"CÔNG TY TNHH KIỂM TOÁN ĐẠI TÍN")</f>
        <v>CÔNG TY TNHH KIỂM TOÁN ĐẠI TÍN</v>
      </c>
      <c r="F41" s="4" t="str">
        <f ca="1">IFERROR(__xludf.DUMMYFUNCTION("""COMPUTED_VALUE"""),"Chứng chỉ Kiểm toán viên")</f>
        <v>Chứng chỉ Kiểm toán viên</v>
      </c>
      <c r="G41" s="4" t="str">
        <f ca="1">IFERROR(__xludf.DUMMYFUNCTION("""COMPUTED_VALUE"""),"Trên 10 đến 15 năm")</f>
        <v>Trên 10 đến 15 năm</v>
      </c>
      <c r="H41" s="4" t="str">
        <f ca="1">IFERROR(__xludf.DUMMYFUNCTION("""COMPUTED_VALUE"""),"Ban giám đốc")</f>
        <v>Ban giám đốc</v>
      </c>
      <c r="I41" s="4">
        <f ca="1">IFERROR(__xludf.DUMMYFUNCTION("""COMPUTED_VALUE"""),5)</f>
        <v>5</v>
      </c>
      <c r="J41" s="4">
        <f ca="1">IFERROR(__xludf.DUMMYFUNCTION("""COMPUTED_VALUE"""),5)</f>
        <v>5</v>
      </c>
      <c r="K41" s="4">
        <f ca="1">IFERROR(__xludf.DUMMYFUNCTION("""COMPUTED_VALUE"""),5)</f>
        <v>5</v>
      </c>
      <c r="L41" s="4">
        <f ca="1">IFERROR(__xludf.DUMMYFUNCTION("""COMPUTED_VALUE"""),5)</f>
        <v>5</v>
      </c>
      <c r="M41" s="4">
        <f ca="1">IFERROR(__xludf.DUMMYFUNCTION("""COMPUTED_VALUE"""),5)</f>
        <v>5</v>
      </c>
      <c r="N41" s="4">
        <f ca="1">IFERROR(__xludf.DUMMYFUNCTION("""COMPUTED_VALUE"""),4)</f>
        <v>4</v>
      </c>
      <c r="O41" s="4">
        <f ca="1">IFERROR(__xludf.DUMMYFUNCTION("""COMPUTED_VALUE"""),4)</f>
        <v>4</v>
      </c>
      <c r="P41" s="4">
        <f ca="1">IFERROR(__xludf.DUMMYFUNCTION("""COMPUTED_VALUE"""),5)</f>
        <v>5</v>
      </c>
      <c r="Q41" s="4">
        <f ca="1">IFERROR(__xludf.DUMMYFUNCTION("""COMPUTED_VALUE"""),5)</f>
        <v>5</v>
      </c>
      <c r="R41" s="4">
        <f ca="1">IFERROR(__xludf.DUMMYFUNCTION("""COMPUTED_VALUE"""),5)</f>
        <v>5</v>
      </c>
      <c r="S41" s="4">
        <f ca="1">IFERROR(__xludf.DUMMYFUNCTION("""COMPUTED_VALUE"""),5)</f>
        <v>5</v>
      </c>
      <c r="T41" s="4">
        <f ca="1">IFERROR(__xludf.DUMMYFUNCTION("""COMPUTED_VALUE"""),5)</f>
        <v>5</v>
      </c>
      <c r="U41" s="4">
        <f ca="1">IFERROR(__xludf.DUMMYFUNCTION("""COMPUTED_VALUE"""),5)</f>
        <v>5</v>
      </c>
      <c r="V41" s="4">
        <f ca="1">IFERROR(__xludf.DUMMYFUNCTION("""COMPUTED_VALUE"""),5)</f>
        <v>5</v>
      </c>
      <c r="W41" s="4">
        <f ca="1">IFERROR(__xludf.DUMMYFUNCTION("""COMPUTED_VALUE"""),5)</f>
        <v>5</v>
      </c>
      <c r="X41" s="4">
        <f ca="1">IFERROR(__xludf.DUMMYFUNCTION("""COMPUTED_VALUE"""),5)</f>
        <v>5</v>
      </c>
      <c r="Y41" s="4">
        <f ca="1">IFERROR(__xludf.DUMMYFUNCTION("""COMPUTED_VALUE"""),5)</f>
        <v>5</v>
      </c>
      <c r="Z41" s="4">
        <f ca="1">IFERROR(__xludf.DUMMYFUNCTION("""COMPUTED_VALUE"""),5)</f>
        <v>5</v>
      </c>
      <c r="AA41" s="4">
        <f ca="1">IFERROR(__xludf.DUMMYFUNCTION("""COMPUTED_VALUE"""),5)</f>
        <v>5</v>
      </c>
      <c r="AB41" s="4">
        <f ca="1">IFERROR(__xludf.DUMMYFUNCTION("""COMPUTED_VALUE"""),5)</f>
        <v>5</v>
      </c>
      <c r="AC41" s="4">
        <f ca="1">IFERROR(__xludf.DUMMYFUNCTION("""COMPUTED_VALUE"""),4)</f>
        <v>4</v>
      </c>
      <c r="AD41" s="4">
        <f ca="1">IFERROR(__xludf.DUMMYFUNCTION("""COMPUTED_VALUE"""),4)</f>
        <v>4</v>
      </c>
      <c r="AE41" s="4">
        <f ca="1">IFERROR(__xludf.DUMMYFUNCTION("""COMPUTED_VALUE"""),5)</f>
        <v>5</v>
      </c>
      <c r="AF41" s="4">
        <f ca="1">IFERROR(__xludf.DUMMYFUNCTION("""COMPUTED_VALUE"""),5)</f>
        <v>5</v>
      </c>
      <c r="AG41" s="4">
        <f ca="1">IFERROR(__xludf.DUMMYFUNCTION("""COMPUTED_VALUE"""),5)</f>
        <v>5</v>
      </c>
      <c r="AH41" s="4">
        <f ca="1">IFERROR(__xludf.DUMMYFUNCTION("""COMPUTED_VALUE"""),5)</f>
        <v>5</v>
      </c>
      <c r="AI41" s="4">
        <f ca="1">IFERROR(__xludf.DUMMYFUNCTION("""COMPUTED_VALUE"""),4)</f>
        <v>4</v>
      </c>
      <c r="AJ41" s="4">
        <f ca="1">IFERROR(__xludf.DUMMYFUNCTION("""COMPUTED_VALUE"""),5)</f>
        <v>5</v>
      </c>
      <c r="AK41" s="4">
        <f ca="1">IFERROR(__xludf.DUMMYFUNCTION("""COMPUTED_VALUE"""),5)</f>
        <v>5</v>
      </c>
      <c r="AL41" s="4">
        <f ca="1">IFERROR(__xludf.DUMMYFUNCTION("""COMPUTED_VALUE"""),5)</f>
        <v>5</v>
      </c>
      <c r="AM41" s="4">
        <f ca="1">IFERROR(__xludf.DUMMYFUNCTION("""COMPUTED_VALUE"""),5)</f>
        <v>5</v>
      </c>
      <c r="AN41" s="4">
        <f ca="1">IFERROR(__xludf.DUMMYFUNCTION("""COMPUTED_VALUE"""),5)</f>
        <v>5</v>
      </c>
      <c r="AO41" s="4">
        <f ca="1">IFERROR(__xludf.DUMMYFUNCTION("""COMPUTED_VALUE"""),4)</f>
        <v>4</v>
      </c>
      <c r="AP41" s="4">
        <f ca="1">IFERROR(__xludf.DUMMYFUNCTION("""COMPUTED_VALUE"""),4)</f>
        <v>4</v>
      </c>
      <c r="AQ41" s="4">
        <f ca="1">IFERROR(__xludf.DUMMYFUNCTION("""COMPUTED_VALUE"""),5)</f>
        <v>5</v>
      </c>
      <c r="AR41" s="4">
        <f ca="1">IFERROR(__xludf.DUMMYFUNCTION("""COMPUTED_VALUE"""),4)</f>
        <v>4</v>
      </c>
      <c r="AS41" s="4">
        <f ca="1">IFERROR(__xludf.DUMMYFUNCTION("""COMPUTED_VALUE"""),4)</f>
        <v>4</v>
      </c>
      <c r="AT41" s="4">
        <f ca="1">IFERROR(__xludf.DUMMYFUNCTION("""COMPUTED_VALUE"""),4)</f>
        <v>4</v>
      </c>
      <c r="AU41" s="4">
        <f ca="1">IFERROR(__xludf.DUMMYFUNCTION("""COMPUTED_VALUE"""),5)</f>
        <v>5</v>
      </c>
      <c r="AV41" s="4">
        <f ca="1">IFERROR(__xludf.DUMMYFUNCTION("""COMPUTED_VALUE"""),5)</f>
        <v>5</v>
      </c>
      <c r="AW41" s="4">
        <f ca="1">IFERROR(__xludf.DUMMYFUNCTION("""COMPUTED_VALUE"""),5)</f>
        <v>5</v>
      </c>
      <c r="AX41" s="4">
        <f ca="1">IFERROR(__xludf.DUMMYFUNCTION("""COMPUTED_VALUE"""),5)</f>
        <v>5</v>
      </c>
      <c r="AY41" s="4">
        <f ca="1">IFERROR(__xludf.DUMMYFUNCTION("""COMPUTED_VALUE"""),5)</f>
        <v>5</v>
      </c>
      <c r="AZ41" s="4">
        <f ca="1">IFERROR(__xludf.DUMMYFUNCTION("""COMPUTED_VALUE"""),5)</f>
        <v>5</v>
      </c>
      <c r="BA41" s="4">
        <f ca="1">IFERROR(__xludf.DUMMYFUNCTION("""COMPUTED_VALUE"""),5)</f>
        <v>5</v>
      </c>
      <c r="BB41" s="4">
        <f ca="1">IFERROR(__xludf.DUMMYFUNCTION("""COMPUTED_VALUE"""),4)</f>
        <v>4</v>
      </c>
      <c r="BC41" s="4">
        <f ca="1">IFERROR(__xludf.DUMMYFUNCTION("""COMPUTED_VALUE"""),5)</f>
        <v>5</v>
      </c>
      <c r="BD41" s="4">
        <f ca="1">IFERROR(__xludf.DUMMYFUNCTION("""COMPUTED_VALUE"""),5)</f>
        <v>5</v>
      </c>
      <c r="BE41" s="4">
        <f ca="1">IFERROR(__xludf.DUMMYFUNCTION("""COMPUTED_VALUE"""),5)</f>
        <v>5</v>
      </c>
      <c r="BF41" s="4">
        <f ca="1">IFERROR(__xludf.DUMMYFUNCTION("""COMPUTED_VALUE"""),5)</f>
        <v>5</v>
      </c>
      <c r="BG41" s="4">
        <f ca="1">IFERROR(__xludf.DUMMYFUNCTION("""COMPUTED_VALUE"""),5)</f>
        <v>5</v>
      </c>
      <c r="BH41" s="4">
        <f ca="1">IFERROR(__xludf.DUMMYFUNCTION("""COMPUTED_VALUE"""),4)</f>
        <v>4</v>
      </c>
      <c r="BI41" s="4">
        <f ca="1">IFERROR(__xludf.DUMMYFUNCTION("""COMPUTED_VALUE"""),4)</f>
        <v>4</v>
      </c>
      <c r="BJ41" s="4">
        <f ca="1">IFERROR(__xludf.DUMMYFUNCTION("""COMPUTED_VALUE"""),5)</f>
        <v>5</v>
      </c>
      <c r="BK41" s="4">
        <f ca="1">IFERROR(__xludf.DUMMYFUNCTION("""COMPUTED_VALUE"""),5)</f>
        <v>5</v>
      </c>
      <c r="BL41" s="4">
        <f ca="1">IFERROR(__xludf.DUMMYFUNCTION("""COMPUTED_VALUE"""),5)</f>
        <v>5</v>
      </c>
      <c r="BM41" s="4">
        <f ca="1">IFERROR(__xludf.DUMMYFUNCTION("""COMPUTED_VALUE"""),4)</f>
        <v>4</v>
      </c>
      <c r="BN41" s="4">
        <f ca="1">IFERROR(__xludf.DUMMYFUNCTION("""COMPUTED_VALUE"""),5)</f>
        <v>5</v>
      </c>
      <c r="BO41" s="4">
        <f ca="1">IFERROR(__xludf.DUMMYFUNCTION("""COMPUTED_VALUE"""),4)</f>
        <v>4</v>
      </c>
      <c r="BP41" s="4">
        <f ca="1">IFERROR(__xludf.DUMMYFUNCTION("""COMPUTED_VALUE"""),3)</f>
        <v>3</v>
      </c>
    </row>
    <row r="42" spans="1:68" x14ac:dyDescent="0.25">
      <c r="A42" s="4" t="str">
        <f ca="1">IFERROR(__xludf.DUMMYFUNCTION("""COMPUTED_VALUE"""),"2_ABaOnucYCCxm7HVI56CvF87B_A4HYRCnwAfVwPCwIAzkWmE4R9iqXT90MM5mvxlBTw")</f>
        <v>2_ABaOnucYCCxm7HVI56CvF87B_A4HYRCnwAfVwPCwIAzkWmE4R9iqXT90MM5mvxlBTw</v>
      </c>
      <c r="B42" s="5">
        <f ca="1">IFERROR(__xludf.DUMMYFUNCTION("""COMPUTED_VALUE"""),45967.5147123148)</f>
        <v>45967.514712314798</v>
      </c>
      <c r="C42" s="4" t="str">
        <f ca="1">IFERROR(__xludf.DUMMYFUNCTION("""COMPUTED_VALUE"""),"Trần Nam Giang")</f>
        <v>Trần Nam Giang</v>
      </c>
      <c r="D42" s="4" t="str">
        <f ca="1">IFERROR(__xludf.DUMMYFUNCTION("""COMPUTED_VALUE"""),"Nam")</f>
        <v>Nam</v>
      </c>
      <c r="E42" s="4" t="str">
        <f ca="1">IFERROR(__xludf.DUMMYFUNCTION("""COMPUTED_VALUE"""),"RSM Việt Nam")</f>
        <v>RSM Việt Nam</v>
      </c>
      <c r="F42" s="4" t="str">
        <f ca="1">IFERROR(__xludf.DUMMYFUNCTION("""COMPUTED_VALUE"""),"Đại học, Kế toán trưởng")</f>
        <v>Đại học, Kế toán trưởng</v>
      </c>
      <c r="G42" s="4" t="str">
        <f ca="1">IFERROR(__xludf.DUMMYFUNCTION("""COMPUTED_VALUE"""),"Trên 5 đến 10 năm")</f>
        <v>Trên 5 đến 10 năm</v>
      </c>
      <c r="H42" s="4" t="str">
        <f ca="1">IFERROR(__xludf.DUMMYFUNCTION("""COMPUTED_VALUE"""),"Kiểm toán viên/Trưởng nhóm")</f>
        <v>Kiểm toán viên/Trưởng nhóm</v>
      </c>
      <c r="I42" s="4">
        <f ca="1">IFERROR(__xludf.DUMMYFUNCTION("""COMPUTED_VALUE"""),5)</f>
        <v>5</v>
      </c>
      <c r="J42" s="4">
        <f ca="1">IFERROR(__xludf.DUMMYFUNCTION("""COMPUTED_VALUE"""),5)</f>
        <v>5</v>
      </c>
      <c r="K42" s="4">
        <f ca="1">IFERROR(__xludf.DUMMYFUNCTION("""COMPUTED_VALUE"""),5)</f>
        <v>5</v>
      </c>
      <c r="L42" s="4">
        <f ca="1">IFERROR(__xludf.DUMMYFUNCTION("""COMPUTED_VALUE"""),5)</f>
        <v>5</v>
      </c>
      <c r="M42" s="4">
        <f ca="1">IFERROR(__xludf.DUMMYFUNCTION("""COMPUTED_VALUE"""),5)</f>
        <v>5</v>
      </c>
      <c r="N42" s="4">
        <f ca="1">IFERROR(__xludf.DUMMYFUNCTION("""COMPUTED_VALUE"""),4)</f>
        <v>4</v>
      </c>
      <c r="O42" s="4">
        <f ca="1">IFERROR(__xludf.DUMMYFUNCTION("""COMPUTED_VALUE"""),5)</f>
        <v>5</v>
      </c>
      <c r="P42" s="4">
        <f ca="1">IFERROR(__xludf.DUMMYFUNCTION("""COMPUTED_VALUE"""),5)</f>
        <v>5</v>
      </c>
      <c r="Q42" s="4">
        <f ca="1">IFERROR(__xludf.DUMMYFUNCTION("""COMPUTED_VALUE"""),5)</f>
        <v>5</v>
      </c>
      <c r="R42" s="4">
        <f ca="1">IFERROR(__xludf.DUMMYFUNCTION("""COMPUTED_VALUE"""),4)</f>
        <v>4</v>
      </c>
      <c r="S42" s="4">
        <f ca="1">IFERROR(__xludf.DUMMYFUNCTION("""COMPUTED_VALUE"""),5)</f>
        <v>5</v>
      </c>
      <c r="T42" s="4">
        <f ca="1">IFERROR(__xludf.DUMMYFUNCTION("""COMPUTED_VALUE"""),5)</f>
        <v>5</v>
      </c>
      <c r="U42" s="4">
        <f ca="1">IFERROR(__xludf.DUMMYFUNCTION("""COMPUTED_VALUE"""),5)</f>
        <v>5</v>
      </c>
      <c r="V42" s="4">
        <f ca="1">IFERROR(__xludf.DUMMYFUNCTION("""COMPUTED_VALUE"""),5)</f>
        <v>5</v>
      </c>
      <c r="W42" s="4">
        <f ca="1">IFERROR(__xludf.DUMMYFUNCTION("""COMPUTED_VALUE"""),4)</f>
        <v>4</v>
      </c>
      <c r="X42" s="4">
        <f ca="1">IFERROR(__xludf.DUMMYFUNCTION("""COMPUTED_VALUE"""),4)</f>
        <v>4</v>
      </c>
      <c r="Y42" s="4">
        <f ca="1">IFERROR(__xludf.DUMMYFUNCTION("""COMPUTED_VALUE"""),4)</f>
        <v>4</v>
      </c>
      <c r="Z42" s="4">
        <f ca="1">IFERROR(__xludf.DUMMYFUNCTION("""COMPUTED_VALUE"""),3)</f>
        <v>3</v>
      </c>
      <c r="AA42" s="4">
        <f ca="1">IFERROR(__xludf.DUMMYFUNCTION("""COMPUTED_VALUE"""),3)</f>
        <v>3</v>
      </c>
      <c r="AB42" s="4">
        <f ca="1">IFERROR(__xludf.DUMMYFUNCTION("""COMPUTED_VALUE"""),5)</f>
        <v>5</v>
      </c>
      <c r="AC42" s="4">
        <f ca="1">IFERROR(__xludf.DUMMYFUNCTION("""COMPUTED_VALUE"""),5)</f>
        <v>5</v>
      </c>
      <c r="AD42" s="4">
        <f ca="1">IFERROR(__xludf.DUMMYFUNCTION("""COMPUTED_VALUE"""),4)</f>
        <v>4</v>
      </c>
      <c r="AE42" s="4">
        <f ca="1">IFERROR(__xludf.DUMMYFUNCTION("""COMPUTED_VALUE"""),5)</f>
        <v>5</v>
      </c>
      <c r="AF42" s="4">
        <f ca="1">IFERROR(__xludf.DUMMYFUNCTION("""COMPUTED_VALUE"""),4)</f>
        <v>4</v>
      </c>
      <c r="AG42" s="4">
        <f ca="1">IFERROR(__xludf.DUMMYFUNCTION("""COMPUTED_VALUE"""),4)</f>
        <v>4</v>
      </c>
      <c r="AH42" s="4">
        <f ca="1">IFERROR(__xludf.DUMMYFUNCTION("""COMPUTED_VALUE"""),4)</f>
        <v>4</v>
      </c>
      <c r="AI42" s="4">
        <f ca="1">IFERROR(__xludf.DUMMYFUNCTION("""COMPUTED_VALUE"""),3)</f>
        <v>3</v>
      </c>
      <c r="AJ42" s="4">
        <f ca="1">IFERROR(__xludf.DUMMYFUNCTION("""COMPUTED_VALUE"""),4)</f>
        <v>4</v>
      </c>
      <c r="AK42" s="4">
        <f ca="1">IFERROR(__xludf.DUMMYFUNCTION("""COMPUTED_VALUE"""),5)</f>
        <v>5</v>
      </c>
      <c r="AL42" s="4">
        <f ca="1">IFERROR(__xludf.DUMMYFUNCTION("""COMPUTED_VALUE"""),5)</f>
        <v>5</v>
      </c>
      <c r="AM42" s="4">
        <f ca="1">IFERROR(__xludf.DUMMYFUNCTION("""COMPUTED_VALUE"""),5)</f>
        <v>5</v>
      </c>
      <c r="AN42" s="4">
        <f ca="1">IFERROR(__xludf.DUMMYFUNCTION("""COMPUTED_VALUE"""),5)</f>
        <v>5</v>
      </c>
      <c r="AO42" s="4">
        <f ca="1">IFERROR(__xludf.DUMMYFUNCTION("""COMPUTED_VALUE"""),5)</f>
        <v>5</v>
      </c>
      <c r="AP42" s="4">
        <f ca="1">IFERROR(__xludf.DUMMYFUNCTION("""COMPUTED_VALUE"""),5)</f>
        <v>5</v>
      </c>
      <c r="AQ42" s="4">
        <f ca="1">IFERROR(__xludf.DUMMYFUNCTION("""COMPUTED_VALUE"""),5)</f>
        <v>5</v>
      </c>
      <c r="AR42" s="4">
        <f ca="1">IFERROR(__xludf.DUMMYFUNCTION("""COMPUTED_VALUE"""),5)</f>
        <v>5</v>
      </c>
      <c r="AS42" s="4">
        <f ca="1">IFERROR(__xludf.DUMMYFUNCTION("""COMPUTED_VALUE"""),5)</f>
        <v>5</v>
      </c>
      <c r="AT42" s="4">
        <f ca="1">IFERROR(__xludf.DUMMYFUNCTION("""COMPUTED_VALUE"""),4)</f>
        <v>4</v>
      </c>
      <c r="AU42" s="4">
        <f ca="1">IFERROR(__xludf.DUMMYFUNCTION("""COMPUTED_VALUE"""),5)</f>
        <v>5</v>
      </c>
      <c r="AV42" s="4">
        <f ca="1">IFERROR(__xludf.DUMMYFUNCTION("""COMPUTED_VALUE"""),5)</f>
        <v>5</v>
      </c>
      <c r="AW42" s="4">
        <f ca="1">IFERROR(__xludf.DUMMYFUNCTION("""COMPUTED_VALUE"""),5)</f>
        <v>5</v>
      </c>
      <c r="AX42" s="4">
        <f ca="1">IFERROR(__xludf.DUMMYFUNCTION("""COMPUTED_VALUE"""),5)</f>
        <v>5</v>
      </c>
      <c r="AY42" s="4">
        <f ca="1">IFERROR(__xludf.DUMMYFUNCTION("""COMPUTED_VALUE"""),5)</f>
        <v>5</v>
      </c>
      <c r="AZ42" s="4">
        <f ca="1">IFERROR(__xludf.DUMMYFUNCTION("""COMPUTED_VALUE"""),5)</f>
        <v>5</v>
      </c>
      <c r="BA42" s="4">
        <f ca="1">IFERROR(__xludf.DUMMYFUNCTION("""COMPUTED_VALUE"""),5)</f>
        <v>5</v>
      </c>
      <c r="BB42" s="4">
        <f ca="1">IFERROR(__xludf.DUMMYFUNCTION("""COMPUTED_VALUE"""),5)</f>
        <v>5</v>
      </c>
      <c r="BC42" s="4">
        <f ca="1">IFERROR(__xludf.DUMMYFUNCTION("""COMPUTED_VALUE"""),3)</f>
        <v>3</v>
      </c>
      <c r="BD42" s="4">
        <f ca="1">IFERROR(__xludf.DUMMYFUNCTION("""COMPUTED_VALUE"""),3)</f>
        <v>3</v>
      </c>
      <c r="BE42" s="4">
        <f ca="1">IFERROR(__xludf.DUMMYFUNCTION("""COMPUTED_VALUE"""),3)</f>
        <v>3</v>
      </c>
      <c r="BF42" s="4">
        <f ca="1">IFERROR(__xludf.DUMMYFUNCTION("""COMPUTED_VALUE"""),4)</f>
        <v>4</v>
      </c>
      <c r="BG42" s="4">
        <f ca="1">IFERROR(__xludf.DUMMYFUNCTION("""COMPUTED_VALUE"""),2)</f>
        <v>2</v>
      </c>
      <c r="BH42" s="4">
        <f ca="1">IFERROR(__xludf.DUMMYFUNCTION("""COMPUTED_VALUE"""),5)</f>
        <v>5</v>
      </c>
      <c r="BI42" s="4">
        <f ca="1">IFERROR(__xludf.DUMMYFUNCTION("""COMPUTED_VALUE"""),5)</f>
        <v>5</v>
      </c>
      <c r="BJ42" s="4">
        <f ca="1">IFERROR(__xludf.DUMMYFUNCTION("""COMPUTED_VALUE"""),5)</f>
        <v>5</v>
      </c>
      <c r="BK42" s="4">
        <f ca="1">IFERROR(__xludf.DUMMYFUNCTION("""COMPUTED_VALUE"""),5)</f>
        <v>5</v>
      </c>
      <c r="BL42" s="4">
        <f ca="1">IFERROR(__xludf.DUMMYFUNCTION("""COMPUTED_VALUE"""),5)</f>
        <v>5</v>
      </c>
      <c r="BM42" s="4">
        <f ca="1">IFERROR(__xludf.DUMMYFUNCTION("""COMPUTED_VALUE"""),5)</f>
        <v>5</v>
      </c>
      <c r="BN42" s="4">
        <f ca="1">IFERROR(__xludf.DUMMYFUNCTION("""COMPUTED_VALUE"""),5)</f>
        <v>5</v>
      </c>
      <c r="BO42" s="4">
        <f ca="1">IFERROR(__xludf.DUMMYFUNCTION("""COMPUTED_VALUE"""),5)</f>
        <v>5</v>
      </c>
      <c r="BP42" s="4">
        <f ca="1">IFERROR(__xludf.DUMMYFUNCTION("""COMPUTED_VALUE"""),5)</f>
        <v>5</v>
      </c>
    </row>
    <row r="43" spans="1:68" x14ac:dyDescent="0.25">
      <c r="A43" s="4" t="str">
        <f ca="1">IFERROR(__xludf.DUMMYFUNCTION("""COMPUTED_VALUE"""),"2_ABaOnuehIaAj-iB9ofLl0uqcTnOZmfoesY6UnFv-4GHVfF5-JgKaPf2F0T_jMUZJ5Q")</f>
        <v>2_ABaOnuehIaAj-iB9ofLl0uqcTnOZmfoesY6UnFv-4GHVfF5-JgKaPf2F0T_jMUZJ5Q</v>
      </c>
      <c r="B43" s="5">
        <f ca="1">IFERROR(__xludf.DUMMYFUNCTION("""COMPUTED_VALUE"""),45967.5793187615)</f>
        <v>45967.579318761498</v>
      </c>
      <c r="C43" s="4" t="str">
        <f ca="1">IFERROR(__xludf.DUMMYFUNCTION("""COMPUTED_VALUE"""),"Bùi Thị Trang Đài")</f>
        <v>Bùi Thị Trang Đài</v>
      </c>
      <c r="D43" s="4" t="str">
        <f ca="1">IFERROR(__xludf.DUMMYFUNCTION("""COMPUTED_VALUE"""),"Nữ")</f>
        <v>Nữ</v>
      </c>
      <c r="E43" s="4" t="str">
        <f ca="1">IFERROR(__xludf.DUMMYFUNCTION("""COMPUTED_VALUE"""),"Công ty TNHH Kiểm toán FAC- CN Nha Trang")</f>
        <v>Công ty TNHH Kiểm toán FAC- CN Nha Trang</v>
      </c>
      <c r="F43" s="4" t="str">
        <f ca="1">IFERROR(__xludf.DUMMYFUNCTION("""COMPUTED_VALUE"""),"Chứng chỉ Kiểm toán viên")</f>
        <v>Chứng chỉ Kiểm toán viên</v>
      </c>
      <c r="G43" s="4" t="str">
        <f ca="1">IFERROR(__xludf.DUMMYFUNCTION("""COMPUTED_VALUE"""),"Trên 10 đến 15 năm")</f>
        <v>Trên 10 đến 15 năm</v>
      </c>
      <c r="H43" s="4" t="str">
        <f ca="1">IFERROR(__xludf.DUMMYFUNCTION("""COMPUTED_VALUE"""),"Kiểm toán viên/Trưởng nhóm")</f>
        <v>Kiểm toán viên/Trưởng nhóm</v>
      </c>
      <c r="I43" s="4">
        <f ca="1">IFERROR(__xludf.DUMMYFUNCTION("""COMPUTED_VALUE"""),4)</f>
        <v>4</v>
      </c>
      <c r="J43" s="4">
        <f ca="1">IFERROR(__xludf.DUMMYFUNCTION("""COMPUTED_VALUE"""),4)</f>
        <v>4</v>
      </c>
      <c r="K43" s="4">
        <f ca="1">IFERROR(__xludf.DUMMYFUNCTION("""COMPUTED_VALUE"""),4)</f>
        <v>4</v>
      </c>
      <c r="L43" s="4">
        <f ca="1">IFERROR(__xludf.DUMMYFUNCTION("""COMPUTED_VALUE"""),4)</f>
        <v>4</v>
      </c>
      <c r="M43" s="4">
        <f ca="1">IFERROR(__xludf.DUMMYFUNCTION("""COMPUTED_VALUE"""),4)</f>
        <v>4</v>
      </c>
      <c r="N43" s="4">
        <f ca="1">IFERROR(__xludf.DUMMYFUNCTION("""COMPUTED_VALUE"""),3)</f>
        <v>3</v>
      </c>
      <c r="O43" s="4">
        <f ca="1">IFERROR(__xludf.DUMMYFUNCTION("""COMPUTED_VALUE"""),3)</f>
        <v>3</v>
      </c>
      <c r="P43" s="4">
        <f ca="1">IFERROR(__xludf.DUMMYFUNCTION("""COMPUTED_VALUE"""),4)</f>
        <v>4</v>
      </c>
      <c r="Q43" s="4">
        <f ca="1">IFERROR(__xludf.DUMMYFUNCTION("""COMPUTED_VALUE"""),4)</f>
        <v>4</v>
      </c>
      <c r="R43" s="4">
        <f ca="1">IFERROR(__xludf.DUMMYFUNCTION("""COMPUTED_VALUE"""),4)</f>
        <v>4</v>
      </c>
      <c r="S43" s="4">
        <f ca="1">IFERROR(__xludf.DUMMYFUNCTION("""COMPUTED_VALUE"""),4)</f>
        <v>4</v>
      </c>
      <c r="T43" s="4">
        <f ca="1">IFERROR(__xludf.DUMMYFUNCTION("""COMPUTED_VALUE"""),4)</f>
        <v>4</v>
      </c>
      <c r="U43" s="4">
        <f ca="1">IFERROR(__xludf.DUMMYFUNCTION("""COMPUTED_VALUE"""),4)</f>
        <v>4</v>
      </c>
      <c r="V43" s="4">
        <f ca="1">IFERROR(__xludf.DUMMYFUNCTION("""COMPUTED_VALUE"""),4)</f>
        <v>4</v>
      </c>
      <c r="W43" s="4">
        <f ca="1">IFERROR(__xludf.DUMMYFUNCTION("""COMPUTED_VALUE"""),4)</f>
        <v>4</v>
      </c>
      <c r="X43" s="4">
        <f ca="1">IFERROR(__xludf.DUMMYFUNCTION("""COMPUTED_VALUE"""),3)</f>
        <v>3</v>
      </c>
      <c r="Y43" s="4">
        <f ca="1">IFERROR(__xludf.DUMMYFUNCTION("""COMPUTED_VALUE"""),3)</f>
        <v>3</v>
      </c>
      <c r="Z43" s="4">
        <f ca="1">IFERROR(__xludf.DUMMYFUNCTION("""COMPUTED_VALUE"""),3)</f>
        <v>3</v>
      </c>
      <c r="AA43" s="4">
        <f ca="1">IFERROR(__xludf.DUMMYFUNCTION("""COMPUTED_VALUE"""),3)</f>
        <v>3</v>
      </c>
      <c r="AB43" s="4">
        <f ca="1">IFERROR(__xludf.DUMMYFUNCTION("""COMPUTED_VALUE"""),3)</f>
        <v>3</v>
      </c>
      <c r="AC43" s="4">
        <f ca="1">IFERROR(__xludf.DUMMYFUNCTION("""COMPUTED_VALUE"""),4)</f>
        <v>4</v>
      </c>
      <c r="AD43" s="4">
        <f ca="1">IFERROR(__xludf.DUMMYFUNCTION("""COMPUTED_VALUE"""),4)</f>
        <v>4</v>
      </c>
      <c r="AE43" s="4">
        <f ca="1">IFERROR(__xludf.DUMMYFUNCTION("""COMPUTED_VALUE"""),4)</f>
        <v>4</v>
      </c>
      <c r="AF43" s="4">
        <f ca="1">IFERROR(__xludf.DUMMYFUNCTION("""COMPUTED_VALUE"""),4)</f>
        <v>4</v>
      </c>
      <c r="AG43" s="4">
        <f ca="1">IFERROR(__xludf.DUMMYFUNCTION("""COMPUTED_VALUE"""),4)</f>
        <v>4</v>
      </c>
      <c r="AH43" s="4">
        <f ca="1">IFERROR(__xludf.DUMMYFUNCTION("""COMPUTED_VALUE"""),4)</f>
        <v>4</v>
      </c>
      <c r="AI43" s="4">
        <f ca="1">IFERROR(__xludf.DUMMYFUNCTION("""COMPUTED_VALUE"""),4)</f>
        <v>4</v>
      </c>
      <c r="AJ43" s="4">
        <f ca="1">IFERROR(__xludf.DUMMYFUNCTION("""COMPUTED_VALUE"""),4)</f>
        <v>4</v>
      </c>
      <c r="AK43" s="4">
        <f ca="1">IFERROR(__xludf.DUMMYFUNCTION("""COMPUTED_VALUE"""),4)</f>
        <v>4</v>
      </c>
      <c r="AL43" s="4">
        <f ca="1">IFERROR(__xludf.DUMMYFUNCTION("""COMPUTED_VALUE"""),4)</f>
        <v>4</v>
      </c>
      <c r="AM43" s="4">
        <f ca="1">IFERROR(__xludf.DUMMYFUNCTION("""COMPUTED_VALUE"""),3)</f>
        <v>3</v>
      </c>
      <c r="AN43" s="4">
        <f ca="1">IFERROR(__xludf.DUMMYFUNCTION("""COMPUTED_VALUE"""),4)</f>
        <v>4</v>
      </c>
      <c r="AO43" s="4">
        <f ca="1">IFERROR(__xludf.DUMMYFUNCTION("""COMPUTED_VALUE"""),4)</f>
        <v>4</v>
      </c>
      <c r="AP43" s="4">
        <f ca="1">IFERROR(__xludf.DUMMYFUNCTION("""COMPUTED_VALUE"""),4)</f>
        <v>4</v>
      </c>
      <c r="AQ43" s="4">
        <f ca="1">IFERROR(__xludf.DUMMYFUNCTION("""COMPUTED_VALUE"""),4)</f>
        <v>4</v>
      </c>
      <c r="AR43" s="4">
        <f ca="1">IFERROR(__xludf.DUMMYFUNCTION("""COMPUTED_VALUE"""),4)</f>
        <v>4</v>
      </c>
      <c r="AS43" s="4">
        <f ca="1">IFERROR(__xludf.DUMMYFUNCTION("""COMPUTED_VALUE"""),4)</f>
        <v>4</v>
      </c>
      <c r="AT43" s="4">
        <f ca="1">IFERROR(__xludf.DUMMYFUNCTION("""COMPUTED_VALUE"""),4)</f>
        <v>4</v>
      </c>
      <c r="AU43" s="4">
        <f ca="1">IFERROR(__xludf.DUMMYFUNCTION("""COMPUTED_VALUE"""),4)</f>
        <v>4</v>
      </c>
      <c r="AV43" s="4">
        <f ca="1">IFERROR(__xludf.DUMMYFUNCTION("""COMPUTED_VALUE"""),4)</f>
        <v>4</v>
      </c>
      <c r="AW43" s="4">
        <f ca="1">IFERROR(__xludf.DUMMYFUNCTION("""COMPUTED_VALUE"""),4)</f>
        <v>4</v>
      </c>
      <c r="AX43" s="4">
        <f ca="1">IFERROR(__xludf.DUMMYFUNCTION("""COMPUTED_VALUE"""),4)</f>
        <v>4</v>
      </c>
      <c r="AY43" s="4">
        <f ca="1">IFERROR(__xludf.DUMMYFUNCTION("""COMPUTED_VALUE"""),4)</f>
        <v>4</v>
      </c>
      <c r="AZ43" s="4">
        <f ca="1">IFERROR(__xludf.DUMMYFUNCTION("""COMPUTED_VALUE"""),4)</f>
        <v>4</v>
      </c>
      <c r="BA43" s="4">
        <f ca="1">IFERROR(__xludf.DUMMYFUNCTION("""COMPUTED_VALUE"""),4)</f>
        <v>4</v>
      </c>
      <c r="BB43" s="4">
        <f ca="1">IFERROR(__xludf.DUMMYFUNCTION("""COMPUTED_VALUE"""),4)</f>
        <v>4</v>
      </c>
      <c r="BC43" s="4">
        <f ca="1">IFERROR(__xludf.DUMMYFUNCTION("""COMPUTED_VALUE"""),3)</f>
        <v>3</v>
      </c>
      <c r="BD43" s="4">
        <f ca="1">IFERROR(__xludf.DUMMYFUNCTION("""COMPUTED_VALUE"""),3)</f>
        <v>3</v>
      </c>
      <c r="BE43" s="4">
        <f ca="1">IFERROR(__xludf.DUMMYFUNCTION("""COMPUTED_VALUE"""),3)</f>
        <v>3</v>
      </c>
      <c r="BF43" s="4">
        <f ca="1">IFERROR(__xludf.DUMMYFUNCTION("""COMPUTED_VALUE"""),3)</f>
        <v>3</v>
      </c>
      <c r="BG43" s="4">
        <f ca="1">IFERROR(__xludf.DUMMYFUNCTION("""COMPUTED_VALUE"""),3)</f>
        <v>3</v>
      </c>
      <c r="BH43" s="4">
        <f ca="1">IFERROR(__xludf.DUMMYFUNCTION("""COMPUTED_VALUE"""),4)</f>
        <v>4</v>
      </c>
      <c r="BI43" s="4">
        <f ca="1">IFERROR(__xludf.DUMMYFUNCTION("""COMPUTED_VALUE"""),4)</f>
        <v>4</v>
      </c>
      <c r="BJ43" s="4">
        <f ca="1">IFERROR(__xludf.DUMMYFUNCTION("""COMPUTED_VALUE"""),4)</f>
        <v>4</v>
      </c>
      <c r="BK43" s="4">
        <f ca="1">IFERROR(__xludf.DUMMYFUNCTION("""COMPUTED_VALUE"""),4)</f>
        <v>4</v>
      </c>
      <c r="BL43" s="4">
        <f ca="1">IFERROR(__xludf.DUMMYFUNCTION("""COMPUTED_VALUE"""),3)</f>
        <v>3</v>
      </c>
      <c r="BM43" s="4">
        <f ca="1">IFERROR(__xludf.DUMMYFUNCTION("""COMPUTED_VALUE"""),3)</f>
        <v>3</v>
      </c>
      <c r="BN43" s="4">
        <f ca="1">IFERROR(__xludf.DUMMYFUNCTION("""COMPUTED_VALUE"""),4)</f>
        <v>4</v>
      </c>
      <c r="BO43" s="4">
        <f ca="1">IFERROR(__xludf.DUMMYFUNCTION("""COMPUTED_VALUE"""),3)</f>
        <v>3</v>
      </c>
      <c r="BP43" s="4">
        <f ca="1">IFERROR(__xludf.DUMMYFUNCTION("""COMPUTED_VALUE"""),4)</f>
        <v>4</v>
      </c>
    </row>
    <row r="44" spans="1:68" x14ac:dyDescent="0.25">
      <c r="A44" s="4" t="str">
        <f ca="1">IFERROR(__xludf.DUMMYFUNCTION("""COMPUTED_VALUE"""),"2_ABaOnud2_Pxs15G3NG4b0OzxvKuZ2pI5pAXNY-Ohxv-qpg762HYLyQBBmhHzTCBQ8g")</f>
        <v>2_ABaOnud2_Pxs15G3NG4b0OzxvKuZ2pI5pAXNY-Ohxv-qpg762HYLyQBBmhHzTCBQ8g</v>
      </c>
      <c r="B44" s="5">
        <f ca="1">IFERROR(__xludf.DUMMYFUNCTION("""COMPUTED_VALUE"""),45967.5942814004)</f>
        <v>45967.594281400401</v>
      </c>
      <c r="C44" s="4" t="str">
        <f ca="1">IFERROR(__xludf.DUMMYFUNCTION("""COMPUTED_VALUE"""),"Phạm Thị Bích Thuỷ")</f>
        <v>Phạm Thị Bích Thuỷ</v>
      </c>
      <c r="D44" s="4" t="str">
        <f ca="1">IFERROR(__xludf.DUMMYFUNCTION("""COMPUTED_VALUE"""),"Nữ")</f>
        <v>Nữ</v>
      </c>
      <c r="E44" s="4" t="str">
        <f ca="1">IFERROR(__xludf.DUMMYFUNCTION("""COMPUTED_VALUE"""),"Công ty TNHH Kiểm toán CPA VIETNAM")</f>
        <v>Công ty TNHH Kiểm toán CPA VIETNAM</v>
      </c>
      <c r="F44" s="4" t="str">
        <f ca="1">IFERROR(__xludf.DUMMYFUNCTION("""COMPUTED_VALUE"""),"Chứng chỉ Kiểm toán viên")</f>
        <v>Chứng chỉ Kiểm toán viên</v>
      </c>
      <c r="G44" s="4" t="str">
        <f ca="1">IFERROR(__xludf.DUMMYFUNCTION("""COMPUTED_VALUE"""),"Trên 5 đến 10 năm")</f>
        <v>Trên 5 đến 10 năm</v>
      </c>
      <c r="H44" s="4" t="str">
        <f ca="1">IFERROR(__xludf.DUMMYFUNCTION("""COMPUTED_VALUE"""),"Kiểm toán viên/Trưởng nhóm")</f>
        <v>Kiểm toán viên/Trưởng nhóm</v>
      </c>
      <c r="I44" s="4">
        <f ca="1">IFERROR(__xludf.DUMMYFUNCTION("""COMPUTED_VALUE"""),5)</f>
        <v>5</v>
      </c>
      <c r="J44" s="4">
        <f ca="1">IFERROR(__xludf.DUMMYFUNCTION("""COMPUTED_VALUE"""),5)</f>
        <v>5</v>
      </c>
      <c r="K44" s="4">
        <f ca="1">IFERROR(__xludf.DUMMYFUNCTION("""COMPUTED_VALUE"""),5)</f>
        <v>5</v>
      </c>
      <c r="L44" s="4">
        <f ca="1">IFERROR(__xludf.DUMMYFUNCTION("""COMPUTED_VALUE"""),5)</f>
        <v>5</v>
      </c>
      <c r="M44" s="4">
        <f ca="1">IFERROR(__xludf.DUMMYFUNCTION("""COMPUTED_VALUE"""),5)</f>
        <v>5</v>
      </c>
      <c r="N44" s="4">
        <f ca="1">IFERROR(__xludf.DUMMYFUNCTION("""COMPUTED_VALUE"""),3)</f>
        <v>3</v>
      </c>
      <c r="O44" s="4">
        <f ca="1">IFERROR(__xludf.DUMMYFUNCTION("""COMPUTED_VALUE"""),4)</f>
        <v>4</v>
      </c>
      <c r="P44" s="4">
        <f ca="1">IFERROR(__xludf.DUMMYFUNCTION("""COMPUTED_VALUE"""),4)</f>
        <v>4</v>
      </c>
      <c r="Q44" s="4">
        <f ca="1">IFERROR(__xludf.DUMMYFUNCTION("""COMPUTED_VALUE"""),5)</f>
        <v>5</v>
      </c>
      <c r="R44" s="4">
        <f ca="1">IFERROR(__xludf.DUMMYFUNCTION("""COMPUTED_VALUE"""),4)</f>
        <v>4</v>
      </c>
      <c r="S44" s="4">
        <f ca="1">IFERROR(__xludf.DUMMYFUNCTION("""COMPUTED_VALUE"""),4)</f>
        <v>4</v>
      </c>
      <c r="T44" s="4">
        <f ca="1">IFERROR(__xludf.DUMMYFUNCTION("""COMPUTED_VALUE"""),4)</f>
        <v>4</v>
      </c>
      <c r="U44" s="4">
        <f ca="1">IFERROR(__xludf.DUMMYFUNCTION("""COMPUTED_VALUE"""),4)</f>
        <v>4</v>
      </c>
      <c r="V44" s="4">
        <f ca="1">IFERROR(__xludf.DUMMYFUNCTION("""COMPUTED_VALUE"""),4)</f>
        <v>4</v>
      </c>
      <c r="W44" s="4">
        <f ca="1">IFERROR(__xludf.DUMMYFUNCTION("""COMPUTED_VALUE"""),4)</f>
        <v>4</v>
      </c>
      <c r="X44" s="4">
        <f ca="1">IFERROR(__xludf.DUMMYFUNCTION("""COMPUTED_VALUE"""),4)</f>
        <v>4</v>
      </c>
      <c r="Y44" s="4">
        <f ca="1">IFERROR(__xludf.DUMMYFUNCTION("""COMPUTED_VALUE"""),3)</f>
        <v>3</v>
      </c>
      <c r="Z44" s="4">
        <f ca="1">IFERROR(__xludf.DUMMYFUNCTION("""COMPUTED_VALUE"""),3)</f>
        <v>3</v>
      </c>
      <c r="AA44" s="4">
        <f ca="1">IFERROR(__xludf.DUMMYFUNCTION("""COMPUTED_VALUE"""),3)</f>
        <v>3</v>
      </c>
      <c r="AB44" s="4">
        <f ca="1">IFERROR(__xludf.DUMMYFUNCTION("""COMPUTED_VALUE"""),4)</f>
        <v>4</v>
      </c>
      <c r="AC44" s="4">
        <f ca="1">IFERROR(__xludf.DUMMYFUNCTION("""COMPUTED_VALUE"""),3)</f>
        <v>3</v>
      </c>
      <c r="AD44" s="4">
        <f ca="1">IFERROR(__xludf.DUMMYFUNCTION("""COMPUTED_VALUE"""),3)</f>
        <v>3</v>
      </c>
      <c r="AE44" s="4">
        <f ca="1">IFERROR(__xludf.DUMMYFUNCTION("""COMPUTED_VALUE"""),3)</f>
        <v>3</v>
      </c>
      <c r="AF44" s="4">
        <f ca="1">IFERROR(__xludf.DUMMYFUNCTION("""COMPUTED_VALUE"""),4)</f>
        <v>4</v>
      </c>
      <c r="AG44" s="4">
        <f ca="1">IFERROR(__xludf.DUMMYFUNCTION("""COMPUTED_VALUE"""),4)</f>
        <v>4</v>
      </c>
      <c r="AH44" s="4">
        <f ca="1">IFERROR(__xludf.DUMMYFUNCTION("""COMPUTED_VALUE"""),4)</f>
        <v>4</v>
      </c>
      <c r="AI44" s="4">
        <f ca="1">IFERROR(__xludf.DUMMYFUNCTION("""COMPUTED_VALUE"""),4)</f>
        <v>4</v>
      </c>
      <c r="AJ44" s="4">
        <f ca="1">IFERROR(__xludf.DUMMYFUNCTION("""COMPUTED_VALUE"""),4)</f>
        <v>4</v>
      </c>
      <c r="AK44" s="4">
        <f ca="1">IFERROR(__xludf.DUMMYFUNCTION("""COMPUTED_VALUE"""),4)</f>
        <v>4</v>
      </c>
      <c r="AL44" s="4">
        <f ca="1">IFERROR(__xludf.DUMMYFUNCTION("""COMPUTED_VALUE"""),4)</f>
        <v>4</v>
      </c>
      <c r="AM44" s="4">
        <f ca="1">IFERROR(__xludf.DUMMYFUNCTION("""COMPUTED_VALUE"""),4)</f>
        <v>4</v>
      </c>
      <c r="AN44" s="4">
        <f ca="1">IFERROR(__xludf.DUMMYFUNCTION("""COMPUTED_VALUE"""),4)</f>
        <v>4</v>
      </c>
      <c r="AO44" s="4">
        <f ca="1">IFERROR(__xludf.DUMMYFUNCTION("""COMPUTED_VALUE"""),4)</f>
        <v>4</v>
      </c>
      <c r="AP44" s="4">
        <f ca="1">IFERROR(__xludf.DUMMYFUNCTION("""COMPUTED_VALUE"""),4)</f>
        <v>4</v>
      </c>
      <c r="AQ44" s="4">
        <f ca="1">IFERROR(__xludf.DUMMYFUNCTION("""COMPUTED_VALUE"""),4)</f>
        <v>4</v>
      </c>
      <c r="AR44" s="4">
        <f ca="1">IFERROR(__xludf.DUMMYFUNCTION("""COMPUTED_VALUE"""),4)</f>
        <v>4</v>
      </c>
      <c r="AS44" s="4">
        <f ca="1">IFERROR(__xludf.DUMMYFUNCTION("""COMPUTED_VALUE"""),3)</f>
        <v>3</v>
      </c>
      <c r="AT44" s="4">
        <f ca="1">IFERROR(__xludf.DUMMYFUNCTION("""COMPUTED_VALUE"""),3)</f>
        <v>3</v>
      </c>
      <c r="AU44" s="4">
        <f ca="1">IFERROR(__xludf.DUMMYFUNCTION("""COMPUTED_VALUE"""),3)</f>
        <v>3</v>
      </c>
      <c r="AV44" s="4">
        <f ca="1">IFERROR(__xludf.DUMMYFUNCTION("""COMPUTED_VALUE"""),3)</f>
        <v>3</v>
      </c>
      <c r="AW44" s="4">
        <f ca="1">IFERROR(__xludf.DUMMYFUNCTION("""COMPUTED_VALUE"""),4)</f>
        <v>4</v>
      </c>
      <c r="AX44" s="4">
        <f ca="1">IFERROR(__xludf.DUMMYFUNCTION("""COMPUTED_VALUE"""),5)</f>
        <v>5</v>
      </c>
      <c r="AY44" s="4">
        <f ca="1">IFERROR(__xludf.DUMMYFUNCTION("""COMPUTED_VALUE"""),5)</f>
        <v>5</v>
      </c>
      <c r="AZ44" s="4">
        <f ca="1">IFERROR(__xludf.DUMMYFUNCTION("""COMPUTED_VALUE"""),5)</f>
        <v>5</v>
      </c>
      <c r="BA44" s="4">
        <f ca="1">IFERROR(__xludf.DUMMYFUNCTION("""COMPUTED_VALUE"""),5)</f>
        <v>5</v>
      </c>
      <c r="BB44" s="4">
        <f ca="1">IFERROR(__xludf.DUMMYFUNCTION("""COMPUTED_VALUE"""),3)</f>
        <v>3</v>
      </c>
      <c r="BC44" s="4">
        <f ca="1">IFERROR(__xludf.DUMMYFUNCTION("""COMPUTED_VALUE"""),3)</f>
        <v>3</v>
      </c>
      <c r="BD44" s="4">
        <f ca="1">IFERROR(__xludf.DUMMYFUNCTION("""COMPUTED_VALUE"""),3)</f>
        <v>3</v>
      </c>
      <c r="BE44" s="4">
        <f ca="1">IFERROR(__xludf.DUMMYFUNCTION("""COMPUTED_VALUE"""),3)</f>
        <v>3</v>
      </c>
      <c r="BF44" s="4">
        <f ca="1">IFERROR(__xludf.DUMMYFUNCTION("""COMPUTED_VALUE"""),3)</f>
        <v>3</v>
      </c>
      <c r="BG44" s="4">
        <f ca="1">IFERROR(__xludf.DUMMYFUNCTION("""COMPUTED_VALUE"""),3)</f>
        <v>3</v>
      </c>
      <c r="BH44" s="4">
        <f ca="1">IFERROR(__xludf.DUMMYFUNCTION("""COMPUTED_VALUE"""),4)</f>
        <v>4</v>
      </c>
      <c r="BI44" s="4">
        <f ca="1">IFERROR(__xludf.DUMMYFUNCTION("""COMPUTED_VALUE"""),4)</f>
        <v>4</v>
      </c>
      <c r="BJ44" s="4">
        <f ca="1">IFERROR(__xludf.DUMMYFUNCTION("""COMPUTED_VALUE"""),4)</f>
        <v>4</v>
      </c>
      <c r="BK44" s="4">
        <f ca="1">IFERROR(__xludf.DUMMYFUNCTION("""COMPUTED_VALUE"""),4)</f>
        <v>4</v>
      </c>
      <c r="BL44" s="4">
        <f ca="1">IFERROR(__xludf.DUMMYFUNCTION("""COMPUTED_VALUE"""),4)</f>
        <v>4</v>
      </c>
      <c r="BM44" s="4">
        <f ca="1">IFERROR(__xludf.DUMMYFUNCTION("""COMPUTED_VALUE"""),4)</f>
        <v>4</v>
      </c>
      <c r="BN44" s="4">
        <f ca="1">IFERROR(__xludf.DUMMYFUNCTION("""COMPUTED_VALUE"""),4)</f>
        <v>4</v>
      </c>
      <c r="BO44" s="4">
        <f ca="1">IFERROR(__xludf.DUMMYFUNCTION("""COMPUTED_VALUE"""),4)</f>
        <v>4</v>
      </c>
      <c r="BP44" s="4">
        <f ca="1">IFERROR(__xludf.DUMMYFUNCTION("""COMPUTED_VALUE"""),4)</f>
        <v>4</v>
      </c>
    </row>
    <row r="45" spans="1:68" x14ac:dyDescent="0.25">
      <c r="A45" s="4" t="str">
        <f ca="1">IFERROR(__xludf.DUMMYFUNCTION("""COMPUTED_VALUE"""),"2_ABaOnuehbMtMfezn-skpPFqblZJAE0v1EVHGL9xZ76OQW8vbEy0G1CMseF4yU8oiCA")</f>
        <v>2_ABaOnuehbMtMfezn-skpPFqblZJAE0v1EVHGL9xZ76OQW8vbEy0G1CMseF4yU8oiCA</v>
      </c>
      <c r="B45" s="5">
        <f ca="1">IFERROR(__xludf.DUMMYFUNCTION("""COMPUTED_VALUE"""),45967.5954354629)</f>
        <v>45967.595435462899</v>
      </c>
      <c r="C45" s="4" t="str">
        <f ca="1">IFERROR(__xludf.DUMMYFUNCTION("""COMPUTED_VALUE"""),"Hoàng Thiên Nga")</f>
        <v>Hoàng Thiên Nga</v>
      </c>
      <c r="D45" s="4" t="str">
        <f ca="1">IFERROR(__xludf.DUMMYFUNCTION("""COMPUTED_VALUE"""),"Nữ")</f>
        <v>Nữ</v>
      </c>
      <c r="E45" s="4" t="str">
        <f ca="1">IFERROR(__xludf.DUMMYFUNCTION("""COMPUTED_VALUE"""),"Công ty TNHH Kiểm toán An Việt")</f>
        <v>Công ty TNHH Kiểm toán An Việt</v>
      </c>
      <c r="F45" s="4" t="str">
        <f ca="1">IFERROR(__xludf.DUMMYFUNCTION("""COMPUTED_VALUE"""),"Đại học, Chứng chỉ Kiểm toán viên")</f>
        <v>Đại học, Chứng chỉ Kiểm toán viên</v>
      </c>
      <c r="G45" s="4" t="str">
        <f ca="1">IFERROR(__xludf.DUMMYFUNCTION("""COMPUTED_VALUE"""),"Trên 15 đến 20 năm")</f>
        <v>Trên 15 đến 20 năm</v>
      </c>
      <c r="H45" s="4" t="str">
        <f ca="1">IFERROR(__xludf.DUMMYFUNCTION("""COMPUTED_VALUE"""),"Ban giám đốc")</f>
        <v>Ban giám đốc</v>
      </c>
      <c r="I45" s="4">
        <f ca="1">IFERROR(__xludf.DUMMYFUNCTION("""COMPUTED_VALUE"""),5)</f>
        <v>5</v>
      </c>
      <c r="J45" s="4">
        <f ca="1">IFERROR(__xludf.DUMMYFUNCTION("""COMPUTED_VALUE"""),5)</f>
        <v>5</v>
      </c>
      <c r="K45" s="4">
        <f ca="1">IFERROR(__xludf.DUMMYFUNCTION("""COMPUTED_VALUE"""),4)</f>
        <v>4</v>
      </c>
      <c r="L45" s="4">
        <f ca="1">IFERROR(__xludf.DUMMYFUNCTION("""COMPUTED_VALUE"""),4)</f>
        <v>4</v>
      </c>
      <c r="M45" s="4">
        <f ca="1">IFERROR(__xludf.DUMMYFUNCTION("""COMPUTED_VALUE"""),5)</f>
        <v>5</v>
      </c>
      <c r="N45" s="4">
        <f ca="1">IFERROR(__xludf.DUMMYFUNCTION("""COMPUTED_VALUE"""),4)</f>
        <v>4</v>
      </c>
      <c r="O45" s="4">
        <f ca="1">IFERROR(__xludf.DUMMYFUNCTION("""COMPUTED_VALUE"""),5)</f>
        <v>5</v>
      </c>
      <c r="P45" s="4">
        <f ca="1">IFERROR(__xludf.DUMMYFUNCTION("""COMPUTED_VALUE"""),5)</f>
        <v>5</v>
      </c>
      <c r="Q45" s="4">
        <f ca="1">IFERROR(__xludf.DUMMYFUNCTION("""COMPUTED_VALUE"""),4)</f>
        <v>4</v>
      </c>
      <c r="R45" s="4">
        <f ca="1">IFERROR(__xludf.DUMMYFUNCTION("""COMPUTED_VALUE"""),5)</f>
        <v>5</v>
      </c>
      <c r="S45" s="4">
        <f ca="1">IFERROR(__xludf.DUMMYFUNCTION("""COMPUTED_VALUE"""),5)</f>
        <v>5</v>
      </c>
      <c r="T45" s="4">
        <f ca="1">IFERROR(__xludf.DUMMYFUNCTION("""COMPUTED_VALUE"""),5)</f>
        <v>5</v>
      </c>
      <c r="U45" s="4">
        <f ca="1">IFERROR(__xludf.DUMMYFUNCTION("""COMPUTED_VALUE"""),5)</f>
        <v>5</v>
      </c>
      <c r="V45" s="4">
        <f ca="1">IFERROR(__xludf.DUMMYFUNCTION("""COMPUTED_VALUE"""),5)</f>
        <v>5</v>
      </c>
      <c r="W45" s="4">
        <f ca="1">IFERROR(__xludf.DUMMYFUNCTION("""COMPUTED_VALUE"""),4)</f>
        <v>4</v>
      </c>
      <c r="X45" s="4">
        <f ca="1">IFERROR(__xludf.DUMMYFUNCTION("""COMPUTED_VALUE"""),4)</f>
        <v>4</v>
      </c>
      <c r="Y45" s="4">
        <f ca="1">IFERROR(__xludf.DUMMYFUNCTION("""COMPUTED_VALUE"""),4)</f>
        <v>4</v>
      </c>
      <c r="Z45" s="4">
        <f ca="1">IFERROR(__xludf.DUMMYFUNCTION("""COMPUTED_VALUE"""),5)</f>
        <v>5</v>
      </c>
      <c r="AA45" s="4">
        <f ca="1">IFERROR(__xludf.DUMMYFUNCTION("""COMPUTED_VALUE"""),5)</f>
        <v>5</v>
      </c>
      <c r="AB45" s="4">
        <f ca="1">IFERROR(__xludf.DUMMYFUNCTION("""COMPUTED_VALUE"""),4)</f>
        <v>4</v>
      </c>
      <c r="AC45" s="4">
        <f ca="1">IFERROR(__xludf.DUMMYFUNCTION("""COMPUTED_VALUE"""),4)</f>
        <v>4</v>
      </c>
      <c r="AD45" s="4">
        <f ca="1">IFERROR(__xludf.DUMMYFUNCTION("""COMPUTED_VALUE"""),3)</f>
        <v>3</v>
      </c>
      <c r="AE45" s="4">
        <f ca="1">IFERROR(__xludf.DUMMYFUNCTION("""COMPUTED_VALUE"""),5)</f>
        <v>5</v>
      </c>
      <c r="AF45" s="4">
        <f ca="1">IFERROR(__xludf.DUMMYFUNCTION("""COMPUTED_VALUE"""),5)</f>
        <v>5</v>
      </c>
      <c r="AG45" s="4">
        <f ca="1">IFERROR(__xludf.DUMMYFUNCTION("""COMPUTED_VALUE"""),5)</f>
        <v>5</v>
      </c>
      <c r="AH45" s="4">
        <f ca="1">IFERROR(__xludf.DUMMYFUNCTION("""COMPUTED_VALUE"""),5)</f>
        <v>5</v>
      </c>
      <c r="AI45" s="4">
        <f ca="1">IFERROR(__xludf.DUMMYFUNCTION("""COMPUTED_VALUE"""),4)</f>
        <v>4</v>
      </c>
      <c r="AJ45" s="4">
        <f ca="1">IFERROR(__xludf.DUMMYFUNCTION("""COMPUTED_VALUE"""),5)</f>
        <v>5</v>
      </c>
      <c r="AK45" s="4">
        <f ca="1">IFERROR(__xludf.DUMMYFUNCTION("""COMPUTED_VALUE"""),5)</f>
        <v>5</v>
      </c>
      <c r="AL45" s="4">
        <f ca="1">IFERROR(__xludf.DUMMYFUNCTION("""COMPUTED_VALUE"""),5)</f>
        <v>5</v>
      </c>
      <c r="AM45" s="4">
        <f ca="1">IFERROR(__xludf.DUMMYFUNCTION("""COMPUTED_VALUE"""),4)</f>
        <v>4</v>
      </c>
      <c r="AN45" s="4">
        <f ca="1">IFERROR(__xludf.DUMMYFUNCTION("""COMPUTED_VALUE"""),5)</f>
        <v>5</v>
      </c>
      <c r="AO45" s="4">
        <f ca="1">IFERROR(__xludf.DUMMYFUNCTION("""COMPUTED_VALUE"""),4)</f>
        <v>4</v>
      </c>
      <c r="AP45" s="4">
        <f ca="1">IFERROR(__xludf.DUMMYFUNCTION("""COMPUTED_VALUE"""),4)</f>
        <v>4</v>
      </c>
      <c r="AQ45" s="4">
        <f ca="1">IFERROR(__xludf.DUMMYFUNCTION("""COMPUTED_VALUE"""),5)</f>
        <v>5</v>
      </c>
      <c r="AR45" s="4">
        <f ca="1">IFERROR(__xludf.DUMMYFUNCTION("""COMPUTED_VALUE"""),5)</f>
        <v>5</v>
      </c>
      <c r="AS45" s="4">
        <f ca="1">IFERROR(__xludf.DUMMYFUNCTION("""COMPUTED_VALUE"""),4)</f>
        <v>4</v>
      </c>
      <c r="AT45" s="4">
        <f ca="1">IFERROR(__xludf.DUMMYFUNCTION("""COMPUTED_VALUE"""),4)</f>
        <v>4</v>
      </c>
      <c r="AU45" s="4">
        <f ca="1">IFERROR(__xludf.DUMMYFUNCTION("""COMPUTED_VALUE"""),5)</f>
        <v>5</v>
      </c>
      <c r="AV45" s="4">
        <f ca="1">IFERROR(__xludf.DUMMYFUNCTION("""COMPUTED_VALUE"""),4)</f>
        <v>4</v>
      </c>
      <c r="AW45" s="4">
        <f ca="1">IFERROR(__xludf.DUMMYFUNCTION("""COMPUTED_VALUE"""),5)</f>
        <v>5</v>
      </c>
      <c r="AX45" s="4">
        <f ca="1">IFERROR(__xludf.DUMMYFUNCTION("""COMPUTED_VALUE"""),5)</f>
        <v>5</v>
      </c>
      <c r="AY45" s="4">
        <f ca="1">IFERROR(__xludf.DUMMYFUNCTION("""COMPUTED_VALUE"""),5)</f>
        <v>5</v>
      </c>
      <c r="AZ45" s="4">
        <f ca="1">IFERROR(__xludf.DUMMYFUNCTION("""COMPUTED_VALUE"""),5)</f>
        <v>5</v>
      </c>
      <c r="BA45" s="4">
        <f ca="1">IFERROR(__xludf.DUMMYFUNCTION("""COMPUTED_VALUE"""),5)</f>
        <v>5</v>
      </c>
      <c r="BB45" s="4">
        <f ca="1">IFERROR(__xludf.DUMMYFUNCTION("""COMPUTED_VALUE"""),4)</f>
        <v>4</v>
      </c>
      <c r="BC45" s="4">
        <f ca="1">IFERROR(__xludf.DUMMYFUNCTION("""COMPUTED_VALUE"""),5)</f>
        <v>5</v>
      </c>
      <c r="BD45" s="4">
        <f ca="1">IFERROR(__xludf.DUMMYFUNCTION("""COMPUTED_VALUE"""),5)</f>
        <v>5</v>
      </c>
      <c r="BE45" s="4">
        <f ca="1">IFERROR(__xludf.DUMMYFUNCTION("""COMPUTED_VALUE"""),5)</f>
        <v>5</v>
      </c>
      <c r="BF45" s="4">
        <f ca="1">IFERROR(__xludf.DUMMYFUNCTION("""COMPUTED_VALUE"""),5)</f>
        <v>5</v>
      </c>
      <c r="BG45" s="4">
        <f ca="1">IFERROR(__xludf.DUMMYFUNCTION("""COMPUTED_VALUE"""),5)</f>
        <v>5</v>
      </c>
      <c r="BH45" s="4">
        <f ca="1">IFERROR(__xludf.DUMMYFUNCTION("""COMPUTED_VALUE"""),5)</f>
        <v>5</v>
      </c>
      <c r="BI45" s="4">
        <f ca="1">IFERROR(__xludf.DUMMYFUNCTION("""COMPUTED_VALUE"""),5)</f>
        <v>5</v>
      </c>
      <c r="BJ45" s="4">
        <f ca="1">IFERROR(__xludf.DUMMYFUNCTION("""COMPUTED_VALUE"""),5)</f>
        <v>5</v>
      </c>
      <c r="BK45" s="4">
        <f ca="1">IFERROR(__xludf.DUMMYFUNCTION("""COMPUTED_VALUE"""),5)</f>
        <v>5</v>
      </c>
      <c r="BL45" s="4">
        <f ca="1">IFERROR(__xludf.DUMMYFUNCTION("""COMPUTED_VALUE"""),5)</f>
        <v>5</v>
      </c>
      <c r="BM45" s="4">
        <f ca="1">IFERROR(__xludf.DUMMYFUNCTION("""COMPUTED_VALUE"""),5)</f>
        <v>5</v>
      </c>
      <c r="BN45" s="4">
        <f ca="1">IFERROR(__xludf.DUMMYFUNCTION("""COMPUTED_VALUE"""),5)</f>
        <v>5</v>
      </c>
      <c r="BO45" s="4">
        <f ca="1">IFERROR(__xludf.DUMMYFUNCTION("""COMPUTED_VALUE"""),5)</f>
        <v>5</v>
      </c>
      <c r="BP45" s="4">
        <f ca="1">IFERROR(__xludf.DUMMYFUNCTION("""COMPUTED_VALUE"""),5)</f>
        <v>5</v>
      </c>
    </row>
    <row r="46" spans="1:68" x14ac:dyDescent="0.25">
      <c r="A46" s="4" t="str">
        <f ca="1">IFERROR(__xludf.DUMMYFUNCTION("""COMPUTED_VALUE"""),"2_ABaOnuepyoEXHtm-zPVNYBmW242rRLln7Jrk7gDoDEpDVbAZQR1tvrS0ovTBFaiyaA")</f>
        <v>2_ABaOnuepyoEXHtm-zPVNYBmW242rRLln7Jrk7gDoDEpDVbAZQR1tvrS0ovTBFaiyaA</v>
      </c>
      <c r="B46" s="5">
        <f ca="1">IFERROR(__xludf.DUMMYFUNCTION("""COMPUTED_VALUE"""),45967.6222880439)</f>
        <v>45967.622288043902</v>
      </c>
      <c r="C46" s="4" t="str">
        <f ca="1">IFERROR(__xludf.DUMMYFUNCTION("""COMPUTED_VALUE"""),"ĐINH TẤN TƯỞNG")</f>
        <v>ĐINH TẤN TƯỞNG</v>
      </c>
      <c r="D46" s="4" t="str">
        <f ca="1">IFERROR(__xludf.DUMMYFUNCTION("""COMPUTED_VALUE"""),"Nam")</f>
        <v>Nam</v>
      </c>
      <c r="E46" s="4" t="str">
        <f ca="1">IFERROR(__xludf.DUMMYFUNCTION("""COMPUTED_VALUE"""),"Công ty TNHH Kiểm Toán Sao Việt")</f>
        <v>Công ty TNHH Kiểm Toán Sao Việt</v>
      </c>
      <c r="F46" s="4" t="str">
        <f ca="1">IFERROR(__xludf.DUMMYFUNCTION("""COMPUTED_VALUE"""),"Sau đại học, Chứng chỉ Kiểm toán viên")</f>
        <v>Sau đại học, Chứng chỉ Kiểm toán viên</v>
      </c>
      <c r="G46" s="4" t="str">
        <f ca="1">IFERROR(__xludf.DUMMYFUNCTION("""COMPUTED_VALUE"""),"Trên 20 năm")</f>
        <v>Trên 20 năm</v>
      </c>
      <c r="H46" s="4" t="str">
        <f ca="1">IFERROR(__xludf.DUMMYFUNCTION("""COMPUTED_VALUE"""),"Ban giám đốc")</f>
        <v>Ban giám đốc</v>
      </c>
      <c r="I46" s="4">
        <f ca="1">IFERROR(__xludf.DUMMYFUNCTION("""COMPUTED_VALUE"""),5)</f>
        <v>5</v>
      </c>
      <c r="J46" s="4">
        <f ca="1">IFERROR(__xludf.DUMMYFUNCTION("""COMPUTED_VALUE"""),4)</f>
        <v>4</v>
      </c>
      <c r="K46" s="4">
        <f ca="1">IFERROR(__xludf.DUMMYFUNCTION("""COMPUTED_VALUE"""),4)</f>
        <v>4</v>
      </c>
      <c r="L46" s="4">
        <f ca="1">IFERROR(__xludf.DUMMYFUNCTION("""COMPUTED_VALUE"""),5)</f>
        <v>5</v>
      </c>
      <c r="M46" s="4">
        <f ca="1">IFERROR(__xludf.DUMMYFUNCTION("""COMPUTED_VALUE"""),5)</f>
        <v>5</v>
      </c>
      <c r="N46" s="4">
        <f ca="1">IFERROR(__xludf.DUMMYFUNCTION("""COMPUTED_VALUE"""),4)</f>
        <v>4</v>
      </c>
      <c r="O46" s="4">
        <f ca="1">IFERROR(__xludf.DUMMYFUNCTION("""COMPUTED_VALUE"""),4)</f>
        <v>4</v>
      </c>
      <c r="P46" s="4">
        <f ca="1">IFERROR(__xludf.DUMMYFUNCTION("""COMPUTED_VALUE"""),4)</f>
        <v>4</v>
      </c>
      <c r="Q46" s="4">
        <f ca="1">IFERROR(__xludf.DUMMYFUNCTION("""COMPUTED_VALUE"""),4)</f>
        <v>4</v>
      </c>
      <c r="R46" s="4">
        <f ca="1">IFERROR(__xludf.DUMMYFUNCTION("""COMPUTED_VALUE"""),5)</f>
        <v>5</v>
      </c>
      <c r="S46" s="4">
        <f ca="1">IFERROR(__xludf.DUMMYFUNCTION("""COMPUTED_VALUE"""),5)</f>
        <v>5</v>
      </c>
      <c r="T46" s="4">
        <f ca="1">IFERROR(__xludf.DUMMYFUNCTION("""COMPUTED_VALUE"""),5)</f>
        <v>5</v>
      </c>
      <c r="U46" s="4">
        <f ca="1">IFERROR(__xludf.DUMMYFUNCTION("""COMPUTED_VALUE"""),4)</f>
        <v>4</v>
      </c>
      <c r="V46" s="4">
        <f ca="1">IFERROR(__xludf.DUMMYFUNCTION("""COMPUTED_VALUE"""),4)</f>
        <v>4</v>
      </c>
      <c r="W46" s="4">
        <f ca="1">IFERROR(__xludf.DUMMYFUNCTION("""COMPUTED_VALUE"""),4)</f>
        <v>4</v>
      </c>
      <c r="X46" s="4">
        <f ca="1">IFERROR(__xludf.DUMMYFUNCTION("""COMPUTED_VALUE"""),4)</f>
        <v>4</v>
      </c>
      <c r="Y46" s="4">
        <f ca="1">IFERROR(__xludf.DUMMYFUNCTION("""COMPUTED_VALUE"""),4)</f>
        <v>4</v>
      </c>
      <c r="Z46" s="4">
        <f ca="1">IFERROR(__xludf.DUMMYFUNCTION("""COMPUTED_VALUE"""),5)</f>
        <v>5</v>
      </c>
      <c r="AA46" s="4">
        <f ca="1">IFERROR(__xludf.DUMMYFUNCTION("""COMPUTED_VALUE"""),4)</f>
        <v>4</v>
      </c>
      <c r="AB46" s="4">
        <f ca="1">IFERROR(__xludf.DUMMYFUNCTION("""COMPUTED_VALUE"""),5)</f>
        <v>5</v>
      </c>
      <c r="AC46" s="4">
        <f ca="1">IFERROR(__xludf.DUMMYFUNCTION("""COMPUTED_VALUE"""),5)</f>
        <v>5</v>
      </c>
      <c r="AD46" s="4">
        <f ca="1">IFERROR(__xludf.DUMMYFUNCTION("""COMPUTED_VALUE"""),5)</f>
        <v>5</v>
      </c>
      <c r="AE46" s="4">
        <f ca="1">IFERROR(__xludf.DUMMYFUNCTION("""COMPUTED_VALUE"""),5)</f>
        <v>5</v>
      </c>
      <c r="AF46" s="4">
        <f ca="1">IFERROR(__xludf.DUMMYFUNCTION("""COMPUTED_VALUE"""),5)</f>
        <v>5</v>
      </c>
      <c r="AG46" s="4">
        <f ca="1">IFERROR(__xludf.DUMMYFUNCTION("""COMPUTED_VALUE"""),5)</f>
        <v>5</v>
      </c>
      <c r="AH46" s="4">
        <f ca="1">IFERROR(__xludf.DUMMYFUNCTION("""COMPUTED_VALUE"""),5)</f>
        <v>5</v>
      </c>
      <c r="AI46" s="4">
        <f ca="1">IFERROR(__xludf.DUMMYFUNCTION("""COMPUTED_VALUE"""),5)</f>
        <v>5</v>
      </c>
      <c r="AJ46" s="4">
        <f ca="1">IFERROR(__xludf.DUMMYFUNCTION("""COMPUTED_VALUE"""),5)</f>
        <v>5</v>
      </c>
      <c r="AK46" s="4">
        <f ca="1">IFERROR(__xludf.DUMMYFUNCTION("""COMPUTED_VALUE"""),5)</f>
        <v>5</v>
      </c>
      <c r="AL46" s="4">
        <f ca="1">IFERROR(__xludf.DUMMYFUNCTION("""COMPUTED_VALUE"""),5)</f>
        <v>5</v>
      </c>
      <c r="AM46" s="4">
        <f ca="1">IFERROR(__xludf.DUMMYFUNCTION("""COMPUTED_VALUE"""),5)</f>
        <v>5</v>
      </c>
      <c r="AN46" s="4">
        <f ca="1">IFERROR(__xludf.DUMMYFUNCTION("""COMPUTED_VALUE"""),4)</f>
        <v>4</v>
      </c>
      <c r="AO46" s="4">
        <f ca="1">IFERROR(__xludf.DUMMYFUNCTION("""COMPUTED_VALUE"""),4)</f>
        <v>4</v>
      </c>
      <c r="AP46" s="4">
        <f ca="1">IFERROR(__xludf.DUMMYFUNCTION("""COMPUTED_VALUE"""),3)</f>
        <v>3</v>
      </c>
      <c r="AQ46" s="4">
        <f ca="1">IFERROR(__xludf.DUMMYFUNCTION("""COMPUTED_VALUE"""),5)</f>
        <v>5</v>
      </c>
      <c r="AR46" s="4">
        <f ca="1">IFERROR(__xludf.DUMMYFUNCTION("""COMPUTED_VALUE"""),3)</f>
        <v>3</v>
      </c>
      <c r="AS46" s="4">
        <f ca="1">IFERROR(__xludf.DUMMYFUNCTION("""COMPUTED_VALUE"""),4)</f>
        <v>4</v>
      </c>
      <c r="AT46" s="4">
        <f ca="1">IFERROR(__xludf.DUMMYFUNCTION("""COMPUTED_VALUE"""),4)</f>
        <v>4</v>
      </c>
      <c r="AU46" s="4">
        <f ca="1">IFERROR(__xludf.DUMMYFUNCTION("""COMPUTED_VALUE"""),5)</f>
        <v>5</v>
      </c>
      <c r="AV46" s="4">
        <f ca="1">IFERROR(__xludf.DUMMYFUNCTION("""COMPUTED_VALUE"""),5)</f>
        <v>5</v>
      </c>
      <c r="AW46" s="4">
        <f ca="1">IFERROR(__xludf.DUMMYFUNCTION("""COMPUTED_VALUE"""),4)</f>
        <v>4</v>
      </c>
      <c r="AX46" s="4">
        <f ca="1">IFERROR(__xludf.DUMMYFUNCTION("""COMPUTED_VALUE"""),5)</f>
        <v>5</v>
      </c>
      <c r="AY46" s="4">
        <f ca="1">IFERROR(__xludf.DUMMYFUNCTION("""COMPUTED_VALUE"""),5)</f>
        <v>5</v>
      </c>
      <c r="AZ46" s="4">
        <f ca="1">IFERROR(__xludf.DUMMYFUNCTION("""COMPUTED_VALUE"""),5)</f>
        <v>5</v>
      </c>
      <c r="BA46" s="4">
        <f ca="1">IFERROR(__xludf.DUMMYFUNCTION("""COMPUTED_VALUE"""),5)</f>
        <v>5</v>
      </c>
      <c r="BB46" s="4">
        <f ca="1">IFERROR(__xludf.DUMMYFUNCTION("""COMPUTED_VALUE"""),4)</f>
        <v>4</v>
      </c>
      <c r="BC46" s="4">
        <f ca="1">IFERROR(__xludf.DUMMYFUNCTION("""COMPUTED_VALUE"""),5)</f>
        <v>5</v>
      </c>
      <c r="BD46" s="4">
        <f ca="1">IFERROR(__xludf.DUMMYFUNCTION("""COMPUTED_VALUE"""),5)</f>
        <v>5</v>
      </c>
      <c r="BE46" s="4">
        <f ca="1">IFERROR(__xludf.DUMMYFUNCTION("""COMPUTED_VALUE"""),5)</f>
        <v>5</v>
      </c>
      <c r="BF46" s="4">
        <f ca="1">IFERROR(__xludf.DUMMYFUNCTION("""COMPUTED_VALUE"""),5)</f>
        <v>5</v>
      </c>
      <c r="BG46" s="4">
        <f ca="1">IFERROR(__xludf.DUMMYFUNCTION("""COMPUTED_VALUE"""),5)</f>
        <v>5</v>
      </c>
      <c r="BH46" s="4">
        <f ca="1">IFERROR(__xludf.DUMMYFUNCTION("""COMPUTED_VALUE"""),5)</f>
        <v>5</v>
      </c>
      <c r="BI46" s="4">
        <f ca="1">IFERROR(__xludf.DUMMYFUNCTION("""COMPUTED_VALUE"""),5)</f>
        <v>5</v>
      </c>
      <c r="BJ46" s="4">
        <f ca="1">IFERROR(__xludf.DUMMYFUNCTION("""COMPUTED_VALUE"""),5)</f>
        <v>5</v>
      </c>
      <c r="BK46" s="4">
        <f ca="1">IFERROR(__xludf.DUMMYFUNCTION("""COMPUTED_VALUE"""),5)</f>
        <v>5</v>
      </c>
      <c r="BL46" s="4">
        <f ca="1">IFERROR(__xludf.DUMMYFUNCTION("""COMPUTED_VALUE"""),5)</f>
        <v>5</v>
      </c>
      <c r="BM46" s="4">
        <f ca="1">IFERROR(__xludf.DUMMYFUNCTION("""COMPUTED_VALUE"""),5)</f>
        <v>5</v>
      </c>
      <c r="BN46" s="4">
        <f ca="1">IFERROR(__xludf.DUMMYFUNCTION("""COMPUTED_VALUE"""),5)</f>
        <v>5</v>
      </c>
      <c r="BO46" s="4">
        <f ca="1">IFERROR(__xludf.DUMMYFUNCTION("""COMPUTED_VALUE"""),5)</f>
        <v>5</v>
      </c>
      <c r="BP46" s="4">
        <f ca="1">IFERROR(__xludf.DUMMYFUNCTION("""COMPUTED_VALUE"""),5)</f>
        <v>5</v>
      </c>
    </row>
    <row r="47" spans="1:68" x14ac:dyDescent="0.25">
      <c r="A47" s="4" t="str">
        <f ca="1">IFERROR(__xludf.DUMMYFUNCTION("""COMPUTED_VALUE"""),"2_ABaOnudG_hs_AMAYUOmNBnPP5UWJxqUL6c1vZIXBVsXhZB730YcC29QiGcCe4ZGgDQ")</f>
        <v>2_ABaOnudG_hs_AMAYUOmNBnPP5UWJxqUL6c1vZIXBVsXhZB730YcC29QiGcCe4ZGgDQ</v>
      </c>
      <c r="B47" s="5">
        <f ca="1">IFERROR(__xludf.DUMMYFUNCTION("""COMPUTED_VALUE"""),45967.6257031828)</f>
        <v>45967.625703182799</v>
      </c>
      <c r="C47" s="4" t="str">
        <f ca="1">IFERROR(__xludf.DUMMYFUNCTION("""COMPUTED_VALUE"""),"Huỳnh Hữu Phước")</f>
        <v>Huỳnh Hữu Phước</v>
      </c>
      <c r="D47" s="4" t="str">
        <f ca="1">IFERROR(__xludf.DUMMYFUNCTION("""COMPUTED_VALUE"""),"Nam")</f>
        <v>Nam</v>
      </c>
      <c r="E47" s="4" t="str">
        <f ca="1">IFERROR(__xludf.DUMMYFUNCTION("""COMPUTED_VALUE"""),"Công ty TNHH Kiểm toán Nhân Tâm Việt")</f>
        <v>Công ty TNHH Kiểm toán Nhân Tâm Việt</v>
      </c>
      <c r="F47" s="4" t="str">
        <f ca="1">IFERROR(__xludf.DUMMYFUNCTION("""COMPUTED_VALUE"""),"Đại học")</f>
        <v>Đại học</v>
      </c>
      <c r="G47" s="4" t="str">
        <f ca="1">IFERROR(__xludf.DUMMYFUNCTION("""COMPUTED_VALUE"""),"Trên 20 năm")</f>
        <v>Trên 20 năm</v>
      </c>
      <c r="H47" s="4" t="str">
        <f ca="1">IFERROR(__xludf.DUMMYFUNCTION("""COMPUTED_VALUE"""),"Ban giám đốc")</f>
        <v>Ban giám đốc</v>
      </c>
      <c r="I47" s="4">
        <f ca="1">IFERROR(__xludf.DUMMYFUNCTION("""COMPUTED_VALUE"""),5)</f>
        <v>5</v>
      </c>
      <c r="J47" s="4">
        <f ca="1">IFERROR(__xludf.DUMMYFUNCTION("""COMPUTED_VALUE"""),5)</f>
        <v>5</v>
      </c>
      <c r="K47" s="4">
        <f ca="1">IFERROR(__xludf.DUMMYFUNCTION("""COMPUTED_VALUE"""),5)</f>
        <v>5</v>
      </c>
      <c r="L47" s="4">
        <f ca="1">IFERROR(__xludf.DUMMYFUNCTION("""COMPUTED_VALUE"""),5)</f>
        <v>5</v>
      </c>
      <c r="M47" s="4">
        <f ca="1">IFERROR(__xludf.DUMMYFUNCTION("""COMPUTED_VALUE"""),5)</f>
        <v>5</v>
      </c>
      <c r="N47" s="4">
        <f ca="1">IFERROR(__xludf.DUMMYFUNCTION("""COMPUTED_VALUE"""),4)</f>
        <v>4</v>
      </c>
      <c r="O47" s="4">
        <f ca="1">IFERROR(__xludf.DUMMYFUNCTION("""COMPUTED_VALUE"""),3)</f>
        <v>3</v>
      </c>
      <c r="P47" s="4">
        <f ca="1">IFERROR(__xludf.DUMMYFUNCTION("""COMPUTED_VALUE"""),5)</f>
        <v>5</v>
      </c>
      <c r="Q47" s="4">
        <f ca="1">IFERROR(__xludf.DUMMYFUNCTION("""COMPUTED_VALUE"""),4)</f>
        <v>4</v>
      </c>
      <c r="R47" s="4">
        <f ca="1">IFERROR(__xludf.DUMMYFUNCTION("""COMPUTED_VALUE"""),5)</f>
        <v>5</v>
      </c>
      <c r="S47" s="4">
        <f ca="1">IFERROR(__xludf.DUMMYFUNCTION("""COMPUTED_VALUE"""),5)</f>
        <v>5</v>
      </c>
      <c r="T47" s="4">
        <f ca="1">IFERROR(__xludf.DUMMYFUNCTION("""COMPUTED_VALUE"""),5)</f>
        <v>5</v>
      </c>
      <c r="U47" s="4">
        <f ca="1">IFERROR(__xludf.DUMMYFUNCTION("""COMPUTED_VALUE"""),5)</f>
        <v>5</v>
      </c>
      <c r="V47" s="4">
        <f ca="1">IFERROR(__xludf.DUMMYFUNCTION("""COMPUTED_VALUE"""),5)</f>
        <v>5</v>
      </c>
      <c r="W47" s="4">
        <f ca="1">IFERROR(__xludf.DUMMYFUNCTION("""COMPUTED_VALUE"""),4)</f>
        <v>4</v>
      </c>
      <c r="X47" s="4">
        <f ca="1">IFERROR(__xludf.DUMMYFUNCTION("""COMPUTED_VALUE"""),4)</f>
        <v>4</v>
      </c>
      <c r="Y47" s="4">
        <f ca="1">IFERROR(__xludf.DUMMYFUNCTION("""COMPUTED_VALUE"""),4)</f>
        <v>4</v>
      </c>
      <c r="Z47" s="4">
        <f ca="1">IFERROR(__xludf.DUMMYFUNCTION("""COMPUTED_VALUE"""),4)</f>
        <v>4</v>
      </c>
      <c r="AA47" s="4">
        <f ca="1">IFERROR(__xludf.DUMMYFUNCTION("""COMPUTED_VALUE"""),4)</f>
        <v>4</v>
      </c>
      <c r="AB47" s="4">
        <f ca="1">IFERROR(__xludf.DUMMYFUNCTION("""COMPUTED_VALUE"""),5)</f>
        <v>5</v>
      </c>
      <c r="AC47" s="4">
        <f ca="1">IFERROR(__xludf.DUMMYFUNCTION("""COMPUTED_VALUE"""),5)</f>
        <v>5</v>
      </c>
      <c r="AD47" s="4">
        <f ca="1">IFERROR(__xludf.DUMMYFUNCTION("""COMPUTED_VALUE"""),5)</f>
        <v>5</v>
      </c>
      <c r="AE47" s="4">
        <f ca="1">IFERROR(__xludf.DUMMYFUNCTION("""COMPUTED_VALUE"""),5)</f>
        <v>5</v>
      </c>
      <c r="AF47" s="4">
        <f ca="1">IFERROR(__xludf.DUMMYFUNCTION("""COMPUTED_VALUE"""),4)</f>
        <v>4</v>
      </c>
      <c r="AG47" s="4">
        <f ca="1">IFERROR(__xludf.DUMMYFUNCTION("""COMPUTED_VALUE"""),4)</f>
        <v>4</v>
      </c>
      <c r="AH47" s="4">
        <f ca="1">IFERROR(__xludf.DUMMYFUNCTION("""COMPUTED_VALUE"""),4)</f>
        <v>4</v>
      </c>
      <c r="AI47" s="4">
        <f ca="1">IFERROR(__xludf.DUMMYFUNCTION("""COMPUTED_VALUE"""),4)</f>
        <v>4</v>
      </c>
      <c r="AJ47" s="4">
        <f ca="1">IFERROR(__xludf.DUMMYFUNCTION("""COMPUTED_VALUE"""),5)</f>
        <v>5</v>
      </c>
      <c r="AK47" s="4">
        <f ca="1">IFERROR(__xludf.DUMMYFUNCTION("""COMPUTED_VALUE"""),5)</f>
        <v>5</v>
      </c>
      <c r="AL47" s="4">
        <f ca="1">IFERROR(__xludf.DUMMYFUNCTION("""COMPUTED_VALUE"""),5)</f>
        <v>5</v>
      </c>
      <c r="AM47" s="4">
        <f ca="1">IFERROR(__xludf.DUMMYFUNCTION("""COMPUTED_VALUE"""),5)</f>
        <v>5</v>
      </c>
      <c r="AN47" s="4">
        <f ca="1">IFERROR(__xludf.DUMMYFUNCTION("""COMPUTED_VALUE"""),5)</f>
        <v>5</v>
      </c>
      <c r="AO47" s="4">
        <f ca="1">IFERROR(__xludf.DUMMYFUNCTION("""COMPUTED_VALUE"""),5)</f>
        <v>5</v>
      </c>
      <c r="AP47" s="4">
        <f ca="1">IFERROR(__xludf.DUMMYFUNCTION("""COMPUTED_VALUE"""),5)</f>
        <v>5</v>
      </c>
      <c r="AQ47" s="4">
        <f ca="1">IFERROR(__xludf.DUMMYFUNCTION("""COMPUTED_VALUE"""),5)</f>
        <v>5</v>
      </c>
      <c r="AR47" s="4">
        <f ca="1">IFERROR(__xludf.DUMMYFUNCTION("""COMPUTED_VALUE"""),5)</f>
        <v>5</v>
      </c>
      <c r="AS47" s="4">
        <f ca="1">IFERROR(__xludf.DUMMYFUNCTION("""COMPUTED_VALUE"""),5)</f>
        <v>5</v>
      </c>
      <c r="AT47" s="4">
        <f ca="1">IFERROR(__xludf.DUMMYFUNCTION("""COMPUTED_VALUE"""),5)</f>
        <v>5</v>
      </c>
      <c r="AU47" s="4">
        <f ca="1">IFERROR(__xludf.DUMMYFUNCTION("""COMPUTED_VALUE"""),5)</f>
        <v>5</v>
      </c>
      <c r="AV47" s="4">
        <f ca="1">IFERROR(__xludf.DUMMYFUNCTION("""COMPUTED_VALUE"""),5)</f>
        <v>5</v>
      </c>
      <c r="AW47" s="4">
        <f ca="1">IFERROR(__xludf.DUMMYFUNCTION("""COMPUTED_VALUE"""),5)</f>
        <v>5</v>
      </c>
      <c r="AX47" s="4">
        <f ca="1">IFERROR(__xludf.DUMMYFUNCTION("""COMPUTED_VALUE"""),5)</f>
        <v>5</v>
      </c>
      <c r="AY47" s="4">
        <f ca="1">IFERROR(__xludf.DUMMYFUNCTION("""COMPUTED_VALUE"""),5)</f>
        <v>5</v>
      </c>
      <c r="AZ47" s="4">
        <f ca="1">IFERROR(__xludf.DUMMYFUNCTION("""COMPUTED_VALUE"""),5)</f>
        <v>5</v>
      </c>
      <c r="BA47" s="4">
        <f ca="1">IFERROR(__xludf.DUMMYFUNCTION("""COMPUTED_VALUE"""),5)</f>
        <v>5</v>
      </c>
      <c r="BB47" s="4">
        <f ca="1">IFERROR(__xludf.DUMMYFUNCTION("""COMPUTED_VALUE"""),4)</f>
        <v>4</v>
      </c>
      <c r="BC47" s="4">
        <f ca="1">IFERROR(__xludf.DUMMYFUNCTION("""COMPUTED_VALUE"""),4)</f>
        <v>4</v>
      </c>
      <c r="BD47" s="4">
        <f ca="1">IFERROR(__xludf.DUMMYFUNCTION("""COMPUTED_VALUE"""),4)</f>
        <v>4</v>
      </c>
      <c r="BE47" s="4">
        <f ca="1">IFERROR(__xludf.DUMMYFUNCTION("""COMPUTED_VALUE"""),4)</f>
        <v>4</v>
      </c>
      <c r="BF47" s="4">
        <f ca="1">IFERROR(__xludf.DUMMYFUNCTION("""COMPUTED_VALUE"""),4)</f>
        <v>4</v>
      </c>
      <c r="BG47" s="4">
        <f ca="1">IFERROR(__xludf.DUMMYFUNCTION("""COMPUTED_VALUE"""),4)</f>
        <v>4</v>
      </c>
      <c r="BH47" s="4">
        <f ca="1">IFERROR(__xludf.DUMMYFUNCTION("""COMPUTED_VALUE"""),5)</f>
        <v>5</v>
      </c>
      <c r="BI47" s="4">
        <f ca="1">IFERROR(__xludf.DUMMYFUNCTION("""COMPUTED_VALUE"""),5)</f>
        <v>5</v>
      </c>
      <c r="BJ47" s="4">
        <f ca="1">IFERROR(__xludf.DUMMYFUNCTION("""COMPUTED_VALUE"""),5)</f>
        <v>5</v>
      </c>
      <c r="BK47" s="4">
        <f ca="1">IFERROR(__xludf.DUMMYFUNCTION("""COMPUTED_VALUE"""),5)</f>
        <v>5</v>
      </c>
      <c r="BL47" s="4">
        <f ca="1">IFERROR(__xludf.DUMMYFUNCTION("""COMPUTED_VALUE"""),5)</f>
        <v>5</v>
      </c>
      <c r="BM47" s="4">
        <f ca="1">IFERROR(__xludf.DUMMYFUNCTION("""COMPUTED_VALUE"""),5)</f>
        <v>5</v>
      </c>
      <c r="BN47" s="4">
        <f ca="1">IFERROR(__xludf.DUMMYFUNCTION("""COMPUTED_VALUE"""),5)</f>
        <v>5</v>
      </c>
      <c r="BO47" s="4">
        <f ca="1">IFERROR(__xludf.DUMMYFUNCTION("""COMPUTED_VALUE"""),5)</f>
        <v>5</v>
      </c>
      <c r="BP47" s="4">
        <f ca="1">IFERROR(__xludf.DUMMYFUNCTION("""COMPUTED_VALUE"""),5)</f>
        <v>5</v>
      </c>
    </row>
    <row r="48" spans="1:68" x14ac:dyDescent="0.25">
      <c r="A48" s="4" t="str">
        <f ca="1">IFERROR(__xludf.DUMMYFUNCTION("""COMPUTED_VALUE"""),"2_ABaOnuft5Vk3kTDpizoYZH1NgUHCIDgAJCEqIb6Rwb-8PmSCL6W9bLmYmio-Uq2-cA")</f>
        <v>2_ABaOnuft5Vk3kTDpizoYZH1NgUHCIDgAJCEqIb6Rwb-8PmSCL6W9bLmYmio-Uq2-cA</v>
      </c>
      <c r="B48" s="5">
        <f ca="1">IFERROR(__xludf.DUMMYFUNCTION("""COMPUTED_VALUE"""),45967.6503001851)</f>
        <v>45967.650300185102</v>
      </c>
      <c r="C48" s="4" t="str">
        <f ca="1">IFERROR(__xludf.DUMMYFUNCTION("""COMPUTED_VALUE"""),"Nguyễn Trần Trường Anh")</f>
        <v>Nguyễn Trần Trường Anh</v>
      </c>
      <c r="D48" s="4" t="str">
        <f ca="1">IFERROR(__xludf.DUMMYFUNCTION("""COMPUTED_VALUE"""),"Nam")</f>
        <v>Nam</v>
      </c>
      <c r="E48" s="4" t="str">
        <f ca="1">IFERROR(__xludf.DUMMYFUNCTION("""COMPUTED_VALUE""")," Công ty Kiểm toán AVN Việt Nam")</f>
        <v xml:space="preserve"> Công ty Kiểm toán AVN Việt Nam</v>
      </c>
      <c r="F48" s="4" t="str">
        <f ca="1">IFERROR(__xludf.DUMMYFUNCTION("""COMPUTED_VALUE"""),"Đại học")</f>
        <v>Đại học</v>
      </c>
      <c r="G48" s="4" t="str">
        <f ca="1">IFERROR(__xludf.DUMMYFUNCTION("""COMPUTED_VALUE"""),"Từ 3 đến 5 năm")</f>
        <v>Từ 3 đến 5 năm</v>
      </c>
      <c r="H48" s="4" t="str">
        <f ca="1">IFERROR(__xludf.DUMMYFUNCTION("""COMPUTED_VALUE"""),"Trợ lý kiểm toán")</f>
        <v>Trợ lý kiểm toán</v>
      </c>
      <c r="I48" s="4">
        <f ca="1">IFERROR(__xludf.DUMMYFUNCTION("""COMPUTED_VALUE"""),4)</f>
        <v>4</v>
      </c>
      <c r="J48" s="4">
        <f ca="1">IFERROR(__xludf.DUMMYFUNCTION("""COMPUTED_VALUE"""),5)</f>
        <v>5</v>
      </c>
      <c r="K48" s="4">
        <f ca="1">IFERROR(__xludf.DUMMYFUNCTION("""COMPUTED_VALUE"""),5)</f>
        <v>5</v>
      </c>
      <c r="L48" s="4">
        <f ca="1">IFERROR(__xludf.DUMMYFUNCTION("""COMPUTED_VALUE"""),4)</f>
        <v>4</v>
      </c>
      <c r="M48" s="4">
        <f ca="1">IFERROR(__xludf.DUMMYFUNCTION("""COMPUTED_VALUE"""),4)</f>
        <v>4</v>
      </c>
      <c r="N48" s="4">
        <f ca="1">IFERROR(__xludf.DUMMYFUNCTION("""COMPUTED_VALUE"""),4)</f>
        <v>4</v>
      </c>
      <c r="O48" s="4">
        <f ca="1">IFERROR(__xludf.DUMMYFUNCTION("""COMPUTED_VALUE"""),4)</f>
        <v>4</v>
      </c>
      <c r="P48" s="4">
        <f ca="1">IFERROR(__xludf.DUMMYFUNCTION("""COMPUTED_VALUE"""),5)</f>
        <v>5</v>
      </c>
      <c r="Q48" s="4">
        <f ca="1">IFERROR(__xludf.DUMMYFUNCTION("""COMPUTED_VALUE"""),4)</f>
        <v>4</v>
      </c>
      <c r="R48" s="4">
        <f ca="1">IFERROR(__xludf.DUMMYFUNCTION("""COMPUTED_VALUE"""),4)</f>
        <v>4</v>
      </c>
      <c r="S48" s="4">
        <f ca="1">IFERROR(__xludf.DUMMYFUNCTION("""COMPUTED_VALUE"""),5)</f>
        <v>5</v>
      </c>
      <c r="T48" s="4">
        <f ca="1">IFERROR(__xludf.DUMMYFUNCTION("""COMPUTED_VALUE"""),4)</f>
        <v>4</v>
      </c>
      <c r="U48" s="4">
        <f ca="1">IFERROR(__xludf.DUMMYFUNCTION("""COMPUTED_VALUE"""),4)</f>
        <v>4</v>
      </c>
      <c r="V48" s="4">
        <f ca="1">IFERROR(__xludf.DUMMYFUNCTION("""COMPUTED_VALUE"""),4)</f>
        <v>4</v>
      </c>
      <c r="W48" s="4">
        <f ca="1">IFERROR(__xludf.DUMMYFUNCTION("""COMPUTED_VALUE"""),4)</f>
        <v>4</v>
      </c>
      <c r="X48" s="4">
        <f ca="1">IFERROR(__xludf.DUMMYFUNCTION("""COMPUTED_VALUE"""),4)</f>
        <v>4</v>
      </c>
      <c r="Y48" s="4">
        <f ca="1">IFERROR(__xludf.DUMMYFUNCTION("""COMPUTED_VALUE"""),4)</f>
        <v>4</v>
      </c>
      <c r="Z48" s="4">
        <f ca="1">IFERROR(__xludf.DUMMYFUNCTION("""COMPUTED_VALUE"""),4)</f>
        <v>4</v>
      </c>
      <c r="AA48" s="4">
        <f ca="1">IFERROR(__xludf.DUMMYFUNCTION("""COMPUTED_VALUE"""),5)</f>
        <v>5</v>
      </c>
      <c r="AB48" s="4">
        <f ca="1">IFERROR(__xludf.DUMMYFUNCTION("""COMPUTED_VALUE"""),3)</f>
        <v>3</v>
      </c>
      <c r="AC48" s="4">
        <f ca="1">IFERROR(__xludf.DUMMYFUNCTION("""COMPUTED_VALUE"""),4)</f>
        <v>4</v>
      </c>
      <c r="AD48" s="4">
        <f ca="1">IFERROR(__xludf.DUMMYFUNCTION("""COMPUTED_VALUE"""),4)</f>
        <v>4</v>
      </c>
      <c r="AE48" s="4">
        <f ca="1">IFERROR(__xludf.DUMMYFUNCTION("""COMPUTED_VALUE"""),5)</f>
        <v>5</v>
      </c>
      <c r="AF48" s="4">
        <f ca="1">IFERROR(__xludf.DUMMYFUNCTION("""COMPUTED_VALUE"""),4)</f>
        <v>4</v>
      </c>
      <c r="AG48" s="4">
        <f ca="1">IFERROR(__xludf.DUMMYFUNCTION("""COMPUTED_VALUE"""),4)</f>
        <v>4</v>
      </c>
      <c r="AH48" s="4">
        <f ca="1">IFERROR(__xludf.DUMMYFUNCTION("""COMPUTED_VALUE"""),5)</f>
        <v>5</v>
      </c>
      <c r="AI48" s="4">
        <f ca="1">IFERROR(__xludf.DUMMYFUNCTION("""COMPUTED_VALUE"""),4)</f>
        <v>4</v>
      </c>
      <c r="AJ48" s="4">
        <f ca="1">IFERROR(__xludf.DUMMYFUNCTION("""COMPUTED_VALUE"""),4)</f>
        <v>4</v>
      </c>
      <c r="AK48" s="4">
        <f ca="1">IFERROR(__xludf.DUMMYFUNCTION("""COMPUTED_VALUE"""),5)</f>
        <v>5</v>
      </c>
      <c r="AL48" s="4">
        <f ca="1">IFERROR(__xludf.DUMMYFUNCTION("""COMPUTED_VALUE"""),5)</f>
        <v>5</v>
      </c>
      <c r="AM48" s="4">
        <f ca="1">IFERROR(__xludf.DUMMYFUNCTION("""COMPUTED_VALUE"""),4)</f>
        <v>4</v>
      </c>
      <c r="AN48" s="4">
        <f ca="1">IFERROR(__xludf.DUMMYFUNCTION("""COMPUTED_VALUE"""),4)</f>
        <v>4</v>
      </c>
      <c r="AO48" s="4">
        <f ca="1">IFERROR(__xludf.DUMMYFUNCTION("""COMPUTED_VALUE"""),4)</f>
        <v>4</v>
      </c>
      <c r="AP48" s="4">
        <f ca="1">IFERROR(__xludf.DUMMYFUNCTION("""COMPUTED_VALUE"""),4)</f>
        <v>4</v>
      </c>
      <c r="AQ48" s="4">
        <f ca="1">IFERROR(__xludf.DUMMYFUNCTION("""COMPUTED_VALUE"""),5)</f>
        <v>5</v>
      </c>
      <c r="AR48" s="4">
        <f ca="1">IFERROR(__xludf.DUMMYFUNCTION("""COMPUTED_VALUE"""),4)</f>
        <v>4</v>
      </c>
      <c r="AS48" s="4">
        <f ca="1">IFERROR(__xludf.DUMMYFUNCTION("""COMPUTED_VALUE"""),5)</f>
        <v>5</v>
      </c>
      <c r="AT48" s="4">
        <f ca="1">IFERROR(__xludf.DUMMYFUNCTION("""COMPUTED_VALUE"""),4)</f>
        <v>4</v>
      </c>
      <c r="AU48" s="4">
        <f ca="1">IFERROR(__xludf.DUMMYFUNCTION("""COMPUTED_VALUE"""),4)</f>
        <v>4</v>
      </c>
      <c r="AV48" s="4">
        <f ca="1">IFERROR(__xludf.DUMMYFUNCTION("""COMPUTED_VALUE"""),5)</f>
        <v>5</v>
      </c>
      <c r="AW48" s="4">
        <f ca="1">IFERROR(__xludf.DUMMYFUNCTION("""COMPUTED_VALUE"""),5)</f>
        <v>5</v>
      </c>
      <c r="AX48" s="4">
        <f ca="1">IFERROR(__xludf.DUMMYFUNCTION("""COMPUTED_VALUE"""),4)</f>
        <v>4</v>
      </c>
      <c r="AY48" s="4">
        <f ca="1">IFERROR(__xludf.DUMMYFUNCTION("""COMPUTED_VALUE"""),5)</f>
        <v>5</v>
      </c>
      <c r="AZ48" s="4">
        <f ca="1">IFERROR(__xludf.DUMMYFUNCTION("""COMPUTED_VALUE"""),4)</f>
        <v>4</v>
      </c>
      <c r="BA48" s="4">
        <f ca="1">IFERROR(__xludf.DUMMYFUNCTION("""COMPUTED_VALUE"""),4)</f>
        <v>4</v>
      </c>
      <c r="BB48" s="4">
        <f ca="1">IFERROR(__xludf.DUMMYFUNCTION("""COMPUTED_VALUE"""),4)</f>
        <v>4</v>
      </c>
      <c r="BC48" s="4">
        <f ca="1">IFERROR(__xludf.DUMMYFUNCTION("""COMPUTED_VALUE"""),4)</f>
        <v>4</v>
      </c>
      <c r="BD48" s="4">
        <f ca="1">IFERROR(__xludf.DUMMYFUNCTION("""COMPUTED_VALUE"""),5)</f>
        <v>5</v>
      </c>
      <c r="BE48" s="4">
        <f ca="1">IFERROR(__xludf.DUMMYFUNCTION("""COMPUTED_VALUE"""),5)</f>
        <v>5</v>
      </c>
      <c r="BF48" s="4">
        <f ca="1">IFERROR(__xludf.DUMMYFUNCTION("""COMPUTED_VALUE"""),4)</f>
        <v>4</v>
      </c>
      <c r="BG48" s="4">
        <f ca="1">IFERROR(__xludf.DUMMYFUNCTION("""COMPUTED_VALUE"""),5)</f>
        <v>5</v>
      </c>
      <c r="BH48" s="4">
        <f ca="1">IFERROR(__xludf.DUMMYFUNCTION("""COMPUTED_VALUE"""),4)</f>
        <v>4</v>
      </c>
      <c r="BI48" s="4">
        <f ca="1">IFERROR(__xludf.DUMMYFUNCTION("""COMPUTED_VALUE"""),4)</f>
        <v>4</v>
      </c>
      <c r="BJ48" s="4">
        <f ca="1">IFERROR(__xludf.DUMMYFUNCTION("""COMPUTED_VALUE"""),5)</f>
        <v>5</v>
      </c>
      <c r="BK48" s="4">
        <f ca="1">IFERROR(__xludf.DUMMYFUNCTION("""COMPUTED_VALUE"""),4)</f>
        <v>4</v>
      </c>
      <c r="BL48" s="4">
        <f ca="1">IFERROR(__xludf.DUMMYFUNCTION("""COMPUTED_VALUE"""),4)</f>
        <v>4</v>
      </c>
      <c r="BM48" s="4">
        <f ca="1">IFERROR(__xludf.DUMMYFUNCTION("""COMPUTED_VALUE"""),5)</f>
        <v>5</v>
      </c>
      <c r="BN48" s="4">
        <f ca="1">IFERROR(__xludf.DUMMYFUNCTION("""COMPUTED_VALUE"""),5)</f>
        <v>5</v>
      </c>
      <c r="BO48" s="4">
        <f ca="1">IFERROR(__xludf.DUMMYFUNCTION("""COMPUTED_VALUE"""),5)</f>
        <v>5</v>
      </c>
      <c r="BP48" s="4">
        <f ca="1">IFERROR(__xludf.DUMMYFUNCTION("""COMPUTED_VALUE"""),5)</f>
        <v>5</v>
      </c>
    </row>
    <row r="49" spans="1:68" x14ac:dyDescent="0.25">
      <c r="A49" s="4" t="str">
        <f ca="1">IFERROR(__xludf.DUMMYFUNCTION("""COMPUTED_VALUE"""),"2_ABaOnudSMYXWKFJwn8XxSTSS34iLPpd4IhYLitorYKBsJyQY1SJwV-ixhBpq8Yth7w")</f>
        <v>2_ABaOnudSMYXWKFJwn8XxSTSS34iLPpd4IhYLitorYKBsJyQY1SJwV-ixhBpq8Yth7w</v>
      </c>
      <c r="B49" s="5">
        <f ca="1">IFERROR(__xludf.DUMMYFUNCTION("""COMPUTED_VALUE"""),45967.6514033333)</f>
        <v>45967.651403333301</v>
      </c>
      <c r="C49" s="4" t="str">
        <f ca="1">IFERROR(__xludf.DUMMYFUNCTION("""COMPUTED_VALUE"""),"Võ Tuấn anh")</f>
        <v>Võ Tuấn anh</v>
      </c>
      <c r="D49" s="4" t="str">
        <f ca="1">IFERROR(__xludf.DUMMYFUNCTION("""COMPUTED_VALUE"""),"Nam")</f>
        <v>Nam</v>
      </c>
      <c r="E49" s="4" t="str">
        <f ca="1">IFERROR(__xludf.DUMMYFUNCTION("""COMPUTED_VALUE"""),"Công ty TNHH Kiểm toán KTC")</f>
        <v>Công ty TNHH Kiểm toán KTC</v>
      </c>
      <c r="F49" s="4" t="str">
        <f ca="1">IFERROR(__xludf.DUMMYFUNCTION("""COMPUTED_VALUE"""),"Đại học, Chứng chỉ Kiểm toán viên")</f>
        <v>Đại học, Chứng chỉ Kiểm toán viên</v>
      </c>
      <c r="G49" s="4" t="str">
        <f ca="1">IFERROR(__xludf.DUMMYFUNCTION("""COMPUTED_VALUE"""),"Trên 15 đến 20 năm")</f>
        <v>Trên 15 đến 20 năm</v>
      </c>
      <c r="H49" s="4" t="str">
        <f ca="1">IFERROR(__xludf.DUMMYFUNCTION("""COMPUTED_VALUE"""),"Trưởng phòng")</f>
        <v>Trưởng phòng</v>
      </c>
      <c r="I49" s="4">
        <f ca="1">IFERROR(__xludf.DUMMYFUNCTION("""COMPUTED_VALUE"""),5)</f>
        <v>5</v>
      </c>
      <c r="J49" s="4">
        <f ca="1">IFERROR(__xludf.DUMMYFUNCTION("""COMPUTED_VALUE"""),5)</f>
        <v>5</v>
      </c>
      <c r="K49" s="4">
        <f ca="1">IFERROR(__xludf.DUMMYFUNCTION("""COMPUTED_VALUE"""),5)</f>
        <v>5</v>
      </c>
      <c r="L49" s="4">
        <f ca="1">IFERROR(__xludf.DUMMYFUNCTION("""COMPUTED_VALUE"""),4)</f>
        <v>4</v>
      </c>
      <c r="M49" s="4">
        <f ca="1">IFERROR(__xludf.DUMMYFUNCTION("""COMPUTED_VALUE"""),5)</f>
        <v>5</v>
      </c>
      <c r="N49" s="4">
        <f ca="1">IFERROR(__xludf.DUMMYFUNCTION("""COMPUTED_VALUE"""),5)</f>
        <v>5</v>
      </c>
      <c r="O49" s="4">
        <f ca="1">IFERROR(__xludf.DUMMYFUNCTION("""COMPUTED_VALUE"""),5)</f>
        <v>5</v>
      </c>
      <c r="P49" s="4">
        <f ca="1">IFERROR(__xludf.DUMMYFUNCTION("""COMPUTED_VALUE"""),5)</f>
        <v>5</v>
      </c>
      <c r="Q49" s="4">
        <f ca="1">IFERROR(__xludf.DUMMYFUNCTION("""COMPUTED_VALUE"""),5)</f>
        <v>5</v>
      </c>
      <c r="R49" s="4">
        <f ca="1">IFERROR(__xludf.DUMMYFUNCTION("""COMPUTED_VALUE"""),5)</f>
        <v>5</v>
      </c>
      <c r="S49" s="4">
        <f ca="1">IFERROR(__xludf.DUMMYFUNCTION("""COMPUTED_VALUE"""),5)</f>
        <v>5</v>
      </c>
      <c r="T49" s="4">
        <f ca="1">IFERROR(__xludf.DUMMYFUNCTION("""COMPUTED_VALUE"""),5)</f>
        <v>5</v>
      </c>
      <c r="U49" s="4">
        <f ca="1">IFERROR(__xludf.DUMMYFUNCTION("""COMPUTED_VALUE"""),5)</f>
        <v>5</v>
      </c>
      <c r="V49" s="4">
        <f ca="1">IFERROR(__xludf.DUMMYFUNCTION("""COMPUTED_VALUE"""),5)</f>
        <v>5</v>
      </c>
      <c r="W49" s="4">
        <f ca="1">IFERROR(__xludf.DUMMYFUNCTION("""COMPUTED_VALUE"""),5)</f>
        <v>5</v>
      </c>
      <c r="X49" s="4">
        <f ca="1">IFERROR(__xludf.DUMMYFUNCTION("""COMPUTED_VALUE"""),5)</f>
        <v>5</v>
      </c>
      <c r="Y49" s="4">
        <f ca="1">IFERROR(__xludf.DUMMYFUNCTION("""COMPUTED_VALUE"""),5)</f>
        <v>5</v>
      </c>
      <c r="Z49" s="4">
        <f ca="1">IFERROR(__xludf.DUMMYFUNCTION("""COMPUTED_VALUE"""),5)</f>
        <v>5</v>
      </c>
      <c r="AA49" s="4">
        <f ca="1">IFERROR(__xludf.DUMMYFUNCTION("""COMPUTED_VALUE"""),5)</f>
        <v>5</v>
      </c>
      <c r="AB49" s="4">
        <f ca="1">IFERROR(__xludf.DUMMYFUNCTION("""COMPUTED_VALUE"""),5)</f>
        <v>5</v>
      </c>
      <c r="AC49" s="4">
        <f ca="1">IFERROR(__xludf.DUMMYFUNCTION("""COMPUTED_VALUE"""),5)</f>
        <v>5</v>
      </c>
      <c r="AD49" s="4">
        <f ca="1">IFERROR(__xludf.DUMMYFUNCTION("""COMPUTED_VALUE"""),5)</f>
        <v>5</v>
      </c>
      <c r="AE49" s="4">
        <f ca="1">IFERROR(__xludf.DUMMYFUNCTION("""COMPUTED_VALUE"""),5)</f>
        <v>5</v>
      </c>
      <c r="AF49" s="4">
        <f ca="1">IFERROR(__xludf.DUMMYFUNCTION("""COMPUTED_VALUE"""),5)</f>
        <v>5</v>
      </c>
      <c r="AG49" s="4">
        <f ca="1">IFERROR(__xludf.DUMMYFUNCTION("""COMPUTED_VALUE"""),5)</f>
        <v>5</v>
      </c>
      <c r="AH49" s="4">
        <f ca="1">IFERROR(__xludf.DUMMYFUNCTION("""COMPUTED_VALUE"""),5)</f>
        <v>5</v>
      </c>
      <c r="AI49" s="4">
        <f ca="1">IFERROR(__xludf.DUMMYFUNCTION("""COMPUTED_VALUE"""),5)</f>
        <v>5</v>
      </c>
      <c r="AJ49" s="4">
        <f ca="1">IFERROR(__xludf.DUMMYFUNCTION("""COMPUTED_VALUE"""),5)</f>
        <v>5</v>
      </c>
      <c r="AK49" s="4">
        <f ca="1">IFERROR(__xludf.DUMMYFUNCTION("""COMPUTED_VALUE"""),5)</f>
        <v>5</v>
      </c>
      <c r="AL49" s="4">
        <f ca="1">IFERROR(__xludf.DUMMYFUNCTION("""COMPUTED_VALUE"""),5)</f>
        <v>5</v>
      </c>
      <c r="AM49" s="4">
        <f ca="1">IFERROR(__xludf.DUMMYFUNCTION("""COMPUTED_VALUE"""),5)</f>
        <v>5</v>
      </c>
      <c r="AN49" s="4">
        <f ca="1">IFERROR(__xludf.DUMMYFUNCTION("""COMPUTED_VALUE"""),5)</f>
        <v>5</v>
      </c>
      <c r="AO49" s="4">
        <f ca="1">IFERROR(__xludf.DUMMYFUNCTION("""COMPUTED_VALUE"""),5)</f>
        <v>5</v>
      </c>
      <c r="AP49" s="4">
        <f ca="1">IFERROR(__xludf.DUMMYFUNCTION("""COMPUTED_VALUE"""),5)</f>
        <v>5</v>
      </c>
      <c r="AQ49" s="4">
        <f ca="1">IFERROR(__xludf.DUMMYFUNCTION("""COMPUTED_VALUE"""),5)</f>
        <v>5</v>
      </c>
      <c r="AR49" s="4">
        <f ca="1">IFERROR(__xludf.DUMMYFUNCTION("""COMPUTED_VALUE"""),5)</f>
        <v>5</v>
      </c>
      <c r="AS49" s="4">
        <f ca="1">IFERROR(__xludf.DUMMYFUNCTION("""COMPUTED_VALUE"""),5)</f>
        <v>5</v>
      </c>
      <c r="AT49" s="4">
        <f ca="1">IFERROR(__xludf.DUMMYFUNCTION("""COMPUTED_VALUE"""),5)</f>
        <v>5</v>
      </c>
      <c r="AU49" s="4">
        <f ca="1">IFERROR(__xludf.DUMMYFUNCTION("""COMPUTED_VALUE"""),5)</f>
        <v>5</v>
      </c>
      <c r="AV49" s="4">
        <f ca="1">IFERROR(__xludf.DUMMYFUNCTION("""COMPUTED_VALUE"""),5)</f>
        <v>5</v>
      </c>
      <c r="AW49" s="4">
        <f ca="1">IFERROR(__xludf.DUMMYFUNCTION("""COMPUTED_VALUE"""),5)</f>
        <v>5</v>
      </c>
      <c r="AX49" s="4">
        <f ca="1">IFERROR(__xludf.DUMMYFUNCTION("""COMPUTED_VALUE"""),5)</f>
        <v>5</v>
      </c>
      <c r="AY49" s="4">
        <f ca="1">IFERROR(__xludf.DUMMYFUNCTION("""COMPUTED_VALUE"""),5)</f>
        <v>5</v>
      </c>
      <c r="AZ49" s="4">
        <f ca="1">IFERROR(__xludf.DUMMYFUNCTION("""COMPUTED_VALUE"""),5)</f>
        <v>5</v>
      </c>
      <c r="BA49" s="4">
        <f ca="1">IFERROR(__xludf.DUMMYFUNCTION("""COMPUTED_VALUE"""),5)</f>
        <v>5</v>
      </c>
      <c r="BB49" s="4">
        <f ca="1">IFERROR(__xludf.DUMMYFUNCTION("""COMPUTED_VALUE"""),5)</f>
        <v>5</v>
      </c>
      <c r="BC49" s="4">
        <f ca="1">IFERROR(__xludf.DUMMYFUNCTION("""COMPUTED_VALUE"""),5)</f>
        <v>5</v>
      </c>
      <c r="BD49" s="4">
        <f ca="1">IFERROR(__xludf.DUMMYFUNCTION("""COMPUTED_VALUE"""),5)</f>
        <v>5</v>
      </c>
      <c r="BE49" s="4">
        <f ca="1">IFERROR(__xludf.DUMMYFUNCTION("""COMPUTED_VALUE"""),5)</f>
        <v>5</v>
      </c>
      <c r="BF49" s="4">
        <f ca="1">IFERROR(__xludf.DUMMYFUNCTION("""COMPUTED_VALUE"""),5)</f>
        <v>5</v>
      </c>
      <c r="BG49" s="4">
        <f ca="1">IFERROR(__xludf.DUMMYFUNCTION("""COMPUTED_VALUE"""),5)</f>
        <v>5</v>
      </c>
      <c r="BH49" s="4">
        <f ca="1">IFERROR(__xludf.DUMMYFUNCTION("""COMPUTED_VALUE"""),5)</f>
        <v>5</v>
      </c>
      <c r="BI49" s="4">
        <f ca="1">IFERROR(__xludf.DUMMYFUNCTION("""COMPUTED_VALUE"""),5)</f>
        <v>5</v>
      </c>
      <c r="BJ49" s="4">
        <f ca="1">IFERROR(__xludf.DUMMYFUNCTION("""COMPUTED_VALUE"""),5)</f>
        <v>5</v>
      </c>
      <c r="BK49" s="4">
        <f ca="1">IFERROR(__xludf.DUMMYFUNCTION("""COMPUTED_VALUE"""),5)</f>
        <v>5</v>
      </c>
      <c r="BL49" s="4">
        <f ca="1">IFERROR(__xludf.DUMMYFUNCTION("""COMPUTED_VALUE"""),5)</f>
        <v>5</v>
      </c>
      <c r="BM49" s="4">
        <f ca="1">IFERROR(__xludf.DUMMYFUNCTION("""COMPUTED_VALUE"""),5)</f>
        <v>5</v>
      </c>
      <c r="BN49" s="4">
        <f ca="1">IFERROR(__xludf.DUMMYFUNCTION("""COMPUTED_VALUE"""),5)</f>
        <v>5</v>
      </c>
      <c r="BO49" s="4">
        <f ca="1">IFERROR(__xludf.DUMMYFUNCTION("""COMPUTED_VALUE"""),5)</f>
        <v>5</v>
      </c>
      <c r="BP49" s="4">
        <f ca="1">IFERROR(__xludf.DUMMYFUNCTION("""COMPUTED_VALUE"""),5)</f>
        <v>5</v>
      </c>
    </row>
    <row r="50" spans="1:68" x14ac:dyDescent="0.25">
      <c r="A50" s="4" t="str">
        <f ca="1">IFERROR(__xludf.DUMMYFUNCTION("""COMPUTED_VALUE"""),"2_ABaOnud-K-qFIvtPi-4fgxYxxfl0tsTNMn_d45iw4--MuWjN7r2u7qzY0r1_ZhBZAg")</f>
        <v>2_ABaOnud-K-qFIvtPi-4fgxYxxfl0tsTNMn_d45iw4--MuWjN7r2u7qzY0r1_ZhBZAg</v>
      </c>
      <c r="B50" s="5">
        <f ca="1">IFERROR(__xludf.DUMMYFUNCTION("""COMPUTED_VALUE"""),45967.6517726157)</f>
        <v>45967.651772615704</v>
      </c>
      <c r="C50" s="4" t="str">
        <f ca="1">IFERROR(__xludf.DUMMYFUNCTION("""COMPUTED_VALUE"""),"Nguyễn Thị Trang")</f>
        <v>Nguyễn Thị Trang</v>
      </c>
      <c r="D50" s="4" t="str">
        <f ca="1">IFERROR(__xludf.DUMMYFUNCTION("""COMPUTED_VALUE"""),"Nữ")</f>
        <v>Nữ</v>
      </c>
      <c r="E50" s="4" t="str">
        <f ca="1">IFERROR(__xludf.DUMMYFUNCTION("""COMPUTED_VALUE"""),"Công ty TNHH Kiểm toán AVN Việt Nam")</f>
        <v>Công ty TNHH Kiểm toán AVN Việt Nam</v>
      </c>
      <c r="F50" s="4" t="str">
        <f ca="1">IFERROR(__xludf.DUMMYFUNCTION("""COMPUTED_VALUE"""),"Đại học")</f>
        <v>Đại học</v>
      </c>
      <c r="G50" s="4" t="str">
        <f ca="1">IFERROR(__xludf.DUMMYFUNCTION("""COMPUTED_VALUE"""),"Từ 3 đến 5 năm")</f>
        <v>Từ 3 đến 5 năm</v>
      </c>
      <c r="H50" s="4" t="str">
        <f ca="1">IFERROR(__xludf.DUMMYFUNCTION("""COMPUTED_VALUE"""),"Trợ lý kiểm toán")</f>
        <v>Trợ lý kiểm toán</v>
      </c>
      <c r="I50" s="4">
        <f ca="1">IFERROR(__xludf.DUMMYFUNCTION("""COMPUTED_VALUE"""),5)</f>
        <v>5</v>
      </c>
      <c r="J50" s="4">
        <f ca="1">IFERROR(__xludf.DUMMYFUNCTION("""COMPUTED_VALUE"""),4)</f>
        <v>4</v>
      </c>
      <c r="K50" s="4">
        <f ca="1">IFERROR(__xludf.DUMMYFUNCTION("""COMPUTED_VALUE"""),5)</f>
        <v>5</v>
      </c>
      <c r="L50" s="4">
        <f ca="1">IFERROR(__xludf.DUMMYFUNCTION("""COMPUTED_VALUE"""),4)</f>
        <v>4</v>
      </c>
      <c r="M50" s="4">
        <f ca="1">IFERROR(__xludf.DUMMYFUNCTION("""COMPUTED_VALUE"""),5)</f>
        <v>5</v>
      </c>
      <c r="N50" s="4">
        <f ca="1">IFERROR(__xludf.DUMMYFUNCTION("""COMPUTED_VALUE"""),5)</f>
        <v>5</v>
      </c>
      <c r="O50" s="4">
        <f ca="1">IFERROR(__xludf.DUMMYFUNCTION("""COMPUTED_VALUE"""),4)</f>
        <v>4</v>
      </c>
      <c r="P50" s="4">
        <f ca="1">IFERROR(__xludf.DUMMYFUNCTION("""COMPUTED_VALUE"""),5)</f>
        <v>5</v>
      </c>
      <c r="Q50" s="4">
        <f ca="1">IFERROR(__xludf.DUMMYFUNCTION("""COMPUTED_VALUE"""),3)</f>
        <v>3</v>
      </c>
      <c r="R50" s="4">
        <f ca="1">IFERROR(__xludf.DUMMYFUNCTION("""COMPUTED_VALUE"""),5)</f>
        <v>5</v>
      </c>
      <c r="S50" s="4">
        <f ca="1">IFERROR(__xludf.DUMMYFUNCTION("""COMPUTED_VALUE"""),4)</f>
        <v>4</v>
      </c>
      <c r="T50" s="4">
        <f ca="1">IFERROR(__xludf.DUMMYFUNCTION("""COMPUTED_VALUE"""),5)</f>
        <v>5</v>
      </c>
      <c r="U50" s="4">
        <f ca="1">IFERROR(__xludf.DUMMYFUNCTION("""COMPUTED_VALUE"""),4)</f>
        <v>4</v>
      </c>
      <c r="V50" s="4">
        <f ca="1">IFERROR(__xludf.DUMMYFUNCTION("""COMPUTED_VALUE"""),5)</f>
        <v>5</v>
      </c>
      <c r="W50" s="4">
        <f ca="1">IFERROR(__xludf.DUMMYFUNCTION("""COMPUTED_VALUE"""),5)</f>
        <v>5</v>
      </c>
      <c r="X50" s="4">
        <f ca="1">IFERROR(__xludf.DUMMYFUNCTION("""COMPUTED_VALUE"""),4)</f>
        <v>4</v>
      </c>
      <c r="Y50" s="4">
        <f ca="1">IFERROR(__xludf.DUMMYFUNCTION("""COMPUTED_VALUE"""),4)</f>
        <v>4</v>
      </c>
      <c r="Z50" s="4">
        <f ca="1">IFERROR(__xludf.DUMMYFUNCTION("""COMPUTED_VALUE"""),4)</f>
        <v>4</v>
      </c>
      <c r="AA50" s="4">
        <f ca="1">IFERROR(__xludf.DUMMYFUNCTION("""COMPUTED_VALUE"""),3)</f>
        <v>3</v>
      </c>
      <c r="AB50" s="4">
        <f ca="1">IFERROR(__xludf.DUMMYFUNCTION("""COMPUTED_VALUE"""),4)</f>
        <v>4</v>
      </c>
      <c r="AC50" s="4">
        <f ca="1">IFERROR(__xludf.DUMMYFUNCTION("""COMPUTED_VALUE"""),5)</f>
        <v>5</v>
      </c>
      <c r="AD50" s="4">
        <f ca="1">IFERROR(__xludf.DUMMYFUNCTION("""COMPUTED_VALUE"""),4)</f>
        <v>4</v>
      </c>
      <c r="AE50" s="4">
        <f ca="1">IFERROR(__xludf.DUMMYFUNCTION("""COMPUTED_VALUE"""),5)</f>
        <v>5</v>
      </c>
      <c r="AF50" s="4">
        <f ca="1">IFERROR(__xludf.DUMMYFUNCTION("""COMPUTED_VALUE"""),4)</f>
        <v>4</v>
      </c>
      <c r="AG50" s="4">
        <f ca="1">IFERROR(__xludf.DUMMYFUNCTION("""COMPUTED_VALUE"""),3)</f>
        <v>3</v>
      </c>
      <c r="AH50" s="4">
        <f ca="1">IFERROR(__xludf.DUMMYFUNCTION("""COMPUTED_VALUE"""),4)</f>
        <v>4</v>
      </c>
      <c r="AI50" s="4">
        <f ca="1">IFERROR(__xludf.DUMMYFUNCTION("""COMPUTED_VALUE"""),5)</f>
        <v>5</v>
      </c>
      <c r="AJ50" s="4">
        <f ca="1">IFERROR(__xludf.DUMMYFUNCTION("""COMPUTED_VALUE"""),5)</f>
        <v>5</v>
      </c>
      <c r="AK50" s="4">
        <f ca="1">IFERROR(__xludf.DUMMYFUNCTION("""COMPUTED_VALUE"""),4)</f>
        <v>4</v>
      </c>
      <c r="AL50" s="4">
        <f ca="1">IFERROR(__xludf.DUMMYFUNCTION("""COMPUTED_VALUE"""),5)</f>
        <v>5</v>
      </c>
      <c r="AM50" s="4">
        <f ca="1">IFERROR(__xludf.DUMMYFUNCTION("""COMPUTED_VALUE"""),5)</f>
        <v>5</v>
      </c>
      <c r="AN50" s="4">
        <f ca="1">IFERROR(__xludf.DUMMYFUNCTION("""COMPUTED_VALUE"""),4)</f>
        <v>4</v>
      </c>
      <c r="AO50" s="4">
        <f ca="1">IFERROR(__xludf.DUMMYFUNCTION("""COMPUTED_VALUE"""),4)</f>
        <v>4</v>
      </c>
      <c r="AP50" s="4">
        <f ca="1">IFERROR(__xludf.DUMMYFUNCTION("""COMPUTED_VALUE"""),5)</f>
        <v>5</v>
      </c>
      <c r="AQ50" s="4">
        <f ca="1">IFERROR(__xludf.DUMMYFUNCTION("""COMPUTED_VALUE"""),3)</f>
        <v>3</v>
      </c>
      <c r="AR50" s="4">
        <f ca="1">IFERROR(__xludf.DUMMYFUNCTION("""COMPUTED_VALUE"""),3)</f>
        <v>3</v>
      </c>
      <c r="AS50" s="4">
        <f ca="1">IFERROR(__xludf.DUMMYFUNCTION("""COMPUTED_VALUE"""),5)</f>
        <v>5</v>
      </c>
      <c r="AT50" s="4">
        <f ca="1">IFERROR(__xludf.DUMMYFUNCTION("""COMPUTED_VALUE"""),4)</f>
        <v>4</v>
      </c>
      <c r="AU50" s="4">
        <f ca="1">IFERROR(__xludf.DUMMYFUNCTION("""COMPUTED_VALUE"""),3)</f>
        <v>3</v>
      </c>
      <c r="AV50" s="4">
        <f ca="1">IFERROR(__xludf.DUMMYFUNCTION("""COMPUTED_VALUE"""),4)</f>
        <v>4</v>
      </c>
      <c r="AW50" s="4">
        <f ca="1">IFERROR(__xludf.DUMMYFUNCTION("""COMPUTED_VALUE"""),5)</f>
        <v>5</v>
      </c>
      <c r="AX50" s="4">
        <f ca="1">IFERROR(__xludf.DUMMYFUNCTION("""COMPUTED_VALUE"""),5)</f>
        <v>5</v>
      </c>
      <c r="AY50" s="4">
        <f ca="1">IFERROR(__xludf.DUMMYFUNCTION("""COMPUTED_VALUE"""),4)</f>
        <v>4</v>
      </c>
      <c r="AZ50" s="4">
        <f ca="1">IFERROR(__xludf.DUMMYFUNCTION("""COMPUTED_VALUE"""),5)</f>
        <v>5</v>
      </c>
      <c r="BA50" s="4">
        <f ca="1">IFERROR(__xludf.DUMMYFUNCTION("""COMPUTED_VALUE"""),4)</f>
        <v>4</v>
      </c>
      <c r="BB50" s="4">
        <f ca="1">IFERROR(__xludf.DUMMYFUNCTION("""COMPUTED_VALUE"""),4)</f>
        <v>4</v>
      </c>
      <c r="BC50" s="4">
        <f ca="1">IFERROR(__xludf.DUMMYFUNCTION("""COMPUTED_VALUE"""),5)</f>
        <v>5</v>
      </c>
      <c r="BD50" s="4">
        <f ca="1">IFERROR(__xludf.DUMMYFUNCTION("""COMPUTED_VALUE"""),4)</f>
        <v>4</v>
      </c>
      <c r="BE50" s="4">
        <f ca="1">IFERROR(__xludf.DUMMYFUNCTION("""COMPUTED_VALUE"""),5)</f>
        <v>5</v>
      </c>
      <c r="BF50" s="4">
        <f ca="1">IFERROR(__xludf.DUMMYFUNCTION("""COMPUTED_VALUE"""),5)</f>
        <v>5</v>
      </c>
      <c r="BG50" s="4">
        <f ca="1">IFERROR(__xludf.DUMMYFUNCTION("""COMPUTED_VALUE"""),4)</f>
        <v>4</v>
      </c>
      <c r="BH50" s="4">
        <f ca="1">IFERROR(__xludf.DUMMYFUNCTION("""COMPUTED_VALUE"""),3)</f>
        <v>3</v>
      </c>
      <c r="BI50" s="4">
        <f ca="1">IFERROR(__xludf.DUMMYFUNCTION("""COMPUTED_VALUE"""),4)</f>
        <v>4</v>
      </c>
      <c r="BJ50" s="4">
        <f ca="1">IFERROR(__xludf.DUMMYFUNCTION("""COMPUTED_VALUE"""),5)</f>
        <v>5</v>
      </c>
      <c r="BK50" s="4">
        <f ca="1">IFERROR(__xludf.DUMMYFUNCTION("""COMPUTED_VALUE"""),5)</f>
        <v>5</v>
      </c>
      <c r="BL50" s="4">
        <f ca="1">IFERROR(__xludf.DUMMYFUNCTION("""COMPUTED_VALUE"""),4)</f>
        <v>4</v>
      </c>
      <c r="BM50" s="4">
        <f ca="1">IFERROR(__xludf.DUMMYFUNCTION("""COMPUTED_VALUE"""),3)</f>
        <v>3</v>
      </c>
      <c r="BN50" s="4">
        <f ca="1">IFERROR(__xludf.DUMMYFUNCTION("""COMPUTED_VALUE"""),4)</f>
        <v>4</v>
      </c>
      <c r="BO50" s="4">
        <f ca="1">IFERROR(__xludf.DUMMYFUNCTION("""COMPUTED_VALUE"""),4)</f>
        <v>4</v>
      </c>
      <c r="BP50" s="4">
        <f ca="1">IFERROR(__xludf.DUMMYFUNCTION("""COMPUTED_VALUE"""),5)</f>
        <v>5</v>
      </c>
    </row>
    <row r="51" spans="1:68" x14ac:dyDescent="0.25">
      <c r="A51" s="4" t="str">
        <f ca="1">IFERROR(__xludf.DUMMYFUNCTION("""COMPUTED_VALUE"""),"2_ABaOnudViw0OakDrY50oI_Jxk0GglDlgGNlB1JfqaQ3MqoyZu2-wQY6w0Ud6u8YJug")</f>
        <v>2_ABaOnudViw0OakDrY50oI_Jxk0GglDlgGNlB1JfqaQ3MqoyZu2-wQY6w0Ud6u8YJug</v>
      </c>
      <c r="B51" s="5">
        <f ca="1">IFERROR(__xludf.DUMMYFUNCTION("""COMPUTED_VALUE"""),45967.652203831)</f>
        <v>45967.652203830999</v>
      </c>
      <c r="C51" s="4"/>
      <c r="D51" s="4" t="str">
        <f ca="1">IFERROR(__xludf.DUMMYFUNCTION("""COMPUTED_VALUE"""),"Nữ")</f>
        <v>Nữ</v>
      </c>
      <c r="E51" s="4" t="str">
        <f ca="1">IFERROR(__xludf.DUMMYFUNCTION("""COMPUTED_VALUE"""),"Công ty TNHH Kiểm toán AVN Việt Nam")</f>
        <v>Công ty TNHH Kiểm toán AVN Việt Nam</v>
      </c>
      <c r="F51" s="4" t="str">
        <f ca="1">IFERROR(__xludf.DUMMYFUNCTION("""COMPUTED_VALUE"""),"Đại học, Chứng chỉ Kiểm toán viên")</f>
        <v>Đại học, Chứng chỉ Kiểm toán viên</v>
      </c>
      <c r="G51" s="4" t="str">
        <f ca="1">IFERROR(__xludf.DUMMYFUNCTION("""COMPUTED_VALUE"""),"Trên 5 đến 10 năm")</f>
        <v>Trên 5 đến 10 năm</v>
      </c>
      <c r="H51" s="4" t="str">
        <f ca="1">IFERROR(__xludf.DUMMYFUNCTION("""COMPUTED_VALUE"""),"Kiểm toán viên/Trưởng nhóm")</f>
        <v>Kiểm toán viên/Trưởng nhóm</v>
      </c>
      <c r="I51" s="4">
        <f ca="1">IFERROR(__xludf.DUMMYFUNCTION("""COMPUTED_VALUE"""),4)</f>
        <v>4</v>
      </c>
      <c r="J51" s="4">
        <f ca="1">IFERROR(__xludf.DUMMYFUNCTION("""COMPUTED_VALUE"""),4)</f>
        <v>4</v>
      </c>
      <c r="K51" s="4">
        <f ca="1">IFERROR(__xludf.DUMMYFUNCTION("""COMPUTED_VALUE"""),4)</f>
        <v>4</v>
      </c>
      <c r="L51" s="4">
        <f ca="1">IFERROR(__xludf.DUMMYFUNCTION("""COMPUTED_VALUE"""),3)</f>
        <v>3</v>
      </c>
      <c r="M51" s="4">
        <f ca="1">IFERROR(__xludf.DUMMYFUNCTION("""COMPUTED_VALUE"""),4)</f>
        <v>4</v>
      </c>
      <c r="N51" s="4">
        <f ca="1">IFERROR(__xludf.DUMMYFUNCTION("""COMPUTED_VALUE"""),3)</f>
        <v>3</v>
      </c>
      <c r="O51" s="4">
        <f ca="1">IFERROR(__xludf.DUMMYFUNCTION("""COMPUTED_VALUE"""),3)</f>
        <v>3</v>
      </c>
      <c r="P51" s="4">
        <f ca="1">IFERROR(__xludf.DUMMYFUNCTION("""COMPUTED_VALUE"""),4)</f>
        <v>4</v>
      </c>
      <c r="Q51" s="4">
        <f ca="1">IFERROR(__xludf.DUMMYFUNCTION("""COMPUTED_VALUE"""),4)</f>
        <v>4</v>
      </c>
      <c r="R51" s="4">
        <f ca="1">IFERROR(__xludf.DUMMYFUNCTION("""COMPUTED_VALUE"""),4)</f>
        <v>4</v>
      </c>
      <c r="S51" s="4">
        <f ca="1">IFERROR(__xludf.DUMMYFUNCTION("""COMPUTED_VALUE"""),4)</f>
        <v>4</v>
      </c>
      <c r="T51" s="4">
        <f ca="1">IFERROR(__xludf.DUMMYFUNCTION("""COMPUTED_VALUE"""),4)</f>
        <v>4</v>
      </c>
      <c r="U51" s="4">
        <f ca="1">IFERROR(__xludf.DUMMYFUNCTION("""COMPUTED_VALUE"""),4)</f>
        <v>4</v>
      </c>
      <c r="V51" s="4">
        <f ca="1">IFERROR(__xludf.DUMMYFUNCTION("""COMPUTED_VALUE"""),4)</f>
        <v>4</v>
      </c>
      <c r="W51" s="4">
        <f ca="1">IFERROR(__xludf.DUMMYFUNCTION("""COMPUTED_VALUE"""),3)</f>
        <v>3</v>
      </c>
      <c r="X51" s="4">
        <f ca="1">IFERROR(__xludf.DUMMYFUNCTION("""COMPUTED_VALUE"""),3)</f>
        <v>3</v>
      </c>
      <c r="Y51" s="4">
        <f ca="1">IFERROR(__xludf.DUMMYFUNCTION("""COMPUTED_VALUE"""),3)</f>
        <v>3</v>
      </c>
      <c r="Z51" s="4">
        <f ca="1">IFERROR(__xludf.DUMMYFUNCTION("""COMPUTED_VALUE"""),4)</f>
        <v>4</v>
      </c>
      <c r="AA51" s="4">
        <f ca="1">IFERROR(__xludf.DUMMYFUNCTION("""COMPUTED_VALUE"""),4)</f>
        <v>4</v>
      </c>
      <c r="AB51" s="4">
        <f ca="1">IFERROR(__xludf.DUMMYFUNCTION("""COMPUTED_VALUE"""),3)</f>
        <v>3</v>
      </c>
      <c r="AC51" s="4">
        <f ca="1">IFERROR(__xludf.DUMMYFUNCTION("""COMPUTED_VALUE"""),3)</f>
        <v>3</v>
      </c>
      <c r="AD51" s="4">
        <f ca="1">IFERROR(__xludf.DUMMYFUNCTION("""COMPUTED_VALUE"""),3)</f>
        <v>3</v>
      </c>
      <c r="AE51" s="4">
        <f ca="1">IFERROR(__xludf.DUMMYFUNCTION("""COMPUTED_VALUE"""),4)</f>
        <v>4</v>
      </c>
      <c r="AF51" s="4">
        <f ca="1">IFERROR(__xludf.DUMMYFUNCTION("""COMPUTED_VALUE"""),4)</f>
        <v>4</v>
      </c>
      <c r="AG51" s="4">
        <f ca="1">IFERROR(__xludf.DUMMYFUNCTION("""COMPUTED_VALUE"""),4)</f>
        <v>4</v>
      </c>
      <c r="AH51" s="4">
        <f ca="1">IFERROR(__xludf.DUMMYFUNCTION("""COMPUTED_VALUE"""),4)</f>
        <v>4</v>
      </c>
      <c r="AI51" s="4">
        <f ca="1">IFERROR(__xludf.DUMMYFUNCTION("""COMPUTED_VALUE"""),4)</f>
        <v>4</v>
      </c>
      <c r="AJ51" s="4">
        <f ca="1">IFERROR(__xludf.DUMMYFUNCTION("""COMPUTED_VALUE"""),4)</f>
        <v>4</v>
      </c>
      <c r="AK51" s="4">
        <f ca="1">IFERROR(__xludf.DUMMYFUNCTION("""COMPUTED_VALUE"""),4)</f>
        <v>4</v>
      </c>
      <c r="AL51" s="4">
        <f ca="1">IFERROR(__xludf.DUMMYFUNCTION("""COMPUTED_VALUE"""),4)</f>
        <v>4</v>
      </c>
      <c r="AM51" s="4">
        <f ca="1">IFERROR(__xludf.DUMMYFUNCTION("""COMPUTED_VALUE"""),4)</f>
        <v>4</v>
      </c>
      <c r="AN51" s="4">
        <f ca="1">IFERROR(__xludf.DUMMYFUNCTION("""COMPUTED_VALUE"""),4)</f>
        <v>4</v>
      </c>
      <c r="AO51" s="4">
        <f ca="1">IFERROR(__xludf.DUMMYFUNCTION("""COMPUTED_VALUE"""),4)</f>
        <v>4</v>
      </c>
      <c r="AP51" s="4">
        <f ca="1">IFERROR(__xludf.DUMMYFUNCTION("""COMPUTED_VALUE"""),4)</f>
        <v>4</v>
      </c>
      <c r="AQ51" s="4">
        <f ca="1">IFERROR(__xludf.DUMMYFUNCTION("""COMPUTED_VALUE"""),4)</f>
        <v>4</v>
      </c>
      <c r="AR51" s="4">
        <f ca="1">IFERROR(__xludf.DUMMYFUNCTION("""COMPUTED_VALUE"""),4)</f>
        <v>4</v>
      </c>
      <c r="AS51" s="4">
        <f ca="1">IFERROR(__xludf.DUMMYFUNCTION("""COMPUTED_VALUE"""),4)</f>
        <v>4</v>
      </c>
      <c r="AT51" s="4">
        <f ca="1">IFERROR(__xludf.DUMMYFUNCTION("""COMPUTED_VALUE"""),4)</f>
        <v>4</v>
      </c>
      <c r="AU51" s="4">
        <f ca="1">IFERROR(__xludf.DUMMYFUNCTION("""COMPUTED_VALUE"""),4)</f>
        <v>4</v>
      </c>
      <c r="AV51" s="4">
        <f ca="1">IFERROR(__xludf.DUMMYFUNCTION("""COMPUTED_VALUE"""),4)</f>
        <v>4</v>
      </c>
      <c r="AW51" s="4">
        <f ca="1">IFERROR(__xludf.DUMMYFUNCTION("""COMPUTED_VALUE"""),4)</f>
        <v>4</v>
      </c>
      <c r="AX51" s="4">
        <f ca="1">IFERROR(__xludf.DUMMYFUNCTION("""COMPUTED_VALUE"""),4)</f>
        <v>4</v>
      </c>
      <c r="AY51" s="4">
        <f ca="1">IFERROR(__xludf.DUMMYFUNCTION("""COMPUTED_VALUE"""),4)</f>
        <v>4</v>
      </c>
      <c r="AZ51" s="4">
        <f ca="1">IFERROR(__xludf.DUMMYFUNCTION("""COMPUTED_VALUE"""),4)</f>
        <v>4</v>
      </c>
      <c r="BA51" s="4">
        <f ca="1">IFERROR(__xludf.DUMMYFUNCTION("""COMPUTED_VALUE"""),4)</f>
        <v>4</v>
      </c>
      <c r="BB51" s="4">
        <f ca="1">IFERROR(__xludf.DUMMYFUNCTION("""COMPUTED_VALUE"""),4)</f>
        <v>4</v>
      </c>
      <c r="BC51" s="4">
        <f ca="1">IFERROR(__xludf.DUMMYFUNCTION("""COMPUTED_VALUE"""),3)</f>
        <v>3</v>
      </c>
      <c r="BD51" s="4">
        <f ca="1">IFERROR(__xludf.DUMMYFUNCTION("""COMPUTED_VALUE"""),4)</f>
        <v>4</v>
      </c>
      <c r="BE51" s="4">
        <f ca="1">IFERROR(__xludf.DUMMYFUNCTION("""COMPUTED_VALUE"""),3)</f>
        <v>3</v>
      </c>
      <c r="BF51" s="4">
        <f ca="1">IFERROR(__xludf.DUMMYFUNCTION("""COMPUTED_VALUE"""),3)</f>
        <v>3</v>
      </c>
      <c r="BG51" s="4">
        <f ca="1">IFERROR(__xludf.DUMMYFUNCTION("""COMPUTED_VALUE"""),3)</f>
        <v>3</v>
      </c>
      <c r="BH51" s="4">
        <f ca="1">IFERROR(__xludf.DUMMYFUNCTION("""COMPUTED_VALUE"""),3)</f>
        <v>3</v>
      </c>
      <c r="BI51" s="4">
        <f ca="1">IFERROR(__xludf.DUMMYFUNCTION("""COMPUTED_VALUE"""),4)</f>
        <v>4</v>
      </c>
      <c r="BJ51" s="4">
        <f ca="1">IFERROR(__xludf.DUMMYFUNCTION("""COMPUTED_VALUE"""),4)</f>
        <v>4</v>
      </c>
      <c r="BK51" s="4">
        <f ca="1">IFERROR(__xludf.DUMMYFUNCTION("""COMPUTED_VALUE"""),4)</f>
        <v>4</v>
      </c>
      <c r="BL51" s="4">
        <f ca="1">IFERROR(__xludf.DUMMYFUNCTION("""COMPUTED_VALUE"""),4)</f>
        <v>4</v>
      </c>
      <c r="BM51" s="4">
        <f ca="1">IFERROR(__xludf.DUMMYFUNCTION("""COMPUTED_VALUE"""),4)</f>
        <v>4</v>
      </c>
      <c r="BN51" s="4">
        <f ca="1">IFERROR(__xludf.DUMMYFUNCTION("""COMPUTED_VALUE"""),4)</f>
        <v>4</v>
      </c>
      <c r="BO51" s="4">
        <f ca="1">IFERROR(__xludf.DUMMYFUNCTION("""COMPUTED_VALUE"""),4)</f>
        <v>4</v>
      </c>
      <c r="BP51" s="4">
        <f ca="1">IFERROR(__xludf.DUMMYFUNCTION("""COMPUTED_VALUE"""),4)</f>
        <v>4</v>
      </c>
    </row>
    <row r="52" spans="1:68" x14ac:dyDescent="0.25">
      <c r="A52" s="4" t="str">
        <f ca="1">IFERROR(__xludf.DUMMYFUNCTION("""COMPUTED_VALUE"""),"2_ABaOnufSEuOWth3VQVbR4kjTUTeCtgX37b71zojZ_-OM1ITrdFlNwMOCbYAL1_0jVg")</f>
        <v>2_ABaOnufSEuOWth3VQVbR4kjTUTeCtgX37b71zojZ_-OM1ITrdFlNwMOCbYAL1_0jVg</v>
      </c>
      <c r="B52" s="5">
        <f ca="1">IFERROR(__xludf.DUMMYFUNCTION("""COMPUTED_VALUE"""),45967.6528561226)</f>
        <v>45967.6528561226</v>
      </c>
      <c r="C52" s="4" t="str">
        <f ca="1">IFERROR(__xludf.DUMMYFUNCTION("""COMPUTED_VALUE"""),"Nguyễn Hải Việt")</f>
        <v>Nguyễn Hải Việt</v>
      </c>
      <c r="D52" s="4" t="str">
        <f ca="1">IFERROR(__xludf.DUMMYFUNCTION("""COMPUTED_VALUE"""),"Nam")</f>
        <v>Nam</v>
      </c>
      <c r="E52" s="4" t="str">
        <f ca="1">IFERROR(__xludf.DUMMYFUNCTION("""COMPUTED_VALUE"""),"Chi nhánh Công ty TNHH Kiểm toán và Tư vấn Chuẩn Việt tại Đà Nẵng")</f>
        <v>Chi nhánh Công ty TNHH Kiểm toán và Tư vấn Chuẩn Việt tại Đà Nẵng</v>
      </c>
      <c r="F52" s="4" t="str">
        <f ca="1">IFERROR(__xludf.DUMMYFUNCTION("""COMPUTED_VALUE"""),"Sau đại học")</f>
        <v>Sau đại học</v>
      </c>
      <c r="G52" s="4" t="str">
        <f ca="1">IFERROR(__xludf.DUMMYFUNCTION("""COMPUTED_VALUE"""),"Từ 3 đến 5 năm")</f>
        <v>Từ 3 đến 5 năm</v>
      </c>
      <c r="H52" s="4" t="str">
        <f ca="1">IFERROR(__xludf.DUMMYFUNCTION("""COMPUTED_VALUE"""),"Trợ lý kiểm toán")</f>
        <v>Trợ lý kiểm toán</v>
      </c>
      <c r="I52" s="4">
        <f ca="1">IFERROR(__xludf.DUMMYFUNCTION("""COMPUTED_VALUE"""),5)</f>
        <v>5</v>
      </c>
      <c r="J52" s="4">
        <f ca="1">IFERROR(__xludf.DUMMYFUNCTION("""COMPUTED_VALUE"""),4)</f>
        <v>4</v>
      </c>
      <c r="K52" s="4">
        <f ca="1">IFERROR(__xludf.DUMMYFUNCTION("""COMPUTED_VALUE"""),5)</f>
        <v>5</v>
      </c>
      <c r="L52" s="4">
        <f ca="1">IFERROR(__xludf.DUMMYFUNCTION("""COMPUTED_VALUE"""),4)</f>
        <v>4</v>
      </c>
      <c r="M52" s="4">
        <f ca="1">IFERROR(__xludf.DUMMYFUNCTION("""COMPUTED_VALUE"""),4)</f>
        <v>4</v>
      </c>
      <c r="N52" s="4">
        <f ca="1">IFERROR(__xludf.DUMMYFUNCTION("""COMPUTED_VALUE"""),3)</f>
        <v>3</v>
      </c>
      <c r="O52" s="4">
        <f ca="1">IFERROR(__xludf.DUMMYFUNCTION("""COMPUTED_VALUE"""),3)</f>
        <v>3</v>
      </c>
      <c r="P52" s="4">
        <f ca="1">IFERROR(__xludf.DUMMYFUNCTION("""COMPUTED_VALUE"""),5)</f>
        <v>5</v>
      </c>
      <c r="Q52" s="4">
        <f ca="1">IFERROR(__xludf.DUMMYFUNCTION("""COMPUTED_VALUE"""),5)</f>
        <v>5</v>
      </c>
      <c r="R52" s="4">
        <f ca="1">IFERROR(__xludf.DUMMYFUNCTION("""COMPUTED_VALUE"""),5)</f>
        <v>5</v>
      </c>
      <c r="S52" s="4">
        <f ca="1">IFERROR(__xludf.DUMMYFUNCTION("""COMPUTED_VALUE"""),4)</f>
        <v>4</v>
      </c>
      <c r="T52" s="4">
        <f ca="1">IFERROR(__xludf.DUMMYFUNCTION("""COMPUTED_VALUE"""),5)</f>
        <v>5</v>
      </c>
      <c r="U52" s="4">
        <f ca="1">IFERROR(__xludf.DUMMYFUNCTION("""COMPUTED_VALUE"""),5)</f>
        <v>5</v>
      </c>
      <c r="V52" s="4">
        <f ca="1">IFERROR(__xludf.DUMMYFUNCTION("""COMPUTED_VALUE"""),5)</f>
        <v>5</v>
      </c>
      <c r="W52" s="4">
        <f ca="1">IFERROR(__xludf.DUMMYFUNCTION("""COMPUTED_VALUE"""),4)</f>
        <v>4</v>
      </c>
      <c r="X52" s="4">
        <f ca="1">IFERROR(__xludf.DUMMYFUNCTION("""COMPUTED_VALUE"""),3)</f>
        <v>3</v>
      </c>
      <c r="Y52" s="4">
        <f ca="1">IFERROR(__xludf.DUMMYFUNCTION("""COMPUTED_VALUE"""),4)</f>
        <v>4</v>
      </c>
      <c r="Z52" s="4">
        <f ca="1">IFERROR(__xludf.DUMMYFUNCTION("""COMPUTED_VALUE"""),3)</f>
        <v>3</v>
      </c>
      <c r="AA52" s="4">
        <f ca="1">IFERROR(__xludf.DUMMYFUNCTION("""COMPUTED_VALUE"""),4)</f>
        <v>4</v>
      </c>
      <c r="AB52" s="4">
        <f ca="1">IFERROR(__xludf.DUMMYFUNCTION("""COMPUTED_VALUE"""),5)</f>
        <v>5</v>
      </c>
      <c r="AC52" s="4">
        <f ca="1">IFERROR(__xludf.DUMMYFUNCTION("""COMPUTED_VALUE"""),3)</f>
        <v>3</v>
      </c>
      <c r="AD52" s="4">
        <f ca="1">IFERROR(__xludf.DUMMYFUNCTION("""COMPUTED_VALUE"""),2)</f>
        <v>2</v>
      </c>
      <c r="AE52" s="4">
        <f ca="1">IFERROR(__xludf.DUMMYFUNCTION("""COMPUTED_VALUE"""),5)</f>
        <v>5</v>
      </c>
      <c r="AF52" s="4">
        <f ca="1">IFERROR(__xludf.DUMMYFUNCTION("""COMPUTED_VALUE"""),5)</f>
        <v>5</v>
      </c>
      <c r="AG52" s="4">
        <f ca="1">IFERROR(__xludf.DUMMYFUNCTION("""COMPUTED_VALUE"""),5)</f>
        <v>5</v>
      </c>
      <c r="AH52" s="4">
        <f ca="1">IFERROR(__xludf.DUMMYFUNCTION("""COMPUTED_VALUE"""),5)</f>
        <v>5</v>
      </c>
      <c r="AI52" s="4">
        <f ca="1">IFERROR(__xludf.DUMMYFUNCTION("""COMPUTED_VALUE"""),5)</f>
        <v>5</v>
      </c>
      <c r="AJ52" s="4">
        <f ca="1">IFERROR(__xludf.DUMMYFUNCTION("""COMPUTED_VALUE"""),4)</f>
        <v>4</v>
      </c>
      <c r="AK52" s="4">
        <f ca="1">IFERROR(__xludf.DUMMYFUNCTION("""COMPUTED_VALUE"""),4)</f>
        <v>4</v>
      </c>
      <c r="AL52" s="4">
        <f ca="1">IFERROR(__xludf.DUMMYFUNCTION("""COMPUTED_VALUE"""),4)</f>
        <v>4</v>
      </c>
      <c r="AM52" s="4">
        <f ca="1">IFERROR(__xludf.DUMMYFUNCTION("""COMPUTED_VALUE"""),4)</f>
        <v>4</v>
      </c>
      <c r="AN52" s="4">
        <f ca="1">IFERROR(__xludf.DUMMYFUNCTION("""COMPUTED_VALUE"""),3)</f>
        <v>3</v>
      </c>
      <c r="AO52" s="4">
        <f ca="1">IFERROR(__xludf.DUMMYFUNCTION("""COMPUTED_VALUE"""),2)</f>
        <v>2</v>
      </c>
      <c r="AP52" s="4">
        <f ca="1">IFERROR(__xludf.DUMMYFUNCTION("""COMPUTED_VALUE"""),3)</f>
        <v>3</v>
      </c>
      <c r="AQ52" s="4">
        <f ca="1">IFERROR(__xludf.DUMMYFUNCTION("""COMPUTED_VALUE"""),4)</f>
        <v>4</v>
      </c>
      <c r="AR52" s="4">
        <f ca="1">IFERROR(__xludf.DUMMYFUNCTION("""COMPUTED_VALUE"""),4)</f>
        <v>4</v>
      </c>
      <c r="AS52" s="4">
        <f ca="1">IFERROR(__xludf.DUMMYFUNCTION("""COMPUTED_VALUE"""),4)</f>
        <v>4</v>
      </c>
      <c r="AT52" s="4">
        <f ca="1">IFERROR(__xludf.DUMMYFUNCTION("""COMPUTED_VALUE"""),4)</f>
        <v>4</v>
      </c>
      <c r="AU52" s="4">
        <f ca="1">IFERROR(__xludf.DUMMYFUNCTION("""COMPUTED_VALUE"""),3)</f>
        <v>3</v>
      </c>
      <c r="AV52" s="4">
        <f ca="1">IFERROR(__xludf.DUMMYFUNCTION("""COMPUTED_VALUE"""),4)</f>
        <v>4</v>
      </c>
      <c r="AW52" s="4">
        <f ca="1">IFERROR(__xludf.DUMMYFUNCTION("""COMPUTED_VALUE"""),4)</f>
        <v>4</v>
      </c>
      <c r="AX52" s="4">
        <f ca="1">IFERROR(__xludf.DUMMYFUNCTION("""COMPUTED_VALUE"""),4)</f>
        <v>4</v>
      </c>
      <c r="AY52" s="4">
        <f ca="1">IFERROR(__xludf.DUMMYFUNCTION("""COMPUTED_VALUE"""),4)</f>
        <v>4</v>
      </c>
      <c r="AZ52" s="4">
        <f ca="1">IFERROR(__xludf.DUMMYFUNCTION("""COMPUTED_VALUE"""),4)</f>
        <v>4</v>
      </c>
      <c r="BA52" s="4">
        <f ca="1">IFERROR(__xludf.DUMMYFUNCTION("""COMPUTED_VALUE"""),4)</f>
        <v>4</v>
      </c>
      <c r="BB52" s="4">
        <f ca="1">IFERROR(__xludf.DUMMYFUNCTION("""COMPUTED_VALUE"""),4)</f>
        <v>4</v>
      </c>
      <c r="BC52" s="4">
        <f ca="1">IFERROR(__xludf.DUMMYFUNCTION("""COMPUTED_VALUE"""),2)</f>
        <v>2</v>
      </c>
      <c r="BD52" s="4">
        <f ca="1">IFERROR(__xludf.DUMMYFUNCTION("""COMPUTED_VALUE"""),4)</f>
        <v>4</v>
      </c>
      <c r="BE52" s="4">
        <f ca="1">IFERROR(__xludf.DUMMYFUNCTION("""COMPUTED_VALUE"""),2)</f>
        <v>2</v>
      </c>
      <c r="BF52" s="4">
        <f ca="1">IFERROR(__xludf.DUMMYFUNCTION("""COMPUTED_VALUE"""),2)</f>
        <v>2</v>
      </c>
      <c r="BG52" s="4">
        <f ca="1">IFERROR(__xludf.DUMMYFUNCTION("""COMPUTED_VALUE"""),2)</f>
        <v>2</v>
      </c>
      <c r="BH52" s="4">
        <f ca="1">IFERROR(__xludf.DUMMYFUNCTION("""COMPUTED_VALUE"""),4)</f>
        <v>4</v>
      </c>
      <c r="BI52" s="4">
        <f ca="1">IFERROR(__xludf.DUMMYFUNCTION("""COMPUTED_VALUE"""),4)</f>
        <v>4</v>
      </c>
      <c r="BJ52" s="4">
        <f ca="1">IFERROR(__xludf.DUMMYFUNCTION("""COMPUTED_VALUE"""),4)</f>
        <v>4</v>
      </c>
      <c r="BK52" s="4">
        <f ca="1">IFERROR(__xludf.DUMMYFUNCTION("""COMPUTED_VALUE"""),4)</f>
        <v>4</v>
      </c>
      <c r="BL52" s="4">
        <f ca="1">IFERROR(__xludf.DUMMYFUNCTION("""COMPUTED_VALUE"""),4)</f>
        <v>4</v>
      </c>
      <c r="BM52" s="4">
        <f ca="1">IFERROR(__xludf.DUMMYFUNCTION("""COMPUTED_VALUE"""),4)</f>
        <v>4</v>
      </c>
      <c r="BN52" s="4">
        <f ca="1">IFERROR(__xludf.DUMMYFUNCTION("""COMPUTED_VALUE"""),4)</f>
        <v>4</v>
      </c>
      <c r="BO52" s="4">
        <f ca="1">IFERROR(__xludf.DUMMYFUNCTION("""COMPUTED_VALUE"""),4)</f>
        <v>4</v>
      </c>
      <c r="BP52" s="4">
        <f ca="1">IFERROR(__xludf.DUMMYFUNCTION("""COMPUTED_VALUE"""),4)</f>
        <v>4</v>
      </c>
    </row>
    <row r="53" spans="1:68" ht="13.2" x14ac:dyDescent="0.25">
      <c r="A53" s="4" t="str">
        <f ca="1">IFERROR(__xludf.DUMMYFUNCTION("""COMPUTED_VALUE"""),"2_ABaOnud0AN3mxU4QKm7Eq0FeOKOWW2pwzAcMy7UtPhwU7yHnvs_7x_KVE5LMJGhlGw")</f>
        <v>2_ABaOnud0AN3mxU4QKm7Eq0FeOKOWW2pwzAcMy7UtPhwU7yHnvs_7x_KVE5LMJGhlGw</v>
      </c>
      <c r="B53" s="5">
        <f ca="1">IFERROR(__xludf.DUMMYFUNCTION("""COMPUTED_VALUE"""),45967.6577650694)</f>
        <v>45967.657765069402</v>
      </c>
      <c r="C53" s="4" t="str">
        <f ca="1">IFERROR(__xludf.DUMMYFUNCTION("""COMPUTED_VALUE"""),"Trần Quốc Bảo")</f>
        <v>Trần Quốc Bảo</v>
      </c>
      <c r="D53" s="4" t="str">
        <f ca="1">IFERROR(__xludf.DUMMYFUNCTION("""COMPUTED_VALUE"""),"Nam")</f>
        <v>Nam</v>
      </c>
      <c r="E53" s="4" t="str">
        <f ca="1">IFERROR(__xludf.DUMMYFUNCTION("""COMPUTED_VALUE"""),"Công ty TNHH Kiểm toán và Tư vấn Chuẩn Việt")</f>
        <v>Công ty TNHH Kiểm toán và Tư vấn Chuẩn Việt</v>
      </c>
      <c r="F53" s="4" t="str">
        <f ca="1">IFERROR(__xludf.DUMMYFUNCTION("""COMPUTED_VALUE"""),"Đại học")</f>
        <v>Đại học</v>
      </c>
      <c r="G53" s="4" t="str">
        <f ca="1">IFERROR(__xludf.DUMMYFUNCTION("""COMPUTED_VALUE"""),"Trên 5 đến 10 năm")</f>
        <v>Trên 5 đến 10 năm</v>
      </c>
      <c r="H53" s="4" t="str">
        <f ca="1">IFERROR(__xludf.DUMMYFUNCTION("""COMPUTED_VALUE"""),"Kiểm toán viên/Trưởng nhóm")</f>
        <v>Kiểm toán viên/Trưởng nhóm</v>
      </c>
      <c r="I53" s="4">
        <f ca="1">IFERROR(__xludf.DUMMYFUNCTION("""COMPUTED_VALUE"""),5)</f>
        <v>5</v>
      </c>
      <c r="J53" s="4">
        <f ca="1">IFERROR(__xludf.DUMMYFUNCTION("""COMPUTED_VALUE"""),5)</f>
        <v>5</v>
      </c>
      <c r="K53" s="4">
        <f ca="1">IFERROR(__xludf.DUMMYFUNCTION("""COMPUTED_VALUE"""),3)</f>
        <v>3</v>
      </c>
      <c r="L53" s="4">
        <f ca="1">IFERROR(__xludf.DUMMYFUNCTION("""COMPUTED_VALUE"""),5)</f>
        <v>5</v>
      </c>
      <c r="M53" s="4">
        <f ca="1">IFERROR(__xludf.DUMMYFUNCTION("""COMPUTED_VALUE"""),5)</f>
        <v>5</v>
      </c>
      <c r="N53" s="4">
        <f ca="1">IFERROR(__xludf.DUMMYFUNCTION("""COMPUTED_VALUE"""),3)</f>
        <v>3</v>
      </c>
      <c r="O53" s="4">
        <f ca="1">IFERROR(__xludf.DUMMYFUNCTION("""COMPUTED_VALUE"""),4)</f>
        <v>4</v>
      </c>
      <c r="P53" s="4">
        <f ca="1">IFERROR(__xludf.DUMMYFUNCTION("""COMPUTED_VALUE"""),4)</f>
        <v>4</v>
      </c>
      <c r="Q53" s="4">
        <f ca="1">IFERROR(__xludf.DUMMYFUNCTION("""COMPUTED_VALUE"""),5)</f>
        <v>5</v>
      </c>
      <c r="R53" s="4">
        <f ca="1">IFERROR(__xludf.DUMMYFUNCTION("""COMPUTED_VALUE"""),5)</f>
        <v>5</v>
      </c>
      <c r="S53" s="4">
        <f ca="1">IFERROR(__xludf.DUMMYFUNCTION("""COMPUTED_VALUE"""),5)</f>
        <v>5</v>
      </c>
      <c r="T53" s="4">
        <f ca="1">IFERROR(__xludf.DUMMYFUNCTION("""COMPUTED_VALUE"""),5)</f>
        <v>5</v>
      </c>
      <c r="U53" s="4">
        <f ca="1">IFERROR(__xludf.DUMMYFUNCTION("""COMPUTED_VALUE"""),5)</f>
        <v>5</v>
      </c>
      <c r="V53" s="4">
        <f ca="1">IFERROR(__xludf.DUMMYFUNCTION("""COMPUTED_VALUE"""),5)</f>
        <v>5</v>
      </c>
      <c r="W53" s="4">
        <f ca="1">IFERROR(__xludf.DUMMYFUNCTION("""COMPUTED_VALUE"""),3)</f>
        <v>3</v>
      </c>
      <c r="X53" s="4">
        <f ca="1">IFERROR(__xludf.DUMMYFUNCTION("""COMPUTED_VALUE"""),4)</f>
        <v>4</v>
      </c>
      <c r="Y53" s="4">
        <f ca="1">IFERROR(__xludf.DUMMYFUNCTION("""COMPUTED_VALUE"""),5)</f>
        <v>5</v>
      </c>
      <c r="Z53" s="4">
        <f ca="1">IFERROR(__xludf.DUMMYFUNCTION("""COMPUTED_VALUE"""),4)</f>
        <v>4</v>
      </c>
      <c r="AA53" s="4">
        <f ca="1">IFERROR(__xludf.DUMMYFUNCTION("""COMPUTED_VALUE"""),5)</f>
        <v>5</v>
      </c>
      <c r="AB53" s="4">
        <f ca="1">IFERROR(__xludf.DUMMYFUNCTION("""COMPUTED_VALUE"""),5)</f>
        <v>5</v>
      </c>
      <c r="AC53" s="4">
        <f ca="1">IFERROR(__xludf.DUMMYFUNCTION("""COMPUTED_VALUE"""),4)</f>
        <v>4</v>
      </c>
      <c r="AD53" s="4">
        <f ca="1">IFERROR(__xludf.DUMMYFUNCTION("""COMPUTED_VALUE"""),5)</f>
        <v>5</v>
      </c>
      <c r="AE53" s="4">
        <f ca="1">IFERROR(__xludf.DUMMYFUNCTION("""COMPUTED_VALUE"""),5)</f>
        <v>5</v>
      </c>
      <c r="AF53" s="4">
        <f ca="1">IFERROR(__xludf.DUMMYFUNCTION("""COMPUTED_VALUE"""),4)</f>
        <v>4</v>
      </c>
      <c r="AG53" s="4">
        <f ca="1">IFERROR(__xludf.DUMMYFUNCTION("""COMPUTED_VALUE"""),4)</f>
        <v>4</v>
      </c>
      <c r="AH53" s="4">
        <f ca="1">IFERROR(__xludf.DUMMYFUNCTION("""COMPUTED_VALUE"""),4)</f>
        <v>4</v>
      </c>
      <c r="AI53" s="4">
        <f ca="1">IFERROR(__xludf.DUMMYFUNCTION("""COMPUTED_VALUE"""),3)</f>
        <v>3</v>
      </c>
      <c r="AJ53" s="4">
        <f ca="1">IFERROR(__xludf.DUMMYFUNCTION("""COMPUTED_VALUE"""),5)</f>
        <v>5</v>
      </c>
      <c r="AK53" s="4">
        <f ca="1">IFERROR(__xludf.DUMMYFUNCTION("""COMPUTED_VALUE"""),5)</f>
        <v>5</v>
      </c>
      <c r="AL53" s="4">
        <f ca="1">IFERROR(__xludf.DUMMYFUNCTION("""COMPUTED_VALUE"""),5)</f>
        <v>5</v>
      </c>
      <c r="AM53" s="4">
        <f ca="1">IFERROR(__xludf.DUMMYFUNCTION("""COMPUTED_VALUE"""),5)</f>
        <v>5</v>
      </c>
      <c r="AN53" s="4">
        <f ca="1">IFERROR(__xludf.DUMMYFUNCTION("""COMPUTED_VALUE"""),5)</f>
        <v>5</v>
      </c>
      <c r="AO53" s="4">
        <f ca="1">IFERROR(__xludf.DUMMYFUNCTION("""COMPUTED_VALUE"""),2)</f>
        <v>2</v>
      </c>
      <c r="AP53" s="4">
        <f ca="1">IFERROR(__xludf.DUMMYFUNCTION("""COMPUTED_VALUE"""),3)</f>
        <v>3</v>
      </c>
      <c r="AQ53" s="4">
        <f ca="1">IFERROR(__xludf.DUMMYFUNCTION("""COMPUTED_VALUE"""),4)</f>
        <v>4</v>
      </c>
      <c r="AR53" s="4">
        <f ca="1">IFERROR(__xludf.DUMMYFUNCTION("""COMPUTED_VALUE"""),3)</f>
        <v>3</v>
      </c>
      <c r="AS53" s="4">
        <f ca="1">IFERROR(__xludf.DUMMYFUNCTION("""COMPUTED_VALUE"""),3)</f>
        <v>3</v>
      </c>
      <c r="AT53" s="4">
        <f ca="1">IFERROR(__xludf.DUMMYFUNCTION("""COMPUTED_VALUE"""),4)</f>
        <v>4</v>
      </c>
      <c r="AU53" s="4">
        <f ca="1">IFERROR(__xludf.DUMMYFUNCTION("""COMPUTED_VALUE"""),4)</f>
        <v>4</v>
      </c>
      <c r="AV53" s="4">
        <f ca="1">IFERROR(__xludf.DUMMYFUNCTION("""COMPUTED_VALUE"""),4)</f>
        <v>4</v>
      </c>
      <c r="AW53" s="4">
        <f ca="1">IFERROR(__xludf.DUMMYFUNCTION("""COMPUTED_VALUE"""),4)</f>
        <v>4</v>
      </c>
      <c r="AX53" s="4">
        <f ca="1">IFERROR(__xludf.DUMMYFUNCTION("""COMPUTED_VALUE"""),5)</f>
        <v>5</v>
      </c>
      <c r="AY53" s="4">
        <f ca="1">IFERROR(__xludf.DUMMYFUNCTION("""COMPUTED_VALUE"""),5)</f>
        <v>5</v>
      </c>
      <c r="AZ53" s="4">
        <f ca="1">IFERROR(__xludf.DUMMYFUNCTION("""COMPUTED_VALUE"""),5)</f>
        <v>5</v>
      </c>
      <c r="BA53" s="4">
        <f ca="1">IFERROR(__xludf.DUMMYFUNCTION("""COMPUTED_VALUE"""),5)</f>
        <v>5</v>
      </c>
      <c r="BB53" s="4">
        <f ca="1">IFERROR(__xludf.DUMMYFUNCTION("""COMPUTED_VALUE"""),4)</f>
        <v>4</v>
      </c>
      <c r="BC53" s="4">
        <f ca="1">IFERROR(__xludf.DUMMYFUNCTION("""COMPUTED_VALUE"""),3)</f>
        <v>3</v>
      </c>
      <c r="BD53" s="4">
        <f ca="1">IFERROR(__xludf.DUMMYFUNCTION("""COMPUTED_VALUE"""),4)</f>
        <v>4</v>
      </c>
      <c r="BE53" s="4">
        <f ca="1">IFERROR(__xludf.DUMMYFUNCTION("""COMPUTED_VALUE"""),3)</f>
        <v>3</v>
      </c>
      <c r="BF53" s="4">
        <f ca="1">IFERROR(__xludf.DUMMYFUNCTION("""COMPUTED_VALUE"""),4)</f>
        <v>4</v>
      </c>
      <c r="BG53" s="4">
        <f ca="1">IFERROR(__xludf.DUMMYFUNCTION("""COMPUTED_VALUE"""),3)</f>
        <v>3</v>
      </c>
      <c r="BH53" s="4">
        <f ca="1">IFERROR(__xludf.DUMMYFUNCTION("""COMPUTED_VALUE"""),5)</f>
        <v>5</v>
      </c>
      <c r="BI53" s="4">
        <f ca="1">IFERROR(__xludf.DUMMYFUNCTION("""COMPUTED_VALUE"""),5)</f>
        <v>5</v>
      </c>
      <c r="BJ53" s="4">
        <f ca="1">IFERROR(__xludf.DUMMYFUNCTION("""COMPUTED_VALUE"""),5)</f>
        <v>5</v>
      </c>
      <c r="BK53" s="4">
        <f ca="1">IFERROR(__xludf.DUMMYFUNCTION("""COMPUTED_VALUE"""),5)</f>
        <v>5</v>
      </c>
      <c r="BL53" s="4">
        <f ca="1">IFERROR(__xludf.DUMMYFUNCTION("""COMPUTED_VALUE"""),5)</f>
        <v>5</v>
      </c>
      <c r="BM53" s="4">
        <f ca="1">IFERROR(__xludf.DUMMYFUNCTION("""COMPUTED_VALUE"""),5)</f>
        <v>5</v>
      </c>
      <c r="BN53" s="4">
        <f ca="1">IFERROR(__xludf.DUMMYFUNCTION("""COMPUTED_VALUE"""),5)</f>
        <v>5</v>
      </c>
      <c r="BO53" s="4">
        <f ca="1">IFERROR(__xludf.DUMMYFUNCTION("""COMPUTED_VALUE"""),5)</f>
        <v>5</v>
      </c>
      <c r="BP53" s="4">
        <f ca="1">IFERROR(__xludf.DUMMYFUNCTION("""COMPUTED_VALUE"""),4)</f>
        <v>4</v>
      </c>
    </row>
    <row r="54" spans="1:68" ht="13.2" x14ac:dyDescent="0.25">
      <c r="A54" s="4" t="str">
        <f ca="1">IFERROR(__xludf.DUMMYFUNCTION("""COMPUTED_VALUE"""),"2_ABaOnudGWrZPdpEe1VP7v_SWvpcGdLIKYAzHp5CLs68HRcGrXhfaNbiTDJUYIzfkaw")</f>
        <v>2_ABaOnudGWrZPdpEe1VP7v_SWvpcGdLIKYAzHp5CLs68HRcGrXhfaNbiTDJUYIzfkaw</v>
      </c>
      <c r="B54" s="5">
        <f ca="1">IFERROR(__xludf.DUMMYFUNCTION("""COMPUTED_VALUE"""),45967.6605825)</f>
        <v>45967.660582500001</v>
      </c>
      <c r="C54" s="4" t="str">
        <f ca="1">IFERROR(__xludf.DUMMYFUNCTION("""COMPUTED_VALUE"""),"Nguyễn Văn Thiện")</f>
        <v>Nguyễn Văn Thiện</v>
      </c>
      <c r="D54" s="4" t="str">
        <f ca="1">IFERROR(__xludf.DUMMYFUNCTION("""COMPUTED_VALUE"""),"Nam")</f>
        <v>Nam</v>
      </c>
      <c r="E54" s="4" t="str">
        <f ca="1">IFERROR(__xludf.DUMMYFUNCTION("""COMPUTED_VALUE"""),"AAC")</f>
        <v>AAC</v>
      </c>
      <c r="F54" s="4" t="str">
        <f ca="1">IFERROR(__xludf.DUMMYFUNCTION("""COMPUTED_VALUE"""),"Đại học, Chứng chỉ Kiểm toán viên")</f>
        <v>Đại học, Chứng chỉ Kiểm toán viên</v>
      </c>
      <c r="G54" s="4" t="str">
        <f ca="1">IFERROR(__xludf.DUMMYFUNCTION("""COMPUTED_VALUE"""),"Trên 15 đến 20 năm")</f>
        <v>Trên 15 đến 20 năm</v>
      </c>
      <c r="H54" s="4" t="str">
        <f ca="1">IFERROR(__xludf.DUMMYFUNCTION("""COMPUTED_VALUE"""),"Trưởng phòng")</f>
        <v>Trưởng phòng</v>
      </c>
      <c r="I54" s="4">
        <f ca="1">IFERROR(__xludf.DUMMYFUNCTION("""COMPUTED_VALUE"""),5)</f>
        <v>5</v>
      </c>
      <c r="J54" s="4">
        <f ca="1">IFERROR(__xludf.DUMMYFUNCTION("""COMPUTED_VALUE"""),5)</f>
        <v>5</v>
      </c>
      <c r="K54" s="4">
        <f ca="1">IFERROR(__xludf.DUMMYFUNCTION("""COMPUTED_VALUE"""),5)</f>
        <v>5</v>
      </c>
      <c r="L54" s="4">
        <f ca="1">IFERROR(__xludf.DUMMYFUNCTION("""COMPUTED_VALUE"""),5)</f>
        <v>5</v>
      </c>
      <c r="M54" s="4">
        <f ca="1">IFERROR(__xludf.DUMMYFUNCTION("""COMPUTED_VALUE"""),5)</f>
        <v>5</v>
      </c>
      <c r="N54" s="4">
        <f ca="1">IFERROR(__xludf.DUMMYFUNCTION("""COMPUTED_VALUE"""),5)</f>
        <v>5</v>
      </c>
      <c r="O54" s="4">
        <f ca="1">IFERROR(__xludf.DUMMYFUNCTION("""COMPUTED_VALUE"""),4)</f>
        <v>4</v>
      </c>
      <c r="P54" s="4">
        <f ca="1">IFERROR(__xludf.DUMMYFUNCTION("""COMPUTED_VALUE"""),3)</f>
        <v>3</v>
      </c>
      <c r="Q54" s="4">
        <f ca="1">IFERROR(__xludf.DUMMYFUNCTION("""COMPUTED_VALUE"""),3)</f>
        <v>3</v>
      </c>
      <c r="R54" s="4">
        <f ca="1">IFERROR(__xludf.DUMMYFUNCTION("""COMPUTED_VALUE"""),5)</f>
        <v>5</v>
      </c>
      <c r="S54" s="4">
        <f ca="1">IFERROR(__xludf.DUMMYFUNCTION("""COMPUTED_VALUE"""),5)</f>
        <v>5</v>
      </c>
      <c r="T54" s="4">
        <f ca="1">IFERROR(__xludf.DUMMYFUNCTION("""COMPUTED_VALUE"""),5)</f>
        <v>5</v>
      </c>
      <c r="U54" s="4">
        <f ca="1">IFERROR(__xludf.DUMMYFUNCTION("""COMPUTED_VALUE"""),5)</f>
        <v>5</v>
      </c>
      <c r="V54" s="4">
        <f ca="1">IFERROR(__xludf.DUMMYFUNCTION("""COMPUTED_VALUE"""),5)</f>
        <v>5</v>
      </c>
      <c r="W54" s="4">
        <f ca="1">IFERROR(__xludf.DUMMYFUNCTION("""COMPUTED_VALUE"""),5)</f>
        <v>5</v>
      </c>
      <c r="X54" s="4">
        <f ca="1">IFERROR(__xludf.DUMMYFUNCTION("""COMPUTED_VALUE"""),5)</f>
        <v>5</v>
      </c>
      <c r="Y54" s="4">
        <f ca="1">IFERROR(__xludf.DUMMYFUNCTION("""COMPUTED_VALUE"""),4)</f>
        <v>4</v>
      </c>
      <c r="Z54" s="4">
        <f ca="1">IFERROR(__xludf.DUMMYFUNCTION("""COMPUTED_VALUE"""),4)</f>
        <v>4</v>
      </c>
      <c r="AA54" s="4">
        <f ca="1">IFERROR(__xludf.DUMMYFUNCTION("""COMPUTED_VALUE"""),3)</f>
        <v>3</v>
      </c>
      <c r="AB54" s="4">
        <f ca="1">IFERROR(__xludf.DUMMYFUNCTION("""COMPUTED_VALUE"""),4)</f>
        <v>4</v>
      </c>
      <c r="AC54" s="4">
        <f ca="1">IFERROR(__xludf.DUMMYFUNCTION("""COMPUTED_VALUE"""),4)</f>
        <v>4</v>
      </c>
      <c r="AD54" s="4">
        <f ca="1">IFERROR(__xludf.DUMMYFUNCTION("""COMPUTED_VALUE"""),4)</f>
        <v>4</v>
      </c>
      <c r="AE54" s="4">
        <f ca="1">IFERROR(__xludf.DUMMYFUNCTION("""COMPUTED_VALUE"""),5)</f>
        <v>5</v>
      </c>
      <c r="AF54" s="4">
        <f ca="1">IFERROR(__xludf.DUMMYFUNCTION("""COMPUTED_VALUE"""),4)</f>
        <v>4</v>
      </c>
      <c r="AG54" s="4">
        <f ca="1">IFERROR(__xludf.DUMMYFUNCTION("""COMPUTED_VALUE"""),4)</f>
        <v>4</v>
      </c>
      <c r="AH54" s="4">
        <f ca="1">IFERROR(__xludf.DUMMYFUNCTION("""COMPUTED_VALUE"""),4)</f>
        <v>4</v>
      </c>
      <c r="AI54" s="4">
        <f ca="1">IFERROR(__xludf.DUMMYFUNCTION("""COMPUTED_VALUE"""),4)</f>
        <v>4</v>
      </c>
      <c r="AJ54" s="4">
        <f ca="1">IFERROR(__xludf.DUMMYFUNCTION("""COMPUTED_VALUE"""),3)</f>
        <v>3</v>
      </c>
      <c r="AK54" s="4">
        <f ca="1">IFERROR(__xludf.DUMMYFUNCTION("""COMPUTED_VALUE"""),3)</f>
        <v>3</v>
      </c>
      <c r="AL54" s="4">
        <f ca="1">IFERROR(__xludf.DUMMYFUNCTION("""COMPUTED_VALUE"""),3)</f>
        <v>3</v>
      </c>
      <c r="AM54" s="4">
        <f ca="1">IFERROR(__xludf.DUMMYFUNCTION("""COMPUTED_VALUE"""),3)</f>
        <v>3</v>
      </c>
      <c r="AN54" s="4">
        <f ca="1">IFERROR(__xludf.DUMMYFUNCTION("""COMPUTED_VALUE"""),3)</f>
        <v>3</v>
      </c>
      <c r="AO54" s="4">
        <f ca="1">IFERROR(__xludf.DUMMYFUNCTION("""COMPUTED_VALUE"""),3)</f>
        <v>3</v>
      </c>
      <c r="AP54" s="4">
        <f ca="1">IFERROR(__xludf.DUMMYFUNCTION("""COMPUTED_VALUE"""),3)</f>
        <v>3</v>
      </c>
      <c r="AQ54" s="4">
        <f ca="1">IFERROR(__xludf.DUMMYFUNCTION("""COMPUTED_VALUE"""),4)</f>
        <v>4</v>
      </c>
      <c r="AR54" s="4">
        <f ca="1">IFERROR(__xludf.DUMMYFUNCTION("""COMPUTED_VALUE"""),3)</f>
        <v>3</v>
      </c>
      <c r="AS54" s="4">
        <f ca="1">IFERROR(__xludf.DUMMYFUNCTION("""COMPUTED_VALUE"""),3)</f>
        <v>3</v>
      </c>
      <c r="AT54" s="4">
        <f ca="1">IFERROR(__xludf.DUMMYFUNCTION("""COMPUTED_VALUE"""),3)</f>
        <v>3</v>
      </c>
      <c r="AU54" s="4">
        <f ca="1">IFERROR(__xludf.DUMMYFUNCTION("""COMPUTED_VALUE"""),3)</f>
        <v>3</v>
      </c>
      <c r="AV54" s="4">
        <f ca="1">IFERROR(__xludf.DUMMYFUNCTION("""COMPUTED_VALUE"""),3)</f>
        <v>3</v>
      </c>
      <c r="AW54" s="4">
        <f ca="1">IFERROR(__xludf.DUMMYFUNCTION("""COMPUTED_VALUE"""),3)</f>
        <v>3</v>
      </c>
      <c r="AX54" s="4">
        <f ca="1">IFERROR(__xludf.DUMMYFUNCTION("""COMPUTED_VALUE"""),5)</f>
        <v>5</v>
      </c>
      <c r="AY54" s="4">
        <f ca="1">IFERROR(__xludf.DUMMYFUNCTION("""COMPUTED_VALUE"""),5)</f>
        <v>5</v>
      </c>
      <c r="AZ54" s="4">
        <f ca="1">IFERROR(__xludf.DUMMYFUNCTION("""COMPUTED_VALUE"""),4)</f>
        <v>4</v>
      </c>
      <c r="BA54" s="4">
        <f ca="1">IFERROR(__xludf.DUMMYFUNCTION("""COMPUTED_VALUE"""),4)</f>
        <v>4</v>
      </c>
      <c r="BB54" s="4">
        <f ca="1">IFERROR(__xludf.DUMMYFUNCTION("""COMPUTED_VALUE"""),4)</f>
        <v>4</v>
      </c>
      <c r="BC54" s="4">
        <f ca="1">IFERROR(__xludf.DUMMYFUNCTION("""COMPUTED_VALUE"""),4)</f>
        <v>4</v>
      </c>
      <c r="BD54" s="4">
        <f ca="1">IFERROR(__xludf.DUMMYFUNCTION("""COMPUTED_VALUE"""),5)</f>
        <v>5</v>
      </c>
      <c r="BE54" s="4">
        <f ca="1">IFERROR(__xludf.DUMMYFUNCTION("""COMPUTED_VALUE"""),4)</f>
        <v>4</v>
      </c>
      <c r="BF54" s="4">
        <f ca="1">IFERROR(__xludf.DUMMYFUNCTION("""COMPUTED_VALUE"""),4)</f>
        <v>4</v>
      </c>
      <c r="BG54" s="4">
        <f ca="1">IFERROR(__xludf.DUMMYFUNCTION("""COMPUTED_VALUE"""),3)</f>
        <v>3</v>
      </c>
      <c r="BH54" s="4">
        <f ca="1">IFERROR(__xludf.DUMMYFUNCTION("""COMPUTED_VALUE"""),4)</f>
        <v>4</v>
      </c>
      <c r="BI54" s="4">
        <f ca="1">IFERROR(__xludf.DUMMYFUNCTION("""COMPUTED_VALUE"""),4)</f>
        <v>4</v>
      </c>
      <c r="BJ54" s="4">
        <f ca="1">IFERROR(__xludf.DUMMYFUNCTION("""COMPUTED_VALUE"""),4)</f>
        <v>4</v>
      </c>
      <c r="BK54" s="4">
        <f ca="1">IFERROR(__xludf.DUMMYFUNCTION("""COMPUTED_VALUE"""),4)</f>
        <v>4</v>
      </c>
      <c r="BL54" s="4">
        <f ca="1">IFERROR(__xludf.DUMMYFUNCTION("""COMPUTED_VALUE"""),4)</f>
        <v>4</v>
      </c>
      <c r="BM54" s="4">
        <f ca="1">IFERROR(__xludf.DUMMYFUNCTION("""COMPUTED_VALUE"""),4)</f>
        <v>4</v>
      </c>
      <c r="BN54" s="4">
        <f ca="1">IFERROR(__xludf.DUMMYFUNCTION("""COMPUTED_VALUE"""),4)</f>
        <v>4</v>
      </c>
      <c r="BO54" s="4">
        <f ca="1">IFERROR(__xludf.DUMMYFUNCTION("""COMPUTED_VALUE"""),4)</f>
        <v>4</v>
      </c>
      <c r="BP54" s="4">
        <f ca="1">IFERROR(__xludf.DUMMYFUNCTION("""COMPUTED_VALUE"""),4)</f>
        <v>4</v>
      </c>
    </row>
    <row r="55" spans="1:68" ht="13.2" x14ac:dyDescent="0.25">
      <c r="A55" s="4" t="str">
        <f ca="1">IFERROR(__xludf.DUMMYFUNCTION("""COMPUTED_VALUE"""),"2_ABaOnucJCSZl0UxXBAJbilIljS3cygwYuz0XXX_gNoV_katBaG8n-zUCXdYJs7h_Qw")</f>
        <v>2_ABaOnucJCSZl0UxXBAJbilIljS3cygwYuz0XXX_gNoV_katBaG8n-zUCXdYJs7h_Qw</v>
      </c>
      <c r="B55" s="5">
        <f ca="1">IFERROR(__xludf.DUMMYFUNCTION("""COMPUTED_VALUE"""),45967.6623423148)</f>
        <v>45967.662342314798</v>
      </c>
      <c r="C55" s="4" t="str">
        <f ca="1">IFERROR(__xludf.DUMMYFUNCTION("""COMPUTED_VALUE"""),"Nguyễn Văn Long")</f>
        <v>Nguyễn Văn Long</v>
      </c>
      <c r="D55" s="4" t="str">
        <f ca="1">IFERROR(__xludf.DUMMYFUNCTION("""COMPUTED_VALUE"""),"Nam")</f>
        <v>Nam</v>
      </c>
      <c r="E55" s="4" t="str">
        <f ca="1">IFERROR(__xludf.DUMMYFUNCTION("""COMPUTED_VALUE"""),"Công ty TNHH Kiểm toán và Tư vấn VSA")</f>
        <v>Công ty TNHH Kiểm toán và Tư vấn VSA</v>
      </c>
      <c r="F55" s="4" t="str">
        <f ca="1">IFERROR(__xludf.DUMMYFUNCTION("""COMPUTED_VALUE"""),"Sau đại học, Chứng chỉ Kiểm toán viên")</f>
        <v>Sau đại học, Chứng chỉ Kiểm toán viên</v>
      </c>
      <c r="G55" s="4" t="str">
        <f ca="1">IFERROR(__xludf.DUMMYFUNCTION("""COMPUTED_VALUE"""),"Trên 10 đến 15 năm")</f>
        <v>Trên 10 đến 15 năm</v>
      </c>
      <c r="H55" s="4" t="str">
        <f ca="1">IFERROR(__xludf.DUMMYFUNCTION("""COMPUTED_VALUE"""),"Ban giám đốc")</f>
        <v>Ban giám đốc</v>
      </c>
      <c r="I55" s="4">
        <f ca="1">IFERROR(__xludf.DUMMYFUNCTION("""COMPUTED_VALUE"""),5)</f>
        <v>5</v>
      </c>
      <c r="J55" s="4">
        <f ca="1">IFERROR(__xludf.DUMMYFUNCTION("""COMPUTED_VALUE"""),5)</f>
        <v>5</v>
      </c>
      <c r="K55" s="4">
        <f ca="1">IFERROR(__xludf.DUMMYFUNCTION("""COMPUTED_VALUE"""),5)</f>
        <v>5</v>
      </c>
      <c r="L55" s="4">
        <f ca="1">IFERROR(__xludf.DUMMYFUNCTION("""COMPUTED_VALUE"""),4)</f>
        <v>4</v>
      </c>
      <c r="M55" s="4">
        <f ca="1">IFERROR(__xludf.DUMMYFUNCTION("""COMPUTED_VALUE"""),4)</f>
        <v>4</v>
      </c>
      <c r="N55" s="4">
        <f ca="1">IFERROR(__xludf.DUMMYFUNCTION("""COMPUTED_VALUE"""),4)</f>
        <v>4</v>
      </c>
      <c r="O55" s="4">
        <f ca="1">IFERROR(__xludf.DUMMYFUNCTION("""COMPUTED_VALUE"""),4)</f>
        <v>4</v>
      </c>
      <c r="P55" s="4">
        <f ca="1">IFERROR(__xludf.DUMMYFUNCTION("""COMPUTED_VALUE"""),4)</f>
        <v>4</v>
      </c>
      <c r="Q55" s="4">
        <f ca="1">IFERROR(__xludf.DUMMYFUNCTION("""COMPUTED_VALUE"""),4)</f>
        <v>4</v>
      </c>
      <c r="R55" s="4">
        <f ca="1">IFERROR(__xludf.DUMMYFUNCTION("""COMPUTED_VALUE"""),4)</f>
        <v>4</v>
      </c>
      <c r="S55" s="4">
        <f ca="1">IFERROR(__xludf.DUMMYFUNCTION("""COMPUTED_VALUE"""),4)</f>
        <v>4</v>
      </c>
      <c r="T55" s="4">
        <f ca="1">IFERROR(__xludf.DUMMYFUNCTION("""COMPUTED_VALUE"""),4)</f>
        <v>4</v>
      </c>
      <c r="U55" s="4">
        <f ca="1">IFERROR(__xludf.DUMMYFUNCTION("""COMPUTED_VALUE"""),4)</f>
        <v>4</v>
      </c>
      <c r="V55" s="4">
        <f ca="1">IFERROR(__xludf.DUMMYFUNCTION("""COMPUTED_VALUE"""),4)</f>
        <v>4</v>
      </c>
      <c r="W55" s="4">
        <f ca="1">IFERROR(__xludf.DUMMYFUNCTION("""COMPUTED_VALUE"""),4)</f>
        <v>4</v>
      </c>
      <c r="X55" s="4">
        <f ca="1">IFERROR(__xludf.DUMMYFUNCTION("""COMPUTED_VALUE"""),4)</f>
        <v>4</v>
      </c>
      <c r="Y55" s="4">
        <f ca="1">IFERROR(__xludf.DUMMYFUNCTION("""COMPUTED_VALUE"""),4)</f>
        <v>4</v>
      </c>
      <c r="Z55" s="4">
        <f ca="1">IFERROR(__xludf.DUMMYFUNCTION("""COMPUTED_VALUE"""),4)</f>
        <v>4</v>
      </c>
      <c r="AA55" s="4">
        <f ca="1">IFERROR(__xludf.DUMMYFUNCTION("""COMPUTED_VALUE"""),4)</f>
        <v>4</v>
      </c>
      <c r="AB55" s="4">
        <f ca="1">IFERROR(__xludf.DUMMYFUNCTION("""COMPUTED_VALUE"""),4)</f>
        <v>4</v>
      </c>
      <c r="AC55" s="4">
        <f ca="1">IFERROR(__xludf.DUMMYFUNCTION("""COMPUTED_VALUE"""),4)</f>
        <v>4</v>
      </c>
      <c r="AD55" s="4">
        <f ca="1">IFERROR(__xludf.DUMMYFUNCTION("""COMPUTED_VALUE"""),4)</f>
        <v>4</v>
      </c>
      <c r="AE55" s="4">
        <f ca="1">IFERROR(__xludf.DUMMYFUNCTION("""COMPUTED_VALUE"""),4)</f>
        <v>4</v>
      </c>
      <c r="AF55" s="4">
        <f ca="1">IFERROR(__xludf.DUMMYFUNCTION("""COMPUTED_VALUE"""),4)</f>
        <v>4</v>
      </c>
      <c r="AG55" s="4">
        <f ca="1">IFERROR(__xludf.DUMMYFUNCTION("""COMPUTED_VALUE"""),4)</f>
        <v>4</v>
      </c>
      <c r="AH55" s="4">
        <f ca="1">IFERROR(__xludf.DUMMYFUNCTION("""COMPUTED_VALUE"""),4)</f>
        <v>4</v>
      </c>
      <c r="AI55" s="4">
        <f ca="1">IFERROR(__xludf.DUMMYFUNCTION("""COMPUTED_VALUE"""),4)</f>
        <v>4</v>
      </c>
      <c r="AJ55" s="4">
        <f ca="1">IFERROR(__xludf.DUMMYFUNCTION("""COMPUTED_VALUE"""),4)</f>
        <v>4</v>
      </c>
      <c r="AK55" s="4">
        <f ca="1">IFERROR(__xludf.DUMMYFUNCTION("""COMPUTED_VALUE"""),4)</f>
        <v>4</v>
      </c>
      <c r="AL55" s="4">
        <f ca="1">IFERROR(__xludf.DUMMYFUNCTION("""COMPUTED_VALUE"""),4)</f>
        <v>4</v>
      </c>
      <c r="AM55" s="4">
        <f ca="1">IFERROR(__xludf.DUMMYFUNCTION("""COMPUTED_VALUE"""),4)</f>
        <v>4</v>
      </c>
      <c r="AN55" s="4">
        <f ca="1">IFERROR(__xludf.DUMMYFUNCTION("""COMPUTED_VALUE"""),4)</f>
        <v>4</v>
      </c>
      <c r="AO55" s="4">
        <f ca="1">IFERROR(__xludf.DUMMYFUNCTION("""COMPUTED_VALUE"""),4)</f>
        <v>4</v>
      </c>
      <c r="AP55" s="4">
        <f ca="1">IFERROR(__xludf.DUMMYFUNCTION("""COMPUTED_VALUE"""),4)</f>
        <v>4</v>
      </c>
      <c r="AQ55" s="4">
        <f ca="1">IFERROR(__xludf.DUMMYFUNCTION("""COMPUTED_VALUE"""),4)</f>
        <v>4</v>
      </c>
      <c r="AR55" s="4">
        <f ca="1">IFERROR(__xludf.DUMMYFUNCTION("""COMPUTED_VALUE"""),4)</f>
        <v>4</v>
      </c>
      <c r="AS55" s="4">
        <f ca="1">IFERROR(__xludf.DUMMYFUNCTION("""COMPUTED_VALUE"""),4)</f>
        <v>4</v>
      </c>
      <c r="AT55" s="4">
        <f ca="1">IFERROR(__xludf.DUMMYFUNCTION("""COMPUTED_VALUE"""),4)</f>
        <v>4</v>
      </c>
      <c r="AU55" s="4">
        <f ca="1">IFERROR(__xludf.DUMMYFUNCTION("""COMPUTED_VALUE"""),4)</f>
        <v>4</v>
      </c>
      <c r="AV55" s="4">
        <f ca="1">IFERROR(__xludf.DUMMYFUNCTION("""COMPUTED_VALUE"""),4)</f>
        <v>4</v>
      </c>
      <c r="AW55" s="4">
        <f ca="1">IFERROR(__xludf.DUMMYFUNCTION("""COMPUTED_VALUE"""),4)</f>
        <v>4</v>
      </c>
      <c r="AX55" s="4">
        <f ca="1">IFERROR(__xludf.DUMMYFUNCTION("""COMPUTED_VALUE"""),4)</f>
        <v>4</v>
      </c>
      <c r="AY55" s="4">
        <f ca="1">IFERROR(__xludf.DUMMYFUNCTION("""COMPUTED_VALUE"""),4)</f>
        <v>4</v>
      </c>
      <c r="AZ55" s="4">
        <f ca="1">IFERROR(__xludf.DUMMYFUNCTION("""COMPUTED_VALUE"""),4)</f>
        <v>4</v>
      </c>
      <c r="BA55" s="4">
        <f ca="1">IFERROR(__xludf.DUMMYFUNCTION("""COMPUTED_VALUE"""),4)</f>
        <v>4</v>
      </c>
      <c r="BB55" s="4">
        <f ca="1">IFERROR(__xludf.DUMMYFUNCTION("""COMPUTED_VALUE"""),4)</f>
        <v>4</v>
      </c>
      <c r="BC55" s="4">
        <f ca="1">IFERROR(__xludf.DUMMYFUNCTION("""COMPUTED_VALUE"""),4)</f>
        <v>4</v>
      </c>
      <c r="BD55" s="4">
        <f ca="1">IFERROR(__xludf.DUMMYFUNCTION("""COMPUTED_VALUE"""),4)</f>
        <v>4</v>
      </c>
      <c r="BE55" s="4">
        <f ca="1">IFERROR(__xludf.DUMMYFUNCTION("""COMPUTED_VALUE"""),4)</f>
        <v>4</v>
      </c>
      <c r="BF55" s="4">
        <f ca="1">IFERROR(__xludf.DUMMYFUNCTION("""COMPUTED_VALUE"""),4)</f>
        <v>4</v>
      </c>
      <c r="BG55" s="4">
        <f ca="1">IFERROR(__xludf.DUMMYFUNCTION("""COMPUTED_VALUE"""),4)</f>
        <v>4</v>
      </c>
      <c r="BH55" s="4">
        <f ca="1">IFERROR(__xludf.DUMMYFUNCTION("""COMPUTED_VALUE"""),4)</f>
        <v>4</v>
      </c>
      <c r="BI55" s="4">
        <f ca="1">IFERROR(__xludf.DUMMYFUNCTION("""COMPUTED_VALUE"""),4)</f>
        <v>4</v>
      </c>
      <c r="BJ55" s="4">
        <f ca="1">IFERROR(__xludf.DUMMYFUNCTION("""COMPUTED_VALUE"""),4)</f>
        <v>4</v>
      </c>
      <c r="BK55" s="4">
        <f ca="1">IFERROR(__xludf.DUMMYFUNCTION("""COMPUTED_VALUE"""),4)</f>
        <v>4</v>
      </c>
      <c r="BL55" s="4">
        <f ca="1">IFERROR(__xludf.DUMMYFUNCTION("""COMPUTED_VALUE"""),4)</f>
        <v>4</v>
      </c>
      <c r="BM55" s="4">
        <f ca="1">IFERROR(__xludf.DUMMYFUNCTION("""COMPUTED_VALUE"""),4)</f>
        <v>4</v>
      </c>
      <c r="BN55" s="4">
        <f ca="1">IFERROR(__xludf.DUMMYFUNCTION("""COMPUTED_VALUE"""),4)</f>
        <v>4</v>
      </c>
      <c r="BO55" s="4">
        <f ca="1">IFERROR(__xludf.DUMMYFUNCTION("""COMPUTED_VALUE"""),4)</f>
        <v>4</v>
      </c>
      <c r="BP55" s="4">
        <f ca="1">IFERROR(__xludf.DUMMYFUNCTION("""COMPUTED_VALUE"""),4)</f>
        <v>4</v>
      </c>
    </row>
    <row r="56" spans="1:68" ht="13.2" x14ac:dyDescent="0.25">
      <c r="A56" s="4" t="str">
        <f ca="1">IFERROR(__xludf.DUMMYFUNCTION("""COMPUTED_VALUE"""),"2_ABaOnucD-BjHfGFtT3skRHDakhQHAP12EIz2wZ-vyOXI6hs1p3xnWExie846nBBMHQ")</f>
        <v>2_ABaOnucD-BjHfGFtT3skRHDakhQHAP12EIz2wZ-vyOXI6hs1p3xnWExie846nBBMHQ</v>
      </c>
      <c r="B56" s="5">
        <f ca="1">IFERROR(__xludf.DUMMYFUNCTION("""COMPUTED_VALUE"""),45967.6647481944)</f>
        <v>45967.664748194402</v>
      </c>
      <c r="C56" s="4" t="str">
        <f ca="1">IFERROR(__xludf.DUMMYFUNCTION("""COMPUTED_VALUE"""),"Huỳnh Minh Hưng")</f>
        <v>Huỳnh Minh Hưng</v>
      </c>
      <c r="D56" s="4" t="str">
        <f ca="1">IFERROR(__xludf.DUMMYFUNCTION("""COMPUTED_VALUE"""),"Nam")</f>
        <v>Nam</v>
      </c>
      <c r="E56" s="4" t="str">
        <f ca="1">IFERROR(__xludf.DUMMYFUNCTION("""COMPUTED_VALUE"""),"Công ty TNHH Kiểm toán và Tư vấn Chuẩn Việt - CN Đà Nẵng")</f>
        <v>Công ty TNHH Kiểm toán và Tư vấn Chuẩn Việt - CN Đà Nẵng</v>
      </c>
      <c r="F56" s="4" t="str">
        <f ca="1">IFERROR(__xludf.DUMMYFUNCTION("""COMPUTED_VALUE"""),"Đại học")</f>
        <v>Đại học</v>
      </c>
      <c r="G56" s="4" t="str">
        <f ca="1">IFERROR(__xludf.DUMMYFUNCTION("""COMPUTED_VALUE"""),"Trên 10 đến 15 năm")</f>
        <v>Trên 10 đến 15 năm</v>
      </c>
      <c r="H56" s="4" t="str">
        <f ca="1">IFERROR(__xludf.DUMMYFUNCTION("""COMPUTED_VALUE"""),"Trưởng phòng")</f>
        <v>Trưởng phòng</v>
      </c>
      <c r="I56" s="4">
        <f ca="1">IFERROR(__xludf.DUMMYFUNCTION("""COMPUTED_VALUE"""),4)</f>
        <v>4</v>
      </c>
      <c r="J56" s="4">
        <f ca="1">IFERROR(__xludf.DUMMYFUNCTION("""COMPUTED_VALUE"""),4)</f>
        <v>4</v>
      </c>
      <c r="K56" s="4">
        <f ca="1">IFERROR(__xludf.DUMMYFUNCTION("""COMPUTED_VALUE"""),4)</f>
        <v>4</v>
      </c>
      <c r="L56" s="4">
        <f ca="1">IFERROR(__xludf.DUMMYFUNCTION("""COMPUTED_VALUE"""),4)</f>
        <v>4</v>
      </c>
      <c r="M56" s="4">
        <f ca="1">IFERROR(__xludf.DUMMYFUNCTION("""COMPUTED_VALUE"""),4)</f>
        <v>4</v>
      </c>
      <c r="N56" s="4">
        <f ca="1">IFERROR(__xludf.DUMMYFUNCTION("""COMPUTED_VALUE"""),3)</f>
        <v>3</v>
      </c>
      <c r="O56" s="4">
        <f ca="1">IFERROR(__xludf.DUMMYFUNCTION("""COMPUTED_VALUE"""),3)</f>
        <v>3</v>
      </c>
      <c r="P56" s="4">
        <f ca="1">IFERROR(__xludf.DUMMYFUNCTION("""COMPUTED_VALUE"""),4)</f>
        <v>4</v>
      </c>
      <c r="Q56" s="4">
        <f ca="1">IFERROR(__xludf.DUMMYFUNCTION("""COMPUTED_VALUE"""),5)</f>
        <v>5</v>
      </c>
      <c r="R56" s="4">
        <f ca="1">IFERROR(__xludf.DUMMYFUNCTION("""COMPUTED_VALUE"""),4)</f>
        <v>4</v>
      </c>
      <c r="S56" s="4">
        <f ca="1">IFERROR(__xludf.DUMMYFUNCTION("""COMPUTED_VALUE"""),4)</f>
        <v>4</v>
      </c>
      <c r="T56" s="4">
        <f ca="1">IFERROR(__xludf.DUMMYFUNCTION("""COMPUTED_VALUE"""),4)</f>
        <v>4</v>
      </c>
      <c r="U56" s="4">
        <f ca="1">IFERROR(__xludf.DUMMYFUNCTION("""COMPUTED_VALUE"""),4)</f>
        <v>4</v>
      </c>
      <c r="V56" s="4">
        <f ca="1">IFERROR(__xludf.DUMMYFUNCTION("""COMPUTED_VALUE"""),4)</f>
        <v>4</v>
      </c>
      <c r="W56" s="4">
        <f ca="1">IFERROR(__xludf.DUMMYFUNCTION("""COMPUTED_VALUE"""),4)</f>
        <v>4</v>
      </c>
      <c r="X56" s="4">
        <f ca="1">IFERROR(__xludf.DUMMYFUNCTION("""COMPUTED_VALUE"""),3)</f>
        <v>3</v>
      </c>
      <c r="Y56" s="4">
        <f ca="1">IFERROR(__xludf.DUMMYFUNCTION("""COMPUTED_VALUE"""),3)</f>
        <v>3</v>
      </c>
      <c r="Z56" s="4">
        <f ca="1">IFERROR(__xludf.DUMMYFUNCTION("""COMPUTED_VALUE"""),4)</f>
        <v>4</v>
      </c>
      <c r="AA56" s="4">
        <f ca="1">IFERROR(__xludf.DUMMYFUNCTION("""COMPUTED_VALUE"""),3)</f>
        <v>3</v>
      </c>
      <c r="AB56" s="4">
        <f ca="1">IFERROR(__xludf.DUMMYFUNCTION("""COMPUTED_VALUE"""),4)</f>
        <v>4</v>
      </c>
      <c r="AC56" s="4">
        <f ca="1">IFERROR(__xludf.DUMMYFUNCTION("""COMPUTED_VALUE"""),3)</f>
        <v>3</v>
      </c>
      <c r="AD56" s="4">
        <f ca="1">IFERROR(__xludf.DUMMYFUNCTION("""COMPUTED_VALUE"""),2)</f>
        <v>2</v>
      </c>
      <c r="AE56" s="4">
        <f ca="1">IFERROR(__xludf.DUMMYFUNCTION("""COMPUTED_VALUE"""),4)</f>
        <v>4</v>
      </c>
      <c r="AF56" s="4">
        <f ca="1">IFERROR(__xludf.DUMMYFUNCTION("""COMPUTED_VALUE"""),4)</f>
        <v>4</v>
      </c>
      <c r="AG56" s="4">
        <f ca="1">IFERROR(__xludf.DUMMYFUNCTION("""COMPUTED_VALUE"""),4)</f>
        <v>4</v>
      </c>
      <c r="AH56" s="4">
        <f ca="1">IFERROR(__xludf.DUMMYFUNCTION("""COMPUTED_VALUE"""),4)</f>
        <v>4</v>
      </c>
      <c r="AI56" s="4">
        <f ca="1">IFERROR(__xludf.DUMMYFUNCTION("""COMPUTED_VALUE"""),4)</f>
        <v>4</v>
      </c>
      <c r="AJ56" s="4">
        <f ca="1">IFERROR(__xludf.DUMMYFUNCTION("""COMPUTED_VALUE"""),4)</f>
        <v>4</v>
      </c>
      <c r="AK56" s="4">
        <f ca="1">IFERROR(__xludf.DUMMYFUNCTION("""COMPUTED_VALUE"""),4)</f>
        <v>4</v>
      </c>
      <c r="AL56" s="4">
        <f ca="1">IFERROR(__xludf.DUMMYFUNCTION("""COMPUTED_VALUE"""),5)</f>
        <v>5</v>
      </c>
      <c r="AM56" s="4">
        <f ca="1">IFERROR(__xludf.DUMMYFUNCTION("""COMPUTED_VALUE"""),4)</f>
        <v>4</v>
      </c>
      <c r="AN56" s="4">
        <f ca="1">IFERROR(__xludf.DUMMYFUNCTION("""COMPUTED_VALUE"""),4)</f>
        <v>4</v>
      </c>
      <c r="AO56" s="4">
        <f ca="1">IFERROR(__xludf.DUMMYFUNCTION("""COMPUTED_VALUE"""),4)</f>
        <v>4</v>
      </c>
      <c r="AP56" s="4">
        <f ca="1">IFERROR(__xludf.DUMMYFUNCTION("""COMPUTED_VALUE"""),4)</f>
        <v>4</v>
      </c>
      <c r="AQ56" s="4">
        <f ca="1">IFERROR(__xludf.DUMMYFUNCTION("""COMPUTED_VALUE"""),4)</f>
        <v>4</v>
      </c>
      <c r="AR56" s="4">
        <f ca="1">IFERROR(__xludf.DUMMYFUNCTION("""COMPUTED_VALUE"""),4)</f>
        <v>4</v>
      </c>
      <c r="AS56" s="4">
        <f ca="1">IFERROR(__xludf.DUMMYFUNCTION("""COMPUTED_VALUE"""),4)</f>
        <v>4</v>
      </c>
      <c r="AT56" s="4">
        <f ca="1">IFERROR(__xludf.DUMMYFUNCTION("""COMPUTED_VALUE"""),4)</f>
        <v>4</v>
      </c>
      <c r="AU56" s="4">
        <f ca="1">IFERROR(__xludf.DUMMYFUNCTION("""COMPUTED_VALUE"""),4)</f>
        <v>4</v>
      </c>
      <c r="AV56" s="4">
        <f ca="1">IFERROR(__xludf.DUMMYFUNCTION("""COMPUTED_VALUE"""),4)</f>
        <v>4</v>
      </c>
      <c r="AW56" s="4">
        <f ca="1">IFERROR(__xludf.DUMMYFUNCTION("""COMPUTED_VALUE"""),4)</f>
        <v>4</v>
      </c>
      <c r="AX56" s="4">
        <f ca="1">IFERROR(__xludf.DUMMYFUNCTION("""COMPUTED_VALUE"""),5)</f>
        <v>5</v>
      </c>
      <c r="AY56" s="4">
        <f ca="1">IFERROR(__xludf.DUMMYFUNCTION("""COMPUTED_VALUE"""),4)</f>
        <v>4</v>
      </c>
      <c r="AZ56" s="4">
        <f ca="1">IFERROR(__xludf.DUMMYFUNCTION("""COMPUTED_VALUE"""),4)</f>
        <v>4</v>
      </c>
      <c r="BA56" s="4">
        <f ca="1">IFERROR(__xludf.DUMMYFUNCTION("""COMPUTED_VALUE"""),4)</f>
        <v>4</v>
      </c>
      <c r="BB56" s="4">
        <f ca="1">IFERROR(__xludf.DUMMYFUNCTION("""COMPUTED_VALUE"""),4)</f>
        <v>4</v>
      </c>
      <c r="BC56" s="4">
        <f ca="1">IFERROR(__xludf.DUMMYFUNCTION("""COMPUTED_VALUE"""),3)</f>
        <v>3</v>
      </c>
      <c r="BD56" s="4">
        <f ca="1">IFERROR(__xludf.DUMMYFUNCTION("""COMPUTED_VALUE"""),3)</f>
        <v>3</v>
      </c>
      <c r="BE56" s="4">
        <f ca="1">IFERROR(__xludf.DUMMYFUNCTION("""COMPUTED_VALUE"""),3)</f>
        <v>3</v>
      </c>
      <c r="BF56" s="4">
        <f ca="1">IFERROR(__xludf.DUMMYFUNCTION("""COMPUTED_VALUE"""),3)</f>
        <v>3</v>
      </c>
      <c r="BG56" s="4">
        <f ca="1">IFERROR(__xludf.DUMMYFUNCTION("""COMPUTED_VALUE"""),3)</f>
        <v>3</v>
      </c>
      <c r="BH56" s="4">
        <f ca="1">IFERROR(__xludf.DUMMYFUNCTION("""COMPUTED_VALUE"""),4)</f>
        <v>4</v>
      </c>
      <c r="BI56" s="4">
        <f ca="1">IFERROR(__xludf.DUMMYFUNCTION("""COMPUTED_VALUE"""),4)</f>
        <v>4</v>
      </c>
      <c r="BJ56" s="4">
        <f ca="1">IFERROR(__xludf.DUMMYFUNCTION("""COMPUTED_VALUE"""),5)</f>
        <v>5</v>
      </c>
      <c r="BK56" s="4">
        <f ca="1">IFERROR(__xludf.DUMMYFUNCTION("""COMPUTED_VALUE"""),4)</f>
        <v>4</v>
      </c>
      <c r="BL56" s="4">
        <f ca="1">IFERROR(__xludf.DUMMYFUNCTION("""COMPUTED_VALUE"""),3)</f>
        <v>3</v>
      </c>
      <c r="BM56" s="4">
        <f ca="1">IFERROR(__xludf.DUMMYFUNCTION("""COMPUTED_VALUE"""),4)</f>
        <v>4</v>
      </c>
      <c r="BN56" s="4">
        <f ca="1">IFERROR(__xludf.DUMMYFUNCTION("""COMPUTED_VALUE"""),5)</f>
        <v>5</v>
      </c>
      <c r="BO56" s="4">
        <f ca="1">IFERROR(__xludf.DUMMYFUNCTION("""COMPUTED_VALUE"""),5)</f>
        <v>5</v>
      </c>
      <c r="BP56" s="4">
        <f ca="1">IFERROR(__xludf.DUMMYFUNCTION("""COMPUTED_VALUE"""),4)</f>
        <v>4</v>
      </c>
    </row>
    <row r="57" spans="1:68" ht="13.2" x14ac:dyDescent="0.25">
      <c r="A57" s="4" t="str">
        <f ca="1">IFERROR(__xludf.DUMMYFUNCTION("""COMPUTED_VALUE"""),"2_ABaOnuf9Z_WcXLvxtv6IPHJtXUK9VxYf6mIMGBQbquDclj2UdX6_Z8gpzqS1tx27kA")</f>
        <v>2_ABaOnuf9Z_WcXLvxtv6IPHJtXUK9VxYf6mIMGBQbquDclj2UdX6_Z8gpzqS1tx27kA</v>
      </c>
      <c r="B57" s="5">
        <f ca="1">IFERROR(__xludf.DUMMYFUNCTION("""COMPUTED_VALUE"""),45967.665187743)</f>
        <v>45967.665187742998</v>
      </c>
      <c r="C57" s="4" t="str">
        <f ca="1">IFERROR(__xludf.DUMMYFUNCTION("""COMPUTED_VALUE"""),"Thu Hiền")</f>
        <v>Thu Hiền</v>
      </c>
      <c r="D57" s="4" t="str">
        <f ca="1">IFERROR(__xludf.DUMMYFUNCTION("""COMPUTED_VALUE"""),"Nữ")</f>
        <v>Nữ</v>
      </c>
      <c r="E57" s="4" t="str">
        <f ca="1">IFERROR(__xludf.DUMMYFUNCTION("""COMPUTED_VALUE"""),"Công ty TNHH Kiểm toán và Tư vấn VSA")</f>
        <v>Công ty TNHH Kiểm toán và Tư vấn VSA</v>
      </c>
      <c r="F57" s="4" t="str">
        <f ca="1">IFERROR(__xludf.DUMMYFUNCTION("""COMPUTED_VALUE"""),"Chứng chỉ Kiểm toán viên")</f>
        <v>Chứng chỉ Kiểm toán viên</v>
      </c>
      <c r="G57" s="4" t="str">
        <f ca="1">IFERROR(__xludf.DUMMYFUNCTION("""COMPUTED_VALUE"""),"Trên 5 đến 10 năm")</f>
        <v>Trên 5 đến 10 năm</v>
      </c>
      <c r="H57" s="4" t="str">
        <f ca="1">IFERROR(__xludf.DUMMYFUNCTION("""COMPUTED_VALUE"""),"Kiểm toán viên/Trưởng nhóm")</f>
        <v>Kiểm toán viên/Trưởng nhóm</v>
      </c>
      <c r="I57" s="4">
        <f ca="1">IFERROR(__xludf.DUMMYFUNCTION("""COMPUTED_VALUE"""),5)</f>
        <v>5</v>
      </c>
      <c r="J57" s="4">
        <f ca="1">IFERROR(__xludf.DUMMYFUNCTION("""COMPUTED_VALUE"""),4)</f>
        <v>4</v>
      </c>
      <c r="K57" s="4">
        <f ca="1">IFERROR(__xludf.DUMMYFUNCTION("""COMPUTED_VALUE"""),5)</f>
        <v>5</v>
      </c>
      <c r="L57" s="4">
        <f ca="1">IFERROR(__xludf.DUMMYFUNCTION("""COMPUTED_VALUE"""),4)</f>
        <v>4</v>
      </c>
      <c r="M57" s="4">
        <f ca="1">IFERROR(__xludf.DUMMYFUNCTION("""COMPUTED_VALUE"""),5)</f>
        <v>5</v>
      </c>
      <c r="N57" s="4">
        <f ca="1">IFERROR(__xludf.DUMMYFUNCTION("""COMPUTED_VALUE"""),4)</f>
        <v>4</v>
      </c>
      <c r="O57" s="4">
        <f ca="1">IFERROR(__xludf.DUMMYFUNCTION("""COMPUTED_VALUE"""),3)</f>
        <v>3</v>
      </c>
      <c r="P57" s="4">
        <f ca="1">IFERROR(__xludf.DUMMYFUNCTION("""COMPUTED_VALUE"""),4)</f>
        <v>4</v>
      </c>
      <c r="Q57" s="4">
        <f ca="1">IFERROR(__xludf.DUMMYFUNCTION("""COMPUTED_VALUE"""),4)</f>
        <v>4</v>
      </c>
      <c r="R57" s="4">
        <f ca="1">IFERROR(__xludf.DUMMYFUNCTION("""COMPUTED_VALUE"""),4)</f>
        <v>4</v>
      </c>
      <c r="S57" s="4">
        <f ca="1">IFERROR(__xludf.DUMMYFUNCTION("""COMPUTED_VALUE"""),5)</f>
        <v>5</v>
      </c>
      <c r="T57" s="4">
        <f ca="1">IFERROR(__xludf.DUMMYFUNCTION("""COMPUTED_VALUE"""),4)</f>
        <v>4</v>
      </c>
      <c r="U57" s="4">
        <f ca="1">IFERROR(__xludf.DUMMYFUNCTION("""COMPUTED_VALUE"""),5)</f>
        <v>5</v>
      </c>
      <c r="V57" s="4">
        <f ca="1">IFERROR(__xludf.DUMMYFUNCTION("""COMPUTED_VALUE"""),5)</f>
        <v>5</v>
      </c>
      <c r="W57" s="4">
        <f ca="1">IFERROR(__xludf.DUMMYFUNCTION("""COMPUTED_VALUE"""),4)</f>
        <v>4</v>
      </c>
      <c r="X57" s="4">
        <f ca="1">IFERROR(__xludf.DUMMYFUNCTION("""COMPUTED_VALUE"""),4)</f>
        <v>4</v>
      </c>
      <c r="Y57" s="4">
        <f ca="1">IFERROR(__xludf.DUMMYFUNCTION("""COMPUTED_VALUE"""),5)</f>
        <v>5</v>
      </c>
      <c r="Z57" s="4">
        <f ca="1">IFERROR(__xludf.DUMMYFUNCTION("""COMPUTED_VALUE"""),4)</f>
        <v>4</v>
      </c>
      <c r="AA57" s="4">
        <f ca="1">IFERROR(__xludf.DUMMYFUNCTION("""COMPUTED_VALUE"""),4)</f>
        <v>4</v>
      </c>
      <c r="AB57" s="4">
        <f ca="1">IFERROR(__xludf.DUMMYFUNCTION("""COMPUTED_VALUE"""),5)</f>
        <v>5</v>
      </c>
      <c r="AC57" s="4">
        <f ca="1">IFERROR(__xludf.DUMMYFUNCTION("""COMPUTED_VALUE"""),5)</f>
        <v>5</v>
      </c>
      <c r="AD57" s="4">
        <f ca="1">IFERROR(__xludf.DUMMYFUNCTION("""COMPUTED_VALUE"""),5)</f>
        <v>5</v>
      </c>
      <c r="AE57" s="4">
        <f ca="1">IFERROR(__xludf.DUMMYFUNCTION("""COMPUTED_VALUE"""),5)</f>
        <v>5</v>
      </c>
      <c r="AF57" s="4">
        <f ca="1">IFERROR(__xludf.DUMMYFUNCTION("""COMPUTED_VALUE"""),5)</f>
        <v>5</v>
      </c>
      <c r="AG57" s="4">
        <f ca="1">IFERROR(__xludf.DUMMYFUNCTION("""COMPUTED_VALUE"""),4)</f>
        <v>4</v>
      </c>
      <c r="AH57" s="4">
        <f ca="1">IFERROR(__xludf.DUMMYFUNCTION("""COMPUTED_VALUE"""),5)</f>
        <v>5</v>
      </c>
      <c r="AI57" s="4">
        <f ca="1">IFERROR(__xludf.DUMMYFUNCTION("""COMPUTED_VALUE"""),3)</f>
        <v>3</v>
      </c>
      <c r="AJ57" s="4">
        <f ca="1">IFERROR(__xludf.DUMMYFUNCTION("""COMPUTED_VALUE"""),4)</f>
        <v>4</v>
      </c>
      <c r="AK57" s="4">
        <f ca="1">IFERROR(__xludf.DUMMYFUNCTION("""COMPUTED_VALUE"""),5)</f>
        <v>5</v>
      </c>
      <c r="AL57" s="4">
        <f ca="1">IFERROR(__xludf.DUMMYFUNCTION("""COMPUTED_VALUE"""),5)</f>
        <v>5</v>
      </c>
      <c r="AM57" s="4">
        <f ca="1">IFERROR(__xludf.DUMMYFUNCTION("""COMPUTED_VALUE"""),4)</f>
        <v>4</v>
      </c>
      <c r="AN57" s="4">
        <f ca="1">IFERROR(__xludf.DUMMYFUNCTION("""COMPUTED_VALUE"""),4)</f>
        <v>4</v>
      </c>
      <c r="AO57" s="4">
        <f ca="1">IFERROR(__xludf.DUMMYFUNCTION("""COMPUTED_VALUE"""),4)</f>
        <v>4</v>
      </c>
      <c r="AP57" s="4">
        <f ca="1">IFERROR(__xludf.DUMMYFUNCTION("""COMPUTED_VALUE"""),4)</f>
        <v>4</v>
      </c>
      <c r="AQ57" s="4">
        <f ca="1">IFERROR(__xludf.DUMMYFUNCTION("""COMPUTED_VALUE"""),4)</f>
        <v>4</v>
      </c>
      <c r="AR57" s="4">
        <f ca="1">IFERROR(__xludf.DUMMYFUNCTION("""COMPUTED_VALUE"""),4)</f>
        <v>4</v>
      </c>
      <c r="AS57" s="4">
        <f ca="1">IFERROR(__xludf.DUMMYFUNCTION("""COMPUTED_VALUE"""),4)</f>
        <v>4</v>
      </c>
      <c r="AT57" s="4">
        <f ca="1">IFERROR(__xludf.DUMMYFUNCTION("""COMPUTED_VALUE"""),3)</f>
        <v>3</v>
      </c>
      <c r="AU57" s="4">
        <f ca="1">IFERROR(__xludf.DUMMYFUNCTION("""COMPUTED_VALUE"""),3)</f>
        <v>3</v>
      </c>
      <c r="AV57" s="4">
        <f ca="1">IFERROR(__xludf.DUMMYFUNCTION("""COMPUTED_VALUE"""),4)</f>
        <v>4</v>
      </c>
      <c r="AW57" s="4">
        <f ca="1">IFERROR(__xludf.DUMMYFUNCTION("""COMPUTED_VALUE"""),4)</f>
        <v>4</v>
      </c>
      <c r="AX57" s="4">
        <f ca="1">IFERROR(__xludf.DUMMYFUNCTION("""COMPUTED_VALUE"""),5)</f>
        <v>5</v>
      </c>
      <c r="AY57" s="4">
        <f ca="1">IFERROR(__xludf.DUMMYFUNCTION("""COMPUTED_VALUE"""),5)</f>
        <v>5</v>
      </c>
      <c r="AZ57" s="4">
        <f ca="1">IFERROR(__xludf.DUMMYFUNCTION("""COMPUTED_VALUE"""),4)</f>
        <v>4</v>
      </c>
      <c r="BA57" s="4">
        <f ca="1">IFERROR(__xludf.DUMMYFUNCTION("""COMPUTED_VALUE"""),4)</f>
        <v>4</v>
      </c>
      <c r="BB57" s="4">
        <f ca="1">IFERROR(__xludf.DUMMYFUNCTION("""COMPUTED_VALUE"""),3)</f>
        <v>3</v>
      </c>
      <c r="BC57" s="4">
        <f ca="1">IFERROR(__xludf.DUMMYFUNCTION("""COMPUTED_VALUE"""),4)</f>
        <v>4</v>
      </c>
      <c r="BD57" s="4">
        <f ca="1">IFERROR(__xludf.DUMMYFUNCTION("""COMPUTED_VALUE"""),3)</f>
        <v>3</v>
      </c>
      <c r="BE57" s="4">
        <f ca="1">IFERROR(__xludf.DUMMYFUNCTION("""COMPUTED_VALUE"""),3)</f>
        <v>3</v>
      </c>
      <c r="BF57" s="4">
        <f ca="1">IFERROR(__xludf.DUMMYFUNCTION("""COMPUTED_VALUE"""),3)</f>
        <v>3</v>
      </c>
      <c r="BG57" s="4">
        <f ca="1">IFERROR(__xludf.DUMMYFUNCTION("""COMPUTED_VALUE"""),3)</f>
        <v>3</v>
      </c>
      <c r="BH57" s="4">
        <f ca="1">IFERROR(__xludf.DUMMYFUNCTION("""COMPUTED_VALUE"""),3)</f>
        <v>3</v>
      </c>
      <c r="BI57" s="4">
        <f ca="1">IFERROR(__xludf.DUMMYFUNCTION("""COMPUTED_VALUE"""),4)</f>
        <v>4</v>
      </c>
      <c r="BJ57" s="4">
        <f ca="1">IFERROR(__xludf.DUMMYFUNCTION("""COMPUTED_VALUE"""),4)</f>
        <v>4</v>
      </c>
      <c r="BK57" s="4">
        <f ca="1">IFERROR(__xludf.DUMMYFUNCTION("""COMPUTED_VALUE"""),4)</f>
        <v>4</v>
      </c>
      <c r="BL57" s="4">
        <f ca="1">IFERROR(__xludf.DUMMYFUNCTION("""COMPUTED_VALUE"""),4)</f>
        <v>4</v>
      </c>
      <c r="BM57" s="4">
        <f ca="1">IFERROR(__xludf.DUMMYFUNCTION("""COMPUTED_VALUE"""),4)</f>
        <v>4</v>
      </c>
      <c r="BN57" s="4">
        <f ca="1">IFERROR(__xludf.DUMMYFUNCTION("""COMPUTED_VALUE"""),4)</f>
        <v>4</v>
      </c>
      <c r="BO57" s="4">
        <f ca="1">IFERROR(__xludf.DUMMYFUNCTION("""COMPUTED_VALUE"""),4)</f>
        <v>4</v>
      </c>
      <c r="BP57" s="4">
        <f ca="1">IFERROR(__xludf.DUMMYFUNCTION("""COMPUTED_VALUE"""),4)</f>
        <v>4</v>
      </c>
    </row>
    <row r="58" spans="1:68" ht="13.2" x14ac:dyDescent="0.25">
      <c r="A58" s="4" t="str">
        <f ca="1">IFERROR(__xludf.DUMMYFUNCTION("""COMPUTED_VALUE"""),"2_ABaOnufjjDWytK0F9YX4o7qhNJdvPMwJpu3OfklgI1ZhsqXFWjlJaO1hs0dCHCMPeA")</f>
        <v>2_ABaOnufjjDWytK0F9YX4o7qhNJdvPMwJpu3OfklgI1ZhsqXFWjlJaO1hs0dCHCMPeA</v>
      </c>
      <c r="B58" s="5">
        <f ca="1">IFERROR(__xludf.DUMMYFUNCTION("""COMPUTED_VALUE"""),45967.6672047916)</f>
        <v>45967.6672047916</v>
      </c>
      <c r="C58" s="4" t="str">
        <f ca="1">IFERROR(__xludf.DUMMYFUNCTION("""COMPUTED_VALUE"""),"Nguyễn Hữu Huy")</f>
        <v>Nguyễn Hữu Huy</v>
      </c>
      <c r="D58" s="4" t="str">
        <f ca="1">IFERROR(__xludf.DUMMYFUNCTION("""COMPUTED_VALUE"""),"Nam")</f>
        <v>Nam</v>
      </c>
      <c r="E58" s="4" t="str">
        <f ca="1">IFERROR(__xludf.DUMMYFUNCTION("""COMPUTED_VALUE"""),"Công ty TNHH Kiểm toán AVN Việt Nam")</f>
        <v>Công ty TNHH Kiểm toán AVN Việt Nam</v>
      </c>
      <c r="F58" s="4" t="str">
        <f ca="1">IFERROR(__xludf.DUMMYFUNCTION("""COMPUTED_VALUE"""),"Đại học, Chứng chỉ Kiểm toán viên")</f>
        <v>Đại học, Chứng chỉ Kiểm toán viên</v>
      </c>
      <c r="G58" s="4" t="str">
        <f ca="1">IFERROR(__xludf.DUMMYFUNCTION("""COMPUTED_VALUE"""),"Trên 10 đến 15 năm")</f>
        <v>Trên 10 đến 15 năm</v>
      </c>
      <c r="H58" s="4" t="str">
        <f ca="1">IFERROR(__xludf.DUMMYFUNCTION("""COMPUTED_VALUE"""),"Kiểm toán viên/Trưởng nhóm")</f>
        <v>Kiểm toán viên/Trưởng nhóm</v>
      </c>
      <c r="I58" s="4">
        <f ca="1">IFERROR(__xludf.DUMMYFUNCTION("""COMPUTED_VALUE"""),4)</f>
        <v>4</v>
      </c>
      <c r="J58" s="4">
        <f ca="1">IFERROR(__xludf.DUMMYFUNCTION("""COMPUTED_VALUE"""),4)</f>
        <v>4</v>
      </c>
      <c r="K58" s="4">
        <f ca="1">IFERROR(__xludf.DUMMYFUNCTION("""COMPUTED_VALUE"""),4)</f>
        <v>4</v>
      </c>
      <c r="L58" s="4">
        <f ca="1">IFERROR(__xludf.DUMMYFUNCTION("""COMPUTED_VALUE"""),4)</f>
        <v>4</v>
      </c>
      <c r="M58" s="4">
        <f ca="1">IFERROR(__xludf.DUMMYFUNCTION("""COMPUTED_VALUE"""),4)</f>
        <v>4</v>
      </c>
      <c r="N58" s="4">
        <f ca="1">IFERROR(__xludf.DUMMYFUNCTION("""COMPUTED_VALUE"""),3)</f>
        <v>3</v>
      </c>
      <c r="O58" s="4">
        <f ca="1">IFERROR(__xludf.DUMMYFUNCTION("""COMPUTED_VALUE"""),3)</f>
        <v>3</v>
      </c>
      <c r="P58" s="4">
        <f ca="1">IFERROR(__xludf.DUMMYFUNCTION("""COMPUTED_VALUE"""),4)</f>
        <v>4</v>
      </c>
      <c r="Q58" s="4">
        <f ca="1">IFERROR(__xludf.DUMMYFUNCTION("""COMPUTED_VALUE"""),5)</f>
        <v>5</v>
      </c>
      <c r="R58" s="4">
        <f ca="1">IFERROR(__xludf.DUMMYFUNCTION("""COMPUTED_VALUE"""),4)</f>
        <v>4</v>
      </c>
      <c r="S58" s="4">
        <f ca="1">IFERROR(__xludf.DUMMYFUNCTION("""COMPUTED_VALUE"""),4)</f>
        <v>4</v>
      </c>
      <c r="T58" s="4">
        <f ca="1">IFERROR(__xludf.DUMMYFUNCTION("""COMPUTED_VALUE"""),4)</f>
        <v>4</v>
      </c>
      <c r="U58" s="4">
        <f ca="1">IFERROR(__xludf.DUMMYFUNCTION("""COMPUTED_VALUE"""),4)</f>
        <v>4</v>
      </c>
      <c r="V58" s="4">
        <f ca="1">IFERROR(__xludf.DUMMYFUNCTION("""COMPUTED_VALUE"""),4)</f>
        <v>4</v>
      </c>
      <c r="W58" s="4">
        <f ca="1">IFERROR(__xludf.DUMMYFUNCTION("""COMPUTED_VALUE"""),3)</f>
        <v>3</v>
      </c>
      <c r="X58" s="4">
        <f ca="1">IFERROR(__xludf.DUMMYFUNCTION("""COMPUTED_VALUE"""),4)</f>
        <v>4</v>
      </c>
      <c r="Y58" s="4">
        <f ca="1">IFERROR(__xludf.DUMMYFUNCTION("""COMPUTED_VALUE"""),3)</f>
        <v>3</v>
      </c>
      <c r="Z58" s="4">
        <f ca="1">IFERROR(__xludf.DUMMYFUNCTION("""COMPUTED_VALUE"""),3)</f>
        <v>3</v>
      </c>
      <c r="AA58" s="4">
        <f ca="1">IFERROR(__xludf.DUMMYFUNCTION("""COMPUTED_VALUE"""),3)</f>
        <v>3</v>
      </c>
      <c r="AB58" s="4">
        <f ca="1">IFERROR(__xludf.DUMMYFUNCTION("""COMPUTED_VALUE"""),3)</f>
        <v>3</v>
      </c>
      <c r="AC58" s="4">
        <f ca="1">IFERROR(__xludf.DUMMYFUNCTION("""COMPUTED_VALUE"""),3)</f>
        <v>3</v>
      </c>
      <c r="AD58" s="4">
        <f ca="1">IFERROR(__xludf.DUMMYFUNCTION("""COMPUTED_VALUE"""),3)</f>
        <v>3</v>
      </c>
      <c r="AE58" s="4">
        <f ca="1">IFERROR(__xludf.DUMMYFUNCTION("""COMPUTED_VALUE"""),4)</f>
        <v>4</v>
      </c>
      <c r="AF58" s="4">
        <f ca="1">IFERROR(__xludf.DUMMYFUNCTION("""COMPUTED_VALUE"""),4)</f>
        <v>4</v>
      </c>
      <c r="AG58" s="4">
        <f ca="1">IFERROR(__xludf.DUMMYFUNCTION("""COMPUTED_VALUE"""),4)</f>
        <v>4</v>
      </c>
      <c r="AH58" s="4">
        <f ca="1">IFERROR(__xludf.DUMMYFUNCTION("""COMPUTED_VALUE"""),4)</f>
        <v>4</v>
      </c>
      <c r="AI58" s="4">
        <f ca="1">IFERROR(__xludf.DUMMYFUNCTION("""COMPUTED_VALUE"""),3)</f>
        <v>3</v>
      </c>
      <c r="AJ58" s="4">
        <f ca="1">IFERROR(__xludf.DUMMYFUNCTION("""COMPUTED_VALUE"""),3)</f>
        <v>3</v>
      </c>
      <c r="AK58" s="4">
        <f ca="1">IFERROR(__xludf.DUMMYFUNCTION("""COMPUTED_VALUE"""),3)</f>
        <v>3</v>
      </c>
      <c r="AL58" s="4">
        <f ca="1">IFERROR(__xludf.DUMMYFUNCTION("""COMPUTED_VALUE"""),4)</f>
        <v>4</v>
      </c>
      <c r="AM58" s="4">
        <f ca="1">IFERROR(__xludf.DUMMYFUNCTION("""COMPUTED_VALUE"""),3)</f>
        <v>3</v>
      </c>
      <c r="AN58" s="4">
        <f ca="1">IFERROR(__xludf.DUMMYFUNCTION("""COMPUTED_VALUE"""),3)</f>
        <v>3</v>
      </c>
      <c r="AO58" s="4">
        <f ca="1">IFERROR(__xludf.DUMMYFUNCTION("""COMPUTED_VALUE"""),3)</f>
        <v>3</v>
      </c>
      <c r="AP58" s="4">
        <f ca="1">IFERROR(__xludf.DUMMYFUNCTION("""COMPUTED_VALUE"""),3)</f>
        <v>3</v>
      </c>
      <c r="AQ58" s="4">
        <f ca="1">IFERROR(__xludf.DUMMYFUNCTION("""COMPUTED_VALUE"""),3)</f>
        <v>3</v>
      </c>
      <c r="AR58" s="4">
        <f ca="1">IFERROR(__xludf.DUMMYFUNCTION("""COMPUTED_VALUE"""),3)</f>
        <v>3</v>
      </c>
      <c r="AS58" s="4">
        <f ca="1">IFERROR(__xludf.DUMMYFUNCTION("""COMPUTED_VALUE"""),3)</f>
        <v>3</v>
      </c>
      <c r="AT58" s="4">
        <f ca="1">IFERROR(__xludf.DUMMYFUNCTION("""COMPUTED_VALUE"""),3)</f>
        <v>3</v>
      </c>
      <c r="AU58" s="4">
        <f ca="1">IFERROR(__xludf.DUMMYFUNCTION("""COMPUTED_VALUE"""),3)</f>
        <v>3</v>
      </c>
      <c r="AV58" s="4">
        <f ca="1">IFERROR(__xludf.DUMMYFUNCTION("""COMPUTED_VALUE"""),3)</f>
        <v>3</v>
      </c>
      <c r="AW58" s="4">
        <f ca="1">IFERROR(__xludf.DUMMYFUNCTION("""COMPUTED_VALUE"""),3)</f>
        <v>3</v>
      </c>
      <c r="AX58" s="4">
        <f ca="1">IFERROR(__xludf.DUMMYFUNCTION("""COMPUTED_VALUE"""),4)</f>
        <v>4</v>
      </c>
      <c r="AY58" s="4">
        <f ca="1">IFERROR(__xludf.DUMMYFUNCTION("""COMPUTED_VALUE"""),4)</f>
        <v>4</v>
      </c>
      <c r="AZ58" s="4">
        <f ca="1">IFERROR(__xludf.DUMMYFUNCTION("""COMPUTED_VALUE"""),4)</f>
        <v>4</v>
      </c>
      <c r="BA58" s="4">
        <f ca="1">IFERROR(__xludf.DUMMYFUNCTION("""COMPUTED_VALUE"""),4)</f>
        <v>4</v>
      </c>
      <c r="BB58" s="4">
        <f ca="1">IFERROR(__xludf.DUMMYFUNCTION("""COMPUTED_VALUE"""),3)</f>
        <v>3</v>
      </c>
      <c r="BC58" s="4">
        <f ca="1">IFERROR(__xludf.DUMMYFUNCTION("""COMPUTED_VALUE"""),3)</f>
        <v>3</v>
      </c>
      <c r="BD58" s="4">
        <f ca="1">IFERROR(__xludf.DUMMYFUNCTION("""COMPUTED_VALUE"""),3)</f>
        <v>3</v>
      </c>
      <c r="BE58" s="4">
        <f ca="1">IFERROR(__xludf.DUMMYFUNCTION("""COMPUTED_VALUE"""),3)</f>
        <v>3</v>
      </c>
      <c r="BF58" s="4">
        <f ca="1">IFERROR(__xludf.DUMMYFUNCTION("""COMPUTED_VALUE"""),3)</f>
        <v>3</v>
      </c>
      <c r="BG58" s="4">
        <f ca="1">IFERROR(__xludf.DUMMYFUNCTION("""COMPUTED_VALUE"""),3)</f>
        <v>3</v>
      </c>
      <c r="BH58" s="4">
        <f ca="1">IFERROR(__xludf.DUMMYFUNCTION("""COMPUTED_VALUE"""),4)</f>
        <v>4</v>
      </c>
      <c r="BI58" s="4">
        <f ca="1">IFERROR(__xludf.DUMMYFUNCTION("""COMPUTED_VALUE"""),4)</f>
        <v>4</v>
      </c>
      <c r="BJ58" s="4">
        <f ca="1">IFERROR(__xludf.DUMMYFUNCTION("""COMPUTED_VALUE"""),4)</f>
        <v>4</v>
      </c>
      <c r="BK58" s="4">
        <f ca="1">IFERROR(__xludf.DUMMYFUNCTION("""COMPUTED_VALUE"""),4)</f>
        <v>4</v>
      </c>
      <c r="BL58" s="4">
        <f ca="1">IFERROR(__xludf.DUMMYFUNCTION("""COMPUTED_VALUE"""),3)</f>
        <v>3</v>
      </c>
      <c r="BM58" s="4">
        <f ca="1">IFERROR(__xludf.DUMMYFUNCTION("""COMPUTED_VALUE"""),3)</f>
        <v>3</v>
      </c>
      <c r="BN58" s="4">
        <f ca="1">IFERROR(__xludf.DUMMYFUNCTION("""COMPUTED_VALUE"""),3)</f>
        <v>3</v>
      </c>
      <c r="BO58" s="4">
        <f ca="1">IFERROR(__xludf.DUMMYFUNCTION("""COMPUTED_VALUE"""),3)</f>
        <v>3</v>
      </c>
      <c r="BP58" s="4">
        <f ca="1">IFERROR(__xludf.DUMMYFUNCTION("""COMPUTED_VALUE"""),3)</f>
        <v>3</v>
      </c>
    </row>
    <row r="59" spans="1:68" ht="13.2" x14ac:dyDescent="0.25">
      <c r="A59" s="4" t="str">
        <f ca="1">IFERROR(__xludf.DUMMYFUNCTION("""COMPUTED_VALUE"""),"2_ABaOnuc4BCNwuAAbiuBhEXknyV62WyQl-fg-0FSrdzLuO_p_ekSgYM-Uhr3wmiZJLQ")</f>
        <v>2_ABaOnuc4BCNwuAAbiuBhEXknyV62WyQl-fg-0FSrdzLuO_p_ekSgYM-Uhr3wmiZJLQ</v>
      </c>
      <c r="B59" s="5">
        <f ca="1">IFERROR(__xludf.DUMMYFUNCTION("""COMPUTED_VALUE"""),45967.6678953009)</f>
        <v>45967.667895300903</v>
      </c>
      <c r="C59" s="4" t="str">
        <f ca="1">IFERROR(__xludf.DUMMYFUNCTION("""COMPUTED_VALUE"""),"Minh Tấn")</f>
        <v>Minh Tấn</v>
      </c>
      <c r="D59" s="4" t="str">
        <f ca="1">IFERROR(__xludf.DUMMYFUNCTION("""COMPUTED_VALUE"""),"Nam")</f>
        <v>Nam</v>
      </c>
      <c r="E59" s="4" t="str">
        <f ca="1">IFERROR(__xludf.DUMMYFUNCTION("""COMPUTED_VALUE"""),"Công ty TNHH Kiểm toán AVN Việt Nam")</f>
        <v>Công ty TNHH Kiểm toán AVN Việt Nam</v>
      </c>
      <c r="F59" s="4" t="str">
        <f ca="1">IFERROR(__xludf.DUMMYFUNCTION("""COMPUTED_VALUE"""),"Đại học")</f>
        <v>Đại học</v>
      </c>
      <c r="G59" s="4" t="str">
        <f ca="1">IFERROR(__xludf.DUMMYFUNCTION("""COMPUTED_VALUE"""),"Từ 3 đến 5 năm")</f>
        <v>Từ 3 đến 5 năm</v>
      </c>
      <c r="H59" s="4" t="str">
        <f ca="1">IFERROR(__xludf.DUMMYFUNCTION("""COMPUTED_VALUE"""),"Trợ lý kiểm toán")</f>
        <v>Trợ lý kiểm toán</v>
      </c>
      <c r="I59" s="4">
        <f ca="1">IFERROR(__xludf.DUMMYFUNCTION("""COMPUTED_VALUE"""),5)</f>
        <v>5</v>
      </c>
      <c r="J59" s="4">
        <f ca="1">IFERROR(__xludf.DUMMYFUNCTION("""COMPUTED_VALUE"""),5)</f>
        <v>5</v>
      </c>
      <c r="K59" s="4">
        <f ca="1">IFERROR(__xludf.DUMMYFUNCTION("""COMPUTED_VALUE"""),5)</f>
        <v>5</v>
      </c>
      <c r="L59" s="4">
        <f ca="1">IFERROR(__xludf.DUMMYFUNCTION("""COMPUTED_VALUE"""),5)</f>
        <v>5</v>
      </c>
      <c r="M59" s="4">
        <f ca="1">IFERROR(__xludf.DUMMYFUNCTION("""COMPUTED_VALUE"""),5)</f>
        <v>5</v>
      </c>
      <c r="N59" s="4">
        <f ca="1">IFERROR(__xludf.DUMMYFUNCTION("""COMPUTED_VALUE"""),4)</f>
        <v>4</v>
      </c>
      <c r="O59" s="4">
        <f ca="1">IFERROR(__xludf.DUMMYFUNCTION("""COMPUTED_VALUE"""),4)</f>
        <v>4</v>
      </c>
      <c r="P59" s="4">
        <f ca="1">IFERROR(__xludf.DUMMYFUNCTION("""COMPUTED_VALUE"""),4)</f>
        <v>4</v>
      </c>
      <c r="Q59" s="4">
        <f ca="1">IFERROR(__xludf.DUMMYFUNCTION("""COMPUTED_VALUE"""),4)</f>
        <v>4</v>
      </c>
      <c r="R59" s="4">
        <f ca="1">IFERROR(__xludf.DUMMYFUNCTION("""COMPUTED_VALUE"""),5)</f>
        <v>5</v>
      </c>
      <c r="S59" s="4">
        <f ca="1">IFERROR(__xludf.DUMMYFUNCTION("""COMPUTED_VALUE"""),5)</f>
        <v>5</v>
      </c>
      <c r="T59" s="4">
        <f ca="1">IFERROR(__xludf.DUMMYFUNCTION("""COMPUTED_VALUE"""),5)</f>
        <v>5</v>
      </c>
      <c r="U59" s="4">
        <f ca="1">IFERROR(__xludf.DUMMYFUNCTION("""COMPUTED_VALUE"""),5)</f>
        <v>5</v>
      </c>
      <c r="V59" s="4">
        <f ca="1">IFERROR(__xludf.DUMMYFUNCTION("""COMPUTED_VALUE"""),5)</f>
        <v>5</v>
      </c>
      <c r="W59" s="4">
        <f ca="1">IFERROR(__xludf.DUMMYFUNCTION("""COMPUTED_VALUE"""),4)</f>
        <v>4</v>
      </c>
      <c r="X59" s="4">
        <f ca="1">IFERROR(__xludf.DUMMYFUNCTION("""COMPUTED_VALUE"""),4)</f>
        <v>4</v>
      </c>
      <c r="Y59" s="4">
        <f ca="1">IFERROR(__xludf.DUMMYFUNCTION("""COMPUTED_VALUE"""),4)</f>
        <v>4</v>
      </c>
      <c r="Z59" s="4">
        <f ca="1">IFERROR(__xludf.DUMMYFUNCTION("""COMPUTED_VALUE"""),4)</f>
        <v>4</v>
      </c>
      <c r="AA59" s="4">
        <f ca="1">IFERROR(__xludf.DUMMYFUNCTION("""COMPUTED_VALUE"""),4)</f>
        <v>4</v>
      </c>
      <c r="AB59" s="4">
        <f ca="1">IFERROR(__xludf.DUMMYFUNCTION("""COMPUTED_VALUE"""),3)</f>
        <v>3</v>
      </c>
      <c r="AC59" s="4">
        <f ca="1">IFERROR(__xludf.DUMMYFUNCTION("""COMPUTED_VALUE"""),2)</f>
        <v>2</v>
      </c>
      <c r="AD59" s="4">
        <f ca="1">IFERROR(__xludf.DUMMYFUNCTION("""COMPUTED_VALUE"""),2)</f>
        <v>2</v>
      </c>
      <c r="AE59" s="4">
        <f ca="1">IFERROR(__xludf.DUMMYFUNCTION("""COMPUTED_VALUE"""),4)</f>
        <v>4</v>
      </c>
      <c r="AF59" s="4">
        <f ca="1">IFERROR(__xludf.DUMMYFUNCTION("""COMPUTED_VALUE"""),5)</f>
        <v>5</v>
      </c>
      <c r="AG59" s="4">
        <f ca="1">IFERROR(__xludf.DUMMYFUNCTION("""COMPUTED_VALUE"""),5)</f>
        <v>5</v>
      </c>
      <c r="AH59" s="4">
        <f ca="1">IFERROR(__xludf.DUMMYFUNCTION("""COMPUTED_VALUE"""),5)</f>
        <v>5</v>
      </c>
      <c r="AI59" s="4">
        <f ca="1">IFERROR(__xludf.DUMMYFUNCTION("""COMPUTED_VALUE"""),5)</f>
        <v>5</v>
      </c>
      <c r="AJ59" s="4">
        <f ca="1">IFERROR(__xludf.DUMMYFUNCTION("""COMPUTED_VALUE"""),4)</f>
        <v>4</v>
      </c>
      <c r="AK59" s="4">
        <f ca="1">IFERROR(__xludf.DUMMYFUNCTION("""COMPUTED_VALUE"""),4)</f>
        <v>4</v>
      </c>
      <c r="AL59" s="4">
        <f ca="1">IFERROR(__xludf.DUMMYFUNCTION("""COMPUTED_VALUE"""),4)</f>
        <v>4</v>
      </c>
      <c r="AM59" s="4">
        <f ca="1">IFERROR(__xludf.DUMMYFUNCTION("""COMPUTED_VALUE"""),4)</f>
        <v>4</v>
      </c>
      <c r="AN59" s="4">
        <f ca="1">IFERROR(__xludf.DUMMYFUNCTION("""COMPUTED_VALUE"""),4)</f>
        <v>4</v>
      </c>
      <c r="AO59" s="4">
        <f ca="1">IFERROR(__xludf.DUMMYFUNCTION("""COMPUTED_VALUE"""),4)</f>
        <v>4</v>
      </c>
      <c r="AP59" s="4">
        <f ca="1">IFERROR(__xludf.DUMMYFUNCTION("""COMPUTED_VALUE"""),4)</f>
        <v>4</v>
      </c>
      <c r="AQ59" s="4">
        <f ca="1">IFERROR(__xludf.DUMMYFUNCTION("""COMPUTED_VALUE"""),4)</f>
        <v>4</v>
      </c>
      <c r="AR59" s="4">
        <f ca="1">IFERROR(__xludf.DUMMYFUNCTION("""COMPUTED_VALUE"""),4)</f>
        <v>4</v>
      </c>
      <c r="AS59" s="4">
        <f ca="1">IFERROR(__xludf.DUMMYFUNCTION("""COMPUTED_VALUE"""),4)</f>
        <v>4</v>
      </c>
      <c r="AT59" s="4">
        <f ca="1">IFERROR(__xludf.DUMMYFUNCTION("""COMPUTED_VALUE"""),3)</f>
        <v>3</v>
      </c>
      <c r="AU59" s="4">
        <f ca="1">IFERROR(__xludf.DUMMYFUNCTION("""COMPUTED_VALUE"""),4)</f>
        <v>4</v>
      </c>
      <c r="AV59" s="4">
        <f ca="1">IFERROR(__xludf.DUMMYFUNCTION("""COMPUTED_VALUE"""),4)</f>
        <v>4</v>
      </c>
      <c r="AW59" s="4">
        <f ca="1">IFERROR(__xludf.DUMMYFUNCTION("""COMPUTED_VALUE"""),4)</f>
        <v>4</v>
      </c>
      <c r="AX59" s="4">
        <f ca="1">IFERROR(__xludf.DUMMYFUNCTION("""COMPUTED_VALUE"""),5)</f>
        <v>5</v>
      </c>
      <c r="AY59" s="4">
        <f ca="1">IFERROR(__xludf.DUMMYFUNCTION("""COMPUTED_VALUE"""),5)</f>
        <v>5</v>
      </c>
      <c r="AZ59" s="4">
        <f ca="1">IFERROR(__xludf.DUMMYFUNCTION("""COMPUTED_VALUE"""),5)</f>
        <v>5</v>
      </c>
      <c r="BA59" s="4">
        <f ca="1">IFERROR(__xludf.DUMMYFUNCTION("""COMPUTED_VALUE"""),5)</f>
        <v>5</v>
      </c>
      <c r="BB59" s="4">
        <f ca="1">IFERROR(__xludf.DUMMYFUNCTION("""COMPUTED_VALUE"""),3)</f>
        <v>3</v>
      </c>
      <c r="BC59" s="4">
        <f ca="1">IFERROR(__xludf.DUMMYFUNCTION("""COMPUTED_VALUE"""),3)</f>
        <v>3</v>
      </c>
      <c r="BD59" s="4">
        <f ca="1">IFERROR(__xludf.DUMMYFUNCTION("""COMPUTED_VALUE"""),2)</f>
        <v>2</v>
      </c>
      <c r="BE59" s="4">
        <f ca="1">IFERROR(__xludf.DUMMYFUNCTION("""COMPUTED_VALUE"""),2)</f>
        <v>2</v>
      </c>
      <c r="BF59" s="4">
        <f ca="1">IFERROR(__xludf.DUMMYFUNCTION("""COMPUTED_VALUE"""),2)</f>
        <v>2</v>
      </c>
      <c r="BG59" s="4">
        <f ca="1">IFERROR(__xludf.DUMMYFUNCTION("""COMPUTED_VALUE"""),2)</f>
        <v>2</v>
      </c>
      <c r="BH59" s="4">
        <f ca="1">IFERROR(__xludf.DUMMYFUNCTION("""COMPUTED_VALUE"""),4)</f>
        <v>4</v>
      </c>
      <c r="BI59" s="4">
        <f ca="1">IFERROR(__xludf.DUMMYFUNCTION("""COMPUTED_VALUE"""),4)</f>
        <v>4</v>
      </c>
      <c r="BJ59" s="4">
        <f ca="1">IFERROR(__xludf.DUMMYFUNCTION("""COMPUTED_VALUE"""),4)</f>
        <v>4</v>
      </c>
      <c r="BK59" s="4">
        <f ca="1">IFERROR(__xludf.DUMMYFUNCTION("""COMPUTED_VALUE"""),4)</f>
        <v>4</v>
      </c>
      <c r="BL59" s="4">
        <f ca="1">IFERROR(__xludf.DUMMYFUNCTION("""COMPUTED_VALUE"""),4)</f>
        <v>4</v>
      </c>
      <c r="BM59" s="4">
        <f ca="1">IFERROR(__xludf.DUMMYFUNCTION("""COMPUTED_VALUE"""),4)</f>
        <v>4</v>
      </c>
      <c r="BN59" s="4">
        <f ca="1">IFERROR(__xludf.DUMMYFUNCTION("""COMPUTED_VALUE"""),5)</f>
        <v>5</v>
      </c>
      <c r="BO59" s="4">
        <f ca="1">IFERROR(__xludf.DUMMYFUNCTION("""COMPUTED_VALUE"""),5)</f>
        <v>5</v>
      </c>
      <c r="BP59" s="4">
        <f ca="1">IFERROR(__xludf.DUMMYFUNCTION("""COMPUTED_VALUE"""),5)</f>
        <v>5</v>
      </c>
    </row>
    <row r="60" spans="1:68" ht="13.2" x14ac:dyDescent="0.25">
      <c r="A60" s="4" t="str">
        <f ca="1">IFERROR(__xludf.DUMMYFUNCTION("""COMPUTED_VALUE"""),"2_ABaOnudwjfPLNGzBm2zH0KW62i-8QNRjZBLFmkD95aHZUiEXrJ8VZrspV2b5vIfblw")</f>
        <v>2_ABaOnudwjfPLNGzBm2zH0KW62i-8QNRjZBLFmkD95aHZUiEXrJ8VZrspV2b5vIfblw</v>
      </c>
      <c r="B60" s="5">
        <f ca="1">IFERROR(__xludf.DUMMYFUNCTION("""COMPUTED_VALUE"""),45967.6773242476)</f>
        <v>45967.677324247597</v>
      </c>
      <c r="C60" s="4"/>
      <c r="D60" s="4" t="str">
        <f ca="1">IFERROR(__xludf.DUMMYFUNCTION("""COMPUTED_VALUE"""),"Nam")</f>
        <v>Nam</v>
      </c>
      <c r="E60" s="4" t="str">
        <f ca="1">IFERROR(__xludf.DUMMYFUNCTION("""COMPUTED_VALUE"""),"Công ty TNHH Kiểm toán và Kế toán AAC")</f>
        <v>Công ty TNHH Kiểm toán và Kế toán AAC</v>
      </c>
      <c r="F60" s="4" t="str">
        <f ca="1">IFERROR(__xludf.DUMMYFUNCTION("""COMPUTED_VALUE"""),"Đại học, Chứng chỉ Kiểm toán viên")</f>
        <v>Đại học, Chứng chỉ Kiểm toán viên</v>
      </c>
      <c r="G60" s="4" t="str">
        <f ca="1">IFERROR(__xludf.DUMMYFUNCTION("""COMPUTED_VALUE"""),"Trên 10 đến 15 năm")</f>
        <v>Trên 10 đến 15 năm</v>
      </c>
      <c r="H60" s="4" t="str">
        <f ca="1">IFERROR(__xludf.DUMMYFUNCTION("""COMPUTED_VALUE"""),"Trưởng phòng")</f>
        <v>Trưởng phòng</v>
      </c>
      <c r="I60" s="4">
        <f ca="1">IFERROR(__xludf.DUMMYFUNCTION("""COMPUTED_VALUE"""),5)</f>
        <v>5</v>
      </c>
      <c r="J60" s="4">
        <f ca="1">IFERROR(__xludf.DUMMYFUNCTION("""COMPUTED_VALUE"""),5)</f>
        <v>5</v>
      </c>
      <c r="K60" s="4">
        <f ca="1">IFERROR(__xludf.DUMMYFUNCTION("""COMPUTED_VALUE"""),5)</f>
        <v>5</v>
      </c>
      <c r="L60" s="4">
        <f ca="1">IFERROR(__xludf.DUMMYFUNCTION("""COMPUTED_VALUE"""),4)</f>
        <v>4</v>
      </c>
      <c r="M60" s="4">
        <f ca="1">IFERROR(__xludf.DUMMYFUNCTION("""COMPUTED_VALUE"""),4)</f>
        <v>4</v>
      </c>
      <c r="N60" s="4">
        <f ca="1">IFERROR(__xludf.DUMMYFUNCTION("""COMPUTED_VALUE"""),3)</f>
        <v>3</v>
      </c>
      <c r="O60" s="4">
        <f ca="1">IFERROR(__xludf.DUMMYFUNCTION("""COMPUTED_VALUE"""),3)</f>
        <v>3</v>
      </c>
      <c r="P60" s="4">
        <f ca="1">IFERROR(__xludf.DUMMYFUNCTION("""COMPUTED_VALUE"""),4)</f>
        <v>4</v>
      </c>
      <c r="Q60" s="4">
        <f ca="1">IFERROR(__xludf.DUMMYFUNCTION("""COMPUTED_VALUE"""),5)</f>
        <v>5</v>
      </c>
      <c r="R60" s="4">
        <f ca="1">IFERROR(__xludf.DUMMYFUNCTION("""COMPUTED_VALUE"""),5)</f>
        <v>5</v>
      </c>
      <c r="S60" s="4">
        <f ca="1">IFERROR(__xludf.DUMMYFUNCTION("""COMPUTED_VALUE"""),5)</f>
        <v>5</v>
      </c>
      <c r="T60" s="4">
        <f ca="1">IFERROR(__xludf.DUMMYFUNCTION("""COMPUTED_VALUE"""),4)</f>
        <v>4</v>
      </c>
      <c r="U60" s="4">
        <f ca="1">IFERROR(__xludf.DUMMYFUNCTION("""COMPUTED_VALUE"""),5)</f>
        <v>5</v>
      </c>
      <c r="V60" s="4">
        <f ca="1">IFERROR(__xludf.DUMMYFUNCTION("""COMPUTED_VALUE"""),4)</f>
        <v>4</v>
      </c>
      <c r="W60" s="4">
        <f ca="1">IFERROR(__xludf.DUMMYFUNCTION("""COMPUTED_VALUE"""),4)</f>
        <v>4</v>
      </c>
      <c r="X60" s="4">
        <f ca="1">IFERROR(__xludf.DUMMYFUNCTION("""COMPUTED_VALUE"""),4)</f>
        <v>4</v>
      </c>
      <c r="Y60" s="4">
        <f ca="1">IFERROR(__xludf.DUMMYFUNCTION("""COMPUTED_VALUE"""),3)</f>
        <v>3</v>
      </c>
      <c r="Z60" s="4">
        <f ca="1">IFERROR(__xludf.DUMMYFUNCTION("""COMPUTED_VALUE"""),3)</f>
        <v>3</v>
      </c>
      <c r="AA60" s="4">
        <f ca="1">IFERROR(__xludf.DUMMYFUNCTION("""COMPUTED_VALUE"""),4)</f>
        <v>4</v>
      </c>
      <c r="AB60" s="4">
        <f ca="1">IFERROR(__xludf.DUMMYFUNCTION("""COMPUTED_VALUE"""),4)</f>
        <v>4</v>
      </c>
      <c r="AC60" s="4">
        <f ca="1">IFERROR(__xludf.DUMMYFUNCTION("""COMPUTED_VALUE"""),4)</f>
        <v>4</v>
      </c>
      <c r="AD60" s="4">
        <f ca="1">IFERROR(__xludf.DUMMYFUNCTION("""COMPUTED_VALUE"""),2)</f>
        <v>2</v>
      </c>
      <c r="AE60" s="4">
        <f ca="1">IFERROR(__xludf.DUMMYFUNCTION("""COMPUTED_VALUE"""),4)</f>
        <v>4</v>
      </c>
      <c r="AF60" s="4">
        <f ca="1">IFERROR(__xludf.DUMMYFUNCTION("""COMPUTED_VALUE"""),5)</f>
        <v>5</v>
      </c>
      <c r="AG60" s="4">
        <f ca="1">IFERROR(__xludf.DUMMYFUNCTION("""COMPUTED_VALUE"""),5)</f>
        <v>5</v>
      </c>
      <c r="AH60" s="4">
        <f ca="1">IFERROR(__xludf.DUMMYFUNCTION("""COMPUTED_VALUE"""),5)</f>
        <v>5</v>
      </c>
      <c r="AI60" s="4">
        <f ca="1">IFERROR(__xludf.DUMMYFUNCTION("""COMPUTED_VALUE"""),4)</f>
        <v>4</v>
      </c>
      <c r="AJ60" s="4">
        <f ca="1">IFERROR(__xludf.DUMMYFUNCTION("""COMPUTED_VALUE"""),4)</f>
        <v>4</v>
      </c>
      <c r="AK60" s="4">
        <f ca="1">IFERROR(__xludf.DUMMYFUNCTION("""COMPUTED_VALUE"""),5)</f>
        <v>5</v>
      </c>
      <c r="AL60" s="4">
        <f ca="1">IFERROR(__xludf.DUMMYFUNCTION("""COMPUTED_VALUE"""),5)</f>
        <v>5</v>
      </c>
      <c r="AM60" s="4">
        <f ca="1">IFERROR(__xludf.DUMMYFUNCTION("""COMPUTED_VALUE"""),5)</f>
        <v>5</v>
      </c>
      <c r="AN60" s="4">
        <f ca="1">IFERROR(__xludf.DUMMYFUNCTION("""COMPUTED_VALUE"""),5)</f>
        <v>5</v>
      </c>
      <c r="AO60" s="4">
        <f ca="1">IFERROR(__xludf.DUMMYFUNCTION("""COMPUTED_VALUE"""),3)</f>
        <v>3</v>
      </c>
      <c r="AP60" s="4">
        <f ca="1">IFERROR(__xludf.DUMMYFUNCTION("""COMPUTED_VALUE"""),3)</f>
        <v>3</v>
      </c>
      <c r="AQ60" s="4">
        <f ca="1">IFERROR(__xludf.DUMMYFUNCTION("""COMPUTED_VALUE"""),4)</f>
        <v>4</v>
      </c>
      <c r="AR60" s="4">
        <f ca="1">IFERROR(__xludf.DUMMYFUNCTION("""COMPUTED_VALUE"""),3)</f>
        <v>3</v>
      </c>
      <c r="AS60" s="4">
        <f ca="1">IFERROR(__xludf.DUMMYFUNCTION("""COMPUTED_VALUE"""),4)</f>
        <v>4</v>
      </c>
      <c r="AT60" s="4">
        <f ca="1">IFERROR(__xludf.DUMMYFUNCTION("""COMPUTED_VALUE"""),3)</f>
        <v>3</v>
      </c>
      <c r="AU60" s="4">
        <f ca="1">IFERROR(__xludf.DUMMYFUNCTION("""COMPUTED_VALUE"""),4)</f>
        <v>4</v>
      </c>
      <c r="AV60" s="4">
        <f ca="1">IFERROR(__xludf.DUMMYFUNCTION("""COMPUTED_VALUE"""),4)</f>
        <v>4</v>
      </c>
      <c r="AW60" s="4">
        <f ca="1">IFERROR(__xludf.DUMMYFUNCTION("""COMPUTED_VALUE"""),4)</f>
        <v>4</v>
      </c>
      <c r="AX60" s="4">
        <f ca="1">IFERROR(__xludf.DUMMYFUNCTION("""COMPUTED_VALUE"""),5)</f>
        <v>5</v>
      </c>
      <c r="AY60" s="4">
        <f ca="1">IFERROR(__xludf.DUMMYFUNCTION("""COMPUTED_VALUE"""),5)</f>
        <v>5</v>
      </c>
      <c r="AZ60" s="4">
        <f ca="1">IFERROR(__xludf.DUMMYFUNCTION("""COMPUTED_VALUE"""),5)</f>
        <v>5</v>
      </c>
      <c r="BA60" s="4">
        <f ca="1">IFERROR(__xludf.DUMMYFUNCTION("""COMPUTED_VALUE"""),5)</f>
        <v>5</v>
      </c>
      <c r="BB60" s="4">
        <f ca="1">IFERROR(__xludf.DUMMYFUNCTION("""COMPUTED_VALUE"""),3)</f>
        <v>3</v>
      </c>
      <c r="BC60" s="4">
        <f ca="1">IFERROR(__xludf.DUMMYFUNCTION("""COMPUTED_VALUE"""),3)</f>
        <v>3</v>
      </c>
      <c r="BD60" s="4">
        <f ca="1">IFERROR(__xludf.DUMMYFUNCTION("""COMPUTED_VALUE"""),3)</f>
        <v>3</v>
      </c>
      <c r="BE60" s="4">
        <f ca="1">IFERROR(__xludf.DUMMYFUNCTION("""COMPUTED_VALUE"""),3)</f>
        <v>3</v>
      </c>
      <c r="BF60" s="4">
        <f ca="1">IFERROR(__xludf.DUMMYFUNCTION("""COMPUTED_VALUE"""),2)</f>
        <v>2</v>
      </c>
      <c r="BG60" s="4">
        <f ca="1">IFERROR(__xludf.DUMMYFUNCTION("""COMPUTED_VALUE"""),2)</f>
        <v>2</v>
      </c>
      <c r="BH60" s="4">
        <f ca="1">IFERROR(__xludf.DUMMYFUNCTION("""COMPUTED_VALUE"""),4)</f>
        <v>4</v>
      </c>
      <c r="BI60" s="4">
        <f ca="1">IFERROR(__xludf.DUMMYFUNCTION("""COMPUTED_VALUE"""),4)</f>
        <v>4</v>
      </c>
      <c r="BJ60" s="4">
        <f ca="1">IFERROR(__xludf.DUMMYFUNCTION("""COMPUTED_VALUE"""),5)</f>
        <v>5</v>
      </c>
      <c r="BK60" s="4">
        <f ca="1">IFERROR(__xludf.DUMMYFUNCTION("""COMPUTED_VALUE"""),4)</f>
        <v>4</v>
      </c>
      <c r="BL60" s="4">
        <f ca="1">IFERROR(__xludf.DUMMYFUNCTION("""COMPUTED_VALUE"""),4)</f>
        <v>4</v>
      </c>
      <c r="BM60" s="4">
        <f ca="1">IFERROR(__xludf.DUMMYFUNCTION("""COMPUTED_VALUE"""),4)</f>
        <v>4</v>
      </c>
      <c r="BN60" s="4">
        <f ca="1">IFERROR(__xludf.DUMMYFUNCTION("""COMPUTED_VALUE"""),4)</f>
        <v>4</v>
      </c>
      <c r="BO60" s="4">
        <f ca="1">IFERROR(__xludf.DUMMYFUNCTION("""COMPUTED_VALUE"""),5)</f>
        <v>5</v>
      </c>
      <c r="BP60" s="4">
        <f ca="1">IFERROR(__xludf.DUMMYFUNCTION("""COMPUTED_VALUE"""),4)</f>
        <v>4</v>
      </c>
    </row>
    <row r="61" spans="1:68" ht="13.2" x14ac:dyDescent="0.25">
      <c r="A61" s="4" t="str">
        <f ca="1">IFERROR(__xludf.DUMMYFUNCTION("""COMPUTED_VALUE"""),"2_ABaOnufn5ok-lo4_xjNP8SBKU7OABUdqfpi13ECeZOeGIm7AIKN4XuIFwb1ft9NAgg")</f>
        <v>2_ABaOnufn5ok-lo4_xjNP8SBKU7OABUdqfpi13ECeZOeGIm7AIKN4XuIFwb1ft9NAgg</v>
      </c>
      <c r="B61" s="5">
        <f ca="1">IFERROR(__xludf.DUMMYFUNCTION("""COMPUTED_VALUE"""),45967.6853286921)</f>
        <v>45967.685328692103</v>
      </c>
      <c r="C61" s="4" t="str">
        <f ca="1">IFERROR(__xludf.DUMMYFUNCTION("""COMPUTED_VALUE"""),"Bùi Sĩ Tuân")</f>
        <v>Bùi Sĩ Tuân</v>
      </c>
      <c r="D61" s="4" t="str">
        <f ca="1">IFERROR(__xludf.DUMMYFUNCTION("""COMPUTED_VALUE"""),"Nam")</f>
        <v>Nam</v>
      </c>
      <c r="E61" s="4" t="str">
        <f ca="1">IFERROR(__xludf.DUMMYFUNCTION("""COMPUTED_VALUE"""),"Công ty TNHH CAF Việt Nam")</f>
        <v>Công ty TNHH CAF Việt Nam</v>
      </c>
      <c r="F61" s="4" t="str">
        <f ca="1">IFERROR(__xludf.DUMMYFUNCTION("""COMPUTED_VALUE"""),"Đại học")</f>
        <v>Đại học</v>
      </c>
      <c r="G61" s="4" t="str">
        <f ca="1">IFERROR(__xludf.DUMMYFUNCTION("""COMPUTED_VALUE"""),"Từ 3 đến 5 năm")</f>
        <v>Từ 3 đến 5 năm</v>
      </c>
      <c r="H61" s="4" t="str">
        <f ca="1">IFERROR(__xludf.DUMMYFUNCTION("""COMPUTED_VALUE"""),"Kiểm toán viên/Trưởng nhóm")</f>
        <v>Kiểm toán viên/Trưởng nhóm</v>
      </c>
      <c r="I61" s="4">
        <f ca="1">IFERROR(__xludf.DUMMYFUNCTION("""COMPUTED_VALUE"""),5)</f>
        <v>5</v>
      </c>
      <c r="J61" s="4">
        <f ca="1">IFERROR(__xludf.DUMMYFUNCTION("""COMPUTED_VALUE"""),5)</f>
        <v>5</v>
      </c>
      <c r="K61" s="4">
        <f ca="1">IFERROR(__xludf.DUMMYFUNCTION("""COMPUTED_VALUE"""),4)</f>
        <v>4</v>
      </c>
      <c r="L61" s="4">
        <f ca="1">IFERROR(__xludf.DUMMYFUNCTION("""COMPUTED_VALUE"""),4)</f>
        <v>4</v>
      </c>
      <c r="M61" s="4">
        <f ca="1">IFERROR(__xludf.DUMMYFUNCTION("""COMPUTED_VALUE"""),4)</f>
        <v>4</v>
      </c>
      <c r="N61" s="4">
        <f ca="1">IFERROR(__xludf.DUMMYFUNCTION("""COMPUTED_VALUE"""),3)</f>
        <v>3</v>
      </c>
      <c r="O61" s="4">
        <f ca="1">IFERROR(__xludf.DUMMYFUNCTION("""COMPUTED_VALUE"""),3)</f>
        <v>3</v>
      </c>
      <c r="P61" s="4">
        <f ca="1">IFERROR(__xludf.DUMMYFUNCTION("""COMPUTED_VALUE"""),4)</f>
        <v>4</v>
      </c>
      <c r="Q61" s="4">
        <f ca="1">IFERROR(__xludf.DUMMYFUNCTION("""COMPUTED_VALUE"""),5)</f>
        <v>5</v>
      </c>
      <c r="R61" s="4">
        <f ca="1">IFERROR(__xludf.DUMMYFUNCTION("""COMPUTED_VALUE"""),5)</f>
        <v>5</v>
      </c>
      <c r="S61" s="4">
        <f ca="1">IFERROR(__xludf.DUMMYFUNCTION("""COMPUTED_VALUE"""),5)</f>
        <v>5</v>
      </c>
      <c r="T61" s="4">
        <f ca="1">IFERROR(__xludf.DUMMYFUNCTION("""COMPUTED_VALUE"""),5)</f>
        <v>5</v>
      </c>
      <c r="U61" s="4">
        <f ca="1">IFERROR(__xludf.DUMMYFUNCTION("""COMPUTED_VALUE"""),5)</f>
        <v>5</v>
      </c>
      <c r="V61" s="4">
        <f ca="1">IFERROR(__xludf.DUMMYFUNCTION("""COMPUTED_VALUE"""),5)</f>
        <v>5</v>
      </c>
      <c r="W61" s="4">
        <f ca="1">IFERROR(__xludf.DUMMYFUNCTION("""COMPUTED_VALUE"""),4)</f>
        <v>4</v>
      </c>
      <c r="X61" s="4">
        <f ca="1">IFERROR(__xludf.DUMMYFUNCTION("""COMPUTED_VALUE"""),3)</f>
        <v>3</v>
      </c>
      <c r="Y61" s="4">
        <f ca="1">IFERROR(__xludf.DUMMYFUNCTION("""COMPUTED_VALUE"""),3)</f>
        <v>3</v>
      </c>
      <c r="Z61" s="4">
        <f ca="1">IFERROR(__xludf.DUMMYFUNCTION("""COMPUTED_VALUE"""),3)</f>
        <v>3</v>
      </c>
      <c r="AA61" s="4">
        <f ca="1">IFERROR(__xludf.DUMMYFUNCTION("""COMPUTED_VALUE"""),3)</f>
        <v>3</v>
      </c>
      <c r="AB61" s="4">
        <f ca="1">IFERROR(__xludf.DUMMYFUNCTION("""COMPUTED_VALUE"""),5)</f>
        <v>5</v>
      </c>
      <c r="AC61" s="4">
        <f ca="1">IFERROR(__xludf.DUMMYFUNCTION("""COMPUTED_VALUE"""),4)</f>
        <v>4</v>
      </c>
      <c r="AD61" s="4">
        <f ca="1">IFERROR(__xludf.DUMMYFUNCTION("""COMPUTED_VALUE"""),4)</f>
        <v>4</v>
      </c>
      <c r="AE61" s="4">
        <f ca="1">IFERROR(__xludf.DUMMYFUNCTION("""COMPUTED_VALUE"""),5)</f>
        <v>5</v>
      </c>
      <c r="AF61" s="4">
        <f ca="1">IFERROR(__xludf.DUMMYFUNCTION("""COMPUTED_VALUE"""),4)</f>
        <v>4</v>
      </c>
      <c r="AG61" s="4">
        <f ca="1">IFERROR(__xludf.DUMMYFUNCTION("""COMPUTED_VALUE"""),4)</f>
        <v>4</v>
      </c>
      <c r="AH61" s="4">
        <f ca="1">IFERROR(__xludf.DUMMYFUNCTION("""COMPUTED_VALUE"""),5)</f>
        <v>5</v>
      </c>
      <c r="AI61" s="4">
        <f ca="1">IFERROR(__xludf.DUMMYFUNCTION("""COMPUTED_VALUE"""),4)</f>
        <v>4</v>
      </c>
      <c r="AJ61" s="4">
        <f ca="1">IFERROR(__xludf.DUMMYFUNCTION("""COMPUTED_VALUE"""),3)</f>
        <v>3</v>
      </c>
      <c r="AK61" s="4">
        <f ca="1">IFERROR(__xludf.DUMMYFUNCTION("""COMPUTED_VALUE"""),3)</f>
        <v>3</v>
      </c>
      <c r="AL61" s="4">
        <f ca="1">IFERROR(__xludf.DUMMYFUNCTION("""COMPUTED_VALUE"""),4)</f>
        <v>4</v>
      </c>
      <c r="AM61" s="4">
        <f ca="1">IFERROR(__xludf.DUMMYFUNCTION("""COMPUTED_VALUE"""),4)</f>
        <v>4</v>
      </c>
      <c r="AN61" s="4">
        <f ca="1">IFERROR(__xludf.DUMMYFUNCTION("""COMPUTED_VALUE"""),5)</f>
        <v>5</v>
      </c>
      <c r="AO61" s="4">
        <f ca="1">IFERROR(__xludf.DUMMYFUNCTION("""COMPUTED_VALUE"""),3)</f>
        <v>3</v>
      </c>
      <c r="AP61" s="4">
        <f ca="1">IFERROR(__xludf.DUMMYFUNCTION("""COMPUTED_VALUE"""),3)</f>
        <v>3</v>
      </c>
      <c r="AQ61" s="4">
        <f ca="1">IFERROR(__xludf.DUMMYFUNCTION("""COMPUTED_VALUE"""),3)</f>
        <v>3</v>
      </c>
      <c r="AR61" s="4">
        <f ca="1">IFERROR(__xludf.DUMMYFUNCTION("""COMPUTED_VALUE"""),5)</f>
        <v>5</v>
      </c>
      <c r="AS61" s="4">
        <f ca="1">IFERROR(__xludf.DUMMYFUNCTION("""COMPUTED_VALUE"""),5)</f>
        <v>5</v>
      </c>
      <c r="AT61" s="4">
        <f ca="1">IFERROR(__xludf.DUMMYFUNCTION("""COMPUTED_VALUE"""),5)</f>
        <v>5</v>
      </c>
      <c r="AU61" s="4">
        <f ca="1">IFERROR(__xludf.DUMMYFUNCTION("""COMPUTED_VALUE"""),5)</f>
        <v>5</v>
      </c>
      <c r="AV61" s="4">
        <f ca="1">IFERROR(__xludf.DUMMYFUNCTION("""COMPUTED_VALUE"""),5)</f>
        <v>5</v>
      </c>
      <c r="AW61" s="4">
        <f ca="1">IFERROR(__xludf.DUMMYFUNCTION("""COMPUTED_VALUE"""),5)</f>
        <v>5</v>
      </c>
      <c r="AX61" s="4">
        <f ca="1">IFERROR(__xludf.DUMMYFUNCTION("""COMPUTED_VALUE"""),5)</f>
        <v>5</v>
      </c>
      <c r="AY61" s="4">
        <f ca="1">IFERROR(__xludf.DUMMYFUNCTION("""COMPUTED_VALUE"""),5)</f>
        <v>5</v>
      </c>
      <c r="AZ61" s="4">
        <f ca="1">IFERROR(__xludf.DUMMYFUNCTION("""COMPUTED_VALUE"""),5)</f>
        <v>5</v>
      </c>
      <c r="BA61" s="4">
        <f ca="1">IFERROR(__xludf.DUMMYFUNCTION("""COMPUTED_VALUE"""),5)</f>
        <v>5</v>
      </c>
      <c r="BB61" s="4">
        <f ca="1">IFERROR(__xludf.DUMMYFUNCTION("""COMPUTED_VALUE"""),4)</f>
        <v>4</v>
      </c>
      <c r="BC61" s="4">
        <f ca="1">IFERROR(__xludf.DUMMYFUNCTION("""COMPUTED_VALUE"""),4)</f>
        <v>4</v>
      </c>
      <c r="BD61" s="4">
        <f ca="1">IFERROR(__xludf.DUMMYFUNCTION("""COMPUTED_VALUE"""),3)</f>
        <v>3</v>
      </c>
      <c r="BE61" s="4">
        <f ca="1">IFERROR(__xludf.DUMMYFUNCTION("""COMPUTED_VALUE"""),3)</f>
        <v>3</v>
      </c>
      <c r="BF61" s="4">
        <f ca="1">IFERROR(__xludf.DUMMYFUNCTION("""COMPUTED_VALUE"""),3)</f>
        <v>3</v>
      </c>
      <c r="BG61" s="4">
        <f ca="1">IFERROR(__xludf.DUMMYFUNCTION("""COMPUTED_VALUE"""),3)</f>
        <v>3</v>
      </c>
      <c r="BH61" s="4">
        <f ca="1">IFERROR(__xludf.DUMMYFUNCTION("""COMPUTED_VALUE"""),4)</f>
        <v>4</v>
      </c>
      <c r="BI61" s="4">
        <f ca="1">IFERROR(__xludf.DUMMYFUNCTION("""COMPUTED_VALUE"""),5)</f>
        <v>5</v>
      </c>
      <c r="BJ61" s="4">
        <f ca="1">IFERROR(__xludf.DUMMYFUNCTION("""COMPUTED_VALUE"""),5)</f>
        <v>5</v>
      </c>
      <c r="BK61" s="4">
        <f ca="1">IFERROR(__xludf.DUMMYFUNCTION("""COMPUTED_VALUE"""),3)</f>
        <v>3</v>
      </c>
      <c r="BL61" s="4">
        <f ca="1">IFERROR(__xludf.DUMMYFUNCTION("""COMPUTED_VALUE"""),3)</f>
        <v>3</v>
      </c>
      <c r="BM61" s="4">
        <f ca="1">IFERROR(__xludf.DUMMYFUNCTION("""COMPUTED_VALUE"""),3)</f>
        <v>3</v>
      </c>
      <c r="BN61" s="4">
        <f ca="1">IFERROR(__xludf.DUMMYFUNCTION("""COMPUTED_VALUE"""),5)</f>
        <v>5</v>
      </c>
      <c r="BO61" s="4">
        <f ca="1">IFERROR(__xludf.DUMMYFUNCTION("""COMPUTED_VALUE"""),5)</f>
        <v>5</v>
      </c>
      <c r="BP61" s="4">
        <f ca="1">IFERROR(__xludf.DUMMYFUNCTION("""COMPUTED_VALUE"""),3)</f>
        <v>3</v>
      </c>
    </row>
    <row r="62" spans="1:68" ht="13.2" x14ac:dyDescent="0.25">
      <c r="A62" s="4" t="str">
        <f ca="1">IFERROR(__xludf.DUMMYFUNCTION("""COMPUTED_VALUE"""),"2_ABaOnucqDb6avlGOWh8swSFYMPOtT-6eR6TOFfwX-ONmH9Urq-kEPsuKkdTlv6jCkw")</f>
        <v>2_ABaOnucqDb6avlGOWh8swSFYMPOtT-6eR6TOFfwX-ONmH9Urq-kEPsuKkdTlv6jCkw</v>
      </c>
      <c r="B62" s="5">
        <f ca="1">IFERROR(__xludf.DUMMYFUNCTION("""COMPUTED_VALUE"""),45967.686754375)</f>
        <v>45967.686754374998</v>
      </c>
      <c r="C62" s="4"/>
      <c r="D62" s="4" t="str">
        <f ca="1">IFERROR(__xludf.DUMMYFUNCTION("""COMPUTED_VALUE"""),"Nam")</f>
        <v>Nam</v>
      </c>
      <c r="E62" s="4" t="str">
        <f ca="1">IFERROR(__xludf.DUMMYFUNCTION("""COMPUTED_VALUE"""),"Công ty TNHH kiểm toán Nhân Tâm Việt")</f>
        <v>Công ty TNHH kiểm toán Nhân Tâm Việt</v>
      </c>
      <c r="F62" s="4" t="str">
        <f ca="1">IFERROR(__xludf.DUMMYFUNCTION("""COMPUTED_VALUE"""),"Đại học")</f>
        <v>Đại học</v>
      </c>
      <c r="G62" s="4" t="str">
        <f ca="1">IFERROR(__xludf.DUMMYFUNCTION("""COMPUTED_VALUE"""),"Từ 3 đến 5 năm")</f>
        <v>Từ 3 đến 5 năm</v>
      </c>
      <c r="H62" s="4" t="str">
        <f ca="1">IFERROR(__xludf.DUMMYFUNCTION("""COMPUTED_VALUE"""),"Trợ lý kiểm toán")</f>
        <v>Trợ lý kiểm toán</v>
      </c>
      <c r="I62" s="4">
        <f ca="1">IFERROR(__xludf.DUMMYFUNCTION("""COMPUTED_VALUE"""),5)</f>
        <v>5</v>
      </c>
      <c r="J62" s="4">
        <f ca="1">IFERROR(__xludf.DUMMYFUNCTION("""COMPUTED_VALUE"""),5)</f>
        <v>5</v>
      </c>
      <c r="K62" s="4">
        <f ca="1">IFERROR(__xludf.DUMMYFUNCTION("""COMPUTED_VALUE"""),4)</f>
        <v>4</v>
      </c>
      <c r="L62" s="4">
        <f ca="1">IFERROR(__xludf.DUMMYFUNCTION("""COMPUTED_VALUE"""),3)</f>
        <v>3</v>
      </c>
      <c r="M62" s="4">
        <f ca="1">IFERROR(__xludf.DUMMYFUNCTION("""COMPUTED_VALUE"""),4)</f>
        <v>4</v>
      </c>
      <c r="N62" s="4">
        <f ca="1">IFERROR(__xludf.DUMMYFUNCTION("""COMPUTED_VALUE"""),3)</f>
        <v>3</v>
      </c>
      <c r="O62" s="4">
        <f ca="1">IFERROR(__xludf.DUMMYFUNCTION("""COMPUTED_VALUE"""),4)</f>
        <v>4</v>
      </c>
      <c r="P62" s="4">
        <f ca="1">IFERROR(__xludf.DUMMYFUNCTION("""COMPUTED_VALUE"""),5)</f>
        <v>5</v>
      </c>
      <c r="Q62" s="4">
        <f ca="1">IFERROR(__xludf.DUMMYFUNCTION("""COMPUTED_VALUE"""),5)</f>
        <v>5</v>
      </c>
      <c r="R62" s="4">
        <f ca="1">IFERROR(__xludf.DUMMYFUNCTION("""COMPUTED_VALUE"""),5)</f>
        <v>5</v>
      </c>
      <c r="S62" s="4">
        <f ca="1">IFERROR(__xludf.DUMMYFUNCTION("""COMPUTED_VALUE"""),5)</f>
        <v>5</v>
      </c>
      <c r="T62" s="4">
        <f ca="1">IFERROR(__xludf.DUMMYFUNCTION("""COMPUTED_VALUE"""),5)</f>
        <v>5</v>
      </c>
      <c r="U62" s="4">
        <f ca="1">IFERROR(__xludf.DUMMYFUNCTION("""COMPUTED_VALUE"""),5)</f>
        <v>5</v>
      </c>
      <c r="V62" s="4">
        <f ca="1">IFERROR(__xludf.DUMMYFUNCTION("""COMPUTED_VALUE"""),5)</f>
        <v>5</v>
      </c>
      <c r="W62" s="4">
        <f ca="1">IFERROR(__xludf.DUMMYFUNCTION("""COMPUTED_VALUE"""),4)</f>
        <v>4</v>
      </c>
      <c r="X62" s="4">
        <f ca="1">IFERROR(__xludf.DUMMYFUNCTION("""COMPUTED_VALUE"""),4)</f>
        <v>4</v>
      </c>
      <c r="Y62" s="4">
        <f ca="1">IFERROR(__xludf.DUMMYFUNCTION("""COMPUTED_VALUE"""),3)</f>
        <v>3</v>
      </c>
      <c r="Z62" s="4">
        <f ca="1">IFERROR(__xludf.DUMMYFUNCTION("""COMPUTED_VALUE"""),3)</f>
        <v>3</v>
      </c>
      <c r="AA62" s="4">
        <f ca="1">IFERROR(__xludf.DUMMYFUNCTION("""COMPUTED_VALUE"""),3)</f>
        <v>3</v>
      </c>
      <c r="AB62" s="4">
        <f ca="1">IFERROR(__xludf.DUMMYFUNCTION("""COMPUTED_VALUE"""),4)</f>
        <v>4</v>
      </c>
      <c r="AC62" s="4">
        <f ca="1">IFERROR(__xludf.DUMMYFUNCTION("""COMPUTED_VALUE"""),2)</f>
        <v>2</v>
      </c>
      <c r="AD62" s="4">
        <f ca="1">IFERROR(__xludf.DUMMYFUNCTION("""COMPUTED_VALUE"""),2)</f>
        <v>2</v>
      </c>
      <c r="AE62" s="4">
        <f ca="1">IFERROR(__xludf.DUMMYFUNCTION("""COMPUTED_VALUE"""),5)</f>
        <v>5</v>
      </c>
      <c r="AF62" s="4">
        <f ca="1">IFERROR(__xludf.DUMMYFUNCTION("""COMPUTED_VALUE"""),5)</f>
        <v>5</v>
      </c>
      <c r="AG62" s="4">
        <f ca="1">IFERROR(__xludf.DUMMYFUNCTION("""COMPUTED_VALUE"""),4)</f>
        <v>4</v>
      </c>
      <c r="AH62" s="4">
        <f ca="1">IFERROR(__xludf.DUMMYFUNCTION("""COMPUTED_VALUE"""),4)</f>
        <v>4</v>
      </c>
      <c r="AI62" s="4">
        <f ca="1">IFERROR(__xludf.DUMMYFUNCTION("""COMPUTED_VALUE"""),4)</f>
        <v>4</v>
      </c>
      <c r="AJ62" s="4">
        <f ca="1">IFERROR(__xludf.DUMMYFUNCTION("""COMPUTED_VALUE"""),4)</f>
        <v>4</v>
      </c>
      <c r="AK62" s="4">
        <f ca="1">IFERROR(__xludf.DUMMYFUNCTION("""COMPUTED_VALUE"""),5)</f>
        <v>5</v>
      </c>
      <c r="AL62" s="4">
        <f ca="1">IFERROR(__xludf.DUMMYFUNCTION("""COMPUTED_VALUE"""),4)</f>
        <v>4</v>
      </c>
      <c r="AM62" s="4">
        <f ca="1">IFERROR(__xludf.DUMMYFUNCTION("""COMPUTED_VALUE"""),5)</f>
        <v>5</v>
      </c>
      <c r="AN62" s="4">
        <f ca="1">IFERROR(__xludf.DUMMYFUNCTION("""COMPUTED_VALUE"""),4)</f>
        <v>4</v>
      </c>
      <c r="AO62" s="4">
        <f ca="1">IFERROR(__xludf.DUMMYFUNCTION("""COMPUTED_VALUE"""),4)</f>
        <v>4</v>
      </c>
      <c r="AP62" s="4">
        <f ca="1">IFERROR(__xludf.DUMMYFUNCTION("""COMPUTED_VALUE"""),4)</f>
        <v>4</v>
      </c>
      <c r="AQ62" s="4">
        <f ca="1">IFERROR(__xludf.DUMMYFUNCTION("""COMPUTED_VALUE"""),4)</f>
        <v>4</v>
      </c>
      <c r="AR62" s="4">
        <f ca="1">IFERROR(__xludf.DUMMYFUNCTION("""COMPUTED_VALUE"""),4)</f>
        <v>4</v>
      </c>
      <c r="AS62" s="4">
        <f ca="1">IFERROR(__xludf.DUMMYFUNCTION("""COMPUTED_VALUE"""),3)</f>
        <v>3</v>
      </c>
      <c r="AT62" s="4">
        <f ca="1">IFERROR(__xludf.DUMMYFUNCTION("""COMPUTED_VALUE"""),4)</f>
        <v>4</v>
      </c>
      <c r="AU62" s="4">
        <f ca="1">IFERROR(__xludf.DUMMYFUNCTION("""COMPUTED_VALUE"""),4)</f>
        <v>4</v>
      </c>
      <c r="AV62" s="4">
        <f ca="1">IFERROR(__xludf.DUMMYFUNCTION("""COMPUTED_VALUE"""),4)</f>
        <v>4</v>
      </c>
      <c r="AW62" s="4">
        <f ca="1">IFERROR(__xludf.DUMMYFUNCTION("""COMPUTED_VALUE"""),4)</f>
        <v>4</v>
      </c>
      <c r="AX62" s="4">
        <f ca="1">IFERROR(__xludf.DUMMYFUNCTION("""COMPUTED_VALUE"""),5)</f>
        <v>5</v>
      </c>
      <c r="AY62" s="4">
        <f ca="1">IFERROR(__xludf.DUMMYFUNCTION("""COMPUTED_VALUE"""),5)</f>
        <v>5</v>
      </c>
      <c r="AZ62" s="4">
        <f ca="1">IFERROR(__xludf.DUMMYFUNCTION("""COMPUTED_VALUE"""),4)</f>
        <v>4</v>
      </c>
      <c r="BA62" s="4">
        <f ca="1">IFERROR(__xludf.DUMMYFUNCTION("""COMPUTED_VALUE"""),5)</f>
        <v>5</v>
      </c>
      <c r="BB62" s="4">
        <f ca="1">IFERROR(__xludf.DUMMYFUNCTION("""COMPUTED_VALUE"""),2)</f>
        <v>2</v>
      </c>
      <c r="BC62" s="4">
        <f ca="1">IFERROR(__xludf.DUMMYFUNCTION("""COMPUTED_VALUE"""),2)</f>
        <v>2</v>
      </c>
      <c r="BD62" s="4">
        <f ca="1">IFERROR(__xludf.DUMMYFUNCTION("""COMPUTED_VALUE"""),3)</f>
        <v>3</v>
      </c>
      <c r="BE62" s="4">
        <f ca="1">IFERROR(__xludf.DUMMYFUNCTION("""COMPUTED_VALUE"""),2)</f>
        <v>2</v>
      </c>
      <c r="BF62" s="4">
        <f ca="1">IFERROR(__xludf.DUMMYFUNCTION("""COMPUTED_VALUE"""),3)</f>
        <v>3</v>
      </c>
      <c r="BG62" s="4">
        <f ca="1">IFERROR(__xludf.DUMMYFUNCTION("""COMPUTED_VALUE"""),2)</f>
        <v>2</v>
      </c>
      <c r="BH62" s="4">
        <f ca="1">IFERROR(__xludf.DUMMYFUNCTION("""COMPUTED_VALUE"""),4)</f>
        <v>4</v>
      </c>
      <c r="BI62" s="4">
        <f ca="1">IFERROR(__xludf.DUMMYFUNCTION("""COMPUTED_VALUE"""),4)</f>
        <v>4</v>
      </c>
      <c r="BJ62" s="4">
        <f ca="1">IFERROR(__xludf.DUMMYFUNCTION("""COMPUTED_VALUE"""),4)</f>
        <v>4</v>
      </c>
      <c r="BK62" s="4">
        <f ca="1">IFERROR(__xludf.DUMMYFUNCTION("""COMPUTED_VALUE"""),5)</f>
        <v>5</v>
      </c>
      <c r="BL62" s="4">
        <f ca="1">IFERROR(__xludf.DUMMYFUNCTION("""COMPUTED_VALUE"""),4)</f>
        <v>4</v>
      </c>
      <c r="BM62" s="4">
        <f ca="1">IFERROR(__xludf.DUMMYFUNCTION("""COMPUTED_VALUE"""),3)</f>
        <v>3</v>
      </c>
      <c r="BN62" s="4">
        <f ca="1">IFERROR(__xludf.DUMMYFUNCTION("""COMPUTED_VALUE"""),4)</f>
        <v>4</v>
      </c>
      <c r="BO62" s="4">
        <f ca="1">IFERROR(__xludf.DUMMYFUNCTION("""COMPUTED_VALUE"""),3)</f>
        <v>3</v>
      </c>
      <c r="BP62" s="4">
        <f ca="1">IFERROR(__xludf.DUMMYFUNCTION("""COMPUTED_VALUE"""),4)</f>
        <v>4</v>
      </c>
    </row>
    <row r="63" spans="1:68" ht="13.2" x14ac:dyDescent="0.25">
      <c r="A63" s="4" t="str">
        <f ca="1">IFERROR(__xludf.DUMMYFUNCTION("""COMPUTED_VALUE"""),"2_ABaOnucfz_0UoLgoaNB00bea7DBsysv2wmihhr0kIQ9JQDaNnRwGxRSBuGDYIvpm1g")</f>
        <v>2_ABaOnucfz_0UoLgoaNB00bea7DBsysv2wmihhr0kIQ9JQDaNnRwGxRSBuGDYIvpm1g</v>
      </c>
      <c r="B63" s="5">
        <f ca="1">IFERROR(__xludf.DUMMYFUNCTION("""COMPUTED_VALUE"""),45967.6878703009)</f>
        <v>45967.687870300899</v>
      </c>
      <c r="C63" s="4" t="str">
        <f ca="1">IFERROR(__xludf.DUMMYFUNCTION("""COMPUTED_VALUE"""),"Nguyễn Thế Phương")</f>
        <v>Nguyễn Thế Phương</v>
      </c>
      <c r="D63" s="4" t="str">
        <f ca="1">IFERROR(__xludf.DUMMYFUNCTION("""COMPUTED_VALUE"""),"Nam")</f>
        <v>Nam</v>
      </c>
      <c r="E63" s="4" t="str">
        <f ca="1">IFERROR(__xludf.DUMMYFUNCTION("""COMPUTED_VALUE"""),"Công ty TNHH Hãng Kiểm toán và Tư vấn AUD Việt Nam")</f>
        <v>Công ty TNHH Hãng Kiểm toán và Tư vấn AUD Việt Nam</v>
      </c>
      <c r="F63" s="4" t="str">
        <f ca="1">IFERROR(__xludf.DUMMYFUNCTION("""COMPUTED_VALUE"""),"Sau đại học, Chứng chỉ Kiểm toán viên")</f>
        <v>Sau đại học, Chứng chỉ Kiểm toán viên</v>
      </c>
      <c r="G63" s="4" t="str">
        <f ca="1">IFERROR(__xludf.DUMMYFUNCTION("""COMPUTED_VALUE"""),"Trên 10 đến 15 năm")</f>
        <v>Trên 10 đến 15 năm</v>
      </c>
      <c r="H63" s="4" t="str">
        <f ca="1">IFERROR(__xludf.DUMMYFUNCTION("""COMPUTED_VALUE"""),"Trưởng phòng")</f>
        <v>Trưởng phòng</v>
      </c>
      <c r="I63" s="4">
        <f ca="1">IFERROR(__xludf.DUMMYFUNCTION("""COMPUTED_VALUE"""),5)</f>
        <v>5</v>
      </c>
      <c r="J63" s="4">
        <f ca="1">IFERROR(__xludf.DUMMYFUNCTION("""COMPUTED_VALUE"""),4)</f>
        <v>4</v>
      </c>
      <c r="K63" s="4">
        <f ca="1">IFERROR(__xludf.DUMMYFUNCTION("""COMPUTED_VALUE"""),4)</f>
        <v>4</v>
      </c>
      <c r="L63" s="4">
        <f ca="1">IFERROR(__xludf.DUMMYFUNCTION("""COMPUTED_VALUE"""),4)</f>
        <v>4</v>
      </c>
      <c r="M63" s="4">
        <f ca="1">IFERROR(__xludf.DUMMYFUNCTION("""COMPUTED_VALUE"""),5)</f>
        <v>5</v>
      </c>
      <c r="N63" s="4">
        <f ca="1">IFERROR(__xludf.DUMMYFUNCTION("""COMPUTED_VALUE"""),5)</f>
        <v>5</v>
      </c>
      <c r="O63" s="4">
        <f ca="1">IFERROR(__xludf.DUMMYFUNCTION("""COMPUTED_VALUE"""),5)</f>
        <v>5</v>
      </c>
      <c r="P63" s="4">
        <f ca="1">IFERROR(__xludf.DUMMYFUNCTION("""COMPUTED_VALUE"""),4)</f>
        <v>4</v>
      </c>
      <c r="Q63" s="4">
        <f ca="1">IFERROR(__xludf.DUMMYFUNCTION("""COMPUTED_VALUE"""),4)</f>
        <v>4</v>
      </c>
      <c r="R63" s="4">
        <f ca="1">IFERROR(__xludf.DUMMYFUNCTION("""COMPUTED_VALUE"""),4)</f>
        <v>4</v>
      </c>
      <c r="S63" s="4">
        <f ca="1">IFERROR(__xludf.DUMMYFUNCTION("""COMPUTED_VALUE"""),4)</f>
        <v>4</v>
      </c>
      <c r="T63" s="4">
        <f ca="1">IFERROR(__xludf.DUMMYFUNCTION("""COMPUTED_VALUE"""),4)</f>
        <v>4</v>
      </c>
      <c r="U63" s="4">
        <f ca="1">IFERROR(__xludf.DUMMYFUNCTION("""COMPUTED_VALUE"""),5)</f>
        <v>5</v>
      </c>
      <c r="V63" s="4">
        <f ca="1">IFERROR(__xludf.DUMMYFUNCTION("""COMPUTED_VALUE"""),4)</f>
        <v>4</v>
      </c>
      <c r="W63" s="4">
        <f ca="1">IFERROR(__xludf.DUMMYFUNCTION("""COMPUTED_VALUE"""),5)</f>
        <v>5</v>
      </c>
      <c r="X63" s="4">
        <f ca="1">IFERROR(__xludf.DUMMYFUNCTION("""COMPUTED_VALUE"""),5)</f>
        <v>5</v>
      </c>
      <c r="Y63" s="4">
        <f ca="1">IFERROR(__xludf.DUMMYFUNCTION("""COMPUTED_VALUE"""),4)</f>
        <v>4</v>
      </c>
      <c r="Z63" s="4">
        <f ca="1">IFERROR(__xludf.DUMMYFUNCTION("""COMPUTED_VALUE"""),5)</f>
        <v>5</v>
      </c>
      <c r="AA63" s="4">
        <f ca="1">IFERROR(__xludf.DUMMYFUNCTION("""COMPUTED_VALUE"""),4)</f>
        <v>4</v>
      </c>
      <c r="AB63" s="4">
        <f ca="1">IFERROR(__xludf.DUMMYFUNCTION("""COMPUTED_VALUE"""),4)</f>
        <v>4</v>
      </c>
      <c r="AC63" s="4">
        <f ca="1">IFERROR(__xludf.DUMMYFUNCTION("""COMPUTED_VALUE"""),5)</f>
        <v>5</v>
      </c>
      <c r="AD63" s="4">
        <f ca="1">IFERROR(__xludf.DUMMYFUNCTION("""COMPUTED_VALUE"""),5)</f>
        <v>5</v>
      </c>
      <c r="AE63" s="4">
        <f ca="1">IFERROR(__xludf.DUMMYFUNCTION("""COMPUTED_VALUE"""),5)</f>
        <v>5</v>
      </c>
      <c r="AF63" s="4">
        <f ca="1">IFERROR(__xludf.DUMMYFUNCTION("""COMPUTED_VALUE"""),5)</f>
        <v>5</v>
      </c>
      <c r="AG63" s="4">
        <f ca="1">IFERROR(__xludf.DUMMYFUNCTION("""COMPUTED_VALUE"""),5)</f>
        <v>5</v>
      </c>
      <c r="AH63" s="4">
        <f ca="1">IFERROR(__xludf.DUMMYFUNCTION("""COMPUTED_VALUE"""),5)</f>
        <v>5</v>
      </c>
      <c r="AI63" s="4">
        <f ca="1">IFERROR(__xludf.DUMMYFUNCTION("""COMPUTED_VALUE"""),5)</f>
        <v>5</v>
      </c>
      <c r="AJ63" s="4">
        <f ca="1">IFERROR(__xludf.DUMMYFUNCTION("""COMPUTED_VALUE"""),5)</f>
        <v>5</v>
      </c>
      <c r="AK63" s="4">
        <f ca="1">IFERROR(__xludf.DUMMYFUNCTION("""COMPUTED_VALUE"""),4)</f>
        <v>4</v>
      </c>
      <c r="AL63" s="4">
        <f ca="1">IFERROR(__xludf.DUMMYFUNCTION("""COMPUTED_VALUE"""),5)</f>
        <v>5</v>
      </c>
      <c r="AM63" s="4">
        <f ca="1">IFERROR(__xludf.DUMMYFUNCTION("""COMPUTED_VALUE"""),5)</f>
        <v>5</v>
      </c>
      <c r="AN63" s="4">
        <f ca="1">IFERROR(__xludf.DUMMYFUNCTION("""COMPUTED_VALUE"""),5)</f>
        <v>5</v>
      </c>
      <c r="AO63" s="4">
        <f ca="1">IFERROR(__xludf.DUMMYFUNCTION("""COMPUTED_VALUE"""),5)</f>
        <v>5</v>
      </c>
      <c r="AP63" s="4">
        <f ca="1">IFERROR(__xludf.DUMMYFUNCTION("""COMPUTED_VALUE"""),5)</f>
        <v>5</v>
      </c>
      <c r="AQ63" s="4">
        <f ca="1">IFERROR(__xludf.DUMMYFUNCTION("""COMPUTED_VALUE"""),5)</f>
        <v>5</v>
      </c>
      <c r="AR63" s="4">
        <f ca="1">IFERROR(__xludf.DUMMYFUNCTION("""COMPUTED_VALUE"""),5)</f>
        <v>5</v>
      </c>
      <c r="AS63" s="4">
        <f ca="1">IFERROR(__xludf.DUMMYFUNCTION("""COMPUTED_VALUE"""),5)</f>
        <v>5</v>
      </c>
      <c r="AT63" s="4">
        <f ca="1">IFERROR(__xludf.DUMMYFUNCTION("""COMPUTED_VALUE"""),4)</f>
        <v>4</v>
      </c>
      <c r="AU63" s="4">
        <f ca="1">IFERROR(__xludf.DUMMYFUNCTION("""COMPUTED_VALUE"""),4)</f>
        <v>4</v>
      </c>
      <c r="AV63" s="4">
        <f ca="1">IFERROR(__xludf.DUMMYFUNCTION("""COMPUTED_VALUE"""),4)</f>
        <v>4</v>
      </c>
      <c r="AW63" s="4">
        <f ca="1">IFERROR(__xludf.DUMMYFUNCTION("""COMPUTED_VALUE"""),4)</f>
        <v>4</v>
      </c>
      <c r="AX63" s="4">
        <f ca="1">IFERROR(__xludf.DUMMYFUNCTION("""COMPUTED_VALUE"""),5)</f>
        <v>5</v>
      </c>
      <c r="AY63" s="4">
        <f ca="1">IFERROR(__xludf.DUMMYFUNCTION("""COMPUTED_VALUE"""),5)</f>
        <v>5</v>
      </c>
      <c r="AZ63" s="4">
        <f ca="1">IFERROR(__xludf.DUMMYFUNCTION("""COMPUTED_VALUE"""),5)</f>
        <v>5</v>
      </c>
      <c r="BA63" s="4">
        <f ca="1">IFERROR(__xludf.DUMMYFUNCTION("""COMPUTED_VALUE"""),5)</f>
        <v>5</v>
      </c>
      <c r="BB63" s="4">
        <f ca="1">IFERROR(__xludf.DUMMYFUNCTION("""COMPUTED_VALUE"""),4)</f>
        <v>4</v>
      </c>
      <c r="BC63" s="4">
        <f ca="1">IFERROR(__xludf.DUMMYFUNCTION("""COMPUTED_VALUE"""),5)</f>
        <v>5</v>
      </c>
      <c r="BD63" s="4">
        <f ca="1">IFERROR(__xludf.DUMMYFUNCTION("""COMPUTED_VALUE"""),4)</f>
        <v>4</v>
      </c>
      <c r="BE63" s="4">
        <f ca="1">IFERROR(__xludf.DUMMYFUNCTION("""COMPUTED_VALUE"""),5)</f>
        <v>5</v>
      </c>
      <c r="BF63" s="4">
        <f ca="1">IFERROR(__xludf.DUMMYFUNCTION("""COMPUTED_VALUE"""),4)</f>
        <v>4</v>
      </c>
      <c r="BG63" s="4">
        <f ca="1">IFERROR(__xludf.DUMMYFUNCTION("""COMPUTED_VALUE"""),5)</f>
        <v>5</v>
      </c>
      <c r="BH63" s="4">
        <f ca="1">IFERROR(__xludf.DUMMYFUNCTION("""COMPUTED_VALUE"""),5)</f>
        <v>5</v>
      </c>
      <c r="BI63" s="4">
        <f ca="1">IFERROR(__xludf.DUMMYFUNCTION("""COMPUTED_VALUE"""),4)</f>
        <v>4</v>
      </c>
      <c r="BJ63" s="4">
        <f ca="1">IFERROR(__xludf.DUMMYFUNCTION("""COMPUTED_VALUE"""),5)</f>
        <v>5</v>
      </c>
      <c r="BK63" s="4">
        <f ca="1">IFERROR(__xludf.DUMMYFUNCTION("""COMPUTED_VALUE"""),5)</f>
        <v>5</v>
      </c>
      <c r="BL63" s="4">
        <f ca="1">IFERROR(__xludf.DUMMYFUNCTION("""COMPUTED_VALUE"""),4)</f>
        <v>4</v>
      </c>
      <c r="BM63" s="4">
        <f ca="1">IFERROR(__xludf.DUMMYFUNCTION("""COMPUTED_VALUE"""),5)</f>
        <v>5</v>
      </c>
      <c r="BN63" s="4">
        <f ca="1">IFERROR(__xludf.DUMMYFUNCTION("""COMPUTED_VALUE"""),4)</f>
        <v>4</v>
      </c>
      <c r="BO63" s="4">
        <f ca="1">IFERROR(__xludf.DUMMYFUNCTION("""COMPUTED_VALUE"""),4)</f>
        <v>4</v>
      </c>
      <c r="BP63" s="4">
        <f ca="1">IFERROR(__xludf.DUMMYFUNCTION("""COMPUTED_VALUE"""),4)</f>
        <v>4</v>
      </c>
    </row>
    <row r="64" spans="1:68" ht="13.2" x14ac:dyDescent="0.25">
      <c r="A64" s="4" t="str">
        <f ca="1">IFERROR(__xludf.DUMMYFUNCTION("""COMPUTED_VALUE"""),"2_ABaOnudCKJVhucRTVG1nupUuOhrKXVmXRvqQqD5sYNQn34uxnm-Tp-VOJVwv1ICPQA")</f>
        <v>2_ABaOnudCKJVhucRTVG1nupUuOhrKXVmXRvqQqD5sYNQn34uxnm-Tp-VOJVwv1ICPQA</v>
      </c>
      <c r="B64" s="5">
        <f ca="1">IFERROR(__xludf.DUMMYFUNCTION("""COMPUTED_VALUE"""),45967.6905499305)</f>
        <v>45967.690549930499</v>
      </c>
      <c r="C64" s="4" t="str">
        <f ca="1">IFERROR(__xludf.DUMMYFUNCTION("""COMPUTED_VALUE"""),"Nguyễn Minh Huy")</f>
        <v>Nguyễn Minh Huy</v>
      </c>
      <c r="D64" s="4" t="str">
        <f ca="1">IFERROR(__xludf.DUMMYFUNCTION("""COMPUTED_VALUE"""),"Nam")</f>
        <v>Nam</v>
      </c>
      <c r="E64" s="4" t="str">
        <f ca="1">IFERROR(__xludf.DUMMYFUNCTION("""COMPUTED_VALUE"""),"Công ty TNHH Kiểm toán FAC")</f>
        <v>Công ty TNHH Kiểm toán FAC</v>
      </c>
      <c r="F64" s="4" t="str">
        <f ca="1">IFERROR(__xludf.DUMMYFUNCTION("""COMPUTED_VALUE"""),"Đại học, Chứng chỉ Kiểm toán viên")</f>
        <v>Đại học, Chứng chỉ Kiểm toán viên</v>
      </c>
      <c r="G64" s="4" t="str">
        <f ca="1">IFERROR(__xludf.DUMMYFUNCTION("""COMPUTED_VALUE"""),"Trên 15 đến 20 năm")</f>
        <v>Trên 15 đến 20 năm</v>
      </c>
      <c r="H64" s="4" t="str">
        <f ca="1">IFERROR(__xludf.DUMMYFUNCTION("""COMPUTED_VALUE"""),"Ban giám đốc")</f>
        <v>Ban giám đốc</v>
      </c>
      <c r="I64" s="4">
        <f ca="1">IFERROR(__xludf.DUMMYFUNCTION("""COMPUTED_VALUE"""),5)</f>
        <v>5</v>
      </c>
      <c r="J64" s="4">
        <f ca="1">IFERROR(__xludf.DUMMYFUNCTION("""COMPUTED_VALUE"""),5)</f>
        <v>5</v>
      </c>
      <c r="K64" s="4">
        <f ca="1">IFERROR(__xludf.DUMMYFUNCTION("""COMPUTED_VALUE"""),5)</f>
        <v>5</v>
      </c>
      <c r="L64" s="4">
        <f ca="1">IFERROR(__xludf.DUMMYFUNCTION("""COMPUTED_VALUE"""),5)</f>
        <v>5</v>
      </c>
      <c r="M64" s="4">
        <f ca="1">IFERROR(__xludf.DUMMYFUNCTION("""COMPUTED_VALUE"""),5)</f>
        <v>5</v>
      </c>
      <c r="N64" s="4">
        <f ca="1">IFERROR(__xludf.DUMMYFUNCTION("""COMPUTED_VALUE"""),4)</f>
        <v>4</v>
      </c>
      <c r="O64" s="4">
        <f ca="1">IFERROR(__xludf.DUMMYFUNCTION("""COMPUTED_VALUE"""),4)</f>
        <v>4</v>
      </c>
      <c r="P64" s="4">
        <f ca="1">IFERROR(__xludf.DUMMYFUNCTION("""COMPUTED_VALUE"""),5)</f>
        <v>5</v>
      </c>
      <c r="Q64" s="4">
        <f ca="1">IFERROR(__xludf.DUMMYFUNCTION("""COMPUTED_VALUE"""),4)</f>
        <v>4</v>
      </c>
      <c r="R64" s="4">
        <f ca="1">IFERROR(__xludf.DUMMYFUNCTION("""COMPUTED_VALUE"""),5)</f>
        <v>5</v>
      </c>
      <c r="S64" s="4">
        <f ca="1">IFERROR(__xludf.DUMMYFUNCTION("""COMPUTED_VALUE"""),5)</f>
        <v>5</v>
      </c>
      <c r="T64" s="4">
        <f ca="1">IFERROR(__xludf.DUMMYFUNCTION("""COMPUTED_VALUE"""),5)</f>
        <v>5</v>
      </c>
      <c r="U64" s="4">
        <f ca="1">IFERROR(__xludf.DUMMYFUNCTION("""COMPUTED_VALUE"""),5)</f>
        <v>5</v>
      </c>
      <c r="V64" s="4">
        <f ca="1">IFERROR(__xludf.DUMMYFUNCTION("""COMPUTED_VALUE"""),5)</f>
        <v>5</v>
      </c>
      <c r="W64" s="4">
        <f ca="1">IFERROR(__xludf.DUMMYFUNCTION("""COMPUTED_VALUE"""),4)</f>
        <v>4</v>
      </c>
      <c r="X64" s="4">
        <f ca="1">IFERROR(__xludf.DUMMYFUNCTION("""COMPUTED_VALUE"""),4)</f>
        <v>4</v>
      </c>
      <c r="Y64" s="4">
        <f ca="1">IFERROR(__xludf.DUMMYFUNCTION("""COMPUTED_VALUE"""),4)</f>
        <v>4</v>
      </c>
      <c r="Z64" s="4">
        <f ca="1">IFERROR(__xludf.DUMMYFUNCTION("""COMPUTED_VALUE"""),4)</f>
        <v>4</v>
      </c>
      <c r="AA64" s="4">
        <f ca="1">IFERROR(__xludf.DUMMYFUNCTION("""COMPUTED_VALUE"""),5)</f>
        <v>5</v>
      </c>
      <c r="AB64" s="4">
        <f ca="1">IFERROR(__xludf.DUMMYFUNCTION("""COMPUTED_VALUE"""),5)</f>
        <v>5</v>
      </c>
      <c r="AC64" s="4">
        <f ca="1">IFERROR(__xludf.DUMMYFUNCTION("""COMPUTED_VALUE"""),4)</f>
        <v>4</v>
      </c>
      <c r="AD64" s="4">
        <f ca="1">IFERROR(__xludf.DUMMYFUNCTION("""COMPUTED_VALUE"""),4)</f>
        <v>4</v>
      </c>
      <c r="AE64" s="4">
        <f ca="1">IFERROR(__xludf.DUMMYFUNCTION("""COMPUTED_VALUE"""),4)</f>
        <v>4</v>
      </c>
      <c r="AF64" s="4">
        <f ca="1">IFERROR(__xludf.DUMMYFUNCTION("""COMPUTED_VALUE"""),5)</f>
        <v>5</v>
      </c>
      <c r="AG64" s="4">
        <f ca="1">IFERROR(__xludf.DUMMYFUNCTION("""COMPUTED_VALUE"""),4)</f>
        <v>4</v>
      </c>
      <c r="AH64" s="4">
        <f ca="1">IFERROR(__xludf.DUMMYFUNCTION("""COMPUTED_VALUE"""),4)</f>
        <v>4</v>
      </c>
      <c r="AI64" s="4">
        <f ca="1">IFERROR(__xludf.DUMMYFUNCTION("""COMPUTED_VALUE"""),3)</f>
        <v>3</v>
      </c>
      <c r="AJ64" s="4">
        <f ca="1">IFERROR(__xludf.DUMMYFUNCTION("""COMPUTED_VALUE"""),5)</f>
        <v>5</v>
      </c>
      <c r="AK64" s="4">
        <f ca="1">IFERROR(__xludf.DUMMYFUNCTION("""COMPUTED_VALUE"""),5)</f>
        <v>5</v>
      </c>
      <c r="AL64" s="4">
        <f ca="1">IFERROR(__xludf.DUMMYFUNCTION("""COMPUTED_VALUE"""),5)</f>
        <v>5</v>
      </c>
      <c r="AM64" s="4">
        <f ca="1">IFERROR(__xludf.DUMMYFUNCTION("""COMPUTED_VALUE"""),5)</f>
        <v>5</v>
      </c>
      <c r="AN64" s="4">
        <f ca="1">IFERROR(__xludf.DUMMYFUNCTION("""COMPUTED_VALUE"""),5)</f>
        <v>5</v>
      </c>
      <c r="AO64" s="4">
        <f ca="1">IFERROR(__xludf.DUMMYFUNCTION("""COMPUTED_VALUE"""),5)</f>
        <v>5</v>
      </c>
      <c r="AP64" s="4">
        <f ca="1">IFERROR(__xludf.DUMMYFUNCTION("""COMPUTED_VALUE"""),5)</f>
        <v>5</v>
      </c>
      <c r="AQ64" s="4">
        <f ca="1">IFERROR(__xludf.DUMMYFUNCTION("""COMPUTED_VALUE"""),5)</f>
        <v>5</v>
      </c>
      <c r="AR64" s="4">
        <f ca="1">IFERROR(__xludf.DUMMYFUNCTION("""COMPUTED_VALUE"""),5)</f>
        <v>5</v>
      </c>
      <c r="AS64" s="4">
        <f ca="1">IFERROR(__xludf.DUMMYFUNCTION("""COMPUTED_VALUE"""),5)</f>
        <v>5</v>
      </c>
      <c r="AT64" s="4">
        <f ca="1">IFERROR(__xludf.DUMMYFUNCTION("""COMPUTED_VALUE"""),5)</f>
        <v>5</v>
      </c>
      <c r="AU64" s="4">
        <f ca="1">IFERROR(__xludf.DUMMYFUNCTION("""COMPUTED_VALUE"""),5)</f>
        <v>5</v>
      </c>
      <c r="AV64" s="4">
        <f ca="1">IFERROR(__xludf.DUMMYFUNCTION("""COMPUTED_VALUE"""),5)</f>
        <v>5</v>
      </c>
      <c r="AW64" s="4">
        <f ca="1">IFERROR(__xludf.DUMMYFUNCTION("""COMPUTED_VALUE"""),5)</f>
        <v>5</v>
      </c>
      <c r="AX64" s="4">
        <f ca="1">IFERROR(__xludf.DUMMYFUNCTION("""COMPUTED_VALUE"""),5)</f>
        <v>5</v>
      </c>
      <c r="AY64" s="4">
        <f ca="1">IFERROR(__xludf.DUMMYFUNCTION("""COMPUTED_VALUE"""),5)</f>
        <v>5</v>
      </c>
      <c r="AZ64" s="4">
        <f ca="1">IFERROR(__xludf.DUMMYFUNCTION("""COMPUTED_VALUE"""),5)</f>
        <v>5</v>
      </c>
      <c r="BA64" s="4">
        <f ca="1">IFERROR(__xludf.DUMMYFUNCTION("""COMPUTED_VALUE"""),5)</f>
        <v>5</v>
      </c>
      <c r="BB64" s="4">
        <f ca="1">IFERROR(__xludf.DUMMYFUNCTION("""COMPUTED_VALUE"""),3)</f>
        <v>3</v>
      </c>
      <c r="BC64" s="4">
        <f ca="1">IFERROR(__xludf.DUMMYFUNCTION("""COMPUTED_VALUE"""),3)</f>
        <v>3</v>
      </c>
      <c r="BD64" s="4">
        <f ca="1">IFERROR(__xludf.DUMMYFUNCTION("""COMPUTED_VALUE"""),3)</f>
        <v>3</v>
      </c>
      <c r="BE64" s="4">
        <f ca="1">IFERROR(__xludf.DUMMYFUNCTION("""COMPUTED_VALUE"""),3)</f>
        <v>3</v>
      </c>
      <c r="BF64" s="4">
        <f ca="1">IFERROR(__xludf.DUMMYFUNCTION("""COMPUTED_VALUE"""),3)</f>
        <v>3</v>
      </c>
      <c r="BG64" s="4">
        <f ca="1">IFERROR(__xludf.DUMMYFUNCTION("""COMPUTED_VALUE"""),3)</f>
        <v>3</v>
      </c>
      <c r="BH64" s="4">
        <f ca="1">IFERROR(__xludf.DUMMYFUNCTION("""COMPUTED_VALUE"""),4)</f>
        <v>4</v>
      </c>
      <c r="BI64" s="4">
        <f ca="1">IFERROR(__xludf.DUMMYFUNCTION("""COMPUTED_VALUE"""),4)</f>
        <v>4</v>
      </c>
      <c r="BJ64" s="4">
        <f ca="1">IFERROR(__xludf.DUMMYFUNCTION("""COMPUTED_VALUE"""),4)</f>
        <v>4</v>
      </c>
      <c r="BK64" s="4">
        <f ca="1">IFERROR(__xludf.DUMMYFUNCTION("""COMPUTED_VALUE"""),5)</f>
        <v>5</v>
      </c>
      <c r="BL64" s="4">
        <f ca="1">IFERROR(__xludf.DUMMYFUNCTION("""COMPUTED_VALUE"""),5)</f>
        <v>5</v>
      </c>
      <c r="BM64" s="4">
        <f ca="1">IFERROR(__xludf.DUMMYFUNCTION("""COMPUTED_VALUE"""),5)</f>
        <v>5</v>
      </c>
      <c r="BN64" s="4">
        <f ca="1">IFERROR(__xludf.DUMMYFUNCTION("""COMPUTED_VALUE"""),5)</f>
        <v>5</v>
      </c>
      <c r="BO64" s="4">
        <f ca="1">IFERROR(__xludf.DUMMYFUNCTION("""COMPUTED_VALUE"""),5)</f>
        <v>5</v>
      </c>
      <c r="BP64" s="4">
        <f ca="1">IFERROR(__xludf.DUMMYFUNCTION("""COMPUTED_VALUE"""),4)</f>
        <v>4</v>
      </c>
    </row>
    <row r="65" spans="1:68" ht="13.2" x14ac:dyDescent="0.25">
      <c r="A65" s="4" t="str">
        <f ca="1">IFERROR(__xludf.DUMMYFUNCTION("""COMPUTED_VALUE"""),"2_ABaOnufaZl7i5RTga68MDztQq-JsPZ60GmxMT8LsxBbdDX0twTv9ufHDnAkVVQP_OA")</f>
        <v>2_ABaOnufaZl7i5RTga68MDztQq-JsPZ60GmxMT8LsxBbdDX0twTv9ufHDnAkVVQP_OA</v>
      </c>
      <c r="B65" s="5">
        <f ca="1">IFERROR(__xludf.DUMMYFUNCTION("""COMPUTED_VALUE"""),45967.6937487384)</f>
        <v>45967.693748738398</v>
      </c>
      <c r="C65" s="4" t="str">
        <f ca="1">IFERROR(__xludf.DUMMYFUNCTION("""COMPUTED_VALUE"""),"Võ Thị Mỹ Hân")</f>
        <v>Võ Thị Mỹ Hân</v>
      </c>
      <c r="D65" s="4" t="str">
        <f ca="1">IFERROR(__xludf.DUMMYFUNCTION("""COMPUTED_VALUE"""),"Nữ")</f>
        <v>Nữ</v>
      </c>
      <c r="E65" s="4" t="str">
        <f ca="1">IFERROR(__xludf.DUMMYFUNCTION("""COMPUTED_VALUE"""),"Công ty kiểm toán KTC - Chi nhánh HCM")</f>
        <v>Công ty kiểm toán KTC - Chi nhánh HCM</v>
      </c>
      <c r="F65" s="4" t="str">
        <f ca="1">IFERROR(__xludf.DUMMYFUNCTION("""COMPUTED_VALUE"""),"Đại học")</f>
        <v>Đại học</v>
      </c>
      <c r="G65" s="4" t="str">
        <f ca="1">IFERROR(__xludf.DUMMYFUNCTION("""COMPUTED_VALUE"""),"Từ 3 đến 5 năm")</f>
        <v>Từ 3 đến 5 năm</v>
      </c>
      <c r="H65" s="4" t="str">
        <f ca="1">IFERROR(__xludf.DUMMYFUNCTION("""COMPUTED_VALUE"""),"Trợ lý kiểm toán")</f>
        <v>Trợ lý kiểm toán</v>
      </c>
      <c r="I65" s="4">
        <f ca="1">IFERROR(__xludf.DUMMYFUNCTION("""COMPUTED_VALUE"""),4)</f>
        <v>4</v>
      </c>
      <c r="J65" s="4">
        <f ca="1">IFERROR(__xludf.DUMMYFUNCTION("""COMPUTED_VALUE"""),4)</f>
        <v>4</v>
      </c>
      <c r="K65" s="4">
        <f ca="1">IFERROR(__xludf.DUMMYFUNCTION("""COMPUTED_VALUE"""),4)</f>
        <v>4</v>
      </c>
      <c r="L65" s="4">
        <f ca="1">IFERROR(__xludf.DUMMYFUNCTION("""COMPUTED_VALUE"""),5)</f>
        <v>5</v>
      </c>
      <c r="M65" s="4">
        <f ca="1">IFERROR(__xludf.DUMMYFUNCTION("""COMPUTED_VALUE"""),5)</f>
        <v>5</v>
      </c>
      <c r="N65" s="4">
        <f ca="1">IFERROR(__xludf.DUMMYFUNCTION("""COMPUTED_VALUE"""),3)</f>
        <v>3</v>
      </c>
      <c r="O65" s="4">
        <f ca="1">IFERROR(__xludf.DUMMYFUNCTION("""COMPUTED_VALUE"""),4)</f>
        <v>4</v>
      </c>
      <c r="P65" s="4">
        <f ca="1">IFERROR(__xludf.DUMMYFUNCTION("""COMPUTED_VALUE"""),5)</f>
        <v>5</v>
      </c>
      <c r="Q65" s="4">
        <f ca="1">IFERROR(__xludf.DUMMYFUNCTION("""COMPUTED_VALUE"""),5)</f>
        <v>5</v>
      </c>
      <c r="R65" s="4">
        <f ca="1">IFERROR(__xludf.DUMMYFUNCTION("""COMPUTED_VALUE"""),4)</f>
        <v>4</v>
      </c>
      <c r="S65" s="4">
        <f ca="1">IFERROR(__xludf.DUMMYFUNCTION("""COMPUTED_VALUE"""),5)</f>
        <v>5</v>
      </c>
      <c r="T65" s="4">
        <f ca="1">IFERROR(__xludf.DUMMYFUNCTION("""COMPUTED_VALUE"""),4)</f>
        <v>4</v>
      </c>
      <c r="U65" s="4">
        <f ca="1">IFERROR(__xludf.DUMMYFUNCTION("""COMPUTED_VALUE"""),5)</f>
        <v>5</v>
      </c>
      <c r="V65" s="4">
        <f ca="1">IFERROR(__xludf.DUMMYFUNCTION("""COMPUTED_VALUE"""),4)</f>
        <v>4</v>
      </c>
      <c r="W65" s="4">
        <f ca="1">IFERROR(__xludf.DUMMYFUNCTION("""COMPUTED_VALUE"""),4)</f>
        <v>4</v>
      </c>
      <c r="X65" s="4">
        <f ca="1">IFERROR(__xludf.DUMMYFUNCTION("""COMPUTED_VALUE"""),4)</f>
        <v>4</v>
      </c>
      <c r="Y65" s="4">
        <f ca="1">IFERROR(__xludf.DUMMYFUNCTION("""COMPUTED_VALUE"""),5)</f>
        <v>5</v>
      </c>
      <c r="Z65" s="4">
        <f ca="1">IFERROR(__xludf.DUMMYFUNCTION("""COMPUTED_VALUE"""),5)</f>
        <v>5</v>
      </c>
      <c r="AA65" s="4">
        <f ca="1">IFERROR(__xludf.DUMMYFUNCTION("""COMPUTED_VALUE"""),5)</f>
        <v>5</v>
      </c>
      <c r="AB65" s="4">
        <f ca="1">IFERROR(__xludf.DUMMYFUNCTION("""COMPUTED_VALUE"""),5)</f>
        <v>5</v>
      </c>
      <c r="AC65" s="4">
        <f ca="1">IFERROR(__xludf.DUMMYFUNCTION("""COMPUTED_VALUE"""),3)</f>
        <v>3</v>
      </c>
      <c r="AD65" s="4">
        <f ca="1">IFERROR(__xludf.DUMMYFUNCTION("""COMPUTED_VALUE"""),4)</f>
        <v>4</v>
      </c>
      <c r="AE65" s="4">
        <f ca="1">IFERROR(__xludf.DUMMYFUNCTION("""COMPUTED_VALUE"""),5)</f>
        <v>5</v>
      </c>
      <c r="AF65" s="4">
        <f ca="1">IFERROR(__xludf.DUMMYFUNCTION("""COMPUTED_VALUE"""),5)</f>
        <v>5</v>
      </c>
      <c r="AG65" s="4">
        <f ca="1">IFERROR(__xludf.DUMMYFUNCTION("""COMPUTED_VALUE"""),5)</f>
        <v>5</v>
      </c>
      <c r="AH65" s="4">
        <f ca="1">IFERROR(__xludf.DUMMYFUNCTION("""COMPUTED_VALUE"""),4)</f>
        <v>4</v>
      </c>
      <c r="AI65" s="4">
        <f ca="1">IFERROR(__xludf.DUMMYFUNCTION("""COMPUTED_VALUE"""),5)</f>
        <v>5</v>
      </c>
      <c r="AJ65" s="4">
        <f ca="1">IFERROR(__xludf.DUMMYFUNCTION("""COMPUTED_VALUE"""),4)</f>
        <v>4</v>
      </c>
      <c r="AK65" s="4">
        <f ca="1">IFERROR(__xludf.DUMMYFUNCTION("""COMPUTED_VALUE"""),5)</f>
        <v>5</v>
      </c>
      <c r="AL65" s="4">
        <f ca="1">IFERROR(__xludf.DUMMYFUNCTION("""COMPUTED_VALUE"""),5)</f>
        <v>5</v>
      </c>
      <c r="AM65" s="4">
        <f ca="1">IFERROR(__xludf.DUMMYFUNCTION("""COMPUTED_VALUE"""),5)</f>
        <v>5</v>
      </c>
      <c r="AN65" s="4">
        <f ca="1">IFERROR(__xludf.DUMMYFUNCTION("""COMPUTED_VALUE"""),4)</f>
        <v>4</v>
      </c>
      <c r="AO65" s="4">
        <f ca="1">IFERROR(__xludf.DUMMYFUNCTION("""COMPUTED_VALUE"""),4)</f>
        <v>4</v>
      </c>
      <c r="AP65" s="4">
        <f ca="1">IFERROR(__xludf.DUMMYFUNCTION("""COMPUTED_VALUE"""),4)</f>
        <v>4</v>
      </c>
      <c r="AQ65" s="4">
        <f ca="1">IFERROR(__xludf.DUMMYFUNCTION("""COMPUTED_VALUE"""),5)</f>
        <v>5</v>
      </c>
      <c r="AR65" s="4">
        <f ca="1">IFERROR(__xludf.DUMMYFUNCTION("""COMPUTED_VALUE"""),3)</f>
        <v>3</v>
      </c>
      <c r="AS65" s="4">
        <f ca="1">IFERROR(__xludf.DUMMYFUNCTION("""COMPUTED_VALUE"""),5)</f>
        <v>5</v>
      </c>
      <c r="AT65" s="4">
        <f ca="1">IFERROR(__xludf.DUMMYFUNCTION("""COMPUTED_VALUE"""),5)</f>
        <v>5</v>
      </c>
      <c r="AU65" s="4">
        <f ca="1">IFERROR(__xludf.DUMMYFUNCTION("""COMPUTED_VALUE"""),4)</f>
        <v>4</v>
      </c>
      <c r="AV65" s="4">
        <f ca="1">IFERROR(__xludf.DUMMYFUNCTION("""COMPUTED_VALUE"""),5)</f>
        <v>5</v>
      </c>
      <c r="AW65" s="4">
        <f ca="1">IFERROR(__xludf.DUMMYFUNCTION("""COMPUTED_VALUE"""),4)</f>
        <v>4</v>
      </c>
      <c r="AX65" s="4">
        <f ca="1">IFERROR(__xludf.DUMMYFUNCTION("""COMPUTED_VALUE"""),4)</f>
        <v>4</v>
      </c>
      <c r="AY65" s="4">
        <f ca="1">IFERROR(__xludf.DUMMYFUNCTION("""COMPUTED_VALUE"""),5)</f>
        <v>5</v>
      </c>
      <c r="AZ65" s="4">
        <f ca="1">IFERROR(__xludf.DUMMYFUNCTION("""COMPUTED_VALUE"""),5)</f>
        <v>5</v>
      </c>
      <c r="BA65" s="4">
        <f ca="1">IFERROR(__xludf.DUMMYFUNCTION("""COMPUTED_VALUE"""),5)</f>
        <v>5</v>
      </c>
      <c r="BB65" s="4">
        <f ca="1">IFERROR(__xludf.DUMMYFUNCTION("""COMPUTED_VALUE"""),4)</f>
        <v>4</v>
      </c>
      <c r="BC65" s="4">
        <f ca="1">IFERROR(__xludf.DUMMYFUNCTION("""COMPUTED_VALUE"""),5)</f>
        <v>5</v>
      </c>
      <c r="BD65" s="4">
        <f ca="1">IFERROR(__xludf.DUMMYFUNCTION("""COMPUTED_VALUE"""),4)</f>
        <v>4</v>
      </c>
      <c r="BE65" s="4">
        <f ca="1">IFERROR(__xludf.DUMMYFUNCTION("""COMPUTED_VALUE"""),3)</f>
        <v>3</v>
      </c>
      <c r="BF65" s="4">
        <f ca="1">IFERROR(__xludf.DUMMYFUNCTION("""COMPUTED_VALUE"""),4)</f>
        <v>4</v>
      </c>
      <c r="BG65" s="4">
        <f ca="1">IFERROR(__xludf.DUMMYFUNCTION("""COMPUTED_VALUE"""),3)</f>
        <v>3</v>
      </c>
      <c r="BH65" s="4">
        <f ca="1">IFERROR(__xludf.DUMMYFUNCTION("""COMPUTED_VALUE"""),4)</f>
        <v>4</v>
      </c>
      <c r="BI65" s="4">
        <f ca="1">IFERROR(__xludf.DUMMYFUNCTION("""COMPUTED_VALUE"""),4)</f>
        <v>4</v>
      </c>
      <c r="BJ65" s="4">
        <f ca="1">IFERROR(__xludf.DUMMYFUNCTION("""COMPUTED_VALUE"""),4)</f>
        <v>4</v>
      </c>
      <c r="BK65" s="4">
        <f ca="1">IFERROR(__xludf.DUMMYFUNCTION("""COMPUTED_VALUE"""),5)</f>
        <v>5</v>
      </c>
      <c r="BL65" s="4">
        <f ca="1">IFERROR(__xludf.DUMMYFUNCTION("""COMPUTED_VALUE"""),4)</f>
        <v>4</v>
      </c>
      <c r="BM65" s="4">
        <f ca="1">IFERROR(__xludf.DUMMYFUNCTION("""COMPUTED_VALUE"""),5)</f>
        <v>5</v>
      </c>
      <c r="BN65" s="4">
        <f ca="1">IFERROR(__xludf.DUMMYFUNCTION("""COMPUTED_VALUE"""),5)</f>
        <v>5</v>
      </c>
      <c r="BO65" s="4">
        <f ca="1">IFERROR(__xludf.DUMMYFUNCTION("""COMPUTED_VALUE"""),5)</f>
        <v>5</v>
      </c>
      <c r="BP65" s="4">
        <f ca="1">IFERROR(__xludf.DUMMYFUNCTION("""COMPUTED_VALUE"""),4)</f>
        <v>4</v>
      </c>
    </row>
    <row r="66" spans="1:68" ht="13.2" x14ac:dyDescent="0.25">
      <c r="A66" s="4" t="str">
        <f ca="1">IFERROR(__xludf.DUMMYFUNCTION("""COMPUTED_VALUE"""),"2_ABaOnudqRNWTjFkvp--Dw85a_yUtj5xunShR5knHGA1lfqM9poP0Ti1rrZiuVnopCw")</f>
        <v>2_ABaOnudqRNWTjFkvp--Dw85a_yUtj5xunShR5knHGA1lfqM9poP0Ti1rrZiuVnopCw</v>
      </c>
      <c r="B66" s="5">
        <f ca="1">IFERROR(__xludf.DUMMYFUNCTION("""COMPUTED_VALUE"""),45967.6998256597)</f>
        <v>45967.6998256597</v>
      </c>
      <c r="C66" s="4" t="str">
        <f ca="1">IFERROR(__xludf.DUMMYFUNCTION("""COMPUTED_VALUE"""),"Huỳnh Huy Cường")</f>
        <v>Huỳnh Huy Cường</v>
      </c>
      <c r="D66" s="4" t="str">
        <f ca="1">IFERROR(__xludf.DUMMYFUNCTION("""COMPUTED_VALUE"""),"Nam")</f>
        <v>Nam</v>
      </c>
      <c r="E66" s="4" t="str">
        <f ca="1">IFERROR(__xludf.DUMMYFUNCTION("""COMPUTED_VALUE"""),"Công ty TNHH CAF Việt Nam")</f>
        <v>Công ty TNHH CAF Việt Nam</v>
      </c>
      <c r="F66" s="4" t="str">
        <f ca="1">IFERROR(__xludf.DUMMYFUNCTION("""COMPUTED_VALUE"""),"Đại học")</f>
        <v>Đại học</v>
      </c>
      <c r="G66" s="4" t="str">
        <f ca="1">IFERROR(__xludf.DUMMYFUNCTION("""COMPUTED_VALUE"""),"Trên 15 đến 20 năm")</f>
        <v>Trên 15 đến 20 năm</v>
      </c>
      <c r="H66" s="4" t="str">
        <f ca="1">IFERROR(__xludf.DUMMYFUNCTION("""COMPUTED_VALUE"""),"Ban giám đốc")</f>
        <v>Ban giám đốc</v>
      </c>
      <c r="I66" s="4">
        <f ca="1">IFERROR(__xludf.DUMMYFUNCTION("""COMPUTED_VALUE"""),5)</f>
        <v>5</v>
      </c>
      <c r="J66" s="4">
        <f ca="1">IFERROR(__xludf.DUMMYFUNCTION("""COMPUTED_VALUE"""),5)</f>
        <v>5</v>
      </c>
      <c r="K66" s="4">
        <f ca="1">IFERROR(__xludf.DUMMYFUNCTION("""COMPUTED_VALUE"""),4)</f>
        <v>4</v>
      </c>
      <c r="L66" s="4">
        <f ca="1">IFERROR(__xludf.DUMMYFUNCTION("""COMPUTED_VALUE"""),5)</f>
        <v>5</v>
      </c>
      <c r="M66" s="4">
        <f ca="1">IFERROR(__xludf.DUMMYFUNCTION("""COMPUTED_VALUE"""),3)</f>
        <v>3</v>
      </c>
      <c r="N66" s="4">
        <f ca="1">IFERROR(__xludf.DUMMYFUNCTION("""COMPUTED_VALUE"""),5)</f>
        <v>5</v>
      </c>
      <c r="O66" s="4">
        <f ca="1">IFERROR(__xludf.DUMMYFUNCTION("""COMPUTED_VALUE"""),5)</f>
        <v>5</v>
      </c>
      <c r="P66" s="4">
        <f ca="1">IFERROR(__xludf.DUMMYFUNCTION("""COMPUTED_VALUE"""),5)</f>
        <v>5</v>
      </c>
      <c r="Q66" s="4">
        <f ca="1">IFERROR(__xludf.DUMMYFUNCTION("""COMPUTED_VALUE"""),5)</f>
        <v>5</v>
      </c>
      <c r="R66" s="4">
        <f ca="1">IFERROR(__xludf.DUMMYFUNCTION("""COMPUTED_VALUE"""),5)</f>
        <v>5</v>
      </c>
      <c r="S66" s="4">
        <f ca="1">IFERROR(__xludf.DUMMYFUNCTION("""COMPUTED_VALUE"""),5)</f>
        <v>5</v>
      </c>
      <c r="T66" s="4">
        <f ca="1">IFERROR(__xludf.DUMMYFUNCTION("""COMPUTED_VALUE"""),5)</f>
        <v>5</v>
      </c>
      <c r="U66" s="4">
        <f ca="1">IFERROR(__xludf.DUMMYFUNCTION("""COMPUTED_VALUE"""),5)</f>
        <v>5</v>
      </c>
      <c r="V66" s="4">
        <f ca="1">IFERROR(__xludf.DUMMYFUNCTION("""COMPUTED_VALUE"""),4)</f>
        <v>4</v>
      </c>
      <c r="W66" s="4">
        <f ca="1">IFERROR(__xludf.DUMMYFUNCTION("""COMPUTED_VALUE"""),5)</f>
        <v>5</v>
      </c>
      <c r="X66" s="4">
        <f ca="1">IFERROR(__xludf.DUMMYFUNCTION("""COMPUTED_VALUE"""),5)</f>
        <v>5</v>
      </c>
      <c r="Y66" s="4">
        <f ca="1">IFERROR(__xludf.DUMMYFUNCTION("""COMPUTED_VALUE"""),5)</f>
        <v>5</v>
      </c>
      <c r="Z66" s="4">
        <f ca="1">IFERROR(__xludf.DUMMYFUNCTION("""COMPUTED_VALUE"""),5)</f>
        <v>5</v>
      </c>
      <c r="AA66" s="4">
        <f ca="1">IFERROR(__xludf.DUMMYFUNCTION("""COMPUTED_VALUE"""),5)</f>
        <v>5</v>
      </c>
      <c r="AB66" s="4">
        <f ca="1">IFERROR(__xludf.DUMMYFUNCTION("""COMPUTED_VALUE"""),4)</f>
        <v>4</v>
      </c>
      <c r="AC66" s="4">
        <f ca="1">IFERROR(__xludf.DUMMYFUNCTION("""COMPUTED_VALUE"""),5)</f>
        <v>5</v>
      </c>
      <c r="AD66" s="4">
        <f ca="1">IFERROR(__xludf.DUMMYFUNCTION("""COMPUTED_VALUE"""),3)</f>
        <v>3</v>
      </c>
      <c r="AE66" s="4">
        <f ca="1">IFERROR(__xludf.DUMMYFUNCTION("""COMPUTED_VALUE"""),5)</f>
        <v>5</v>
      </c>
      <c r="AF66" s="4">
        <f ca="1">IFERROR(__xludf.DUMMYFUNCTION("""COMPUTED_VALUE"""),5)</f>
        <v>5</v>
      </c>
      <c r="AG66" s="4">
        <f ca="1">IFERROR(__xludf.DUMMYFUNCTION("""COMPUTED_VALUE"""),5)</f>
        <v>5</v>
      </c>
      <c r="AH66" s="4">
        <f ca="1">IFERROR(__xludf.DUMMYFUNCTION("""COMPUTED_VALUE"""),5)</f>
        <v>5</v>
      </c>
      <c r="AI66" s="4">
        <f ca="1">IFERROR(__xludf.DUMMYFUNCTION("""COMPUTED_VALUE"""),5)</f>
        <v>5</v>
      </c>
      <c r="AJ66" s="4">
        <f ca="1">IFERROR(__xludf.DUMMYFUNCTION("""COMPUTED_VALUE"""),5)</f>
        <v>5</v>
      </c>
      <c r="AK66" s="4">
        <f ca="1">IFERROR(__xludf.DUMMYFUNCTION("""COMPUTED_VALUE"""),5)</f>
        <v>5</v>
      </c>
      <c r="AL66" s="4">
        <f ca="1">IFERROR(__xludf.DUMMYFUNCTION("""COMPUTED_VALUE"""),5)</f>
        <v>5</v>
      </c>
      <c r="AM66" s="4">
        <f ca="1">IFERROR(__xludf.DUMMYFUNCTION("""COMPUTED_VALUE"""),5)</f>
        <v>5</v>
      </c>
      <c r="AN66" s="4">
        <f ca="1">IFERROR(__xludf.DUMMYFUNCTION("""COMPUTED_VALUE"""),4)</f>
        <v>4</v>
      </c>
      <c r="AO66" s="4">
        <f ca="1">IFERROR(__xludf.DUMMYFUNCTION("""COMPUTED_VALUE"""),3)</f>
        <v>3</v>
      </c>
      <c r="AP66" s="4">
        <f ca="1">IFERROR(__xludf.DUMMYFUNCTION("""COMPUTED_VALUE"""),2)</f>
        <v>2</v>
      </c>
      <c r="AQ66" s="4">
        <f ca="1">IFERROR(__xludf.DUMMYFUNCTION("""COMPUTED_VALUE"""),5)</f>
        <v>5</v>
      </c>
      <c r="AR66" s="4">
        <f ca="1">IFERROR(__xludf.DUMMYFUNCTION("""COMPUTED_VALUE"""),3)</f>
        <v>3</v>
      </c>
      <c r="AS66" s="4">
        <f ca="1">IFERROR(__xludf.DUMMYFUNCTION("""COMPUTED_VALUE"""),3)</f>
        <v>3</v>
      </c>
      <c r="AT66" s="4">
        <f ca="1">IFERROR(__xludf.DUMMYFUNCTION("""COMPUTED_VALUE"""),5)</f>
        <v>5</v>
      </c>
      <c r="AU66" s="4">
        <f ca="1">IFERROR(__xludf.DUMMYFUNCTION("""COMPUTED_VALUE"""),3)</f>
        <v>3</v>
      </c>
      <c r="AV66" s="4">
        <f ca="1">IFERROR(__xludf.DUMMYFUNCTION("""COMPUTED_VALUE"""),5)</f>
        <v>5</v>
      </c>
      <c r="AW66" s="4">
        <f ca="1">IFERROR(__xludf.DUMMYFUNCTION("""COMPUTED_VALUE"""),5)</f>
        <v>5</v>
      </c>
      <c r="AX66" s="4">
        <f ca="1">IFERROR(__xludf.DUMMYFUNCTION("""COMPUTED_VALUE"""),5)</f>
        <v>5</v>
      </c>
      <c r="AY66" s="4">
        <f ca="1">IFERROR(__xludf.DUMMYFUNCTION("""COMPUTED_VALUE"""),5)</f>
        <v>5</v>
      </c>
      <c r="AZ66" s="4">
        <f ca="1">IFERROR(__xludf.DUMMYFUNCTION("""COMPUTED_VALUE"""),5)</f>
        <v>5</v>
      </c>
      <c r="BA66" s="4">
        <f ca="1">IFERROR(__xludf.DUMMYFUNCTION("""COMPUTED_VALUE"""),5)</f>
        <v>5</v>
      </c>
      <c r="BB66" s="4">
        <f ca="1">IFERROR(__xludf.DUMMYFUNCTION("""COMPUTED_VALUE"""),5)</f>
        <v>5</v>
      </c>
      <c r="BC66" s="4">
        <f ca="1">IFERROR(__xludf.DUMMYFUNCTION("""COMPUTED_VALUE"""),3)</f>
        <v>3</v>
      </c>
      <c r="BD66" s="4">
        <f ca="1">IFERROR(__xludf.DUMMYFUNCTION("""COMPUTED_VALUE"""),5)</f>
        <v>5</v>
      </c>
      <c r="BE66" s="4">
        <f ca="1">IFERROR(__xludf.DUMMYFUNCTION("""COMPUTED_VALUE"""),3)</f>
        <v>3</v>
      </c>
      <c r="BF66" s="4">
        <f ca="1">IFERROR(__xludf.DUMMYFUNCTION("""COMPUTED_VALUE"""),5)</f>
        <v>5</v>
      </c>
      <c r="BG66" s="4">
        <f ca="1">IFERROR(__xludf.DUMMYFUNCTION("""COMPUTED_VALUE"""),5)</f>
        <v>5</v>
      </c>
      <c r="BH66" s="4">
        <f ca="1">IFERROR(__xludf.DUMMYFUNCTION("""COMPUTED_VALUE"""),5)</f>
        <v>5</v>
      </c>
      <c r="BI66" s="4">
        <f ca="1">IFERROR(__xludf.DUMMYFUNCTION("""COMPUTED_VALUE"""),5)</f>
        <v>5</v>
      </c>
      <c r="BJ66" s="4">
        <f ca="1">IFERROR(__xludf.DUMMYFUNCTION("""COMPUTED_VALUE"""),5)</f>
        <v>5</v>
      </c>
      <c r="BK66" s="4">
        <f ca="1">IFERROR(__xludf.DUMMYFUNCTION("""COMPUTED_VALUE"""),5)</f>
        <v>5</v>
      </c>
      <c r="BL66" s="4">
        <f ca="1">IFERROR(__xludf.DUMMYFUNCTION("""COMPUTED_VALUE"""),5)</f>
        <v>5</v>
      </c>
      <c r="BM66" s="4">
        <f ca="1">IFERROR(__xludf.DUMMYFUNCTION("""COMPUTED_VALUE"""),5)</f>
        <v>5</v>
      </c>
      <c r="BN66" s="4">
        <f ca="1">IFERROR(__xludf.DUMMYFUNCTION("""COMPUTED_VALUE"""),5)</f>
        <v>5</v>
      </c>
      <c r="BO66" s="4">
        <f ca="1">IFERROR(__xludf.DUMMYFUNCTION("""COMPUTED_VALUE"""),5)</f>
        <v>5</v>
      </c>
      <c r="BP66" s="4">
        <f ca="1">IFERROR(__xludf.DUMMYFUNCTION("""COMPUTED_VALUE"""),3)</f>
        <v>3</v>
      </c>
    </row>
    <row r="67" spans="1:68" ht="13.2" x14ac:dyDescent="0.25">
      <c r="A67" s="4" t="str">
        <f ca="1">IFERROR(__xludf.DUMMYFUNCTION("""COMPUTED_VALUE"""),"2_ABaOnuePEgoiNmVbwUMHL3KYjHrV40sZVFpbhDbLuDLiuxSMACafeE16Gc3jrdwAaw")</f>
        <v>2_ABaOnuePEgoiNmVbwUMHL3KYjHrV40sZVFpbhDbLuDLiuxSMACafeE16Gc3jrdwAaw</v>
      </c>
      <c r="B67" s="5">
        <f ca="1">IFERROR(__xludf.DUMMYFUNCTION("""COMPUTED_VALUE"""),45967.7049867939)</f>
        <v>45967.704986793899</v>
      </c>
      <c r="C67" s="4" t="str">
        <f ca="1">IFERROR(__xludf.DUMMYFUNCTION("""COMPUTED_VALUE"""),"Ngô Hoàng Tùng")</f>
        <v>Ngô Hoàng Tùng</v>
      </c>
      <c r="D67" s="4" t="str">
        <f ca="1">IFERROR(__xludf.DUMMYFUNCTION("""COMPUTED_VALUE"""),"Nam")</f>
        <v>Nam</v>
      </c>
      <c r="E67" s="4" t="str">
        <f ca="1">IFERROR(__xludf.DUMMYFUNCTION("""COMPUTED_VALUE"""),"Công ty TNHH Hãng Kiểm toán và Tư vấn AUD Việt Nam")</f>
        <v>Công ty TNHH Hãng Kiểm toán và Tư vấn AUD Việt Nam</v>
      </c>
      <c r="F67" s="4" t="str">
        <f ca="1">IFERROR(__xludf.DUMMYFUNCTION("""COMPUTED_VALUE"""),"Đại học, Chứng chỉ Kiểm toán viên")</f>
        <v>Đại học, Chứng chỉ Kiểm toán viên</v>
      </c>
      <c r="G67" s="4" t="str">
        <f ca="1">IFERROR(__xludf.DUMMYFUNCTION("""COMPUTED_VALUE"""),"Trên 10 đến 15 năm")</f>
        <v>Trên 10 đến 15 năm</v>
      </c>
      <c r="H67" s="4" t="str">
        <f ca="1">IFERROR(__xludf.DUMMYFUNCTION("""COMPUTED_VALUE"""),"Trưởng phòng")</f>
        <v>Trưởng phòng</v>
      </c>
      <c r="I67" s="4">
        <f ca="1">IFERROR(__xludf.DUMMYFUNCTION("""COMPUTED_VALUE"""),5)</f>
        <v>5</v>
      </c>
      <c r="J67" s="4">
        <f ca="1">IFERROR(__xludf.DUMMYFUNCTION("""COMPUTED_VALUE"""),5)</f>
        <v>5</v>
      </c>
      <c r="K67" s="4">
        <f ca="1">IFERROR(__xludf.DUMMYFUNCTION("""COMPUTED_VALUE"""),5)</f>
        <v>5</v>
      </c>
      <c r="L67" s="4">
        <f ca="1">IFERROR(__xludf.DUMMYFUNCTION("""COMPUTED_VALUE"""),5)</f>
        <v>5</v>
      </c>
      <c r="M67" s="4">
        <f ca="1">IFERROR(__xludf.DUMMYFUNCTION("""COMPUTED_VALUE"""),5)</f>
        <v>5</v>
      </c>
      <c r="N67" s="4">
        <f ca="1">IFERROR(__xludf.DUMMYFUNCTION("""COMPUTED_VALUE"""),5)</f>
        <v>5</v>
      </c>
      <c r="O67" s="4">
        <f ca="1">IFERROR(__xludf.DUMMYFUNCTION("""COMPUTED_VALUE"""),5)</f>
        <v>5</v>
      </c>
      <c r="P67" s="4">
        <f ca="1">IFERROR(__xludf.DUMMYFUNCTION("""COMPUTED_VALUE"""),5)</f>
        <v>5</v>
      </c>
      <c r="Q67" s="4">
        <f ca="1">IFERROR(__xludf.DUMMYFUNCTION("""COMPUTED_VALUE"""),5)</f>
        <v>5</v>
      </c>
      <c r="R67" s="4">
        <f ca="1">IFERROR(__xludf.DUMMYFUNCTION("""COMPUTED_VALUE"""),5)</f>
        <v>5</v>
      </c>
      <c r="S67" s="4">
        <f ca="1">IFERROR(__xludf.DUMMYFUNCTION("""COMPUTED_VALUE"""),5)</f>
        <v>5</v>
      </c>
      <c r="T67" s="4">
        <f ca="1">IFERROR(__xludf.DUMMYFUNCTION("""COMPUTED_VALUE"""),5)</f>
        <v>5</v>
      </c>
      <c r="U67" s="4">
        <f ca="1">IFERROR(__xludf.DUMMYFUNCTION("""COMPUTED_VALUE"""),5)</f>
        <v>5</v>
      </c>
      <c r="V67" s="4">
        <f ca="1">IFERROR(__xludf.DUMMYFUNCTION("""COMPUTED_VALUE"""),5)</f>
        <v>5</v>
      </c>
      <c r="W67" s="4">
        <f ca="1">IFERROR(__xludf.DUMMYFUNCTION("""COMPUTED_VALUE"""),5)</f>
        <v>5</v>
      </c>
      <c r="X67" s="4">
        <f ca="1">IFERROR(__xludf.DUMMYFUNCTION("""COMPUTED_VALUE"""),5)</f>
        <v>5</v>
      </c>
      <c r="Y67" s="4">
        <f ca="1">IFERROR(__xludf.DUMMYFUNCTION("""COMPUTED_VALUE"""),5)</f>
        <v>5</v>
      </c>
      <c r="Z67" s="4">
        <f ca="1">IFERROR(__xludf.DUMMYFUNCTION("""COMPUTED_VALUE"""),5)</f>
        <v>5</v>
      </c>
      <c r="AA67" s="4">
        <f ca="1">IFERROR(__xludf.DUMMYFUNCTION("""COMPUTED_VALUE"""),5)</f>
        <v>5</v>
      </c>
      <c r="AB67" s="4">
        <f ca="1">IFERROR(__xludf.DUMMYFUNCTION("""COMPUTED_VALUE"""),5)</f>
        <v>5</v>
      </c>
      <c r="AC67" s="4">
        <f ca="1">IFERROR(__xludf.DUMMYFUNCTION("""COMPUTED_VALUE"""),5)</f>
        <v>5</v>
      </c>
      <c r="AD67" s="4">
        <f ca="1">IFERROR(__xludf.DUMMYFUNCTION("""COMPUTED_VALUE"""),3)</f>
        <v>3</v>
      </c>
      <c r="AE67" s="4">
        <f ca="1">IFERROR(__xludf.DUMMYFUNCTION("""COMPUTED_VALUE"""),5)</f>
        <v>5</v>
      </c>
      <c r="AF67" s="4">
        <f ca="1">IFERROR(__xludf.DUMMYFUNCTION("""COMPUTED_VALUE"""),5)</f>
        <v>5</v>
      </c>
      <c r="AG67" s="4">
        <f ca="1">IFERROR(__xludf.DUMMYFUNCTION("""COMPUTED_VALUE"""),5)</f>
        <v>5</v>
      </c>
      <c r="AH67" s="4">
        <f ca="1">IFERROR(__xludf.DUMMYFUNCTION("""COMPUTED_VALUE"""),5)</f>
        <v>5</v>
      </c>
      <c r="AI67" s="4">
        <f ca="1">IFERROR(__xludf.DUMMYFUNCTION("""COMPUTED_VALUE"""),5)</f>
        <v>5</v>
      </c>
      <c r="AJ67" s="4">
        <f ca="1">IFERROR(__xludf.DUMMYFUNCTION("""COMPUTED_VALUE"""),4)</f>
        <v>4</v>
      </c>
      <c r="AK67" s="4">
        <f ca="1">IFERROR(__xludf.DUMMYFUNCTION("""COMPUTED_VALUE"""),5)</f>
        <v>5</v>
      </c>
      <c r="AL67" s="4">
        <f ca="1">IFERROR(__xludf.DUMMYFUNCTION("""COMPUTED_VALUE"""),5)</f>
        <v>5</v>
      </c>
      <c r="AM67" s="4">
        <f ca="1">IFERROR(__xludf.DUMMYFUNCTION("""COMPUTED_VALUE"""),5)</f>
        <v>5</v>
      </c>
      <c r="AN67" s="4">
        <f ca="1">IFERROR(__xludf.DUMMYFUNCTION("""COMPUTED_VALUE"""),5)</f>
        <v>5</v>
      </c>
      <c r="AO67" s="4">
        <f ca="1">IFERROR(__xludf.DUMMYFUNCTION("""COMPUTED_VALUE"""),3)</f>
        <v>3</v>
      </c>
      <c r="AP67" s="4">
        <f ca="1">IFERROR(__xludf.DUMMYFUNCTION("""COMPUTED_VALUE"""),3)</f>
        <v>3</v>
      </c>
      <c r="AQ67" s="4">
        <f ca="1">IFERROR(__xludf.DUMMYFUNCTION("""COMPUTED_VALUE"""),3)</f>
        <v>3</v>
      </c>
      <c r="AR67" s="4">
        <f ca="1">IFERROR(__xludf.DUMMYFUNCTION("""COMPUTED_VALUE"""),3)</f>
        <v>3</v>
      </c>
      <c r="AS67" s="4">
        <f ca="1">IFERROR(__xludf.DUMMYFUNCTION("""COMPUTED_VALUE"""),3)</f>
        <v>3</v>
      </c>
      <c r="AT67" s="4">
        <f ca="1">IFERROR(__xludf.DUMMYFUNCTION("""COMPUTED_VALUE"""),3)</f>
        <v>3</v>
      </c>
      <c r="AU67" s="4">
        <f ca="1">IFERROR(__xludf.DUMMYFUNCTION("""COMPUTED_VALUE"""),4)</f>
        <v>4</v>
      </c>
      <c r="AV67" s="4">
        <f ca="1">IFERROR(__xludf.DUMMYFUNCTION("""COMPUTED_VALUE"""),3)</f>
        <v>3</v>
      </c>
      <c r="AW67" s="4">
        <f ca="1">IFERROR(__xludf.DUMMYFUNCTION("""COMPUTED_VALUE"""),4)</f>
        <v>4</v>
      </c>
      <c r="AX67" s="4">
        <f ca="1">IFERROR(__xludf.DUMMYFUNCTION("""COMPUTED_VALUE"""),5)</f>
        <v>5</v>
      </c>
      <c r="AY67" s="4">
        <f ca="1">IFERROR(__xludf.DUMMYFUNCTION("""COMPUTED_VALUE"""),5)</f>
        <v>5</v>
      </c>
      <c r="AZ67" s="4">
        <f ca="1">IFERROR(__xludf.DUMMYFUNCTION("""COMPUTED_VALUE"""),5)</f>
        <v>5</v>
      </c>
      <c r="BA67" s="4">
        <f ca="1">IFERROR(__xludf.DUMMYFUNCTION("""COMPUTED_VALUE"""),5)</f>
        <v>5</v>
      </c>
      <c r="BB67" s="4">
        <f ca="1">IFERROR(__xludf.DUMMYFUNCTION("""COMPUTED_VALUE"""),4)</f>
        <v>4</v>
      </c>
      <c r="BC67" s="4">
        <f ca="1">IFERROR(__xludf.DUMMYFUNCTION("""COMPUTED_VALUE"""),4)</f>
        <v>4</v>
      </c>
      <c r="BD67" s="4">
        <f ca="1">IFERROR(__xludf.DUMMYFUNCTION("""COMPUTED_VALUE"""),4)</f>
        <v>4</v>
      </c>
      <c r="BE67" s="4">
        <f ca="1">IFERROR(__xludf.DUMMYFUNCTION("""COMPUTED_VALUE"""),4)</f>
        <v>4</v>
      </c>
      <c r="BF67" s="4">
        <f ca="1">IFERROR(__xludf.DUMMYFUNCTION("""COMPUTED_VALUE"""),4)</f>
        <v>4</v>
      </c>
      <c r="BG67" s="4">
        <f ca="1">IFERROR(__xludf.DUMMYFUNCTION("""COMPUTED_VALUE"""),4)</f>
        <v>4</v>
      </c>
      <c r="BH67" s="4">
        <f ca="1">IFERROR(__xludf.DUMMYFUNCTION("""COMPUTED_VALUE"""),4)</f>
        <v>4</v>
      </c>
      <c r="BI67" s="4">
        <f ca="1">IFERROR(__xludf.DUMMYFUNCTION("""COMPUTED_VALUE"""),4)</f>
        <v>4</v>
      </c>
      <c r="BJ67" s="4">
        <f ca="1">IFERROR(__xludf.DUMMYFUNCTION("""COMPUTED_VALUE"""),5)</f>
        <v>5</v>
      </c>
      <c r="BK67" s="4">
        <f ca="1">IFERROR(__xludf.DUMMYFUNCTION("""COMPUTED_VALUE"""),4)</f>
        <v>4</v>
      </c>
      <c r="BL67" s="4">
        <f ca="1">IFERROR(__xludf.DUMMYFUNCTION("""COMPUTED_VALUE"""),4)</f>
        <v>4</v>
      </c>
      <c r="BM67" s="4">
        <f ca="1">IFERROR(__xludf.DUMMYFUNCTION("""COMPUTED_VALUE"""),5)</f>
        <v>5</v>
      </c>
      <c r="BN67" s="4">
        <f ca="1">IFERROR(__xludf.DUMMYFUNCTION("""COMPUTED_VALUE"""),5)</f>
        <v>5</v>
      </c>
      <c r="BO67" s="4">
        <f ca="1">IFERROR(__xludf.DUMMYFUNCTION("""COMPUTED_VALUE"""),5)</f>
        <v>5</v>
      </c>
      <c r="BP67" s="4">
        <f ca="1">IFERROR(__xludf.DUMMYFUNCTION("""COMPUTED_VALUE"""),5)</f>
        <v>5</v>
      </c>
    </row>
    <row r="68" spans="1:68" ht="13.2" x14ac:dyDescent="0.25">
      <c r="A68" s="4" t="str">
        <f ca="1">IFERROR(__xludf.DUMMYFUNCTION("""COMPUTED_VALUE"""),"2_ABaOnufb_SO45mr4868VzXkPiwXmtN6n3dyw3-QB9I5Yvp0wgwcyu5fiGdcoJO51sA")</f>
        <v>2_ABaOnufb_SO45mr4868VzXkPiwXmtN6n3dyw3-QB9I5Yvp0wgwcyu5fiGdcoJO51sA</v>
      </c>
      <c r="B68" s="5">
        <f ca="1">IFERROR(__xludf.DUMMYFUNCTION("""COMPUTED_VALUE"""),45967.7124231712)</f>
        <v>45967.7124231712</v>
      </c>
      <c r="C68" s="4" t="str">
        <f ca="1">IFERROR(__xludf.DUMMYFUNCTION("""COMPUTED_VALUE"""),"Lê Minh Lưu")</f>
        <v>Lê Minh Lưu</v>
      </c>
      <c r="D68" s="4" t="str">
        <f ca="1">IFERROR(__xludf.DUMMYFUNCTION("""COMPUTED_VALUE"""),"Nam")</f>
        <v>Nam</v>
      </c>
      <c r="E68" s="4" t="str">
        <f ca="1">IFERROR(__xludf.DUMMYFUNCTION("""COMPUTED_VALUE"""),"Công ty TNHH Kiểm toán FAC")</f>
        <v>Công ty TNHH Kiểm toán FAC</v>
      </c>
      <c r="F68" s="4" t="str">
        <f ca="1">IFERROR(__xludf.DUMMYFUNCTION("""COMPUTED_VALUE"""),"Đại học, Chứng chỉ Kiểm toán viên")</f>
        <v>Đại học, Chứng chỉ Kiểm toán viên</v>
      </c>
      <c r="G68" s="4" t="str">
        <f ca="1">IFERROR(__xludf.DUMMYFUNCTION("""COMPUTED_VALUE"""),"Trên 20 năm")</f>
        <v>Trên 20 năm</v>
      </c>
      <c r="H68" s="4" t="str">
        <f ca="1">IFERROR(__xludf.DUMMYFUNCTION("""COMPUTED_VALUE"""),"Ban giám đốc")</f>
        <v>Ban giám đốc</v>
      </c>
      <c r="I68" s="4">
        <f ca="1">IFERROR(__xludf.DUMMYFUNCTION("""COMPUTED_VALUE"""),5)</f>
        <v>5</v>
      </c>
      <c r="J68" s="4">
        <f ca="1">IFERROR(__xludf.DUMMYFUNCTION("""COMPUTED_VALUE"""),5)</f>
        <v>5</v>
      </c>
      <c r="K68" s="4">
        <f ca="1">IFERROR(__xludf.DUMMYFUNCTION("""COMPUTED_VALUE"""),5)</f>
        <v>5</v>
      </c>
      <c r="L68" s="4">
        <f ca="1">IFERROR(__xludf.DUMMYFUNCTION("""COMPUTED_VALUE"""),3)</f>
        <v>3</v>
      </c>
      <c r="M68" s="4">
        <f ca="1">IFERROR(__xludf.DUMMYFUNCTION("""COMPUTED_VALUE"""),5)</f>
        <v>5</v>
      </c>
      <c r="N68" s="4">
        <f ca="1">IFERROR(__xludf.DUMMYFUNCTION("""COMPUTED_VALUE"""),4)</f>
        <v>4</v>
      </c>
      <c r="O68" s="4">
        <f ca="1">IFERROR(__xludf.DUMMYFUNCTION("""COMPUTED_VALUE"""),4)</f>
        <v>4</v>
      </c>
      <c r="P68" s="4">
        <f ca="1">IFERROR(__xludf.DUMMYFUNCTION("""COMPUTED_VALUE"""),5)</f>
        <v>5</v>
      </c>
      <c r="Q68" s="4">
        <f ca="1">IFERROR(__xludf.DUMMYFUNCTION("""COMPUTED_VALUE"""),3)</f>
        <v>3</v>
      </c>
      <c r="R68" s="4">
        <f ca="1">IFERROR(__xludf.DUMMYFUNCTION("""COMPUTED_VALUE"""),5)</f>
        <v>5</v>
      </c>
      <c r="S68" s="4">
        <f ca="1">IFERROR(__xludf.DUMMYFUNCTION("""COMPUTED_VALUE"""),5)</f>
        <v>5</v>
      </c>
      <c r="T68" s="4">
        <f ca="1">IFERROR(__xludf.DUMMYFUNCTION("""COMPUTED_VALUE"""),5)</f>
        <v>5</v>
      </c>
      <c r="U68" s="4">
        <f ca="1">IFERROR(__xludf.DUMMYFUNCTION("""COMPUTED_VALUE"""),5)</f>
        <v>5</v>
      </c>
      <c r="V68" s="4">
        <f ca="1">IFERROR(__xludf.DUMMYFUNCTION("""COMPUTED_VALUE"""),5)</f>
        <v>5</v>
      </c>
      <c r="W68" s="4">
        <f ca="1">IFERROR(__xludf.DUMMYFUNCTION("""COMPUTED_VALUE"""),5)</f>
        <v>5</v>
      </c>
      <c r="X68" s="4">
        <f ca="1">IFERROR(__xludf.DUMMYFUNCTION("""COMPUTED_VALUE"""),5)</f>
        <v>5</v>
      </c>
      <c r="Y68" s="4">
        <f ca="1">IFERROR(__xludf.DUMMYFUNCTION("""COMPUTED_VALUE"""),5)</f>
        <v>5</v>
      </c>
      <c r="Z68" s="4">
        <f ca="1">IFERROR(__xludf.DUMMYFUNCTION("""COMPUTED_VALUE"""),4)</f>
        <v>4</v>
      </c>
      <c r="AA68" s="4">
        <f ca="1">IFERROR(__xludf.DUMMYFUNCTION("""COMPUTED_VALUE"""),5)</f>
        <v>5</v>
      </c>
      <c r="AB68" s="4">
        <f ca="1">IFERROR(__xludf.DUMMYFUNCTION("""COMPUTED_VALUE"""),5)</f>
        <v>5</v>
      </c>
      <c r="AC68" s="4">
        <f ca="1">IFERROR(__xludf.DUMMYFUNCTION("""COMPUTED_VALUE"""),5)</f>
        <v>5</v>
      </c>
      <c r="AD68" s="4">
        <f ca="1">IFERROR(__xludf.DUMMYFUNCTION("""COMPUTED_VALUE"""),4)</f>
        <v>4</v>
      </c>
      <c r="AE68" s="4">
        <f ca="1">IFERROR(__xludf.DUMMYFUNCTION("""COMPUTED_VALUE"""),5)</f>
        <v>5</v>
      </c>
      <c r="AF68" s="4">
        <f ca="1">IFERROR(__xludf.DUMMYFUNCTION("""COMPUTED_VALUE"""),5)</f>
        <v>5</v>
      </c>
      <c r="AG68" s="4">
        <f ca="1">IFERROR(__xludf.DUMMYFUNCTION("""COMPUTED_VALUE"""),5)</f>
        <v>5</v>
      </c>
      <c r="AH68" s="4">
        <f ca="1">IFERROR(__xludf.DUMMYFUNCTION("""COMPUTED_VALUE"""),3)</f>
        <v>3</v>
      </c>
      <c r="AI68" s="4">
        <f ca="1">IFERROR(__xludf.DUMMYFUNCTION("""COMPUTED_VALUE"""),4)</f>
        <v>4</v>
      </c>
      <c r="AJ68" s="4">
        <f ca="1">IFERROR(__xludf.DUMMYFUNCTION("""COMPUTED_VALUE"""),5)</f>
        <v>5</v>
      </c>
      <c r="AK68" s="4">
        <f ca="1">IFERROR(__xludf.DUMMYFUNCTION("""COMPUTED_VALUE"""),5)</f>
        <v>5</v>
      </c>
      <c r="AL68" s="4">
        <f ca="1">IFERROR(__xludf.DUMMYFUNCTION("""COMPUTED_VALUE"""),5)</f>
        <v>5</v>
      </c>
      <c r="AM68" s="4">
        <f ca="1">IFERROR(__xludf.DUMMYFUNCTION("""COMPUTED_VALUE"""),5)</f>
        <v>5</v>
      </c>
      <c r="AN68" s="4">
        <f ca="1">IFERROR(__xludf.DUMMYFUNCTION("""COMPUTED_VALUE"""),5)</f>
        <v>5</v>
      </c>
      <c r="AO68" s="4">
        <f ca="1">IFERROR(__xludf.DUMMYFUNCTION("""COMPUTED_VALUE"""),4)</f>
        <v>4</v>
      </c>
      <c r="AP68" s="4">
        <f ca="1">IFERROR(__xludf.DUMMYFUNCTION("""COMPUTED_VALUE"""),4)</f>
        <v>4</v>
      </c>
      <c r="AQ68" s="4">
        <f ca="1">IFERROR(__xludf.DUMMYFUNCTION("""COMPUTED_VALUE"""),4)</f>
        <v>4</v>
      </c>
      <c r="AR68" s="4">
        <f ca="1">IFERROR(__xludf.DUMMYFUNCTION("""COMPUTED_VALUE"""),5)</f>
        <v>5</v>
      </c>
      <c r="AS68" s="4">
        <f ca="1">IFERROR(__xludf.DUMMYFUNCTION("""COMPUTED_VALUE"""),5)</f>
        <v>5</v>
      </c>
      <c r="AT68" s="4">
        <f ca="1">IFERROR(__xludf.DUMMYFUNCTION("""COMPUTED_VALUE"""),5)</f>
        <v>5</v>
      </c>
      <c r="AU68" s="4">
        <f ca="1">IFERROR(__xludf.DUMMYFUNCTION("""COMPUTED_VALUE"""),5)</f>
        <v>5</v>
      </c>
      <c r="AV68" s="4">
        <f ca="1">IFERROR(__xludf.DUMMYFUNCTION("""COMPUTED_VALUE"""),5)</f>
        <v>5</v>
      </c>
      <c r="AW68" s="4">
        <f ca="1">IFERROR(__xludf.DUMMYFUNCTION("""COMPUTED_VALUE"""),5)</f>
        <v>5</v>
      </c>
      <c r="AX68" s="4">
        <f ca="1">IFERROR(__xludf.DUMMYFUNCTION("""COMPUTED_VALUE"""),5)</f>
        <v>5</v>
      </c>
      <c r="AY68" s="4">
        <f ca="1">IFERROR(__xludf.DUMMYFUNCTION("""COMPUTED_VALUE"""),5)</f>
        <v>5</v>
      </c>
      <c r="AZ68" s="4">
        <f ca="1">IFERROR(__xludf.DUMMYFUNCTION("""COMPUTED_VALUE"""),5)</f>
        <v>5</v>
      </c>
      <c r="BA68" s="4">
        <f ca="1">IFERROR(__xludf.DUMMYFUNCTION("""COMPUTED_VALUE"""),5)</f>
        <v>5</v>
      </c>
      <c r="BB68" s="4">
        <f ca="1">IFERROR(__xludf.DUMMYFUNCTION("""COMPUTED_VALUE"""),5)</f>
        <v>5</v>
      </c>
      <c r="BC68" s="4">
        <f ca="1">IFERROR(__xludf.DUMMYFUNCTION("""COMPUTED_VALUE"""),5)</f>
        <v>5</v>
      </c>
      <c r="BD68" s="4">
        <f ca="1">IFERROR(__xludf.DUMMYFUNCTION("""COMPUTED_VALUE"""),4)</f>
        <v>4</v>
      </c>
      <c r="BE68" s="4">
        <f ca="1">IFERROR(__xludf.DUMMYFUNCTION("""COMPUTED_VALUE"""),4)</f>
        <v>4</v>
      </c>
      <c r="BF68" s="4">
        <f ca="1">IFERROR(__xludf.DUMMYFUNCTION("""COMPUTED_VALUE"""),4)</f>
        <v>4</v>
      </c>
      <c r="BG68" s="4">
        <f ca="1">IFERROR(__xludf.DUMMYFUNCTION("""COMPUTED_VALUE"""),4)</f>
        <v>4</v>
      </c>
      <c r="BH68" s="4">
        <f ca="1">IFERROR(__xludf.DUMMYFUNCTION("""COMPUTED_VALUE"""),5)</f>
        <v>5</v>
      </c>
      <c r="BI68" s="4">
        <f ca="1">IFERROR(__xludf.DUMMYFUNCTION("""COMPUTED_VALUE"""),5)</f>
        <v>5</v>
      </c>
      <c r="BJ68" s="4">
        <f ca="1">IFERROR(__xludf.DUMMYFUNCTION("""COMPUTED_VALUE"""),5)</f>
        <v>5</v>
      </c>
      <c r="BK68" s="4">
        <f ca="1">IFERROR(__xludf.DUMMYFUNCTION("""COMPUTED_VALUE"""),5)</f>
        <v>5</v>
      </c>
      <c r="BL68" s="4">
        <f ca="1">IFERROR(__xludf.DUMMYFUNCTION("""COMPUTED_VALUE"""),5)</f>
        <v>5</v>
      </c>
      <c r="BM68" s="4">
        <f ca="1">IFERROR(__xludf.DUMMYFUNCTION("""COMPUTED_VALUE"""),5)</f>
        <v>5</v>
      </c>
      <c r="BN68" s="4">
        <f ca="1">IFERROR(__xludf.DUMMYFUNCTION("""COMPUTED_VALUE"""),5)</f>
        <v>5</v>
      </c>
      <c r="BO68" s="4">
        <f ca="1">IFERROR(__xludf.DUMMYFUNCTION("""COMPUTED_VALUE"""),5)</f>
        <v>5</v>
      </c>
      <c r="BP68" s="4">
        <f ca="1">IFERROR(__xludf.DUMMYFUNCTION("""COMPUTED_VALUE"""),5)</f>
        <v>5</v>
      </c>
    </row>
    <row r="69" spans="1:68" ht="13.2" x14ac:dyDescent="0.25">
      <c r="A69" s="4" t="str">
        <f ca="1">IFERROR(__xludf.DUMMYFUNCTION("""COMPUTED_VALUE"""),"2_ABaOnud0ADvWGLaULm_meX2gnF8IOn-gepBmIVrCdJ98Cp6hAliP-DpegJAECuECTA")</f>
        <v>2_ABaOnud0ADvWGLaULm_meX2gnF8IOn-gepBmIVrCdJ98Cp6hAliP-DpegJAECuECTA</v>
      </c>
      <c r="B69" s="5">
        <f ca="1">IFERROR(__xludf.DUMMYFUNCTION("""COMPUTED_VALUE"""),45967.7132716319)</f>
        <v>45967.713271631903</v>
      </c>
      <c r="C69" s="4" t="str">
        <f ca="1">IFERROR(__xludf.DUMMYFUNCTION("""COMPUTED_VALUE"""),"Trần Viết Tú")</f>
        <v>Trần Viết Tú</v>
      </c>
      <c r="D69" s="4" t="str">
        <f ca="1">IFERROR(__xludf.DUMMYFUNCTION("""COMPUTED_VALUE"""),"Nam")</f>
        <v>Nam</v>
      </c>
      <c r="E69" s="4" t="str">
        <f ca="1">IFERROR(__xludf.DUMMYFUNCTION("""COMPUTED_VALUE"""),"Công ty TNHH CAF Việt Nam")</f>
        <v>Công ty TNHH CAF Việt Nam</v>
      </c>
      <c r="F69" s="4" t="str">
        <f ca="1">IFERROR(__xludf.DUMMYFUNCTION("""COMPUTED_VALUE"""),"Chứng chỉ Kiểm toán viên")</f>
        <v>Chứng chỉ Kiểm toán viên</v>
      </c>
      <c r="G69" s="4" t="str">
        <f ca="1">IFERROR(__xludf.DUMMYFUNCTION("""COMPUTED_VALUE"""),"Trên 10 đến 15 năm")</f>
        <v>Trên 10 đến 15 năm</v>
      </c>
      <c r="H69" s="4" t="str">
        <f ca="1">IFERROR(__xludf.DUMMYFUNCTION("""COMPUTED_VALUE"""),"Ban giám đốc")</f>
        <v>Ban giám đốc</v>
      </c>
      <c r="I69" s="4">
        <f ca="1">IFERROR(__xludf.DUMMYFUNCTION("""COMPUTED_VALUE"""),5)</f>
        <v>5</v>
      </c>
      <c r="J69" s="4">
        <f ca="1">IFERROR(__xludf.DUMMYFUNCTION("""COMPUTED_VALUE"""),5)</f>
        <v>5</v>
      </c>
      <c r="K69" s="4">
        <f ca="1">IFERROR(__xludf.DUMMYFUNCTION("""COMPUTED_VALUE"""),5)</f>
        <v>5</v>
      </c>
      <c r="L69" s="4">
        <f ca="1">IFERROR(__xludf.DUMMYFUNCTION("""COMPUTED_VALUE"""),5)</f>
        <v>5</v>
      </c>
      <c r="M69" s="4">
        <f ca="1">IFERROR(__xludf.DUMMYFUNCTION("""COMPUTED_VALUE"""),5)</f>
        <v>5</v>
      </c>
      <c r="N69" s="4">
        <f ca="1">IFERROR(__xludf.DUMMYFUNCTION("""COMPUTED_VALUE"""),4)</f>
        <v>4</v>
      </c>
      <c r="O69" s="4">
        <f ca="1">IFERROR(__xludf.DUMMYFUNCTION("""COMPUTED_VALUE"""),4)</f>
        <v>4</v>
      </c>
      <c r="P69" s="4">
        <f ca="1">IFERROR(__xludf.DUMMYFUNCTION("""COMPUTED_VALUE"""),5)</f>
        <v>5</v>
      </c>
      <c r="Q69" s="4">
        <f ca="1">IFERROR(__xludf.DUMMYFUNCTION("""COMPUTED_VALUE"""),5)</f>
        <v>5</v>
      </c>
      <c r="R69" s="4">
        <f ca="1">IFERROR(__xludf.DUMMYFUNCTION("""COMPUTED_VALUE"""),5)</f>
        <v>5</v>
      </c>
      <c r="S69" s="4">
        <f ca="1">IFERROR(__xludf.DUMMYFUNCTION("""COMPUTED_VALUE"""),5)</f>
        <v>5</v>
      </c>
      <c r="T69" s="4">
        <f ca="1">IFERROR(__xludf.DUMMYFUNCTION("""COMPUTED_VALUE"""),5)</f>
        <v>5</v>
      </c>
      <c r="U69" s="4">
        <f ca="1">IFERROR(__xludf.DUMMYFUNCTION("""COMPUTED_VALUE"""),5)</f>
        <v>5</v>
      </c>
      <c r="V69" s="4">
        <f ca="1">IFERROR(__xludf.DUMMYFUNCTION("""COMPUTED_VALUE"""),5)</f>
        <v>5</v>
      </c>
      <c r="W69" s="4">
        <f ca="1">IFERROR(__xludf.DUMMYFUNCTION("""COMPUTED_VALUE"""),4)</f>
        <v>4</v>
      </c>
      <c r="X69" s="4">
        <f ca="1">IFERROR(__xludf.DUMMYFUNCTION("""COMPUTED_VALUE"""),4)</f>
        <v>4</v>
      </c>
      <c r="Y69" s="4">
        <f ca="1">IFERROR(__xludf.DUMMYFUNCTION("""COMPUTED_VALUE"""),4)</f>
        <v>4</v>
      </c>
      <c r="Z69" s="4">
        <f ca="1">IFERROR(__xludf.DUMMYFUNCTION("""COMPUTED_VALUE"""),4)</f>
        <v>4</v>
      </c>
      <c r="AA69" s="4">
        <f ca="1">IFERROR(__xludf.DUMMYFUNCTION("""COMPUTED_VALUE"""),4)</f>
        <v>4</v>
      </c>
      <c r="AB69" s="4">
        <f ca="1">IFERROR(__xludf.DUMMYFUNCTION("""COMPUTED_VALUE"""),4)</f>
        <v>4</v>
      </c>
      <c r="AC69" s="4">
        <f ca="1">IFERROR(__xludf.DUMMYFUNCTION("""COMPUTED_VALUE"""),4)</f>
        <v>4</v>
      </c>
      <c r="AD69" s="4">
        <f ca="1">IFERROR(__xludf.DUMMYFUNCTION("""COMPUTED_VALUE"""),4)</f>
        <v>4</v>
      </c>
      <c r="AE69" s="4">
        <f ca="1">IFERROR(__xludf.DUMMYFUNCTION("""COMPUTED_VALUE"""),4)</f>
        <v>4</v>
      </c>
      <c r="AF69" s="4">
        <f ca="1">IFERROR(__xludf.DUMMYFUNCTION("""COMPUTED_VALUE"""),5)</f>
        <v>5</v>
      </c>
      <c r="AG69" s="4">
        <f ca="1">IFERROR(__xludf.DUMMYFUNCTION("""COMPUTED_VALUE"""),5)</f>
        <v>5</v>
      </c>
      <c r="AH69" s="4">
        <f ca="1">IFERROR(__xludf.DUMMYFUNCTION("""COMPUTED_VALUE"""),5)</f>
        <v>5</v>
      </c>
      <c r="AI69" s="4">
        <f ca="1">IFERROR(__xludf.DUMMYFUNCTION("""COMPUTED_VALUE"""),5)</f>
        <v>5</v>
      </c>
      <c r="AJ69" s="4">
        <f ca="1">IFERROR(__xludf.DUMMYFUNCTION("""COMPUTED_VALUE"""),5)</f>
        <v>5</v>
      </c>
      <c r="AK69" s="4">
        <f ca="1">IFERROR(__xludf.DUMMYFUNCTION("""COMPUTED_VALUE"""),5)</f>
        <v>5</v>
      </c>
      <c r="AL69" s="4">
        <f ca="1">IFERROR(__xludf.DUMMYFUNCTION("""COMPUTED_VALUE"""),5)</f>
        <v>5</v>
      </c>
      <c r="AM69" s="4">
        <f ca="1">IFERROR(__xludf.DUMMYFUNCTION("""COMPUTED_VALUE"""),5)</f>
        <v>5</v>
      </c>
      <c r="AN69" s="4">
        <f ca="1">IFERROR(__xludf.DUMMYFUNCTION("""COMPUTED_VALUE"""),5)</f>
        <v>5</v>
      </c>
      <c r="AO69" s="4">
        <f ca="1">IFERROR(__xludf.DUMMYFUNCTION("""COMPUTED_VALUE"""),4)</f>
        <v>4</v>
      </c>
      <c r="AP69" s="4">
        <f ca="1">IFERROR(__xludf.DUMMYFUNCTION("""COMPUTED_VALUE"""),4)</f>
        <v>4</v>
      </c>
      <c r="AQ69" s="4">
        <f ca="1">IFERROR(__xludf.DUMMYFUNCTION("""COMPUTED_VALUE"""),4)</f>
        <v>4</v>
      </c>
      <c r="AR69" s="4">
        <f ca="1">IFERROR(__xludf.DUMMYFUNCTION("""COMPUTED_VALUE"""),4)</f>
        <v>4</v>
      </c>
      <c r="AS69" s="4">
        <f ca="1">IFERROR(__xludf.DUMMYFUNCTION("""COMPUTED_VALUE"""),4)</f>
        <v>4</v>
      </c>
      <c r="AT69" s="4">
        <f ca="1">IFERROR(__xludf.DUMMYFUNCTION("""COMPUTED_VALUE"""),3)</f>
        <v>3</v>
      </c>
      <c r="AU69" s="4">
        <f ca="1">IFERROR(__xludf.DUMMYFUNCTION("""COMPUTED_VALUE"""),4)</f>
        <v>4</v>
      </c>
      <c r="AV69" s="4">
        <f ca="1">IFERROR(__xludf.DUMMYFUNCTION("""COMPUTED_VALUE"""),4)</f>
        <v>4</v>
      </c>
      <c r="AW69" s="4">
        <f ca="1">IFERROR(__xludf.DUMMYFUNCTION("""COMPUTED_VALUE"""),4)</f>
        <v>4</v>
      </c>
      <c r="AX69" s="4">
        <f ca="1">IFERROR(__xludf.DUMMYFUNCTION("""COMPUTED_VALUE"""),5)</f>
        <v>5</v>
      </c>
      <c r="AY69" s="4">
        <f ca="1">IFERROR(__xludf.DUMMYFUNCTION("""COMPUTED_VALUE"""),5)</f>
        <v>5</v>
      </c>
      <c r="AZ69" s="4">
        <f ca="1">IFERROR(__xludf.DUMMYFUNCTION("""COMPUTED_VALUE"""),5)</f>
        <v>5</v>
      </c>
      <c r="BA69" s="4">
        <f ca="1">IFERROR(__xludf.DUMMYFUNCTION("""COMPUTED_VALUE"""),5)</f>
        <v>5</v>
      </c>
      <c r="BB69" s="4">
        <f ca="1">IFERROR(__xludf.DUMMYFUNCTION("""COMPUTED_VALUE"""),4)</f>
        <v>4</v>
      </c>
      <c r="BC69" s="4">
        <f ca="1">IFERROR(__xludf.DUMMYFUNCTION("""COMPUTED_VALUE"""),4)</f>
        <v>4</v>
      </c>
      <c r="BD69" s="4">
        <f ca="1">IFERROR(__xludf.DUMMYFUNCTION("""COMPUTED_VALUE"""),4)</f>
        <v>4</v>
      </c>
      <c r="BE69" s="4">
        <f ca="1">IFERROR(__xludf.DUMMYFUNCTION("""COMPUTED_VALUE"""),4)</f>
        <v>4</v>
      </c>
      <c r="BF69" s="4">
        <f ca="1">IFERROR(__xludf.DUMMYFUNCTION("""COMPUTED_VALUE"""),4)</f>
        <v>4</v>
      </c>
      <c r="BG69" s="4">
        <f ca="1">IFERROR(__xludf.DUMMYFUNCTION("""COMPUTED_VALUE"""),4)</f>
        <v>4</v>
      </c>
      <c r="BH69" s="4">
        <f ca="1">IFERROR(__xludf.DUMMYFUNCTION("""COMPUTED_VALUE"""),4)</f>
        <v>4</v>
      </c>
      <c r="BI69" s="4">
        <f ca="1">IFERROR(__xludf.DUMMYFUNCTION("""COMPUTED_VALUE"""),4)</f>
        <v>4</v>
      </c>
      <c r="BJ69" s="4">
        <f ca="1">IFERROR(__xludf.DUMMYFUNCTION("""COMPUTED_VALUE"""),4)</f>
        <v>4</v>
      </c>
      <c r="BK69" s="4">
        <f ca="1">IFERROR(__xludf.DUMMYFUNCTION("""COMPUTED_VALUE"""),5)</f>
        <v>5</v>
      </c>
      <c r="BL69" s="4">
        <f ca="1">IFERROR(__xludf.DUMMYFUNCTION("""COMPUTED_VALUE"""),4)</f>
        <v>4</v>
      </c>
      <c r="BM69" s="4">
        <f ca="1">IFERROR(__xludf.DUMMYFUNCTION("""COMPUTED_VALUE"""),5)</f>
        <v>5</v>
      </c>
      <c r="BN69" s="4">
        <f ca="1">IFERROR(__xludf.DUMMYFUNCTION("""COMPUTED_VALUE"""),5)</f>
        <v>5</v>
      </c>
      <c r="BO69" s="4">
        <f ca="1">IFERROR(__xludf.DUMMYFUNCTION("""COMPUTED_VALUE"""),5)</f>
        <v>5</v>
      </c>
      <c r="BP69" s="4">
        <f ca="1">IFERROR(__xludf.DUMMYFUNCTION("""COMPUTED_VALUE"""),5)</f>
        <v>5</v>
      </c>
    </row>
    <row r="70" spans="1:68" ht="13.2" x14ac:dyDescent="0.25">
      <c r="A70" s="4" t="str">
        <f ca="1">IFERROR(__xludf.DUMMYFUNCTION("""COMPUTED_VALUE"""),"2_ABaOnud4BXwwt3kJ5kITrNoaW5wU9_KVyeSpbDo1dHq-ZwIuzdhGz6HKGpnjQWrj4g")</f>
        <v>2_ABaOnud4BXwwt3kJ5kITrNoaW5wU9_KVyeSpbDo1dHq-ZwIuzdhGz6HKGpnjQWrj4g</v>
      </c>
      <c r="B70" s="5">
        <f ca="1">IFERROR(__xludf.DUMMYFUNCTION("""COMPUTED_VALUE"""),45967.7966361921)</f>
        <v>45967.796636192099</v>
      </c>
      <c r="C70" s="4" t="str">
        <f ca="1">IFERROR(__xludf.DUMMYFUNCTION("""COMPUTED_VALUE"""),"Nguyễn Thị Ý Nhi")</f>
        <v>Nguyễn Thị Ý Nhi</v>
      </c>
      <c r="D70" s="4" t="str">
        <f ca="1">IFERROR(__xludf.DUMMYFUNCTION("""COMPUTED_VALUE"""),"Nữ")</f>
        <v>Nữ</v>
      </c>
      <c r="E70" s="4" t="str">
        <f ca="1">IFERROR(__xludf.DUMMYFUNCTION("""COMPUTED_VALUE"""),"Công ty TNHH kiểm toán KTC")</f>
        <v>Công ty TNHH kiểm toán KTC</v>
      </c>
      <c r="F70" s="4" t="str">
        <f ca="1">IFERROR(__xludf.DUMMYFUNCTION("""COMPUTED_VALUE"""),"Đại học")</f>
        <v>Đại học</v>
      </c>
      <c r="G70" s="4" t="str">
        <f ca="1">IFERROR(__xludf.DUMMYFUNCTION("""COMPUTED_VALUE"""),"Từ 3 đến 5 năm")</f>
        <v>Từ 3 đến 5 năm</v>
      </c>
      <c r="H70" s="4" t="str">
        <f ca="1">IFERROR(__xludf.DUMMYFUNCTION("""COMPUTED_VALUE"""),"Trợ lý kiểm toán")</f>
        <v>Trợ lý kiểm toán</v>
      </c>
      <c r="I70" s="4">
        <f ca="1">IFERROR(__xludf.DUMMYFUNCTION("""COMPUTED_VALUE"""),5)</f>
        <v>5</v>
      </c>
      <c r="J70" s="4">
        <f ca="1">IFERROR(__xludf.DUMMYFUNCTION("""COMPUTED_VALUE"""),5)</f>
        <v>5</v>
      </c>
      <c r="K70" s="4">
        <f ca="1">IFERROR(__xludf.DUMMYFUNCTION("""COMPUTED_VALUE"""),4)</f>
        <v>4</v>
      </c>
      <c r="L70" s="4">
        <f ca="1">IFERROR(__xludf.DUMMYFUNCTION("""COMPUTED_VALUE"""),4)</f>
        <v>4</v>
      </c>
      <c r="M70" s="4">
        <f ca="1">IFERROR(__xludf.DUMMYFUNCTION("""COMPUTED_VALUE"""),4)</f>
        <v>4</v>
      </c>
      <c r="N70" s="4">
        <f ca="1">IFERROR(__xludf.DUMMYFUNCTION("""COMPUTED_VALUE"""),3)</f>
        <v>3</v>
      </c>
      <c r="O70" s="4">
        <f ca="1">IFERROR(__xludf.DUMMYFUNCTION("""COMPUTED_VALUE"""),4)</f>
        <v>4</v>
      </c>
      <c r="P70" s="4">
        <f ca="1">IFERROR(__xludf.DUMMYFUNCTION("""COMPUTED_VALUE"""),4)</f>
        <v>4</v>
      </c>
      <c r="Q70" s="4">
        <f ca="1">IFERROR(__xludf.DUMMYFUNCTION("""COMPUTED_VALUE"""),4)</f>
        <v>4</v>
      </c>
      <c r="R70" s="4">
        <f ca="1">IFERROR(__xludf.DUMMYFUNCTION("""COMPUTED_VALUE"""),5)</f>
        <v>5</v>
      </c>
      <c r="S70" s="4">
        <f ca="1">IFERROR(__xludf.DUMMYFUNCTION("""COMPUTED_VALUE"""),5)</f>
        <v>5</v>
      </c>
      <c r="T70" s="4">
        <f ca="1">IFERROR(__xludf.DUMMYFUNCTION("""COMPUTED_VALUE"""),5)</f>
        <v>5</v>
      </c>
      <c r="U70" s="4">
        <f ca="1">IFERROR(__xludf.DUMMYFUNCTION("""COMPUTED_VALUE"""),5)</f>
        <v>5</v>
      </c>
      <c r="V70" s="4">
        <f ca="1">IFERROR(__xludf.DUMMYFUNCTION("""COMPUTED_VALUE"""),5)</f>
        <v>5</v>
      </c>
      <c r="W70" s="4">
        <f ca="1">IFERROR(__xludf.DUMMYFUNCTION("""COMPUTED_VALUE"""),3)</f>
        <v>3</v>
      </c>
      <c r="X70" s="4">
        <f ca="1">IFERROR(__xludf.DUMMYFUNCTION("""COMPUTED_VALUE"""),3)</f>
        <v>3</v>
      </c>
      <c r="Y70" s="4">
        <f ca="1">IFERROR(__xludf.DUMMYFUNCTION("""COMPUTED_VALUE"""),5)</f>
        <v>5</v>
      </c>
      <c r="Z70" s="4">
        <f ca="1">IFERROR(__xludf.DUMMYFUNCTION("""COMPUTED_VALUE"""),3)</f>
        <v>3</v>
      </c>
      <c r="AA70" s="4">
        <f ca="1">IFERROR(__xludf.DUMMYFUNCTION("""COMPUTED_VALUE"""),5)</f>
        <v>5</v>
      </c>
      <c r="AB70" s="4">
        <f ca="1">IFERROR(__xludf.DUMMYFUNCTION("""COMPUTED_VALUE"""),5)</f>
        <v>5</v>
      </c>
      <c r="AC70" s="4">
        <f ca="1">IFERROR(__xludf.DUMMYFUNCTION("""COMPUTED_VALUE"""),3)</f>
        <v>3</v>
      </c>
      <c r="AD70" s="4">
        <f ca="1">IFERROR(__xludf.DUMMYFUNCTION("""COMPUTED_VALUE"""),4)</f>
        <v>4</v>
      </c>
      <c r="AE70" s="4">
        <f ca="1">IFERROR(__xludf.DUMMYFUNCTION("""COMPUTED_VALUE"""),5)</f>
        <v>5</v>
      </c>
      <c r="AF70" s="4">
        <f ca="1">IFERROR(__xludf.DUMMYFUNCTION("""COMPUTED_VALUE"""),5)</f>
        <v>5</v>
      </c>
      <c r="AG70" s="4">
        <f ca="1">IFERROR(__xludf.DUMMYFUNCTION("""COMPUTED_VALUE"""),5)</f>
        <v>5</v>
      </c>
      <c r="AH70" s="4">
        <f ca="1">IFERROR(__xludf.DUMMYFUNCTION("""COMPUTED_VALUE"""),5)</f>
        <v>5</v>
      </c>
      <c r="AI70" s="4">
        <f ca="1">IFERROR(__xludf.DUMMYFUNCTION("""COMPUTED_VALUE"""),4)</f>
        <v>4</v>
      </c>
      <c r="AJ70" s="4">
        <f ca="1">IFERROR(__xludf.DUMMYFUNCTION("""COMPUTED_VALUE"""),5)</f>
        <v>5</v>
      </c>
      <c r="AK70" s="4">
        <f ca="1">IFERROR(__xludf.DUMMYFUNCTION("""COMPUTED_VALUE"""),4)</f>
        <v>4</v>
      </c>
      <c r="AL70" s="4">
        <f ca="1">IFERROR(__xludf.DUMMYFUNCTION("""COMPUTED_VALUE"""),4)</f>
        <v>4</v>
      </c>
      <c r="AM70" s="4">
        <f ca="1">IFERROR(__xludf.DUMMYFUNCTION("""COMPUTED_VALUE"""),4)</f>
        <v>4</v>
      </c>
      <c r="AN70" s="4">
        <f ca="1">IFERROR(__xludf.DUMMYFUNCTION("""COMPUTED_VALUE"""),4)</f>
        <v>4</v>
      </c>
      <c r="AO70" s="4">
        <f ca="1">IFERROR(__xludf.DUMMYFUNCTION("""COMPUTED_VALUE"""),5)</f>
        <v>5</v>
      </c>
      <c r="AP70" s="4">
        <f ca="1">IFERROR(__xludf.DUMMYFUNCTION("""COMPUTED_VALUE"""),4)</f>
        <v>4</v>
      </c>
      <c r="AQ70" s="4">
        <f ca="1">IFERROR(__xludf.DUMMYFUNCTION("""COMPUTED_VALUE"""),4)</f>
        <v>4</v>
      </c>
      <c r="AR70" s="4">
        <f ca="1">IFERROR(__xludf.DUMMYFUNCTION("""COMPUTED_VALUE"""),4)</f>
        <v>4</v>
      </c>
      <c r="AS70" s="4">
        <f ca="1">IFERROR(__xludf.DUMMYFUNCTION("""COMPUTED_VALUE"""),4)</f>
        <v>4</v>
      </c>
      <c r="AT70" s="4">
        <f ca="1">IFERROR(__xludf.DUMMYFUNCTION("""COMPUTED_VALUE"""),3)</f>
        <v>3</v>
      </c>
      <c r="AU70" s="4">
        <f ca="1">IFERROR(__xludf.DUMMYFUNCTION("""COMPUTED_VALUE"""),3)</f>
        <v>3</v>
      </c>
      <c r="AV70" s="4">
        <f ca="1">IFERROR(__xludf.DUMMYFUNCTION("""COMPUTED_VALUE"""),3)</f>
        <v>3</v>
      </c>
      <c r="AW70" s="4">
        <f ca="1">IFERROR(__xludf.DUMMYFUNCTION("""COMPUTED_VALUE"""),3)</f>
        <v>3</v>
      </c>
      <c r="AX70" s="4">
        <f ca="1">IFERROR(__xludf.DUMMYFUNCTION("""COMPUTED_VALUE"""),4)</f>
        <v>4</v>
      </c>
      <c r="AY70" s="4">
        <f ca="1">IFERROR(__xludf.DUMMYFUNCTION("""COMPUTED_VALUE"""),4)</f>
        <v>4</v>
      </c>
      <c r="AZ70" s="4">
        <f ca="1">IFERROR(__xludf.DUMMYFUNCTION("""COMPUTED_VALUE"""),5)</f>
        <v>5</v>
      </c>
      <c r="BA70" s="4">
        <f ca="1">IFERROR(__xludf.DUMMYFUNCTION("""COMPUTED_VALUE"""),4)</f>
        <v>4</v>
      </c>
      <c r="BB70" s="4">
        <f ca="1">IFERROR(__xludf.DUMMYFUNCTION("""COMPUTED_VALUE"""),4)</f>
        <v>4</v>
      </c>
      <c r="BC70" s="4">
        <f ca="1">IFERROR(__xludf.DUMMYFUNCTION("""COMPUTED_VALUE"""),3)</f>
        <v>3</v>
      </c>
      <c r="BD70" s="4">
        <f ca="1">IFERROR(__xludf.DUMMYFUNCTION("""COMPUTED_VALUE"""),3)</f>
        <v>3</v>
      </c>
      <c r="BE70" s="4">
        <f ca="1">IFERROR(__xludf.DUMMYFUNCTION("""COMPUTED_VALUE"""),3)</f>
        <v>3</v>
      </c>
      <c r="BF70" s="4">
        <f ca="1">IFERROR(__xludf.DUMMYFUNCTION("""COMPUTED_VALUE"""),3)</f>
        <v>3</v>
      </c>
      <c r="BG70" s="4">
        <f ca="1">IFERROR(__xludf.DUMMYFUNCTION("""COMPUTED_VALUE"""),3)</f>
        <v>3</v>
      </c>
      <c r="BH70" s="4">
        <f ca="1">IFERROR(__xludf.DUMMYFUNCTION("""COMPUTED_VALUE"""),4)</f>
        <v>4</v>
      </c>
      <c r="BI70" s="4">
        <f ca="1">IFERROR(__xludf.DUMMYFUNCTION("""COMPUTED_VALUE"""),5)</f>
        <v>5</v>
      </c>
      <c r="BJ70" s="4">
        <f ca="1">IFERROR(__xludf.DUMMYFUNCTION("""COMPUTED_VALUE"""),5)</f>
        <v>5</v>
      </c>
      <c r="BK70" s="4">
        <f ca="1">IFERROR(__xludf.DUMMYFUNCTION("""COMPUTED_VALUE"""),5)</f>
        <v>5</v>
      </c>
      <c r="BL70" s="4">
        <f ca="1">IFERROR(__xludf.DUMMYFUNCTION("""COMPUTED_VALUE"""),4)</f>
        <v>4</v>
      </c>
      <c r="BM70" s="4">
        <f ca="1">IFERROR(__xludf.DUMMYFUNCTION("""COMPUTED_VALUE"""),5)</f>
        <v>5</v>
      </c>
      <c r="BN70" s="4">
        <f ca="1">IFERROR(__xludf.DUMMYFUNCTION("""COMPUTED_VALUE"""),5)</f>
        <v>5</v>
      </c>
      <c r="BO70" s="4">
        <f ca="1">IFERROR(__xludf.DUMMYFUNCTION("""COMPUTED_VALUE"""),5)</f>
        <v>5</v>
      </c>
      <c r="BP70" s="4">
        <f ca="1">IFERROR(__xludf.DUMMYFUNCTION("""COMPUTED_VALUE"""),5)</f>
        <v>5</v>
      </c>
    </row>
    <row r="71" spans="1:68" ht="13.2" x14ac:dyDescent="0.25">
      <c r="A71" s="4" t="str">
        <f ca="1">IFERROR(__xludf.DUMMYFUNCTION("""COMPUTED_VALUE"""),"2_ABaOnudSPZo8reVpx4ykvMrnalH5QYN_TxBdSbpt-KCJOOHL8A7f1V5XFBEAsnNt_w")</f>
        <v>2_ABaOnudSPZo8reVpx4ykvMrnalH5QYN_TxBdSbpt-KCJOOHL8A7f1V5XFBEAsnNt_w</v>
      </c>
      <c r="B71" s="5">
        <f ca="1">IFERROR(__xludf.DUMMYFUNCTION("""COMPUTED_VALUE"""),45967.8631408796)</f>
        <v>45967.863140879599</v>
      </c>
      <c r="C71" s="4" t="str">
        <f ca="1">IFERROR(__xludf.DUMMYFUNCTION("""COMPUTED_VALUE"""),"Mai Thanh Hiếu")</f>
        <v>Mai Thanh Hiếu</v>
      </c>
      <c r="D71" s="4" t="str">
        <f ca="1">IFERROR(__xludf.DUMMYFUNCTION("""COMPUTED_VALUE"""),"Nam")</f>
        <v>Nam</v>
      </c>
      <c r="E71" s="4" t="str">
        <f ca="1">IFERROR(__xludf.DUMMYFUNCTION("""COMPUTED_VALUE"""),"Công ty TNHH Kiểm toán Tư vấn Độc Lập")</f>
        <v>Công ty TNHH Kiểm toán Tư vấn Độc Lập</v>
      </c>
      <c r="F71" s="4" t="str">
        <f ca="1">IFERROR(__xludf.DUMMYFUNCTION("""COMPUTED_VALUE"""),"Đại học, Sau đại học, Chứng chỉ Kiểm toán viên, Luật sư - Quản tài viên")</f>
        <v>Đại học, Sau đại học, Chứng chỉ Kiểm toán viên, Luật sư - Quản tài viên</v>
      </c>
      <c r="G71" s="4" t="str">
        <f ca="1">IFERROR(__xludf.DUMMYFUNCTION("""COMPUTED_VALUE"""),"Trên 20 năm")</f>
        <v>Trên 20 năm</v>
      </c>
      <c r="H71" s="4" t="str">
        <f ca="1">IFERROR(__xludf.DUMMYFUNCTION("""COMPUTED_VALUE"""),"Ban giám đốc")</f>
        <v>Ban giám đốc</v>
      </c>
      <c r="I71" s="4">
        <f ca="1">IFERROR(__xludf.DUMMYFUNCTION("""COMPUTED_VALUE"""),5)</f>
        <v>5</v>
      </c>
      <c r="J71" s="4">
        <f ca="1">IFERROR(__xludf.DUMMYFUNCTION("""COMPUTED_VALUE"""),5)</f>
        <v>5</v>
      </c>
      <c r="K71" s="4">
        <f ca="1">IFERROR(__xludf.DUMMYFUNCTION("""COMPUTED_VALUE"""),5)</f>
        <v>5</v>
      </c>
      <c r="L71" s="4">
        <f ca="1">IFERROR(__xludf.DUMMYFUNCTION("""COMPUTED_VALUE"""),4)</f>
        <v>4</v>
      </c>
      <c r="M71" s="4">
        <f ca="1">IFERROR(__xludf.DUMMYFUNCTION("""COMPUTED_VALUE"""),5)</f>
        <v>5</v>
      </c>
      <c r="N71" s="4">
        <f ca="1">IFERROR(__xludf.DUMMYFUNCTION("""COMPUTED_VALUE"""),5)</f>
        <v>5</v>
      </c>
      <c r="O71" s="4">
        <f ca="1">IFERROR(__xludf.DUMMYFUNCTION("""COMPUTED_VALUE"""),4)</f>
        <v>4</v>
      </c>
      <c r="P71" s="4">
        <f ca="1">IFERROR(__xludf.DUMMYFUNCTION("""COMPUTED_VALUE"""),5)</f>
        <v>5</v>
      </c>
      <c r="Q71" s="4">
        <f ca="1">IFERROR(__xludf.DUMMYFUNCTION("""COMPUTED_VALUE"""),4)</f>
        <v>4</v>
      </c>
      <c r="R71" s="4">
        <f ca="1">IFERROR(__xludf.DUMMYFUNCTION("""COMPUTED_VALUE"""),5)</f>
        <v>5</v>
      </c>
      <c r="S71" s="4">
        <f ca="1">IFERROR(__xludf.DUMMYFUNCTION("""COMPUTED_VALUE"""),5)</f>
        <v>5</v>
      </c>
      <c r="T71" s="4">
        <f ca="1">IFERROR(__xludf.DUMMYFUNCTION("""COMPUTED_VALUE"""),5)</f>
        <v>5</v>
      </c>
      <c r="U71" s="4">
        <f ca="1">IFERROR(__xludf.DUMMYFUNCTION("""COMPUTED_VALUE"""),5)</f>
        <v>5</v>
      </c>
      <c r="V71" s="4">
        <f ca="1">IFERROR(__xludf.DUMMYFUNCTION("""COMPUTED_VALUE"""),5)</f>
        <v>5</v>
      </c>
      <c r="W71" s="4">
        <f ca="1">IFERROR(__xludf.DUMMYFUNCTION("""COMPUTED_VALUE"""),4)</f>
        <v>4</v>
      </c>
      <c r="X71" s="4">
        <f ca="1">IFERROR(__xludf.DUMMYFUNCTION("""COMPUTED_VALUE"""),4)</f>
        <v>4</v>
      </c>
      <c r="Y71" s="4">
        <f ca="1">IFERROR(__xludf.DUMMYFUNCTION("""COMPUTED_VALUE"""),5)</f>
        <v>5</v>
      </c>
      <c r="Z71" s="4">
        <f ca="1">IFERROR(__xludf.DUMMYFUNCTION("""COMPUTED_VALUE"""),4)</f>
        <v>4</v>
      </c>
      <c r="AA71" s="4">
        <f ca="1">IFERROR(__xludf.DUMMYFUNCTION("""COMPUTED_VALUE"""),4)</f>
        <v>4</v>
      </c>
      <c r="AB71" s="4">
        <f ca="1">IFERROR(__xludf.DUMMYFUNCTION("""COMPUTED_VALUE"""),5)</f>
        <v>5</v>
      </c>
      <c r="AC71" s="4">
        <f ca="1">IFERROR(__xludf.DUMMYFUNCTION("""COMPUTED_VALUE"""),4)</f>
        <v>4</v>
      </c>
      <c r="AD71" s="4">
        <f ca="1">IFERROR(__xludf.DUMMYFUNCTION("""COMPUTED_VALUE"""),4)</f>
        <v>4</v>
      </c>
      <c r="AE71" s="4">
        <f ca="1">IFERROR(__xludf.DUMMYFUNCTION("""COMPUTED_VALUE"""),5)</f>
        <v>5</v>
      </c>
      <c r="AF71" s="4">
        <f ca="1">IFERROR(__xludf.DUMMYFUNCTION("""COMPUTED_VALUE"""),4)</f>
        <v>4</v>
      </c>
      <c r="AG71" s="4">
        <f ca="1">IFERROR(__xludf.DUMMYFUNCTION("""COMPUTED_VALUE"""),4)</f>
        <v>4</v>
      </c>
      <c r="AH71" s="4">
        <f ca="1">IFERROR(__xludf.DUMMYFUNCTION("""COMPUTED_VALUE"""),5)</f>
        <v>5</v>
      </c>
      <c r="AI71" s="4">
        <f ca="1">IFERROR(__xludf.DUMMYFUNCTION("""COMPUTED_VALUE"""),4)</f>
        <v>4</v>
      </c>
      <c r="AJ71" s="4">
        <f ca="1">IFERROR(__xludf.DUMMYFUNCTION("""COMPUTED_VALUE"""),5)</f>
        <v>5</v>
      </c>
      <c r="AK71" s="4">
        <f ca="1">IFERROR(__xludf.DUMMYFUNCTION("""COMPUTED_VALUE"""),5)</f>
        <v>5</v>
      </c>
      <c r="AL71" s="4">
        <f ca="1">IFERROR(__xludf.DUMMYFUNCTION("""COMPUTED_VALUE"""),5)</f>
        <v>5</v>
      </c>
      <c r="AM71" s="4">
        <f ca="1">IFERROR(__xludf.DUMMYFUNCTION("""COMPUTED_VALUE"""),4)</f>
        <v>4</v>
      </c>
      <c r="AN71" s="4">
        <f ca="1">IFERROR(__xludf.DUMMYFUNCTION("""COMPUTED_VALUE"""),4)</f>
        <v>4</v>
      </c>
      <c r="AO71" s="4">
        <f ca="1">IFERROR(__xludf.DUMMYFUNCTION("""COMPUTED_VALUE"""),5)</f>
        <v>5</v>
      </c>
      <c r="AP71" s="4">
        <f ca="1">IFERROR(__xludf.DUMMYFUNCTION("""COMPUTED_VALUE"""),4)</f>
        <v>4</v>
      </c>
      <c r="AQ71" s="4">
        <f ca="1">IFERROR(__xludf.DUMMYFUNCTION("""COMPUTED_VALUE"""),4)</f>
        <v>4</v>
      </c>
      <c r="AR71" s="4">
        <f ca="1">IFERROR(__xludf.DUMMYFUNCTION("""COMPUTED_VALUE"""),5)</f>
        <v>5</v>
      </c>
      <c r="AS71" s="4">
        <f ca="1">IFERROR(__xludf.DUMMYFUNCTION("""COMPUTED_VALUE"""),4)</f>
        <v>4</v>
      </c>
      <c r="AT71" s="4">
        <f ca="1">IFERROR(__xludf.DUMMYFUNCTION("""COMPUTED_VALUE"""),5)</f>
        <v>5</v>
      </c>
      <c r="AU71" s="4">
        <f ca="1">IFERROR(__xludf.DUMMYFUNCTION("""COMPUTED_VALUE"""),4)</f>
        <v>4</v>
      </c>
      <c r="AV71" s="4">
        <f ca="1">IFERROR(__xludf.DUMMYFUNCTION("""COMPUTED_VALUE"""),4)</f>
        <v>4</v>
      </c>
      <c r="AW71" s="4">
        <f ca="1">IFERROR(__xludf.DUMMYFUNCTION("""COMPUTED_VALUE"""),4)</f>
        <v>4</v>
      </c>
      <c r="AX71" s="4">
        <f ca="1">IFERROR(__xludf.DUMMYFUNCTION("""COMPUTED_VALUE"""),5)</f>
        <v>5</v>
      </c>
      <c r="AY71" s="4">
        <f ca="1">IFERROR(__xludf.DUMMYFUNCTION("""COMPUTED_VALUE"""),4)</f>
        <v>4</v>
      </c>
      <c r="AZ71" s="4">
        <f ca="1">IFERROR(__xludf.DUMMYFUNCTION("""COMPUTED_VALUE"""),5)</f>
        <v>5</v>
      </c>
      <c r="BA71" s="4">
        <f ca="1">IFERROR(__xludf.DUMMYFUNCTION("""COMPUTED_VALUE"""),5)</f>
        <v>5</v>
      </c>
      <c r="BB71" s="4">
        <f ca="1">IFERROR(__xludf.DUMMYFUNCTION("""COMPUTED_VALUE"""),5)</f>
        <v>5</v>
      </c>
      <c r="BC71" s="4">
        <f ca="1">IFERROR(__xludf.DUMMYFUNCTION("""COMPUTED_VALUE"""),5)</f>
        <v>5</v>
      </c>
      <c r="BD71" s="4">
        <f ca="1">IFERROR(__xludf.DUMMYFUNCTION("""COMPUTED_VALUE"""),5)</f>
        <v>5</v>
      </c>
      <c r="BE71" s="4">
        <f ca="1">IFERROR(__xludf.DUMMYFUNCTION("""COMPUTED_VALUE"""),4)</f>
        <v>4</v>
      </c>
      <c r="BF71" s="4">
        <f ca="1">IFERROR(__xludf.DUMMYFUNCTION("""COMPUTED_VALUE"""),4)</f>
        <v>4</v>
      </c>
      <c r="BG71" s="4">
        <f ca="1">IFERROR(__xludf.DUMMYFUNCTION("""COMPUTED_VALUE"""),5)</f>
        <v>5</v>
      </c>
      <c r="BH71" s="4">
        <f ca="1">IFERROR(__xludf.DUMMYFUNCTION("""COMPUTED_VALUE"""),4)</f>
        <v>4</v>
      </c>
      <c r="BI71" s="4">
        <f ca="1">IFERROR(__xludf.DUMMYFUNCTION("""COMPUTED_VALUE"""),5)</f>
        <v>5</v>
      </c>
      <c r="BJ71" s="4">
        <f ca="1">IFERROR(__xludf.DUMMYFUNCTION("""COMPUTED_VALUE"""),5)</f>
        <v>5</v>
      </c>
      <c r="BK71" s="4">
        <f ca="1">IFERROR(__xludf.DUMMYFUNCTION("""COMPUTED_VALUE"""),5)</f>
        <v>5</v>
      </c>
      <c r="BL71" s="4">
        <f ca="1">IFERROR(__xludf.DUMMYFUNCTION("""COMPUTED_VALUE"""),5)</f>
        <v>5</v>
      </c>
      <c r="BM71" s="4">
        <f ca="1">IFERROR(__xludf.DUMMYFUNCTION("""COMPUTED_VALUE"""),4)</f>
        <v>4</v>
      </c>
      <c r="BN71" s="4">
        <f ca="1">IFERROR(__xludf.DUMMYFUNCTION("""COMPUTED_VALUE"""),5)</f>
        <v>5</v>
      </c>
      <c r="BO71" s="4">
        <f ca="1">IFERROR(__xludf.DUMMYFUNCTION("""COMPUTED_VALUE"""),4)</f>
        <v>4</v>
      </c>
      <c r="BP71" s="4">
        <f ca="1">IFERROR(__xludf.DUMMYFUNCTION("""COMPUTED_VALUE"""),5)</f>
        <v>5</v>
      </c>
    </row>
    <row r="72" spans="1:68" ht="13.2" x14ac:dyDescent="0.25">
      <c r="A72" s="4" t="str">
        <f ca="1">IFERROR(__xludf.DUMMYFUNCTION("""COMPUTED_VALUE"""),"2_ABaOnucc03THXG6U1jSORHNpe8XZI6hxM13TgcvWU0e1xhWbcLbrh5Xjcx6mafXhOA")</f>
        <v>2_ABaOnucc03THXG6U1jSORHNpe8XZI6hxM13TgcvWU0e1xhWbcLbrh5Xjcx6mafXhOA</v>
      </c>
      <c r="B72" s="5">
        <f ca="1">IFERROR(__xludf.DUMMYFUNCTION("""COMPUTED_VALUE"""),45968.3289304398)</f>
        <v>45968.328930439799</v>
      </c>
      <c r="C72" s="4" t="str">
        <f ca="1">IFERROR(__xludf.DUMMYFUNCTION("""COMPUTED_VALUE"""),"Dương Minh Tuấn")</f>
        <v>Dương Minh Tuấn</v>
      </c>
      <c r="D72" s="4" t="str">
        <f ca="1">IFERROR(__xludf.DUMMYFUNCTION("""COMPUTED_VALUE"""),"Nam")</f>
        <v>Nam</v>
      </c>
      <c r="E72" s="4" t="str">
        <f ca="1">IFERROR(__xludf.DUMMYFUNCTION("""COMPUTED_VALUE"""),"AUD Việt Nam")</f>
        <v>AUD Việt Nam</v>
      </c>
      <c r="F72" s="4" t="str">
        <f ca="1">IFERROR(__xludf.DUMMYFUNCTION("""COMPUTED_VALUE"""),"Sau đại học")</f>
        <v>Sau đại học</v>
      </c>
      <c r="G72" s="4" t="str">
        <f ca="1">IFERROR(__xludf.DUMMYFUNCTION("""COMPUTED_VALUE"""),"Từ 3 đến 5 năm")</f>
        <v>Từ 3 đến 5 năm</v>
      </c>
      <c r="H72" s="4" t="str">
        <f ca="1">IFERROR(__xludf.DUMMYFUNCTION("""COMPUTED_VALUE"""),"Trợ lý kiểm toán")</f>
        <v>Trợ lý kiểm toán</v>
      </c>
      <c r="I72" s="4">
        <f ca="1">IFERROR(__xludf.DUMMYFUNCTION("""COMPUTED_VALUE"""),5)</f>
        <v>5</v>
      </c>
      <c r="J72" s="4">
        <f ca="1">IFERROR(__xludf.DUMMYFUNCTION("""COMPUTED_VALUE"""),5)</f>
        <v>5</v>
      </c>
      <c r="K72" s="4">
        <f ca="1">IFERROR(__xludf.DUMMYFUNCTION("""COMPUTED_VALUE"""),5)</f>
        <v>5</v>
      </c>
      <c r="L72" s="4">
        <f ca="1">IFERROR(__xludf.DUMMYFUNCTION("""COMPUTED_VALUE"""),5)</f>
        <v>5</v>
      </c>
      <c r="M72" s="4">
        <f ca="1">IFERROR(__xludf.DUMMYFUNCTION("""COMPUTED_VALUE"""),5)</f>
        <v>5</v>
      </c>
      <c r="N72" s="4">
        <f ca="1">IFERROR(__xludf.DUMMYFUNCTION("""COMPUTED_VALUE"""),3)</f>
        <v>3</v>
      </c>
      <c r="O72" s="4">
        <f ca="1">IFERROR(__xludf.DUMMYFUNCTION("""COMPUTED_VALUE"""),4)</f>
        <v>4</v>
      </c>
      <c r="P72" s="4">
        <f ca="1">IFERROR(__xludf.DUMMYFUNCTION("""COMPUTED_VALUE"""),5)</f>
        <v>5</v>
      </c>
      <c r="Q72" s="4">
        <f ca="1">IFERROR(__xludf.DUMMYFUNCTION("""COMPUTED_VALUE"""),5)</f>
        <v>5</v>
      </c>
      <c r="R72" s="4">
        <f ca="1">IFERROR(__xludf.DUMMYFUNCTION("""COMPUTED_VALUE"""),5)</f>
        <v>5</v>
      </c>
      <c r="S72" s="4">
        <f ca="1">IFERROR(__xludf.DUMMYFUNCTION("""COMPUTED_VALUE"""),5)</f>
        <v>5</v>
      </c>
      <c r="T72" s="4">
        <f ca="1">IFERROR(__xludf.DUMMYFUNCTION("""COMPUTED_VALUE"""),5)</f>
        <v>5</v>
      </c>
      <c r="U72" s="4">
        <f ca="1">IFERROR(__xludf.DUMMYFUNCTION("""COMPUTED_VALUE"""),5)</f>
        <v>5</v>
      </c>
      <c r="V72" s="4">
        <f ca="1">IFERROR(__xludf.DUMMYFUNCTION("""COMPUTED_VALUE"""),5)</f>
        <v>5</v>
      </c>
      <c r="W72" s="4">
        <f ca="1">IFERROR(__xludf.DUMMYFUNCTION("""COMPUTED_VALUE"""),5)</f>
        <v>5</v>
      </c>
      <c r="X72" s="4">
        <f ca="1">IFERROR(__xludf.DUMMYFUNCTION("""COMPUTED_VALUE"""),5)</f>
        <v>5</v>
      </c>
      <c r="Y72" s="4">
        <f ca="1">IFERROR(__xludf.DUMMYFUNCTION("""COMPUTED_VALUE"""),4)</f>
        <v>4</v>
      </c>
      <c r="Z72" s="4">
        <f ca="1">IFERROR(__xludf.DUMMYFUNCTION("""COMPUTED_VALUE"""),4)</f>
        <v>4</v>
      </c>
      <c r="AA72" s="4">
        <f ca="1">IFERROR(__xludf.DUMMYFUNCTION("""COMPUTED_VALUE"""),4)</f>
        <v>4</v>
      </c>
      <c r="AB72" s="4">
        <f ca="1">IFERROR(__xludf.DUMMYFUNCTION("""COMPUTED_VALUE"""),4)</f>
        <v>4</v>
      </c>
      <c r="AC72" s="4">
        <f ca="1">IFERROR(__xludf.DUMMYFUNCTION("""COMPUTED_VALUE"""),4)</f>
        <v>4</v>
      </c>
      <c r="AD72" s="4">
        <f ca="1">IFERROR(__xludf.DUMMYFUNCTION("""COMPUTED_VALUE"""),4)</f>
        <v>4</v>
      </c>
      <c r="AE72" s="4">
        <f ca="1">IFERROR(__xludf.DUMMYFUNCTION("""COMPUTED_VALUE"""),4)</f>
        <v>4</v>
      </c>
      <c r="AF72" s="4">
        <f ca="1">IFERROR(__xludf.DUMMYFUNCTION("""COMPUTED_VALUE"""),4)</f>
        <v>4</v>
      </c>
      <c r="AG72" s="4">
        <f ca="1">IFERROR(__xludf.DUMMYFUNCTION("""COMPUTED_VALUE"""),4)</f>
        <v>4</v>
      </c>
      <c r="AH72" s="4">
        <f ca="1">IFERROR(__xludf.DUMMYFUNCTION("""COMPUTED_VALUE"""),4)</f>
        <v>4</v>
      </c>
      <c r="AI72" s="4">
        <f ca="1">IFERROR(__xludf.DUMMYFUNCTION("""COMPUTED_VALUE"""),4)</f>
        <v>4</v>
      </c>
      <c r="AJ72" s="4">
        <f ca="1">IFERROR(__xludf.DUMMYFUNCTION("""COMPUTED_VALUE"""),5)</f>
        <v>5</v>
      </c>
      <c r="AK72" s="4">
        <f ca="1">IFERROR(__xludf.DUMMYFUNCTION("""COMPUTED_VALUE"""),5)</f>
        <v>5</v>
      </c>
      <c r="AL72" s="4">
        <f ca="1">IFERROR(__xludf.DUMMYFUNCTION("""COMPUTED_VALUE"""),5)</f>
        <v>5</v>
      </c>
      <c r="AM72" s="4">
        <f ca="1">IFERROR(__xludf.DUMMYFUNCTION("""COMPUTED_VALUE"""),5)</f>
        <v>5</v>
      </c>
      <c r="AN72" s="4">
        <f ca="1">IFERROR(__xludf.DUMMYFUNCTION("""COMPUTED_VALUE"""),5)</f>
        <v>5</v>
      </c>
      <c r="AO72" s="4">
        <f ca="1">IFERROR(__xludf.DUMMYFUNCTION("""COMPUTED_VALUE"""),5)</f>
        <v>5</v>
      </c>
      <c r="AP72" s="4">
        <f ca="1">IFERROR(__xludf.DUMMYFUNCTION("""COMPUTED_VALUE"""),5)</f>
        <v>5</v>
      </c>
      <c r="AQ72" s="4">
        <f ca="1">IFERROR(__xludf.DUMMYFUNCTION("""COMPUTED_VALUE"""),5)</f>
        <v>5</v>
      </c>
      <c r="AR72" s="4">
        <f ca="1">IFERROR(__xludf.DUMMYFUNCTION("""COMPUTED_VALUE"""),5)</f>
        <v>5</v>
      </c>
      <c r="AS72" s="4">
        <f ca="1">IFERROR(__xludf.DUMMYFUNCTION("""COMPUTED_VALUE"""),5)</f>
        <v>5</v>
      </c>
      <c r="AT72" s="4">
        <f ca="1">IFERROR(__xludf.DUMMYFUNCTION("""COMPUTED_VALUE"""),5)</f>
        <v>5</v>
      </c>
      <c r="AU72" s="4">
        <f ca="1">IFERROR(__xludf.DUMMYFUNCTION("""COMPUTED_VALUE"""),4)</f>
        <v>4</v>
      </c>
      <c r="AV72" s="4">
        <f ca="1">IFERROR(__xludf.DUMMYFUNCTION("""COMPUTED_VALUE"""),4)</f>
        <v>4</v>
      </c>
      <c r="AW72" s="4">
        <f ca="1">IFERROR(__xludf.DUMMYFUNCTION("""COMPUTED_VALUE"""),4)</f>
        <v>4</v>
      </c>
      <c r="AX72" s="4">
        <f ca="1">IFERROR(__xludf.DUMMYFUNCTION("""COMPUTED_VALUE"""),4)</f>
        <v>4</v>
      </c>
      <c r="AY72" s="4">
        <f ca="1">IFERROR(__xludf.DUMMYFUNCTION("""COMPUTED_VALUE"""),4)</f>
        <v>4</v>
      </c>
      <c r="AZ72" s="4">
        <f ca="1">IFERROR(__xludf.DUMMYFUNCTION("""COMPUTED_VALUE"""),4)</f>
        <v>4</v>
      </c>
      <c r="BA72" s="4">
        <f ca="1">IFERROR(__xludf.DUMMYFUNCTION("""COMPUTED_VALUE"""),4)</f>
        <v>4</v>
      </c>
      <c r="BB72" s="4">
        <f ca="1">IFERROR(__xludf.DUMMYFUNCTION("""COMPUTED_VALUE"""),4)</f>
        <v>4</v>
      </c>
      <c r="BC72" s="4">
        <f ca="1">IFERROR(__xludf.DUMMYFUNCTION("""COMPUTED_VALUE"""),4)</f>
        <v>4</v>
      </c>
      <c r="BD72" s="4">
        <f ca="1">IFERROR(__xludf.DUMMYFUNCTION("""COMPUTED_VALUE"""),4)</f>
        <v>4</v>
      </c>
      <c r="BE72" s="4">
        <f ca="1">IFERROR(__xludf.DUMMYFUNCTION("""COMPUTED_VALUE"""),4)</f>
        <v>4</v>
      </c>
      <c r="BF72" s="4">
        <f ca="1">IFERROR(__xludf.DUMMYFUNCTION("""COMPUTED_VALUE"""),4)</f>
        <v>4</v>
      </c>
      <c r="BG72" s="4">
        <f ca="1">IFERROR(__xludf.DUMMYFUNCTION("""COMPUTED_VALUE"""),4)</f>
        <v>4</v>
      </c>
      <c r="BH72" s="4">
        <f ca="1">IFERROR(__xludf.DUMMYFUNCTION("""COMPUTED_VALUE"""),4)</f>
        <v>4</v>
      </c>
      <c r="BI72" s="4">
        <f ca="1">IFERROR(__xludf.DUMMYFUNCTION("""COMPUTED_VALUE"""),4)</f>
        <v>4</v>
      </c>
      <c r="BJ72" s="4">
        <f ca="1">IFERROR(__xludf.DUMMYFUNCTION("""COMPUTED_VALUE"""),4)</f>
        <v>4</v>
      </c>
      <c r="BK72" s="4">
        <f ca="1">IFERROR(__xludf.DUMMYFUNCTION("""COMPUTED_VALUE"""),4)</f>
        <v>4</v>
      </c>
      <c r="BL72" s="4">
        <f ca="1">IFERROR(__xludf.DUMMYFUNCTION("""COMPUTED_VALUE"""),5)</f>
        <v>5</v>
      </c>
      <c r="BM72" s="4">
        <f ca="1">IFERROR(__xludf.DUMMYFUNCTION("""COMPUTED_VALUE"""),5)</f>
        <v>5</v>
      </c>
      <c r="BN72" s="4">
        <f ca="1">IFERROR(__xludf.DUMMYFUNCTION("""COMPUTED_VALUE"""),4)</f>
        <v>4</v>
      </c>
      <c r="BO72" s="4">
        <f ca="1">IFERROR(__xludf.DUMMYFUNCTION("""COMPUTED_VALUE"""),4)</f>
        <v>4</v>
      </c>
      <c r="BP72" s="4">
        <f ca="1">IFERROR(__xludf.DUMMYFUNCTION("""COMPUTED_VALUE"""),4)</f>
        <v>4</v>
      </c>
    </row>
    <row r="73" spans="1:68" ht="13.2" x14ac:dyDescent="0.25">
      <c r="A73" s="4" t="str">
        <f ca="1">IFERROR(__xludf.DUMMYFUNCTION("""COMPUTED_VALUE"""),"2_ABaOnucoRtan_39wSvEzjgEGzYTz7Sc8RYxUwQZGSDzWygu2Zhep0ybQkMCUVa9bpw")</f>
        <v>2_ABaOnucoRtan_39wSvEzjgEGzYTz7Sc8RYxUwQZGSDzWygu2Zhep0ybQkMCUVa9bpw</v>
      </c>
      <c r="B73" s="5">
        <f ca="1">IFERROR(__xludf.DUMMYFUNCTION("""COMPUTED_VALUE"""),45968.3528089467)</f>
        <v>45968.3528089467</v>
      </c>
      <c r="C73" s="4" t="str">
        <f ca="1">IFERROR(__xludf.DUMMYFUNCTION("""COMPUTED_VALUE"""),"Hà Thị Thư")</f>
        <v>Hà Thị Thư</v>
      </c>
      <c r="D73" s="4" t="str">
        <f ca="1">IFERROR(__xludf.DUMMYFUNCTION("""COMPUTED_VALUE"""),"Nữ")</f>
        <v>Nữ</v>
      </c>
      <c r="E73" s="4" t="str">
        <f ca="1">IFERROR(__xludf.DUMMYFUNCTION("""COMPUTED_VALUE"""),"Moore AISC")</f>
        <v>Moore AISC</v>
      </c>
      <c r="F73" s="4" t="str">
        <f ca="1">IFERROR(__xludf.DUMMYFUNCTION("""COMPUTED_VALUE"""),"Đại học, Chứng chỉ Kiểm toán viên")</f>
        <v>Đại học, Chứng chỉ Kiểm toán viên</v>
      </c>
      <c r="G73" s="4" t="str">
        <f ca="1">IFERROR(__xludf.DUMMYFUNCTION("""COMPUTED_VALUE"""),"Trên 10 đến 15 năm")</f>
        <v>Trên 10 đến 15 năm</v>
      </c>
      <c r="H73" s="4" t="str">
        <f ca="1">IFERROR(__xludf.DUMMYFUNCTION("""COMPUTED_VALUE"""),"Kiểm toán viên/Trưởng nhóm")</f>
        <v>Kiểm toán viên/Trưởng nhóm</v>
      </c>
      <c r="I73" s="4">
        <f ca="1">IFERROR(__xludf.DUMMYFUNCTION("""COMPUTED_VALUE"""),5)</f>
        <v>5</v>
      </c>
      <c r="J73" s="4">
        <f ca="1">IFERROR(__xludf.DUMMYFUNCTION("""COMPUTED_VALUE"""),5)</f>
        <v>5</v>
      </c>
      <c r="K73" s="4">
        <f ca="1">IFERROR(__xludf.DUMMYFUNCTION("""COMPUTED_VALUE"""),5)</f>
        <v>5</v>
      </c>
      <c r="L73" s="4">
        <f ca="1">IFERROR(__xludf.DUMMYFUNCTION("""COMPUTED_VALUE"""),4)</f>
        <v>4</v>
      </c>
      <c r="M73" s="4">
        <f ca="1">IFERROR(__xludf.DUMMYFUNCTION("""COMPUTED_VALUE"""),4)</f>
        <v>4</v>
      </c>
      <c r="N73" s="4">
        <f ca="1">IFERROR(__xludf.DUMMYFUNCTION("""COMPUTED_VALUE"""),3)</f>
        <v>3</v>
      </c>
      <c r="O73" s="4">
        <f ca="1">IFERROR(__xludf.DUMMYFUNCTION("""COMPUTED_VALUE"""),3)</f>
        <v>3</v>
      </c>
      <c r="P73" s="4">
        <f ca="1">IFERROR(__xludf.DUMMYFUNCTION("""COMPUTED_VALUE"""),5)</f>
        <v>5</v>
      </c>
      <c r="Q73" s="4">
        <f ca="1">IFERROR(__xludf.DUMMYFUNCTION("""COMPUTED_VALUE"""),5)</f>
        <v>5</v>
      </c>
      <c r="R73" s="4">
        <f ca="1">IFERROR(__xludf.DUMMYFUNCTION("""COMPUTED_VALUE"""),5)</f>
        <v>5</v>
      </c>
      <c r="S73" s="4">
        <f ca="1">IFERROR(__xludf.DUMMYFUNCTION("""COMPUTED_VALUE"""),5)</f>
        <v>5</v>
      </c>
      <c r="T73" s="4">
        <f ca="1">IFERROR(__xludf.DUMMYFUNCTION("""COMPUTED_VALUE"""),5)</f>
        <v>5</v>
      </c>
      <c r="U73" s="4">
        <f ca="1">IFERROR(__xludf.DUMMYFUNCTION("""COMPUTED_VALUE"""),5)</f>
        <v>5</v>
      </c>
      <c r="V73" s="4">
        <f ca="1">IFERROR(__xludf.DUMMYFUNCTION("""COMPUTED_VALUE"""),5)</f>
        <v>5</v>
      </c>
      <c r="W73" s="4">
        <f ca="1">IFERROR(__xludf.DUMMYFUNCTION("""COMPUTED_VALUE"""),4)</f>
        <v>4</v>
      </c>
      <c r="X73" s="4">
        <f ca="1">IFERROR(__xludf.DUMMYFUNCTION("""COMPUTED_VALUE"""),3)</f>
        <v>3</v>
      </c>
      <c r="Y73" s="4">
        <f ca="1">IFERROR(__xludf.DUMMYFUNCTION("""COMPUTED_VALUE"""),4)</f>
        <v>4</v>
      </c>
      <c r="Z73" s="4">
        <f ca="1">IFERROR(__xludf.DUMMYFUNCTION("""COMPUTED_VALUE"""),3)</f>
        <v>3</v>
      </c>
      <c r="AA73" s="4">
        <f ca="1">IFERROR(__xludf.DUMMYFUNCTION("""COMPUTED_VALUE"""),4)</f>
        <v>4</v>
      </c>
      <c r="AB73" s="4">
        <f ca="1">IFERROR(__xludf.DUMMYFUNCTION("""COMPUTED_VALUE"""),4)</f>
        <v>4</v>
      </c>
      <c r="AC73" s="4">
        <f ca="1">IFERROR(__xludf.DUMMYFUNCTION("""COMPUTED_VALUE"""),4)</f>
        <v>4</v>
      </c>
      <c r="AD73" s="4">
        <f ca="1">IFERROR(__xludf.DUMMYFUNCTION("""COMPUTED_VALUE"""),2)</f>
        <v>2</v>
      </c>
      <c r="AE73" s="4">
        <f ca="1">IFERROR(__xludf.DUMMYFUNCTION("""COMPUTED_VALUE"""),5)</f>
        <v>5</v>
      </c>
      <c r="AF73" s="4">
        <f ca="1">IFERROR(__xludf.DUMMYFUNCTION("""COMPUTED_VALUE"""),4)</f>
        <v>4</v>
      </c>
      <c r="AG73" s="4">
        <f ca="1">IFERROR(__xludf.DUMMYFUNCTION("""COMPUTED_VALUE"""),4)</f>
        <v>4</v>
      </c>
      <c r="AH73" s="4">
        <f ca="1">IFERROR(__xludf.DUMMYFUNCTION("""COMPUTED_VALUE"""),4)</f>
        <v>4</v>
      </c>
      <c r="AI73" s="4">
        <f ca="1">IFERROR(__xludf.DUMMYFUNCTION("""COMPUTED_VALUE"""),4)</f>
        <v>4</v>
      </c>
      <c r="AJ73" s="4">
        <f ca="1">IFERROR(__xludf.DUMMYFUNCTION("""COMPUTED_VALUE"""),5)</f>
        <v>5</v>
      </c>
      <c r="AK73" s="4">
        <f ca="1">IFERROR(__xludf.DUMMYFUNCTION("""COMPUTED_VALUE"""),4)</f>
        <v>4</v>
      </c>
      <c r="AL73" s="4">
        <f ca="1">IFERROR(__xludf.DUMMYFUNCTION("""COMPUTED_VALUE"""),5)</f>
        <v>5</v>
      </c>
      <c r="AM73" s="4">
        <f ca="1">IFERROR(__xludf.DUMMYFUNCTION("""COMPUTED_VALUE"""),4)</f>
        <v>4</v>
      </c>
      <c r="AN73" s="4">
        <f ca="1">IFERROR(__xludf.DUMMYFUNCTION("""COMPUTED_VALUE"""),4)</f>
        <v>4</v>
      </c>
      <c r="AO73" s="4">
        <f ca="1">IFERROR(__xludf.DUMMYFUNCTION("""COMPUTED_VALUE"""),5)</f>
        <v>5</v>
      </c>
      <c r="AP73" s="4">
        <f ca="1">IFERROR(__xludf.DUMMYFUNCTION("""COMPUTED_VALUE"""),4)</f>
        <v>4</v>
      </c>
      <c r="AQ73" s="4">
        <f ca="1">IFERROR(__xludf.DUMMYFUNCTION("""COMPUTED_VALUE"""),4)</f>
        <v>4</v>
      </c>
      <c r="AR73" s="4">
        <f ca="1">IFERROR(__xludf.DUMMYFUNCTION("""COMPUTED_VALUE"""),3)</f>
        <v>3</v>
      </c>
      <c r="AS73" s="4">
        <f ca="1">IFERROR(__xludf.DUMMYFUNCTION("""COMPUTED_VALUE"""),3)</f>
        <v>3</v>
      </c>
      <c r="AT73" s="4">
        <f ca="1">IFERROR(__xludf.DUMMYFUNCTION("""COMPUTED_VALUE"""),3)</f>
        <v>3</v>
      </c>
      <c r="AU73" s="4">
        <f ca="1">IFERROR(__xludf.DUMMYFUNCTION("""COMPUTED_VALUE"""),4)</f>
        <v>4</v>
      </c>
      <c r="AV73" s="4">
        <f ca="1">IFERROR(__xludf.DUMMYFUNCTION("""COMPUTED_VALUE"""),4)</f>
        <v>4</v>
      </c>
      <c r="AW73" s="4">
        <f ca="1">IFERROR(__xludf.DUMMYFUNCTION("""COMPUTED_VALUE"""),3)</f>
        <v>3</v>
      </c>
      <c r="AX73" s="4">
        <f ca="1">IFERROR(__xludf.DUMMYFUNCTION("""COMPUTED_VALUE"""),4)</f>
        <v>4</v>
      </c>
      <c r="AY73" s="4">
        <f ca="1">IFERROR(__xludf.DUMMYFUNCTION("""COMPUTED_VALUE"""),4)</f>
        <v>4</v>
      </c>
      <c r="AZ73" s="4">
        <f ca="1">IFERROR(__xludf.DUMMYFUNCTION("""COMPUTED_VALUE"""),4)</f>
        <v>4</v>
      </c>
      <c r="BA73" s="4">
        <f ca="1">IFERROR(__xludf.DUMMYFUNCTION("""COMPUTED_VALUE"""),4)</f>
        <v>4</v>
      </c>
      <c r="BB73" s="4">
        <f ca="1">IFERROR(__xludf.DUMMYFUNCTION("""COMPUTED_VALUE"""),5)</f>
        <v>5</v>
      </c>
      <c r="BC73" s="4">
        <f ca="1">IFERROR(__xludf.DUMMYFUNCTION("""COMPUTED_VALUE"""),4)</f>
        <v>4</v>
      </c>
      <c r="BD73" s="4">
        <f ca="1">IFERROR(__xludf.DUMMYFUNCTION("""COMPUTED_VALUE"""),4)</f>
        <v>4</v>
      </c>
      <c r="BE73" s="4">
        <f ca="1">IFERROR(__xludf.DUMMYFUNCTION("""COMPUTED_VALUE"""),4)</f>
        <v>4</v>
      </c>
      <c r="BF73" s="4">
        <f ca="1">IFERROR(__xludf.DUMMYFUNCTION("""COMPUTED_VALUE"""),4)</f>
        <v>4</v>
      </c>
      <c r="BG73" s="4">
        <f ca="1">IFERROR(__xludf.DUMMYFUNCTION("""COMPUTED_VALUE"""),4)</f>
        <v>4</v>
      </c>
      <c r="BH73" s="4">
        <f ca="1">IFERROR(__xludf.DUMMYFUNCTION("""COMPUTED_VALUE"""),4)</f>
        <v>4</v>
      </c>
      <c r="BI73" s="4">
        <f ca="1">IFERROR(__xludf.DUMMYFUNCTION("""COMPUTED_VALUE"""),5)</f>
        <v>5</v>
      </c>
      <c r="BJ73" s="4">
        <f ca="1">IFERROR(__xludf.DUMMYFUNCTION("""COMPUTED_VALUE"""),5)</f>
        <v>5</v>
      </c>
      <c r="BK73" s="4">
        <f ca="1">IFERROR(__xludf.DUMMYFUNCTION("""COMPUTED_VALUE"""),5)</f>
        <v>5</v>
      </c>
      <c r="BL73" s="4">
        <f ca="1">IFERROR(__xludf.DUMMYFUNCTION("""COMPUTED_VALUE"""),5)</f>
        <v>5</v>
      </c>
      <c r="BM73" s="4">
        <f ca="1">IFERROR(__xludf.DUMMYFUNCTION("""COMPUTED_VALUE"""),5)</f>
        <v>5</v>
      </c>
      <c r="BN73" s="4">
        <f ca="1">IFERROR(__xludf.DUMMYFUNCTION("""COMPUTED_VALUE"""),5)</f>
        <v>5</v>
      </c>
      <c r="BO73" s="4">
        <f ca="1">IFERROR(__xludf.DUMMYFUNCTION("""COMPUTED_VALUE"""),5)</f>
        <v>5</v>
      </c>
      <c r="BP73" s="4">
        <f ca="1">IFERROR(__xludf.DUMMYFUNCTION("""COMPUTED_VALUE"""),5)</f>
        <v>5</v>
      </c>
    </row>
    <row r="74" spans="1:68" ht="13.2" x14ac:dyDescent="0.25">
      <c r="A74" s="4" t="str">
        <f ca="1">IFERROR(__xludf.DUMMYFUNCTION("""COMPUTED_VALUE"""),"2_ABaOnueVIoVT2U7aJJml6Ekv0CHAP4v1nRNmTShQV9EFEot_ui7lOjSu1bdx6aCKNA")</f>
        <v>2_ABaOnueVIoVT2U7aJJml6Ekv0CHAP4v1nRNmTShQV9EFEot_ui7lOjSu1bdx6aCKNA</v>
      </c>
      <c r="B74" s="5">
        <f ca="1">IFERROR(__xludf.DUMMYFUNCTION("""COMPUTED_VALUE"""),45968.3647521064)</f>
        <v>45968.364752106398</v>
      </c>
      <c r="C74" s="4" t="str">
        <f ca="1">IFERROR(__xludf.DUMMYFUNCTION("""COMPUTED_VALUE"""),"Dương Huy Hoàng")</f>
        <v>Dương Huy Hoàng</v>
      </c>
      <c r="D74" s="4" t="str">
        <f ca="1">IFERROR(__xludf.DUMMYFUNCTION("""COMPUTED_VALUE"""),"Nam")</f>
        <v>Nam</v>
      </c>
      <c r="E74" s="4" t="str">
        <f ca="1">IFERROR(__xludf.DUMMYFUNCTION("""COMPUTED_VALUE"""),"Công ty TNHH Kiểm toán CPA")</f>
        <v>Công ty TNHH Kiểm toán CPA</v>
      </c>
      <c r="F74" s="4" t="str">
        <f ca="1">IFERROR(__xludf.DUMMYFUNCTION("""COMPUTED_VALUE"""),"Đại học")</f>
        <v>Đại học</v>
      </c>
      <c r="G74" s="4" t="str">
        <f ca="1">IFERROR(__xludf.DUMMYFUNCTION("""COMPUTED_VALUE"""),"Từ 3 đến 5 năm")</f>
        <v>Từ 3 đến 5 năm</v>
      </c>
      <c r="H74" s="4" t="str">
        <f ca="1">IFERROR(__xludf.DUMMYFUNCTION("""COMPUTED_VALUE"""),"Trợ lý kiểm toán")</f>
        <v>Trợ lý kiểm toán</v>
      </c>
      <c r="I74" s="4">
        <f ca="1">IFERROR(__xludf.DUMMYFUNCTION("""COMPUTED_VALUE"""),5)</f>
        <v>5</v>
      </c>
      <c r="J74" s="4">
        <f ca="1">IFERROR(__xludf.DUMMYFUNCTION("""COMPUTED_VALUE"""),5)</f>
        <v>5</v>
      </c>
      <c r="K74" s="4">
        <f ca="1">IFERROR(__xludf.DUMMYFUNCTION("""COMPUTED_VALUE"""),4)</f>
        <v>4</v>
      </c>
      <c r="L74" s="4">
        <f ca="1">IFERROR(__xludf.DUMMYFUNCTION("""COMPUTED_VALUE"""),4)</f>
        <v>4</v>
      </c>
      <c r="M74" s="4">
        <f ca="1">IFERROR(__xludf.DUMMYFUNCTION("""COMPUTED_VALUE"""),5)</f>
        <v>5</v>
      </c>
      <c r="N74" s="4">
        <f ca="1">IFERROR(__xludf.DUMMYFUNCTION("""COMPUTED_VALUE"""),3)</f>
        <v>3</v>
      </c>
      <c r="O74" s="4">
        <f ca="1">IFERROR(__xludf.DUMMYFUNCTION("""COMPUTED_VALUE"""),5)</f>
        <v>5</v>
      </c>
      <c r="P74" s="4">
        <f ca="1">IFERROR(__xludf.DUMMYFUNCTION("""COMPUTED_VALUE"""),5)</f>
        <v>5</v>
      </c>
      <c r="Q74" s="4">
        <f ca="1">IFERROR(__xludf.DUMMYFUNCTION("""COMPUTED_VALUE"""),5)</f>
        <v>5</v>
      </c>
      <c r="R74" s="4">
        <f ca="1">IFERROR(__xludf.DUMMYFUNCTION("""COMPUTED_VALUE"""),5)</f>
        <v>5</v>
      </c>
      <c r="S74" s="4">
        <f ca="1">IFERROR(__xludf.DUMMYFUNCTION("""COMPUTED_VALUE"""),4)</f>
        <v>4</v>
      </c>
      <c r="T74" s="4">
        <f ca="1">IFERROR(__xludf.DUMMYFUNCTION("""COMPUTED_VALUE"""),4)</f>
        <v>4</v>
      </c>
      <c r="U74" s="4">
        <f ca="1">IFERROR(__xludf.DUMMYFUNCTION("""COMPUTED_VALUE"""),5)</f>
        <v>5</v>
      </c>
      <c r="V74" s="4">
        <f ca="1">IFERROR(__xludf.DUMMYFUNCTION("""COMPUTED_VALUE"""),4)</f>
        <v>4</v>
      </c>
      <c r="W74" s="4">
        <f ca="1">IFERROR(__xludf.DUMMYFUNCTION("""COMPUTED_VALUE"""),4)</f>
        <v>4</v>
      </c>
      <c r="X74" s="4">
        <f ca="1">IFERROR(__xludf.DUMMYFUNCTION("""COMPUTED_VALUE"""),4)</f>
        <v>4</v>
      </c>
      <c r="Y74" s="4">
        <f ca="1">IFERROR(__xludf.DUMMYFUNCTION("""COMPUTED_VALUE"""),4)</f>
        <v>4</v>
      </c>
      <c r="Z74" s="4">
        <f ca="1">IFERROR(__xludf.DUMMYFUNCTION("""COMPUTED_VALUE"""),4)</f>
        <v>4</v>
      </c>
      <c r="AA74" s="4">
        <f ca="1">IFERROR(__xludf.DUMMYFUNCTION("""COMPUTED_VALUE"""),4)</f>
        <v>4</v>
      </c>
      <c r="AB74" s="4">
        <f ca="1">IFERROR(__xludf.DUMMYFUNCTION("""COMPUTED_VALUE"""),2)</f>
        <v>2</v>
      </c>
      <c r="AC74" s="4">
        <f ca="1">IFERROR(__xludf.DUMMYFUNCTION("""COMPUTED_VALUE"""),4)</f>
        <v>4</v>
      </c>
      <c r="AD74" s="4">
        <f ca="1">IFERROR(__xludf.DUMMYFUNCTION("""COMPUTED_VALUE"""),4)</f>
        <v>4</v>
      </c>
      <c r="AE74" s="4">
        <f ca="1">IFERROR(__xludf.DUMMYFUNCTION("""COMPUTED_VALUE"""),4)</f>
        <v>4</v>
      </c>
      <c r="AF74" s="4">
        <f ca="1">IFERROR(__xludf.DUMMYFUNCTION("""COMPUTED_VALUE"""),4)</f>
        <v>4</v>
      </c>
      <c r="AG74" s="4">
        <f ca="1">IFERROR(__xludf.DUMMYFUNCTION("""COMPUTED_VALUE"""),3)</f>
        <v>3</v>
      </c>
      <c r="AH74" s="4">
        <f ca="1">IFERROR(__xludf.DUMMYFUNCTION("""COMPUTED_VALUE"""),5)</f>
        <v>5</v>
      </c>
      <c r="AI74" s="4">
        <f ca="1">IFERROR(__xludf.DUMMYFUNCTION("""COMPUTED_VALUE"""),3)</f>
        <v>3</v>
      </c>
      <c r="AJ74" s="4">
        <f ca="1">IFERROR(__xludf.DUMMYFUNCTION("""COMPUTED_VALUE"""),4)</f>
        <v>4</v>
      </c>
      <c r="AK74" s="4">
        <f ca="1">IFERROR(__xludf.DUMMYFUNCTION("""COMPUTED_VALUE"""),4)</f>
        <v>4</v>
      </c>
      <c r="AL74" s="4">
        <f ca="1">IFERROR(__xludf.DUMMYFUNCTION("""COMPUTED_VALUE"""),4)</f>
        <v>4</v>
      </c>
      <c r="AM74" s="4">
        <f ca="1">IFERROR(__xludf.DUMMYFUNCTION("""COMPUTED_VALUE"""),4)</f>
        <v>4</v>
      </c>
      <c r="AN74" s="4">
        <f ca="1">IFERROR(__xludf.DUMMYFUNCTION("""COMPUTED_VALUE"""),4)</f>
        <v>4</v>
      </c>
      <c r="AO74" s="4">
        <f ca="1">IFERROR(__xludf.DUMMYFUNCTION("""COMPUTED_VALUE"""),4)</f>
        <v>4</v>
      </c>
      <c r="AP74" s="4">
        <f ca="1">IFERROR(__xludf.DUMMYFUNCTION("""COMPUTED_VALUE"""),4)</f>
        <v>4</v>
      </c>
      <c r="AQ74" s="4">
        <f ca="1">IFERROR(__xludf.DUMMYFUNCTION("""COMPUTED_VALUE"""),4)</f>
        <v>4</v>
      </c>
      <c r="AR74" s="4">
        <f ca="1">IFERROR(__xludf.DUMMYFUNCTION("""COMPUTED_VALUE"""),4)</f>
        <v>4</v>
      </c>
      <c r="AS74" s="4">
        <f ca="1">IFERROR(__xludf.DUMMYFUNCTION("""COMPUTED_VALUE"""),4)</f>
        <v>4</v>
      </c>
      <c r="AT74" s="4">
        <f ca="1">IFERROR(__xludf.DUMMYFUNCTION("""COMPUTED_VALUE"""),3)</f>
        <v>3</v>
      </c>
      <c r="AU74" s="4">
        <f ca="1">IFERROR(__xludf.DUMMYFUNCTION("""COMPUTED_VALUE"""),4)</f>
        <v>4</v>
      </c>
      <c r="AV74" s="4">
        <f ca="1">IFERROR(__xludf.DUMMYFUNCTION("""COMPUTED_VALUE"""),3)</f>
        <v>3</v>
      </c>
      <c r="AW74" s="4">
        <f ca="1">IFERROR(__xludf.DUMMYFUNCTION("""COMPUTED_VALUE"""),4)</f>
        <v>4</v>
      </c>
      <c r="AX74" s="4">
        <f ca="1">IFERROR(__xludf.DUMMYFUNCTION("""COMPUTED_VALUE"""),4)</f>
        <v>4</v>
      </c>
      <c r="AY74" s="4">
        <f ca="1">IFERROR(__xludf.DUMMYFUNCTION("""COMPUTED_VALUE"""),4)</f>
        <v>4</v>
      </c>
      <c r="AZ74" s="4">
        <f ca="1">IFERROR(__xludf.DUMMYFUNCTION("""COMPUTED_VALUE"""),4)</f>
        <v>4</v>
      </c>
      <c r="BA74" s="4">
        <f ca="1">IFERROR(__xludf.DUMMYFUNCTION("""COMPUTED_VALUE"""),4)</f>
        <v>4</v>
      </c>
      <c r="BB74" s="4">
        <f ca="1">IFERROR(__xludf.DUMMYFUNCTION("""COMPUTED_VALUE"""),4)</f>
        <v>4</v>
      </c>
      <c r="BC74" s="4">
        <f ca="1">IFERROR(__xludf.DUMMYFUNCTION("""COMPUTED_VALUE"""),3)</f>
        <v>3</v>
      </c>
      <c r="BD74" s="4">
        <f ca="1">IFERROR(__xludf.DUMMYFUNCTION("""COMPUTED_VALUE"""),4)</f>
        <v>4</v>
      </c>
      <c r="BE74" s="4">
        <f ca="1">IFERROR(__xludf.DUMMYFUNCTION("""COMPUTED_VALUE"""),2)</f>
        <v>2</v>
      </c>
      <c r="BF74" s="4">
        <f ca="1">IFERROR(__xludf.DUMMYFUNCTION("""COMPUTED_VALUE"""),2)</f>
        <v>2</v>
      </c>
      <c r="BG74" s="4">
        <f ca="1">IFERROR(__xludf.DUMMYFUNCTION("""COMPUTED_VALUE"""),2)</f>
        <v>2</v>
      </c>
      <c r="BH74" s="4">
        <f ca="1">IFERROR(__xludf.DUMMYFUNCTION("""COMPUTED_VALUE"""),4)</f>
        <v>4</v>
      </c>
      <c r="BI74" s="4">
        <f ca="1">IFERROR(__xludf.DUMMYFUNCTION("""COMPUTED_VALUE"""),4)</f>
        <v>4</v>
      </c>
      <c r="BJ74" s="4">
        <f ca="1">IFERROR(__xludf.DUMMYFUNCTION("""COMPUTED_VALUE"""),4)</f>
        <v>4</v>
      </c>
      <c r="BK74" s="4">
        <f ca="1">IFERROR(__xludf.DUMMYFUNCTION("""COMPUTED_VALUE"""),4)</f>
        <v>4</v>
      </c>
      <c r="BL74" s="4">
        <f ca="1">IFERROR(__xludf.DUMMYFUNCTION("""COMPUTED_VALUE"""),4)</f>
        <v>4</v>
      </c>
      <c r="BM74" s="4">
        <f ca="1">IFERROR(__xludf.DUMMYFUNCTION("""COMPUTED_VALUE"""),4)</f>
        <v>4</v>
      </c>
      <c r="BN74" s="4">
        <f ca="1">IFERROR(__xludf.DUMMYFUNCTION("""COMPUTED_VALUE"""),4)</f>
        <v>4</v>
      </c>
      <c r="BO74" s="4">
        <f ca="1">IFERROR(__xludf.DUMMYFUNCTION("""COMPUTED_VALUE"""),4)</f>
        <v>4</v>
      </c>
      <c r="BP74" s="4">
        <f ca="1">IFERROR(__xludf.DUMMYFUNCTION("""COMPUTED_VALUE"""),4)</f>
        <v>4</v>
      </c>
    </row>
    <row r="75" spans="1:68" ht="13.2" x14ac:dyDescent="0.25">
      <c r="A75" s="4" t="str">
        <f ca="1">IFERROR(__xludf.DUMMYFUNCTION("""COMPUTED_VALUE"""),"2_ABaOnuccmu9B7KndNHi7uKQT90ScFnW6YsE7uXsVdeHSoKRswZqdu5wohB9YOxzWJA")</f>
        <v>2_ABaOnuccmu9B7KndNHi7uKQT90ScFnW6YsE7uXsVdeHSoKRswZqdu5wohB9YOxzWJA</v>
      </c>
      <c r="B75" s="5">
        <f ca="1">IFERROR(__xludf.DUMMYFUNCTION("""COMPUTED_VALUE"""),45968.3803480324)</f>
        <v>45968.380348032399</v>
      </c>
      <c r="C75" s="4" t="str">
        <f ca="1">IFERROR(__xludf.DUMMYFUNCTION("""COMPUTED_VALUE"""),"Nguyễn Xuân Dũng")</f>
        <v>Nguyễn Xuân Dũng</v>
      </c>
      <c r="D75" s="4" t="str">
        <f ca="1">IFERROR(__xludf.DUMMYFUNCTION("""COMPUTED_VALUE"""),"Nam")</f>
        <v>Nam</v>
      </c>
      <c r="E75" s="4" t="str">
        <f ca="1">IFERROR(__xludf.DUMMYFUNCTION("""COMPUTED_VALUE"""),"Công ty TNHH CAF Việt Nam")</f>
        <v>Công ty TNHH CAF Việt Nam</v>
      </c>
      <c r="F75" s="4" t="str">
        <f ca="1">IFERROR(__xludf.DUMMYFUNCTION("""COMPUTED_VALUE"""),"Sau đại học")</f>
        <v>Sau đại học</v>
      </c>
      <c r="G75" s="4" t="str">
        <f ca="1">IFERROR(__xludf.DUMMYFUNCTION("""COMPUTED_VALUE"""),"Trên 20 năm")</f>
        <v>Trên 20 năm</v>
      </c>
      <c r="H75" s="4" t="str">
        <f ca="1">IFERROR(__xludf.DUMMYFUNCTION("""COMPUTED_VALUE"""),"Ban giám đốc")</f>
        <v>Ban giám đốc</v>
      </c>
      <c r="I75" s="4">
        <f ca="1">IFERROR(__xludf.DUMMYFUNCTION("""COMPUTED_VALUE"""),5)</f>
        <v>5</v>
      </c>
      <c r="J75" s="4">
        <f ca="1">IFERROR(__xludf.DUMMYFUNCTION("""COMPUTED_VALUE"""),4)</f>
        <v>4</v>
      </c>
      <c r="K75" s="4">
        <f ca="1">IFERROR(__xludf.DUMMYFUNCTION("""COMPUTED_VALUE"""),5)</f>
        <v>5</v>
      </c>
      <c r="L75" s="4">
        <f ca="1">IFERROR(__xludf.DUMMYFUNCTION("""COMPUTED_VALUE"""),5)</f>
        <v>5</v>
      </c>
      <c r="M75" s="4">
        <f ca="1">IFERROR(__xludf.DUMMYFUNCTION("""COMPUTED_VALUE"""),4)</f>
        <v>4</v>
      </c>
      <c r="N75" s="4">
        <f ca="1">IFERROR(__xludf.DUMMYFUNCTION("""COMPUTED_VALUE"""),3)</f>
        <v>3</v>
      </c>
      <c r="O75" s="4">
        <f ca="1">IFERROR(__xludf.DUMMYFUNCTION("""COMPUTED_VALUE"""),4)</f>
        <v>4</v>
      </c>
      <c r="P75" s="4">
        <f ca="1">IFERROR(__xludf.DUMMYFUNCTION("""COMPUTED_VALUE"""),5)</f>
        <v>5</v>
      </c>
      <c r="Q75" s="4">
        <f ca="1">IFERROR(__xludf.DUMMYFUNCTION("""COMPUTED_VALUE"""),5)</f>
        <v>5</v>
      </c>
      <c r="R75" s="4">
        <f ca="1">IFERROR(__xludf.DUMMYFUNCTION("""COMPUTED_VALUE"""),4)</f>
        <v>4</v>
      </c>
      <c r="S75" s="4">
        <f ca="1">IFERROR(__xludf.DUMMYFUNCTION("""COMPUTED_VALUE"""),4)</f>
        <v>4</v>
      </c>
      <c r="T75" s="4">
        <f ca="1">IFERROR(__xludf.DUMMYFUNCTION("""COMPUTED_VALUE"""),4)</f>
        <v>4</v>
      </c>
      <c r="U75" s="4">
        <f ca="1">IFERROR(__xludf.DUMMYFUNCTION("""COMPUTED_VALUE"""),5)</f>
        <v>5</v>
      </c>
      <c r="V75" s="4">
        <f ca="1">IFERROR(__xludf.DUMMYFUNCTION("""COMPUTED_VALUE"""),5)</f>
        <v>5</v>
      </c>
      <c r="W75" s="4">
        <f ca="1">IFERROR(__xludf.DUMMYFUNCTION("""COMPUTED_VALUE"""),3)</f>
        <v>3</v>
      </c>
      <c r="X75" s="4">
        <f ca="1">IFERROR(__xludf.DUMMYFUNCTION("""COMPUTED_VALUE"""),4)</f>
        <v>4</v>
      </c>
      <c r="Y75" s="4">
        <f ca="1">IFERROR(__xludf.DUMMYFUNCTION("""COMPUTED_VALUE"""),3)</f>
        <v>3</v>
      </c>
      <c r="Z75" s="4">
        <f ca="1">IFERROR(__xludf.DUMMYFUNCTION("""COMPUTED_VALUE"""),4)</f>
        <v>4</v>
      </c>
      <c r="AA75" s="4">
        <f ca="1">IFERROR(__xludf.DUMMYFUNCTION("""COMPUTED_VALUE"""),5)</f>
        <v>5</v>
      </c>
      <c r="AB75" s="4">
        <f ca="1">IFERROR(__xludf.DUMMYFUNCTION("""COMPUTED_VALUE"""),4)</f>
        <v>4</v>
      </c>
      <c r="AC75" s="4">
        <f ca="1">IFERROR(__xludf.DUMMYFUNCTION("""COMPUTED_VALUE"""),4)</f>
        <v>4</v>
      </c>
      <c r="AD75" s="4">
        <f ca="1">IFERROR(__xludf.DUMMYFUNCTION("""COMPUTED_VALUE"""),3)</f>
        <v>3</v>
      </c>
      <c r="AE75" s="4">
        <f ca="1">IFERROR(__xludf.DUMMYFUNCTION("""COMPUTED_VALUE"""),4)</f>
        <v>4</v>
      </c>
      <c r="AF75" s="4">
        <f ca="1">IFERROR(__xludf.DUMMYFUNCTION("""COMPUTED_VALUE"""),5)</f>
        <v>5</v>
      </c>
      <c r="AG75" s="4">
        <f ca="1">IFERROR(__xludf.DUMMYFUNCTION("""COMPUTED_VALUE"""),5)</f>
        <v>5</v>
      </c>
      <c r="AH75" s="4">
        <f ca="1">IFERROR(__xludf.DUMMYFUNCTION("""COMPUTED_VALUE"""),5)</f>
        <v>5</v>
      </c>
      <c r="AI75" s="4">
        <f ca="1">IFERROR(__xludf.DUMMYFUNCTION("""COMPUTED_VALUE"""),4)</f>
        <v>4</v>
      </c>
      <c r="AJ75" s="4">
        <f ca="1">IFERROR(__xludf.DUMMYFUNCTION("""COMPUTED_VALUE"""),5)</f>
        <v>5</v>
      </c>
      <c r="AK75" s="4">
        <f ca="1">IFERROR(__xludf.DUMMYFUNCTION("""COMPUTED_VALUE"""),4)</f>
        <v>4</v>
      </c>
      <c r="AL75" s="4">
        <f ca="1">IFERROR(__xludf.DUMMYFUNCTION("""COMPUTED_VALUE"""),4)</f>
        <v>4</v>
      </c>
      <c r="AM75" s="4">
        <f ca="1">IFERROR(__xludf.DUMMYFUNCTION("""COMPUTED_VALUE"""),4)</f>
        <v>4</v>
      </c>
      <c r="AN75" s="4">
        <f ca="1">IFERROR(__xludf.DUMMYFUNCTION("""COMPUTED_VALUE"""),5)</f>
        <v>5</v>
      </c>
      <c r="AO75" s="4">
        <f ca="1">IFERROR(__xludf.DUMMYFUNCTION("""COMPUTED_VALUE"""),3)</f>
        <v>3</v>
      </c>
      <c r="AP75" s="4">
        <f ca="1">IFERROR(__xludf.DUMMYFUNCTION("""COMPUTED_VALUE"""),4)</f>
        <v>4</v>
      </c>
      <c r="AQ75" s="4">
        <f ca="1">IFERROR(__xludf.DUMMYFUNCTION("""COMPUTED_VALUE"""),4)</f>
        <v>4</v>
      </c>
      <c r="AR75" s="4">
        <f ca="1">IFERROR(__xludf.DUMMYFUNCTION("""COMPUTED_VALUE"""),4)</f>
        <v>4</v>
      </c>
      <c r="AS75" s="4">
        <f ca="1">IFERROR(__xludf.DUMMYFUNCTION("""COMPUTED_VALUE"""),4)</f>
        <v>4</v>
      </c>
      <c r="AT75" s="4">
        <f ca="1">IFERROR(__xludf.DUMMYFUNCTION("""COMPUTED_VALUE"""),4)</f>
        <v>4</v>
      </c>
      <c r="AU75" s="4">
        <f ca="1">IFERROR(__xludf.DUMMYFUNCTION("""COMPUTED_VALUE"""),4)</f>
        <v>4</v>
      </c>
      <c r="AV75" s="4">
        <f ca="1">IFERROR(__xludf.DUMMYFUNCTION("""COMPUTED_VALUE"""),4)</f>
        <v>4</v>
      </c>
      <c r="AW75" s="4">
        <f ca="1">IFERROR(__xludf.DUMMYFUNCTION("""COMPUTED_VALUE"""),4)</f>
        <v>4</v>
      </c>
      <c r="AX75" s="4">
        <f ca="1">IFERROR(__xludf.DUMMYFUNCTION("""COMPUTED_VALUE"""),5)</f>
        <v>5</v>
      </c>
      <c r="AY75" s="4">
        <f ca="1">IFERROR(__xludf.DUMMYFUNCTION("""COMPUTED_VALUE"""),4)</f>
        <v>4</v>
      </c>
      <c r="AZ75" s="4">
        <f ca="1">IFERROR(__xludf.DUMMYFUNCTION("""COMPUTED_VALUE"""),4)</f>
        <v>4</v>
      </c>
      <c r="BA75" s="4">
        <f ca="1">IFERROR(__xludf.DUMMYFUNCTION("""COMPUTED_VALUE"""),5)</f>
        <v>5</v>
      </c>
      <c r="BB75" s="4">
        <f ca="1">IFERROR(__xludf.DUMMYFUNCTION("""COMPUTED_VALUE"""),4)</f>
        <v>4</v>
      </c>
      <c r="BC75" s="4">
        <f ca="1">IFERROR(__xludf.DUMMYFUNCTION("""COMPUTED_VALUE"""),4)</f>
        <v>4</v>
      </c>
      <c r="BD75" s="4">
        <f ca="1">IFERROR(__xludf.DUMMYFUNCTION("""COMPUTED_VALUE"""),4)</f>
        <v>4</v>
      </c>
      <c r="BE75" s="4">
        <f ca="1">IFERROR(__xludf.DUMMYFUNCTION("""COMPUTED_VALUE"""),3)</f>
        <v>3</v>
      </c>
      <c r="BF75" s="4">
        <f ca="1">IFERROR(__xludf.DUMMYFUNCTION("""COMPUTED_VALUE"""),3)</f>
        <v>3</v>
      </c>
      <c r="BG75" s="4">
        <f ca="1">IFERROR(__xludf.DUMMYFUNCTION("""COMPUTED_VALUE"""),3)</f>
        <v>3</v>
      </c>
      <c r="BH75" s="4">
        <f ca="1">IFERROR(__xludf.DUMMYFUNCTION("""COMPUTED_VALUE"""),4)</f>
        <v>4</v>
      </c>
      <c r="BI75" s="4">
        <f ca="1">IFERROR(__xludf.DUMMYFUNCTION("""COMPUTED_VALUE"""),5)</f>
        <v>5</v>
      </c>
      <c r="BJ75" s="4">
        <f ca="1">IFERROR(__xludf.DUMMYFUNCTION("""COMPUTED_VALUE"""),5)</f>
        <v>5</v>
      </c>
      <c r="BK75" s="4">
        <f ca="1">IFERROR(__xludf.DUMMYFUNCTION("""COMPUTED_VALUE"""),4)</f>
        <v>4</v>
      </c>
      <c r="BL75" s="4">
        <f ca="1">IFERROR(__xludf.DUMMYFUNCTION("""COMPUTED_VALUE"""),5)</f>
        <v>5</v>
      </c>
      <c r="BM75" s="4">
        <f ca="1">IFERROR(__xludf.DUMMYFUNCTION("""COMPUTED_VALUE"""),5)</f>
        <v>5</v>
      </c>
      <c r="BN75" s="4">
        <f ca="1">IFERROR(__xludf.DUMMYFUNCTION("""COMPUTED_VALUE"""),5)</f>
        <v>5</v>
      </c>
      <c r="BO75" s="4">
        <f ca="1">IFERROR(__xludf.DUMMYFUNCTION("""COMPUTED_VALUE"""),5)</f>
        <v>5</v>
      </c>
      <c r="BP75" s="4">
        <f ca="1">IFERROR(__xludf.DUMMYFUNCTION("""COMPUTED_VALUE"""),4)</f>
        <v>4</v>
      </c>
    </row>
    <row r="76" spans="1:68" ht="13.2" x14ac:dyDescent="0.25">
      <c r="A76" s="4" t="str">
        <f ca="1">IFERROR(__xludf.DUMMYFUNCTION("""COMPUTED_VALUE"""),"2_ABaOnudojshoyi7Ap11tOUFY4iv9J1MCaj-vM_dAQlkyqiRepg3VXIOsD-2VTMDB1A")</f>
        <v>2_ABaOnudojshoyi7Ap11tOUFY4iv9J1MCaj-vM_dAQlkyqiRepg3VXIOsD-2VTMDB1A</v>
      </c>
      <c r="B76" s="5">
        <f ca="1">IFERROR(__xludf.DUMMYFUNCTION("""COMPUTED_VALUE"""),45968.3847924768)</f>
        <v>45968.384792476798</v>
      </c>
      <c r="C76" s="4" t="str">
        <f ca="1">IFERROR(__xludf.DUMMYFUNCTION("""COMPUTED_VALUE"""),"Đoàn Ngọc Tuân")</f>
        <v>Đoàn Ngọc Tuân</v>
      </c>
      <c r="D76" s="4" t="str">
        <f ca="1">IFERROR(__xludf.DUMMYFUNCTION("""COMPUTED_VALUE"""),"Nam")</f>
        <v>Nam</v>
      </c>
      <c r="E76" s="4" t="str">
        <f ca="1">IFERROR(__xludf.DUMMYFUNCTION("""COMPUTED_VALUE"""),"Công ty TNHH Kiểm toán An Việt")</f>
        <v>Công ty TNHH Kiểm toán An Việt</v>
      </c>
      <c r="F76" s="4" t="str">
        <f ca="1">IFERROR(__xludf.DUMMYFUNCTION("""COMPUTED_VALUE"""),"Đại học, Chứng chỉ Kiểm toán viên")</f>
        <v>Đại học, Chứng chỉ Kiểm toán viên</v>
      </c>
      <c r="G76" s="4" t="str">
        <f ca="1">IFERROR(__xludf.DUMMYFUNCTION("""COMPUTED_VALUE"""),"Trên 5 đến 10 năm")</f>
        <v>Trên 5 đến 10 năm</v>
      </c>
      <c r="H76" s="4" t="str">
        <f ca="1">IFERROR(__xludf.DUMMYFUNCTION("""COMPUTED_VALUE"""),"Kiểm toán viên/Trưởng nhóm")</f>
        <v>Kiểm toán viên/Trưởng nhóm</v>
      </c>
      <c r="I76" s="4">
        <f ca="1">IFERROR(__xludf.DUMMYFUNCTION("""COMPUTED_VALUE"""),5)</f>
        <v>5</v>
      </c>
      <c r="J76" s="4">
        <f ca="1">IFERROR(__xludf.DUMMYFUNCTION("""COMPUTED_VALUE"""),5)</f>
        <v>5</v>
      </c>
      <c r="K76" s="4">
        <f ca="1">IFERROR(__xludf.DUMMYFUNCTION("""COMPUTED_VALUE"""),4)</f>
        <v>4</v>
      </c>
      <c r="L76" s="4">
        <f ca="1">IFERROR(__xludf.DUMMYFUNCTION("""COMPUTED_VALUE"""),4)</f>
        <v>4</v>
      </c>
      <c r="M76" s="4">
        <f ca="1">IFERROR(__xludf.DUMMYFUNCTION("""COMPUTED_VALUE"""),5)</f>
        <v>5</v>
      </c>
      <c r="N76" s="4">
        <f ca="1">IFERROR(__xludf.DUMMYFUNCTION("""COMPUTED_VALUE"""),4)</f>
        <v>4</v>
      </c>
      <c r="O76" s="4">
        <f ca="1">IFERROR(__xludf.DUMMYFUNCTION("""COMPUTED_VALUE"""),5)</f>
        <v>5</v>
      </c>
      <c r="P76" s="4">
        <f ca="1">IFERROR(__xludf.DUMMYFUNCTION("""COMPUTED_VALUE"""),5)</f>
        <v>5</v>
      </c>
      <c r="Q76" s="4">
        <f ca="1">IFERROR(__xludf.DUMMYFUNCTION("""COMPUTED_VALUE"""),5)</f>
        <v>5</v>
      </c>
      <c r="R76" s="4">
        <f ca="1">IFERROR(__xludf.DUMMYFUNCTION("""COMPUTED_VALUE"""),5)</f>
        <v>5</v>
      </c>
      <c r="S76" s="4">
        <f ca="1">IFERROR(__xludf.DUMMYFUNCTION("""COMPUTED_VALUE"""),5)</f>
        <v>5</v>
      </c>
      <c r="T76" s="4">
        <f ca="1">IFERROR(__xludf.DUMMYFUNCTION("""COMPUTED_VALUE"""),5)</f>
        <v>5</v>
      </c>
      <c r="U76" s="4">
        <f ca="1">IFERROR(__xludf.DUMMYFUNCTION("""COMPUTED_VALUE"""),5)</f>
        <v>5</v>
      </c>
      <c r="V76" s="4">
        <f ca="1">IFERROR(__xludf.DUMMYFUNCTION("""COMPUTED_VALUE"""),5)</f>
        <v>5</v>
      </c>
      <c r="W76" s="4">
        <f ca="1">IFERROR(__xludf.DUMMYFUNCTION("""COMPUTED_VALUE"""),4)</f>
        <v>4</v>
      </c>
      <c r="X76" s="4">
        <f ca="1">IFERROR(__xludf.DUMMYFUNCTION("""COMPUTED_VALUE"""),4)</f>
        <v>4</v>
      </c>
      <c r="Y76" s="4">
        <f ca="1">IFERROR(__xludf.DUMMYFUNCTION("""COMPUTED_VALUE"""),4)</f>
        <v>4</v>
      </c>
      <c r="Z76" s="4">
        <f ca="1">IFERROR(__xludf.DUMMYFUNCTION("""COMPUTED_VALUE"""),4)</f>
        <v>4</v>
      </c>
      <c r="AA76" s="4">
        <f ca="1">IFERROR(__xludf.DUMMYFUNCTION("""COMPUTED_VALUE"""),4)</f>
        <v>4</v>
      </c>
      <c r="AB76" s="4">
        <f ca="1">IFERROR(__xludf.DUMMYFUNCTION("""COMPUTED_VALUE"""),5)</f>
        <v>5</v>
      </c>
      <c r="AC76" s="4">
        <f ca="1">IFERROR(__xludf.DUMMYFUNCTION("""COMPUTED_VALUE"""),4)</f>
        <v>4</v>
      </c>
      <c r="AD76" s="4">
        <f ca="1">IFERROR(__xludf.DUMMYFUNCTION("""COMPUTED_VALUE"""),3)</f>
        <v>3</v>
      </c>
      <c r="AE76" s="4">
        <f ca="1">IFERROR(__xludf.DUMMYFUNCTION("""COMPUTED_VALUE"""),5)</f>
        <v>5</v>
      </c>
      <c r="AF76" s="4">
        <f ca="1">IFERROR(__xludf.DUMMYFUNCTION("""COMPUTED_VALUE"""),4)</f>
        <v>4</v>
      </c>
      <c r="AG76" s="4">
        <f ca="1">IFERROR(__xludf.DUMMYFUNCTION("""COMPUTED_VALUE"""),4)</f>
        <v>4</v>
      </c>
      <c r="AH76" s="4">
        <f ca="1">IFERROR(__xludf.DUMMYFUNCTION("""COMPUTED_VALUE"""),4)</f>
        <v>4</v>
      </c>
      <c r="AI76" s="4">
        <f ca="1">IFERROR(__xludf.DUMMYFUNCTION("""COMPUTED_VALUE"""),4)</f>
        <v>4</v>
      </c>
      <c r="AJ76" s="4">
        <f ca="1">IFERROR(__xludf.DUMMYFUNCTION("""COMPUTED_VALUE"""),5)</f>
        <v>5</v>
      </c>
      <c r="AK76" s="4">
        <f ca="1">IFERROR(__xludf.DUMMYFUNCTION("""COMPUTED_VALUE"""),5)</f>
        <v>5</v>
      </c>
      <c r="AL76" s="4">
        <f ca="1">IFERROR(__xludf.DUMMYFUNCTION("""COMPUTED_VALUE"""),5)</f>
        <v>5</v>
      </c>
      <c r="AM76" s="4">
        <f ca="1">IFERROR(__xludf.DUMMYFUNCTION("""COMPUTED_VALUE"""),5)</f>
        <v>5</v>
      </c>
      <c r="AN76" s="4">
        <f ca="1">IFERROR(__xludf.DUMMYFUNCTION("""COMPUTED_VALUE"""),5)</f>
        <v>5</v>
      </c>
      <c r="AO76" s="4">
        <f ca="1">IFERROR(__xludf.DUMMYFUNCTION("""COMPUTED_VALUE"""),4)</f>
        <v>4</v>
      </c>
      <c r="AP76" s="4">
        <f ca="1">IFERROR(__xludf.DUMMYFUNCTION("""COMPUTED_VALUE"""),4)</f>
        <v>4</v>
      </c>
      <c r="AQ76" s="4">
        <f ca="1">IFERROR(__xludf.DUMMYFUNCTION("""COMPUTED_VALUE"""),4)</f>
        <v>4</v>
      </c>
      <c r="AR76" s="4">
        <f ca="1">IFERROR(__xludf.DUMMYFUNCTION("""COMPUTED_VALUE"""),4)</f>
        <v>4</v>
      </c>
      <c r="AS76" s="4">
        <f ca="1">IFERROR(__xludf.DUMMYFUNCTION("""COMPUTED_VALUE"""),4)</f>
        <v>4</v>
      </c>
      <c r="AT76" s="4">
        <f ca="1">IFERROR(__xludf.DUMMYFUNCTION("""COMPUTED_VALUE"""),4)</f>
        <v>4</v>
      </c>
      <c r="AU76" s="4">
        <f ca="1">IFERROR(__xludf.DUMMYFUNCTION("""COMPUTED_VALUE"""),4)</f>
        <v>4</v>
      </c>
      <c r="AV76" s="4">
        <f ca="1">IFERROR(__xludf.DUMMYFUNCTION("""COMPUTED_VALUE"""),4)</f>
        <v>4</v>
      </c>
      <c r="AW76" s="4">
        <f ca="1">IFERROR(__xludf.DUMMYFUNCTION("""COMPUTED_VALUE"""),4)</f>
        <v>4</v>
      </c>
      <c r="AX76" s="4">
        <f ca="1">IFERROR(__xludf.DUMMYFUNCTION("""COMPUTED_VALUE"""),5)</f>
        <v>5</v>
      </c>
      <c r="AY76" s="4">
        <f ca="1">IFERROR(__xludf.DUMMYFUNCTION("""COMPUTED_VALUE"""),5)</f>
        <v>5</v>
      </c>
      <c r="AZ76" s="4">
        <f ca="1">IFERROR(__xludf.DUMMYFUNCTION("""COMPUTED_VALUE"""),5)</f>
        <v>5</v>
      </c>
      <c r="BA76" s="4">
        <f ca="1">IFERROR(__xludf.DUMMYFUNCTION("""COMPUTED_VALUE"""),5)</f>
        <v>5</v>
      </c>
      <c r="BB76" s="4">
        <f ca="1">IFERROR(__xludf.DUMMYFUNCTION("""COMPUTED_VALUE"""),4)</f>
        <v>4</v>
      </c>
      <c r="BC76" s="4">
        <f ca="1">IFERROR(__xludf.DUMMYFUNCTION("""COMPUTED_VALUE"""),4)</f>
        <v>4</v>
      </c>
      <c r="BD76" s="4">
        <f ca="1">IFERROR(__xludf.DUMMYFUNCTION("""COMPUTED_VALUE"""),4)</f>
        <v>4</v>
      </c>
      <c r="BE76" s="4">
        <f ca="1">IFERROR(__xludf.DUMMYFUNCTION("""COMPUTED_VALUE"""),4)</f>
        <v>4</v>
      </c>
      <c r="BF76" s="4">
        <f ca="1">IFERROR(__xludf.DUMMYFUNCTION("""COMPUTED_VALUE"""),4)</f>
        <v>4</v>
      </c>
      <c r="BG76" s="4">
        <f ca="1">IFERROR(__xludf.DUMMYFUNCTION("""COMPUTED_VALUE"""),4)</f>
        <v>4</v>
      </c>
      <c r="BH76" s="4">
        <f ca="1">IFERROR(__xludf.DUMMYFUNCTION("""COMPUTED_VALUE"""),5)</f>
        <v>5</v>
      </c>
      <c r="BI76" s="4">
        <f ca="1">IFERROR(__xludf.DUMMYFUNCTION("""COMPUTED_VALUE"""),5)</f>
        <v>5</v>
      </c>
      <c r="BJ76" s="4">
        <f ca="1">IFERROR(__xludf.DUMMYFUNCTION("""COMPUTED_VALUE"""),5)</f>
        <v>5</v>
      </c>
      <c r="BK76" s="4">
        <f ca="1">IFERROR(__xludf.DUMMYFUNCTION("""COMPUTED_VALUE"""),5)</f>
        <v>5</v>
      </c>
      <c r="BL76" s="4">
        <f ca="1">IFERROR(__xludf.DUMMYFUNCTION("""COMPUTED_VALUE"""),5)</f>
        <v>5</v>
      </c>
      <c r="BM76" s="4">
        <f ca="1">IFERROR(__xludf.DUMMYFUNCTION("""COMPUTED_VALUE"""),5)</f>
        <v>5</v>
      </c>
      <c r="BN76" s="4">
        <f ca="1">IFERROR(__xludf.DUMMYFUNCTION("""COMPUTED_VALUE"""),5)</f>
        <v>5</v>
      </c>
      <c r="BO76" s="4">
        <f ca="1">IFERROR(__xludf.DUMMYFUNCTION("""COMPUTED_VALUE"""),4)</f>
        <v>4</v>
      </c>
      <c r="BP76" s="4">
        <f ca="1">IFERROR(__xludf.DUMMYFUNCTION("""COMPUTED_VALUE"""),4)</f>
        <v>4</v>
      </c>
    </row>
    <row r="77" spans="1:68" ht="13.2" x14ac:dyDescent="0.25">
      <c r="A77" s="4" t="str">
        <f ca="1">IFERROR(__xludf.DUMMYFUNCTION("""COMPUTED_VALUE"""),"2_ABaOnufdftoGc_2zW3XB8wDsRsPIMVf212nN22ed4RkxYVT2AtT4Ogm7JNy5aKEUYw")</f>
        <v>2_ABaOnufdftoGc_2zW3XB8wDsRsPIMVf212nN22ed4RkxYVT2AtT4Ogm7JNy5aKEUYw</v>
      </c>
      <c r="B77" s="5">
        <f ca="1">IFERROR(__xludf.DUMMYFUNCTION("""COMPUTED_VALUE"""),45968.3883226273)</f>
        <v>45968.388322627303</v>
      </c>
      <c r="C77" s="4" t="str">
        <f ca="1">IFERROR(__xludf.DUMMYFUNCTION("""COMPUTED_VALUE"""),"NGÔ VIỆT THANH")</f>
        <v>NGÔ VIỆT THANH</v>
      </c>
      <c r="D77" s="4" t="str">
        <f ca="1">IFERROR(__xludf.DUMMYFUNCTION("""COMPUTED_VALUE"""),"Nam")</f>
        <v>Nam</v>
      </c>
      <c r="E77" s="4" t="str">
        <f ca="1">IFERROR(__xludf.DUMMYFUNCTION("""COMPUTED_VALUE"""),"ANVIET CPA")</f>
        <v>ANVIET CPA</v>
      </c>
      <c r="F77" s="4" t="str">
        <f ca="1">IFERROR(__xludf.DUMMYFUNCTION("""COMPUTED_VALUE"""),"Sau đại học, Chứng chỉ Kiểm toán viên, CPA Australia, IAP")</f>
        <v>Sau đại học, Chứng chỉ Kiểm toán viên, CPA Australia, IAP</v>
      </c>
      <c r="G77" s="4" t="str">
        <f ca="1">IFERROR(__xludf.DUMMYFUNCTION("""COMPUTED_VALUE"""),"Trên 20 năm")</f>
        <v>Trên 20 năm</v>
      </c>
      <c r="H77" s="4" t="str">
        <f ca="1">IFERROR(__xludf.DUMMYFUNCTION("""COMPUTED_VALUE"""),"Ban giám đốc")</f>
        <v>Ban giám đốc</v>
      </c>
      <c r="I77" s="4">
        <f ca="1">IFERROR(__xludf.DUMMYFUNCTION("""COMPUTED_VALUE"""),5)</f>
        <v>5</v>
      </c>
      <c r="J77" s="4">
        <f ca="1">IFERROR(__xludf.DUMMYFUNCTION("""COMPUTED_VALUE"""),5)</f>
        <v>5</v>
      </c>
      <c r="K77" s="4">
        <f ca="1">IFERROR(__xludf.DUMMYFUNCTION("""COMPUTED_VALUE"""),5)</f>
        <v>5</v>
      </c>
      <c r="L77" s="4">
        <f ca="1">IFERROR(__xludf.DUMMYFUNCTION("""COMPUTED_VALUE"""),4)</f>
        <v>4</v>
      </c>
      <c r="M77" s="4">
        <f ca="1">IFERROR(__xludf.DUMMYFUNCTION("""COMPUTED_VALUE"""),5)</f>
        <v>5</v>
      </c>
      <c r="N77" s="4">
        <f ca="1">IFERROR(__xludf.DUMMYFUNCTION("""COMPUTED_VALUE"""),5)</f>
        <v>5</v>
      </c>
      <c r="O77" s="4">
        <f ca="1">IFERROR(__xludf.DUMMYFUNCTION("""COMPUTED_VALUE"""),5)</f>
        <v>5</v>
      </c>
      <c r="P77" s="4">
        <f ca="1">IFERROR(__xludf.DUMMYFUNCTION("""COMPUTED_VALUE"""),5)</f>
        <v>5</v>
      </c>
      <c r="Q77" s="4">
        <f ca="1">IFERROR(__xludf.DUMMYFUNCTION("""COMPUTED_VALUE"""),4)</f>
        <v>4</v>
      </c>
      <c r="R77" s="4">
        <f ca="1">IFERROR(__xludf.DUMMYFUNCTION("""COMPUTED_VALUE"""),5)</f>
        <v>5</v>
      </c>
      <c r="S77" s="4">
        <f ca="1">IFERROR(__xludf.DUMMYFUNCTION("""COMPUTED_VALUE"""),5)</f>
        <v>5</v>
      </c>
      <c r="T77" s="4">
        <f ca="1">IFERROR(__xludf.DUMMYFUNCTION("""COMPUTED_VALUE"""),5)</f>
        <v>5</v>
      </c>
      <c r="U77" s="4">
        <f ca="1">IFERROR(__xludf.DUMMYFUNCTION("""COMPUTED_VALUE"""),5)</f>
        <v>5</v>
      </c>
      <c r="V77" s="4">
        <f ca="1">IFERROR(__xludf.DUMMYFUNCTION("""COMPUTED_VALUE"""),5)</f>
        <v>5</v>
      </c>
      <c r="W77" s="4">
        <f ca="1">IFERROR(__xludf.DUMMYFUNCTION("""COMPUTED_VALUE"""),4)</f>
        <v>4</v>
      </c>
      <c r="X77" s="4">
        <f ca="1">IFERROR(__xludf.DUMMYFUNCTION("""COMPUTED_VALUE"""),4)</f>
        <v>4</v>
      </c>
      <c r="Y77" s="4">
        <f ca="1">IFERROR(__xludf.DUMMYFUNCTION("""COMPUTED_VALUE"""),3)</f>
        <v>3</v>
      </c>
      <c r="Z77" s="4">
        <f ca="1">IFERROR(__xludf.DUMMYFUNCTION("""COMPUTED_VALUE"""),4)</f>
        <v>4</v>
      </c>
      <c r="AA77" s="4">
        <f ca="1">IFERROR(__xludf.DUMMYFUNCTION("""COMPUTED_VALUE"""),5)</f>
        <v>5</v>
      </c>
      <c r="AB77" s="4">
        <f ca="1">IFERROR(__xludf.DUMMYFUNCTION("""COMPUTED_VALUE"""),5)</f>
        <v>5</v>
      </c>
      <c r="AC77" s="4">
        <f ca="1">IFERROR(__xludf.DUMMYFUNCTION("""COMPUTED_VALUE"""),5)</f>
        <v>5</v>
      </c>
      <c r="AD77" s="4">
        <f ca="1">IFERROR(__xludf.DUMMYFUNCTION("""COMPUTED_VALUE"""),4)</f>
        <v>4</v>
      </c>
      <c r="AE77" s="4">
        <f ca="1">IFERROR(__xludf.DUMMYFUNCTION("""COMPUTED_VALUE"""),5)</f>
        <v>5</v>
      </c>
      <c r="AF77" s="4">
        <f ca="1">IFERROR(__xludf.DUMMYFUNCTION("""COMPUTED_VALUE"""),5)</f>
        <v>5</v>
      </c>
      <c r="AG77" s="4">
        <f ca="1">IFERROR(__xludf.DUMMYFUNCTION("""COMPUTED_VALUE"""),5)</f>
        <v>5</v>
      </c>
      <c r="AH77" s="4">
        <f ca="1">IFERROR(__xludf.DUMMYFUNCTION("""COMPUTED_VALUE"""),5)</f>
        <v>5</v>
      </c>
      <c r="AI77" s="4">
        <f ca="1">IFERROR(__xludf.DUMMYFUNCTION("""COMPUTED_VALUE"""),5)</f>
        <v>5</v>
      </c>
      <c r="AJ77" s="4">
        <f ca="1">IFERROR(__xludf.DUMMYFUNCTION("""COMPUTED_VALUE"""),5)</f>
        <v>5</v>
      </c>
      <c r="AK77" s="4">
        <f ca="1">IFERROR(__xludf.DUMMYFUNCTION("""COMPUTED_VALUE"""),5)</f>
        <v>5</v>
      </c>
      <c r="AL77" s="4">
        <f ca="1">IFERROR(__xludf.DUMMYFUNCTION("""COMPUTED_VALUE"""),5)</f>
        <v>5</v>
      </c>
      <c r="AM77" s="4">
        <f ca="1">IFERROR(__xludf.DUMMYFUNCTION("""COMPUTED_VALUE"""),5)</f>
        <v>5</v>
      </c>
      <c r="AN77" s="4">
        <f ca="1">IFERROR(__xludf.DUMMYFUNCTION("""COMPUTED_VALUE"""),5)</f>
        <v>5</v>
      </c>
      <c r="AO77" s="4">
        <f ca="1">IFERROR(__xludf.DUMMYFUNCTION("""COMPUTED_VALUE"""),5)</f>
        <v>5</v>
      </c>
      <c r="AP77" s="4">
        <f ca="1">IFERROR(__xludf.DUMMYFUNCTION("""COMPUTED_VALUE"""),4)</f>
        <v>4</v>
      </c>
      <c r="AQ77" s="4">
        <f ca="1">IFERROR(__xludf.DUMMYFUNCTION("""COMPUTED_VALUE"""),5)</f>
        <v>5</v>
      </c>
      <c r="AR77" s="4">
        <f ca="1">IFERROR(__xludf.DUMMYFUNCTION("""COMPUTED_VALUE"""),5)</f>
        <v>5</v>
      </c>
      <c r="AS77" s="4">
        <f ca="1">IFERROR(__xludf.DUMMYFUNCTION("""COMPUTED_VALUE"""),5)</f>
        <v>5</v>
      </c>
      <c r="AT77" s="4">
        <f ca="1">IFERROR(__xludf.DUMMYFUNCTION("""COMPUTED_VALUE"""),4)</f>
        <v>4</v>
      </c>
      <c r="AU77" s="4">
        <f ca="1">IFERROR(__xludf.DUMMYFUNCTION("""COMPUTED_VALUE"""),5)</f>
        <v>5</v>
      </c>
      <c r="AV77" s="4">
        <f ca="1">IFERROR(__xludf.DUMMYFUNCTION("""COMPUTED_VALUE"""),5)</f>
        <v>5</v>
      </c>
      <c r="AW77" s="4">
        <f ca="1">IFERROR(__xludf.DUMMYFUNCTION("""COMPUTED_VALUE"""),5)</f>
        <v>5</v>
      </c>
      <c r="AX77" s="4">
        <f ca="1">IFERROR(__xludf.DUMMYFUNCTION("""COMPUTED_VALUE"""),5)</f>
        <v>5</v>
      </c>
      <c r="AY77" s="4">
        <f ca="1">IFERROR(__xludf.DUMMYFUNCTION("""COMPUTED_VALUE"""),5)</f>
        <v>5</v>
      </c>
      <c r="AZ77" s="4">
        <f ca="1">IFERROR(__xludf.DUMMYFUNCTION("""COMPUTED_VALUE"""),5)</f>
        <v>5</v>
      </c>
      <c r="BA77" s="4">
        <f ca="1">IFERROR(__xludf.DUMMYFUNCTION("""COMPUTED_VALUE"""),5)</f>
        <v>5</v>
      </c>
      <c r="BB77" s="4">
        <f ca="1">IFERROR(__xludf.DUMMYFUNCTION("""COMPUTED_VALUE"""),4)</f>
        <v>4</v>
      </c>
      <c r="BC77" s="4">
        <f ca="1">IFERROR(__xludf.DUMMYFUNCTION("""COMPUTED_VALUE"""),4)</f>
        <v>4</v>
      </c>
      <c r="BD77" s="4">
        <f ca="1">IFERROR(__xludf.DUMMYFUNCTION("""COMPUTED_VALUE"""),4)</f>
        <v>4</v>
      </c>
      <c r="BE77" s="4">
        <f ca="1">IFERROR(__xludf.DUMMYFUNCTION("""COMPUTED_VALUE"""),4)</f>
        <v>4</v>
      </c>
      <c r="BF77" s="4">
        <f ca="1">IFERROR(__xludf.DUMMYFUNCTION("""COMPUTED_VALUE"""),5)</f>
        <v>5</v>
      </c>
      <c r="BG77" s="4">
        <f ca="1">IFERROR(__xludf.DUMMYFUNCTION("""COMPUTED_VALUE"""),4)</f>
        <v>4</v>
      </c>
      <c r="BH77" s="4">
        <f ca="1">IFERROR(__xludf.DUMMYFUNCTION("""COMPUTED_VALUE"""),4)</f>
        <v>4</v>
      </c>
      <c r="BI77" s="4">
        <f ca="1">IFERROR(__xludf.DUMMYFUNCTION("""COMPUTED_VALUE"""),4)</f>
        <v>4</v>
      </c>
      <c r="BJ77" s="4">
        <f ca="1">IFERROR(__xludf.DUMMYFUNCTION("""COMPUTED_VALUE"""),5)</f>
        <v>5</v>
      </c>
      <c r="BK77" s="4">
        <f ca="1">IFERROR(__xludf.DUMMYFUNCTION("""COMPUTED_VALUE"""),5)</f>
        <v>5</v>
      </c>
      <c r="BL77" s="4">
        <f ca="1">IFERROR(__xludf.DUMMYFUNCTION("""COMPUTED_VALUE"""),5)</f>
        <v>5</v>
      </c>
      <c r="BM77" s="4">
        <f ca="1">IFERROR(__xludf.DUMMYFUNCTION("""COMPUTED_VALUE"""),5)</f>
        <v>5</v>
      </c>
      <c r="BN77" s="4">
        <f ca="1">IFERROR(__xludf.DUMMYFUNCTION("""COMPUTED_VALUE"""),5)</f>
        <v>5</v>
      </c>
      <c r="BO77" s="4">
        <f ca="1">IFERROR(__xludf.DUMMYFUNCTION("""COMPUTED_VALUE"""),5)</f>
        <v>5</v>
      </c>
      <c r="BP77" s="4">
        <f ca="1">IFERROR(__xludf.DUMMYFUNCTION("""COMPUTED_VALUE"""),5)</f>
        <v>5</v>
      </c>
    </row>
    <row r="78" spans="1:68" ht="13.2" x14ac:dyDescent="0.25">
      <c r="A78" s="4" t="str">
        <f ca="1">IFERROR(__xludf.DUMMYFUNCTION("""COMPUTED_VALUE"""),"2_ABaOnucCobN7tIWtQTiREMc1W9OEO3ghmHhKJLNdWSwaUhUkQe2GimpTTMnDkXy1Fw")</f>
        <v>2_ABaOnucCobN7tIWtQTiREMc1W9OEO3ghmHhKJLNdWSwaUhUkQe2GimpTTMnDkXy1Fw</v>
      </c>
      <c r="B78" s="5">
        <f ca="1">IFERROR(__xludf.DUMMYFUNCTION("""COMPUTED_VALUE"""),45968.399578449)</f>
        <v>45968.399578449003</v>
      </c>
      <c r="C78" s="4" t="str">
        <f ca="1">IFERROR(__xludf.DUMMYFUNCTION("""COMPUTED_VALUE"""),"Nguyễn Thương")</f>
        <v>Nguyễn Thương</v>
      </c>
      <c r="D78" s="4" t="str">
        <f ca="1">IFERROR(__xludf.DUMMYFUNCTION("""COMPUTED_VALUE"""),"Nam")</f>
        <v>Nam</v>
      </c>
      <c r="E78" s="4" t="str">
        <f ca="1">IFERROR(__xludf.DUMMYFUNCTION("""COMPUTED_VALUE"""),"Công ty TNHH Kiểm toán An Việt")</f>
        <v>Công ty TNHH Kiểm toán An Việt</v>
      </c>
      <c r="F78" s="4" t="str">
        <f ca="1">IFERROR(__xludf.DUMMYFUNCTION("""COMPUTED_VALUE"""),"Đại học, Chứng chỉ Kiểm toán viên")</f>
        <v>Đại học, Chứng chỉ Kiểm toán viên</v>
      </c>
      <c r="G78" s="4" t="str">
        <f ca="1">IFERROR(__xludf.DUMMYFUNCTION("""COMPUTED_VALUE"""),"Trên 20 năm")</f>
        <v>Trên 20 năm</v>
      </c>
      <c r="H78" s="4" t="str">
        <f ca="1">IFERROR(__xludf.DUMMYFUNCTION("""COMPUTED_VALUE"""),"Ban giám đốc")</f>
        <v>Ban giám đốc</v>
      </c>
      <c r="I78" s="4">
        <f ca="1">IFERROR(__xludf.DUMMYFUNCTION("""COMPUTED_VALUE"""),4)</f>
        <v>4</v>
      </c>
      <c r="J78" s="4">
        <f ca="1">IFERROR(__xludf.DUMMYFUNCTION("""COMPUTED_VALUE"""),4)</f>
        <v>4</v>
      </c>
      <c r="K78" s="4">
        <f ca="1">IFERROR(__xludf.DUMMYFUNCTION("""COMPUTED_VALUE"""),4)</f>
        <v>4</v>
      </c>
      <c r="L78" s="4">
        <f ca="1">IFERROR(__xludf.DUMMYFUNCTION("""COMPUTED_VALUE"""),4)</f>
        <v>4</v>
      </c>
      <c r="M78" s="4">
        <f ca="1">IFERROR(__xludf.DUMMYFUNCTION("""COMPUTED_VALUE"""),4)</f>
        <v>4</v>
      </c>
      <c r="N78" s="4">
        <f ca="1">IFERROR(__xludf.DUMMYFUNCTION("""COMPUTED_VALUE"""),3)</f>
        <v>3</v>
      </c>
      <c r="O78" s="4">
        <f ca="1">IFERROR(__xludf.DUMMYFUNCTION("""COMPUTED_VALUE"""),4)</f>
        <v>4</v>
      </c>
      <c r="P78" s="4">
        <f ca="1">IFERROR(__xludf.DUMMYFUNCTION("""COMPUTED_VALUE"""),4)</f>
        <v>4</v>
      </c>
      <c r="Q78" s="4">
        <f ca="1">IFERROR(__xludf.DUMMYFUNCTION("""COMPUTED_VALUE"""),4)</f>
        <v>4</v>
      </c>
      <c r="R78" s="4">
        <f ca="1">IFERROR(__xludf.DUMMYFUNCTION("""COMPUTED_VALUE"""),4)</f>
        <v>4</v>
      </c>
      <c r="S78" s="4">
        <f ca="1">IFERROR(__xludf.DUMMYFUNCTION("""COMPUTED_VALUE"""),4)</f>
        <v>4</v>
      </c>
      <c r="T78" s="4">
        <f ca="1">IFERROR(__xludf.DUMMYFUNCTION("""COMPUTED_VALUE"""),4)</f>
        <v>4</v>
      </c>
      <c r="U78" s="4">
        <f ca="1">IFERROR(__xludf.DUMMYFUNCTION("""COMPUTED_VALUE"""),4)</f>
        <v>4</v>
      </c>
      <c r="V78" s="4">
        <f ca="1">IFERROR(__xludf.DUMMYFUNCTION("""COMPUTED_VALUE"""),4)</f>
        <v>4</v>
      </c>
      <c r="W78" s="4">
        <f ca="1">IFERROR(__xludf.DUMMYFUNCTION("""COMPUTED_VALUE"""),4)</f>
        <v>4</v>
      </c>
      <c r="X78" s="4">
        <f ca="1">IFERROR(__xludf.DUMMYFUNCTION("""COMPUTED_VALUE"""),4)</f>
        <v>4</v>
      </c>
      <c r="Y78" s="4">
        <f ca="1">IFERROR(__xludf.DUMMYFUNCTION("""COMPUTED_VALUE"""),4)</f>
        <v>4</v>
      </c>
      <c r="Z78" s="4">
        <f ca="1">IFERROR(__xludf.DUMMYFUNCTION("""COMPUTED_VALUE"""),4)</f>
        <v>4</v>
      </c>
      <c r="AA78" s="4">
        <f ca="1">IFERROR(__xludf.DUMMYFUNCTION("""COMPUTED_VALUE"""),4)</f>
        <v>4</v>
      </c>
      <c r="AB78" s="4">
        <f ca="1">IFERROR(__xludf.DUMMYFUNCTION("""COMPUTED_VALUE"""),4)</f>
        <v>4</v>
      </c>
      <c r="AC78" s="4">
        <f ca="1">IFERROR(__xludf.DUMMYFUNCTION("""COMPUTED_VALUE"""),4)</f>
        <v>4</v>
      </c>
      <c r="AD78" s="4">
        <f ca="1">IFERROR(__xludf.DUMMYFUNCTION("""COMPUTED_VALUE"""),4)</f>
        <v>4</v>
      </c>
      <c r="AE78" s="4">
        <f ca="1">IFERROR(__xludf.DUMMYFUNCTION("""COMPUTED_VALUE"""),5)</f>
        <v>5</v>
      </c>
      <c r="AF78" s="4">
        <f ca="1">IFERROR(__xludf.DUMMYFUNCTION("""COMPUTED_VALUE"""),4)</f>
        <v>4</v>
      </c>
      <c r="AG78" s="4">
        <f ca="1">IFERROR(__xludf.DUMMYFUNCTION("""COMPUTED_VALUE"""),4)</f>
        <v>4</v>
      </c>
      <c r="AH78" s="4">
        <f ca="1">IFERROR(__xludf.DUMMYFUNCTION("""COMPUTED_VALUE"""),4)</f>
        <v>4</v>
      </c>
      <c r="AI78" s="4">
        <f ca="1">IFERROR(__xludf.DUMMYFUNCTION("""COMPUTED_VALUE"""),4)</f>
        <v>4</v>
      </c>
      <c r="AJ78" s="4">
        <f ca="1">IFERROR(__xludf.DUMMYFUNCTION("""COMPUTED_VALUE"""),5)</f>
        <v>5</v>
      </c>
      <c r="AK78" s="4">
        <f ca="1">IFERROR(__xludf.DUMMYFUNCTION("""COMPUTED_VALUE"""),5)</f>
        <v>5</v>
      </c>
      <c r="AL78" s="4">
        <f ca="1">IFERROR(__xludf.DUMMYFUNCTION("""COMPUTED_VALUE"""),4)</f>
        <v>4</v>
      </c>
      <c r="AM78" s="4">
        <f ca="1">IFERROR(__xludf.DUMMYFUNCTION("""COMPUTED_VALUE"""),4)</f>
        <v>4</v>
      </c>
      <c r="AN78" s="4">
        <f ca="1">IFERROR(__xludf.DUMMYFUNCTION("""COMPUTED_VALUE"""),4)</f>
        <v>4</v>
      </c>
      <c r="AO78" s="4">
        <f ca="1">IFERROR(__xludf.DUMMYFUNCTION("""COMPUTED_VALUE"""),3)</f>
        <v>3</v>
      </c>
      <c r="AP78" s="4">
        <f ca="1">IFERROR(__xludf.DUMMYFUNCTION("""COMPUTED_VALUE"""),3)</f>
        <v>3</v>
      </c>
      <c r="AQ78" s="4">
        <f ca="1">IFERROR(__xludf.DUMMYFUNCTION("""COMPUTED_VALUE"""),4)</f>
        <v>4</v>
      </c>
      <c r="AR78" s="4">
        <f ca="1">IFERROR(__xludf.DUMMYFUNCTION("""COMPUTED_VALUE"""),4)</f>
        <v>4</v>
      </c>
      <c r="AS78" s="4">
        <f ca="1">IFERROR(__xludf.DUMMYFUNCTION("""COMPUTED_VALUE"""),4)</f>
        <v>4</v>
      </c>
      <c r="AT78" s="4">
        <f ca="1">IFERROR(__xludf.DUMMYFUNCTION("""COMPUTED_VALUE"""),4)</f>
        <v>4</v>
      </c>
      <c r="AU78" s="4">
        <f ca="1">IFERROR(__xludf.DUMMYFUNCTION("""COMPUTED_VALUE"""),4)</f>
        <v>4</v>
      </c>
      <c r="AV78" s="4">
        <f ca="1">IFERROR(__xludf.DUMMYFUNCTION("""COMPUTED_VALUE"""),4)</f>
        <v>4</v>
      </c>
      <c r="AW78" s="4">
        <f ca="1">IFERROR(__xludf.DUMMYFUNCTION("""COMPUTED_VALUE"""),4)</f>
        <v>4</v>
      </c>
      <c r="AX78" s="4">
        <f ca="1">IFERROR(__xludf.DUMMYFUNCTION("""COMPUTED_VALUE"""),4)</f>
        <v>4</v>
      </c>
      <c r="AY78" s="4">
        <f ca="1">IFERROR(__xludf.DUMMYFUNCTION("""COMPUTED_VALUE"""),4)</f>
        <v>4</v>
      </c>
      <c r="AZ78" s="4">
        <f ca="1">IFERROR(__xludf.DUMMYFUNCTION("""COMPUTED_VALUE"""),4)</f>
        <v>4</v>
      </c>
      <c r="BA78" s="4">
        <f ca="1">IFERROR(__xludf.DUMMYFUNCTION("""COMPUTED_VALUE"""),4)</f>
        <v>4</v>
      </c>
      <c r="BB78" s="4">
        <f ca="1">IFERROR(__xludf.DUMMYFUNCTION("""COMPUTED_VALUE"""),4)</f>
        <v>4</v>
      </c>
      <c r="BC78" s="4">
        <f ca="1">IFERROR(__xludf.DUMMYFUNCTION("""COMPUTED_VALUE"""),4)</f>
        <v>4</v>
      </c>
      <c r="BD78" s="4">
        <f ca="1">IFERROR(__xludf.DUMMYFUNCTION("""COMPUTED_VALUE"""),4)</f>
        <v>4</v>
      </c>
      <c r="BE78" s="4">
        <f ca="1">IFERROR(__xludf.DUMMYFUNCTION("""COMPUTED_VALUE"""),4)</f>
        <v>4</v>
      </c>
      <c r="BF78" s="4">
        <f ca="1">IFERROR(__xludf.DUMMYFUNCTION("""COMPUTED_VALUE"""),3)</f>
        <v>3</v>
      </c>
      <c r="BG78" s="4">
        <f ca="1">IFERROR(__xludf.DUMMYFUNCTION("""COMPUTED_VALUE"""),3)</f>
        <v>3</v>
      </c>
      <c r="BH78" s="4">
        <f ca="1">IFERROR(__xludf.DUMMYFUNCTION("""COMPUTED_VALUE"""),3)</f>
        <v>3</v>
      </c>
      <c r="BI78" s="4">
        <f ca="1">IFERROR(__xludf.DUMMYFUNCTION("""COMPUTED_VALUE"""),3)</f>
        <v>3</v>
      </c>
      <c r="BJ78" s="4">
        <f ca="1">IFERROR(__xludf.DUMMYFUNCTION("""COMPUTED_VALUE"""),3)</f>
        <v>3</v>
      </c>
      <c r="BK78" s="4">
        <f ca="1">IFERROR(__xludf.DUMMYFUNCTION("""COMPUTED_VALUE"""),4)</f>
        <v>4</v>
      </c>
      <c r="BL78" s="4">
        <f ca="1">IFERROR(__xludf.DUMMYFUNCTION("""COMPUTED_VALUE"""),4)</f>
        <v>4</v>
      </c>
      <c r="BM78" s="4">
        <f ca="1">IFERROR(__xludf.DUMMYFUNCTION("""COMPUTED_VALUE"""),4)</f>
        <v>4</v>
      </c>
      <c r="BN78" s="4">
        <f ca="1">IFERROR(__xludf.DUMMYFUNCTION("""COMPUTED_VALUE"""),4)</f>
        <v>4</v>
      </c>
      <c r="BO78" s="4">
        <f ca="1">IFERROR(__xludf.DUMMYFUNCTION("""COMPUTED_VALUE"""),4)</f>
        <v>4</v>
      </c>
      <c r="BP78" s="4">
        <f ca="1">IFERROR(__xludf.DUMMYFUNCTION("""COMPUTED_VALUE"""),4)</f>
        <v>4</v>
      </c>
    </row>
    <row r="79" spans="1:68" ht="13.2" x14ac:dyDescent="0.25">
      <c r="A79" s="4" t="str">
        <f ca="1">IFERROR(__xludf.DUMMYFUNCTION("""COMPUTED_VALUE"""),"2_ABaOnudb1Xfh5Bc7jX_mJbktXJlFukXCG8RxOJQGKbfsVIFHpATfFS4XHqsUH-H1Hg")</f>
        <v>2_ABaOnudb1Xfh5Bc7jX_mJbktXJlFukXCG8RxOJQGKbfsVIFHpATfFS4XHqsUH-H1Hg</v>
      </c>
      <c r="B79" s="5">
        <f ca="1">IFERROR(__xludf.DUMMYFUNCTION("""COMPUTED_VALUE"""),45968.4591505439)</f>
        <v>45968.459150543902</v>
      </c>
      <c r="C79" s="4" t="str">
        <f ca="1">IFERROR(__xludf.DUMMYFUNCTION("""COMPUTED_VALUE"""),"Nguyễn Thành Đức")</f>
        <v>Nguyễn Thành Đức</v>
      </c>
      <c r="D79" s="4" t="str">
        <f ca="1">IFERROR(__xludf.DUMMYFUNCTION("""COMPUTED_VALUE"""),"Nam")</f>
        <v>Nam</v>
      </c>
      <c r="E79" s="4" t="str">
        <f ca="1">IFERROR(__xludf.DUMMYFUNCTION("""COMPUTED_VALUE"""),"Công ty TNHH kiểm toán Thái Bình Dương")</f>
        <v>Công ty TNHH kiểm toán Thái Bình Dương</v>
      </c>
      <c r="F79" s="4" t="str">
        <f ca="1">IFERROR(__xludf.DUMMYFUNCTION("""COMPUTED_VALUE"""),"Đại học, Chứng chỉ Kiểm toán viên")</f>
        <v>Đại học, Chứng chỉ Kiểm toán viên</v>
      </c>
      <c r="G79" s="4" t="str">
        <f ca="1">IFERROR(__xludf.DUMMYFUNCTION("""COMPUTED_VALUE"""),"Trên 15 đến 20 năm")</f>
        <v>Trên 15 đến 20 năm</v>
      </c>
      <c r="H79" s="4" t="str">
        <f ca="1">IFERROR(__xludf.DUMMYFUNCTION("""COMPUTED_VALUE"""),"Ban giám đốc")</f>
        <v>Ban giám đốc</v>
      </c>
      <c r="I79" s="4">
        <f ca="1">IFERROR(__xludf.DUMMYFUNCTION("""COMPUTED_VALUE"""),5)</f>
        <v>5</v>
      </c>
      <c r="J79" s="4">
        <f ca="1">IFERROR(__xludf.DUMMYFUNCTION("""COMPUTED_VALUE"""),5)</f>
        <v>5</v>
      </c>
      <c r="K79" s="4">
        <f ca="1">IFERROR(__xludf.DUMMYFUNCTION("""COMPUTED_VALUE"""),4)</f>
        <v>4</v>
      </c>
      <c r="L79" s="4">
        <f ca="1">IFERROR(__xludf.DUMMYFUNCTION("""COMPUTED_VALUE"""),4)</f>
        <v>4</v>
      </c>
      <c r="M79" s="4">
        <f ca="1">IFERROR(__xludf.DUMMYFUNCTION("""COMPUTED_VALUE"""),5)</f>
        <v>5</v>
      </c>
      <c r="N79" s="4">
        <f ca="1">IFERROR(__xludf.DUMMYFUNCTION("""COMPUTED_VALUE"""),5)</f>
        <v>5</v>
      </c>
      <c r="O79" s="4">
        <f ca="1">IFERROR(__xludf.DUMMYFUNCTION("""COMPUTED_VALUE"""),5)</f>
        <v>5</v>
      </c>
      <c r="P79" s="4">
        <f ca="1">IFERROR(__xludf.DUMMYFUNCTION("""COMPUTED_VALUE"""),5)</f>
        <v>5</v>
      </c>
      <c r="Q79" s="4">
        <f ca="1">IFERROR(__xludf.DUMMYFUNCTION("""COMPUTED_VALUE"""),5)</f>
        <v>5</v>
      </c>
      <c r="R79" s="4">
        <f ca="1">IFERROR(__xludf.DUMMYFUNCTION("""COMPUTED_VALUE"""),5)</f>
        <v>5</v>
      </c>
      <c r="S79" s="4">
        <f ca="1">IFERROR(__xludf.DUMMYFUNCTION("""COMPUTED_VALUE"""),5)</f>
        <v>5</v>
      </c>
      <c r="T79" s="4">
        <f ca="1">IFERROR(__xludf.DUMMYFUNCTION("""COMPUTED_VALUE"""),5)</f>
        <v>5</v>
      </c>
      <c r="U79" s="4">
        <f ca="1">IFERROR(__xludf.DUMMYFUNCTION("""COMPUTED_VALUE"""),5)</f>
        <v>5</v>
      </c>
      <c r="V79" s="4">
        <f ca="1">IFERROR(__xludf.DUMMYFUNCTION("""COMPUTED_VALUE"""),5)</f>
        <v>5</v>
      </c>
      <c r="W79" s="4">
        <f ca="1">IFERROR(__xludf.DUMMYFUNCTION("""COMPUTED_VALUE"""),4)</f>
        <v>4</v>
      </c>
      <c r="X79" s="4">
        <f ca="1">IFERROR(__xludf.DUMMYFUNCTION("""COMPUTED_VALUE"""),4)</f>
        <v>4</v>
      </c>
      <c r="Y79" s="4">
        <f ca="1">IFERROR(__xludf.DUMMYFUNCTION("""COMPUTED_VALUE"""),4)</f>
        <v>4</v>
      </c>
      <c r="Z79" s="4">
        <f ca="1">IFERROR(__xludf.DUMMYFUNCTION("""COMPUTED_VALUE"""),4)</f>
        <v>4</v>
      </c>
      <c r="AA79" s="4">
        <f ca="1">IFERROR(__xludf.DUMMYFUNCTION("""COMPUTED_VALUE"""),4)</f>
        <v>4</v>
      </c>
      <c r="AB79" s="4">
        <f ca="1">IFERROR(__xludf.DUMMYFUNCTION("""COMPUTED_VALUE"""),4)</f>
        <v>4</v>
      </c>
      <c r="AC79" s="4">
        <f ca="1">IFERROR(__xludf.DUMMYFUNCTION("""COMPUTED_VALUE"""),4)</f>
        <v>4</v>
      </c>
      <c r="AD79" s="4">
        <f ca="1">IFERROR(__xludf.DUMMYFUNCTION("""COMPUTED_VALUE"""),4)</f>
        <v>4</v>
      </c>
      <c r="AE79" s="4">
        <f ca="1">IFERROR(__xludf.DUMMYFUNCTION("""COMPUTED_VALUE"""),4)</f>
        <v>4</v>
      </c>
      <c r="AF79" s="4">
        <f ca="1">IFERROR(__xludf.DUMMYFUNCTION("""COMPUTED_VALUE"""),5)</f>
        <v>5</v>
      </c>
      <c r="AG79" s="4">
        <f ca="1">IFERROR(__xludf.DUMMYFUNCTION("""COMPUTED_VALUE"""),5)</f>
        <v>5</v>
      </c>
      <c r="AH79" s="4">
        <f ca="1">IFERROR(__xludf.DUMMYFUNCTION("""COMPUTED_VALUE"""),5)</f>
        <v>5</v>
      </c>
      <c r="AI79" s="4">
        <f ca="1">IFERROR(__xludf.DUMMYFUNCTION("""COMPUTED_VALUE"""),5)</f>
        <v>5</v>
      </c>
      <c r="AJ79" s="4">
        <f ca="1">IFERROR(__xludf.DUMMYFUNCTION("""COMPUTED_VALUE"""),4)</f>
        <v>4</v>
      </c>
      <c r="AK79" s="4">
        <f ca="1">IFERROR(__xludf.DUMMYFUNCTION("""COMPUTED_VALUE"""),4)</f>
        <v>4</v>
      </c>
      <c r="AL79" s="4">
        <f ca="1">IFERROR(__xludf.DUMMYFUNCTION("""COMPUTED_VALUE"""),4)</f>
        <v>4</v>
      </c>
      <c r="AM79" s="4">
        <f ca="1">IFERROR(__xludf.DUMMYFUNCTION("""COMPUTED_VALUE"""),4)</f>
        <v>4</v>
      </c>
      <c r="AN79" s="4">
        <f ca="1">IFERROR(__xludf.DUMMYFUNCTION("""COMPUTED_VALUE"""),4)</f>
        <v>4</v>
      </c>
      <c r="AO79" s="4">
        <f ca="1">IFERROR(__xludf.DUMMYFUNCTION("""COMPUTED_VALUE"""),4)</f>
        <v>4</v>
      </c>
      <c r="AP79" s="4">
        <f ca="1">IFERROR(__xludf.DUMMYFUNCTION("""COMPUTED_VALUE"""),4)</f>
        <v>4</v>
      </c>
      <c r="AQ79" s="4">
        <f ca="1">IFERROR(__xludf.DUMMYFUNCTION("""COMPUTED_VALUE"""),4)</f>
        <v>4</v>
      </c>
      <c r="AR79" s="4">
        <f ca="1">IFERROR(__xludf.DUMMYFUNCTION("""COMPUTED_VALUE"""),4)</f>
        <v>4</v>
      </c>
      <c r="AS79" s="4">
        <f ca="1">IFERROR(__xludf.DUMMYFUNCTION("""COMPUTED_VALUE"""),4)</f>
        <v>4</v>
      </c>
      <c r="AT79" s="4">
        <f ca="1">IFERROR(__xludf.DUMMYFUNCTION("""COMPUTED_VALUE"""),4)</f>
        <v>4</v>
      </c>
      <c r="AU79" s="4">
        <f ca="1">IFERROR(__xludf.DUMMYFUNCTION("""COMPUTED_VALUE"""),4)</f>
        <v>4</v>
      </c>
      <c r="AV79" s="4">
        <f ca="1">IFERROR(__xludf.DUMMYFUNCTION("""COMPUTED_VALUE"""),4)</f>
        <v>4</v>
      </c>
      <c r="AW79" s="4">
        <f ca="1">IFERROR(__xludf.DUMMYFUNCTION("""COMPUTED_VALUE"""),4)</f>
        <v>4</v>
      </c>
      <c r="AX79" s="4">
        <f ca="1">IFERROR(__xludf.DUMMYFUNCTION("""COMPUTED_VALUE"""),5)</f>
        <v>5</v>
      </c>
      <c r="AY79" s="4">
        <f ca="1">IFERROR(__xludf.DUMMYFUNCTION("""COMPUTED_VALUE"""),5)</f>
        <v>5</v>
      </c>
      <c r="AZ79" s="4">
        <f ca="1">IFERROR(__xludf.DUMMYFUNCTION("""COMPUTED_VALUE"""),5)</f>
        <v>5</v>
      </c>
      <c r="BA79" s="4">
        <f ca="1">IFERROR(__xludf.DUMMYFUNCTION("""COMPUTED_VALUE"""),5)</f>
        <v>5</v>
      </c>
      <c r="BB79" s="4">
        <f ca="1">IFERROR(__xludf.DUMMYFUNCTION("""COMPUTED_VALUE"""),5)</f>
        <v>5</v>
      </c>
      <c r="BC79" s="4">
        <f ca="1">IFERROR(__xludf.DUMMYFUNCTION("""COMPUTED_VALUE"""),5)</f>
        <v>5</v>
      </c>
      <c r="BD79" s="4">
        <f ca="1">IFERROR(__xludf.DUMMYFUNCTION("""COMPUTED_VALUE"""),5)</f>
        <v>5</v>
      </c>
      <c r="BE79" s="4">
        <f ca="1">IFERROR(__xludf.DUMMYFUNCTION("""COMPUTED_VALUE"""),5)</f>
        <v>5</v>
      </c>
      <c r="BF79" s="4">
        <f ca="1">IFERROR(__xludf.DUMMYFUNCTION("""COMPUTED_VALUE"""),5)</f>
        <v>5</v>
      </c>
      <c r="BG79" s="4">
        <f ca="1">IFERROR(__xludf.DUMMYFUNCTION("""COMPUTED_VALUE"""),5)</f>
        <v>5</v>
      </c>
      <c r="BH79" s="4">
        <f ca="1">IFERROR(__xludf.DUMMYFUNCTION("""COMPUTED_VALUE"""),5)</f>
        <v>5</v>
      </c>
      <c r="BI79" s="4">
        <f ca="1">IFERROR(__xludf.DUMMYFUNCTION("""COMPUTED_VALUE"""),5)</f>
        <v>5</v>
      </c>
      <c r="BJ79" s="4">
        <f ca="1">IFERROR(__xludf.DUMMYFUNCTION("""COMPUTED_VALUE"""),5)</f>
        <v>5</v>
      </c>
      <c r="BK79" s="4">
        <f ca="1">IFERROR(__xludf.DUMMYFUNCTION("""COMPUTED_VALUE"""),5)</f>
        <v>5</v>
      </c>
      <c r="BL79" s="4">
        <f ca="1">IFERROR(__xludf.DUMMYFUNCTION("""COMPUTED_VALUE"""),5)</f>
        <v>5</v>
      </c>
      <c r="BM79" s="4">
        <f ca="1">IFERROR(__xludf.DUMMYFUNCTION("""COMPUTED_VALUE"""),5)</f>
        <v>5</v>
      </c>
      <c r="BN79" s="4">
        <f ca="1">IFERROR(__xludf.DUMMYFUNCTION("""COMPUTED_VALUE"""),5)</f>
        <v>5</v>
      </c>
      <c r="BO79" s="4">
        <f ca="1">IFERROR(__xludf.DUMMYFUNCTION("""COMPUTED_VALUE"""),5)</f>
        <v>5</v>
      </c>
      <c r="BP79" s="4">
        <f ca="1">IFERROR(__xludf.DUMMYFUNCTION("""COMPUTED_VALUE"""),5)</f>
        <v>5</v>
      </c>
    </row>
    <row r="80" spans="1:68" ht="13.2" x14ac:dyDescent="0.25">
      <c r="A80" s="4" t="str">
        <f ca="1">IFERROR(__xludf.DUMMYFUNCTION("""COMPUTED_VALUE"""),"2_ABaOnueHmcn0Bnq5bOmPk-t7FVXHCp2BZ6BvBQZnlq4g1Nq2A2vGcGIfpmomxZjQHA")</f>
        <v>2_ABaOnueHmcn0Bnq5bOmPk-t7FVXHCp2BZ6BvBQZnlq4g1Nq2A2vGcGIfpmomxZjQHA</v>
      </c>
      <c r="B80" s="5">
        <f ca="1">IFERROR(__xludf.DUMMYFUNCTION("""COMPUTED_VALUE"""),45968.4868546296)</f>
        <v>45968.486854629598</v>
      </c>
      <c r="C80" s="4" t="str">
        <f ca="1">IFERROR(__xludf.DUMMYFUNCTION("""COMPUTED_VALUE"""),"Trần Thị Trang")</f>
        <v>Trần Thị Trang</v>
      </c>
      <c r="D80" s="4" t="str">
        <f ca="1">IFERROR(__xludf.DUMMYFUNCTION("""COMPUTED_VALUE"""),"Nữ")</f>
        <v>Nữ</v>
      </c>
      <c r="E80" s="4" t="str">
        <f ca="1">IFERROR(__xludf.DUMMYFUNCTION("""COMPUTED_VALUE"""),"Công ty TNHH Kiểm toán An Việt")</f>
        <v>Công ty TNHH Kiểm toán An Việt</v>
      </c>
      <c r="F80" s="4" t="str">
        <f ca="1">IFERROR(__xludf.DUMMYFUNCTION("""COMPUTED_VALUE"""),"Đại học, Chứng chỉ Kiểm toán viên")</f>
        <v>Đại học, Chứng chỉ Kiểm toán viên</v>
      </c>
      <c r="G80" s="4" t="str">
        <f ca="1">IFERROR(__xludf.DUMMYFUNCTION("""COMPUTED_VALUE"""),"Trên 15 đến 20 năm")</f>
        <v>Trên 15 đến 20 năm</v>
      </c>
      <c r="H80" s="4" t="str">
        <f ca="1">IFERROR(__xludf.DUMMYFUNCTION("""COMPUTED_VALUE"""),"Trưởng phòng")</f>
        <v>Trưởng phòng</v>
      </c>
      <c r="I80" s="4">
        <f ca="1">IFERROR(__xludf.DUMMYFUNCTION("""COMPUTED_VALUE"""),5)</f>
        <v>5</v>
      </c>
      <c r="J80" s="4">
        <f ca="1">IFERROR(__xludf.DUMMYFUNCTION("""COMPUTED_VALUE"""),5)</f>
        <v>5</v>
      </c>
      <c r="K80" s="4">
        <f ca="1">IFERROR(__xludf.DUMMYFUNCTION("""COMPUTED_VALUE"""),5)</f>
        <v>5</v>
      </c>
      <c r="L80" s="4">
        <f ca="1">IFERROR(__xludf.DUMMYFUNCTION("""COMPUTED_VALUE"""),5)</f>
        <v>5</v>
      </c>
      <c r="M80" s="4">
        <f ca="1">IFERROR(__xludf.DUMMYFUNCTION("""COMPUTED_VALUE"""),5)</f>
        <v>5</v>
      </c>
      <c r="N80" s="4">
        <f ca="1">IFERROR(__xludf.DUMMYFUNCTION("""COMPUTED_VALUE"""),3)</f>
        <v>3</v>
      </c>
      <c r="O80" s="4">
        <f ca="1">IFERROR(__xludf.DUMMYFUNCTION("""COMPUTED_VALUE"""),3)</f>
        <v>3</v>
      </c>
      <c r="P80" s="4">
        <f ca="1">IFERROR(__xludf.DUMMYFUNCTION("""COMPUTED_VALUE"""),5)</f>
        <v>5</v>
      </c>
      <c r="Q80" s="4">
        <f ca="1">IFERROR(__xludf.DUMMYFUNCTION("""COMPUTED_VALUE"""),5)</f>
        <v>5</v>
      </c>
      <c r="R80" s="4">
        <f ca="1">IFERROR(__xludf.DUMMYFUNCTION("""COMPUTED_VALUE"""),5)</f>
        <v>5</v>
      </c>
      <c r="S80" s="4">
        <f ca="1">IFERROR(__xludf.DUMMYFUNCTION("""COMPUTED_VALUE"""),5)</f>
        <v>5</v>
      </c>
      <c r="T80" s="4">
        <f ca="1">IFERROR(__xludf.DUMMYFUNCTION("""COMPUTED_VALUE"""),5)</f>
        <v>5</v>
      </c>
      <c r="U80" s="4">
        <f ca="1">IFERROR(__xludf.DUMMYFUNCTION("""COMPUTED_VALUE"""),5)</f>
        <v>5</v>
      </c>
      <c r="V80" s="4">
        <f ca="1">IFERROR(__xludf.DUMMYFUNCTION("""COMPUTED_VALUE"""),5)</f>
        <v>5</v>
      </c>
      <c r="W80" s="4">
        <f ca="1">IFERROR(__xludf.DUMMYFUNCTION("""COMPUTED_VALUE"""),5)</f>
        <v>5</v>
      </c>
      <c r="X80" s="4">
        <f ca="1">IFERROR(__xludf.DUMMYFUNCTION("""COMPUTED_VALUE"""),5)</f>
        <v>5</v>
      </c>
      <c r="Y80" s="4">
        <f ca="1">IFERROR(__xludf.DUMMYFUNCTION("""COMPUTED_VALUE"""),5)</f>
        <v>5</v>
      </c>
      <c r="Z80" s="4">
        <f ca="1">IFERROR(__xludf.DUMMYFUNCTION("""COMPUTED_VALUE"""),5)</f>
        <v>5</v>
      </c>
      <c r="AA80" s="4">
        <f ca="1">IFERROR(__xludf.DUMMYFUNCTION("""COMPUTED_VALUE"""),5)</f>
        <v>5</v>
      </c>
      <c r="AB80" s="4">
        <f ca="1">IFERROR(__xludf.DUMMYFUNCTION("""COMPUTED_VALUE"""),1)</f>
        <v>1</v>
      </c>
      <c r="AC80" s="4">
        <f ca="1">IFERROR(__xludf.DUMMYFUNCTION("""COMPUTED_VALUE"""),1)</f>
        <v>1</v>
      </c>
      <c r="AD80" s="4">
        <f ca="1">IFERROR(__xludf.DUMMYFUNCTION("""COMPUTED_VALUE"""),1)</f>
        <v>1</v>
      </c>
      <c r="AE80" s="4">
        <f ca="1">IFERROR(__xludf.DUMMYFUNCTION("""COMPUTED_VALUE"""),3)</f>
        <v>3</v>
      </c>
      <c r="AF80" s="4">
        <f ca="1">IFERROR(__xludf.DUMMYFUNCTION("""COMPUTED_VALUE"""),5)</f>
        <v>5</v>
      </c>
      <c r="AG80" s="4">
        <f ca="1">IFERROR(__xludf.DUMMYFUNCTION("""COMPUTED_VALUE"""),5)</f>
        <v>5</v>
      </c>
      <c r="AH80" s="4">
        <f ca="1">IFERROR(__xludf.DUMMYFUNCTION("""COMPUTED_VALUE"""),5)</f>
        <v>5</v>
      </c>
      <c r="AI80" s="4">
        <f ca="1">IFERROR(__xludf.DUMMYFUNCTION("""COMPUTED_VALUE"""),1)</f>
        <v>1</v>
      </c>
      <c r="AJ80" s="4">
        <f ca="1">IFERROR(__xludf.DUMMYFUNCTION("""COMPUTED_VALUE"""),5)</f>
        <v>5</v>
      </c>
      <c r="AK80" s="4">
        <f ca="1">IFERROR(__xludf.DUMMYFUNCTION("""COMPUTED_VALUE"""),5)</f>
        <v>5</v>
      </c>
      <c r="AL80" s="4">
        <f ca="1">IFERROR(__xludf.DUMMYFUNCTION("""COMPUTED_VALUE"""),5)</f>
        <v>5</v>
      </c>
      <c r="AM80" s="4">
        <f ca="1">IFERROR(__xludf.DUMMYFUNCTION("""COMPUTED_VALUE"""),5)</f>
        <v>5</v>
      </c>
      <c r="AN80" s="4">
        <f ca="1">IFERROR(__xludf.DUMMYFUNCTION("""COMPUTED_VALUE"""),5)</f>
        <v>5</v>
      </c>
      <c r="AO80" s="4">
        <f ca="1">IFERROR(__xludf.DUMMYFUNCTION("""COMPUTED_VALUE"""),3)</f>
        <v>3</v>
      </c>
      <c r="AP80" s="4">
        <f ca="1">IFERROR(__xludf.DUMMYFUNCTION("""COMPUTED_VALUE"""),3)</f>
        <v>3</v>
      </c>
      <c r="AQ80" s="4">
        <f ca="1">IFERROR(__xludf.DUMMYFUNCTION("""COMPUTED_VALUE"""),3)</f>
        <v>3</v>
      </c>
      <c r="AR80" s="4">
        <f ca="1">IFERROR(__xludf.DUMMYFUNCTION("""COMPUTED_VALUE"""),5)</f>
        <v>5</v>
      </c>
      <c r="AS80" s="4">
        <f ca="1">IFERROR(__xludf.DUMMYFUNCTION("""COMPUTED_VALUE"""),5)</f>
        <v>5</v>
      </c>
      <c r="AT80" s="4">
        <f ca="1">IFERROR(__xludf.DUMMYFUNCTION("""COMPUTED_VALUE"""),5)</f>
        <v>5</v>
      </c>
      <c r="AU80" s="4">
        <f ca="1">IFERROR(__xludf.DUMMYFUNCTION("""COMPUTED_VALUE"""),5)</f>
        <v>5</v>
      </c>
      <c r="AV80" s="4">
        <f ca="1">IFERROR(__xludf.DUMMYFUNCTION("""COMPUTED_VALUE"""),5)</f>
        <v>5</v>
      </c>
      <c r="AW80" s="4">
        <f ca="1">IFERROR(__xludf.DUMMYFUNCTION("""COMPUTED_VALUE"""),5)</f>
        <v>5</v>
      </c>
      <c r="AX80" s="4">
        <f ca="1">IFERROR(__xludf.DUMMYFUNCTION("""COMPUTED_VALUE"""),5)</f>
        <v>5</v>
      </c>
      <c r="AY80" s="4">
        <f ca="1">IFERROR(__xludf.DUMMYFUNCTION("""COMPUTED_VALUE"""),5)</f>
        <v>5</v>
      </c>
      <c r="AZ80" s="4">
        <f ca="1">IFERROR(__xludf.DUMMYFUNCTION("""COMPUTED_VALUE"""),5)</f>
        <v>5</v>
      </c>
      <c r="BA80" s="4">
        <f ca="1">IFERROR(__xludf.DUMMYFUNCTION("""COMPUTED_VALUE"""),5)</f>
        <v>5</v>
      </c>
      <c r="BB80" s="4">
        <f ca="1">IFERROR(__xludf.DUMMYFUNCTION("""COMPUTED_VALUE"""),5)</f>
        <v>5</v>
      </c>
      <c r="BC80" s="4">
        <f ca="1">IFERROR(__xludf.DUMMYFUNCTION("""COMPUTED_VALUE"""),1)</f>
        <v>1</v>
      </c>
      <c r="BD80" s="4">
        <f ca="1">IFERROR(__xludf.DUMMYFUNCTION("""COMPUTED_VALUE"""),3)</f>
        <v>3</v>
      </c>
      <c r="BE80" s="4">
        <f ca="1">IFERROR(__xludf.DUMMYFUNCTION("""COMPUTED_VALUE"""),3)</f>
        <v>3</v>
      </c>
      <c r="BF80" s="4">
        <f ca="1">IFERROR(__xludf.DUMMYFUNCTION("""COMPUTED_VALUE"""),3)</f>
        <v>3</v>
      </c>
      <c r="BG80" s="4">
        <f ca="1">IFERROR(__xludf.DUMMYFUNCTION("""COMPUTED_VALUE"""),1)</f>
        <v>1</v>
      </c>
      <c r="BH80" s="4">
        <f ca="1">IFERROR(__xludf.DUMMYFUNCTION("""COMPUTED_VALUE"""),5)</f>
        <v>5</v>
      </c>
      <c r="BI80" s="4">
        <f ca="1">IFERROR(__xludf.DUMMYFUNCTION("""COMPUTED_VALUE"""),5)</f>
        <v>5</v>
      </c>
      <c r="BJ80" s="4">
        <f ca="1">IFERROR(__xludf.DUMMYFUNCTION("""COMPUTED_VALUE"""),5)</f>
        <v>5</v>
      </c>
      <c r="BK80" s="4">
        <f ca="1">IFERROR(__xludf.DUMMYFUNCTION("""COMPUTED_VALUE"""),5)</f>
        <v>5</v>
      </c>
      <c r="BL80" s="4">
        <f ca="1">IFERROR(__xludf.DUMMYFUNCTION("""COMPUTED_VALUE"""),5)</f>
        <v>5</v>
      </c>
      <c r="BM80" s="4">
        <f ca="1">IFERROR(__xludf.DUMMYFUNCTION("""COMPUTED_VALUE"""),5)</f>
        <v>5</v>
      </c>
      <c r="BN80" s="4">
        <f ca="1">IFERROR(__xludf.DUMMYFUNCTION("""COMPUTED_VALUE"""),5)</f>
        <v>5</v>
      </c>
      <c r="BO80" s="4">
        <f ca="1">IFERROR(__xludf.DUMMYFUNCTION("""COMPUTED_VALUE"""),5)</f>
        <v>5</v>
      </c>
      <c r="BP80" s="4">
        <f ca="1">IFERROR(__xludf.DUMMYFUNCTION("""COMPUTED_VALUE"""),5)</f>
        <v>5</v>
      </c>
    </row>
    <row r="81" spans="1:68" ht="13.2" x14ac:dyDescent="0.25">
      <c r="A81" s="4" t="str">
        <f ca="1">IFERROR(__xludf.DUMMYFUNCTION("""COMPUTED_VALUE"""),"2_ABaOnuda5VZmzEAyuAezW196UclHKTBp1HpD582dVMjj01vc9hAwiLwdm99bmMf7uQ")</f>
        <v>2_ABaOnuda5VZmzEAyuAezW196UclHKTBp1HpD582dVMjj01vc9hAwiLwdm99bmMf7uQ</v>
      </c>
      <c r="B81" s="5">
        <f ca="1">IFERROR(__xludf.DUMMYFUNCTION("""COMPUTED_VALUE"""),45968.6186364351)</f>
        <v>45968.618636435102</v>
      </c>
      <c r="C81" s="4" t="str">
        <f ca="1">IFERROR(__xludf.DUMMYFUNCTION("""COMPUTED_VALUE"""),"Vương Nguyễn Quỳnh Như")</f>
        <v>Vương Nguyễn Quỳnh Như</v>
      </c>
      <c r="D81" s="4" t="str">
        <f ca="1">IFERROR(__xludf.DUMMYFUNCTION("""COMPUTED_VALUE"""),"Nữ")</f>
        <v>Nữ</v>
      </c>
      <c r="E81" s="4" t="str">
        <f ca="1">IFERROR(__xludf.DUMMYFUNCTION("""COMPUTED_VALUE"""),"Công ty TNHH Kiểm toán - Tư vấn Đất Việt")</f>
        <v>Công ty TNHH Kiểm toán - Tư vấn Đất Việt</v>
      </c>
      <c r="F81" s="4" t="str">
        <f ca="1">IFERROR(__xludf.DUMMYFUNCTION("""COMPUTED_VALUE"""),"Đại học, Chứng chỉ Kiểm toán viên")</f>
        <v>Đại học, Chứng chỉ Kiểm toán viên</v>
      </c>
      <c r="G81" s="4" t="str">
        <f ca="1">IFERROR(__xludf.DUMMYFUNCTION("""COMPUTED_VALUE"""),"Trên 5 đến 10 năm")</f>
        <v>Trên 5 đến 10 năm</v>
      </c>
      <c r="H81" s="4" t="str">
        <f ca="1">IFERROR(__xludf.DUMMYFUNCTION("""COMPUTED_VALUE"""),"Kiểm toán viên/Trưởng nhóm")</f>
        <v>Kiểm toán viên/Trưởng nhóm</v>
      </c>
      <c r="I81" s="4">
        <f ca="1">IFERROR(__xludf.DUMMYFUNCTION("""COMPUTED_VALUE"""),5)</f>
        <v>5</v>
      </c>
      <c r="J81" s="4">
        <f ca="1">IFERROR(__xludf.DUMMYFUNCTION("""COMPUTED_VALUE"""),5)</f>
        <v>5</v>
      </c>
      <c r="K81" s="4">
        <f ca="1">IFERROR(__xludf.DUMMYFUNCTION("""COMPUTED_VALUE"""),5)</f>
        <v>5</v>
      </c>
      <c r="L81" s="4">
        <f ca="1">IFERROR(__xludf.DUMMYFUNCTION("""COMPUTED_VALUE"""),5)</f>
        <v>5</v>
      </c>
      <c r="M81" s="4">
        <f ca="1">IFERROR(__xludf.DUMMYFUNCTION("""COMPUTED_VALUE"""),5)</f>
        <v>5</v>
      </c>
      <c r="N81" s="4">
        <f ca="1">IFERROR(__xludf.DUMMYFUNCTION("""COMPUTED_VALUE"""),4)</f>
        <v>4</v>
      </c>
      <c r="O81" s="4">
        <f ca="1">IFERROR(__xludf.DUMMYFUNCTION("""COMPUTED_VALUE"""),4)</f>
        <v>4</v>
      </c>
      <c r="P81" s="4">
        <f ca="1">IFERROR(__xludf.DUMMYFUNCTION("""COMPUTED_VALUE"""),4)</f>
        <v>4</v>
      </c>
      <c r="Q81" s="4">
        <f ca="1">IFERROR(__xludf.DUMMYFUNCTION("""COMPUTED_VALUE"""),5)</f>
        <v>5</v>
      </c>
      <c r="R81" s="4">
        <f ca="1">IFERROR(__xludf.DUMMYFUNCTION("""COMPUTED_VALUE"""),5)</f>
        <v>5</v>
      </c>
      <c r="S81" s="4">
        <f ca="1">IFERROR(__xludf.DUMMYFUNCTION("""COMPUTED_VALUE"""),5)</f>
        <v>5</v>
      </c>
      <c r="T81" s="4">
        <f ca="1">IFERROR(__xludf.DUMMYFUNCTION("""COMPUTED_VALUE"""),5)</f>
        <v>5</v>
      </c>
      <c r="U81" s="4">
        <f ca="1">IFERROR(__xludf.DUMMYFUNCTION("""COMPUTED_VALUE"""),5)</f>
        <v>5</v>
      </c>
      <c r="V81" s="4">
        <f ca="1">IFERROR(__xludf.DUMMYFUNCTION("""COMPUTED_VALUE"""),5)</f>
        <v>5</v>
      </c>
      <c r="W81" s="4">
        <f ca="1">IFERROR(__xludf.DUMMYFUNCTION("""COMPUTED_VALUE"""),4)</f>
        <v>4</v>
      </c>
      <c r="X81" s="4">
        <f ca="1">IFERROR(__xludf.DUMMYFUNCTION("""COMPUTED_VALUE"""),4)</f>
        <v>4</v>
      </c>
      <c r="Y81" s="4">
        <f ca="1">IFERROR(__xludf.DUMMYFUNCTION("""COMPUTED_VALUE"""),4)</f>
        <v>4</v>
      </c>
      <c r="Z81" s="4">
        <f ca="1">IFERROR(__xludf.DUMMYFUNCTION("""COMPUTED_VALUE"""),5)</f>
        <v>5</v>
      </c>
      <c r="AA81" s="4">
        <f ca="1">IFERROR(__xludf.DUMMYFUNCTION("""COMPUTED_VALUE"""),5)</f>
        <v>5</v>
      </c>
      <c r="AB81" s="4">
        <f ca="1">IFERROR(__xludf.DUMMYFUNCTION("""COMPUTED_VALUE"""),4)</f>
        <v>4</v>
      </c>
      <c r="AC81" s="4">
        <f ca="1">IFERROR(__xludf.DUMMYFUNCTION("""COMPUTED_VALUE"""),4)</f>
        <v>4</v>
      </c>
      <c r="AD81" s="4">
        <f ca="1">IFERROR(__xludf.DUMMYFUNCTION("""COMPUTED_VALUE"""),2)</f>
        <v>2</v>
      </c>
      <c r="AE81" s="4">
        <f ca="1">IFERROR(__xludf.DUMMYFUNCTION("""COMPUTED_VALUE"""),4)</f>
        <v>4</v>
      </c>
      <c r="AF81" s="4">
        <f ca="1">IFERROR(__xludf.DUMMYFUNCTION("""COMPUTED_VALUE"""),5)</f>
        <v>5</v>
      </c>
      <c r="AG81" s="4">
        <f ca="1">IFERROR(__xludf.DUMMYFUNCTION("""COMPUTED_VALUE"""),5)</f>
        <v>5</v>
      </c>
      <c r="AH81" s="4">
        <f ca="1">IFERROR(__xludf.DUMMYFUNCTION("""COMPUTED_VALUE"""),5)</f>
        <v>5</v>
      </c>
      <c r="AI81" s="4">
        <f ca="1">IFERROR(__xludf.DUMMYFUNCTION("""COMPUTED_VALUE"""),3)</f>
        <v>3</v>
      </c>
      <c r="AJ81" s="4">
        <f ca="1">IFERROR(__xludf.DUMMYFUNCTION("""COMPUTED_VALUE"""),5)</f>
        <v>5</v>
      </c>
      <c r="AK81" s="4">
        <f ca="1">IFERROR(__xludf.DUMMYFUNCTION("""COMPUTED_VALUE"""),5)</f>
        <v>5</v>
      </c>
      <c r="AL81" s="4">
        <f ca="1">IFERROR(__xludf.DUMMYFUNCTION("""COMPUTED_VALUE"""),5)</f>
        <v>5</v>
      </c>
      <c r="AM81" s="4">
        <f ca="1">IFERROR(__xludf.DUMMYFUNCTION("""COMPUTED_VALUE"""),5)</f>
        <v>5</v>
      </c>
      <c r="AN81" s="4">
        <f ca="1">IFERROR(__xludf.DUMMYFUNCTION("""COMPUTED_VALUE"""),5)</f>
        <v>5</v>
      </c>
      <c r="AO81" s="4">
        <f ca="1">IFERROR(__xludf.DUMMYFUNCTION("""COMPUTED_VALUE"""),5)</f>
        <v>5</v>
      </c>
      <c r="AP81" s="4">
        <f ca="1">IFERROR(__xludf.DUMMYFUNCTION("""COMPUTED_VALUE"""),5)</f>
        <v>5</v>
      </c>
      <c r="AQ81" s="4">
        <f ca="1">IFERROR(__xludf.DUMMYFUNCTION("""COMPUTED_VALUE"""),4)</f>
        <v>4</v>
      </c>
      <c r="AR81" s="4">
        <f ca="1">IFERROR(__xludf.DUMMYFUNCTION("""COMPUTED_VALUE"""),5)</f>
        <v>5</v>
      </c>
      <c r="AS81" s="4">
        <f ca="1">IFERROR(__xludf.DUMMYFUNCTION("""COMPUTED_VALUE"""),5)</f>
        <v>5</v>
      </c>
      <c r="AT81" s="4">
        <f ca="1">IFERROR(__xludf.DUMMYFUNCTION("""COMPUTED_VALUE"""),4)</f>
        <v>4</v>
      </c>
      <c r="AU81" s="4">
        <f ca="1">IFERROR(__xludf.DUMMYFUNCTION("""COMPUTED_VALUE"""),4)</f>
        <v>4</v>
      </c>
      <c r="AV81" s="4">
        <f ca="1">IFERROR(__xludf.DUMMYFUNCTION("""COMPUTED_VALUE"""),5)</f>
        <v>5</v>
      </c>
      <c r="AW81" s="4">
        <f ca="1">IFERROR(__xludf.DUMMYFUNCTION("""COMPUTED_VALUE"""),4)</f>
        <v>4</v>
      </c>
      <c r="AX81" s="4">
        <f ca="1">IFERROR(__xludf.DUMMYFUNCTION("""COMPUTED_VALUE"""),5)</f>
        <v>5</v>
      </c>
      <c r="AY81" s="4">
        <f ca="1">IFERROR(__xludf.DUMMYFUNCTION("""COMPUTED_VALUE"""),5)</f>
        <v>5</v>
      </c>
      <c r="AZ81" s="4">
        <f ca="1">IFERROR(__xludf.DUMMYFUNCTION("""COMPUTED_VALUE"""),4)</f>
        <v>4</v>
      </c>
      <c r="BA81" s="4">
        <f ca="1">IFERROR(__xludf.DUMMYFUNCTION("""COMPUTED_VALUE"""),5)</f>
        <v>5</v>
      </c>
      <c r="BB81" s="4">
        <f ca="1">IFERROR(__xludf.DUMMYFUNCTION("""COMPUTED_VALUE"""),5)</f>
        <v>5</v>
      </c>
      <c r="BC81" s="4">
        <f ca="1">IFERROR(__xludf.DUMMYFUNCTION("""COMPUTED_VALUE"""),4)</f>
        <v>4</v>
      </c>
      <c r="BD81" s="4">
        <f ca="1">IFERROR(__xludf.DUMMYFUNCTION("""COMPUTED_VALUE"""),5)</f>
        <v>5</v>
      </c>
      <c r="BE81" s="4">
        <f ca="1">IFERROR(__xludf.DUMMYFUNCTION("""COMPUTED_VALUE"""),5)</f>
        <v>5</v>
      </c>
      <c r="BF81" s="4">
        <f ca="1">IFERROR(__xludf.DUMMYFUNCTION("""COMPUTED_VALUE"""),5)</f>
        <v>5</v>
      </c>
      <c r="BG81" s="4">
        <f ca="1">IFERROR(__xludf.DUMMYFUNCTION("""COMPUTED_VALUE"""),5)</f>
        <v>5</v>
      </c>
      <c r="BH81" s="4">
        <f ca="1">IFERROR(__xludf.DUMMYFUNCTION("""COMPUTED_VALUE"""),5)</f>
        <v>5</v>
      </c>
      <c r="BI81" s="4">
        <f ca="1">IFERROR(__xludf.DUMMYFUNCTION("""COMPUTED_VALUE"""),5)</f>
        <v>5</v>
      </c>
      <c r="BJ81" s="4">
        <f ca="1">IFERROR(__xludf.DUMMYFUNCTION("""COMPUTED_VALUE"""),5)</f>
        <v>5</v>
      </c>
      <c r="BK81" s="4">
        <f ca="1">IFERROR(__xludf.DUMMYFUNCTION("""COMPUTED_VALUE"""),5)</f>
        <v>5</v>
      </c>
      <c r="BL81" s="4">
        <f ca="1">IFERROR(__xludf.DUMMYFUNCTION("""COMPUTED_VALUE"""),4)</f>
        <v>4</v>
      </c>
      <c r="BM81" s="4">
        <f ca="1">IFERROR(__xludf.DUMMYFUNCTION("""COMPUTED_VALUE"""),5)</f>
        <v>5</v>
      </c>
      <c r="BN81" s="4">
        <f ca="1">IFERROR(__xludf.DUMMYFUNCTION("""COMPUTED_VALUE"""),5)</f>
        <v>5</v>
      </c>
      <c r="BO81" s="4">
        <f ca="1">IFERROR(__xludf.DUMMYFUNCTION("""COMPUTED_VALUE"""),4)</f>
        <v>4</v>
      </c>
      <c r="BP81" s="4">
        <f ca="1">IFERROR(__xludf.DUMMYFUNCTION("""COMPUTED_VALUE"""),4)</f>
        <v>4</v>
      </c>
    </row>
    <row r="82" spans="1:68" ht="13.2" x14ac:dyDescent="0.25">
      <c r="A82" s="4" t="str">
        <f ca="1">IFERROR(__xludf.DUMMYFUNCTION("""COMPUTED_VALUE"""),"2_ABaOnudgRQteq7g7ufFjhnXi1ZoSrqmAAfiyePCm4ZoMakwZnszcOd2-RvTp91gfjg")</f>
        <v>2_ABaOnudgRQteq7g7ufFjhnXi1ZoSrqmAAfiyePCm4ZoMakwZnszcOd2-RvTp91gfjg</v>
      </c>
      <c r="B82" s="5">
        <f ca="1">IFERROR(__xludf.DUMMYFUNCTION("""COMPUTED_VALUE"""),45968.6256459027)</f>
        <v>45968.625645902699</v>
      </c>
      <c r="C82" s="4" t="str">
        <f ca="1">IFERROR(__xludf.DUMMYFUNCTION("""COMPUTED_VALUE"""),"Nguyễn Minh Dũng")</f>
        <v>Nguyễn Minh Dũng</v>
      </c>
      <c r="D82" s="4" t="str">
        <f ca="1">IFERROR(__xludf.DUMMYFUNCTION("""COMPUTED_VALUE"""),"Nam")</f>
        <v>Nam</v>
      </c>
      <c r="E82" s="4" t="str">
        <f ca="1">IFERROR(__xludf.DUMMYFUNCTION("""COMPUTED_VALUE"""),"Kiểm toán Toàn Cầu")</f>
        <v>Kiểm toán Toàn Cầu</v>
      </c>
      <c r="F82" s="4" t="str">
        <f ca="1">IFERROR(__xludf.DUMMYFUNCTION("""COMPUTED_VALUE"""),"Đại học, Chứng chỉ Kiểm toán viên")</f>
        <v>Đại học, Chứng chỉ Kiểm toán viên</v>
      </c>
      <c r="G82" s="4" t="str">
        <f ca="1">IFERROR(__xludf.DUMMYFUNCTION("""COMPUTED_VALUE"""),"Trên 10 đến 15 năm")</f>
        <v>Trên 10 đến 15 năm</v>
      </c>
      <c r="H82" s="4" t="str">
        <f ca="1">IFERROR(__xludf.DUMMYFUNCTION("""COMPUTED_VALUE"""),"Kiểm toán viên/Trưởng nhóm")</f>
        <v>Kiểm toán viên/Trưởng nhóm</v>
      </c>
      <c r="I82" s="4">
        <f ca="1">IFERROR(__xludf.DUMMYFUNCTION("""COMPUTED_VALUE"""),5)</f>
        <v>5</v>
      </c>
      <c r="J82" s="4">
        <f ca="1">IFERROR(__xludf.DUMMYFUNCTION("""COMPUTED_VALUE"""),4)</f>
        <v>4</v>
      </c>
      <c r="K82" s="4">
        <f ca="1">IFERROR(__xludf.DUMMYFUNCTION("""COMPUTED_VALUE"""),4)</f>
        <v>4</v>
      </c>
      <c r="L82" s="4">
        <f ca="1">IFERROR(__xludf.DUMMYFUNCTION("""COMPUTED_VALUE"""),4)</f>
        <v>4</v>
      </c>
      <c r="M82" s="4">
        <f ca="1">IFERROR(__xludf.DUMMYFUNCTION("""COMPUTED_VALUE"""),4)</f>
        <v>4</v>
      </c>
      <c r="N82" s="4">
        <f ca="1">IFERROR(__xludf.DUMMYFUNCTION("""COMPUTED_VALUE"""),4)</f>
        <v>4</v>
      </c>
      <c r="O82" s="4">
        <f ca="1">IFERROR(__xludf.DUMMYFUNCTION("""COMPUTED_VALUE"""),3)</f>
        <v>3</v>
      </c>
      <c r="P82" s="4">
        <f ca="1">IFERROR(__xludf.DUMMYFUNCTION("""COMPUTED_VALUE"""),5)</f>
        <v>5</v>
      </c>
      <c r="Q82" s="4">
        <f ca="1">IFERROR(__xludf.DUMMYFUNCTION("""COMPUTED_VALUE"""),5)</f>
        <v>5</v>
      </c>
      <c r="R82" s="4">
        <f ca="1">IFERROR(__xludf.DUMMYFUNCTION("""COMPUTED_VALUE"""),5)</f>
        <v>5</v>
      </c>
      <c r="S82" s="4">
        <f ca="1">IFERROR(__xludf.DUMMYFUNCTION("""COMPUTED_VALUE"""),5)</f>
        <v>5</v>
      </c>
      <c r="T82" s="4">
        <f ca="1">IFERROR(__xludf.DUMMYFUNCTION("""COMPUTED_VALUE"""),5)</f>
        <v>5</v>
      </c>
      <c r="U82" s="4">
        <f ca="1">IFERROR(__xludf.DUMMYFUNCTION("""COMPUTED_VALUE"""),5)</f>
        <v>5</v>
      </c>
      <c r="V82" s="4">
        <f ca="1">IFERROR(__xludf.DUMMYFUNCTION("""COMPUTED_VALUE"""),5)</f>
        <v>5</v>
      </c>
      <c r="W82" s="4">
        <f ca="1">IFERROR(__xludf.DUMMYFUNCTION("""COMPUTED_VALUE"""),3)</f>
        <v>3</v>
      </c>
      <c r="X82" s="4">
        <f ca="1">IFERROR(__xludf.DUMMYFUNCTION("""COMPUTED_VALUE"""),3)</f>
        <v>3</v>
      </c>
      <c r="Y82" s="4">
        <f ca="1">IFERROR(__xludf.DUMMYFUNCTION("""COMPUTED_VALUE"""),3)</f>
        <v>3</v>
      </c>
      <c r="Z82" s="4">
        <f ca="1">IFERROR(__xludf.DUMMYFUNCTION("""COMPUTED_VALUE"""),3)</f>
        <v>3</v>
      </c>
      <c r="AA82" s="4">
        <f ca="1">IFERROR(__xludf.DUMMYFUNCTION("""COMPUTED_VALUE"""),5)</f>
        <v>5</v>
      </c>
      <c r="AB82" s="4">
        <f ca="1">IFERROR(__xludf.DUMMYFUNCTION("""COMPUTED_VALUE"""),5)</f>
        <v>5</v>
      </c>
      <c r="AC82" s="4">
        <f ca="1">IFERROR(__xludf.DUMMYFUNCTION("""COMPUTED_VALUE"""),4)</f>
        <v>4</v>
      </c>
      <c r="AD82" s="4">
        <f ca="1">IFERROR(__xludf.DUMMYFUNCTION("""COMPUTED_VALUE"""),4)</f>
        <v>4</v>
      </c>
      <c r="AE82" s="4">
        <f ca="1">IFERROR(__xludf.DUMMYFUNCTION("""COMPUTED_VALUE"""),5)</f>
        <v>5</v>
      </c>
      <c r="AF82" s="4">
        <f ca="1">IFERROR(__xludf.DUMMYFUNCTION("""COMPUTED_VALUE"""),5)</f>
        <v>5</v>
      </c>
      <c r="AG82" s="4">
        <f ca="1">IFERROR(__xludf.DUMMYFUNCTION("""COMPUTED_VALUE"""),5)</f>
        <v>5</v>
      </c>
      <c r="AH82" s="4">
        <f ca="1">IFERROR(__xludf.DUMMYFUNCTION("""COMPUTED_VALUE"""),5)</f>
        <v>5</v>
      </c>
      <c r="AI82" s="4">
        <f ca="1">IFERROR(__xludf.DUMMYFUNCTION("""COMPUTED_VALUE"""),5)</f>
        <v>5</v>
      </c>
      <c r="AJ82" s="4">
        <f ca="1">IFERROR(__xludf.DUMMYFUNCTION("""COMPUTED_VALUE"""),3)</f>
        <v>3</v>
      </c>
      <c r="AK82" s="4">
        <f ca="1">IFERROR(__xludf.DUMMYFUNCTION("""COMPUTED_VALUE"""),3)</f>
        <v>3</v>
      </c>
      <c r="AL82" s="4">
        <f ca="1">IFERROR(__xludf.DUMMYFUNCTION("""COMPUTED_VALUE"""),3)</f>
        <v>3</v>
      </c>
      <c r="AM82" s="4">
        <f ca="1">IFERROR(__xludf.DUMMYFUNCTION("""COMPUTED_VALUE"""),3)</f>
        <v>3</v>
      </c>
      <c r="AN82" s="4">
        <f ca="1">IFERROR(__xludf.DUMMYFUNCTION("""COMPUTED_VALUE"""),3)</f>
        <v>3</v>
      </c>
      <c r="AO82" s="4">
        <f ca="1">IFERROR(__xludf.DUMMYFUNCTION("""COMPUTED_VALUE"""),2)</f>
        <v>2</v>
      </c>
      <c r="AP82" s="4">
        <f ca="1">IFERROR(__xludf.DUMMYFUNCTION("""COMPUTED_VALUE"""),3)</f>
        <v>3</v>
      </c>
      <c r="AQ82" s="4">
        <f ca="1">IFERROR(__xludf.DUMMYFUNCTION("""COMPUTED_VALUE"""),3)</f>
        <v>3</v>
      </c>
      <c r="AR82" s="4">
        <f ca="1">IFERROR(__xludf.DUMMYFUNCTION("""COMPUTED_VALUE"""),3)</f>
        <v>3</v>
      </c>
      <c r="AS82" s="4">
        <f ca="1">IFERROR(__xludf.DUMMYFUNCTION("""COMPUTED_VALUE"""),4)</f>
        <v>4</v>
      </c>
      <c r="AT82" s="4">
        <f ca="1">IFERROR(__xludf.DUMMYFUNCTION("""COMPUTED_VALUE"""),5)</f>
        <v>5</v>
      </c>
      <c r="AU82" s="4">
        <f ca="1">IFERROR(__xludf.DUMMYFUNCTION("""COMPUTED_VALUE"""),4)</f>
        <v>4</v>
      </c>
      <c r="AV82" s="4">
        <f ca="1">IFERROR(__xludf.DUMMYFUNCTION("""COMPUTED_VALUE"""),3)</f>
        <v>3</v>
      </c>
      <c r="AW82" s="4">
        <f ca="1">IFERROR(__xludf.DUMMYFUNCTION("""COMPUTED_VALUE"""),3)</f>
        <v>3</v>
      </c>
      <c r="AX82" s="4">
        <f ca="1">IFERROR(__xludf.DUMMYFUNCTION("""COMPUTED_VALUE"""),5)</f>
        <v>5</v>
      </c>
      <c r="AY82" s="4">
        <f ca="1">IFERROR(__xludf.DUMMYFUNCTION("""COMPUTED_VALUE"""),5)</f>
        <v>5</v>
      </c>
      <c r="AZ82" s="4">
        <f ca="1">IFERROR(__xludf.DUMMYFUNCTION("""COMPUTED_VALUE"""),5)</f>
        <v>5</v>
      </c>
      <c r="BA82" s="4">
        <f ca="1">IFERROR(__xludf.DUMMYFUNCTION("""COMPUTED_VALUE"""),5)</f>
        <v>5</v>
      </c>
      <c r="BB82" s="4">
        <f ca="1">IFERROR(__xludf.DUMMYFUNCTION("""COMPUTED_VALUE"""),5)</f>
        <v>5</v>
      </c>
      <c r="BC82" s="4">
        <f ca="1">IFERROR(__xludf.DUMMYFUNCTION("""COMPUTED_VALUE"""),4)</f>
        <v>4</v>
      </c>
      <c r="BD82" s="4">
        <f ca="1">IFERROR(__xludf.DUMMYFUNCTION("""COMPUTED_VALUE"""),3)</f>
        <v>3</v>
      </c>
      <c r="BE82" s="4">
        <f ca="1">IFERROR(__xludf.DUMMYFUNCTION("""COMPUTED_VALUE"""),3)</f>
        <v>3</v>
      </c>
      <c r="BF82" s="4">
        <f ca="1">IFERROR(__xludf.DUMMYFUNCTION("""COMPUTED_VALUE"""),3)</f>
        <v>3</v>
      </c>
      <c r="BG82" s="4">
        <f ca="1">IFERROR(__xludf.DUMMYFUNCTION("""COMPUTED_VALUE"""),3)</f>
        <v>3</v>
      </c>
      <c r="BH82" s="4">
        <f ca="1">IFERROR(__xludf.DUMMYFUNCTION("""COMPUTED_VALUE"""),5)</f>
        <v>5</v>
      </c>
      <c r="BI82" s="4">
        <f ca="1">IFERROR(__xludf.DUMMYFUNCTION("""COMPUTED_VALUE"""),5)</f>
        <v>5</v>
      </c>
      <c r="BJ82" s="4">
        <f ca="1">IFERROR(__xludf.DUMMYFUNCTION("""COMPUTED_VALUE"""),5)</f>
        <v>5</v>
      </c>
      <c r="BK82" s="4">
        <f ca="1">IFERROR(__xludf.DUMMYFUNCTION("""COMPUTED_VALUE"""),4)</f>
        <v>4</v>
      </c>
      <c r="BL82" s="4">
        <f ca="1">IFERROR(__xludf.DUMMYFUNCTION("""COMPUTED_VALUE"""),1)</f>
        <v>1</v>
      </c>
      <c r="BM82" s="4">
        <f ca="1">IFERROR(__xludf.DUMMYFUNCTION("""COMPUTED_VALUE"""),3)</f>
        <v>3</v>
      </c>
      <c r="BN82" s="4">
        <f ca="1">IFERROR(__xludf.DUMMYFUNCTION("""COMPUTED_VALUE"""),4)</f>
        <v>4</v>
      </c>
      <c r="BO82" s="4">
        <f ca="1">IFERROR(__xludf.DUMMYFUNCTION("""COMPUTED_VALUE"""),5)</f>
        <v>5</v>
      </c>
      <c r="BP82" s="4">
        <f ca="1">IFERROR(__xludf.DUMMYFUNCTION("""COMPUTED_VALUE"""),4)</f>
        <v>4</v>
      </c>
    </row>
    <row r="83" spans="1:68" ht="13.2" x14ac:dyDescent="0.25">
      <c r="A83" s="4" t="str">
        <f ca="1">IFERROR(__xludf.DUMMYFUNCTION("""COMPUTED_VALUE"""),"2_ABaOnufZ5dxr6y_nVhZITPGObKt3DGdjq23q93n946w77IjESCQYKxWtEIvRbQirbw")</f>
        <v>2_ABaOnufZ5dxr6y_nVhZITPGObKt3DGdjq23q93n946w77IjESCQYKxWtEIvRbQirbw</v>
      </c>
      <c r="B83" s="5">
        <f ca="1">IFERROR(__xludf.DUMMYFUNCTION("""COMPUTED_VALUE"""),45968.6357120138)</f>
        <v>45968.635712013798</v>
      </c>
      <c r="C83" s="4" t="str">
        <f ca="1">IFERROR(__xludf.DUMMYFUNCTION("""COMPUTED_VALUE"""),"Lê Hải Ngân")</f>
        <v>Lê Hải Ngân</v>
      </c>
      <c r="D83" s="4" t="str">
        <f ca="1">IFERROR(__xludf.DUMMYFUNCTION("""COMPUTED_VALUE"""),"Nữ")</f>
        <v>Nữ</v>
      </c>
      <c r="E83" s="4" t="str">
        <f ca="1">IFERROR(__xludf.DUMMYFUNCTION("""COMPUTED_VALUE"""),"Công ty TNHH Kiểm toán DTH Việt Nam")</f>
        <v>Công ty TNHH Kiểm toán DTH Việt Nam</v>
      </c>
      <c r="F83" s="4" t="str">
        <f ca="1">IFERROR(__xludf.DUMMYFUNCTION("""COMPUTED_VALUE"""),"Đại học")</f>
        <v>Đại học</v>
      </c>
      <c r="G83" s="4" t="str">
        <f ca="1">IFERROR(__xludf.DUMMYFUNCTION("""COMPUTED_VALUE"""),"Từ 3 đến 5 năm")</f>
        <v>Từ 3 đến 5 năm</v>
      </c>
      <c r="H83" s="4" t="str">
        <f ca="1">IFERROR(__xludf.DUMMYFUNCTION("""COMPUTED_VALUE"""),"Trợ lý kiểm toán")</f>
        <v>Trợ lý kiểm toán</v>
      </c>
      <c r="I83" s="4">
        <f ca="1">IFERROR(__xludf.DUMMYFUNCTION("""COMPUTED_VALUE"""),5)</f>
        <v>5</v>
      </c>
      <c r="J83" s="4">
        <f ca="1">IFERROR(__xludf.DUMMYFUNCTION("""COMPUTED_VALUE"""),5)</f>
        <v>5</v>
      </c>
      <c r="K83" s="4">
        <f ca="1">IFERROR(__xludf.DUMMYFUNCTION("""COMPUTED_VALUE"""),5)</f>
        <v>5</v>
      </c>
      <c r="L83" s="4">
        <f ca="1">IFERROR(__xludf.DUMMYFUNCTION("""COMPUTED_VALUE"""),4)</f>
        <v>4</v>
      </c>
      <c r="M83" s="4">
        <f ca="1">IFERROR(__xludf.DUMMYFUNCTION("""COMPUTED_VALUE"""),5)</f>
        <v>5</v>
      </c>
      <c r="N83" s="4">
        <f ca="1">IFERROR(__xludf.DUMMYFUNCTION("""COMPUTED_VALUE"""),5)</f>
        <v>5</v>
      </c>
      <c r="O83" s="4">
        <f ca="1">IFERROR(__xludf.DUMMYFUNCTION("""COMPUTED_VALUE"""),5)</f>
        <v>5</v>
      </c>
      <c r="P83" s="4">
        <f ca="1">IFERROR(__xludf.DUMMYFUNCTION("""COMPUTED_VALUE"""),5)</f>
        <v>5</v>
      </c>
      <c r="Q83" s="4">
        <f ca="1">IFERROR(__xludf.DUMMYFUNCTION("""COMPUTED_VALUE"""),5)</f>
        <v>5</v>
      </c>
      <c r="R83" s="4">
        <f ca="1">IFERROR(__xludf.DUMMYFUNCTION("""COMPUTED_VALUE"""),5)</f>
        <v>5</v>
      </c>
      <c r="S83" s="4">
        <f ca="1">IFERROR(__xludf.DUMMYFUNCTION("""COMPUTED_VALUE"""),5)</f>
        <v>5</v>
      </c>
      <c r="T83" s="4">
        <f ca="1">IFERROR(__xludf.DUMMYFUNCTION("""COMPUTED_VALUE"""),5)</f>
        <v>5</v>
      </c>
      <c r="U83" s="4">
        <f ca="1">IFERROR(__xludf.DUMMYFUNCTION("""COMPUTED_VALUE"""),4)</f>
        <v>4</v>
      </c>
      <c r="V83" s="4">
        <f ca="1">IFERROR(__xludf.DUMMYFUNCTION("""COMPUTED_VALUE"""),4)</f>
        <v>4</v>
      </c>
      <c r="W83" s="4">
        <f ca="1">IFERROR(__xludf.DUMMYFUNCTION("""COMPUTED_VALUE"""),4)</f>
        <v>4</v>
      </c>
      <c r="X83" s="4">
        <f ca="1">IFERROR(__xludf.DUMMYFUNCTION("""COMPUTED_VALUE"""),4)</f>
        <v>4</v>
      </c>
      <c r="Y83" s="4">
        <f ca="1">IFERROR(__xludf.DUMMYFUNCTION("""COMPUTED_VALUE"""),4)</f>
        <v>4</v>
      </c>
      <c r="Z83" s="4">
        <f ca="1">IFERROR(__xludf.DUMMYFUNCTION("""COMPUTED_VALUE"""),5)</f>
        <v>5</v>
      </c>
      <c r="AA83" s="4">
        <f ca="1">IFERROR(__xludf.DUMMYFUNCTION("""COMPUTED_VALUE"""),5)</f>
        <v>5</v>
      </c>
      <c r="AB83" s="4">
        <f ca="1">IFERROR(__xludf.DUMMYFUNCTION("""COMPUTED_VALUE"""),3)</f>
        <v>3</v>
      </c>
      <c r="AC83" s="4">
        <f ca="1">IFERROR(__xludf.DUMMYFUNCTION("""COMPUTED_VALUE"""),4)</f>
        <v>4</v>
      </c>
      <c r="AD83" s="4">
        <f ca="1">IFERROR(__xludf.DUMMYFUNCTION("""COMPUTED_VALUE"""),3)</f>
        <v>3</v>
      </c>
      <c r="AE83" s="4">
        <f ca="1">IFERROR(__xludf.DUMMYFUNCTION("""COMPUTED_VALUE"""),4)</f>
        <v>4</v>
      </c>
      <c r="AF83" s="4">
        <f ca="1">IFERROR(__xludf.DUMMYFUNCTION("""COMPUTED_VALUE"""),5)</f>
        <v>5</v>
      </c>
      <c r="AG83" s="4">
        <f ca="1">IFERROR(__xludf.DUMMYFUNCTION("""COMPUTED_VALUE"""),4)</f>
        <v>4</v>
      </c>
      <c r="AH83" s="4">
        <f ca="1">IFERROR(__xludf.DUMMYFUNCTION("""COMPUTED_VALUE"""),4)</f>
        <v>4</v>
      </c>
      <c r="AI83" s="4">
        <f ca="1">IFERROR(__xludf.DUMMYFUNCTION("""COMPUTED_VALUE"""),4)</f>
        <v>4</v>
      </c>
      <c r="AJ83" s="4">
        <f ca="1">IFERROR(__xludf.DUMMYFUNCTION("""COMPUTED_VALUE"""),5)</f>
        <v>5</v>
      </c>
      <c r="AK83" s="4">
        <f ca="1">IFERROR(__xludf.DUMMYFUNCTION("""COMPUTED_VALUE"""),5)</f>
        <v>5</v>
      </c>
      <c r="AL83" s="4">
        <f ca="1">IFERROR(__xludf.DUMMYFUNCTION("""COMPUTED_VALUE"""),5)</f>
        <v>5</v>
      </c>
      <c r="AM83" s="4">
        <f ca="1">IFERROR(__xludf.DUMMYFUNCTION("""COMPUTED_VALUE"""),5)</f>
        <v>5</v>
      </c>
      <c r="AN83" s="4">
        <f ca="1">IFERROR(__xludf.DUMMYFUNCTION("""COMPUTED_VALUE"""),5)</f>
        <v>5</v>
      </c>
      <c r="AO83" s="4">
        <f ca="1">IFERROR(__xludf.DUMMYFUNCTION("""COMPUTED_VALUE"""),5)</f>
        <v>5</v>
      </c>
      <c r="AP83" s="4">
        <f ca="1">IFERROR(__xludf.DUMMYFUNCTION("""COMPUTED_VALUE"""),5)</f>
        <v>5</v>
      </c>
      <c r="AQ83" s="4">
        <f ca="1">IFERROR(__xludf.DUMMYFUNCTION("""COMPUTED_VALUE"""),5)</f>
        <v>5</v>
      </c>
      <c r="AR83" s="4">
        <f ca="1">IFERROR(__xludf.DUMMYFUNCTION("""COMPUTED_VALUE"""),4)</f>
        <v>4</v>
      </c>
      <c r="AS83" s="4">
        <f ca="1">IFERROR(__xludf.DUMMYFUNCTION("""COMPUTED_VALUE"""),4)</f>
        <v>4</v>
      </c>
      <c r="AT83" s="4">
        <f ca="1">IFERROR(__xludf.DUMMYFUNCTION("""COMPUTED_VALUE"""),2)</f>
        <v>2</v>
      </c>
      <c r="AU83" s="4">
        <f ca="1">IFERROR(__xludf.DUMMYFUNCTION("""COMPUTED_VALUE"""),4)</f>
        <v>4</v>
      </c>
      <c r="AV83" s="4">
        <f ca="1">IFERROR(__xludf.DUMMYFUNCTION("""COMPUTED_VALUE"""),4)</f>
        <v>4</v>
      </c>
      <c r="AW83" s="4">
        <f ca="1">IFERROR(__xludf.DUMMYFUNCTION("""COMPUTED_VALUE"""),5)</f>
        <v>5</v>
      </c>
      <c r="AX83" s="4">
        <f ca="1">IFERROR(__xludf.DUMMYFUNCTION("""COMPUTED_VALUE"""),5)</f>
        <v>5</v>
      </c>
      <c r="AY83" s="4">
        <f ca="1">IFERROR(__xludf.DUMMYFUNCTION("""COMPUTED_VALUE"""),5)</f>
        <v>5</v>
      </c>
      <c r="AZ83" s="4">
        <f ca="1">IFERROR(__xludf.DUMMYFUNCTION("""COMPUTED_VALUE"""),5)</f>
        <v>5</v>
      </c>
      <c r="BA83" s="4">
        <f ca="1">IFERROR(__xludf.DUMMYFUNCTION("""COMPUTED_VALUE"""),5)</f>
        <v>5</v>
      </c>
      <c r="BB83" s="4">
        <f ca="1">IFERROR(__xludf.DUMMYFUNCTION("""COMPUTED_VALUE"""),4)</f>
        <v>4</v>
      </c>
      <c r="BC83" s="4">
        <f ca="1">IFERROR(__xludf.DUMMYFUNCTION("""COMPUTED_VALUE"""),3)</f>
        <v>3</v>
      </c>
      <c r="BD83" s="4">
        <f ca="1">IFERROR(__xludf.DUMMYFUNCTION("""COMPUTED_VALUE"""),3)</f>
        <v>3</v>
      </c>
      <c r="BE83" s="4">
        <f ca="1">IFERROR(__xludf.DUMMYFUNCTION("""COMPUTED_VALUE"""),2)</f>
        <v>2</v>
      </c>
      <c r="BF83" s="4">
        <f ca="1">IFERROR(__xludf.DUMMYFUNCTION("""COMPUTED_VALUE"""),2)</f>
        <v>2</v>
      </c>
      <c r="BG83" s="4">
        <f ca="1">IFERROR(__xludf.DUMMYFUNCTION("""COMPUTED_VALUE"""),2)</f>
        <v>2</v>
      </c>
      <c r="BH83" s="4">
        <f ca="1">IFERROR(__xludf.DUMMYFUNCTION("""COMPUTED_VALUE"""),4)</f>
        <v>4</v>
      </c>
      <c r="BI83" s="4">
        <f ca="1">IFERROR(__xludf.DUMMYFUNCTION("""COMPUTED_VALUE"""),4)</f>
        <v>4</v>
      </c>
      <c r="BJ83" s="4">
        <f ca="1">IFERROR(__xludf.DUMMYFUNCTION("""COMPUTED_VALUE"""),5)</f>
        <v>5</v>
      </c>
      <c r="BK83" s="4">
        <f ca="1">IFERROR(__xludf.DUMMYFUNCTION("""COMPUTED_VALUE"""),5)</f>
        <v>5</v>
      </c>
      <c r="BL83" s="4">
        <f ca="1">IFERROR(__xludf.DUMMYFUNCTION("""COMPUTED_VALUE"""),5)</f>
        <v>5</v>
      </c>
      <c r="BM83" s="4">
        <f ca="1">IFERROR(__xludf.DUMMYFUNCTION("""COMPUTED_VALUE"""),5)</f>
        <v>5</v>
      </c>
      <c r="BN83" s="4">
        <f ca="1">IFERROR(__xludf.DUMMYFUNCTION("""COMPUTED_VALUE"""),5)</f>
        <v>5</v>
      </c>
      <c r="BO83" s="4">
        <f ca="1">IFERROR(__xludf.DUMMYFUNCTION("""COMPUTED_VALUE"""),5)</f>
        <v>5</v>
      </c>
      <c r="BP83" s="4">
        <f ca="1">IFERROR(__xludf.DUMMYFUNCTION("""COMPUTED_VALUE"""),5)</f>
        <v>5</v>
      </c>
    </row>
    <row r="84" spans="1:68" ht="13.2" x14ac:dyDescent="0.25">
      <c r="A84" s="4" t="str">
        <f ca="1">IFERROR(__xludf.DUMMYFUNCTION("""COMPUTED_VALUE"""),"2_ABaOnufWBhhMQH5a7zZUoBn67TC39q2dqLWc0id2TM6JKyoQjUXt92Tuknx1KGP58Q")</f>
        <v>2_ABaOnufWBhhMQH5a7zZUoBn67TC39q2dqLWc0id2TM6JKyoQjUXt92Tuknx1KGP58Q</v>
      </c>
      <c r="B84" s="5">
        <f ca="1">IFERROR(__xludf.DUMMYFUNCTION("""COMPUTED_VALUE"""),45968.6385461226)</f>
        <v>45968.638546122602</v>
      </c>
      <c r="C84" s="4" t="str">
        <f ca="1">IFERROR(__xludf.DUMMYFUNCTION("""COMPUTED_VALUE"""),"Nguyễn Thị Thủy")</f>
        <v>Nguyễn Thị Thủy</v>
      </c>
      <c r="D84" s="4" t="str">
        <f ca="1">IFERROR(__xludf.DUMMYFUNCTION("""COMPUTED_VALUE"""),"Nữ")</f>
        <v>Nữ</v>
      </c>
      <c r="E84" s="4" t="str">
        <f ca="1">IFERROR(__xludf.DUMMYFUNCTION("""COMPUTED_VALUE"""),"CN Công ty TNHH Kiểm toán và Tư vấn Chuẩn Việt")</f>
        <v>CN Công ty TNHH Kiểm toán và Tư vấn Chuẩn Việt</v>
      </c>
      <c r="F84" s="4" t="str">
        <f ca="1">IFERROR(__xludf.DUMMYFUNCTION("""COMPUTED_VALUE"""),"Đại học")</f>
        <v>Đại học</v>
      </c>
      <c r="G84" s="4" t="str">
        <f ca="1">IFERROR(__xludf.DUMMYFUNCTION("""COMPUTED_VALUE"""),"Trên 5 đến 10 năm")</f>
        <v>Trên 5 đến 10 năm</v>
      </c>
      <c r="H84" s="4" t="str">
        <f ca="1">IFERROR(__xludf.DUMMYFUNCTION("""COMPUTED_VALUE"""),"Kiểm toán viên/Trưởng nhóm")</f>
        <v>Kiểm toán viên/Trưởng nhóm</v>
      </c>
      <c r="I84" s="4">
        <f ca="1">IFERROR(__xludf.DUMMYFUNCTION("""COMPUTED_VALUE"""),5)</f>
        <v>5</v>
      </c>
      <c r="J84" s="4">
        <f ca="1">IFERROR(__xludf.DUMMYFUNCTION("""COMPUTED_VALUE"""),5)</f>
        <v>5</v>
      </c>
      <c r="K84" s="4">
        <f ca="1">IFERROR(__xludf.DUMMYFUNCTION("""COMPUTED_VALUE"""),5)</f>
        <v>5</v>
      </c>
      <c r="L84" s="4">
        <f ca="1">IFERROR(__xludf.DUMMYFUNCTION("""COMPUTED_VALUE"""),3)</f>
        <v>3</v>
      </c>
      <c r="M84" s="4">
        <f ca="1">IFERROR(__xludf.DUMMYFUNCTION("""COMPUTED_VALUE"""),4)</f>
        <v>4</v>
      </c>
      <c r="N84" s="4">
        <f ca="1">IFERROR(__xludf.DUMMYFUNCTION("""COMPUTED_VALUE"""),4)</f>
        <v>4</v>
      </c>
      <c r="O84" s="4">
        <f ca="1">IFERROR(__xludf.DUMMYFUNCTION("""COMPUTED_VALUE"""),5)</f>
        <v>5</v>
      </c>
      <c r="P84" s="4">
        <f ca="1">IFERROR(__xludf.DUMMYFUNCTION("""COMPUTED_VALUE"""),5)</f>
        <v>5</v>
      </c>
      <c r="Q84" s="4">
        <f ca="1">IFERROR(__xludf.DUMMYFUNCTION("""COMPUTED_VALUE"""),5)</f>
        <v>5</v>
      </c>
      <c r="R84" s="4">
        <f ca="1">IFERROR(__xludf.DUMMYFUNCTION("""COMPUTED_VALUE"""),5)</f>
        <v>5</v>
      </c>
      <c r="S84" s="4">
        <f ca="1">IFERROR(__xludf.DUMMYFUNCTION("""COMPUTED_VALUE"""),5)</f>
        <v>5</v>
      </c>
      <c r="T84" s="4">
        <f ca="1">IFERROR(__xludf.DUMMYFUNCTION("""COMPUTED_VALUE"""),5)</f>
        <v>5</v>
      </c>
      <c r="U84" s="4">
        <f ca="1">IFERROR(__xludf.DUMMYFUNCTION("""COMPUTED_VALUE"""),5)</f>
        <v>5</v>
      </c>
      <c r="V84" s="4">
        <f ca="1">IFERROR(__xludf.DUMMYFUNCTION("""COMPUTED_VALUE"""),5)</f>
        <v>5</v>
      </c>
      <c r="W84" s="4">
        <f ca="1">IFERROR(__xludf.DUMMYFUNCTION("""COMPUTED_VALUE"""),3)</f>
        <v>3</v>
      </c>
      <c r="X84" s="4">
        <f ca="1">IFERROR(__xludf.DUMMYFUNCTION("""COMPUTED_VALUE"""),3)</f>
        <v>3</v>
      </c>
      <c r="Y84" s="4">
        <f ca="1">IFERROR(__xludf.DUMMYFUNCTION("""COMPUTED_VALUE"""),3)</f>
        <v>3</v>
      </c>
      <c r="Z84" s="4">
        <f ca="1">IFERROR(__xludf.DUMMYFUNCTION("""COMPUTED_VALUE"""),2)</f>
        <v>2</v>
      </c>
      <c r="AA84" s="4">
        <f ca="1">IFERROR(__xludf.DUMMYFUNCTION("""COMPUTED_VALUE"""),5)</f>
        <v>5</v>
      </c>
      <c r="AB84" s="4">
        <f ca="1">IFERROR(__xludf.DUMMYFUNCTION("""COMPUTED_VALUE"""),5)</f>
        <v>5</v>
      </c>
      <c r="AC84" s="4">
        <f ca="1">IFERROR(__xludf.DUMMYFUNCTION("""COMPUTED_VALUE"""),3)</f>
        <v>3</v>
      </c>
      <c r="AD84" s="4">
        <f ca="1">IFERROR(__xludf.DUMMYFUNCTION("""COMPUTED_VALUE"""),4)</f>
        <v>4</v>
      </c>
      <c r="AE84" s="4">
        <f ca="1">IFERROR(__xludf.DUMMYFUNCTION("""COMPUTED_VALUE"""),5)</f>
        <v>5</v>
      </c>
      <c r="AF84" s="4">
        <f ca="1">IFERROR(__xludf.DUMMYFUNCTION("""COMPUTED_VALUE"""),4)</f>
        <v>4</v>
      </c>
      <c r="AG84" s="4">
        <f ca="1">IFERROR(__xludf.DUMMYFUNCTION("""COMPUTED_VALUE"""),4)</f>
        <v>4</v>
      </c>
      <c r="AH84" s="4">
        <f ca="1">IFERROR(__xludf.DUMMYFUNCTION("""COMPUTED_VALUE"""),4)</f>
        <v>4</v>
      </c>
      <c r="AI84" s="4">
        <f ca="1">IFERROR(__xludf.DUMMYFUNCTION("""COMPUTED_VALUE"""),3)</f>
        <v>3</v>
      </c>
      <c r="AJ84" s="4">
        <f ca="1">IFERROR(__xludf.DUMMYFUNCTION("""COMPUTED_VALUE"""),5)</f>
        <v>5</v>
      </c>
      <c r="AK84" s="4">
        <f ca="1">IFERROR(__xludf.DUMMYFUNCTION("""COMPUTED_VALUE"""),5)</f>
        <v>5</v>
      </c>
      <c r="AL84" s="4">
        <f ca="1">IFERROR(__xludf.DUMMYFUNCTION("""COMPUTED_VALUE"""),5)</f>
        <v>5</v>
      </c>
      <c r="AM84" s="4">
        <f ca="1">IFERROR(__xludf.DUMMYFUNCTION("""COMPUTED_VALUE"""),5)</f>
        <v>5</v>
      </c>
      <c r="AN84" s="4">
        <f ca="1">IFERROR(__xludf.DUMMYFUNCTION("""COMPUTED_VALUE"""),5)</f>
        <v>5</v>
      </c>
      <c r="AO84" s="4">
        <f ca="1">IFERROR(__xludf.DUMMYFUNCTION("""COMPUTED_VALUE"""),5)</f>
        <v>5</v>
      </c>
      <c r="AP84" s="4">
        <f ca="1">IFERROR(__xludf.DUMMYFUNCTION("""COMPUTED_VALUE"""),4)</f>
        <v>4</v>
      </c>
      <c r="AQ84" s="4">
        <f ca="1">IFERROR(__xludf.DUMMYFUNCTION("""COMPUTED_VALUE"""),4)</f>
        <v>4</v>
      </c>
      <c r="AR84" s="4">
        <f ca="1">IFERROR(__xludf.DUMMYFUNCTION("""COMPUTED_VALUE"""),5)</f>
        <v>5</v>
      </c>
      <c r="AS84" s="4">
        <f ca="1">IFERROR(__xludf.DUMMYFUNCTION("""COMPUTED_VALUE"""),5)</f>
        <v>5</v>
      </c>
      <c r="AT84" s="4">
        <f ca="1">IFERROR(__xludf.DUMMYFUNCTION("""COMPUTED_VALUE"""),3)</f>
        <v>3</v>
      </c>
      <c r="AU84" s="4">
        <f ca="1">IFERROR(__xludf.DUMMYFUNCTION("""COMPUTED_VALUE"""),4)</f>
        <v>4</v>
      </c>
      <c r="AV84" s="4">
        <f ca="1">IFERROR(__xludf.DUMMYFUNCTION("""COMPUTED_VALUE"""),4)</f>
        <v>4</v>
      </c>
      <c r="AW84" s="4">
        <f ca="1">IFERROR(__xludf.DUMMYFUNCTION("""COMPUTED_VALUE"""),5)</f>
        <v>5</v>
      </c>
      <c r="AX84" s="4">
        <f ca="1">IFERROR(__xludf.DUMMYFUNCTION("""COMPUTED_VALUE"""),5)</f>
        <v>5</v>
      </c>
      <c r="AY84" s="4">
        <f ca="1">IFERROR(__xludf.DUMMYFUNCTION("""COMPUTED_VALUE"""),5)</f>
        <v>5</v>
      </c>
      <c r="AZ84" s="4">
        <f ca="1">IFERROR(__xludf.DUMMYFUNCTION("""COMPUTED_VALUE"""),5)</f>
        <v>5</v>
      </c>
      <c r="BA84" s="4">
        <f ca="1">IFERROR(__xludf.DUMMYFUNCTION("""COMPUTED_VALUE"""),5)</f>
        <v>5</v>
      </c>
      <c r="BB84" s="4">
        <f ca="1">IFERROR(__xludf.DUMMYFUNCTION("""COMPUTED_VALUE"""),2)</f>
        <v>2</v>
      </c>
      <c r="BC84" s="4">
        <f ca="1">IFERROR(__xludf.DUMMYFUNCTION("""COMPUTED_VALUE"""),2)</f>
        <v>2</v>
      </c>
      <c r="BD84" s="4">
        <f ca="1">IFERROR(__xludf.DUMMYFUNCTION("""COMPUTED_VALUE"""),4)</f>
        <v>4</v>
      </c>
      <c r="BE84" s="4">
        <f ca="1">IFERROR(__xludf.DUMMYFUNCTION("""COMPUTED_VALUE"""),3)</f>
        <v>3</v>
      </c>
      <c r="BF84" s="4">
        <f ca="1">IFERROR(__xludf.DUMMYFUNCTION("""COMPUTED_VALUE"""),2)</f>
        <v>2</v>
      </c>
      <c r="BG84" s="4">
        <f ca="1">IFERROR(__xludf.DUMMYFUNCTION("""COMPUTED_VALUE"""),2)</f>
        <v>2</v>
      </c>
      <c r="BH84" s="4">
        <f ca="1">IFERROR(__xludf.DUMMYFUNCTION("""COMPUTED_VALUE"""),5)</f>
        <v>5</v>
      </c>
      <c r="BI84" s="4">
        <f ca="1">IFERROR(__xludf.DUMMYFUNCTION("""COMPUTED_VALUE"""),5)</f>
        <v>5</v>
      </c>
      <c r="BJ84" s="4">
        <f ca="1">IFERROR(__xludf.DUMMYFUNCTION("""COMPUTED_VALUE"""),5)</f>
        <v>5</v>
      </c>
      <c r="BK84" s="4">
        <f ca="1">IFERROR(__xludf.DUMMYFUNCTION("""COMPUTED_VALUE"""),5)</f>
        <v>5</v>
      </c>
      <c r="BL84" s="4">
        <f ca="1">IFERROR(__xludf.DUMMYFUNCTION("""COMPUTED_VALUE"""),5)</f>
        <v>5</v>
      </c>
      <c r="BM84" s="4">
        <f ca="1">IFERROR(__xludf.DUMMYFUNCTION("""COMPUTED_VALUE"""),5)</f>
        <v>5</v>
      </c>
      <c r="BN84" s="4">
        <f ca="1">IFERROR(__xludf.DUMMYFUNCTION("""COMPUTED_VALUE"""),5)</f>
        <v>5</v>
      </c>
      <c r="BO84" s="4">
        <f ca="1">IFERROR(__xludf.DUMMYFUNCTION("""COMPUTED_VALUE"""),5)</f>
        <v>5</v>
      </c>
      <c r="BP84" s="4">
        <f ca="1">IFERROR(__xludf.DUMMYFUNCTION("""COMPUTED_VALUE"""),5)</f>
        <v>5</v>
      </c>
    </row>
    <row r="85" spans="1:68" ht="13.2" x14ac:dyDescent="0.25">
      <c r="A85" s="4" t="str">
        <f ca="1">IFERROR(__xludf.DUMMYFUNCTION("""COMPUTED_VALUE"""),"2_ABaOnueN8pBtn1mc8wHe5047bAfnBkQHj9Lw4udiS8BAyE1f6w06myxeTA4mA-ziOQ")</f>
        <v>2_ABaOnueN8pBtn1mc8wHe5047bAfnBkQHj9Lw4udiS8BAyE1f6w06myxeTA4mA-ziOQ</v>
      </c>
      <c r="B85" s="5">
        <f ca="1">IFERROR(__xludf.DUMMYFUNCTION("""COMPUTED_VALUE"""),45968.6468695949)</f>
        <v>45968.646869594901</v>
      </c>
      <c r="C85" s="4" t="str">
        <f ca="1">IFERROR(__xludf.DUMMYFUNCTION("""COMPUTED_VALUE"""),"Nguyễn Thị Thái Khánh")</f>
        <v>Nguyễn Thị Thái Khánh</v>
      </c>
      <c r="D85" s="4" t="str">
        <f ca="1">IFERROR(__xludf.DUMMYFUNCTION("""COMPUTED_VALUE"""),"Nữ")</f>
        <v>Nữ</v>
      </c>
      <c r="E85" s="4" t="str">
        <f ca="1">IFERROR(__xludf.DUMMYFUNCTION("""COMPUTED_VALUE"""),"Công ty TNHH Kiểm toán FAC")</f>
        <v>Công ty TNHH Kiểm toán FAC</v>
      </c>
      <c r="F85" s="4" t="str">
        <f ca="1">IFERROR(__xludf.DUMMYFUNCTION("""COMPUTED_VALUE"""),"Đại học")</f>
        <v>Đại học</v>
      </c>
      <c r="G85" s="4" t="str">
        <f ca="1">IFERROR(__xludf.DUMMYFUNCTION("""COMPUTED_VALUE"""),"Trên 5 đến 10 năm")</f>
        <v>Trên 5 đến 10 năm</v>
      </c>
      <c r="H85" s="4" t="str">
        <f ca="1">IFERROR(__xludf.DUMMYFUNCTION("""COMPUTED_VALUE"""),"Trợ lý kiểm toán")</f>
        <v>Trợ lý kiểm toán</v>
      </c>
      <c r="I85" s="4">
        <f ca="1">IFERROR(__xludf.DUMMYFUNCTION("""COMPUTED_VALUE"""),5)</f>
        <v>5</v>
      </c>
      <c r="J85" s="4">
        <f ca="1">IFERROR(__xludf.DUMMYFUNCTION("""COMPUTED_VALUE"""),5)</f>
        <v>5</v>
      </c>
      <c r="K85" s="4">
        <f ca="1">IFERROR(__xludf.DUMMYFUNCTION("""COMPUTED_VALUE"""),4)</f>
        <v>4</v>
      </c>
      <c r="L85" s="4">
        <f ca="1">IFERROR(__xludf.DUMMYFUNCTION("""COMPUTED_VALUE"""),4)</f>
        <v>4</v>
      </c>
      <c r="M85" s="4">
        <f ca="1">IFERROR(__xludf.DUMMYFUNCTION("""COMPUTED_VALUE"""),4)</f>
        <v>4</v>
      </c>
      <c r="N85" s="4">
        <f ca="1">IFERROR(__xludf.DUMMYFUNCTION("""COMPUTED_VALUE"""),4)</f>
        <v>4</v>
      </c>
      <c r="O85" s="4">
        <f ca="1">IFERROR(__xludf.DUMMYFUNCTION("""COMPUTED_VALUE"""),4)</f>
        <v>4</v>
      </c>
      <c r="P85" s="4">
        <f ca="1">IFERROR(__xludf.DUMMYFUNCTION("""COMPUTED_VALUE"""),4)</f>
        <v>4</v>
      </c>
      <c r="Q85" s="4">
        <f ca="1">IFERROR(__xludf.DUMMYFUNCTION("""COMPUTED_VALUE"""),4)</f>
        <v>4</v>
      </c>
      <c r="R85" s="4">
        <f ca="1">IFERROR(__xludf.DUMMYFUNCTION("""COMPUTED_VALUE"""),5)</f>
        <v>5</v>
      </c>
      <c r="S85" s="4">
        <f ca="1">IFERROR(__xludf.DUMMYFUNCTION("""COMPUTED_VALUE"""),5)</f>
        <v>5</v>
      </c>
      <c r="T85" s="4">
        <f ca="1">IFERROR(__xludf.DUMMYFUNCTION("""COMPUTED_VALUE"""),5)</f>
        <v>5</v>
      </c>
      <c r="U85" s="4">
        <f ca="1">IFERROR(__xludf.DUMMYFUNCTION("""COMPUTED_VALUE"""),5)</f>
        <v>5</v>
      </c>
      <c r="V85" s="4">
        <f ca="1">IFERROR(__xludf.DUMMYFUNCTION("""COMPUTED_VALUE"""),5)</f>
        <v>5</v>
      </c>
      <c r="W85" s="4">
        <f ca="1">IFERROR(__xludf.DUMMYFUNCTION("""COMPUTED_VALUE"""),4)</f>
        <v>4</v>
      </c>
      <c r="X85" s="4">
        <f ca="1">IFERROR(__xludf.DUMMYFUNCTION("""COMPUTED_VALUE"""),4)</f>
        <v>4</v>
      </c>
      <c r="Y85" s="4">
        <f ca="1">IFERROR(__xludf.DUMMYFUNCTION("""COMPUTED_VALUE"""),4)</f>
        <v>4</v>
      </c>
      <c r="Z85" s="4">
        <f ca="1">IFERROR(__xludf.DUMMYFUNCTION("""COMPUTED_VALUE"""),4)</f>
        <v>4</v>
      </c>
      <c r="AA85" s="4">
        <f ca="1">IFERROR(__xludf.DUMMYFUNCTION("""COMPUTED_VALUE"""),4)</f>
        <v>4</v>
      </c>
      <c r="AB85" s="4">
        <f ca="1">IFERROR(__xludf.DUMMYFUNCTION("""COMPUTED_VALUE"""),5)</f>
        <v>5</v>
      </c>
      <c r="AC85" s="4">
        <f ca="1">IFERROR(__xludf.DUMMYFUNCTION("""COMPUTED_VALUE"""),4)</f>
        <v>4</v>
      </c>
      <c r="AD85" s="4">
        <f ca="1">IFERROR(__xludf.DUMMYFUNCTION("""COMPUTED_VALUE"""),5)</f>
        <v>5</v>
      </c>
      <c r="AE85" s="4">
        <f ca="1">IFERROR(__xludf.DUMMYFUNCTION("""COMPUTED_VALUE"""),5)</f>
        <v>5</v>
      </c>
      <c r="AF85" s="4">
        <f ca="1">IFERROR(__xludf.DUMMYFUNCTION("""COMPUTED_VALUE"""),4)</f>
        <v>4</v>
      </c>
      <c r="AG85" s="4">
        <f ca="1">IFERROR(__xludf.DUMMYFUNCTION("""COMPUTED_VALUE"""),4)</f>
        <v>4</v>
      </c>
      <c r="AH85" s="4">
        <f ca="1">IFERROR(__xludf.DUMMYFUNCTION("""COMPUTED_VALUE"""),4)</f>
        <v>4</v>
      </c>
      <c r="AI85" s="4">
        <f ca="1">IFERROR(__xludf.DUMMYFUNCTION("""COMPUTED_VALUE"""),4)</f>
        <v>4</v>
      </c>
      <c r="AJ85" s="4">
        <f ca="1">IFERROR(__xludf.DUMMYFUNCTION("""COMPUTED_VALUE"""),5)</f>
        <v>5</v>
      </c>
      <c r="AK85" s="4">
        <f ca="1">IFERROR(__xludf.DUMMYFUNCTION("""COMPUTED_VALUE"""),5)</f>
        <v>5</v>
      </c>
      <c r="AL85" s="4">
        <f ca="1">IFERROR(__xludf.DUMMYFUNCTION("""COMPUTED_VALUE"""),5)</f>
        <v>5</v>
      </c>
      <c r="AM85" s="4">
        <f ca="1">IFERROR(__xludf.DUMMYFUNCTION("""COMPUTED_VALUE"""),5)</f>
        <v>5</v>
      </c>
      <c r="AN85" s="4">
        <f ca="1">IFERROR(__xludf.DUMMYFUNCTION("""COMPUTED_VALUE"""),5)</f>
        <v>5</v>
      </c>
      <c r="AO85" s="4">
        <f ca="1">IFERROR(__xludf.DUMMYFUNCTION("""COMPUTED_VALUE"""),5)</f>
        <v>5</v>
      </c>
      <c r="AP85" s="4">
        <f ca="1">IFERROR(__xludf.DUMMYFUNCTION("""COMPUTED_VALUE"""),5)</f>
        <v>5</v>
      </c>
      <c r="AQ85" s="4">
        <f ca="1">IFERROR(__xludf.DUMMYFUNCTION("""COMPUTED_VALUE"""),5)</f>
        <v>5</v>
      </c>
      <c r="AR85" s="4">
        <f ca="1">IFERROR(__xludf.DUMMYFUNCTION("""COMPUTED_VALUE"""),5)</f>
        <v>5</v>
      </c>
      <c r="AS85" s="4">
        <f ca="1">IFERROR(__xludf.DUMMYFUNCTION("""COMPUTED_VALUE"""),5)</f>
        <v>5</v>
      </c>
      <c r="AT85" s="4">
        <f ca="1">IFERROR(__xludf.DUMMYFUNCTION("""COMPUTED_VALUE"""),4)</f>
        <v>4</v>
      </c>
      <c r="AU85" s="4">
        <f ca="1">IFERROR(__xludf.DUMMYFUNCTION("""COMPUTED_VALUE"""),4)</f>
        <v>4</v>
      </c>
      <c r="AV85" s="4">
        <f ca="1">IFERROR(__xludf.DUMMYFUNCTION("""COMPUTED_VALUE"""),4)</f>
        <v>4</v>
      </c>
      <c r="AW85" s="4">
        <f ca="1">IFERROR(__xludf.DUMMYFUNCTION("""COMPUTED_VALUE"""),5)</f>
        <v>5</v>
      </c>
      <c r="AX85" s="4">
        <f ca="1">IFERROR(__xludf.DUMMYFUNCTION("""COMPUTED_VALUE"""),5)</f>
        <v>5</v>
      </c>
      <c r="AY85" s="4">
        <f ca="1">IFERROR(__xludf.DUMMYFUNCTION("""COMPUTED_VALUE"""),5)</f>
        <v>5</v>
      </c>
      <c r="AZ85" s="4">
        <f ca="1">IFERROR(__xludf.DUMMYFUNCTION("""COMPUTED_VALUE"""),5)</f>
        <v>5</v>
      </c>
      <c r="BA85" s="4">
        <f ca="1">IFERROR(__xludf.DUMMYFUNCTION("""COMPUTED_VALUE"""),5)</f>
        <v>5</v>
      </c>
      <c r="BB85" s="4">
        <f ca="1">IFERROR(__xludf.DUMMYFUNCTION("""COMPUTED_VALUE"""),4)</f>
        <v>4</v>
      </c>
      <c r="BC85" s="4">
        <f ca="1">IFERROR(__xludf.DUMMYFUNCTION("""COMPUTED_VALUE"""),4)</f>
        <v>4</v>
      </c>
      <c r="BD85" s="4">
        <f ca="1">IFERROR(__xludf.DUMMYFUNCTION("""COMPUTED_VALUE"""),4)</f>
        <v>4</v>
      </c>
      <c r="BE85" s="4">
        <f ca="1">IFERROR(__xludf.DUMMYFUNCTION("""COMPUTED_VALUE"""),4)</f>
        <v>4</v>
      </c>
      <c r="BF85" s="4">
        <f ca="1">IFERROR(__xludf.DUMMYFUNCTION("""COMPUTED_VALUE"""),4)</f>
        <v>4</v>
      </c>
      <c r="BG85" s="4">
        <f ca="1">IFERROR(__xludf.DUMMYFUNCTION("""COMPUTED_VALUE"""),4)</f>
        <v>4</v>
      </c>
      <c r="BH85" s="4">
        <f ca="1">IFERROR(__xludf.DUMMYFUNCTION("""COMPUTED_VALUE"""),4)</f>
        <v>4</v>
      </c>
      <c r="BI85" s="4">
        <f ca="1">IFERROR(__xludf.DUMMYFUNCTION("""COMPUTED_VALUE"""),5)</f>
        <v>5</v>
      </c>
      <c r="BJ85" s="4">
        <f ca="1">IFERROR(__xludf.DUMMYFUNCTION("""COMPUTED_VALUE"""),5)</f>
        <v>5</v>
      </c>
      <c r="BK85" s="4">
        <f ca="1">IFERROR(__xludf.DUMMYFUNCTION("""COMPUTED_VALUE"""),5)</f>
        <v>5</v>
      </c>
      <c r="BL85" s="4">
        <f ca="1">IFERROR(__xludf.DUMMYFUNCTION("""COMPUTED_VALUE"""),5)</f>
        <v>5</v>
      </c>
      <c r="BM85" s="4">
        <f ca="1">IFERROR(__xludf.DUMMYFUNCTION("""COMPUTED_VALUE"""),5)</f>
        <v>5</v>
      </c>
      <c r="BN85" s="4">
        <f ca="1">IFERROR(__xludf.DUMMYFUNCTION("""COMPUTED_VALUE"""),5)</f>
        <v>5</v>
      </c>
      <c r="BO85" s="4">
        <f ca="1">IFERROR(__xludf.DUMMYFUNCTION("""COMPUTED_VALUE"""),5)</f>
        <v>5</v>
      </c>
      <c r="BP85" s="4">
        <f ca="1">IFERROR(__xludf.DUMMYFUNCTION("""COMPUTED_VALUE"""),5)</f>
        <v>5</v>
      </c>
    </row>
    <row r="86" spans="1:68" ht="13.2" x14ac:dyDescent="0.25">
      <c r="A86" s="4" t="str">
        <f ca="1">IFERROR(__xludf.DUMMYFUNCTION("""COMPUTED_VALUE"""),"2_ABaOnuefrS5GJRK7e7qzfyUnBHqy2nPmve6dNJqKALl0w-N789YGn_9gKXQ5YIefmw")</f>
        <v>2_ABaOnuefrS5GJRK7e7qzfyUnBHqy2nPmve6dNJqKALl0w-N789YGn_9gKXQ5YIefmw</v>
      </c>
      <c r="B86" s="5">
        <f ca="1">IFERROR(__xludf.DUMMYFUNCTION("""COMPUTED_VALUE"""),45968.6486757291)</f>
        <v>45968.648675729099</v>
      </c>
      <c r="C86" s="4" t="str">
        <f ca="1">IFERROR(__xludf.DUMMYFUNCTION("""COMPUTED_VALUE"""),"Lê Thị Khánh Linh")</f>
        <v>Lê Thị Khánh Linh</v>
      </c>
      <c r="D86" s="4" t="str">
        <f ca="1">IFERROR(__xludf.DUMMYFUNCTION("""COMPUTED_VALUE"""),"Nữ")</f>
        <v>Nữ</v>
      </c>
      <c r="E86" s="4" t="str">
        <f ca="1">IFERROR(__xludf.DUMMYFUNCTION("""COMPUTED_VALUE"""),"Công ty Tư vấn Đầu Tư Tài Chính Thuế Kế toán Kiểm toán Com.pt")</f>
        <v>Công ty Tư vấn Đầu Tư Tài Chính Thuế Kế toán Kiểm toán Com.pt</v>
      </c>
      <c r="F86" s="4" t="str">
        <f ca="1">IFERROR(__xludf.DUMMYFUNCTION("""COMPUTED_VALUE"""),"Đại học, Chứng chỉ Kiểm toán viên")</f>
        <v>Đại học, Chứng chỉ Kiểm toán viên</v>
      </c>
      <c r="G86" s="4" t="str">
        <f ca="1">IFERROR(__xludf.DUMMYFUNCTION("""COMPUTED_VALUE"""),"Trên 5 đến 10 năm")</f>
        <v>Trên 5 đến 10 năm</v>
      </c>
      <c r="H86" s="4" t="str">
        <f ca="1">IFERROR(__xludf.DUMMYFUNCTION("""COMPUTED_VALUE"""),"Kiểm toán viên/Trưởng nhóm")</f>
        <v>Kiểm toán viên/Trưởng nhóm</v>
      </c>
      <c r="I86" s="4">
        <f ca="1">IFERROR(__xludf.DUMMYFUNCTION("""COMPUTED_VALUE"""),5)</f>
        <v>5</v>
      </c>
      <c r="J86" s="4">
        <f ca="1">IFERROR(__xludf.DUMMYFUNCTION("""COMPUTED_VALUE"""),5)</f>
        <v>5</v>
      </c>
      <c r="K86" s="4">
        <f ca="1">IFERROR(__xludf.DUMMYFUNCTION("""COMPUTED_VALUE"""),5)</f>
        <v>5</v>
      </c>
      <c r="L86" s="4">
        <f ca="1">IFERROR(__xludf.DUMMYFUNCTION("""COMPUTED_VALUE"""),5)</f>
        <v>5</v>
      </c>
      <c r="M86" s="4">
        <f ca="1">IFERROR(__xludf.DUMMYFUNCTION("""COMPUTED_VALUE"""),5)</f>
        <v>5</v>
      </c>
      <c r="N86" s="4">
        <f ca="1">IFERROR(__xludf.DUMMYFUNCTION("""COMPUTED_VALUE"""),4)</f>
        <v>4</v>
      </c>
      <c r="O86" s="4">
        <f ca="1">IFERROR(__xludf.DUMMYFUNCTION("""COMPUTED_VALUE"""),5)</f>
        <v>5</v>
      </c>
      <c r="P86" s="4">
        <f ca="1">IFERROR(__xludf.DUMMYFUNCTION("""COMPUTED_VALUE"""),5)</f>
        <v>5</v>
      </c>
      <c r="Q86" s="4">
        <f ca="1">IFERROR(__xludf.DUMMYFUNCTION("""COMPUTED_VALUE"""),5)</f>
        <v>5</v>
      </c>
      <c r="R86" s="4">
        <f ca="1">IFERROR(__xludf.DUMMYFUNCTION("""COMPUTED_VALUE"""),5)</f>
        <v>5</v>
      </c>
      <c r="S86" s="4">
        <f ca="1">IFERROR(__xludf.DUMMYFUNCTION("""COMPUTED_VALUE"""),5)</f>
        <v>5</v>
      </c>
      <c r="T86" s="4">
        <f ca="1">IFERROR(__xludf.DUMMYFUNCTION("""COMPUTED_VALUE"""),5)</f>
        <v>5</v>
      </c>
      <c r="U86" s="4">
        <f ca="1">IFERROR(__xludf.DUMMYFUNCTION("""COMPUTED_VALUE"""),5)</f>
        <v>5</v>
      </c>
      <c r="V86" s="4">
        <f ca="1">IFERROR(__xludf.DUMMYFUNCTION("""COMPUTED_VALUE"""),5)</f>
        <v>5</v>
      </c>
      <c r="W86" s="4">
        <f ca="1">IFERROR(__xludf.DUMMYFUNCTION("""COMPUTED_VALUE"""),4)</f>
        <v>4</v>
      </c>
      <c r="X86" s="4">
        <f ca="1">IFERROR(__xludf.DUMMYFUNCTION("""COMPUTED_VALUE"""),4)</f>
        <v>4</v>
      </c>
      <c r="Y86" s="4">
        <f ca="1">IFERROR(__xludf.DUMMYFUNCTION("""COMPUTED_VALUE"""),3)</f>
        <v>3</v>
      </c>
      <c r="Z86" s="4">
        <f ca="1">IFERROR(__xludf.DUMMYFUNCTION("""COMPUTED_VALUE"""),3)</f>
        <v>3</v>
      </c>
      <c r="AA86" s="4">
        <f ca="1">IFERROR(__xludf.DUMMYFUNCTION("""COMPUTED_VALUE"""),3)</f>
        <v>3</v>
      </c>
      <c r="AB86" s="4">
        <f ca="1">IFERROR(__xludf.DUMMYFUNCTION("""COMPUTED_VALUE"""),4)</f>
        <v>4</v>
      </c>
      <c r="AC86" s="4">
        <f ca="1">IFERROR(__xludf.DUMMYFUNCTION("""COMPUTED_VALUE"""),4)</f>
        <v>4</v>
      </c>
      <c r="AD86" s="4">
        <f ca="1">IFERROR(__xludf.DUMMYFUNCTION("""COMPUTED_VALUE"""),4)</f>
        <v>4</v>
      </c>
      <c r="AE86" s="4">
        <f ca="1">IFERROR(__xludf.DUMMYFUNCTION("""COMPUTED_VALUE"""),4)</f>
        <v>4</v>
      </c>
      <c r="AF86" s="4">
        <f ca="1">IFERROR(__xludf.DUMMYFUNCTION("""COMPUTED_VALUE"""),4)</f>
        <v>4</v>
      </c>
      <c r="AG86" s="4">
        <f ca="1">IFERROR(__xludf.DUMMYFUNCTION("""COMPUTED_VALUE"""),4)</f>
        <v>4</v>
      </c>
      <c r="AH86" s="4">
        <f ca="1">IFERROR(__xludf.DUMMYFUNCTION("""COMPUTED_VALUE"""),4)</f>
        <v>4</v>
      </c>
      <c r="AI86" s="4">
        <f ca="1">IFERROR(__xludf.DUMMYFUNCTION("""COMPUTED_VALUE"""),4)</f>
        <v>4</v>
      </c>
      <c r="AJ86" s="4">
        <f ca="1">IFERROR(__xludf.DUMMYFUNCTION("""COMPUTED_VALUE"""),4)</f>
        <v>4</v>
      </c>
      <c r="AK86" s="4">
        <f ca="1">IFERROR(__xludf.DUMMYFUNCTION("""COMPUTED_VALUE"""),4)</f>
        <v>4</v>
      </c>
      <c r="AL86" s="4">
        <f ca="1">IFERROR(__xludf.DUMMYFUNCTION("""COMPUTED_VALUE"""),4)</f>
        <v>4</v>
      </c>
      <c r="AM86" s="4">
        <f ca="1">IFERROR(__xludf.DUMMYFUNCTION("""COMPUTED_VALUE"""),4)</f>
        <v>4</v>
      </c>
      <c r="AN86" s="4">
        <f ca="1">IFERROR(__xludf.DUMMYFUNCTION("""COMPUTED_VALUE"""),4)</f>
        <v>4</v>
      </c>
      <c r="AO86" s="4">
        <f ca="1">IFERROR(__xludf.DUMMYFUNCTION("""COMPUTED_VALUE"""),4)</f>
        <v>4</v>
      </c>
      <c r="AP86" s="4">
        <f ca="1">IFERROR(__xludf.DUMMYFUNCTION("""COMPUTED_VALUE"""),4)</f>
        <v>4</v>
      </c>
      <c r="AQ86" s="4">
        <f ca="1">IFERROR(__xludf.DUMMYFUNCTION("""COMPUTED_VALUE"""),4)</f>
        <v>4</v>
      </c>
      <c r="AR86" s="4">
        <f ca="1">IFERROR(__xludf.DUMMYFUNCTION("""COMPUTED_VALUE"""),4)</f>
        <v>4</v>
      </c>
      <c r="AS86" s="4">
        <f ca="1">IFERROR(__xludf.DUMMYFUNCTION("""COMPUTED_VALUE"""),4)</f>
        <v>4</v>
      </c>
      <c r="AT86" s="4">
        <f ca="1">IFERROR(__xludf.DUMMYFUNCTION("""COMPUTED_VALUE"""),4)</f>
        <v>4</v>
      </c>
      <c r="AU86" s="4">
        <f ca="1">IFERROR(__xludf.DUMMYFUNCTION("""COMPUTED_VALUE"""),4)</f>
        <v>4</v>
      </c>
      <c r="AV86" s="4">
        <f ca="1">IFERROR(__xludf.DUMMYFUNCTION("""COMPUTED_VALUE"""),4)</f>
        <v>4</v>
      </c>
      <c r="AW86" s="4">
        <f ca="1">IFERROR(__xludf.DUMMYFUNCTION("""COMPUTED_VALUE"""),4)</f>
        <v>4</v>
      </c>
      <c r="AX86" s="4">
        <f ca="1">IFERROR(__xludf.DUMMYFUNCTION("""COMPUTED_VALUE"""),4)</f>
        <v>4</v>
      </c>
      <c r="AY86" s="4">
        <f ca="1">IFERROR(__xludf.DUMMYFUNCTION("""COMPUTED_VALUE"""),4)</f>
        <v>4</v>
      </c>
      <c r="AZ86" s="4">
        <f ca="1">IFERROR(__xludf.DUMMYFUNCTION("""COMPUTED_VALUE"""),4)</f>
        <v>4</v>
      </c>
      <c r="BA86" s="4">
        <f ca="1">IFERROR(__xludf.DUMMYFUNCTION("""COMPUTED_VALUE"""),4)</f>
        <v>4</v>
      </c>
      <c r="BB86" s="4">
        <f ca="1">IFERROR(__xludf.DUMMYFUNCTION("""COMPUTED_VALUE"""),4)</f>
        <v>4</v>
      </c>
      <c r="BC86" s="4">
        <f ca="1">IFERROR(__xludf.DUMMYFUNCTION("""COMPUTED_VALUE"""),3)</f>
        <v>3</v>
      </c>
      <c r="BD86" s="4">
        <f ca="1">IFERROR(__xludf.DUMMYFUNCTION("""COMPUTED_VALUE"""),4)</f>
        <v>4</v>
      </c>
      <c r="BE86" s="4">
        <f ca="1">IFERROR(__xludf.DUMMYFUNCTION("""COMPUTED_VALUE"""),3)</f>
        <v>3</v>
      </c>
      <c r="BF86" s="4">
        <f ca="1">IFERROR(__xludf.DUMMYFUNCTION("""COMPUTED_VALUE"""),3)</f>
        <v>3</v>
      </c>
      <c r="BG86" s="4">
        <f ca="1">IFERROR(__xludf.DUMMYFUNCTION("""COMPUTED_VALUE"""),3)</f>
        <v>3</v>
      </c>
      <c r="BH86" s="4">
        <f ca="1">IFERROR(__xludf.DUMMYFUNCTION("""COMPUTED_VALUE"""),4)</f>
        <v>4</v>
      </c>
      <c r="BI86" s="4">
        <f ca="1">IFERROR(__xludf.DUMMYFUNCTION("""COMPUTED_VALUE"""),4)</f>
        <v>4</v>
      </c>
      <c r="BJ86" s="4">
        <f ca="1">IFERROR(__xludf.DUMMYFUNCTION("""COMPUTED_VALUE"""),4)</f>
        <v>4</v>
      </c>
      <c r="BK86" s="4">
        <f ca="1">IFERROR(__xludf.DUMMYFUNCTION("""COMPUTED_VALUE"""),4)</f>
        <v>4</v>
      </c>
      <c r="BL86" s="4">
        <f ca="1">IFERROR(__xludf.DUMMYFUNCTION("""COMPUTED_VALUE"""),4)</f>
        <v>4</v>
      </c>
      <c r="BM86" s="4">
        <f ca="1">IFERROR(__xludf.DUMMYFUNCTION("""COMPUTED_VALUE"""),4)</f>
        <v>4</v>
      </c>
      <c r="BN86" s="4">
        <f ca="1">IFERROR(__xludf.DUMMYFUNCTION("""COMPUTED_VALUE"""),4)</f>
        <v>4</v>
      </c>
      <c r="BO86" s="4">
        <f ca="1">IFERROR(__xludf.DUMMYFUNCTION("""COMPUTED_VALUE"""),4)</f>
        <v>4</v>
      </c>
      <c r="BP86" s="4">
        <f ca="1">IFERROR(__xludf.DUMMYFUNCTION("""COMPUTED_VALUE"""),4)</f>
        <v>4</v>
      </c>
    </row>
    <row r="87" spans="1:68" ht="13.2" x14ac:dyDescent="0.25">
      <c r="A87" s="4" t="str">
        <f ca="1">IFERROR(__xludf.DUMMYFUNCTION("""COMPUTED_VALUE"""),"2_ABaOnucs8Vo_d5Qw_yLdfgo2vXSVjDMR0110OnVTX1pac_1XarWPoZyfVu7RJbretg")</f>
        <v>2_ABaOnucs8Vo_d5Qw_yLdfgo2vXSVjDMR0110OnVTX1pac_1XarWPoZyfVu7RJbretg</v>
      </c>
      <c r="B87" s="5">
        <f ca="1">IFERROR(__xludf.DUMMYFUNCTION("""COMPUTED_VALUE"""),45968.7703035532)</f>
        <v>45968.770303553203</v>
      </c>
      <c r="C87" s="4" t="str">
        <f ca="1">IFERROR(__xludf.DUMMYFUNCTION("""COMPUTED_VALUE"""),"Thuỷ")</f>
        <v>Thuỷ</v>
      </c>
      <c r="D87" s="4" t="str">
        <f ca="1">IFERROR(__xludf.DUMMYFUNCTION("""COMPUTED_VALUE"""),"Nữ")</f>
        <v>Nữ</v>
      </c>
      <c r="E87" s="4" t="str">
        <f ca="1">IFERROR(__xludf.DUMMYFUNCTION("""COMPUTED_VALUE"""),"Công ty Kiểm toán AAC")</f>
        <v>Công ty Kiểm toán AAC</v>
      </c>
      <c r="F87" s="4" t="str">
        <f ca="1">IFERROR(__xludf.DUMMYFUNCTION("""COMPUTED_VALUE"""),"Đại học, Chứng chỉ Kiểm toán viên")</f>
        <v>Đại học, Chứng chỉ Kiểm toán viên</v>
      </c>
      <c r="G87" s="4" t="str">
        <f ca="1">IFERROR(__xludf.DUMMYFUNCTION("""COMPUTED_VALUE"""),"Trên 15 đến 20 năm")</f>
        <v>Trên 15 đến 20 năm</v>
      </c>
      <c r="H87" s="4" t="str">
        <f ca="1">IFERROR(__xludf.DUMMYFUNCTION("""COMPUTED_VALUE"""),"Trưởng phòng")</f>
        <v>Trưởng phòng</v>
      </c>
      <c r="I87" s="4">
        <f ca="1">IFERROR(__xludf.DUMMYFUNCTION("""COMPUTED_VALUE"""),5)</f>
        <v>5</v>
      </c>
      <c r="J87" s="4">
        <f ca="1">IFERROR(__xludf.DUMMYFUNCTION("""COMPUTED_VALUE"""),5)</f>
        <v>5</v>
      </c>
      <c r="K87" s="4">
        <f ca="1">IFERROR(__xludf.DUMMYFUNCTION("""COMPUTED_VALUE"""),5)</f>
        <v>5</v>
      </c>
      <c r="L87" s="4">
        <f ca="1">IFERROR(__xludf.DUMMYFUNCTION("""COMPUTED_VALUE"""),5)</f>
        <v>5</v>
      </c>
      <c r="M87" s="4">
        <f ca="1">IFERROR(__xludf.DUMMYFUNCTION("""COMPUTED_VALUE"""),5)</f>
        <v>5</v>
      </c>
      <c r="N87" s="4">
        <f ca="1">IFERROR(__xludf.DUMMYFUNCTION("""COMPUTED_VALUE"""),4)</f>
        <v>4</v>
      </c>
      <c r="O87" s="4">
        <f ca="1">IFERROR(__xludf.DUMMYFUNCTION("""COMPUTED_VALUE"""),5)</f>
        <v>5</v>
      </c>
      <c r="P87" s="4">
        <f ca="1">IFERROR(__xludf.DUMMYFUNCTION("""COMPUTED_VALUE"""),4)</f>
        <v>4</v>
      </c>
      <c r="Q87" s="4">
        <f ca="1">IFERROR(__xludf.DUMMYFUNCTION("""COMPUTED_VALUE"""),5)</f>
        <v>5</v>
      </c>
      <c r="R87" s="4">
        <f ca="1">IFERROR(__xludf.DUMMYFUNCTION("""COMPUTED_VALUE"""),5)</f>
        <v>5</v>
      </c>
      <c r="S87" s="4">
        <f ca="1">IFERROR(__xludf.DUMMYFUNCTION("""COMPUTED_VALUE"""),5)</f>
        <v>5</v>
      </c>
      <c r="T87" s="4">
        <f ca="1">IFERROR(__xludf.DUMMYFUNCTION("""COMPUTED_VALUE"""),5)</f>
        <v>5</v>
      </c>
      <c r="U87" s="4">
        <f ca="1">IFERROR(__xludf.DUMMYFUNCTION("""COMPUTED_VALUE"""),5)</f>
        <v>5</v>
      </c>
      <c r="V87" s="4">
        <f ca="1">IFERROR(__xludf.DUMMYFUNCTION("""COMPUTED_VALUE"""),5)</f>
        <v>5</v>
      </c>
      <c r="W87" s="4">
        <f ca="1">IFERROR(__xludf.DUMMYFUNCTION("""COMPUTED_VALUE"""),4)</f>
        <v>4</v>
      </c>
      <c r="X87" s="4">
        <f ca="1">IFERROR(__xludf.DUMMYFUNCTION("""COMPUTED_VALUE"""),4)</f>
        <v>4</v>
      </c>
      <c r="Y87" s="4">
        <f ca="1">IFERROR(__xludf.DUMMYFUNCTION("""COMPUTED_VALUE"""),4)</f>
        <v>4</v>
      </c>
      <c r="Z87" s="4">
        <f ca="1">IFERROR(__xludf.DUMMYFUNCTION("""COMPUTED_VALUE"""),4)</f>
        <v>4</v>
      </c>
      <c r="AA87" s="4">
        <f ca="1">IFERROR(__xludf.DUMMYFUNCTION("""COMPUTED_VALUE"""),4)</f>
        <v>4</v>
      </c>
      <c r="AB87" s="4">
        <f ca="1">IFERROR(__xludf.DUMMYFUNCTION("""COMPUTED_VALUE"""),4)</f>
        <v>4</v>
      </c>
      <c r="AC87" s="4">
        <f ca="1">IFERROR(__xludf.DUMMYFUNCTION("""COMPUTED_VALUE"""),3)</f>
        <v>3</v>
      </c>
      <c r="AD87" s="4">
        <f ca="1">IFERROR(__xludf.DUMMYFUNCTION("""COMPUTED_VALUE"""),4)</f>
        <v>4</v>
      </c>
      <c r="AE87" s="4">
        <f ca="1">IFERROR(__xludf.DUMMYFUNCTION("""COMPUTED_VALUE"""),4)</f>
        <v>4</v>
      </c>
      <c r="AF87" s="4">
        <f ca="1">IFERROR(__xludf.DUMMYFUNCTION("""COMPUTED_VALUE"""),5)</f>
        <v>5</v>
      </c>
      <c r="AG87" s="4">
        <f ca="1">IFERROR(__xludf.DUMMYFUNCTION("""COMPUTED_VALUE"""),5)</f>
        <v>5</v>
      </c>
      <c r="AH87" s="4">
        <f ca="1">IFERROR(__xludf.DUMMYFUNCTION("""COMPUTED_VALUE"""),5)</f>
        <v>5</v>
      </c>
      <c r="AI87" s="4">
        <f ca="1">IFERROR(__xludf.DUMMYFUNCTION("""COMPUTED_VALUE"""),5)</f>
        <v>5</v>
      </c>
      <c r="AJ87" s="4">
        <f ca="1">IFERROR(__xludf.DUMMYFUNCTION("""COMPUTED_VALUE"""),5)</f>
        <v>5</v>
      </c>
      <c r="AK87" s="4">
        <f ca="1">IFERROR(__xludf.DUMMYFUNCTION("""COMPUTED_VALUE"""),5)</f>
        <v>5</v>
      </c>
      <c r="AL87" s="4">
        <f ca="1">IFERROR(__xludf.DUMMYFUNCTION("""COMPUTED_VALUE"""),5)</f>
        <v>5</v>
      </c>
      <c r="AM87" s="4">
        <f ca="1">IFERROR(__xludf.DUMMYFUNCTION("""COMPUTED_VALUE"""),5)</f>
        <v>5</v>
      </c>
      <c r="AN87" s="4">
        <f ca="1">IFERROR(__xludf.DUMMYFUNCTION("""COMPUTED_VALUE"""),5)</f>
        <v>5</v>
      </c>
      <c r="AO87" s="4">
        <f ca="1">IFERROR(__xludf.DUMMYFUNCTION("""COMPUTED_VALUE"""),4)</f>
        <v>4</v>
      </c>
      <c r="AP87" s="4">
        <f ca="1">IFERROR(__xludf.DUMMYFUNCTION("""COMPUTED_VALUE"""),4)</f>
        <v>4</v>
      </c>
      <c r="AQ87" s="4">
        <f ca="1">IFERROR(__xludf.DUMMYFUNCTION("""COMPUTED_VALUE"""),4)</f>
        <v>4</v>
      </c>
      <c r="AR87" s="4">
        <f ca="1">IFERROR(__xludf.DUMMYFUNCTION("""COMPUTED_VALUE"""),4)</f>
        <v>4</v>
      </c>
      <c r="AS87" s="4">
        <f ca="1">IFERROR(__xludf.DUMMYFUNCTION("""COMPUTED_VALUE"""),4)</f>
        <v>4</v>
      </c>
      <c r="AT87" s="4">
        <f ca="1">IFERROR(__xludf.DUMMYFUNCTION("""COMPUTED_VALUE"""),4)</f>
        <v>4</v>
      </c>
      <c r="AU87" s="4">
        <f ca="1">IFERROR(__xludf.DUMMYFUNCTION("""COMPUTED_VALUE"""),4)</f>
        <v>4</v>
      </c>
      <c r="AV87" s="4">
        <f ca="1">IFERROR(__xludf.DUMMYFUNCTION("""COMPUTED_VALUE"""),4)</f>
        <v>4</v>
      </c>
      <c r="AW87" s="4">
        <f ca="1">IFERROR(__xludf.DUMMYFUNCTION("""COMPUTED_VALUE"""),4)</f>
        <v>4</v>
      </c>
      <c r="AX87" s="4">
        <f ca="1">IFERROR(__xludf.DUMMYFUNCTION("""COMPUTED_VALUE"""),5)</f>
        <v>5</v>
      </c>
      <c r="AY87" s="4">
        <f ca="1">IFERROR(__xludf.DUMMYFUNCTION("""COMPUTED_VALUE"""),5)</f>
        <v>5</v>
      </c>
      <c r="AZ87" s="4">
        <f ca="1">IFERROR(__xludf.DUMMYFUNCTION("""COMPUTED_VALUE"""),5)</f>
        <v>5</v>
      </c>
      <c r="BA87" s="4">
        <f ca="1">IFERROR(__xludf.DUMMYFUNCTION("""COMPUTED_VALUE"""),5)</f>
        <v>5</v>
      </c>
      <c r="BB87" s="4">
        <f ca="1">IFERROR(__xludf.DUMMYFUNCTION("""COMPUTED_VALUE"""),3)</f>
        <v>3</v>
      </c>
      <c r="BC87" s="4">
        <f ca="1">IFERROR(__xludf.DUMMYFUNCTION("""COMPUTED_VALUE"""),3)</f>
        <v>3</v>
      </c>
      <c r="BD87" s="4">
        <f ca="1">IFERROR(__xludf.DUMMYFUNCTION("""COMPUTED_VALUE"""),3)</f>
        <v>3</v>
      </c>
      <c r="BE87" s="4">
        <f ca="1">IFERROR(__xludf.DUMMYFUNCTION("""COMPUTED_VALUE"""),3)</f>
        <v>3</v>
      </c>
      <c r="BF87" s="4">
        <f ca="1">IFERROR(__xludf.DUMMYFUNCTION("""COMPUTED_VALUE"""),3)</f>
        <v>3</v>
      </c>
      <c r="BG87" s="4">
        <f ca="1">IFERROR(__xludf.DUMMYFUNCTION("""COMPUTED_VALUE"""),3)</f>
        <v>3</v>
      </c>
      <c r="BH87" s="4">
        <f ca="1">IFERROR(__xludf.DUMMYFUNCTION("""COMPUTED_VALUE"""),5)</f>
        <v>5</v>
      </c>
      <c r="BI87" s="4">
        <f ca="1">IFERROR(__xludf.DUMMYFUNCTION("""COMPUTED_VALUE"""),5)</f>
        <v>5</v>
      </c>
      <c r="BJ87" s="4">
        <f ca="1">IFERROR(__xludf.DUMMYFUNCTION("""COMPUTED_VALUE"""),5)</f>
        <v>5</v>
      </c>
      <c r="BK87" s="4">
        <f ca="1">IFERROR(__xludf.DUMMYFUNCTION("""COMPUTED_VALUE"""),5)</f>
        <v>5</v>
      </c>
      <c r="BL87" s="4">
        <f ca="1">IFERROR(__xludf.DUMMYFUNCTION("""COMPUTED_VALUE"""),5)</f>
        <v>5</v>
      </c>
      <c r="BM87" s="4">
        <f ca="1">IFERROR(__xludf.DUMMYFUNCTION("""COMPUTED_VALUE"""),5)</f>
        <v>5</v>
      </c>
      <c r="BN87" s="4">
        <f ca="1">IFERROR(__xludf.DUMMYFUNCTION("""COMPUTED_VALUE"""),5)</f>
        <v>5</v>
      </c>
      <c r="BO87" s="4">
        <f ca="1">IFERROR(__xludf.DUMMYFUNCTION("""COMPUTED_VALUE"""),5)</f>
        <v>5</v>
      </c>
      <c r="BP87" s="4">
        <f ca="1">IFERROR(__xludf.DUMMYFUNCTION("""COMPUTED_VALUE"""),5)</f>
        <v>5</v>
      </c>
    </row>
    <row r="88" spans="1:68" ht="13.2" x14ac:dyDescent="0.25">
      <c r="A88" s="4" t="str">
        <f ca="1">IFERROR(__xludf.DUMMYFUNCTION("""COMPUTED_VALUE"""),"2_ABaOnucZqg6HtuMJhYR-BS5g0Ti56d__EBMFrJbS7j2jO0XBuFmmhCjyCeyXtyXChg")</f>
        <v>2_ABaOnucZqg6HtuMJhYR-BS5g0Ti56d__EBMFrJbS7j2jO0XBuFmmhCjyCeyXtyXChg</v>
      </c>
      <c r="B88" s="5">
        <f ca="1">IFERROR(__xludf.DUMMYFUNCTION("""COMPUTED_VALUE"""),45968.8512860648)</f>
        <v>45968.851286064797</v>
      </c>
      <c r="C88" s="4" t="str">
        <f ca="1">IFERROR(__xludf.DUMMYFUNCTION("""COMPUTED_VALUE"""),"Nguyễn Hà Kim Trang")</f>
        <v>Nguyễn Hà Kim Trang</v>
      </c>
      <c r="D88" s="4" t="str">
        <f ca="1">IFERROR(__xludf.DUMMYFUNCTION("""COMPUTED_VALUE"""),"Nữ")</f>
        <v>Nữ</v>
      </c>
      <c r="E88" s="4" t="str">
        <f ca="1">IFERROR(__xludf.DUMMYFUNCTION("""COMPUTED_VALUE"""),"Công ty TNHH Kiểm toán và Tin học Moore Aisc")</f>
        <v>Công ty TNHH Kiểm toán và Tin học Moore Aisc</v>
      </c>
      <c r="F88" s="4" t="str">
        <f ca="1">IFERROR(__xludf.DUMMYFUNCTION("""COMPUTED_VALUE"""),"Đại học")</f>
        <v>Đại học</v>
      </c>
      <c r="G88" s="4" t="str">
        <f ca="1">IFERROR(__xludf.DUMMYFUNCTION("""COMPUTED_VALUE"""),"Từ 3 đến 5 năm")</f>
        <v>Từ 3 đến 5 năm</v>
      </c>
      <c r="H88" s="4" t="str">
        <f ca="1">IFERROR(__xludf.DUMMYFUNCTION("""COMPUTED_VALUE"""),"Trợ lý kiểm toán")</f>
        <v>Trợ lý kiểm toán</v>
      </c>
      <c r="I88" s="4">
        <f ca="1">IFERROR(__xludf.DUMMYFUNCTION("""COMPUTED_VALUE"""),5)</f>
        <v>5</v>
      </c>
      <c r="J88" s="4">
        <f ca="1">IFERROR(__xludf.DUMMYFUNCTION("""COMPUTED_VALUE"""),5)</f>
        <v>5</v>
      </c>
      <c r="K88" s="4">
        <f ca="1">IFERROR(__xludf.DUMMYFUNCTION("""COMPUTED_VALUE"""),5)</f>
        <v>5</v>
      </c>
      <c r="L88" s="4">
        <f ca="1">IFERROR(__xludf.DUMMYFUNCTION("""COMPUTED_VALUE"""),5)</f>
        <v>5</v>
      </c>
      <c r="M88" s="4">
        <f ca="1">IFERROR(__xludf.DUMMYFUNCTION("""COMPUTED_VALUE"""),5)</f>
        <v>5</v>
      </c>
      <c r="N88" s="4">
        <f ca="1">IFERROR(__xludf.DUMMYFUNCTION("""COMPUTED_VALUE"""),4)</f>
        <v>4</v>
      </c>
      <c r="O88" s="4">
        <f ca="1">IFERROR(__xludf.DUMMYFUNCTION("""COMPUTED_VALUE"""),4)</f>
        <v>4</v>
      </c>
      <c r="P88" s="4">
        <f ca="1">IFERROR(__xludf.DUMMYFUNCTION("""COMPUTED_VALUE"""),5)</f>
        <v>5</v>
      </c>
      <c r="Q88" s="4">
        <f ca="1">IFERROR(__xludf.DUMMYFUNCTION("""COMPUTED_VALUE"""),5)</f>
        <v>5</v>
      </c>
      <c r="R88" s="4">
        <f ca="1">IFERROR(__xludf.DUMMYFUNCTION("""COMPUTED_VALUE"""),5)</f>
        <v>5</v>
      </c>
      <c r="S88" s="4">
        <f ca="1">IFERROR(__xludf.DUMMYFUNCTION("""COMPUTED_VALUE"""),5)</f>
        <v>5</v>
      </c>
      <c r="T88" s="4">
        <f ca="1">IFERROR(__xludf.DUMMYFUNCTION("""COMPUTED_VALUE"""),5)</f>
        <v>5</v>
      </c>
      <c r="U88" s="4">
        <f ca="1">IFERROR(__xludf.DUMMYFUNCTION("""COMPUTED_VALUE"""),5)</f>
        <v>5</v>
      </c>
      <c r="V88" s="4">
        <f ca="1">IFERROR(__xludf.DUMMYFUNCTION("""COMPUTED_VALUE"""),5)</f>
        <v>5</v>
      </c>
      <c r="W88" s="4">
        <f ca="1">IFERROR(__xludf.DUMMYFUNCTION("""COMPUTED_VALUE"""),4)</f>
        <v>4</v>
      </c>
      <c r="X88" s="4">
        <f ca="1">IFERROR(__xludf.DUMMYFUNCTION("""COMPUTED_VALUE"""),4)</f>
        <v>4</v>
      </c>
      <c r="Y88" s="4">
        <f ca="1">IFERROR(__xludf.DUMMYFUNCTION("""COMPUTED_VALUE"""),3)</f>
        <v>3</v>
      </c>
      <c r="Z88" s="4">
        <f ca="1">IFERROR(__xludf.DUMMYFUNCTION("""COMPUTED_VALUE"""),4)</f>
        <v>4</v>
      </c>
      <c r="AA88" s="4">
        <f ca="1">IFERROR(__xludf.DUMMYFUNCTION("""COMPUTED_VALUE"""),4)</f>
        <v>4</v>
      </c>
      <c r="AB88" s="4">
        <f ca="1">IFERROR(__xludf.DUMMYFUNCTION("""COMPUTED_VALUE"""),4)</f>
        <v>4</v>
      </c>
      <c r="AC88" s="4">
        <f ca="1">IFERROR(__xludf.DUMMYFUNCTION("""COMPUTED_VALUE"""),4)</f>
        <v>4</v>
      </c>
      <c r="AD88" s="4">
        <f ca="1">IFERROR(__xludf.DUMMYFUNCTION("""COMPUTED_VALUE"""),4)</f>
        <v>4</v>
      </c>
      <c r="AE88" s="4">
        <f ca="1">IFERROR(__xludf.DUMMYFUNCTION("""COMPUTED_VALUE"""),4)</f>
        <v>4</v>
      </c>
      <c r="AF88" s="4">
        <f ca="1">IFERROR(__xludf.DUMMYFUNCTION("""COMPUTED_VALUE"""),5)</f>
        <v>5</v>
      </c>
      <c r="AG88" s="4">
        <f ca="1">IFERROR(__xludf.DUMMYFUNCTION("""COMPUTED_VALUE"""),4)</f>
        <v>4</v>
      </c>
      <c r="AH88" s="4">
        <f ca="1">IFERROR(__xludf.DUMMYFUNCTION("""COMPUTED_VALUE"""),4)</f>
        <v>4</v>
      </c>
      <c r="AI88" s="4">
        <f ca="1">IFERROR(__xludf.DUMMYFUNCTION("""COMPUTED_VALUE"""),4)</f>
        <v>4</v>
      </c>
      <c r="AJ88" s="4">
        <f ca="1">IFERROR(__xludf.DUMMYFUNCTION("""COMPUTED_VALUE"""),5)</f>
        <v>5</v>
      </c>
      <c r="AK88" s="4">
        <f ca="1">IFERROR(__xludf.DUMMYFUNCTION("""COMPUTED_VALUE"""),5)</f>
        <v>5</v>
      </c>
      <c r="AL88" s="4">
        <f ca="1">IFERROR(__xludf.DUMMYFUNCTION("""COMPUTED_VALUE"""),5)</f>
        <v>5</v>
      </c>
      <c r="AM88" s="4">
        <f ca="1">IFERROR(__xludf.DUMMYFUNCTION("""COMPUTED_VALUE"""),5)</f>
        <v>5</v>
      </c>
      <c r="AN88" s="4">
        <f ca="1">IFERROR(__xludf.DUMMYFUNCTION("""COMPUTED_VALUE"""),5)</f>
        <v>5</v>
      </c>
      <c r="AO88" s="4">
        <f ca="1">IFERROR(__xludf.DUMMYFUNCTION("""COMPUTED_VALUE"""),4)</f>
        <v>4</v>
      </c>
      <c r="AP88" s="4">
        <f ca="1">IFERROR(__xludf.DUMMYFUNCTION("""COMPUTED_VALUE"""),4)</f>
        <v>4</v>
      </c>
      <c r="AQ88" s="4">
        <f ca="1">IFERROR(__xludf.DUMMYFUNCTION("""COMPUTED_VALUE"""),4)</f>
        <v>4</v>
      </c>
      <c r="AR88" s="4">
        <f ca="1">IFERROR(__xludf.DUMMYFUNCTION("""COMPUTED_VALUE"""),4)</f>
        <v>4</v>
      </c>
      <c r="AS88" s="4">
        <f ca="1">IFERROR(__xludf.DUMMYFUNCTION("""COMPUTED_VALUE"""),4)</f>
        <v>4</v>
      </c>
      <c r="AT88" s="4">
        <f ca="1">IFERROR(__xludf.DUMMYFUNCTION("""COMPUTED_VALUE"""),4)</f>
        <v>4</v>
      </c>
      <c r="AU88" s="4">
        <f ca="1">IFERROR(__xludf.DUMMYFUNCTION("""COMPUTED_VALUE"""),4)</f>
        <v>4</v>
      </c>
      <c r="AV88" s="4">
        <f ca="1">IFERROR(__xludf.DUMMYFUNCTION("""COMPUTED_VALUE"""),4)</f>
        <v>4</v>
      </c>
      <c r="AW88" s="4">
        <f ca="1">IFERROR(__xludf.DUMMYFUNCTION("""COMPUTED_VALUE"""),4)</f>
        <v>4</v>
      </c>
      <c r="AX88" s="4">
        <f ca="1">IFERROR(__xludf.DUMMYFUNCTION("""COMPUTED_VALUE"""),5)</f>
        <v>5</v>
      </c>
      <c r="AY88" s="4">
        <f ca="1">IFERROR(__xludf.DUMMYFUNCTION("""COMPUTED_VALUE"""),5)</f>
        <v>5</v>
      </c>
      <c r="AZ88" s="4">
        <f ca="1">IFERROR(__xludf.DUMMYFUNCTION("""COMPUTED_VALUE"""),5)</f>
        <v>5</v>
      </c>
      <c r="BA88" s="4">
        <f ca="1">IFERROR(__xludf.DUMMYFUNCTION("""COMPUTED_VALUE"""),5)</f>
        <v>5</v>
      </c>
      <c r="BB88" s="4">
        <f ca="1">IFERROR(__xludf.DUMMYFUNCTION("""COMPUTED_VALUE"""),3)</f>
        <v>3</v>
      </c>
      <c r="BC88" s="4">
        <f ca="1">IFERROR(__xludf.DUMMYFUNCTION("""COMPUTED_VALUE"""),3)</f>
        <v>3</v>
      </c>
      <c r="BD88" s="4">
        <f ca="1">IFERROR(__xludf.DUMMYFUNCTION("""COMPUTED_VALUE"""),2)</f>
        <v>2</v>
      </c>
      <c r="BE88" s="4">
        <f ca="1">IFERROR(__xludf.DUMMYFUNCTION("""COMPUTED_VALUE"""),3)</f>
        <v>3</v>
      </c>
      <c r="BF88" s="4">
        <f ca="1">IFERROR(__xludf.DUMMYFUNCTION("""COMPUTED_VALUE"""),2)</f>
        <v>2</v>
      </c>
      <c r="BG88" s="4">
        <f ca="1">IFERROR(__xludf.DUMMYFUNCTION("""COMPUTED_VALUE"""),2)</f>
        <v>2</v>
      </c>
      <c r="BH88" s="4">
        <f ca="1">IFERROR(__xludf.DUMMYFUNCTION("""COMPUTED_VALUE"""),4)</f>
        <v>4</v>
      </c>
      <c r="BI88" s="4">
        <f ca="1">IFERROR(__xludf.DUMMYFUNCTION("""COMPUTED_VALUE"""),5)</f>
        <v>5</v>
      </c>
      <c r="BJ88" s="4">
        <f ca="1">IFERROR(__xludf.DUMMYFUNCTION("""COMPUTED_VALUE"""),5)</f>
        <v>5</v>
      </c>
      <c r="BK88" s="4">
        <f ca="1">IFERROR(__xludf.DUMMYFUNCTION("""COMPUTED_VALUE"""),5)</f>
        <v>5</v>
      </c>
      <c r="BL88" s="4">
        <f ca="1">IFERROR(__xludf.DUMMYFUNCTION("""COMPUTED_VALUE"""),5)</f>
        <v>5</v>
      </c>
      <c r="BM88" s="4">
        <f ca="1">IFERROR(__xludf.DUMMYFUNCTION("""COMPUTED_VALUE"""),5)</f>
        <v>5</v>
      </c>
      <c r="BN88" s="4">
        <f ca="1">IFERROR(__xludf.DUMMYFUNCTION("""COMPUTED_VALUE"""),5)</f>
        <v>5</v>
      </c>
      <c r="BO88" s="4">
        <f ca="1">IFERROR(__xludf.DUMMYFUNCTION("""COMPUTED_VALUE"""),5)</f>
        <v>5</v>
      </c>
      <c r="BP88" s="4">
        <f ca="1">IFERROR(__xludf.DUMMYFUNCTION("""COMPUTED_VALUE"""),5)</f>
        <v>5</v>
      </c>
    </row>
    <row r="89" spans="1:68" ht="13.2" x14ac:dyDescent="0.25">
      <c r="A89" s="4" t="str">
        <f ca="1">IFERROR(__xludf.DUMMYFUNCTION("""COMPUTED_VALUE"""),"2_ABaOnuf22qBfRURDawua1m-pfMjW7DZ3I3YlRSJRCWiMUaF7k5h1Oyld0Ec8-xo08w")</f>
        <v>2_ABaOnuf22qBfRURDawua1m-pfMjW7DZ3I3YlRSJRCWiMUaF7k5h1Oyld0Ec8-xo08w</v>
      </c>
      <c r="B89" s="5">
        <f ca="1">IFERROR(__xludf.DUMMYFUNCTION("""COMPUTED_VALUE"""),45968.8528607523)</f>
        <v>45968.852860752297</v>
      </c>
      <c r="C89" s="4" t="str">
        <f ca="1">IFERROR(__xludf.DUMMYFUNCTION("""COMPUTED_VALUE"""),"Đặng Thanh Thuận")</f>
        <v>Đặng Thanh Thuận</v>
      </c>
      <c r="D89" s="4" t="str">
        <f ca="1">IFERROR(__xludf.DUMMYFUNCTION("""COMPUTED_VALUE"""),"Nam")</f>
        <v>Nam</v>
      </c>
      <c r="E89" s="4" t="str">
        <f ca="1">IFERROR(__xludf.DUMMYFUNCTION("""COMPUTED_VALUE"""),"Moore AISC")</f>
        <v>Moore AISC</v>
      </c>
      <c r="F89" s="4" t="str">
        <f ca="1">IFERROR(__xludf.DUMMYFUNCTION("""COMPUTED_VALUE"""),"Đại học, Chứng chỉ Kiểm toán viên")</f>
        <v>Đại học, Chứng chỉ Kiểm toán viên</v>
      </c>
      <c r="G89" s="4" t="str">
        <f ca="1">IFERROR(__xludf.DUMMYFUNCTION("""COMPUTED_VALUE"""),"Trên 5 đến 10 năm")</f>
        <v>Trên 5 đến 10 năm</v>
      </c>
      <c r="H89" s="4" t="str">
        <f ca="1">IFERROR(__xludf.DUMMYFUNCTION("""COMPUTED_VALUE"""),"Kiểm toán viên/Trưởng nhóm")</f>
        <v>Kiểm toán viên/Trưởng nhóm</v>
      </c>
      <c r="I89" s="4">
        <f ca="1">IFERROR(__xludf.DUMMYFUNCTION("""COMPUTED_VALUE"""),5)</f>
        <v>5</v>
      </c>
      <c r="J89" s="4">
        <f ca="1">IFERROR(__xludf.DUMMYFUNCTION("""COMPUTED_VALUE"""),4)</f>
        <v>4</v>
      </c>
      <c r="K89" s="4">
        <f ca="1">IFERROR(__xludf.DUMMYFUNCTION("""COMPUTED_VALUE"""),4)</f>
        <v>4</v>
      </c>
      <c r="L89" s="4">
        <f ca="1">IFERROR(__xludf.DUMMYFUNCTION("""COMPUTED_VALUE"""),3)</f>
        <v>3</v>
      </c>
      <c r="M89" s="4">
        <f ca="1">IFERROR(__xludf.DUMMYFUNCTION("""COMPUTED_VALUE"""),5)</f>
        <v>5</v>
      </c>
      <c r="N89" s="4">
        <f ca="1">IFERROR(__xludf.DUMMYFUNCTION("""COMPUTED_VALUE"""),3)</f>
        <v>3</v>
      </c>
      <c r="O89" s="4">
        <f ca="1">IFERROR(__xludf.DUMMYFUNCTION("""COMPUTED_VALUE"""),3)</f>
        <v>3</v>
      </c>
      <c r="P89" s="4">
        <f ca="1">IFERROR(__xludf.DUMMYFUNCTION("""COMPUTED_VALUE"""),4)</f>
        <v>4</v>
      </c>
      <c r="Q89" s="4">
        <f ca="1">IFERROR(__xludf.DUMMYFUNCTION("""COMPUTED_VALUE"""),5)</f>
        <v>5</v>
      </c>
      <c r="R89" s="4">
        <f ca="1">IFERROR(__xludf.DUMMYFUNCTION("""COMPUTED_VALUE"""),5)</f>
        <v>5</v>
      </c>
      <c r="S89" s="4">
        <f ca="1">IFERROR(__xludf.DUMMYFUNCTION("""COMPUTED_VALUE"""),5)</f>
        <v>5</v>
      </c>
      <c r="T89" s="4">
        <f ca="1">IFERROR(__xludf.DUMMYFUNCTION("""COMPUTED_VALUE"""),5)</f>
        <v>5</v>
      </c>
      <c r="U89" s="4">
        <f ca="1">IFERROR(__xludf.DUMMYFUNCTION("""COMPUTED_VALUE"""),5)</f>
        <v>5</v>
      </c>
      <c r="V89" s="4">
        <f ca="1">IFERROR(__xludf.DUMMYFUNCTION("""COMPUTED_VALUE"""),5)</f>
        <v>5</v>
      </c>
      <c r="W89" s="4">
        <f ca="1">IFERROR(__xludf.DUMMYFUNCTION("""COMPUTED_VALUE"""),5)</f>
        <v>5</v>
      </c>
      <c r="X89" s="4">
        <f ca="1">IFERROR(__xludf.DUMMYFUNCTION("""COMPUTED_VALUE"""),4)</f>
        <v>4</v>
      </c>
      <c r="Y89" s="4">
        <f ca="1">IFERROR(__xludf.DUMMYFUNCTION("""COMPUTED_VALUE"""),4)</f>
        <v>4</v>
      </c>
      <c r="Z89" s="4">
        <f ca="1">IFERROR(__xludf.DUMMYFUNCTION("""COMPUTED_VALUE"""),4)</f>
        <v>4</v>
      </c>
      <c r="AA89" s="4">
        <f ca="1">IFERROR(__xludf.DUMMYFUNCTION("""COMPUTED_VALUE"""),4)</f>
        <v>4</v>
      </c>
      <c r="AB89" s="4">
        <f ca="1">IFERROR(__xludf.DUMMYFUNCTION("""COMPUTED_VALUE"""),5)</f>
        <v>5</v>
      </c>
      <c r="AC89" s="4">
        <f ca="1">IFERROR(__xludf.DUMMYFUNCTION("""COMPUTED_VALUE"""),5)</f>
        <v>5</v>
      </c>
      <c r="AD89" s="4">
        <f ca="1">IFERROR(__xludf.DUMMYFUNCTION("""COMPUTED_VALUE"""),4)</f>
        <v>4</v>
      </c>
      <c r="AE89" s="4">
        <f ca="1">IFERROR(__xludf.DUMMYFUNCTION("""COMPUTED_VALUE"""),5)</f>
        <v>5</v>
      </c>
      <c r="AF89" s="4">
        <f ca="1">IFERROR(__xludf.DUMMYFUNCTION("""COMPUTED_VALUE"""),4)</f>
        <v>4</v>
      </c>
      <c r="AG89" s="4">
        <f ca="1">IFERROR(__xludf.DUMMYFUNCTION("""COMPUTED_VALUE"""),4)</f>
        <v>4</v>
      </c>
      <c r="AH89" s="4">
        <f ca="1">IFERROR(__xludf.DUMMYFUNCTION("""COMPUTED_VALUE"""),4)</f>
        <v>4</v>
      </c>
      <c r="AI89" s="4">
        <f ca="1">IFERROR(__xludf.DUMMYFUNCTION("""COMPUTED_VALUE"""),4)</f>
        <v>4</v>
      </c>
      <c r="AJ89" s="4">
        <f ca="1">IFERROR(__xludf.DUMMYFUNCTION("""COMPUTED_VALUE"""),4)</f>
        <v>4</v>
      </c>
      <c r="AK89" s="4">
        <f ca="1">IFERROR(__xludf.DUMMYFUNCTION("""COMPUTED_VALUE"""),4)</f>
        <v>4</v>
      </c>
      <c r="AL89" s="4">
        <f ca="1">IFERROR(__xludf.DUMMYFUNCTION("""COMPUTED_VALUE"""),4)</f>
        <v>4</v>
      </c>
      <c r="AM89" s="4">
        <f ca="1">IFERROR(__xludf.DUMMYFUNCTION("""COMPUTED_VALUE"""),4)</f>
        <v>4</v>
      </c>
      <c r="AN89" s="4">
        <f ca="1">IFERROR(__xludf.DUMMYFUNCTION("""COMPUTED_VALUE"""),4)</f>
        <v>4</v>
      </c>
      <c r="AO89" s="4">
        <f ca="1">IFERROR(__xludf.DUMMYFUNCTION("""COMPUTED_VALUE"""),3)</f>
        <v>3</v>
      </c>
      <c r="AP89" s="4">
        <f ca="1">IFERROR(__xludf.DUMMYFUNCTION("""COMPUTED_VALUE"""),3)</f>
        <v>3</v>
      </c>
      <c r="AQ89" s="4">
        <f ca="1">IFERROR(__xludf.DUMMYFUNCTION("""COMPUTED_VALUE"""),3)</f>
        <v>3</v>
      </c>
      <c r="AR89" s="4">
        <f ca="1">IFERROR(__xludf.DUMMYFUNCTION("""COMPUTED_VALUE"""),3)</f>
        <v>3</v>
      </c>
      <c r="AS89" s="4">
        <f ca="1">IFERROR(__xludf.DUMMYFUNCTION("""COMPUTED_VALUE"""),3)</f>
        <v>3</v>
      </c>
      <c r="AT89" s="4">
        <f ca="1">IFERROR(__xludf.DUMMYFUNCTION("""COMPUTED_VALUE"""),3)</f>
        <v>3</v>
      </c>
      <c r="AU89" s="4">
        <f ca="1">IFERROR(__xludf.DUMMYFUNCTION("""COMPUTED_VALUE"""),3)</f>
        <v>3</v>
      </c>
      <c r="AV89" s="4">
        <f ca="1">IFERROR(__xludf.DUMMYFUNCTION("""COMPUTED_VALUE"""),3)</f>
        <v>3</v>
      </c>
      <c r="AW89" s="4">
        <f ca="1">IFERROR(__xludf.DUMMYFUNCTION("""COMPUTED_VALUE"""),3)</f>
        <v>3</v>
      </c>
      <c r="AX89" s="4">
        <f ca="1">IFERROR(__xludf.DUMMYFUNCTION("""COMPUTED_VALUE"""),4)</f>
        <v>4</v>
      </c>
      <c r="AY89" s="4">
        <f ca="1">IFERROR(__xludf.DUMMYFUNCTION("""COMPUTED_VALUE"""),5)</f>
        <v>5</v>
      </c>
      <c r="AZ89" s="4">
        <f ca="1">IFERROR(__xludf.DUMMYFUNCTION("""COMPUTED_VALUE"""),4)</f>
        <v>4</v>
      </c>
      <c r="BA89" s="4">
        <f ca="1">IFERROR(__xludf.DUMMYFUNCTION("""COMPUTED_VALUE"""),4)</f>
        <v>4</v>
      </c>
      <c r="BB89" s="4">
        <f ca="1">IFERROR(__xludf.DUMMYFUNCTION("""COMPUTED_VALUE"""),5)</f>
        <v>5</v>
      </c>
      <c r="BC89" s="4">
        <f ca="1">IFERROR(__xludf.DUMMYFUNCTION("""COMPUTED_VALUE"""),5)</f>
        <v>5</v>
      </c>
      <c r="BD89" s="4">
        <f ca="1">IFERROR(__xludf.DUMMYFUNCTION("""COMPUTED_VALUE"""),5)</f>
        <v>5</v>
      </c>
      <c r="BE89" s="4">
        <f ca="1">IFERROR(__xludf.DUMMYFUNCTION("""COMPUTED_VALUE"""),5)</f>
        <v>5</v>
      </c>
      <c r="BF89" s="4">
        <f ca="1">IFERROR(__xludf.DUMMYFUNCTION("""COMPUTED_VALUE"""),5)</f>
        <v>5</v>
      </c>
      <c r="BG89" s="4">
        <f ca="1">IFERROR(__xludf.DUMMYFUNCTION("""COMPUTED_VALUE"""),5)</f>
        <v>5</v>
      </c>
      <c r="BH89" s="4">
        <f ca="1">IFERROR(__xludf.DUMMYFUNCTION("""COMPUTED_VALUE"""),4)</f>
        <v>4</v>
      </c>
      <c r="BI89" s="4">
        <f ca="1">IFERROR(__xludf.DUMMYFUNCTION("""COMPUTED_VALUE"""),5)</f>
        <v>5</v>
      </c>
      <c r="BJ89" s="4">
        <f ca="1">IFERROR(__xludf.DUMMYFUNCTION("""COMPUTED_VALUE"""),4)</f>
        <v>4</v>
      </c>
      <c r="BK89" s="4">
        <f ca="1">IFERROR(__xludf.DUMMYFUNCTION("""COMPUTED_VALUE"""),4)</f>
        <v>4</v>
      </c>
      <c r="BL89" s="4">
        <f ca="1">IFERROR(__xludf.DUMMYFUNCTION("""COMPUTED_VALUE"""),4)</f>
        <v>4</v>
      </c>
      <c r="BM89" s="4">
        <f ca="1">IFERROR(__xludf.DUMMYFUNCTION("""COMPUTED_VALUE"""),4)</f>
        <v>4</v>
      </c>
      <c r="BN89" s="4">
        <f ca="1">IFERROR(__xludf.DUMMYFUNCTION("""COMPUTED_VALUE"""),4)</f>
        <v>4</v>
      </c>
      <c r="BO89" s="4">
        <f ca="1">IFERROR(__xludf.DUMMYFUNCTION("""COMPUTED_VALUE"""),4)</f>
        <v>4</v>
      </c>
      <c r="BP89" s="4">
        <f ca="1">IFERROR(__xludf.DUMMYFUNCTION("""COMPUTED_VALUE"""),4)</f>
        <v>4</v>
      </c>
    </row>
    <row r="90" spans="1:68" ht="13.2" x14ac:dyDescent="0.25">
      <c r="A90" s="4" t="str">
        <f ca="1">IFERROR(__xludf.DUMMYFUNCTION("""COMPUTED_VALUE"""),"2_ABaOnud9W94OV0qtErAdXAPfVbfBO4WBRDKpwB0xuEc-CdmcyB415bBU6JHJLVo6GA")</f>
        <v>2_ABaOnud9W94OV0qtErAdXAPfVbfBO4WBRDKpwB0xuEc-CdmcyB415bBU6JHJLVo6GA</v>
      </c>
      <c r="B90" s="5">
        <f ca="1">IFERROR(__xludf.DUMMYFUNCTION("""COMPUTED_VALUE"""),45968.8529466319)</f>
        <v>45968.852946631901</v>
      </c>
      <c r="C90" s="4"/>
      <c r="D90" s="4" t="str">
        <f ca="1">IFERROR(__xludf.DUMMYFUNCTION("""COMPUTED_VALUE"""),"Nam")</f>
        <v>Nam</v>
      </c>
      <c r="E90" s="4" t="str">
        <f ca="1">IFERROR(__xludf.DUMMYFUNCTION("""COMPUTED_VALUE"""),"Công ty TNHH Kiểm toán và Dịch vụ tin học Moore AISC")</f>
        <v>Công ty TNHH Kiểm toán và Dịch vụ tin học Moore AISC</v>
      </c>
      <c r="F90" s="4" t="str">
        <f ca="1">IFERROR(__xludf.DUMMYFUNCTION("""COMPUTED_VALUE"""),"Đại học")</f>
        <v>Đại học</v>
      </c>
      <c r="G90" s="4" t="str">
        <f ca="1">IFERROR(__xludf.DUMMYFUNCTION("""COMPUTED_VALUE"""),"Từ 3 đến 5 năm")</f>
        <v>Từ 3 đến 5 năm</v>
      </c>
      <c r="H90" s="4" t="str">
        <f ca="1">IFERROR(__xludf.DUMMYFUNCTION("""COMPUTED_VALUE"""),"Trợ lý kiểm toán")</f>
        <v>Trợ lý kiểm toán</v>
      </c>
      <c r="I90" s="4">
        <f ca="1">IFERROR(__xludf.DUMMYFUNCTION("""COMPUTED_VALUE"""),5)</f>
        <v>5</v>
      </c>
      <c r="J90" s="4">
        <f ca="1">IFERROR(__xludf.DUMMYFUNCTION("""COMPUTED_VALUE"""),5)</f>
        <v>5</v>
      </c>
      <c r="K90" s="4">
        <f ca="1">IFERROR(__xludf.DUMMYFUNCTION("""COMPUTED_VALUE"""),4)</f>
        <v>4</v>
      </c>
      <c r="L90" s="4">
        <f ca="1">IFERROR(__xludf.DUMMYFUNCTION("""COMPUTED_VALUE"""),4)</f>
        <v>4</v>
      </c>
      <c r="M90" s="4">
        <f ca="1">IFERROR(__xludf.DUMMYFUNCTION("""COMPUTED_VALUE"""),5)</f>
        <v>5</v>
      </c>
      <c r="N90" s="4">
        <f ca="1">IFERROR(__xludf.DUMMYFUNCTION("""COMPUTED_VALUE"""),4)</f>
        <v>4</v>
      </c>
      <c r="O90" s="4">
        <f ca="1">IFERROR(__xludf.DUMMYFUNCTION("""COMPUTED_VALUE"""),4)</f>
        <v>4</v>
      </c>
      <c r="P90" s="4">
        <f ca="1">IFERROR(__xludf.DUMMYFUNCTION("""COMPUTED_VALUE"""),5)</f>
        <v>5</v>
      </c>
      <c r="Q90" s="4">
        <f ca="1">IFERROR(__xludf.DUMMYFUNCTION("""COMPUTED_VALUE"""),5)</f>
        <v>5</v>
      </c>
      <c r="R90" s="4">
        <f ca="1">IFERROR(__xludf.DUMMYFUNCTION("""COMPUTED_VALUE"""),5)</f>
        <v>5</v>
      </c>
      <c r="S90" s="4">
        <f ca="1">IFERROR(__xludf.DUMMYFUNCTION("""COMPUTED_VALUE"""),5)</f>
        <v>5</v>
      </c>
      <c r="T90" s="4">
        <f ca="1">IFERROR(__xludf.DUMMYFUNCTION("""COMPUTED_VALUE"""),5)</f>
        <v>5</v>
      </c>
      <c r="U90" s="4">
        <f ca="1">IFERROR(__xludf.DUMMYFUNCTION("""COMPUTED_VALUE"""),5)</f>
        <v>5</v>
      </c>
      <c r="V90" s="4">
        <f ca="1">IFERROR(__xludf.DUMMYFUNCTION("""COMPUTED_VALUE"""),5)</f>
        <v>5</v>
      </c>
      <c r="W90" s="4">
        <f ca="1">IFERROR(__xludf.DUMMYFUNCTION("""COMPUTED_VALUE"""),3)</f>
        <v>3</v>
      </c>
      <c r="X90" s="4">
        <f ca="1">IFERROR(__xludf.DUMMYFUNCTION("""COMPUTED_VALUE"""),4)</f>
        <v>4</v>
      </c>
      <c r="Y90" s="4">
        <f ca="1">IFERROR(__xludf.DUMMYFUNCTION("""COMPUTED_VALUE"""),5)</f>
        <v>5</v>
      </c>
      <c r="Z90" s="4">
        <f ca="1">IFERROR(__xludf.DUMMYFUNCTION("""COMPUTED_VALUE"""),4)</f>
        <v>4</v>
      </c>
      <c r="AA90" s="4">
        <f ca="1">IFERROR(__xludf.DUMMYFUNCTION("""COMPUTED_VALUE"""),3)</f>
        <v>3</v>
      </c>
      <c r="AB90" s="4">
        <f ca="1">IFERROR(__xludf.DUMMYFUNCTION("""COMPUTED_VALUE"""),4)</f>
        <v>4</v>
      </c>
      <c r="AC90" s="4">
        <f ca="1">IFERROR(__xludf.DUMMYFUNCTION("""COMPUTED_VALUE"""),4)</f>
        <v>4</v>
      </c>
      <c r="AD90" s="4">
        <f ca="1">IFERROR(__xludf.DUMMYFUNCTION("""COMPUTED_VALUE"""),3)</f>
        <v>3</v>
      </c>
      <c r="AE90" s="4">
        <f ca="1">IFERROR(__xludf.DUMMYFUNCTION("""COMPUTED_VALUE"""),5)</f>
        <v>5</v>
      </c>
      <c r="AF90" s="4">
        <f ca="1">IFERROR(__xludf.DUMMYFUNCTION("""COMPUTED_VALUE"""),4)</f>
        <v>4</v>
      </c>
      <c r="AG90" s="4">
        <f ca="1">IFERROR(__xludf.DUMMYFUNCTION("""COMPUTED_VALUE"""),3)</f>
        <v>3</v>
      </c>
      <c r="AH90" s="4">
        <f ca="1">IFERROR(__xludf.DUMMYFUNCTION("""COMPUTED_VALUE"""),4)</f>
        <v>4</v>
      </c>
      <c r="AI90" s="4">
        <f ca="1">IFERROR(__xludf.DUMMYFUNCTION("""COMPUTED_VALUE"""),3)</f>
        <v>3</v>
      </c>
      <c r="AJ90" s="4">
        <f ca="1">IFERROR(__xludf.DUMMYFUNCTION("""COMPUTED_VALUE"""),4)</f>
        <v>4</v>
      </c>
      <c r="AK90" s="4">
        <f ca="1">IFERROR(__xludf.DUMMYFUNCTION("""COMPUTED_VALUE"""),5)</f>
        <v>5</v>
      </c>
      <c r="AL90" s="4">
        <f ca="1">IFERROR(__xludf.DUMMYFUNCTION("""COMPUTED_VALUE"""),5)</f>
        <v>5</v>
      </c>
      <c r="AM90" s="4">
        <f ca="1">IFERROR(__xludf.DUMMYFUNCTION("""COMPUTED_VALUE"""),4)</f>
        <v>4</v>
      </c>
      <c r="AN90" s="4">
        <f ca="1">IFERROR(__xludf.DUMMYFUNCTION("""COMPUTED_VALUE"""),4)</f>
        <v>4</v>
      </c>
      <c r="AO90" s="4">
        <f ca="1">IFERROR(__xludf.DUMMYFUNCTION("""COMPUTED_VALUE"""),4)</f>
        <v>4</v>
      </c>
      <c r="AP90" s="4">
        <f ca="1">IFERROR(__xludf.DUMMYFUNCTION("""COMPUTED_VALUE"""),3)</f>
        <v>3</v>
      </c>
      <c r="AQ90" s="4">
        <f ca="1">IFERROR(__xludf.DUMMYFUNCTION("""COMPUTED_VALUE"""),4)</f>
        <v>4</v>
      </c>
      <c r="AR90" s="4">
        <f ca="1">IFERROR(__xludf.DUMMYFUNCTION("""COMPUTED_VALUE"""),3)</f>
        <v>3</v>
      </c>
      <c r="AS90" s="4">
        <f ca="1">IFERROR(__xludf.DUMMYFUNCTION("""COMPUTED_VALUE"""),3)</f>
        <v>3</v>
      </c>
      <c r="AT90" s="4">
        <f ca="1">IFERROR(__xludf.DUMMYFUNCTION("""COMPUTED_VALUE"""),4)</f>
        <v>4</v>
      </c>
      <c r="AU90" s="4">
        <f ca="1">IFERROR(__xludf.DUMMYFUNCTION("""COMPUTED_VALUE"""),4)</f>
        <v>4</v>
      </c>
      <c r="AV90" s="4">
        <f ca="1">IFERROR(__xludf.DUMMYFUNCTION("""COMPUTED_VALUE"""),4)</f>
        <v>4</v>
      </c>
      <c r="AW90" s="4">
        <f ca="1">IFERROR(__xludf.DUMMYFUNCTION("""COMPUTED_VALUE"""),4)</f>
        <v>4</v>
      </c>
      <c r="AX90" s="4">
        <f ca="1">IFERROR(__xludf.DUMMYFUNCTION("""COMPUTED_VALUE"""),4)</f>
        <v>4</v>
      </c>
      <c r="AY90" s="4">
        <f ca="1">IFERROR(__xludf.DUMMYFUNCTION("""COMPUTED_VALUE"""),5)</f>
        <v>5</v>
      </c>
      <c r="AZ90" s="4">
        <f ca="1">IFERROR(__xludf.DUMMYFUNCTION("""COMPUTED_VALUE"""),4)</f>
        <v>4</v>
      </c>
      <c r="BA90" s="4">
        <f ca="1">IFERROR(__xludf.DUMMYFUNCTION("""COMPUTED_VALUE"""),4)</f>
        <v>4</v>
      </c>
      <c r="BB90" s="4">
        <f ca="1">IFERROR(__xludf.DUMMYFUNCTION("""COMPUTED_VALUE"""),5)</f>
        <v>5</v>
      </c>
      <c r="BC90" s="4">
        <f ca="1">IFERROR(__xludf.DUMMYFUNCTION("""COMPUTED_VALUE"""),5)</f>
        <v>5</v>
      </c>
      <c r="BD90" s="4">
        <f ca="1">IFERROR(__xludf.DUMMYFUNCTION("""COMPUTED_VALUE"""),4)</f>
        <v>4</v>
      </c>
      <c r="BE90" s="4">
        <f ca="1">IFERROR(__xludf.DUMMYFUNCTION("""COMPUTED_VALUE"""),4)</f>
        <v>4</v>
      </c>
      <c r="BF90" s="4">
        <f ca="1">IFERROR(__xludf.DUMMYFUNCTION("""COMPUTED_VALUE"""),5)</f>
        <v>5</v>
      </c>
      <c r="BG90" s="4">
        <f ca="1">IFERROR(__xludf.DUMMYFUNCTION("""COMPUTED_VALUE"""),3)</f>
        <v>3</v>
      </c>
      <c r="BH90" s="4">
        <f ca="1">IFERROR(__xludf.DUMMYFUNCTION("""COMPUTED_VALUE"""),4)</f>
        <v>4</v>
      </c>
      <c r="BI90" s="4">
        <f ca="1">IFERROR(__xludf.DUMMYFUNCTION("""COMPUTED_VALUE"""),5)</f>
        <v>5</v>
      </c>
      <c r="BJ90" s="4">
        <f ca="1">IFERROR(__xludf.DUMMYFUNCTION("""COMPUTED_VALUE"""),5)</f>
        <v>5</v>
      </c>
      <c r="BK90" s="4">
        <f ca="1">IFERROR(__xludf.DUMMYFUNCTION("""COMPUTED_VALUE"""),4)</f>
        <v>4</v>
      </c>
      <c r="BL90" s="4">
        <f ca="1">IFERROR(__xludf.DUMMYFUNCTION("""COMPUTED_VALUE"""),4)</f>
        <v>4</v>
      </c>
      <c r="BM90" s="4">
        <f ca="1">IFERROR(__xludf.DUMMYFUNCTION("""COMPUTED_VALUE"""),5)</f>
        <v>5</v>
      </c>
      <c r="BN90" s="4">
        <f ca="1">IFERROR(__xludf.DUMMYFUNCTION("""COMPUTED_VALUE"""),5)</f>
        <v>5</v>
      </c>
      <c r="BO90" s="4">
        <f ca="1">IFERROR(__xludf.DUMMYFUNCTION("""COMPUTED_VALUE"""),5)</f>
        <v>5</v>
      </c>
      <c r="BP90" s="4">
        <f ca="1">IFERROR(__xludf.DUMMYFUNCTION("""COMPUTED_VALUE"""),5)</f>
        <v>5</v>
      </c>
    </row>
    <row r="91" spans="1:68" ht="13.2" x14ac:dyDescent="0.25">
      <c r="A91" s="4" t="str">
        <f ca="1">IFERROR(__xludf.DUMMYFUNCTION("""COMPUTED_VALUE"""),"2_ABaOnueDjv_uJqc70OtQ-aHx6Et5IxjBAvzyeTmS__rXNJJpcOx6ayY6g9agLn0V4w")</f>
        <v>2_ABaOnueDjv_uJqc70OtQ-aHx6Et5IxjBAvzyeTmS__rXNJJpcOx6ayY6g9agLn0V4w</v>
      </c>
      <c r="B91" s="5">
        <f ca="1">IFERROR(__xludf.DUMMYFUNCTION("""COMPUTED_VALUE"""),45968.8996696296)</f>
        <v>45968.899669629602</v>
      </c>
      <c r="C91" s="4" t="str">
        <f ca="1">IFERROR(__xludf.DUMMYFUNCTION("""COMPUTED_VALUE"""),"Nguyễn Thị Hồng Tiên")</f>
        <v>Nguyễn Thị Hồng Tiên</v>
      </c>
      <c r="D91" s="4" t="str">
        <f ca="1">IFERROR(__xludf.DUMMYFUNCTION("""COMPUTED_VALUE"""),"Nữ")</f>
        <v>Nữ</v>
      </c>
      <c r="E91" s="4" t="str">
        <f ca="1">IFERROR(__xludf.DUMMYFUNCTION("""COMPUTED_VALUE"""),"Công ty TNHH Kiểm toán và Dịch vụ Tin học Moore AISC")</f>
        <v>Công ty TNHH Kiểm toán và Dịch vụ Tin học Moore AISC</v>
      </c>
      <c r="F91" s="4" t="str">
        <f ca="1">IFERROR(__xludf.DUMMYFUNCTION("""COMPUTED_VALUE"""),"Đại học")</f>
        <v>Đại học</v>
      </c>
      <c r="G91" s="4" t="str">
        <f ca="1">IFERROR(__xludf.DUMMYFUNCTION("""COMPUTED_VALUE"""),"Từ 3 đến 5 năm")</f>
        <v>Từ 3 đến 5 năm</v>
      </c>
      <c r="H91" s="4" t="str">
        <f ca="1">IFERROR(__xludf.DUMMYFUNCTION("""COMPUTED_VALUE"""),"Trợ lý kiểm toán")</f>
        <v>Trợ lý kiểm toán</v>
      </c>
      <c r="I91" s="4">
        <f ca="1">IFERROR(__xludf.DUMMYFUNCTION("""COMPUTED_VALUE"""),5)</f>
        <v>5</v>
      </c>
      <c r="J91" s="4">
        <f ca="1">IFERROR(__xludf.DUMMYFUNCTION("""COMPUTED_VALUE"""),5)</f>
        <v>5</v>
      </c>
      <c r="K91" s="4">
        <f ca="1">IFERROR(__xludf.DUMMYFUNCTION("""COMPUTED_VALUE"""),5)</f>
        <v>5</v>
      </c>
      <c r="L91" s="4">
        <f ca="1">IFERROR(__xludf.DUMMYFUNCTION("""COMPUTED_VALUE"""),5)</f>
        <v>5</v>
      </c>
      <c r="M91" s="4">
        <f ca="1">IFERROR(__xludf.DUMMYFUNCTION("""COMPUTED_VALUE"""),4)</f>
        <v>4</v>
      </c>
      <c r="N91" s="4">
        <f ca="1">IFERROR(__xludf.DUMMYFUNCTION("""COMPUTED_VALUE"""),5)</f>
        <v>5</v>
      </c>
      <c r="O91" s="4">
        <f ca="1">IFERROR(__xludf.DUMMYFUNCTION("""COMPUTED_VALUE"""),5)</f>
        <v>5</v>
      </c>
      <c r="P91" s="4">
        <f ca="1">IFERROR(__xludf.DUMMYFUNCTION("""COMPUTED_VALUE"""),5)</f>
        <v>5</v>
      </c>
      <c r="Q91" s="4">
        <f ca="1">IFERROR(__xludf.DUMMYFUNCTION("""COMPUTED_VALUE"""),5)</f>
        <v>5</v>
      </c>
      <c r="R91" s="4">
        <f ca="1">IFERROR(__xludf.DUMMYFUNCTION("""COMPUTED_VALUE"""),5)</f>
        <v>5</v>
      </c>
      <c r="S91" s="4">
        <f ca="1">IFERROR(__xludf.DUMMYFUNCTION("""COMPUTED_VALUE"""),5)</f>
        <v>5</v>
      </c>
      <c r="T91" s="4">
        <f ca="1">IFERROR(__xludf.DUMMYFUNCTION("""COMPUTED_VALUE"""),5)</f>
        <v>5</v>
      </c>
      <c r="U91" s="4">
        <f ca="1">IFERROR(__xludf.DUMMYFUNCTION("""COMPUTED_VALUE"""),5)</f>
        <v>5</v>
      </c>
      <c r="V91" s="4">
        <f ca="1">IFERROR(__xludf.DUMMYFUNCTION("""COMPUTED_VALUE"""),5)</f>
        <v>5</v>
      </c>
      <c r="W91" s="4">
        <f ca="1">IFERROR(__xludf.DUMMYFUNCTION("""COMPUTED_VALUE"""),3)</f>
        <v>3</v>
      </c>
      <c r="X91" s="4">
        <f ca="1">IFERROR(__xludf.DUMMYFUNCTION("""COMPUTED_VALUE"""),3)</f>
        <v>3</v>
      </c>
      <c r="Y91" s="4">
        <f ca="1">IFERROR(__xludf.DUMMYFUNCTION("""COMPUTED_VALUE"""),3)</f>
        <v>3</v>
      </c>
      <c r="Z91" s="4">
        <f ca="1">IFERROR(__xludf.DUMMYFUNCTION("""COMPUTED_VALUE"""),3)</f>
        <v>3</v>
      </c>
      <c r="AA91" s="4">
        <f ca="1">IFERROR(__xludf.DUMMYFUNCTION("""COMPUTED_VALUE"""),3)</f>
        <v>3</v>
      </c>
      <c r="AB91" s="4">
        <f ca="1">IFERROR(__xludf.DUMMYFUNCTION("""COMPUTED_VALUE"""),4)</f>
        <v>4</v>
      </c>
      <c r="AC91" s="4">
        <f ca="1">IFERROR(__xludf.DUMMYFUNCTION("""COMPUTED_VALUE"""),2)</f>
        <v>2</v>
      </c>
      <c r="AD91" s="4">
        <f ca="1">IFERROR(__xludf.DUMMYFUNCTION("""COMPUTED_VALUE"""),4)</f>
        <v>4</v>
      </c>
      <c r="AE91" s="4">
        <f ca="1">IFERROR(__xludf.DUMMYFUNCTION("""COMPUTED_VALUE"""),5)</f>
        <v>5</v>
      </c>
      <c r="AF91" s="4">
        <f ca="1">IFERROR(__xludf.DUMMYFUNCTION("""COMPUTED_VALUE"""),5)</f>
        <v>5</v>
      </c>
      <c r="AG91" s="4">
        <f ca="1">IFERROR(__xludf.DUMMYFUNCTION("""COMPUTED_VALUE"""),5)</f>
        <v>5</v>
      </c>
      <c r="AH91" s="4">
        <f ca="1">IFERROR(__xludf.DUMMYFUNCTION("""COMPUTED_VALUE"""),5)</f>
        <v>5</v>
      </c>
      <c r="AI91" s="4">
        <f ca="1">IFERROR(__xludf.DUMMYFUNCTION("""COMPUTED_VALUE"""),5)</f>
        <v>5</v>
      </c>
      <c r="AJ91" s="4">
        <f ca="1">IFERROR(__xludf.DUMMYFUNCTION("""COMPUTED_VALUE"""),5)</f>
        <v>5</v>
      </c>
      <c r="AK91" s="4">
        <f ca="1">IFERROR(__xludf.DUMMYFUNCTION("""COMPUTED_VALUE"""),5)</f>
        <v>5</v>
      </c>
      <c r="AL91" s="4">
        <f ca="1">IFERROR(__xludf.DUMMYFUNCTION("""COMPUTED_VALUE"""),5)</f>
        <v>5</v>
      </c>
      <c r="AM91" s="4">
        <f ca="1">IFERROR(__xludf.DUMMYFUNCTION("""COMPUTED_VALUE"""),5)</f>
        <v>5</v>
      </c>
      <c r="AN91" s="4">
        <f ca="1">IFERROR(__xludf.DUMMYFUNCTION("""COMPUTED_VALUE"""),5)</f>
        <v>5</v>
      </c>
      <c r="AO91" s="4">
        <f ca="1">IFERROR(__xludf.DUMMYFUNCTION("""COMPUTED_VALUE"""),5)</f>
        <v>5</v>
      </c>
      <c r="AP91" s="4">
        <f ca="1">IFERROR(__xludf.DUMMYFUNCTION("""COMPUTED_VALUE"""),5)</f>
        <v>5</v>
      </c>
      <c r="AQ91" s="4">
        <f ca="1">IFERROR(__xludf.DUMMYFUNCTION("""COMPUTED_VALUE"""),5)</f>
        <v>5</v>
      </c>
      <c r="AR91" s="4">
        <f ca="1">IFERROR(__xludf.DUMMYFUNCTION("""COMPUTED_VALUE"""),5)</f>
        <v>5</v>
      </c>
      <c r="AS91" s="4">
        <f ca="1">IFERROR(__xludf.DUMMYFUNCTION("""COMPUTED_VALUE"""),5)</f>
        <v>5</v>
      </c>
      <c r="AT91" s="4">
        <f ca="1">IFERROR(__xludf.DUMMYFUNCTION("""COMPUTED_VALUE"""),5)</f>
        <v>5</v>
      </c>
      <c r="AU91" s="4">
        <f ca="1">IFERROR(__xludf.DUMMYFUNCTION("""COMPUTED_VALUE"""),5)</f>
        <v>5</v>
      </c>
      <c r="AV91" s="4">
        <f ca="1">IFERROR(__xludf.DUMMYFUNCTION("""COMPUTED_VALUE"""),5)</f>
        <v>5</v>
      </c>
      <c r="AW91" s="4">
        <f ca="1">IFERROR(__xludf.DUMMYFUNCTION("""COMPUTED_VALUE"""),5)</f>
        <v>5</v>
      </c>
      <c r="AX91" s="4">
        <f ca="1">IFERROR(__xludf.DUMMYFUNCTION("""COMPUTED_VALUE"""),5)</f>
        <v>5</v>
      </c>
      <c r="AY91" s="4">
        <f ca="1">IFERROR(__xludf.DUMMYFUNCTION("""COMPUTED_VALUE"""),5)</f>
        <v>5</v>
      </c>
      <c r="AZ91" s="4">
        <f ca="1">IFERROR(__xludf.DUMMYFUNCTION("""COMPUTED_VALUE"""),5)</f>
        <v>5</v>
      </c>
      <c r="BA91" s="4">
        <f ca="1">IFERROR(__xludf.DUMMYFUNCTION("""COMPUTED_VALUE"""),5)</f>
        <v>5</v>
      </c>
      <c r="BB91" s="4">
        <f ca="1">IFERROR(__xludf.DUMMYFUNCTION("""COMPUTED_VALUE"""),4)</f>
        <v>4</v>
      </c>
      <c r="BC91" s="4">
        <f ca="1">IFERROR(__xludf.DUMMYFUNCTION("""COMPUTED_VALUE"""),4)</f>
        <v>4</v>
      </c>
      <c r="BD91" s="4">
        <f ca="1">IFERROR(__xludf.DUMMYFUNCTION("""COMPUTED_VALUE"""),4)</f>
        <v>4</v>
      </c>
      <c r="BE91" s="4">
        <f ca="1">IFERROR(__xludf.DUMMYFUNCTION("""COMPUTED_VALUE"""),4)</f>
        <v>4</v>
      </c>
      <c r="BF91" s="4">
        <f ca="1">IFERROR(__xludf.DUMMYFUNCTION("""COMPUTED_VALUE"""),4)</f>
        <v>4</v>
      </c>
      <c r="BG91" s="4">
        <f ca="1">IFERROR(__xludf.DUMMYFUNCTION("""COMPUTED_VALUE"""),4)</f>
        <v>4</v>
      </c>
      <c r="BH91" s="4">
        <f ca="1">IFERROR(__xludf.DUMMYFUNCTION("""COMPUTED_VALUE"""),4)</f>
        <v>4</v>
      </c>
      <c r="BI91" s="4">
        <f ca="1">IFERROR(__xludf.DUMMYFUNCTION("""COMPUTED_VALUE"""),4)</f>
        <v>4</v>
      </c>
      <c r="BJ91" s="4">
        <f ca="1">IFERROR(__xludf.DUMMYFUNCTION("""COMPUTED_VALUE"""),4)</f>
        <v>4</v>
      </c>
      <c r="BK91" s="4">
        <f ca="1">IFERROR(__xludf.DUMMYFUNCTION("""COMPUTED_VALUE"""),5)</f>
        <v>5</v>
      </c>
      <c r="BL91" s="4">
        <f ca="1">IFERROR(__xludf.DUMMYFUNCTION("""COMPUTED_VALUE"""),5)</f>
        <v>5</v>
      </c>
      <c r="BM91" s="4">
        <f ca="1">IFERROR(__xludf.DUMMYFUNCTION("""COMPUTED_VALUE"""),5)</f>
        <v>5</v>
      </c>
      <c r="BN91" s="4">
        <f ca="1">IFERROR(__xludf.DUMMYFUNCTION("""COMPUTED_VALUE"""),5)</f>
        <v>5</v>
      </c>
      <c r="BO91" s="4">
        <f ca="1">IFERROR(__xludf.DUMMYFUNCTION("""COMPUTED_VALUE"""),5)</f>
        <v>5</v>
      </c>
      <c r="BP91" s="4">
        <f ca="1">IFERROR(__xludf.DUMMYFUNCTION("""COMPUTED_VALUE"""),5)</f>
        <v>5</v>
      </c>
    </row>
    <row r="92" spans="1:68" ht="13.2" x14ac:dyDescent="0.25">
      <c r="A92" s="4" t="str">
        <f ca="1">IFERROR(__xludf.DUMMYFUNCTION("""COMPUTED_VALUE"""),"2_ABaOnufjxn3pI5dAfoFdx3Ycpixi3uA10eHXc5IsrX7fI9i3Yfoaxjn1TbyMWUCA9A")</f>
        <v>2_ABaOnufjxn3pI5dAfoFdx3Ycpixi3uA10eHXc5IsrX7fI9i3Yfoaxjn1TbyMWUCA9A</v>
      </c>
      <c r="B92" s="5">
        <f ca="1">IFERROR(__xludf.DUMMYFUNCTION("""COMPUTED_VALUE"""),45968.9173121759)</f>
        <v>45968.917312175901</v>
      </c>
      <c r="C92" s="4" t="str">
        <f ca="1">IFERROR(__xludf.DUMMYFUNCTION("""COMPUTED_VALUE"""),"Nguyễn Đoan Duy")</f>
        <v>Nguyễn Đoan Duy</v>
      </c>
      <c r="D92" s="4" t="str">
        <f ca="1">IFERROR(__xludf.DUMMYFUNCTION("""COMPUTED_VALUE"""),"Nam")</f>
        <v>Nam</v>
      </c>
      <c r="E92" s="4" t="str">
        <f ca="1">IFERROR(__xludf.DUMMYFUNCTION("""COMPUTED_VALUE"""),"Moore AISC")</f>
        <v>Moore AISC</v>
      </c>
      <c r="F92" s="4" t="str">
        <f ca="1">IFERROR(__xludf.DUMMYFUNCTION("""COMPUTED_VALUE"""),"Đại học")</f>
        <v>Đại học</v>
      </c>
      <c r="G92" s="4" t="str">
        <f ca="1">IFERROR(__xludf.DUMMYFUNCTION("""COMPUTED_VALUE"""),"Từ 3 đến 5 năm")</f>
        <v>Từ 3 đến 5 năm</v>
      </c>
      <c r="H92" s="4" t="str">
        <f ca="1">IFERROR(__xludf.DUMMYFUNCTION("""COMPUTED_VALUE"""),"Trợ lý kiểm toán")</f>
        <v>Trợ lý kiểm toán</v>
      </c>
      <c r="I92" s="4">
        <f ca="1">IFERROR(__xludf.DUMMYFUNCTION("""COMPUTED_VALUE"""),5)</f>
        <v>5</v>
      </c>
      <c r="J92" s="4">
        <f ca="1">IFERROR(__xludf.DUMMYFUNCTION("""COMPUTED_VALUE"""),5)</f>
        <v>5</v>
      </c>
      <c r="K92" s="4">
        <f ca="1">IFERROR(__xludf.DUMMYFUNCTION("""COMPUTED_VALUE"""),5)</f>
        <v>5</v>
      </c>
      <c r="L92" s="4">
        <f ca="1">IFERROR(__xludf.DUMMYFUNCTION("""COMPUTED_VALUE"""),4)</f>
        <v>4</v>
      </c>
      <c r="M92" s="4">
        <f ca="1">IFERROR(__xludf.DUMMYFUNCTION("""COMPUTED_VALUE"""),5)</f>
        <v>5</v>
      </c>
      <c r="N92" s="4">
        <f ca="1">IFERROR(__xludf.DUMMYFUNCTION("""COMPUTED_VALUE"""),4)</f>
        <v>4</v>
      </c>
      <c r="O92" s="4">
        <f ca="1">IFERROR(__xludf.DUMMYFUNCTION("""COMPUTED_VALUE"""),4)</f>
        <v>4</v>
      </c>
      <c r="P92" s="4">
        <f ca="1">IFERROR(__xludf.DUMMYFUNCTION("""COMPUTED_VALUE"""),5)</f>
        <v>5</v>
      </c>
      <c r="Q92" s="4">
        <f ca="1">IFERROR(__xludf.DUMMYFUNCTION("""COMPUTED_VALUE"""),5)</f>
        <v>5</v>
      </c>
      <c r="R92" s="4">
        <f ca="1">IFERROR(__xludf.DUMMYFUNCTION("""COMPUTED_VALUE"""),5)</f>
        <v>5</v>
      </c>
      <c r="S92" s="4">
        <f ca="1">IFERROR(__xludf.DUMMYFUNCTION("""COMPUTED_VALUE"""),5)</f>
        <v>5</v>
      </c>
      <c r="T92" s="4">
        <f ca="1">IFERROR(__xludf.DUMMYFUNCTION("""COMPUTED_VALUE"""),4)</f>
        <v>4</v>
      </c>
      <c r="U92" s="4">
        <f ca="1">IFERROR(__xludf.DUMMYFUNCTION("""COMPUTED_VALUE"""),5)</f>
        <v>5</v>
      </c>
      <c r="V92" s="4">
        <f ca="1">IFERROR(__xludf.DUMMYFUNCTION("""COMPUTED_VALUE"""),5)</f>
        <v>5</v>
      </c>
      <c r="W92" s="4">
        <f ca="1">IFERROR(__xludf.DUMMYFUNCTION("""COMPUTED_VALUE"""),3)</f>
        <v>3</v>
      </c>
      <c r="X92" s="4">
        <f ca="1">IFERROR(__xludf.DUMMYFUNCTION("""COMPUTED_VALUE"""),4)</f>
        <v>4</v>
      </c>
      <c r="Y92" s="4">
        <f ca="1">IFERROR(__xludf.DUMMYFUNCTION("""COMPUTED_VALUE"""),4)</f>
        <v>4</v>
      </c>
      <c r="Z92" s="4">
        <f ca="1">IFERROR(__xludf.DUMMYFUNCTION("""COMPUTED_VALUE"""),4)</f>
        <v>4</v>
      </c>
      <c r="AA92" s="4">
        <f ca="1">IFERROR(__xludf.DUMMYFUNCTION("""COMPUTED_VALUE"""),4)</f>
        <v>4</v>
      </c>
      <c r="AB92" s="4">
        <f ca="1">IFERROR(__xludf.DUMMYFUNCTION("""COMPUTED_VALUE"""),4)</f>
        <v>4</v>
      </c>
      <c r="AC92" s="4">
        <f ca="1">IFERROR(__xludf.DUMMYFUNCTION("""COMPUTED_VALUE"""),3)</f>
        <v>3</v>
      </c>
      <c r="AD92" s="4">
        <f ca="1">IFERROR(__xludf.DUMMYFUNCTION("""COMPUTED_VALUE"""),4)</f>
        <v>4</v>
      </c>
      <c r="AE92" s="4">
        <f ca="1">IFERROR(__xludf.DUMMYFUNCTION("""COMPUTED_VALUE"""),4)</f>
        <v>4</v>
      </c>
      <c r="AF92" s="4">
        <f ca="1">IFERROR(__xludf.DUMMYFUNCTION("""COMPUTED_VALUE"""),5)</f>
        <v>5</v>
      </c>
      <c r="AG92" s="4">
        <f ca="1">IFERROR(__xludf.DUMMYFUNCTION("""COMPUTED_VALUE"""),4)</f>
        <v>4</v>
      </c>
      <c r="AH92" s="4">
        <f ca="1">IFERROR(__xludf.DUMMYFUNCTION("""COMPUTED_VALUE"""),4)</f>
        <v>4</v>
      </c>
      <c r="AI92" s="4">
        <f ca="1">IFERROR(__xludf.DUMMYFUNCTION("""COMPUTED_VALUE"""),4)</f>
        <v>4</v>
      </c>
      <c r="AJ92" s="4">
        <f ca="1">IFERROR(__xludf.DUMMYFUNCTION("""COMPUTED_VALUE"""),4)</f>
        <v>4</v>
      </c>
      <c r="AK92" s="4">
        <f ca="1">IFERROR(__xludf.DUMMYFUNCTION("""COMPUTED_VALUE"""),4)</f>
        <v>4</v>
      </c>
      <c r="AL92" s="4">
        <f ca="1">IFERROR(__xludf.DUMMYFUNCTION("""COMPUTED_VALUE"""),5)</f>
        <v>5</v>
      </c>
      <c r="AM92" s="4">
        <f ca="1">IFERROR(__xludf.DUMMYFUNCTION("""COMPUTED_VALUE"""),5)</f>
        <v>5</v>
      </c>
      <c r="AN92" s="4">
        <f ca="1">IFERROR(__xludf.DUMMYFUNCTION("""COMPUTED_VALUE"""),5)</f>
        <v>5</v>
      </c>
      <c r="AO92" s="4">
        <f ca="1">IFERROR(__xludf.DUMMYFUNCTION("""COMPUTED_VALUE"""),4)</f>
        <v>4</v>
      </c>
      <c r="AP92" s="4">
        <f ca="1">IFERROR(__xludf.DUMMYFUNCTION("""COMPUTED_VALUE"""),4)</f>
        <v>4</v>
      </c>
      <c r="AQ92" s="4">
        <f ca="1">IFERROR(__xludf.DUMMYFUNCTION("""COMPUTED_VALUE"""),4)</f>
        <v>4</v>
      </c>
      <c r="AR92" s="4">
        <f ca="1">IFERROR(__xludf.DUMMYFUNCTION("""COMPUTED_VALUE"""),3)</f>
        <v>3</v>
      </c>
      <c r="AS92" s="4">
        <f ca="1">IFERROR(__xludf.DUMMYFUNCTION("""COMPUTED_VALUE"""),4)</f>
        <v>4</v>
      </c>
      <c r="AT92" s="4">
        <f ca="1">IFERROR(__xludf.DUMMYFUNCTION("""COMPUTED_VALUE"""),3)</f>
        <v>3</v>
      </c>
      <c r="AU92" s="4">
        <f ca="1">IFERROR(__xludf.DUMMYFUNCTION("""COMPUTED_VALUE"""),4)</f>
        <v>4</v>
      </c>
      <c r="AV92" s="4">
        <f ca="1">IFERROR(__xludf.DUMMYFUNCTION("""COMPUTED_VALUE"""),4)</f>
        <v>4</v>
      </c>
      <c r="AW92" s="4">
        <f ca="1">IFERROR(__xludf.DUMMYFUNCTION("""COMPUTED_VALUE"""),4)</f>
        <v>4</v>
      </c>
      <c r="AX92" s="4">
        <f ca="1">IFERROR(__xludf.DUMMYFUNCTION("""COMPUTED_VALUE"""),5)</f>
        <v>5</v>
      </c>
      <c r="AY92" s="4">
        <f ca="1">IFERROR(__xludf.DUMMYFUNCTION("""COMPUTED_VALUE"""),5)</f>
        <v>5</v>
      </c>
      <c r="AZ92" s="4">
        <f ca="1">IFERROR(__xludf.DUMMYFUNCTION("""COMPUTED_VALUE"""),5)</f>
        <v>5</v>
      </c>
      <c r="BA92" s="4">
        <f ca="1">IFERROR(__xludf.DUMMYFUNCTION("""COMPUTED_VALUE"""),5)</f>
        <v>5</v>
      </c>
      <c r="BB92" s="4">
        <f ca="1">IFERROR(__xludf.DUMMYFUNCTION("""COMPUTED_VALUE"""),4)</f>
        <v>4</v>
      </c>
      <c r="BC92" s="4">
        <f ca="1">IFERROR(__xludf.DUMMYFUNCTION("""COMPUTED_VALUE"""),4)</f>
        <v>4</v>
      </c>
      <c r="BD92" s="4">
        <f ca="1">IFERROR(__xludf.DUMMYFUNCTION("""COMPUTED_VALUE"""),4)</f>
        <v>4</v>
      </c>
      <c r="BE92" s="4">
        <f ca="1">IFERROR(__xludf.DUMMYFUNCTION("""COMPUTED_VALUE"""),4)</f>
        <v>4</v>
      </c>
      <c r="BF92" s="4">
        <f ca="1">IFERROR(__xludf.DUMMYFUNCTION("""COMPUTED_VALUE"""),4)</f>
        <v>4</v>
      </c>
      <c r="BG92" s="4">
        <f ca="1">IFERROR(__xludf.DUMMYFUNCTION("""COMPUTED_VALUE"""),4)</f>
        <v>4</v>
      </c>
      <c r="BH92" s="4">
        <f ca="1">IFERROR(__xludf.DUMMYFUNCTION("""COMPUTED_VALUE"""),4)</f>
        <v>4</v>
      </c>
      <c r="BI92" s="4">
        <f ca="1">IFERROR(__xludf.DUMMYFUNCTION("""COMPUTED_VALUE"""),4)</f>
        <v>4</v>
      </c>
      <c r="BJ92" s="4">
        <f ca="1">IFERROR(__xludf.DUMMYFUNCTION("""COMPUTED_VALUE"""),4)</f>
        <v>4</v>
      </c>
      <c r="BK92" s="4">
        <f ca="1">IFERROR(__xludf.DUMMYFUNCTION("""COMPUTED_VALUE"""),3)</f>
        <v>3</v>
      </c>
      <c r="BL92" s="4">
        <f ca="1">IFERROR(__xludf.DUMMYFUNCTION("""COMPUTED_VALUE"""),3)</f>
        <v>3</v>
      </c>
      <c r="BM92" s="4">
        <f ca="1">IFERROR(__xludf.DUMMYFUNCTION("""COMPUTED_VALUE"""),4)</f>
        <v>4</v>
      </c>
      <c r="BN92" s="4">
        <f ca="1">IFERROR(__xludf.DUMMYFUNCTION("""COMPUTED_VALUE"""),3)</f>
        <v>3</v>
      </c>
      <c r="BO92" s="4">
        <f ca="1">IFERROR(__xludf.DUMMYFUNCTION("""COMPUTED_VALUE"""),4)</f>
        <v>4</v>
      </c>
      <c r="BP92" s="4">
        <f ca="1">IFERROR(__xludf.DUMMYFUNCTION("""COMPUTED_VALUE"""),3)</f>
        <v>3</v>
      </c>
    </row>
    <row r="93" spans="1:68" ht="13.2" x14ac:dyDescent="0.25">
      <c r="A93" s="4" t="str">
        <f ca="1">IFERROR(__xludf.DUMMYFUNCTION("""COMPUTED_VALUE"""),"2_ABaOnuc_9sag6fLeZAeDSGYqtxTA_Ob3u5Cm0JGIxv3oNSZOgImTipEolLnc5fidqw")</f>
        <v>2_ABaOnuc_9sag6fLeZAeDSGYqtxTA_Ob3u5Cm0JGIxv3oNSZOgImTipEolLnc5fidqw</v>
      </c>
      <c r="B93" s="5">
        <f ca="1">IFERROR(__xludf.DUMMYFUNCTION("""COMPUTED_VALUE"""),45968.9881724421)</f>
        <v>45968.988172442099</v>
      </c>
      <c r="C93" s="4" t="str">
        <f ca="1">IFERROR(__xludf.DUMMYFUNCTION("""COMPUTED_VALUE"""),"Nguyễn Thanh Tùng")</f>
        <v>Nguyễn Thanh Tùng</v>
      </c>
      <c r="D93" s="4" t="str">
        <f ca="1">IFERROR(__xludf.DUMMYFUNCTION("""COMPUTED_VALUE"""),"Nam")</f>
        <v>Nam</v>
      </c>
      <c r="E93" s="4" t="str">
        <f ca="1">IFERROR(__xludf.DUMMYFUNCTION("""COMPUTED_VALUE"""),"Chi nhánh Công ty TNHH Kiểm toán và Dịch vụ Tin học MOORE AISC")</f>
        <v>Chi nhánh Công ty TNHH Kiểm toán và Dịch vụ Tin học MOORE AISC</v>
      </c>
      <c r="F93" s="4" t="str">
        <f ca="1">IFERROR(__xludf.DUMMYFUNCTION("""COMPUTED_VALUE"""),"Đại học, Chứng chỉ Kiểm toán viên")</f>
        <v>Đại học, Chứng chỉ Kiểm toán viên</v>
      </c>
      <c r="G93" s="4" t="str">
        <f ca="1">IFERROR(__xludf.DUMMYFUNCTION("""COMPUTED_VALUE"""),"Trên 10 đến 15 năm")</f>
        <v>Trên 10 đến 15 năm</v>
      </c>
      <c r="H93" s="4" t="str">
        <f ca="1">IFERROR(__xludf.DUMMYFUNCTION("""COMPUTED_VALUE"""),"Trưởng phòng")</f>
        <v>Trưởng phòng</v>
      </c>
      <c r="I93" s="4">
        <f ca="1">IFERROR(__xludf.DUMMYFUNCTION("""COMPUTED_VALUE"""),5)</f>
        <v>5</v>
      </c>
      <c r="J93" s="4">
        <f ca="1">IFERROR(__xludf.DUMMYFUNCTION("""COMPUTED_VALUE"""),5)</f>
        <v>5</v>
      </c>
      <c r="K93" s="4">
        <f ca="1">IFERROR(__xludf.DUMMYFUNCTION("""COMPUTED_VALUE"""),5)</f>
        <v>5</v>
      </c>
      <c r="L93" s="4">
        <f ca="1">IFERROR(__xludf.DUMMYFUNCTION("""COMPUTED_VALUE"""),5)</f>
        <v>5</v>
      </c>
      <c r="M93" s="4">
        <f ca="1">IFERROR(__xludf.DUMMYFUNCTION("""COMPUTED_VALUE"""),5)</f>
        <v>5</v>
      </c>
      <c r="N93" s="4">
        <f ca="1">IFERROR(__xludf.DUMMYFUNCTION("""COMPUTED_VALUE"""),3)</f>
        <v>3</v>
      </c>
      <c r="O93" s="4">
        <f ca="1">IFERROR(__xludf.DUMMYFUNCTION("""COMPUTED_VALUE"""),3)</f>
        <v>3</v>
      </c>
      <c r="P93" s="4">
        <f ca="1">IFERROR(__xludf.DUMMYFUNCTION("""COMPUTED_VALUE"""),5)</f>
        <v>5</v>
      </c>
      <c r="Q93" s="4">
        <f ca="1">IFERROR(__xludf.DUMMYFUNCTION("""COMPUTED_VALUE"""),5)</f>
        <v>5</v>
      </c>
      <c r="R93" s="4">
        <f ca="1">IFERROR(__xludf.DUMMYFUNCTION("""COMPUTED_VALUE"""),5)</f>
        <v>5</v>
      </c>
      <c r="S93" s="4">
        <f ca="1">IFERROR(__xludf.DUMMYFUNCTION("""COMPUTED_VALUE"""),5)</f>
        <v>5</v>
      </c>
      <c r="T93" s="4">
        <f ca="1">IFERROR(__xludf.DUMMYFUNCTION("""COMPUTED_VALUE"""),5)</f>
        <v>5</v>
      </c>
      <c r="U93" s="4">
        <f ca="1">IFERROR(__xludf.DUMMYFUNCTION("""COMPUTED_VALUE"""),5)</f>
        <v>5</v>
      </c>
      <c r="V93" s="4">
        <f ca="1">IFERROR(__xludf.DUMMYFUNCTION("""COMPUTED_VALUE"""),5)</f>
        <v>5</v>
      </c>
      <c r="W93" s="4">
        <f ca="1">IFERROR(__xludf.DUMMYFUNCTION("""COMPUTED_VALUE"""),3)</f>
        <v>3</v>
      </c>
      <c r="X93" s="4">
        <f ca="1">IFERROR(__xludf.DUMMYFUNCTION("""COMPUTED_VALUE"""),3)</f>
        <v>3</v>
      </c>
      <c r="Y93" s="4">
        <f ca="1">IFERROR(__xludf.DUMMYFUNCTION("""COMPUTED_VALUE"""),5)</f>
        <v>5</v>
      </c>
      <c r="Z93" s="4">
        <f ca="1">IFERROR(__xludf.DUMMYFUNCTION("""COMPUTED_VALUE"""),3)</f>
        <v>3</v>
      </c>
      <c r="AA93" s="4">
        <f ca="1">IFERROR(__xludf.DUMMYFUNCTION("""COMPUTED_VALUE"""),3)</f>
        <v>3</v>
      </c>
      <c r="AB93" s="4">
        <f ca="1">IFERROR(__xludf.DUMMYFUNCTION("""COMPUTED_VALUE"""),5)</f>
        <v>5</v>
      </c>
      <c r="AC93" s="4">
        <f ca="1">IFERROR(__xludf.DUMMYFUNCTION("""COMPUTED_VALUE"""),5)</f>
        <v>5</v>
      </c>
      <c r="AD93" s="4">
        <f ca="1">IFERROR(__xludf.DUMMYFUNCTION("""COMPUTED_VALUE"""),3)</f>
        <v>3</v>
      </c>
      <c r="AE93" s="4">
        <f ca="1">IFERROR(__xludf.DUMMYFUNCTION("""COMPUTED_VALUE"""),5)</f>
        <v>5</v>
      </c>
      <c r="AF93" s="4">
        <f ca="1">IFERROR(__xludf.DUMMYFUNCTION("""COMPUTED_VALUE"""),5)</f>
        <v>5</v>
      </c>
      <c r="AG93" s="4">
        <f ca="1">IFERROR(__xludf.DUMMYFUNCTION("""COMPUTED_VALUE"""),5)</f>
        <v>5</v>
      </c>
      <c r="AH93" s="4">
        <f ca="1">IFERROR(__xludf.DUMMYFUNCTION("""COMPUTED_VALUE"""),5)</f>
        <v>5</v>
      </c>
      <c r="AI93" s="4">
        <f ca="1">IFERROR(__xludf.DUMMYFUNCTION("""COMPUTED_VALUE"""),5)</f>
        <v>5</v>
      </c>
      <c r="AJ93" s="4">
        <f ca="1">IFERROR(__xludf.DUMMYFUNCTION("""COMPUTED_VALUE"""),5)</f>
        <v>5</v>
      </c>
      <c r="AK93" s="4">
        <f ca="1">IFERROR(__xludf.DUMMYFUNCTION("""COMPUTED_VALUE"""),5)</f>
        <v>5</v>
      </c>
      <c r="AL93" s="4">
        <f ca="1">IFERROR(__xludf.DUMMYFUNCTION("""COMPUTED_VALUE"""),5)</f>
        <v>5</v>
      </c>
      <c r="AM93" s="4">
        <f ca="1">IFERROR(__xludf.DUMMYFUNCTION("""COMPUTED_VALUE"""),3)</f>
        <v>3</v>
      </c>
      <c r="AN93" s="4">
        <f ca="1">IFERROR(__xludf.DUMMYFUNCTION("""COMPUTED_VALUE"""),5)</f>
        <v>5</v>
      </c>
      <c r="AO93" s="4">
        <f ca="1">IFERROR(__xludf.DUMMYFUNCTION("""COMPUTED_VALUE"""),3)</f>
        <v>3</v>
      </c>
      <c r="AP93" s="4">
        <f ca="1">IFERROR(__xludf.DUMMYFUNCTION("""COMPUTED_VALUE"""),3)</f>
        <v>3</v>
      </c>
      <c r="AQ93" s="4">
        <f ca="1">IFERROR(__xludf.DUMMYFUNCTION("""COMPUTED_VALUE"""),3)</f>
        <v>3</v>
      </c>
      <c r="AR93" s="4">
        <f ca="1">IFERROR(__xludf.DUMMYFUNCTION("""COMPUTED_VALUE"""),3)</f>
        <v>3</v>
      </c>
      <c r="AS93" s="4">
        <f ca="1">IFERROR(__xludf.DUMMYFUNCTION("""COMPUTED_VALUE"""),3)</f>
        <v>3</v>
      </c>
      <c r="AT93" s="4">
        <f ca="1">IFERROR(__xludf.DUMMYFUNCTION("""COMPUTED_VALUE"""),3)</f>
        <v>3</v>
      </c>
      <c r="AU93" s="4">
        <f ca="1">IFERROR(__xludf.DUMMYFUNCTION("""COMPUTED_VALUE"""),3)</f>
        <v>3</v>
      </c>
      <c r="AV93" s="4">
        <f ca="1">IFERROR(__xludf.DUMMYFUNCTION("""COMPUTED_VALUE"""),3)</f>
        <v>3</v>
      </c>
      <c r="AW93" s="4">
        <f ca="1">IFERROR(__xludf.DUMMYFUNCTION("""COMPUTED_VALUE"""),3)</f>
        <v>3</v>
      </c>
      <c r="AX93" s="4">
        <f ca="1">IFERROR(__xludf.DUMMYFUNCTION("""COMPUTED_VALUE"""),5)</f>
        <v>5</v>
      </c>
      <c r="AY93" s="4">
        <f ca="1">IFERROR(__xludf.DUMMYFUNCTION("""COMPUTED_VALUE"""),5)</f>
        <v>5</v>
      </c>
      <c r="AZ93" s="4">
        <f ca="1">IFERROR(__xludf.DUMMYFUNCTION("""COMPUTED_VALUE"""),5)</f>
        <v>5</v>
      </c>
      <c r="BA93" s="4">
        <f ca="1">IFERROR(__xludf.DUMMYFUNCTION("""COMPUTED_VALUE"""),5)</f>
        <v>5</v>
      </c>
      <c r="BB93" s="4">
        <f ca="1">IFERROR(__xludf.DUMMYFUNCTION("""COMPUTED_VALUE"""),3)</f>
        <v>3</v>
      </c>
      <c r="BC93" s="4">
        <f ca="1">IFERROR(__xludf.DUMMYFUNCTION("""COMPUTED_VALUE"""),3)</f>
        <v>3</v>
      </c>
      <c r="BD93" s="4">
        <f ca="1">IFERROR(__xludf.DUMMYFUNCTION("""COMPUTED_VALUE"""),4)</f>
        <v>4</v>
      </c>
      <c r="BE93" s="4">
        <f ca="1">IFERROR(__xludf.DUMMYFUNCTION("""COMPUTED_VALUE"""),3)</f>
        <v>3</v>
      </c>
      <c r="BF93" s="4">
        <f ca="1">IFERROR(__xludf.DUMMYFUNCTION("""COMPUTED_VALUE"""),3)</f>
        <v>3</v>
      </c>
      <c r="BG93" s="4">
        <f ca="1">IFERROR(__xludf.DUMMYFUNCTION("""COMPUTED_VALUE"""),3)</f>
        <v>3</v>
      </c>
      <c r="BH93" s="4">
        <f ca="1">IFERROR(__xludf.DUMMYFUNCTION("""COMPUTED_VALUE"""),5)</f>
        <v>5</v>
      </c>
      <c r="BI93" s="4">
        <f ca="1">IFERROR(__xludf.DUMMYFUNCTION("""COMPUTED_VALUE"""),5)</f>
        <v>5</v>
      </c>
      <c r="BJ93" s="4">
        <f ca="1">IFERROR(__xludf.DUMMYFUNCTION("""COMPUTED_VALUE"""),5)</f>
        <v>5</v>
      </c>
      <c r="BK93" s="4">
        <f ca="1">IFERROR(__xludf.DUMMYFUNCTION("""COMPUTED_VALUE"""),5)</f>
        <v>5</v>
      </c>
      <c r="BL93" s="4">
        <f ca="1">IFERROR(__xludf.DUMMYFUNCTION("""COMPUTED_VALUE"""),5)</f>
        <v>5</v>
      </c>
      <c r="BM93" s="4">
        <f ca="1">IFERROR(__xludf.DUMMYFUNCTION("""COMPUTED_VALUE"""),5)</f>
        <v>5</v>
      </c>
      <c r="BN93" s="4">
        <f ca="1">IFERROR(__xludf.DUMMYFUNCTION("""COMPUTED_VALUE"""),5)</f>
        <v>5</v>
      </c>
      <c r="BO93" s="4">
        <f ca="1">IFERROR(__xludf.DUMMYFUNCTION("""COMPUTED_VALUE"""),5)</f>
        <v>5</v>
      </c>
      <c r="BP93" s="4">
        <f ca="1">IFERROR(__xludf.DUMMYFUNCTION("""COMPUTED_VALUE"""),5)</f>
        <v>5</v>
      </c>
    </row>
    <row r="94" spans="1:68" ht="13.2" x14ac:dyDescent="0.25">
      <c r="A94" s="4" t="str">
        <f ca="1">IFERROR(__xludf.DUMMYFUNCTION("""COMPUTED_VALUE"""),"2_ABaOnuehpMBNFyBKUThJOUCEJD-NogvPj7bucy2-PqlCbrT7ZxLnrkKfmLK6SPdc_w")</f>
        <v>2_ABaOnuehpMBNFyBKUThJOUCEJD-NogvPj7bucy2-PqlCbrT7ZxLnrkKfmLK6SPdc_w</v>
      </c>
      <c r="B94" s="5">
        <f ca="1">IFERROR(__xludf.DUMMYFUNCTION("""COMPUTED_VALUE"""),45969.3941242245)</f>
        <v>45969.394124224498</v>
      </c>
      <c r="C94" s="4"/>
      <c r="D94" s="4" t="str">
        <f ca="1">IFERROR(__xludf.DUMMYFUNCTION("""COMPUTED_VALUE"""),"Nữ")</f>
        <v>Nữ</v>
      </c>
      <c r="E94" s="4" t="str">
        <f ca="1">IFERROR(__xludf.DUMMYFUNCTION("""COMPUTED_VALUE"""),"MOORE AISC")</f>
        <v>MOORE AISC</v>
      </c>
      <c r="F94" s="4" t="str">
        <f ca="1">IFERROR(__xludf.DUMMYFUNCTION("""COMPUTED_VALUE"""),"Đại học, Chứng chỉ Kiểm toán viên")</f>
        <v>Đại học, Chứng chỉ Kiểm toán viên</v>
      </c>
      <c r="G94" s="4" t="str">
        <f ca="1">IFERROR(__xludf.DUMMYFUNCTION("""COMPUTED_VALUE"""),"Trên 5 đến 10 năm")</f>
        <v>Trên 5 đến 10 năm</v>
      </c>
      <c r="H94" s="4" t="str">
        <f ca="1">IFERROR(__xludf.DUMMYFUNCTION("""COMPUTED_VALUE"""),"Kiểm toán viên/Trưởng nhóm")</f>
        <v>Kiểm toán viên/Trưởng nhóm</v>
      </c>
      <c r="I94" s="4">
        <f ca="1">IFERROR(__xludf.DUMMYFUNCTION("""COMPUTED_VALUE"""),5)</f>
        <v>5</v>
      </c>
      <c r="J94" s="4">
        <f ca="1">IFERROR(__xludf.DUMMYFUNCTION("""COMPUTED_VALUE"""),5)</f>
        <v>5</v>
      </c>
      <c r="K94" s="4">
        <f ca="1">IFERROR(__xludf.DUMMYFUNCTION("""COMPUTED_VALUE"""),5)</f>
        <v>5</v>
      </c>
      <c r="L94" s="4">
        <f ca="1">IFERROR(__xludf.DUMMYFUNCTION("""COMPUTED_VALUE"""),3)</f>
        <v>3</v>
      </c>
      <c r="M94" s="4">
        <f ca="1">IFERROR(__xludf.DUMMYFUNCTION("""COMPUTED_VALUE"""),4)</f>
        <v>4</v>
      </c>
      <c r="N94" s="4">
        <f ca="1">IFERROR(__xludf.DUMMYFUNCTION("""COMPUTED_VALUE"""),2)</f>
        <v>2</v>
      </c>
      <c r="O94" s="4">
        <f ca="1">IFERROR(__xludf.DUMMYFUNCTION("""COMPUTED_VALUE"""),2)</f>
        <v>2</v>
      </c>
      <c r="P94" s="4">
        <f ca="1">IFERROR(__xludf.DUMMYFUNCTION("""COMPUTED_VALUE"""),4)</f>
        <v>4</v>
      </c>
      <c r="Q94" s="4">
        <f ca="1">IFERROR(__xludf.DUMMYFUNCTION("""COMPUTED_VALUE"""),5)</f>
        <v>5</v>
      </c>
      <c r="R94" s="4">
        <f ca="1">IFERROR(__xludf.DUMMYFUNCTION("""COMPUTED_VALUE"""),4)</f>
        <v>4</v>
      </c>
      <c r="S94" s="4">
        <f ca="1">IFERROR(__xludf.DUMMYFUNCTION("""COMPUTED_VALUE"""),4)</f>
        <v>4</v>
      </c>
      <c r="T94" s="4">
        <f ca="1">IFERROR(__xludf.DUMMYFUNCTION("""COMPUTED_VALUE"""),4)</f>
        <v>4</v>
      </c>
      <c r="U94" s="4">
        <f ca="1">IFERROR(__xludf.DUMMYFUNCTION("""COMPUTED_VALUE"""),4)</f>
        <v>4</v>
      </c>
      <c r="V94" s="4">
        <f ca="1">IFERROR(__xludf.DUMMYFUNCTION("""COMPUTED_VALUE"""),4)</f>
        <v>4</v>
      </c>
      <c r="W94" s="4">
        <f ca="1">IFERROR(__xludf.DUMMYFUNCTION("""COMPUTED_VALUE"""),4)</f>
        <v>4</v>
      </c>
      <c r="X94" s="4">
        <f ca="1">IFERROR(__xludf.DUMMYFUNCTION("""COMPUTED_VALUE"""),4)</f>
        <v>4</v>
      </c>
      <c r="Y94" s="4">
        <f ca="1">IFERROR(__xludf.DUMMYFUNCTION("""COMPUTED_VALUE"""),3)</f>
        <v>3</v>
      </c>
      <c r="Z94" s="4">
        <f ca="1">IFERROR(__xludf.DUMMYFUNCTION("""COMPUTED_VALUE"""),3)</f>
        <v>3</v>
      </c>
      <c r="AA94" s="4">
        <f ca="1">IFERROR(__xludf.DUMMYFUNCTION("""COMPUTED_VALUE"""),3)</f>
        <v>3</v>
      </c>
      <c r="AB94" s="4">
        <f ca="1">IFERROR(__xludf.DUMMYFUNCTION("""COMPUTED_VALUE"""),3)</f>
        <v>3</v>
      </c>
      <c r="AC94" s="4">
        <f ca="1">IFERROR(__xludf.DUMMYFUNCTION("""COMPUTED_VALUE"""),3)</f>
        <v>3</v>
      </c>
      <c r="AD94" s="4">
        <f ca="1">IFERROR(__xludf.DUMMYFUNCTION("""COMPUTED_VALUE"""),2)</f>
        <v>2</v>
      </c>
      <c r="AE94" s="4">
        <f ca="1">IFERROR(__xludf.DUMMYFUNCTION("""COMPUTED_VALUE"""),4)</f>
        <v>4</v>
      </c>
      <c r="AF94" s="4">
        <f ca="1">IFERROR(__xludf.DUMMYFUNCTION("""COMPUTED_VALUE"""),4)</f>
        <v>4</v>
      </c>
      <c r="AG94" s="4">
        <f ca="1">IFERROR(__xludf.DUMMYFUNCTION("""COMPUTED_VALUE"""),4)</f>
        <v>4</v>
      </c>
      <c r="AH94" s="4">
        <f ca="1">IFERROR(__xludf.DUMMYFUNCTION("""COMPUTED_VALUE"""),4)</f>
        <v>4</v>
      </c>
      <c r="AI94" s="4">
        <f ca="1">IFERROR(__xludf.DUMMYFUNCTION("""COMPUTED_VALUE"""),4)</f>
        <v>4</v>
      </c>
      <c r="AJ94" s="4">
        <f ca="1">IFERROR(__xludf.DUMMYFUNCTION("""COMPUTED_VALUE"""),4)</f>
        <v>4</v>
      </c>
      <c r="AK94" s="4">
        <f ca="1">IFERROR(__xludf.DUMMYFUNCTION("""COMPUTED_VALUE"""),4)</f>
        <v>4</v>
      </c>
      <c r="AL94" s="4">
        <f ca="1">IFERROR(__xludf.DUMMYFUNCTION("""COMPUTED_VALUE"""),4)</f>
        <v>4</v>
      </c>
      <c r="AM94" s="4">
        <f ca="1">IFERROR(__xludf.DUMMYFUNCTION("""COMPUTED_VALUE"""),4)</f>
        <v>4</v>
      </c>
      <c r="AN94" s="4">
        <f ca="1">IFERROR(__xludf.DUMMYFUNCTION("""COMPUTED_VALUE"""),4)</f>
        <v>4</v>
      </c>
      <c r="AO94" s="4">
        <f ca="1">IFERROR(__xludf.DUMMYFUNCTION("""COMPUTED_VALUE"""),4)</f>
        <v>4</v>
      </c>
      <c r="AP94" s="4">
        <f ca="1">IFERROR(__xludf.DUMMYFUNCTION("""COMPUTED_VALUE"""),4)</f>
        <v>4</v>
      </c>
      <c r="AQ94" s="4">
        <f ca="1">IFERROR(__xludf.DUMMYFUNCTION("""COMPUTED_VALUE"""),4)</f>
        <v>4</v>
      </c>
      <c r="AR94" s="4">
        <f ca="1">IFERROR(__xludf.DUMMYFUNCTION("""COMPUTED_VALUE"""),4)</f>
        <v>4</v>
      </c>
      <c r="AS94" s="4">
        <f ca="1">IFERROR(__xludf.DUMMYFUNCTION("""COMPUTED_VALUE"""),4)</f>
        <v>4</v>
      </c>
      <c r="AT94" s="4">
        <f ca="1">IFERROR(__xludf.DUMMYFUNCTION("""COMPUTED_VALUE"""),4)</f>
        <v>4</v>
      </c>
      <c r="AU94" s="4">
        <f ca="1">IFERROR(__xludf.DUMMYFUNCTION("""COMPUTED_VALUE"""),4)</f>
        <v>4</v>
      </c>
      <c r="AV94" s="4">
        <f ca="1">IFERROR(__xludf.DUMMYFUNCTION("""COMPUTED_VALUE"""),4)</f>
        <v>4</v>
      </c>
      <c r="AW94" s="4">
        <f ca="1">IFERROR(__xludf.DUMMYFUNCTION("""COMPUTED_VALUE"""),4)</f>
        <v>4</v>
      </c>
      <c r="AX94" s="4">
        <f ca="1">IFERROR(__xludf.DUMMYFUNCTION("""COMPUTED_VALUE"""),4)</f>
        <v>4</v>
      </c>
      <c r="AY94" s="4">
        <f ca="1">IFERROR(__xludf.DUMMYFUNCTION("""COMPUTED_VALUE"""),5)</f>
        <v>5</v>
      </c>
      <c r="AZ94" s="4">
        <f ca="1">IFERROR(__xludf.DUMMYFUNCTION("""COMPUTED_VALUE"""),4)</f>
        <v>4</v>
      </c>
      <c r="BA94" s="4">
        <f ca="1">IFERROR(__xludf.DUMMYFUNCTION("""COMPUTED_VALUE"""),4)</f>
        <v>4</v>
      </c>
      <c r="BB94" s="4">
        <f ca="1">IFERROR(__xludf.DUMMYFUNCTION("""COMPUTED_VALUE"""),4)</f>
        <v>4</v>
      </c>
      <c r="BC94" s="4">
        <f ca="1">IFERROR(__xludf.DUMMYFUNCTION("""COMPUTED_VALUE"""),4)</f>
        <v>4</v>
      </c>
      <c r="BD94" s="4">
        <f ca="1">IFERROR(__xludf.DUMMYFUNCTION("""COMPUTED_VALUE"""),3)</f>
        <v>3</v>
      </c>
      <c r="BE94" s="4">
        <f ca="1">IFERROR(__xludf.DUMMYFUNCTION("""COMPUTED_VALUE"""),3)</f>
        <v>3</v>
      </c>
      <c r="BF94" s="4">
        <f ca="1">IFERROR(__xludf.DUMMYFUNCTION("""COMPUTED_VALUE"""),3)</f>
        <v>3</v>
      </c>
      <c r="BG94" s="4">
        <f ca="1">IFERROR(__xludf.DUMMYFUNCTION("""COMPUTED_VALUE"""),3)</f>
        <v>3</v>
      </c>
      <c r="BH94" s="4">
        <f ca="1">IFERROR(__xludf.DUMMYFUNCTION("""COMPUTED_VALUE"""),4)</f>
        <v>4</v>
      </c>
      <c r="BI94" s="4">
        <f ca="1">IFERROR(__xludf.DUMMYFUNCTION("""COMPUTED_VALUE"""),4)</f>
        <v>4</v>
      </c>
      <c r="BJ94" s="4">
        <f ca="1">IFERROR(__xludf.DUMMYFUNCTION("""COMPUTED_VALUE"""),4)</f>
        <v>4</v>
      </c>
      <c r="BK94" s="4">
        <f ca="1">IFERROR(__xludf.DUMMYFUNCTION("""COMPUTED_VALUE"""),4)</f>
        <v>4</v>
      </c>
      <c r="BL94" s="4">
        <f ca="1">IFERROR(__xludf.DUMMYFUNCTION("""COMPUTED_VALUE"""),4)</f>
        <v>4</v>
      </c>
      <c r="BM94" s="4">
        <f ca="1">IFERROR(__xludf.DUMMYFUNCTION("""COMPUTED_VALUE"""),4)</f>
        <v>4</v>
      </c>
      <c r="BN94" s="4">
        <f ca="1">IFERROR(__xludf.DUMMYFUNCTION("""COMPUTED_VALUE"""),4)</f>
        <v>4</v>
      </c>
      <c r="BO94" s="4">
        <f ca="1">IFERROR(__xludf.DUMMYFUNCTION("""COMPUTED_VALUE"""),4)</f>
        <v>4</v>
      </c>
      <c r="BP94" s="4">
        <f ca="1">IFERROR(__xludf.DUMMYFUNCTION("""COMPUTED_VALUE"""),4)</f>
        <v>4</v>
      </c>
    </row>
    <row r="95" spans="1:68" ht="13.2" x14ac:dyDescent="0.25">
      <c r="A95" s="4" t="str">
        <f ca="1">IFERROR(__xludf.DUMMYFUNCTION("""COMPUTED_VALUE"""),"2_ABaOnucu-IrEpIiLgHmWEjH8QmuZknMYxRe12zCMXxUD1jgcWspEtoT3NTH50w38zg")</f>
        <v>2_ABaOnucu-IrEpIiLgHmWEjH8QmuZknMYxRe12zCMXxUD1jgcWspEtoT3NTH50w38zg</v>
      </c>
      <c r="B95" s="5">
        <f ca="1">IFERROR(__xludf.DUMMYFUNCTION("""COMPUTED_VALUE"""),45969.4047284953)</f>
        <v>45969.404728495298</v>
      </c>
      <c r="C95" s="4" t="str">
        <f ca="1">IFERROR(__xludf.DUMMYFUNCTION("""COMPUTED_VALUE"""),"Huỳnh Trúc Lâm")</f>
        <v>Huỳnh Trúc Lâm</v>
      </c>
      <c r="D95" s="4" t="str">
        <f ca="1">IFERROR(__xludf.DUMMYFUNCTION("""COMPUTED_VALUE"""),"Nam")</f>
        <v>Nam</v>
      </c>
      <c r="E95" s="4" t="str">
        <f ca="1">IFERROR(__xludf.DUMMYFUNCTION("""COMPUTED_VALUE"""),"Công ty TNHH Kiểm toán và Tư vấn Chuẩn Việt")</f>
        <v>Công ty TNHH Kiểm toán và Tư vấn Chuẩn Việt</v>
      </c>
      <c r="F95" s="4" t="str">
        <f ca="1">IFERROR(__xludf.DUMMYFUNCTION("""COMPUTED_VALUE"""),"Sau đại học, Chứng chỉ Kiểm toán viên")</f>
        <v>Sau đại học, Chứng chỉ Kiểm toán viên</v>
      </c>
      <c r="G95" s="4" t="str">
        <f ca="1">IFERROR(__xludf.DUMMYFUNCTION("""COMPUTED_VALUE"""),"Trên 20 năm")</f>
        <v>Trên 20 năm</v>
      </c>
      <c r="H95" s="4" t="str">
        <f ca="1">IFERROR(__xludf.DUMMYFUNCTION("""COMPUTED_VALUE"""),"Ban giám đốc")</f>
        <v>Ban giám đốc</v>
      </c>
      <c r="I95" s="4">
        <f ca="1">IFERROR(__xludf.DUMMYFUNCTION("""COMPUTED_VALUE"""),1)</f>
        <v>1</v>
      </c>
      <c r="J95" s="4">
        <f ca="1">IFERROR(__xludf.DUMMYFUNCTION("""COMPUTED_VALUE"""),2)</f>
        <v>2</v>
      </c>
      <c r="K95" s="4">
        <f ca="1">IFERROR(__xludf.DUMMYFUNCTION("""COMPUTED_VALUE"""),1)</f>
        <v>1</v>
      </c>
      <c r="L95" s="4">
        <f ca="1">IFERROR(__xludf.DUMMYFUNCTION("""COMPUTED_VALUE"""),2)</f>
        <v>2</v>
      </c>
      <c r="M95" s="4">
        <f ca="1">IFERROR(__xludf.DUMMYFUNCTION("""COMPUTED_VALUE"""),1)</f>
        <v>1</v>
      </c>
      <c r="N95" s="4">
        <f ca="1">IFERROR(__xludf.DUMMYFUNCTION("""COMPUTED_VALUE"""),2)</f>
        <v>2</v>
      </c>
      <c r="O95" s="4">
        <f ca="1">IFERROR(__xludf.DUMMYFUNCTION("""COMPUTED_VALUE"""),2)</f>
        <v>2</v>
      </c>
      <c r="P95" s="4">
        <f ca="1">IFERROR(__xludf.DUMMYFUNCTION("""COMPUTED_VALUE"""),2)</f>
        <v>2</v>
      </c>
      <c r="Q95" s="4">
        <f ca="1">IFERROR(__xludf.DUMMYFUNCTION("""COMPUTED_VALUE"""),2)</f>
        <v>2</v>
      </c>
      <c r="R95" s="4">
        <f ca="1">IFERROR(__xludf.DUMMYFUNCTION("""COMPUTED_VALUE"""),2)</f>
        <v>2</v>
      </c>
      <c r="S95" s="4">
        <f ca="1">IFERROR(__xludf.DUMMYFUNCTION("""COMPUTED_VALUE"""),2)</f>
        <v>2</v>
      </c>
      <c r="T95" s="4">
        <f ca="1">IFERROR(__xludf.DUMMYFUNCTION("""COMPUTED_VALUE"""),1)</f>
        <v>1</v>
      </c>
      <c r="U95" s="4">
        <f ca="1">IFERROR(__xludf.DUMMYFUNCTION("""COMPUTED_VALUE"""),2)</f>
        <v>2</v>
      </c>
      <c r="V95" s="4">
        <f ca="1">IFERROR(__xludf.DUMMYFUNCTION("""COMPUTED_VALUE"""),1)</f>
        <v>1</v>
      </c>
      <c r="W95" s="4">
        <f ca="1">IFERROR(__xludf.DUMMYFUNCTION("""COMPUTED_VALUE"""),2)</f>
        <v>2</v>
      </c>
      <c r="X95" s="4">
        <f ca="1">IFERROR(__xludf.DUMMYFUNCTION("""COMPUTED_VALUE"""),2)</f>
        <v>2</v>
      </c>
      <c r="Y95" s="4">
        <f ca="1">IFERROR(__xludf.DUMMYFUNCTION("""COMPUTED_VALUE"""),2)</f>
        <v>2</v>
      </c>
      <c r="Z95" s="4">
        <f ca="1">IFERROR(__xludf.DUMMYFUNCTION("""COMPUTED_VALUE"""),2)</f>
        <v>2</v>
      </c>
      <c r="AA95" s="4">
        <f ca="1">IFERROR(__xludf.DUMMYFUNCTION("""COMPUTED_VALUE"""),2)</f>
        <v>2</v>
      </c>
      <c r="AB95" s="4">
        <f ca="1">IFERROR(__xludf.DUMMYFUNCTION("""COMPUTED_VALUE"""),1)</f>
        <v>1</v>
      </c>
      <c r="AC95" s="4">
        <f ca="1">IFERROR(__xludf.DUMMYFUNCTION("""COMPUTED_VALUE"""),2)</f>
        <v>2</v>
      </c>
      <c r="AD95" s="4">
        <f ca="1">IFERROR(__xludf.DUMMYFUNCTION("""COMPUTED_VALUE"""),3)</f>
        <v>3</v>
      </c>
      <c r="AE95" s="4">
        <f ca="1">IFERROR(__xludf.DUMMYFUNCTION("""COMPUTED_VALUE"""),1)</f>
        <v>1</v>
      </c>
      <c r="AF95" s="4">
        <f ca="1">IFERROR(__xludf.DUMMYFUNCTION("""COMPUTED_VALUE"""),1)</f>
        <v>1</v>
      </c>
      <c r="AG95" s="4">
        <f ca="1">IFERROR(__xludf.DUMMYFUNCTION("""COMPUTED_VALUE"""),1)</f>
        <v>1</v>
      </c>
      <c r="AH95" s="4">
        <f ca="1">IFERROR(__xludf.DUMMYFUNCTION("""COMPUTED_VALUE"""),1)</f>
        <v>1</v>
      </c>
      <c r="AI95" s="4">
        <f ca="1">IFERROR(__xludf.DUMMYFUNCTION("""COMPUTED_VALUE"""),2)</f>
        <v>2</v>
      </c>
      <c r="AJ95" s="4">
        <f ca="1">IFERROR(__xludf.DUMMYFUNCTION("""COMPUTED_VALUE"""),1)</f>
        <v>1</v>
      </c>
      <c r="AK95" s="4">
        <f ca="1">IFERROR(__xludf.DUMMYFUNCTION("""COMPUTED_VALUE"""),1)</f>
        <v>1</v>
      </c>
      <c r="AL95" s="4">
        <f ca="1">IFERROR(__xludf.DUMMYFUNCTION("""COMPUTED_VALUE"""),2)</f>
        <v>2</v>
      </c>
      <c r="AM95" s="4">
        <f ca="1">IFERROR(__xludf.DUMMYFUNCTION("""COMPUTED_VALUE"""),1)</f>
        <v>1</v>
      </c>
      <c r="AN95" s="4">
        <f ca="1">IFERROR(__xludf.DUMMYFUNCTION("""COMPUTED_VALUE"""),1)</f>
        <v>1</v>
      </c>
      <c r="AO95" s="4">
        <f ca="1">IFERROR(__xludf.DUMMYFUNCTION("""COMPUTED_VALUE"""),2)</f>
        <v>2</v>
      </c>
      <c r="AP95" s="4">
        <f ca="1">IFERROR(__xludf.DUMMYFUNCTION("""COMPUTED_VALUE"""),2)</f>
        <v>2</v>
      </c>
      <c r="AQ95" s="4">
        <f ca="1">IFERROR(__xludf.DUMMYFUNCTION("""COMPUTED_VALUE"""),2)</f>
        <v>2</v>
      </c>
      <c r="AR95" s="4">
        <f ca="1">IFERROR(__xludf.DUMMYFUNCTION("""COMPUTED_VALUE"""),1)</f>
        <v>1</v>
      </c>
      <c r="AS95" s="4">
        <f ca="1">IFERROR(__xludf.DUMMYFUNCTION("""COMPUTED_VALUE"""),1)</f>
        <v>1</v>
      </c>
      <c r="AT95" s="4">
        <f ca="1">IFERROR(__xludf.DUMMYFUNCTION("""COMPUTED_VALUE"""),2)</f>
        <v>2</v>
      </c>
      <c r="AU95" s="4">
        <f ca="1">IFERROR(__xludf.DUMMYFUNCTION("""COMPUTED_VALUE"""),1)</f>
        <v>1</v>
      </c>
      <c r="AV95" s="4">
        <f ca="1">IFERROR(__xludf.DUMMYFUNCTION("""COMPUTED_VALUE"""),2)</f>
        <v>2</v>
      </c>
      <c r="AW95" s="4">
        <f ca="1">IFERROR(__xludf.DUMMYFUNCTION("""COMPUTED_VALUE"""),2)</f>
        <v>2</v>
      </c>
      <c r="AX95" s="4">
        <f ca="1">IFERROR(__xludf.DUMMYFUNCTION("""COMPUTED_VALUE"""),1)</f>
        <v>1</v>
      </c>
      <c r="AY95" s="4">
        <f ca="1">IFERROR(__xludf.DUMMYFUNCTION("""COMPUTED_VALUE"""),1)</f>
        <v>1</v>
      </c>
      <c r="AZ95" s="4">
        <f ca="1">IFERROR(__xludf.DUMMYFUNCTION("""COMPUTED_VALUE"""),2)</f>
        <v>2</v>
      </c>
      <c r="BA95" s="4">
        <f ca="1">IFERROR(__xludf.DUMMYFUNCTION("""COMPUTED_VALUE"""),2)</f>
        <v>2</v>
      </c>
      <c r="BB95" s="4">
        <f ca="1">IFERROR(__xludf.DUMMYFUNCTION("""COMPUTED_VALUE"""),2)</f>
        <v>2</v>
      </c>
      <c r="BC95" s="4">
        <f ca="1">IFERROR(__xludf.DUMMYFUNCTION("""COMPUTED_VALUE"""),2)</f>
        <v>2</v>
      </c>
      <c r="BD95" s="4">
        <f ca="1">IFERROR(__xludf.DUMMYFUNCTION("""COMPUTED_VALUE"""),1)</f>
        <v>1</v>
      </c>
      <c r="BE95" s="4">
        <f ca="1">IFERROR(__xludf.DUMMYFUNCTION("""COMPUTED_VALUE"""),2)</f>
        <v>2</v>
      </c>
      <c r="BF95" s="4">
        <f ca="1">IFERROR(__xludf.DUMMYFUNCTION("""COMPUTED_VALUE"""),2)</f>
        <v>2</v>
      </c>
      <c r="BG95" s="4">
        <f ca="1">IFERROR(__xludf.DUMMYFUNCTION("""COMPUTED_VALUE"""),2)</f>
        <v>2</v>
      </c>
      <c r="BH95" s="4">
        <f ca="1">IFERROR(__xludf.DUMMYFUNCTION("""COMPUTED_VALUE"""),2)</f>
        <v>2</v>
      </c>
      <c r="BI95" s="4">
        <f ca="1">IFERROR(__xludf.DUMMYFUNCTION("""COMPUTED_VALUE"""),1)</f>
        <v>1</v>
      </c>
      <c r="BJ95" s="4">
        <f ca="1">IFERROR(__xludf.DUMMYFUNCTION("""COMPUTED_VALUE"""),1)</f>
        <v>1</v>
      </c>
      <c r="BK95" s="4">
        <f ca="1">IFERROR(__xludf.DUMMYFUNCTION("""COMPUTED_VALUE"""),2)</f>
        <v>2</v>
      </c>
      <c r="BL95" s="4">
        <f ca="1">IFERROR(__xludf.DUMMYFUNCTION("""COMPUTED_VALUE"""),1)</f>
        <v>1</v>
      </c>
      <c r="BM95" s="4">
        <f ca="1">IFERROR(__xludf.DUMMYFUNCTION("""COMPUTED_VALUE"""),2)</f>
        <v>2</v>
      </c>
      <c r="BN95" s="4">
        <f ca="1">IFERROR(__xludf.DUMMYFUNCTION("""COMPUTED_VALUE"""),1)</f>
        <v>1</v>
      </c>
      <c r="BO95" s="4">
        <f ca="1">IFERROR(__xludf.DUMMYFUNCTION("""COMPUTED_VALUE"""),1)</f>
        <v>1</v>
      </c>
      <c r="BP95" s="4">
        <f ca="1">IFERROR(__xludf.DUMMYFUNCTION("""COMPUTED_VALUE"""),2)</f>
        <v>2</v>
      </c>
    </row>
    <row r="96" spans="1:68" ht="13.2" x14ac:dyDescent="0.25">
      <c r="A96" s="4" t="str">
        <f ca="1">IFERROR(__xludf.DUMMYFUNCTION("""COMPUTED_VALUE"""),"2_ABaOnudiSamWC1P8IcMvk2aeWKdlptw0MUwq_Rd5qg9_zm3o5uD9XskeJqi7fgO4XA")</f>
        <v>2_ABaOnudiSamWC1P8IcMvk2aeWKdlptw0MUwq_Rd5qg9_zm3o5uD9XskeJqi7fgO4XA</v>
      </c>
      <c r="B96" s="5">
        <f ca="1">IFERROR(__xludf.DUMMYFUNCTION("""COMPUTED_VALUE"""),45969.4054440509)</f>
        <v>45969.405444050899</v>
      </c>
      <c r="C96" s="4" t="str">
        <f ca="1">IFERROR(__xludf.DUMMYFUNCTION("""COMPUTED_VALUE""")," Nguyễn Thị Bích Diễm")</f>
        <v xml:space="preserve"> Nguyễn Thị Bích Diễm</v>
      </c>
      <c r="D96" s="4" t="str">
        <f ca="1">IFERROR(__xludf.DUMMYFUNCTION("""COMPUTED_VALUE"""),"Nữ")</f>
        <v>Nữ</v>
      </c>
      <c r="E96" s="4" t="str">
        <f ca="1">IFERROR(__xludf.DUMMYFUNCTION("""COMPUTED_VALUE"""),"Vietvalues")</f>
        <v>Vietvalues</v>
      </c>
      <c r="F96" s="4" t="str">
        <f ca="1">IFERROR(__xludf.DUMMYFUNCTION("""COMPUTED_VALUE"""),"Đại học, Chứng chỉ Kiểm toán viên")</f>
        <v>Đại học, Chứng chỉ Kiểm toán viên</v>
      </c>
      <c r="G96" s="4" t="str">
        <f ca="1">IFERROR(__xludf.DUMMYFUNCTION("""COMPUTED_VALUE"""),"Trên 10 đến 15 năm")</f>
        <v>Trên 10 đến 15 năm</v>
      </c>
      <c r="H96" s="4" t="str">
        <f ca="1">IFERROR(__xludf.DUMMYFUNCTION("""COMPUTED_VALUE"""),"Trưởng phòng")</f>
        <v>Trưởng phòng</v>
      </c>
      <c r="I96" s="4">
        <f ca="1">IFERROR(__xludf.DUMMYFUNCTION("""COMPUTED_VALUE"""),5)</f>
        <v>5</v>
      </c>
      <c r="J96" s="4">
        <f ca="1">IFERROR(__xludf.DUMMYFUNCTION("""COMPUTED_VALUE"""),5)</f>
        <v>5</v>
      </c>
      <c r="K96" s="4">
        <f ca="1">IFERROR(__xludf.DUMMYFUNCTION("""COMPUTED_VALUE"""),5)</f>
        <v>5</v>
      </c>
      <c r="L96" s="4">
        <f ca="1">IFERROR(__xludf.DUMMYFUNCTION("""COMPUTED_VALUE"""),4)</f>
        <v>4</v>
      </c>
      <c r="M96" s="4">
        <f ca="1">IFERROR(__xludf.DUMMYFUNCTION("""COMPUTED_VALUE"""),5)</f>
        <v>5</v>
      </c>
      <c r="N96" s="4">
        <f ca="1">IFERROR(__xludf.DUMMYFUNCTION("""COMPUTED_VALUE"""),4)</f>
        <v>4</v>
      </c>
      <c r="O96" s="4">
        <f ca="1">IFERROR(__xludf.DUMMYFUNCTION("""COMPUTED_VALUE"""),4)</f>
        <v>4</v>
      </c>
      <c r="P96" s="4">
        <f ca="1">IFERROR(__xludf.DUMMYFUNCTION("""COMPUTED_VALUE"""),5)</f>
        <v>5</v>
      </c>
      <c r="Q96" s="4">
        <f ca="1">IFERROR(__xludf.DUMMYFUNCTION("""COMPUTED_VALUE"""),5)</f>
        <v>5</v>
      </c>
      <c r="R96" s="4">
        <f ca="1">IFERROR(__xludf.DUMMYFUNCTION("""COMPUTED_VALUE"""),5)</f>
        <v>5</v>
      </c>
      <c r="S96" s="4">
        <f ca="1">IFERROR(__xludf.DUMMYFUNCTION("""COMPUTED_VALUE"""),5)</f>
        <v>5</v>
      </c>
      <c r="T96" s="4">
        <f ca="1">IFERROR(__xludf.DUMMYFUNCTION("""COMPUTED_VALUE"""),5)</f>
        <v>5</v>
      </c>
      <c r="U96" s="4">
        <f ca="1">IFERROR(__xludf.DUMMYFUNCTION("""COMPUTED_VALUE"""),5)</f>
        <v>5</v>
      </c>
      <c r="V96" s="4">
        <f ca="1">IFERROR(__xludf.DUMMYFUNCTION("""COMPUTED_VALUE"""),5)</f>
        <v>5</v>
      </c>
      <c r="W96" s="4">
        <f ca="1">IFERROR(__xludf.DUMMYFUNCTION("""COMPUTED_VALUE"""),5)</f>
        <v>5</v>
      </c>
      <c r="X96" s="4">
        <f ca="1">IFERROR(__xludf.DUMMYFUNCTION("""COMPUTED_VALUE"""),5)</f>
        <v>5</v>
      </c>
      <c r="Y96" s="4">
        <f ca="1">IFERROR(__xludf.DUMMYFUNCTION("""COMPUTED_VALUE"""),3)</f>
        <v>3</v>
      </c>
      <c r="Z96" s="4">
        <f ca="1">IFERROR(__xludf.DUMMYFUNCTION("""COMPUTED_VALUE"""),4)</f>
        <v>4</v>
      </c>
      <c r="AA96" s="4">
        <f ca="1">IFERROR(__xludf.DUMMYFUNCTION("""COMPUTED_VALUE"""),5)</f>
        <v>5</v>
      </c>
      <c r="AB96" s="4">
        <f ca="1">IFERROR(__xludf.DUMMYFUNCTION("""COMPUTED_VALUE"""),4)</f>
        <v>4</v>
      </c>
      <c r="AC96" s="4">
        <f ca="1">IFERROR(__xludf.DUMMYFUNCTION("""COMPUTED_VALUE"""),2)</f>
        <v>2</v>
      </c>
      <c r="AD96" s="4">
        <f ca="1">IFERROR(__xludf.DUMMYFUNCTION("""COMPUTED_VALUE"""),2)</f>
        <v>2</v>
      </c>
      <c r="AE96" s="4">
        <f ca="1">IFERROR(__xludf.DUMMYFUNCTION("""COMPUTED_VALUE"""),5)</f>
        <v>5</v>
      </c>
      <c r="AF96" s="4">
        <f ca="1">IFERROR(__xludf.DUMMYFUNCTION("""COMPUTED_VALUE"""),3)</f>
        <v>3</v>
      </c>
      <c r="AG96" s="4">
        <f ca="1">IFERROR(__xludf.DUMMYFUNCTION("""COMPUTED_VALUE"""),3)</f>
        <v>3</v>
      </c>
      <c r="AH96" s="4">
        <f ca="1">IFERROR(__xludf.DUMMYFUNCTION("""COMPUTED_VALUE"""),4)</f>
        <v>4</v>
      </c>
      <c r="AI96" s="4">
        <f ca="1">IFERROR(__xludf.DUMMYFUNCTION("""COMPUTED_VALUE"""),3)</f>
        <v>3</v>
      </c>
      <c r="AJ96" s="4">
        <f ca="1">IFERROR(__xludf.DUMMYFUNCTION("""COMPUTED_VALUE"""),4)</f>
        <v>4</v>
      </c>
      <c r="AK96" s="4">
        <f ca="1">IFERROR(__xludf.DUMMYFUNCTION("""COMPUTED_VALUE"""),5)</f>
        <v>5</v>
      </c>
      <c r="AL96" s="4">
        <f ca="1">IFERROR(__xludf.DUMMYFUNCTION("""COMPUTED_VALUE"""),4)</f>
        <v>4</v>
      </c>
      <c r="AM96" s="4">
        <f ca="1">IFERROR(__xludf.DUMMYFUNCTION("""COMPUTED_VALUE"""),4)</f>
        <v>4</v>
      </c>
      <c r="AN96" s="4">
        <f ca="1">IFERROR(__xludf.DUMMYFUNCTION("""COMPUTED_VALUE"""),5)</f>
        <v>5</v>
      </c>
      <c r="AO96" s="4">
        <f ca="1">IFERROR(__xludf.DUMMYFUNCTION("""COMPUTED_VALUE"""),4)</f>
        <v>4</v>
      </c>
      <c r="AP96" s="4">
        <f ca="1">IFERROR(__xludf.DUMMYFUNCTION("""COMPUTED_VALUE"""),4)</f>
        <v>4</v>
      </c>
      <c r="AQ96" s="4">
        <f ca="1">IFERROR(__xludf.DUMMYFUNCTION("""COMPUTED_VALUE"""),4)</f>
        <v>4</v>
      </c>
      <c r="AR96" s="4">
        <f ca="1">IFERROR(__xludf.DUMMYFUNCTION("""COMPUTED_VALUE"""),3)</f>
        <v>3</v>
      </c>
      <c r="AS96" s="4">
        <f ca="1">IFERROR(__xludf.DUMMYFUNCTION("""COMPUTED_VALUE"""),3)</f>
        <v>3</v>
      </c>
      <c r="AT96" s="4">
        <f ca="1">IFERROR(__xludf.DUMMYFUNCTION("""COMPUTED_VALUE"""),4)</f>
        <v>4</v>
      </c>
      <c r="AU96" s="4">
        <f ca="1">IFERROR(__xludf.DUMMYFUNCTION("""COMPUTED_VALUE"""),4)</f>
        <v>4</v>
      </c>
      <c r="AV96" s="4">
        <f ca="1">IFERROR(__xludf.DUMMYFUNCTION("""COMPUTED_VALUE"""),5)</f>
        <v>5</v>
      </c>
      <c r="AW96" s="4">
        <f ca="1">IFERROR(__xludf.DUMMYFUNCTION("""COMPUTED_VALUE"""),4)</f>
        <v>4</v>
      </c>
      <c r="AX96" s="4">
        <f ca="1">IFERROR(__xludf.DUMMYFUNCTION("""COMPUTED_VALUE"""),5)</f>
        <v>5</v>
      </c>
      <c r="AY96" s="4">
        <f ca="1">IFERROR(__xludf.DUMMYFUNCTION("""COMPUTED_VALUE"""),5)</f>
        <v>5</v>
      </c>
      <c r="AZ96" s="4">
        <f ca="1">IFERROR(__xludf.DUMMYFUNCTION("""COMPUTED_VALUE"""),5)</f>
        <v>5</v>
      </c>
      <c r="BA96" s="4">
        <f ca="1">IFERROR(__xludf.DUMMYFUNCTION("""COMPUTED_VALUE"""),5)</f>
        <v>5</v>
      </c>
      <c r="BB96" s="4">
        <f ca="1">IFERROR(__xludf.DUMMYFUNCTION("""COMPUTED_VALUE"""),4)</f>
        <v>4</v>
      </c>
      <c r="BC96" s="4">
        <f ca="1">IFERROR(__xludf.DUMMYFUNCTION("""COMPUTED_VALUE"""),3)</f>
        <v>3</v>
      </c>
      <c r="BD96" s="4">
        <f ca="1">IFERROR(__xludf.DUMMYFUNCTION("""COMPUTED_VALUE"""),5)</f>
        <v>5</v>
      </c>
      <c r="BE96" s="4">
        <f ca="1">IFERROR(__xludf.DUMMYFUNCTION("""COMPUTED_VALUE"""),4)</f>
        <v>4</v>
      </c>
      <c r="BF96" s="4">
        <f ca="1">IFERROR(__xludf.DUMMYFUNCTION("""COMPUTED_VALUE"""),4)</f>
        <v>4</v>
      </c>
      <c r="BG96" s="4">
        <f ca="1">IFERROR(__xludf.DUMMYFUNCTION("""COMPUTED_VALUE"""),4)</f>
        <v>4</v>
      </c>
      <c r="BH96" s="4">
        <f ca="1">IFERROR(__xludf.DUMMYFUNCTION("""COMPUTED_VALUE"""),4)</f>
        <v>4</v>
      </c>
      <c r="BI96" s="4">
        <f ca="1">IFERROR(__xludf.DUMMYFUNCTION("""COMPUTED_VALUE"""),5)</f>
        <v>5</v>
      </c>
      <c r="BJ96" s="4">
        <f ca="1">IFERROR(__xludf.DUMMYFUNCTION("""COMPUTED_VALUE"""),5)</f>
        <v>5</v>
      </c>
      <c r="BK96" s="4">
        <f ca="1">IFERROR(__xludf.DUMMYFUNCTION("""COMPUTED_VALUE"""),5)</f>
        <v>5</v>
      </c>
      <c r="BL96" s="4">
        <f ca="1">IFERROR(__xludf.DUMMYFUNCTION("""COMPUTED_VALUE"""),3)</f>
        <v>3</v>
      </c>
      <c r="BM96" s="4">
        <f ca="1">IFERROR(__xludf.DUMMYFUNCTION("""COMPUTED_VALUE"""),5)</f>
        <v>5</v>
      </c>
      <c r="BN96" s="4">
        <f ca="1">IFERROR(__xludf.DUMMYFUNCTION("""COMPUTED_VALUE"""),5)</f>
        <v>5</v>
      </c>
      <c r="BO96" s="4">
        <f ca="1">IFERROR(__xludf.DUMMYFUNCTION("""COMPUTED_VALUE"""),5)</f>
        <v>5</v>
      </c>
      <c r="BP96" s="4">
        <f ca="1">IFERROR(__xludf.DUMMYFUNCTION("""COMPUTED_VALUE"""),3)</f>
        <v>3</v>
      </c>
    </row>
    <row r="97" spans="1:68" ht="13.2" x14ac:dyDescent="0.25">
      <c r="A97" s="4" t="str">
        <f ca="1">IFERROR(__xludf.DUMMYFUNCTION("""COMPUTED_VALUE"""),"2_ABaOnudF_8-fVhfZi-xapxvWW6GMHaN6Xgm17JeyYJhdEnb9AC9uHpTD5c3jr0u5Kg")</f>
        <v>2_ABaOnudF_8-fVhfZi-xapxvWW6GMHaN6Xgm17JeyYJhdEnb9AC9uHpTD5c3jr0u5Kg</v>
      </c>
      <c r="B97" s="5">
        <f ca="1">IFERROR(__xludf.DUMMYFUNCTION("""COMPUTED_VALUE"""),45969.4154784143)</f>
        <v>45969.415478414303</v>
      </c>
      <c r="C97" s="4"/>
      <c r="D97" s="4" t="str">
        <f ca="1">IFERROR(__xludf.DUMMYFUNCTION("""COMPUTED_VALUE"""),"Nữ")</f>
        <v>Nữ</v>
      </c>
      <c r="E97" s="4" t="str">
        <f ca="1">IFERROR(__xludf.DUMMYFUNCTION("""COMPUTED_VALUE"""),"Công ty TNHH Kiểm toán và Tư vấn Chuẩn Việt")</f>
        <v>Công ty TNHH Kiểm toán và Tư vấn Chuẩn Việt</v>
      </c>
      <c r="F97" s="4" t="str">
        <f ca="1">IFERROR(__xludf.DUMMYFUNCTION("""COMPUTED_VALUE"""),"Đại học, Chứng chỉ Kiểm toán viên")</f>
        <v>Đại học, Chứng chỉ Kiểm toán viên</v>
      </c>
      <c r="G97" s="4" t="str">
        <f ca="1">IFERROR(__xludf.DUMMYFUNCTION("""COMPUTED_VALUE"""),"Trên 5 đến 10 năm")</f>
        <v>Trên 5 đến 10 năm</v>
      </c>
      <c r="H97" s="4" t="str">
        <f ca="1">IFERROR(__xludf.DUMMYFUNCTION("""COMPUTED_VALUE"""),"Kiểm toán viên/Trưởng nhóm")</f>
        <v>Kiểm toán viên/Trưởng nhóm</v>
      </c>
      <c r="I97" s="4">
        <f ca="1">IFERROR(__xludf.DUMMYFUNCTION("""COMPUTED_VALUE"""),5)</f>
        <v>5</v>
      </c>
      <c r="J97" s="4">
        <f ca="1">IFERROR(__xludf.DUMMYFUNCTION("""COMPUTED_VALUE"""),5)</f>
        <v>5</v>
      </c>
      <c r="K97" s="4">
        <f ca="1">IFERROR(__xludf.DUMMYFUNCTION("""COMPUTED_VALUE"""),5)</f>
        <v>5</v>
      </c>
      <c r="L97" s="4">
        <f ca="1">IFERROR(__xludf.DUMMYFUNCTION("""COMPUTED_VALUE"""),4)</f>
        <v>4</v>
      </c>
      <c r="M97" s="4">
        <f ca="1">IFERROR(__xludf.DUMMYFUNCTION("""COMPUTED_VALUE"""),5)</f>
        <v>5</v>
      </c>
      <c r="N97" s="4">
        <f ca="1">IFERROR(__xludf.DUMMYFUNCTION("""COMPUTED_VALUE"""),4)</f>
        <v>4</v>
      </c>
      <c r="O97" s="4">
        <f ca="1">IFERROR(__xludf.DUMMYFUNCTION("""COMPUTED_VALUE"""),4)</f>
        <v>4</v>
      </c>
      <c r="P97" s="4">
        <f ca="1">IFERROR(__xludf.DUMMYFUNCTION("""COMPUTED_VALUE"""),5)</f>
        <v>5</v>
      </c>
      <c r="Q97" s="4">
        <f ca="1">IFERROR(__xludf.DUMMYFUNCTION("""COMPUTED_VALUE"""),5)</f>
        <v>5</v>
      </c>
      <c r="R97" s="4">
        <f ca="1">IFERROR(__xludf.DUMMYFUNCTION("""COMPUTED_VALUE"""),5)</f>
        <v>5</v>
      </c>
      <c r="S97" s="4">
        <f ca="1">IFERROR(__xludf.DUMMYFUNCTION("""COMPUTED_VALUE"""),5)</f>
        <v>5</v>
      </c>
      <c r="T97" s="4">
        <f ca="1">IFERROR(__xludf.DUMMYFUNCTION("""COMPUTED_VALUE"""),5)</f>
        <v>5</v>
      </c>
      <c r="U97" s="4">
        <f ca="1">IFERROR(__xludf.DUMMYFUNCTION("""COMPUTED_VALUE"""),5)</f>
        <v>5</v>
      </c>
      <c r="V97" s="4">
        <f ca="1">IFERROR(__xludf.DUMMYFUNCTION("""COMPUTED_VALUE"""),5)</f>
        <v>5</v>
      </c>
      <c r="W97" s="4">
        <f ca="1">IFERROR(__xludf.DUMMYFUNCTION("""COMPUTED_VALUE"""),4)</f>
        <v>4</v>
      </c>
      <c r="X97" s="4">
        <f ca="1">IFERROR(__xludf.DUMMYFUNCTION("""COMPUTED_VALUE"""),4)</f>
        <v>4</v>
      </c>
      <c r="Y97" s="4">
        <f ca="1">IFERROR(__xludf.DUMMYFUNCTION("""COMPUTED_VALUE"""),5)</f>
        <v>5</v>
      </c>
      <c r="Z97" s="4">
        <f ca="1">IFERROR(__xludf.DUMMYFUNCTION("""COMPUTED_VALUE"""),5)</f>
        <v>5</v>
      </c>
      <c r="AA97" s="4">
        <f ca="1">IFERROR(__xludf.DUMMYFUNCTION("""COMPUTED_VALUE"""),5)</f>
        <v>5</v>
      </c>
      <c r="AB97" s="4">
        <f ca="1">IFERROR(__xludf.DUMMYFUNCTION("""COMPUTED_VALUE"""),4)</f>
        <v>4</v>
      </c>
      <c r="AC97" s="4">
        <f ca="1">IFERROR(__xludf.DUMMYFUNCTION("""COMPUTED_VALUE"""),4)</f>
        <v>4</v>
      </c>
      <c r="AD97" s="4">
        <f ca="1">IFERROR(__xludf.DUMMYFUNCTION("""COMPUTED_VALUE"""),4)</f>
        <v>4</v>
      </c>
      <c r="AE97" s="4">
        <f ca="1">IFERROR(__xludf.DUMMYFUNCTION("""COMPUTED_VALUE"""),5)</f>
        <v>5</v>
      </c>
      <c r="AF97" s="4">
        <f ca="1">IFERROR(__xludf.DUMMYFUNCTION("""COMPUTED_VALUE"""),4)</f>
        <v>4</v>
      </c>
      <c r="AG97" s="4">
        <f ca="1">IFERROR(__xludf.DUMMYFUNCTION("""COMPUTED_VALUE"""),4)</f>
        <v>4</v>
      </c>
      <c r="AH97" s="4">
        <f ca="1">IFERROR(__xludf.DUMMYFUNCTION("""COMPUTED_VALUE"""),4)</f>
        <v>4</v>
      </c>
      <c r="AI97" s="4">
        <f ca="1">IFERROR(__xludf.DUMMYFUNCTION("""COMPUTED_VALUE"""),4)</f>
        <v>4</v>
      </c>
      <c r="AJ97" s="4">
        <f ca="1">IFERROR(__xludf.DUMMYFUNCTION("""COMPUTED_VALUE"""),5)</f>
        <v>5</v>
      </c>
      <c r="AK97" s="4">
        <f ca="1">IFERROR(__xludf.DUMMYFUNCTION("""COMPUTED_VALUE"""),5)</f>
        <v>5</v>
      </c>
      <c r="AL97" s="4">
        <f ca="1">IFERROR(__xludf.DUMMYFUNCTION("""COMPUTED_VALUE"""),5)</f>
        <v>5</v>
      </c>
      <c r="AM97" s="4">
        <f ca="1">IFERROR(__xludf.DUMMYFUNCTION("""COMPUTED_VALUE"""),5)</f>
        <v>5</v>
      </c>
      <c r="AN97" s="4">
        <f ca="1">IFERROR(__xludf.DUMMYFUNCTION("""COMPUTED_VALUE"""),5)</f>
        <v>5</v>
      </c>
      <c r="AO97" s="4">
        <f ca="1">IFERROR(__xludf.DUMMYFUNCTION("""COMPUTED_VALUE"""),4)</f>
        <v>4</v>
      </c>
      <c r="AP97" s="4">
        <f ca="1">IFERROR(__xludf.DUMMYFUNCTION("""COMPUTED_VALUE"""),4)</f>
        <v>4</v>
      </c>
      <c r="AQ97" s="4">
        <f ca="1">IFERROR(__xludf.DUMMYFUNCTION("""COMPUTED_VALUE"""),4)</f>
        <v>4</v>
      </c>
      <c r="AR97" s="4">
        <f ca="1">IFERROR(__xludf.DUMMYFUNCTION("""COMPUTED_VALUE"""),4)</f>
        <v>4</v>
      </c>
      <c r="AS97" s="4">
        <f ca="1">IFERROR(__xludf.DUMMYFUNCTION("""COMPUTED_VALUE"""),3)</f>
        <v>3</v>
      </c>
      <c r="AT97" s="4">
        <f ca="1">IFERROR(__xludf.DUMMYFUNCTION("""COMPUTED_VALUE"""),4)</f>
        <v>4</v>
      </c>
      <c r="AU97" s="4">
        <f ca="1">IFERROR(__xludf.DUMMYFUNCTION("""COMPUTED_VALUE"""),5)</f>
        <v>5</v>
      </c>
      <c r="AV97" s="4">
        <f ca="1">IFERROR(__xludf.DUMMYFUNCTION("""COMPUTED_VALUE"""),5)</f>
        <v>5</v>
      </c>
      <c r="AW97" s="4">
        <f ca="1">IFERROR(__xludf.DUMMYFUNCTION("""COMPUTED_VALUE"""),5)</f>
        <v>5</v>
      </c>
      <c r="AX97" s="4">
        <f ca="1">IFERROR(__xludf.DUMMYFUNCTION("""COMPUTED_VALUE"""),5)</f>
        <v>5</v>
      </c>
      <c r="AY97" s="4">
        <f ca="1">IFERROR(__xludf.DUMMYFUNCTION("""COMPUTED_VALUE"""),5)</f>
        <v>5</v>
      </c>
      <c r="AZ97" s="4">
        <f ca="1">IFERROR(__xludf.DUMMYFUNCTION("""COMPUTED_VALUE"""),5)</f>
        <v>5</v>
      </c>
      <c r="BA97" s="4">
        <f ca="1">IFERROR(__xludf.DUMMYFUNCTION("""COMPUTED_VALUE"""),5)</f>
        <v>5</v>
      </c>
      <c r="BB97" s="4">
        <f ca="1">IFERROR(__xludf.DUMMYFUNCTION("""COMPUTED_VALUE"""),4)</f>
        <v>4</v>
      </c>
      <c r="BC97" s="4">
        <f ca="1">IFERROR(__xludf.DUMMYFUNCTION("""COMPUTED_VALUE"""),4)</f>
        <v>4</v>
      </c>
      <c r="BD97" s="4">
        <f ca="1">IFERROR(__xludf.DUMMYFUNCTION("""COMPUTED_VALUE"""),4)</f>
        <v>4</v>
      </c>
      <c r="BE97" s="4">
        <f ca="1">IFERROR(__xludf.DUMMYFUNCTION("""COMPUTED_VALUE"""),4)</f>
        <v>4</v>
      </c>
      <c r="BF97" s="4">
        <f ca="1">IFERROR(__xludf.DUMMYFUNCTION("""COMPUTED_VALUE"""),4)</f>
        <v>4</v>
      </c>
      <c r="BG97" s="4">
        <f ca="1">IFERROR(__xludf.DUMMYFUNCTION("""COMPUTED_VALUE"""),3)</f>
        <v>3</v>
      </c>
      <c r="BH97" s="4">
        <f ca="1">IFERROR(__xludf.DUMMYFUNCTION("""COMPUTED_VALUE"""),5)</f>
        <v>5</v>
      </c>
      <c r="BI97" s="4">
        <f ca="1">IFERROR(__xludf.DUMMYFUNCTION("""COMPUTED_VALUE"""),5)</f>
        <v>5</v>
      </c>
      <c r="BJ97" s="4">
        <f ca="1">IFERROR(__xludf.DUMMYFUNCTION("""COMPUTED_VALUE"""),5)</f>
        <v>5</v>
      </c>
      <c r="BK97" s="4">
        <f ca="1">IFERROR(__xludf.DUMMYFUNCTION("""COMPUTED_VALUE"""),5)</f>
        <v>5</v>
      </c>
      <c r="BL97" s="4">
        <f ca="1">IFERROR(__xludf.DUMMYFUNCTION("""COMPUTED_VALUE"""),5)</f>
        <v>5</v>
      </c>
      <c r="BM97" s="4">
        <f ca="1">IFERROR(__xludf.DUMMYFUNCTION("""COMPUTED_VALUE"""),5)</f>
        <v>5</v>
      </c>
      <c r="BN97" s="4">
        <f ca="1">IFERROR(__xludf.DUMMYFUNCTION("""COMPUTED_VALUE"""),5)</f>
        <v>5</v>
      </c>
      <c r="BO97" s="4">
        <f ca="1">IFERROR(__xludf.DUMMYFUNCTION("""COMPUTED_VALUE"""),5)</f>
        <v>5</v>
      </c>
      <c r="BP97" s="4">
        <f ca="1">IFERROR(__xludf.DUMMYFUNCTION("""COMPUTED_VALUE"""),5)</f>
        <v>5</v>
      </c>
    </row>
    <row r="98" spans="1:68" ht="13.2" x14ac:dyDescent="0.25">
      <c r="A98" s="4" t="str">
        <f ca="1">IFERROR(__xludf.DUMMYFUNCTION("""COMPUTED_VALUE"""),"2_ABaOnucEmXsG_9QnKpMNE3adukyoJGxtDkxYM7ZongMrTnr-hTLzDVWMLaOOqJAsoA")</f>
        <v>2_ABaOnucEmXsG_9QnKpMNE3adukyoJGxtDkxYM7ZongMrTnr-hTLzDVWMLaOOqJAsoA</v>
      </c>
      <c r="B98" s="5">
        <f ca="1">IFERROR(__xludf.DUMMYFUNCTION("""COMPUTED_VALUE"""),45969.535913449)</f>
        <v>45969.535913448999</v>
      </c>
      <c r="C98" s="4" t="str">
        <f ca="1">IFERROR(__xludf.DUMMYFUNCTION("""COMPUTED_VALUE"""),"Võ Phương Thanh")</f>
        <v>Võ Phương Thanh</v>
      </c>
      <c r="D98" s="4" t="str">
        <f ca="1">IFERROR(__xludf.DUMMYFUNCTION("""COMPUTED_VALUE"""),"Nữ")</f>
        <v>Nữ</v>
      </c>
      <c r="E98" s="4" t="str">
        <f ca="1">IFERROR(__xludf.DUMMYFUNCTION("""COMPUTED_VALUE"""),"Công ty TNHH Kiểm toán và Tư vấn A&amp;C")</f>
        <v>Công ty TNHH Kiểm toán và Tư vấn A&amp;C</v>
      </c>
      <c r="F98" s="4" t="str">
        <f ca="1">IFERROR(__xludf.DUMMYFUNCTION("""COMPUTED_VALUE"""),"Đại học")</f>
        <v>Đại học</v>
      </c>
      <c r="G98" s="4" t="str">
        <f ca="1">IFERROR(__xludf.DUMMYFUNCTION("""COMPUTED_VALUE"""),"Từ 3 đến 5 năm")</f>
        <v>Từ 3 đến 5 năm</v>
      </c>
      <c r="H98" s="4" t="str">
        <f ca="1">IFERROR(__xludf.DUMMYFUNCTION("""COMPUTED_VALUE"""),"Trợ lý kiểm toán")</f>
        <v>Trợ lý kiểm toán</v>
      </c>
      <c r="I98" s="4">
        <f ca="1">IFERROR(__xludf.DUMMYFUNCTION("""COMPUTED_VALUE"""),5)</f>
        <v>5</v>
      </c>
      <c r="J98" s="4">
        <f ca="1">IFERROR(__xludf.DUMMYFUNCTION("""COMPUTED_VALUE"""),5)</f>
        <v>5</v>
      </c>
      <c r="K98" s="4">
        <f ca="1">IFERROR(__xludf.DUMMYFUNCTION("""COMPUTED_VALUE"""),4)</f>
        <v>4</v>
      </c>
      <c r="L98" s="4">
        <f ca="1">IFERROR(__xludf.DUMMYFUNCTION("""COMPUTED_VALUE"""),5)</f>
        <v>5</v>
      </c>
      <c r="M98" s="4">
        <f ca="1">IFERROR(__xludf.DUMMYFUNCTION("""COMPUTED_VALUE"""),5)</f>
        <v>5</v>
      </c>
      <c r="N98" s="4">
        <f ca="1">IFERROR(__xludf.DUMMYFUNCTION("""COMPUTED_VALUE"""),5)</f>
        <v>5</v>
      </c>
      <c r="O98" s="4">
        <f ca="1">IFERROR(__xludf.DUMMYFUNCTION("""COMPUTED_VALUE"""),5)</f>
        <v>5</v>
      </c>
      <c r="P98" s="4">
        <f ca="1">IFERROR(__xludf.DUMMYFUNCTION("""COMPUTED_VALUE"""),5)</f>
        <v>5</v>
      </c>
      <c r="Q98" s="4">
        <f ca="1">IFERROR(__xludf.DUMMYFUNCTION("""COMPUTED_VALUE"""),5)</f>
        <v>5</v>
      </c>
      <c r="R98" s="4">
        <f ca="1">IFERROR(__xludf.DUMMYFUNCTION("""COMPUTED_VALUE"""),4)</f>
        <v>4</v>
      </c>
      <c r="S98" s="4">
        <f ca="1">IFERROR(__xludf.DUMMYFUNCTION("""COMPUTED_VALUE"""),5)</f>
        <v>5</v>
      </c>
      <c r="T98" s="4">
        <f ca="1">IFERROR(__xludf.DUMMYFUNCTION("""COMPUTED_VALUE"""),5)</f>
        <v>5</v>
      </c>
      <c r="U98" s="4">
        <f ca="1">IFERROR(__xludf.DUMMYFUNCTION("""COMPUTED_VALUE"""),5)</f>
        <v>5</v>
      </c>
      <c r="V98" s="4">
        <f ca="1">IFERROR(__xludf.DUMMYFUNCTION("""COMPUTED_VALUE"""),5)</f>
        <v>5</v>
      </c>
      <c r="W98" s="4">
        <f ca="1">IFERROR(__xludf.DUMMYFUNCTION("""COMPUTED_VALUE"""),4)</f>
        <v>4</v>
      </c>
      <c r="X98" s="4">
        <f ca="1">IFERROR(__xludf.DUMMYFUNCTION("""COMPUTED_VALUE"""),3)</f>
        <v>3</v>
      </c>
      <c r="Y98" s="4">
        <f ca="1">IFERROR(__xludf.DUMMYFUNCTION("""COMPUTED_VALUE"""),4)</f>
        <v>4</v>
      </c>
      <c r="Z98" s="4">
        <f ca="1">IFERROR(__xludf.DUMMYFUNCTION("""COMPUTED_VALUE"""),4)</f>
        <v>4</v>
      </c>
      <c r="AA98" s="4">
        <f ca="1">IFERROR(__xludf.DUMMYFUNCTION("""COMPUTED_VALUE"""),4)</f>
        <v>4</v>
      </c>
      <c r="AB98" s="4">
        <f ca="1">IFERROR(__xludf.DUMMYFUNCTION("""COMPUTED_VALUE"""),5)</f>
        <v>5</v>
      </c>
      <c r="AC98" s="4">
        <f ca="1">IFERROR(__xludf.DUMMYFUNCTION("""COMPUTED_VALUE"""),4)</f>
        <v>4</v>
      </c>
      <c r="AD98" s="4">
        <f ca="1">IFERROR(__xludf.DUMMYFUNCTION("""COMPUTED_VALUE"""),4)</f>
        <v>4</v>
      </c>
      <c r="AE98" s="4">
        <f ca="1">IFERROR(__xludf.DUMMYFUNCTION("""COMPUTED_VALUE"""),5)</f>
        <v>5</v>
      </c>
      <c r="AF98" s="4">
        <f ca="1">IFERROR(__xludf.DUMMYFUNCTION("""COMPUTED_VALUE"""),5)</f>
        <v>5</v>
      </c>
      <c r="AG98" s="4">
        <f ca="1">IFERROR(__xludf.DUMMYFUNCTION("""COMPUTED_VALUE"""),5)</f>
        <v>5</v>
      </c>
      <c r="AH98" s="4">
        <f ca="1">IFERROR(__xludf.DUMMYFUNCTION("""COMPUTED_VALUE"""),5)</f>
        <v>5</v>
      </c>
      <c r="AI98" s="4">
        <f ca="1">IFERROR(__xludf.DUMMYFUNCTION("""COMPUTED_VALUE"""),5)</f>
        <v>5</v>
      </c>
      <c r="AJ98" s="4">
        <f ca="1">IFERROR(__xludf.DUMMYFUNCTION("""COMPUTED_VALUE"""),5)</f>
        <v>5</v>
      </c>
      <c r="AK98" s="4">
        <f ca="1">IFERROR(__xludf.DUMMYFUNCTION("""COMPUTED_VALUE"""),5)</f>
        <v>5</v>
      </c>
      <c r="AL98" s="4">
        <f ca="1">IFERROR(__xludf.DUMMYFUNCTION("""COMPUTED_VALUE"""),5)</f>
        <v>5</v>
      </c>
      <c r="AM98" s="4">
        <f ca="1">IFERROR(__xludf.DUMMYFUNCTION("""COMPUTED_VALUE"""),5)</f>
        <v>5</v>
      </c>
      <c r="AN98" s="4">
        <f ca="1">IFERROR(__xludf.DUMMYFUNCTION("""COMPUTED_VALUE"""),5)</f>
        <v>5</v>
      </c>
      <c r="AO98" s="4">
        <f ca="1">IFERROR(__xludf.DUMMYFUNCTION("""COMPUTED_VALUE"""),5)</f>
        <v>5</v>
      </c>
      <c r="AP98" s="4">
        <f ca="1">IFERROR(__xludf.DUMMYFUNCTION("""COMPUTED_VALUE"""),5)</f>
        <v>5</v>
      </c>
      <c r="AQ98" s="4">
        <f ca="1">IFERROR(__xludf.DUMMYFUNCTION("""COMPUTED_VALUE"""),5)</f>
        <v>5</v>
      </c>
      <c r="AR98" s="4">
        <f ca="1">IFERROR(__xludf.DUMMYFUNCTION("""COMPUTED_VALUE"""),5)</f>
        <v>5</v>
      </c>
      <c r="AS98" s="4">
        <f ca="1">IFERROR(__xludf.DUMMYFUNCTION("""COMPUTED_VALUE"""),5)</f>
        <v>5</v>
      </c>
      <c r="AT98" s="4">
        <f ca="1">IFERROR(__xludf.DUMMYFUNCTION("""COMPUTED_VALUE"""),5)</f>
        <v>5</v>
      </c>
      <c r="AU98" s="4">
        <f ca="1">IFERROR(__xludf.DUMMYFUNCTION("""COMPUTED_VALUE"""),5)</f>
        <v>5</v>
      </c>
      <c r="AV98" s="4">
        <f ca="1">IFERROR(__xludf.DUMMYFUNCTION("""COMPUTED_VALUE"""),5)</f>
        <v>5</v>
      </c>
      <c r="AW98" s="4">
        <f ca="1">IFERROR(__xludf.DUMMYFUNCTION("""COMPUTED_VALUE"""),5)</f>
        <v>5</v>
      </c>
      <c r="AX98" s="4">
        <f ca="1">IFERROR(__xludf.DUMMYFUNCTION("""COMPUTED_VALUE"""),5)</f>
        <v>5</v>
      </c>
      <c r="AY98" s="4">
        <f ca="1">IFERROR(__xludf.DUMMYFUNCTION("""COMPUTED_VALUE"""),5)</f>
        <v>5</v>
      </c>
      <c r="AZ98" s="4">
        <f ca="1">IFERROR(__xludf.DUMMYFUNCTION("""COMPUTED_VALUE"""),5)</f>
        <v>5</v>
      </c>
      <c r="BA98" s="4">
        <f ca="1">IFERROR(__xludf.DUMMYFUNCTION("""COMPUTED_VALUE"""),5)</f>
        <v>5</v>
      </c>
      <c r="BB98" s="4">
        <f ca="1">IFERROR(__xludf.DUMMYFUNCTION("""COMPUTED_VALUE"""),5)</f>
        <v>5</v>
      </c>
      <c r="BC98" s="4">
        <f ca="1">IFERROR(__xludf.DUMMYFUNCTION("""COMPUTED_VALUE"""),3)</f>
        <v>3</v>
      </c>
      <c r="BD98" s="4">
        <f ca="1">IFERROR(__xludf.DUMMYFUNCTION("""COMPUTED_VALUE"""),4)</f>
        <v>4</v>
      </c>
      <c r="BE98" s="4">
        <f ca="1">IFERROR(__xludf.DUMMYFUNCTION("""COMPUTED_VALUE"""),4)</f>
        <v>4</v>
      </c>
      <c r="BF98" s="4">
        <f ca="1">IFERROR(__xludf.DUMMYFUNCTION("""COMPUTED_VALUE"""),3)</f>
        <v>3</v>
      </c>
      <c r="BG98" s="4">
        <f ca="1">IFERROR(__xludf.DUMMYFUNCTION("""COMPUTED_VALUE"""),3)</f>
        <v>3</v>
      </c>
      <c r="BH98" s="4">
        <f ca="1">IFERROR(__xludf.DUMMYFUNCTION("""COMPUTED_VALUE"""),5)</f>
        <v>5</v>
      </c>
      <c r="BI98" s="4">
        <f ca="1">IFERROR(__xludf.DUMMYFUNCTION("""COMPUTED_VALUE"""),5)</f>
        <v>5</v>
      </c>
      <c r="BJ98" s="4">
        <f ca="1">IFERROR(__xludf.DUMMYFUNCTION("""COMPUTED_VALUE"""),5)</f>
        <v>5</v>
      </c>
      <c r="BK98" s="4">
        <f ca="1">IFERROR(__xludf.DUMMYFUNCTION("""COMPUTED_VALUE"""),5)</f>
        <v>5</v>
      </c>
      <c r="BL98" s="4">
        <f ca="1">IFERROR(__xludf.DUMMYFUNCTION("""COMPUTED_VALUE"""),5)</f>
        <v>5</v>
      </c>
      <c r="BM98" s="4">
        <f ca="1">IFERROR(__xludf.DUMMYFUNCTION("""COMPUTED_VALUE"""),5)</f>
        <v>5</v>
      </c>
      <c r="BN98" s="4">
        <f ca="1">IFERROR(__xludf.DUMMYFUNCTION("""COMPUTED_VALUE"""),5)</f>
        <v>5</v>
      </c>
      <c r="BO98" s="4">
        <f ca="1">IFERROR(__xludf.DUMMYFUNCTION("""COMPUTED_VALUE"""),5)</f>
        <v>5</v>
      </c>
      <c r="BP98" s="4">
        <f ca="1">IFERROR(__xludf.DUMMYFUNCTION("""COMPUTED_VALUE"""),5)</f>
        <v>5</v>
      </c>
    </row>
    <row r="99" spans="1:68" ht="13.2" x14ac:dyDescent="0.25">
      <c r="A99" s="4" t="str">
        <f ca="1">IFERROR(__xludf.DUMMYFUNCTION("""COMPUTED_VALUE"""),"2_ABaOnucZpyerIaWHJH2Cbs18hSWLL0jfa1NIQkM147xGuGuJCODiV2uRBGb9lMx20g")</f>
        <v>2_ABaOnucZpyerIaWHJH2Cbs18hSWLL0jfa1NIQkM147xGuGuJCODiV2uRBGb9lMx20g</v>
      </c>
      <c r="B99" s="5">
        <f ca="1">IFERROR(__xludf.DUMMYFUNCTION("""COMPUTED_VALUE"""),45969.6417420601)</f>
        <v>45969.641742060099</v>
      </c>
      <c r="C99" s="4" t="str">
        <f ca="1">IFERROR(__xludf.DUMMYFUNCTION("""COMPUTED_VALUE"""),"Nguyễn Thị Phượng ")</f>
        <v xml:space="preserve">Nguyễn Thị Phượng </v>
      </c>
      <c r="D99" s="4" t="str">
        <f ca="1">IFERROR(__xludf.DUMMYFUNCTION("""COMPUTED_VALUE"""),"Nữ")</f>
        <v>Nữ</v>
      </c>
      <c r="E99" s="4" t="str">
        <f ca="1">IFERROR(__xludf.DUMMYFUNCTION("""COMPUTED_VALUE"""),"Chi nhánh Công ty TNH Kiểm toán và Dịch vụ Tin học MOORE AISC")</f>
        <v>Chi nhánh Công ty TNH Kiểm toán và Dịch vụ Tin học MOORE AISC</v>
      </c>
      <c r="F99" s="4" t="str">
        <f ca="1">IFERROR(__xludf.DUMMYFUNCTION("""COMPUTED_VALUE"""),"Đại học, Chứng chỉ Kiểm toán viên")</f>
        <v>Đại học, Chứng chỉ Kiểm toán viên</v>
      </c>
      <c r="G99" s="4" t="str">
        <f ca="1">IFERROR(__xludf.DUMMYFUNCTION("""COMPUTED_VALUE"""),"Trên 10 đến 15 năm")</f>
        <v>Trên 10 đến 15 năm</v>
      </c>
      <c r="H99" s="4" t="str">
        <f ca="1">IFERROR(__xludf.DUMMYFUNCTION("""COMPUTED_VALUE"""),"Ban giám đốc")</f>
        <v>Ban giám đốc</v>
      </c>
      <c r="I99" s="4">
        <f ca="1">IFERROR(__xludf.DUMMYFUNCTION("""COMPUTED_VALUE"""),4)</f>
        <v>4</v>
      </c>
      <c r="J99" s="4">
        <f ca="1">IFERROR(__xludf.DUMMYFUNCTION("""COMPUTED_VALUE"""),4)</f>
        <v>4</v>
      </c>
      <c r="K99" s="4">
        <f ca="1">IFERROR(__xludf.DUMMYFUNCTION("""COMPUTED_VALUE"""),4)</f>
        <v>4</v>
      </c>
      <c r="L99" s="4">
        <f ca="1">IFERROR(__xludf.DUMMYFUNCTION("""COMPUTED_VALUE"""),4)</f>
        <v>4</v>
      </c>
      <c r="M99" s="4">
        <f ca="1">IFERROR(__xludf.DUMMYFUNCTION("""COMPUTED_VALUE"""),5)</f>
        <v>5</v>
      </c>
      <c r="N99" s="4">
        <f ca="1">IFERROR(__xludf.DUMMYFUNCTION("""COMPUTED_VALUE"""),3)</f>
        <v>3</v>
      </c>
      <c r="O99" s="4">
        <f ca="1">IFERROR(__xludf.DUMMYFUNCTION("""COMPUTED_VALUE"""),3)</f>
        <v>3</v>
      </c>
      <c r="P99" s="4">
        <f ca="1">IFERROR(__xludf.DUMMYFUNCTION("""COMPUTED_VALUE"""),5)</f>
        <v>5</v>
      </c>
      <c r="Q99" s="4">
        <f ca="1">IFERROR(__xludf.DUMMYFUNCTION("""COMPUTED_VALUE"""),5)</f>
        <v>5</v>
      </c>
      <c r="R99" s="4">
        <f ca="1">IFERROR(__xludf.DUMMYFUNCTION("""COMPUTED_VALUE"""),4)</f>
        <v>4</v>
      </c>
      <c r="S99" s="4">
        <f ca="1">IFERROR(__xludf.DUMMYFUNCTION("""COMPUTED_VALUE"""),4)</f>
        <v>4</v>
      </c>
      <c r="T99" s="4">
        <f ca="1">IFERROR(__xludf.DUMMYFUNCTION("""COMPUTED_VALUE"""),5)</f>
        <v>5</v>
      </c>
      <c r="U99" s="4">
        <f ca="1">IFERROR(__xludf.DUMMYFUNCTION("""COMPUTED_VALUE"""),5)</f>
        <v>5</v>
      </c>
      <c r="V99" s="4">
        <f ca="1">IFERROR(__xludf.DUMMYFUNCTION("""COMPUTED_VALUE"""),4)</f>
        <v>4</v>
      </c>
      <c r="W99" s="4">
        <f ca="1">IFERROR(__xludf.DUMMYFUNCTION("""COMPUTED_VALUE"""),4)</f>
        <v>4</v>
      </c>
      <c r="X99" s="4">
        <f ca="1">IFERROR(__xludf.DUMMYFUNCTION("""COMPUTED_VALUE"""),4)</f>
        <v>4</v>
      </c>
      <c r="Y99" s="4">
        <f ca="1">IFERROR(__xludf.DUMMYFUNCTION("""COMPUTED_VALUE"""),4)</f>
        <v>4</v>
      </c>
      <c r="Z99" s="4">
        <f ca="1">IFERROR(__xludf.DUMMYFUNCTION("""COMPUTED_VALUE"""),4)</f>
        <v>4</v>
      </c>
      <c r="AA99" s="4">
        <f ca="1">IFERROR(__xludf.DUMMYFUNCTION("""COMPUTED_VALUE"""),4)</f>
        <v>4</v>
      </c>
      <c r="AB99" s="4">
        <f ca="1">IFERROR(__xludf.DUMMYFUNCTION("""COMPUTED_VALUE"""),3)</f>
        <v>3</v>
      </c>
      <c r="AC99" s="4">
        <f ca="1">IFERROR(__xludf.DUMMYFUNCTION("""COMPUTED_VALUE"""),3)</f>
        <v>3</v>
      </c>
      <c r="AD99" s="4">
        <f ca="1">IFERROR(__xludf.DUMMYFUNCTION("""COMPUTED_VALUE"""),2)</f>
        <v>2</v>
      </c>
      <c r="AE99" s="4">
        <f ca="1">IFERROR(__xludf.DUMMYFUNCTION("""COMPUTED_VALUE"""),4)</f>
        <v>4</v>
      </c>
      <c r="AF99" s="4">
        <f ca="1">IFERROR(__xludf.DUMMYFUNCTION("""COMPUTED_VALUE"""),4)</f>
        <v>4</v>
      </c>
      <c r="AG99" s="4">
        <f ca="1">IFERROR(__xludf.DUMMYFUNCTION("""COMPUTED_VALUE"""),4)</f>
        <v>4</v>
      </c>
      <c r="AH99" s="4">
        <f ca="1">IFERROR(__xludf.DUMMYFUNCTION("""COMPUTED_VALUE"""),3)</f>
        <v>3</v>
      </c>
      <c r="AI99" s="4">
        <f ca="1">IFERROR(__xludf.DUMMYFUNCTION("""COMPUTED_VALUE"""),3)</f>
        <v>3</v>
      </c>
      <c r="AJ99" s="4">
        <f ca="1">IFERROR(__xludf.DUMMYFUNCTION("""COMPUTED_VALUE"""),4)</f>
        <v>4</v>
      </c>
      <c r="AK99" s="4">
        <f ca="1">IFERROR(__xludf.DUMMYFUNCTION("""COMPUTED_VALUE"""),4)</f>
        <v>4</v>
      </c>
      <c r="AL99" s="4">
        <f ca="1">IFERROR(__xludf.DUMMYFUNCTION("""COMPUTED_VALUE"""),4)</f>
        <v>4</v>
      </c>
      <c r="AM99" s="4">
        <f ca="1">IFERROR(__xludf.DUMMYFUNCTION("""COMPUTED_VALUE"""),4)</f>
        <v>4</v>
      </c>
      <c r="AN99" s="4">
        <f ca="1">IFERROR(__xludf.DUMMYFUNCTION("""COMPUTED_VALUE"""),4)</f>
        <v>4</v>
      </c>
      <c r="AO99" s="4">
        <f ca="1">IFERROR(__xludf.DUMMYFUNCTION("""COMPUTED_VALUE"""),3)</f>
        <v>3</v>
      </c>
      <c r="AP99" s="4">
        <f ca="1">IFERROR(__xludf.DUMMYFUNCTION("""COMPUTED_VALUE"""),4)</f>
        <v>4</v>
      </c>
      <c r="AQ99" s="4">
        <f ca="1">IFERROR(__xludf.DUMMYFUNCTION("""COMPUTED_VALUE"""),4)</f>
        <v>4</v>
      </c>
      <c r="AR99" s="4">
        <f ca="1">IFERROR(__xludf.DUMMYFUNCTION("""COMPUTED_VALUE"""),3)</f>
        <v>3</v>
      </c>
      <c r="AS99" s="4">
        <f ca="1">IFERROR(__xludf.DUMMYFUNCTION("""COMPUTED_VALUE"""),3)</f>
        <v>3</v>
      </c>
      <c r="AT99" s="4">
        <f ca="1">IFERROR(__xludf.DUMMYFUNCTION("""COMPUTED_VALUE"""),3)</f>
        <v>3</v>
      </c>
      <c r="AU99" s="4">
        <f ca="1">IFERROR(__xludf.DUMMYFUNCTION("""COMPUTED_VALUE"""),3)</f>
        <v>3</v>
      </c>
      <c r="AV99" s="4">
        <f ca="1">IFERROR(__xludf.DUMMYFUNCTION("""COMPUTED_VALUE"""),3)</f>
        <v>3</v>
      </c>
      <c r="AW99" s="4">
        <f ca="1">IFERROR(__xludf.DUMMYFUNCTION("""COMPUTED_VALUE"""),3)</f>
        <v>3</v>
      </c>
      <c r="AX99" s="4">
        <f ca="1">IFERROR(__xludf.DUMMYFUNCTION("""COMPUTED_VALUE"""),4)</f>
        <v>4</v>
      </c>
      <c r="AY99" s="4">
        <f ca="1">IFERROR(__xludf.DUMMYFUNCTION("""COMPUTED_VALUE"""),4)</f>
        <v>4</v>
      </c>
      <c r="AZ99" s="4">
        <f ca="1">IFERROR(__xludf.DUMMYFUNCTION("""COMPUTED_VALUE"""),4)</f>
        <v>4</v>
      </c>
      <c r="BA99" s="4">
        <f ca="1">IFERROR(__xludf.DUMMYFUNCTION("""COMPUTED_VALUE"""),4)</f>
        <v>4</v>
      </c>
      <c r="BB99" s="4">
        <f ca="1">IFERROR(__xludf.DUMMYFUNCTION("""COMPUTED_VALUE"""),4)</f>
        <v>4</v>
      </c>
      <c r="BC99" s="4">
        <f ca="1">IFERROR(__xludf.DUMMYFUNCTION("""COMPUTED_VALUE"""),4)</f>
        <v>4</v>
      </c>
      <c r="BD99" s="4">
        <f ca="1">IFERROR(__xludf.DUMMYFUNCTION("""COMPUTED_VALUE"""),4)</f>
        <v>4</v>
      </c>
      <c r="BE99" s="4">
        <f ca="1">IFERROR(__xludf.DUMMYFUNCTION("""COMPUTED_VALUE"""),4)</f>
        <v>4</v>
      </c>
      <c r="BF99" s="4">
        <f ca="1">IFERROR(__xludf.DUMMYFUNCTION("""COMPUTED_VALUE"""),4)</f>
        <v>4</v>
      </c>
      <c r="BG99" s="4">
        <f ca="1">IFERROR(__xludf.DUMMYFUNCTION("""COMPUTED_VALUE"""),4)</f>
        <v>4</v>
      </c>
      <c r="BH99" s="4">
        <f ca="1">IFERROR(__xludf.DUMMYFUNCTION("""COMPUTED_VALUE"""),4)</f>
        <v>4</v>
      </c>
      <c r="BI99" s="4">
        <f ca="1">IFERROR(__xludf.DUMMYFUNCTION("""COMPUTED_VALUE"""),4)</f>
        <v>4</v>
      </c>
      <c r="BJ99" s="4">
        <f ca="1">IFERROR(__xludf.DUMMYFUNCTION("""COMPUTED_VALUE"""),4)</f>
        <v>4</v>
      </c>
      <c r="BK99" s="4">
        <f ca="1">IFERROR(__xludf.DUMMYFUNCTION("""COMPUTED_VALUE"""),4)</f>
        <v>4</v>
      </c>
      <c r="BL99" s="4">
        <f ca="1">IFERROR(__xludf.DUMMYFUNCTION("""COMPUTED_VALUE"""),4)</f>
        <v>4</v>
      </c>
      <c r="BM99" s="4">
        <f ca="1">IFERROR(__xludf.DUMMYFUNCTION("""COMPUTED_VALUE"""),5)</f>
        <v>5</v>
      </c>
      <c r="BN99" s="4">
        <f ca="1">IFERROR(__xludf.DUMMYFUNCTION("""COMPUTED_VALUE"""),4)</f>
        <v>4</v>
      </c>
      <c r="BO99" s="4">
        <f ca="1">IFERROR(__xludf.DUMMYFUNCTION("""COMPUTED_VALUE"""),4)</f>
        <v>4</v>
      </c>
      <c r="BP99" s="4">
        <f ca="1">IFERROR(__xludf.DUMMYFUNCTION("""COMPUTED_VALUE"""),4)</f>
        <v>4</v>
      </c>
    </row>
    <row r="100" spans="1:68" ht="13.2" x14ac:dyDescent="0.25">
      <c r="A100" s="4" t="str">
        <f ca="1">IFERROR(__xludf.DUMMYFUNCTION("""COMPUTED_VALUE"""),"2_ABaOnufmHl-zPsFviApoaTyhGIC8L7KdTEPiNsVdEga0I4rrO2AUm8MftFEaYsqcAQ")</f>
        <v>2_ABaOnufmHl-zPsFviApoaTyhGIC8L7KdTEPiNsVdEga0I4rrO2AUm8MftFEaYsqcAQ</v>
      </c>
      <c r="B100" s="5">
        <f ca="1">IFERROR(__xludf.DUMMYFUNCTION("""COMPUTED_VALUE"""),45969.9195315625)</f>
        <v>45969.919531562497</v>
      </c>
      <c r="C100" s="4" t="str">
        <f ca="1">IFERROR(__xludf.DUMMYFUNCTION("""COMPUTED_VALUE"""),"Nguyễn Cao Hoài Thu")</f>
        <v>Nguyễn Cao Hoài Thu</v>
      </c>
      <c r="D100" s="4" t="str">
        <f ca="1">IFERROR(__xludf.DUMMYFUNCTION("""COMPUTED_VALUE"""),"Nữ")</f>
        <v>Nữ</v>
      </c>
      <c r="E100" s="4" t="str">
        <f ca="1">IFERROR(__xludf.DUMMYFUNCTION("""COMPUTED_VALUE"""),"Công ty TNHH Kiểm toán - Tư vấn Đất Việt")</f>
        <v>Công ty TNHH Kiểm toán - Tư vấn Đất Việt</v>
      </c>
      <c r="F100" s="4" t="str">
        <f ca="1">IFERROR(__xludf.DUMMYFUNCTION("""COMPUTED_VALUE"""),"Đại học, Chứng chỉ Kiểm toán viên")</f>
        <v>Đại học, Chứng chỉ Kiểm toán viên</v>
      </c>
      <c r="G100" s="4" t="str">
        <f ca="1">IFERROR(__xludf.DUMMYFUNCTION("""COMPUTED_VALUE"""),"Trên 20 năm")</f>
        <v>Trên 20 năm</v>
      </c>
      <c r="H100" s="4" t="str">
        <f ca="1">IFERROR(__xludf.DUMMYFUNCTION("""COMPUTED_VALUE"""),"Ban giám đốc")</f>
        <v>Ban giám đốc</v>
      </c>
      <c r="I100" s="4">
        <f ca="1">IFERROR(__xludf.DUMMYFUNCTION("""COMPUTED_VALUE"""),5)</f>
        <v>5</v>
      </c>
      <c r="J100" s="4">
        <f ca="1">IFERROR(__xludf.DUMMYFUNCTION("""COMPUTED_VALUE"""),5)</f>
        <v>5</v>
      </c>
      <c r="K100" s="4">
        <f ca="1">IFERROR(__xludf.DUMMYFUNCTION("""COMPUTED_VALUE"""),5)</f>
        <v>5</v>
      </c>
      <c r="L100" s="4">
        <f ca="1">IFERROR(__xludf.DUMMYFUNCTION("""COMPUTED_VALUE"""),5)</f>
        <v>5</v>
      </c>
      <c r="M100" s="4">
        <f ca="1">IFERROR(__xludf.DUMMYFUNCTION("""COMPUTED_VALUE"""),4)</f>
        <v>4</v>
      </c>
      <c r="N100" s="4">
        <f ca="1">IFERROR(__xludf.DUMMYFUNCTION("""COMPUTED_VALUE"""),3)</f>
        <v>3</v>
      </c>
      <c r="O100" s="4">
        <f ca="1">IFERROR(__xludf.DUMMYFUNCTION("""COMPUTED_VALUE"""),4)</f>
        <v>4</v>
      </c>
      <c r="P100" s="4">
        <f ca="1">IFERROR(__xludf.DUMMYFUNCTION("""COMPUTED_VALUE"""),5)</f>
        <v>5</v>
      </c>
      <c r="Q100" s="4">
        <f ca="1">IFERROR(__xludf.DUMMYFUNCTION("""COMPUTED_VALUE"""),3)</f>
        <v>3</v>
      </c>
      <c r="R100" s="4">
        <f ca="1">IFERROR(__xludf.DUMMYFUNCTION("""COMPUTED_VALUE"""),5)</f>
        <v>5</v>
      </c>
      <c r="S100" s="4">
        <f ca="1">IFERROR(__xludf.DUMMYFUNCTION("""COMPUTED_VALUE"""),5)</f>
        <v>5</v>
      </c>
      <c r="T100" s="4">
        <f ca="1">IFERROR(__xludf.DUMMYFUNCTION("""COMPUTED_VALUE"""),5)</f>
        <v>5</v>
      </c>
      <c r="U100" s="4">
        <f ca="1">IFERROR(__xludf.DUMMYFUNCTION("""COMPUTED_VALUE"""),5)</f>
        <v>5</v>
      </c>
      <c r="V100" s="4">
        <f ca="1">IFERROR(__xludf.DUMMYFUNCTION("""COMPUTED_VALUE"""),5)</f>
        <v>5</v>
      </c>
      <c r="W100" s="4">
        <f ca="1">IFERROR(__xludf.DUMMYFUNCTION("""COMPUTED_VALUE"""),3)</f>
        <v>3</v>
      </c>
      <c r="X100" s="4">
        <f ca="1">IFERROR(__xludf.DUMMYFUNCTION("""COMPUTED_VALUE"""),3)</f>
        <v>3</v>
      </c>
      <c r="Y100" s="4">
        <f ca="1">IFERROR(__xludf.DUMMYFUNCTION("""COMPUTED_VALUE"""),2)</f>
        <v>2</v>
      </c>
      <c r="Z100" s="4">
        <f ca="1">IFERROR(__xludf.DUMMYFUNCTION("""COMPUTED_VALUE"""),3)</f>
        <v>3</v>
      </c>
      <c r="AA100" s="4">
        <f ca="1">IFERROR(__xludf.DUMMYFUNCTION("""COMPUTED_VALUE"""),4)</f>
        <v>4</v>
      </c>
      <c r="AB100" s="4">
        <f ca="1">IFERROR(__xludf.DUMMYFUNCTION("""COMPUTED_VALUE"""),3)</f>
        <v>3</v>
      </c>
      <c r="AC100" s="4">
        <f ca="1">IFERROR(__xludf.DUMMYFUNCTION("""COMPUTED_VALUE"""),3)</f>
        <v>3</v>
      </c>
      <c r="AD100" s="4">
        <f ca="1">IFERROR(__xludf.DUMMYFUNCTION("""COMPUTED_VALUE"""),1)</f>
        <v>1</v>
      </c>
      <c r="AE100" s="4">
        <f ca="1">IFERROR(__xludf.DUMMYFUNCTION("""COMPUTED_VALUE"""),4)</f>
        <v>4</v>
      </c>
      <c r="AF100" s="4">
        <f ca="1">IFERROR(__xludf.DUMMYFUNCTION("""COMPUTED_VALUE"""),4)</f>
        <v>4</v>
      </c>
      <c r="AG100" s="4">
        <f ca="1">IFERROR(__xludf.DUMMYFUNCTION("""COMPUTED_VALUE"""),4)</f>
        <v>4</v>
      </c>
      <c r="AH100" s="4">
        <f ca="1">IFERROR(__xludf.DUMMYFUNCTION("""COMPUTED_VALUE"""),4)</f>
        <v>4</v>
      </c>
      <c r="AI100" s="4">
        <f ca="1">IFERROR(__xludf.DUMMYFUNCTION("""COMPUTED_VALUE"""),4)</f>
        <v>4</v>
      </c>
      <c r="AJ100" s="4">
        <f ca="1">IFERROR(__xludf.DUMMYFUNCTION("""COMPUTED_VALUE"""),4)</f>
        <v>4</v>
      </c>
      <c r="AK100" s="4">
        <f ca="1">IFERROR(__xludf.DUMMYFUNCTION("""COMPUTED_VALUE"""),4)</f>
        <v>4</v>
      </c>
      <c r="AL100" s="4">
        <f ca="1">IFERROR(__xludf.DUMMYFUNCTION("""COMPUTED_VALUE"""),5)</f>
        <v>5</v>
      </c>
      <c r="AM100" s="4">
        <f ca="1">IFERROR(__xludf.DUMMYFUNCTION("""COMPUTED_VALUE"""),4)</f>
        <v>4</v>
      </c>
      <c r="AN100" s="4">
        <f ca="1">IFERROR(__xludf.DUMMYFUNCTION("""COMPUTED_VALUE"""),5)</f>
        <v>5</v>
      </c>
      <c r="AO100" s="4">
        <f ca="1">IFERROR(__xludf.DUMMYFUNCTION("""COMPUTED_VALUE"""),4)</f>
        <v>4</v>
      </c>
      <c r="AP100" s="4">
        <f ca="1">IFERROR(__xludf.DUMMYFUNCTION("""COMPUTED_VALUE"""),4)</f>
        <v>4</v>
      </c>
      <c r="AQ100" s="4">
        <f ca="1">IFERROR(__xludf.DUMMYFUNCTION("""COMPUTED_VALUE"""),4)</f>
        <v>4</v>
      </c>
      <c r="AR100" s="4">
        <f ca="1">IFERROR(__xludf.DUMMYFUNCTION("""COMPUTED_VALUE"""),4)</f>
        <v>4</v>
      </c>
      <c r="AS100" s="4">
        <f ca="1">IFERROR(__xludf.DUMMYFUNCTION("""COMPUTED_VALUE"""),4)</f>
        <v>4</v>
      </c>
      <c r="AT100" s="4">
        <f ca="1">IFERROR(__xludf.DUMMYFUNCTION("""COMPUTED_VALUE"""),4)</f>
        <v>4</v>
      </c>
      <c r="AU100" s="4">
        <f ca="1">IFERROR(__xludf.DUMMYFUNCTION("""COMPUTED_VALUE"""),4)</f>
        <v>4</v>
      </c>
      <c r="AV100" s="4">
        <f ca="1">IFERROR(__xludf.DUMMYFUNCTION("""COMPUTED_VALUE"""),5)</f>
        <v>5</v>
      </c>
      <c r="AW100" s="4">
        <f ca="1">IFERROR(__xludf.DUMMYFUNCTION("""COMPUTED_VALUE"""),5)</f>
        <v>5</v>
      </c>
      <c r="AX100" s="4">
        <f ca="1">IFERROR(__xludf.DUMMYFUNCTION("""COMPUTED_VALUE"""),5)</f>
        <v>5</v>
      </c>
      <c r="AY100" s="4">
        <f ca="1">IFERROR(__xludf.DUMMYFUNCTION("""COMPUTED_VALUE"""),5)</f>
        <v>5</v>
      </c>
      <c r="AZ100" s="4">
        <f ca="1">IFERROR(__xludf.DUMMYFUNCTION("""COMPUTED_VALUE"""),5)</f>
        <v>5</v>
      </c>
      <c r="BA100" s="4">
        <f ca="1">IFERROR(__xludf.DUMMYFUNCTION("""COMPUTED_VALUE"""),5)</f>
        <v>5</v>
      </c>
      <c r="BB100" s="4">
        <f ca="1">IFERROR(__xludf.DUMMYFUNCTION("""COMPUTED_VALUE"""),5)</f>
        <v>5</v>
      </c>
      <c r="BC100" s="4">
        <f ca="1">IFERROR(__xludf.DUMMYFUNCTION("""COMPUTED_VALUE"""),5)</f>
        <v>5</v>
      </c>
      <c r="BD100" s="4">
        <f ca="1">IFERROR(__xludf.DUMMYFUNCTION("""COMPUTED_VALUE"""),5)</f>
        <v>5</v>
      </c>
      <c r="BE100" s="4">
        <f ca="1">IFERROR(__xludf.DUMMYFUNCTION("""COMPUTED_VALUE"""),5)</f>
        <v>5</v>
      </c>
      <c r="BF100" s="4">
        <f ca="1">IFERROR(__xludf.DUMMYFUNCTION("""COMPUTED_VALUE"""),4)</f>
        <v>4</v>
      </c>
      <c r="BG100" s="4">
        <f ca="1">IFERROR(__xludf.DUMMYFUNCTION("""COMPUTED_VALUE"""),4)</f>
        <v>4</v>
      </c>
      <c r="BH100" s="4">
        <f ca="1">IFERROR(__xludf.DUMMYFUNCTION("""COMPUTED_VALUE"""),5)</f>
        <v>5</v>
      </c>
      <c r="BI100" s="4">
        <f ca="1">IFERROR(__xludf.DUMMYFUNCTION("""COMPUTED_VALUE"""),4)</f>
        <v>4</v>
      </c>
      <c r="BJ100" s="4">
        <f ca="1">IFERROR(__xludf.DUMMYFUNCTION("""COMPUTED_VALUE"""),5)</f>
        <v>5</v>
      </c>
      <c r="BK100" s="4">
        <f ca="1">IFERROR(__xludf.DUMMYFUNCTION("""COMPUTED_VALUE"""),4)</f>
        <v>4</v>
      </c>
      <c r="BL100" s="4">
        <f ca="1">IFERROR(__xludf.DUMMYFUNCTION("""COMPUTED_VALUE"""),4)</f>
        <v>4</v>
      </c>
      <c r="BM100" s="4">
        <f ca="1">IFERROR(__xludf.DUMMYFUNCTION("""COMPUTED_VALUE"""),5)</f>
        <v>5</v>
      </c>
      <c r="BN100" s="4">
        <f ca="1">IFERROR(__xludf.DUMMYFUNCTION("""COMPUTED_VALUE"""),5)</f>
        <v>5</v>
      </c>
      <c r="BO100" s="4">
        <f ca="1">IFERROR(__xludf.DUMMYFUNCTION("""COMPUTED_VALUE"""),5)</f>
        <v>5</v>
      </c>
      <c r="BP100" s="4">
        <f ca="1">IFERROR(__xludf.DUMMYFUNCTION("""COMPUTED_VALUE"""),4)</f>
        <v>4</v>
      </c>
    </row>
    <row r="101" spans="1:68" ht="13.2" x14ac:dyDescent="0.25">
      <c r="A101" s="4" t="str">
        <f ca="1">IFERROR(__xludf.DUMMYFUNCTION("""COMPUTED_VALUE"""),"2_ABaOnudP3-LTxoKk3JQBi0KS4pQDA69k7rj0brQGzR9_vCZRCXPhqiiVSQqlSl2sew")</f>
        <v>2_ABaOnudP3-LTxoKk3JQBi0KS4pQDA69k7rj0brQGzR9_vCZRCXPhqiiVSQqlSl2sew</v>
      </c>
      <c r="B101" s="5">
        <f ca="1">IFERROR(__xludf.DUMMYFUNCTION("""COMPUTED_VALUE"""),45971.3890315162)</f>
        <v>45971.389031516199</v>
      </c>
      <c r="C101" s="4" t="str">
        <f ca="1">IFERROR(__xludf.DUMMYFUNCTION("""COMPUTED_VALUE"""),"Nguyễn Xuân Tiến")</f>
        <v>Nguyễn Xuân Tiến</v>
      </c>
      <c r="D101" s="4" t="str">
        <f ca="1">IFERROR(__xludf.DUMMYFUNCTION("""COMPUTED_VALUE"""),"Nam")</f>
        <v>Nam</v>
      </c>
      <c r="E101" s="4" t="str">
        <f ca="1">IFERROR(__xludf.DUMMYFUNCTION("""COMPUTED_VALUE"""),"Công ty TNHH Kiểm toán và Dịch vụ Tin học Moore AISC")</f>
        <v>Công ty TNHH Kiểm toán và Dịch vụ Tin học Moore AISC</v>
      </c>
      <c r="F101" s="4" t="str">
        <f ca="1">IFERROR(__xludf.DUMMYFUNCTION("""COMPUTED_VALUE"""),"Chứng chỉ Kiểm toán viên")</f>
        <v>Chứng chỉ Kiểm toán viên</v>
      </c>
      <c r="G101" s="4" t="str">
        <f ca="1">IFERROR(__xludf.DUMMYFUNCTION("""COMPUTED_VALUE"""),"Trên 5 đến 10 năm")</f>
        <v>Trên 5 đến 10 năm</v>
      </c>
      <c r="H101" s="4" t="str">
        <f ca="1">IFERROR(__xludf.DUMMYFUNCTION("""COMPUTED_VALUE"""),"Kiểm toán viên/Trưởng nhóm")</f>
        <v>Kiểm toán viên/Trưởng nhóm</v>
      </c>
      <c r="I101" s="4">
        <f ca="1">IFERROR(__xludf.DUMMYFUNCTION("""COMPUTED_VALUE"""),4)</f>
        <v>4</v>
      </c>
      <c r="J101" s="4">
        <f ca="1">IFERROR(__xludf.DUMMYFUNCTION("""COMPUTED_VALUE"""),4)</f>
        <v>4</v>
      </c>
      <c r="K101" s="4">
        <f ca="1">IFERROR(__xludf.DUMMYFUNCTION("""COMPUTED_VALUE"""),5)</f>
        <v>5</v>
      </c>
      <c r="L101" s="4">
        <f ca="1">IFERROR(__xludf.DUMMYFUNCTION("""COMPUTED_VALUE"""),3)</f>
        <v>3</v>
      </c>
      <c r="M101" s="4">
        <f ca="1">IFERROR(__xludf.DUMMYFUNCTION("""COMPUTED_VALUE"""),4)</f>
        <v>4</v>
      </c>
      <c r="N101" s="4">
        <f ca="1">IFERROR(__xludf.DUMMYFUNCTION("""COMPUTED_VALUE"""),5)</f>
        <v>5</v>
      </c>
      <c r="O101" s="4">
        <f ca="1">IFERROR(__xludf.DUMMYFUNCTION("""COMPUTED_VALUE"""),4)</f>
        <v>4</v>
      </c>
      <c r="P101" s="4">
        <f ca="1">IFERROR(__xludf.DUMMYFUNCTION("""COMPUTED_VALUE"""),4)</f>
        <v>4</v>
      </c>
      <c r="Q101" s="4">
        <f ca="1">IFERROR(__xludf.DUMMYFUNCTION("""COMPUTED_VALUE"""),5)</f>
        <v>5</v>
      </c>
      <c r="R101" s="4">
        <f ca="1">IFERROR(__xludf.DUMMYFUNCTION("""COMPUTED_VALUE"""),4)</f>
        <v>4</v>
      </c>
      <c r="S101" s="4">
        <f ca="1">IFERROR(__xludf.DUMMYFUNCTION("""COMPUTED_VALUE"""),4)</f>
        <v>4</v>
      </c>
      <c r="T101" s="4">
        <f ca="1">IFERROR(__xludf.DUMMYFUNCTION("""COMPUTED_VALUE"""),4)</f>
        <v>4</v>
      </c>
      <c r="U101" s="4">
        <f ca="1">IFERROR(__xludf.DUMMYFUNCTION("""COMPUTED_VALUE"""),4)</f>
        <v>4</v>
      </c>
      <c r="V101" s="4">
        <f ca="1">IFERROR(__xludf.DUMMYFUNCTION("""COMPUTED_VALUE"""),4)</f>
        <v>4</v>
      </c>
      <c r="W101" s="4">
        <f ca="1">IFERROR(__xludf.DUMMYFUNCTION("""COMPUTED_VALUE"""),4)</f>
        <v>4</v>
      </c>
      <c r="X101" s="4">
        <f ca="1">IFERROR(__xludf.DUMMYFUNCTION("""COMPUTED_VALUE"""),4)</f>
        <v>4</v>
      </c>
      <c r="Y101" s="4">
        <f ca="1">IFERROR(__xludf.DUMMYFUNCTION("""COMPUTED_VALUE"""),4)</f>
        <v>4</v>
      </c>
      <c r="Z101" s="4">
        <f ca="1">IFERROR(__xludf.DUMMYFUNCTION("""COMPUTED_VALUE"""),4)</f>
        <v>4</v>
      </c>
      <c r="AA101" s="4">
        <f ca="1">IFERROR(__xludf.DUMMYFUNCTION("""COMPUTED_VALUE"""),3)</f>
        <v>3</v>
      </c>
      <c r="AB101" s="4">
        <f ca="1">IFERROR(__xludf.DUMMYFUNCTION("""COMPUTED_VALUE"""),4)</f>
        <v>4</v>
      </c>
      <c r="AC101" s="4">
        <f ca="1">IFERROR(__xludf.DUMMYFUNCTION("""COMPUTED_VALUE"""),3)</f>
        <v>3</v>
      </c>
      <c r="AD101" s="4">
        <f ca="1">IFERROR(__xludf.DUMMYFUNCTION("""COMPUTED_VALUE"""),3)</f>
        <v>3</v>
      </c>
      <c r="AE101" s="4">
        <f ca="1">IFERROR(__xludf.DUMMYFUNCTION("""COMPUTED_VALUE"""),3)</f>
        <v>3</v>
      </c>
      <c r="AF101" s="4">
        <f ca="1">IFERROR(__xludf.DUMMYFUNCTION("""COMPUTED_VALUE"""),4)</f>
        <v>4</v>
      </c>
      <c r="AG101" s="4">
        <f ca="1">IFERROR(__xludf.DUMMYFUNCTION("""COMPUTED_VALUE"""),4)</f>
        <v>4</v>
      </c>
      <c r="AH101" s="4">
        <f ca="1">IFERROR(__xludf.DUMMYFUNCTION("""COMPUTED_VALUE"""),4)</f>
        <v>4</v>
      </c>
      <c r="AI101" s="4">
        <f ca="1">IFERROR(__xludf.DUMMYFUNCTION("""COMPUTED_VALUE"""),4)</f>
        <v>4</v>
      </c>
      <c r="AJ101" s="4">
        <f ca="1">IFERROR(__xludf.DUMMYFUNCTION("""COMPUTED_VALUE"""),4)</f>
        <v>4</v>
      </c>
      <c r="AK101" s="4">
        <f ca="1">IFERROR(__xludf.DUMMYFUNCTION("""COMPUTED_VALUE"""),4)</f>
        <v>4</v>
      </c>
      <c r="AL101" s="4">
        <f ca="1">IFERROR(__xludf.DUMMYFUNCTION("""COMPUTED_VALUE"""),4)</f>
        <v>4</v>
      </c>
      <c r="AM101" s="4">
        <f ca="1">IFERROR(__xludf.DUMMYFUNCTION("""COMPUTED_VALUE"""),4)</f>
        <v>4</v>
      </c>
      <c r="AN101" s="4">
        <f ca="1">IFERROR(__xludf.DUMMYFUNCTION("""COMPUTED_VALUE"""),4)</f>
        <v>4</v>
      </c>
      <c r="AO101" s="4">
        <f ca="1">IFERROR(__xludf.DUMMYFUNCTION("""COMPUTED_VALUE"""),4)</f>
        <v>4</v>
      </c>
      <c r="AP101" s="4">
        <f ca="1">IFERROR(__xludf.DUMMYFUNCTION("""COMPUTED_VALUE"""),4)</f>
        <v>4</v>
      </c>
      <c r="AQ101" s="4">
        <f ca="1">IFERROR(__xludf.DUMMYFUNCTION("""COMPUTED_VALUE"""),4)</f>
        <v>4</v>
      </c>
      <c r="AR101" s="4">
        <f ca="1">IFERROR(__xludf.DUMMYFUNCTION("""COMPUTED_VALUE"""),4)</f>
        <v>4</v>
      </c>
      <c r="AS101" s="4">
        <f ca="1">IFERROR(__xludf.DUMMYFUNCTION("""COMPUTED_VALUE"""),4)</f>
        <v>4</v>
      </c>
      <c r="AT101" s="4">
        <f ca="1">IFERROR(__xludf.DUMMYFUNCTION("""COMPUTED_VALUE"""),4)</f>
        <v>4</v>
      </c>
      <c r="AU101" s="4">
        <f ca="1">IFERROR(__xludf.DUMMYFUNCTION("""COMPUTED_VALUE"""),4)</f>
        <v>4</v>
      </c>
      <c r="AV101" s="4">
        <f ca="1">IFERROR(__xludf.DUMMYFUNCTION("""COMPUTED_VALUE"""),4)</f>
        <v>4</v>
      </c>
      <c r="AW101" s="4">
        <f ca="1">IFERROR(__xludf.DUMMYFUNCTION("""COMPUTED_VALUE"""),4)</f>
        <v>4</v>
      </c>
      <c r="AX101" s="4">
        <f ca="1">IFERROR(__xludf.DUMMYFUNCTION("""COMPUTED_VALUE"""),4)</f>
        <v>4</v>
      </c>
      <c r="AY101" s="4">
        <f ca="1">IFERROR(__xludf.DUMMYFUNCTION("""COMPUTED_VALUE"""),4)</f>
        <v>4</v>
      </c>
      <c r="AZ101" s="4">
        <f ca="1">IFERROR(__xludf.DUMMYFUNCTION("""COMPUTED_VALUE"""),4)</f>
        <v>4</v>
      </c>
      <c r="BA101" s="4">
        <f ca="1">IFERROR(__xludf.DUMMYFUNCTION("""COMPUTED_VALUE"""),4)</f>
        <v>4</v>
      </c>
      <c r="BB101" s="4">
        <f ca="1">IFERROR(__xludf.DUMMYFUNCTION("""COMPUTED_VALUE"""),4)</f>
        <v>4</v>
      </c>
      <c r="BC101" s="4">
        <f ca="1">IFERROR(__xludf.DUMMYFUNCTION("""COMPUTED_VALUE"""),4)</f>
        <v>4</v>
      </c>
      <c r="BD101" s="4">
        <f ca="1">IFERROR(__xludf.DUMMYFUNCTION("""COMPUTED_VALUE"""),4)</f>
        <v>4</v>
      </c>
      <c r="BE101" s="4">
        <f ca="1">IFERROR(__xludf.DUMMYFUNCTION("""COMPUTED_VALUE"""),4)</f>
        <v>4</v>
      </c>
      <c r="BF101" s="4">
        <f ca="1">IFERROR(__xludf.DUMMYFUNCTION("""COMPUTED_VALUE"""),4)</f>
        <v>4</v>
      </c>
      <c r="BG101" s="4">
        <f ca="1">IFERROR(__xludf.DUMMYFUNCTION("""COMPUTED_VALUE"""),4)</f>
        <v>4</v>
      </c>
      <c r="BH101" s="4">
        <f ca="1">IFERROR(__xludf.DUMMYFUNCTION("""COMPUTED_VALUE"""),4)</f>
        <v>4</v>
      </c>
      <c r="BI101" s="4">
        <f ca="1">IFERROR(__xludf.DUMMYFUNCTION("""COMPUTED_VALUE"""),4)</f>
        <v>4</v>
      </c>
      <c r="BJ101" s="4">
        <f ca="1">IFERROR(__xludf.DUMMYFUNCTION("""COMPUTED_VALUE"""),4)</f>
        <v>4</v>
      </c>
      <c r="BK101" s="4">
        <f ca="1">IFERROR(__xludf.DUMMYFUNCTION("""COMPUTED_VALUE"""),4)</f>
        <v>4</v>
      </c>
      <c r="BL101" s="4">
        <f ca="1">IFERROR(__xludf.DUMMYFUNCTION("""COMPUTED_VALUE"""),4)</f>
        <v>4</v>
      </c>
      <c r="BM101" s="4">
        <f ca="1">IFERROR(__xludf.DUMMYFUNCTION("""COMPUTED_VALUE"""),4)</f>
        <v>4</v>
      </c>
      <c r="BN101" s="4">
        <f ca="1">IFERROR(__xludf.DUMMYFUNCTION("""COMPUTED_VALUE"""),4)</f>
        <v>4</v>
      </c>
      <c r="BO101" s="4">
        <f ca="1">IFERROR(__xludf.DUMMYFUNCTION("""COMPUTED_VALUE"""),4)</f>
        <v>4</v>
      </c>
      <c r="BP101" s="4">
        <f ca="1">IFERROR(__xludf.DUMMYFUNCTION("""COMPUTED_VALUE"""),4)</f>
        <v>4</v>
      </c>
    </row>
    <row r="102" spans="1:68" ht="13.2" x14ac:dyDescent="0.25">
      <c r="A102" s="4" t="str">
        <f ca="1">IFERROR(__xludf.DUMMYFUNCTION("""COMPUTED_VALUE"""),"2_ABaOnuf_CVE19b9qsbbvu01CRtp_hSARYbHmpHPOUg7_vTKJUZZ2SgP2ln0tTx6E9Q")</f>
        <v>2_ABaOnuf_CVE19b9qsbbvu01CRtp_hSARYbHmpHPOUg7_vTKJUZZ2SgP2ln0tTx6E9Q</v>
      </c>
      <c r="B102" s="5">
        <f ca="1">IFERROR(__xludf.DUMMYFUNCTION("""COMPUTED_VALUE"""),45972.4556934375)</f>
        <v>45972.4556934375</v>
      </c>
      <c r="C102" s="4" t="str">
        <f ca="1">IFERROR(__xludf.DUMMYFUNCTION("""COMPUTED_VALUE"""),"Nguyễn Hương Giiang")</f>
        <v>Nguyễn Hương Giiang</v>
      </c>
      <c r="D102" s="4" t="str">
        <f ca="1">IFERROR(__xludf.DUMMYFUNCTION("""COMPUTED_VALUE"""),"Nữ")</f>
        <v>Nữ</v>
      </c>
      <c r="E102" s="4" t="str">
        <f ca="1">IFERROR(__xludf.DUMMYFUNCTION("""COMPUTED_VALUE"""),"Công ty TNHH Kiểm toán Đại Tín")</f>
        <v>Công ty TNHH Kiểm toán Đại Tín</v>
      </c>
      <c r="F102" s="4" t="str">
        <f ca="1">IFERROR(__xludf.DUMMYFUNCTION("""COMPUTED_VALUE"""),"Đại học")</f>
        <v>Đại học</v>
      </c>
      <c r="G102" s="4" t="str">
        <f ca="1">IFERROR(__xludf.DUMMYFUNCTION("""COMPUTED_VALUE"""),"Từ 3 đến 5 năm")</f>
        <v>Từ 3 đến 5 năm</v>
      </c>
      <c r="H102" s="4" t="str">
        <f ca="1">IFERROR(__xludf.DUMMYFUNCTION("""COMPUTED_VALUE"""),"Trợ lý kiểm toán")</f>
        <v>Trợ lý kiểm toán</v>
      </c>
      <c r="I102" s="4">
        <f ca="1">IFERROR(__xludf.DUMMYFUNCTION("""COMPUTED_VALUE"""),5)</f>
        <v>5</v>
      </c>
      <c r="J102" s="4">
        <f ca="1">IFERROR(__xludf.DUMMYFUNCTION("""COMPUTED_VALUE"""),5)</f>
        <v>5</v>
      </c>
      <c r="K102" s="4">
        <f ca="1">IFERROR(__xludf.DUMMYFUNCTION("""COMPUTED_VALUE"""),5)</f>
        <v>5</v>
      </c>
      <c r="L102" s="4">
        <f ca="1">IFERROR(__xludf.DUMMYFUNCTION("""COMPUTED_VALUE"""),5)</f>
        <v>5</v>
      </c>
      <c r="M102" s="4">
        <f ca="1">IFERROR(__xludf.DUMMYFUNCTION("""COMPUTED_VALUE"""),5)</f>
        <v>5</v>
      </c>
      <c r="N102" s="4">
        <f ca="1">IFERROR(__xludf.DUMMYFUNCTION("""COMPUTED_VALUE"""),5)</f>
        <v>5</v>
      </c>
      <c r="O102" s="4">
        <f ca="1">IFERROR(__xludf.DUMMYFUNCTION("""COMPUTED_VALUE"""),5)</f>
        <v>5</v>
      </c>
      <c r="P102" s="4">
        <f ca="1">IFERROR(__xludf.DUMMYFUNCTION("""COMPUTED_VALUE"""),5)</f>
        <v>5</v>
      </c>
      <c r="Q102" s="4">
        <f ca="1">IFERROR(__xludf.DUMMYFUNCTION("""COMPUTED_VALUE"""),5)</f>
        <v>5</v>
      </c>
      <c r="R102" s="4">
        <f ca="1">IFERROR(__xludf.DUMMYFUNCTION("""COMPUTED_VALUE"""),5)</f>
        <v>5</v>
      </c>
      <c r="S102" s="4">
        <f ca="1">IFERROR(__xludf.DUMMYFUNCTION("""COMPUTED_VALUE"""),5)</f>
        <v>5</v>
      </c>
      <c r="T102" s="4">
        <f ca="1">IFERROR(__xludf.DUMMYFUNCTION("""COMPUTED_VALUE"""),5)</f>
        <v>5</v>
      </c>
      <c r="U102" s="4">
        <f ca="1">IFERROR(__xludf.DUMMYFUNCTION("""COMPUTED_VALUE"""),5)</f>
        <v>5</v>
      </c>
      <c r="V102" s="4">
        <f ca="1">IFERROR(__xludf.DUMMYFUNCTION("""COMPUTED_VALUE"""),5)</f>
        <v>5</v>
      </c>
      <c r="W102" s="4">
        <f ca="1">IFERROR(__xludf.DUMMYFUNCTION("""COMPUTED_VALUE"""),5)</f>
        <v>5</v>
      </c>
      <c r="X102" s="4">
        <f ca="1">IFERROR(__xludf.DUMMYFUNCTION("""COMPUTED_VALUE"""),5)</f>
        <v>5</v>
      </c>
      <c r="Y102" s="4">
        <f ca="1">IFERROR(__xludf.DUMMYFUNCTION("""COMPUTED_VALUE"""),5)</f>
        <v>5</v>
      </c>
      <c r="Z102" s="4">
        <f ca="1">IFERROR(__xludf.DUMMYFUNCTION("""COMPUTED_VALUE"""),5)</f>
        <v>5</v>
      </c>
      <c r="AA102" s="4">
        <f ca="1">IFERROR(__xludf.DUMMYFUNCTION("""COMPUTED_VALUE"""),5)</f>
        <v>5</v>
      </c>
      <c r="AB102" s="4">
        <f ca="1">IFERROR(__xludf.DUMMYFUNCTION("""COMPUTED_VALUE"""),5)</f>
        <v>5</v>
      </c>
      <c r="AC102" s="4">
        <f ca="1">IFERROR(__xludf.DUMMYFUNCTION("""COMPUTED_VALUE"""),5)</f>
        <v>5</v>
      </c>
      <c r="AD102" s="4">
        <f ca="1">IFERROR(__xludf.DUMMYFUNCTION("""COMPUTED_VALUE"""),5)</f>
        <v>5</v>
      </c>
      <c r="AE102" s="4">
        <f ca="1">IFERROR(__xludf.DUMMYFUNCTION("""COMPUTED_VALUE"""),5)</f>
        <v>5</v>
      </c>
      <c r="AF102" s="4">
        <f ca="1">IFERROR(__xludf.DUMMYFUNCTION("""COMPUTED_VALUE"""),5)</f>
        <v>5</v>
      </c>
      <c r="AG102" s="4">
        <f ca="1">IFERROR(__xludf.DUMMYFUNCTION("""COMPUTED_VALUE"""),5)</f>
        <v>5</v>
      </c>
      <c r="AH102" s="4">
        <f ca="1">IFERROR(__xludf.DUMMYFUNCTION("""COMPUTED_VALUE"""),5)</f>
        <v>5</v>
      </c>
      <c r="AI102" s="4">
        <f ca="1">IFERROR(__xludf.DUMMYFUNCTION("""COMPUTED_VALUE"""),5)</f>
        <v>5</v>
      </c>
      <c r="AJ102" s="4">
        <f ca="1">IFERROR(__xludf.DUMMYFUNCTION("""COMPUTED_VALUE"""),5)</f>
        <v>5</v>
      </c>
      <c r="AK102" s="4">
        <f ca="1">IFERROR(__xludf.DUMMYFUNCTION("""COMPUTED_VALUE"""),5)</f>
        <v>5</v>
      </c>
      <c r="AL102" s="4">
        <f ca="1">IFERROR(__xludf.DUMMYFUNCTION("""COMPUTED_VALUE"""),5)</f>
        <v>5</v>
      </c>
      <c r="AM102" s="4">
        <f ca="1">IFERROR(__xludf.DUMMYFUNCTION("""COMPUTED_VALUE"""),5)</f>
        <v>5</v>
      </c>
      <c r="AN102" s="4">
        <f ca="1">IFERROR(__xludf.DUMMYFUNCTION("""COMPUTED_VALUE"""),5)</f>
        <v>5</v>
      </c>
      <c r="AO102" s="4">
        <f ca="1">IFERROR(__xludf.DUMMYFUNCTION("""COMPUTED_VALUE"""),5)</f>
        <v>5</v>
      </c>
      <c r="AP102" s="4">
        <f ca="1">IFERROR(__xludf.DUMMYFUNCTION("""COMPUTED_VALUE"""),5)</f>
        <v>5</v>
      </c>
      <c r="AQ102" s="4">
        <f ca="1">IFERROR(__xludf.DUMMYFUNCTION("""COMPUTED_VALUE"""),5)</f>
        <v>5</v>
      </c>
      <c r="AR102" s="4">
        <f ca="1">IFERROR(__xludf.DUMMYFUNCTION("""COMPUTED_VALUE"""),5)</f>
        <v>5</v>
      </c>
      <c r="AS102" s="4">
        <f ca="1">IFERROR(__xludf.DUMMYFUNCTION("""COMPUTED_VALUE"""),5)</f>
        <v>5</v>
      </c>
      <c r="AT102" s="4">
        <f ca="1">IFERROR(__xludf.DUMMYFUNCTION("""COMPUTED_VALUE"""),5)</f>
        <v>5</v>
      </c>
      <c r="AU102" s="4">
        <f ca="1">IFERROR(__xludf.DUMMYFUNCTION("""COMPUTED_VALUE"""),5)</f>
        <v>5</v>
      </c>
      <c r="AV102" s="4">
        <f ca="1">IFERROR(__xludf.DUMMYFUNCTION("""COMPUTED_VALUE"""),5)</f>
        <v>5</v>
      </c>
      <c r="AW102" s="4">
        <f ca="1">IFERROR(__xludf.DUMMYFUNCTION("""COMPUTED_VALUE"""),5)</f>
        <v>5</v>
      </c>
      <c r="AX102" s="4">
        <f ca="1">IFERROR(__xludf.DUMMYFUNCTION("""COMPUTED_VALUE"""),5)</f>
        <v>5</v>
      </c>
      <c r="AY102" s="4">
        <f ca="1">IFERROR(__xludf.DUMMYFUNCTION("""COMPUTED_VALUE"""),5)</f>
        <v>5</v>
      </c>
      <c r="AZ102" s="4">
        <f ca="1">IFERROR(__xludf.DUMMYFUNCTION("""COMPUTED_VALUE"""),5)</f>
        <v>5</v>
      </c>
      <c r="BA102" s="4">
        <f ca="1">IFERROR(__xludf.DUMMYFUNCTION("""COMPUTED_VALUE"""),5)</f>
        <v>5</v>
      </c>
      <c r="BB102" s="4">
        <f ca="1">IFERROR(__xludf.DUMMYFUNCTION("""COMPUTED_VALUE"""),5)</f>
        <v>5</v>
      </c>
      <c r="BC102" s="4">
        <f ca="1">IFERROR(__xludf.DUMMYFUNCTION("""COMPUTED_VALUE"""),5)</f>
        <v>5</v>
      </c>
      <c r="BD102" s="4">
        <f ca="1">IFERROR(__xludf.DUMMYFUNCTION("""COMPUTED_VALUE"""),5)</f>
        <v>5</v>
      </c>
      <c r="BE102" s="4">
        <f ca="1">IFERROR(__xludf.DUMMYFUNCTION("""COMPUTED_VALUE"""),5)</f>
        <v>5</v>
      </c>
      <c r="BF102" s="4">
        <f ca="1">IFERROR(__xludf.DUMMYFUNCTION("""COMPUTED_VALUE"""),5)</f>
        <v>5</v>
      </c>
      <c r="BG102" s="4">
        <f ca="1">IFERROR(__xludf.DUMMYFUNCTION("""COMPUTED_VALUE"""),5)</f>
        <v>5</v>
      </c>
      <c r="BH102" s="4">
        <f ca="1">IFERROR(__xludf.DUMMYFUNCTION("""COMPUTED_VALUE"""),5)</f>
        <v>5</v>
      </c>
      <c r="BI102" s="4">
        <f ca="1">IFERROR(__xludf.DUMMYFUNCTION("""COMPUTED_VALUE"""),5)</f>
        <v>5</v>
      </c>
      <c r="BJ102" s="4">
        <f ca="1">IFERROR(__xludf.DUMMYFUNCTION("""COMPUTED_VALUE"""),5)</f>
        <v>5</v>
      </c>
      <c r="BK102" s="4">
        <f ca="1">IFERROR(__xludf.DUMMYFUNCTION("""COMPUTED_VALUE"""),5)</f>
        <v>5</v>
      </c>
      <c r="BL102" s="4">
        <f ca="1">IFERROR(__xludf.DUMMYFUNCTION("""COMPUTED_VALUE"""),5)</f>
        <v>5</v>
      </c>
      <c r="BM102" s="4">
        <f ca="1">IFERROR(__xludf.DUMMYFUNCTION("""COMPUTED_VALUE"""),5)</f>
        <v>5</v>
      </c>
      <c r="BN102" s="4">
        <f ca="1">IFERROR(__xludf.DUMMYFUNCTION("""COMPUTED_VALUE"""),5)</f>
        <v>5</v>
      </c>
      <c r="BO102" s="4">
        <f ca="1">IFERROR(__xludf.DUMMYFUNCTION("""COMPUTED_VALUE"""),5)</f>
        <v>5</v>
      </c>
      <c r="BP102" s="4">
        <f ca="1">IFERROR(__xludf.DUMMYFUNCTION("""COMPUTED_VALUE"""),5)</f>
        <v>5</v>
      </c>
    </row>
    <row r="103" spans="1:68" ht="13.2" x14ac:dyDescent="0.25">
      <c r="A103" s="4" t="str">
        <f ca="1">IFERROR(__xludf.DUMMYFUNCTION("""COMPUTED_VALUE"""),"2_ABaOnudU-wsksC-Xfbub-KsZptBrPOFnHKKe_ITwUDsNb3g8xaVHTy0Qk1Nt9v449A")</f>
        <v>2_ABaOnudU-wsksC-Xfbub-KsZptBrPOFnHKKe_ITwUDsNb3g8xaVHTy0Qk1Nt9v449A</v>
      </c>
      <c r="B103" s="5">
        <f ca="1">IFERROR(__xludf.DUMMYFUNCTION("""COMPUTED_VALUE"""),45972.4570847685)</f>
        <v>45972.457084768503</v>
      </c>
      <c r="C103" s="4" t="str">
        <f ca="1">IFERROR(__xludf.DUMMYFUNCTION("""COMPUTED_VALUE"""),"Bùi Hoàng Nam")</f>
        <v>Bùi Hoàng Nam</v>
      </c>
      <c r="D103" s="4" t="str">
        <f ca="1">IFERROR(__xludf.DUMMYFUNCTION("""COMPUTED_VALUE"""),"Nam")</f>
        <v>Nam</v>
      </c>
      <c r="E103" s="4" t="str">
        <f ca="1">IFERROR(__xludf.DUMMYFUNCTION("""COMPUTED_VALUE"""),"Công Ty TNHH Kiểm toán Đại Tín")</f>
        <v>Công Ty TNHH Kiểm toán Đại Tín</v>
      </c>
      <c r="F103" s="4" t="str">
        <f ca="1">IFERROR(__xludf.DUMMYFUNCTION("""COMPUTED_VALUE"""),"Đại học")</f>
        <v>Đại học</v>
      </c>
      <c r="G103" s="4" t="str">
        <f ca="1">IFERROR(__xludf.DUMMYFUNCTION("""COMPUTED_VALUE"""),"Trên 5 đến 10 năm")</f>
        <v>Trên 5 đến 10 năm</v>
      </c>
      <c r="H103" s="4" t="str">
        <f ca="1">IFERROR(__xludf.DUMMYFUNCTION("""COMPUTED_VALUE"""),"Trợ lý kiểm toán")</f>
        <v>Trợ lý kiểm toán</v>
      </c>
      <c r="I103" s="4">
        <f ca="1">IFERROR(__xludf.DUMMYFUNCTION("""COMPUTED_VALUE"""),5)</f>
        <v>5</v>
      </c>
      <c r="J103" s="4">
        <f ca="1">IFERROR(__xludf.DUMMYFUNCTION("""COMPUTED_VALUE"""),5)</f>
        <v>5</v>
      </c>
      <c r="K103" s="4">
        <f ca="1">IFERROR(__xludf.DUMMYFUNCTION("""COMPUTED_VALUE"""),5)</f>
        <v>5</v>
      </c>
      <c r="L103" s="4">
        <f ca="1">IFERROR(__xludf.DUMMYFUNCTION("""COMPUTED_VALUE"""),3)</f>
        <v>3</v>
      </c>
      <c r="M103" s="4">
        <f ca="1">IFERROR(__xludf.DUMMYFUNCTION("""COMPUTED_VALUE"""),5)</f>
        <v>5</v>
      </c>
      <c r="N103" s="4">
        <f ca="1">IFERROR(__xludf.DUMMYFUNCTION("""COMPUTED_VALUE"""),3)</f>
        <v>3</v>
      </c>
      <c r="O103" s="4">
        <f ca="1">IFERROR(__xludf.DUMMYFUNCTION("""COMPUTED_VALUE"""),3)</f>
        <v>3</v>
      </c>
      <c r="P103" s="4">
        <f ca="1">IFERROR(__xludf.DUMMYFUNCTION("""COMPUTED_VALUE"""),4)</f>
        <v>4</v>
      </c>
      <c r="Q103" s="4">
        <f ca="1">IFERROR(__xludf.DUMMYFUNCTION("""COMPUTED_VALUE"""),5)</f>
        <v>5</v>
      </c>
      <c r="R103" s="4">
        <f ca="1">IFERROR(__xludf.DUMMYFUNCTION("""COMPUTED_VALUE"""),5)</f>
        <v>5</v>
      </c>
      <c r="S103" s="4">
        <f ca="1">IFERROR(__xludf.DUMMYFUNCTION("""COMPUTED_VALUE"""),5)</f>
        <v>5</v>
      </c>
      <c r="T103" s="4">
        <f ca="1">IFERROR(__xludf.DUMMYFUNCTION("""COMPUTED_VALUE"""),5)</f>
        <v>5</v>
      </c>
      <c r="U103" s="4">
        <f ca="1">IFERROR(__xludf.DUMMYFUNCTION("""COMPUTED_VALUE"""),5)</f>
        <v>5</v>
      </c>
      <c r="V103" s="4">
        <f ca="1">IFERROR(__xludf.DUMMYFUNCTION("""COMPUTED_VALUE"""),5)</f>
        <v>5</v>
      </c>
      <c r="W103" s="4">
        <f ca="1">IFERROR(__xludf.DUMMYFUNCTION("""COMPUTED_VALUE"""),3)</f>
        <v>3</v>
      </c>
      <c r="X103" s="4">
        <f ca="1">IFERROR(__xludf.DUMMYFUNCTION("""COMPUTED_VALUE"""),3)</f>
        <v>3</v>
      </c>
      <c r="Y103" s="4">
        <f ca="1">IFERROR(__xludf.DUMMYFUNCTION("""COMPUTED_VALUE"""),3)</f>
        <v>3</v>
      </c>
      <c r="Z103" s="4">
        <f ca="1">IFERROR(__xludf.DUMMYFUNCTION("""COMPUTED_VALUE"""),3)</f>
        <v>3</v>
      </c>
      <c r="AA103" s="4">
        <f ca="1">IFERROR(__xludf.DUMMYFUNCTION("""COMPUTED_VALUE"""),3)</f>
        <v>3</v>
      </c>
      <c r="AB103" s="4">
        <f ca="1">IFERROR(__xludf.DUMMYFUNCTION("""COMPUTED_VALUE"""),3)</f>
        <v>3</v>
      </c>
      <c r="AC103" s="4">
        <f ca="1">IFERROR(__xludf.DUMMYFUNCTION("""COMPUTED_VALUE"""),3)</f>
        <v>3</v>
      </c>
      <c r="AD103" s="4">
        <f ca="1">IFERROR(__xludf.DUMMYFUNCTION("""COMPUTED_VALUE"""),3)</f>
        <v>3</v>
      </c>
      <c r="AE103" s="4">
        <f ca="1">IFERROR(__xludf.DUMMYFUNCTION("""COMPUTED_VALUE"""),3)</f>
        <v>3</v>
      </c>
      <c r="AF103" s="4">
        <f ca="1">IFERROR(__xludf.DUMMYFUNCTION("""COMPUTED_VALUE"""),3)</f>
        <v>3</v>
      </c>
      <c r="AG103" s="4">
        <f ca="1">IFERROR(__xludf.DUMMYFUNCTION("""COMPUTED_VALUE"""),3)</f>
        <v>3</v>
      </c>
      <c r="AH103" s="4">
        <f ca="1">IFERROR(__xludf.DUMMYFUNCTION("""COMPUTED_VALUE"""),3)</f>
        <v>3</v>
      </c>
      <c r="AI103" s="4">
        <f ca="1">IFERROR(__xludf.DUMMYFUNCTION("""COMPUTED_VALUE"""),3)</f>
        <v>3</v>
      </c>
      <c r="AJ103" s="4">
        <f ca="1">IFERROR(__xludf.DUMMYFUNCTION("""COMPUTED_VALUE"""),3)</f>
        <v>3</v>
      </c>
      <c r="AK103" s="4">
        <f ca="1">IFERROR(__xludf.DUMMYFUNCTION("""COMPUTED_VALUE"""),3)</f>
        <v>3</v>
      </c>
      <c r="AL103" s="4">
        <f ca="1">IFERROR(__xludf.DUMMYFUNCTION("""COMPUTED_VALUE"""),3)</f>
        <v>3</v>
      </c>
      <c r="AM103" s="4">
        <f ca="1">IFERROR(__xludf.DUMMYFUNCTION("""COMPUTED_VALUE"""),3)</f>
        <v>3</v>
      </c>
      <c r="AN103" s="4">
        <f ca="1">IFERROR(__xludf.DUMMYFUNCTION("""COMPUTED_VALUE"""),3)</f>
        <v>3</v>
      </c>
      <c r="AO103" s="4">
        <f ca="1">IFERROR(__xludf.DUMMYFUNCTION("""COMPUTED_VALUE"""),3)</f>
        <v>3</v>
      </c>
      <c r="AP103" s="4">
        <f ca="1">IFERROR(__xludf.DUMMYFUNCTION("""COMPUTED_VALUE"""),3)</f>
        <v>3</v>
      </c>
      <c r="AQ103" s="4">
        <f ca="1">IFERROR(__xludf.DUMMYFUNCTION("""COMPUTED_VALUE"""),3)</f>
        <v>3</v>
      </c>
      <c r="AR103" s="4">
        <f ca="1">IFERROR(__xludf.DUMMYFUNCTION("""COMPUTED_VALUE"""),3)</f>
        <v>3</v>
      </c>
      <c r="AS103" s="4">
        <f ca="1">IFERROR(__xludf.DUMMYFUNCTION("""COMPUTED_VALUE"""),3)</f>
        <v>3</v>
      </c>
      <c r="AT103" s="4">
        <f ca="1">IFERROR(__xludf.DUMMYFUNCTION("""COMPUTED_VALUE"""),3)</f>
        <v>3</v>
      </c>
      <c r="AU103" s="4">
        <f ca="1">IFERROR(__xludf.DUMMYFUNCTION("""COMPUTED_VALUE"""),3)</f>
        <v>3</v>
      </c>
      <c r="AV103" s="4">
        <f ca="1">IFERROR(__xludf.DUMMYFUNCTION("""COMPUTED_VALUE"""),3)</f>
        <v>3</v>
      </c>
      <c r="AW103" s="4">
        <f ca="1">IFERROR(__xludf.DUMMYFUNCTION("""COMPUTED_VALUE"""),3)</f>
        <v>3</v>
      </c>
      <c r="AX103" s="4">
        <f ca="1">IFERROR(__xludf.DUMMYFUNCTION("""COMPUTED_VALUE"""),4)</f>
        <v>4</v>
      </c>
      <c r="AY103" s="4">
        <f ca="1">IFERROR(__xludf.DUMMYFUNCTION("""COMPUTED_VALUE"""),4)</f>
        <v>4</v>
      </c>
      <c r="AZ103" s="4">
        <f ca="1">IFERROR(__xludf.DUMMYFUNCTION("""COMPUTED_VALUE"""),4)</f>
        <v>4</v>
      </c>
      <c r="BA103" s="4">
        <f ca="1">IFERROR(__xludf.DUMMYFUNCTION("""COMPUTED_VALUE"""),4)</f>
        <v>4</v>
      </c>
      <c r="BB103" s="4">
        <f ca="1">IFERROR(__xludf.DUMMYFUNCTION("""COMPUTED_VALUE"""),3)</f>
        <v>3</v>
      </c>
      <c r="BC103" s="4">
        <f ca="1">IFERROR(__xludf.DUMMYFUNCTION("""COMPUTED_VALUE"""),3)</f>
        <v>3</v>
      </c>
      <c r="BD103" s="4">
        <f ca="1">IFERROR(__xludf.DUMMYFUNCTION("""COMPUTED_VALUE"""),3)</f>
        <v>3</v>
      </c>
      <c r="BE103" s="4">
        <f ca="1">IFERROR(__xludf.DUMMYFUNCTION("""COMPUTED_VALUE"""),3)</f>
        <v>3</v>
      </c>
      <c r="BF103" s="4">
        <f ca="1">IFERROR(__xludf.DUMMYFUNCTION("""COMPUTED_VALUE"""),3)</f>
        <v>3</v>
      </c>
      <c r="BG103" s="4">
        <f ca="1">IFERROR(__xludf.DUMMYFUNCTION("""COMPUTED_VALUE"""),3)</f>
        <v>3</v>
      </c>
      <c r="BH103" s="4">
        <f ca="1">IFERROR(__xludf.DUMMYFUNCTION("""COMPUTED_VALUE"""),4)</f>
        <v>4</v>
      </c>
      <c r="BI103" s="4">
        <f ca="1">IFERROR(__xludf.DUMMYFUNCTION("""COMPUTED_VALUE"""),4)</f>
        <v>4</v>
      </c>
      <c r="BJ103" s="4">
        <f ca="1">IFERROR(__xludf.DUMMYFUNCTION("""COMPUTED_VALUE"""),4)</f>
        <v>4</v>
      </c>
      <c r="BK103" s="4">
        <f ca="1">IFERROR(__xludf.DUMMYFUNCTION("""COMPUTED_VALUE"""),4)</f>
        <v>4</v>
      </c>
      <c r="BL103" s="4">
        <f ca="1">IFERROR(__xludf.DUMMYFUNCTION("""COMPUTED_VALUE"""),4)</f>
        <v>4</v>
      </c>
      <c r="BM103" s="4">
        <f ca="1">IFERROR(__xludf.DUMMYFUNCTION("""COMPUTED_VALUE"""),4)</f>
        <v>4</v>
      </c>
      <c r="BN103" s="4">
        <f ca="1">IFERROR(__xludf.DUMMYFUNCTION("""COMPUTED_VALUE"""),4)</f>
        <v>4</v>
      </c>
      <c r="BO103" s="4">
        <f ca="1">IFERROR(__xludf.DUMMYFUNCTION("""COMPUTED_VALUE"""),4)</f>
        <v>4</v>
      </c>
      <c r="BP103" s="4">
        <f ca="1">IFERROR(__xludf.DUMMYFUNCTION("""COMPUTED_VALUE"""),4)</f>
        <v>4</v>
      </c>
    </row>
    <row r="104" spans="1:68" ht="13.2" x14ac:dyDescent="0.25">
      <c r="A104" s="4" t="str">
        <f ca="1">IFERROR(__xludf.DUMMYFUNCTION("""COMPUTED_VALUE"""),"2_ABaOnueEQVwqmUJxnCrrL_r7gGiyA_Qga0qmIzQ721MMecYFLjkQsYpErpIL3h4Ygw")</f>
        <v>2_ABaOnueEQVwqmUJxnCrrL_r7gGiyA_Qga0qmIzQ721MMecYFLjkQsYpErpIL3h4Ygw</v>
      </c>
      <c r="B104" s="5">
        <f ca="1">IFERROR(__xludf.DUMMYFUNCTION("""COMPUTED_VALUE"""),45972.4590698842)</f>
        <v>45972.4590698842</v>
      </c>
      <c r="C104" s="4" t="str">
        <f ca="1">IFERROR(__xludf.DUMMYFUNCTION("""COMPUTED_VALUE"""),"PHẠM THỊ NHUNG ")</f>
        <v xml:space="preserve">PHẠM THỊ NHUNG </v>
      </c>
      <c r="D104" s="4" t="str">
        <f ca="1">IFERROR(__xludf.DUMMYFUNCTION("""COMPUTED_VALUE"""),"Nữ")</f>
        <v>Nữ</v>
      </c>
      <c r="E104" s="4" t="str">
        <f ca="1">IFERROR(__xludf.DUMMYFUNCTION("""COMPUTED_VALUE"""),"Công ty TNHH Kiểm toán Đại Tín ")</f>
        <v xml:space="preserve">Công ty TNHH Kiểm toán Đại Tín </v>
      </c>
      <c r="F104" s="4" t="str">
        <f ca="1">IFERROR(__xludf.DUMMYFUNCTION("""COMPUTED_VALUE"""),"Chứng chỉ Kiểm toán viên")</f>
        <v>Chứng chỉ Kiểm toán viên</v>
      </c>
      <c r="G104" s="4" t="str">
        <f ca="1">IFERROR(__xludf.DUMMYFUNCTION("""COMPUTED_VALUE"""),"Trên 15 đến 20 năm")</f>
        <v>Trên 15 đến 20 năm</v>
      </c>
      <c r="H104" s="4" t="str">
        <f ca="1">IFERROR(__xludf.DUMMYFUNCTION("""COMPUTED_VALUE"""),"Ban giám đốc")</f>
        <v>Ban giám đốc</v>
      </c>
      <c r="I104" s="4">
        <f ca="1">IFERROR(__xludf.DUMMYFUNCTION("""COMPUTED_VALUE"""),4)</f>
        <v>4</v>
      </c>
      <c r="J104" s="4">
        <f ca="1">IFERROR(__xludf.DUMMYFUNCTION("""COMPUTED_VALUE"""),4)</f>
        <v>4</v>
      </c>
      <c r="K104" s="4">
        <f ca="1">IFERROR(__xludf.DUMMYFUNCTION("""COMPUTED_VALUE"""),4)</f>
        <v>4</v>
      </c>
      <c r="L104" s="4">
        <f ca="1">IFERROR(__xludf.DUMMYFUNCTION("""COMPUTED_VALUE"""),3)</f>
        <v>3</v>
      </c>
      <c r="M104" s="4">
        <f ca="1">IFERROR(__xludf.DUMMYFUNCTION("""COMPUTED_VALUE"""),4)</f>
        <v>4</v>
      </c>
      <c r="N104" s="4">
        <f ca="1">IFERROR(__xludf.DUMMYFUNCTION("""COMPUTED_VALUE"""),3)</f>
        <v>3</v>
      </c>
      <c r="O104" s="4">
        <f ca="1">IFERROR(__xludf.DUMMYFUNCTION("""COMPUTED_VALUE"""),3)</f>
        <v>3</v>
      </c>
      <c r="P104" s="4">
        <f ca="1">IFERROR(__xludf.DUMMYFUNCTION("""COMPUTED_VALUE"""),4)</f>
        <v>4</v>
      </c>
      <c r="Q104" s="4">
        <f ca="1">IFERROR(__xludf.DUMMYFUNCTION("""COMPUTED_VALUE"""),4)</f>
        <v>4</v>
      </c>
      <c r="R104" s="4">
        <f ca="1">IFERROR(__xludf.DUMMYFUNCTION("""COMPUTED_VALUE"""),4)</f>
        <v>4</v>
      </c>
      <c r="S104" s="4">
        <f ca="1">IFERROR(__xludf.DUMMYFUNCTION("""COMPUTED_VALUE"""),4)</f>
        <v>4</v>
      </c>
      <c r="T104" s="4">
        <f ca="1">IFERROR(__xludf.DUMMYFUNCTION("""COMPUTED_VALUE"""),4)</f>
        <v>4</v>
      </c>
      <c r="U104" s="4">
        <f ca="1">IFERROR(__xludf.DUMMYFUNCTION("""COMPUTED_VALUE"""),4)</f>
        <v>4</v>
      </c>
      <c r="V104" s="4">
        <f ca="1">IFERROR(__xludf.DUMMYFUNCTION("""COMPUTED_VALUE"""),4)</f>
        <v>4</v>
      </c>
      <c r="W104" s="4">
        <f ca="1">IFERROR(__xludf.DUMMYFUNCTION("""COMPUTED_VALUE"""),4)</f>
        <v>4</v>
      </c>
      <c r="X104" s="4">
        <f ca="1">IFERROR(__xludf.DUMMYFUNCTION("""COMPUTED_VALUE"""),4)</f>
        <v>4</v>
      </c>
      <c r="Y104" s="4">
        <f ca="1">IFERROR(__xludf.DUMMYFUNCTION("""COMPUTED_VALUE"""),3)</f>
        <v>3</v>
      </c>
      <c r="Z104" s="4">
        <f ca="1">IFERROR(__xludf.DUMMYFUNCTION("""COMPUTED_VALUE"""),3)</f>
        <v>3</v>
      </c>
      <c r="AA104" s="4">
        <f ca="1">IFERROR(__xludf.DUMMYFUNCTION("""COMPUTED_VALUE"""),4)</f>
        <v>4</v>
      </c>
      <c r="AB104" s="4">
        <f ca="1">IFERROR(__xludf.DUMMYFUNCTION("""COMPUTED_VALUE"""),4)</f>
        <v>4</v>
      </c>
      <c r="AC104" s="4">
        <f ca="1">IFERROR(__xludf.DUMMYFUNCTION("""COMPUTED_VALUE"""),4)</f>
        <v>4</v>
      </c>
      <c r="AD104" s="4">
        <f ca="1">IFERROR(__xludf.DUMMYFUNCTION("""COMPUTED_VALUE"""),3)</f>
        <v>3</v>
      </c>
      <c r="AE104" s="4">
        <f ca="1">IFERROR(__xludf.DUMMYFUNCTION("""COMPUTED_VALUE"""),3)</f>
        <v>3</v>
      </c>
      <c r="AF104" s="4">
        <f ca="1">IFERROR(__xludf.DUMMYFUNCTION("""COMPUTED_VALUE"""),3)</f>
        <v>3</v>
      </c>
      <c r="AG104" s="4">
        <f ca="1">IFERROR(__xludf.DUMMYFUNCTION("""COMPUTED_VALUE"""),4)</f>
        <v>4</v>
      </c>
      <c r="AH104" s="4">
        <f ca="1">IFERROR(__xludf.DUMMYFUNCTION("""COMPUTED_VALUE"""),4)</f>
        <v>4</v>
      </c>
      <c r="AI104" s="4">
        <f ca="1">IFERROR(__xludf.DUMMYFUNCTION("""COMPUTED_VALUE"""),3)</f>
        <v>3</v>
      </c>
      <c r="AJ104" s="4">
        <f ca="1">IFERROR(__xludf.DUMMYFUNCTION("""COMPUTED_VALUE"""),3)</f>
        <v>3</v>
      </c>
      <c r="AK104" s="4">
        <f ca="1">IFERROR(__xludf.DUMMYFUNCTION("""COMPUTED_VALUE"""),3)</f>
        <v>3</v>
      </c>
      <c r="AL104" s="4">
        <f ca="1">IFERROR(__xludf.DUMMYFUNCTION("""COMPUTED_VALUE"""),3)</f>
        <v>3</v>
      </c>
      <c r="AM104" s="4">
        <f ca="1">IFERROR(__xludf.DUMMYFUNCTION("""COMPUTED_VALUE"""),3)</f>
        <v>3</v>
      </c>
      <c r="AN104" s="4">
        <f ca="1">IFERROR(__xludf.DUMMYFUNCTION("""COMPUTED_VALUE"""),3)</f>
        <v>3</v>
      </c>
      <c r="AO104" s="4">
        <f ca="1">IFERROR(__xludf.DUMMYFUNCTION("""COMPUTED_VALUE"""),3)</f>
        <v>3</v>
      </c>
      <c r="AP104" s="4">
        <f ca="1">IFERROR(__xludf.DUMMYFUNCTION("""COMPUTED_VALUE"""),3)</f>
        <v>3</v>
      </c>
      <c r="AQ104" s="4">
        <f ca="1">IFERROR(__xludf.DUMMYFUNCTION("""COMPUTED_VALUE"""),3)</f>
        <v>3</v>
      </c>
      <c r="AR104" s="4">
        <f ca="1">IFERROR(__xludf.DUMMYFUNCTION("""COMPUTED_VALUE"""),3)</f>
        <v>3</v>
      </c>
      <c r="AS104" s="4">
        <f ca="1">IFERROR(__xludf.DUMMYFUNCTION("""COMPUTED_VALUE"""),3)</f>
        <v>3</v>
      </c>
      <c r="AT104" s="4">
        <f ca="1">IFERROR(__xludf.DUMMYFUNCTION("""COMPUTED_VALUE"""),3)</f>
        <v>3</v>
      </c>
      <c r="AU104" s="4">
        <f ca="1">IFERROR(__xludf.DUMMYFUNCTION("""COMPUTED_VALUE"""),3)</f>
        <v>3</v>
      </c>
      <c r="AV104" s="4">
        <f ca="1">IFERROR(__xludf.DUMMYFUNCTION("""COMPUTED_VALUE"""),4)</f>
        <v>4</v>
      </c>
      <c r="AW104" s="4">
        <f ca="1">IFERROR(__xludf.DUMMYFUNCTION("""COMPUTED_VALUE"""),4)</f>
        <v>4</v>
      </c>
      <c r="AX104" s="4">
        <f ca="1">IFERROR(__xludf.DUMMYFUNCTION("""COMPUTED_VALUE"""),4)</f>
        <v>4</v>
      </c>
      <c r="AY104" s="4">
        <f ca="1">IFERROR(__xludf.DUMMYFUNCTION("""COMPUTED_VALUE"""),4)</f>
        <v>4</v>
      </c>
      <c r="AZ104" s="4">
        <f ca="1">IFERROR(__xludf.DUMMYFUNCTION("""COMPUTED_VALUE"""),4)</f>
        <v>4</v>
      </c>
      <c r="BA104" s="4">
        <f ca="1">IFERROR(__xludf.DUMMYFUNCTION("""COMPUTED_VALUE"""),4)</f>
        <v>4</v>
      </c>
      <c r="BB104" s="4">
        <f ca="1">IFERROR(__xludf.DUMMYFUNCTION("""COMPUTED_VALUE"""),3)</f>
        <v>3</v>
      </c>
      <c r="BC104" s="4">
        <f ca="1">IFERROR(__xludf.DUMMYFUNCTION("""COMPUTED_VALUE"""),3)</f>
        <v>3</v>
      </c>
      <c r="BD104" s="4">
        <f ca="1">IFERROR(__xludf.DUMMYFUNCTION("""COMPUTED_VALUE"""),4)</f>
        <v>4</v>
      </c>
      <c r="BE104" s="4">
        <f ca="1">IFERROR(__xludf.DUMMYFUNCTION("""COMPUTED_VALUE"""),4)</f>
        <v>4</v>
      </c>
      <c r="BF104" s="4">
        <f ca="1">IFERROR(__xludf.DUMMYFUNCTION("""COMPUTED_VALUE"""),3)</f>
        <v>3</v>
      </c>
      <c r="BG104" s="4">
        <f ca="1">IFERROR(__xludf.DUMMYFUNCTION("""COMPUTED_VALUE"""),3)</f>
        <v>3</v>
      </c>
      <c r="BH104" s="4">
        <f ca="1">IFERROR(__xludf.DUMMYFUNCTION("""COMPUTED_VALUE"""),4)</f>
        <v>4</v>
      </c>
      <c r="BI104" s="4">
        <f ca="1">IFERROR(__xludf.DUMMYFUNCTION("""COMPUTED_VALUE"""),4)</f>
        <v>4</v>
      </c>
      <c r="BJ104" s="4">
        <f ca="1">IFERROR(__xludf.DUMMYFUNCTION("""COMPUTED_VALUE"""),4)</f>
        <v>4</v>
      </c>
      <c r="BK104" s="4">
        <f ca="1">IFERROR(__xludf.DUMMYFUNCTION("""COMPUTED_VALUE"""),4)</f>
        <v>4</v>
      </c>
      <c r="BL104" s="4">
        <f ca="1">IFERROR(__xludf.DUMMYFUNCTION("""COMPUTED_VALUE"""),4)</f>
        <v>4</v>
      </c>
      <c r="BM104" s="4">
        <f ca="1">IFERROR(__xludf.DUMMYFUNCTION("""COMPUTED_VALUE"""),4)</f>
        <v>4</v>
      </c>
      <c r="BN104" s="4">
        <f ca="1">IFERROR(__xludf.DUMMYFUNCTION("""COMPUTED_VALUE"""),4)</f>
        <v>4</v>
      </c>
      <c r="BO104" s="4">
        <f ca="1">IFERROR(__xludf.DUMMYFUNCTION("""COMPUTED_VALUE"""),4)</f>
        <v>4</v>
      </c>
      <c r="BP104" s="4">
        <f ca="1">IFERROR(__xludf.DUMMYFUNCTION("""COMPUTED_VALUE"""),4)</f>
        <v>4</v>
      </c>
    </row>
    <row r="105" spans="1:68" ht="13.2" x14ac:dyDescent="0.25">
      <c r="A105" s="4" t="str">
        <f ca="1">IFERROR(__xludf.DUMMYFUNCTION("""COMPUTED_VALUE"""),"2_ABaOnufNAvwOsgtdhiLrDc40zARBacD9KSUSVynMJyDAfi0VnwzzoN8nxC7JFnA58w")</f>
        <v>2_ABaOnufNAvwOsgtdhiLrDc40zARBacD9KSUSVynMJyDAfi0VnwzzoN8nxC7JFnA58w</v>
      </c>
      <c r="B105" s="5">
        <f ca="1">IFERROR(__xludf.DUMMYFUNCTION("""COMPUTED_VALUE"""),45972.4682160879)</f>
        <v>45972.468216087902</v>
      </c>
      <c r="C105" s="4" t="str">
        <f ca="1">IFERROR(__xludf.DUMMYFUNCTION("""COMPUTED_VALUE"""),"Trương Linh")</f>
        <v>Trương Linh</v>
      </c>
      <c r="D105" s="4" t="str">
        <f ca="1">IFERROR(__xludf.DUMMYFUNCTION("""COMPUTED_VALUE"""),"Nam")</f>
        <v>Nam</v>
      </c>
      <c r="E105" s="4" t="str">
        <f ca="1">IFERROR(__xludf.DUMMYFUNCTION("""COMPUTED_VALUE"""),"Công ty TNHH Kiểm toán Đại Tín")</f>
        <v>Công ty TNHH Kiểm toán Đại Tín</v>
      </c>
      <c r="F105" s="4" t="str">
        <f ca="1">IFERROR(__xludf.DUMMYFUNCTION("""COMPUTED_VALUE"""),"Đại học")</f>
        <v>Đại học</v>
      </c>
      <c r="G105" s="4" t="str">
        <f ca="1">IFERROR(__xludf.DUMMYFUNCTION("""COMPUTED_VALUE"""),"Trên 5 đến 10 năm")</f>
        <v>Trên 5 đến 10 năm</v>
      </c>
      <c r="H105" s="4" t="str">
        <f ca="1">IFERROR(__xludf.DUMMYFUNCTION("""COMPUTED_VALUE"""),"Trợ lý kiểm toán")</f>
        <v>Trợ lý kiểm toán</v>
      </c>
      <c r="I105" s="4">
        <f ca="1">IFERROR(__xludf.DUMMYFUNCTION("""COMPUTED_VALUE"""),5)</f>
        <v>5</v>
      </c>
      <c r="J105" s="4">
        <f ca="1">IFERROR(__xludf.DUMMYFUNCTION("""COMPUTED_VALUE"""),5)</f>
        <v>5</v>
      </c>
      <c r="K105" s="4">
        <f ca="1">IFERROR(__xludf.DUMMYFUNCTION("""COMPUTED_VALUE"""),5)</f>
        <v>5</v>
      </c>
      <c r="L105" s="4">
        <f ca="1">IFERROR(__xludf.DUMMYFUNCTION("""COMPUTED_VALUE"""),5)</f>
        <v>5</v>
      </c>
      <c r="M105" s="4">
        <f ca="1">IFERROR(__xludf.DUMMYFUNCTION("""COMPUTED_VALUE"""),5)</f>
        <v>5</v>
      </c>
      <c r="N105" s="4">
        <f ca="1">IFERROR(__xludf.DUMMYFUNCTION("""COMPUTED_VALUE"""),5)</f>
        <v>5</v>
      </c>
      <c r="O105" s="4">
        <f ca="1">IFERROR(__xludf.DUMMYFUNCTION("""COMPUTED_VALUE"""),5)</f>
        <v>5</v>
      </c>
      <c r="P105" s="4">
        <f ca="1">IFERROR(__xludf.DUMMYFUNCTION("""COMPUTED_VALUE"""),5)</f>
        <v>5</v>
      </c>
      <c r="Q105" s="4">
        <f ca="1">IFERROR(__xludf.DUMMYFUNCTION("""COMPUTED_VALUE"""),5)</f>
        <v>5</v>
      </c>
      <c r="R105" s="4">
        <f ca="1">IFERROR(__xludf.DUMMYFUNCTION("""COMPUTED_VALUE"""),5)</f>
        <v>5</v>
      </c>
      <c r="S105" s="4">
        <f ca="1">IFERROR(__xludf.DUMMYFUNCTION("""COMPUTED_VALUE"""),4)</f>
        <v>4</v>
      </c>
      <c r="T105" s="4">
        <f ca="1">IFERROR(__xludf.DUMMYFUNCTION("""COMPUTED_VALUE"""),5)</f>
        <v>5</v>
      </c>
      <c r="U105" s="4">
        <f ca="1">IFERROR(__xludf.DUMMYFUNCTION("""COMPUTED_VALUE"""),5)</f>
        <v>5</v>
      </c>
      <c r="V105" s="4">
        <f ca="1">IFERROR(__xludf.DUMMYFUNCTION("""COMPUTED_VALUE"""),5)</f>
        <v>5</v>
      </c>
      <c r="W105" s="4">
        <f ca="1">IFERROR(__xludf.DUMMYFUNCTION("""COMPUTED_VALUE"""),5)</f>
        <v>5</v>
      </c>
      <c r="X105" s="4">
        <f ca="1">IFERROR(__xludf.DUMMYFUNCTION("""COMPUTED_VALUE"""),4)</f>
        <v>4</v>
      </c>
      <c r="Y105" s="4">
        <f ca="1">IFERROR(__xludf.DUMMYFUNCTION("""COMPUTED_VALUE"""),4)</f>
        <v>4</v>
      </c>
      <c r="Z105" s="4">
        <f ca="1">IFERROR(__xludf.DUMMYFUNCTION("""COMPUTED_VALUE"""),4)</f>
        <v>4</v>
      </c>
      <c r="AA105" s="4">
        <f ca="1">IFERROR(__xludf.DUMMYFUNCTION("""COMPUTED_VALUE"""),4)</f>
        <v>4</v>
      </c>
      <c r="AB105" s="4">
        <f ca="1">IFERROR(__xludf.DUMMYFUNCTION("""COMPUTED_VALUE"""),4)</f>
        <v>4</v>
      </c>
      <c r="AC105" s="4">
        <f ca="1">IFERROR(__xludf.DUMMYFUNCTION("""COMPUTED_VALUE"""),4)</f>
        <v>4</v>
      </c>
      <c r="AD105" s="4">
        <f ca="1">IFERROR(__xludf.DUMMYFUNCTION("""COMPUTED_VALUE"""),5)</f>
        <v>5</v>
      </c>
      <c r="AE105" s="4">
        <f ca="1">IFERROR(__xludf.DUMMYFUNCTION("""COMPUTED_VALUE"""),5)</f>
        <v>5</v>
      </c>
      <c r="AF105" s="4">
        <f ca="1">IFERROR(__xludf.DUMMYFUNCTION("""COMPUTED_VALUE"""),4)</f>
        <v>4</v>
      </c>
      <c r="AG105" s="4">
        <f ca="1">IFERROR(__xludf.DUMMYFUNCTION("""COMPUTED_VALUE"""),4)</f>
        <v>4</v>
      </c>
      <c r="AH105" s="4">
        <f ca="1">IFERROR(__xludf.DUMMYFUNCTION("""COMPUTED_VALUE"""),4)</f>
        <v>4</v>
      </c>
      <c r="AI105" s="4">
        <f ca="1">IFERROR(__xludf.DUMMYFUNCTION("""COMPUTED_VALUE"""),3)</f>
        <v>3</v>
      </c>
      <c r="AJ105" s="4">
        <f ca="1">IFERROR(__xludf.DUMMYFUNCTION("""COMPUTED_VALUE"""),4)</f>
        <v>4</v>
      </c>
      <c r="AK105" s="4">
        <f ca="1">IFERROR(__xludf.DUMMYFUNCTION("""COMPUTED_VALUE"""),5)</f>
        <v>5</v>
      </c>
      <c r="AL105" s="4">
        <f ca="1">IFERROR(__xludf.DUMMYFUNCTION("""COMPUTED_VALUE"""),5)</f>
        <v>5</v>
      </c>
      <c r="AM105" s="4">
        <f ca="1">IFERROR(__xludf.DUMMYFUNCTION("""COMPUTED_VALUE"""),5)</f>
        <v>5</v>
      </c>
      <c r="AN105" s="4">
        <f ca="1">IFERROR(__xludf.DUMMYFUNCTION("""COMPUTED_VALUE"""),4)</f>
        <v>4</v>
      </c>
      <c r="AO105" s="4">
        <f ca="1">IFERROR(__xludf.DUMMYFUNCTION("""COMPUTED_VALUE"""),3)</f>
        <v>3</v>
      </c>
      <c r="AP105" s="4">
        <f ca="1">IFERROR(__xludf.DUMMYFUNCTION("""COMPUTED_VALUE"""),3)</f>
        <v>3</v>
      </c>
      <c r="AQ105" s="4">
        <f ca="1">IFERROR(__xludf.DUMMYFUNCTION("""COMPUTED_VALUE"""),4)</f>
        <v>4</v>
      </c>
      <c r="AR105" s="4">
        <f ca="1">IFERROR(__xludf.DUMMYFUNCTION("""COMPUTED_VALUE"""),2)</f>
        <v>2</v>
      </c>
      <c r="AS105" s="4">
        <f ca="1">IFERROR(__xludf.DUMMYFUNCTION("""COMPUTED_VALUE"""),3)</f>
        <v>3</v>
      </c>
      <c r="AT105" s="4">
        <f ca="1">IFERROR(__xludf.DUMMYFUNCTION("""COMPUTED_VALUE"""),2)</f>
        <v>2</v>
      </c>
      <c r="AU105" s="4">
        <f ca="1">IFERROR(__xludf.DUMMYFUNCTION("""COMPUTED_VALUE"""),3)</f>
        <v>3</v>
      </c>
      <c r="AV105" s="4">
        <f ca="1">IFERROR(__xludf.DUMMYFUNCTION("""COMPUTED_VALUE"""),3)</f>
        <v>3</v>
      </c>
      <c r="AW105" s="4">
        <f ca="1">IFERROR(__xludf.DUMMYFUNCTION("""COMPUTED_VALUE"""),3)</f>
        <v>3</v>
      </c>
      <c r="AX105" s="4">
        <f ca="1">IFERROR(__xludf.DUMMYFUNCTION("""COMPUTED_VALUE"""),4)</f>
        <v>4</v>
      </c>
      <c r="AY105" s="4">
        <f ca="1">IFERROR(__xludf.DUMMYFUNCTION("""COMPUTED_VALUE"""),4)</f>
        <v>4</v>
      </c>
      <c r="AZ105" s="4">
        <f ca="1">IFERROR(__xludf.DUMMYFUNCTION("""COMPUTED_VALUE"""),4)</f>
        <v>4</v>
      </c>
      <c r="BA105" s="4">
        <f ca="1">IFERROR(__xludf.DUMMYFUNCTION("""COMPUTED_VALUE"""),4)</f>
        <v>4</v>
      </c>
      <c r="BB105" s="4">
        <f ca="1">IFERROR(__xludf.DUMMYFUNCTION("""COMPUTED_VALUE"""),4)</f>
        <v>4</v>
      </c>
      <c r="BC105" s="4">
        <f ca="1">IFERROR(__xludf.DUMMYFUNCTION("""COMPUTED_VALUE"""),4)</f>
        <v>4</v>
      </c>
      <c r="BD105" s="4">
        <f ca="1">IFERROR(__xludf.DUMMYFUNCTION("""COMPUTED_VALUE"""),4)</f>
        <v>4</v>
      </c>
      <c r="BE105" s="4">
        <f ca="1">IFERROR(__xludf.DUMMYFUNCTION("""COMPUTED_VALUE"""),4)</f>
        <v>4</v>
      </c>
      <c r="BF105" s="4">
        <f ca="1">IFERROR(__xludf.DUMMYFUNCTION("""COMPUTED_VALUE"""),3)</f>
        <v>3</v>
      </c>
      <c r="BG105" s="4">
        <f ca="1">IFERROR(__xludf.DUMMYFUNCTION("""COMPUTED_VALUE"""),4)</f>
        <v>4</v>
      </c>
      <c r="BH105" s="4">
        <f ca="1">IFERROR(__xludf.DUMMYFUNCTION("""COMPUTED_VALUE"""),4)</f>
        <v>4</v>
      </c>
      <c r="BI105" s="4">
        <f ca="1">IFERROR(__xludf.DUMMYFUNCTION("""COMPUTED_VALUE"""),4)</f>
        <v>4</v>
      </c>
      <c r="BJ105" s="4">
        <f ca="1">IFERROR(__xludf.DUMMYFUNCTION("""COMPUTED_VALUE"""),5)</f>
        <v>5</v>
      </c>
      <c r="BK105" s="4">
        <f ca="1">IFERROR(__xludf.DUMMYFUNCTION("""COMPUTED_VALUE"""),3)</f>
        <v>3</v>
      </c>
      <c r="BL105" s="4">
        <f ca="1">IFERROR(__xludf.DUMMYFUNCTION("""COMPUTED_VALUE"""),4)</f>
        <v>4</v>
      </c>
      <c r="BM105" s="4">
        <f ca="1">IFERROR(__xludf.DUMMYFUNCTION("""COMPUTED_VALUE"""),5)</f>
        <v>5</v>
      </c>
      <c r="BN105" s="4">
        <f ca="1">IFERROR(__xludf.DUMMYFUNCTION("""COMPUTED_VALUE"""),4)</f>
        <v>4</v>
      </c>
      <c r="BO105" s="4">
        <f ca="1">IFERROR(__xludf.DUMMYFUNCTION("""COMPUTED_VALUE"""),4)</f>
        <v>4</v>
      </c>
      <c r="BP105" s="4">
        <f ca="1">IFERROR(__xludf.DUMMYFUNCTION("""COMPUTED_VALUE"""),5)</f>
        <v>5</v>
      </c>
    </row>
    <row r="106" spans="1:68" ht="13.2" x14ac:dyDescent="0.25">
      <c r="A106" s="4" t="str">
        <f ca="1">IFERROR(__xludf.DUMMYFUNCTION("""COMPUTED_VALUE"""),"2_ABaOnuebOaMazIyY906RW6KaWDxsOQQGYU7cEzWZN0IbRW9Cn4o7iyU-IO3PiZtsEw")</f>
        <v>2_ABaOnuebOaMazIyY906RW6KaWDxsOQQGYU7cEzWZN0IbRW9Cn4o7iyU-IO3PiZtsEw</v>
      </c>
      <c r="B106" s="5">
        <f ca="1">IFERROR(__xludf.DUMMYFUNCTION("""COMPUTED_VALUE"""),45972.4841380902)</f>
        <v>45972.4841380902</v>
      </c>
      <c r="C106" s="4" t="str">
        <f ca="1">IFERROR(__xludf.DUMMYFUNCTION("""COMPUTED_VALUE"""),"LÊ VĂN DANH")</f>
        <v>LÊ VĂN DANH</v>
      </c>
      <c r="D106" s="4" t="str">
        <f ca="1">IFERROR(__xludf.DUMMYFUNCTION("""COMPUTED_VALUE"""),"Nam")</f>
        <v>Nam</v>
      </c>
      <c r="E106" s="4" t="str">
        <f ca="1">IFERROR(__xludf.DUMMYFUNCTION("""COMPUTED_VALUE"""),"CÔNG TY TNHH KIỂM TOÁN ĐẠI TÍN")</f>
        <v>CÔNG TY TNHH KIỂM TOÁN ĐẠI TÍN</v>
      </c>
      <c r="F106" s="4" t="str">
        <f ca="1">IFERROR(__xludf.DUMMYFUNCTION("""COMPUTED_VALUE"""),"Sau đại học, Chứng chỉ Kiểm toán viên")</f>
        <v>Sau đại học, Chứng chỉ Kiểm toán viên</v>
      </c>
      <c r="G106" s="4" t="str">
        <f ca="1">IFERROR(__xludf.DUMMYFUNCTION("""COMPUTED_VALUE"""),"Trên 10 đến 15 năm")</f>
        <v>Trên 10 đến 15 năm</v>
      </c>
      <c r="H106" s="4" t="str">
        <f ca="1">IFERROR(__xludf.DUMMYFUNCTION("""COMPUTED_VALUE"""),"Kiểm toán viên/Trưởng nhóm")</f>
        <v>Kiểm toán viên/Trưởng nhóm</v>
      </c>
      <c r="I106" s="4">
        <f ca="1">IFERROR(__xludf.DUMMYFUNCTION("""COMPUTED_VALUE"""),5)</f>
        <v>5</v>
      </c>
      <c r="J106" s="4">
        <f ca="1">IFERROR(__xludf.DUMMYFUNCTION("""COMPUTED_VALUE"""),5)</f>
        <v>5</v>
      </c>
      <c r="K106" s="4">
        <f ca="1">IFERROR(__xludf.DUMMYFUNCTION("""COMPUTED_VALUE"""),5)</f>
        <v>5</v>
      </c>
      <c r="L106" s="4">
        <f ca="1">IFERROR(__xludf.DUMMYFUNCTION("""COMPUTED_VALUE"""),4)</f>
        <v>4</v>
      </c>
      <c r="M106" s="4">
        <f ca="1">IFERROR(__xludf.DUMMYFUNCTION("""COMPUTED_VALUE"""),4)</f>
        <v>4</v>
      </c>
      <c r="N106" s="4">
        <f ca="1">IFERROR(__xludf.DUMMYFUNCTION("""COMPUTED_VALUE"""),3)</f>
        <v>3</v>
      </c>
      <c r="O106" s="4">
        <f ca="1">IFERROR(__xludf.DUMMYFUNCTION("""COMPUTED_VALUE"""),3)</f>
        <v>3</v>
      </c>
      <c r="P106" s="4">
        <f ca="1">IFERROR(__xludf.DUMMYFUNCTION("""COMPUTED_VALUE"""),5)</f>
        <v>5</v>
      </c>
      <c r="Q106" s="4">
        <f ca="1">IFERROR(__xludf.DUMMYFUNCTION("""COMPUTED_VALUE"""),4)</f>
        <v>4</v>
      </c>
      <c r="R106" s="4">
        <f ca="1">IFERROR(__xludf.DUMMYFUNCTION("""COMPUTED_VALUE"""),4)</f>
        <v>4</v>
      </c>
      <c r="S106" s="4">
        <f ca="1">IFERROR(__xludf.DUMMYFUNCTION("""COMPUTED_VALUE"""),3)</f>
        <v>3</v>
      </c>
      <c r="T106" s="4">
        <f ca="1">IFERROR(__xludf.DUMMYFUNCTION("""COMPUTED_VALUE"""),4)</f>
        <v>4</v>
      </c>
      <c r="U106" s="4">
        <f ca="1">IFERROR(__xludf.DUMMYFUNCTION("""COMPUTED_VALUE"""),4)</f>
        <v>4</v>
      </c>
      <c r="V106" s="4">
        <f ca="1">IFERROR(__xludf.DUMMYFUNCTION("""COMPUTED_VALUE"""),4)</f>
        <v>4</v>
      </c>
      <c r="W106" s="4">
        <f ca="1">IFERROR(__xludf.DUMMYFUNCTION("""COMPUTED_VALUE"""),5)</f>
        <v>5</v>
      </c>
      <c r="X106" s="4">
        <f ca="1">IFERROR(__xludf.DUMMYFUNCTION("""COMPUTED_VALUE"""),4)</f>
        <v>4</v>
      </c>
      <c r="Y106" s="4">
        <f ca="1">IFERROR(__xludf.DUMMYFUNCTION("""COMPUTED_VALUE"""),4)</f>
        <v>4</v>
      </c>
      <c r="Z106" s="4">
        <f ca="1">IFERROR(__xludf.DUMMYFUNCTION("""COMPUTED_VALUE"""),4)</f>
        <v>4</v>
      </c>
      <c r="AA106" s="4">
        <f ca="1">IFERROR(__xludf.DUMMYFUNCTION("""COMPUTED_VALUE"""),4)</f>
        <v>4</v>
      </c>
      <c r="AB106" s="4">
        <f ca="1">IFERROR(__xludf.DUMMYFUNCTION("""COMPUTED_VALUE"""),4)</f>
        <v>4</v>
      </c>
      <c r="AC106" s="4">
        <f ca="1">IFERROR(__xludf.DUMMYFUNCTION("""COMPUTED_VALUE"""),4)</f>
        <v>4</v>
      </c>
      <c r="AD106" s="4">
        <f ca="1">IFERROR(__xludf.DUMMYFUNCTION("""COMPUTED_VALUE"""),4)</f>
        <v>4</v>
      </c>
      <c r="AE106" s="4">
        <f ca="1">IFERROR(__xludf.DUMMYFUNCTION("""COMPUTED_VALUE"""),4)</f>
        <v>4</v>
      </c>
      <c r="AF106" s="4">
        <f ca="1">IFERROR(__xludf.DUMMYFUNCTION("""COMPUTED_VALUE"""),5)</f>
        <v>5</v>
      </c>
      <c r="AG106" s="4">
        <f ca="1">IFERROR(__xludf.DUMMYFUNCTION("""COMPUTED_VALUE"""),5)</f>
        <v>5</v>
      </c>
      <c r="AH106" s="4">
        <f ca="1">IFERROR(__xludf.DUMMYFUNCTION("""COMPUTED_VALUE"""),5)</f>
        <v>5</v>
      </c>
      <c r="AI106" s="4">
        <f ca="1">IFERROR(__xludf.DUMMYFUNCTION("""COMPUTED_VALUE"""),4)</f>
        <v>4</v>
      </c>
      <c r="AJ106" s="4">
        <f ca="1">IFERROR(__xludf.DUMMYFUNCTION("""COMPUTED_VALUE"""),4)</f>
        <v>4</v>
      </c>
      <c r="AK106" s="4">
        <f ca="1">IFERROR(__xludf.DUMMYFUNCTION("""COMPUTED_VALUE"""),4)</f>
        <v>4</v>
      </c>
      <c r="AL106" s="4">
        <f ca="1">IFERROR(__xludf.DUMMYFUNCTION("""COMPUTED_VALUE"""),4)</f>
        <v>4</v>
      </c>
      <c r="AM106" s="4">
        <f ca="1">IFERROR(__xludf.DUMMYFUNCTION("""COMPUTED_VALUE"""),3)</f>
        <v>3</v>
      </c>
      <c r="AN106" s="4">
        <f ca="1">IFERROR(__xludf.DUMMYFUNCTION("""COMPUTED_VALUE"""),3)</f>
        <v>3</v>
      </c>
      <c r="AO106" s="4">
        <f ca="1">IFERROR(__xludf.DUMMYFUNCTION("""COMPUTED_VALUE"""),3)</f>
        <v>3</v>
      </c>
      <c r="AP106" s="4">
        <f ca="1">IFERROR(__xludf.DUMMYFUNCTION("""COMPUTED_VALUE"""),3)</f>
        <v>3</v>
      </c>
      <c r="AQ106" s="4">
        <f ca="1">IFERROR(__xludf.DUMMYFUNCTION("""COMPUTED_VALUE"""),3)</f>
        <v>3</v>
      </c>
      <c r="AR106" s="4">
        <f ca="1">IFERROR(__xludf.DUMMYFUNCTION("""COMPUTED_VALUE"""),3)</f>
        <v>3</v>
      </c>
      <c r="AS106" s="4">
        <f ca="1">IFERROR(__xludf.DUMMYFUNCTION("""COMPUTED_VALUE"""),3)</f>
        <v>3</v>
      </c>
      <c r="AT106" s="4">
        <f ca="1">IFERROR(__xludf.DUMMYFUNCTION("""COMPUTED_VALUE"""),3)</f>
        <v>3</v>
      </c>
      <c r="AU106" s="4">
        <f ca="1">IFERROR(__xludf.DUMMYFUNCTION("""COMPUTED_VALUE"""),3)</f>
        <v>3</v>
      </c>
      <c r="AV106" s="4">
        <f ca="1">IFERROR(__xludf.DUMMYFUNCTION("""COMPUTED_VALUE"""),3)</f>
        <v>3</v>
      </c>
      <c r="AW106" s="4">
        <f ca="1">IFERROR(__xludf.DUMMYFUNCTION("""COMPUTED_VALUE"""),3)</f>
        <v>3</v>
      </c>
      <c r="AX106" s="4">
        <f ca="1">IFERROR(__xludf.DUMMYFUNCTION("""COMPUTED_VALUE"""),4)</f>
        <v>4</v>
      </c>
      <c r="AY106" s="4">
        <f ca="1">IFERROR(__xludf.DUMMYFUNCTION("""COMPUTED_VALUE"""),2)</f>
        <v>2</v>
      </c>
      <c r="AZ106" s="4">
        <f ca="1">IFERROR(__xludf.DUMMYFUNCTION("""COMPUTED_VALUE"""),3)</f>
        <v>3</v>
      </c>
      <c r="BA106" s="4">
        <f ca="1">IFERROR(__xludf.DUMMYFUNCTION("""COMPUTED_VALUE"""),4)</f>
        <v>4</v>
      </c>
      <c r="BB106" s="4">
        <f ca="1">IFERROR(__xludf.DUMMYFUNCTION("""COMPUTED_VALUE"""),4)</f>
        <v>4</v>
      </c>
      <c r="BC106" s="4">
        <f ca="1">IFERROR(__xludf.DUMMYFUNCTION("""COMPUTED_VALUE"""),4)</f>
        <v>4</v>
      </c>
      <c r="BD106" s="4">
        <f ca="1">IFERROR(__xludf.DUMMYFUNCTION("""COMPUTED_VALUE"""),2)</f>
        <v>2</v>
      </c>
      <c r="BE106" s="4">
        <f ca="1">IFERROR(__xludf.DUMMYFUNCTION("""COMPUTED_VALUE"""),2)</f>
        <v>2</v>
      </c>
      <c r="BF106" s="4">
        <f ca="1">IFERROR(__xludf.DUMMYFUNCTION("""COMPUTED_VALUE"""),2)</f>
        <v>2</v>
      </c>
      <c r="BG106" s="4">
        <f ca="1">IFERROR(__xludf.DUMMYFUNCTION("""COMPUTED_VALUE"""),2)</f>
        <v>2</v>
      </c>
      <c r="BH106" s="4">
        <f ca="1">IFERROR(__xludf.DUMMYFUNCTION("""COMPUTED_VALUE"""),4)</f>
        <v>4</v>
      </c>
      <c r="BI106" s="4">
        <f ca="1">IFERROR(__xludf.DUMMYFUNCTION("""COMPUTED_VALUE"""),4)</f>
        <v>4</v>
      </c>
      <c r="BJ106" s="4">
        <f ca="1">IFERROR(__xludf.DUMMYFUNCTION("""COMPUTED_VALUE"""),4)</f>
        <v>4</v>
      </c>
      <c r="BK106" s="4">
        <f ca="1">IFERROR(__xludf.DUMMYFUNCTION("""COMPUTED_VALUE"""),4)</f>
        <v>4</v>
      </c>
      <c r="BL106" s="4">
        <f ca="1">IFERROR(__xludf.DUMMYFUNCTION("""COMPUTED_VALUE"""),4)</f>
        <v>4</v>
      </c>
      <c r="BM106" s="4">
        <f ca="1">IFERROR(__xludf.DUMMYFUNCTION("""COMPUTED_VALUE"""),4)</f>
        <v>4</v>
      </c>
      <c r="BN106" s="4">
        <f ca="1">IFERROR(__xludf.DUMMYFUNCTION("""COMPUTED_VALUE"""),2)</f>
        <v>2</v>
      </c>
      <c r="BO106" s="4">
        <f ca="1">IFERROR(__xludf.DUMMYFUNCTION("""COMPUTED_VALUE"""),4)</f>
        <v>4</v>
      </c>
      <c r="BP106" s="4">
        <f ca="1">IFERROR(__xludf.DUMMYFUNCTION("""COMPUTED_VALUE"""),4)</f>
        <v>4</v>
      </c>
    </row>
    <row r="107" spans="1:68" ht="13.2" x14ac:dyDescent="0.25">
      <c r="A107" s="4" t="str">
        <f ca="1">IFERROR(__xludf.DUMMYFUNCTION("""COMPUTED_VALUE"""),"2_ABaOnucIDC4-vhG2QLphsVCbRIO2CxV6qWjca7PGks5FXSFW3F-2ABuVnNxvxHpRBA")</f>
        <v>2_ABaOnucIDC4-vhG2QLphsVCbRIO2CxV6qWjca7PGks5FXSFW3F-2ABuVnNxvxHpRBA</v>
      </c>
      <c r="B107" s="5">
        <f ca="1">IFERROR(__xludf.DUMMYFUNCTION("""COMPUTED_VALUE"""),45972.4865230555)</f>
        <v>45972.486523055501</v>
      </c>
      <c r="C107" s="4" t="str">
        <f ca="1">IFERROR(__xludf.DUMMYFUNCTION("""COMPUTED_VALUE"""),"Trương Thanh Thanh")</f>
        <v>Trương Thanh Thanh</v>
      </c>
      <c r="D107" s="4" t="str">
        <f ca="1">IFERROR(__xludf.DUMMYFUNCTION("""COMPUTED_VALUE"""),"Nữ")</f>
        <v>Nữ</v>
      </c>
      <c r="E107" s="4" t="str">
        <f ca="1">IFERROR(__xludf.DUMMYFUNCTION("""COMPUTED_VALUE"""),"Công ty TNHH Kiểm toán Đại Tín")</f>
        <v>Công ty TNHH Kiểm toán Đại Tín</v>
      </c>
      <c r="F107" s="4" t="str">
        <f ca="1">IFERROR(__xludf.DUMMYFUNCTION("""COMPUTED_VALUE"""),"Đại học")</f>
        <v>Đại học</v>
      </c>
      <c r="G107" s="4" t="str">
        <f ca="1">IFERROR(__xludf.DUMMYFUNCTION("""COMPUTED_VALUE"""),"Từ 3 đến 5 năm")</f>
        <v>Từ 3 đến 5 năm</v>
      </c>
      <c r="H107" s="4" t="str">
        <f ca="1">IFERROR(__xludf.DUMMYFUNCTION("""COMPUTED_VALUE"""),"Trợ lý kiểm toán")</f>
        <v>Trợ lý kiểm toán</v>
      </c>
      <c r="I107" s="4">
        <f ca="1">IFERROR(__xludf.DUMMYFUNCTION("""COMPUTED_VALUE"""),4)</f>
        <v>4</v>
      </c>
      <c r="J107" s="4">
        <f ca="1">IFERROR(__xludf.DUMMYFUNCTION("""COMPUTED_VALUE"""),4)</f>
        <v>4</v>
      </c>
      <c r="K107" s="4">
        <f ca="1">IFERROR(__xludf.DUMMYFUNCTION("""COMPUTED_VALUE"""),3)</f>
        <v>3</v>
      </c>
      <c r="L107" s="4">
        <f ca="1">IFERROR(__xludf.DUMMYFUNCTION("""COMPUTED_VALUE"""),3)</f>
        <v>3</v>
      </c>
      <c r="M107" s="4">
        <f ca="1">IFERROR(__xludf.DUMMYFUNCTION("""COMPUTED_VALUE"""),4)</f>
        <v>4</v>
      </c>
      <c r="N107" s="4">
        <f ca="1">IFERROR(__xludf.DUMMYFUNCTION("""COMPUTED_VALUE"""),4)</f>
        <v>4</v>
      </c>
      <c r="O107" s="4">
        <f ca="1">IFERROR(__xludf.DUMMYFUNCTION("""COMPUTED_VALUE"""),4)</f>
        <v>4</v>
      </c>
      <c r="P107" s="4">
        <f ca="1">IFERROR(__xludf.DUMMYFUNCTION("""COMPUTED_VALUE"""),5)</f>
        <v>5</v>
      </c>
      <c r="Q107" s="4">
        <f ca="1">IFERROR(__xludf.DUMMYFUNCTION("""COMPUTED_VALUE"""),4)</f>
        <v>4</v>
      </c>
      <c r="R107" s="4">
        <f ca="1">IFERROR(__xludf.DUMMYFUNCTION("""COMPUTED_VALUE"""),3)</f>
        <v>3</v>
      </c>
      <c r="S107" s="4">
        <f ca="1">IFERROR(__xludf.DUMMYFUNCTION("""COMPUTED_VALUE"""),3)</f>
        <v>3</v>
      </c>
      <c r="T107" s="4">
        <f ca="1">IFERROR(__xludf.DUMMYFUNCTION("""COMPUTED_VALUE"""),3)</f>
        <v>3</v>
      </c>
      <c r="U107" s="4">
        <f ca="1">IFERROR(__xludf.DUMMYFUNCTION("""COMPUTED_VALUE"""),3)</f>
        <v>3</v>
      </c>
      <c r="V107" s="4">
        <f ca="1">IFERROR(__xludf.DUMMYFUNCTION("""COMPUTED_VALUE"""),3)</f>
        <v>3</v>
      </c>
      <c r="W107" s="4">
        <f ca="1">IFERROR(__xludf.DUMMYFUNCTION("""COMPUTED_VALUE"""),4)</f>
        <v>4</v>
      </c>
      <c r="X107" s="4">
        <f ca="1">IFERROR(__xludf.DUMMYFUNCTION("""COMPUTED_VALUE"""),4)</f>
        <v>4</v>
      </c>
      <c r="Y107" s="4">
        <f ca="1">IFERROR(__xludf.DUMMYFUNCTION("""COMPUTED_VALUE"""),4)</f>
        <v>4</v>
      </c>
      <c r="Z107" s="4">
        <f ca="1">IFERROR(__xludf.DUMMYFUNCTION("""COMPUTED_VALUE"""),4)</f>
        <v>4</v>
      </c>
      <c r="AA107" s="4">
        <f ca="1">IFERROR(__xludf.DUMMYFUNCTION("""COMPUTED_VALUE"""),2)</f>
        <v>2</v>
      </c>
      <c r="AB107" s="4">
        <f ca="1">IFERROR(__xludf.DUMMYFUNCTION("""COMPUTED_VALUE"""),3)</f>
        <v>3</v>
      </c>
      <c r="AC107" s="4">
        <f ca="1">IFERROR(__xludf.DUMMYFUNCTION("""COMPUTED_VALUE"""),3)</f>
        <v>3</v>
      </c>
      <c r="AD107" s="4">
        <f ca="1">IFERROR(__xludf.DUMMYFUNCTION("""COMPUTED_VALUE"""),3)</f>
        <v>3</v>
      </c>
      <c r="AE107" s="4">
        <f ca="1">IFERROR(__xludf.DUMMYFUNCTION("""COMPUTED_VALUE"""),3)</f>
        <v>3</v>
      </c>
      <c r="AF107" s="4">
        <f ca="1">IFERROR(__xludf.DUMMYFUNCTION("""COMPUTED_VALUE"""),4)</f>
        <v>4</v>
      </c>
      <c r="AG107" s="4">
        <f ca="1">IFERROR(__xludf.DUMMYFUNCTION("""COMPUTED_VALUE"""),4)</f>
        <v>4</v>
      </c>
      <c r="AH107" s="4">
        <f ca="1">IFERROR(__xludf.DUMMYFUNCTION("""COMPUTED_VALUE"""),4)</f>
        <v>4</v>
      </c>
      <c r="AI107" s="4">
        <f ca="1">IFERROR(__xludf.DUMMYFUNCTION("""COMPUTED_VALUE"""),4)</f>
        <v>4</v>
      </c>
      <c r="AJ107" s="4">
        <f ca="1">IFERROR(__xludf.DUMMYFUNCTION("""COMPUTED_VALUE"""),4)</f>
        <v>4</v>
      </c>
      <c r="AK107" s="4">
        <f ca="1">IFERROR(__xludf.DUMMYFUNCTION("""COMPUTED_VALUE"""),4)</f>
        <v>4</v>
      </c>
      <c r="AL107" s="4">
        <f ca="1">IFERROR(__xludf.DUMMYFUNCTION("""COMPUTED_VALUE"""),4)</f>
        <v>4</v>
      </c>
      <c r="AM107" s="4">
        <f ca="1">IFERROR(__xludf.DUMMYFUNCTION("""COMPUTED_VALUE"""),5)</f>
        <v>5</v>
      </c>
      <c r="AN107" s="4">
        <f ca="1">IFERROR(__xludf.DUMMYFUNCTION("""COMPUTED_VALUE"""),4)</f>
        <v>4</v>
      </c>
      <c r="AO107" s="4">
        <f ca="1">IFERROR(__xludf.DUMMYFUNCTION("""COMPUTED_VALUE"""),3)</f>
        <v>3</v>
      </c>
      <c r="AP107" s="4">
        <f ca="1">IFERROR(__xludf.DUMMYFUNCTION("""COMPUTED_VALUE"""),3)</f>
        <v>3</v>
      </c>
      <c r="AQ107" s="4">
        <f ca="1">IFERROR(__xludf.DUMMYFUNCTION("""COMPUTED_VALUE"""),4)</f>
        <v>4</v>
      </c>
      <c r="AR107" s="4">
        <f ca="1">IFERROR(__xludf.DUMMYFUNCTION("""COMPUTED_VALUE"""),4)</f>
        <v>4</v>
      </c>
      <c r="AS107" s="4">
        <f ca="1">IFERROR(__xludf.DUMMYFUNCTION("""COMPUTED_VALUE"""),4)</f>
        <v>4</v>
      </c>
      <c r="AT107" s="4">
        <f ca="1">IFERROR(__xludf.DUMMYFUNCTION("""COMPUTED_VALUE"""),3)</f>
        <v>3</v>
      </c>
      <c r="AU107" s="4">
        <f ca="1">IFERROR(__xludf.DUMMYFUNCTION("""COMPUTED_VALUE"""),3)</f>
        <v>3</v>
      </c>
      <c r="AV107" s="4">
        <f ca="1">IFERROR(__xludf.DUMMYFUNCTION("""COMPUTED_VALUE"""),3)</f>
        <v>3</v>
      </c>
      <c r="AW107" s="4">
        <f ca="1">IFERROR(__xludf.DUMMYFUNCTION("""COMPUTED_VALUE"""),3)</f>
        <v>3</v>
      </c>
      <c r="AX107" s="4">
        <f ca="1">IFERROR(__xludf.DUMMYFUNCTION("""COMPUTED_VALUE"""),4)</f>
        <v>4</v>
      </c>
      <c r="AY107" s="4">
        <f ca="1">IFERROR(__xludf.DUMMYFUNCTION("""COMPUTED_VALUE"""),4)</f>
        <v>4</v>
      </c>
      <c r="AZ107" s="4">
        <f ca="1">IFERROR(__xludf.DUMMYFUNCTION("""COMPUTED_VALUE"""),4)</f>
        <v>4</v>
      </c>
      <c r="BA107" s="4">
        <f ca="1">IFERROR(__xludf.DUMMYFUNCTION("""COMPUTED_VALUE"""),4)</f>
        <v>4</v>
      </c>
      <c r="BB107" s="4">
        <f ca="1">IFERROR(__xludf.DUMMYFUNCTION("""COMPUTED_VALUE"""),4)</f>
        <v>4</v>
      </c>
      <c r="BC107" s="4">
        <f ca="1">IFERROR(__xludf.DUMMYFUNCTION("""COMPUTED_VALUE"""),2)</f>
        <v>2</v>
      </c>
      <c r="BD107" s="4">
        <f ca="1">IFERROR(__xludf.DUMMYFUNCTION("""COMPUTED_VALUE"""),3)</f>
        <v>3</v>
      </c>
      <c r="BE107" s="4">
        <f ca="1">IFERROR(__xludf.DUMMYFUNCTION("""COMPUTED_VALUE"""),3)</f>
        <v>3</v>
      </c>
      <c r="BF107" s="4">
        <f ca="1">IFERROR(__xludf.DUMMYFUNCTION("""COMPUTED_VALUE"""),2)</f>
        <v>2</v>
      </c>
      <c r="BG107" s="4">
        <f ca="1">IFERROR(__xludf.DUMMYFUNCTION("""COMPUTED_VALUE"""),2)</f>
        <v>2</v>
      </c>
      <c r="BH107" s="4">
        <f ca="1">IFERROR(__xludf.DUMMYFUNCTION("""COMPUTED_VALUE"""),4)</f>
        <v>4</v>
      </c>
      <c r="BI107" s="4">
        <f ca="1">IFERROR(__xludf.DUMMYFUNCTION("""COMPUTED_VALUE"""),4)</f>
        <v>4</v>
      </c>
      <c r="BJ107" s="4">
        <f ca="1">IFERROR(__xludf.DUMMYFUNCTION("""COMPUTED_VALUE"""),4)</f>
        <v>4</v>
      </c>
      <c r="BK107" s="4">
        <f ca="1">IFERROR(__xludf.DUMMYFUNCTION("""COMPUTED_VALUE"""),4)</f>
        <v>4</v>
      </c>
      <c r="BL107" s="4">
        <f ca="1">IFERROR(__xludf.DUMMYFUNCTION("""COMPUTED_VALUE"""),4)</f>
        <v>4</v>
      </c>
      <c r="BM107" s="4">
        <f ca="1">IFERROR(__xludf.DUMMYFUNCTION("""COMPUTED_VALUE"""),4)</f>
        <v>4</v>
      </c>
      <c r="BN107" s="4">
        <f ca="1">IFERROR(__xludf.DUMMYFUNCTION("""COMPUTED_VALUE"""),4)</f>
        <v>4</v>
      </c>
      <c r="BO107" s="4">
        <f ca="1">IFERROR(__xludf.DUMMYFUNCTION("""COMPUTED_VALUE"""),4)</f>
        <v>4</v>
      </c>
      <c r="BP107" s="4">
        <f ca="1">IFERROR(__xludf.DUMMYFUNCTION("""COMPUTED_VALUE"""),3)</f>
        <v>3</v>
      </c>
    </row>
    <row r="108" spans="1:68" ht="13.2" x14ac:dyDescent="0.25">
      <c r="A108" s="4" t="str">
        <f ca="1">IFERROR(__xludf.DUMMYFUNCTION("""COMPUTED_VALUE"""),"2_ABaOnuf3P3QZ4dx8nQZAjxZZEppKOjctnwuUflpZPCscFVGYNj9FF1NJIb81sMOHOA")</f>
        <v>2_ABaOnuf3P3QZ4dx8nQZAjxZZEppKOjctnwuUflpZPCscFVGYNj9FF1NJIb81sMOHOA</v>
      </c>
      <c r="B108" s="5">
        <f ca="1">IFERROR(__xludf.DUMMYFUNCTION("""COMPUTED_VALUE"""),45973.4584505902)</f>
        <v>45973.458450590202</v>
      </c>
      <c r="C108" s="4" t="str">
        <f ca="1">IFERROR(__xludf.DUMMYFUNCTION("""COMPUTED_VALUE"""),"Tri nguyen")</f>
        <v>Tri nguyen</v>
      </c>
      <c r="D108" s="4" t="str">
        <f ca="1">IFERROR(__xludf.DUMMYFUNCTION("""COMPUTED_VALUE"""),"Nam")</f>
        <v>Nam</v>
      </c>
      <c r="E108" s="4" t="str">
        <f ca="1">IFERROR(__xludf.DUMMYFUNCTION("""COMPUTED_VALUE"""),"Vietaustralia")</f>
        <v>Vietaustralia</v>
      </c>
      <c r="F108" s="4" t="str">
        <f ca="1">IFERROR(__xludf.DUMMYFUNCTION("""COMPUTED_VALUE"""),"Đại học")</f>
        <v>Đại học</v>
      </c>
      <c r="G108" s="4" t="str">
        <f ca="1">IFERROR(__xludf.DUMMYFUNCTION("""COMPUTED_VALUE"""),"Trên 15 đến 20 năm")</f>
        <v>Trên 15 đến 20 năm</v>
      </c>
      <c r="H108" s="4" t="str">
        <f ca="1">IFERROR(__xludf.DUMMYFUNCTION("""COMPUTED_VALUE"""),"Trưởng phòng")</f>
        <v>Trưởng phòng</v>
      </c>
      <c r="I108" s="4">
        <f ca="1">IFERROR(__xludf.DUMMYFUNCTION("""COMPUTED_VALUE"""),2)</f>
        <v>2</v>
      </c>
      <c r="J108" s="4">
        <f ca="1">IFERROR(__xludf.DUMMYFUNCTION("""COMPUTED_VALUE"""),3)</f>
        <v>3</v>
      </c>
      <c r="K108" s="4">
        <f ca="1">IFERROR(__xludf.DUMMYFUNCTION("""COMPUTED_VALUE"""),5)</f>
        <v>5</v>
      </c>
      <c r="L108" s="4">
        <f ca="1">IFERROR(__xludf.DUMMYFUNCTION("""COMPUTED_VALUE"""),5)</f>
        <v>5</v>
      </c>
      <c r="M108" s="4">
        <f ca="1">IFERROR(__xludf.DUMMYFUNCTION("""COMPUTED_VALUE"""),5)</f>
        <v>5</v>
      </c>
      <c r="N108" s="4">
        <f ca="1">IFERROR(__xludf.DUMMYFUNCTION("""COMPUTED_VALUE"""),2)</f>
        <v>2</v>
      </c>
      <c r="O108" s="4">
        <f ca="1">IFERROR(__xludf.DUMMYFUNCTION("""COMPUTED_VALUE"""),5)</f>
        <v>5</v>
      </c>
      <c r="P108" s="4">
        <f ca="1">IFERROR(__xludf.DUMMYFUNCTION("""COMPUTED_VALUE"""),5)</f>
        <v>5</v>
      </c>
      <c r="Q108" s="4">
        <f ca="1">IFERROR(__xludf.DUMMYFUNCTION("""COMPUTED_VALUE"""),5)</f>
        <v>5</v>
      </c>
      <c r="R108" s="4">
        <f ca="1">IFERROR(__xludf.DUMMYFUNCTION("""COMPUTED_VALUE"""),5)</f>
        <v>5</v>
      </c>
      <c r="S108" s="4">
        <f ca="1">IFERROR(__xludf.DUMMYFUNCTION("""COMPUTED_VALUE"""),5)</f>
        <v>5</v>
      </c>
      <c r="T108" s="4">
        <f ca="1">IFERROR(__xludf.DUMMYFUNCTION("""COMPUTED_VALUE"""),5)</f>
        <v>5</v>
      </c>
      <c r="U108" s="4">
        <f ca="1">IFERROR(__xludf.DUMMYFUNCTION("""COMPUTED_VALUE"""),5)</f>
        <v>5</v>
      </c>
      <c r="V108" s="4">
        <f ca="1">IFERROR(__xludf.DUMMYFUNCTION("""COMPUTED_VALUE"""),5)</f>
        <v>5</v>
      </c>
      <c r="W108" s="4">
        <f ca="1">IFERROR(__xludf.DUMMYFUNCTION("""COMPUTED_VALUE"""),2)</f>
        <v>2</v>
      </c>
      <c r="X108" s="4">
        <f ca="1">IFERROR(__xludf.DUMMYFUNCTION("""COMPUTED_VALUE"""),2)</f>
        <v>2</v>
      </c>
      <c r="Y108" s="4">
        <f ca="1">IFERROR(__xludf.DUMMYFUNCTION("""COMPUTED_VALUE"""),5)</f>
        <v>5</v>
      </c>
      <c r="Z108" s="4">
        <f ca="1">IFERROR(__xludf.DUMMYFUNCTION("""COMPUTED_VALUE"""),2)</f>
        <v>2</v>
      </c>
      <c r="AA108" s="4">
        <f ca="1">IFERROR(__xludf.DUMMYFUNCTION("""COMPUTED_VALUE"""),5)</f>
        <v>5</v>
      </c>
      <c r="AB108" s="4">
        <f ca="1">IFERROR(__xludf.DUMMYFUNCTION("""COMPUTED_VALUE"""),5)</f>
        <v>5</v>
      </c>
      <c r="AC108" s="4">
        <f ca="1">IFERROR(__xludf.DUMMYFUNCTION("""COMPUTED_VALUE"""),5)</f>
        <v>5</v>
      </c>
      <c r="AD108" s="4">
        <f ca="1">IFERROR(__xludf.DUMMYFUNCTION("""COMPUTED_VALUE"""),3)</f>
        <v>3</v>
      </c>
      <c r="AE108" s="4">
        <f ca="1">IFERROR(__xludf.DUMMYFUNCTION("""COMPUTED_VALUE"""),3)</f>
        <v>3</v>
      </c>
      <c r="AF108" s="4">
        <f ca="1">IFERROR(__xludf.DUMMYFUNCTION("""COMPUTED_VALUE"""),5)</f>
        <v>5</v>
      </c>
      <c r="AG108" s="4">
        <f ca="1">IFERROR(__xludf.DUMMYFUNCTION("""COMPUTED_VALUE"""),5)</f>
        <v>5</v>
      </c>
      <c r="AH108" s="4">
        <f ca="1">IFERROR(__xludf.DUMMYFUNCTION("""COMPUTED_VALUE"""),5)</f>
        <v>5</v>
      </c>
      <c r="AI108" s="4">
        <f ca="1">IFERROR(__xludf.DUMMYFUNCTION("""COMPUTED_VALUE"""),5)</f>
        <v>5</v>
      </c>
      <c r="AJ108" s="4">
        <f ca="1">IFERROR(__xludf.DUMMYFUNCTION("""COMPUTED_VALUE"""),3)</f>
        <v>3</v>
      </c>
      <c r="AK108" s="4">
        <f ca="1">IFERROR(__xludf.DUMMYFUNCTION("""COMPUTED_VALUE"""),3)</f>
        <v>3</v>
      </c>
      <c r="AL108" s="4">
        <f ca="1">IFERROR(__xludf.DUMMYFUNCTION("""COMPUTED_VALUE"""),3)</f>
        <v>3</v>
      </c>
      <c r="AM108" s="4">
        <f ca="1">IFERROR(__xludf.DUMMYFUNCTION("""COMPUTED_VALUE"""),3)</f>
        <v>3</v>
      </c>
      <c r="AN108" s="4">
        <f ca="1">IFERROR(__xludf.DUMMYFUNCTION("""COMPUTED_VALUE"""),3)</f>
        <v>3</v>
      </c>
      <c r="AO108" s="4">
        <f ca="1">IFERROR(__xludf.DUMMYFUNCTION("""COMPUTED_VALUE"""),5)</f>
        <v>5</v>
      </c>
      <c r="AP108" s="4">
        <f ca="1">IFERROR(__xludf.DUMMYFUNCTION("""COMPUTED_VALUE"""),5)</f>
        <v>5</v>
      </c>
      <c r="AQ108" s="4">
        <f ca="1">IFERROR(__xludf.DUMMYFUNCTION("""COMPUTED_VALUE"""),5)</f>
        <v>5</v>
      </c>
      <c r="AR108" s="4">
        <f ca="1">IFERROR(__xludf.DUMMYFUNCTION("""COMPUTED_VALUE"""),2)</f>
        <v>2</v>
      </c>
      <c r="AS108" s="4">
        <f ca="1">IFERROR(__xludf.DUMMYFUNCTION("""COMPUTED_VALUE"""),2)</f>
        <v>2</v>
      </c>
      <c r="AT108" s="4">
        <f ca="1">IFERROR(__xludf.DUMMYFUNCTION("""COMPUTED_VALUE"""),2)</f>
        <v>2</v>
      </c>
      <c r="AU108" s="4">
        <f ca="1">IFERROR(__xludf.DUMMYFUNCTION("""COMPUTED_VALUE"""),5)</f>
        <v>5</v>
      </c>
      <c r="AV108" s="4">
        <f ca="1">IFERROR(__xludf.DUMMYFUNCTION("""COMPUTED_VALUE"""),5)</f>
        <v>5</v>
      </c>
      <c r="AW108" s="4">
        <f ca="1">IFERROR(__xludf.DUMMYFUNCTION("""COMPUTED_VALUE"""),5)</f>
        <v>5</v>
      </c>
      <c r="AX108" s="4">
        <f ca="1">IFERROR(__xludf.DUMMYFUNCTION("""COMPUTED_VALUE"""),3)</f>
        <v>3</v>
      </c>
      <c r="AY108" s="4">
        <f ca="1">IFERROR(__xludf.DUMMYFUNCTION("""COMPUTED_VALUE"""),5)</f>
        <v>5</v>
      </c>
      <c r="AZ108" s="4">
        <f ca="1">IFERROR(__xludf.DUMMYFUNCTION("""COMPUTED_VALUE"""),5)</f>
        <v>5</v>
      </c>
      <c r="BA108" s="4">
        <f ca="1">IFERROR(__xludf.DUMMYFUNCTION("""COMPUTED_VALUE"""),5)</f>
        <v>5</v>
      </c>
      <c r="BB108" s="4">
        <f ca="1">IFERROR(__xludf.DUMMYFUNCTION("""COMPUTED_VALUE"""),5)</f>
        <v>5</v>
      </c>
      <c r="BC108" s="4">
        <f ca="1">IFERROR(__xludf.DUMMYFUNCTION("""COMPUTED_VALUE"""),2)</f>
        <v>2</v>
      </c>
      <c r="BD108" s="4">
        <f ca="1">IFERROR(__xludf.DUMMYFUNCTION("""COMPUTED_VALUE"""),2)</f>
        <v>2</v>
      </c>
      <c r="BE108" s="4">
        <f ca="1">IFERROR(__xludf.DUMMYFUNCTION("""COMPUTED_VALUE"""),5)</f>
        <v>5</v>
      </c>
      <c r="BF108" s="4">
        <f ca="1">IFERROR(__xludf.DUMMYFUNCTION("""COMPUTED_VALUE"""),2)</f>
        <v>2</v>
      </c>
      <c r="BG108" s="4">
        <f ca="1">IFERROR(__xludf.DUMMYFUNCTION("""COMPUTED_VALUE"""),2)</f>
        <v>2</v>
      </c>
      <c r="BH108" s="4">
        <f ca="1">IFERROR(__xludf.DUMMYFUNCTION("""COMPUTED_VALUE"""),5)</f>
        <v>5</v>
      </c>
      <c r="BI108" s="4">
        <f ca="1">IFERROR(__xludf.DUMMYFUNCTION("""COMPUTED_VALUE"""),5)</f>
        <v>5</v>
      </c>
      <c r="BJ108" s="4">
        <f ca="1">IFERROR(__xludf.DUMMYFUNCTION("""COMPUTED_VALUE"""),5)</f>
        <v>5</v>
      </c>
      <c r="BK108" s="4">
        <f ca="1">IFERROR(__xludf.DUMMYFUNCTION("""COMPUTED_VALUE"""),5)</f>
        <v>5</v>
      </c>
      <c r="BL108" s="4">
        <f ca="1">IFERROR(__xludf.DUMMYFUNCTION("""COMPUTED_VALUE"""),5)</f>
        <v>5</v>
      </c>
      <c r="BM108" s="4">
        <f ca="1">IFERROR(__xludf.DUMMYFUNCTION("""COMPUTED_VALUE"""),5)</f>
        <v>5</v>
      </c>
      <c r="BN108" s="4">
        <f ca="1">IFERROR(__xludf.DUMMYFUNCTION("""COMPUTED_VALUE"""),5)</f>
        <v>5</v>
      </c>
      <c r="BO108" s="4">
        <f ca="1">IFERROR(__xludf.DUMMYFUNCTION("""COMPUTED_VALUE"""),5)</f>
        <v>5</v>
      </c>
      <c r="BP108" s="4">
        <f ca="1">IFERROR(__xludf.DUMMYFUNCTION("""COMPUTED_VALUE"""),5)</f>
        <v>5</v>
      </c>
    </row>
    <row r="109" spans="1:68" ht="13.2" x14ac:dyDescent="0.25">
      <c r="A109" s="4" t="str">
        <f ca="1">IFERROR(__xludf.DUMMYFUNCTION("""COMPUTED_VALUE"""),"2_ABaOnuctZEcVsc96Hq-iYrTRfBB9A9BNv-WB0ATTbEXA6_g25Z4MWA7l3rB5vZ9Csg")</f>
        <v>2_ABaOnuctZEcVsc96Hq-iYrTRfBB9A9BNv-WB0ATTbEXA6_g25Z4MWA7l3rB5vZ9Csg</v>
      </c>
      <c r="B109" s="5">
        <f ca="1">IFERROR(__xludf.DUMMYFUNCTION("""COMPUTED_VALUE"""),45973.47230375)</f>
        <v>45973.472303750001</v>
      </c>
      <c r="C109" s="4"/>
      <c r="D109" s="4" t="str">
        <f ca="1">IFERROR(__xludf.DUMMYFUNCTION("""COMPUTED_VALUE"""),"Nữ")</f>
        <v>Nữ</v>
      </c>
      <c r="E109" s="4" t="str">
        <f ca="1">IFERROR(__xludf.DUMMYFUNCTION("""COMPUTED_VALUE"""),"Công ty TNHH Kiểm toán và Tư vấn Tài chính Toàn Cầu")</f>
        <v>Công ty TNHH Kiểm toán và Tư vấn Tài chính Toàn Cầu</v>
      </c>
      <c r="F109" s="4" t="str">
        <f ca="1">IFERROR(__xludf.DUMMYFUNCTION("""COMPUTED_VALUE"""),"Đại học")</f>
        <v>Đại học</v>
      </c>
      <c r="G109" s="4" t="str">
        <f ca="1">IFERROR(__xludf.DUMMYFUNCTION("""COMPUTED_VALUE"""),"Từ 3 đến 5 năm")</f>
        <v>Từ 3 đến 5 năm</v>
      </c>
      <c r="H109" s="4" t="str">
        <f ca="1">IFERROR(__xludf.DUMMYFUNCTION("""COMPUTED_VALUE"""),"Trợ lý kiểm toán")</f>
        <v>Trợ lý kiểm toán</v>
      </c>
      <c r="I109" s="4">
        <f ca="1">IFERROR(__xludf.DUMMYFUNCTION("""COMPUTED_VALUE"""),3)</f>
        <v>3</v>
      </c>
      <c r="J109" s="4">
        <f ca="1">IFERROR(__xludf.DUMMYFUNCTION("""COMPUTED_VALUE"""),4)</f>
        <v>4</v>
      </c>
      <c r="K109" s="4">
        <f ca="1">IFERROR(__xludf.DUMMYFUNCTION("""COMPUTED_VALUE"""),3)</f>
        <v>3</v>
      </c>
      <c r="L109" s="4">
        <f ca="1">IFERROR(__xludf.DUMMYFUNCTION("""COMPUTED_VALUE"""),4)</f>
        <v>4</v>
      </c>
      <c r="M109" s="4">
        <f ca="1">IFERROR(__xludf.DUMMYFUNCTION("""COMPUTED_VALUE"""),4)</f>
        <v>4</v>
      </c>
      <c r="N109" s="4">
        <f ca="1">IFERROR(__xludf.DUMMYFUNCTION("""COMPUTED_VALUE"""),4)</f>
        <v>4</v>
      </c>
      <c r="O109" s="4">
        <f ca="1">IFERROR(__xludf.DUMMYFUNCTION("""COMPUTED_VALUE"""),3)</f>
        <v>3</v>
      </c>
      <c r="P109" s="4">
        <f ca="1">IFERROR(__xludf.DUMMYFUNCTION("""COMPUTED_VALUE"""),4)</f>
        <v>4</v>
      </c>
      <c r="Q109" s="4">
        <f ca="1">IFERROR(__xludf.DUMMYFUNCTION("""COMPUTED_VALUE"""),3)</f>
        <v>3</v>
      </c>
      <c r="R109" s="4">
        <f ca="1">IFERROR(__xludf.DUMMYFUNCTION("""COMPUTED_VALUE"""),4)</f>
        <v>4</v>
      </c>
      <c r="S109" s="4">
        <f ca="1">IFERROR(__xludf.DUMMYFUNCTION("""COMPUTED_VALUE"""),4)</f>
        <v>4</v>
      </c>
      <c r="T109" s="4">
        <f ca="1">IFERROR(__xludf.DUMMYFUNCTION("""COMPUTED_VALUE"""),4)</f>
        <v>4</v>
      </c>
      <c r="U109" s="4">
        <f ca="1">IFERROR(__xludf.DUMMYFUNCTION("""COMPUTED_VALUE"""),4)</f>
        <v>4</v>
      </c>
      <c r="V109" s="4">
        <f ca="1">IFERROR(__xludf.DUMMYFUNCTION("""COMPUTED_VALUE"""),4)</f>
        <v>4</v>
      </c>
      <c r="W109" s="4">
        <f ca="1">IFERROR(__xludf.DUMMYFUNCTION("""COMPUTED_VALUE"""),3)</f>
        <v>3</v>
      </c>
      <c r="X109" s="4">
        <f ca="1">IFERROR(__xludf.DUMMYFUNCTION("""COMPUTED_VALUE"""),3)</f>
        <v>3</v>
      </c>
      <c r="Y109" s="4">
        <f ca="1">IFERROR(__xludf.DUMMYFUNCTION("""COMPUTED_VALUE"""),3)</f>
        <v>3</v>
      </c>
      <c r="Z109" s="4">
        <f ca="1">IFERROR(__xludf.DUMMYFUNCTION("""COMPUTED_VALUE"""),3)</f>
        <v>3</v>
      </c>
      <c r="AA109" s="4">
        <f ca="1">IFERROR(__xludf.DUMMYFUNCTION("""COMPUTED_VALUE"""),3)</f>
        <v>3</v>
      </c>
      <c r="AB109" s="4">
        <f ca="1">IFERROR(__xludf.DUMMYFUNCTION("""COMPUTED_VALUE"""),4)</f>
        <v>4</v>
      </c>
      <c r="AC109" s="4">
        <f ca="1">IFERROR(__xludf.DUMMYFUNCTION("""COMPUTED_VALUE"""),4)</f>
        <v>4</v>
      </c>
      <c r="AD109" s="4">
        <f ca="1">IFERROR(__xludf.DUMMYFUNCTION("""COMPUTED_VALUE"""),4)</f>
        <v>4</v>
      </c>
      <c r="AE109" s="4">
        <f ca="1">IFERROR(__xludf.DUMMYFUNCTION("""COMPUTED_VALUE"""),4)</f>
        <v>4</v>
      </c>
      <c r="AF109" s="4">
        <f ca="1">IFERROR(__xludf.DUMMYFUNCTION("""COMPUTED_VALUE"""),3)</f>
        <v>3</v>
      </c>
      <c r="AG109" s="4">
        <f ca="1">IFERROR(__xludf.DUMMYFUNCTION("""COMPUTED_VALUE"""),3)</f>
        <v>3</v>
      </c>
      <c r="AH109" s="4">
        <f ca="1">IFERROR(__xludf.DUMMYFUNCTION("""COMPUTED_VALUE"""),3)</f>
        <v>3</v>
      </c>
      <c r="AI109" s="4">
        <f ca="1">IFERROR(__xludf.DUMMYFUNCTION("""COMPUTED_VALUE"""),3)</f>
        <v>3</v>
      </c>
      <c r="AJ109" s="4">
        <f ca="1">IFERROR(__xludf.DUMMYFUNCTION("""COMPUTED_VALUE"""),5)</f>
        <v>5</v>
      </c>
      <c r="AK109" s="4">
        <f ca="1">IFERROR(__xludf.DUMMYFUNCTION("""COMPUTED_VALUE"""),5)</f>
        <v>5</v>
      </c>
      <c r="AL109" s="4">
        <f ca="1">IFERROR(__xludf.DUMMYFUNCTION("""COMPUTED_VALUE"""),5)</f>
        <v>5</v>
      </c>
      <c r="AM109" s="4">
        <f ca="1">IFERROR(__xludf.DUMMYFUNCTION("""COMPUTED_VALUE"""),5)</f>
        <v>5</v>
      </c>
      <c r="AN109" s="4">
        <f ca="1">IFERROR(__xludf.DUMMYFUNCTION("""COMPUTED_VALUE"""),5)</f>
        <v>5</v>
      </c>
      <c r="AO109" s="4">
        <f ca="1">IFERROR(__xludf.DUMMYFUNCTION("""COMPUTED_VALUE"""),5)</f>
        <v>5</v>
      </c>
      <c r="AP109" s="4">
        <f ca="1">IFERROR(__xludf.DUMMYFUNCTION("""COMPUTED_VALUE"""),5)</f>
        <v>5</v>
      </c>
      <c r="AQ109" s="4">
        <f ca="1">IFERROR(__xludf.DUMMYFUNCTION("""COMPUTED_VALUE"""),5)</f>
        <v>5</v>
      </c>
      <c r="AR109" s="4">
        <f ca="1">IFERROR(__xludf.DUMMYFUNCTION("""COMPUTED_VALUE"""),5)</f>
        <v>5</v>
      </c>
      <c r="AS109" s="4">
        <f ca="1">IFERROR(__xludf.DUMMYFUNCTION("""COMPUTED_VALUE"""),5)</f>
        <v>5</v>
      </c>
      <c r="AT109" s="4">
        <f ca="1">IFERROR(__xludf.DUMMYFUNCTION("""COMPUTED_VALUE"""),5)</f>
        <v>5</v>
      </c>
      <c r="AU109" s="4">
        <f ca="1">IFERROR(__xludf.DUMMYFUNCTION("""COMPUTED_VALUE"""),5)</f>
        <v>5</v>
      </c>
      <c r="AV109" s="4">
        <f ca="1">IFERROR(__xludf.DUMMYFUNCTION("""COMPUTED_VALUE"""),5)</f>
        <v>5</v>
      </c>
      <c r="AW109" s="4">
        <f ca="1">IFERROR(__xludf.DUMMYFUNCTION("""COMPUTED_VALUE"""),5)</f>
        <v>5</v>
      </c>
      <c r="AX109" s="4">
        <f ca="1">IFERROR(__xludf.DUMMYFUNCTION("""COMPUTED_VALUE"""),4)</f>
        <v>4</v>
      </c>
      <c r="AY109" s="4">
        <f ca="1">IFERROR(__xludf.DUMMYFUNCTION("""COMPUTED_VALUE"""),4)</f>
        <v>4</v>
      </c>
      <c r="AZ109" s="4">
        <f ca="1">IFERROR(__xludf.DUMMYFUNCTION("""COMPUTED_VALUE"""),4)</f>
        <v>4</v>
      </c>
      <c r="BA109" s="4">
        <f ca="1">IFERROR(__xludf.DUMMYFUNCTION("""COMPUTED_VALUE"""),4)</f>
        <v>4</v>
      </c>
      <c r="BB109" s="4">
        <f ca="1">IFERROR(__xludf.DUMMYFUNCTION("""COMPUTED_VALUE"""),4)</f>
        <v>4</v>
      </c>
      <c r="BC109" s="4">
        <f ca="1">IFERROR(__xludf.DUMMYFUNCTION("""COMPUTED_VALUE"""),4)</f>
        <v>4</v>
      </c>
      <c r="BD109" s="4">
        <f ca="1">IFERROR(__xludf.DUMMYFUNCTION("""COMPUTED_VALUE"""),4)</f>
        <v>4</v>
      </c>
      <c r="BE109" s="4">
        <f ca="1">IFERROR(__xludf.DUMMYFUNCTION("""COMPUTED_VALUE"""),4)</f>
        <v>4</v>
      </c>
      <c r="BF109" s="4">
        <f ca="1">IFERROR(__xludf.DUMMYFUNCTION("""COMPUTED_VALUE"""),4)</f>
        <v>4</v>
      </c>
      <c r="BG109" s="4">
        <f ca="1">IFERROR(__xludf.DUMMYFUNCTION("""COMPUTED_VALUE"""),4)</f>
        <v>4</v>
      </c>
      <c r="BH109" s="4">
        <f ca="1">IFERROR(__xludf.DUMMYFUNCTION("""COMPUTED_VALUE"""),4)</f>
        <v>4</v>
      </c>
      <c r="BI109" s="4">
        <f ca="1">IFERROR(__xludf.DUMMYFUNCTION("""COMPUTED_VALUE"""),4)</f>
        <v>4</v>
      </c>
      <c r="BJ109" s="4">
        <f ca="1">IFERROR(__xludf.DUMMYFUNCTION("""COMPUTED_VALUE"""),4)</f>
        <v>4</v>
      </c>
      <c r="BK109" s="4">
        <f ca="1">IFERROR(__xludf.DUMMYFUNCTION("""COMPUTED_VALUE"""),4)</f>
        <v>4</v>
      </c>
      <c r="BL109" s="4">
        <f ca="1">IFERROR(__xludf.DUMMYFUNCTION("""COMPUTED_VALUE"""),4)</f>
        <v>4</v>
      </c>
      <c r="BM109" s="4">
        <f ca="1">IFERROR(__xludf.DUMMYFUNCTION("""COMPUTED_VALUE"""),4)</f>
        <v>4</v>
      </c>
      <c r="BN109" s="4">
        <f ca="1">IFERROR(__xludf.DUMMYFUNCTION("""COMPUTED_VALUE"""),4)</f>
        <v>4</v>
      </c>
      <c r="BO109" s="4">
        <f ca="1">IFERROR(__xludf.DUMMYFUNCTION("""COMPUTED_VALUE"""),4)</f>
        <v>4</v>
      </c>
      <c r="BP109" s="4">
        <f ca="1">IFERROR(__xludf.DUMMYFUNCTION("""COMPUTED_VALUE"""),4)</f>
        <v>4</v>
      </c>
    </row>
    <row r="110" spans="1:68" ht="13.2" x14ac:dyDescent="0.25">
      <c r="A110" s="4" t="str">
        <f ca="1">IFERROR(__xludf.DUMMYFUNCTION("""COMPUTED_VALUE"""),"2_ABaOnuegQdyy5RLJkcZaMFHYIG4hVj1wgM5wHyLmXg1-20QdZda5LAkZhmttvh9D-w")</f>
        <v>2_ABaOnuegQdyy5RLJkcZaMFHYIG4hVj1wgM5wHyLmXg1-20QdZda5LAkZhmttvh9D-w</v>
      </c>
      <c r="B110" s="5">
        <f ca="1">IFERROR(__xludf.DUMMYFUNCTION("""COMPUTED_VALUE"""),45973.4728535185)</f>
        <v>45973.472853518499</v>
      </c>
      <c r="C110" s="4"/>
      <c r="D110" s="4" t="str">
        <f ca="1">IFERROR(__xludf.DUMMYFUNCTION("""COMPUTED_VALUE"""),"Nam")</f>
        <v>Nam</v>
      </c>
      <c r="E110" s="4" t="str">
        <f ca="1">IFERROR(__xludf.DUMMYFUNCTION("""COMPUTED_VALUE"""),"Công ty TNHH Kiểm toán và Tư vấn Tài chính Toàn Cầu")</f>
        <v>Công ty TNHH Kiểm toán và Tư vấn Tài chính Toàn Cầu</v>
      </c>
      <c r="F110" s="4" t="str">
        <f ca="1">IFERROR(__xludf.DUMMYFUNCTION("""COMPUTED_VALUE"""),"Đại học, Chứng chỉ Kiểm toán viên")</f>
        <v>Đại học, Chứng chỉ Kiểm toán viên</v>
      </c>
      <c r="G110" s="4" t="str">
        <f ca="1">IFERROR(__xludf.DUMMYFUNCTION("""COMPUTED_VALUE"""),"Trên 5 đến 10 năm")</f>
        <v>Trên 5 đến 10 năm</v>
      </c>
      <c r="H110" s="4" t="str">
        <f ca="1">IFERROR(__xludf.DUMMYFUNCTION("""COMPUTED_VALUE"""),"Kiểm toán viên/Trưởng nhóm")</f>
        <v>Kiểm toán viên/Trưởng nhóm</v>
      </c>
      <c r="I110" s="4">
        <f ca="1">IFERROR(__xludf.DUMMYFUNCTION("""COMPUTED_VALUE"""),5)</f>
        <v>5</v>
      </c>
      <c r="J110" s="4">
        <f ca="1">IFERROR(__xludf.DUMMYFUNCTION("""COMPUTED_VALUE"""),5)</f>
        <v>5</v>
      </c>
      <c r="K110" s="4">
        <f ca="1">IFERROR(__xludf.DUMMYFUNCTION("""COMPUTED_VALUE"""),5)</f>
        <v>5</v>
      </c>
      <c r="L110" s="4">
        <f ca="1">IFERROR(__xludf.DUMMYFUNCTION("""COMPUTED_VALUE"""),4)</f>
        <v>4</v>
      </c>
      <c r="M110" s="4">
        <f ca="1">IFERROR(__xludf.DUMMYFUNCTION("""COMPUTED_VALUE"""),5)</f>
        <v>5</v>
      </c>
      <c r="N110" s="4">
        <f ca="1">IFERROR(__xludf.DUMMYFUNCTION("""COMPUTED_VALUE"""),4)</f>
        <v>4</v>
      </c>
      <c r="O110" s="4">
        <f ca="1">IFERROR(__xludf.DUMMYFUNCTION("""COMPUTED_VALUE"""),4)</f>
        <v>4</v>
      </c>
      <c r="P110" s="4">
        <f ca="1">IFERROR(__xludf.DUMMYFUNCTION("""COMPUTED_VALUE"""),5)</f>
        <v>5</v>
      </c>
      <c r="Q110" s="4">
        <f ca="1">IFERROR(__xludf.DUMMYFUNCTION("""COMPUTED_VALUE"""),5)</f>
        <v>5</v>
      </c>
      <c r="R110" s="4">
        <f ca="1">IFERROR(__xludf.DUMMYFUNCTION("""COMPUTED_VALUE"""),5)</f>
        <v>5</v>
      </c>
      <c r="S110" s="4">
        <f ca="1">IFERROR(__xludf.DUMMYFUNCTION("""COMPUTED_VALUE"""),5)</f>
        <v>5</v>
      </c>
      <c r="T110" s="4">
        <f ca="1">IFERROR(__xludf.DUMMYFUNCTION("""COMPUTED_VALUE"""),5)</f>
        <v>5</v>
      </c>
      <c r="U110" s="4">
        <f ca="1">IFERROR(__xludf.DUMMYFUNCTION("""COMPUTED_VALUE"""),5)</f>
        <v>5</v>
      </c>
      <c r="V110" s="4">
        <f ca="1">IFERROR(__xludf.DUMMYFUNCTION("""COMPUTED_VALUE"""),5)</f>
        <v>5</v>
      </c>
      <c r="W110" s="4">
        <f ca="1">IFERROR(__xludf.DUMMYFUNCTION("""COMPUTED_VALUE"""),5)</f>
        <v>5</v>
      </c>
      <c r="X110" s="4">
        <f ca="1">IFERROR(__xludf.DUMMYFUNCTION("""COMPUTED_VALUE"""),4)</f>
        <v>4</v>
      </c>
      <c r="Y110" s="4">
        <f ca="1">IFERROR(__xludf.DUMMYFUNCTION("""COMPUTED_VALUE"""),4)</f>
        <v>4</v>
      </c>
      <c r="Z110" s="4">
        <f ca="1">IFERROR(__xludf.DUMMYFUNCTION("""COMPUTED_VALUE"""),3)</f>
        <v>3</v>
      </c>
      <c r="AA110" s="4">
        <f ca="1">IFERROR(__xludf.DUMMYFUNCTION("""COMPUTED_VALUE"""),3)</f>
        <v>3</v>
      </c>
      <c r="AB110" s="4">
        <f ca="1">IFERROR(__xludf.DUMMYFUNCTION("""COMPUTED_VALUE"""),5)</f>
        <v>5</v>
      </c>
      <c r="AC110" s="4">
        <f ca="1">IFERROR(__xludf.DUMMYFUNCTION("""COMPUTED_VALUE"""),5)</f>
        <v>5</v>
      </c>
      <c r="AD110" s="4">
        <f ca="1">IFERROR(__xludf.DUMMYFUNCTION("""COMPUTED_VALUE"""),5)</f>
        <v>5</v>
      </c>
      <c r="AE110" s="4">
        <f ca="1">IFERROR(__xludf.DUMMYFUNCTION("""COMPUTED_VALUE"""),5)</f>
        <v>5</v>
      </c>
      <c r="AF110" s="4">
        <f ca="1">IFERROR(__xludf.DUMMYFUNCTION("""COMPUTED_VALUE"""),4)</f>
        <v>4</v>
      </c>
      <c r="AG110" s="4">
        <f ca="1">IFERROR(__xludf.DUMMYFUNCTION("""COMPUTED_VALUE"""),4)</f>
        <v>4</v>
      </c>
      <c r="AH110" s="4">
        <f ca="1">IFERROR(__xludf.DUMMYFUNCTION("""COMPUTED_VALUE"""),4)</f>
        <v>4</v>
      </c>
      <c r="AI110" s="4">
        <f ca="1">IFERROR(__xludf.DUMMYFUNCTION("""COMPUTED_VALUE"""),4)</f>
        <v>4</v>
      </c>
      <c r="AJ110" s="4">
        <f ca="1">IFERROR(__xludf.DUMMYFUNCTION("""COMPUTED_VALUE"""),5)</f>
        <v>5</v>
      </c>
      <c r="AK110" s="4">
        <f ca="1">IFERROR(__xludf.DUMMYFUNCTION("""COMPUTED_VALUE"""),5)</f>
        <v>5</v>
      </c>
      <c r="AL110" s="4">
        <f ca="1">IFERROR(__xludf.DUMMYFUNCTION("""COMPUTED_VALUE"""),4)</f>
        <v>4</v>
      </c>
      <c r="AM110" s="4">
        <f ca="1">IFERROR(__xludf.DUMMYFUNCTION("""COMPUTED_VALUE"""),4)</f>
        <v>4</v>
      </c>
      <c r="AN110" s="4">
        <f ca="1">IFERROR(__xludf.DUMMYFUNCTION("""COMPUTED_VALUE"""),5)</f>
        <v>5</v>
      </c>
      <c r="AO110" s="4">
        <f ca="1">IFERROR(__xludf.DUMMYFUNCTION("""COMPUTED_VALUE"""),4)</f>
        <v>4</v>
      </c>
      <c r="AP110" s="4">
        <f ca="1">IFERROR(__xludf.DUMMYFUNCTION("""COMPUTED_VALUE"""),5)</f>
        <v>5</v>
      </c>
      <c r="AQ110" s="4">
        <f ca="1">IFERROR(__xludf.DUMMYFUNCTION("""COMPUTED_VALUE"""),4)</f>
        <v>4</v>
      </c>
      <c r="AR110" s="4">
        <f ca="1">IFERROR(__xludf.DUMMYFUNCTION("""COMPUTED_VALUE"""),5)</f>
        <v>5</v>
      </c>
      <c r="AS110" s="4">
        <f ca="1">IFERROR(__xludf.DUMMYFUNCTION("""COMPUTED_VALUE"""),5)</f>
        <v>5</v>
      </c>
      <c r="AT110" s="4">
        <f ca="1">IFERROR(__xludf.DUMMYFUNCTION("""COMPUTED_VALUE"""),5)</f>
        <v>5</v>
      </c>
      <c r="AU110" s="4">
        <f ca="1">IFERROR(__xludf.DUMMYFUNCTION("""COMPUTED_VALUE"""),5)</f>
        <v>5</v>
      </c>
      <c r="AV110" s="4">
        <f ca="1">IFERROR(__xludf.DUMMYFUNCTION("""COMPUTED_VALUE"""),5)</f>
        <v>5</v>
      </c>
      <c r="AW110" s="4">
        <f ca="1">IFERROR(__xludf.DUMMYFUNCTION("""COMPUTED_VALUE"""),5)</f>
        <v>5</v>
      </c>
      <c r="AX110" s="4">
        <f ca="1">IFERROR(__xludf.DUMMYFUNCTION("""COMPUTED_VALUE"""),5)</f>
        <v>5</v>
      </c>
      <c r="AY110" s="4">
        <f ca="1">IFERROR(__xludf.DUMMYFUNCTION("""COMPUTED_VALUE"""),5)</f>
        <v>5</v>
      </c>
      <c r="AZ110" s="4">
        <f ca="1">IFERROR(__xludf.DUMMYFUNCTION("""COMPUTED_VALUE"""),5)</f>
        <v>5</v>
      </c>
      <c r="BA110" s="4">
        <f ca="1">IFERROR(__xludf.DUMMYFUNCTION("""COMPUTED_VALUE"""),5)</f>
        <v>5</v>
      </c>
      <c r="BB110" s="4">
        <f ca="1">IFERROR(__xludf.DUMMYFUNCTION("""COMPUTED_VALUE"""),5)</f>
        <v>5</v>
      </c>
      <c r="BC110" s="4">
        <f ca="1">IFERROR(__xludf.DUMMYFUNCTION("""COMPUTED_VALUE"""),5)</f>
        <v>5</v>
      </c>
      <c r="BD110" s="4">
        <f ca="1">IFERROR(__xludf.DUMMYFUNCTION("""COMPUTED_VALUE"""),5)</f>
        <v>5</v>
      </c>
      <c r="BE110" s="4">
        <f ca="1">IFERROR(__xludf.DUMMYFUNCTION("""COMPUTED_VALUE"""),5)</f>
        <v>5</v>
      </c>
      <c r="BF110" s="4">
        <f ca="1">IFERROR(__xludf.DUMMYFUNCTION("""COMPUTED_VALUE"""),4)</f>
        <v>4</v>
      </c>
      <c r="BG110" s="4">
        <f ca="1">IFERROR(__xludf.DUMMYFUNCTION("""COMPUTED_VALUE"""),4)</f>
        <v>4</v>
      </c>
      <c r="BH110" s="4">
        <f ca="1">IFERROR(__xludf.DUMMYFUNCTION("""COMPUTED_VALUE"""),5)</f>
        <v>5</v>
      </c>
      <c r="BI110" s="4">
        <f ca="1">IFERROR(__xludf.DUMMYFUNCTION("""COMPUTED_VALUE"""),5)</f>
        <v>5</v>
      </c>
      <c r="BJ110" s="4">
        <f ca="1">IFERROR(__xludf.DUMMYFUNCTION("""COMPUTED_VALUE"""),5)</f>
        <v>5</v>
      </c>
      <c r="BK110" s="4">
        <f ca="1">IFERROR(__xludf.DUMMYFUNCTION("""COMPUTED_VALUE"""),5)</f>
        <v>5</v>
      </c>
      <c r="BL110" s="4">
        <f ca="1">IFERROR(__xludf.DUMMYFUNCTION("""COMPUTED_VALUE"""),5)</f>
        <v>5</v>
      </c>
      <c r="BM110" s="4">
        <f ca="1">IFERROR(__xludf.DUMMYFUNCTION("""COMPUTED_VALUE"""),5)</f>
        <v>5</v>
      </c>
      <c r="BN110" s="4">
        <f ca="1">IFERROR(__xludf.DUMMYFUNCTION("""COMPUTED_VALUE"""),5)</f>
        <v>5</v>
      </c>
      <c r="BO110" s="4">
        <f ca="1">IFERROR(__xludf.DUMMYFUNCTION("""COMPUTED_VALUE"""),5)</f>
        <v>5</v>
      </c>
      <c r="BP110" s="4">
        <f ca="1">IFERROR(__xludf.DUMMYFUNCTION("""COMPUTED_VALUE"""),5)</f>
        <v>5</v>
      </c>
    </row>
    <row r="111" spans="1:68" ht="13.2" x14ac:dyDescent="0.25">
      <c r="A111" s="4" t="str">
        <f ca="1">IFERROR(__xludf.DUMMYFUNCTION("""COMPUTED_VALUE"""),"2_ABaOnufIg5iKBXebJh-TkpKFmOx6DwuX55kxdbxR-IAEKUcNRCJesvNJru3nZg2X5w")</f>
        <v>2_ABaOnufIg5iKBXebJh-TkpKFmOx6DwuX55kxdbxR-IAEKUcNRCJesvNJru3nZg2X5w</v>
      </c>
      <c r="B111" s="5">
        <f ca="1">IFERROR(__xludf.DUMMYFUNCTION("""COMPUTED_VALUE"""),45973.4754328125)</f>
        <v>45973.475432812498</v>
      </c>
      <c r="C111" s="4"/>
      <c r="D111" s="4" t="str">
        <f ca="1">IFERROR(__xludf.DUMMYFUNCTION("""COMPUTED_VALUE"""),"Nữ")</f>
        <v>Nữ</v>
      </c>
      <c r="E111" s="4" t="str">
        <f ca="1">IFERROR(__xludf.DUMMYFUNCTION("""COMPUTED_VALUE"""),"CÔNG TY TNHH KIỂM TOÁN VÀ TƯ VẤN TÀI CHÍNH TOÀN CẦU")</f>
        <v>CÔNG TY TNHH KIỂM TOÁN VÀ TƯ VẤN TÀI CHÍNH TOÀN CẦU</v>
      </c>
      <c r="F111" s="4" t="str">
        <f ca="1">IFERROR(__xludf.DUMMYFUNCTION("""COMPUTED_VALUE"""),"Đại học")</f>
        <v>Đại học</v>
      </c>
      <c r="G111" s="4" t="str">
        <f ca="1">IFERROR(__xludf.DUMMYFUNCTION("""COMPUTED_VALUE"""),"Từ 3 đến 5 năm")</f>
        <v>Từ 3 đến 5 năm</v>
      </c>
      <c r="H111" s="4" t="str">
        <f ca="1">IFERROR(__xludf.DUMMYFUNCTION("""COMPUTED_VALUE"""),"Trợ lý kiểm toán")</f>
        <v>Trợ lý kiểm toán</v>
      </c>
      <c r="I111" s="4">
        <f ca="1">IFERROR(__xludf.DUMMYFUNCTION("""COMPUTED_VALUE"""),5)</f>
        <v>5</v>
      </c>
      <c r="J111" s="4">
        <f ca="1">IFERROR(__xludf.DUMMYFUNCTION("""COMPUTED_VALUE"""),5)</f>
        <v>5</v>
      </c>
      <c r="K111" s="4">
        <f ca="1">IFERROR(__xludf.DUMMYFUNCTION("""COMPUTED_VALUE"""),5)</f>
        <v>5</v>
      </c>
      <c r="L111" s="4">
        <f ca="1">IFERROR(__xludf.DUMMYFUNCTION("""COMPUTED_VALUE"""),5)</f>
        <v>5</v>
      </c>
      <c r="M111" s="4">
        <f ca="1">IFERROR(__xludf.DUMMYFUNCTION("""COMPUTED_VALUE"""),5)</f>
        <v>5</v>
      </c>
      <c r="N111" s="4">
        <f ca="1">IFERROR(__xludf.DUMMYFUNCTION("""COMPUTED_VALUE"""),3)</f>
        <v>3</v>
      </c>
      <c r="O111" s="4">
        <f ca="1">IFERROR(__xludf.DUMMYFUNCTION("""COMPUTED_VALUE"""),4)</f>
        <v>4</v>
      </c>
      <c r="P111" s="4">
        <f ca="1">IFERROR(__xludf.DUMMYFUNCTION("""COMPUTED_VALUE"""),3)</f>
        <v>3</v>
      </c>
      <c r="Q111" s="4">
        <f ca="1">IFERROR(__xludf.DUMMYFUNCTION("""COMPUTED_VALUE"""),5)</f>
        <v>5</v>
      </c>
      <c r="R111" s="4">
        <f ca="1">IFERROR(__xludf.DUMMYFUNCTION("""COMPUTED_VALUE"""),5)</f>
        <v>5</v>
      </c>
      <c r="S111" s="4">
        <f ca="1">IFERROR(__xludf.DUMMYFUNCTION("""COMPUTED_VALUE"""),5)</f>
        <v>5</v>
      </c>
      <c r="T111" s="4">
        <f ca="1">IFERROR(__xludf.DUMMYFUNCTION("""COMPUTED_VALUE"""),5)</f>
        <v>5</v>
      </c>
      <c r="U111" s="4">
        <f ca="1">IFERROR(__xludf.DUMMYFUNCTION("""COMPUTED_VALUE"""),5)</f>
        <v>5</v>
      </c>
      <c r="V111" s="4">
        <f ca="1">IFERROR(__xludf.DUMMYFUNCTION("""COMPUTED_VALUE"""),5)</f>
        <v>5</v>
      </c>
      <c r="W111" s="4">
        <f ca="1">IFERROR(__xludf.DUMMYFUNCTION("""COMPUTED_VALUE"""),5)</f>
        <v>5</v>
      </c>
      <c r="X111" s="4">
        <f ca="1">IFERROR(__xludf.DUMMYFUNCTION("""COMPUTED_VALUE"""),3)</f>
        <v>3</v>
      </c>
      <c r="Y111" s="4">
        <f ca="1">IFERROR(__xludf.DUMMYFUNCTION("""COMPUTED_VALUE"""),5)</f>
        <v>5</v>
      </c>
      <c r="Z111" s="4">
        <f ca="1">IFERROR(__xludf.DUMMYFUNCTION("""COMPUTED_VALUE"""),4)</f>
        <v>4</v>
      </c>
      <c r="AA111" s="4">
        <f ca="1">IFERROR(__xludf.DUMMYFUNCTION("""COMPUTED_VALUE"""),3)</f>
        <v>3</v>
      </c>
      <c r="AB111" s="4">
        <f ca="1">IFERROR(__xludf.DUMMYFUNCTION("""COMPUTED_VALUE"""),5)</f>
        <v>5</v>
      </c>
      <c r="AC111" s="4">
        <f ca="1">IFERROR(__xludf.DUMMYFUNCTION("""COMPUTED_VALUE"""),3)</f>
        <v>3</v>
      </c>
      <c r="AD111" s="4">
        <f ca="1">IFERROR(__xludf.DUMMYFUNCTION("""COMPUTED_VALUE"""),4)</f>
        <v>4</v>
      </c>
      <c r="AE111" s="4">
        <f ca="1">IFERROR(__xludf.DUMMYFUNCTION("""COMPUTED_VALUE"""),5)</f>
        <v>5</v>
      </c>
      <c r="AF111" s="4">
        <f ca="1">IFERROR(__xludf.DUMMYFUNCTION("""COMPUTED_VALUE"""),5)</f>
        <v>5</v>
      </c>
      <c r="AG111" s="4">
        <f ca="1">IFERROR(__xludf.DUMMYFUNCTION("""COMPUTED_VALUE"""),5)</f>
        <v>5</v>
      </c>
      <c r="AH111" s="4">
        <f ca="1">IFERROR(__xludf.DUMMYFUNCTION("""COMPUTED_VALUE"""),5)</f>
        <v>5</v>
      </c>
      <c r="AI111" s="4">
        <f ca="1">IFERROR(__xludf.DUMMYFUNCTION("""COMPUTED_VALUE"""),5)</f>
        <v>5</v>
      </c>
      <c r="AJ111" s="4">
        <f ca="1">IFERROR(__xludf.DUMMYFUNCTION("""COMPUTED_VALUE"""),5)</f>
        <v>5</v>
      </c>
      <c r="AK111" s="4">
        <f ca="1">IFERROR(__xludf.DUMMYFUNCTION("""COMPUTED_VALUE"""),5)</f>
        <v>5</v>
      </c>
      <c r="AL111" s="4">
        <f ca="1">IFERROR(__xludf.DUMMYFUNCTION("""COMPUTED_VALUE"""),5)</f>
        <v>5</v>
      </c>
      <c r="AM111" s="4">
        <f ca="1">IFERROR(__xludf.DUMMYFUNCTION("""COMPUTED_VALUE"""),5)</f>
        <v>5</v>
      </c>
      <c r="AN111" s="4">
        <f ca="1">IFERROR(__xludf.DUMMYFUNCTION("""COMPUTED_VALUE"""),5)</f>
        <v>5</v>
      </c>
      <c r="AO111" s="4">
        <f ca="1">IFERROR(__xludf.DUMMYFUNCTION("""COMPUTED_VALUE"""),3)</f>
        <v>3</v>
      </c>
      <c r="AP111" s="4">
        <f ca="1">IFERROR(__xludf.DUMMYFUNCTION("""COMPUTED_VALUE"""),3)</f>
        <v>3</v>
      </c>
      <c r="AQ111" s="4">
        <f ca="1">IFERROR(__xludf.DUMMYFUNCTION("""COMPUTED_VALUE"""),5)</f>
        <v>5</v>
      </c>
      <c r="AR111" s="4">
        <f ca="1">IFERROR(__xludf.DUMMYFUNCTION("""COMPUTED_VALUE"""),5)</f>
        <v>5</v>
      </c>
      <c r="AS111" s="4">
        <f ca="1">IFERROR(__xludf.DUMMYFUNCTION("""COMPUTED_VALUE"""),5)</f>
        <v>5</v>
      </c>
      <c r="AT111" s="4">
        <f ca="1">IFERROR(__xludf.DUMMYFUNCTION("""COMPUTED_VALUE"""),3)</f>
        <v>3</v>
      </c>
      <c r="AU111" s="4">
        <f ca="1">IFERROR(__xludf.DUMMYFUNCTION("""COMPUTED_VALUE"""),3)</f>
        <v>3</v>
      </c>
      <c r="AV111" s="4">
        <f ca="1">IFERROR(__xludf.DUMMYFUNCTION("""COMPUTED_VALUE"""),3)</f>
        <v>3</v>
      </c>
      <c r="AW111" s="4">
        <f ca="1">IFERROR(__xludf.DUMMYFUNCTION("""COMPUTED_VALUE"""),3)</f>
        <v>3</v>
      </c>
      <c r="AX111" s="4">
        <f ca="1">IFERROR(__xludf.DUMMYFUNCTION("""COMPUTED_VALUE"""),5)</f>
        <v>5</v>
      </c>
      <c r="AY111" s="4">
        <f ca="1">IFERROR(__xludf.DUMMYFUNCTION("""COMPUTED_VALUE"""),5)</f>
        <v>5</v>
      </c>
      <c r="AZ111" s="4">
        <f ca="1">IFERROR(__xludf.DUMMYFUNCTION("""COMPUTED_VALUE"""),5)</f>
        <v>5</v>
      </c>
      <c r="BA111" s="4">
        <f ca="1">IFERROR(__xludf.DUMMYFUNCTION("""COMPUTED_VALUE"""),5)</f>
        <v>5</v>
      </c>
      <c r="BB111" s="4">
        <f ca="1">IFERROR(__xludf.DUMMYFUNCTION("""COMPUTED_VALUE"""),3)</f>
        <v>3</v>
      </c>
      <c r="BC111" s="4">
        <f ca="1">IFERROR(__xludf.DUMMYFUNCTION("""COMPUTED_VALUE"""),3)</f>
        <v>3</v>
      </c>
      <c r="BD111" s="4">
        <f ca="1">IFERROR(__xludf.DUMMYFUNCTION("""COMPUTED_VALUE"""),4)</f>
        <v>4</v>
      </c>
      <c r="BE111" s="4">
        <f ca="1">IFERROR(__xludf.DUMMYFUNCTION("""COMPUTED_VALUE"""),3)</f>
        <v>3</v>
      </c>
      <c r="BF111" s="4">
        <f ca="1">IFERROR(__xludf.DUMMYFUNCTION("""COMPUTED_VALUE"""),3)</f>
        <v>3</v>
      </c>
      <c r="BG111" s="4">
        <f ca="1">IFERROR(__xludf.DUMMYFUNCTION("""COMPUTED_VALUE"""),3)</f>
        <v>3</v>
      </c>
      <c r="BH111" s="4">
        <f ca="1">IFERROR(__xludf.DUMMYFUNCTION("""COMPUTED_VALUE"""),5)</f>
        <v>5</v>
      </c>
      <c r="BI111" s="4">
        <f ca="1">IFERROR(__xludf.DUMMYFUNCTION("""COMPUTED_VALUE"""),5)</f>
        <v>5</v>
      </c>
      <c r="BJ111" s="4">
        <f ca="1">IFERROR(__xludf.DUMMYFUNCTION("""COMPUTED_VALUE"""),5)</f>
        <v>5</v>
      </c>
      <c r="BK111" s="4">
        <f ca="1">IFERROR(__xludf.DUMMYFUNCTION("""COMPUTED_VALUE"""),5)</f>
        <v>5</v>
      </c>
      <c r="BL111" s="4">
        <f ca="1">IFERROR(__xludf.DUMMYFUNCTION("""COMPUTED_VALUE"""),3)</f>
        <v>3</v>
      </c>
      <c r="BM111" s="4">
        <f ca="1">IFERROR(__xludf.DUMMYFUNCTION("""COMPUTED_VALUE"""),5)</f>
        <v>5</v>
      </c>
      <c r="BN111" s="4">
        <f ca="1">IFERROR(__xludf.DUMMYFUNCTION("""COMPUTED_VALUE"""),5)</f>
        <v>5</v>
      </c>
      <c r="BO111" s="4">
        <f ca="1">IFERROR(__xludf.DUMMYFUNCTION("""COMPUTED_VALUE"""),5)</f>
        <v>5</v>
      </c>
      <c r="BP111" s="4">
        <f ca="1">IFERROR(__xludf.DUMMYFUNCTION("""COMPUTED_VALUE"""),5)</f>
        <v>5</v>
      </c>
    </row>
    <row r="112" spans="1:68" ht="13.2" x14ac:dyDescent="0.25">
      <c r="A112" s="4" t="str">
        <f ca="1">IFERROR(__xludf.DUMMYFUNCTION("""COMPUTED_VALUE"""),"2_ABaOnucxEDVCNl1L2x5hzcgQDCGw6zug99ffJAoaHOWUTUZNkeX3SlsqMOJIA8igsg")</f>
        <v>2_ABaOnucxEDVCNl1L2x5hzcgQDCGw6zug99ffJAoaHOWUTUZNkeX3SlsqMOJIA8igsg</v>
      </c>
      <c r="B112" s="5">
        <f ca="1">IFERROR(__xludf.DUMMYFUNCTION("""COMPUTED_VALUE"""),45973.4840193865)</f>
        <v>45973.484019386502</v>
      </c>
      <c r="C112" s="4" t="str">
        <f ca="1">IFERROR(__xludf.DUMMYFUNCTION("""COMPUTED_VALUE"""),"Phan Hoài Nam")</f>
        <v>Phan Hoài Nam</v>
      </c>
      <c r="D112" s="4" t="str">
        <f ca="1">IFERROR(__xludf.DUMMYFUNCTION("""COMPUTED_VALUE"""),"Nam")</f>
        <v>Nam</v>
      </c>
      <c r="E112" s="4" t="str">
        <f ca="1">IFERROR(__xludf.DUMMYFUNCTION("""COMPUTED_VALUE"""),"RSM Việt Nam")</f>
        <v>RSM Việt Nam</v>
      </c>
      <c r="F112" s="4" t="str">
        <f ca="1">IFERROR(__xludf.DUMMYFUNCTION("""COMPUTED_VALUE"""),"Sau đại học, Chứng chỉ Kiểm toán viên")</f>
        <v>Sau đại học, Chứng chỉ Kiểm toán viên</v>
      </c>
      <c r="G112" s="4" t="str">
        <f ca="1">IFERROR(__xludf.DUMMYFUNCTION("""COMPUTED_VALUE"""),"Trên 10 đến 15 năm")</f>
        <v>Trên 10 đến 15 năm</v>
      </c>
      <c r="H112" s="4" t="str">
        <f ca="1">IFERROR(__xludf.DUMMYFUNCTION("""COMPUTED_VALUE"""),"Trưởng phòng")</f>
        <v>Trưởng phòng</v>
      </c>
      <c r="I112" s="4">
        <f ca="1">IFERROR(__xludf.DUMMYFUNCTION("""COMPUTED_VALUE"""),5)</f>
        <v>5</v>
      </c>
      <c r="J112" s="4">
        <f ca="1">IFERROR(__xludf.DUMMYFUNCTION("""COMPUTED_VALUE"""),5)</f>
        <v>5</v>
      </c>
      <c r="K112" s="4">
        <f ca="1">IFERROR(__xludf.DUMMYFUNCTION("""COMPUTED_VALUE"""),5)</f>
        <v>5</v>
      </c>
      <c r="L112" s="4">
        <f ca="1">IFERROR(__xludf.DUMMYFUNCTION("""COMPUTED_VALUE"""),4)</f>
        <v>4</v>
      </c>
      <c r="M112" s="4">
        <f ca="1">IFERROR(__xludf.DUMMYFUNCTION("""COMPUTED_VALUE"""),4)</f>
        <v>4</v>
      </c>
      <c r="N112" s="4">
        <f ca="1">IFERROR(__xludf.DUMMYFUNCTION("""COMPUTED_VALUE"""),4)</f>
        <v>4</v>
      </c>
      <c r="O112" s="4">
        <f ca="1">IFERROR(__xludf.DUMMYFUNCTION("""COMPUTED_VALUE"""),4)</f>
        <v>4</v>
      </c>
      <c r="P112" s="4">
        <f ca="1">IFERROR(__xludf.DUMMYFUNCTION("""COMPUTED_VALUE"""),5)</f>
        <v>5</v>
      </c>
      <c r="Q112" s="4">
        <f ca="1">IFERROR(__xludf.DUMMYFUNCTION("""COMPUTED_VALUE"""),4)</f>
        <v>4</v>
      </c>
      <c r="R112" s="4">
        <f ca="1">IFERROR(__xludf.DUMMYFUNCTION("""COMPUTED_VALUE"""),5)</f>
        <v>5</v>
      </c>
      <c r="S112" s="4">
        <f ca="1">IFERROR(__xludf.DUMMYFUNCTION("""COMPUTED_VALUE"""),5)</f>
        <v>5</v>
      </c>
      <c r="T112" s="4">
        <f ca="1">IFERROR(__xludf.DUMMYFUNCTION("""COMPUTED_VALUE"""),5)</f>
        <v>5</v>
      </c>
      <c r="U112" s="4">
        <f ca="1">IFERROR(__xludf.DUMMYFUNCTION("""COMPUTED_VALUE"""),5)</f>
        <v>5</v>
      </c>
      <c r="V112" s="4">
        <f ca="1">IFERROR(__xludf.DUMMYFUNCTION("""COMPUTED_VALUE"""),5)</f>
        <v>5</v>
      </c>
      <c r="W112" s="4">
        <f ca="1">IFERROR(__xludf.DUMMYFUNCTION("""COMPUTED_VALUE"""),5)</f>
        <v>5</v>
      </c>
      <c r="X112" s="4">
        <f ca="1">IFERROR(__xludf.DUMMYFUNCTION("""COMPUTED_VALUE"""),4)</f>
        <v>4</v>
      </c>
      <c r="Y112" s="4">
        <f ca="1">IFERROR(__xludf.DUMMYFUNCTION("""COMPUTED_VALUE"""),3)</f>
        <v>3</v>
      </c>
      <c r="Z112" s="4">
        <f ca="1">IFERROR(__xludf.DUMMYFUNCTION("""COMPUTED_VALUE"""),3)</f>
        <v>3</v>
      </c>
      <c r="AA112" s="4">
        <f ca="1">IFERROR(__xludf.DUMMYFUNCTION("""COMPUTED_VALUE"""),5)</f>
        <v>5</v>
      </c>
      <c r="AB112" s="4">
        <f ca="1">IFERROR(__xludf.DUMMYFUNCTION("""COMPUTED_VALUE"""),5)</f>
        <v>5</v>
      </c>
      <c r="AC112" s="4">
        <f ca="1">IFERROR(__xludf.DUMMYFUNCTION("""COMPUTED_VALUE"""),4)</f>
        <v>4</v>
      </c>
      <c r="AD112" s="4">
        <f ca="1">IFERROR(__xludf.DUMMYFUNCTION("""COMPUTED_VALUE"""),4)</f>
        <v>4</v>
      </c>
      <c r="AE112" s="4">
        <f ca="1">IFERROR(__xludf.DUMMYFUNCTION("""COMPUTED_VALUE"""),4)</f>
        <v>4</v>
      </c>
      <c r="AF112" s="4">
        <f ca="1">IFERROR(__xludf.DUMMYFUNCTION("""COMPUTED_VALUE"""),3)</f>
        <v>3</v>
      </c>
      <c r="AG112" s="4">
        <f ca="1">IFERROR(__xludf.DUMMYFUNCTION("""COMPUTED_VALUE"""),3)</f>
        <v>3</v>
      </c>
      <c r="AH112" s="4">
        <f ca="1">IFERROR(__xludf.DUMMYFUNCTION("""COMPUTED_VALUE"""),3)</f>
        <v>3</v>
      </c>
      <c r="AI112" s="4">
        <f ca="1">IFERROR(__xludf.DUMMYFUNCTION("""COMPUTED_VALUE"""),3)</f>
        <v>3</v>
      </c>
      <c r="AJ112" s="4">
        <f ca="1">IFERROR(__xludf.DUMMYFUNCTION("""COMPUTED_VALUE"""),5)</f>
        <v>5</v>
      </c>
      <c r="AK112" s="4">
        <f ca="1">IFERROR(__xludf.DUMMYFUNCTION("""COMPUTED_VALUE"""),5)</f>
        <v>5</v>
      </c>
      <c r="AL112" s="4">
        <f ca="1">IFERROR(__xludf.DUMMYFUNCTION("""COMPUTED_VALUE"""),5)</f>
        <v>5</v>
      </c>
      <c r="AM112" s="4">
        <f ca="1">IFERROR(__xludf.DUMMYFUNCTION("""COMPUTED_VALUE"""),5)</f>
        <v>5</v>
      </c>
      <c r="AN112" s="4">
        <f ca="1">IFERROR(__xludf.DUMMYFUNCTION("""COMPUTED_VALUE"""),5)</f>
        <v>5</v>
      </c>
      <c r="AO112" s="4">
        <f ca="1">IFERROR(__xludf.DUMMYFUNCTION("""COMPUTED_VALUE"""),4)</f>
        <v>4</v>
      </c>
      <c r="AP112" s="4">
        <f ca="1">IFERROR(__xludf.DUMMYFUNCTION("""COMPUTED_VALUE"""),4)</f>
        <v>4</v>
      </c>
      <c r="AQ112" s="4">
        <f ca="1">IFERROR(__xludf.DUMMYFUNCTION("""COMPUTED_VALUE"""),4)</f>
        <v>4</v>
      </c>
      <c r="AR112" s="4">
        <f ca="1">IFERROR(__xludf.DUMMYFUNCTION("""COMPUTED_VALUE"""),4)</f>
        <v>4</v>
      </c>
      <c r="AS112" s="4">
        <f ca="1">IFERROR(__xludf.DUMMYFUNCTION("""COMPUTED_VALUE"""),4)</f>
        <v>4</v>
      </c>
      <c r="AT112" s="4">
        <f ca="1">IFERROR(__xludf.DUMMYFUNCTION("""COMPUTED_VALUE"""),5)</f>
        <v>5</v>
      </c>
      <c r="AU112" s="4">
        <f ca="1">IFERROR(__xludf.DUMMYFUNCTION("""COMPUTED_VALUE"""),5)</f>
        <v>5</v>
      </c>
      <c r="AV112" s="4">
        <f ca="1">IFERROR(__xludf.DUMMYFUNCTION("""COMPUTED_VALUE"""),5)</f>
        <v>5</v>
      </c>
      <c r="AW112" s="4">
        <f ca="1">IFERROR(__xludf.DUMMYFUNCTION("""COMPUTED_VALUE"""),5)</f>
        <v>5</v>
      </c>
      <c r="AX112" s="4">
        <f ca="1">IFERROR(__xludf.DUMMYFUNCTION("""COMPUTED_VALUE"""),4)</f>
        <v>4</v>
      </c>
      <c r="AY112" s="4">
        <f ca="1">IFERROR(__xludf.DUMMYFUNCTION("""COMPUTED_VALUE"""),5)</f>
        <v>5</v>
      </c>
      <c r="AZ112" s="4">
        <f ca="1">IFERROR(__xludf.DUMMYFUNCTION("""COMPUTED_VALUE"""),5)</f>
        <v>5</v>
      </c>
      <c r="BA112" s="4">
        <f ca="1">IFERROR(__xludf.DUMMYFUNCTION("""COMPUTED_VALUE"""),5)</f>
        <v>5</v>
      </c>
      <c r="BB112" s="4">
        <f ca="1">IFERROR(__xludf.DUMMYFUNCTION("""COMPUTED_VALUE"""),3)</f>
        <v>3</v>
      </c>
      <c r="BC112" s="4">
        <f ca="1">IFERROR(__xludf.DUMMYFUNCTION("""COMPUTED_VALUE"""),3)</f>
        <v>3</v>
      </c>
      <c r="BD112" s="4">
        <f ca="1">IFERROR(__xludf.DUMMYFUNCTION("""COMPUTED_VALUE"""),3)</f>
        <v>3</v>
      </c>
      <c r="BE112" s="4">
        <f ca="1">IFERROR(__xludf.DUMMYFUNCTION("""COMPUTED_VALUE"""),3)</f>
        <v>3</v>
      </c>
      <c r="BF112" s="4">
        <f ca="1">IFERROR(__xludf.DUMMYFUNCTION("""COMPUTED_VALUE"""),3)</f>
        <v>3</v>
      </c>
      <c r="BG112" s="4">
        <f ca="1">IFERROR(__xludf.DUMMYFUNCTION("""COMPUTED_VALUE"""),3)</f>
        <v>3</v>
      </c>
      <c r="BH112" s="4">
        <f ca="1">IFERROR(__xludf.DUMMYFUNCTION("""COMPUTED_VALUE"""),4)</f>
        <v>4</v>
      </c>
      <c r="BI112" s="4">
        <f ca="1">IFERROR(__xludf.DUMMYFUNCTION("""COMPUTED_VALUE"""),4)</f>
        <v>4</v>
      </c>
      <c r="BJ112" s="4">
        <f ca="1">IFERROR(__xludf.DUMMYFUNCTION("""COMPUTED_VALUE"""),4)</f>
        <v>4</v>
      </c>
      <c r="BK112" s="4">
        <f ca="1">IFERROR(__xludf.DUMMYFUNCTION("""COMPUTED_VALUE"""),5)</f>
        <v>5</v>
      </c>
      <c r="BL112" s="4">
        <f ca="1">IFERROR(__xludf.DUMMYFUNCTION("""COMPUTED_VALUE"""),4)</f>
        <v>4</v>
      </c>
      <c r="BM112" s="4">
        <f ca="1">IFERROR(__xludf.DUMMYFUNCTION("""COMPUTED_VALUE"""),5)</f>
        <v>5</v>
      </c>
      <c r="BN112" s="4">
        <f ca="1">IFERROR(__xludf.DUMMYFUNCTION("""COMPUTED_VALUE"""),5)</f>
        <v>5</v>
      </c>
      <c r="BO112" s="4">
        <f ca="1">IFERROR(__xludf.DUMMYFUNCTION("""COMPUTED_VALUE"""),5)</f>
        <v>5</v>
      </c>
      <c r="BP112" s="4">
        <f ca="1">IFERROR(__xludf.DUMMYFUNCTION("""COMPUTED_VALUE"""),5)</f>
        <v>5</v>
      </c>
    </row>
    <row r="113" spans="1:68" ht="13.2" x14ac:dyDescent="0.25">
      <c r="A113" s="4" t="str">
        <f ca="1">IFERROR(__xludf.DUMMYFUNCTION("""COMPUTED_VALUE"""),"2_ABaOnuc9WSHDnhytzcbIP_DVu6oPajOCP74aMDtauKdrY6jJqKg0dApPoLNYPPm1Ew")</f>
        <v>2_ABaOnuc9WSHDnhytzcbIP_DVu6oPajOCP74aMDtauKdrY6jJqKg0dApPoLNYPPm1Ew</v>
      </c>
      <c r="B113" s="5">
        <f ca="1">IFERROR(__xludf.DUMMYFUNCTION("""COMPUTED_VALUE"""),45973.5023434837)</f>
        <v>45973.502343483698</v>
      </c>
      <c r="C113" s="4" t="str">
        <f ca="1">IFERROR(__xludf.DUMMYFUNCTION("""COMPUTED_VALUE"""),"VŨ HUY THẾ")</f>
        <v>VŨ HUY THẾ</v>
      </c>
      <c r="D113" s="4" t="str">
        <f ca="1">IFERROR(__xludf.DUMMYFUNCTION("""COMPUTED_VALUE"""),"Nam")</f>
        <v>Nam</v>
      </c>
      <c r="E113" s="4" t="str">
        <f ca="1">IFERROR(__xludf.DUMMYFUNCTION("""COMPUTED_VALUE"""),"CÔNG TY TNHH KIỂM TOÁN VÀ ĐỊNH GIÁ GAA")</f>
        <v>CÔNG TY TNHH KIỂM TOÁN VÀ ĐỊNH GIÁ GAA</v>
      </c>
      <c r="F113" s="4" t="str">
        <f ca="1">IFERROR(__xludf.DUMMYFUNCTION("""COMPUTED_VALUE"""),"Đại học, Chứng chỉ Kiểm toán viên")</f>
        <v>Đại học, Chứng chỉ Kiểm toán viên</v>
      </c>
      <c r="G113" s="4" t="str">
        <f ca="1">IFERROR(__xludf.DUMMYFUNCTION("""COMPUTED_VALUE"""),"Trên 10 đến 15 năm")</f>
        <v>Trên 10 đến 15 năm</v>
      </c>
      <c r="H113" s="4" t="str">
        <f ca="1">IFERROR(__xludf.DUMMYFUNCTION("""COMPUTED_VALUE"""),"Ban giám đốc")</f>
        <v>Ban giám đốc</v>
      </c>
      <c r="I113" s="4">
        <f ca="1">IFERROR(__xludf.DUMMYFUNCTION("""COMPUTED_VALUE"""),5)</f>
        <v>5</v>
      </c>
      <c r="J113" s="4">
        <f ca="1">IFERROR(__xludf.DUMMYFUNCTION("""COMPUTED_VALUE"""),4)</f>
        <v>4</v>
      </c>
      <c r="K113" s="4">
        <f ca="1">IFERROR(__xludf.DUMMYFUNCTION("""COMPUTED_VALUE"""),4)</f>
        <v>4</v>
      </c>
      <c r="L113" s="4">
        <f ca="1">IFERROR(__xludf.DUMMYFUNCTION("""COMPUTED_VALUE"""),4)</f>
        <v>4</v>
      </c>
      <c r="M113" s="4">
        <f ca="1">IFERROR(__xludf.DUMMYFUNCTION("""COMPUTED_VALUE"""),5)</f>
        <v>5</v>
      </c>
      <c r="N113" s="4">
        <f ca="1">IFERROR(__xludf.DUMMYFUNCTION("""COMPUTED_VALUE"""),3)</f>
        <v>3</v>
      </c>
      <c r="O113" s="4">
        <f ca="1">IFERROR(__xludf.DUMMYFUNCTION("""COMPUTED_VALUE"""),3)</f>
        <v>3</v>
      </c>
      <c r="P113" s="4">
        <f ca="1">IFERROR(__xludf.DUMMYFUNCTION("""COMPUTED_VALUE"""),5)</f>
        <v>5</v>
      </c>
      <c r="Q113" s="4">
        <f ca="1">IFERROR(__xludf.DUMMYFUNCTION("""COMPUTED_VALUE"""),3)</f>
        <v>3</v>
      </c>
      <c r="R113" s="4">
        <f ca="1">IFERROR(__xludf.DUMMYFUNCTION("""COMPUTED_VALUE"""),5)</f>
        <v>5</v>
      </c>
      <c r="S113" s="4">
        <f ca="1">IFERROR(__xludf.DUMMYFUNCTION("""COMPUTED_VALUE"""),5)</f>
        <v>5</v>
      </c>
      <c r="T113" s="4">
        <f ca="1">IFERROR(__xludf.DUMMYFUNCTION("""COMPUTED_VALUE"""),5)</f>
        <v>5</v>
      </c>
      <c r="U113" s="4">
        <f ca="1">IFERROR(__xludf.DUMMYFUNCTION("""COMPUTED_VALUE"""),5)</f>
        <v>5</v>
      </c>
      <c r="V113" s="4">
        <f ca="1">IFERROR(__xludf.DUMMYFUNCTION("""COMPUTED_VALUE"""),5)</f>
        <v>5</v>
      </c>
      <c r="W113" s="4">
        <f ca="1">IFERROR(__xludf.DUMMYFUNCTION("""COMPUTED_VALUE"""),4)</f>
        <v>4</v>
      </c>
      <c r="X113" s="4">
        <f ca="1">IFERROR(__xludf.DUMMYFUNCTION("""COMPUTED_VALUE"""),4)</f>
        <v>4</v>
      </c>
      <c r="Y113" s="4">
        <f ca="1">IFERROR(__xludf.DUMMYFUNCTION("""COMPUTED_VALUE"""),4)</f>
        <v>4</v>
      </c>
      <c r="Z113" s="4">
        <f ca="1">IFERROR(__xludf.DUMMYFUNCTION("""COMPUTED_VALUE"""),5)</f>
        <v>5</v>
      </c>
      <c r="AA113" s="4">
        <f ca="1">IFERROR(__xludf.DUMMYFUNCTION("""COMPUTED_VALUE"""),3)</f>
        <v>3</v>
      </c>
      <c r="AB113" s="4">
        <f ca="1">IFERROR(__xludf.DUMMYFUNCTION("""COMPUTED_VALUE"""),4)</f>
        <v>4</v>
      </c>
      <c r="AC113" s="4">
        <f ca="1">IFERROR(__xludf.DUMMYFUNCTION("""COMPUTED_VALUE"""),3)</f>
        <v>3</v>
      </c>
      <c r="AD113" s="4">
        <f ca="1">IFERROR(__xludf.DUMMYFUNCTION("""COMPUTED_VALUE"""),3)</f>
        <v>3</v>
      </c>
      <c r="AE113" s="4">
        <f ca="1">IFERROR(__xludf.DUMMYFUNCTION("""COMPUTED_VALUE"""),4)</f>
        <v>4</v>
      </c>
      <c r="AF113" s="4">
        <f ca="1">IFERROR(__xludf.DUMMYFUNCTION("""COMPUTED_VALUE"""),5)</f>
        <v>5</v>
      </c>
      <c r="AG113" s="4">
        <f ca="1">IFERROR(__xludf.DUMMYFUNCTION("""COMPUTED_VALUE"""),5)</f>
        <v>5</v>
      </c>
      <c r="AH113" s="4">
        <f ca="1">IFERROR(__xludf.DUMMYFUNCTION("""COMPUTED_VALUE"""),5)</f>
        <v>5</v>
      </c>
      <c r="AI113" s="4">
        <f ca="1">IFERROR(__xludf.DUMMYFUNCTION("""COMPUTED_VALUE"""),3)</f>
        <v>3</v>
      </c>
      <c r="AJ113" s="4">
        <f ca="1">IFERROR(__xludf.DUMMYFUNCTION("""COMPUTED_VALUE"""),4)</f>
        <v>4</v>
      </c>
      <c r="AK113" s="4">
        <f ca="1">IFERROR(__xludf.DUMMYFUNCTION("""COMPUTED_VALUE"""),5)</f>
        <v>5</v>
      </c>
      <c r="AL113" s="4">
        <f ca="1">IFERROR(__xludf.DUMMYFUNCTION("""COMPUTED_VALUE"""),4)</f>
        <v>4</v>
      </c>
      <c r="AM113" s="4">
        <f ca="1">IFERROR(__xludf.DUMMYFUNCTION("""COMPUTED_VALUE"""),4)</f>
        <v>4</v>
      </c>
      <c r="AN113" s="4">
        <f ca="1">IFERROR(__xludf.DUMMYFUNCTION("""COMPUTED_VALUE"""),4)</f>
        <v>4</v>
      </c>
      <c r="AO113" s="4">
        <f ca="1">IFERROR(__xludf.DUMMYFUNCTION("""COMPUTED_VALUE"""),5)</f>
        <v>5</v>
      </c>
      <c r="AP113" s="4">
        <f ca="1">IFERROR(__xludf.DUMMYFUNCTION("""COMPUTED_VALUE"""),4)</f>
        <v>4</v>
      </c>
      <c r="AQ113" s="4">
        <f ca="1">IFERROR(__xludf.DUMMYFUNCTION("""COMPUTED_VALUE"""),4)</f>
        <v>4</v>
      </c>
      <c r="AR113" s="4">
        <f ca="1">IFERROR(__xludf.DUMMYFUNCTION("""COMPUTED_VALUE"""),5)</f>
        <v>5</v>
      </c>
      <c r="AS113" s="4">
        <f ca="1">IFERROR(__xludf.DUMMYFUNCTION("""COMPUTED_VALUE"""),5)</f>
        <v>5</v>
      </c>
      <c r="AT113" s="4">
        <f ca="1">IFERROR(__xludf.DUMMYFUNCTION("""COMPUTED_VALUE"""),2)</f>
        <v>2</v>
      </c>
      <c r="AU113" s="4">
        <f ca="1">IFERROR(__xludf.DUMMYFUNCTION("""COMPUTED_VALUE"""),4)</f>
        <v>4</v>
      </c>
      <c r="AV113" s="4">
        <f ca="1">IFERROR(__xludf.DUMMYFUNCTION("""COMPUTED_VALUE"""),4)</f>
        <v>4</v>
      </c>
      <c r="AW113" s="4">
        <f ca="1">IFERROR(__xludf.DUMMYFUNCTION("""COMPUTED_VALUE"""),4)</f>
        <v>4</v>
      </c>
      <c r="AX113" s="4">
        <f ca="1">IFERROR(__xludf.DUMMYFUNCTION("""COMPUTED_VALUE"""),5)</f>
        <v>5</v>
      </c>
      <c r="AY113" s="4">
        <f ca="1">IFERROR(__xludf.DUMMYFUNCTION("""COMPUTED_VALUE"""),5)</f>
        <v>5</v>
      </c>
      <c r="AZ113" s="4">
        <f ca="1">IFERROR(__xludf.DUMMYFUNCTION("""COMPUTED_VALUE"""),4)</f>
        <v>4</v>
      </c>
      <c r="BA113" s="4">
        <f ca="1">IFERROR(__xludf.DUMMYFUNCTION("""COMPUTED_VALUE"""),5)</f>
        <v>5</v>
      </c>
      <c r="BB113" s="4">
        <f ca="1">IFERROR(__xludf.DUMMYFUNCTION("""COMPUTED_VALUE"""),4)</f>
        <v>4</v>
      </c>
      <c r="BC113" s="4">
        <f ca="1">IFERROR(__xludf.DUMMYFUNCTION("""COMPUTED_VALUE"""),3)</f>
        <v>3</v>
      </c>
      <c r="BD113" s="4">
        <f ca="1">IFERROR(__xludf.DUMMYFUNCTION("""COMPUTED_VALUE"""),4)</f>
        <v>4</v>
      </c>
      <c r="BE113" s="4">
        <f ca="1">IFERROR(__xludf.DUMMYFUNCTION("""COMPUTED_VALUE"""),3)</f>
        <v>3</v>
      </c>
      <c r="BF113" s="4">
        <f ca="1">IFERROR(__xludf.DUMMYFUNCTION("""COMPUTED_VALUE"""),4)</f>
        <v>4</v>
      </c>
      <c r="BG113" s="4">
        <f ca="1">IFERROR(__xludf.DUMMYFUNCTION("""COMPUTED_VALUE"""),3)</f>
        <v>3</v>
      </c>
      <c r="BH113" s="4">
        <f ca="1">IFERROR(__xludf.DUMMYFUNCTION("""COMPUTED_VALUE"""),4)</f>
        <v>4</v>
      </c>
      <c r="BI113" s="4">
        <f ca="1">IFERROR(__xludf.DUMMYFUNCTION("""COMPUTED_VALUE"""),3)</f>
        <v>3</v>
      </c>
      <c r="BJ113" s="4">
        <f ca="1">IFERROR(__xludf.DUMMYFUNCTION("""COMPUTED_VALUE"""),3)</f>
        <v>3</v>
      </c>
      <c r="BK113" s="4">
        <f ca="1">IFERROR(__xludf.DUMMYFUNCTION("""COMPUTED_VALUE"""),4)</f>
        <v>4</v>
      </c>
      <c r="BL113" s="4">
        <f ca="1">IFERROR(__xludf.DUMMYFUNCTION("""COMPUTED_VALUE"""),4)</f>
        <v>4</v>
      </c>
      <c r="BM113" s="4">
        <f ca="1">IFERROR(__xludf.DUMMYFUNCTION("""COMPUTED_VALUE"""),4)</f>
        <v>4</v>
      </c>
      <c r="BN113" s="4">
        <f ca="1">IFERROR(__xludf.DUMMYFUNCTION("""COMPUTED_VALUE"""),5)</f>
        <v>5</v>
      </c>
      <c r="BO113" s="4">
        <f ca="1">IFERROR(__xludf.DUMMYFUNCTION("""COMPUTED_VALUE"""),5)</f>
        <v>5</v>
      </c>
      <c r="BP113" s="4">
        <f ca="1">IFERROR(__xludf.DUMMYFUNCTION("""COMPUTED_VALUE"""),4)</f>
        <v>4</v>
      </c>
    </row>
    <row r="114" spans="1:68" ht="13.2" x14ac:dyDescent="0.25">
      <c r="A114" s="4" t="str">
        <f ca="1">IFERROR(__xludf.DUMMYFUNCTION("""COMPUTED_VALUE"""),"2_ABaOnuf_VDEBAkk4JitGOtVngfvbp4Xq5tTN9Uhpk5qtTmACU5XCPt6K3HEfqGEKRQ")</f>
        <v>2_ABaOnuf_VDEBAkk4JitGOtVngfvbp4Xq5tTN9Uhpk5qtTmACU5XCPt6K3HEfqGEKRQ</v>
      </c>
      <c r="B114" s="5">
        <f ca="1">IFERROR(__xludf.DUMMYFUNCTION("""COMPUTED_VALUE"""),45973.6326795949)</f>
        <v>45973.632679594899</v>
      </c>
      <c r="C114" s="4" t="str">
        <f ca="1">IFERROR(__xludf.DUMMYFUNCTION("""COMPUTED_VALUE"""),"TRỊNH THỊ BÍCH LIÊN")</f>
        <v>TRỊNH THỊ BÍCH LIÊN</v>
      </c>
      <c r="D114" s="4" t="str">
        <f ca="1">IFERROR(__xludf.DUMMYFUNCTION("""COMPUTED_VALUE"""),"Nữ")</f>
        <v>Nữ</v>
      </c>
      <c r="E114" s="4" t="str">
        <f ca="1">IFERROR(__xludf.DUMMYFUNCTION("""COMPUTED_VALUE"""),"CÔNG TY TNHH KIỂM TOÁN KSI VIỆT NAM")</f>
        <v>CÔNG TY TNHH KIỂM TOÁN KSI VIỆT NAM</v>
      </c>
      <c r="F114" s="4" t="str">
        <f ca="1">IFERROR(__xludf.DUMMYFUNCTION("""COMPUTED_VALUE"""),"Đại học")</f>
        <v>Đại học</v>
      </c>
      <c r="G114" s="4" t="str">
        <f ca="1">IFERROR(__xludf.DUMMYFUNCTION("""COMPUTED_VALUE"""),"Trên 15 đến 20 năm")</f>
        <v>Trên 15 đến 20 năm</v>
      </c>
      <c r="H114" s="4" t="str">
        <f ca="1">IFERROR(__xludf.DUMMYFUNCTION("""COMPUTED_VALUE"""),"Ban giám đốc")</f>
        <v>Ban giám đốc</v>
      </c>
      <c r="I114" s="4">
        <f ca="1">IFERROR(__xludf.DUMMYFUNCTION("""COMPUTED_VALUE"""),4)</f>
        <v>4</v>
      </c>
      <c r="J114" s="4">
        <f ca="1">IFERROR(__xludf.DUMMYFUNCTION("""COMPUTED_VALUE"""),4)</f>
        <v>4</v>
      </c>
      <c r="K114" s="4">
        <f ca="1">IFERROR(__xludf.DUMMYFUNCTION("""COMPUTED_VALUE"""),4)</f>
        <v>4</v>
      </c>
      <c r="L114" s="4">
        <f ca="1">IFERROR(__xludf.DUMMYFUNCTION("""COMPUTED_VALUE"""),3)</f>
        <v>3</v>
      </c>
      <c r="M114" s="4">
        <f ca="1">IFERROR(__xludf.DUMMYFUNCTION("""COMPUTED_VALUE"""),4)</f>
        <v>4</v>
      </c>
      <c r="N114" s="4">
        <f ca="1">IFERROR(__xludf.DUMMYFUNCTION("""COMPUTED_VALUE"""),4)</f>
        <v>4</v>
      </c>
      <c r="O114" s="4">
        <f ca="1">IFERROR(__xludf.DUMMYFUNCTION("""COMPUTED_VALUE"""),3)</f>
        <v>3</v>
      </c>
      <c r="P114" s="4">
        <f ca="1">IFERROR(__xludf.DUMMYFUNCTION("""COMPUTED_VALUE"""),4)</f>
        <v>4</v>
      </c>
      <c r="Q114" s="4">
        <f ca="1">IFERROR(__xludf.DUMMYFUNCTION("""COMPUTED_VALUE"""),3)</f>
        <v>3</v>
      </c>
      <c r="R114" s="4">
        <f ca="1">IFERROR(__xludf.DUMMYFUNCTION("""COMPUTED_VALUE"""),4)</f>
        <v>4</v>
      </c>
      <c r="S114" s="4">
        <f ca="1">IFERROR(__xludf.DUMMYFUNCTION("""COMPUTED_VALUE"""),4)</f>
        <v>4</v>
      </c>
      <c r="T114" s="4">
        <f ca="1">IFERROR(__xludf.DUMMYFUNCTION("""COMPUTED_VALUE"""),4)</f>
        <v>4</v>
      </c>
      <c r="U114" s="4">
        <f ca="1">IFERROR(__xludf.DUMMYFUNCTION("""COMPUTED_VALUE"""),4)</f>
        <v>4</v>
      </c>
      <c r="V114" s="4">
        <f ca="1">IFERROR(__xludf.DUMMYFUNCTION("""COMPUTED_VALUE"""),4)</f>
        <v>4</v>
      </c>
      <c r="W114" s="4">
        <f ca="1">IFERROR(__xludf.DUMMYFUNCTION("""COMPUTED_VALUE"""),4)</f>
        <v>4</v>
      </c>
      <c r="X114" s="4">
        <f ca="1">IFERROR(__xludf.DUMMYFUNCTION("""COMPUTED_VALUE"""),4)</f>
        <v>4</v>
      </c>
      <c r="Y114" s="4">
        <f ca="1">IFERROR(__xludf.DUMMYFUNCTION("""COMPUTED_VALUE"""),4)</f>
        <v>4</v>
      </c>
      <c r="Z114" s="4">
        <f ca="1">IFERROR(__xludf.DUMMYFUNCTION("""COMPUTED_VALUE"""),4)</f>
        <v>4</v>
      </c>
      <c r="AA114" s="4">
        <f ca="1">IFERROR(__xludf.DUMMYFUNCTION("""COMPUTED_VALUE"""),3)</f>
        <v>3</v>
      </c>
      <c r="AB114" s="4">
        <f ca="1">IFERROR(__xludf.DUMMYFUNCTION("""COMPUTED_VALUE"""),4)</f>
        <v>4</v>
      </c>
      <c r="AC114" s="4">
        <f ca="1">IFERROR(__xludf.DUMMYFUNCTION("""COMPUTED_VALUE"""),4)</f>
        <v>4</v>
      </c>
      <c r="AD114" s="4">
        <f ca="1">IFERROR(__xludf.DUMMYFUNCTION("""COMPUTED_VALUE"""),4)</f>
        <v>4</v>
      </c>
      <c r="AE114" s="4">
        <f ca="1">IFERROR(__xludf.DUMMYFUNCTION("""COMPUTED_VALUE"""),4)</f>
        <v>4</v>
      </c>
      <c r="AF114" s="4">
        <f ca="1">IFERROR(__xludf.DUMMYFUNCTION("""COMPUTED_VALUE"""),4)</f>
        <v>4</v>
      </c>
      <c r="AG114" s="4">
        <f ca="1">IFERROR(__xludf.DUMMYFUNCTION("""COMPUTED_VALUE"""),4)</f>
        <v>4</v>
      </c>
      <c r="AH114" s="4">
        <f ca="1">IFERROR(__xludf.DUMMYFUNCTION("""COMPUTED_VALUE"""),4)</f>
        <v>4</v>
      </c>
      <c r="AI114" s="4">
        <f ca="1">IFERROR(__xludf.DUMMYFUNCTION("""COMPUTED_VALUE"""),4)</f>
        <v>4</v>
      </c>
      <c r="AJ114" s="4">
        <f ca="1">IFERROR(__xludf.DUMMYFUNCTION("""COMPUTED_VALUE"""),4)</f>
        <v>4</v>
      </c>
      <c r="AK114" s="4">
        <f ca="1">IFERROR(__xludf.DUMMYFUNCTION("""COMPUTED_VALUE"""),4)</f>
        <v>4</v>
      </c>
      <c r="AL114" s="4">
        <f ca="1">IFERROR(__xludf.DUMMYFUNCTION("""COMPUTED_VALUE"""),4)</f>
        <v>4</v>
      </c>
      <c r="AM114" s="4">
        <f ca="1">IFERROR(__xludf.DUMMYFUNCTION("""COMPUTED_VALUE"""),4)</f>
        <v>4</v>
      </c>
      <c r="AN114" s="4">
        <f ca="1">IFERROR(__xludf.DUMMYFUNCTION("""COMPUTED_VALUE"""),4)</f>
        <v>4</v>
      </c>
      <c r="AO114" s="4">
        <f ca="1">IFERROR(__xludf.DUMMYFUNCTION("""COMPUTED_VALUE"""),3)</f>
        <v>3</v>
      </c>
      <c r="AP114" s="4">
        <f ca="1">IFERROR(__xludf.DUMMYFUNCTION("""COMPUTED_VALUE"""),3)</f>
        <v>3</v>
      </c>
      <c r="AQ114" s="4">
        <f ca="1">IFERROR(__xludf.DUMMYFUNCTION("""COMPUTED_VALUE"""),3)</f>
        <v>3</v>
      </c>
      <c r="AR114" s="4">
        <f ca="1">IFERROR(__xludf.DUMMYFUNCTION("""COMPUTED_VALUE"""),3)</f>
        <v>3</v>
      </c>
      <c r="AS114" s="4">
        <f ca="1">IFERROR(__xludf.DUMMYFUNCTION("""COMPUTED_VALUE"""),4)</f>
        <v>4</v>
      </c>
      <c r="AT114" s="4">
        <f ca="1">IFERROR(__xludf.DUMMYFUNCTION("""COMPUTED_VALUE"""),3)</f>
        <v>3</v>
      </c>
      <c r="AU114" s="4">
        <f ca="1">IFERROR(__xludf.DUMMYFUNCTION("""COMPUTED_VALUE"""),4)</f>
        <v>4</v>
      </c>
      <c r="AV114" s="4">
        <f ca="1">IFERROR(__xludf.DUMMYFUNCTION("""COMPUTED_VALUE"""),4)</f>
        <v>4</v>
      </c>
      <c r="AW114" s="4">
        <f ca="1">IFERROR(__xludf.DUMMYFUNCTION("""COMPUTED_VALUE"""),3)</f>
        <v>3</v>
      </c>
      <c r="AX114" s="4">
        <f ca="1">IFERROR(__xludf.DUMMYFUNCTION("""COMPUTED_VALUE"""),5)</f>
        <v>5</v>
      </c>
      <c r="AY114" s="4">
        <f ca="1">IFERROR(__xludf.DUMMYFUNCTION("""COMPUTED_VALUE"""),4)</f>
        <v>4</v>
      </c>
      <c r="AZ114" s="4">
        <f ca="1">IFERROR(__xludf.DUMMYFUNCTION("""COMPUTED_VALUE"""),4)</f>
        <v>4</v>
      </c>
      <c r="BA114" s="4">
        <f ca="1">IFERROR(__xludf.DUMMYFUNCTION("""COMPUTED_VALUE"""),4)</f>
        <v>4</v>
      </c>
      <c r="BB114" s="4">
        <f ca="1">IFERROR(__xludf.DUMMYFUNCTION("""COMPUTED_VALUE"""),3)</f>
        <v>3</v>
      </c>
      <c r="BC114" s="4">
        <f ca="1">IFERROR(__xludf.DUMMYFUNCTION("""COMPUTED_VALUE"""),3)</f>
        <v>3</v>
      </c>
      <c r="BD114" s="4">
        <f ca="1">IFERROR(__xludf.DUMMYFUNCTION("""COMPUTED_VALUE"""),4)</f>
        <v>4</v>
      </c>
      <c r="BE114" s="4">
        <f ca="1">IFERROR(__xludf.DUMMYFUNCTION("""COMPUTED_VALUE"""),3)</f>
        <v>3</v>
      </c>
      <c r="BF114" s="4">
        <f ca="1">IFERROR(__xludf.DUMMYFUNCTION("""COMPUTED_VALUE"""),3)</f>
        <v>3</v>
      </c>
      <c r="BG114" s="4">
        <f ca="1">IFERROR(__xludf.DUMMYFUNCTION("""COMPUTED_VALUE"""),3)</f>
        <v>3</v>
      </c>
      <c r="BH114" s="4">
        <f ca="1">IFERROR(__xludf.DUMMYFUNCTION("""COMPUTED_VALUE"""),3)</f>
        <v>3</v>
      </c>
      <c r="BI114" s="4">
        <f ca="1">IFERROR(__xludf.DUMMYFUNCTION("""COMPUTED_VALUE"""),4)</f>
        <v>4</v>
      </c>
      <c r="BJ114" s="4">
        <f ca="1">IFERROR(__xludf.DUMMYFUNCTION("""COMPUTED_VALUE"""),4)</f>
        <v>4</v>
      </c>
      <c r="BK114" s="4">
        <f ca="1">IFERROR(__xludf.DUMMYFUNCTION("""COMPUTED_VALUE"""),4)</f>
        <v>4</v>
      </c>
      <c r="BL114" s="4">
        <f ca="1">IFERROR(__xludf.DUMMYFUNCTION("""COMPUTED_VALUE"""),4)</f>
        <v>4</v>
      </c>
      <c r="BM114" s="4">
        <f ca="1">IFERROR(__xludf.DUMMYFUNCTION("""COMPUTED_VALUE"""),4)</f>
        <v>4</v>
      </c>
      <c r="BN114" s="4">
        <f ca="1">IFERROR(__xludf.DUMMYFUNCTION("""COMPUTED_VALUE"""),4)</f>
        <v>4</v>
      </c>
      <c r="BO114" s="4">
        <f ca="1">IFERROR(__xludf.DUMMYFUNCTION("""COMPUTED_VALUE"""),4)</f>
        <v>4</v>
      </c>
      <c r="BP114" s="4">
        <f ca="1">IFERROR(__xludf.DUMMYFUNCTION("""COMPUTED_VALUE"""),3)</f>
        <v>3</v>
      </c>
    </row>
    <row r="115" spans="1:68" ht="13.2" x14ac:dyDescent="0.25">
      <c r="A115" s="4" t="str">
        <f ca="1">IFERROR(__xludf.DUMMYFUNCTION("""COMPUTED_VALUE"""),"2_ABaOnucWSPMCPT6SqMw4fskrD5US8NrS0kJ5a6ekQcqu27YPR3Xuqug3J6T0KyXDCA")</f>
        <v>2_ABaOnucWSPMCPT6SqMw4fskrD5US8NrS0kJ5a6ekQcqu27YPR3Xuqug3J6T0KyXDCA</v>
      </c>
      <c r="B115" s="5">
        <f ca="1">IFERROR(__xludf.DUMMYFUNCTION("""COMPUTED_VALUE"""),45973.6460370023)</f>
        <v>45973.646037002298</v>
      </c>
      <c r="C115" s="4" t="str">
        <f ca="1">IFERROR(__xludf.DUMMYFUNCTION("""COMPUTED_VALUE"""),"NGUYỄN VĂN TẦN")</f>
        <v>NGUYỄN VĂN TẦN</v>
      </c>
      <c r="D115" s="4" t="str">
        <f ca="1">IFERROR(__xludf.DUMMYFUNCTION("""COMPUTED_VALUE"""),"Nam")</f>
        <v>Nam</v>
      </c>
      <c r="E115" s="4" t="str">
        <f ca="1">IFERROR(__xludf.DUMMYFUNCTION("""COMPUTED_VALUE"""),"Công ty TNHH Kiểm toán và Định giá Quốc Tế _CN HCM")</f>
        <v>Công ty TNHH Kiểm toán và Định giá Quốc Tế _CN HCM</v>
      </c>
      <c r="F115" s="4" t="str">
        <f ca="1">IFERROR(__xludf.DUMMYFUNCTION("""COMPUTED_VALUE"""),"Đại học")</f>
        <v>Đại học</v>
      </c>
      <c r="G115" s="4" t="str">
        <f ca="1">IFERROR(__xludf.DUMMYFUNCTION("""COMPUTED_VALUE"""),"Trên 10 đến 15 năm")</f>
        <v>Trên 10 đến 15 năm</v>
      </c>
      <c r="H115" s="4" t="str">
        <f ca="1">IFERROR(__xludf.DUMMYFUNCTION("""COMPUTED_VALUE"""),"Trưởng phòng")</f>
        <v>Trưởng phòng</v>
      </c>
      <c r="I115" s="4">
        <f ca="1">IFERROR(__xludf.DUMMYFUNCTION("""COMPUTED_VALUE"""),4)</f>
        <v>4</v>
      </c>
      <c r="J115" s="4">
        <f ca="1">IFERROR(__xludf.DUMMYFUNCTION("""COMPUTED_VALUE"""),4)</f>
        <v>4</v>
      </c>
      <c r="K115" s="4">
        <f ca="1">IFERROR(__xludf.DUMMYFUNCTION("""COMPUTED_VALUE"""),4)</f>
        <v>4</v>
      </c>
      <c r="L115" s="4">
        <f ca="1">IFERROR(__xludf.DUMMYFUNCTION("""COMPUTED_VALUE"""),4)</f>
        <v>4</v>
      </c>
      <c r="M115" s="4">
        <f ca="1">IFERROR(__xludf.DUMMYFUNCTION("""COMPUTED_VALUE"""),4)</f>
        <v>4</v>
      </c>
      <c r="N115" s="4">
        <f ca="1">IFERROR(__xludf.DUMMYFUNCTION("""COMPUTED_VALUE"""),4)</f>
        <v>4</v>
      </c>
      <c r="O115" s="4">
        <f ca="1">IFERROR(__xludf.DUMMYFUNCTION("""COMPUTED_VALUE"""),4)</f>
        <v>4</v>
      </c>
      <c r="P115" s="4">
        <f ca="1">IFERROR(__xludf.DUMMYFUNCTION("""COMPUTED_VALUE"""),4)</f>
        <v>4</v>
      </c>
      <c r="Q115" s="4">
        <f ca="1">IFERROR(__xludf.DUMMYFUNCTION("""COMPUTED_VALUE"""),4)</f>
        <v>4</v>
      </c>
      <c r="R115" s="4">
        <f ca="1">IFERROR(__xludf.DUMMYFUNCTION("""COMPUTED_VALUE"""),4)</f>
        <v>4</v>
      </c>
      <c r="S115" s="4">
        <f ca="1">IFERROR(__xludf.DUMMYFUNCTION("""COMPUTED_VALUE"""),4)</f>
        <v>4</v>
      </c>
      <c r="T115" s="4">
        <f ca="1">IFERROR(__xludf.DUMMYFUNCTION("""COMPUTED_VALUE"""),4)</f>
        <v>4</v>
      </c>
      <c r="U115" s="4">
        <f ca="1">IFERROR(__xludf.DUMMYFUNCTION("""COMPUTED_VALUE"""),4)</f>
        <v>4</v>
      </c>
      <c r="V115" s="4">
        <f ca="1">IFERROR(__xludf.DUMMYFUNCTION("""COMPUTED_VALUE"""),4)</f>
        <v>4</v>
      </c>
      <c r="W115" s="4">
        <f ca="1">IFERROR(__xludf.DUMMYFUNCTION("""COMPUTED_VALUE"""),3)</f>
        <v>3</v>
      </c>
      <c r="X115" s="4">
        <f ca="1">IFERROR(__xludf.DUMMYFUNCTION("""COMPUTED_VALUE"""),4)</f>
        <v>4</v>
      </c>
      <c r="Y115" s="4">
        <f ca="1">IFERROR(__xludf.DUMMYFUNCTION("""COMPUTED_VALUE"""),4)</f>
        <v>4</v>
      </c>
      <c r="Z115" s="4">
        <f ca="1">IFERROR(__xludf.DUMMYFUNCTION("""COMPUTED_VALUE"""),3)</f>
        <v>3</v>
      </c>
      <c r="AA115" s="4">
        <f ca="1">IFERROR(__xludf.DUMMYFUNCTION("""COMPUTED_VALUE"""),4)</f>
        <v>4</v>
      </c>
      <c r="AB115" s="4">
        <f ca="1">IFERROR(__xludf.DUMMYFUNCTION("""COMPUTED_VALUE"""),3)</f>
        <v>3</v>
      </c>
      <c r="AC115" s="4">
        <f ca="1">IFERROR(__xludf.DUMMYFUNCTION("""COMPUTED_VALUE"""),4)</f>
        <v>4</v>
      </c>
      <c r="AD115" s="4">
        <f ca="1">IFERROR(__xludf.DUMMYFUNCTION("""COMPUTED_VALUE"""),3)</f>
        <v>3</v>
      </c>
      <c r="AE115" s="4">
        <f ca="1">IFERROR(__xludf.DUMMYFUNCTION("""COMPUTED_VALUE"""),4)</f>
        <v>4</v>
      </c>
      <c r="AF115" s="4">
        <f ca="1">IFERROR(__xludf.DUMMYFUNCTION("""COMPUTED_VALUE"""),4)</f>
        <v>4</v>
      </c>
      <c r="AG115" s="4">
        <f ca="1">IFERROR(__xludf.DUMMYFUNCTION("""COMPUTED_VALUE"""),4)</f>
        <v>4</v>
      </c>
      <c r="AH115" s="4">
        <f ca="1">IFERROR(__xludf.DUMMYFUNCTION("""COMPUTED_VALUE"""),4)</f>
        <v>4</v>
      </c>
      <c r="AI115" s="4">
        <f ca="1">IFERROR(__xludf.DUMMYFUNCTION("""COMPUTED_VALUE"""),3)</f>
        <v>3</v>
      </c>
      <c r="AJ115" s="4">
        <f ca="1">IFERROR(__xludf.DUMMYFUNCTION("""COMPUTED_VALUE"""),4)</f>
        <v>4</v>
      </c>
      <c r="AK115" s="4">
        <f ca="1">IFERROR(__xludf.DUMMYFUNCTION("""COMPUTED_VALUE"""),4)</f>
        <v>4</v>
      </c>
      <c r="AL115" s="4">
        <f ca="1">IFERROR(__xludf.DUMMYFUNCTION("""COMPUTED_VALUE"""),4)</f>
        <v>4</v>
      </c>
      <c r="AM115" s="4">
        <f ca="1">IFERROR(__xludf.DUMMYFUNCTION("""COMPUTED_VALUE"""),4)</f>
        <v>4</v>
      </c>
      <c r="AN115" s="4">
        <f ca="1">IFERROR(__xludf.DUMMYFUNCTION("""COMPUTED_VALUE"""),4)</f>
        <v>4</v>
      </c>
      <c r="AO115" s="4">
        <f ca="1">IFERROR(__xludf.DUMMYFUNCTION("""COMPUTED_VALUE"""),4)</f>
        <v>4</v>
      </c>
      <c r="AP115" s="4">
        <f ca="1">IFERROR(__xludf.DUMMYFUNCTION("""COMPUTED_VALUE"""),4)</f>
        <v>4</v>
      </c>
      <c r="AQ115" s="4">
        <f ca="1">IFERROR(__xludf.DUMMYFUNCTION("""COMPUTED_VALUE"""),4)</f>
        <v>4</v>
      </c>
      <c r="AR115" s="4">
        <f ca="1">IFERROR(__xludf.DUMMYFUNCTION("""COMPUTED_VALUE"""),4)</f>
        <v>4</v>
      </c>
      <c r="AS115" s="4">
        <f ca="1">IFERROR(__xludf.DUMMYFUNCTION("""COMPUTED_VALUE"""),4)</f>
        <v>4</v>
      </c>
      <c r="AT115" s="4">
        <f ca="1">IFERROR(__xludf.DUMMYFUNCTION("""COMPUTED_VALUE"""),3)</f>
        <v>3</v>
      </c>
      <c r="AU115" s="4">
        <f ca="1">IFERROR(__xludf.DUMMYFUNCTION("""COMPUTED_VALUE"""),4)</f>
        <v>4</v>
      </c>
      <c r="AV115" s="4">
        <f ca="1">IFERROR(__xludf.DUMMYFUNCTION("""COMPUTED_VALUE"""),4)</f>
        <v>4</v>
      </c>
      <c r="AW115" s="4">
        <f ca="1">IFERROR(__xludf.DUMMYFUNCTION("""COMPUTED_VALUE"""),4)</f>
        <v>4</v>
      </c>
      <c r="AX115" s="4">
        <f ca="1">IFERROR(__xludf.DUMMYFUNCTION("""COMPUTED_VALUE"""),4)</f>
        <v>4</v>
      </c>
      <c r="AY115" s="4">
        <f ca="1">IFERROR(__xludf.DUMMYFUNCTION("""COMPUTED_VALUE"""),4)</f>
        <v>4</v>
      </c>
      <c r="AZ115" s="4">
        <f ca="1">IFERROR(__xludf.DUMMYFUNCTION("""COMPUTED_VALUE"""),4)</f>
        <v>4</v>
      </c>
      <c r="BA115" s="4">
        <f ca="1">IFERROR(__xludf.DUMMYFUNCTION("""COMPUTED_VALUE"""),4)</f>
        <v>4</v>
      </c>
      <c r="BB115" s="4">
        <f ca="1">IFERROR(__xludf.DUMMYFUNCTION("""COMPUTED_VALUE"""),4)</f>
        <v>4</v>
      </c>
      <c r="BC115" s="4">
        <f ca="1">IFERROR(__xludf.DUMMYFUNCTION("""COMPUTED_VALUE"""),4)</f>
        <v>4</v>
      </c>
      <c r="BD115" s="4">
        <f ca="1">IFERROR(__xludf.DUMMYFUNCTION("""COMPUTED_VALUE"""),4)</f>
        <v>4</v>
      </c>
      <c r="BE115" s="4">
        <f ca="1">IFERROR(__xludf.DUMMYFUNCTION("""COMPUTED_VALUE"""),4)</f>
        <v>4</v>
      </c>
      <c r="BF115" s="4">
        <f ca="1">IFERROR(__xludf.DUMMYFUNCTION("""COMPUTED_VALUE"""),4)</f>
        <v>4</v>
      </c>
      <c r="BG115" s="4">
        <f ca="1">IFERROR(__xludf.DUMMYFUNCTION("""COMPUTED_VALUE"""),3)</f>
        <v>3</v>
      </c>
      <c r="BH115" s="4">
        <f ca="1">IFERROR(__xludf.DUMMYFUNCTION("""COMPUTED_VALUE"""),4)</f>
        <v>4</v>
      </c>
      <c r="BI115" s="4">
        <f ca="1">IFERROR(__xludf.DUMMYFUNCTION("""COMPUTED_VALUE"""),4)</f>
        <v>4</v>
      </c>
      <c r="BJ115" s="4">
        <f ca="1">IFERROR(__xludf.DUMMYFUNCTION("""COMPUTED_VALUE"""),4)</f>
        <v>4</v>
      </c>
      <c r="BK115" s="4">
        <f ca="1">IFERROR(__xludf.DUMMYFUNCTION("""COMPUTED_VALUE"""),4)</f>
        <v>4</v>
      </c>
      <c r="BL115" s="4">
        <f ca="1">IFERROR(__xludf.DUMMYFUNCTION("""COMPUTED_VALUE"""),4)</f>
        <v>4</v>
      </c>
      <c r="BM115" s="4">
        <f ca="1">IFERROR(__xludf.DUMMYFUNCTION("""COMPUTED_VALUE"""),4)</f>
        <v>4</v>
      </c>
      <c r="BN115" s="4">
        <f ca="1">IFERROR(__xludf.DUMMYFUNCTION("""COMPUTED_VALUE"""),4)</f>
        <v>4</v>
      </c>
      <c r="BO115" s="4">
        <f ca="1">IFERROR(__xludf.DUMMYFUNCTION("""COMPUTED_VALUE"""),4)</f>
        <v>4</v>
      </c>
      <c r="BP115" s="4">
        <f ca="1">IFERROR(__xludf.DUMMYFUNCTION("""COMPUTED_VALUE"""),4)</f>
        <v>4</v>
      </c>
    </row>
    <row r="116" spans="1:68" ht="13.2" x14ac:dyDescent="0.25">
      <c r="A116" s="4" t="str">
        <f ca="1">IFERROR(__xludf.DUMMYFUNCTION("""COMPUTED_VALUE"""),"2_ABaOnudKRM7IjBeVPN_FmB3wbsWNPK9hlkSvU1gEpx9vWXvQivRFDfAbUr32capK_g")</f>
        <v>2_ABaOnudKRM7IjBeVPN_FmB3wbsWNPK9hlkSvU1gEpx9vWXvQivRFDfAbUr32capK_g</v>
      </c>
      <c r="B116" s="5">
        <f ca="1">IFERROR(__xludf.DUMMYFUNCTION("""COMPUTED_VALUE"""),45973.6610390625)</f>
        <v>45973.661039062499</v>
      </c>
      <c r="C116" s="4" t="str">
        <f ca="1">IFERROR(__xludf.DUMMYFUNCTION("""COMPUTED_VALUE"""),"NGUYỄN THỊ CẨM HỒNG")</f>
        <v>NGUYỄN THỊ CẨM HỒNG</v>
      </c>
      <c r="D116" s="4" t="str">
        <f ca="1">IFERROR(__xludf.DUMMYFUNCTION("""COMPUTED_VALUE"""),"Nữ")</f>
        <v>Nữ</v>
      </c>
      <c r="E116" s="4" t="str">
        <f ca="1">IFERROR(__xludf.DUMMYFUNCTION("""COMPUTED_VALUE"""),"Công ty CP Thực phẩm Agrex Saigon")</f>
        <v>Công ty CP Thực phẩm Agrex Saigon</v>
      </c>
      <c r="F116" s="4" t="str">
        <f ca="1">IFERROR(__xludf.DUMMYFUNCTION("""COMPUTED_VALUE"""),"Sau đại học, Chứng chỉ Kiểm toán viên")</f>
        <v>Sau đại học, Chứng chỉ Kiểm toán viên</v>
      </c>
      <c r="G116" s="4" t="str">
        <f ca="1">IFERROR(__xludf.DUMMYFUNCTION("""COMPUTED_VALUE"""),"Trên 15 đến 20 năm")</f>
        <v>Trên 15 đến 20 năm</v>
      </c>
      <c r="H116" s="4" t="str">
        <f ca="1">IFERROR(__xludf.DUMMYFUNCTION("""COMPUTED_VALUE"""),"Kiểm toán viên/Trưởng nhóm")</f>
        <v>Kiểm toán viên/Trưởng nhóm</v>
      </c>
      <c r="I116" s="4">
        <f ca="1">IFERROR(__xludf.DUMMYFUNCTION("""COMPUTED_VALUE"""),5)</f>
        <v>5</v>
      </c>
      <c r="J116" s="4">
        <f ca="1">IFERROR(__xludf.DUMMYFUNCTION("""COMPUTED_VALUE"""),5)</f>
        <v>5</v>
      </c>
      <c r="K116" s="4">
        <f ca="1">IFERROR(__xludf.DUMMYFUNCTION("""COMPUTED_VALUE"""),4)</f>
        <v>4</v>
      </c>
      <c r="L116" s="4">
        <f ca="1">IFERROR(__xludf.DUMMYFUNCTION("""COMPUTED_VALUE"""),4)</f>
        <v>4</v>
      </c>
      <c r="M116" s="4">
        <f ca="1">IFERROR(__xludf.DUMMYFUNCTION("""COMPUTED_VALUE"""),5)</f>
        <v>5</v>
      </c>
      <c r="N116" s="4">
        <f ca="1">IFERROR(__xludf.DUMMYFUNCTION("""COMPUTED_VALUE"""),3)</f>
        <v>3</v>
      </c>
      <c r="O116" s="4">
        <f ca="1">IFERROR(__xludf.DUMMYFUNCTION("""COMPUTED_VALUE"""),3)</f>
        <v>3</v>
      </c>
      <c r="P116" s="4">
        <f ca="1">IFERROR(__xludf.DUMMYFUNCTION("""COMPUTED_VALUE"""),5)</f>
        <v>5</v>
      </c>
      <c r="Q116" s="4">
        <f ca="1">IFERROR(__xludf.DUMMYFUNCTION("""COMPUTED_VALUE"""),5)</f>
        <v>5</v>
      </c>
      <c r="R116" s="4">
        <f ca="1">IFERROR(__xludf.DUMMYFUNCTION("""COMPUTED_VALUE"""),5)</f>
        <v>5</v>
      </c>
      <c r="S116" s="4">
        <f ca="1">IFERROR(__xludf.DUMMYFUNCTION("""COMPUTED_VALUE"""),5)</f>
        <v>5</v>
      </c>
      <c r="T116" s="4">
        <f ca="1">IFERROR(__xludf.DUMMYFUNCTION("""COMPUTED_VALUE"""),5)</f>
        <v>5</v>
      </c>
      <c r="U116" s="4">
        <f ca="1">IFERROR(__xludf.DUMMYFUNCTION("""COMPUTED_VALUE"""),5)</f>
        <v>5</v>
      </c>
      <c r="V116" s="4">
        <f ca="1">IFERROR(__xludf.DUMMYFUNCTION("""COMPUTED_VALUE"""),5)</f>
        <v>5</v>
      </c>
      <c r="W116" s="4">
        <f ca="1">IFERROR(__xludf.DUMMYFUNCTION("""COMPUTED_VALUE"""),4)</f>
        <v>4</v>
      </c>
      <c r="X116" s="4">
        <f ca="1">IFERROR(__xludf.DUMMYFUNCTION("""COMPUTED_VALUE"""),4)</f>
        <v>4</v>
      </c>
      <c r="Y116" s="4">
        <f ca="1">IFERROR(__xludf.DUMMYFUNCTION("""COMPUTED_VALUE"""),4)</f>
        <v>4</v>
      </c>
      <c r="Z116" s="4">
        <f ca="1">IFERROR(__xludf.DUMMYFUNCTION("""COMPUTED_VALUE"""),5)</f>
        <v>5</v>
      </c>
      <c r="AA116" s="4">
        <f ca="1">IFERROR(__xludf.DUMMYFUNCTION("""COMPUTED_VALUE"""),5)</f>
        <v>5</v>
      </c>
      <c r="AB116" s="4">
        <f ca="1">IFERROR(__xludf.DUMMYFUNCTION("""COMPUTED_VALUE"""),5)</f>
        <v>5</v>
      </c>
      <c r="AC116" s="4">
        <f ca="1">IFERROR(__xludf.DUMMYFUNCTION("""COMPUTED_VALUE"""),3)</f>
        <v>3</v>
      </c>
      <c r="AD116" s="4">
        <f ca="1">IFERROR(__xludf.DUMMYFUNCTION("""COMPUTED_VALUE"""),2)</f>
        <v>2</v>
      </c>
      <c r="AE116" s="4">
        <f ca="1">IFERROR(__xludf.DUMMYFUNCTION("""COMPUTED_VALUE"""),5)</f>
        <v>5</v>
      </c>
      <c r="AF116" s="4">
        <f ca="1">IFERROR(__xludf.DUMMYFUNCTION("""COMPUTED_VALUE"""),4)</f>
        <v>4</v>
      </c>
      <c r="AG116" s="4">
        <f ca="1">IFERROR(__xludf.DUMMYFUNCTION("""COMPUTED_VALUE"""),4)</f>
        <v>4</v>
      </c>
      <c r="AH116" s="4">
        <f ca="1">IFERROR(__xludf.DUMMYFUNCTION("""COMPUTED_VALUE"""),4)</f>
        <v>4</v>
      </c>
      <c r="AI116" s="4">
        <f ca="1">IFERROR(__xludf.DUMMYFUNCTION("""COMPUTED_VALUE"""),4)</f>
        <v>4</v>
      </c>
      <c r="AJ116" s="4">
        <f ca="1">IFERROR(__xludf.DUMMYFUNCTION("""COMPUTED_VALUE"""),5)</f>
        <v>5</v>
      </c>
      <c r="AK116" s="4">
        <f ca="1">IFERROR(__xludf.DUMMYFUNCTION("""COMPUTED_VALUE"""),5)</f>
        <v>5</v>
      </c>
      <c r="AL116" s="4">
        <f ca="1">IFERROR(__xludf.DUMMYFUNCTION("""COMPUTED_VALUE"""),5)</f>
        <v>5</v>
      </c>
      <c r="AM116" s="4">
        <f ca="1">IFERROR(__xludf.DUMMYFUNCTION("""COMPUTED_VALUE"""),4)</f>
        <v>4</v>
      </c>
      <c r="AN116" s="4">
        <f ca="1">IFERROR(__xludf.DUMMYFUNCTION("""COMPUTED_VALUE"""),4)</f>
        <v>4</v>
      </c>
      <c r="AO116" s="4">
        <f ca="1">IFERROR(__xludf.DUMMYFUNCTION("""COMPUTED_VALUE"""),4)</f>
        <v>4</v>
      </c>
      <c r="AP116" s="4">
        <f ca="1">IFERROR(__xludf.DUMMYFUNCTION("""COMPUTED_VALUE"""),4)</f>
        <v>4</v>
      </c>
      <c r="AQ116" s="4">
        <f ca="1">IFERROR(__xludf.DUMMYFUNCTION("""COMPUTED_VALUE"""),4)</f>
        <v>4</v>
      </c>
      <c r="AR116" s="4">
        <f ca="1">IFERROR(__xludf.DUMMYFUNCTION("""COMPUTED_VALUE"""),4)</f>
        <v>4</v>
      </c>
      <c r="AS116" s="4">
        <f ca="1">IFERROR(__xludf.DUMMYFUNCTION("""COMPUTED_VALUE"""),4)</f>
        <v>4</v>
      </c>
      <c r="AT116" s="4">
        <f ca="1">IFERROR(__xludf.DUMMYFUNCTION("""COMPUTED_VALUE"""),4)</f>
        <v>4</v>
      </c>
      <c r="AU116" s="4">
        <f ca="1">IFERROR(__xludf.DUMMYFUNCTION("""COMPUTED_VALUE"""),4)</f>
        <v>4</v>
      </c>
      <c r="AV116" s="4">
        <f ca="1">IFERROR(__xludf.DUMMYFUNCTION("""COMPUTED_VALUE"""),4)</f>
        <v>4</v>
      </c>
      <c r="AW116" s="4">
        <f ca="1">IFERROR(__xludf.DUMMYFUNCTION("""COMPUTED_VALUE"""),4)</f>
        <v>4</v>
      </c>
      <c r="AX116" s="4">
        <f ca="1">IFERROR(__xludf.DUMMYFUNCTION("""COMPUTED_VALUE"""),5)</f>
        <v>5</v>
      </c>
      <c r="AY116" s="4">
        <f ca="1">IFERROR(__xludf.DUMMYFUNCTION("""COMPUTED_VALUE"""),5)</f>
        <v>5</v>
      </c>
      <c r="AZ116" s="4">
        <f ca="1">IFERROR(__xludf.DUMMYFUNCTION("""COMPUTED_VALUE"""),5)</f>
        <v>5</v>
      </c>
      <c r="BA116" s="4">
        <f ca="1">IFERROR(__xludf.DUMMYFUNCTION("""COMPUTED_VALUE"""),5)</f>
        <v>5</v>
      </c>
      <c r="BB116" s="4">
        <f ca="1">IFERROR(__xludf.DUMMYFUNCTION("""COMPUTED_VALUE"""),4)</f>
        <v>4</v>
      </c>
      <c r="BC116" s="4">
        <f ca="1">IFERROR(__xludf.DUMMYFUNCTION("""COMPUTED_VALUE"""),2)</f>
        <v>2</v>
      </c>
      <c r="BD116" s="4">
        <f ca="1">IFERROR(__xludf.DUMMYFUNCTION("""COMPUTED_VALUE"""),2)</f>
        <v>2</v>
      </c>
      <c r="BE116" s="4">
        <f ca="1">IFERROR(__xludf.DUMMYFUNCTION("""COMPUTED_VALUE"""),2)</f>
        <v>2</v>
      </c>
      <c r="BF116" s="4">
        <f ca="1">IFERROR(__xludf.DUMMYFUNCTION("""COMPUTED_VALUE"""),2)</f>
        <v>2</v>
      </c>
      <c r="BG116" s="4">
        <f ca="1">IFERROR(__xludf.DUMMYFUNCTION("""COMPUTED_VALUE"""),2)</f>
        <v>2</v>
      </c>
      <c r="BH116" s="4">
        <f ca="1">IFERROR(__xludf.DUMMYFUNCTION("""COMPUTED_VALUE"""),4)</f>
        <v>4</v>
      </c>
      <c r="BI116" s="4">
        <f ca="1">IFERROR(__xludf.DUMMYFUNCTION("""COMPUTED_VALUE"""),4)</f>
        <v>4</v>
      </c>
      <c r="BJ116" s="4">
        <f ca="1">IFERROR(__xludf.DUMMYFUNCTION("""COMPUTED_VALUE"""),4)</f>
        <v>4</v>
      </c>
      <c r="BK116" s="4">
        <f ca="1">IFERROR(__xludf.DUMMYFUNCTION("""COMPUTED_VALUE"""),5)</f>
        <v>5</v>
      </c>
      <c r="BL116" s="4">
        <f ca="1">IFERROR(__xludf.DUMMYFUNCTION("""COMPUTED_VALUE"""),5)</f>
        <v>5</v>
      </c>
      <c r="BM116" s="4">
        <f ca="1">IFERROR(__xludf.DUMMYFUNCTION("""COMPUTED_VALUE"""),5)</f>
        <v>5</v>
      </c>
      <c r="BN116" s="4">
        <f ca="1">IFERROR(__xludf.DUMMYFUNCTION("""COMPUTED_VALUE"""),5)</f>
        <v>5</v>
      </c>
      <c r="BO116" s="4">
        <f ca="1">IFERROR(__xludf.DUMMYFUNCTION("""COMPUTED_VALUE"""),5)</f>
        <v>5</v>
      </c>
      <c r="BP116" s="4">
        <f ca="1">IFERROR(__xludf.DUMMYFUNCTION("""COMPUTED_VALUE"""),5)</f>
        <v>5</v>
      </c>
    </row>
    <row r="117" spans="1:68" ht="13.2" x14ac:dyDescent="0.25">
      <c r="A117" s="4" t="str">
        <f ca="1">IFERROR(__xludf.DUMMYFUNCTION("""COMPUTED_VALUE"""),"2_ABaOnue5qCmDXb49GinuhSE-cxwx_yg2mc-os7DdFa5NVFp-GNR33xgiyky8l3cYMw")</f>
        <v>2_ABaOnue5qCmDXb49GinuhSE-cxwx_yg2mc-os7DdFa5NVFp-GNR33xgiyky8l3cYMw</v>
      </c>
      <c r="B117" s="5">
        <f ca="1">IFERROR(__xludf.DUMMYFUNCTION("""COMPUTED_VALUE"""),45973.6651232407)</f>
        <v>45973.665123240702</v>
      </c>
      <c r="C117" s="4" t="str">
        <f ca="1">IFERROR(__xludf.DUMMYFUNCTION("""COMPUTED_VALUE"""),"Lê Ngọc Dũng")</f>
        <v>Lê Ngọc Dũng</v>
      </c>
      <c r="D117" s="4" t="str">
        <f ca="1">IFERROR(__xludf.DUMMYFUNCTION("""COMPUTED_VALUE"""),"Nam")</f>
        <v>Nam</v>
      </c>
      <c r="E117" s="4" t="str">
        <f ca="1">IFERROR(__xludf.DUMMYFUNCTION("""COMPUTED_VALUE"""),"Công ty TNHH Kiểm toán quốc tế PNT")</f>
        <v>Công ty TNHH Kiểm toán quốc tế PNT</v>
      </c>
      <c r="F117" s="4" t="str">
        <f ca="1">IFERROR(__xludf.DUMMYFUNCTION("""COMPUTED_VALUE"""),"Đại học")</f>
        <v>Đại học</v>
      </c>
      <c r="G117" s="4" t="str">
        <f ca="1">IFERROR(__xludf.DUMMYFUNCTION("""COMPUTED_VALUE"""),"Trên 15 đến 20 năm")</f>
        <v>Trên 15 đến 20 năm</v>
      </c>
      <c r="H117" s="4" t="str">
        <f ca="1">IFERROR(__xludf.DUMMYFUNCTION("""COMPUTED_VALUE"""),"Ban giám đốc")</f>
        <v>Ban giám đốc</v>
      </c>
      <c r="I117" s="4">
        <f ca="1">IFERROR(__xludf.DUMMYFUNCTION("""COMPUTED_VALUE"""),5)</f>
        <v>5</v>
      </c>
      <c r="J117" s="4">
        <f ca="1">IFERROR(__xludf.DUMMYFUNCTION("""COMPUTED_VALUE"""),5)</f>
        <v>5</v>
      </c>
      <c r="K117" s="4">
        <f ca="1">IFERROR(__xludf.DUMMYFUNCTION("""COMPUTED_VALUE"""),5)</f>
        <v>5</v>
      </c>
      <c r="L117" s="4">
        <f ca="1">IFERROR(__xludf.DUMMYFUNCTION("""COMPUTED_VALUE"""),5)</f>
        <v>5</v>
      </c>
      <c r="M117" s="4">
        <f ca="1">IFERROR(__xludf.DUMMYFUNCTION("""COMPUTED_VALUE"""),5)</f>
        <v>5</v>
      </c>
      <c r="N117" s="4">
        <f ca="1">IFERROR(__xludf.DUMMYFUNCTION("""COMPUTED_VALUE"""),3)</f>
        <v>3</v>
      </c>
      <c r="O117" s="4">
        <f ca="1">IFERROR(__xludf.DUMMYFUNCTION("""COMPUTED_VALUE"""),4)</f>
        <v>4</v>
      </c>
      <c r="P117" s="4">
        <f ca="1">IFERROR(__xludf.DUMMYFUNCTION("""COMPUTED_VALUE"""),4)</f>
        <v>4</v>
      </c>
      <c r="Q117" s="4">
        <f ca="1">IFERROR(__xludf.DUMMYFUNCTION("""COMPUTED_VALUE"""),5)</f>
        <v>5</v>
      </c>
      <c r="R117" s="4">
        <f ca="1">IFERROR(__xludf.DUMMYFUNCTION("""COMPUTED_VALUE"""),5)</f>
        <v>5</v>
      </c>
      <c r="S117" s="4">
        <f ca="1">IFERROR(__xludf.DUMMYFUNCTION("""COMPUTED_VALUE"""),5)</f>
        <v>5</v>
      </c>
      <c r="T117" s="4">
        <f ca="1">IFERROR(__xludf.DUMMYFUNCTION("""COMPUTED_VALUE"""),5)</f>
        <v>5</v>
      </c>
      <c r="U117" s="4">
        <f ca="1">IFERROR(__xludf.DUMMYFUNCTION("""COMPUTED_VALUE"""),5)</f>
        <v>5</v>
      </c>
      <c r="V117" s="4">
        <f ca="1">IFERROR(__xludf.DUMMYFUNCTION("""COMPUTED_VALUE"""),5)</f>
        <v>5</v>
      </c>
      <c r="W117" s="4">
        <f ca="1">IFERROR(__xludf.DUMMYFUNCTION("""COMPUTED_VALUE"""),4)</f>
        <v>4</v>
      </c>
      <c r="X117" s="4">
        <f ca="1">IFERROR(__xludf.DUMMYFUNCTION("""COMPUTED_VALUE"""),4)</f>
        <v>4</v>
      </c>
      <c r="Y117" s="4">
        <f ca="1">IFERROR(__xludf.DUMMYFUNCTION("""COMPUTED_VALUE"""),4)</f>
        <v>4</v>
      </c>
      <c r="Z117" s="4">
        <f ca="1">IFERROR(__xludf.DUMMYFUNCTION("""COMPUTED_VALUE"""),4)</f>
        <v>4</v>
      </c>
      <c r="AA117" s="4">
        <f ca="1">IFERROR(__xludf.DUMMYFUNCTION("""COMPUTED_VALUE"""),4)</f>
        <v>4</v>
      </c>
      <c r="AB117" s="4">
        <f ca="1">IFERROR(__xludf.DUMMYFUNCTION("""COMPUTED_VALUE"""),4)</f>
        <v>4</v>
      </c>
      <c r="AC117" s="4">
        <f ca="1">IFERROR(__xludf.DUMMYFUNCTION("""COMPUTED_VALUE"""),4)</f>
        <v>4</v>
      </c>
      <c r="AD117" s="4">
        <f ca="1">IFERROR(__xludf.DUMMYFUNCTION("""COMPUTED_VALUE"""),4)</f>
        <v>4</v>
      </c>
      <c r="AE117" s="4">
        <f ca="1">IFERROR(__xludf.DUMMYFUNCTION("""COMPUTED_VALUE"""),4)</f>
        <v>4</v>
      </c>
      <c r="AF117" s="4">
        <f ca="1">IFERROR(__xludf.DUMMYFUNCTION("""COMPUTED_VALUE"""),5)</f>
        <v>5</v>
      </c>
      <c r="AG117" s="4">
        <f ca="1">IFERROR(__xludf.DUMMYFUNCTION("""COMPUTED_VALUE"""),5)</f>
        <v>5</v>
      </c>
      <c r="AH117" s="4">
        <f ca="1">IFERROR(__xludf.DUMMYFUNCTION("""COMPUTED_VALUE"""),4)</f>
        <v>4</v>
      </c>
      <c r="AI117" s="4">
        <f ca="1">IFERROR(__xludf.DUMMYFUNCTION("""COMPUTED_VALUE"""),4)</f>
        <v>4</v>
      </c>
      <c r="AJ117" s="4">
        <f ca="1">IFERROR(__xludf.DUMMYFUNCTION("""COMPUTED_VALUE"""),5)</f>
        <v>5</v>
      </c>
      <c r="AK117" s="4">
        <f ca="1">IFERROR(__xludf.DUMMYFUNCTION("""COMPUTED_VALUE"""),5)</f>
        <v>5</v>
      </c>
      <c r="AL117" s="4">
        <f ca="1">IFERROR(__xludf.DUMMYFUNCTION("""COMPUTED_VALUE"""),5)</f>
        <v>5</v>
      </c>
      <c r="AM117" s="4">
        <f ca="1">IFERROR(__xludf.DUMMYFUNCTION("""COMPUTED_VALUE"""),5)</f>
        <v>5</v>
      </c>
      <c r="AN117" s="4">
        <f ca="1">IFERROR(__xludf.DUMMYFUNCTION("""COMPUTED_VALUE"""),5)</f>
        <v>5</v>
      </c>
      <c r="AO117" s="4">
        <f ca="1">IFERROR(__xludf.DUMMYFUNCTION("""COMPUTED_VALUE"""),5)</f>
        <v>5</v>
      </c>
      <c r="AP117" s="4">
        <f ca="1">IFERROR(__xludf.DUMMYFUNCTION("""COMPUTED_VALUE"""),4)</f>
        <v>4</v>
      </c>
      <c r="AQ117" s="4">
        <f ca="1">IFERROR(__xludf.DUMMYFUNCTION("""COMPUTED_VALUE"""),4)</f>
        <v>4</v>
      </c>
      <c r="AR117" s="4">
        <f ca="1">IFERROR(__xludf.DUMMYFUNCTION("""COMPUTED_VALUE"""),4)</f>
        <v>4</v>
      </c>
      <c r="AS117" s="4">
        <f ca="1">IFERROR(__xludf.DUMMYFUNCTION("""COMPUTED_VALUE"""),4)</f>
        <v>4</v>
      </c>
      <c r="AT117" s="4">
        <f ca="1">IFERROR(__xludf.DUMMYFUNCTION("""COMPUTED_VALUE"""),5)</f>
        <v>5</v>
      </c>
      <c r="AU117" s="4">
        <f ca="1">IFERROR(__xludf.DUMMYFUNCTION("""COMPUTED_VALUE"""),5)</f>
        <v>5</v>
      </c>
      <c r="AV117" s="4">
        <f ca="1">IFERROR(__xludf.DUMMYFUNCTION("""COMPUTED_VALUE"""),5)</f>
        <v>5</v>
      </c>
      <c r="AW117" s="4">
        <f ca="1">IFERROR(__xludf.DUMMYFUNCTION("""COMPUTED_VALUE"""),4)</f>
        <v>4</v>
      </c>
      <c r="AX117" s="4">
        <f ca="1">IFERROR(__xludf.DUMMYFUNCTION("""COMPUTED_VALUE"""),5)</f>
        <v>5</v>
      </c>
      <c r="AY117" s="4">
        <f ca="1">IFERROR(__xludf.DUMMYFUNCTION("""COMPUTED_VALUE"""),5)</f>
        <v>5</v>
      </c>
      <c r="AZ117" s="4">
        <f ca="1">IFERROR(__xludf.DUMMYFUNCTION("""COMPUTED_VALUE"""),5)</f>
        <v>5</v>
      </c>
      <c r="BA117" s="4">
        <f ca="1">IFERROR(__xludf.DUMMYFUNCTION("""COMPUTED_VALUE"""),5)</f>
        <v>5</v>
      </c>
      <c r="BB117" s="4">
        <f ca="1">IFERROR(__xludf.DUMMYFUNCTION("""COMPUTED_VALUE"""),4)</f>
        <v>4</v>
      </c>
      <c r="BC117" s="4">
        <f ca="1">IFERROR(__xludf.DUMMYFUNCTION("""COMPUTED_VALUE"""),4)</f>
        <v>4</v>
      </c>
      <c r="BD117" s="4">
        <f ca="1">IFERROR(__xludf.DUMMYFUNCTION("""COMPUTED_VALUE"""),3)</f>
        <v>3</v>
      </c>
      <c r="BE117" s="4">
        <f ca="1">IFERROR(__xludf.DUMMYFUNCTION("""COMPUTED_VALUE"""),3)</f>
        <v>3</v>
      </c>
      <c r="BF117" s="4">
        <f ca="1">IFERROR(__xludf.DUMMYFUNCTION("""COMPUTED_VALUE"""),3)</f>
        <v>3</v>
      </c>
      <c r="BG117" s="4">
        <f ca="1">IFERROR(__xludf.DUMMYFUNCTION("""COMPUTED_VALUE"""),3)</f>
        <v>3</v>
      </c>
      <c r="BH117" s="4">
        <f ca="1">IFERROR(__xludf.DUMMYFUNCTION("""COMPUTED_VALUE"""),4)</f>
        <v>4</v>
      </c>
      <c r="BI117" s="4">
        <f ca="1">IFERROR(__xludf.DUMMYFUNCTION("""COMPUTED_VALUE"""),5)</f>
        <v>5</v>
      </c>
      <c r="BJ117" s="4">
        <f ca="1">IFERROR(__xludf.DUMMYFUNCTION("""COMPUTED_VALUE"""),5)</f>
        <v>5</v>
      </c>
      <c r="BK117" s="4">
        <f ca="1">IFERROR(__xludf.DUMMYFUNCTION("""COMPUTED_VALUE"""),5)</f>
        <v>5</v>
      </c>
      <c r="BL117" s="4">
        <f ca="1">IFERROR(__xludf.DUMMYFUNCTION("""COMPUTED_VALUE"""),5)</f>
        <v>5</v>
      </c>
      <c r="BM117" s="4">
        <f ca="1">IFERROR(__xludf.DUMMYFUNCTION("""COMPUTED_VALUE"""),5)</f>
        <v>5</v>
      </c>
      <c r="BN117" s="4">
        <f ca="1">IFERROR(__xludf.DUMMYFUNCTION("""COMPUTED_VALUE"""),5)</f>
        <v>5</v>
      </c>
      <c r="BO117" s="4">
        <f ca="1">IFERROR(__xludf.DUMMYFUNCTION("""COMPUTED_VALUE"""),5)</f>
        <v>5</v>
      </c>
      <c r="BP117" s="4">
        <f ca="1">IFERROR(__xludf.DUMMYFUNCTION("""COMPUTED_VALUE"""),4)</f>
        <v>4</v>
      </c>
    </row>
    <row r="118" spans="1:68" ht="13.2" x14ac:dyDescent="0.25">
      <c r="A118" s="4" t="str">
        <f ca="1">IFERROR(__xludf.DUMMYFUNCTION("""COMPUTED_VALUE"""),"2_ABaOnufXtaN050RerUEcsEGezg_qgXEc_0Dx1NWwCSUwodMWLNHup-A4SywzK1E4DQ")</f>
        <v>2_ABaOnufXtaN050RerUEcsEGezg_qgXEc_0Dx1NWwCSUwodMWLNHup-A4SywzK1E4DQ</v>
      </c>
      <c r="B118" s="5">
        <f ca="1">IFERROR(__xludf.DUMMYFUNCTION("""COMPUTED_VALUE"""),45973.6763534953)</f>
        <v>45973.676353495299</v>
      </c>
      <c r="C118" s="4" t="str">
        <f ca="1">IFERROR(__xludf.DUMMYFUNCTION("""COMPUTED_VALUE"""),"Nguyễn Văn Hậu")</f>
        <v>Nguyễn Văn Hậu</v>
      </c>
      <c r="D118" s="4" t="str">
        <f ca="1">IFERROR(__xludf.DUMMYFUNCTION("""COMPUTED_VALUE"""),"Nam")</f>
        <v>Nam</v>
      </c>
      <c r="E118" s="4" t="str">
        <f ca="1">IFERROR(__xludf.DUMMYFUNCTION("""COMPUTED_VALUE"""),"Cty TNHH kiểm toán KSi Việt Nam")</f>
        <v>Cty TNHH kiểm toán KSi Việt Nam</v>
      </c>
      <c r="F118" s="4" t="str">
        <f ca="1">IFERROR(__xludf.DUMMYFUNCTION("""COMPUTED_VALUE"""),"Sau đại học")</f>
        <v>Sau đại học</v>
      </c>
      <c r="G118" s="4" t="str">
        <f ca="1">IFERROR(__xludf.DUMMYFUNCTION("""COMPUTED_VALUE"""),"Trên 20 năm")</f>
        <v>Trên 20 năm</v>
      </c>
      <c r="H118" s="4" t="str">
        <f ca="1">IFERROR(__xludf.DUMMYFUNCTION("""COMPUTED_VALUE"""),"Ban giám đốc")</f>
        <v>Ban giám đốc</v>
      </c>
      <c r="I118" s="4">
        <f ca="1">IFERROR(__xludf.DUMMYFUNCTION("""COMPUTED_VALUE"""),5)</f>
        <v>5</v>
      </c>
      <c r="J118" s="4">
        <f ca="1">IFERROR(__xludf.DUMMYFUNCTION("""COMPUTED_VALUE"""),4)</f>
        <v>4</v>
      </c>
      <c r="K118" s="4">
        <f ca="1">IFERROR(__xludf.DUMMYFUNCTION("""COMPUTED_VALUE"""),4)</f>
        <v>4</v>
      </c>
      <c r="L118" s="4">
        <f ca="1">IFERROR(__xludf.DUMMYFUNCTION("""COMPUTED_VALUE"""),5)</f>
        <v>5</v>
      </c>
      <c r="M118" s="4">
        <f ca="1">IFERROR(__xludf.DUMMYFUNCTION("""COMPUTED_VALUE"""),5)</f>
        <v>5</v>
      </c>
      <c r="N118" s="4">
        <f ca="1">IFERROR(__xludf.DUMMYFUNCTION("""COMPUTED_VALUE"""),4)</f>
        <v>4</v>
      </c>
      <c r="O118" s="4">
        <f ca="1">IFERROR(__xludf.DUMMYFUNCTION("""COMPUTED_VALUE"""),4)</f>
        <v>4</v>
      </c>
      <c r="P118" s="4">
        <f ca="1">IFERROR(__xludf.DUMMYFUNCTION("""COMPUTED_VALUE"""),5)</f>
        <v>5</v>
      </c>
      <c r="Q118" s="4">
        <f ca="1">IFERROR(__xludf.DUMMYFUNCTION("""COMPUTED_VALUE"""),5)</f>
        <v>5</v>
      </c>
      <c r="R118" s="4">
        <f ca="1">IFERROR(__xludf.DUMMYFUNCTION("""COMPUTED_VALUE"""),5)</f>
        <v>5</v>
      </c>
      <c r="S118" s="4">
        <f ca="1">IFERROR(__xludf.DUMMYFUNCTION("""COMPUTED_VALUE"""),5)</f>
        <v>5</v>
      </c>
      <c r="T118" s="4">
        <f ca="1">IFERROR(__xludf.DUMMYFUNCTION("""COMPUTED_VALUE"""),5)</f>
        <v>5</v>
      </c>
      <c r="U118" s="4">
        <f ca="1">IFERROR(__xludf.DUMMYFUNCTION("""COMPUTED_VALUE"""),5)</f>
        <v>5</v>
      </c>
      <c r="V118" s="4">
        <f ca="1">IFERROR(__xludf.DUMMYFUNCTION("""COMPUTED_VALUE"""),5)</f>
        <v>5</v>
      </c>
      <c r="W118" s="4">
        <f ca="1">IFERROR(__xludf.DUMMYFUNCTION("""COMPUTED_VALUE"""),4)</f>
        <v>4</v>
      </c>
      <c r="X118" s="4">
        <f ca="1">IFERROR(__xludf.DUMMYFUNCTION("""COMPUTED_VALUE"""),4)</f>
        <v>4</v>
      </c>
      <c r="Y118" s="4">
        <f ca="1">IFERROR(__xludf.DUMMYFUNCTION("""COMPUTED_VALUE"""),4)</f>
        <v>4</v>
      </c>
      <c r="Z118" s="4">
        <f ca="1">IFERROR(__xludf.DUMMYFUNCTION("""COMPUTED_VALUE"""),4)</f>
        <v>4</v>
      </c>
      <c r="AA118" s="4">
        <f ca="1">IFERROR(__xludf.DUMMYFUNCTION("""COMPUTED_VALUE"""),4)</f>
        <v>4</v>
      </c>
      <c r="AB118" s="4">
        <f ca="1">IFERROR(__xludf.DUMMYFUNCTION("""COMPUTED_VALUE"""),5)</f>
        <v>5</v>
      </c>
      <c r="AC118" s="4">
        <f ca="1">IFERROR(__xludf.DUMMYFUNCTION("""COMPUTED_VALUE"""),4)</f>
        <v>4</v>
      </c>
      <c r="AD118" s="4">
        <f ca="1">IFERROR(__xludf.DUMMYFUNCTION("""COMPUTED_VALUE"""),4)</f>
        <v>4</v>
      </c>
      <c r="AE118" s="4">
        <f ca="1">IFERROR(__xludf.DUMMYFUNCTION("""COMPUTED_VALUE"""),5)</f>
        <v>5</v>
      </c>
      <c r="AF118" s="4">
        <f ca="1">IFERROR(__xludf.DUMMYFUNCTION("""COMPUTED_VALUE"""),5)</f>
        <v>5</v>
      </c>
      <c r="AG118" s="4">
        <f ca="1">IFERROR(__xludf.DUMMYFUNCTION("""COMPUTED_VALUE"""),5)</f>
        <v>5</v>
      </c>
      <c r="AH118" s="4">
        <f ca="1">IFERROR(__xludf.DUMMYFUNCTION("""COMPUTED_VALUE"""),5)</f>
        <v>5</v>
      </c>
      <c r="AI118" s="4">
        <f ca="1">IFERROR(__xludf.DUMMYFUNCTION("""COMPUTED_VALUE"""),5)</f>
        <v>5</v>
      </c>
      <c r="AJ118" s="4">
        <f ca="1">IFERROR(__xludf.DUMMYFUNCTION("""COMPUTED_VALUE"""),5)</f>
        <v>5</v>
      </c>
      <c r="AK118" s="4">
        <f ca="1">IFERROR(__xludf.DUMMYFUNCTION("""COMPUTED_VALUE"""),5)</f>
        <v>5</v>
      </c>
      <c r="AL118" s="4">
        <f ca="1">IFERROR(__xludf.DUMMYFUNCTION("""COMPUTED_VALUE"""),5)</f>
        <v>5</v>
      </c>
      <c r="AM118" s="4">
        <f ca="1">IFERROR(__xludf.DUMMYFUNCTION("""COMPUTED_VALUE"""),4)</f>
        <v>4</v>
      </c>
      <c r="AN118" s="4">
        <f ca="1">IFERROR(__xludf.DUMMYFUNCTION("""COMPUTED_VALUE"""),5)</f>
        <v>5</v>
      </c>
      <c r="AO118" s="4">
        <f ca="1">IFERROR(__xludf.DUMMYFUNCTION("""COMPUTED_VALUE"""),4)</f>
        <v>4</v>
      </c>
      <c r="AP118" s="4">
        <f ca="1">IFERROR(__xludf.DUMMYFUNCTION("""COMPUTED_VALUE"""),4)</f>
        <v>4</v>
      </c>
      <c r="AQ118" s="4">
        <f ca="1">IFERROR(__xludf.DUMMYFUNCTION("""COMPUTED_VALUE"""),3)</f>
        <v>3</v>
      </c>
      <c r="AR118" s="4">
        <f ca="1">IFERROR(__xludf.DUMMYFUNCTION("""COMPUTED_VALUE"""),4)</f>
        <v>4</v>
      </c>
      <c r="AS118" s="4">
        <f ca="1">IFERROR(__xludf.DUMMYFUNCTION("""COMPUTED_VALUE"""),5)</f>
        <v>5</v>
      </c>
      <c r="AT118" s="4">
        <f ca="1">IFERROR(__xludf.DUMMYFUNCTION("""COMPUTED_VALUE"""),4)</f>
        <v>4</v>
      </c>
      <c r="AU118" s="4">
        <f ca="1">IFERROR(__xludf.DUMMYFUNCTION("""COMPUTED_VALUE"""),5)</f>
        <v>5</v>
      </c>
      <c r="AV118" s="4">
        <f ca="1">IFERROR(__xludf.DUMMYFUNCTION("""COMPUTED_VALUE"""),5)</f>
        <v>5</v>
      </c>
      <c r="AW118" s="4">
        <f ca="1">IFERROR(__xludf.DUMMYFUNCTION("""COMPUTED_VALUE"""),5)</f>
        <v>5</v>
      </c>
      <c r="AX118" s="4">
        <f ca="1">IFERROR(__xludf.DUMMYFUNCTION("""COMPUTED_VALUE"""),4)</f>
        <v>4</v>
      </c>
      <c r="AY118" s="4">
        <f ca="1">IFERROR(__xludf.DUMMYFUNCTION("""COMPUTED_VALUE"""),5)</f>
        <v>5</v>
      </c>
      <c r="AZ118" s="4">
        <f ca="1">IFERROR(__xludf.DUMMYFUNCTION("""COMPUTED_VALUE"""),5)</f>
        <v>5</v>
      </c>
      <c r="BA118" s="4">
        <f ca="1">IFERROR(__xludf.DUMMYFUNCTION("""COMPUTED_VALUE"""),4)</f>
        <v>4</v>
      </c>
      <c r="BB118" s="4">
        <f ca="1">IFERROR(__xludf.DUMMYFUNCTION("""COMPUTED_VALUE"""),4)</f>
        <v>4</v>
      </c>
      <c r="BC118" s="4">
        <f ca="1">IFERROR(__xludf.DUMMYFUNCTION("""COMPUTED_VALUE"""),4)</f>
        <v>4</v>
      </c>
      <c r="BD118" s="4">
        <f ca="1">IFERROR(__xludf.DUMMYFUNCTION("""COMPUTED_VALUE"""),4)</f>
        <v>4</v>
      </c>
      <c r="BE118" s="4">
        <f ca="1">IFERROR(__xludf.DUMMYFUNCTION("""COMPUTED_VALUE"""),4)</f>
        <v>4</v>
      </c>
      <c r="BF118" s="4">
        <f ca="1">IFERROR(__xludf.DUMMYFUNCTION("""COMPUTED_VALUE"""),4)</f>
        <v>4</v>
      </c>
      <c r="BG118" s="4">
        <f ca="1">IFERROR(__xludf.DUMMYFUNCTION("""COMPUTED_VALUE"""),4)</f>
        <v>4</v>
      </c>
      <c r="BH118" s="4">
        <f ca="1">IFERROR(__xludf.DUMMYFUNCTION("""COMPUTED_VALUE"""),4)</f>
        <v>4</v>
      </c>
      <c r="BI118" s="4">
        <f ca="1">IFERROR(__xludf.DUMMYFUNCTION("""COMPUTED_VALUE"""),4)</f>
        <v>4</v>
      </c>
      <c r="BJ118" s="4">
        <f ca="1">IFERROR(__xludf.DUMMYFUNCTION("""COMPUTED_VALUE"""),4)</f>
        <v>4</v>
      </c>
      <c r="BK118" s="4">
        <f ca="1">IFERROR(__xludf.DUMMYFUNCTION("""COMPUTED_VALUE"""),4)</f>
        <v>4</v>
      </c>
      <c r="BL118" s="4">
        <f ca="1">IFERROR(__xludf.DUMMYFUNCTION("""COMPUTED_VALUE"""),4)</f>
        <v>4</v>
      </c>
      <c r="BM118" s="4">
        <f ca="1">IFERROR(__xludf.DUMMYFUNCTION("""COMPUTED_VALUE"""),4)</f>
        <v>4</v>
      </c>
      <c r="BN118" s="4">
        <f ca="1">IFERROR(__xludf.DUMMYFUNCTION("""COMPUTED_VALUE"""),4)</f>
        <v>4</v>
      </c>
      <c r="BO118" s="4">
        <f ca="1">IFERROR(__xludf.DUMMYFUNCTION("""COMPUTED_VALUE"""),4)</f>
        <v>4</v>
      </c>
      <c r="BP118" s="4">
        <f ca="1">IFERROR(__xludf.DUMMYFUNCTION("""COMPUTED_VALUE"""),4)</f>
        <v>4</v>
      </c>
    </row>
    <row r="119" spans="1:68" ht="13.2" x14ac:dyDescent="0.25">
      <c r="A119" s="4" t="str">
        <f ca="1">IFERROR(__xludf.DUMMYFUNCTION("""COMPUTED_VALUE"""),"2_ABaOnucgp3Xo3xPYBHJ2froKgrKNZsLaYkiQcHWPw_t2p43IFbbRMeJJBd3CBb5j9A")</f>
        <v>2_ABaOnucgp3Xo3xPYBHJ2froKgrKNZsLaYkiQcHWPw_t2p43IFbbRMeJJBd3CBb5j9A</v>
      </c>
      <c r="B119" s="5">
        <f ca="1">IFERROR(__xludf.DUMMYFUNCTION("""COMPUTED_VALUE"""),45973.6803219907)</f>
        <v>45973.680321990701</v>
      </c>
      <c r="C119" s="4" t="str">
        <f ca="1">IFERROR(__xludf.DUMMYFUNCTION("""COMPUTED_VALUE"""),"Nguyễn Thanh Tùng")</f>
        <v>Nguyễn Thanh Tùng</v>
      </c>
      <c r="D119" s="4" t="str">
        <f ca="1">IFERROR(__xludf.DUMMYFUNCTION("""COMPUTED_VALUE"""),"Nam")</f>
        <v>Nam</v>
      </c>
      <c r="E119" s="4" t="str">
        <f ca="1">IFERROR(__xludf.DUMMYFUNCTION("""COMPUTED_VALUE"""),"Công ty TNHH Kiểm toán AACS")</f>
        <v>Công ty TNHH Kiểm toán AACS</v>
      </c>
      <c r="F119" s="4" t="str">
        <f ca="1">IFERROR(__xludf.DUMMYFUNCTION("""COMPUTED_VALUE"""),"Sau đại học, Chứng chỉ Kiểm toán viên")</f>
        <v>Sau đại học, Chứng chỉ Kiểm toán viên</v>
      </c>
      <c r="G119" s="4" t="str">
        <f ca="1">IFERROR(__xludf.DUMMYFUNCTION("""COMPUTED_VALUE"""),"Trên 10 đến 15 năm")</f>
        <v>Trên 10 đến 15 năm</v>
      </c>
      <c r="H119" s="4" t="str">
        <f ca="1">IFERROR(__xludf.DUMMYFUNCTION("""COMPUTED_VALUE"""),"Ban giám đốc")</f>
        <v>Ban giám đốc</v>
      </c>
      <c r="I119" s="4">
        <f ca="1">IFERROR(__xludf.DUMMYFUNCTION("""COMPUTED_VALUE"""),4)</f>
        <v>4</v>
      </c>
      <c r="J119" s="4">
        <f ca="1">IFERROR(__xludf.DUMMYFUNCTION("""COMPUTED_VALUE"""),4)</f>
        <v>4</v>
      </c>
      <c r="K119" s="4">
        <f ca="1">IFERROR(__xludf.DUMMYFUNCTION("""COMPUTED_VALUE"""),4)</f>
        <v>4</v>
      </c>
      <c r="L119" s="4">
        <f ca="1">IFERROR(__xludf.DUMMYFUNCTION("""COMPUTED_VALUE"""),4)</f>
        <v>4</v>
      </c>
      <c r="M119" s="4">
        <f ca="1">IFERROR(__xludf.DUMMYFUNCTION("""COMPUTED_VALUE"""),4)</f>
        <v>4</v>
      </c>
      <c r="N119" s="4">
        <f ca="1">IFERROR(__xludf.DUMMYFUNCTION("""COMPUTED_VALUE"""),4)</f>
        <v>4</v>
      </c>
      <c r="O119" s="4">
        <f ca="1">IFERROR(__xludf.DUMMYFUNCTION("""COMPUTED_VALUE"""),4)</f>
        <v>4</v>
      </c>
      <c r="P119" s="4">
        <f ca="1">IFERROR(__xludf.DUMMYFUNCTION("""COMPUTED_VALUE"""),4)</f>
        <v>4</v>
      </c>
      <c r="Q119" s="4">
        <f ca="1">IFERROR(__xludf.DUMMYFUNCTION("""COMPUTED_VALUE"""),4)</f>
        <v>4</v>
      </c>
      <c r="R119" s="4">
        <f ca="1">IFERROR(__xludf.DUMMYFUNCTION("""COMPUTED_VALUE"""),4)</f>
        <v>4</v>
      </c>
      <c r="S119" s="4">
        <f ca="1">IFERROR(__xludf.DUMMYFUNCTION("""COMPUTED_VALUE"""),4)</f>
        <v>4</v>
      </c>
      <c r="T119" s="4">
        <f ca="1">IFERROR(__xludf.DUMMYFUNCTION("""COMPUTED_VALUE"""),4)</f>
        <v>4</v>
      </c>
      <c r="U119" s="4">
        <f ca="1">IFERROR(__xludf.DUMMYFUNCTION("""COMPUTED_VALUE"""),4)</f>
        <v>4</v>
      </c>
      <c r="V119" s="4">
        <f ca="1">IFERROR(__xludf.DUMMYFUNCTION("""COMPUTED_VALUE"""),4)</f>
        <v>4</v>
      </c>
      <c r="W119" s="4">
        <f ca="1">IFERROR(__xludf.DUMMYFUNCTION("""COMPUTED_VALUE"""),4)</f>
        <v>4</v>
      </c>
      <c r="X119" s="4">
        <f ca="1">IFERROR(__xludf.DUMMYFUNCTION("""COMPUTED_VALUE"""),4)</f>
        <v>4</v>
      </c>
      <c r="Y119" s="4">
        <f ca="1">IFERROR(__xludf.DUMMYFUNCTION("""COMPUTED_VALUE"""),4)</f>
        <v>4</v>
      </c>
      <c r="Z119" s="4">
        <f ca="1">IFERROR(__xludf.DUMMYFUNCTION("""COMPUTED_VALUE"""),4)</f>
        <v>4</v>
      </c>
      <c r="AA119" s="4">
        <f ca="1">IFERROR(__xludf.DUMMYFUNCTION("""COMPUTED_VALUE"""),4)</f>
        <v>4</v>
      </c>
      <c r="AB119" s="4">
        <f ca="1">IFERROR(__xludf.DUMMYFUNCTION("""COMPUTED_VALUE"""),3)</f>
        <v>3</v>
      </c>
      <c r="AC119" s="4">
        <f ca="1">IFERROR(__xludf.DUMMYFUNCTION("""COMPUTED_VALUE"""),3)</f>
        <v>3</v>
      </c>
      <c r="AD119" s="4">
        <f ca="1">IFERROR(__xludf.DUMMYFUNCTION("""COMPUTED_VALUE"""),2)</f>
        <v>2</v>
      </c>
      <c r="AE119" s="4">
        <f ca="1">IFERROR(__xludf.DUMMYFUNCTION("""COMPUTED_VALUE"""),3)</f>
        <v>3</v>
      </c>
      <c r="AF119" s="4">
        <f ca="1">IFERROR(__xludf.DUMMYFUNCTION("""COMPUTED_VALUE"""),4)</f>
        <v>4</v>
      </c>
      <c r="AG119" s="4">
        <f ca="1">IFERROR(__xludf.DUMMYFUNCTION("""COMPUTED_VALUE"""),4)</f>
        <v>4</v>
      </c>
      <c r="AH119" s="4">
        <f ca="1">IFERROR(__xludf.DUMMYFUNCTION("""COMPUTED_VALUE"""),4)</f>
        <v>4</v>
      </c>
      <c r="AI119" s="4">
        <f ca="1">IFERROR(__xludf.DUMMYFUNCTION("""COMPUTED_VALUE"""),4)</f>
        <v>4</v>
      </c>
      <c r="AJ119" s="4">
        <f ca="1">IFERROR(__xludf.DUMMYFUNCTION("""COMPUTED_VALUE"""),4)</f>
        <v>4</v>
      </c>
      <c r="AK119" s="4">
        <f ca="1">IFERROR(__xludf.DUMMYFUNCTION("""COMPUTED_VALUE"""),4)</f>
        <v>4</v>
      </c>
      <c r="AL119" s="4">
        <f ca="1">IFERROR(__xludf.DUMMYFUNCTION("""COMPUTED_VALUE"""),4)</f>
        <v>4</v>
      </c>
      <c r="AM119" s="4">
        <f ca="1">IFERROR(__xludf.DUMMYFUNCTION("""COMPUTED_VALUE"""),4)</f>
        <v>4</v>
      </c>
      <c r="AN119" s="4">
        <f ca="1">IFERROR(__xludf.DUMMYFUNCTION("""COMPUTED_VALUE"""),4)</f>
        <v>4</v>
      </c>
      <c r="AO119" s="4">
        <f ca="1">IFERROR(__xludf.DUMMYFUNCTION("""COMPUTED_VALUE"""),4)</f>
        <v>4</v>
      </c>
      <c r="AP119" s="4">
        <f ca="1">IFERROR(__xludf.DUMMYFUNCTION("""COMPUTED_VALUE"""),4)</f>
        <v>4</v>
      </c>
      <c r="AQ119" s="4">
        <f ca="1">IFERROR(__xludf.DUMMYFUNCTION("""COMPUTED_VALUE"""),4)</f>
        <v>4</v>
      </c>
      <c r="AR119" s="4">
        <f ca="1">IFERROR(__xludf.DUMMYFUNCTION("""COMPUTED_VALUE"""),4)</f>
        <v>4</v>
      </c>
      <c r="AS119" s="4">
        <f ca="1">IFERROR(__xludf.DUMMYFUNCTION("""COMPUTED_VALUE"""),4)</f>
        <v>4</v>
      </c>
      <c r="AT119" s="4">
        <f ca="1">IFERROR(__xludf.DUMMYFUNCTION("""COMPUTED_VALUE"""),3)</f>
        <v>3</v>
      </c>
      <c r="AU119" s="4">
        <f ca="1">IFERROR(__xludf.DUMMYFUNCTION("""COMPUTED_VALUE"""),3)</f>
        <v>3</v>
      </c>
      <c r="AV119" s="4">
        <f ca="1">IFERROR(__xludf.DUMMYFUNCTION("""COMPUTED_VALUE"""),4)</f>
        <v>4</v>
      </c>
      <c r="AW119" s="4">
        <f ca="1">IFERROR(__xludf.DUMMYFUNCTION("""COMPUTED_VALUE"""),4)</f>
        <v>4</v>
      </c>
      <c r="AX119" s="4">
        <f ca="1">IFERROR(__xludf.DUMMYFUNCTION("""COMPUTED_VALUE"""),4)</f>
        <v>4</v>
      </c>
      <c r="AY119" s="4">
        <f ca="1">IFERROR(__xludf.DUMMYFUNCTION("""COMPUTED_VALUE"""),4)</f>
        <v>4</v>
      </c>
      <c r="AZ119" s="4">
        <f ca="1">IFERROR(__xludf.DUMMYFUNCTION("""COMPUTED_VALUE"""),4)</f>
        <v>4</v>
      </c>
      <c r="BA119" s="4">
        <f ca="1">IFERROR(__xludf.DUMMYFUNCTION("""COMPUTED_VALUE"""),4)</f>
        <v>4</v>
      </c>
      <c r="BB119" s="4">
        <f ca="1">IFERROR(__xludf.DUMMYFUNCTION("""COMPUTED_VALUE"""),4)</f>
        <v>4</v>
      </c>
      <c r="BC119" s="4">
        <f ca="1">IFERROR(__xludf.DUMMYFUNCTION("""COMPUTED_VALUE"""),4)</f>
        <v>4</v>
      </c>
      <c r="BD119" s="4">
        <f ca="1">IFERROR(__xludf.DUMMYFUNCTION("""COMPUTED_VALUE"""),4)</f>
        <v>4</v>
      </c>
      <c r="BE119" s="4">
        <f ca="1">IFERROR(__xludf.DUMMYFUNCTION("""COMPUTED_VALUE"""),4)</f>
        <v>4</v>
      </c>
      <c r="BF119" s="4">
        <f ca="1">IFERROR(__xludf.DUMMYFUNCTION("""COMPUTED_VALUE"""),4)</f>
        <v>4</v>
      </c>
      <c r="BG119" s="4">
        <f ca="1">IFERROR(__xludf.DUMMYFUNCTION("""COMPUTED_VALUE"""),4)</f>
        <v>4</v>
      </c>
      <c r="BH119" s="4">
        <f ca="1">IFERROR(__xludf.DUMMYFUNCTION("""COMPUTED_VALUE"""),4)</f>
        <v>4</v>
      </c>
      <c r="BI119" s="4">
        <f ca="1">IFERROR(__xludf.DUMMYFUNCTION("""COMPUTED_VALUE"""),4)</f>
        <v>4</v>
      </c>
      <c r="BJ119" s="4">
        <f ca="1">IFERROR(__xludf.DUMMYFUNCTION("""COMPUTED_VALUE"""),4)</f>
        <v>4</v>
      </c>
      <c r="BK119" s="4">
        <f ca="1">IFERROR(__xludf.DUMMYFUNCTION("""COMPUTED_VALUE"""),4)</f>
        <v>4</v>
      </c>
      <c r="BL119" s="4">
        <f ca="1">IFERROR(__xludf.DUMMYFUNCTION("""COMPUTED_VALUE"""),4)</f>
        <v>4</v>
      </c>
      <c r="BM119" s="4">
        <f ca="1">IFERROR(__xludf.DUMMYFUNCTION("""COMPUTED_VALUE"""),4)</f>
        <v>4</v>
      </c>
      <c r="BN119" s="4">
        <f ca="1">IFERROR(__xludf.DUMMYFUNCTION("""COMPUTED_VALUE"""),4)</f>
        <v>4</v>
      </c>
      <c r="BO119" s="4">
        <f ca="1">IFERROR(__xludf.DUMMYFUNCTION("""COMPUTED_VALUE"""),4)</f>
        <v>4</v>
      </c>
      <c r="BP119" s="4">
        <f ca="1">IFERROR(__xludf.DUMMYFUNCTION("""COMPUTED_VALUE"""),4)</f>
        <v>4</v>
      </c>
    </row>
    <row r="120" spans="1:68" ht="13.2" x14ac:dyDescent="0.25">
      <c r="A120" s="4" t="str">
        <f ca="1">IFERROR(__xludf.DUMMYFUNCTION("""COMPUTED_VALUE"""),"2_ABaOnucrz_snzSlsGIdvyILNvz8ThCPx5BATwydbOWlfhryvIr48XrFPd2wOCdoceA")</f>
        <v>2_ABaOnucrz_snzSlsGIdvyILNvz8ThCPx5BATwydbOWlfhryvIr48XrFPd2wOCdoceA</v>
      </c>
      <c r="B120" s="5">
        <f ca="1">IFERROR(__xludf.DUMMYFUNCTION("""COMPUTED_VALUE"""),45973.7081391319)</f>
        <v>45973.708139131901</v>
      </c>
      <c r="C120" s="4" t="str">
        <f ca="1">IFERROR(__xludf.DUMMYFUNCTION("""COMPUTED_VALUE"""),"TRẦN THÀNH CƯỜNG")</f>
        <v>TRẦN THÀNH CƯỜNG</v>
      </c>
      <c r="D120" s="4" t="str">
        <f ca="1">IFERROR(__xludf.DUMMYFUNCTION("""COMPUTED_VALUE"""),"Nam")</f>
        <v>Nam</v>
      </c>
      <c r="E120" s="4" t="str">
        <f ca="1">IFERROR(__xludf.DUMMYFUNCTION("""COMPUTED_VALUE"""),"công ty TNHH Kiểm toán Tư vấn Sáng Lập Á Châu ")</f>
        <v xml:space="preserve">công ty TNHH Kiểm toán Tư vấn Sáng Lập Á Châu </v>
      </c>
      <c r="F120" s="4" t="str">
        <f ca="1">IFERROR(__xludf.DUMMYFUNCTION("""COMPUTED_VALUE"""),"Sau đại học, Chứng chỉ Kiểm toán viên")</f>
        <v>Sau đại học, Chứng chỉ Kiểm toán viên</v>
      </c>
      <c r="G120" s="4" t="str">
        <f ca="1">IFERROR(__xludf.DUMMYFUNCTION("""COMPUTED_VALUE"""),"Trên 20 năm")</f>
        <v>Trên 20 năm</v>
      </c>
      <c r="H120" s="4" t="str">
        <f ca="1">IFERROR(__xludf.DUMMYFUNCTION("""COMPUTED_VALUE"""),"Kiểm toán viên/Trưởng nhóm")</f>
        <v>Kiểm toán viên/Trưởng nhóm</v>
      </c>
      <c r="I120" s="4">
        <f ca="1">IFERROR(__xludf.DUMMYFUNCTION("""COMPUTED_VALUE"""),5)</f>
        <v>5</v>
      </c>
      <c r="J120" s="4">
        <f ca="1">IFERROR(__xludf.DUMMYFUNCTION("""COMPUTED_VALUE"""),5)</f>
        <v>5</v>
      </c>
      <c r="K120" s="4">
        <f ca="1">IFERROR(__xludf.DUMMYFUNCTION("""COMPUTED_VALUE"""),5)</f>
        <v>5</v>
      </c>
      <c r="L120" s="4">
        <f ca="1">IFERROR(__xludf.DUMMYFUNCTION("""COMPUTED_VALUE"""),4)</f>
        <v>4</v>
      </c>
      <c r="M120" s="4">
        <f ca="1">IFERROR(__xludf.DUMMYFUNCTION("""COMPUTED_VALUE"""),5)</f>
        <v>5</v>
      </c>
      <c r="N120" s="4">
        <f ca="1">IFERROR(__xludf.DUMMYFUNCTION("""COMPUTED_VALUE"""),4)</f>
        <v>4</v>
      </c>
      <c r="O120" s="4">
        <f ca="1">IFERROR(__xludf.DUMMYFUNCTION("""COMPUTED_VALUE"""),4)</f>
        <v>4</v>
      </c>
      <c r="P120" s="4">
        <f ca="1">IFERROR(__xludf.DUMMYFUNCTION("""COMPUTED_VALUE"""),5)</f>
        <v>5</v>
      </c>
      <c r="Q120" s="4">
        <f ca="1">IFERROR(__xludf.DUMMYFUNCTION("""COMPUTED_VALUE"""),5)</f>
        <v>5</v>
      </c>
      <c r="R120" s="4">
        <f ca="1">IFERROR(__xludf.DUMMYFUNCTION("""COMPUTED_VALUE"""),5)</f>
        <v>5</v>
      </c>
      <c r="S120" s="4">
        <f ca="1">IFERROR(__xludf.DUMMYFUNCTION("""COMPUTED_VALUE"""),5)</f>
        <v>5</v>
      </c>
      <c r="T120" s="4">
        <f ca="1">IFERROR(__xludf.DUMMYFUNCTION("""COMPUTED_VALUE"""),5)</f>
        <v>5</v>
      </c>
      <c r="U120" s="4">
        <f ca="1">IFERROR(__xludf.DUMMYFUNCTION("""COMPUTED_VALUE"""),5)</f>
        <v>5</v>
      </c>
      <c r="V120" s="4">
        <f ca="1">IFERROR(__xludf.DUMMYFUNCTION("""COMPUTED_VALUE"""),5)</f>
        <v>5</v>
      </c>
      <c r="W120" s="4">
        <f ca="1">IFERROR(__xludf.DUMMYFUNCTION("""COMPUTED_VALUE"""),4)</f>
        <v>4</v>
      </c>
      <c r="X120" s="4">
        <f ca="1">IFERROR(__xludf.DUMMYFUNCTION("""COMPUTED_VALUE"""),4)</f>
        <v>4</v>
      </c>
      <c r="Y120" s="4">
        <f ca="1">IFERROR(__xludf.DUMMYFUNCTION("""COMPUTED_VALUE"""),4)</f>
        <v>4</v>
      </c>
      <c r="Z120" s="4">
        <f ca="1">IFERROR(__xludf.DUMMYFUNCTION("""COMPUTED_VALUE"""),5)</f>
        <v>5</v>
      </c>
      <c r="AA120" s="4">
        <f ca="1">IFERROR(__xludf.DUMMYFUNCTION("""COMPUTED_VALUE"""),4)</f>
        <v>4</v>
      </c>
      <c r="AB120" s="4">
        <f ca="1">IFERROR(__xludf.DUMMYFUNCTION("""COMPUTED_VALUE"""),5)</f>
        <v>5</v>
      </c>
      <c r="AC120" s="4">
        <f ca="1">IFERROR(__xludf.DUMMYFUNCTION("""COMPUTED_VALUE"""),4)</f>
        <v>4</v>
      </c>
      <c r="AD120" s="4">
        <f ca="1">IFERROR(__xludf.DUMMYFUNCTION("""COMPUTED_VALUE"""),5)</f>
        <v>5</v>
      </c>
      <c r="AE120" s="4">
        <f ca="1">IFERROR(__xludf.DUMMYFUNCTION("""COMPUTED_VALUE"""),5)</f>
        <v>5</v>
      </c>
      <c r="AF120" s="4">
        <f ca="1">IFERROR(__xludf.DUMMYFUNCTION("""COMPUTED_VALUE"""),5)</f>
        <v>5</v>
      </c>
      <c r="AG120" s="4">
        <f ca="1">IFERROR(__xludf.DUMMYFUNCTION("""COMPUTED_VALUE"""),5)</f>
        <v>5</v>
      </c>
      <c r="AH120" s="4">
        <f ca="1">IFERROR(__xludf.DUMMYFUNCTION("""COMPUTED_VALUE"""),5)</f>
        <v>5</v>
      </c>
      <c r="AI120" s="4">
        <f ca="1">IFERROR(__xludf.DUMMYFUNCTION("""COMPUTED_VALUE"""),5)</f>
        <v>5</v>
      </c>
      <c r="AJ120" s="4">
        <f ca="1">IFERROR(__xludf.DUMMYFUNCTION("""COMPUTED_VALUE"""),5)</f>
        <v>5</v>
      </c>
      <c r="AK120" s="4">
        <f ca="1">IFERROR(__xludf.DUMMYFUNCTION("""COMPUTED_VALUE"""),5)</f>
        <v>5</v>
      </c>
      <c r="AL120" s="4">
        <f ca="1">IFERROR(__xludf.DUMMYFUNCTION("""COMPUTED_VALUE"""),5)</f>
        <v>5</v>
      </c>
      <c r="AM120" s="4">
        <f ca="1">IFERROR(__xludf.DUMMYFUNCTION("""COMPUTED_VALUE"""),5)</f>
        <v>5</v>
      </c>
      <c r="AN120" s="4">
        <f ca="1">IFERROR(__xludf.DUMMYFUNCTION("""COMPUTED_VALUE"""),5)</f>
        <v>5</v>
      </c>
      <c r="AO120" s="4">
        <f ca="1">IFERROR(__xludf.DUMMYFUNCTION("""COMPUTED_VALUE"""),4)</f>
        <v>4</v>
      </c>
      <c r="AP120" s="4">
        <f ca="1">IFERROR(__xludf.DUMMYFUNCTION("""COMPUTED_VALUE"""),4)</f>
        <v>4</v>
      </c>
      <c r="AQ120" s="4">
        <f ca="1">IFERROR(__xludf.DUMMYFUNCTION("""COMPUTED_VALUE"""),4)</f>
        <v>4</v>
      </c>
      <c r="AR120" s="4">
        <f ca="1">IFERROR(__xludf.DUMMYFUNCTION("""COMPUTED_VALUE"""),5)</f>
        <v>5</v>
      </c>
      <c r="AS120" s="4">
        <f ca="1">IFERROR(__xludf.DUMMYFUNCTION("""COMPUTED_VALUE"""),4)</f>
        <v>4</v>
      </c>
      <c r="AT120" s="4">
        <f ca="1">IFERROR(__xludf.DUMMYFUNCTION("""COMPUTED_VALUE"""),4)</f>
        <v>4</v>
      </c>
      <c r="AU120" s="4">
        <f ca="1">IFERROR(__xludf.DUMMYFUNCTION("""COMPUTED_VALUE"""),5)</f>
        <v>5</v>
      </c>
      <c r="AV120" s="4">
        <f ca="1">IFERROR(__xludf.DUMMYFUNCTION("""COMPUTED_VALUE"""),4)</f>
        <v>4</v>
      </c>
      <c r="AW120" s="4">
        <f ca="1">IFERROR(__xludf.DUMMYFUNCTION("""COMPUTED_VALUE"""),5)</f>
        <v>5</v>
      </c>
      <c r="AX120" s="4">
        <f ca="1">IFERROR(__xludf.DUMMYFUNCTION("""COMPUTED_VALUE"""),5)</f>
        <v>5</v>
      </c>
      <c r="AY120" s="4">
        <f ca="1">IFERROR(__xludf.DUMMYFUNCTION("""COMPUTED_VALUE"""),5)</f>
        <v>5</v>
      </c>
      <c r="AZ120" s="4">
        <f ca="1">IFERROR(__xludf.DUMMYFUNCTION("""COMPUTED_VALUE"""),5)</f>
        <v>5</v>
      </c>
      <c r="BA120" s="4">
        <f ca="1">IFERROR(__xludf.DUMMYFUNCTION("""COMPUTED_VALUE"""),5)</f>
        <v>5</v>
      </c>
      <c r="BB120" s="4">
        <f ca="1">IFERROR(__xludf.DUMMYFUNCTION("""COMPUTED_VALUE"""),4)</f>
        <v>4</v>
      </c>
      <c r="BC120" s="4">
        <f ca="1">IFERROR(__xludf.DUMMYFUNCTION("""COMPUTED_VALUE"""),4)</f>
        <v>4</v>
      </c>
      <c r="BD120" s="4">
        <f ca="1">IFERROR(__xludf.DUMMYFUNCTION("""COMPUTED_VALUE"""),4)</f>
        <v>4</v>
      </c>
      <c r="BE120" s="4">
        <f ca="1">IFERROR(__xludf.DUMMYFUNCTION("""COMPUTED_VALUE"""),5)</f>
        <v>5</v>
      </c>
      <c r="BF120" s="4">
        <f ca="1">IFERROR(__xludf.DUMMYFUNCTION("""COMPUTED_VALUE"""),4)</f>
        <v>4</v>
      </c>
      <c r="BG120" s="4">
        <f ca="1">IFERROR(__xludf.DUMMYFUNCTION("""COMPUTED_VALUE"""),4)</f>
        <v>4</v>
      </c>
      <c r="BH120" s="4">
        <f ca="1">IFERROR(__xludf.DUMMYFUNCTION("""COMPUTED_VALUE"""),5)</f>
        <v>5</v>
      </c>
      <c r="BI120" s="4">
        <f ca="1">IFERROR(__xludf.DUMMYFUNCTION("""COMPUTED_VALUE"""),5)</f>
        <v>5</v>
      </c>
      <c r="BJ120" s="4">
        <f ca="1">IFERROR(__xludf.DUMMYFUNCTION("""COMPUTED_VALUE"""),5)</f>
        <v>5</v>
      </c>
      <c r="BK120" s="4">
        <f ca="1">IFERROR(__xludf.DUMMYFUNCTION("""COMPUTED_VALUE"""),5)</f>
        <v>5</v>
      </c>
      <c r="BL120" s="4">
        <f ca="1">IFERROR(__xludf.DUMMYFUNCTION("""COMPUTED_VALUE"""),5)</f>
        <v>5</v>
      </c>
      <c r="BM120" s="4">
        <f ca="1">IFERROR(__xludf.DUMMYFUNCTION("""COMPUTED_VALUE"""),5)</f>
        <v>5</v>
      </c>
      <c r="BN120" s="4">
        <f ca="1">IFERROR(__xludf.DUMMYFUNCTION("""COMPUTED_VALUE"""),5)</f>
        <v>5</v>
      </c>
      <c r="BO120" s="4">
        <f ca="1">IFERROR(__xludf.DUMMYFUNCTION("""COMPUTED_VALUE"""),5)</f>
        <v>5</v>
      </c>
      <c r="BP120" s="4">
        <f ca="1">IFERROR(__xludf.DUMMYFUNCTION("""COMPUTED_VALUE"""),5)</f>
        <v>5</v>
      </c>
    </row>
    <row r="121" spans="1:68" ht="13.2" x14ac:dyDescent="0.25">
      <c r="A121" s="4" t="str">
        <f ca="1">IFERROR(__xludf.DUMMYFUNCTION("""COMPUTED_VALUE"""),"2_ABaOnudGR8o1qGRolISHF5_MZBlJ50DAzJOlkGJLgiph1gNztZG5pndRsoUXmu89Yw")</f>
        <v>2_ABaOnudGR8o1qGRolISHF5_MZBlJ50DAzJOlkGJLgiph1gNztZG5pndRsoUXmu89Yw</v>
      </c>
      <c r="B121" s="5">
        <f ca="1">IFERROR(__xludf.DUMMYFUNCTION("""COMPUTED_VALUE"""),45973.8502181944)</f>
        <v>45973.850218194399</v>
      </c>
      <c r="C121" s="4" t="str">
        <f ca="1">IFERROR(__xludf.DUMMYFUNCTION("""COMPUTED_VALUE"""),"Hoàng Bách Việt")</f>
        <v>Hoàng Bách Việt</v>
      </c>
      <c r="D121" s="4" t="str">
        <f ca="1">IFERROR(__xludf.DUMMYFUNCTION("""COMPUTED_VALUE"""),"Nam")</f>
        <v>Nam</v>
      </c>
      <c r="E121" s="4" t="str">
        <f ca="1">IFERROR(__xludf.DUMMYFUNCTION("""COMPUTED_VALUE"""),"FTAC")</f>
        <v>FTAC</v>
      </c>
      <c r="F121" s="4" t="str">
        <f ca="1">IFERROR(__xludf.DUMMYFUNCTION("""COMPUTED_VALUE"""),"Đại học, Chứng chỉ Kiểm toán viên")</f>
        <v>Đại học, Chứng chỉ Kiểm toán viên</v>
      </c>
      <c r="G121" s="4" t="str">
        <f ca="1">IFERROR(__xludf.DUMMYFUNCTION("""COMPUTED_VALUE"""),"Trên 15 đến 20 năm")</f>
        <v>Trên 15 đến 20 năm</v>
      </c>
      <c r="H121" s="4" t="str">
        <f ca="1">IFERROR(__xludf.DUMMYFUNCTION("""COMPUTED_VALUE"""),"Ban giám đốc")</f>
        <v>Ban giám đốc</v>
      </c>
      <c r="I121" s="4">
        <f ca="1">IFERROR(__xludf.DUMMYFUNCTION("""COMPUTED_VALUE"""),5)</f>
        <v>5</v>
      </c>
      <c r="J121" s="4">
        <f ca="1">IFERROR(__xludf.DUMMYFUNCTION("""COMPUTED_VALUE"""),5)</f>
        <v>5</v>
      </c>
      <c r="K121" s="4">
        <f ca="1">IFERROR(__xludf.DUMMYFUNCTION("""COMPUTED_VALUE"""),5)</f>
        <v>5</v>
      </c>
      <c r="L121" s="4">
        <f ca="1">IFERROR(__xludf.DUMMYFUNCTION("""COMPUTED_VALUE"""),5)</f>
        <v>5</v>
      </c>
      <c r="M121" s="4">
        <f ca="1">IFERROR(__xludf.DUMMYFUNCTION("""COMPUTED_VALUE"""),5)</f>
        <v>5</v>
      </c>
      <c r="N121" s="4">
        <f ca="1">IFERROR(__xludf.DUMMYFUNCTION("""COMPUTED_VALUE"""),5)</f>
        <v>5</v>
      </c>
      <c r="O121" s="4">
        <f ca="1">IFERROR(__xludf.DUMMYFUNCTION("""COMPUTED_VALUE"""),5)</f>
        <v>5</v>
      </c>
      <c r="P121" s="4">
        <f ca="1">IFERROR(__xludf.DUMMYFUNCTION("""COMPUTED_VALUE"""),5)</f>
        <v>5</v>
      </c>
      <c r="Q121" s="4">
        <f ca="1">IFERROR(__xludf.DUMMYFUNCTION("""COMPUTED_VALUE"""),5)</f>
        <v>5</v>
      </c>
      <c r="R121" s="4">
        <f ca="1">IFERROR(__xludf.DUMMYFUNCTION("""COMPUTED_VALUE"""),5)</f>
        <v>5</v>
      </c>
      <c r="S121" s="4">
        <f ca="1">IFERROR(__xludf.DUMMYFUNCTION("""COMPUTED_VALUE"""),5)</f>
        <v>5</v>
      </c>
      <c r="T121" s="4">
        <f ca="1">IFERROR(__xludf.DUMMYFUNCTION("""COMPUTED_VALUE"""),5)</f>
        <v>5</v>
      </c>
      <c r="U121" s="4">
        <f ca="1">IFERROR(__xludf.DUMMYFUNCTION("""COMPUTED_VALUE"""),5)</f>
        <v>5</v>
      </c>
      <c r="V121" s="4">
        <f ca="1">IFERROR(__xludf.DUMMYFUNCTION("""COMPUTED_VALUE"""),5)</f>
        <v>5</v>
      </c>
      <c r="W121" s="4">
        <f ca="1">IFERROR(__xludf.DUMMYFUNCTION("""COMPUTED_VALUE"""),5)</f>
        <v>5</v>
      </c>
      <c r="X121" s="4">
        <f ca="1">IFERROR(__xludf.DUMMYFUNCTION("""COMPUTED_VALUE"""),5)</f>
        <v>5</v>
      </c>
      <c r="Y121" s="4">
        <f ca="1">IFERROR(__xludf.DUMMYFUNCTION("""COMPUTED_VALUE"""),5)</f>
        <v>5</v>
      </c>
      <c r="Z121" s="4">
        <f ca="1">IFERROR(__xludf.DUMMYFUNCTION("""COMPUTED_VALUE"""),5)</f>
        <v>5</v>
      </c>
      <c r="AA121" s="4">
        <f ca="1">IFERROR(__xludf.DUMMYFUNCTION("""COMPUTED_VALUE"""),5)</f>
        <v>5</v>
      </c>
      <c r="AB121" s="4">
        <f ca="1">IFERROR(__xludf.DUMMYFUNCTION("""COMPUTED_VALUE"""),5)</f>
        <v>5</v>
      </c>
      <c r="AC121" s="4">
        <f ca="1">IFERROR(__xludf.DUMMYFUNCTION("""COMPUTED_VALUE"""),5)</f>
        <v>5</v>
      </c>
      <c r="AD121" s="4">
        <f ca="1">IFERROR(__xludf.DUMMYFUNCTION("""COMPUTED_VALUE"""),5)</f>
        <v>5</v>
      </c>
      <c r="AE121" s="4">
        <f ca="1">IFERROR(__xludf.DUMMYFUNCTION("""COMPUTED_VALUE"""),5)</f>
        <v>5</v>
      </c>
      <c r="AF121" s="4">
        <f ca="1">IFERROR(__xludf.DUMMYFUNCTION("""COMPUTED_VALUE"""),5)</f>
        <v>5</v>
      </c>
      <c r="AG121" s="4">
        <f ca="1">IFERROR(__xludf.DUMMYFUNCTION("""COMPUTED_VALUE"""),5)</f>
        <v>5</v>
      </c>
      <c r="AH121" s="4">
        <f ca="1">IFERROR(__xludf.DUMMYFUNCTION("""COMPUTED_VALUE"""),5)</f>
        <v>5</v>
      </c>
      <c r="AI121" s="4">
        <f ca="1">IFERROR(__xludf.DUMMYFUNCTION("""COMPUTED_VALUE"""),5)</f>
        <v>5</v>
      </c>
      <c r="AJ121" s="4">
        <f ca="1">IFERROR(__xludf.DUMMYFUNCTION("""COMPUTED_VALUE"""),3)</f>
        <v>3</v>
      </c>
      <c r="AK121" s="4">
        <f ca="1">IFERROR(__xludf.DUMMYFUNCTION("""COMPUTED_VALUE"""),5)</f>
        <v>5</v>
      </c>
      <c r="AL121" s="4">
        <f ca="1">IFERROR(__xludf.DUMMYFUNCTION("""COMPUTED_VALUE"""),3)</f>
        <v>3</v>
      </c>
      <c r="AM121" s="4">
        <f ca="1">IFERROR(__xludf.DUMMYFUNCTION("""COMPUTED_VALUE"""),5)</f>
        <v>5</v>
      </c>
      <c r="AN121" s="4">
        <f ca="1">IFERROR(__xludf.DUMMYFUNCTION("""COMPUTED_VALUE"""),5)</f>
        <v>5</v>
      </c>
      <c r="AO121" s="4">
        <f ca="1">IFERROR(__xludf.DUMMYFUNCTION("""COMPUTED_VALUE"""),5)</f>
        <v>5</v>
      </c>
      <c r="AP121" s="4">
        <f ca="1">IFERROR(__xludf.DUMMYFUNCTION("""COMPUTED_VALUE"""),5)</f>
        <v>5</v>
      </c>
      <c r="AQ121" s="4">
        <f ca="1">IFERROR(__xludf.DUMMYFUNCTION("""COMPUTED_VALUE"""),5)</f>
        <v>5</v>
      </c>
      <c r="AR121" s="4">
        <f ca="1">IFERROR(__xludf.DUMMYFUNCTION("""COMPUTED_VALUE"""),5)</f>
        <v>5</v>
      </c>
      <c r="AS121" s="4">
        <f ca="1">IFERROR(__xludf.DUMMYFUNCTION("""COMPUTED_VALUE"""),5)</f>
        <v>5</v>
      </c>
      <c r="AT121" s="4">
        <f ca="1">IFERROR(__xludf.DUMMYFUNCTION("""COMPUTED_VALUE"""),5)</f>
        <v>5</v>
      </c>
      <c r="AU121" s="4">
        <f ca="1">IFERROR(__xludf.DUMMYFUNCTION("""COMPUTED_VALUE"""),5)</f>
        <v>5</v>
      </c>
      <c r="AV121" s="4">
        <f ca="1">IFERROR(__xludf.DUMMYFUNCTION("""COMPUTED_VALUE"""),5)</f>
        <v>5</v>
      </c>
      <c r="AW121" s="4">
        <f ca="1">IFERROR(__xludf.DUMMYFUNCTION("""COMPUTED_VALUE"""),5)</f>
        <v>5</v>
      </c>
      <c r="AX121" s="4">
        <f ca="1">IFERROR(__xludf.DUMMYFUNCTION("""COMPUTED_VALUE"""),5)</f>
        <v>5</v>
      </c>
      <c r="AY121" s="4">
        <f ca="1">IFERROR(__xludf.DUMMYFUNCTION("""COMPUTED_VALUE"""),5)</f>
        <v>5</v>
      </c>
      <c r="AZ121" s="4">
        <f ca="1">IFERROR(__xludf.DUMMYFUNCTION("""COMPUTED_VALUE"""),5)</f>
        <v>5</v>
      </c>
      <c r="BA121" s="4">
        <f ca="1">IFERROR(__xludf.DUMMYFUNCTION("""COMPUTED_VALUE"""),5)</f>
        <v>5</v>
      </c>
      <c r="BB121" s="4">
        <f ca="1">IFERROR(__xludf.DUMMYFUNCTION("""COMPUTED_VALUE"""),5)</f>
        <v>5</v>
      </c>
      <c r="BC121" s="4">
        <f ca="1">IFERROR(__xludf.DUMMYFUNCTION("""COMPUTED_VALUE"""),5)</f>
        <v>5</v>
      </c>
      <c r="BD121" s="4">
        <f ca="1">IFERROR(__xludf.DUMMYFUNCTION("""COMPUTED_VALUE"""),5)</f>
        <v>5</v>
      </c>
      <c r="BE121" s="4">
        <f ca="1">IFERROR(__xludf.DUMMYFUNCTION("""COMPUTED_VALUE"""),5)</f>
        <v>5</v>
      </c>
      <c r="BF121" s="4">
        <f ca="1">IFERROR(__xludf.DUMMYFUNCTION("""COMPUTED_VALUE"""),5)</f>
        <v>5</v>
      </c>
      <c r="BG121" s="4">
        <f ca="1">IFERROR(__xludf.DUMMYFUNCTION("""COMPUTED_VALUE"""),5)</f>
        <v>5</v>
      </c>
      <c r="BH121" s="4">
        <f ca="1">IFERROR(__xludf.DUMMYFUNCTION("""COMPUTED_VALUE"""),5)</f>
        <v>5</v>
      </c>
      <c r="BI121" s="4">
        <f ca="1">IFERROR(__xludf.DUMMYFUNCTION("""COMPUTED_VALUE"""),5)</f>
        <v>5</v>
      </c>
      <c r="BJ121" s="4">
        <f ca="1">IFERROR(__xludf.DUMMYFUNCTION("""COMPUTED_VALUE"""),5)</f>
        <v>5</v>
      </c>
      <c r="BK121" s="4">
        <f ca="1">IFERROR(__xludf.DUMMYFUNCTION("""COMPUTED_VALUE"""),5)</f>
        <v>5</v>
      </c>
      <c r="BL121" s="4">
        <f ca="1">IFERROR(__xludf.DUMMYFUNCTION("""COMPUTED_VALUE"""),3)</f>
        <v>3</v>
      </c>
      <c r="BM121" s="4">
        <f ca="1">IFERROR(__xludf.DUMMYFUNCTION("""COMPUTED_VALUE"""),5)</f>
        <v>5</v>
      </c>
      <c r="BN121" s="4">
        <f ca="1">IFERROR(__xludf.DUMMYFUNCTION("""COMPUTED_VALUE"""),5)</f>
        <v>5</v>
      </c>
      <c r="BO121" s="4">
        <f ca="1">IFERROR(__xludf.DUMMYFUNCTION("""COMPUTED_VALUE"""),5)</f>
        <v>5</v>
      </c>
      <c r="BP121" s="4">
        <f ca="1">IFERROR(__xludf.DUMMYFUNCTION("""COMPUTED_VALUE"""),5)</f>
        <v>5</v>
      </c>
    </row>
    <row r="122" spans="1:68" ht="13.2" x14ac:dyDescent="0.25">
      <c r="A122" s="4" t="str">
        <f ca="1">IFERROR(__xludf.DUMMYFUNCTION("""COMPUTED_VALUE"""),"2_ABaOnucZG5LGxu5ksGSej0vZqn6skhalMyqzLAJCL-yxYsDp_vw5oJ92sdDF2jSPjg")</f>
        <v>2_ABaOnucZG5LGxu5ksGSej0vZqn6skhalMyqzLAJCL-yxYsDp_vw5oJ92sdDF2jSPjg</v>
      </c>
      <c r="B122" s="5">
        <f ca="1">IFERROR(__xludf.DUMMYFUNCTION("""COMPUTED_VALUE"""),45973.8519139004)</f>
        <v>45973.851913900398</v>
      </c>
      <c r="C122" s="4"/>
      <c r="D122" s="4" t="str">
        <f ca="1">IFERROR(__xludf.DUMMYFUNCTION("""COMPUTED_VALUE"""),"Nam")</f>
        <v>Nam</v>
      </c>
      <c r="E122" s="4" t="str">
        <f ca="1">IFERROR(__xludf.DUMMYFUNCTION("""COMPUTED_VALUE"""),"Kiểm toán AC")</f>
        <v>Kiểm toán AC</v>
      </c>
      <c r="F122" s="4" t="str">
        <f ca="1">IFERROR(__xludf.DUMMYFUNCTION("""COMPUTED_VALUE"""),"Đại học, Chứng chỉ Kiểm toán viên")</f>
        <v>Đại học, Chứng chỉ Kiểm toán viên</v>
      </c>
      <c r="G122" s="4" t="str">
        <f ca="1">IFERROR(__xludf.DUMMYFUNCTION("""COMPUTED_VALUE"""),"Trên 15 đến 20 năm")</f>
        <v>Trên 15 đến 20 năm</v>
      </c>
      <c r="H122" s="4" t="str">
        <f ca="1">IFERROR(__xludf.DUMMYFUNCTION("""COMPUTED_VALUE"""),"Kiểm toán viên/Trưởng nhóm")</f>
        <v>Kiểm toán viên/Trưởng nhóm</v>
      </c>
      <c r="I122" s="4">
        <f ca="1">IFERROR(__xludf.DUMMYFUNCTION("""COMPUTED_VALUE"""),5)</f>
        <v>5</v>
      </c>
      <c r="J122" s="4">
        <f ca="1">IFERROR(__xludf.DUMMYFUNCTION("""COMPUTED_VALUE"""),4)</f>
        <v>4</v>
      </c>
      <c r="K122" s="4">
        <f ca="1">IFERROR(__xludf.DUMMYFUNCTION("""COMPUTED_VALUE"""),4)</f>
        <v>4</v>
      </c>
      <c r="L122" s="4">
        <f ca="1">IFERROR(__xludf.DUMMYFUNCTION("""COMPUTED_VALUE"""),4)</f>
        <v>4</v>
      </c>
      <c r="M122" s="4">
        <f ca="1">IFERROR(__xludf.DUMMYFUNCTION("""COMPUTED_VALUE"""),5)</f>
        <v>5</v>
      </c>
      <c r="N122" s="4">
        <f ca="1">IFERROR(__xludf.DUMMYFUNCTION("""COMPUTED_VALUE"""),3)</f>
        <v>3</v>
      </c>
      <c r="O122" s="4">
        <f ca="1">IFERROR(__xludf.DUMMYFUNCTION("""COMPUTED_VALUE"""),3)</f>
        <v>3</v>
      </c>
      <c r="P122" s="4">
        <f ca="1">IFERROR(__xludf.DUMMYFUNCTION("""COMPUTED_VALUE"""),4)</f>
        <v>4</v>
      </c>
      <c r="Q122" s="4">
        <f ca="1">IFERROR(__xludf.DUMMYFUNCTION("""COMPUTED_VALUE"""),5)</f>
        <v>5</v>
      </c>
      <c r="R122" s="4">
        <f ca="1">IFERROR(__xludf.DUMMYFUNCTION("""COMPUTED_VALUE"""),4)</f>
        <v>4</v>
      </c>
      <c r="S122" s="4">
        <f ca="1">IFERROR(__xludf.DUMMYFUNCTION("""COMPUTED_VALUE"""),4)</f>
        <v>4</v>
      </c>
      <c r="T122" s="4">
        <f ca="1">IFERROR(__xludf.DUMMYFUNCTION("""COMPUTED_VALUE"""),5)</f>
        <v>5</v>
      </c>
      <c r="U122" s="4">
        <f ca="1">IFERROR(__xludf.DUMMYFUNCTION("""COMPUTED_VALUE"""),5)</f>
        <v>5</v>
      </c>
      <c r="V122" s="4">
        <f ca="1">IFERROR(__xludf.DUMMYFUNCTION("""COMPUTED_VALUE"""),5)</f>
        <v>5</v>
      </c>
      <c r="W122" s="4">
        <f ca="1">IFERROR(__xludf.DUMMYFUNCTION("""COMPUTED_VALUE"""),4)</f>
        <v>4</v>
      </c>
      <c r="X122" s="4">
        <f ca="1">IFERROR(__xludf.DUMMYFUNCTION("""COMPUTED_VALUE"""),4)</f>
        <v>4</v>
      </c>
      <c r="Y122" s="4">
        <f ca="1">IFERROR(__xludf.DUMMYFUNCTION("""COMPUTED_VALUE"""),4)</f>
        <v>4</v>
      </c>
      <c r="Z122" s="4">
        <f ca="1">IFERROR(__xludf.DUMMYFUNCTION("""COMPUTED_VALUE"""),4)</f>
        <v>4</v>
      </c>
      <c r="AA122" s="4">
        <f ca="1">IFERROR(__xludf.DUMMYFUNCTION("""COMPUTED_VALUE"""),4)</f>
        <v>4</v>
      </c>
      <c r="AB122" s="4">
        <f ca="1">IFERROR(__xludf.DUMMYFUNCTION("""COMPUTED_VALUE"""),4)</f>
        <v>4</v>
      </c>
      <c r="AC122" s="4">
        <f ca="1">IFERROR(__xludf.DUMMYFUNCTION("""COMPUTED_VALUE"""),3)</f>
        <v>3</v>
      </c>
      <c r="AD122" s="4">
        <f ca="1">IFERROR(__xludf.DUMMYFUNCTION("""COMPUTED_VALUE"""),2)</f>
        <v>2</v>
      </c>
      <c r="AE122" s="4">
        <f ca="1">IFERROR(__xludf.DUMMYFUNCTION("""COMPUTED_VALUE"""),4)</f>
        <v>4</v>
      </c>
      <c r="AF122" s="4">
        <f ca="1">IFERROR(__xludf.DUMMYFUNCTION("""COMPUTED_VALUE"""),5)</f>
        <v>5</v>
      </c>
      <c r="AG122" s="4">
        <f ca="1">IFERROR(__xludf.DUMMYFUNCTION("""COMPUTED_VALUE"""),5)</f>
        <v>5</v>
      </c>
      <c r="AH122" s="4">
        <f ca="1">IFERROR(__xludf.DUMMYFUNCTION("""COMPUTED_VALUE"""),4)</f>
        <v>4</v>
      </c>
      <c r="AI122" s="4">
        <f ca="1">IFERROR(__xludf.DUMMYFUNCTION("""COMPUTED_VALUE"""),4)</f>
        <v>4</v>
      </c>
      <c r="AJ122" s="4">
        <f ca="1">IFERROR(__xludf.DUMMYFUNCTION("""COMPUTED_VALUE"""),4)</f>
        <v>4</v>
      </c>
      <c r="AK122" s="4">
        <f ca="1">IFERROR(__xludf.DUMMYFUNCTION("""COMPUTED_VALUE"""),4)</f>
        <v>4</v>
      </c>
      <c r="AL122" s="4">
        <f ca="1">IFERROR(__xludf.DUMMYFUNCTION("""COMPUTED_VALUE"""),4)</f>
        <v>4</v>
      </c>
      <c r="AM122" s="4">
        <f ca="1">IFERROR(__xludf.DUMMYFUNCTION("""COMPUTED_VALUE"""),4)</f>
        <v>4</v>
      </c>
      <c r="AN122" s="4">
        <f ca="1">IFERROR(__xludf.DUMMYFUNCTION("""COMPUTED_VALUE"""),4)</f>
        <v>4</v>
      </c>
      <c r="AO122" s="4">
        <f ca="1">IFERROR(__xludf.DUMMYFUNCTION("""COMPUTED_VALUE"""),4)</f>
        <v>4</v>
      </c>
      <c r="AP122" s="4">
        <f ca="1">IFERROR(__xludf.DUMMYFUNCTION("""COMPUTED_VALUE"""),3)</f>
        <v>3</v>
      </c>
      <c r="AQ122" s="4">
        <f ca="1">IFERROR(__xludf.DUMMYFUNCTION("""COMPUTED_VALUE"""),4)</f>
        <v>4</v>
      </c>
      <c r="AR122" s="4">
        <f ca="1">IFERROR(__xludf.DUMMYFUNCTION("""COMPUTED_VALUE"""),4)</f>
        <v>4</v>
      </c>
      <c r="AS122" s="4">
        <f ca="1">IFERROR(__xludf.DUMMYFUNCTION("""COMPUTED_VALUE"""),4)</f>
        <v>4</v>
      </c>
      <c r="AT122" s="4">
        <f ca="1">IFERROR(__xludf.DUMMYFUNCTION("""COMPUTED_VALUE"""),3)</f>
        <v>3</v>
      </c>
      <c r="AU122" s="4">
        <f ca="1">IFERROR(__xludf.DUMMYFUNCTION("""COMPUTED_VALUE"""),4)</f>
        <v>4</v>
      </c>
      <c r="AV122" s="4">
        <f ca="1">IFERROR(__xludf.DUMMYFUNCTION("""COMPUTED_VALUE"""),4)</f>
        <v>4</v>
      </c>
      <c r="AW122" s="4">
        <f ca="1">IFERROR(__xludf.DUMMYFUNCTION("""COMPUTED_VALUE"""),4)</f>
        <v>4</v>
      </c>
      <c r="AX122" s="4">
        <f ca="1">IFERROR(__xludf.DUMMYFUNCTION("""COMPUTED_VALUE"""),4)</f>
        <v>4</v>
      </c>
      <c r="AY122" s="4">
        <f ca="1">IFERROR(__xludf.DUMMYFUNCTION("""COMPUTED_VALUE"""),4)</f>
        <v>4</v>
      </c>
      <c r="AZ122" s="4">
        <f ca="1">IFERROR(__xludf.DUMMYFUNCTION("""COMPUTED_VALUE"""),4)</f>
        <v>4</v>
      </c>
      <c r="BA122" s="4">
        <f ca="1">IFERROR(__xludf.DUMMYFUNCTION("""COMPUTED_VALUE"""),5)</f>
        <v>5</v>
      </c>
      <c r="BB122" s="4">
        <f ca="1">IFERROR(__xludf.DUMMYFUNCTION("""COMPUTED_VALUE"""),4)</f>
        <v>4</v>
      </c>
      <c r="BC122" s="4">
        <f ca="1">IFERROR(__xludf.DUMMYFUNCTION("""COMPUTED_VALUE"""),3)</f>
        <v>3</v>
      </c>
      <c r="BD122" s="4">
        <f ca="1">IFERROR(__xludf.DUMMYFUNCTION("""COMPUTED_VALUE"""),3)</f>
        <v>3</v>
      </c>
      <c r="BE122" s="4">
        <f ca="1">IFERROR(__xludf.DUMMYFUNCTION("""COMPUTED_VALUE"""),2)</f>
        <v>2</v>
      </c>
      <c r="BF122" s="4">
        <f ca="1">IFERROR(__xludf.DUMMYFUNCTION("""COMPUTED_VALUE"""),3)</f>
        <v>3</v>
      </c>
      <c r="BG122" s="4">
        <f ca="1">IFERROR(__xludf.DUMMYFUNCTION("""COMPUTED_VALUE"""),3)</f>
        <v>3</v>
      </c>
      <c r="BH122" s="4">
        <f ca="1">IFERROR(__xludf.DUMMYFUNCTION("""COMPUTED_VALUE"""),4)</f>
        <v>4</v>
      </c>
      <c r="BI122" s="4">
        <f ca="1">IFERROR(__xludf.DUMMYFUNCTION("""COMPUTED_VALUE"""),4)</f>
        <v>4</v>
      </c>
      <c r="BJ122" s="4">
        <f ca="1">IFERROR(__xludf.DUMMYFUNCTION("""COMPUTED_VALUE"""),4)</f>
        <v>4</v>
      </c>
      <c r="BK122" s="4">
        <f ca="1">IFERROR(__xludf.DUMMYFUNCTION("""COMPUTED_VALUE"""),4)</f>
        <v>4</v>
      </c>
      <c r="BL122" s="4">
        <f ca="1">IFERROR(__xludf.DUMMYFUNCTION("""COMPUTED_VALUE"""),4)</f>
        <v>4</v>
      </c>
      <c r="BM122" s="4">
        <f ca="1">IFERROR(__xludf.DUMMYFUNCTION("""COMPUTED_VALUE"""),4)</f>
        <v>4</v>
      </c>
      <c r="BN122" s="4">
        <f ca="1">IFERROR(__xludf.DUMMYFUNCTION("""COMPUTED_VALUE"""),4)</f>
        <v>4</v>
      </c>
      <c r="BO122" s="4">
        <f ca="1">IFERROR(__xludf.DUMMYFUNCTION("""COMPUTED_VALUE"""),5)</f>
        <v>5</v>
      </c>
      <c r="BP122" s="4">
        <f ca="1">IFERROR(__xludf.DUMMYFUNCTION("""COMPUTED_VALUE"""),4)</f>
        <v>4</v>
      </c>
    </row>
    <row r="123" spans="1:68" ht="13.2" x14ac:dyDescent="0.25">
      <c r="A123" s="4" t="str">
        <f ca="1">IFERROR(__xludf.DUMMYFUNCTION("""COMPUTED_VALUE"""),"2_ABaOnudTHuHOFpZsAaRB97EixMtgKd2paGfbHbst8acxAgXLbB67F8KYEdOA5CQ_ig")</f>
        <v>2_ABaOnudTHuHOFpZsAaRB97EixMtgKd2paGfbHbst8acxAgXLbB67F8KYEdOA5CQ_ig</v>
      </c>
      <c r="B123" s="5">
        <f ca="1">IFERROR(__xludf.DUMMYFUNCTION("""COMPUTED_VALUE"""),45973.8932924884)</f>
        <v>45973.893292488399</v>
      </c>
      <c r="C123" s="4" t="str">
        <f ca="1">IFERROR(__xludf.DUMMYFUNCTION("""COMPUTED_VALUE"""),"Khanh")</f>
        <v>Khanh</v>
      </c>
      <c r="D123" s="4" t="str">
        <f ca="1">IFERROR(__xludf.DUMMYFUNCTION("""COMPUTED_VALUE"""),"Nữ")</f>
        <v>Nữ</v>
      </c>
      <c r="E123" s="4" t="str">
        <f ca="1">IFERROR(__xludf.DUMMYFUNCTION("""COMPUTED_VALUE"""),"Cty Kiểm toán Sao Việt - Chi nhánh Bình Dương")</f>
        <v>Cty Kiểm toán Sao Việt - Chi nhánh Bình Dương</v>
      </c>
      <c r="F123" s="4" t="str">
        <f ca="1">IFERROR(__xludf.DUMMYFUNCTION("""COMPUTED_VALUE"""),"Đại học, Chứng chỉ Kiểm toán viên")</f>
        <v>Đại học, Chứng chỉ Kiểm toán viên</v>
      </c>
      <c r="G123" s="4" t="str">
        <f ca="1">IFERROR(__xludf.DUMMYFUNCTION("""COMPUTED_VALUE"""),"Trên 15 đến 20 năm")</f>
        <v>Trên 15 đến 20 năm</v>
      </c>
      <c r="H123" s="4" t="str">
        <f ca="1">IFERROR(__xludf.DUMMYFUNCTION("""COMPUTED_VALUE"""),"Ban giám đốc")</f>
        <v>Ban giám đốc</v>
      </c>
      <c r="I123" s="4">
        <f ca="1">IFERROR(__xludf.DUMMYFUNCTION("""COMPUTED_VALUE"""),5)</f>
        <v>5</v>
      </c>
      <c r="J123" s="4">
        <f ca="1">IFERROR(__xludf.DUMMYFUNCTION("""COMPUTED_VALUE"""),4)</f>
        <v>4</v>
      </c>
      <c r="K123" s="4">
        <f ca="1">IFERROR(__xludf.DUMMYFUNCTION("""COMPUTED_VALUE"""),4)</f>
        <v>4</v>
      </c>
      <c r="L123" s="4">
        <f ca="1">IFERROR(__xludf.DUMMYFUNCTION("""COMPUTED_VALUE"""),4)</f>
        <v>4</v>
      </c>
      <c r="M123" s="4">
        <f ca="1">IFERROR(__xludf.DUMMYFUNCTION("""COMPUTED_VALUE"""),4)</f>
        <v>4</v>
      </c>
      <c r="N123" s="4">
        <f ca="1">IFERROR(__xludf.DUMMYFUNCTION("""COMPUTED_VALUE"""),3)</f>
        <v>3</v>
      </c>
      <c r="O123" s="4">
        <f ca="1">IFERROR(__xludf.DUMMYFUNCTION("""COMPUTED_VALUE"""),3)</f>
        <v>3</v>
      </c>
      <c r="P123" s="4">
        <f ca="1">IFERROR(__xludf.DUMMYFUNCTION("""COMPUTED_VALUE"""),4)</f>
        <v>4</v>
      </c>
      <c r="Q123" s="4">
        <f ca="1">IFERROR(__xludf.DUMMYFUNCTION("""COMPUTED_VALUE"""),5)</f>
        <v>5</v>
      </c>
      <c r="R123" s="4">
        <f ca="1">IFERROR(__xludf.DUMMYFUNCTION("""COMPUTED_VALUE"""),4)</f>
        <v>4</v>
      </c>
      <c r="S123" s="4">
        <f ca="1">IFERROR(__xludf.DUMMYFUNCTION("""COMPUTED_VALUE"""),5)</f>
        <v>5</v>
      </c>
      <c r="T123" s="4">
        <f ca="1">IFERROR(__xludf.DUMMYFUNCTION("""COMPUTED_VALUE"""),5)</f>
        <v>5</v>
      </c>
      <c r="U123" s="4">
        <f ca="1">IFERROR(__xludf.DUMMYFUNCTION("""COMPUTED_VALUE"""),5)</f>
        <v>5</v>
      </c>
      <c r="V123" s="4">
        <f ca="1">IFERROR(__xludf.DUMMYFUNCTION("""COMPUTED_VALUE"""),5)</f>
        <v>5</v>
      </c>
      <c r="W123" s="4">
        <f ca="1">IFERROR(__xludf.DUMMYFUNCTION("""COMPUTED_VALUE"""),4)</f>
        <v>4</v>
      </c>
      <c r="X123" s="4">
        <f ca="1">IFERROR(__xludf.DUMMYFUNCTION("""COMPUTED_VALUE"""),4)</f>
        <v>4</v>
      </c>
      <c r="Y123" s="4">
        <f ca="1">IFERROR(__xludf.DUMMYFUNCTION("""COMPUTED_VALUE"""),3)</f>
        <v>3</v>
      </c>
      <c r="Z123" s="4">
        <f ca="1">IFERROR(__xludf.DUMMYFUNCTION("""COMPUTED_VALUE"""),4)</f>
        <v>4</v>
      </c>
      <c r="AA123" s="4">
        <f ca="1">IFERROR(__xludf.DUMMYFUNCTION("""COMPUTED_VALUE"""),4)</f>
        <v>4</v>
      </c>
      <c r="AB123" s="4">
        <f ca="1">IFERROR(__xludf.DUMMYFUNCTION("""COMPUTED_VALUE"""),2)</f>
        <v>2</v>
      </c>
      <c r="AC123" s="4">
        <f ca="1">IFERROR(__xludf.DUMMYFUNCTION("""COMPUTED_VALUE"""),2)</f>
        <v>2</v>
      </c>
      <c r="AD123" s="4">
        <f ca="1">IFERROR(__xludf.DUMMYFUNCTION("""COMPUTED_VALUE"""),3)</f>
        <v>3</v>
      </c>
      <c r="AE123" s="4">
        <f ca="1">IFERROR(__xludf.DUMMYFUNCTION("""COMPUTED_VALUE"""),3)</f>
        <v>3</v>
      </c>
      <c r="AF123" s="4">
        <f ca="1">IFERROR(__xludf.DUMMYFUNCTION("""COMPUTED_VALUE"""),4)</f>
        <v>4</v>
      </c>
      <c r="AG123" s="4">
        <f ca="1">IFERROR(__xludf.DUMMYFUNCTION("""COMPUTED_VALUE"""),4)</f>
        <v>4</v>
      </c>
      <c r="AH123" s="4">
        <f ca="1">IFERROR(__xludf.DUMMYFUNCTION("""COMPUTED_VALUE"""),3)</f>
        <v>3</v>
      </c>
      <c r="AI123" s="4">
        <f ca="1">IFERROR(__xludf.DUMMYFUNCTION("""COMPUTED_VALUE"""),3)</f>
        <v>3</v>
      </c>
      <c r="AJ123" s="4">
        <f ca="1">IFERROR(__xludf.DUMMYFUNCTION("""COMPUTED_VALUE"""),5)</f>
        <v>5</v>
      </c>
      <c r="AK123" s="4">
        <f ca="1">IFERROR(__xludf.DUMMYFUNCTION("""COMPUTED_VALUE"""),5)</f>
        <v>5</v>
      </c>
      <c r="AL123" s="4">
        <f ca="1">IFERROR(__xludf.DUMMYFUNCTION("""COMPUTED_VALUE"""),4)</f>
        <v>4</v>
      </c>
      <c r="AM123" s="4">
        <f ca="1">IFERROR(__xludf.DUMMYFUNCTION("""COMPUTED_VALUE"""),4)</f>
        <v>4</v>
      </c>
      <c r="AN123" s="4">
        <f ca="1">IFERROR(__xludf.DUMMYFUNCTION("""COMPUTED_VALUE"""),4)</f>
        <v>4</v>
      </c>
      <c r="AO123" s="4">
        <f ca="1">IFERROR(__xludf.DUMMYFUNCTION("""COMPUTED_VALUE"""),3)</f>
        <v>3</v>
      </c>
      <c r="AP123" s="4">
        <f ca="1">IFERROR(__xludf.DUMMYFUNCTION("""COMPUTED_VALUE"""),3)</f>
        <v>3</v>
      </c>
      <c r="AQ123" s="4">
        <f ca="1">IFERROR(__xludf.DUMMYFUNCTION("""COMPUTED_VALUE"""),4)</f>
        <v>4</v>
      </c>
      <c r="AR123" s="4">
        <f ca="1">IFERROR(__xludf.DUMMYFUNCTION("""COMPUTED_VALUE"""),3)</f>
        <v>3</v>
      </c>
      <c r="AS123" s="4">
        <f ca="1">IFERROR(__xludf.DUMMYFUNCTION("""COMPUTED_VALUE"""),2)</f>
        <v>2</v>
      </c>
      <c r="AT123" s="4">
        <f ca="1">IFERROR(__xludf.DUMMYFUNCTION("""COMPUTED_VALUE"""),4)</f>
        <v>4</v>
      </c>
      <c r="AU123" s="4">
        <f ca="1">IFERROR(__xludf.DUMMYFUNCTION("""COMPUTED_VALUE"""),4)</f>
        <v>4</v>
      </c>
      <c r="AV123" s="4">
        <f ca="1">IFERROR(__xludf.DUMMYFUNCTION("""COMPUTED_VALUE"""),4)</f>
        <v>4</v>
      </c>
      <c r="AW123" s="4">
        <f ca="1">IFERROR(__xludf.DUMMYFUNCTION("""COMPUTED_VALUE"""),4)</f>
        <v>4</v>
      </c>
      <c r="AX123" s="4">
        <f ca="1">IFERROR(__xludf.DUMMYFUNCTION("""COMPUTED_VALUE"""),4)</f>
        <v>4</v>
      </c>
      <c r="AY123" s="4">
        <f ca="1">IFERROR(__xludf.DUMMYFUNCTION("""COMPUTED_VALUE"""),4)</f>
        <v>4</v>
      </c>
      <c r="AZ123" s="4">
        <f ca="1">IFERROR(__xludf.DUMMYFUNCTION("""COMPUTED_VALUE"""),4)</f>
        <v>4</v>
      </c>
      <c r="BA123" s="4">
        <f ca="1">IFERROR(__xludf.DUMMYFUNCTION("""COMPUTED_VALUE"""),4)</f>
        <v>4</v>
      </c>
      <c r="BB123" s="4">
        <f ca="1">IFERROR(__xludf.DUMMYFUNCTION("""COMPUTED_VALUE"""),3)</f>
        <v>3</v>
      </c>
      <c r="BC123" s="4">
        <f ca="1">IFERROR(__xludf.DUMMYFUNCTION("""COMPUTED_VALUE"""),2)</f>
        <v>2</v>
      </c>
      <c r="BD123" s="4">
        <f ca="1">IFERROR(__xludf.DUMMYFUNCTION("""COMPUTED_VALUE"""),2)</f>
        <v>2</v>
      </c>
      <c r="BE123" s="4">
        <f ca="1">IFERROR(__xludf.DUMMYFUNCTION("""COMPUTED_VALUE"""),2)</f>
        <v>2</v>
      </c>
      <c r="BF123" s="4">
        <f ca="1">IFERROR(__xludf.DUMMYFUNCTION("""COMPUTED_VALUE"""),2)</f>
        <v>2</v>
      </c>
      <c r="BG123" s="4">
        <f ca="1">IFERROR(__xludf.DUMMYFUNCTION("""COMPUTED_VALUE"""),2)</f>
        <v>2</v>
      </c>
      <c r="BH123" s="4">
        <f ca="1">IFERROR(__xludf.DUMMYFUNCTION("""COMPUTED_VALUE"""),3)</f>
        <v>3</v>
      </c>
      <c r="BI123" s="4">
        <f ca="1">IFERROR(__xludf.DUMMYFUNCTION("""COMPUTED_VALUE"""),4)</f>
        <v>4</v>
      </c>
      <c r="BJ123" s="4">
        <f ca="1">IFERROR(__xludf.DUMMYFUNCTION("""COMPUTED_VALUE"""),4)</f>
        <v>4</v>
      </c>
      <c r="BK123" s="4">
        <f ca="1">IFERROR(__xludf.DUMMYFUNCTION("""COMPUTED_VALUE"""),4)</f>
        <v>4</v>
      </c>
      <c r="BL123" s="4">
        <f ca="1">IFERROR(__xludf.DUMMYFUNCTION("""COMPUTED_VALUE"""),4)</f>
        <v>4</v>
      </c>
      <c r="BM123" s="4">
        <f ca="1">IFERROR(__xludf.DUMMYFUNCTION("""COMPUTED_VALUE"""),4)</f>
        <v>4</v>
      </c>
      <c r="BN123" s="4">
        <f ca="1">IFERROR(__xludf.DUMMYFUNCTION("""COMPUTED_VALUE"""),4)</f>
        <v>4</v>
      </c>
      <c r="BO123" s="4">
        <f ca="1">IFERROR(__xludf.DUMMYFUNCTION("""COMPUTED_VALUE"""),4)</f>
        <v>4</v>
      </c>
      <c r="BP123" s="4">
        <f ca="1">IFERROR(__xludf.DUMMYFUNCTION("""COMPUTED_VALUE"""),3)</f>
        <v>3</v>
      </c>
    </row>
    <row r="124" spans="1:68" ht="13.2" x14ac:dyDescent="0.25">
      <c r="A124" s="4" t="str">
        <f ca="1">IFERROR(__xludf.DUMMYFUNCTION("""COMPUTED_VALUE"""),"2_ABaOnud_KTt6NuyQPIbBIh-bejolHqnTwkSqjgNQbC9x3sJmpvMCFoLqJjwGN3C5lA")</f>
        <v>2_ABaOnud_KTt6NuyQPIbBIh-bejolHqnTwkSqjgNQbC9x3sJmpvMCFoLqJjwGN3C5lA</v>
      </c>
      <c r="B124" s="5">
        <f ca="1">IFERROR(__xludf.DUMMYFUNCTION("""COMPUTED_VALUE"""),45973.8965457986)</f>
        <v>45973.896545798598</v>
      </c>
      <c r="C124" s="4" t="str">
        <f ca="1">IFERROR(__xludf.DUMMYFUNCTION("""COMPUTED_VALUE"""),"Lê Trương Cường")</f>
        <v>Lê Trương Cường</v>
      </c>
      <c r="D124" s="4" t="str">
        <f ca="1">IFERROR(__xludf.DUMMYFUNCTION("""COMPUTED_VALUE"""),"Nam")</f>
        <v>Nam</v>
      </c>
      <c r="E124" s="4" t="str">
        <f ca="1">IFERROR(__xludf.DUMMYFUNCTION("""COMPUTED_VALUE"""),"Kiểm toán Việt Úc")</f>
        <v>Kiểm toán Việt Úc</v>
      </c>
      <c r="F124" s="4" t="str">
        <f ca="1">IFERROR(__xludf.DUMMYFUNCTION("""COMPUTED_VALUE"""),"Đại học, Chứng chỉ Kiểm toán viên")</f>
        <v>Đại học, Chứng chỉ Kiểm toán viên</v>
      </c>
      <c r="G124" s="4" t="str">
        <f ca="1">IFERROR(__xludf.DUMMYFUNCTION("""COMPUTED_VALUE"""),"Trên 10 đến 15 năm")</f>
        <v>Trên 10 đến 15 năm</v>
      </c>
      <c r="H124" s="4" t="str">
        <f ca="1">IFERROR(__xludf.DUMMYFUNCTION("""COMPUTED_VALUE"""),"Ban giám đốc")</f>
        <v>Ban giám đốc</v>
      </c>
      <c r="I124" s="4">
        <f ca="1">IFERROR(__xludf.DUMMYFUNCTION("""COMPUTED_VALUE"""),4)</f>
        <v>4</v>
      </c>
      <c r="J124" s="4">
        <f ca="1">IFERROR(__xludf.DUMMYFUNCTION("""COMPUTED_VALUE"""),4)</f>
        <v>4</v>
      </c>
      <c r="K124" s="4">
        <f ca="1">IFERROR(__xludf.DUMMYFUNCTION("""COMPUTED_VALUE"""),4)</f>
        <v>4</v>
      </c>
      <c r="L124" s="4">
        <f ca="1">IFERROR(__xludf.DUMMYFUNCTION("""COMPUTED_VALUE"""),4)</f>
        <v>4</v>
      </c>
      <c r="M124" s="4">
        <f ca="1">IFERROR(__xludf.DUMMYFUNCTION("""COMPUTED_VALUE"""),4)</f>
        <v>4</v>
      </c>
      <c r="N124" s="4">
        <f ca="1">IFERROR(__xludf.DUMMYFUNCTION("""COMPUTED_VALUE"""),4)</f>
        <v>4</v>
      </c>
      <c r="O124" s="4">
        <f ca="1">IFERROR(__xludf.DUMMYFUNCTION("""COMPUTED_VALUE"""),3)</f>
        <v>3</v>
      </c>
      <c r="P124" s="4">
        <f ca="1">IFERROR(__xludf.DUMMYFUNCTION("""COMPUTED_VALUE"""),4)</f>
        <v>4</v>
      </c>
      <c r="Q124" s="4">
        <f ca="1">IFERROR(__xludf.DUMMYFUNCTION("""COMPUTED_VALUE"""),3)</f>
        <v>3</v>
      </c>
      <c r="R124" s="4">
        <f ca="1">IFERROR(__xludf.DUMMYFUNCTION("""COMPUTED_VALUE"""),4)</f>
        <v>4</v>
      </c>
      <c r="S124" s="4">
        <f ca="1">IFERROR(__xludf.DUMMYFUNCTION("""COMPUTED_VALUE"""),3)</f>
        <v>3</v>
      </c>
      <c r="T124" s="4">
        <f ca="1">IFERROR(__xludf.DUMMYFUNCTION("""COMPUTED_VALUE"""),4)</f>
        <v>4</v>
      </c>
      <c r="U124" s="4">
        <f ca="1">IFERROR(__xludf.DUMMYFUNCTION("""COMPUTED_VALUE"""),3)</f>
        <v>3</v>
      </c>
      <c r="V124" s="4">
        <f ca="1">IFERROR(__xludf.DUMMYFUNCTION("""COMPUTED_VALUE"""),4)</f>
        <v>4</v>
      </c>
      <c r="W124" s="4">
        <f ca="1">IFERROR(__xludf.DUMMYFUNCTION("""COMPUTED_VALUE"""),3)</f>
        <v>3</v>
      </c>
      <c r="X124" s="4">
        <f ca="1">IFERROR(__xludf.DUMMYFUNCTION("""COMPUTED_VALUE"""),4)</f>
        <v>4</v>
      </c>
      <c r="Y124" s="4">
        <f ca="1">IFERROR(__xludf.DUMMYFUNCTION("""COMPUTED_VALUE"""),4)</f>
        <v>4</v>
      </c>
      <c r="Z124" s="4">
        <f ca="1">IFERROR(__xludf.DUMMYFUNCTION("""COMPUTED_VALUE"""),5)</f>
        <v>5</v>
      </c>
      <c r="AA124" s="4">
        <f ca="1">IFERROR(__xludf.DUMMYFUNCTION("""COMPUTED_VALUE"""),4)</f>
        <v>4</v>
      </c>
      <c r="AB124" s="4">
        <f ca="1">IFERROR(__xludf.DUMMYFUNCTION("""COMPUTED_VALUE"""),4)</f>
        <v>4</v>
      </c>
      <c r="AC124" s="4">
        <f ca="1">IFERROR(__xludf.DUMMYFUNCTION("""COMPUTED_VALUE"""),4)</f>
        <v>4</v>
      </c>
      <c r="AD124" s="4">
        <f ca="1">IFERROR(__xludf.DUMMYFUNCTION("""COMPUTED_VALUE"""),4)</f>
        <v>4</v>
      </c>
      <c r="AE124" s="4">
        <f ca="1">IFERROR(__xludf.DUMMYFUNCTION("""COMPUTED_VALUE"""),4)</f>
        <v>4</v>
      </c>
      <c r="AF124" s="4">
        <f ca="1">IFERROR(__xludf.DUMMYFUNCTION("""COMPUTED_VALUE"""),4)</f>
        <v>4</v>
      </c>
      <c r="AG124" s="4">
        <f ca="1">IFERROR(__xludf.DUMMYFUNCTION("""COMPUTED_VALUE"""),4)</f>
        <v>4</v>
      </c>
      <c r="AH124" s="4">
        <f ca="1">IFERROR(__xludf.DUMMYFUNCTION("""COMPUTED_VALUE"""),4)</f>
        <v>4</v>
      </c>
      <c r="AI124" s="4">
        <f ca="1">IFERROR(__xludf.DUMMYFUNCTION("""COMPUTED_VALUE"""),4)</f>
        <v>4</v>
      </c>
      <c r="AJ124" s="4">
        <f ca="1">IFERROR(__xludf.DUMMYFUNCTION("""COMPUTED_VALUE"""),4)</f>
        <v>4</v>
      </c>
      <c r="AK124" s="4">
        <f ca="1">IFERROR(__xludf.DUMMYFUNCTION("""COMPUTED_VALUE"""),4)</f>
        <v>4</v>
      </c>
      <c r="AL124" s="4">
        <f ca="1">IFERROR(__xludf.DUMMYFUNCTION("""COMPUTED_VALUE"""),4)</f>
        <v>4</v>
      </c>
      <c r="AM124" s="4">
        <f ca="1">IFERROR(__xludf.DUMMYFUNCTION("""COMPUTED_VALUE"""),4)</f>
        <v>4</v>
      </c>
      <c r="AN124" s="4">
        <f ca="1">IFERROR(__xludf.DUMMYFUNCTION("""COMPUTED_VALUE"""),3)</f>
        <v>3</v>
      </c>
      <c r="AO124" s="4">
        <f ca="1">IFERROR(__xludf.DUMMYFUNCTION("""COMPUTED_VALUE"""),4)</f>
        <v>4</v>
      </c>
      <c r="AP124" s="4">
        <f ca="1">IFERROR(__xludf.DUMMYFUNCTION("""COMPUTED_VALUE"""),3)</f>
        <v>3</v>
      </c>
      <c r="AQ124" s="4">
        <f ca="1">IFERROR(__xludf.DUMMYFUNCTION("""COMPUTED_VALUE"""),4)</f>
        <v>4</v>
      </c>
      <c r="AR124" s="4">
        <f ca="1">IFERROR(__xludf.DUMMYFUNCTION("""COMPUTED_VALUE"""),3)</f>
        <v>3</v>
      </c>
      <c r="AS124" s="4">
        <f ca="1">IFERROR(__xludf.DUMMYFUNCTION("""COMPUTED_VALUE"""),4)</f>
        <v>4</v>
      </c>
      <c r="AT124" s="4">
        <f ca="1">IFERROR(__xludf.DUMMYFUNCTION("""COMPUTED_VALUE"""),3)</f>
        <v>3</v>
      </c>
      <c r="AU124" s="4">
        <f ca="1">IFERROR(__xludf.DUMMYFUNCTION("""COMPUTED_VALUE"""),4)</f>
        <v>4</v>
      </c>
      <c r="AV124" s="4">
        <f ca="1">IFERROR(__xludf.DUMMYFUNCTION("""COMPUTED_VALUE"""),4)</f>
        <v>4</v>
      </c>
      <c r="AW124" s="4">
        <f ca="1">IFERROR(__xludf.DUMMYFUNCTION("""COMPUTED_VALUE"""),4)</f>
        <v>4</v>
      </c>
      <c r="AX124" s="4">
        <f ca="1">IFERROR(__xludf.DUMMYFUNCTION("""COMPUTED_VALUE"""),4)</f>
        <v>4</v>
      </c>
      <c r="AY124" s="4">
        <f ca="1">IFERROR(__xludf.DUMMYFUNCTION("""COMPUTED_VALUE"""),4)</f>
        <v>4</v>
      </c>
      <c r="AZ124" s="4">
        <f ca="1">IFERROR(__xludf.DUMMYFUNCTION("""COMPUTED_VALUE"""),4)</f>
        <v>4</v>
      </c>
      <c r="BA124" s="4">
        <f ca="1">IFERROR(__xludf.DUMMYFUNCTION("""COMPUTED_VALUE"""),4)</f>
        <v>4</v>
      </c>
      <c r="BB124" s="4">
        <f ca="1">IFERROR(__xludf.DUMMYFUNCTION("""COMPUTED_VALUE"""),4)</f>
        <v>4</v>
      </c>
      <c r="BC124" s="4">
        <f ca="1">IFERROR(__xludf.DUMMYFUNCTION("""COMPUTED_VALUE"""),4)</f>
        <v>4</v>
      </c>
      <c r="BD124" s="4">
        <f ca="1">IFERROR(__xludf.DUMMYFUNCTION("""COMPUTED_VALUE"""),4)</f>
        <v>4</v>
      </c>
      <c r="BE124" s="4">
        <f ca="1">IFERROR(__xludf.DUMMYFUNCTION("""COMPUTED_VALUE"""),4)</f>
        <v>4</v>
      </c>
      <c r="BF124" s="4">
        <f ca="1">IFERROR(__xludf.DUMMYFUNCTION("""COMPUTED_VALUE"""),4)</f>
        <v>4</v>
      </c>
      <c r="BG124" s="4">
        <f ca="1">IFERROR(__xludf.DUMMYFUNCTION("""COMPUTED_VALUE"""),4)</f>
        <v>4</v>
      </c>
      <c r="BH124" s="4">
        <f ca="1">IFERROR(__xludf.DUMMYFUNCTION("""COMPUTED_VALUE"""),4)</f>
        <v>4</v>
      </c>
      <c r="BI124" s="4">
        <f ca="1">IFERROR(__xludf.DUMMYFUNCTION("""COMPUTED_VALUE"""),4)</f>
        <v>4</v>
      </c>
      <c r="BJ124" s="4">
        <f ca="1">IFERROR(__xludf.DUMMYFUNCTION("""COMPUTED_VALUE"""),4)</f>
        <v>4</v>
      </c>
      <c r="BK124" s="4">
        <f ca="1">IFERROR(__xludf.DUMMYFUNCTION("""COMPUTED_VALUE"""),4)</f>
        <v>4</v>
      </c>
      <c r="BL124" s="4">
        <f ca="1">IFERROR(__xludf.DUMMYFUNCTION("""COMPUTED_VALUE"""),4)</f>
        <v>4</v>
      </c>
      <c r="BM124" s="4">
        <f ca="1">IFERROR(__xludf.DUMMYFUNCTION("""COMPUTED_VALUE"""),4)</f>
        <v>4</v>
      </c>
      <c r="BN124" s="4">
        <f ca="1">IFERROR(__xludf.DUMMYFUNCTION("""COMPUTED_VALUE"""),3)</f>
        <v>3</v>
      </c>
      <c r="BO124" s="4">
        <f ca="1">IFERROR(__xludf.DUMMYFUNCTION("""COMPUTED_VALUE"""),3)</f>
        <v>3</v>
      </c>
      <c r="BP124" s="4">
        <f ca="1">IFERROR(__xludf.DUMMYFUNCTION("""COMPUTED_VALUE"""),4)</f>
        <v>4</v>
      </c>
    </row>
    <row r="125" spans="1:68" ht="13.2" x14ac:dyDescent="0.25">
      <c r="A125" s="4" t="str">
        <f ca="1">IFERROR(__xludf.DUMMYFUNCTION("""COMPUTED_VALUE"""),"2_ABaOnuctCswvYisuPI4CLYnVeIyyf3C1AhYpsuogRu459ZZmJp7F6RyCbAuZxt1_ng")</f>
        <v>2_ABaOnuctCswvYisuPI4CLYnVeIyyf3C1AhYpsuogRu459ZZmJp7F6RyCbAuZxt1_ng</v>
      </c>
      <c r="B125" s="5">
        <f ca="1">IFERROR(__xludf.DUMMYFUNCTION("""COMPUTED_VALUE"""),45973.9328389814)</f>
        <v>45973.932838981404</v>
      </c>
      <c r="C125" s="4" t="str">
        <f ca="1">IFERROR(__xludf.DUMMYFUNCTION("""COMPUTED_VALUE"""),"Trang Đắc Nha")</f>
        <v>Trang Đắc Nha</v>
      </c>
      <c r="D125" s="4" t="str">
        <f ca="1">IFERROR(__xludf.DUMMYFUNCTION("""COMPUTED_VALUE"""),"Nam")</f>
        <v>Nam</v>
      </c>
      <c r="E125" s="4" t="str">
        <f ca="1">IFERROR(__xludf.DUMMYFUNCTION("""COMPUTED_VALUE"""),"AFC VN")</f>
        <v>AFC VN</v>
      </c>
      <c r="F125" s="4" t="str">
        <f ca="1">IFERROR(__xludf.DUMMYFUNCTION("""COMPUTED_VALUE"""),"Đại học, Chứng chỉ Kiểm toán viên")</f>
        <v>Đại học, Chứng chỉ Kiểm toán viên</v>
      </c>
      <c r="G125" s="4" t="str">
        <f ca="1">IFERROR(__xludf.DUMMYFUNCTION("""COMPUTED_VALUE"""),"Trên 20 năm")</f>
        <v>Trên 20 năm</v>
      </c>
      <c r="H125" s="4" t="str">
        <f ca="1">IFERROR(__xludf.DUMMYFUNCTION("""COMPUTED_VALUE"""),"Ban giám đốc")</f>
        <v>Ban giám đốc</v>
      </c>
      <c r="I125" s="4">
        <f ca="1">IFERROR(__xludf.DUMMYFUNCTION("""COMPUTED_VALUE"""),5)</f>
        <v>5</v>
      </c>
      <c r="J125" s="4">
        <f ca="1">IFERROR(__xludf.DUMMYFUNCTION("""COMPUTED_VALUE"""),5)</f>
        <v>5</v>
      </c>
      <c r="K125" s="4">
        <f ca="1">IFERROR(__xludf.DUMMYFUNCTION("""COMPUTED_VALUE"""),5)</f>
        <v>5</v>
      </c>
      <c r="L125" s="4">
        <f ca="1">IFERROR(__xludf.DUMMYFUNCTION("""COMPUTED_VALUE"""),4)</f>
        <v>4</v>
      </c>
      <c r="M125" s="4">
        <f ca="1">IFERROR(__xludf.DUMMYFUNCTION("""COMPUTED_VALUE"""),5)</f>
        <v>5</v>
      </c>
      <c r="N125" s="4">
        <f ca="1">IFERROR(__xludf.DUMMYFUNCTION("""COMPUTED_VALUE"""),4)</f>
        <v>4</v>
      </c>
      <c r="O125" s="4">
        <f ca="1">IFERROR(__xludf.DUMMYFUNCTION("""COMPUTED_VALUE"""),4)</f>
        <v>4</v>
      </c>
      <c r="P125" s="4">
        <f ca="1">IFERROR(__xludf.DUMMYFUNCTION("""COMPUTED_VALUE"""),4)</f>
        <v>4</v>
      </c>
      <c r="Q125" s="4">
        <f ca="1">IFERROR(__xludf.DUMMYFUNCTION("""COMPUTED_VALUE"""),5)</f>
        <v>5</v>
      </c>
      <c r="R125" s="4">
        <f ca="1">IFERROR(__xludf.DUMMYFUNCTION("""COMPUTED_VALUE"""),5)</f>
        <v>5</v>
      </c>
      <c r="S125" s="4">
        <f ca="1">IFERROR(__xludf.DUMMYFUNCTION("""COMPUTED_VALUE"""),5)</f>
        <v>5</v>
      </c>
      <c r="T125" s="4">
        <f ca="1">IFERROR(__xludf.DUMMYFUNCTION("""COMPUTED_VALUE"""),5)</f>
        <v>5</v>
      </c>
      <c r="U125" s="4">
        <f ca="1">IFERROR(__xludf.DUMMYFUNCTION("""COMPUTED_VALUE"""),5)</f>
        <v>5</v>
      </c>
      <c r="V125" s="4">
        <f ca="1">IFERROR(__xludf.DUMMYFUNCTION("""COMPUTED_VALUE"""),5)</f>
        <v>5</v>
      </c>
      <c r="W125" s="4">
        <f ca="1">IFERROR(__xludf.DUMMYFUNCTION("""COMPUTED_VALUE"""),5)</f>
        <v>5</v>
      </c>
      <c r="X125" s="4">
        <f ca="1">IFERROR(__xludf.DUMMYFUNCTION("""COMPUTED_VALUE"""),5)</f>
        <v>5</v>
      </c>
      <c r="Y125" s="4">
        <f ca="1">IFERROR(__xludf.DUMMYFUNCTION("""COMPUTED_VALUE"""),4)</f>
        <v>4</v>
      </c>
      <c r="Z125" s="4">
        <f ca="1">IFERROR(__xludf.DUMMYFUNCTION("""COMPUTED_VALUE"""),5)</f>
        <v>5</v>
      </c>
      <c r="AA125" s="4">
        <f ca="1">IFERROR(__xludf.DUMMYFUNCTION("""COMPUTED_VALUE"""),4)</f>
        <v>4</v>
      </c>
      <c r="AB125" s="4">
        <f ca="1">IFERROR(__xludf.DUMMYFUNCTION("""COMPUTED_VALUE"""),4)</f>
        <v>4</v>
      </c>
      <c r="AC125" s="4">
        <f ca="1">IFERROR(__xludf.DUMMYFUNCTION("""COMPUTED_VALUE"""),3)</f>
        <v>3</v>
      </c>
      <c r="AD125" s="4">
        <f ca="1">IFERROR(__xludf.DUMMYFUNCTION("""COMPUTED_VALUE"""),2)</f>
        <v>2</v>
      </c>
      <c r="AE125" s="4">
        <f ca="1">IFERROR(__xludf.DUMMYFUNCTION("""COMPUTED_VALUE"""),5)</f>
        <v>5</v>
      </c>
      <c r="AF125" s="4">
        <f ca="1">IFERROR(__xludf.DUMMYFUNCTION("""COMPUTED_VALUE"""),4)</f>
        <v>4</v>
      </c>
      <c r="AG125" s="4">
        <f ca="1">IFERROR(__xludf.DUMMYFUNCTION("""COMPUTED_VALUE"""),5)</f>
        <v>5</v>
      </c>
      <c r="AH125" s="4">
        <f ca="1">IFERROR(__xludf.DUMMYFUNCTION("""COMPUTED_VALUE"""),5)</f>
        <v>5</v>
      </c>
      <c r="AI125" s="4">
        <f ca="1">IFERROR(__xludf.DUMMYFUNCTION("""COMPUTED_VALUE"""),5)</f>
        <v>5</v>
      </c>
      <c r="AJ125" s="4">
        <f ca="1">IFERROR(__xludf.DUMMYFUNCTION("""COMPUTED_VALUE"""),5)</f>
        <v>5</v>
      </c>
      <c r="AK125" s="4">
        <f ca="1">IFERROR(__xludf.DUMMYFUNCTION("""COMPUTED_VALUE"""),5)</f>
        <v>5</v>
      </c>
      <c r="AL125" s="4">
        <f ca="1">IFERROR(__xludf.DUMMYFUNCTION("""COMPUTED_VALUE"""),5)</f>
        <v>5</v>
      </c>
      <c r="AM125" s="4">
        <f ca="1">IFERROR(__xludf.DUMMYFUNCTION("""COMPUTED_VALUE"""),5)</f>
        <v>5</v>
      </c>
      <c r="AN125" s="4">
        <f ca="1">IFERROR(__xludf.DUMMYFUNCTION("""COMPUTED_VALUE"""),5)</f>
        <v>5</v>
      </c>
      <c r="AO125" s="4">
        <f ca="1">IFERROR(__xludf.DUMMYFUNCTION("""COMPUTED_VALUE"""),5)</f>
        <v>5</v>
      </c>
      <c r="AP125" s="4">
        <f ca="1">IFERROR(__xludf.DUMMYFUNCTION("""COMPUTED_VALUE"""),4)</f>
        <v>4</v>
      </c>
      <c r="AQ125" s="4">
        <f ca="1">IFERROR(__xludf.DUMMYFUNCTION("""COMPUTED_VALUE"""),5)</f>
        <v>5</v>
      </c>
      <c r="AR125" s="4">
        <f ca="1">IFERROR(__xludf.DUMMYFUNCTION("""COMPUTED_VALUE"""),4)</f>
        <v>4</v>
      </c>
      <c r="AS125" s="4">
        <f ca="1">IFERROR(__xludf.DUMMYFUNCTION("""COMPUTED_VALUE"""),4)</f>
        <v>4</v>
      </c>
      <c r="AT125" s="4">
        <f ca="1">IFERROR(__xludf.DUMMYFUNCTION("""COMPUTED_VALUE"""),4)</f>
        <v>4</v>
      </c>
      <c r="AU125" s="4">
        <f ca="1">IFERROR(__xludf.DUMMYFUNCTION("""COMPUTED_VALUE"""),4)</f>
        <v>4</v>
      </c>
      <c r="AV125" s="4">
        <f ca="1">IFERROR(__xludf.DUMMYFUNCTION("""COMPUTED_VALUE"""),4)</f>
        <v>4</v>
      </c>
      <c r="AW125" s="4">
        <f ca="1">IFERROR(__xludf.DUMMYFUNCTION("""COMPUTED_VALUE"""),5)</f>
        <v>5</v>
      </c>
      <c r="AX125" s="4">
        <f ca="1">IFERROR(__xludf.DUMMYFUNCTION("""COMPUTED_VALUE"""),5)</f>
        <v>5</v>
      </c>
      <c r="AY125" s="4">
        <f ca="1">IFERROR(__xludf.DUMMYFUNCTION("""COMPUTED_VALUE"""),5)</f>
        <v>5</v>
      </c>
      <c r="AZ125" s="4">
        <f ca="1">IFERROR(__xludf.DUMMYFUNCTION("""COMPUTED_VALUE"""),5)</f>
        <v>5</v>
      </c>
      <c r="BA125" s="4">
        <f ca="1">IFERROR(__xludf.DUMMYFUNCTION("""COMPUTED_VALUE"""),5)</f>
        <v>5</v>
      </c>
      <c r="BB125" s="4">
        <f ca="1">IFERROR(__xludf.DUMMYFUNCTION("""COMPUTED_VALUE"""),5)</f>
        <v>5</v>
      </c>
      <c r="BC125" s="4">
        <f ca="1">IFERROR(__xludf.DUMMYFUNCTION("""COMPUTED_VALUE"""),4)</f>
        <v>4</v>
      </c>
      <c r="BD125" s="4">
        <f ca="1">IFERROR(__xludf.DUMMYFUNCTION("""COMPUTED_VALUE"""),5)</f>
        <v>5</v>
      </c>
      <c r="BE125" s="4">
        <f ca="1">IFERROR(__xludf.DUMMYFUNCTION("""COMPUTED_VALUE"""),4)</f>
        <v>4</v>
      </c>
      <c r="BF125" s="4">
        <f ca="1">IFERROR(__xludf.DUMMYFUNCTION("""COMPUTED_VALUE"""),4)</f>
        <v>4</v>
      </c>
      <c r="BG125" s="4">
        <f ca="1">IFERROR(__xludf.DUMMYFUNCTION("""COMPUTED_VALUE"""),3)</f>
        <v>3</v>
      </c>
      <c r="BH125" s="4">
        <f ca="1">IFERROR(__xludf.DUMMYFUNCTION("""COMPUTED_VALUE"""),5)</f>
        <v>5</v>
      </c>
      <c r="BI125" s="4">
        <f ca="1">IFERROR(__xludf.DUMMYFUNCTION("""COMPUTED_VALUE"""),5)</f>
        <v>5</v>
      </c>
      <c r="BJ125" s="4">
        <f ca="1">IFERROR(__xludf.DUMMYFUNCTION("""COMPUTED_VALUE"""),5)</f>
        <v>5</v>
      </c>
      <c r="BK125" s="4">
        <f ca="1">IFERROR(__xludf.DUMMYFUNCTION("""COMPUTED_VALUE"""),5)</f>
        <v>5</v>
      </c>
      <c r="BL125" s="4">
        <f ca="1">IFERROR(__xludf.DUMMYFUNCTION("""COMPUTED_VALUE"""),4)</f>
        <v>4</v>
      </c>
      <c r="BM125" s="4">
        <f ca="1">IFERROR(__xludf.DUMMYFUNCTION("""COMPUTED_VALUE"""),5)</f>
        <v>5</v>
      </c>
      <c r="BN125" s="4">
        <f ca="1">IFERROR(__xludf.DUMMYFUNCTION("""COMPUTED_VALUE"""),5)</f>
        <v>5</v>
      </c>
      <c r="BO125" s="4">
        <f ca="1">IFERROR(__xludf.DUMMYFUNCTION("""COMPUTED_VALUE"""),5)</f>
        <v>5</v>
      </c>
      <c r="BP125" s="4">
        <f ca="1">IFERROR(__xludf.DUMMYFUNCTION("""COMPUTED_VALUE"""),5)</f>
        <v>5</v>
      </c>
    </row>
    <row r="126" spans="1:68" ht="13.2" x14ac:dyDescent="0.25">
      <c r="A126" s="4" t="str">
        <f ca="1">IFERROR(__xludf.DUMMYFUNCTION("""COMPUTED_VALUE"""),"2_ABaOnueZwKBBz1Mnavw6UNBhT3bQU89TgcyAx-Rvl1-Vjzueuhr2-Fpz-KxF-t7MSg")</f>
        <v>2_ABaOnueZwKBBz1Mnavw6UNBhT3bQU89TgcyAx-Rvl1-Vjzueuhr2-Fpz-KxF-t7MSg</v>
      </c>
      <c r="B126" s="5">
        <f ca="1">IFERROR(__xludf.DUMMYFUNCTION("""COMPUTED_VALUE"""),45973.9724763773)</f>
        <v>45973.972476377297</v>
      </c>
      <c r="C126" s="4" t="str">
        <f ca="1">IFERROR(__xludf.DUMMYFUNCTION("""COMPUTED_VALUE"""),"Trần Văn Tài")</f>
        <v>Trần Văn Tài</v>
      </c>
      <c r="D126" s="4" t="str">
        <f ca="1">IFERROR(__xludf.DUMMYFUNCTION("""COMPUTED_VALUE"""),"Nam")</f>
        <v>Nam</v>
      </c>
      <c r="E126" s="4" t="str">
        <f ca="1">IFERROR(__xludf.DUMMYFUNCTION("""COMPUTED_VALUE"""),"FPF")</f>
        <v>FPF</v>
      </c>
      <c r="F126" s="4" t="str">
        <f ca="1">IFERROR(__xludf.DUMMYFUNCTION("""COMPUTED_VALUE"""),"Chứng chỉ Kiểm toán viên")</f>
        <v>Chứng chỉ Kiểm toán viên</v>
      </c>
      <c r="G126" s="4" t="str">
        <f ca="1">IFERROR(__xludf.DUMMYFUNCTION("""COMPUTED_VALUE"""),"Trên 10 đến 15 năm")</f>
        <v>Trên 10 đến 15 năm</v>
      </c>
      <c r="H126" s="4" t="str">
        <f ca="1">IFERROR(__xludf.DUMMYFUNCTION("""COMPUTED_VALUE"""),"Kiểm toán viên/Trưởng nhóm")</f>
        <v>Kiểm toán viên/Trưởng nhóm</v>
      </c>
      <c r="I126" s="4">
        <f ca="1">IFERROR(__xludf.DUMMYFUNCTION("""COMPUTED_VALUE"""),5)</f>
        <v>5</v>
      </c>
      <c r="J126" s="4">
        <f ca="1">IFERROR(__xludf.DUMMYFUNCTION("""COMPUTED_VALUE"""),4)</f>
        <v>4</v>
      </c>
      <c r="K126" s="4">
        <f ca="1">IFERROR(__xludf.DUMMYFUNCTION("""COMPUTED_VALUE"""),5)</f>
        <v>5</v>
      </c>
      <c r="L126" s="4">
        <f ca="1">IFERROR(__xludf.DUMMYFUNCTION("""COMPUTED_VALUE"""),4)</f>
        <v>4</v>
      </c>
      <c r="M126" s="4">
        <f ca="1">IFERROR(__xludf.DUMMYFUNCTION("""COMPUTED_VALUE"""),5)</f>
        <v>5</v>
      </c>
      <c r="N126" s="4">
        <f ca="1">IFERROR(__xludf.DUMMYFUNCTION("""COMPUTED_VALUE"""),4)</f>
        <v>4</v>
      </c>
      <c r="O126" s="4">
        <f ca="1">IFERROR(__xludf.DUMMYFUNCTION("""COMPUTED_VALUE"""),5)</f>
        <v>5</v>
      </c>
      <c r="P126" s="4">
        <f ca="1">IFERROR(__xludf.DUMMYFUNCTION("""COMPUTED_VALUE"""),5)</f>
        <v>5</v>
      </c>
      <c r="Q126" s="4">
        <f ca="1">IFERROR(__xludf.DUMMYFUNCTION("""COMPUTED_VALUE"""),5)</f>
        <v>5</v>
      </c>
      <c r="R126" s="4">
        <f ca="1">IFERROR(__xludf.DUMMYFUNCTION("""COMPUTED_VALUE"""),5)</f>
        <v>5</v>
      </c>
      <c r="S126" s="4">
        <f ca="1">IFERROR(__xludf.DUMMYFUNCTION("""COMPUTED_VALUE"""),5)</f>
        <v>5</v>
      </c>
      <c r="T126" s="4">
        <f ca="1">IFERROR(__xludf.DUMMYFUNCTION("""COMPUTED_VALUE"""),5)</f>
        <v>5</v>
      </c>
      <c r="U126" s="4">
        <f ca="1">IFERROR(__xludf.DUMMYFUNCTION("""COMPUTED_VALUE"""),5)</f>
        <v>5</v>
      </c>
      <c r="V126" s="4">
        <f ca="1">IFERROR(__xludf.DUMMYFUNCTION("""COMPUTED_VALUE"""),5)</f>
        <v>5</v>
      </c>
      <c r="W126" s="4">
        <f ca="1">IFERROR(__xludf.DUMMYFUNCTION("""COMPUTED_VALUE"""),5)</f>
        <v>5</v>
      </c>
      <c r="X126" s="4">
        <f ca="1">IFERROR(__xludf.DUMMYFUNCTION("""COMPUTED_VALUE"""),5)</f>
        <v>5</v>
      </c>
      <c r="Y126" s="4">
        <f ca="1">IFERROR(__xludf.DUMMYFUNCTION("""COMPUTED_VALUE"""),5)</f>
        <v>5</v>
      </c>
      <c r="Z126" s="4">
        <f ca="1">IFERROR(__xludf.DUMMYFUNCTION("""COMPUTED_VALUE"""),4)</f>
        <v>4</v>
      </c>
      <c r="AA126" s="4">
        <f ca="1">IFERROR(__xludf.DUMMYFUNCTION("""COMPUTED_VALUE"""),5)</f>
        <v>5</v>
      </c>
      <c r="AB126" s="4">
        <f ca="1">IFERROR(__xludf.DUMMYFUNCTION("""COMPUTED_VALUE"""),5)</f>
        <v>5</v>
      </c>
      <c r="AC126" s="4">
        <f ca="1">IFERROR(__xludf.DUMMYFUNCTION("""COMPUTED_VALUE"""),3)</f>
        <v>3</v>
      </c>
      <c r="AD126" s="4">
        <f ca="1">IFERROR(__xludf.DUMMYFUNCTION("""COMPUTED_VALUE"""),3)</f>
        <v>3</v>
      </c>
      <c r="AE126" s="4">
        <f ca="1">IFERROR(__xludf.DUMMYFUNCTION("""COMPUTED_VALUE"""),5)</f>
        <v>5</v>
      </c>
      <c r="AF126" s="4">
        <f ca="1">IFERROR(__xludf.DUMMYFUNCTION("""COMPUTED_VALUE"""),5)</f>
        <v>5</v>
      </c>
      <c r="AG126" s="4">
        <f ca="1">IFERROR(__xludf.DUMMYFUNCTION("""COMPUTED_VALUE"""),4)</f>
        <v>4</v>
      </c>
      <c r="AH126" s="4">
        <f ca="1">IFERROR(__xludf.DUMMYFUNCTION("""COMPUTED_VALUE"""),4)</f>
        <v>4</v>
      </c>
      <c r="AI126" s="4">
        <f ca="1">IFERROR(__xludf.DUMMYFUNCTION("""COMPUTED_VALUE"""),5)</f>
        <v>5</v>
      </c>
      <c r="AJ126" s="4">
        <f ca="1">IFERROR(__xludf.DUMMYFUNCTION("""COMPUTED_VALUE"""),5)</f>
        <v>5</v>
      </c>
      <c r="AK126" s="4">
        <f ca="1">IFERROR(__xludf.DUMMYFUNCTION("""COMPUTED_VALUE"""),5)</f>
        <v>5</v>
      </c>
      <c r="AL126" s="4">
        <f ca="1">IFERROR(__xludf.DUMMYFUNCTION("""COMPUTED_VALUE"""),5)</f>
        <v>5</v>
      </c>
      <c r="AM126" s="4">
        <f ca="1">IFERROR(__xludf.DUMMYFUNCTION("""COMPUTED_VALUE"""),5)</f>
        <v>5</v>
      </c>
      <c r="AN126" s="4">
        <f ca="1">IFERROR(__xludf.DUMMYFUNCTION("""COMPUTED_VALUE"""),4)</f>
        <v>4</v>
      </c>
      <c r="AO126" s="4">
        <f ca="1">IFERROR(__xludf.DUMMYFUNCTION("""COMPUTED_VALUE"""),4)</f>
        <v>4</v>
      </c>
      <c r="AP126" s="4">
        <f ca="1">IFERROR(__xludf.DUMMYFUNCTION("""COMPUTED_VALUE"""),3)</f>
        <v>3</v>
      </c>
      <c r="AQ126" s="4">
        <f ca="1">IFERROR(__xludf.DUMMYFUNCTION("""COMPUTED_VALUE"""),4)</f>
        <v>4</v>
      </c>
      <c r="AR126" s="4">
        <f ca="1">IFERROR(__xludf.DUMMYFUNCTION("""COMPUTED_VALUE"""),3)</f>
        <v>3</v>
      </c>
      <c r="AS126" s="4">
        <f ca="1">IFERROR(__xludf.DUMMYFUNCTION("""COMPUTED_VALUE"""),3)</f>
        <v>3</v>
      </c>
      <c r="AT126" s="4">
        <f ca="1">IFERROR(__xludf.DUMMYFUNCTION("""COMPUTED_VALUE"""),3)</f>
        <v>3</v>
      </c>
      <c r="AU126" s="4">
        <f ca="1">IFERROR(__xludf.DUMMYFUNCTION("""COMPUTED_VALUE"""),4)</f>
        <v>4</v>
      </c>
      <c r="AV126" s="4">
        <f ca="1">IFERROR(__xludf.DUMMYFUNCTION("""COMPUTED_VALUE"""),3)</f>
        <v>3</v>
      </c>
      <c r="AW126" s="4">
        <f ca="1">IFERROR(__xludf.DUMMYFUNCTION("""COMPUTED_VALUE"""),4)</f>
        <v>4</v>
      </c>
      <c r="AX126" s="4">
        <f ca="1">IFERROR(__xludf.DUMMYFUNCTION("""COMPUTED_VALUE"""),5)</f>
        <v>5</v>
      </c>
      <c r="AY126" s="4">
        <f ca="1">IFERROR(__xludf.DUMMYFUNCTION("""COMPUTED_VALUE"""),5)</f>
        <v>5</v>
      </c>
      <c r="AZ126" s="4">
        <f ca="1">IFERROR(__xludf.DUMMYFUNCTION("""COMPUTED_VALUE"""),5)</f>
        <v>5</v>
      </c>
      <c r="BA126" s="4">
        <f ca="1">IFERROR(__xludf.DUMMYFUNCTION("""COMPUTED_VALUE"""),5)</f>
        <v>5</v>
      </c>
      <c r="BB126" s="4">
        <f ca="1">IFERROR(__xludf.DUMMYFUNCTION("""COMPUTED_VALUE"""),5)</f>
        <v>5</v>
      </c>
      <c r="BC126" s="4">
        <f ca="1">IFERROR(__xludf.DUMMYFUNCTION("""COMPUTED_VALUE"""),4)</f>
        <v>4</v>
      </c>
      <c r="BD126" s="4">
        <f ca="1">IFERROR(__xludf.DUMMYFUNCTION("""COMPUTED_VALUE"""),5)</f>
        <v>5</v>
      </c>
      <c r="BE126" s="4">
        <f ca="1">IFERROR(__xludf.DUMMYFUNCTION("""COMPUTED_VALUE"""),4)</f>
        <v>4</v>
      </c>
      <c r="BF126" s="4">
        <f ca="1">IFERROR(__xludf.DUMMYFUNCTION("""COMPUTED_VALUE"""),4)</f>
        <v>4</v>
      </c>
      <c r="BG126" s="4">
        <f ca="1">IFERROR(__xludf.DUMMYFUNCTION("""COMPUTED_VALUE"""),3)</f>
        <v>3</v>
      </c>
      <c r="BH126" s="4">
        <f ca="1">IFERROR(__xludf.DUMMYFUNCTION("""COMPUTED_VALUE"""),4)</f>
        <v>4</v>
      </c>
      <c r="BI126" s="4">
        <f ca="1">IFERROR(__xludf.DUMMYFUNCTION("""COMPUTED_VALUE"""),4)</f>
        <v>4</v>
      </c>
      <c r="BJ126" s="4">
        <f ca="1">IFERROR(__xludf.DUMMYFUNCTION("""COMPUTED_VALUE"""),5)</f>
        <v>5</v>
      </c>
      <c r="BK126" s="4">
        <f ca="1">IFERROR(__xludf.DUMMYFUNCTION("""COMPUTED_VALUE"""),5)</f>
        <v>5</v>
      </c>
      <c r="BL126" s="4">
        <f ca="1">IFERROR(__xludf.DUMMYFUNCTION("""COMPUTED_VALUE"""),5)</f>
        <v>5</v>
      </c>
      <c r="BM126" s="4">
        <f ca="1">IFERROR(__xludf.DUMMYFUNCTION("""COMPUTED_VALUE"""),5)</f>
        <v>5</v>
      </c>
      <c r="BN126" s="4">
        <f ca="1">IFERROR(__xludf.DUMMYFUNCTION("""COMPUTED_VALUE"""),5)</f>
        <v>5</v>
      </c>
      <c r="BO126" s="4">
        <f ca="1">IFERROR(__xludf.DUMMYFUNCTION("""COMPUTED_VALUE"""),5)</f>
        <v>5</v>
      </c>
      <c r="BP126" s="4">
        <f ca="1">IFERROR(__xludf.DUMMYFUNCTION("""COMPUTED_VALUE"""),5)</f>
        <v>5</v>
      </c>
    </row>
    <row r="127" spans="1:68" ht="13.2" x14ac:dyDescent="0.25">
      <c r="A127" s="4" t="str">
        <f ca="1">IFERROR(__xludf.DUMMYFUNCTION("""COMPUTED_VALUE"""),"2_ABaOnufgl81iTDK40lZ7A5RMNm1_cIEtYnVeqDlkQlN5GmTIuJtp7_bpw13KdVv_Hg")</f>
        <v>2_ABaOnufgl81iTDK40lZ7A5RMNm1_cIEtYnVeqDlkQlN5GmTIuJtp7_bpw13KdVv_Hg</v>
      </c>
      <c r="B127" s="5">
        <f ca="1">IFERROR(__xludf.DUMMYFUNCTION("""COMPUTED_VALUE"""),45974.3827201041)</f>
        <v>45974.382720104099</v>
      </c>
      <c r="C127" s="4" t="str">
        <f ca="1">IFERROR(__xludf.DUMMYFUNCTION("""COMPUTED_VALUE"""),"Đỗ Thị Minh Duyên")</f>
        <v>Đỗ Thị Minh Duyên</v>
      </c>
      <c r="D127" s="4" t="str">
        <f ca="1">IFERROR(__xludf.DUMMYFUNCTION("""COMPUTED_VALUE"""),"Nữ")</f>
        <v>Nữ</v>
      </c>
      <c r="E127" s="4" t="str">
        <f ca="1">IFERROR(__xludf.DUMMYFUNCTION("""COMPUTED_VALUE"""),"Chi nhánh Công ty TNHH Kiểm toán NVA")</f>
        <v>Chi nhánh Công ty TNHH Kiểm toán NVA</v>
      </c>
      <c r="F127" s="4" t="str">
        <f ca="1">IFERROR(__xludf.DUMMYFUNCTION("""COMPUTED_VALUE"""),"Đại học, Chứng chỉ Kiểm toán viên")</f>
        <v>Đại học, Chứng chỉ Kiểm toán viên</v>
      </c>
      <c r="G127" s="4" t="str">
        <f ca="1">IFERROR(__xludf.DUMMYFUNCTION("""COMPUTED_VALUE"""),"Trên 5 đến 10 năm")</f>
        <v>Trên 5 đến 10 năm</v>
      </c>
      <c r="H127" s="4" t="str">
        <f ca="1">IFERROR(__xludf.DUMMYFUNCTION("""COMPUTED_VALUE"""),"Kiểm toán viên/Trưởng nhóm")</f>
        <v>Kiểm toán viên/Trưởng nhóm</v>
      </c>
      <c r="I127" s="4">
        <f ca="1">IFERROR(__xludf.DUMMYFUNCTION("""COMPUTED_VALUE"""),5)</f>
        <v>5</v>
      </c>
      <c r="J127" s="4">
        <f ca="1">IFERROR(__xludf.DUMMYFUNCTION("""COMPUTED_VALUE"""),5)</f>
        <v>5</v>
      </c>
      <c r="K127" s="4">
        <f ca="1">IFERROR(__xludf.DUMMYFUNCTION("""COMPUTED_VALUE"""),5)</f>
        <v>5</v>
      </c>
      <c r="L127" s="4">
        <f ca="1">IFERROR(__xludf.DUMMYFUNCTION("""COMPUTED_VALUE"""),4)</f>
        <v>4</v>
      </c>
      <c r="M127" s="4">
        <f ca="1">IFERROR(__xludf.DUMMYFUNCTION("""COMPUTED_VALUE"""),4)</f>
        <v>4</v>
      </c>
      <c r="N127" s="4">
        <f ca="1">IFERROR(__xludf.DUMMYFUNCTION("""COMPUTED_VALUE"""),5)</f>
        <v>5</v>
      </c>
      <c r="O127" s="4">
        <f ca="1">IFERROR(__xludf.DUMMYFUNCTION("""COMPUTED_VALUE"""),5)</f>
        <v>5</v>
      </c>
      <c r="P127" s="4">
        <f ca="1">IFERROR(__xludf.DUMMYFUNCTION("""COMPUTED_VALUE"""),5)</f>
        <v>5</v>
      </c>
      <c r="Q127" s="4">
        <f ca="1">IFERROR(__xludf.DUMMYFUNCTION("""COMPUTED_VALUE"""),5)</f>
        <v>5</v>
      </c>
      <c r="R127" s="4">
        <f ca="1">IFERROR(__xludf.DUMMYFUNCTION("""COMPUTED_VALUE"""),5)</f>
        <v>5</v>
      </c>
      <c r="S127" s="4">
        <f ca="1">IFERROR(__xludf.DUMMYFUNCTION("""COMPUTED_VALUE"""),5)</f>
        <v>5</v>
      </c>
      <c r="T127" s="4">
        <f ca="1">IFERROR(__xludf.DUMMYFUNCTION("""COMPUTED_VALUE"""),5)</f>
        <v>5</v>
      </c>
      <c r="U127" s="4">
        <f ca="1">IFERROR(__xludf.DUMMYFUNCTION("""COMPUTED_VALUE"""),5)</f>
        <v>5</v>
      </c>
      <c r="V127" s="4">
        <f ca="1">IFERROR(__xludf.DUMMYFUNCTION("""COMPUTED_VALUE"""),5)</f>
        <v>5</v>
      </c>
      <c r="W127" s="4">
        <f ca="1">IFERROR(__xludf.DUMMYFUNCTION("""COMPUTED_VALUE"""),4)</f>
        <v>4</v>
      </c>
      <c r="X127" s="4">
        <f ca="1">IFERROR(__xludf.DUMMYFUNCTION("""COMPUTED_VALUE"""),4)</f>
        <v>4</v>
      </c>
      <c r="Y127" s="4">
        <f ca="1">IFERROR(__xludf.DUMMYFUNCTION("""COMPUTED_VALUE"""),4)</f>
        <v>4</v>
      </c>
      <c r="Z127" s="4">
        <f ca="1">IFERROR(__xludf.DUMMYFUNCTION("""COMPUTED_VALUE"""),4)</f>
        <v>4</v>
      </c>
      <c r="AA127" s="4">
        <f ca="1">IFERROR(__xludf.DUMMYFUNCTION("""COMPUTED_VALUE"""),5)</f>
        <v>5</v>
      </c>
      <c r="AB127" s="4">
        <f ca="1">IFERROR(__xludf.DUMMYFUNCTION("""COMPUTED_VALUE"""),5)</f>
        <v>5</v>
      </c>
      <c r="AC127" s="4">
        <f ca="1">IFERROR(__xludf.DUMMYFUNCTION("""COMPUTED_VALUE"""),5)</f>
        <v>5</v>
      </c>
      <c r="AD127" s="4">
        <f ca="1">IFERROR(__xludf.DUMMYFUNCTION("""COMPUTED_VALUE"""),5)</f>
        <v>5</v>
      </c>
      <c r="AE127" s="4">
        <f ca="1">IFERROR(__xludf.DUMMYFUNCTION("""COMPUTED_VALUE"""),5)</f>
        <v>5</v>
      </c>
      <c r="AF127" s="4">
        <f ca="1">IFERROR(__xludf.DUMMYFUNCTION("""COMPUTED_VALUE"""),5)</f>
        <v>5</v>
      </c>
      <c r="AG127" s="4">
        <f ca="1">IFERROR(__xludf.DUMMYFUNCTION("""COMPUTED_VALUE"""),5)</f>
        <v>5</v>
      </c>
      <c r="AH127" s="4">
        <f ca="1">IFERROR(__xludf.DUMMYFUNCTION("""COMPUTED_VALUE"""),5)</f>
        <v>5</v>
      </c>
      <c r="AI127" s="4">
        <f ca="1">IFERROR(__xludf.DUMMYFUNCTION("""COMPUTED_VALUE"""),5)</f>
        <v>5</v>
      </c>
      <c r="AJ127" s="4">
        <f ca="1">IFERROR(__xludf.DUMMYFUNCTION("""COMPUTED_VALUE"""),5)</f>
        <v>5</v>
      </c>
      <c r="AK127" s="4">
        <f ca="1">IFERROR(__xludf.DUMMYFUNCTION("""COMPUTED_VALUE"""),5)</f>
        <v>5</v>
      </c>
      <c r="AL127" s="4">
        <f ca="1">IFERROR(__xludf.DUMMYFUNCTION("""COMPUTED_VALUE"""),5)</f>
        <v>5</v>
      </c>
      <c r="AM127" s="4">
        <f ca="1">IFERROR(__xludf.DUMMYFUNCTION("""COMPUTED_VALUE"""),5)</f>
        <v>5</v>
      </c>
      <c r="AN127" s="4">
        <f ca="1">IFERROR(__xludf.DUMMYFUNCTION("""COMPUTED_VALUE"""),5)</f>
        <v>5</v>
      </c>
      <c r="AO127" s="4">
        <f ca="1">IFERROR(__xludf.DUMMYFUNCTION("""COMPUTED_VALUE"""),5)</f>
        <v>5</v>
      </c>
      <c r="AP127" s="4">
        <f ca="1">IFERROR(__xludf.DUMMYFUNCTION("""COMPUTED_VALUE"""),4)</f>
        <v>4</v>
      </c>
      <c r="AQ127" s="4">
        <f ca="1">IFERROR(__xludf.DUMMYFUNCTION("""COMPUTED_VALUE"""),5)</f>
        <v>5</v>
      </c>
      <c r="AR127" s="4">
        <f ca="1">IFERROR(__xludf.DUMMYFUNCTION("""COMPUTED_VALUE"""),4)</f>
        <v>4</v>
      </c>
      <c r="AS127" s="4">
        <f ca="1">IFERROR(__xludf.DUMMYFUNCTION("""COMPUTED_VALUE"""),5)</f>
        <v>5</v>
      </c>
      <c r="AT127" s="4">
        <f ca="1">IFERROR(__xludf.DUMMYFUNCTION("""COMPUTED_VALUE"""),4)</f>
        <v>4</v>
      </c>
      <c r="AU127" s="4">
        <f ca="1">IFERROR(__xludf.DUMMYFUNCTION("""COMPUTED_VALUE"""),4)</f>
        <v>4</v>
      </c>
      <c r="AV127" s="4">
        <f ca="1">IFERROR(__xludf.DUMMYFUNCTION("""COMPUTED_VALUE"""),5)</f>
        <v>5</v>
      </c>
      <c r="AW127" s="4">
        <f ca="1">IFERROR(__xludf.DUMMYFUNCTION("""COMPUTED_VALUE"""),5)</f>
        <v>5</v>
      </c>
      <c r="AX127" s="4">
        <f ca="1">IFERROR(__xludf.DUMMYFUNCTION("""COMPUTED_VALUE"""),5)</f>
        <v>5</v>
      </c>
      <c r="AY127" s="4">
        <f ca="1">IFERROR(__xludf.DUMMYFUNCTION("""COMPUTED_VALUE"""),4)</f>
        <v>4</v>
      </c>
      <c r="AZ127" s="4">
        <f ca="1">IFERROR(__xludf.DUMMYFUNCTION("""COMPUTED_VALUE"""),4)</f>
        <v>4</v>
      </c>
      <c r="BA127" s="4">
        <f ca="1">IFERROR(__xludf.DUMMYFUNCTION("""COMPUTED_VALUE"""),5)</f>
        <v>5</v>
      </c>
      <c r="BB127" s="4">
        <f ca="1">IFERROR(__xludf.DUMMYFUNCTION("""COMPUTED_VALUE"""),5)</f>
        <v>5</v>
      </c>
      <c r="BC127" s="4">
        <f ca="1">IFERROR(__xludf.DUMMYFUNCTION("""COMPUTED_VALUE"""),5)</f>
        <v>5</v>
      </c>
      <c r="BD127" s="4">
        <f ca="1">IFERROR(__xludf.DUMMYFUNCTION("""COMPUTED_VALUE"""),5)</f>
        <v>5</v>
      </c>
      <c r="BE127" s="4">
        <f ca="1">IFERROR(__xludf.DUMMYFUNCTION("""COMPUTED_VALUE"""),5)</f>
        <v>5</v>
      </c>
      <c r="BF127" s="4">
        <f ca="1">IFERROR(__xludf.DUMMYFUNCTION("""COMPUTED_VALUE"""),5)</f>
        <v>5</v>
      </c>
      <c r="BG127" s="4">
        <f ca="1">IFERROR(__xludf.DUMMYFUNCTION("""COMPUTED_VALUE"""),5)</f>
        <v>5</v>
      </c>
      <c r="BH127" s="4">
        <f ca="1">IFERROR(__xludf.DUMMYFUNCTION("""COMPUTED_VALUE"""),5)</f>
        <v>5</v>
      </c>
      <c r="BI127" s="4">
        <f ca="1">IFERROR(__xludf.DUMMYFUNCTION("""COMPUTED_VALUE"""),5)</f>
        <v>5</v>
      </c>
      <c r="BJ127" s="4">
        <f ca="1">IFERROR(__xludf.DUMMYFUNCTION("""COMPUTED_VALUE"""),5)</f>
        <v>5</v>
      </c>
      <c r="BK127" s="4">
        <f ca="1">IFERROR(__xludf.DUMMYFUNCTION("""COMPUTED_VALUE"""),5)</f>
        <v>5</v>
      </c>
      <c r="BL127" s="4">
        <f ca="1">IFERROR(__xludf.DUMMYFUNCTION("""COMPUTED_VALUE"""),5)</f>
        <v>5</v>
      </c>
      <c r="BM127" s="4">
        <f ca="1">IFERROR(__xludf.DUMMYFUNCTION("""COMPUTED_VALUE"""),5)</f>
        <v>5</v>
      </c>
      <c r="BN127" s="4">
        <f ca="1">IFERROR(__xludf.DUMMYFUNCTION("""COMPUTED_VALUE"""),5)</f>
        <v>5</v>
      </c>
      <c r="BO127" s="4">
        <f ca="1">IFERROR(__xludf.DUMMYFUNCTION("""COMPUTED_VALUE"""),5)</f>
        <v>5</v>
      </c>
      <c r="BP127" s="4">
        <f ca="1">IFERROR(__xludf.DUMMYFUNCTION("""COMPUTED_VALUE"""),5)</f>
        <v>5</v>
      </c>
    </row>
    <row r="128" spans="1:68" ht="13.2" x14ac:dyDescent="0.25">
      <c r="A128" s="4" t="str">
        <f ca="1">IFERROR(__xludf.DUMMYFUNCTION("""COMPUTED_VALUE"""),"2_ABaOnucRhKbc0vCMpk1yC5w1WeMhmQurIsXTpc8VNKZY8j_BlwAs4DhonNbP4AcShA")</f>
        <v>2_ABaOnucRhKbc0vCMpk1yC5w1WeMhmQurIsXTpc8VNKZY8j_BlwAs4DhonNbP4AcShA</v>
      </c>
      <c r="B128" s="5">
        <f ca="1">IFERROR(__xludf.DUMMYFUNCTION("""COMPUTED_VALUE"""),45974.387723206)</f>
        <v>45974.387723205997</v>
      </c>
      <c r="C128" s="4" t="str">
        <f ca="1">IFERROR(__xludf.DUMMYFUNCTION("""COMPUTED_VALUE"""),"Lê Bá Duẩn")</f>
        <v>Lê Bá Duẩn</v>
      </c>
      <c r="D128" s="4" t="str">
        <f ca="1">IFERROR(__xludf.DUMMYFUNCTION("""COMPUTED_VALUE"""),"Nam")</f>
        <v>Nam</v>
      </c>
      <c r="E128" s="4" t="str">
        <f ca="1">IFERROR(__xludf.DUMMYFUNCTION("""COMPUTED_VALUE"""),"Công ty TNHH Kiểm Toán AACS")</f>
        <v>Công ty TNHH Kiểm Toán AACS</v>
      </c>
      <c r="F128" s="4" t="str">
        <f ca="1">IFERROR(__xludf.DUMMYFUNCTION("""COMPUTED_VALUE"""),"Đại học")</f>
        <v>Đại học</v>
      </c>
      <c r="G128" s="4" t="str">
        <f ca="1">IFERROR(__xludf.DUMMYFUNCTION("""COMPUTED_VALUE"""),"Từ 3 đến 5 năm")</f>
        <v>Từ 3 đến 5 năm</v>
      </c>
      <c r="H128" s="4" t="str">
        <f ca="1">IFERROR(__xludf.DUMMYFUNCTION("""COMPUTED_VALUE"""),"Trợ lý kiểm toán")</f>
        <v>Trợ lý kiểm toán</v>
      </c>
      <c r="I128" s="4">
        <f ca="1">IFERROR(__xludf.DUMMYFUNCTION("""COMPUTED_VALUE"""),4)</f>
        <v>4</v>
      </c>
      <c r="J128" s="4">
        <f ca="1">IFERROR(__xludf.DUMMYFUNCTION("""COMPUTED_VALUE"""),4)</f>
        <v>4</v>
      </c>
      <c r="K128" s="4">
        <f ca="1">IFERROR(__xludf.DUMMYFUNCTION("""COMPUTED_VALUE"""),4)</f>
        <v>4</v>
      </c>
      <c r="L128" s="4">
        <f ca="1">IFERROR(__xludf.DUMMYFUNCTION("""COMPUTED_VALUE"""),4)</f>
        <v>4</v>
      </c>
      <c r="M128" s="4">
        <f ca="1">IFERROR(__xludf.DUMMYFUNCTION("""COMPUTED_VALUE"""),4)</f>
        <v>4</v>
      </c>
      <c r="N128" s="4">
        <f ca="1">IFERROR(__xludf.DUMMYFUNCTION("""COMPUTED_VALUE"""),4)</f>
        <v>4</v>
      </c>
      <c r="O128" s="4">
        <f ca="1">IFERROR(__xludf.DUMMYFUNCTION("""COMPUTED_VALUE"""),4)</f>
        <v>4</v>
      </c>
      <c r="P128" s="4">
        <f ca="1">IFERROR(__xludf.DUMMYFUNCTION("""COMPUTED_VALUE"""),4)</f>
        <v>4</v>
      </c>
      <c r="Q128" s="4">
        <f ca="1">IFERROR(__xludf.DUMMYFUNCTION("""COMPUTED_VALUE"""),4)</f>
        <v>4</v>
      </c>
      <c r="R128" s="4">
        <f ca="1">IFERROR(__xludf.DUMMYFUNCTION("""COMPUTED_VALUE"""),4)</f>
        <v>4</v>
      </c>
      <c r="S128" s="4">
        <f ca="1">IFERROR(__xludf.DUMMYFUNCTION("""COMPUTED_VALUE"""),4)</f>
        <v>4</v>
      </c>
      <c r="T128" s="4">
        <f ca="1">IFERROR(__xludf.DUMMYFUNCTION("""COMPUTED_VALUE"""),4)</f>
        <v>4</v>
      </c>
      <c r="U128" s="4">
        <f ca="1">IFERROR(__xludf.DUMMYFUNCTION("""COMPUTED_VALUE"""),4)</f>
        <v>4</v>
      </c>
      <c r="V128" s="4">
        <f ca="1">IFERROR(__xludf.DUMMYFUNCTION("""COMPUTED_VALUE"""),4)</f>
        <v>4</v>
      </c>
      <c r="W128" s="4">
        <f ca="1">IFERROR(__xludf.DUMMYFUNCTION("""COMPUTED_VALUE"""),3)</f>
        <v>3</v>
      </c>
      <c r="X128" s="4">
        <f ca="1">IFERROR(__xludf.DUMMYFUNCTION("""COMPUTED_VALUE"""),3)</f>
        <v>3</v>
      </c>
      <c r="Y128" s="4">
        <f ca="1">IFERROR(__xludf.DUMMYFUNCTION("""COMPUTED_VALUE"""),3)</f>
        <v>3</v>
      </c>
      <c r="Z128" s="4">
        <f ca="1">IFERROR(__xludf.DUMMYFUNCTION("""COMPUTED_VALUE"""),3)</f>
        <v>3</v>
      </c>
      <c r="AA128" s="4">
        <f ca="1">IFERROR(__xludf.DUMMYFUNCTION("""COMPUTED_VALUE"""),3)</f>
        <v>3</v>
      </c>
      <c r="AB128" s="4">
        <f ca="1">IFERROR(__xludf.DUMMYFUNCTION("""COMPUTED_VALUE"""),3)</f>
        <v>3</v>
      </c>
      <c r="AC128" s="4">
        <f ca="1">IFERROR(__xludf.DUMMYFUNCTION("""COMPUTED_VALUE"""),2)</f>
        <v>2</v>
      </c>
      <c r="AD128" s="4">
        <f ca="1">IFERROR(__xludf.DUMMYFUNCTION("""COMPUTED_VALUE"""),2)</f>
        <v>2</v>
      </c>
      <c r="AE128" s="4">
        <f ca="1">IFERROR(__xludf.DUMMYFUNCTION("""COMPUTED_VALUE"""),4)</f>
        <v>4</v>
      </c>
      <c r="AF128" s="4">
        <f ca="1">IFERROR(__xludf.DUMMYFUNCTION("""COMPUTED_VALUE"""),4)</f>
        <v>4</v>
      </c>
      <c r="AG128" s="4">
        <f ca="1">IFERROR(__xludf.DUMMYFUNCTION("""COMPUTED_VALUE"""),4)</f>
        <v>4</v>
      </c>
      <c r="AH128" s="4">
        <f ca="1">IFERROR(__xludf.DUMMYFUNCTION("""COMPUTED_VALUE"""),4)</f>
        <v>4</v>
      </c>
      <c r="AI128" s="4">
        <f ca="1">IFERROR(__xludf.DUMMYFUNCTION("""COMPUTED_VALUE"""),4)</f>
        <v>4</v>
      </c>
      <c r="AJ128" s="4">
        <f ca="1">IFERROR(__xludf.DUMMYFUNCTION("""COMPUTED_VALUE"""),3)</f>
        <v>3</v>
      </c>
      <c r="AK128" s="4">
        <f ca="1">IFERROR(__xludf.DUMMYFUNCTION("""COMPUTED_VALUE"""),4)</f>
        <v>4</v>
      </c>
      <c r="AL128" s="4">
        <f ca="1">IFERROR(__xludf.DUMMYFUNCTION("""COMPUTED_VALUE"""),4)</f>
        <v>4</v>
      </c>
      <c r="AM128" s="4">
        <f ca="1">IFERROR(__xludf.DUMMYFUNCTION("""COMPUTED_VALUE"""),4)</f>
        <v>4</v>
      </c>
      <c r="AN128" s="4">
        <f ca="1">IFERROR(__xludf.DUMMYFUNCTION("""COMPUTED_VALUE"""),4)</f>
        <v>4</v>
      </c>
      <c r="AO128" s="4">
        <f ca="1">IFERROR(__xludf.DUMMYFUNCTION("""COMPUTED_VALUE"""),4)</f>
        <v>4</v>
      </c>
      <c r="AP128" s="4">
        <f ca="1">IFERROR(__xludf.DUMMYFUNCTION("""COMPUTED_VALUE"""),4)</f>
        <v>4</v>
      </c>
      <c r="AQ128" s="4">
        <f ca="1">IFERROR(__xludf.DUMMYFUNCTION("""COMPUTED_VALUE"""),4)</f>
        <v>4</v>
      </c>
      <c r="AR128" s="4">
        <f ca="1">IFERROR(__xludf.DUMMYFUNCTION("""COMPUTED_VALUE"""),4)</f>
        <v>4</v>
      </c>
      <c r="AS128" s="4">
        <f ca="1">IFERROR(__xludf.DUMMYFUNCTION("""COMPUTED_VALUE"""),4)</f>
        <v>4</v>
      </c>
      <c r="AT128" s="4">
        <f ca="1">IFERROR(__xludf.DUMMYFUNCTION("""COMPUTED_VALUE"""),2)</f>
        <v>2</v>
      </c>
      <c r="AU128" s="4">
        <f ca="1">IFERROR(__xludf.DUMMYFUNCTION("""COMPUTED_VALUE"""),4)</f>
        <v>4</v>
      </c>
      <c r="AV128" s="4">
        <f ca="1">IFERROR(__xludf.DUMMYFUNCTION("""COMPUTED_VALUE"""),4)</f>
        <v>4</v>
      </c>
      <c r="AW128" s="4">
        <f ca="1">IFERROR(__xludf.DUMMYFUNCTION("""COMPUTED_VALUE"""),4)</f>
        <v>4</v>
      </c>
      <c r="AX128" s="4">
        <f ca="1">IFERROR(__xludf.DUMMYFUNCTION("""COMPUTED_VALUE"""),4)</f>
        <v>4</v>
      </c>
      <c r="AY128" s="4">
        <f ca="1">IFERROR(__xludf.DUMMYFUNCTION("""COMPUTED_VALUE"""),4)</f>
        <v>4</v>
      </c>
      <c r="AZ128" s="4">
        <f ca="1">IFERROR(__xludf.DUMMYFUNCTION("""COMPUTED_VALUE"""),4)</f>
        <v>4</v>
      </c>
      <c r="BA128" s="4">
        <f ca="1">IFERROR(__xludf.DUMMYFUNCTION("""COMPUTED_VALUE"""),4)</f>
        <v>4</v>
      </c>
      <c r="BB128" s="4">
        <f ca="1">IFERROR(__xludf.DUMMYFUNCTION("""COMPUTED_VALUE"""),4)</f>
        <v>4</v>
      </c>
      <c r="BC128" s="4">
        <f ca="1">IFERROR(__xludf.DUMMYFUNCTION("""COMPUTED_VALUE"""),2)</f>
        <v>2</v>
      </c>
      <c r="BD128" s="4">
        <f ca="1">IFERROR(__xludf.DUMMYFUNCTION("""COMPUTED_VALUE"""),4)</f>
        <v>4</v>
      </c>
      <c r="BE128" s="4">
        <f ca="1">IFERROR(__xludf.DUMMYFUNCTION("""COMPUTED_VALUE"""),2)</f>
        <v>2</v>
      </c>
      <c r="BF128" s="4">
        <f ca="1">IFERROR(__xludf.DUMMYFUNCTION("""COMPUTED_VALUE"""),3)</f>
        <v>3</v>
      </c>
      <c r="BG128" s="4">
        <f ca="1">IFERROR(__xludf.DUMMYFUNCTION("""COMPUTED_VALUE"""),2)</f>
        <v>2</v>
      </c>
      <c r="BH128" s="4">
        <f ca="1">IFERROR(__xludf.DUMMYFUNCTION("""COMPUTED_VALUE"""),3)</f>
        <v>3</v>
      </c>
      <c r="BI128" s="4">
        <f ca="1">IFERROR(__xludf.DUMMYFUNCTION("""COMPUTED_VALUE"""),3)</f>
        <v>3</v>
      </c>
      <c r="BJ128" s="4">
        <f ca="1">IFERROR(__xludf.DUMMYFUNCTION("""COMPUTED_VALUE"""),4)</f>
        <v>4</v>
      </c>
      <c r="BK128" s="4">
        <f ca="1">IFERROR(__xludf.DUMMYFUNCTION("""COMPUTED_VALUE"""),4)</f>
        <v>4</v>
      </c>
      <c r="BL128" s="4">
        <f ca="1">IFERROR(__xludf.DUMMYFUNCTION("""COMPUTED_VALUE"""),4)</f>
        <v>4</v>
      </c>
      <c r="BM128" s="4">
        <f ca="1">IFERROR(__xludf.DUMMYFUNCTION("""COMPUTED_VALUE"""),4)</f>
        <v>4</v>
      </c>
      <c r="BN128" s="4">
        <f ca="1">IFERROR(__xludf.DUMMYFUNCTION("""COMPUTED_VALUE"""),4)</f>
        <v>4</v>
      </c>
      <c r="BO128" s="4">
        <f ca="1">IFERROR(__xludf.DUMMYFUNCTION("""COMPUTED_VALUE"""),4)</f>
        <v>4</v>
      </c>
      <c r="BP128" s="4">
        <f ca="1">IFERROR(__xludf.DUMMYFUNCTION("""COMPUTED_VALUE"""),4)</f>
        <v>4</v>
      </c>
    </row>
    <row r="129" spans="1:68" ht="13.2" x14ac:dyDescent="0.25">
      <c r="A129" s="4" t="str">
        <f ca="1">IFERROR(__xludf.DUMMYFUNCTION("""COMPUTED_VALUE"""),"2_ABaOnudtH3MUy0n9fC5waN_oE_Gc3fmrFJjW1tT-YDA1qwu7b5TB7IwYJ06H7U5fTQ")</f>
        <v>2_ABaOnudtH3MUy0n9fC5waN_oE_Gc3fmrFJjW1tT-YDA1qwu7b5TB7IwYJ06H7U5fTQ</v>
      </c>
      <c r="B129" s="5">
        <f ca="1">IFERROR(__xludf.DUMMYFUNCTION("""COMPUTED_VALUE"""),45974.3877428587)</f>
        <v>45974.3877428587</v>
      </c>
      <c r="C129" s="4" t="str">
        <f ca="1">IFERROR(__xludf.DUMMYFUNCTION("""COMPUTED_VALUE"""),"Phạm Ngọc Khánh Vy")</f>
        <v>Phạm Ngọc Khánh Vy</v>
      </c>
      <c r="D129" s="4" t="str">
        <f ca="1">IFERROR(__xludf.DUMMYFUNCTION("""COMPUTED_VALUE"""),"Nữ")</f>
        <v>Nữ</v>
      </c>
      <c r="E129" s="4" t="str">
        <f ca="1">IFERROR(__xludf.DUMMYFUNCTION("""COMPUTED_VALUE"""),"CÔNG TY TNHH KIỂM TOÁN AACS")</f>
        <v>CÔNG TY TNHH KIỂM TOÁN AACS</v>
      </c>
      <c r="F129" s="4" t="str">
        <f ca="1">IFERROR(__xludf.DUMMYFUNCTION("""COMPUTED_VALUE"""),"Đại học")</f>
        <v>Đại học</v>
      </c>
      <c r="G129" s="4" t="str">
        <f ca="1">IFERROR(__xludf.DUMMYFUNCTION("""COMPUTED_VALUE"""),"Từ 3 đến 5 năm")</f>
        <v>Từ 3 đến 5 năm</v>
      </c>
      <c r="H129" s="4" t="str">
        <f ca="1">IFERROR(__xludf.DUMMYFUNCTION("""COMPUTED_VALUE"""),"Trợ lý kiểm toán")</f>
        <v>Trợ lý kiểm toán</v>
      </c>
      <c r="I129" s="4">
        <f ca="1">IFERROR(__xludf.DUMMYFUNCTION("""COMPUTED_VALUE"""),5)</f>
        <v>5</v>
      </c>
      <c r="J129" s="4">
        <f ca="1">IFERROR(__xludf.DUMMYFUNCTION("""COMPUTED_VALUE"""),4)</f>
        <v>4</v>
      </c>
      <c r="K129" s="4">
        <f ca="1">IFERROR(__xludf.DUMMYFUNCTION("""COMPUTED_VALUE"""),4)</f>
        <v>4</v>
      </c>
      <c r="L129" s="4">
        <f ca="1">IFERROR(__xludf.DUMMYFUNCTION("""COMPUTED_VALUE"""),4)</f>
        <v>4</v>
      </c>
      <c r="M129" s="4">
        <f ca="1">IFERROR(__xludf.DUMMYFUNCTION("""COMPUTED_VALUE"""),4)</f>
        <v>4</v>
      </c>
      <c r="N129" s="4">
        <f ca="1">IFERROR(__xludf.DUMMYFUNCTION("""COMPUTED_VALUE"""),4)</f>
        <v>4</v>
      </c>
      <c r="O129" s="4">
        <f ca="1">IFERROR(__xludf.DUMMYFUNCTION("""COMPUTED_VALUE"""),4)</f>
        <v>4</v>
      </c>
      <c r="P129" s="4">
        <f ca="1">IFERROR(__xludf.DUMMYFUNCTION("""COMPUTED_VALUE"""),4)</f>
        <v>4</v>
      </c>
      <c r="Q129" s="4">
        <f ca="1">IFERROR(__xludf.DUMMYFUNCTION("""COMPUTED_VALUE"""),5)</f>
        <v>5</v>
      </c>
      <c r="R129" s="4">
        <f ca="1">IFERROR(__xludf.DUMMYFUNCTION("""COMPUTED_VALUE"""),4)</f>
        <v>4</v>
      </c>
      <c r="S129" s="4">
        <f ca="1">IFERROR(__xludf.DUMMYFUNCTION("""COMPUTED_VALUE"""),4)</f>
        <v>4</v>
      </c>
      <c r="T129" s="4">
        <f ca="1">IFERROR(__xludf.DUMMYFUNCTION("""COMPUTED_VALUE"""),4)</f>
        <v>4</v>
      </c>
      <c r="U129" s="4">
        <f ca="1">IFERROR(__xludf.DUMMYFUNCTION("""COMPUTED_VALUE"""),4)</f>
        <v>4</v>
      </c>
      <c r="V129" s="4">
        <f ca="1">IFERROR(__xludf.DUMMYFUNCTION("""COMPUTED_VALUE"""),4)</f>
        <v>4</v>
      </c>
      <c r="W129" s="4">
        <f ca="1">IFERROR(__xludf.DUMMYFUNCTION("""COMPUTED_VALUE"""),4)</f>
        <v>4</v>
      </c>
      <c r="X129" s="4">
        <f ca="1">IFERROR(__xludf.DUMMYFUNCTION("""COMPUTED_VALUE"""),4)</f>
        <v>4</v>
      </c>
      <c r="Y129" s="4">
        <f ca="1">IFERROR(__xludf.DUMMYFUNCTION("""COMPUTED_VALUE"""),2)</f>
        <v>2</v>
      </c>
      <c r="Z129" s="4">
        <f ca="1">IFERROR(__xludf.DUMMYFUNCTION("""COMPUTED_VALUE"""),3)</f>
        <v>3</v>
      </c>
      <c r="AA129" s="4">
        <f ca="1">IFERROR(__xludf.DUMMYFUNCTION("""COMPUTED_VALUE"""),3)</f>
        <v>3</v>
      </c>
      <c r="AB129" s="4">
        <f ca="1">IFERROR(__xludf.DUMMYFUNCTION("""COMPUTED_VALUE"""),3)</f>
        <v>3</v>
      </c>
      <c r="AC129" s="4">
        <f ca="1">IFERROR(__xludf.DUMMYFUNCTION("""COMPUTED_VALUE"""),3)</f>
        <v>3</v>
      </c>
      <c r="AD129" s="4">
        <f ca="1">IFERROR(__xludf.DUMMYFUNCTION("""COMPUTED_VALUE"""),3)</f>
        <v>3</v>
      </c>
      <c r="AE129" s="4">
        <f ca="1">IFERROR(__xludf.DUMMYFUNCTION("""COMPUTED_VALUE"""),3)</f>
        <v>3</v>
      </c>
      <c r="AF129" s="4">
        <f ca="1">IFERROR(__xludf.DUMMYFUNCTION("""COMPUTED_VALUE"""),4)</f>
        <v>4</v>
      </c>
      <c r="AG129" s="4">
        <f ca="1">IFERROR(__xludf.DUMMYFUNCTION("""COMPUTED_VALUE"""),4)</f>
        <v>4</v>
      </c>
      <c r="AH129" s="4">
        <f ca="1">IFERROR(__xludf.DUMMYFUNCTION("""COMPUTED_VALUE"""),4)</f>
        <v>4</v>
      </c>
      <c r="AI129" s="4">
        <f ca="1">IFERROR(__xludf.DUMMYFUNCTION("""COMPUTED_VALUE"""),4)</f>
        <v>4</v>
      </c>
      <c r="AJ129" s="4">
        <f ca="1">IFERROR(__xludf.DUMMYFUNCTION("""COMPUTED_VALUE"""),4)</f>
        <v>4</v>
      </c>
      <c r="AK129" s="4">
        <f ca="1">IFERROR(__xludf.DUMMYFUNCTION("""COMPUTED_VALUE"""),4)</f>
        <v>4</v>
      </c>
      <c r="AL129" s="4">
        <f ca="1">IFERROR(__xludf.DUMMYFUNCTION("""COMPUTED_VALUE"""),4)</f>
        <v>4</v>
      </c>
      <c r="AM129" s="4">
        <f ca="1">IFERROR(__xludf.DUMMYFUNCTION("""COMPUTED_VALUE"""),4)</f>
        <v>4</v>
      </c>
      <c r="AN129" s="4">
        <f ca="1">IFERROR(__xludf.DUMMYFUNCTION("""COMPUTED_VALUE"""),4)</f>
        <v>4</v>
      </c>
      <c r="AO129" s="4">
        <f ca="1">IFERROR(__xludf.DUMMYFUNCTION("""COMPUTED_VALUE"""),3)</f>
        <v>3</v>
      </c>
      <c r="AP129" s="4">
        <f ca="1">IFERROR(__xludf.DUMMYFUNCTION("""COMPUTED_VALUE"""),3)</f>
        <v>3</v>
      </c>
      <c r="AQ129" s="4">
        <f ca="1">IFERROR(__xludf.DUMMYFUNCTION("""COMPUTED_VALUE"""),3)</f>
        <v>3</v>
      </c>
      <c r="AR129" s="4">
        <f ca="1">IFERROR(__xludf.DUMMYFUNCTION("""COMPUTED_VALUE"""),3)</f>
        <v>3</v>
      </c>
      <c r="AS129" s="4">
        <f ca="1">IFERROR(__xludf.DUMMYFUNCTION("""COMPUTED_VALUE"""),3)</f>
        <v>3</v>
      </c>
      <c r="AT129" s="4">
        <f ca="1">IFERROR(__xludf.DUMMYFUNCTION("""COMPUTED_VALUE"""),1)</f>
        <v>1</v>
      </c>
      <c r="AU129" s="4">
        <f ca="1">IFERROR(__xludf.DUMMYFUNCTION("""COMPUTED_VALUE"""),3)</f>
        <v>3</v>
      </c>
      <c r="AV129" s="4">
        <f ca="1">IFERROR(__xludf.DUMMYFUNCTION("""COMPUTED_VALUE"""),3)</f>
        <v>3</v>
      </c>
      <c r="AW129" s="4">
        <f ca="1">IFERROR(__xludf.DUMMYFUNCTION("""COMPUTED_VALUE"""),3)</f>
        <v>3</v>
      </c>
      <c r="AX129" s="4">
        <f ca="1">IFERROR(__xludf.DUMMYFUNCTION("""COMPUTED_VALUE"""),5)</f>
        <v>5</v>
      </c>
      <c r="AY129" s="4">
        <f ca="1">IFERROR(__xludf.DUMMYFUNCTION("""COMPUTED_VALUE"""),4)</f>
        <v>4</v>
      </c>
      <c r="AZ129" s="4">
        <f ca="1">IFERROR(__xludf.DUMMYFUNCTION("""COMPUTED_VALUE"""),4)</f>
        <v>4</v>
      </c>
      <c r="BA129" s="4">
        <f ca="1">IFERROR(__xludf.DUMMYFUNCTION("""COMPUTED_VALUE"""),5)</f>
        <v>5</v>
      </c>
      <c r="BB129" s="4">
        <f ca="1">IFERROR(__xludf.DUMMYFUNCTION("""COMPUTED_VALUE"""),4)</f>
        <v>4</v>
      </c>
      <c r="BC129" s="4">
        <f ca="1">IFERROR(__xludf.DUMMYFUNCTION("""COMPUTED_VALUE"""),3)</f>
        <v>3</v>
      </c>
      <c r="BD129" s="4">
        <f ca="1">IFERROR(__xludf.DUMMYFUNCTION("""COMPUTED_VALUE"""),4)</f>
        <v>4</v>
      </c>
      <c r="BE129" s="4">
        <f ca="1">IFERROR(__xludf.DUMMYFUNCTION("""COMPUTED_VALUE"""),2)</f>
        <v>2</v>
      </c>
      <c r="BF129" s="4">
        <f ca="1">IFERROR(__xludf.DUMMYFUNCTION("""COMPUTED_VALUE"""),3)</f>
        <v>3</v>
      </c>
      <c r="BG129" s="4">
        <f ca="1">IFERROR(__xludf.DUMMYFUNCTION("""COMPUTED_VALUE"""),3)</f>
        <v>3</v>
      </c>
      <c r="BH129" s="4">
        <f ca="1">IFERROR(__xludf.DUMMYFUNCTION("""COMPUTED_VALUE"""),4)</f>
        <v>4</v>
      </c>
      <c r="BI129" s="4">
        <f ca="1">IFERROR(__xludf.DUMMYFUNCTION("""COMPUTED_VALUE"""),3)</f>
        <v>3</v>
      </c>
      <c r="BJ129" s="4">
        <f ca="1">IFERROR(__xludf.DUMMYFUNCTION("""COMPUTED_VALUE"""),4)</f>
        <v>4</v>
      </c>
      <c r="BK129" s="4">
        <f ca="1">IFERROR(__xludf.DUMMYFUNCTION("""COMPUTED_VALUE"""),4)</f>
        <v>4</v>
      </c>
      <c r="BL129" s="4">
        <f ca="1">IFERROR(__xludf.DUMMYFUNCTION("""COMPUTED_VALUE"""),4)</f>
        <v>4</v>
      </c>
      <c r="BM129" s="4">
        <f ca="1">IFERROR(__xludf.DUMMYFUNCTION("""COMPUTED_VALUE"""),5)</f>
        <v>5</v>
      </c>
      <c r="BN129" s="4">
        <f ca="1">IFERROR(__xludf.DUMMYFUNCTION("""COMPUTED_VALUE"""),5)</f>
        <v>5</v>
      </c>
      <c r="BO129" s="4">
        <f ca="1">IFERROR(__xludf.DUMMYFUNCTION("""COMPUTED_VALUE"""),4)</f>
        <v>4</v>
      </c>
      <c r="BP129" s="4">
        <f ca="1">IFERROR(__xludf.DUMMYFUNCTION("""COMPUTED_VALUE"""),4)</f>
        <v>4</v>
      </c>
    </row>
    <row r="130" spans="1:68" ht="13.2" x14ac:dyDescent="0.25">
      <c r="A130" s="4" t="str">
        <f ca="1">IFERROR(__xludf.DUMMYFUNCTION("""COMPUTED_VALUE"""),"2_ABaOnufIkEPykhVLDqIlgF0tFhHu12sA2Rwi-po4uhYldD-aiqGE5dmkYkZuQI1Ohg")</f>
        <v>2_ABaOnufIkEPykhVLDqIlgF0tFhHu12sA2Rwi-po4uhYldD-aiqGE5dmkYkZuQI1Ohg</v>
      </c>
      <c r="B130" s="5">
        <f ca="1">IFERROR(__xludf.DUMMYFUNCTION("""COMPUTED_VALUE"""),45974.3877515856)</f>
        <v>45974.3877515856</v>
      </c>
      <c r="C130" s="4" t="str">
        <f ca="1">IFERROR(__xludf.DUMMYFUNCTION("""COMPUTED_VALUE"""),"PHAN THỊ MỸ HƯỜNG")</f>
        <v>PHAN THỊ MỸ HƯỜNG</v>
      </c>
      <c r="D130" s="4" t="str">
        <f ca="1">IFERROR(__xludf.DUMMYFUNCTION("""COMPUTED_VALUE"""),"Nữ")</f>
        <v>Nữ</v>
      </c>
      <c r="E130" s="4" t="str">
        <f ca="1">IFERROR(__xludf.DUMMYFUNCTION("""COMPUTED_VALUE"""),"CÔNG TY TNHH KIỂM TOÁN AACS")</f>
        <v>CÔNG TY TNHH KIỂM TOÁN AACS</v>
      </c>
      <c r="F130" s="4" t="str">
        <f ca="1">IFERROR(__xludf.DUMMYFUNCTION("""COMPUTED_VALUE"""),"Đại học")</f>
        <v>Đại học</v>
      </c>
      <c r="G130" s="4" t="str">
        <f ca="1">IFERROR(__xludf.DUMMYFUNCTION("""COMPUTED_VALUE"""),"Từ 3 đến 5 năm")</f>
        <v>Từ 3 đến 5 năm</v>
      </c>
      <c r="H130" s="4" t="str">
        <f ca="1">IFERROR(__xludf.DUMMYFUNCTION("""COMPUTED_VALUE"""),"Trợ lý kiểm toán")</f>
        <v>Trợ lý kiểm toán</v>
      </c>
      <c r="I130" s="4">
        <f ca="1">IFERROR(__xludf.DUMMYFUNCTION("""COMPUTED_VALUE"""),5)</f>
        <v>5</v>
      </c>
      <c r="J130" s="4">
        <f ca="1">IFERROR(__xludf.DUMMYFUNCTION("""COMPUTED_VALUE"""),5)</f>
        <v>5</v>
      </c>
      <c r="K130" s="4">
        <f ca="1">IFERROR(__xludf.DUMMYFUNCTION("""COMPUTED_VALUE"""),4)</f>
        <v>4</v>
      </c>
      <c r="L130" s="4">
        <f ca="1">IFERROR(__xludf.DUMMYFUNCTION("""COMPUTED_VALUE"""),4)</f>
        <v>4</v>
      </c>
      <c r="M130" s="4">
        <f ca="1">IFERROR(__xludf.DUMMYFUNCTION("""COMPUTED_VALUE"""),4)</f>
        <v>4</v>
      </c>
      <c r="N130" s="4">
        <f ca="1">IFERROR(__xludf.DUMMYFUNCTION("""COMPUTED_VALUE"""),4)</f>
        <v>4</v>
      </c>
      <c r="O130" s="4">
        <f ca="1">IFERROR(__xludf.DUMMYFUNCTION("""COMPUTED_VALUE"""),4)</f>
        <v>4</v>
      </c>
      <c r="P130" s="4">
        <f ca="1">IFERROR(__xludf.DUMMYFUNCTION("""COMPUTED_VALUE"""),4)</f>
        <v>4</v>
      </c>
      <c r="Q130" s="4">
        <f ca="1">IFERROR(__xludf.DUMMYFUNCTION("""COMPUTED_VALUE"""),4)</f>
        <v>4</v>
      </c>
      <c r="R130" s="4">
        <f ca="1">IFERROR(__xludf.DUMMYFUNCTION("""COMPUTED_VALUE"""),4)</f>
        <v>4</v>
      </c>
      <c r="S130" s="4">
        <f ca="1">IFERROR(__xludf.DUMMYFUNCTION("""COMPUTED_VALUE"""),4)</f>
        <v>4</v>
      </c>
      <c r="T130" s="4">
        <f ca="1">IFERROR(__xludf.DUMMYFUNCTION("""COMPUTED_VALUE"""),4)</f>
        <v>4</v>
      </c>
      <c r="U130" s="4">
        <f ca="1">IFERROR(__xludf.DUMMYFUNCTION("""COMPUTED_VALUE"""),4)</f>
        <v>4</v>
      </c>
      <c r="V130" s="4">
        <f ca="1">IFERROR(__xludf.DUMMYFUNCTION("""COMPUTED_VALUE"""),5)</f>
        <v>5</v>
      </c>
      <c r="W130" s="4">
        <f ca="1">IFERROR(__xludf.DUMMYFUNCTION("""COMPUTED_VALUE"""),3)</f>
        <v>3</v>
      </c>
      <c r="X130" s="4">
        <f ca="1">IFERROR(__xludf.DUMMYFUNCTION("""COMPUTED_VALUE"""),3)</f>
        <v>3</v>
      </c>
      <c r="Y130" s="4">
        <f ca="1">IFERROR(__xludf.DUMMYFUNCTION("""COMPUTED_VALUE"""),3)</f>
        <v>3</v>
      </c>
      <c r="Z130" s="4">
        <f ca="1">IFERROR(__xludf.DUMMYFUNCTION("""COMPUTED_VALUE"""),3)</f>
        <v>3</v>
      </c>
      <c r="AA130" s="4">
        <f ca="1">IFERROR(__xludf.DUMMYFUNCTION("""COMPUTED_VALUE"""),3)</f>
        <v>3</v>
      </c>
      <c r="AB130" s="4">
        <f ca="1">IFERROR(__xludf.DUMMYFUNCTION("""COMPUTED_VALUE"""),3)</f>
        <v>3</v>
      </c>
      <c r="AC130" s="4">
        <f ca="1">IFERROR(__xludf.DUMMYFUNCTION("""COMPUTED_VALUE"""),3)</f>
        <v>3</v>
      </c>
      <c r="AD130" s="4">
        <f ca="1">IFERROR(__xludf.DUMMYFUNCTION("""COMPUTED_VALUE"""),3)</f>
        <v>3</v>
      </c>
      <c r="AE130" s="4">
        <f ca="1">IFERROR(__xludf.DUMMYFUNCTION("""COMPUTED_VALUE"""),4)</f>
        <v>4</v>
      </c>
      <c r="AF130" s="4">
        <f ca="1">IFERROR(__xludf.DUMMYFUNCTION("""COMPUTED_VALUE"""),4)</f>
        <v>4</v>
      </c>
      <c r="AG130" s="4">
        <f ca="1">IFERROR(__xludf.DUMMYFUNCTION("""COMPUTED_VALUE"""),4)</f>
        <v>4</v>
      </c>
      <c r="AH130" s="4">
        <f ca="1">IFERROR(__xludf.DUMMYFUNCTION("""COMPUTED_VALUE"""),4)</f>
        <v>4</v>
      </c>
      <c r="AI130" s="4">
        <f ca="1">IFERROR(__xludf.DUMMYFUNCTION("""COMPUTED_VALUE"""),4)</f>
        <v>4</v>
      </c>
      <c r="AJ130" s="4">
        <f ca="1">IFERROR(__xludf.DUMMYFUNCTION("""COMPUTED_VALUE"""),3)</f>
        <v>3</v>
      </c>
      <c r="AK130" s="4">
        <f ca="1">IFERROR(__xludf.DUMMYFUNCTION("""COMPUTED_VALUE"""),4)</f>
        <v>4</v>
      </c>
      <c r="AL130" s="4">
        <f ca="1">IFERROR(__xludf.DUMMYFUNCTION("""COMPUTED_VALUE"""),3)</f>
        <v>3</v>
      </c>
      <c r="AM130" s="4">
        <f ca="1">IFERROR(__xludf.DUMMYFUNCTION("""COMPUTED_VALUE"""),3)</f>
        <v>3</v>
      </c>
      <c r="AN130" s="4">
        <f ca="1">IFERROR(__xludf.DUMMYFUNCTION("""COMPUTED_VALUE"""),4)</f>
        <v>4</v>
      </c>
      <c r="AO130" s="4">
        <f ca="1">IFERROR(__xludf.DUMMYFUNCTION("""COMPUTED_VALUE"""),3)</f>
        <v>3</v>
      </c>
      <c r="AP130" s="4">
        <f ca="1">IFERROR(__xludf.DUMMYFUNCTION("""COMPUTED_VALUE"""),3)</f>
        <v>3</v>
      </c>
      <c r="AQ130" s="4">
        <f ca="1">IFERROR(__xludf.DUMMYFUNCTION("""COMPUTED_VALUE"""),3)</f>
        <v>3</v>
      </c>
      <c r="AR130" s="4">
        <f ca="1">IFERROR(__xludf.DUMMYFUNCTION("""COMPUTED_VALUE"""),3)</f>
        <v>3</v>
      </c>
      <c r="AS130" s="4">
        <f ca="1">IFERROR(__xludf.DUMMYFUNCTION("""COMPUTED_VALUE"""),3)</f>
        <v>3</v>
      </c>
      <c r="AT130" s="4">
        <f ca="1">IFERROR(__xludf.DUMMYFUNCTION("""COMPUTED_VALUE"""),2)</f>
        <v>2</v>
      </c>
      <c r="AU130" s="4">
        <f ca="1">IFERROR(__xludf.DUMMYFUNCTION("""COMPUTED_VALUE"""),3)</f>
        <v>3</v>
      </c>
      <c r="AV130" s="4">
        <f ca="1">IFERROR(__xludf.DUMMYFUNCTION("""COMPUTED_VALUE"""),3)</f>
        <v>3</v>
      </c>
      <c r="AW130" s="4">
        <f ca="1">IFERROR(__xludf.DUMMYFUNCTION("""COMPUTED_VALUE"""),3)</f>
        <v>3</v>
      </c>
      <c r="AX130" s="4">
        <f ca="1">IFERROR(__xludf.DUMMYFUNCTION("""COMPUTED_VALUE"""),4)</f>
        <v>4</v>
      </c>
      <c r="AY130" s="4">
        <f ca="1">IFERROR(__xludf.DUMMYFUNCTION("""COMPUTED_VALUE"""),4)</f>
        <v>4</v>
      </c>
      <c r="AZ130" s="4">
        <f ca="1">IFERROR(__xludf.DUMMYFUNCTION("""COMPUTED_VALUE"""),4)</f>
        <v>4</v>
      </c>
      <c r="BA130" s="4">
        <f ca="1">IFERROR(__xludf.DUMMYFUNCTION("""COMPUTED_VALUE"""),5)</f>
        <v>5</v>
      </c>
      <c r="BB130" s="4">
        <f ca="1">IFERROR(__xludf.DUMMYFUNCTION("""COMPUTED_VALUE"""),3)</f>
        <v>3</v>
      </c>
      <c r="BC130" s="4">
        <f ca="1">IFERROR(__xludf.DUMMYFUNCTION("""COMPUTED_VALUE"""),3)</f>
        <v>3</v>
      </c>
      <c r="BD130" s="4">
        <f ca="1">IFERROR(__xludf.DUMMYFUNCTION("""COMPUTED_VALUE"""),3)</f>
        <v>3</v>
      </c>
      <c r="BE130" s="4">
        <f ca="1">IFERROR(__xludf.DUMMYFUNCTION("""COMPUTED_VALUE"""),3)</f>
        <v>3</v>
      </c>
      <c r="BF130" s="4">
        <f ca="1">IFERROR(__xludf.DUMMYFUNCTION("""COMPUTED_VALUE"""),3)</f>
        <v>3</v>
      </c>
      <c r="BG130" s="4">
        <f ca="1">IFERROR(__xludf.DUMMYFUNCTION("""COMPUTED_VALUE"""),3)</f>
        <v>3</v>
      </c>
      <c r="BH130" s="4">
        <f ca="1">IFERROR(__xludf.DUMMYFUNCTION("""COMPUTED_VALUE"""),3)</f>
        <v>3</v>
      </c>
      <c r="BI130" s="4">
        <f ca="1">IFERROR(__xludf.DUMMYFUNCTION("""COMPUTED_VALUE"""),3)</f>
        <v>3</v>
      </c>
      <c r="BJ130" s="4">
        <f ca="1">IFERROR(__xludf.DUMMYFUNCTION("""COMPUTED_VALUE"""),4)</f>
        <v>4</v>
      </c>
      <c r="BK130" s="4">
        <f ca="1">IFERROR(__xludf.DUMMYFUNCTION("""COMPUTED_VALUE"""),4)</f>
        <v>4</v>
      </c>
      <c r="BL130" s="4">
        <f ca="1">IFERROR(__xludf.DUMMYFUNCTION("""COMPUTED_VALUE"""),4)</f>
        <v>4</v>
      </c>
      <c r="BM130" s="4">
        <f ca="1">IFERROR(__xludf.DUMMYFUNCTION("""COMPUTED_VALUE"""),4)</f>
        <v>4</v>
      </c>
      <c r="BN130" s="4">
        <f ca="1">IFERROR(__xludf.DUMMYFUNCTION("""COMPUTED_VALUE"""),4)</f>
        <v>4</v>
      </c>
      <c r="BO130" s="4">
        <f ca="1">IFERROR(__xludf.DUMMYFUNCTION("""COMPUTED_VALUE"""),4)</f>
        <v>4</v>
      </c>
      <c r="BP130" s="4">
        <f ca="1">IFERROR(__xludf.DUMMYFUNCTION("""COMPUTED_VALUE"""),4)</f>
        <v>4</v>
      </c>
    </row>
    <row r="131" spans="1:68" ht="13.2" x14ac:dyDescent="0.25">
      <c r="A131" s="4" t="str">
        <f ca="1">IFERROR(__xludf.DUMMYFUNCTION("""COMPUTED_VALUE"""),"2_ABaOnuf4tSTSshwdtWNaIwcvRUMAQ9CHQNKYoVJFYZacwbT8DOhSkK-F3EbE25Jrpg")</f>
        <v>2_ABaOnuf4tSTSshwdtWNaIwcvRUMAQ9CHQNKYoVJFYZacwbT8DOhSkK-F3EbE25Jrpg</v>
      </c>
      <c r="B131" s="5">
        <f ca="1">IFERROR(__xludf.DUMMYFUNCTION("""COMPUTED_VALUE"""),45974.3877838078)</f>
        <v>45974.387783807797</v>
      </c>
      <c r="C131" s="4" t="str">
        <f ca="1">IFERROR(__xludf.DUMMYFUNCTION("""COMPUTED_VALUE"""),"Huỳnh Ái Vi")</f>
        <v>Huỳnh Ái Vi</v>
      </c>
      <c r="D131" s="4" t="str">
        <f ca="1">IFERROR(__xludf.DUMMYFUNCTION("""COMPUTED_VALUE"""),"Nữ")</f>
        <v>Nữ</v>
      </c>
      <c r="E131" s="4" t="str">
        <f ca="1">IFERROR(__xludf.DUMMYFUNCTION("""COMPUTED_VALUE"""),"CÔNG TY TNHH AACS")</f>
        <v>CÔNG TY TNHH AACS</v>
      </c>
      <c r="F131" s="4" t="str">
        <f ca="1">IFERROR(__xludf.DUMMYFUNCTION("""COMPUTED_VALUE"""),"Đại học")</f>
        <v>Đại học</v>
      </c>
      <c r="G131" s="4" t="str">
        <f ca="1">IFERROR(__xludf.DUMMYFUNCTION("""COMPUTED_VALUE"""),"Từ 3 đến 5 năm")</f>
        <v>Từ 3 đến 5 năm</v>
      </c>
      <c r="H131" s="4" t="str">
        <f ca="1">IFERROR(__xludf.DUMMYFUNCTION("""COMPUTED_VALUE"""),"Trợ lý kiểm toán")</f>
        <v>Trợ lý kiểm toán</v>
      </c>
      <c r="I131" s="4">
        <f ca="1">IFERROR(__xludf.DUMMYFUNCTION("""COMPUTED_VALUE"""),4)</f>
        <v>4</v>
      </c>
      <c r="J131" s="4">
        <f ca="1">IFERROR(__xludf.DUMMYFUNCTION("""COMPUTED_VALUE"""),4)</f>
        <v>4</v>
      </c>
      <c r="K131" s="4">
        <f ca="1">IFERROR(__xludf.DUMMYFUNCTION("""COMPUTED_VALUE"""),4)</f>
        <v>4</v>
      </c>
      <c r="L131" s="4">
        <f ca="1">IFERROR(__xludf.DUMMYFUNCTION("""COMPUTED_VALUE"""),4)</f>
        <v>4</v>
      </c>
      <c r="M131" s="4">
        <f ca="1">IFERROR(__xludf.DUMMYFUNCTION("""COMPUTED_VALUE"""),4)</f>
        <v>4</v>
      </c>
      <c r="N131" s="4">
        <f ca="1">IFERROR(__xludf.DUMMYFUNCTION("""COMPUTED_VALUE"""),4)</f>
        <v>4</v>
      </c>
      <c r="O131" s="4">
        <f ca="1">IFERROR(__xludf.DUMMYFUNCTION("""COMPUTED_VALUE"""),4)</f>
        <v>4</v>
      </c>
      <c r="P131" s="4">
        <f ca="1">IFERROR(__xludf.DUMMYFUNCTION("""COMPUTED_VALUE"""),4)</f>
        <v>4</v>
      </c>
      <c r="Q131" s="4">
        <f ca="1">IFERROR(__xludf.DUMMYFUNCTION("""COMPUTED_VALUE"""),4)</f>
        <v>4</v>
      </c>
      <c r="R131" s="4">
        <f ca="1">IFERROR(__xludf.DUMMYFUNCTION("""COMPUTED_VALUE"""),4)</f>
        <v>4</v>
      </c>
      <c r="S131" s="4">
        <f ca="1">IFERROR(__xludf.DUMMYFUNCTION("""COMPUTED_VALUE"""),4)</f>
        <v>4</v>
      </c>
      <c r="T131" s="4">
        <f ca="1">IFERROR(__xludf.DUMMYFUNCTION("""COMPUTED_VALUE"""),4)</f>
        <v>4</v>
      </c>
      <c r="U131" s="4">
        <f ca="1">IFERROR(__xludf.DUMMYFUNCTION("""COMPUTED_VALUE"""),4)</f>
        <v>4</v>
      </c>
      <c r="V131" s="4">
        <f ca="1">IFERROR(__xludf.DUMMYFUNCTION("""COMPUTED_VALUE"""),4)</f>
        <v>4</v>
      </c>
      <c r="W131" s="4">
        <f ca="1">IFERROR(__xludf.DUMMYFUNCTION("""COMPUTED_VALUE"""),3)</f>
        <v>3</v>
      </c>
      <c r="X131" s="4">
        <f ca="1">IFERROR(__xludf.DUMMYFUNCTION("""COMPUTED_VALUE"""),3)</f>
        <v>3</v>
      </c>
      <c r="Y131" s="4">
        <f ca="1">IFERROR(__xludf.DUMMYFUNCTION("""COMPUTED_VALUE"""),3)</f>
        <v>3</v>
      </c>
      <c r="Z131" s="4">
        <f ca="1">IFERROR(__xludf.DUMMYFUNCTION("""COMPUTED_VALUE"""),4)</f>
        <v>4</v>
      </c>
      <c r="AA131" s="4">
        <f ca="1">IFERROR(__xludf.DUMMYFUNCTION("""COMPUTED_VALUE"""),4)</f>
        <v>4</v>
      </c>
      <c r="AB131" s="4">
        <f ca="1">IFERROR(__xludf.DUMMYFUNCTION("""COMPUTED_VALUE"""),4)</f>
        <v>4</v>
      </c>
      <c r="AC131" s="4">
        <f ca="1">IFERROR(__xludf.DUMMYFUNCTION("""COMPUTED_VALUE"""),2)</f>
        <v>2</v>
      </c>
      <c r="AD131" s="4">
        <f ca="1">IFERROR(__xludf.DUMMYFUNCTION("""COMPUTED_VALUE"""),2)</f>
        <v>2</v>
      </c>
      <c r="AE131" s="4">
        <f ca="1">IFERROR(__xludf.DUMMYFUNCTION("""COMPUTED_VALUE"""),3)</f>
        <v>3</v>
      </c>
      <c r="AF131" s="4">
        <f ca="1">IFERROR(__xludf.DUMMYFUNCTION("""COMPUTED_VALUE"""),4)</f>
        <v>4</v>
      </c>
      <c r="AG131" s="4">
        <f ca="1">IFERROR(__xludf.DUMMYFUNCTION("""COMPUTED_VALUE"""),4)</f>
        <v>4</v>
      </c>
      <c r="AH131" s="4">
        <f ca="1">IFERROR(__xludf.DUMMYFUNCTION("""COMPUTED_VALUE"""),4)</f>
        <v>4</v>
      </c>
      <c r="AI131" s="4">
        <f ca="1">IFERROR(__xludf.DUMMYFUNCTION("""COMPUTED_VALUE"""),4)</f>
        <v>4</v>
      </c>
      <c r="AJ131" s="4">
        <f ca="1">IFERROR(__xludf.DUMMYFUNCTION("""COMPUTED_VALUE"""),4)</f>
        <v>4</v>
      </c>
      <c r="AK131" s="4">
        <f ca="1">IFERROR(__xludf.DUMMYFUNCTION("""COMPUTED_VALUE"""),4)</f>
        <v>4</v>
      </c>
      <c r="AL131" s="4">
        <f ca="1">IFERROR(__xludf.DUMMYFUNCTION("""COMPUTED_VALUE"""),4)</f>
        <v>4</v>
      </c>
      <c r="AM131" s="4">
        <f ca="1">IFERROR(__xludf.DUMMYFUNCTION("""COMPUTED_VALUE"""),4)</f>
        <v>4</v>
      </c>
      <c r="AN131" s="4">
        <f ca="1">IFERROR(__xludf.DUMMYFUNCTION("""COMPUTED_VALUE"""),4)</f>
        <v>4</v>
      </c>
      <c r="AO131" s="4">
        <f ca="1">IFERROR(__xludf.DUMMYFUNCTION("""COMPUTED_VALUE"""),4)</f>
        <v>4</v>
      </c>
      <c r="AP131" s="4">
        <f ca="1">IFERROR(__xludf.DUMMYFUNCTION("""COMPUTED_VALUE"""),4)</f>
        <v>4</v>
      </c>
      <c r="AQ131" s="4">
        <f ca="1">IFERROR(__xludf.DUMMYFUNCTION("""COMPUTED_VALUE"""),4)</f>
        <v>4</v>
      </c>
      <c r="AR131" s="4">
        <f ca="1">IFERROR(__xludf.DUMMYFUNCTION("""COMPUTED_VALUE"""),4)</f>
        <v>4</v>
      </c>
      <c r="AS131" s="4">
        <f ca="1">IFERROR(__xludf.DUMMYFUNCTION("""COMPUTED_VALUE"""),4)</f>
        <v>4</v>
      </c>
      <c r="AT131" s="4">
        <f ca="1">IFERROR(__xludf.DUMMYFUNCTION("""COMPUTED_VALUE"""),3)</f>
        <v>3</v>
      </c>
      <c r="AU131" s="4">
        <f ca="1">IFERROR(__xludf.DUMMYFUNCTION("""COMPUTED_VALUE"""),4)</f>
        <v>4</v>
      </c>
      <c r="AV131" s="4">
        <f ca="1">IFERROR(__xludf.DUMMYFUNCTION("""COMPUTED_VALUE"""),4)</f>
        <v>4</v>
      </c>
      <c r="AW131" s="4">
        <f ca="1">IFERROR(__xludf.DUMMYFUNCTION("""COMPUTED_VALUE"""),4)</f>
        <v>4</v>
      </c>
      <c r="AX131" s="4">
        <f ca="1">IFERROR(__xludf.DUMMYFUNCTION("""COMPUTED_VALUE"""),4)</f>
        <v>4</v>
      </c>
      <c r="AY131" s="4">
        <f ca="1">IFERROR(__xludf.DUMMYFUNCTION("""COMPUTED_VALUE"""),3)</f>
        <v>3</v>
      </c>
      <c r="AZ131" s="4">
        <f ca="1">IFERROR(__xludf.DUMMYFUNCTION("""COMPUTED_VALUE"""),4)</f>
        <v>4</v>
      </c>
      <c r="BA131" s="4">
        <f ca="1">IFERROR(__xludf.DUMMYFUNCTION("""COMPUTED_VALUE"""),5)</f>
        <v>5</v>
      </c>
      <c r="BB131" s="4">
        <f ca="1">IFERROR(__xludf.DUMMYFUNCTION("""COMPUTED_VALUE"""),4)</f>
        <v>4</v>
      </c>
      <c r="BC131" s="4">
        <f ca="1">IFERROR(__xludf.DUMMYFUNCTION("""COMPUTED_VALUE"""),3)</f>
        <v>3</v>
      </c>
      <c r="BD131" s="4">
        <f ca="1">IFERROR(__xludf.DUMMYFUNCTION("""COMPUTED_VALUE"""),4)</f>
        <v>4</v>
      </c>
      <c r="BE131" s="4">
        <f ca="1">IFERROR(__xludf.DUMMYFUNCTION("""COMPUTED_VALUE"""),4)</f>
        <v>4</v>
      </c>
      <c r="BF131" s="4">
        <f ca="1">IFERROR(__xludf.DUMMYFUNCTION("""COMPUTED_VALUE"""),4)</f>
        <v>4</v>
      </c>
      <c r="BG131" s="4">
        <f ca="1">IFERROR(__xludf.DUMMYFUNCTION("""COMPUTED_VALUE"""),4)</f>
        <v>4</v>
      </c>
      <c r="BH131" s="4">
        <f ca="1">IFERROR(__xludf.DUMMYFUNCTION("""COMPUTED_VALUE"""),4)</f>
        <v>4</v>
      </c>
      <c r="BI131" s="4">
        <f ca="1">IFERROR(__xludf.DUMMYFUNCTION("""COMPUTED_VALUE"""),4)</f>
        <v>4</v>
      </c>
      <c r="BJ131" s="4">
        <f ca="1">IFERROR(__xludf.DUMMYFUNCTION("""COMPUTED_VALUE"""),4)</f>
        <v>4</v>
      </c>
      <c r="BK131" s="4">
        <f ca="1">IFERROR(__xludf.DUMMYFUNCTION("""COMPUTED_VALUE"""),4)</f>
        <v>4</v>
      </c>
      <c r="BL131" s="4">
        <f ca="1">IFERROR(__xludf.DUMMYFUNCTION("""COMPUTED_VALUE"""),4)</f>
        <v>4</v>
      </c>
      <c r="BM131" s="4">
        <f ca="1">IFERROR(__xludf.DUMMYFUNCTION("""COMPUTED_VALUE"""),4)</f>
        <v>4</v>
      </c>
      <c r="BN131" s="4">
        <f ca="1">IFERROR(__xludf.DUMMYFUNCTION("""COMPUTED_VALUE"""),4)</f>
        <v>4</v>
      </c>
      <c r="BO131" s="4">
        <f ca="1">IFERROR(__xludf.DUMMYFUNCTION("""COMPUTED_VALUE"""),4)</f>
        <v>4</v>
      </c>
      <c r="BP131" s="4">
        <f ca="1">IFERROR(__xludf.DUMMYFUNCTION("""COMPUTED_VALUE"""),4)</f>
        <v>4</v>
      </c>
    </row>
    <row r="132" spans="1:68" ht="13.2" x14ac:dyDescent="0.25">
      <c r="A132" s="4" t="str">
        <f ca="1">IFERROR(__xludf.DUMMYFUNCTION("""COMPUTED_VALUE"""),"2_ABaOnudEO1tpjUItWTUW1egQibOcBG9L4IeuYYC3HLSmZg6eg-XGv9jkeAt5xgYzZw")</f>
        <v>2_ABaOnudEO1tpjUItWTUW1egQibOcBG9L4IeuYYC3HLSmZg6eg-XGv9jkeAt5xgYzZw</v>
      </c>
      <c r="B132" s="5">
        <f ca="1">IFERROR(__xludf.DUMMYFUNCTION("""COMPUTED_VALUE"""),45974.3878038078)</f>
        <v>45974.387803807796</v>
      </c>
      <c r="C132" s="4"/>
      <c r="D132" s="4" t="str">
        <f ca="1">IFERROR(__xludf.DUMMYFUNCTION("""COMPUTED_VALUE"""),"Nữ")</f>
        <v>Nữ</v>
      </c>
      <c r="E132" s="4" t="str">
        <f ca="1">IFERROR(__xludf.DUMMYFUNCTION("""COMPUTED_VALUE"""),"CÔNG TY TNHH KIỂM TOÁN AACS")</f>
        <v>CÔNG TY TNHH KIỂM TOÁN AACS</v>
      </c>
      <c r="F132" s="4" t="str">
        <f ca="1">IFERROR(__xludf.DUMMYFUNCTION("""COMPUTED_VALUE"""),"Đại học")</f>
        <v>Đại học</v>
      </c>
      <c r="G132" s="4" t="str">
        <f ca="1">IFERROR(__xludf.DUMMYFUNCTION("""COMPUTED_VALUE"""),"Từ 3 đến 5 năm")</f>
        <v>Từ 3 đến 5 năm</v>
      </c>
      <c r="H132" s="4" t="str">
        <f ca="1">IFERROR(__xludf.DUMMYFUNCTION("""COMPUTED_VALUE"""),"Trợ lý kiểm toán")</f>
        <v>Trợ lý kiểm toán</v>
      </c>
      <c r="I132" s="4">
        <f ca="1">IFERROR(__xludf.DUMMYFUNCTION("""COMPUTED_VALUE"""),5)</f>
        <v>5</v>
      </c>
      <c r="J132" s="4">
        <f ca="1">IFERROR(__xludf.DUMMYFUNCTION("""COMPUTED_VALUE"""),5)</f>
        <v>5</v>
      </c>
      <c r="K132" s="4">
        <f ca="1">IFERROR(__xludf.DUMMYFUNCTION("""COMPUTED_VALUE"""),5)</f>
        <v>5</v>
      </c>
      <c r="L132" s="4">
        <f ca="1">IFERROR(__xludf.DUMMYFUNCTION("""COMPUTED_VALUE"""),5)</f>
        <v>5</v>
      </c>
      <c r="M132" s="4">
        <f ca="1">IFERROR(__xludf.DUMMYFUNCTION("""COMPUTED_VALUE"""),5)</f>
        <v>5</v>
      </c>
      <c r="N132" s="4">
        <f ca="1">IFERROR(__xludf.DUMMYFUNCTION("""COMPUTED_VALUE"""),5)</f>
        <v>5</v>
      </c>
      <c r="O132" s="4">
        <f ca="1">IFERROR(__xludf.DUMMYFUNCTION("""COMPUTED_VALUE"""),5)</f>
        <v>5</v>
      </c>
      <c r="P132" s="4">
        <f ca="1">IFERROR(__xludf.DUMMYFUNCTION("""COMPUTED_VALUE"""),5)</f>
        <v>5</v>
      </c>
      <c r="Q132" s="4">
        <f ca="1">IFERROR(__xludf.DUMMYFUNCTION("""COMPUTED_VALUE"""),5)</f>
        <v>5</v>
      </c>
      <c r="R132" s="4">
        <f ca="1">IFERROR(__xludf.DUMMYFUNCTION("""COMPUTED_VALUE"""),5)</f>
        <v>5</v>
      </c>
      <c r="S132" s="4">
        <f ca="1">IFERROR(__xludf.DUMMYFUNCTION("""COMPUTED_VALUE"""),5)</f>
        <v>5</v>
      </c>
      <c r="T132" s="4">
        <f ca="1">IFERROR(__xludf.DUMMYFUNCTION("""COMPUTED_VALUE"""),5)</f>
        <v>5</v>
      </c>
      <c r="U132" s="4">
        <f ca="1">IFERROR(__xludf.DUMMYFUNCTION("""COMPUTED_VALUE"""),4)</f>
        <v>4</v>
      </c>
      <c r="V132" s="4">
        <f ca="1">IFERROR(__xludf.DUMMYFUNCTION("""COMPUTED_VALUE"""),5)</f>
        <v>5</v>
      </c>
      <c r="W132" s="4">
        <f ca="1">IFERROR(__xludf.DUMMYFUNCTION("""COMPUTED_VALUE"""),4)</f>
        <v>4</v>
      </c>
      <c r="X132" s="4">
        <f ca="1">IFERROR(__xludf.DUMMYFUNCTION("""COMPUTED_VALUE"""),5)</f>
        <v>5</v>
      </c>
      <c r="Y132" s="4">
        <f ca="1">IFERROR(__xludf.DUMMYFUNCTION("""COMPUTED_VALUE"""),3)</f>
        <v>3</v>
      </c>
      <c r="Z132" s="4">
        <f ca="1">IFERROR(__xludf.DUMMYFUNCTION("""COMPUTED_VALUE"""),5)</f>
        <v>5</v>
      </c>
      <c r="AA132" s="4">
        <f ca="1">IFERROR(__xludf.DUMMYFUNCTION("""COMPUTED_VALUE"""),5)</f>
        <v>5</v>
      </c>
      <c r="AB132" s="4">
        <f ca="1">IFERROR(__xludf.DUMMYFUNCTION("""COMPUTED_VALUE"""),4)</f>
        <v>4</v>
      </c>
      <c r="AC132" s="4">
        <f ca="1">IFERROR(__xludf.DUMMYFUNCTION("""COMPUTED_VALUE"""),2)</f>
        <v>2</v>
      </c>
      <c r="AD132" s="4">
        <f ca="1">IFERROR(__xludf.DUMMYFUNCTION("""COMPUTED_VALUE"""),1)</f>
        <v>1</v>
      </c>
      <c r="AE132" s="4">
        <f ca="1">IFERROR(__xludf.DUMMYFUNCTION("""COMPUTED_VALUE"""),3)</f>
        <v>3</v>
      </c>
      <c r="AF132" s="4">
        <f ca="1">IFERROR(__xludf.DUMMYFUNCTION("""COMPUTED_VALUE"""),5)</f>
        <v>5</v>
      </c>
      <c r="AG132" s="4">
        <f ca="1">IFERROR(__xludf.DUMMYFUNCTION("""COMPUTED_VALUE"""),5)</f>
        <v>5</v>
      </c>
      <c r="AH132" s="4">
        <f ca="1">IFERROR(__xludf.DUMMYFUNCTION("""COMPUTED_VALUE"""),5)</f>
        <v>5</v>
      </c>
      <c r="AI132" s="4">
        <f ca="1">IFERROR(__xludf.DUMMYFUNCTION("""COMPUTED_VALUE"""),5)</f>
        <v>5</v>
      </c>
      <c r="AJ132" s="4">
        <f ca="1">IFERROR(__xludf.DUMMYFUNCTION("""COMPUTED_VALUE"""),4)</f>
        <v>4</v>
      </c>
      <c r="AK132" s="4">
        <f ca="1">IFERROR(__xludf.DUMMYFUNCTION("""COMPUTED_VALUE"""),5)</f>
        <v>5</v>
      </c>
      <c r="AL132" s="4">
        <f ca="1">IFERROR(__xludf.DUMMYFUNCTION("""COMPUTED_VALUE"""),4)</f>
        <v>4</v>
      </c>
      <c r="AM132" s="4">
        <f ca="1">IFERROR(__xludf.DUMMYFUNCTION("""COMPUTED_VALUE"""),4)</f>
        <v>4</v>
      </c>
      <c r="AN132" s="4">
        <f ca="1">IFERROR(__xludf.DUMMYFUNCTION("""COMPUTED_VALUE"""),5)</f>
        <v>5</v>
      </c>
      <c r="AO132" s="4">
        <f ca="1">IFERROR(__xludf.DUMMYFUNCTION("""COMPUTED_VALUE"""),5)</f>
        <v>5</v>
      </c>
      <c r="AP132" s="4">
        <f ca="1">IFERROR(__xludf.DUMMYFUNCTION("""COMPUTED_VALUE"""),4)</f>
        <v>4</v>
      </c>
      <c r="AQ132" s="4">
        <f ca="1">IFERROR(__xludf.DUMMYFUNCTION("""COMPUTED_VALUE"""),4)</f>
        <v>4</v>
      </c>
      <c r="AR132" s="4">
        <f ca="1">IFERROR(__xludf.DUMMYFUNCTION("""COMPUTED_VALUE"""),4)</f>
        <v>4</v>
      </c>
      <c r="AS132" s="4">
        <f ca="1">IFERROR(__xludf.DUMMYFUNCTION("""COMPUTED_VALUE"""),4)</f>
        <v>4</v>
      </c>
      <c r="AT132" s="4">
        <f ca="1">IFERROR(__xludf.DUMMYFUNCTION("""COMPUTED_VALUE"""),2)</f>
        <v>2</v>
      </c>
      <c r="AU132" s="4">
        <f ca="1">IFERROR(__xludf.DUMMYFUNCTION("""COMPUTED_VALUE"""),4)</f>
        <v>4</v>
      </c>
      <c r="AV132" s="4">
        <f ca="1">IFERROR(__xludf.DUMMYFUNCTION("""COMPUTED_VALUE"""),3)</f>
        <v>3</v>
      </c>
      <c r="AW132" s="4">
        <f ca="1">IFERROR(__xludf.DUMMYFUNCTION("""COMPUTED_VALUE"""),5)</f>
        <v>5</v>
      </c>
      <c r="AX132" s="4">
        <f ca="1">IFERROR(__xludf.DUMMYFUNCTION("""COMPUTED_VALUE"""),5)</f>
        <v>5</v>
      </c>
      <c r="AY132" s="4">
        <f ca="1">IFERROR(__xludf.DUMMYFUNCTION("""COMPUTED_VALUE"""),5)</f>
        <v>5</v>
      </c>
      <c r="AZ132" s="4">
        <f ca="1">IFERROR(__xludf.DUMMYFUNCTION("""COMPUTED_VALUE"""),5)</f>
        <v>5</v>
      </c>
      <c r="BA132" s="4">
        <f ca="1">IFERROR(__xludf.DUMMYFUNCTION("""COMPUTED_VALUE"""),5)</f>
        <v>5</v>
      </c>
      <c r="BB132" s="4">
        <f ca="1">IFERROR(__xludf.DUMMYFUNCTION("""COMPUTED_VALUE"""),4)</f>
        <v>4</v>
      </c>
      <c r="BC132" s="4">
        <f ca="1">IFERROR(__xludf.DUMMYFUNCTION("""COMPUTED_VALUE"""),2)</f>
        <v>2</v>
      </c>
      <c r="BD132" s="4">
        <f ca="1">IFERROR(__xludf.DUMMYFUNCTION("""COMPUTED_VALUE"""),4)</f>
        <v>4</v>
      </c>
      <c r="BE132" s="4">
        <f ca="1">IFERROR(__xludf.DUMMYFUNCTION("""COMPUTED_VALUE"""),2)</f>
        <v>2</v>
      </c>
      <c r="BF132" s="4">
        <f ca="1">IFERROR(__xludf.DUMMYFUNCTION("""COMPUTED_VALUE"""),2)</f>
        <v>2</v>
      </c>
      <c r="BG132" s="4">
        <f ca="1">IFERROR(__xludf.DUMMYFUNCTION("""COMPUTED_VALUE"""),2)</f>
        <v>2</v>
      </c>
      <c r="BH132" s="4">
        <f ca="1">IFERROR(__xludf.DUMMYFUNCTION("""COMPUTED_VALUE"""),4)</f>
        <v>4</v>
      </c>
      <c r="BI132" s="4">
        <f ca="1">IFERROR(__xludf.DUMMYFUNCTION("""COMPUTED_VALUE"""),4)</f>
        <v>4</v>
      </c>
      <c r="BJ132" s="4">
        <f ca="1">IFERROR(__xludf.DUMMYFUNCTION("""COMPUTED_VALUE"""),5)</f>
        <v>5</v>
      </c>
      <c r="BK132" s="4">
        <f ca="1">IFERROR(__xludf.DUMMYFUNCTION("""COMPUTED_VALUE"""),4)</f>
        <v>4</v>
      </c>
      <c r="BL132" s="4">
        <f ca="1">IFERROR(__xludf.DUMMYFUNCTION("""COMPUTED_VALUE"""),5)</f>
        <v>5</v>
      </c>
      <c r="BM132" s="4">
        <f ca="1">IFERROR(__xludf.DUMMYFUNCTION("""COMPUTED_VALUE"""),5)</f>
        <v>5</v>
      </c>
      <c r="BN132" s="4">
        <f ca="1">IFERROR(__xludf.DUMMYFUNCTION("""COMPUTED_VALUE"""),5)</f>
        <v>5</v>
      </c>
      <c r="BO132" s="4">
        <f ca="1">IFERROR(__xludf.DUMMYFUNCTION("""COMPUTED_VALUE"""),5)</f>
        <v>5</v>
      </c>
      <c r="BP132" s="4">
        <f ca="1">IFERROR(__xludf.DUMMYFUNCTION("""COMPUTED_VALUE"""),5)</f>
        <v>5</v>
      </c>
    </row>
    <row r="133" spans="1:68" ht="13.2" x14ac:dyDescent="0.25">
      <c r="A133" s="4" t="str">
        <f ca="1">IFERROR(__xludf.DUMMYFUNCTION("""COMPUTED_VALUE"""),"2_ABaOnueF3k4EzhIcVJyp7-J8RrTYyDJp2aG5sl7ACRGTvwgb3lA5YIeVXaqVY1cv3w")</f>
        <v>2_ABaOnueF3k4EzhIcVJyp7-J8RrTYyDJp2aG5sl7ACRGTvwgb3lA5YIeVXaqVY1cv3w</v>
      </c>
      <c r="B133" s="5">
        <f ca="1">IFERROR(__xludf.DUMMYFUNCTION("""COMPUTED_VALUE"""),45974.3948863888)</f>
        <v>45974.3948863888</v>
      </c>
      <c r="C133" s="4" t="str">
        <f ca="1">IFERROR(__xludf.DUMMYFUNCTION("""COMPUTED_VALUE"""),"Nguyễn Trí Dũng")</f>
        <v>Nguyễn Trí Dũng</v>
      </c>
      <c r="D133" s="4" t="str">
        <f ca="1">IFERROR(__xludf.DUMMYFUNCTION("""COMPUTED_VALUE"""),"Nam")</f>
        <v>Nam</v>
      </c>
      <c r="E133" s="4" t="str">
        <f ca="1">IFERROR(__xludf.DUMMYFUNCTION("""COMPUTED_VALUE"""),"Công ty TNHH Kiểm toán và Định giá Quốc tế")</f>
        <v>Công ty TNHH Kiểm toán và Định giá Quốc tế</v>
      </c>
      <c r="F133" s="4" t="str">
        <f ca="1">IFERROR(__xludf.DUMMYFUNCTION("""COMPUTED_VALUE"""),"Đại học")</f>
        <v>Đại học</v>
      </c>
      <c r="G133" s="4" t="str">
        <f ca="1">IFERROR(__xludf.DUMMYFUNCTION("""COMPUTED_VALUE"""),"Từ 3 đến 5 năm")</f>
        <v>Từ 3 đến 5 năm</v>
      </c>
      <c r="H133" s="4" t="str">
        <f ca="1">IFERROR(__xludf.DUMMYFUNCTION("""COMPUTED_VALUE"""),"Trợ lý kiểm toán")</f>
        <v>Trợ lý kiểm toán</v>
      </c>
      <c r="I133" s="4">
        <f ca="1">IFERROR(__xludf.DUMMYFUNCTION("""COMPUTED_VALUE"""),5)</f>
        <v>5</v>
      </c>
      <c r="J133" s="4">
        <f ca="1">IFERROR(__xludf.DUMMYFUNCTION("""COMPUTED_VALUE"""),5)</f>
        <v>5</v>
      </c>
      <c r="K133" s="4">
        <f ca="1">IFERROR(__xludf.DUMMYFUNCTION("""COMPUTED_VALUE"""),5)</f>
        <v>5</v>
      </c>
      <c r="L133" s="4">
        <f ca="1">IFERROR(__xludf.DUMMYFUNCTION("""COMPUTED_VALUE"""),5)</f>
        <v>5</v>
      </c>
      <c r="M133" s="4">
        <f ca="1">IFERROR(__xludf.DUMMYFUNCTION("""COMPUTED_VALUE"""),5)</f>
        <v>5</v>
      </c>
      <c r="N133" s="4">
        <f ca="1">IFERROR(__xludf.DUMMYFUNCTION("""COMPUTED_VALUE"""),5)</f>
        <v>5</v>
      </c>
      <c r="O133" s="4">
        <f ca="1">IFERROR(__xludf.DUMMYFUNCTION("""COMPUTED_VALUE"""),5)</f>
        <v>5</v>
      </c>
      <c r="P133" s="4">
        <f ca="1">IFERROR(__xludf.DUMMYFUNCTION("""COMPUTED_VALUE"""),5)</f>
        <v>5</v>
      </c>
      <c r="Q133" s="4">
        <f ca="1">IFERROR(__xludf.DUMMYFUNCTION("""COMPUTED_VALUE"""),5)</f>
        <v>5</v>
      </c>
      <c r="R133" s="4">
        <f ca="1">IFERROR(__xludf.DUMMYFUNCTION("""COMPUTED_VALUE"""),5)</f>
        <v>5</v>
      </c>
      <c r="S133" s="4">
        <f ca="1">IFERROR(__xludf.DUMMYFUNCTION("""COMPUTED_VALUE"""),5)</f>
        <v>5</v>
      </c>
      <c r="T133" s="4">
        <f ca="1">IFERROR(__xludf.DUMMYFUNCTION("""COMPUTED_VALUE"""),5)</f>
        <v>5</v>
      </c>
      <c r="U133" s="4">
        <f ca="1">IFERROR(__xludf.DUMMYFUNCTION("""COMPUTED_VALUE"""),5)</f>
        <v>5</v>
      </c>
      <c r="V133" s="4">
        <f ca="1">IFERROR(__xludf.DUMMYFUNCTION("""COMPUTED_VALUE"""),5)</f>
        <v>5</v>
      </c>
      <c r="W133" s="4">
        <f ca="1">IFERROR(__xludf.DUMMYFUNCTION("""COMPUTED_VALUE"""),4)</f>
        <v>4</v>
      </c>
      <c r="X133" s="4">
        <f ca="1">IFERROR(__xludf.DUMMYFUNCTION("""COMPUTED_VALUE"""),4)</f>
        <v>4</v>
      </c>
      <c r="Y133" s="4">
        <f ca="1">IFERROR(__xludf.DUMMYFUNCTION("""COMPUTED_VALUE"""),5)</f>
        <v>5</v>
      </c>
      <c r="Z133" s="4">
        <f ca="1">IFERROR(__xludf.DUMMYFUNCTION("""COMPUTED_VALUE"""),5)</f>
        <v>5</v>
      </c>
      <c r="AA133" s="4">
        <f ca="1">IFERROR(__xludf.DUMMYFUNCTION("""COMPUTED_VALUE"""),5)</f>
        <v>5</v>
      </c>
      <c r="AB133" s="4">
        <f ca="1">IFERROR(__xludf.DUMMYFUNCTION("""COMPUTED_VALUE"""),4)</f>
        <v>4</v>
      </c>
      <c r="AC133" s="4">
        <f ca="1">IFERROR(__xludf.DUMMYFUNCTION("""COMPUTED_VALUE"""),4)</f>
        <v>4</v>
      </c>
      <c r="AD133" s="4">
        <f ca="1">IFERROR(__xludf.DUMMYFUNCTION("""COMPUTED_VALUE"""),4)</f>
        <v>4</v>
      </c>
      <c r="AE133" s="4">
        <f ca="1">IFERROR(__xludf.DUMMYFUNCTION("""COMPUTED_VALUE"""),5)</f>
        <v>5</v>
      </c>
      <c r="AF133" s="4">
        <f ca="1">IFERROR(__xludf.DUMMYFUNCTION("""COMPUTED_VALUE"""),5)</f>
        <v>5</v>
      </c>
      <c r="AG133" s="4">
        <f ca="1">IFERROR(__xludf.DUMMYFUNCTION("""COMPUTED_VALUE"""),5)</f>
        <v>5</v>
      </c>
      <c r="AH133" s="4">
        <f ca="1">IFERROR(__xludf.DUMMYFUNCTION("""COMPUTED_VALUE"""),5)</f>
        <v>5</v>
      </c>
      <c r="AI133" s="4">
        <f ca="1">IFERROR(__xludf.DUMMYFUNCTION("""COMPUTED_VALUE"""),5)</f>
        <v>5</v>
      </c>
      <c r="AJ133" s="4">
        <f ca="1">IFERROR(__xludf.DUMMYFUNCTION("""COMPUTED_VALUE"""),5)</f>
        <v>5</v>
      </c>
      <c r="AK133" s="4">
        <f ca="1">IFERROR(__xludf.DUMMYFUNCTION("""COMPUTED_VALUE"""),5)</f>
        <v>5</v>
      </c>
      <c r="AL133" s="4">
        <f ca="1">IFERROR(__xludf.DUMMYFUNCTION("""COMPUTED_VALUE"""),5)</f>
        <v>5</v>
      </c>
      <c r="AM133" s="4">
        <f ca="1">IFERROR(__xludf.DUMMYFUNCTION("""COMPUTED_VALUE"""),5)</f>
        <v>5</v>
      </c>
      <c r="AN133" s="4">
        <f ca="1">IFERROR(__xludf.DUMMYFUNCTION("""COMPUTED_VALUE"""),5)</f>
        <v>5</v>
      </c>
      <c r="AO133" s="4">
        <f ca="1">IFERROR(__xludf.DUMMYFUNCTION("""COMPUTED_VALUE"""),4)</f>
        <v>4</v>
      </c>
      <c r="AP133" s="4">
        <f ca="1">IFERROR(__xludf.DUMMYFUNCTION("""COMPUTED_VALUE"""),4)</f>
        <v>4</v>
      </c>
      <c r="AQ133" s="4">
        <f ca="1">IFERROR(__xludf.DUMMYFUNCTION("""COMPUTED_VALUE"""),5)</f>
        <v>5</v>
      </c>
      <c r="AR133" s="4">
        <f ca="1">IFERROR(__xludf.DUMMYFUNCTION("""COMPUTED_VALUE"""),5)</f>
        <v>5</v>
      </c>
      <c r="AS133" s="4">
        <f ca="1">IFERROR(__xludf.DUMMYFUNCTION("""COMPUTED_VALUE"""),5)</f>
        <v>5</v>
      </c>
      <c r="AT133" s="4">
        <f ca="1">IFERROR(__xludf.DUMMYFUNCTION("""COMPUTED_VALUE"""),5)</f>
        <v>5</v>
      </c>
      <c r="AU133" s="4">
        <f ca="1">IFERROR(__xludf.DUMMYFUNCTION("""COMPUTED_VALUE"""),5)</f>
        <v>5</v>
      </c>
      <c r="AV133" s="4">
        <f ca="1">IFERROR(__xludf.DUMMYFUNCTION("""COMPUTED_VALUE"""),5)</f>
        <v>5</v>
      </c>
      <c r="AW133" s="4">
        <f ca="1">IFERROR(__xludf.DUMMYFUNCTION("""COMPUTED_VALUE"""),5)</f>
        <v>5</v>
      </c>
      <c r="AX133" s="4">
        <f ca="1">IFERROR(__xludf.DUMMYFUNCTION("""COMPUTED_VALUE"""),5)</f>
        <v>5</v>
      </c>
      <c r="AY133" s="4">
        <f ca="1">IFERROR(__xludf.DUMMYFUNCTION("""COMPUTED_VALUE"""),5)</f>
        <v>5</v>
      </c>
      <c r="AZ133" s="4">
        <f ca="1">IFERROR(__xludf.DUMMYFUNCTION("""COMPUTED_VALUE"""),5)</f>
        <v>5</v>
      </c>
      <c r="BA133" s="4">
        <f ca="1">IFERROR(__xludf.DUMMYFUNCTION("""COMPUTED_VALUE"""),5)</f>
        <v>5</v>
      </c>
      <c r="BB133" s="4">
        <f ca="1">IFERROR(__xludf.DUMMYFUNCTION("""COMPUTED_VALUE"""),5)</f>
        <v>5</v>
      </c>
      <c r="BC133" s="4">
        <f ca="1">IFERROR(__xludf.DUMMYFUNCTION("""COMPUTED_VALUE"""),5)</f>
        <v>5</v>
      </c>
      <c r="BD133" s="4">
        <f ca="1">IFERROR(__xludf.DUMMYFUNCTION("""COMPUTED_VALUE"""),5)</f>
        <v>5</v>
      </c>
      <c r="BE133" s="4">
        <f ca="1">IFERROR(__xludf.DUMMYFUNCTION("""COMPUTED_VALUE"""),5)</f>
        <v>5</v>
      </c>
      <c r="BF133" s="4">
        <f ca="1">IFERROR(__xludf.DUMMYFUNCTION("""COMPUTED_VALUE"""),5)</f>
        <v>5</v>
      </c>
      <c r="BG133" s="4">
        <f ca="1">IFERROR(__xludf.DUMMYFUNCTION("""COMPUTED_VALUE"""),5)</f>
        <v>5</v>
      </c>
      <c r="BH133" s="4">
        <f ca="1">IFERROR(__xludf.DUMMYFUNCTION("""COMPUTED_VALUE"""),5)</f>
        <v>5</v>
      </c>
      <c r="BI133" s="4">
        <f ca="1">IFERROR(__xludf.DUMMYFUNCTION("""COMPUTED_VALUE"""),5)</f>
        <v>5</v>
      </c>
      <c r="BJ133" s="4">
        <f ca="1">IFERROR(__xludf.DUMMYFUNCTION("""COMPUTED_VALUE"""),5)</f>
        <v>5</v>
      </c>
      <c r="BK133" s="4">
        <f ca="1">IFERROR(__xludf.DUMMYFUNCTION("""COMPUTED_VALUE"""),4)</f>
        <v>4</v>
      </c>
      <c r="BL133" s="4">
        <f ca="1">IFERROR(__xludf.DUMMYFUNCTION("""COMPUTED_VALUE"""),4)</f>
        <v>4</v>
      </c>
      <c r="BM133" s="4">
        <f ca="1">IFERROR(__xludf.DUMMYFUNCTION("""COMPUTED_VALUE"""),5)</f>
        <v>5</v>
      </c>
      <c r="BN133" s="4">
        <f ca="1">IFERROR(__xludf.DUMMYFUNCTION("""COMPUTED_VALUE"""),5)</f>
        <v>5</v>
      </c>
      <c r="BO133" s="4">
        <f ca="1">IFERROR(__xludf.DUMMYFUNCTION("""COMPUTED_VALUE"""),5)</f>
        <v>5</v>
      </c>
      <c r="BP133" s="4">
        <f ca="1">IFERROR(__xludf.DUMMYFUNCTION("""COMPUTED_VALUE"""),5)</f>
        <v>5</v>
      </c>
    </row>
    <row r="134" spans="1:68" ht="13.2" x14ac:dyDescent="0.25">
      <c r="A134" s="4" t="str">
        <f ca="1">IFERROR(__xludf.DUMMYFUNCTION("""COMPUTED_VALUE"""),"2_ABaOnucWC0ts1durzmH22INJ-ANeAHphI6sK8RbnLl1sBr2Te0mjnPTvwlehOhnGxQ")</f>
        <v>2_ABaOnucWC0ts1durzmH22INJ-ANeAHphI6sK8RbnLl1sBr2Te0mjnPTvwlehOhnGxQ</v>
      </c>
      <c r="B134" s="5">
        <f ca="1">IFERROR(__xludf.DUMMYFUNCTION("""COMPUTED_VALUE"""),45974.4060511226)</f>
        <v>45974.406051122598</v>
      </c>
      <c r="C134" s="4"/>
      <c r="D134" s="4" t="str">
        <f ca="1">IFERROR(__xludf.DUMMYFUNCTION("""COMPUTED_VALUE"""),"Nữ")</f>
        <v>Nữ</v>
      </c>
      <c r="E134" s="4" t="str">
        <f ca="1">IFERROR(__xludf.DUMMYFUNCTION("""COMPUTED_VALUE"""),"Công ty TNHH Kiểm toán NVA")</f>
        <v>Công ty TNHH Kiểm toán NVA</v>
      </c>
      <c r="F134" s="4" t="str">
        <f ca="1">IFERROR(__xludf.DUMMYFUNCTION("""COMPUTED_VALUE"""),"Đại học, Chứng chỉ Kiểm toán viên")</f>
        <v>Đại học, Chứng chỉ Kiểm toán viên</v>
      </c>
      <c r="G134" s="4" t="str">
        <f ca="1">IFERROR(__xludf.DUMMYFUNCTION("""COMPUTED_VALUE"""),"Trên 10 đến 15 năm")</f>
        <v>Trên 10 đến 15 năm</v>
      </c>
      <c r="H134" s="4" t="str">
        <f ca="1">IFERROR(__xludf.DUMMYFUNCTION("""COMPUTED_VALUE"""),"Kiểm toán viên/Trưởng nhóm")</f>
        <v>Kiểm toán viên/Trưởng nhóm</v>
      </c>
      <c r="I134" s="4">
        <f ca="1">IFERROR(__xludf.DUMMYFUNCTION("""COMPUTED_VALUE"""),5)</f>
        <v>5</v>
      </c>
      <c r="J134" s="4">
        <f ca="1">IFERROR(__xludf.DUMMYFUNCTION("""COMPUTED_VALUE"""),5)</f>
        <v>5</v>
      </c>
      <c r="K134" s="4">
        <f ca="1">IFERROR(__xludf.DUMMYFUNCTION("""COMPUTED_VALUE"""),5)</f>
        <v>5</v>
      </c>
      <c r="L134" s="4">
        <f ca="1">IFERROR(__xludf.DUMMYFUNCTION("""COMPUTED_VALUE"""),5)</f>
        <v>5</v>
      </c>
      <c r="M134" s="4">
        <f ca="1">IFERROR(__xludf.DUMMYFUNCTION("""COMPUTED_VALUE"""),4)</f>
        <v>4</v>
      </c>
      <c r="N134" s="4">
        <f ca="1">IFERROR(__xludf.DUMMYFUNCTION("""COMPUTED_VALUE"""),4)</f>
        <v>4</v>
      </c>
      <c r="O134" s="4">
        <f ca="1">IFERROR(__xludf.DUMMYFUNCTION("""COMPUTED_VALUE"""),4)</f>
        <v>4</v>
      </c>
      <c r="P134" s="4">
        <f ca="1">IFERROR(__xludf.DUMMYFUNCTION("""COMPUTED_VALUE"""),4)</f>
        <v>4</v>
      </c>
      <c r="Q134" s="4">
        <f ca="1">IFERROR(__xludf.DUMMYFUNCTION("""COMPUTED_VALUE"""),5)</f>
        <v>5</v>
      </c>
      <c r="R134" s="4">
        <f ca="1">IFERROR(__xludf.DUMMYFUNCTION("""COMPUTED_VALUE"""),4)</f>
        <v>4</v>
      </c>
      <c r="S134" s="4">
        <f ca="1">IFERROR(__xludf.DUMMYFUNCTION("""COMPUTED_VALUE"""),4)</f>
        <v>4</v>
      </c>
      <c r="T134" s="4">
        <f ca="1">IFERROR(__xludf.DUMMYFUNCTION("""COMPUTED_VALUE"""),5)</f>
        <v>5</v>
      </c>
      <c r="U134" s="4">
        <f ca="1">IFERROR(__xludf.DUMMYFUNCTION("""COMPUTED_VALUE"""),4)</f>
        <v>4</v>
      </c>
      <c r="V134" s="4">
        <f ca="1">IFERROR(__xludf.DUMMYFUNCTION("""COMPUTED_VALUE"""),5)</f>
        <v>5</v>
      </c>
      <c r="W134" s="4">
        <f ca="1">IFERROR(__xludf.DUMMYFUNCTION("""COMPUTED_VALUE"""),3)</f>
        <v>3</v>
      </c>
      <c r="X134" s="4">
        <f ca="1">IFERROR(__xludf.DUMMYFUNCTION("""COMPUTED_VALUE"""),3)</f>
        <v>3</v>
      </c>
      <c r="Y134" s="4">
        <f ca="1">IFERROR(__xludf.DUMMYFUNCTION("""COMPUTED_VALUE"""),2)</f>
        <v>2</v>
      </c>
      <c r="Z134" s="4">
        <f ca="1">IFERROR(__xludf.DUMMYFUNCTION("""COMPUTED_VALUE"""),3)</f>
        <v>3</v>
      </c>
      <c r="AA134" s="4">
        <f ca="1">IFERROR(__xludf.DUMMYFUNCTION("""COMPUTED_VALUE"""),3)</f>
        <v>3</v>
      </c>
      <c r="AB134" s="4">
        <f ca="1">IFERROR(__xludf.DUMMYFUNCTION("""COMPUTED_VALUE"""),4)</f>
        <v>4</v>
      </c>
      <c r="AC134" s="4">
        <f ca="1">IFERROR(__xludf.DUMMYFUNCTION("""COMPUTED_VALUE"""),4)</f>
        <v>4</v>
      </c>
      <c r="AD134" s="4">
        <f ca="1">IFERROR(__xludf.DUMMYFUNCTION("""COMPUTED_VALUE"""),3)</f>
        <v>3</v>
      </c>
      <c r="AE134" s="4">
        <f ca="1">IFERROR(__xludf.DUMMYFUNCTION("""COMPUTED_VALUE"""),4)</f>
        <v>4</v>
      </c>
      <c r="AF134" s="4">
        <f ca="1">IFERROR(__xludf.DUMMYFUNCTION("""COMPUTED_VALUE"""),5)</f>
        <v>5</v>
      </c>
      <c r="AG134" s="4">
        <f ca="1">IFERROR(__xludf.DUMMYFUNCTION("""COMPUTED_VALUE"""),4)</f>
        <v>4</v>
      </c>
      <c r="AH134" s="4">
        <f ca="1">IFERROR(__xludf.DUMMYFUNCTION("""COMPUTED_VALUE"""),5)</f>
        <v>5</v>
      </c>
      <c r="AI134" s="4">
        <f ca="1">IFERROR(__xludf.DUMMYFUNCTION("""COMPUTED_VALUE"""),4)</f>
        <v>4</v>
      </c>
      <c r="AJ134" s="4">
        <f ca="1">IFERROR(__xludf.DUMMYFUNCTION("""COMPUTED_VALUE"""),3)</f>
        <v>3</v>
      </c>
      <c r="AK134" s="4">
        <f ca="1">IFERROR(__xludf.DUMMYFUNCTION("""COMPUTED_VALUE"""),4)</f>
        <v>4</v>
      </c>
      <c r="AL134" s="4">
        <f ca="1">IFERROR(__xludf.DUMMYFUNCTION("""COMPUTED_VALUE"""),5)</f>
        <v>5</v>
      </c>
      <c r="AM134" s="4">
        <f ca="1">IFERROR(__xludf.DUMMYFUNCTION("""COMPUTED_VALUE"""),4)</f>
        <v>4</v>
      </c>
      <c r="AN134" s="4">
        <f ca="1">IFERROR(__xludf.DUMMYFUNCTION("""COMPUTED_VALUE"""),4)</f>
        <v>4</v>
      </c>
      <c r="AO134" s="4">
        <f ca="1">IFERROR(__xludf.DUMMYFUNCTION("""COMPUTED_VALUE"""),3)</f>
        <v>3</v>
      </c>
      <c r="AP134" s="4">
        <f ca="1">IFERROR(__xludf.DUMMYFUNCTION("""COMPUTED_VALUE"""),4)</f>
        <v>4</v>
      </c>
      <c r="AQ134" s="4">
        <f ca="1">IFERROR(__xludf.DUMMYFUNCTION("""COMPUTED_VALUE"""),4)</f>
        <v>4</v>
      </c>
      <c r="AR134" s="4">
        <f ca="1">IFERROR(__xludf.DUMMYFUNCTION("""COMPUTED_VALUE"""),3)</f>
        <v>3</v>
      </c>
      <c r="AS134" s="4">
        <f ca="1">IFERROR(__xludf.DUMMYFUNCTION("""COMPUTED_VALUE"""),3)</f>
        <v>3</v>
      </c>
      <c r="AT134" s="4">
        <f ca="1">IFERROR(__xludf.DUMMYFUNCTION("""COMPUTED_VALUE"""),3)</f>
        <v>3</v>
      </c>
      <c r="AU134" s="4">
        <f ca="1">IFERROR(__xludf.DUMMYFUNCTION("""COMPUTED_VALUE"""),3)</f>
        <v>3</v>
      </c>
      <c r="AV134" s="4">
        <f ca="1">IFERROR(__xludf.DUMMYFUNCTION("""COMPUTED_VALUE"""),4)</f>
        <v>4</v>
      </c>
      <c r="AW134" s="4">
        <f ca="1">IFERROR(__xludf.DUMMYFUNCTION("""COMPUTED_VALUE"""),3)</f>
        <v>3</v>
      </c>
      <c r="AX134" s="4">
        <f ca="1">IFERROR(__xludf.DUMMYFUNCTION("""COMPUTED_VALUE"""),4)</f>
        <v>4</v>
      </c>
      <c r="AY134" s="4">
        <f ca="1">IFERROR(__xludf.DUMMYFUNCTION("""COMPUTED_VALUE"""),4)</f>
        <v>4</v>
      </c>
      <c r="AZ134" s="4">
        <f ca="1">IFERROR(__xludf.DUMMYFUNCTION("""COMPUTED_VALUE"""),4)</f>
        <v>4</v>
      </c>
      <c r="BA134" s="4">
        <f ca="1">IFERROR(__xludf.DUMMYFUNCTION("""COMPUTED_VALUE"""),4)</f>
        <v>4</v>
      </c>
      <c r="BB134" s="4">
        <f ca="1">IFERROR(__xludf.DUMMYFUNCTION("""COMPUTED_VALUE"""),4)</f>
        <v>4</v>
      </c>
      <c r="BC134" s="4">
        <f ca="1">IFERROR(__xludf.DUMMYFUNCTION("""COMPUTED_VALUE"""),3)</f>
        <v>3</v>
      </c>
      <c r="BD134" s="4">
        <f ca="1">IFERROR(__xludf.DUMMYFUNCTION("""COMPUTED_VALUE"""),3)</f>
        <v>3</v>
      </c>
      <c r="BE134" s="4">
        <f ca="1">IFERROR(__xludf.DUMMYFUNCTION("""COMPUTED_VALUE"""),4)</f>
        <v>4</v>
      </c>
      <c r="BF134" s="4">
        <f ca="1">IFERROR(__xludf.DUMMYFUNCTION("""COMPUTED_VALUE"""),4)</f>
        <v>4</v>
      </c>
      <c r="BG134" s="4">
        <f ca="1">IFERROR(__xludf.DUMMYFUNCTION("""COMPUTED_VALUE"""),4)</f>
        <v>4</v>
      </c>
      <c r="BH134" s="4">
        <f ca="1">IFERROR(__xludf.DUMMYFUNCTION("""COMPUTED_VALUE"""),4)</f>
        <v>4</v>
      </c>
      <c r="BI134" s="4">
        <f ca="1">IFERROR(__xludf.DUMMYFUNCTION("""COMPUTED_VALUE"""),4)</f>
        <v>4</v>
      </c>
      <c r="BJ134" s="4">
        <f ca="1">IFERROR(__xludf.DUMMYFUNCTION("""COMPUTED_VALUE"""),4)</f>
        <v>4</v>
      </c>
      <c r="BK134" s="4">
        <f ca="1">IFERROR(__xludf.DUMMYFUNCTION("""COMPUTED_VALUE"""),5)</f>
        <v>5</v>
      </c>
      <c r="BL134" s="4">
        <f ca="1">IFERROR(__xludf.DUMMYFUNCTION("""COMPUTED_VALUE"""),5)</f>
        <v>5</v>
      </c>
      <c r="BM134" s="4">
        <f ca="1">IFERROR(__xludf.DUMMYFUNCTION("""COMPUTED_VALUE"""),4)</f>
        <v>4</v>
      </c>
      <c r="BN134" s="4">
        <f ca="1">IFERROR(__xludf.DUMMYFUNCTION("""COMPUTED_VALUE"""),4)</f>
        <v>4</v>
      </c>
      <c r="BO134" s="4">
        <f ca="1">IFERROR(__xludf.DUMMYFUNCTION("""COMPUTED_VALUE"""),4)</f>
        <v>4</v>
      </c>
      <c r="BP134" s="4">
        <f ca="1">IFERROR(__xludf.DUMMYFUNCTION("""COMPUTED_VALUE"""),4)</f>
        <v>4</v>
      </c>
    </row>
    <row r="135" spans="1:68" ht="13.2" x14ac:dyDescent="0.25">
      <c r="A135" s="4" t="str">
        <f ca="1">IFERROR(__xludf.DUMMYFUNCTION("""COMPUTED_VALUE"""),"2_ABaOnuedGQCj3TFex_fd5KmBzFR0y8jFYq_fCe93HfAbJ6FappwCn1qY6K3HDDCSEQ")</f>
        <v>2_ABaOnuedGQCj3TFex_fd5KmBzFR0y8jFYq_fCe93HfAbJ6FappwCn1qY6K3HDDCSEQ</v>
      </c>
      <c r="B135" s="5">
        <f ca="1">IFERROR(__xludf.DUMMYFUNCTION("""COMPUTED_VALUE"""),45974.4198671759)</f>
        <v>45974.4198671759</v>
      </c>
      <c r="C135" s="4" t="str">
        <f ca="1">IFERROR(__xludf.DUMMYFUNCTION("""COMPUTED_VALUE"""),"Nguyễn Thị Kim Ngân")</f>
        <v>Nguyễn Thị Kim Ngân</v>
      </c>
      <c r="D135" s="4" t="str">
        <f ca="1">IFERROR(__xludf.DUMMYFUNCTION("""COMPUTED_VALUE"""),"Nữ")</f>
        <v>Nữ</v>
      </c>
      <c r="E135" s="4" t="str">
        <f ca="1">IFERROR(__xludf.DUMMYFUNCTION("""COMPUTED_VALUE"""),"Công ty kiểm toán NVA ")</f>
        <v xml:space="preserve">Công ty kiểm toán NVA </v>
      </c>
      <c r="F135" s="4" t="str">
        <f ca="1">IFERROR(__xludf.DUMMYFUNCTION("""COMPUTED_VALUE"""),"Đại học")</f>
        <v>Đại học</v>
      </c>
      <c r="G135" s="4" t="str">
        <f ca="1">IFERROR(__xludf.DUMMYFUNCTION("""COMPUTED_VALUE"""),"Từ 3 đến 5 năm")</f>
        <v>Từ 3 đến 5 năm</v>
      </c>
      <c r="H135" s="4" t="str">
        <f ca="1">IFERROR(__xludf.DUMMYFUNCTION("""COMPUTED_VALUE"""),"Trợ lý kiểm toán")</f>
        <v>Trợ lý kiểm toán</v>
      </c>
      <c r="I135" s="4">
        <f ca="1">IFERROR(__xludf.DUMMYFUNCTION("""COMPUTED_VALUE"""),4)</f>
        <v>4</v>
      </c>
      <c r="J135" s="4">
        <f ca="1">IFERROR(__xludf.DUMMYFUNCTION("""COMPUTED_VALUE"""),4)</f>
        <v>4</v>
      </c>
      <c r="K135" s="4">
        <f ca="1">IFERROR(__xludf.DUMMYFUNCTION("""COMPUTED_VALUE"""),3)</f>
        <v>3</v>
      </c>
      <c r="L135" s="4">
        <f ca="1">IFERROR(__xludf.DUMMYFUNCTION("""COMPUTED_VALUE"""),3)</f>
        <v>3</v>
      </c>
      <c r="M135" s="4">
        <f ca="1">IFERROR(__xludf.DUMMYFUNCTION("""COMPUTED_VALUE"""),5)</f>
        <v>5</v>
      </c>
      <c r="N135" s="4">
        <f ca="1">IFERROR(__xludf.DUMMYFUNCTION("""COMPUTED_VALUE"""),4)</f>
        <v>4</v>
      </c>
      <c r="O135" s="4">
        <f ca="1">IFERROR(__xludf.DUMMYFUNCTION("""COMPUTED_VALUE"""),4)</f>
        <v>4</v>
      </c>
      <c r="P135" s="4">
        <f ca="1">IFERROR(__xludf.DUMMYFUNCTION("""COMPUTED_VALUE"""),4)</f>
        <v>4</v>
      </c>
      <c r="Q135" s="4">
        <f ca="1">IFERROR(__xludf.DUMMYFUNCTION("""COMPUTED_VALUE"""),5)</f>
        <v>5</v>
      </c>
      <c r="R135" s="4">
        <f ca="1">IFERROR(__xludf.DUMMYFUNCTION("""COMPUTED_VALUE"""),5)</f>
        <v>5</v>
      </c>
      <c r="S135" s="4">
        <f ca="1">IFERROR(__xludf.DUMMYFUNCTION("""COMPUTED_VALUE"""),5)</f>
        <v>5</v>
      </c>
      <c r="T135" s="4">
        <f ca="1">IFERROR(__xludf.DUMMYFUNCTION("""COMPUTED_VALUE"""),5)</f>
        <v>5</v>
      </c>
      <c r="U135" s="4">
        <f ca="1">IFERROR(__xludf.DUMMYFUNCTION("""COMPUTED_VALUE"""),5)</f>
        <v>5</v>
      </c>
      <c r="V135" s="4">
        <f ca="1">IFERROR(__xludf.DUMMYFUNCTION("""COMPUTED_VALUE"""),5)</f>
        <v>5</v>
      </c>
      <c r="W135" s="4">
        <f ca="1">IFERROR(__xludf.DUMMYFUNCTION("""COMPUTED_VALUE"""),4)</f>
        <v>4</v>
      </c>
      <c r="X135" s="4">
        <f ca="1">IFERROR(__xludf.DUMMYFUNCTION("""COMPUTED_VALUE"""),4)</f>
        <v>4</v>
      </c>
      <c r="Y135" s="4">
        <f ca="1">IFERROR(__xludf.DUMMYFUNCTION("""COMPUTED_VALUE"""),2)</f>
        <v>2</v>
      </c>
      <c r="Z135" s="4">
        <f ca="1">IFERROR(__xludf.DUMMYFUNCTION("""COMPUTED_VALUE"""),3)</f>
        <v>3</v>
      </c>
      <c r="AA135" s="4">
        <f ca="1">IFERROR(__xludf.DUMMYFUNCTION("""COMPUTED_VALUE"""),3)</f>
        <v>3</v>
      </c>
      <c r="AB135" s="4">
        <f ca="1">IFERROR(__xludf.DUMMYFUNCTION("""COMPUTED_VALUE"""),5)</f>
        <v>5</v>
      </c>
      <c r="AC135" s="4">
        <f ca="1">IFERROR(__xludf.DUMMYFUNCTION("""COMPUTED_VALUE"""),4)</f>
        <v>4</v>
      </c>
      <c r="AD135" s="4">
        <f ca="1">IFERROR(__xludf.DUMMYFUNCTION("""COMPUTED_VALUE"""),4)</f>
        <v>4</v>
      </c>
      <c r="AE135" s="4">
        <f ca="1">IFERROR(__xludf.DUMMYFUNCTION("""COMPUTED_VALUE"""),5)</f>
        <v>5</v>
      </c>
      <c r="AF135" s="4">
        <f ca="1">IFERROR(__xludf.DUMMYFUNCTION("""COMPUTED_VALUE"""),4)</f>
        <v>4</v>
      </c>
      <c r="AG135" s="4">
        <f ca="1">IFERROR(__xludf.DUMMYFUNCTION("""COMPUTED_VALUE"""),4)</f>
        <v>4</v>
      </c>
      <c r="AH135" s="4">
        <f ca="1">IFERROR(__xludf.DUMMYFUNCTION("""COMPUTED_VALUE"""),4)</f>
        <v>4</v>
      </c>
      <c r="AI135" s="4">
        <f ca="1">IFERROR(__xludf.DUMMYFUNCTION("""COMPUTED_VALUE"""),4)</f>
        <v>4</v>
      </c>
      <c r="AJ135" s="4">
        <f ca="1">IFERROR(__xludf.DUMMYFUNCTION("""COMPUTED_VALUE"""),5)</f>
        <v>5</v>
      </c>
      <c r="AK135" s="4">
        <f ca="1">IFERROR(__xludf.DUMMYFUNCTION("""COMPUTED_VALUE"""),5)</f>
        <v>5</v>
      </c>
      <c r="AL135" s="4">
        <f ca="1">IFERROR(__xludf.DUMMYFUNCTION("""COMPUTED_VALUE"""),5)</f>
        <v>5</v>
      </c>
      <c r="AM135" s="4">
        <f ca="1">IFERROR(__xludf.DUMMYFUNCTION("""COMPUTED_VALUE"""),5)</f>
        <v>5</v>
      </c>
      <c r="AN135" s="4">
        <f ca="1">IFERROR(__xludf.DUMMYFUNCTION("""COMPUTED_VALUE"""),5)</f>
        <v>5</v>
      </c>
      <c r="AO135" s="4">
        <f ca="1">IFERROR(__xludf.DUMMYFUNCTION("""COMPUTED_VALUE"""),5)</f>
        <v>5</v>
      </c>
      <c r="AP135" s="4">
        <f ca="1">IFERROR(__xludf.DUMMYFUNCTION("""COMPUTED_VALUE"""),4)</f>
        <v>4</v>
      </c>
      <c r="AQ135" s="4">
        <f ca="1">IFERROR(__xludf.DUMMYFUNCTION("""COMPUTED_VALUE"""),4)</f>
        <v>4</v>
      </c>
      <c r="AR135" s="4">
        <f ca="1">IFERROR(__xludf.DUMMYFUNCTION("""COMPUTED_VALUE"""),4)</f>
        <v>4</v>
      </c>
      <c r="AS135" s="4">
        <f ca="1">IFERROR(__xludf.DUMMYFUNCTION("""COMPUTED_VALUE"""),4)</f>
        <v>4</v>
      </c>
      <c r="AT135" s="4">
        <f ca="1">IFERROR(__xludf.DUMMYFUNCTION("""COMPUTED_VALUE"""),3)</f>
        <v>3</v>
      </c>
      <c r="AU135" s="4">
        <f ca="1">IFERROR(__xludf.DUMMYFUNCTION("""COMPUTED_VALUE"""),4)</f>
        <v>4</v>
      </c>
      <c r="AV135" s="4">
        <f ca="1">IFERROR(__xludf.DUMMYFUNCTION("""COMPUTED_VALUE"""),4)</f>
        <v>4</v>
      </c>
      <c r="AW135" s="4">
        <f ca="1">IFERROR(__xludf.DUMMYFUNCTION("""COMPUTED_VALUE"""),4)</f>
        <v>4</v>
      </c>
      <c r="AX135" s="4">
        <f ca="1">IFERROR(__xludf.DUMMYFUNCTION("""COMPUTED_VALUE"""),5)</f>
        <v>5</v>
      </c>
      <c r="AY135" s="4">
        <f ca="1">IFERROR(__xludf.DUMMYFUNCTION("""COMPUTED_VALUE"""),5)</f>
        <v>5</v>
      </c>
      <c r="AZ135" s="4">
        <f ca="1">IFERROR(__xludf.DUMMYFUNCTION("""COMPUTED_VALUE"""),5)</f>
        <v>5</v>
      </c>
      <c r="BA135" s="4">
        <f ca="1">IFERROR(__xludf.DUMMYFUNCTION("""COMPUTED_VALUE"""),5)</f>
        <v>5</v>
      </c>
      <c r="BB135" s="4">
        <f ca="1">IFERROR(__xludf.DUMMYFUNCTION("""COMPUTED_VALUE"""),5)</f>
        <v>5</v>
      </c>
      <c r="BC135" s="4">
        <f ca="1">IFERROR(__xludf.DUMMYFUNCTION("""COMPUTED_VALUE"""),5)</f>
        <v>5</v>
      </c>
      <c r="BD135" s="4">
        <f ca="1">IFERROR(__xludf.DUMMYFUNCTION("""COMPUTED_VALUE"""),4)</f>
        <v>4</v>
      </c>
      <c r="BE135" s="4">
        <f ca="1">IFERROR(__xludf.DUMMYFUNCTION("""COMPUTED_VALUE"""),4)</f>
        <v>4</v>
      </c>
      <c r="BF135" s="4">
        <f ca="1">IFERROR(__xludf.DUMMYFUNCTION("""COMPUTED_VALUE"""),4)</f>
        <v>4</v>
      </c>
      <c r="BG135" s="4">
        <f ca="1">IFERROR(__xludf.DUMMYFUNCTION("""COMPUTED_VALUE"""),4)</f>
        <v>4</v>
      </c>
      <c r="BH135" s="4">
        <f ca="1">IFERROR(__xludf.DUMMYFUNCTION("""COMPUTED_VALUE"""),5)</f>
        <v>5</v>
      </c>
      <c r="BI135" s="4">
        <f ca="1">IFERROR(__xludf.DUMMYFUNCTION("""COMPUTED_VALUE"""),5)</f>
        <v>5</v>
      </c>
      <c r="BJ135" s="4">
        <f ca="1">IFERROR(__xludf.DUMMYFUNCTION("""COMPUTED_VALUE"""),5)</f>
        <v>5</v>
      </c>
      <c r="BK135" s="4">
        <f ca="1">IFERROR(__xludf.DUMMYFUNCTION("""COMPUTED_VALUE"""),5)</f>
        <v>5</v>
      </c>
      <c r="BL135" s="4">
        <f ca="1">IFERROR(__xludf.DUMMYFUNCTION("""COMPUTED_VALUE"""),5)</f>
        <v>5</v>
      </c>
      <c r="BM135" s="4">
        <f ca="1">IFERROR(__xludf.DUMMYFUNCTION("""COMPUTED_VALUE"""),5)</f>
        <v>5</v>
      </c>
      <c r="BN135" s="4">
        <f ca="1">IFERROR(__xludf.DUMMYFUNCTION("""COMPUTED_VALUE"""),5)</f>
        <v>5</v>
      </c>
      <c r="BO135" s="4">
        <f ca="1">IFERROR(__xludf.DUMMYFUNCTION("""COMPUTED_VALUE"""),5)</f>
        <v>5</v>
      </c>
      <c r="BP135" s="4">
        <f ca="1">IFERROR(__xludf.DUMMYFUNCTION("""COMPUTED_VALUE"""),5)</f>
        <v>5</v>
      </c>
    </row>
    <row r="136" spans="1:68" ht="13.2" x14ac:dyDescent="0.25">
      <c r="A136" s="4" t="str">
        <f ca="1">IFERROR(__xludf.DUMMYFUNCTION("""COMPUTED_VALUE"""),"2_ABaOnucSm3MP-sTG_02saomuy81VrMW2Z_7WCEpRL2KGpcG0RRCuVb7cCgP7m1pIQg")</f>
        <v>2_ABaOnucSm3MP-sTG_02saomuy81VrMW2Z_7WCEpRL2KGpcG0RRCuVb7cCgP7m1pIQg</v>
      </c>
      <c r="B136" s="5">
        <f ca="1">IFERROR(__xludf.DUMMYFUNCTION("""COMPUTED_VALUE"""),45974.4259741435)</f>
        <v>45974.425974143502</v>
      </c>
      <c r="C136" s="4" t="str">
        <f ca="1">IFERROR(__xludf.DUMMYFUNCTION("""COMPUTED_VALUE"""),"Nguyễn Tiến Cung")</f>
        <v>Nguyễn Tiến Cung</v>
      </c>
      <c r="D136" s="4" t="str">
        <f ca="1">IFERROR(__xludf.DUMMYFUNCTION("""COMPUTED_VALUE"""),"Nam")</f>
        <v>Nam</v>
      </c>
      <c r="E136" s="4" t="str">
        <f ca="1">IFERROR(__xludf.DUMMYFUNCTION("""COMPUTED_VALUE"""),"Công ty TNHH kiểm toán NVA")</f>
        <v>Công ty TNHH kiểm toán NVA</v>
      </c>
      <c r="F136" s="4" t="str">
        <f ca="1">IFERROR(__xludf.DUMMYFUNCTION("""COMPUTED_VALUE"""),"Đại học")</f>
        <v>Đại học</v>
      </c>
      <c r="G136" s="4" t="str">
        <f ca="1">IFERROR(__xludf.DUMMYFUNCTION("""COMPUTED_VALUE"""),"Trên 10 đến 15 năm")</f>
        <v>Trên 10 đến 15 năm</v>
      </c>
      <c r="H136" s="4" t="str">
        <f ca="1">IFERROR(__xludf.DUMMYFUNCTION("""COMPUTED_VALUE"""),"Trưởng phòng")</f>
        <v>Trưởng phòng</v>
      </c>
      <c r="I136" s="4">
        <f ca="1">IFERROR(__xludf.DUMMYFUNCTION("""COMPUTED_VALUE"""),3)</f>
        <v>3</v>
      </c>
      <c r="J136" s="4">
        <f ca="1">IFERROR(__xludf.DUMMYFUNCTION("""COMPUTED_VALUE"""),3)</f>
        <v>3</v>
      </c>
      <c r="K136" s="4">
        <f ca="1">IFERROR(__xludf.DUMMYFUNCTION("""COMPUTED_VALUE"""),3)</f>
        <v>3</v>
      </c>
      <c r="L136" s="4">
        <f ca="1">IFERROR(__xludf.DUMMYFUNCTION("""COMPUTED_VALUE"""),4)</f>
        <v>4</v>
      </c>
      <c r="M136" s="4">
        <f ca="1">IFERROR(__xludf.DUMMYFUNCTION("""COMPUTED_VALUE"""),3)</f>
        <v>3</v>
      </c>
      <c r="N136" s="4">
        <f ca="1">IFERROR(__xludf.DUMMYFUNCTION("""COMPUTED_VALUE"""),3)</f>
        <v>3</v>
      </c>
      <c r="O136" s="4">
        <f ca="1">IFERROR(__xludf.DUMMYFUNCTION("""COMPUTED_VALUE"""),3)</f>
        <v>3</v>
      </c>
      <c r="P136" s="4">
        <f ca="1">IFERROR(__xludf.DUMMYFUNCTION("""COMPUTED_VALUE"""),3)</f>
        <v>3</v>
      </c>
      <c r="Q136" s="4">
        <f ca="1">IFERROR(__xludf.DUMMYFUNCTION("""COMPUTED_VALUE"""),4)</f>
        <v>4</v>
      </c>
      <c r="R136" s="4">
        <f ca="1">IFERROR(__xludf.DUMMYFUNCTION("""COMPUTED_VALUE"""),3)</f>
        <v>3</v>
      </c>
      <c r="S136" s="4">
        <f ca="1">IFERROR(__xludf.DUMMYFUNCTION("""COMPUTED_VALUE"""),3)</f>
        <v>3</v>
      </c>
      <c r="T136" s="4">
        <f ca="1">IFERROR(__xludf.DUMMYFUNCTION("""COMPUTED_VALUE"""),3)</f>
        <v>3</v>
      </c>
      <c r="U136" s="4">
        <f ca="1">IFERROR(__xludf.DUMMYFUNCTION("""COMPUTED_VALUE"""),3)</f>
        <v>3</v>
      </c>
      <c r="V136" s="4">
        <f ca="1">IFERROR(__xludf.DUMMYFUNCTION("""COMPUTED_VALUE"""),3)</f>
        <v>3</v>
      </c>
      <c r="W136" s="4">
        <f ca="1">IFERROR(__xludf.DUMMYFUNCTION("""COMPUTED_VALUE"""),3)</f>
        <v>3</v>
      </c>
      <c r="X136" s="4">
        <f ca="1">IFERROR(__xludf.DUMMYFUNCTION("""COMPUTED_VALUE"""),4)</f>
        <v>4</v>
      </c>
      <c r="Y136" s="4">
        <f ca="1">IFERROR(__xludf.DUMMYFUNCTION("""COMPUTED_VALUE"""),4)</f>
        <v>4</v>
      </c>
      <c r="Z136" s="4">
        <f ca="1">IFERROR(__xludf.DUMMYFUNCTION("""COMPUTED_VALUE"""),4)</f>
        <v>4</v>
      </c>
      <c r="AA136" s="4">
        <f ca="1">IFERROR(__xludf.DUMMYFUNCTION("""COMPUTED_VALUE"""),4)</f>
        <v>4</v>
      </c>
      <c r="AB136" s="4">
        <f ca="1">IFERROR(__xludf.DUMMYFUNCTION("""COMPUTED_VALUE"""),4)</f>
        <v>4</v>
      </c>
      <c r="AC136" s="4">
        <f ca="1">IFERROR(__xludf.DUMMYFUNCTION("""COMPUTED_VALUE"""),3)</f>
        <v>3</v>
      </c>
      <c r="AD136" s="4">
        <f ca="1">IFERROR(__xludf.DUMMYFUNCTION("""COMPUTED_VALUE"""),4)</f>
        <v>4</v>
      </c>
      <c r="AE136" s="4">
        <f ca="1">IFERROR(__xludf.DUMMYFUNCTION("""COMPUTED_VALUE"""),5)</f>
        <v>5</v>
      </c>
      <c r="AF136" s="4">
        <f ca="1">IFERROR(__xludf.DUMMYFUNCTION("""COMPUTED_VALUE"""),3)</f>
        <v>3</v>
      </c>
      <c r="AG136" s="4">
        <f ca="1">IFERROR(__xludf.DUMMYFUNCTION("""COMPUTED_VALUE"""),3)</f>
        <v>3</v>
      </c>
      <c r="AH136" s="4">
        <f ca="1">IFERROR(__xludf.DUMMYFUNCTION("""COMPUTED_VALUE"""),4)</f>
        <v>4</v>
      </c>
      <c r="AI136" s="4">
        <f ca="1">IFERROR(__xludf.DUMMYFUNCTION("""COMPUTED_VALUE"""),4)</f>
        <v>4</v>
      </c>
      <c r="AJ136" s="4">
        <f ca="1">IFERROR(__xludf.DUMMYFUNCTION("""COMPUTED_VALUE"""),3)</f>
        <v>3</v>
      </c>
      <c r="AK136" s="4">
        <f ca="1">IFERROR(__xludf.DUMMYFUNCTION("""COMPUTED_VALUE"""),4)</f>
        <v>4</v>
      </c>
      <c r="AL136" s="4">
        <f ca="1">IFERROR(__xludf.DUMMYFUNCTION("""COMPUTED_VALUE"""),4)</f>
        <v>4</v>
      </c>
      <c r="AM136" s="4">
        <f ca="1">IFERROR(__xludf.DUMMYFUNCTION("""COMPUTED_VALUE"""),4)</f>
        <v>4</v>
      </c>
      <c r="AN136" s="4">
        <f ca="1">IFERROR(__xludf.DUMMYFUNCTION("""COMPUTED_VALUE"""),4)</f>
        <v>4</v>
      </c>
      <c r="AO136" s="4">
        <f ca="1">IFERROR(__xludf.DUMMYFUNCTION("""COMPUTED_VALUE"""),3)</f>
        <v>3</v>
      </c>
      <c r="AP136" s="4">
        <f ca="1">IFERROR(__xludf.DUMMYFUNCTION("""COMPUTED_VALUE"""),3)</f>
        <v>3</v>
      </c>
      <c r="AQ136" s="4">
        <f ca="1">IFERROR(__xludf.DUMMYFUNCTION("""COMPUTED_VALUE"""),4)</f>
        <v>4</v>
      </c>
      <c r="AR136" s="4">
        <f ca="1">IFERROR(__xludf.DUMMYFUNCTION("""COMPUTED_VALUE"""),4)</f>
        <v>4</v>
      </c>
      <c r="AS136" s="4">
        <f ca="1">IFERROR(__xludf.DUMMYFUNCTION("""COMPUTED_VALUE"""),4)</f>
        <v>4</v>
      </c>
      <c r="AT136" s="4">
        <f ca="1">IFERROR(__xludf.DUMMYFUNCTION("""COMPUTED_VALUE"""),4)</f>
        <v>4</v>
      </c>
      <c r="AU136" s="4">
        <f ca="1">IFERROR(__xludf.DUMMYFUNCTION("""COMPUTED_VALUE"""),4)</f>
        <v>4</v>
      </c>
      <c r="AV136" s="4">
        <f ca="1">IFERROR(__xludf.DUMMYFUNCTION("""COMPUTED_VALUE"""),3)</f>
        <v>3</v>
      </c>
      <c r="AW136" s="4">
        <f ca="1">IFERROR(__xludf.DUMMYFUNCTION("""COMPUTED_VALUE"""),3)</f>
        <v>3</v>
      </c>
      <c r="AX136" s="4">
        <f ca="1">IFERROR(__xludf.DUMMYFUNCTION("""COMPUTED_VALUE"""),4)</f>
        <v>4</v>
      </c>
      <c r="AY136" s="4">
        <f ca="1">IFERROR(__xludf.DUMMYFUNCTION("""COMPUTED_VALUE"""),4)</f>
        <v>4</v>
      </c>
      <c r="AZ136" s="4">
        <f ca="1">IFERROR(__xludf.DUMMYFUNCTION("""COMPUTED_VALUE"""),4)</f>
        <v>4</v>
      </c>
      <c r="BA136" s="4">
        <f ca="1">IFERROR(__xludf.DUMMYFUNCTION("""COMPUTED_VALUE"""),4)</f>
        <v>4</v>
      </c>
      <c r="BB136" s="4">
        <f ca="1">IFERROR(__xludf.DUMMYFUNCTION("""COMPUTED_VALUE"""),4)</f>
        <v>4</v>
      </c>
      <c r="BC136" s="4">
        <f ca="1">IFERROR(__xludf.DUMMYFUNCTION("""COMPUTED_VALUE"""),4)</f>
        <v>4</v>
      </c>
      <c r="BD136" s="4">
        <f ca="1">IFERROR(__xludf.DUMMYFUNCTION("""COMPUTED_VALUE"""),4)</f>
        <v>4</v>
      </c>
      <c r="BE136" s="4">
        <f ca="1">IFERROR(__xludf.DUMMYFUNCTION("""COMPUTED_VALUE"""),4)</f>
        <v>4</v>
      </c>
      <c r="BF136" s="4">
        <f ca="1">IFERROR(__xludf.DUMMYFUNCTION("""COMPUTED_VALUE"""),3)</f>
        <v>3</v>
      </c>
      <c r="BG136" s="4">
        <f ca="1">IFERROR(__xludf.DUMMYFUNCTION("""COMPUTED_VALUE"""),3)</f>
        <v>3</v>
      </c>
      <c r="BH136" s="4">
        <f ca="1">IFERROR(__xludf.DUMMYFUNCTION("""COMPUTED_VALUE"""),3)</f>
        <v>3</v>
      </c>
      <c r="BI136" s="4">
        <f ca="1">IFERROR(__xludf.DUMMYFUNCTION("""COMPUTED_VALUE"""),4)</f>
        <v>4</v>
      </c>
      <c r="BJ136" s="4">
        <f ca="1">IFERROR(__xludf.DUMMYFUNCTION("""COMPUTED_VALUE"""),4)</f>
        <v>4</v>
      </c>
      <c r="BK136" s="4">
        <f ca="1">IFERROR(__xludf.DUMMYFUNCTION("""COMPUTED_VALUE"""),4)</f>
        <v>4</v>
      </c>
      <c r="BL136" s="4">
        <f ca="1">IFERROR(__xludf.DUMMYFUNCTION("""COMPUTED_VALUE"""),4)</f>
        <v>4</v>
      </c>
      <c r="BM136" s="4">
        <f ca="1">IFERROR(__xludf.DUMMYFUNCTION("""COMPUTED_VALUE"""),4)</f>
        <v>4</v>
      </c>
      <c r="BN136" s="4">
        <f ca="1">IFERROR(__xludf.DUMMYFUNCTION("""COMPUTED_VALUE"""),4)</f>
        <v>4</v>
      </c>
      <c r="BO136" s="4">
        <f ca="1">IFERROR(__xludf.DUMMYFUNCTION("""COMPUTED_VALUE"""),4)</f>
        <v>4</v>
      </c>
      <c r="BP136" s="4">
        <f ca="1">IFERROR(__xludf.DUMMYFUNCTION("""COMPUTED_VALUE"""),3)</f>
        <v>3</v>
      </c>
    </row>
    <row r="137" spans="1:68" ht="13.2" x14ac:dyDescent="0.25">
      <c r="A137" s="4" t="str">
        <f ca="1">IFERROR(__xludf.DUMMYFUNCTION("""COMPUTED_VALUE"""),"2_ABaOnuf29bXxvnwZOmYl0OVjYxHjUMzUi5TfsXfiyTWLPY1SblDLPHMZt0pXn576mQ")</f>
        <v>2_ABaOnuf29bXxvnwZOmYl0OVjYxHjUMzUi5TfsXfiyTWLPY1SblDLPHMZt0pXn576mQ</v>
      </c>
      <c r="B137" s="5">
        <f ca="1">IFERROR(__xludf.DUMMYFUNCTION("""COMPUTED_VALUE"""),45974.4269473958)</f>
        <v>45974.426947395797</v>
      </c>
      <c r="C137" s="4" t="str">
        <f ca="1">IFERROR(__xludf.DUMMYFUNCTION("""COMPUTED_VALUE"""),"Phan Minh Khang")</f>
        <v>Phan Minh Khang</v>
      </c>
      <c r="D137" s="4" t="str">
        <f ca="1">IFERROR(__xludf.DUMMYFUNCTION("""COMPUTED_VALUE"""),"Nam")</f>
        <v>Nam</v>
      </c>
      <c r="E137" s="4" t="str">
        <f ca="1">IFERROR(__xludf.DUMMYFUNCTION("""COMPUTED_VALUE"""),"Công ty TNHH Kiểm toán và Tư vấn A&amp;C ")</f>
        <v xml:space="preserve">Công ty TNHH Kiểm toán và Tư vấn A&amp;C </v>
      </c>
      <c r="F137" s="4" t="str">
        <f ca="1">IFERROR(__xludf.DUMMYFUNCTION("""COMPUTED_VALUE"""),"Sau đại học, Chứng chỉ Kiểm toán viên")</f>
        <v>Sau đại học, Chứng chỉ Kiểm toán viên</v>
      </c>
      <c r="G137" s="4" t="str">
        <f ca="1">IFERROR(__xludf.DUMMYFUNCTION("""COMPUTED_VALUE"""),"Trên 10 đến 15 năm")</f>
        <v>Trên 10 đến 15 năm</v>
      </c>
      <c r="H137" s="4" t="str">
        <f ca="1">IFERROR(__xludf.DUMMYFUNCTION("""COMPUTED_VALUE"""),"Trưởng phòng")</f>
        <v>Trưởng phòng</v>
      </c>
      <c r="I137" s="4">
        <f ca="1">IFERROR(__xludf.DUMMYFUNCTION("""COMPUTED_VALUE"""),4)</f>
        <v>4</v>
      </c>
      <c r="J137" s="4">
        <f ca="1">IFERROR(__xludf.DUMMYFUNCTION("""COMPUTED_VALUE"""),4)</f>
        <v>4</v>
      </c>
      <c r="K137" s="4">
        <f ca="1">IFERROR(__xludf.DUMMYFUNCTION("""COMPUTED_VALUE"""),5)</f>
        <v>5</v>
      </c>
      <c r="L137" s="4">
        <f ca="1">IFERROR(__xludf.DUMMYFUNCTION("""COMPUTED_VALUE"""),4)</f>
        <v>4</v>
      </c>
      <c r="M137" s="4">
        <f ca="1">IFERROR(__xludf.DUMMYFUNCTION("""COMPUTED_VALUE"""),4)</f>
        <v>4</v>
      </c>
      <c r="N137" s="4">
        <f ca="1">IFERROR(__xludf.DUMMYFUNCTION("""COMPUTED_VALUE"""),4)</f>
        <v>4</v>
      </c>
      <c r="O137" s="4">
        <f ca="1">IFERROR(__xludf.DUMMYFUNCTION("""COMPUTED_VALUE"""),4)</f>
        <v>4</v>
      </c>
      <c r="P137" s="4">
        <f ca="1">IFERROR(__xludf.DUMMYFUNCTION("""COMPUTED_VALUE"""),4)</f>
        <v>4</v>
      </c>
      <c r="Q137" s="4">
        <f ca="1">IFERROR(__xludf.DUMMYFUNCTION("""COMPUTED_VALUE"""),4)</f>
        <v>4</v>
      </c>
      <c r="R137" s="4">
        <f ca="1">IFERROR(__xludf.DUMMYFUNCTION("""COMPUTED_VALUE"""),4)</f>
        <v>4</v>
      </c>
      <c r="S137" s="4">
        <f ca="1">IFERROR(__xludf.DUMMYFUNCTION("""COMPUTED_VALUE"""),5)</f>
        <v>5</v>
      </c>
      <c r="T137" s="4">
        <f ca="1">IFERROR(__xludf.DUMMYFUNCTION("""COMPUTED_VALUE"""),4)</f>
        <v>4</v>
      </c>
      <c r="U137" s="4">
        <f ca="1">IFERROR(__xludf.DUMMYFUNCTION("""COMPUTED_VALUE"""),4)</f>
        <v>4</v>
      </c>
      <c r="V137" s="4">
        <f ca="1">IFERROR(__xludf.DUMMYFUNCTION("""COMPUTED_VALUE"""),4)</f>
        <v>4</v>
      </c>
      <c r="W137" s="4">
        <f ca="1">IFERROR(__xludf.DUMMYFUNCTION("""COMPUTED_VALUE"""),4)</f>
        <v>4</v>
      </c>
      <c r="X137" s="4">
        <f ca="1">IFERROR(__xludf.DUMMYFUNCTION("""COMPUTED_VALUE"""),4)</f>
        <v>4</v>
      </c>
      <c r="Y137" s="4">
        <f ca="1">IFERROR(__xludf.DUMMYFUNCTION("""COMPUTED_VALUE"""),4)</f>
        <v>4</v>
      </c>
      <c r="Z137" s="4">
        <f ca="1">IFERROR(__xludf.DUMMYFUNCTION("""COMPUTED_VALUE"""),4)</f>
        <v>4</v>
      </c>
      <c r="AA137" s="4">
        <f ca="1">IFERROR(__xludf.DUMMYFUNCTION("""COMPUTED_VALUE"""),4)</f>
        <v>4</v>
      </c>
      <c r="AB137" s="4">
        <f ca="1">IFERROR(__xludf.DUMMYFUNCTION("""COMPUTED_VALUE"""),4)</f>
        <v>4</v>
      </c>
      <c r="AC137" s="4">
        <f ca="1">IFERROR(__xludf.DUMMYFUNCTION("""COMPUTED_VALUE"""),4)</f>
        <v>4</v>
      </c>
      <c r="AD137" s="4">
        <f ca="1">IFERROR(__xludf.DUMMYFUNCTION("""COMPUTED_VALUE"""),4)</f>
        <v>4</v>
      </c>
      <c r="AE137" s="4">
        <f ca="1">IFERROR(__xludf.DUMMYFUNCTION("""COMPUTED_VALUE"""),4)</f>
        <v>4</v>
      </c>
      <c r="AF137" s="4">
        <f ca="1">IFERROR(__xludf.DUMMYFUNCTION("""COMPUTED_VALUE"""),4)</f>
        <v>4</v>
      </c>
      <c r="AG137" s="4">
        <f ca="1">IFERROR(__xludf.DUMMYFUNCTION("""COMPUTED_VALUE"""),4)</f>
        <v>4</v>
      </c>
      <c r="AH137" s="4">
        <f ca="1">IFERROR(__xludf.DUMMYFUNCTION("""COMPUTED_VALUE"""),4)</f>
        <v>4</v>
      </c>
      <c r="AI137" s="4">
        <f ca="1">IFERROR(__xludf.DUMMYFUNCTION("""COMPUTED_VALUE"""),4)</f>
        <v>4</v>
      </c>
      <c r="AJ137" s="4">
        <f ca="1">IFERROR(__xludf.DUMMYFUNCTION("""COMPUTED_VALUE"""),4)</f>
        <v>4</v>
      </c>
      <c r="AK137" s="4">
        <f ca="1">IFERROR(__xludf.DUMMYFUNCTION("""COMPUTED_VALUE"""),4)</f>
        <v>4</v>
      </c>
      <c r="AL137" s="4">
        <f ca="1">IFERROR(__xludf.DUMMYFUNCTION("""COMPUTED_VALUE"""),4)</f>
        <v>4</v>
      </c>
      <c r="AM137" s="4">
        <f ca="1">IFERROR(__xludf.DUMMYFUNCTION("""COMPUTED_VALUE"""),4)</f>
        <v>4</v>
      </c>
      <c r="AN137" s="4">
        <f ca="1">IFERROR(__xludf.DUMMYFUNCTION("""COMPUTED_VALUE"""),4)</f>
        <v>4</v>
      </c>
      <c r="AO137" s="4">
        <f ca="1">IFERROR(__xludf.DUMMYFUNCTION("""COMPUTED_VALUE"""),4)</f>
        <v>4</v>
      </c>
      <c r="AP137" s="4">
        <f ca="1">IFERROR(__xludf.DUMMYFUNCTION("""COMPUTED_VALUE"""),4)</f>
        <v>4</v>
      </c>
      <c r="AQ137" s="4">
        <f ca="1">IFERROR(__xludf.DUMMYFUNCTION("""COMPUTED_VALUE"""),4)</f>
        <v>4</v>
      </c>
      <c r="AR137" s="4">
        <f ca="1">IFERROR(__xludf.DUMMYFUNCTION("""COMPUTED_VALUE"""),4)</f>
        <v>4</v>
      </c>
      <c r="AS137" s="4">
        <f ca="1">IFERROR(__xludf.DUMMYFUNCTION("""COMPUTED_VALUE"""),4)</f>
        <v>4</v>
      </c>
      <c r="AT137" s="4">
        <f ca="1">IFERROR(__xludf.DUMMYFUNCTION("""COMPUTED_VALUE"""),4)</f>
        <v>4</v>
      </c>
      <c r="AU137" s="4">
        <f ca="1">IFERROR(__xludf.DUMMYFUNCTION("""COMPUTED_VALUE"""),4)</f>
        <v>4</v>
      </c>
      <c r="AV137" s="4">
        <f ca="1">IFERROR(__xludf.DUMMYFUNCTION("""COMPUTED_VALUE"""),4)</f>
        <v>4</v>
      </c>
      <c r="AW137" s="4">
        <f ca="1">IFERROR(__xludf.DUMMYFUNCTION("""COMPUTED_VALUE"""),4)</f>
        <v>4</v>
      </c>
      <c r="AX137" s="4">
        <f ca="1">IFERROR(__xludf.DUMMYFUNCTION("""COMPUTED_VALUE"""),5)</f>
        <v>5</v>
      </c>
      <c r="AY137" s="4">
        <f ca="1">IFERROR(__xludf.DUMMYFUNCTION("""COMPUTED_VALUE"""),4)</f>
        <v>4</v>
      </c>
      <c r="AZ137" s="4">
        <f ca="1">IFERROR(__xludf.DUMMYFUNCTION("""COMPUTED_VALUE"""),4)</f>
        <v>4</v>
      </c>
      <c r="BA137" s="4">
        <f ca="1">IFERROR(__xludf.DUMMYFUNCTION("""COMPUTED_VALUE"""),4)</f>
        <v>4</v>
      </c>
      <c r="BB137" s="4">
        <f ca="1">IFERROR(__xludf.DUMMYFUNCTION("""COMPUTED_VALUE"""),4)</f>
        <v>4</v>
      </c>
      <c r="BC137" s="4">
        <f ca="1">IFERROR(__xludf.DUMMYFUNCTION("""COMPUTED_VALUE"""),4)</f>
        <v>4</v>
      </c>
      <c r="BD137" s="4">
        <f ca="1">IFERROR(__xludf.DUMMYFUNCTION("""COMPUTED_VALUE"""),4)</f>
        <v>4</v>
      </c>
      <c r="BE137" s="4">
        <f ca="1">IFERROR(__xludf.DUMMYFUNCTION("""COMPUTED_VALUE"""),4)</f>
        <v>4</v>
      </c>
      <c r="BF137" s="4">
        <f ca="1">IFERROR(__xludf.DUMMYFUNCTION("""COMPUTED_VALUE"""),4)</f>
        <v>4</v>
      </c>
      <c r="BG137" s="4">
        <f ca="1">IFERROR(__xludf.DUMMYFUNCTION("""COMPUTED_VALUE"""),4)</f>
        <v>4</v>
      </c>
      <c r="BH137" s="4">
        <f ca="1">IFERROR(__xludf.DUMMYFUNCTION("""COMPUTED_VALUE"""),4)</f>
        <v>4</v>
      </c>
      <c r="BI137" s="4">
        <f ca="1">IFERROR(__xludf.DUMMYFUNCTION("""COMPUTED_VALUE"""),4)</f>
        <v>4</v>
      </c>
      <c r="BJ137" s="4">
        <f ca="1">IFERROR(__xludf.DUMMYFUNCTION("""COMPUTED_VALUE"""),4)</f>
        <v>4</v>
      </c>
      <c r="BK137" s="4">
        <f ca="1">IFERROR(__xludf.DUMMYFUNCTION("""COMPUTED_VALUE"""),4)</f>
        <v>4</v>
      </c>
      <c r="BL137" s="4">
        <f ca="1">IFERROR(__xludf.DUMMYFUNCTION("""COMPUTED_VALUE"""),4)</f>
        <v>4</v>
      </c>
      <c r="BM137" s="4">
        <f ca="1">IFERROR(__xludf.DUMMYFUNCTION("""COMPUTED_VALUE"""),4)</f>
        <v>4</v>
      </c>
      <c r="BN137" s="4">
        <f ca="1">IFERROR(__xludf.DUMMYFUNCTION("""COMPUTED_VALUE"""),4)</f>
        <v>4</v>
      </c>
      <c r="BO137" s="4">
        <f ca="1">IFERROR(__xludf.DUMMYFUNCTION("""COMPUTED_VALUE"""),4)</f>
        <v>4</v>
      </c>
      <c r="BP137" s="4">
        <f ca="1">IFERROR(__xludf.DUMMYFUNCTION("""COMPUTED_VALUE"""),4)</f>
        <v>4</v>
      </c>
    </row>
    <row r="138" spans="1:68" ht="13.2" x14ac:dyDescent="0.25">
      <c r="A138" s="4" t="str">
        <f ca="1">IFERROR(__xludf.DUMMYFUNCTION("""COMPUTED_VALUE"""),"2_ABaOnue8XtsPEN1FLiloaodipYsL-UGEFhY2oO9NheDS3zgplMyWID1p4tuqz1PqdA")</f>
        <v>2_ABaOnue8XtsPEN1FLiloaodipYsL-UGEFhY2oO9NheDS3zgplMyWID1p4tuqz1PqdA</v>
      </c>
      <c r="B138" s="5">
        <f ca="1">IFERROR(__xludf.DUMMYFUNCTION("""COMPUTED_VALUE"""),45974.4808436689)</f>
        <v>45974.480843668898</v>
      </c>
      <c r="C138" s="4"/>
      <c r="D138" s="4" t="str">
        <f ca="1">IFERROR(__xludf.DUMMYFUNCTION("""COMPUTED_VALUE"""),"Nam")</f>
        <v>Nam</v>
      </c>
      <c r="E138" s="4" t="str">
        <f ca="1">IFERROR(__xludf.DUMMYFUNCTION("""COMPUTED_VALUE"""),"AASC")</f>
        <v>AASC</v>
      </c>
      <c r="F138" s="4" t="str">
        <f ca="1">IFERROR(__xludf.DUMMYFUNCTION("""COMPUTED_VALUE"""),"Sau đại học, Chứng chỉ Kiểm toán viên, ")</f>
        <v xml:space="preserve">Sau đại học, Chứng chỉ Kiểm toán viên, </v>
      </c>
      <c r="G138" s="4" t="str">
        <f ca="1">IFERROR(__xludf.DUMMYFUNCTION("""COMPUTED_VALUE"""),"Trên 20 năm")</f>
        <v>Trên 20 năm</v>
      </c>
      <c r="H138" s="4" t="str">
        <f ca="1">IFERROR(__xludf.DUMMYFUNCTION("""COMPUTED_VALUE"""),"Trưởng phòng")</f>
        <v>Trưởng phòng</v>
      </c>
      <c r="I138" s="4">
        <f ca="1">IFERROR(__xludf.DUMMYFUNCTION("""COMPUTED_VALUE"""),4)</f>
        <v>4</v>
      </c>
      <c r="J138" s="4">
        <f ca="1">IFERROR(__xludf.DUMMYFUNCTION("""COMPUTED_VALUE"""),5)</f>
        <v>5</v>
      </c>
      <c r="K138" s="4">
        <f ca="1">IFERROR(__xludf.DUMMYFUNCTION("""COMPUTED_VALUE"""),5)</f>
        <v>5</v>
      </c>
      <c r="L138" s="4">
        <f ca="1">IFERROR(__xludf.DUMMYFUNCTION("""COMPUTED_VALUE"""),4)</f>
        <v>4</v>
      </c>
      <c r="M138" s="4">
        <f ca="1">IFERROR(__xludf.DUMMYFUNCTION("""COMPUTED_VALUE"""),4)</f>
        <v>4</v>
      </c>
      <c r="N138" s="4">
        <f ca="1">IFERROR(__xludf.DUMMYFUNCTION("""COMPUTED_VALUE"""),4)</f>
        <v>4</v>
      </c>
      <c r="O138" s="4">
        <f ca="1">IFERROR(__xludf.DUMMYFUNCTION("""COMPUTED_VALUE"""),5)</f>
        <v>5</v>
      </c>
      <c r="P138" s="4">
        <f ca="1">IFERROR(__xludf.DUMMYFUNCTION("""COMPUTED_VALUE"""),4)</f>
        <v>4</v>
      </c>
      <c r="Q138" s="4">
        <f ca="1">IFERROR(__xludf.DUMMYFUNCTION("""COMPUTED_VALUE"""),4)</f>
        <v>4</v>
      </c>
      <c r="R138" s="4">
        <f ca="1">IFERROR(__xludf.DUMMYFUNCTION("""COMPUTED_VALUE"""),4)</f>
        <v>4</v>
      </c>
      <c r="S138" s="4">
        <f ca="1">IFERROR(__xludf.DUMMYFUNCTION("""COMPUTED_VALUE"""),5)</f>
        <v>5</v>
      </c>
      <c r="T138" s="4">
        <f ca="1">IFERROR(__xludf.DUMMYFUNCTION("""COMPUTED_VALUE"""),4)</f>
        <v>4</v>
      </c>
      <c r="U138" s="4">
        <f ca="1">IFERROR(__xludf.DUMMYFUNCTION("""COMPUTED_VALUE"""),5)</f>
        <v>5</v>
      </c>
      <c r="V138" s="4">
        <f ca="1">IFERROR(__xludf.DUMMYFUNCTION("""COMPUTED_VALUE"""),4)</f>
        <v>4</v>
      </c>
      <c r="W138" s="4">
        <f ca="1">IFERROR(__xludf.DUMMYFUNCTION("""COMPUTED_VALUE"""),4)</f>
        <v>4</v>
      </c>
      <c r="X138" s="4">
        <f ca="1">IFERROR(__xludf.DUMMYFUNCTION("""COMPUTED_VALUE"""),5)</f>
        <v>5</v>
      </c>
      <c r="Y138" s="4">
        <f ca="1">IFERROR(__xludf.DUMMYFUNCTION("""COMPUTED_VALUE"""),4)</f>
        <v>4</v>
      </c>
      <c r="Z138" s="4">
        <f ca="1">IFERROR(__xludf.DUMMYFUNCTION("""COMPUTED_VALUE"""),4)</f>
        <v>4</v>
      </c>
      <c r="AA138" s="4">
        <f ca="1">IFERROR(__xludf.DUMMYFUNCTION("""COMPUTED_VALUE"""),4)</f>
        <v>4</v>
      </c>
      <c r="AB138" s="4">
        <f ca="1">IFERROR(__xludf.DUMMYFUNCTION("""COMPUTED_VALUE"""),5)</f>
        <v>5</v>
      </c>
      <c r="AC138" s="4">
        <f ca="1">IFERROR(__xludf.DUMMYFUNCTION("""COMPUTED_VALUE"""),4)</f>
        <v>4</v>
      </c>
      <c r="AD138" s="4">
        <f ca="1">IFERROR(__xludf.DUMMYFUNCTION("""COMPUTED_VALUE"""),4)</f>
        <v>4</v>
      </c>
      <c r="AE138" s="4">
        <f ca="1">IFERROR(__xludf.DUMMYFUNCTION("""COMPUTED_VALUE"""),4)</f>
        <v>4</v>
      </c>
      <c r="AF138" s="4">
        <f ca="1">IFERROR(__xludf.DUMMYFUNCTION("""COMPUTED_VALUE"""),5)</f>
        <v>5</v>
      </c>
      <c r="AG138" s="4">
        <f ca="1">IFERROR(__xludf.DUMMYFUNCTION("""COMPUTED_VALUE"""),4)</f>
        <v>4</v>
      </c>
      <c r="AH138" s="4">
        <f ca="1">IFERROR(__xludf.DUMMYFUNCTION("""COMPUTED_VALUE"""),4)</f>
        <v>4</v>
      </c>
      <c r="AI138" s="4">
        <f ca="1">IFERROR(__xludf.DUMMYFUNCTION("""COMPUTED_VALUE"""),5)</f>
        <v>5</v>
      </c>
      <c r="AJ138" s="4">
        <f ca="1">IFERROR(__xludf.DUMMYFUNCTION("""COMPUTED_VALUE"""),4)</f>
        <v>4</v>
      </c>
      <c r="AK138" s="4">
        <f ca="1">IFERROR(__xludf.DUMMYFUNCTION("""COMPUTED_VALUE"""),5)</f>
        <v>5</v>
      </c>
      <c r="AL138" s="4">
        <f ca="1">IFERROR(__xludf.DUMMYFUNCTION("""COMPUTED_VALUE"""),4)</f>
        <v>4</v>
      </c>
      <c r="AM138" s="4">
        <f ca="1">IFERROR(__xludf.DUMMYFUNCTION("""COMPUTED_VALUE"""),4)</f>
        <v>4</v>
      </c>
      <c r="AN138" s="4">
        <f ca="1">IFERROR(__xludf.DUMMYFUNCTION("""COMPUTED_VALUE"""),5)</f>
        <v>5</v>
      </c>
      <c r="AO138" s="4">
        <f ca="1">IFERROR(__xludf.DUMMYFUNCTION("""COMPUTED_VALUE"""),4)</f>
        <v>4</v>
      </c>
      <c r="AP138" s="4">
        <f ca="1">IFERROR(__xludf.DUMMYFUNCTION("""COMPUTED_VALUE"""),5)</f>
        <v>5</v>
      </c>
      <c r="AQ138" s="4">
        <f ca="1">IFERROR(__xludf.DUMMYFUNCTION("""COMPUTED_VALUE"""),4)</f>
        <v>4</v>
      </c>
      <c r="AR138" s="4">
        <f ca="1">IFERROR(__xludf.DUMMYFUNCTION("""COMPUTED_VALUE"""),4)</f>
        <v>4</v>
      </c>
      <c r="AS138" s="4">
        <f ca="1">IFERROR(__xludf.DUMMYFUNCTION("""COMPUTED_VALUE"""),4)</f>
        <v>4</v>
      </c>
      <c r="AT138" s="4">
        <f ca="1">IFERROR(__xludf.DUMMYFUNCTION("""COMPUTED_VALUE"""),5)</f>
        <v>5</v>
      </c>
      <c r="AU138" s="4">
        <f ca="1">IFERROR(__xludf.DUMMYFUNCTION("""COMPUTED_VALUE"""),4)</f>
        <v>4</v>
      </c>
      <c r="AV138" s="4">
        <f ca="1">IFERROR(__xludf.DUMMYFUNCTION("""COMPUTED_VALUE"""),5)</f>
        <v>5</v>
      </c>
      <c r="AW138" s="4">
        <f ca="1">IFERROR(__xludf.DUMMYFUNCTION("""COMPUTED_VALUE"""),4)</f>
        <v>4</v>
      </c>
      <c r="AX138" s="4">
        <f ca="1">IFERROR(__xludf.DUMMYFUNCTION("""COMPUTED_VALUE"""),5)</f>
        <v>5</v>
      </c>
      <c r="AY138" s="4">
        <f ca="1">IFERROR(__xludf.DUMMYFUNCTION("""COMPUTED_VALUE"""),4)</f>
        <v>4</v>
      </c>
      <c r="AZ138" s="4">
        <f ca="1">IFERROR(__xludf.DUMMYFUNCTION("""COMPUTED_VALUE"""),5)</f>
        <v>5</v>
      </c>
      <c r="BA138" s="4">
        <f ca="1">IFERROR(__xludf.DUMMYFUNCTION("""COMPUTED_VALUE"""),4)</f>
        <v>4</v>
      </c>
      <c r="BB138" s="4">
        <f ca="1">IFERROR(__xludf.DUMMYFUNCTION("""COMPUTED_VALUE"""),4)</f>
        <v>4</v>
      </c>
      <c r="BC138" s="4">
        <f ca="1">IFERROR(__xludf.DUMMYFUNCTION("""COMPUTED_VALUE"""),4)</f>
        <v>4</v>
      </c>
      <c r="BD138" s="4">
        <f ca="1">IFERROR(__xludf.DUMMYFUNCTION("""COMPUTED_VALUE"""),5)</f>
        <v>5</v>
      </c>
      <c r="BE138" s="4">
        <f ca="1">IFERROR(__xludf.DUMMYFUNCTION("""COMPUTED_VALUE"""),4)</f>
        <v>4</v>
      </c>
      <c r="BF138" s="4">
        <f ca="1">IFERROR(__xludf.DUMMYFUNCTION("""COMPUTED_VALUE"""),4)</f>
        <v>4</v>
      </c>
      <c r="BG138" s="4">
        <f ca="1">IFERROR(__xludf.DUMMYFUNCTION("""COMPUTED_VALUE"""),4)</f>
        <v>4</v>
      </c>
      <c r="BH138" s="4">
        <f ca="1">IFERROR(__xludf.DUMMYFUNCTION("""COMPUTED_VALUE"""),5)</f>
        <v>5</v>
      </c>
      <c r="BI138" s="4">
        <f ca="1">IFERROR(__xludf.DUMMYFUNCTION("""COMPUTED_VALUE"""),5)</f>
        <v>5</v>
      </c>
      <c r="BJ138" s="4">
        <f ca="1">IFERROR(__xludf.DUMMYFUNCTION("""COMPUTED_VALUE"""),5)</f>
        <v>5</v>
      </c>
      <c r="BK138" s="4">
        <f ca="1">IFERROR(__xludf.DUMMYFUNCTION("""COMPUTED_VALUE"""),5)</f>
        <v>5</v>
      </c>
      <c r="BL138" s="4">
        <f ca="1">IFERROR(__xludf.DUMMYFUNCTION("""COMPUTED_VALUE"""),5)</f>
        <v>5</v>
      </c>
      <c r="BM138" s="4">
        <f ca="1">IFERROR(__xludf.DUMMYFUNCTION("""COMPUTED_VALUE"""),5)</f>
        <v>5</v>
      </c>
      <c r="BN138" s="4">
        <f ca="1">IFERROR(__xludf.DUMMYFUNCTION("""COMPUTED_VALUE"""),4)</f>
        <v>4</v>
      </c>
      <c r="BO138" s="4">
        <f ca="1">IFERROR(__xludf.DUMMYFUNCTION("""COMPUTED_VALUE"""),5)</f>
        <v>5</v>
      </c>
      <c r="BP138" s="4">
        <f ca="1">IFERROR(__xludf.DUMMYFUNCTION("""COMPUTED_VALUE"""),5)</f>
        <v>5</v>
      </c>
    </row>
    <row r="139" spans="1:68" ht="13.2" x14ac:dyDescent="0.25">
      <c r="A139" s="4" t="str">
        <f ca="1">IFERROR(__xludf.DUMMYFUNCTION("""COMPUTED_VALUE"""),"2_ABaOnuegTjXg4vcZz4Zupraq1BSOrgF2glXAUZzLVUtnO95V5vPro37BrbsgcGNnNA")</f>
        <v>2_ABaOnuegTjXg4vcZz4Zupraq1BSOrgF2glXAUZzLVUtnO95V5vPro37BrbsgcGNnNA</v>
      </c>
      <c r="B139" s="5">
        <f ca="1">IFERROR(__xludf.DUMMYFUNCTION("""COMPUTED_VALUE"""),45974.4903045486)</f>
        <v>45974.490304548599</v>
      </c>
      <c r="C139" s="4"/>
      <c r="D139" s="4" t="str">
        <f ca="1">IFERROR(__xludf.DUMMYFUNCTION("""COMPUTED_VALUE"""),"Nam")</f>
        <v>Nam</v>
      </c>
      <c r="E139" s="4" t="str">
        <f ca="1">IFERROR(__xludf.DUMMYFUNCTION("""COMPUTED_VALUE"""),"RSM")</f>
        <v>RSM</v>
      </c>
      <c r="F139" s="4" t="str">
        <f ca="1">IFERROR(__xludf.DUMMYFUNCTION("""COMPUTED_VALUE"""),"Sau đại học, Chứng chỉ Kiểm toán viên")</f>
        <v>Sau đại học, Chứng chỉ Kiểm toán viên</v>
      </c>
      <c r="G139" s="4" t="str">
        <f ca="1">IFERROR(__xludf.DUMMYFUNCTION("""COMPUTED_VALUE"""),"Trên 15 đến 20 năm")</f>
        <v>Trên 15 đến 20 năm</v>
      </c>
      <c r="H139" s="4" t="str">
        <f ca="1">IFERROR(__xludf.DUMMYFUNCTION("""COMPUTED_VALUE"""),"Trưởng phòng")</f>
        <v>Trưởng phòng</v>
      </c>
      <c r="I139" s="4">
        <f ca="1">IFERROR(__xludf.DUMMYFUNCTION("""COMPUTED_VALUE"""),4)</f>
        <v>4</v>
      </c>
      <c r="J139" s="4">
        <f ca="1">IFERROR(__xludf.DUMMYFUNCTION("""COMPUTED_VALUE"""),4)</f>
        <v>4</v>
      </c>
      <c r="K139" s="4">
        <f ca="1">IFERROR(__xludf.DUMMYFUNCTION("""COMPUTED_VALUE"""),5)</f>
        <v>5</v>
      </c>
      <c r="L139" s="4">
        <f ca="1">IFERROR(__xludf.DUMMYFUNCTION("""COMPUTED_VALUE"""),4)</f>
        <v>4</v>
      </c>
      <c r="M139" s="4">
        <f ca="1">IFERROR(__xludf.DUMMYFUNCTION("""COMPUTED_VALUE"""),5)</f>
        <v>5</v>
      </c>
      <c r="N139" s="4">
        <f ca="1">IFERROR(__xludf.DUMMYFUNCTION("""COMPUTED_VALUE"""),4)</f>
        <v>4</v>
      </c>
      <c r="O139" s="4">
        <f ca="1">IFERROR(__xludf.DUMMYFUNCTION("""COMPUTED_VALUE"""),5)</f>
        <v>5</v>
      </c>
      <c r="P139" s="4">
        <f ca="1">IFERROR(__xludf.DUMMYFUNCTION("""COMPUTED_VALUE"""),5)</f>
        <v>5</v>
      </c>
      <c r="Q139" s="4">
        <f ca="1">IFERROR(__xludf.DUMMYFUNCTION("""COMPUTED_VALUE"""),4)</f>
        <v>4</v>
      </c>
      <c r="R139" s="4">
        <f ca="1">IFERROR(__xludf.DUMMYFUNCTION("""COMPUTED_VALUE"""),5)</f>
        <v>5</v>
      </c>
      <c r="S139" s="4">
        <f ca="1">IFERROR(__xludf.DUMMYFUNCTION("""COMPUTED_VALUE"""),4)</f>
        <v>4</v>
      </c>
      <c r="T139" s="4">
        <f ca="1">IFERROR(__xludf.DUMMYFUNCTION("""COMPUTED_VALUE"""),5)</f>
        <v>5</v>
      </c>
      <c r="U139" s="4">
        <f ca="1">IFERROR(__xludf.DUMMYFUNCTION("""COMPUTED_VALUE"""),5)</f>
        <v>5</v>
      </c>
      <c r="V139" s="4">
        <f ca="1">IFERROR(__xludf.DUMMYFUNCTION("""COMPUTED_VALUE"""),4)</f>
        <v>4</v>
      </c>
      <c r="W139" s="4">
        <f ca="1">IFERROR(__xludf.DUMMYFUNCTION("""COMPUTED_VALUE"""),4)</f>
        <v>4</v>
      </c>
      <c r="X139" s="4">
        <f ca="1">IFERROR(__xludf.DUMMYFUNCTION("""COMPUTED_VALUE"""),5)</f>
        <v>5</v>
      </c>
      <c r="Y139" s="4">
        <f ca="1">IFERROR(__xludf.DUMMYFUNCTION("""COMPUTED_VALUE"""),4)</f>
        <v>4</v>
      </c>
      <c r="Z139" s="4">
        <f ca="1">IFERROR(__xludf.DUMMYFUNCTION("""COMPUTED_VALUE"""),5)</f>
        <v>5</v>
      </c>
      <c r="AA139" s="4">
        <f ca="1">IFERROR(__xludf.DUMMYFUNCTION("""COMPUTED_VALUE"""),4)</f>
        <v>4</v>
      </c>
      <c r="AB139" s="4">
        <f ca="1">IFERROR(__xludf.DUMMYFUNCTION("""COMPUTED_VALUE"""),5)</f>
        <v>5</v>
      </c>
      <c r="AC139" s="4">
        <f ca="1">IFERROR(__xludf.DUMMYFUNCTION("""COMPUTED_VALUE"""),3)</f>
        <v>3</v>
      </c>
      <c r="AD139" s="4">
        <f ca="1">IFERROR(__xludf.DUMMYFUNCTION("""COMPUTED_VALUE"""),4)</f>
        <v>4</v>
      </c>
      <c r="AE139" s="4">
        <f ca="1">IFERROR(__xludf.DUMMYFUNCTION("""COMPUTED_VALUE"""),5)</f>
        <v>5</v>
      </c>
      <c r="AF139" s="4">
        <f ca="1">IFERROR(__xludf.DUMMYFUNCTION("""COMPUTED_VALUE"""),5)</f>
        <v>5</v>
      </c>
      <c r="AG139" s="4">
        <f ca="1">IFERROR(__xludf.DUMMYFUNCTION("""COMPUTED_VALUE"""),4)</f>
        <v>4</v>
      </c>
      <c r="AH139" s="4">
        <f ca="1">IFERROR(__xludf.DUMMYFUNCTION("""COMPUTED_VALUE"""),4)</f>
        <v>4</v>
      </c>
      <c r="AI139" s="4">
        <f ca="1">IFERROR(__xludf.DUMMYFUNCTION("""COMPUTED_VALUE"""),5)</f>
        <v>5</v>
      </c>
      <c r="AJ139" s="4">
        <f ca="1">IFERROR(__xludf.DUMMYFUNCTION("""COMPUTED_VALUE"""),4)</f>
        <v>4</v>
      </c>
      <c r="AK139" s="4">
        <f ca="1">IFERROR(__xludf.DUMMYFUNCTION("""COMPUTED_VALUE"""),5)</f>
        <v>5</v>
      </c>
      <c r="AL139" s="4">
        <f ca="1">IFERROR(__xludf.DUMMYFUNCTION("""COMPUTED_VALUE"""),4)</f>
        <v>4</v>
      </c>
      <c r="AM139" s="4">
        <f ca="1">IFERROR(__xludf.DUMMYFUNCTION("""COMPUTED_VALUE"""),5)</f>
        <v>5</v>
      </c>
      <c r="AN139" s="4">
        <f ca="1">IFERROR(__xludf.DUMMYFUNCTION("""COMPUTED_VALUE"""),4)</f>
        <v>4</v>
      </c>
      <c r="AO139" s="4">
        <f ca="1">IFERROR(__xludf.DUMMYFUNCTION("""COMPUTED_VALUE"""),4)</f>
        <v>4</v>
      </c>
      <c r="AP139" s="4">
        <f ca="1">IFERROR(__xludf.DUMMYFUNCTION("""COMPUTED_VALUE"""),4)</f>
        <v>4</v>
      </c>
      <c r="AQ139" s="4">
        <f ca="1">IFERROR(__xludf.DUMMYFUNCTION("""COMPUTED_VALUE"""),5)</f>
        <v>5</v>
      </c>
      <c r="AR139" s="4">
        <f ca="1">IFERROR(__xludf.DUMMYFUNCTION("""COMPUTED_VALUE"""),5)</f>
        <v>5</v>
      </c>
      <c r="AS139" s="4">
        <f ca="1">IFERROR(__xludf.DUMMYFUNCTION("""COMPUTED_VALUE"""),4)</f>
        <v>4</v>
      </c>
      <c r="AT139" s="4">
        <f ca="1">IFERROR(__xludf.DUMMYFUNCTION("""COMPUTED_VALUE"""),5)</f>
        <v>5</v>
      </c>
      <c r="AU139" s="4">
        <f ca="1">IFERROR(__xludf.DUMMYFUNCTION("""COMPUTED_VALUE"""),4)</f>
        <v>4</v>
      </c>
      <c r="AV139" s="4">
        <f ca="1">IFERROR(__xludf.DUMMYFUNCTION("""COMPUTED_VALUE"""),5)</f>
        <v>5</v>
      </c>
      <c r="AW139" s="4">
        <f ca="1">IFERROR(__xludf.DUMMYFUNCTION("""COMPUTED_VALUE"""),5)</f>
        <v>5</v>
      </c>
      <c r="AX139" s="4">
        <f ca="1">IFERROR(__xludf.DUMMYFUNCTION("""COMPUTED_VALUE"""),5)</f>
        <v>5</v>
      </c>
      <c r="AY139" s="4">
        <f ca="1">IFERROR(__xludf.DUMMYFUNCTION("""COMPUTED_VALUE"""),4)</f>
        <v>4</v>
      </c>
      <c r="AZ139" s="4">
        <f ca="1">IFERROR(__xludf.DUMMYFUNCTION("""COMPUTED_VALUE"""),5)</f>
        <v>5</v>
      </c>
      <c r="BA139" s="4">
        <f ca="1">IFERROR(__xludf.DUMMYFUNCTION("""COMPUTED_VALUE"""),5)</f>
        <v>5</v>
      </c>
      <c r="BB139" s="4">
        <f ca="1">IFERROR(__xludf.DUMMYFUNCTION("""COMPUTED_VALUE"""),4)</f>
        <v>4</v>
      </c>
      <c r="BC139" s="4">
        <f ca="1">IFERROR(__xludf.DUMMYFUNCTION("""COMPUTED_VALUE"""),5)</f>
        <v>5</v>
      </c>
      <c r="BD139" s="4">
        <f ca="1">IFERROR(__xludf.DUMMYFUNCTION("""COMPUTED_VALUE"""),4)</f>
        <v>4</v>
      </c>
      <c r="BE139" s="4">
        <f ca="1">IFERROR(__xludf.DUMMYFUNCTION("""COMPUTED_VALUE"""),5)</f>
        <v>5</v>
      </c>
      <c r="BF139" s="4">
        <f ca="1">IFERROR(__xludf.DUMMYFUNCTION("""COMPUTED_VALUE"""),5)</f>
        <v>5</v>
      </c>
      <c r="BG139" s="4">
        <f ca="1">IFERROR(__xludf.DUMMYFUNCTION("""COMPUTED_VALUE"""),4)</f>
        <v>4</v>
      </c>
      <c r="BH139" s="4">
        <f ca="1">IFERROR(__xludf.DUMMYFUNCTION("""COMPUTED_VALUE"""),5)</f>
        <v>5</v>
      </c>
      <c r="BI139" s="4">
        <f ca="1">IFERROR(__xludf.DUMMYFUNCTION("""COMPUTED_VALUE"""),4)</f>
        <v>4</v>
      </c>
      <c r="BJ139" s="4">
        <f ca="1">IFERROR(__xludf.DUMMYFUNCTION("""COMPUTED_VALUE"""),5)</f>
        <v>5</v>
      </c>
      <c r="BK139" s="4">
        <f ca="1">IFERROR(__xludf.DUMMYFUNCTION("""COMPUTED_VALUE"""),5)</f>
        <v>5</v>
      </c>
      <c r="BL139" s="4">
        <f ca="1">IFERROR(__xludf.DUMMYFUNCTION("""COMPUTED_VALUE"""),4)</f>
        <v>4</v>
      </c>
      <c r="BM139" s="4">
        <f ca="1">IFERROR(__xludf.DUMMYFUNCTION("""COMPUTED_VALUE"""),5)</f>
        <v>5</v>
      </c>
      <c r="BN139" s="4">
        <f ca="1">IFERROR(__xludf.DUMMYFUNCTION("""COMPUTED_VALUE"""),4)</f>
        <v>4</v>
      </c>
      <c r="BO139" s="4">
        <f ca="1">IFERROR(__xludf.DUMMYFUNCTION("""COMPUTED_VALUE"""),5)</f>
        <v>5</v>
      </c>
      <c r="BP139" s="4">
        <f ca="1">IFERROR(__xludf.DUMMYFUNCTION("""COMPUTED_VALUE"""),4)</f>
        <v>4</v>
      </c>
    </row>
    <row r="140" spans="1:68" ht="13.2" x14ac:dyDescent="0.25">
      <c r="A140" s="4" t="str">
        <f ca="1">IFERROR(__xludf.DUMMYFUNCTION("""COMPUTED_VALUE"""),"2_ABaOnufYVRtqXs6wjYD7jeUNIfodvNKX25A53923oqgDYGaC_eje4W2dFMn6ChjX7w")</f>
        <v>2_ABaOnufYVRtqXs6wjYD7jeUNIfodvNKX25A53923oqgDYGaC_eje4W2dFMn6ChjX7w</v>
      </c>
      <c r="B140" s="5">
        <f ca="1">IFERROR(__xludf.DUMMYFUNCTION("""COMPUTED_VALUE"""),45974.5547350231)</f>
        <v>45974.554735023099</v>
      </c>
      <c r="C140" s="4"/>
      <c r="D140" s="4" t="str">
        <f ca="1">IFERROR(__xludf.DUMMYFUNCTION("""COMPUTED_VALUE"""),"Nữ")</f>
        <v>Nữ</v>
      </c>
      <c r="E140" s="4" t="str">
        <f ca="1">IFERROR(__xludf.DUMMYFUNCTION("""COMPUTED_VALUE"""),"AASC")</f>
        <v>AASC</v>
      </c>
      <c r="F140" s="4" t="str">
        <f ca="1">IFERROR(__xludf.DUMMYFUNCTION("""COMPUTED_VALUE"""),"Sau đại học")</f>
        <v>Sau đại học</v>
      </c>
      <c r="G140" s="4" t="str">
        <f ca="1">IFERROR(__xludf.DUMMYFUNCTION("""COMPUTED_VALUE"""),"Từ 3 đến 5 năm")</f>
        <v>Từ 3 đến 5 năm</v>
      </c>
      <c r="H140" s="4" t="str">
        <f ca="1">IFERROR(__xludf.DUMMYFUNCTION("""COMPUTED_VALUE"""),"Trợ lý kiểm toán")</f>
        <v>Trợ lý kiểm toán</v>
      </c>
      <c r="I140" s="4">
        <f ca="1">IFERROR(__xludf.DUMMYFUNCTION("""COMPUTED_VALUE"""),4)</f>
        <v>4</v>
      </c>
      <c r="J140" s="4">
        <f ca="1">IFERROR(__xludf.DUMMYFUNCTION("""COMPUTED_VALUE"""),4)</f>
        <v>4</v>
      </c>
      <c r="K140" s="4">
        <f ca="1">IFERROR(__xludf.DUMMYFUNCTION("""COMPUTED_VALUE"""),4)</f>
        <v>4</v>
      </c>
      <c r="L140" s="4">
        <f ca="1">IFERROR(__xludf.DUMMYFUNCTION("""COMPUTED_VALUE"""),3)</f>
        <v>3</v>
      </c>
      <c r="M140" s="4">
        <f ca="1">IFERROR(__xludf.DUMMYFUNCTION("""COMPUTED_VALUE"""),5)</f>
        <v>5</v>
      </c>
      <c r="N140" s="4">
        <f ca="1">IFERROR(__xludf.DUMMYFUNCTION("""COMPUTED_VALUE"""),4)</f>
        <v>4</v>
      </c>
      <c r="O140" s="4">
        <f ca="1">IFERROR(__xludf.DUMMYFUNCTION("""COMPUTED_VALUE"""),4)</f>
        <v>4</v>
      </c>
      <c r="P140" s="4">
        <f ca="1">IFERROR(__xludf.DUMMYFUNCTION("""COMPUTED_VALUE"""),4)</f>
        <v>4</v>
      </c>
      <c r="Q140" s="4">
        <f ca="1">IFERROR(__xludf.DUMMYFUNCTION("""COMPUTED_VALUE"""),5)</f>
        <v>5</v>
      </c>
      <c r="R140" s="4">
        <f ca="1">IFERROR(__xludf.DUMMYFUNCTION("""COMPUTED_VALUE"""),5)</f>
        <v>5</v>
      </c>
      <c r="S140" s="4">
        <f ca="1">IFERROR(__xludf.DUMMYFUNCTION("""COMPUTED_VALUE"""),4)</f>
        <v>4</v>
      </c>
      <c r="T140" s="4">
        <f ca="1">IFERROR(__xludf.DUMMYFUNCTION("""COMPUTED_VALUE"""),5)</f>
        <v>5</v>
      </c>
      <c r="U140" s="4">
        <f ca="1">IFERROR(__xludf.DUMMYFUNCTION("""COMPUTED_VALUE"""),5)</f>
        <v>5</v>
      </c>
      <c r="V140" s="4">
        <f ca="1">IFERROR(__xludf.DUMMYFUNCTION("""COMPUTED_VALUE"""),4)</f>
        <v>4</v>
      </c>
      <c r="W140" s="4">
        <f ca="1">IFERROR(__xludf.DUMMYFUNCTION("""COMPUTED_VALUE"""),4)</f>
        <v>4</v>
      </c>
      <c r="X140" s="4">
        <f ca="1">IFERROR(__xludf.DUMMYFUNCTION("""COMPUTED_VALUE"""),3)</f>
        <v>3</v>
      </c>
      <c r="Y140" s="4">
        <f ca="1">IFERROR(__xludf.DUMMYFUNCTION("""COMPUTED_VALUE"""),3)</f>
        <v>3</v>
      </c>
      <c r="Z140" s="4">
        <f ca="1">IFERROR(__xludf.DUMMYFUNCTION("""COMPUTED_VALUE"""),3)</f>
        <v>3</v>
      </c>
      <c r="AA140" s="4">
        <f ca="1">IFERROR(__xludf.DUMMYFUNCTION("""COMPUTED_VALUE"""),3)</f>
        <v>3</v>
      </c>
      <c r="AB140" s="4">
        <f ca="1">IFERROR(__xludf.DUMMYFUNCTION("""COMPUTED_VALUE"""),4)</f>
        <v>4</v>
      </c>
      <c r="AC140" s="4">
        <f ca="1">IFERROR(__xludf.DUMMYFUNCTION("""COMPUTED_VALUE"""),4)</f>
        <v>4</v>
      </c>
      <c r="AD140" s="4">
        <f ca="1">IFERROR(__xludf.DUMMYFUNCTION("""COMPUTED_VALUE"""),3)</f>
        <v>3</v>
      </c>
      <c r="AE140" s="4">
        <f ca="1">IFERROR(__xludf.DUMMYFUNCTION("""COMPUTED_VALUE"""),4)</f>
        <v>4</v>
      </c>
      <c r="AF140" s="4">
        <f ca="1">IFERROR(__xludf.DUMMYFUNCTION("""COMPUTED_VALUE"""),4)</f>
        <v>4</v>
      </c>
      <c r="AG140" s="4">
        <f ca="1">IFERROR(__xludf.DUMMYFUNCTION("""COMPUTED_VALUE"""),4)</f>
        <v>4</v>
      </c>
      <c r="AH140" s="4">
        <f ca="1">IFERROR(__xludf.DUMMYFUNCTION("""COMPUTED_VALUE"""),4)</f>
        <v>4</v>
      </c>
      <c r="AI140" s="4">
        <f ca="1">IFERROR(__xludf.DUMMYFUNCTION("""COMPUTED_VALUE"""),4)</f>
        <v>4</v>
      </c>
      <c r="AJ140" s="4">
        <f ca="1">IFERROR(__xludf.DUMMYFUNCTION("""COMPUTED_VALUE"""),4)</f>
        <v>4</v>
      </c>
      <c r="AK140" s="4">
        <f ca="1">IFERROR(__xludf.DUMMYFUNCTION("""COMPUTED_VALUE"""),4)</f>
        <v>4</v>
      </c>
      <c r="AL140" s="4">
        <f ca="1">IFERROR(__xludf.DUMMYFUNCTION("""COMPUTED_VALUE"""),4)</f>
        <v>4</v>
      </c>
      <c r="AM140" s="4">
        <f ca="1">IFERROR(__xludf.DUMMYFUNCTION("""COMPUTED_VALUE"""),4)</f>
        <v>4</v>
      </c>
      <c r="AN140" s="4">
        <f ca="1">IFERROR(__xludf.DUMMYFUNCTION("""COMPUTED_VALUE"""),4)</f>
        <v>4</v>
      </c>
      <c r="AO140" s="4">
        <f ca="1">IFERROR(__xludf.DUMMYFUNCTION("""COMPUTED_VALUE"""),3)</f>
        <v>3</v>
      </c>
      <c r="AP140" s="4">
        <f ca="1">IFERROR(__xludf.DUMMYFUNCTION("""COMPUTED_VALUE"""),4)</f>
        <v>4</v>
      </c>
      <c r="AQ140" s="4">
        <f ca="1">IFERROR(__xludf.DUMMYFUNCTION("""COMPUTED_VALUE"""),4)</f>
        <v>4</v>
      </c>
      <c r="AR140" s="4">
        <f ca="1">IFERROR(__xludf.DUMMYFUNCTION("""COMPUTED_VALUE"""),4)</f>
        <v>4</v>
      </c>
      <c r="AS140" s="4">
        <f ca="1">IFERROR(__xludf.DUMMYFUNCTION("""COMPUTED_VALUE"""),4)</f>
        <v>4</v>
      </c>
      <c r="AT140" s="4">
        <f ca="1">IFERROR(__xludf.DUMMYFUNCTION("""COMPUTED_VALUE"""),4)</f>
        <v>4</v>
      </c>
      <c r="AU140" s="4">
        <f ca="1">IFERROR(__xludf.DUMMYFUNCTION("""COMPUTED_VALUE"""),4)</f>
        <v>4</v>
      </c>
      <c r="AV140" s="4">
        <f ca="1">IFERROR(__xludf.DUMMYFUNCTION("""COMPUTED_VALUE"""),4)</f>
        <v>4</v>
      </c>
      <c r="AW140" s="4">
        <f ca="1">IFERROR(__xludf.DUMMYFUNCTION("""COMPUTED_VALUE"""),4)</f>
        <v>4</v>
      </c>
      <c r="AX140" s="4">
        <f ca="1">IFERROR(__xludf.DUMMYFUNCTION("""COMPUTED_VALUE"""),5)</f>
        <v>5</v>
      </c>
      <c r="AY140" s="4">
        <f ca="1">IFERROR(__xludf.DUMMYFUNCTION("""COMPUTED_VALUE"""),5)</f>
        <v>5</v>
      </c>
      <c r="AZ140" s="4">
        <f ca="1">IFERROR(__xludf.DUMMYFUNCTION("""COMPUTED_VALUE"""),5)</f>
        <v>5</v>
      </c>
      <c r="BA140" s="4">
        <f ca="1">IFERROR(__xludf.DUMMYFUNCTION("""COMPUTED_VALUE"""),4)</f>
        <v>4</v>
      </c>
      <c r="BB140" s="4">
        <f ca="1">IFERROR(__xludf.DUMMYFUNCTION("""COMPUTED_VALUE"""),2)</f>
        <v>2</v>
      </c>
      <c r="BC140" s="4">
        <f ca="1">IFERROR(__xludf.DUMMYFUNCTION("""COMPUTED_VALUE"""),3)</f>
        <v>3</v>
      </c>
      <c r="BD140" s="4">
        <f ca="1">IFERROR(__xludf.DUMMYFUNCTION("""COMPUTED_VALUE"""),4)</f>
        <v>4</v>
      </c>
      <c r="BE140" s="4">
        <f ca="1">IFERROR(__xludf.DUMMYFUNCTION("""COMPUTED_VALUE"""),3)</f>
        <v>3</v>
      </c>
      <c r="BF140" s="4">
        <f ca="1">IFERROR(__xludf.DUMMYFUNCTION("""COMPUTED_VALUE"""),3)</f>
        <v>3</v>
      </c>
      <c r="BG140" s="4">
        <f ca="1">IFERROR(__xludf.DUMMYFUNCTION("""COMPUTED_VALUE"""),3)</f>
        <v>3</v>
      </c>
      <c r="BH140" s="4">
        <f ca="1">IFERROR(__xludf.DUMMYFUNCTION("""COMPUTED_VALUE"""),5)</f>
        <v>5</v>
      </c>
      <c r="BI140" s="4">
        <f ca="1">IFERROR(__xludf.DUMMYFUNCTION("""COMPUTED_VALUE"""),4)</f>
        <v>4</v>
      </c>
      <c r="BJ140" s="4">
        <f ca="1">IFERROR(__xludf.DUMMYFUNCTION("""COMPUTED_VALUE"""),4)</f>
        <v>4</v>
      </c>
      <c r="BK140" s="4">
        <f ca="1">IFERROR(__xludf.DUMMYFUNCTION("""COMPUTED_VALUE"""),5)</f>
        <v>5</v>
      </c>
      <c r="BL140" s="4">
        <f ca="1">IFERROR(__xludf.DUMMYFUNCTION("""COMPUTED_VALUE"""),5)</f>
        <v>5</v>
      </c>
      <c r="BM140" s="4">
        <f ca="1">IFERROR(__xludf.DUMMYFUNCTION("""COMPUTED_VALUE"""),5)</f>
        <v>5</v>
      </c>
      <c r="BN140" s="4">
        <f ca="1">IFERROR(__xludf.DUMMYFUNCTION("""COMPUTED_VALUE"""),5)</f>
        <v>5</v>
      </c>
      <c r="BO140" s="4">
        <f ca="1">IFERROR(__xludf.DUMMYFUNCTION("""COMPUTED_VALUE"""),3)</f>
        <v>3</v>
      </c>
      <c r="BP140" s="4">
        <f ca="1">IFERROR(__xludf.DUMMYFUNCTION("""COMPUTED_VALUE"""),5)</f>
        <v>5</v>
      </c>
    </row>
    <row r="141" spans="1:68" ht="13.2" x14ac:dyDescent="0.25">
      <c r="A141" s="4" t="str">
        <f ca="1">IFERROR(__xludf.DUMMYFUNCTION("""COMPUTED_VALUE"""),"2_ABaOnue1Ps20AruLvk3m9FeDvLiIYQbdTNybAhn5VlUA_xgeFH6qRVlqvUNVv4DPTg")</f>
        <v>2_ABaOnue1Ps20AruLvk3m9FeDvLiIYQbdTNybAhn5VlUA_xgeFH6qRVlqvUNVv4DPTg</v>
      </c>
      <c r="B141" s="5">
        <f ca="1">IFERROR(__xludf.DUMMYFUNCTION("""COMPUTED_VALUE"""),45974.5698765509)</f>
        <v>45974.569876550901</v>
      </c>
      <c r="C141" s="4"/>
      <c r="D141" s="4" t="str">
        <f ca="1">IFERROR(__xludf.DUMMYFUNCTION("""COMPUTED_VALUE"""),"Nữ")</f>
        <v>Nữ</v>
      </c>
      <c r="E141" s="4" t="str">
        <f ca="1">IFERROR(__xludf.DUMMYFUNCTION("""COMPUTED_VALUE"""),"AASC")</f>
        <v>AASC</v>
      </c>
      <c r="F141" s="4" t="str">
        <f ca="1">IFERROR(__xludf.DUMMYFUNCTION("""COMPUTED_VALUE"""),"Đại học")</f>
        <v>Đại học</v>
      </c>
      <c r="G141" s="4" t="str">
        <f ca="1">IFERROR(__xludf.DUMMYFUNCTION("""COMPUTED_VALUE"""),"Từ 3 đến 5 năm")</f>
        <v>Từ 3 đến 5 năm</v>
      </c>
      <c r="H141" s="4" t="str">
        <f ca="1">IFERROR(__xludf.DUMMYFUNCTION("""COMPUTED_VALUE"""),"Trợ lý kiểm toán")</f>
        <v>Trợ lý kiểm toán</v>
      </c>
      <c r="I141" s="4">
        <f ca="1">IFERROR(__xludf.DUMMYFUNCTION("""COMPUTED_VALUE"""),5)</f>
        <v>5</v>
      </c>
      <c r="J141" s="4">
        <f ca="1">IFERROR(__xludf.DUMMYFUNCTION("""COMPUTED_VALUE"""),4)</f>
        <v>4</v>
      </c>
      <c r="K141" s="4">
        <f ca="1">IFERROR(__xludf.DUMMYFUNCTION("""COMPUTED_VALUE"""),4)</f>
        <v>4</v>
      </c>
      <c r="L141" s="4">
        <f ca="1">IFERROR(__xludf.DUMMYFUNCTION("""COMPUTED_VALUE"""),3)</f>
        <v>3</v>
      </c>
      <c r="M141" s="4">
        <f ca="1">IFERROR(__xludf.DUMMYFUNCTION("""COMPUTED_VALUE"""),4)</f>
        <v>4</v>
      </c>
      <c r="N141" s="4">
        <f ca="1">IFERROR(__xludf.DUMMYFUNCTION("""COMPUTED_VALUE"""),4)</f>
        <v>4</v>
      </c>
      <c r="O141" s="4">
        <f ca="1">IFERROR(__xludf.DUMMYFUNCTION("""COMPUTED_VALUE"""),4)</f>
        <v>4</v>
      </c>
      <c r="P141" s="4">
        <f ca="1">IFERROR(__xludf.DUMMYFUNCTION("""COMPUTED_VALUE"""),4)</f>
        <v>4</v>
      </c>
      <c r="Q141" s="4">
        <f ca="1">IFERROR(__xludf.DUMMYFUNCTION("""COMPUTED_VALUE"""),5)</f>
        <v>5</v>
      </c>
      <c r="R141" s="4">
        <f ca="1">IFERROR(__xludf.DUMMYFUNCTION("""COMPUTED_VALUE"""),4)</f>
        <v>4</v>
      </c>
      <c r="S141" s="4">
        <f ca="1">IFERROR(__xludf.DUMMYFUNCTION("""COMPUTED_VALUE"""),4)</f>
        <v>4</v>
      </c>
      <c r="T141" s="4">
        <f ca="1">IFERROR(__xludf.DUMMYFUNCTION("""COMPUTED_VALUE"""),4)</f>
        <v>4</v>
      </c>
      <c r="U141" s="4">
        <f ca="1">IFERROR(__xludf.DUMMYFUNCTION("""COMPUTED_VALUE"""),4)</f>
        <v>4</v>
      </c>
      <c r="V141" s="4">
        <f ca="1">IFERROR(__xludf.DUMMYFUNCTION("""COMPUTED_VALUE"""),4)</f>
        <v>4</v>
      </c>
      <c r="W141" s="4">
        <f ca="1">IFERROR(__xludf.DUMMYFUNCTION("""COMPUTED_VALUE"""),4)</f>
        <v>4</v>
      </c>
      <c r="X141" s="4">
        <f ca="1">IFERROR(__xludf.DUMMYFUNCTION("""COMPUTED_VALUE"""),4)</f>
        <v>4</v>
      </c>
      <c r="Y141" s="4">
        <f ca="1">IFERROR(__xludf.DUMMYFUNCTION("""COMPUTED_VALUE"""),4)</f>
        <v>4</v>
      </c>
      <c r="Z141" s="4">
        <f ca="1">IFERROR(__xludf.DUMMYFUNCTION("""COMPUTED_VALUE"""),4)</f>
        <v>4</v>
      </c>
      <c r="AA141" s="4">
        <f ca="1">IFERROR(__xludf.DUMMYFUNCTION("""COMPUTED_VALUE"""),4)</f>
        <v>4</v>
      </c>
      <c r="AB141" s="4">
        <f ca="1">IFERROR(__xludf.DUMMYFUNCTION("""COMPUTED_VALUE"""),4)</f>
        <v>4</v>
      </c>
      <c r="AC141" s="4">
        <f ca="1">IFERROR(__xludf.DUMMYFUNCTION("""COMPUTED_VALUE"""),3)</f>
        <v>3</v>
      </c>
      <c r="AD141" s="4">
        <f ca="1">IFERROR(__xludf.DUMMYFUNCTION("""COMPUTED_VALUE"""),4)</f>
        <v>4</v>
      </c>
      <c r="AE141" s="4">
        <f ca="1">IFERROR(__xludf.DUMMYFUNCTION("""COMPUTED_VALUE"""),4)</f>
        <v>4</v>
      </c>
      <c r="AF141" s="4">
        <f ca="1">IFERROR(__xludf.DUMMYFUNCTION("""COMPUTED_VALUE"""),4)</f>
        <v>4</v>
      </c>
      <c r="AG141" s="4">
        <f ca="1">IFERROR(__xludf.DUMMYFUNCTION("""COMPUTED_VALUE"""),4)</f>
        <v>4</v>
      </c>
      <c r="AH141" s="4">
        <f ca="1">IFERROR(__xludf.DUMMYFUNCTION("""COMPUTED_VALUE"""),4)</f>
        <v>4</v>
      </c>
      <c r="AI141" s="4">
        <f ca="1">IFERROR(__xludf.DUMMYFUNCTION("""COMPUTED_VALUE"""),3)</f>
        <v>3</v>
      </c>
      <c r="AJ141" s="4">
        <f ca="1">IFERROR(__xludf.DUMMYFUNCTION("""COMPUTED_VALUE"""),4)</f>
        <v>4</v>
      </c>
      <c r="AK141" s="4">
        <f ca="1">IFERROR(__xludf.DUMMYFUNCTION("""COMPUTED_VALUE"""),4)</f>
        <v>4</v>
      </c>
      <c r="AL141" s="4">
        <f ca="1">IFERROR(__xludf.DUMMYFUNCTION("""COMPUTED_VALUE"""),4)</f>
        <v>4</v>
      </c>
      <c r="AM141" s="4">
        <f ca="1">IFERROR(__xludf.DUMMYFUNCTION("""COMPUTED_VALUE"""),4)</f>
        <v>4</v>
      </c>
      <c r="AN141" s="4">
        <f ca="1">IFERROR(__xludf.DUMMYFUNCTION("""COMPUTED_VALUE"""),4)</f>
        <v>4</v>
      </c>
      <c r="AO141" s="4">
        <f ca="1">IFERROR(__xludf.DUMMYFUNCTION("""COMPUTED_VALUE"""),4)</f>
        <v>4</v>
      </c>
      <c r="AP141" s="4">
        <f ca="1">IFERROR(__xludf.DUMMYFUNCTION("""COMPUTED_VALUE"""),4)</f>
        <v>4</v>
      </c>
      <c r="AQ141" s="4">
        <f ca="1">IFERROR(__xludf.DUMMYFUNCTION("""COMPUTED_VALUE"""),4)</f>
        <v>4</v>
      </c>
      <c r="AR141" s="4">
        <f ca="1">IFERROR(__xludf.DUMMYFUNCTION("""COMPUTED_VALUE"""),4)</f>
        <v>4</v>
      </c>
      <c r="AS141" s="4">
        <f ca="1">IFERROR(__xludf.DUMMYFUNCTION("""COMPUTED_VALUE"""),4)</f>
        <v>4</v>
      </c>
      <c r="AT141" s="4">
        <f ca="1">IFERROR(__xludf.DUMMYFUNCTION("""COMPUTED_VALUE"""),4)</f>
        <v>4</v>
      </c>
      <c r="AU141" s="4">
        <f ca="1">IFERROR(__xludf.DUMMYFUNCTION("""COMPUTED_VALUE"""),4)</f>
        <v>4</v>
      </c>
      <c r="AV141" s="4">
        <f ca="1">IFERROR(__xludf.DUMMYFUNCTION("""COMPUTED_VALUE"""),4)</f>
        <v>4</v>
      </c>
      <c r="AW141" s="4">
        <f ca="1">IFERROR(__xludf.DUMMYFUNCTION("""COMPUTED_VALUE"""),4)</f>
        <v>4</v>
      </c>
      <c r="AX141" s="4">
        <f ca="1">IFERROR(__xludf.DUMMYFUNCTION("""COMPUTED_VALUE"""),4)</f>
        <v>4</v>
      </c>
      <c r="AY141" s="4">
        <f ca="1">IFERROR(__xludf.DUMMYFUNCTION("""COMPUTED_VALUE"""),4)</f>
        <v>4</v>
      </c>
      <c r="AZ141" s="4">
        <f ca="1">IFERROR(__xludf.DUMMYFUNCTION("""COMPUTED_VALUE"""),4)</f>
        <v>4</v>
      </c>
      <c r="BA141" s="4">
        <f ca="1">IFERROR(__xludf.DUMMYFUNCTION("""COMPUTED_VALUE"""),4)</f>
        <v>4</v>
      </c>
      <c r="BB141" s="4">
        <f ca="1">IFERROR(__xludf.DUMMYFUNCTION("""COMPUTED_VALUE"""),4)</f>
        <v>4</v>
      </c>
      <c r="BC141" s="4">
        <f ca="1">IFERROR(__xludf.DUMMYFUNCTION("""COMPUTED_VALUE"""),4)</f>
        <v>4</v>
      </c>
      <c r="BD141" s="4">
        <f ca="1">IFERROR(__xludf.DUMMYFUNCTION("""COMPUTED_VALUE"""),4)</f>
        <v>4</v>
      </c>
      <c r="BE141" s="4">
        <f ca="1">IFERROR(__xludf.DUMMYFUNCTION("""COMPUTED_VALUE"""),4)</f>
        <v>4</v>
      </c>
      <c r="BF141" s="4">
        <f ca="1">IFERROR(__xludf.DUMMYFUNCTION("""COMPUTED_VALUE"""),4)</f>
        <v>4</v>
      </c>
      <c r="BG141" s="4">
        <f ca="1">IFERROR(__xludf.DUMMYFUNCTION("""COMPUTED_VALUE"""),4)</f>
        <v>4</v>
      </c>
      <c r="BH141" s="4">
        <f ca="1">IFERROR(__xludf.DUMMYFUNCTION("""COMPUTED_VALUE"""),4)</f>
        <v>4</v>
      </c>
      <c r="BI141" s="4">
        <f ca="1">IFERROR(__xludf.DUMMYFUNCTION("""COMPUTED_VALUE"""),4)</f>
        <v>4</v>
      </c>
      <c r="BJ141" s="4">
        <f ca="1">IFERROR(__xludf.DUMMYFUNCTION("""COMPUTED_VALUE"""),4)</f>
        <v>4</v>
      </c>
      <c r="BK141" s="4">
        <f ca="1">IFERROR(__xludf.DUMMYFUNCTION("""COMPUTED_VALUE"""),4)</f>
        <v>4</v>
      </c>
      <c r="BL141" s="4">
        <f ca="1">IFERROR(__xludf.DUMMYFUNCTION("""COMPUTED_VALUE"""),4)</f>
        <v>4</v>
      </c>
      <c r="BM141" s="4">
        <f ca="1">IFERROR(__xludf.DUMMYFUNCTION("""COMPUTED_VALUE"""),4)</f>
        <v>4</v>
      </c>
      <c r="BN141" s="4">
        <f ca="1">IFERROR(__xludf.DUMMYFUNCTION("""COMPUTED_VALUE"""),4)</f>
        <v>4</v>
      </c>
      <c r="BO141" s="4">
        <f ca="1">IFERROR(__xludf.DUMMYFUNCTION("""COMPUTED_VALUE"""),4)</f>
        <v>4</v>
      </c>
      <c r="BP141" s="4">
        <f ca="1">IFERROR(__xludf.DUMMYFUNCTION("""COMPUTED_VALUE"""),4)</f>
        <v>4</v>
      </c>
    </row>
    <row r="142" spans="1:68" ht="13.2" x14ac:dyDescent="0.25">
      <c r="A142" s="4" t="str">
        <f ca="1">IFERROR(__xludf.DUMMYFUNCTION("""COMPUTED_VALUE"""),"2_ABaOnucszigOkvYfk7HZgARYtITyEHncKCrUMWjPdZGvmFgKRQR3VFFvL-HgFIUbtA")</f>
        <v>2_ABaOnucszigOkvYfk7HZgARYtITyEHncKCrUMWjPdZGvmFgKRQR3VFFvL-HgFIUbtA</v>
      </c>
      <c r="B142" s="5">
        <f ca="1">IFERROR(__xludf.DUMMYFUNCTION("""COMPUTED_VALUE"""),45974.5727535648)</f>
        <v>45974.572753564797</v>
      </c>
      <c r="C142" s="4"/>
      <c r="D142" s="4" t="str">
        <f ca="1">IFERROR(__xludf.DUMMYFUNCTION("""COMPUTED_VALUE"""),"Nữ")</f>
        <v>Nữ</v>
      </c>
      <c r="E142" s="4" t="str">
        <f ca="1">IFERROR(__xludf.DUMMYFUNCTION("""COMPUTED_VALUE"""),"AC")</f>
        <v>AC</v>
      </c>
      <c r="F142" s="4" t="str">
        <f ca="1">IFERROR(__xludf.DUMMYFUNCTION("""COMPUTED_VALUE"""),"Đại học")</f>
        <v>Đại học</v>
      </c>
      <c r="G142" s="4" t="str">
        <f ca="1">IFERROR(__xludf.DUMMYFUNCTION("""COMPUTED_VALUE"""),"Trên 5 đến 10 năm")</f>
        <v>Trên 5 đến 10 năm</v>
      </c>
      <c r="H142" s="4" t="str">
        <f ca="1">IFERROR(__xludf.DUMMYFUNCTION("""COMPUTED_VALUE"""),"Kiểm toán viên/Trưởng nhóm")</f>
        <v>Kiểm toán viên/Trưởng nhóm</v>
      </c>
      <c r="I142" s="4">
        <f ca="1">IFERROR(__xludf.DUMMYFUNCTION("""COMPUTED_VALUE"""),5)</f>
        <v>5</v>
      </c>
      <c r="J142" s="4">
        <f ca="1">IFERROR(__xludf.DUMMYFUNCTION("""COMPUTED_VALUE"""),4)</f>
        <v>4</v>
      </c>
      <c r="K142" s="4">
        <f ca="1">IFERROR(__xludf.DUMMYFUNCTION("""COMPUTED_VALUE"""),4)</f>
        <v>4</v>
      </c>
      <c r="L142" s="4">
        <f ca="1">IFERROR(__xludf.DUMMYFUNCTION("""COMPUTED_VALUE"""),4)</f>
        <v>4</v>
      </c>
      <c r="M142" s="4">
        <f ca="1">IFERROR(__xludf.DUMMYFUNCTION("""COMPUTED_VALUE"""),4)</f>
        <v>4</v>
      </c>
      <c r="N142" s="4">
        <f ca="1">IFERROR(__xludf.DUMMYFUNCTION("""COMPUTED_VALUE"""),4)</f>
        <v>4</v>
      </c>
      <c r="O142" s="4">
        <f ca="1">IFERROR(__xludf.DUMMYFUNCTION("""COMPUTED_VALUE"""),4)</f>
        <v>4</v>
      </c>
      <c r="P142" s="4">
        <f ca="1">IFERROR(__xludf.DUMMYFUNCTION("""COMPUTED_VALUE"""),4)</f>
        <v>4</v>
      </c>
      <c r="Q142" s="4">
        <f ca="1">IFERROR(__xludf.DUMMYFUNCTION("""COMPUTED_VALUE"""),4)</f>
        <v>4</v>
      </c>
      <c r="R142" s="4">
        <f ca="1">IFERROR(__xludf.DUMMYFUNCTION("""COMPUTED_VALUE"""),5)</f>
        <v>5</v>
      </c>
      <c r="S142" s="4">
        <f ca="1">IFERROR(__xludf.DUMMYFUNCTION("""COMPUTED_VALUE"""),4)</f>
        <v>4</v>
      </c>
      <c r="T142" s="4">
        <f ca="1">IFERROR(__xludf.DUMMYFUNCTION("""COMPUTED_VALUE"""),4)</f>
        <v>4</v>
      </c>
      <c r="U142" s="4">
        <f ca="1">IFERROR(__xludf.DUMMYFUNCTION("""COMPUTED_VALUE"""),3)</f>
        <v>3</v>
      </c>
      <c r="V142" s="4">
        <f ca="1">IFERROR(__xludf.DUMMYFUNCTION("""COMPUTED_VALUE"""),3)</f>
        <v>3</v>
      </c>
      <c r="W142" s="4">
        <f ca="1">IFERROR(__xludf.DUMMYFUNCTION("""COMPUTED_VALUE"""),4)</f>
        <v>4</v>
      </c>
      <c r="X142" s="4">
        <f ca="1">IFERROR(__xludf.DUMMYFUNCTION("""COMPUTED_VALUE"""),4)</f>
        <v>4</v>
      </c>
      <c r="Y142" s="4">
        <f ca="1">IFERROR(__xludf.DUMMYFUNCTION("""COMPUTED_VALUE"""),4)</f>
        <v>4</v>
      </c>
      <c r="Z142" s="4">
        <f ca="1">IFERROR(__xludf.DUMMYFUNCTION("""COMPUTED_VALUE"""),4)</f>
        <v>4</v>
      </c>
      <c r="AA142" s="4">
        <f ca="1">IFERROR(__xludf.DUMMYFUNCTION("""COMPUTED_VALUE"""),3)</f>
        <v>3</v>
      </c>
      <c r="AB142" s="4">
        <f ca="1">IFERROR(__xludf.DUMMYFUNCTION("""COMPUTED_VALUE"""),5)</f>
        <v>5</v>
      </c>
      <c r="AC142" s="4">
        <f ca="1">IFERROR(__xludf.DUMMYFUNCTION("""COMPUTED_VALUE"""),4)</f>
        <v>4</v>
      </c>
      <c r="AD142" s="4">
        <f ca="1">IFERROR(__xludf.DUMMYFUNCTION("""COMPUTED_VALUE"""),4)</f>
        <v>4</v>
      </c>
      <c r="AE142" s="4">
        <f ca="1">IFERROR(__xludf.DUMMYFUNCTION("""COMPUTED_VALUE"""),5)</f>
        <v>5</v>
      </c>
      <c r="AF142" s="4">
        <f ca="1">IFERROR(__xludf.DUMMYFUNCTION("""COMPUTED_VALUE"""),4)</f>
        <v>4</v>
      </c>
      <c r="AG142" s="4">
        <f ca="1">IFERROR(__xludf.DUMMYFUNCTION("""COMPUTED_VALUE"""),4)</f>
        <v>4</v>
      </c>
      <c r="AH142" s="4">
        <f ca="1">IFERROR(__xludf.DUMMYFUNCTION("""COMPUTED_VALUE"""),4)</f>
        <v>4</v>
      </c>
      <c r="AI142" s="4">
        <f ca="1">IFERROR(__xludf.DUMMYFUNCTION("""COMPUTED_VALUE"""),4)</f>
        <v>4</v>
      </c>
      <c r="AJ142" s="4">
        <f ca="1">IFERROR(__xludf.DUMMYFUNCTION("""COMPUTED_VALUE"""),4)</f>
        <v>4</v>
      </c>
      <c r="AK142" s="4">
        <f ca="1">IFERROR(__xludf.DUMMYFUNCTION("""COMPUTED_VALUE"""),3)</f>
        <v>3</v>
      </c>
      <c r="AL142" s="4">
        <f ca="1">IFERROR(__xludf.DUMMYFUNCTION("""COMPUTED_VALUE"""),4)</f>
        <v>4</v>
      </c>
      <c r="AM142" s="4">
        <f ca="1">IFERROR(__xludf.DUMMYFUNCTION("""COMPUTED_VALUE"""),4)</f>
        <v>4</v>
      </c>
      <c r="AN142" s="4">
        <f ca="1">IFERROR(__xludf.DUMMYFUNCTION("""COMPUTED_VALUE"""),4)</f>
        <v>4</v>
      </c>
      <c r="AO142" s="4">
        <f ca="1">IFERROR(__xludf.DUMMYFUNCTION("""COMPUTED_VALUE"""),3)</f>
        <v>3</v>
      </c>
      <c r="AP142" s="4">
        <f ca="1">IFERROR(__xludf.DUMMYFUNCTION("""COMPUTED_VALUE"""),4)</f>
        <v>4</v>
      </c>
      <c r="AQ142" s="4">
        <f ca="1">IFERROR(__xludf.DUMMYFUNCTION("""COMPUTED_VALUE"""),4)</f>
        <v>4</v>
      </c>
      <c r="AR142" s="4">
        <f ca="1">IFERROR(__xludf.DUMMYFUNCTION("""COMPUTED_VALUE"""),4)</f>
        <v>4</v>
      </c>
      <c r="AS142" s="4">
        <f ca="1">IFERROR(__xludf.DUMMYFUNCTION("""COMPUTED_VALUE"""),4)</f>
        <v>4</v>
      </c>
      <c r="AT142" s="4">
        <f ca="1">IFERROR(__xludf.DUMMYFUNCTION("""COMPUTED_VALUE"""),4)</f>
        <v>4</v>
      </c>
      <c r="AU142" s="4">
        <f ca="1">IFERROR(__xludf.DUMMYFUNCTION("""COMPUTED_VALUE"""),4)</f>
        <v>4</v>
      </c>
      <c r="AV142" s="4">
        <f ca="1">IFERROR(__xludf.DUMMYFUNCTION("""COMPUTED_VALUE"""),4)</f>
        <v>4</v>
      </c>
      <c r="AW142" s="4">
        <f ca="1">IFERROR(__xludf.DUMMYFUNCTION("""COMPUTED_VALUE"""),4)</f>
        <v>4</v>
      </c>
      <c r="AX142" s="4">
        <f ca="1">IFERROR(__xludf.DUMMYFUNCTION("""COMPUTED_VALUE"""),4)</f>
        <v>4</v>
      </c>
      <c r="AY142" s="4">
        <f ca="1">IFERROR(__xludf.DUMMYFUNCTION("""COMPUTED_VALUE"""),4)</f>
        <v>4</v>
      </c>
      <c r="AZ142" s="4">
        <f ca="1">IFERROR(__xludf.DUMMYFUNCTION("""COMPUTED_VALUE"""),4)</f>
        <v>4</v>
      </c>
      <c r="BA142" s="4">
        <f ca="1">IFERROR(__xludf.DUMMYFUNCTION("""COMPUTED_VALUE"""),4)</f>
        <v>4</v>
      </c>
      <c r="BB142" s="4">
        <f ca="1">IFERROR(__xludf.DUMMYFUNCTION("""COMPUTED_VALUE"""),4)</f>
        <v>4</v>
      </c>
      <c r="BC142" s="4">
        <f ca="1">IFERROR(__xludf.DUMMYFUNCTION("""COMPUTED_VALUE"""),3)</f>
        <v>3</v>
      </c>
      <c r="BD142" s="4">
        <f ca="1">IFERROR(__xludf.DUMMYFUNCTION("""COMPUTED_VALUE"""),4)</f>
        <v>4</v>
      </c>
      <c r="BE142" s="4">
        <f ca="1">IFERROR(__xludf.DUMMYFUNCTION("""COMPUTED_VALUE"""),3)</f>
        <v>3</v>
      </c>
      <c r="BF142" s="4">
        <f ca="1">IFERROR(__xludf.DUMMYFUNCTION("""COMPUTED_VALUE"""),3)</f>
        <v>3</v>
      </c>
      <c r="BG142" s="4">
        <f ca="1">IFERROR(__xludf.DUMMYFUNCTION("""COMPUTED_VALUE"""),3)</f>
        <v>3</v>
      </c>
      <c r="BH142" s="4">
        <f ca="1">IFERROR(__xludf.DUMMYFUNCTION("""COMPUTED_VALUE"""),4)</f>
        <v>4</v>
      </c>
      <c r="BI142" s="4">
        <f ca="1">IFERROR(__xludf.DUMMYFUNCTION("""COMPUTED_VALUE"""),4)</f>
        <v>4</v>
      </c>
      <c r="BJ142" s="4">
        <f ca="1">IFERROR(__xludf.DUMMYFUNCTION("""COMPUTED_VALUE"""),4)</f>
        <v>4</v>
      </c>
      <c r="BK142" s="4">
        <f ca="1">IFERROR(__xludf.DUMMYFUNCTION("""COMPUTED_VALUE"""),4)</f>
        <v>4</v>
      </c>
      <c r="BL142" s="4">
        <f ca="1">IFERROR(__xludf.DUMMYFUNCTION("""COMPUTED_VALUE"""),4)</f>
        <v>4</v>
      </c>
      <c r="BM142" s="4">
        <f ca="1">IFERROR(__xludf.DUMMYFUNCTION("""COMPUTED_VALUE"""),4)</f>
        <v>4</v>
      </c>
      <c r="BN142" s="4">
        <f ca="1">IFERROR(__xludf.DUMMYFUNCTION("""COMPUTED_VALUE"""),4)</f>
        <v>4</v>
      </c>
      <c r="BO142" s="4">
        <f ca="1">IFERROR(__xludf.DUMMYFUNCTION("""COMPUTED_VALUE"""),4)</f>
        <v>4</v>
      </c>
      <c r="BP142" s="4">
        <f ca="1">IFERROR(__xludf.DUMMYFUNCTION("""COMPUTED_VALUE"""),4)</f>
        <v>4</v>
      </c>
    </row>
    <row r="143" spans="1:68" ht="13.2" x14ac:dyDescent="0.25">
      <c r="A143" s="4" t="str">
        <f ca="1">IFERROR(__xludf.DUMMYFUNCTION("""COMPUTED_VALUE"""),"2_ABaOnue0__VOLh37DSVTsZ_t9rzfzCtd731ZsyMeHjRK721cz6AJ86KmOy-JFgpAUA")</f>
        <v>2_ABaOnue0__VOLh37DSVTsZ_t9rzfzCtd731ZsyMeHjRK721cz6AJ86KmOy-JFgpAUA</v>
      </c>
      <c r="B143" s="5">
        <f ca="1">IFERROR(__xludf.DUMMYFUNCTION("""COMPUTED_VALUE"""),45974.6105168634)</f>
        <v>45974.610516863402</v>
      </c>
      <c r="C143" s="4"/>
      <c r="D143" s="4" t="str">
        <f ca="1">IFERROR(__xludf.DUMMYFUNCTION("""COMPUTED_VALUE"""),"Nam")</f>
        <v>Nam</v>
      </c>
      <c r="E143" s="4" t="str">
        <f ca="1">IFERROR(__xludf.DUMMYFUNCTION("""COMPUTED_VALUE"""),"Công ty TNHH kiểm toán AASCs")</f>
        <v>Công ty TNHH kiểm toán AASCs</v>
      </c>
      <c r="F143" s="4" t="str">
        <f ca="1">IFERROR(__xludf.DUMMYFUNCTION("""COMPUTED_VALUE"""),"Đại học")</f>
        <v>Đại học</v>
      </c>
      <c r="G143" s="4" t="str">
        <f ca="1">IFERROR(__xludf.DUMMYFUNCTION("""COMPUTED_VALUE"""),"Trên 5 đến 10 năm")</f>
        <v>Trên 5 đến 10 năm</v>
      </c>
      <c r="H143" s="4" t="str">
        <f ca="1">IFERROR(__xludf.DUMMYFUNCTION("""COMPUTED_VALUE"""),"Kiểm toán viên/Trưởng nhóm")</f>
        <v>Kiểm toán viên/Trưởng nhóm</v>
      </c>
      <c r="I143" s="4">
        <f ca="1">IFERROR(__xludf.DUMMYFUNCTION("""COMPUTED_VALUE"""),5)</f>
        <v>5</v>
      </c>
      <c r="J143" s="4">
        <f ca="1">IFERROR(__xludf.DUMMYFUNCTION("""COMPUTED_VALUE"""),5)</f>
        <v>5</v>
      </c>
      <c r="K143" s="4">
        <f ca="1">IFERROR(__xludf.DUMMYFUNCTION("""COMPUTED_VALUE"""),5)</f>
        <v>5</v>
      </c>
      <c r="L143" s="4">
        <f ca="1">IFERROR(__xludf.DUMMYFUNCTION("""COMPUTED_VALUE"""),5)</f>
        <v>5</v>
      </c>
      <c r="M143" s="4">
        <f ca="1">IFERROR(__xludf.DUMMYFUNCTION("""COMPUTED_VALUE"""),5)</f>
        <v>5</v>
      </c>
      <c r="N143" s="4">
        <f ca="1">IFERROR(__xludf.DUMMYFUNCTION("""COMPUTED_VALUE"""),5)</f>
        <v>5</v>
      </c>
      <c r="O143" s="4">
        <f ca="1">IFERROR(__xludf.DUMMYFUNCTION("""COMPUTED_VALUE"""),5)</f>
        <v>5</v>
      </c>
      <c r="P143" s="4">
        <f ca="1">IFERROR(__xludf.DUMMYFUNCTION("""COMPUTED_VALUE"""),5)</f>
        <v>5</v>
      </c>
      <c r="Q143" s="4">
        <f ca="1">IFERROR(__xludf.DUMMYFUNCTION("""COMPUTED_VALUE"""),5)</f>
        <v>5</v>
      </c>
      <c r="R143" s="4">
        <f ca="1">IFERROR(__xludf.DUMMYFUNCTION("""COMPUTED_VALUE"""),5)</f>
        <v>5</v>
      </c>
      <c r="S143" s="4">
        <f ca="1">IFERROR(__xludf.DUMMYFUNCTION("""COMPUTED_VALUE"""),5)</f>
        <v>5</v>
      </c>
      <c r="T143" s="4">
        <f ca="1">IFERROR(__xludf.DUMMYFUNCTION("""COMPUTED_VALUE"""),5)</f>
        <v>5</v>
      </c>
      <c r="U143" s="4">
        <f ca="1">IFERROR(__xludf.DUMMYFUNCTION("""COMPUTED_VALUE"""),5)</f>
        <v>5</v>
      </c>
      <c r="V143" s="4">
        <f ca="1">IFERROR(__xludf.DUMMYFUNCTION("""COMPUTED_VALUE"""),5)</f>
        <v>5</v>
      </c>
      <c r="W143" s="4">
        <f ca="1">IFERROR(__xludf.DUMMYFUNCTION("""COMPUTED_VALUE"""),5)</f>
        <v>5</v>
      </c>
      <c r="X143" s="4">
        <f ca="1">IFERROR(__xludf.DUMMYFUNCTION("""COMPUTED_VALUE"""),5)</f>
        <v>5</v>
      </c>
      <c r="Y143" s="4">
        <f ca="1">IFERROR(__xludf.DUMMYFUNCTION("""COMPUTED_VALUE"""),5)</f>
        <v>5</v>
      </c>
      <c r="Z143" s="4">
        <f ca="1">IFERROR(__xludf.DUMMYFUNCTION("""COMPUTED_VALUE"""),5)</f>
        <v>5</v>
      </c>
      <c r="AA143" s="4">
        <f ca="1">IFERROR(__xludf.DUMMYFUNCTION("""COMPUTED_VALUE"""),5)</f>
        <v>5</v>
      </c>
      <c r="AB143" s="4">
        <f ca="1">IFERROR(__xludf.DUMMYFUNCTION("""COMPUTED_VALUE"""),5)</f>
        <v>5</v>
      </c>
      <c r="AC143" s="4">
        <f ca="1">IFERROR(__xludf.DUMMYFUNCTION("""COMPUTED_VALUE"""),5)</f>
        <v>5</v>
      </c>
      <c r="AD143" s="4">
        <f ca="1">IFERROR(__xludf.DUMMYFUNCTION("""COMPUTED_VALUE"""),5)</f>
        <v>5</v>
      </c>
      <c r="AE143" s="4">
        <f ca="1">IFERROR(__xludf.DUMMYFUNCTION("""COMPUTED_VALUE"""),5)</f>
        <v>5</v>
      </c>
      <c r="AF143" s="4">
        <f ca="1">IFERROR(__xludf.DUMMYFUNCTION("""COMPUTED_VALUE"""),5)</f>
        <v>5</v>
      </c>
      <c r="AG143" s="4">
        <f ca="1">IFERROR(__xludf.DUMMYFUNCTION("""COMPUTED_VALUE"""),5)</f>
        <v>5</v>
      </c>
      <c r="AH143" s="4">
        <f ca="1">IFERROR(__xludf.DUMMYFUNCTION("""COMPUTED_VALUE"""),5)</f>
        <v>5</v>
      </c>
      <c r="AI143" s="4">
        <f ca="1">IFERROR(__xludf.DUMMYFUNCTION("""COMPUTED_VALUE"""),5)</f>
        <v>5</v>
      </c>
      <c r="AJ143" s="4">
        <f ca="1">IFERROR(__xludf.DUMMYFUNCTION("""COMPUTED_VALUE"""),5)</f>
        <v>5</v>
      </c>
      <c r="AK143" s="4">
        <f ca="1">IFERROR(__xludf.DUMMYFUNCTION("""COMPUTED_VALUE"""),5)</f>
        <v>5</v>
      </c>
      <c r="AL143" s="4">
        <f ca="1">IFERROR(__xludf.DUMMYFUNCTION("""COMPUTED_VALUE"""),5)</f>
        <v>5</v>
      </c>
      <c r="AM143" s="4">
        <f ca="1">IFERROR(__xludf.DUMMYFUNCTION("""COMPUTED_VALUE"""),5)</f>
        <v>5</v>
      </c>
      <c r="AN143" s="4">
        <f ca="1">IFERROR(__xludf.DUMMYFUNCTION("""COMPUTED_VALUE"""),5)</f>
        <v>5</v>
      </c>
      <c r="AO143" s="4">
        <f ca="1">IFERROR(__xludf.DUMMYFUNCTION("""COMPUTED_VALUE"""),5)</f>
        <v>5</v>
      </c>
      <c r="AP143" s="4">
        <f ca="1">IFERROR(__xludf.DUMMYFUNCTION("""COMPUTED_VALUE"""),5)</f>
        <v>5</v>
      </c>
      <c r="AQ143" s="4">
        <f ca="1">IFERROR(__xludf.DUMMYFUNCTION("""COMPUTED_VALUE"""),5)</f>
        <v>5</v>
      </c>
      <c r="AR143" s="4">
        <f ca="1">IFERROR(__xludf.DUMMYFUNCTION("""COMPUTED_VALUE"""),5)</f>
        <v>5</v>
      </c>
      <c r="AS143" s="4">
        <f ca="1">IFERROR(__xludf.DUMMYFUNCTION("""COMPUTED_VALUE"""),5)</f>
        <v>5</v>
      </c>
      <c r="AT143" s="4">
        <f ca="1">IFERROR(__xludf.DUMMYFUNCTION("""COMPUTED_VALUE"""),5)</f>
        <v>5</v>
      </c>
      <c r="AU143" s="4">
        <f ca="1">IFERROR(__xludf.DUMMYFUNCTION("""COMPUTED_VALUE"""),5)</f>
        <v>5</v>
      </c>
      <c r="AV143" s="4">
        <f ca="1">IFERROR(__xludf.DUMMYFUNCTION("""COMPUTED_VALUE"""),5)</f>
        <v>5</v>
      </c>
      <c r="AW143" s="4">
        <f ca="1">IFERROR(__xludf.DUMMYFUNCTION("""COMPUTED_VALUE"""),5)</f>
        <v>5</v>
      </c>
      <c r="AX143" s="4">
        <f ca="1">IFERROR(__xludf.DUMMYFUNCTION("""COMPUTED_VALUE"""),5)</f>
        <v>5</v>
      </c>
      <c r="AY143" s="4">
        <f ca="1">IFERROR(__xludf.DUMMYFUNCTION("""COMPUTED_VALUE"""),5)</f>
        <v>5</v>
      </c>
      <c r="AZ143" s="4">
        <f ca="1">IFERROR(__xludf.DUMMYFUNCTION("""COMPUTED_VALUE"""),5)</f>
        <v>5</v>
      </c>
      <c r="BA143" s="4">
        <f ca="1">IFERROR(__xludf.DUMMYFUNCTION("""COMPUTED_VALUE"""),5)</f>
        <v>5</v>
      </c>
      <c r="BB143" s="4">
        <f ca="1">IFERROR(__xludf.DUMMYFUNCTION("""COMPUTED_VALUE"""),3)</f>
        <v>3</v>
      </c>
      <c r="BC143" s="4">
        <f ca="1">IFERROR(__xludf.DUMMYFUNCTION("""COMPUTED_VALUE"""),3)</f>
        <v>3</v>
      </c>
      <c r="BD143" s="4">
        <f ca="1">IFERROR(__xludf.DUMMYFUNCTION("""COMPUTED_VALUE"""),3)</f>
        <v>3</v>
      </c>
      <c r="BE143" s="4">
        <f ca="1">IFERROR(__xludf.DUMMYFUNCTION("""COMPUTED_VALUE"""),3)</f>
        <v>3</v>
      </c>
      <c r="BF143" s="4">
        <f ca="1">IFERROR(__xludf.DUMMYFUNCTION("""COMPUTED_VALUE"""),3)</f>
        <v>3</v>
      </c>
      <c r="BG143" s="4">
        <f ca="1">IFERROR(__xludf.DUMMYFUNCTION("""COMPUTED_VALUE"""),3)</f>
        <v>3</v>
      </c>
      <c r="BH143" s="4">
        <f ca="1">IFERROR(__xludf.DUMMYFUNCTION("""COMPUTED_VALUE"""),5)</f>
        <v>5</v>
      </c>
      <c r="BI143" s="4">
        <f ca="1">IFERROR(__xludf.DUMMYFUNCTION("""COMPUTED_VALUE"""),5)</f>
        <v>5</v>
      </c>
      <c r="BJ143" s="4">
        <f ca="1">IFERROR(__xludf.DUMMYFUNCTION("""COMPUTED_VALUE"""),5)</f>
        <v>5</v>
      </c>
      <c r="BK143" s="4">
        <f ca="1">IFERROR(__xludf.DUMMYFUNCTION("""COMPUTED_VALUE"""),5)</f>
        <v>5</v>
      </c>
      <c r="BL143" s="4">
        <f ca="1">IFERROR(__xludf.DUMMYFUNCTION("""COMPUTED_VALUE"""),5)</f>
        <v>5</v>
      </c>
      <c r="BM143" s="4">
        <f ca="1">IFERROR(__xludf.DUMMYFUNCTION("""COMPUTED_VALUE"""),5)</f>
        <v>5</v>
      </c>
      <c r="BN143" s="4">
        <f ca="1">IFERROR(__xludf.DUMMYFUNCTION("""COMPUTED_VALUE"""),5)</f>
        <v>5</v>
      </c>
      <c r="BO143" s="4">
        <f ca="1">IFERROR(__xludf.DUMMYFUNCTION("""COMPUTED_VALUE"""),5)</f>
        <v>5</v>
      </c>
      <c r="BP143" s="4">
        <f ca="1">IFERROR(__xludf.DUMMYFUNCTION("""COMPUTED_VALUE"""),5)</f>
        <v>5</v>
      </c>
    </row>
    <row r="144" spans="1:68" ht="13.2" x14ac:dyDescent="0.25">
      <c r="A144" s="4" t="str">
        <f ca="1">IFERROR(__xludf.DUMMYFUNCTION("""COMPUTED_VALUE"""),"2_ABaOnudV0R_UzYhv-N_GIvN3JNzbPOTQ1XPhVMCe2z4Kd55zpvWhCa1Aqn16YVfVKQ")</f>
        <v>2_ABaOnudV0R_UzYhv-N_GIvN3JNzbPOTQ1XPhVMCe2z4Kd55zpvWhCa1Aqn16YVfVKQ</v>
      </c>
      <c r="B144" s="5">
        <f ca="1">IFERROR(__xludf.DUMMYFUNCTION("""COMPUTED_VALUE"""),45974.6143216898)</f>
        <v>45974.614321689798</v>
      </c>
      <c r="C144" s="4"/>
      <c r="D144" s="4" t="str">
        <f ca="1">IFERROR(__xludf.DUMMYFUNCTION("""COMPUTED_VALUE"""),"Nam")</f>
        <v>Nam</v>
      </c>
      <c r="E144" s="4" t="str">
        <f ca="1">IFERROR(__xludf.DUMMYFUNCTION("""COMPUTED_VALUE"""),"Công ty TNHH Kiểm toán T.L.C Auditing")</f>
        <v>Công ty TNHH Kiểm toán T.L.C Auditing</v>
      </c>
      <c r="F144" s="4" t="str">
        <f ca="1">IFERROR(__xludf.DUMMYFUNCTION("""COMPUTED_VALUE"""),"Sau đại học, Chứng chỉ Kiểm toán viên")</f>
        <v>Sau đại học, Chứng chỉ Kiểm toán viên</v>
      </c>
      <c r="G144" s="4" t="str">
        <f ca="1">IFERROR(__xludf.DUMMYFUNCTION("""COMPUTED_VALUE"""),"Trên 15 đến 20 năm")</f>
        <v>Trên 15 đến 20 năm</v>
      </c>
      <c r="H144" s="4" t="str">
        <f ca="1">IFERROR(__xludf.DUMMYFUNCTION("""COMPUTED_VALUE"""),"Ban giám đốc")</f>
        <v>Ban giám đốc</v>
      </c>
      <c r="I144" s="4">
        <f ca="1">IFERROR(__xludf.DUMMYFUNCTION("""COMPUTED_VALUE"""),5)</f>
        <v>5</v>
      </c>
      <c r="J144" s="4">
        <f ca="1">IFERROR(__xludf.DUMMYFUNCTION("""COMPUTED_VALUE"""),5)</f>
        <v>5</v>
      </c>
      <c r="K144" s="4">
        <f ca="1">IFERROR(__xludf.DUMMYFUNCTION("""COMPUTED_VALUE"""),5)</f>
        <v>5</v>
      </c>
      <c r="L144" s="4">
        <f ca="1">IFERROR(__xludf.DUMMYFUNCTION("""COMPUTED_VALUE"""),4)</f>
        <v>4</v>
      </c>
      <c r="M144" s="4">
        <f ca="1">IFERROR(__xludf.DUMMYFUNCTION("""COMPUTED_VALUE"""),5)</f>
        <v>5</v>
      </c>
      <c r="N144" s="4">
        <f ca="1">IFERROR(__xludf.DUMMYFUNCTION("""COMPUTED_VALUE"""),3)</f>
        <v>3</v>
      </c>
      <c r="O144" s="4">
        <f ca="1">IFERROR(__xludf.DUMMYFUNCTION("""COMPUTED_VALUE"""),4)</f>
        <v>4</v>
      </c>
      <c r="P144" s="4">
        <f ca="1">IFERROR(__xludf.DUMMYFUNCTION("""COMPUTED_VALUE"""),4)</f>
        <v>4</v>
      </c>
      <c r="Q144" s="4">
        <f ca="1">IFERROR(__xludf.DUMMYFUNCTION("""COMPUTED_VALUE"""),5)</f>
        <v>5</v>
      </c>
      <c r="R144" s="4">
        <f ca="1">IFERROR(__xludf.DUMMYFUNCTION("""COMPUTED_VALUE"""),5)</f>
        <v>5</v>
      </c>
      <c r="S144" s="4">
        <f ca="1">IFERROR(__xludf.DUMMYFUNCTION("""COMPUTED_VALUE"""),5)</f>
        <v>5</v>
      </c>
      <c r="T144" s="4">
        <f ca="1">IFERROR(__xludf.DUMMYFUNCTION("""COMPUTED_VALUE"""),4)</f>
        <v>4</v>
      </c>
      <c r="U144" s="4">
        <f ca="1">IFERROR(__xludf.DUMMYFUNCTION("""COMPUTED_VALUE"""),5)</f>
        <v>5</v>
      </c>
      <c r="V144" s="4">
        <f ca="1">IFERROR(__xludf.DUMMYFUNCTION("""COMPUTED_VALUE"""),5)</f>
        <v>5</v>
      </c>
      <c r="W144" s="4">
        <f ca="1">IFERROR(__xludf.DUMMYFUNCTION("""COMPUTED_VALUE"""),4)</f>
        <v>4</v>
      </c>
      <c r="X144" s="4">
        <f ca="1">IFERROR(__xludf.DUMMYFUNCTION("""COMPUTED_VALUE"""),3)</f>
        <v>3</v>
      </c>
      <c r="Y144" s="4">
        <f ca="1">IFERROR(__xludf.DUMMYFUNCTION("""COMPUTED_VALUE"""),4)</f>
        <v>4</v>
      </c>
      <c r="Z144" s="4">
        <f ca="1">IFERROR(__xludf.DUMMYFUNCTION("""COMPUTED_VALUE"""),4)</f>
        <v>4</v>
      </c>
      <c r="AA144" s="4">
        <f ca="1">IFERROR(__xludf.DUMMYFUNCTION("""COMPUTED_VALUE"""),4)</f>
        <v>4</v>
      </c>
      <c r="AB144" s="4">
        <f ca="1">IFERROR(__xludf.DUMMYFUNCTION("""COMPUTED_VALUE"""),2)</f>
        <v>2</v>
      </c>
      <c r="AC144" s="4">
        <f ca="1">IFERROR(__xludf.DUMMYFUNCTION("""COMPUTED_VALUE"""),2)</f>
        <v>2</v>
      </c>
      <c r="AD144" s="4">
        <f ca="1">IFERROR(__xludf.DUMMYFUNCTION("""COMPUTED_VALUE"""),2)</f>
        <v>2</v>
      </c>
      <c r="AE144" s="4">
        <f ca="1">IFERROR(__xludf.DUMMYFUNCTION("""COMPUTED_VALUE"""),4)</f>
        <v>4</v>
      </c>
      <c r="AF144" s="4">
        <f ca="1">IFERROR(__xludf.DUMMYFUNCTION("""COMPUTED_VALUE"""),4)</f>
        <v>4</v>
      </c>
      <c r="AG144" s="4">
        <f ca="1">IFERROR(__xludf.DUMMYFUNCTION("""COMPUTED_VALUE"""),4)</f>
        <v>4</v>
      </c>
      <c r="AH144" s="4">
        <f ca="1">IFERROR(__xludf.DUMMYFUNCTION("""COMPUTED_VALUE"""),4)</f>
        <v>4</v>
      </c>
      <c r="AI144" s="4">
        <f ca="1">IFERROR(__xludf.DUMMYFUNCTION("""COMPUTED_VALUE"""),4)</f>
        <v>4</v>
      </c>
      <c r="AJ144" s="4">
        <f ca="1">IFERROR(__xludf.DUMMYFUNCTION("""COMPUTED_VALUE"""),3)</f>
        <v>3</v>
      </c>
      <c r="AK144" s="4">
        <f ca="1">IFERROR(__xludf.DUMMYFUNCTION("""COMPUTED_VALUE"""),4)</f>
        <v>4</v>
      </c>
      <c r="AL144" s="4">
        <f ca="1">IFERROR(__xludf.DUMMYFUNCTION("""COMPUTED_VALUE"""),4)</f>
        <v>4</v>
      </c>
      <c r="AM144" s="4">
        <f ca="1">IFERROR(__xludf.DUMMYFUNCTION("""COMPUTED_VALUE"""),5)</f>
        <v>5</v>
      </c>
      <c r="AN144" s="4">
        <f ca="1">IFERROR(__xludf.DUMMYFUNCTION("""COMPUTED_VALUE"""),4)</f>
        <v>4</v>
      </c>
      <c r="AO144" s="4">
        <f ca="1">IFERROR(__xludf.DUMMYFUNCTION("""COMPUTED_VALUE"""),4)</f>
        <v>4</v>
      </c>
      <c r="AP144" s="4">
        <f ca="1">IFERROR(__xludf.DUMMYFUNCTION("""COMPUTED_VALUE"""),4)</f>
        <v>4</v>
      </c>
      <c r="AQ144" s="4">
        <f ca="1">IFERROR(__xludf.DUMMYFUNCTION("""COMPUTED_VALUE"""),4)</f>
        <v>4</v>
      </c>
      <c r="AR144" s="4">
        <f ca="1">IFERROR(__xludf.DUMMYFUNCTION("""COMPUTED_VALUE"""),4)</f>
        <v>4</v>
      </c>
      <c r="AS144" s="4">
        <f ca="1">IFERROR(__xludf.DUMMYFUNCTION("""COMPUTED_VALUE"""),5)</f>
        <v>5</v>
      </c>
      <c r="AT144" s="4">
        <f ca="1">IFERROR(__xludf.DUMMYFUNCTION("""COMPUTED_VALUE"""),4)</f>
        <v>4</v>
      </c>
      <c r="AU144" s="4">
        <f ca="1">IFERROR(__xludf.DUMMYFUNCTION("""COMPUTED_VALUE"""),4)</f>
        <v>4</v>
      </c>
      <c r="AV144" s="4">
        <f ca="1">IFERROR(__xludf.DUMMYFUNCTION("""COMPUTED_VALUE"""),4)</f>
        <v>4</v>
      </c>
      <c r="AW144" s="4">
        <f ca="1">IFERROR(__xludf.DUMMYFUNCTION("""COMPUTED_VALUE"""),4)</f>
        <v>4</v>
      </c>
      <c r="AX144" s="4">
        <f ca="1">IFERROR(__xludf.DUMMYFUNCTION("""COMPUTED_VALUE"""),5)</f>
        <v>5</v>
      </c>
      <c r="AY144" s="4">
        <f ca="1">IFERROR(__xludf.DUMMYFUNCTION("""COMPUTED_VALUE"""),5)</f>
        <v>5</v>
      </c>
      <c r="AZ144" s="4">
        <f ca="1">IFERROR(__xludf.DUMMYFUNCTION("""COMPUTED_VALUE"""),4)</f>
        <v>4</v>
      </c>
      <c r="BA144" s="4">
        <f ca="1">IFERROR(__xludf.DUMMYFUNCTION("""COMPUTED_VALUE"""),5)</f>
        <v>5</v>
      </c>
      <c r="BB144" s="4">
        <f ca="1">IFERROR(__xludf.DUMMYFUNCTION("""COMPUTED_VALUE"""),2)</f>
        <v>2</v>
      </c>
      <c r="BC144" s="4">
        <f ca="1">IFERROR(__xludf.DUMMYFUNCTION("""COMPUTED_VALUE"""),4)</f>
        <v>4</v>
      </c>
      <c r="BD144" s="4">
        <f ca="1">IFERROR(__xludf.DUMMYFUNCTION("""COMPUTED_VALUE"""),4)</f>
        <v>4</v>
      </c>
      <c r="BE144" s="4">
        <f ca="1">IFERROR(__xludf.DUMMYFUNCTION("""COMPUTED_VALUE"""),2)</f>
        <v>2</v>
      </c>
      <c r="BF144" s="4">
        <f ca="1">IFERROR(__xludf.DUMMYFUNCTION("""COMPUTED_VALUE"""),2)</f>
        <v>2</v>
      </c>
      <c r="BG144" s="4">
        <f ca="1">IFERROR(__xludf.DUMMYFUNCTION("""COMPUTED_VALUE"""),2)</f>
        <v>2</v>
      </c>
      <c r="BH144" s="4">
        <f ca="1">IFERROR(__xludf.DUMMYFUNCTION("""COMPUTED_VALUE"""),4)</f>
        <v>4</v>
      </c>
      <c r="BI144" s="4">
        <f ca="1">IFERROR(__xludf.DUMMYFUNCTION("""COMPUTED_VALUE"""),5)</f>
        <v>5</v>
      </c>
      <c r="BJ144" s="4">
        <f ca="1">IFERROR(__xludf.DUMMYFUNCTION("""COMPUTED_VALUE"""),5)</f>
        <v>5</v>
      </c>
      <c r="BK144" s="4">
        <f ca="1">IFERROR(__xludf.DUMMYFUNCTION("""COMPUTED_VALUE"""),4)</f>
        <v>4</v>
      </c>
      <c r="BL144" s="4">
        <f ca="1">IFERROR(__xludf.DUMMYFUNCTION("""COMPUTED_VALUE"""),4)</f>
        <v>4</v>
      </c>
      <c r="BM144" s="4">
        <f ca="1">IFERROR(__xludf.DUMMYFUNCTION("""COMPUTED_VALUE"""),4)</f>
        <v>4</v>
      </c>
      <c r="BN144" s="4">
        <f ca="1">IFERROR(__xludf.DUMMYFUNCTION("""COMPUTED_VALUE"""),4)</f>
        <v>4</v>
      </c>
      <c r="BO144" s="4">
        <f ca="1">IFERROR(__xludf.DUMMYFUNCTION("""COMPUTED_VALUE"""),4)</f>
        <v>4</v>
      </c>
      <c r="BP144" s="4">
        <f ca="1">IFERROR(__xludf.DUMMYFUNCTION("""COMPUTED_VALUE"""),4)</f>
        <v>4</v>
      </c>
    </row>
    <row r="145" spans="1:68" ht="13.2" x14ac:dyDescent="0.25">
      <c r="A145" s="4" t="str">
        <f ca="1">IFERROR(__xludf.DUMMYFUNCTION("""COMPUTED_VALUE"""),"2_ABaOnucYdPZ3xsBb4G8yeB68xbKCD0p7mJibL7R11Ymy-cs90apTZN28sm0DVQ94rA")</f>
        <v>2_ABaOnucYdPZ3xsBb4G8yeB68xbKCD0p7mJibL7R11Ymy-cs90apTZN28sm0DVQ94rA</v>
      </c>
      <c r="B145" s="5">
        <f ca="1">IFERROR(__xludf.DUMMYFUNCTION("""COMPUTED_VALUE"""),45974.6464679629)</f>
        <v>45974.646467962899</v>
      </c>
      <c r="C145" s="4" t="str">
        <f ca="1">IFERROR(__xludf.DUMMYFUNCTION("""COMPUTED_VALUE"""),"Phan Quang Hậu")</f>
        <v>Phan Quang Hậu</v>
      </c>
      <c r="D145" s="4" t="str">
        <f ca="1">IFERROR(__xludf.DUMMYFUNCTION("""COMPUTED_VALUE"""),"Nam")</f>
        <v>Nam</v>
      </c>
      <c r="E145" s="4" t="str">
        <f ca="1">IFERROR(__xludf.DUMMYFUNCTION("""COMPUTED_VALUE"""),"CÔNG TY TNHH KIỂM TOÁN I.T.O")</f>
        <v>CÔNG TY TNHH KIỂM TOÁN I.T.O</v>
      </c>
      <c r="F145" s="4" t="str">
        <f ca="1">IFERROR(__xludf.DUMMYFUNCTION("""COMPUTED_VALUE"""),"Đại học")</f>
        <v>Đại học</v>
      </c>
      <c r="G145" s="4" t="str">
        <f ca="1">IFERROR(__xludf.DUMMYFUNCTION("""COMPUTED_VALUE"""),"Từ 3 đến 5 năm")</f>
        <v>Từ 3 đến 5 năm</v>
      </c>
      <c r="H145" s="4" t="str">
        <f ca="1">IFERROR(__xludf.DUMMYFUNCTION("""COMPUTED_VALUE"""),"Trợ lý kiểm toán")</f>
        <v>Trợ lý kiểm toán</v>
      </c>
      <c r="I145" s="4">
        <f ca="1">IFERROR(__xludf.DUMMYFUNCTION("""COMPUTED_VALUE"""),3)</f>
        <v>3</v>
      </c>
      <c r="J145" s="4">
        <f ca="1">IFERROR(__xludf.DUMMYFUNCTION("""COMPUTED_VALUE"""),3)</f>
        <v>3</v>
      </c>
      <c r="K145" s="4">
        <f ca="1">IFERROR(__xludf.DUMMYFUNCTION("""COMPUTED_VALUE"""),3)</f>
        <v>3</v>
      </c>
      <c r="L145" s="4">
        <f ca="1">IFERROR(__xludf.DUMMYFUNCTION("""COMPUTED_VALUE"""),3)</f>
        <v>3</v>
      </c>
      <c r="M145" s="4">
        <f ca="1">IFERROR(__xludf.DUMMYFUNCTION("""COMPUTED_VALUE"""),3)</f>
        <v>3</v>
      </c>
      <c r="N145" s="4">
        <f ca="1">IFERROR(__xludf.DUMMYFUNCTION("""COMPUTED_VALUE"""),3)</f>
        <v>3</v>
      </c>
      <c r="O145" s="4">
        <f ca="1">IFERROR(__xludf.DUMMYFUNCTION("""COMPUTED_VALUE"""),3)</f>
        <v>3</v>
      </c>
      <c r="P145" s="4">
        <f ca="1">IFERROR(__xludf.DUMMYFUNCTION("""COMPUTED_VALUE"""),3)</f>
        <v>3</v>
      </c>
      <c r="Q145" s="4">
        <f ca="1">IFERROR(__xludf.DUMMYFUNCTION("""COMPUTED_VALUE"""),3)</f>
        <v>3</v>
      </c>
      <c r="R145" s="4">
        <f ca="1">IFERROR(__xludf.DUMMYFUNCTION("""COMPUTED_VALUE"""),3)</f>
        <v>3</v>
      </c>
      <c r="S145" s="4">
        <f ca="1">IFERROR(__xludf.DUMMYFUNCTION("""COMPUTED_VALUE"""),3)</f>
        <v>3</v>
      </c>
      <c r="T145" s="4">
        <f ca="1">IFERROR(__xludf.DUMMYFUNCTION("""COMPUTED_VALUE"""),3)</f>
        <v>3</v>
      </c>
      <c r="U145" s="4">
        <f ca="1">IFERROR(__xludf.DUMMYFUNCTION("""COMPUTED_VALUE"""),3)</f>
        <v>3</v>
      </c>
      <c r="V145" s="4">
        <f ca="1">IFERROR(__xludf.DUMMYFUNCTION("""COMPUTED_VALUE"""),3)</f>
        <v>3</v>
      </c>
      <c r="W145" s="4">
        <f ca="1">IFERROR(__xludf.DUMMYFUNCTION("""COMPUTED_VALUE"""),3)</f>
        <v>3</v>
      </c>
      <c r="X145" s="4">
        <f ca="1">IFERROR(__xludf.DUMMYFUNCTION("""COMPUTED_VALUE"""),3)</f>
        <v>3</v>
      </c>
      <c r="Y145" s="4">
        <f ca="1">IFERROR(__xludf.DUMMYFUNCTION("""COMPUTED_VALUE"""),3)</f>
        <v>3</v>
      </c>
      <c r="Z145" s="4">
        <f ca="1">IFERROR(__xludf.DUMMYFUNCTION("""COMPUTED_VALUE"""),3)</f>
        <v>3</v>
      </c>
      <c r="AA145" s="4">
        <f ca="1">IFERROR(__xludf.DUMMYFUNCTION("""COMPUTED_VALUE"""),3)</f>
        <v>3</v>
      </c>
      <c r="AB145" s="4">
        <f ca="1">IFERROR(__xludf.DUMMYFUNCTION("""COMPUTED_VALUE"""),3)</f>
        <v>3</v>
      </c>
      <c r="AC145" s="4">
        <f ca="1">IFERROR(__xludf.DUMMYFUNCTION("""COMPUTED_VALUE"""),3)</f>
        <v>3</v>
      </c>
      <c r="AD145" s="4">
        <f ca="1">IFERROR(__xludf.DUMMYFUNCTION("""COMPUTED_VALUE"""),3)</f>
        <v>3</v>
      </c>
      <c r="AE145" s="4">
        <f ca="1">IFERROR(__xludf.DUMMYFUNCTION("""COMPUTED_VALUE"""),3)</f>
        <v>3</v>
      </c>
      <c r="AF145" s="4">
        <f ca="1">IFERROR(__xludf.DUMMYFUNCTION("""COMPUTED_VALUE"""),3)</f>
        <v>3</v>
      </c>
      <c r="AG145" s="4">
        <f ca="1">IFERROR(__xludf.DUMMYFUNCTION("""COMPUTED_VALUE"""),3)</f>
        <v>3</v>
      </c>
      <c r="AH145" s="4">
        <f ca="1">IFERROR(__xludf.DUMMYFUNCTION("""COMPUTED_VALUE"""),3)</f>
        <v>3</v>
      </c>
      <c r="AI145" s="4">
        <f ca="1">IFERROR(__xludf.DUMMYFUNCTION("""COMPUTED_VALUE"""),3)</f>
        <v>3</v>
      </c>
      <c r="AJ145" s="4">
        <f ca="1">IFERROR(__xludf.DUMMYFUNCTION("""COMPUTED_VALUE"""),3)</f>
        <v>3</v>
      </c>
      <c r="AK145" s="4">
        <f ca="1">IFERROR(__xludf.DUMMYFUNCTION("""COMPUTED_VALUE"""),3)</f>
        <v>3</v>
      </c>
      <c r="AL145" s="4">
        <f ca="1">IFERROR(__xludf.DUMMYFUNCTION("""COMPUTED_VALUE"""),3)</f>
        <v>3</v>
      </c>
      <c r="AM145" s="4">
        <f ca="1">IFERROR(__xludf.DUMMYFUNCTION("""COMPUTED_VALUE"""),3)</f>
        <v>3</v>
      </c>
      <c r="AN145" s="4">
        <f ca="1">IFERROR(__xludf.DUMMYFUNCTION("""COMPUTED_VALUE"""),3)</f>
        <v>3</v>
      </c>
      <c r="AO145" s="4">
        <f ca="1">IFERROR(__xludf.DUMMYFUNCTION("""COMPUTED_VALUE"""),3)</f>
        <v>3</v>
      </c>
      <c r="AP145" s="4">
        <f ca="1">IFERROR(__xludf.DUMMYFUNCTION("""COMPUTED_VALUE"""),3)</f>
        <v>3</v>
      </c>
      <c r="AQ145" s="4">
        <f ca="1">IFERROR(__xludf.DUMMYFUNCTION("""COMPUTED_VALUE"""),3)</f>
        <v>3</v>
      </c>
      <c r="AR145" s="4">
        <f ca="1">IFERROR(__xludf.DUMMYFUNCTION("""COMPUTED_VALUE"""),3)</f>
        <v>3</v>
      </c>
      <c r="AS145" s="4">
        <f ca="1">IFERROR(__xludf.DUMMYFUNCTION("""COMPUTED_VALUE"""),3)</f>
        <v>3</v>
      </c>
      <c r="AT145" s="4">
        <f ca="1">IFERROR(__xludf.DUMMYFUNCTION("""COMPUTED_VALUE"""),3)</f>
        <v>3</v>
      </c>
      <c r="AU145" s="4">
        <f ca="1">IFERROR(__xludf.DUMMYFUNCTION("""COMPUTED_VALUE"""),3)</f>
        <v>3</v>
      </c>
      <c r="AV145" s="4">
        <f ca="1">IFERROR(__xludf.DUMMYFUNCTION("""COMPUTED_VALUE"""),3)</f>
        <v>3</v>
      </c>
      <c r="AW145" s="4">
        <f ca="1">IFERROR(__xludf.DUMMYFUNCTION("""COMPUTED_VALUE"""),3)</f>
        <v>3</v>
      </c>
      <c r="AX145" s="4">
        <f ca="1">IFERROR(__xludf.DUMMYFUNCTION("""COMPUTED_VALUE"""),3)</f>
        <v>3</v>
      </c>
      <c r="AY145" s="4">
        <f ca="1">IFERROR(__xludf.DUMMYFUNCTION("""COMPUTED_VALUE"""),3)</f>
        <v>3</v>
      </c>
      <c r="AZ145" s="4">
        <f ca="1">IFERROR(__xludf.DUMMYFUNCTION("""COMPUTED_VALUE"""),3)</f>
        <v>3</v>
      </c>
      <c r="BA145" s="4">
        <f ca="1">IFERROR(__xludf.DUMMYFUNCTION("""COMPUTED_VALUE"""),3)</f>
        <v>3</v>
      </c>
      <c r="BB145" s="4">
        <f ca="1">IFERROR(__xludf.DUMMYFUNCTION("""COMPUTED_VALUE"""),3)</f>
        <v>3</v>
      </c>
      <c r="BC145" s="4">
        <f ca="1">IFERROR(__xludf.DUMMYFUNCTION("""COMPUTED_VALUE"""),3)</f>
        <v>3</v>
      </c>
      <c r="BD145" s="4">
        <f ca="1">IFERROR(__xludf.DUMMYFUNCTION("""COMPUTED_VALUE"""),3)</f>
        <v>3</v>
      </c>
      <c r="BE145" s="4">
        <f ca="1">IFERROR(__xludf.DUMMYFUNCTION("""COMPUTED_VALUE"""),3)</f>
        <v>3</v>
      </c>
      <c r="BF145" s="4">
        <f ca="1">IFERROR(__xludf.DUMMYFUNCTION("""COMPUTED_VALUE"""),3)</f>
        <v>3</v>
      </c>
      <c r="BG145" s="4">
        <f ca="1">IFERROR(__xludf.DUMMYFUNCTION("""COMPUTED_VALUE"""),3)</f>
        <v>3</v>
      </c>
      <c r="BH145" s="4">
        <f ca="1">IFERROR(__xludf.DUMMYFUNCTION("""COMPUTED_VALUE"""),3)</f>
        <v>3</v>
      </c>
      <c r="BI145" s="4">
        <f ca="1">IFERROR(__xludf.DUMMYFUNCTION("""COMPUTED_VALUE"""),3)</f>
        <v>3</v>
      </c>
      <c r="BJ145" s="4">
        <f ca="1">IFERROR(__xludf.DUMMYFUNCTION("""COMPUTED_VALUE"""),3)</f>
        <v>3</v>
      </c>
      <c r="BK145" s="4">
        <f ca="1">IFERROR(__xludf.DUMMYFUNCTION("""COMPUTED_VALUE"""),3)</f>
        <v>3</v>
      </c>
      <c r="BL145" s="4">
        <f ca="1">IFERROR(__xludf.DUMMYFUNCTION("""COMPUTED_VALUE"""),3)</f>
        <v>3</v>
      </c>
      <c r="BM145" s="4">
        <f ca="1">IFERROR(__xludf.DUMMYFUNCTION("""COMPUTED_VALUE"""),3)</f>
        <v>3</v>
      </c>
      <c r="BN145" s="4">
        <f ca="1">IFERROR(__xludf.DUMMYFUNCTION("""COMPUTED_VALUE"""),3)</f>
        <v>3</v>
      </c>
      <c r="BO145" s="4">
        <f ca="1">IFERROR(__xludf.DUMMYFUNCTION("""COMPUTED_VALUE"""),3)</f>
        <v>3</v>
      </c>
      <c r="BP145" s="4">
        <f ca="1">IFERROR(__xludf.DUMMYFUNCTION("""COMPUTED_VALUE"""),3)</f>
        <v>3</v>
      </c>
    </row>
    <row r="146" spans="1:68" ht="13.2" x14ac:dyDescent="0.25">
      <c r="A146" s="4" t="str">
        <f ca="1">IFERROR(__xludf.DUMMYFUNCTION("""COMPUTED_VALUE"""),"2_ABaOnucggZvIBVqC6kpZXIUJevUActLZ2-wSa1V_C4G-meWJPVWVjpwM-uVSyVdEUA")</f>
        <v>2_ABaOnucggZvIBVqC6kpZXIUJevUActLZ2-wSa1V_C4G-meWJPVWVjpwM-uVSyVdEUA</v>
      </c>
      <c r="B146" s="5">
        <f ca="1">IFERROR(__xludf.DUMMYFUNCTION("""COMPUTED_VALUE"""),45974.6472240162)</f>
        <v>45974.647224016197</v>
      </c>
      <c r="C146" s="4" t="str">
        <f ca="1">IFERROR(__xludf.DUMMYFUNCTION("""COMPUTED_VALUE"""),"Nguyễn Phương Nhung")</f>
        <v>Nguyễn Phương Nhung</v>
      </c>
      <c r="D146" s="4" t="str">
        <f ca="1">IFERROR(__xludf.DUMMYFUNCTION("""COMPUTED_VALUE"""),"Nữ")</f>
        <v>Nữ</v>
      </c>
      <c r="E146" s="4" t="str">
        <f ca="1">IFERROR(__xludf.DUMMYFUNCTION("""COMPUTED_VALUE"""),"Công ty TNHH Kiểm toán I.T.O")</f>
        <v>Công ty TNHH Kiểm toán I.T.O</v>
      </c>
      <c r="F146" s="4" t="str">
        <f ca="1">IFERROR(__xludf.DUMMYFUNCTION("""COMPUTED_VALUE"""),"Đại học")</f>
        <v>Đại học</v>
      </c>
      <c r="G146" s="4" t="str">
        <f ca="1">IFERROR(__xludf.DUMMYFUNCTION("""COMPUTED_VALUE"""),"Từ 3 đến 5 năm")</f>
        <v>Từ 3 đến 5 năm</v>
      </c>
      <c r="H146" s="4" t="str">
        <f ca="1">IFERROR(__xludf.DUMMYFUNCTION("""COMPUTED_VALUE"""),"Trợ lý kiểm toán")</f>
        <v>Trợ lý kiểm toán</v>
      </c>
      <c r="I146" s="4">
        <f ca="1">IFERROR(__xludf.DUMMYFUNCTION("""COMPUTED_VALUE"""),3)</f>
        <v>3</v>
      </c>
      <c r="J146" s="4">
        <f ca="1">IFERROR(__xludf.DUMMYFUNCTION("""COMPUTED_VALUE"""),3)</f>
        <v>3</v>
      </c>
      <c r="K146" s="4">
        <f ca="1">IFERROR(__xludf.DUMMYFUNCTION("""COMPUTED_VALUE"""),3)</f>
        <v>3</v>
      </c>
      <c r="L146" s="4">
        <f ca="1">IFERROR(__xludf.DUMMYFUNCTION("""COMPUTED_VALUE"""),3)</f>
        <v>3</v>
      </c>
      <c r="M146" s="4">
        <f ca="1">IFERROR(__xludf.DUMMYFUNCTION("""COMPUTED_VALUE"""),3)</f>
        <v>3</v>
      </c>
      <c r="N146" s="4">
        <f ca="1">IFERROR(__xludf.DUMMYFUNCTION("""COMPUTED_VALUE"""),3)</f>
        <v>3</v>
      </c>
      <c r="O146" s="4">
        <f ca="1">IFERROR(__xludf.DUMMYFUNCTION("""COMPUTED_VALUE"""),3)</f>
        <v>3</v>
      </c>
      <c r="P146" s="4">
        <f ca="1">IFERROR(__xludf.DUMMYFUNCTION("""COMPUTED_VALUE"""),3)</f>
        <v>3</v>
      </c>
      <c r="Q146" s="4">
        <f ca="1">IFERROR(__xludf.DUMMYFUNCTION("""COMPUTED_VALUE"""),3)</f>
        <v>3</v>
      </c>
      <c r="R146" s="4">
        <f ca="1">IFERROR(__xludf.DUMMYFUNCTION("""COMPUTED_VALUE"""),3)</f>
        <v>3</v>
      </c>
      <c r="S146" s="4">
        <f ca="1">IFERROR(__xludf.DUMMYFUNCTION("""COMPUTED_VALUE"""),3)</f>
        <v>3</v>
      </c>
      <c r="T146" s="4">
        <f ca="1">IFERROR(__xludf.DUMMYFUNCTION("""COMPUTED_VALUE"""),3)</f>
        <v>3</v>
      </c>
      <c r="U146" s="4">
        <f ca="1">IFERROR(__xludf.DUMMYFUNCTION("""COMPUTED_VALUE"""),3)</f>
        <v>3</v>
      </c>
      <c r="V146" s="4">
        <f ca="1">IFERROR(__xludf.DUMMYFUNCTION("""COMPUTED_VALUE"""),3)</f>
        <v>3</v>
      </c>
      <c r="W146" s="4">
        <f ca="1">IFERROR(__xludf.DUMMYFUNCTION("""COMPUTED_VALUE"""),3)</f>
        <v>3</v>
      </c>
      <c r="X146" s="4">
        <f ca="1">IFERROR(__xludf.DUMMYFUNCTION("""COMPUTED_VALUE"""),3)</f>
        <v>3</v>
      </c>
      <c r="Y146" s="4">
        <f ca="1">IFERROR(__xludf.DUMMYFUNCTION("""COMPUTED_VALUE"""),3)</f>
        <v>3</v>
      </c>
      <c r="Z146" s="4">
        <f ca="1">IFERROR(__xludf.DUMMYFUNCTION("""COMPUTED_VALUE"""),3)</f>
        <v>3</v>
      </c>
      <c r="AA146" s="4">
        <f ca="1">IFERROR(__xludf.DUMMYFUNCTION("""COMPUTED_VALUE"""),3)</f>
        <v>3</v>
      </c>
      <c r="AB146" s="4">
        <f ca="1">IFERROR(__xludf.DUMMYFUNCTION("""COMPUTED_VALUE"""),4)</f>
        <v>4</v>
      </c>
      <c r="AC146" s="4">
        <f ca="1">IFERROR(__xludf.DUMMYFUNCTION("""COMPUTED_VALUE"""),4)</f>
        <v>4</v>
      </c>
      <c r="AD146" s="4">
        <f ca="1">IFERROR(__xludf.DUMMYFUNCTION("""COMPUTED_VALUE"""),4)</f>
        <v>4</v>
      </c>
      <c r="AE146" s="4">
        <f ca="1">IFERROR(__xludf.DUMMYFUNCTION("""COMPUTED_VALUE"""),4)</f>
        <v>4</v>
      </c>
      <c r="AF146" s="4">
        <f ca="1">IFERROR(__xludf.DUMMYFUNCTION("""COMPUTED_VALUE"""),3)</f>
        <v>3</v>
      </c>
      <c r="AG146" s="4">
        <f ca="1">IFERROR(__xludf.DUMMYFUNCTION("""COMPUTED_VALUE"""),3)</f>
        <v>3</v>
      </c>
      <c r="AH146" s="4">
        <f ca="1">IFERROR(__xludf.DUMMYFUNCTION("""COMPUTED_VALUE"""),3)</f>
        <v>3</v>
      </c>
      <c r="AI146" s="4">
        <f ca="1">IFERROR(__xludf.DUMMYFUNCTION("""COMPUTED_VALUE"""),3)</f>
        <v>3</v>
      </c>
      <c r="AJ146" s="4">
        <f ca="1">IFERROR(__xludf.DUMMYFUNCTION("""COMPUTED_VALUE"""),3)</f>
        <v>3</v>
      </c>
      <c r="AK146" s="4">
        <f ca="1">IFERROR(__xludf.DUMMYFUNCTION("""COMPUTED_VALUE"""),3)</f>
        <v>3</v>
      </c>
      <c r="AL146" s="4">
        <f ca="1">IFERROR(__xludf.DUMMYFUNCTION("""COMPUTED_VALUE"""),3)</f>
        <v>3</v>
      </c>
      <c r="AM146" s="4">
        <f ca="1">IFERROR(__xludf.DUMMYFUNCTION("""COMPUTED_VALUE"""),3)</f>
        <v>3</v>
      </c>
      <c r="AN146" s="4">
        <f ca="1">IFERROR(__xludf.DUMMYFUNCTION("""COMPUTED_VALUE"""),3)</f>
        <v>3</v>
      </c>
      <c r="AO146" s="4">
        <f ca="1">IFERROR(__xludf.DUMMYFUNCTION("""COMPUTED_VALUE"""),3)</f>
        <v>3</v>
      </c>
      <c r="AP146" s="4">
        <f ca="1">IFERROR(__xludf.DUMMYFUNCTION("""COMPUTED_VALUE"""),3)</f>
        <v>3</v>
      </c>
      <c r="AQ146" s="4">
        <f ca="1">IFERROR(__xludf.DUMMYFUNCTION("""COMPUTED_VALUE"""),3)</f>
        <v>3</v>
      </c>
      <c r="AR146" s="4">
        <f ca="1">IFERROR(__xludf.DUMMYFUNCTION("""COMPUTED_VALUE"""),3)</f>
        <v>3</v>
      </c>
      <c r="AS146" s="4">
        <f ca="1">IFERROR(__xludf.DUMMYFUNCTION("""COMPUTED_VALUE"""),3)</f>
        <v>3</v>
      </c>
      <c r="AT146" s="4">
        <f ca="1">IFERROR(__xludf.DUMMYFUNCTION("""COMPUTED_VALUE"""),3)</f>
        <v>3</v>
      </c>
      <c r="AU146" s="4">
        <f ca="1">IFERROR(__xludf.DUMMYFUNCTION("""COMPUTED_VALUE"""),3)</f>
        <v>3</v>
      </c>
      <c r="AV146" s="4">
        <f ca="1">IFERROR(__xludf.DUMMYFUNCTION("""COMPUTED_VALUE"""),3)</f>
        <v>3</v>
      </c>
      <c r="AW146" s="4">
        <f ca="1">IFERROR(__xludf.DUMMYFUNCTION("""COMPUTED_VALUE"""),3)</f>
        <v>3</v>
      </c>
      <c r="AX146" s="4">
        <f ca="1">IFERROR(__xludf.DUMMYFUNCTION("""COMPUTED_VALUE"""),4)</f>
        <v>4</v>
      </c>
      <c r="AY146" s="4">
        <f ca="1">IFERROR(__xludf.DUMMYFUNCTION("""COMPUTED_VALUE"""),4)</f>
        <v>4</v>
      </c>
      <c r="AZ146" s="4">
        <f ca="1">IFERROR(__xludf.DUMMYFUNCTION("""COMPUTED_VALUE"""),4)</f>
        <v>4</v>
      </c>
      <c r="BA146" s="4">
        <f ca="1">IFERROR(__xludf.DUMMYFUNCTION("""COMPUTED_VALUE"""),4)</f>
        <v>4</v>
      </c>
      <c r="BB146" s="4">
        <f ca="1">IFERROR(__xludf.DUMMYFUNCTION("""COMPUTED_VALUE"""),4)</f>
        <v>4</v>
      </c>
      <c r="BC146" s="4">
        <f ca="1">IFERROR(__xludf.DUMMYFUNCTION("""COMPUTED_VALUE"""),4)</f>
        <v>4</v>
      </c>
      <c r="BD146" s="4">
        <f ca="1">IFERROR(__xludf.DUMMYFUNCTION("""COMPUTED_VALUE"""),4)</f>
        <v>4</v>
      </c>
      <c r="BE146" s="4">
        <f ca="1">IFERROR(__xludf.DUMMYFUNCTION("""COMPUTED_VALUE"""),4)</f>
        <v>4</v>
      </c>
      <c r="BF146" s="4">
        <f ca="1">IFERROR(__xludf.DUMMYFUNCTION("""COMPUTED_VALUE"""),4)</f>
        <v>4</v>
      </c>
      <c r="BG146" s="4">
        <f ca="1">IFERROR(__xludf.DUMMYFUNCTION("""COMPUTED_VALUE"""),4)</f>
        <v>4</v>
      </c>
      <c r="BH146" s="4">
        <f ca="1">IFERROR(__xludf.DUMMYFUNCTION("""COMPUTED_VALUE"""),3)</f>
        <v>3</v>
      </c>
      <c r="BI146" s="4">
        <f ca="1">IFERROR(__xludf.DUMMYFUNCTION("""COMPUTED_VALUE"""),3)</f>
        <v>3</v>
      </c>
      <c r="BJ146" s="4">
        <f ca="1">IFERROR(__xludf.DUMMYFUNCTION("""COMPUTED_VALUE"""),3)</f>
        <v>3</v>
      </c>
      <c r="BK146" s="4">
        <f ca="1">IFERROR(__xludf.DUMMYFUNCTION("""COMPUTED_VALUE"""),4)</f>
        <v>4</v>
      </c>
      <c r="BL146" s="4">
        <f ca="1">IFERROR(__xludf.DUMMYFUNCTION("""COMPUTED_VALUE"""),4)</f>
        <v>4</v>
      </c>
      <c r="BM146" s="4">
        <f ca="1">IFERROR(__xludf.DUMMYFUNCTION("""COMPUTED_VALUE"""),4)</f>
        <v>4</v>
      </c>
      <c r="BN146" s="4">
        <f ca="1">IFERROR(__xludf.DUMMYFUNCTION("""COMPUTED_VALUE"""),4)</f>
        <v>4</v>
      </c>
      <c r="BO146" s="4">
        <f ca="1">IFERROR(__xludf.DUMMYFUNCTION("""COMPUTED_VALUE"""),4)</f>
        <v>4</v>
      </c>
      <c r="BP146" s="4">
        <f ca="1">IFERROR(__xludf.DUMMYFUNCTION("""COMPUTED_VALUE"""),4)</f>
        <v>4</v>
      </c>
    </row>
    <row r="147" spans="1:68" ht="13.2" x14ac:dyDescent="0.25">
      <c r="A147" s="4" t="str">
        <f ca="1">IFERROR(__xludf.DUMMYFUNCTION("""COMPUTED_VALUE"""),"2_ABaOnucFSdnblF-kZiyQboJBz9LG34LkWzdyQOCCNPCptUD_d6hptYor0D5Dsilgyg")</f>
        <v>2_ABaOnucFSdnblF-kZiyQboJBz9LG34LkWzdyQOCCNPCptUD_d6hptYor0D5Dsilgyg</v>
      </c>
      <c r="B147" s="5">
        <f ca="1">IFERROR(__xludf.DUMMYFUNCTION("""COMPUTED_VALUE"""),45974.6487778588)</f>
        <v>45974.648777858798</v>
      </c>
      <c r="C147" s="4" t="str">
        <f ca="1">IFERROR(__xludf.DUMMYFUNCTION("""COMPUTED_VALUE"""),"Nguyễn Hoàng Việt")</f>
        <v>Nguyễn Hoàng Việt</v>
      </c>
      <c r="D147" s="4" t="str">
        <f ca="1">IFERROR(__xludf.DUMMYFUNCTION("""COMPUTED_VALUE"""),"Nam")</f>
        <v>Nam</v>
      </c>
      <c r="E147" s="4" t="str">
        <f ca="1">IFERROR(__xludf.DUMMYFUNCTION("""COMPUTED_VALUE"""),"CÔNG TY TNHH KIỂM TOÁN I.T.O")</f>
        <v>CÔNG TY TNHH KIỂM TOÁN I.T.O</v>
      </c>
      <c r="F147" s="4" t="str">
        <f ca="1">IFERROR(__xludf.DUMMYFUNCTION("""COMPUTED_VALUE"""),"Đại học")</f>
        <v>Đại học</v>
      </c>
      <c r="G147" s="4" t="str">
        <f ca="1">IFERROR(__xludf.DUMMYFUNCTION("""COMPUTED_VALUE"""),"Từ 3 đến 5 năm")</f>
        <v>Từ 3 đến 5 năm</v>
      </c>
      <c r="H147" s="4" t="str">
        <f ca="1">IFERROR(__xludf.DUMMYFUNCTION("""COMPUTED_VALUE"""),"Trợ lý kiểm toán")</f>
        <v>Trợ lý kiểm toán</v>
      </c>
      <c r="I147" s="4">
        <f ca="1">IFERROR(__xludf.DUMMYFUNCTION("""COMPUTED_VALUE"""),5)</f>
        <v>5</v>
      </c>
      <c r="J147" s="4">
        <f ca="1">IFERROR(__xludf.DUMMYFUNCTION("""COMPUTED_VALUE"""),5)</f>
        <v>5</v>
      </c>
      <c r="K147" s="4">
        <f ca="1">IFERROR(__xludf.DUMMYFUNCTION("""COMPUTED_VALUE"""),5)</f>
        <v>5</v>
      </c>
      <c r="L147" s="4">
        <f ca="1">IFERROR(__xludf.DUMMYFUNCTION("""COMPUTED_VALUE"""),5)</f>
        <v>5</v>
      </c>
      <c r="M147" s="4">
        <f ca="1">IFERROR(__xludf.DUMMYFUNCTION("""COMPUTED_VALUE"""),5)</f>
        <v>5</v>
      </c>
      <c r="N147" s="4">
        <f ca="1">IFERROR(__xludf.DUMMYFUNCTION("""COMPUTED_VALUE"""),5)</f>
        <v>5</v>
      </c>
      <c r="O147" s="4">
        <f ca="1">IFERROR(__xludf.DUMMYFUNCTION("""COMPUTED_VALUE"""),5)</f>
        <v>5</v>
      </c>
      <c r="P147" s="4">
        <f ca="1">IFERROR(__xludf.DUMMYFUNCTION("""COMPUTED_VALUE"""),5)</f>
        <v>5</v>
      </c>
      <c r="Q147" s="4">
        <f ca="1">IFERROR(__xludf.DUMMYFUNCTION("""COMPUTED_VALUE"""),5)</f>
        <v>5</v>
      </c>
      <c r="R147" s="4">
        <f ca="1">IFERROR(__xludf.DUMMYFUNCTION("""COMPUTED_VALUE"""),5)</f>
        <v>5</v>
      </c>
      <c r="S147" s="4">
        <f ca="1">IFERROR(__xludf.DUMMYFUNCTION("""COMPUTED_VALUE"""),5)</f>
        <v>5</v>
      </c>
      <c r="T147" s="4">
        <f ca="1">IFERROR(__xludf.DUMMYFUNCTION("""COMPUTED_VALUE"""),5)</f>
        <v>5</v>
      </c>
      <c r="U147" s="4">
        <f ca="1">IFERROR(__xludf.DUMMYFUNCTION("""COMPUTED_VALUE"""),5)</f>
        <v>5</v>
      </c>
      <c r="V147" s="4">
        <f ca="1">IFERROR(__xludf.DUMMYFUNCTION("""COMPUTED_VALUE"""),5)</f>
        <v>5</v>
      </c>
      <c r="W147" s="4">
        <f ca="1">IFERROR(__xludf.DUMMYFUNCTION("""COMPUTED_VALUE"""),5)</f>
        <v>5</v>
      </c>
      <c r="X147" s="4">
        <f ca="1">IFERROR(__xludf.DUMMYFUNCTION("""COMPUTED_VALUE"""),5)</f>
        <v>5</v>
      </c>
      <c r="Y147" s="4">
        <f ca="1">IFERROR(__xludf.DUMMYFUNCTION("""COMPUTED_VALUE"""),5)</f>
        <v>5</v>
      </c>
      <c r="Z147" s="4">
        <f ca="1">IFERROR(__xludf.DUMMYFUNCTION("""COMPUTED_VALUE"""),5)</f>
        <v>5</v>
      </c>
      <c r="AA147" s="4">
        <f ca="1">IFERROR(__xludf.DUMMYFUNCTION("""COMPUTED_VALUE"""),5)</f>
        <v>5</v>
      </c>
      <c r="AB147" s="4">
        <f ca="1">IFERROR(__xludf.DUMMYFUNCTION("""COMPUTED_VALUE"""),5)</f>
        <v>5</v>
      </c>
      <c r="AC147" s="4">
        <f ca="1">IFERROR(__xludf.DUMMYFUNCTION("""COMPUTED_VALUE"""),5)</f>
        <v>5</v>
      </c>
      <c r="AD147" s="4">
        <f ca="1">IFERROR(__xludf.DUMMYFUNCTION("""COMPUTED_VALUE"""),5)</f>
        <v>5</v>
      </c>
      <c r="AE147" s="4">
        <f ca="1">IFERROR(__xludf.DUMMYFUNCTION("""COMPUTED_VALUE"""),5)</f>
        <v>5</v>
      </c>
      <c r="AF147" s="4">
        <f ca="1">IFERROR(__xludf.DUMMYFUNCTION("""COMPUTED_VALUE"""),5)</f>
        <v>5</v>
      </c>
      <c r="AG147" s="4">
        <f ca="1">IFERROR(__xludf.DUMMYFUNCTION("""COMPUTED_VALUE"""),5)</f>
        <v>5</v>
      </c>
      <c r="AH147" s="4">
        <f ca="1">IFERROR(__xludf.DUMMYFUNCTION("""COMPUTED_VALUE"""),5)</f>
        <v>5</v>
      </c>
      <c r="AI147" s="4">
        <f ca="1">IFERROR(__xludf.DUMMYFUNCTION("""COMPUTED_VALUE"""),5)</f>
        <v>5</v>
      </c>
      <c r="AJ147" s="4">
        <f ca="1">IFERROR(__xludf.DUMMYFUNCTION("""COMPUTED_VALUE"""),5)</f>
        <v>5</v>
      </c>
      <c r="AK147" s="4">
        <f ca="1">IFERROR(__xludf.DUMMYFUNCTION("""COMPUTED_VALUE"""),5)</f>
        <v>5</v>
      </c>
      <c r="AL147" s="4">
        <f ca="1">IFERROR(__xludf.DUMMYFUNCTION("""COMPUTED_VALUE"""),5)</f>
        <v>5</v>
      </c>
      <c r="AM147" s="4">
        <f ca="1">IFERROR(__xludf.DUMMYFUNCTION("""COMPUTED_VALUE"""),5)</f>
        <v>5</v>
      </c>
      <c r="AN147" s="4">
        <f ca="1">IFERROR(__xludf.DUMMYFUNCTION("""COMPUTED_VALUE"""),5)</f>
        <v>5</v>
      </c>
      <c r="AO147" s="4">
        <f ca="1">IFERROR(__xludf.DUMMYFUNCTION("""COMPUTED_VALUE"""),5)</f>
        <v>5</v>
      </c>
      <c r="AP147" s="4">
        <f ca="1">IFERROR(__xludf.DUMMYFUNCTION("""COMPUTED_VALUE"""),5)</f>
        <v>5</v>
      </c>
      <c r="AQ147" s="4">
        <f ca="1">IFERROR(__xludf.DUMMYFUNCTION("""COMPUTED_VALUE"""),5)</f>
        <v>5</v>
      </c>
      <c r="AR147" s="4">
        <f ca="1">IFERROR(__xludf.DUMMYFUNCTION("""COMPUTED_VALUE"""),5)</f>
        <v>5</v>
      </c>
      <c r="AS147" s="4">
        <f ca="1">IFERROR(__xludf.DUMMYFUNCTION("""COMPUTED_VALUE"""),5)</f>
        <v>5</v>
      </c>
      <c r="AT147" s="4">
        <f ca="1">IFERROR(__xludf.DUMMYFUNCTION("""COMPUTED_VALUE"""),5)</f>
        <v>5</v>
      </c>
      <c r="AU147" s="4">
        <f ca="1">IFERROR(__xludf.DUMMYFUNCTION("""COMPUTED_VALUE"""),5)</f>
        <v>5</v>
      </c>
      <c r="AV147" s="4">
        <f ca="1">IFERROR(__xludf.DUMMYFUNCTION("""COMPUTED_VALUE"""),5)</f>
        <v>5</v>
      </c>
      <c r="AW147" s="4">
        <f ca="1">IFERROR(__xludf.DUMMYFUNCTION("""COMPUTED_VALUE"""),5)</f>
        <v>5</v>
      </c>
      <c r="AX147" s="4">
        <f ca="1">IFERROR(__xludf.DUMMYFUNCTION("""COMPUTED_VALUE"""),5)</f>
        <v>5</v>
      </c>
      <c r="AY147" s="4">
        <f ca="1">IFERROR(__xludf.DUMMYFUNCTION("""COMPUTED_VALUE"""),5)</f>
        <v>5</v>
      </c>
      <c r="AZ147" s="4">
        <f ca="1">IFERROR(__xludf.DUMMYFUNCTION("""COMPUTED_VALUE"""),5)</f>
        <v>5</v>
      </c>
      <c r="BA147" s="4">
        <f ca="1">IFERROR(__xludf.DUMMYFUNCTION("""COMPUTED_VALUE"""),5)</f>
        <v>5</v>
      </c>
      <c r="BB147" s="4">
        <f ca="1">IFERROR(__xludf.DUMMYFUNCTION("""COMPUTED_VALUE"""),5)</f>
        <v>5</v>
      </c>
      <c r="BC147" s="4">
        <f ca="1">IFERROR(__xludf.DUMMYFUNCTION("""COMPUTED_VALUE"""),5)</f>
        <v>5</v>
      </c>
      <c r="BD147" s="4">
        <f ca="1">IFERROR(__xludf.DUMMYFUNCTION("""COMPUTED_VALUE"""),5)</f>
        <v>5</v>
      </c>
      <c r="BE147" s="4">
        <f ca="1">IFERROR(__xludf.DUMMYFUNCTION("""COMPUTED_VALUE"""),5)</f>
        <v>5</v>
      </c>
      <c r="BF147" s="4">
        <f ca="1">IFERROR(__xludf.DUMMYFUNCTION("""COMPUTED_VALUE"""),5)</f>
        <v>5</v>
      </c>
      <c r="BG147" s="4">
        <f ca="1">IFERROR(__xludf.DUMMYFUNCTION("""COMPUTED_VALUE"""),5)</f>
        <v>5</v>
      </c>
      <c r="BH147" s="4">
        <f ca="1">IFERROR(__xludf.DUMMYFUNCTION("""COMPUTED_VALUE"""),5)</f>
        <v>5</v>
      </c>
      <c r="BI147" s="4">
        <f ca="1">IFERROR(__xludf.DUMMYFUNCTION("""COMPUTED_VALUE"""),5)</f>
        <v>5</v>
      </c>
      <c r="BJ147" s="4">
        <f ca="1">IFERROR(__xludf.DUMMYFUNCTION("""COMPUTED_VALUE"""),5)</f>
        <v>5</v>
      </c>
      <c r="BK147" s="4">
        <f ca="1">IFERROR(__xludf.DUMMYFUNCTION("""COMPUTED_VALUE"""),5)</f>
        <v>5</v>
      </c>
      <c r="BL147" s="4">
        <f ca="1">IFERROR(__xludf.DUMMYFUNCTION("""COMPUTED_VALUE"""),5)</f>
        <v>5</v>
      </c>
      <c r="BM147" s="4">
        <f ca="1">IFERROR(__xludf.DUMMYFUNCTION("""COMPUTED_VALUE"""),5)</f>
        <v>5</v>
      </c>
      <c r="BN147" s="4">
        <f ca="1">IFERROR(__xludf.DUMMYFUNCTION("""COMPUTED_VALUE"""),5)</f>
        <v>5</v>
      </c>
      <c r="BO147" s="4">
        <f ca="1">IFERROR(__xludf.DUMMYFUNCTION("""COMPUTED_VALUE"""),5)</f>
        <v>5</v>
      </c>
      <c r="BP147" s="4">
        <f ca="1">IFERROR(__xludf.DUMMYFUNCTION("""COMPUTED_VALUE"""),5)</f>
        <v>5</v>
      </c>
    </row>
    <row r="148" spans="1:68" ht="13.2" x14ac:dyDescent="0.25">
      <c r="A148" s="4" t="str">
        <f ca="1">IFERROR(__xludf.DUMMYFUNCTION("""COMPUTED_VALUE"""),"2_ABaOnufAnlJ1AmtHAiegxvBm6OyMu5u02mXQIclfWHAMthNvglWJUMYfrpWerPyxtg")</f>
        <v>2_ABaOnufAnlJ1AmtHAiegxvBm6OyMu5u02mXQIclfWHAMthNvglWJUMYfrpWerPyxtg</v>
      </c>
      <c r="B148" s="5">
        <f ca="1">IFERROR(__xludf.DUMMYFUNCTION("""COMPUTED_VALUE"""),45974.6494725231)</f>
        <v>45974.649472523102</v>
      </c>
      <c r="C148" s="4" t="str">
        <f ca="1">IFERROR(__xludf.DUMMYFUNCTION("""COMPUTED_VALUE"""),"Lê Quỳnh Đan")</f>
        <v>Lê Quỳnh Đan</v>
      </c>
      <c r="D148" s="4" t="str">
        <f ca="1">IFERROR(__xludf.DUMMYFUNCTION("""COMPUTED_VALUE"""),"Nữ")</f>
        <v>Nữ</v>
      </c>
      <c r="E148" s="4" t="str">
        <f ca="1">IFERROR(__xludf.DUMMYFUNCTION("""COMPUTED_VALUE"""),"Công ty TNHH Kiểm Toán I.T.O")</f>
        <v>Công ty TNHH Kiểm Toán I.T.O</v>
      </c>
      <c r="F148" s="4" t="str">
        <f ca="1">IFERROR(__xludf.DUMMYFUNCTION("""COMPUTED_VALUE"""),"Đại học")</f>
        <v>Đại học</v>
      </c>
      <c r="G148" s="4" t="str">
        <f ca="1">IFERROR(__xludf.DUMMYFUNCTION("""COMPUTED_VALUE"""),"Từ 3 đến 5 năm")</f>
        <v>Từ 3 đến 5 năm</v>
      </c>
      <c r="H148" s="4" t="str">
        <f ca="1">IFERROR(__xludf.DUMMYFUNCTION("""COMPUTED_VALUE"""),"Trợ lý kiểm toán")</f>
        <v>Trợ lý kiểm toán</v>
      </c>
      <c r="I148" s="4">
        <f ca="1">IFERROR(__xludf.DUMMYFUNCTION("""COMPUTED_VALUE"""),4)</f>
        <v>4</v>
      </c>
      <c r="J148" s="4">
        <f ca="1">IFERROR(__xludf.DUMMYFUNCTION("""COMPUTED_VALUE"""),4)</f>
        <v>4</v>
      </c>
      <c r="K148" s="4">
        <f ca="1">IFERROR(__xludf.DUMMYFUNCTION("""COMPUTED_VALUE"""),4)</f>
        <v>4</v>
      </c>
      <c r="L148" s="4">
        <f ca="1">IFERROR(__xludf.DUMMYFUNCTION("""COMPUTED_VALUE"""),4)</f>
        <v>4</v>
      </c>
      <c r="M148" s="4">
        <f ca="1">IFERROR(__xludf.DUMMYFUNCTION("""COMPUTED_VALUE"""),4)</f>
        <v>4</v>
      </c>
      <c r="N148" s="4">
        <f ca="1">IFERROR(__xludf.DUMMYFUNCTION("""COMPUTED_VALUE"""),4)</f>
        <v>4</v>
      </c>
      <c r="O148" s="4">
        <f ca="1">IFERROR(__xludf.DUMMYFUNCTION("""COMPUTED_VALUE"""),4)</f>
        <v>4</v>
      </c>
      <c r="P148" s="4">
        <f ca="1">IFERROR(__xludf.DUMMYFUNCTION("""COMPUTED_VALUE"""),4)</f>
        <v>4</v>
      </c>
      <c r="Q148" s="4">
        <f ca="1">IFERROR(__xludf.DUMMYFUNCTION("""COMPUTED_VALUE"""),4)</f>
        <v>4</v>
      </c>
      <c r="R148" s="4">
        <f ca="1">IFERROR(__xludf.DUMMYFUNCTION("""COMPUTED_VALUE"""),4)</f>
        <v>4</v>
      </c>
      <c r="S148" s="4">
        <f ca="1">IFERROR(__xludf.DUMMYFUNCTION("""COMPUTED_VALUE"""),4)</f>
        <v>4</v>
      </c>
      <c r="T148" s="4">
        <f ca="1">IFERROR(__xludf.DUMMYFUNCTION("""COMPUTED_VALUE"""),4)</f>
        <v>4</v>
      </c>
      <c r="U148" s="4">
        <f ca="1">IFERROR(__xludf.DUMMYFUNCTION("""COMPUTED_VALUE"""),4)</f>
        <v>4</v>
      </c>
      <c r="V148" s="4">
        <f ca="1">IFERROR(__xludf.DUMMYFUNCTION("""COMPUTED_VALUE"""),4)</f>
        <v>4</v>
      </c>
      <c r="W148" s="4">
        <f ca="1">IFERROR(__xludf.DUMMYFUNCTION("""COMPUTED_VALUE"""),4)</f>
        <v>4</v>
      </c>
      <c r="X148" s="4">
        <f ca="1">IFERROR(__xludf.DUMMYFUNCTION("""COMPUTED_VALUE"""),4)</f>
        <v>4</v>
      </c>
      <c r="Y148" s="4">
        <f ca="1">IFERROR(__xludf.DUMMYFUNCTION("""COMPUTED_VALUE"""),4)</f>
        <v>4</v>
      </c>
      <c r="Z148" s="4">
        <f ca="1">IFERROR(__xludf.DUMMYFUNCTION("""COMPUTED_VALUE"""),4)</f>
        <v>4</v>
      </c>
      <c r="AA148" s="4">
        <f ca="1">IFERROR(__xludf.DUMMYFUNCTION("""COMPUTED_VALUE"""),4)</f>
        <v>4</v>
      </c>
      <c r="AB148" s="4">
        <f ca="1">IFERROR(__xludf.DUMMYFUNCTION("""COMPUTED_VALUE"""),4)</f>
        <v>4</v>
      </c>
      <c r="AC148" s="4">
        <f ca="1">IFERROR(__xludf.DUMMYFUNCTION("""COMPUTED_VALUE"""),4)</f>
        <v>4</v>
      </c>
      <c r="AD148" s="4">
        <f ca="1">IFERROR(__xludf.DUMMYFUNCTION("""COMPUTED_VALUE"""),4)</f>
        <v>4</v>
      </c>
      <c r="AE148" s="4">
        <f ca="1">IFERROR(__xludf.DUMMYFUNCTION("""COMPUTED_VALUE"""),4)</f>
        <v>4</v>
      </c>
      <c r="AF148" s="4">
        <f ca="1">IFERROR(__xludf.DUMMYFUNCTION("""COMPUTED_VALUE"""),4)</f>
        <v>4</v>
      </c>
      <c r="AG148" s="4">
        <f ca="1">IFERROR(__xludf.DUMMYFUNCTION("""COMPUTED_VALUE"""),4)</f>
        <v>4</v>
      </c>
      <c r="AH148" s="4">
        <f ca="1">IFERROR(__xludf.DUMMYFUNCTION("""COMPUTED_VALUE"""),4)</f>
        <v>4</v>
      </c>
      <c r="AI148" s="4">
        <f ca="1">IFERROR(__xludf.DUMMYFUNCTION("""COMPUTED_VALUE"""),4)</f>
        <v>4</v>
      </c>
      <c r="AJ148" s="4">
        <f ca="1">IFERROR(__xludf.DUMMYFUNCTION("""COMPUTED_VALUE"""),4)</f>
        <v>4</v>
      </c>
      <c r="AK148" s="4">
        <f ca="1">IFERROR(__xludf.DUMMYFUNCTION("""COMPUTED_VALUE"""),4)</f>
        <v>4</v>
      </c>
      <c r="AL148" s="4">
        <f ca="1">IFERROR(__xludf.DUMMYFUNCTION("""COMPUTED_VALUE"""),4)</f>
        <v>4</v>
      </c>
      <c r="AM148" s="4">
        <f ca="1">IFERROR(__xludf.DUMMYFUNCTION("""COMPUTED_VALUE"""),4)</f>
        <v>4</v>
      </c>
      <c r="AN148" s="4">
        <f ca="1">IFERROR(__xludf.DUMMYFUNCTION("""COMPUTED_VALUE"""),4)</f>
        <v>4</v>
      </c>
      <c r="AO148" s="4">
        <f ca="1">IFERROR(__xludf.DUMMYFUNCTION("""COMPUTED_VALUE"""),4)</f>
        <v>4</v>
      </c>
      <c r="AP148" s="4">
        <f ca="1">IFERROR(__xludf.DUMMYFUNCTION("""COMPUTED_VALUE"""),4)</f>
        <v>4</v>
      </c>
      <c r="AQ148" s="4">
        <f ca="1">IFERROR(__xludf.DUMMYFUNCTION("""COMPUTED_VALUE"""),4)</f>
        <v>4</v>
      </c>
      <c r="AR148" s="4">
        <f ca="1">IFERROR(__xludf.DUMMYFUNCTION("""COMPUTED_VALUE"""),4)</f>
        <v>4</v>
      </c>
      <c r="AS148" s="4">
        <f ca="1">IFERROR(__xludf.DUMMYFUNCTION("""COMPUTED_VALUE"""),4)</f>
        <v>4</v>
      </c>
      <c r="AT148" s="4">
        <f ca="1">IFERROR(__xludf.DUMMYFUNCTION("""COMPUTED_VALUE"""),4)</f>
        <v>4</v>
      </c>
      <c r="AU148" s="4">
        <f ca="1">IFERROR(__xludf.DUMMYFUNCTION("""COMPUTED_VALUE"""),4)</f>
        <v>4</v>
      </c>
      <c r="AV148" s="4">
        <f ca="1">IFERROR(__xludf.DUMMYFUNCTION("""COMPUTED_VALUE"""),4)</f>
        <v>4</v>
      </c>
      <c r="AW148" s="4">
        <f ca="1">IFERROR(__xludf.DUMMYFUNCTION("""COMPUTED_VALUE"""),4)</f>
        <v>4</v>
      </c>
      <c r="AX148" s="4">
        <f ca="1">IFERROR(__xludf.DUMMYFUNCTION("""COMPUTED_VALUE"""),4)</f>
        <v>4</v>
      </c>
      <c r="AY148" s="4">
        <f ca="1">IFERROR(__xludf.DUMMYFUNCTION("""COMPUTED_VALUE"""),4)</f>
        <v>4</v>
      </c>
      <c r="AZ148" s="4">
        <f ca="1">IFERROR(__xludf.DUMMYFUNCTION("""COMPUTED_VALUE"""),4)</f>
        <v>4</v>
      </c>
      <c r="BA148" s="4">
        <f ca="1">IFERROR(__xludf.DUMMYFUNCTION("""COMPUTED_VALUE"""),4)</f>
        <v>4</v>
      </c>
      <c r="BB148" s="4">
        <f ca="1">IFERROR(__xludf.DUMMYFUNCTION("""COMPUTED_VALUE"""),4)</f>
        <v>4</v>
      </c>
      <c r="BC148" s="4">
        <f ca="1">IFERROR(__xludf.DUMMYFUNCTION("""COMPUTED_VALUE"""),4)</f>
        <v>4</v>
      </c>
      <c r="BD148" s="4">
        <f ca="1">IFERROR(__xludf.DUMMYFUNCTION("""COMPUTED_VALUE"""),4)</f>
        <v>4</v>
      </c>
      <c r="BE148" s="4">
        <f ca="1">IFERROR(__xludf.DUMMYFUNCTION("""COMPUTED_VALUE"""),4)</f>
        <v>4</v>
      </c>
      <c r="BF148" s="4">
        <f ca="1">IFERROR(__xludf.DUMMYFUNCTION("""COMPUTED_VALUE"""),4)</f>
        <v>4</v>
      </c>
      <c r="BG148" s="4">
        <f ca="1">IFERROR(__xludf.DUMMYFUNCTION("""COMPUTED_VALUE"""),4)</f>
        <v>4</v>
      </c>
      <c r="BH148" s="4">
        <f ca="1">IFERROR(__xludf.DUMMYFUNCTION("""COMPUTED_VALUE"""),4)</f>
        <v>4</v>
      </c>
      <c r="BI148" s="4">
        <f ca="1">IFERROR(__xludf.DUMMYFUNCTION("""COMPUTED_VALUE"""),4)</f>
        <v>4</v>
      </c>
      <c r="BJ148" s="4">
        <f ca="1">IFERROR(__xludf.DUMMYFUNCTION("""COMPUTED_VALUE"""),4)</f>
        <v>4</v>
      </c>
      <c r="BK148" s="4">
        <f ca="1">IFERROR(__xludf.DUMMYFUNCTION("""COMPUTED_VALUE"""),4)</f>
        <v>4</v>
      </c>
      <c r="BL148" s="4">
        <f ca="1">IFERROR(__xludf.DUMMYFUNCTION("""COMPUTED_VALUE"""),4)</f>
        <v>4</v>
      </c>
      <c r="BM148" s="4">
        <f ca="1">IFERROR(__xludf.DUMMYFUNCTION("""COMPUTED_VALUE"""),4)</f>
        <v>4</v>
      </c>
      <c r="BN148" s="4">
        <f ca="1">IFERROR(__xludf.DUMMYFUNCTION("""COMPUTED_VALUE"""),4)</f>
        <v>4</v>
      </c>
      <c r="BO148" s="4">
        <f ca="1">IFERROR(__xludf.DUMMYFUNCTION("""COMPUTED_VALUE"""),4)</f>
        <v>4</v>
      </c>
      <c r="BP148" s="4">
        <f ca="1">IFERROR(__xludf.DUMMYFUNCTION("""COMPUTED_VALUE"""),4)</f>
        <v>4</v>
      </c>
    </row>
    <row r="149" spans="1:68" ht="13.2" x14ac:dyDescent="0.25">
      <c r="A149" s="4" t="str">
        <f ca="1">IFERROR(__xludf.DUMMYFUNCTION("""COMPUTED_VALUE"""),"2_ABaOnueiSg_uN2CAHPLVH3ndePrnEn1yTIZuQVIk_9ZuBlIJsAYo9UFNPNFYXFkC8g")</f>
        <v>2_ABaOnueiSg_uN2CAHPLVH3ndePrnEn1yTIZuQVIk_9ZuBlIJsAYo9UFNPNFYXFkC8g</v>
      </c>
      <c r="B149" s="5">
        <f ca="1">IFERROR(__xludf.DUMMYFUNCTION("""COMPUTED_VALUE"""),45974.6500336226)</f>
        <v>45974.650033622602</v>
      </c>
      <c r="C149" s="4" t="str">
        <f ca="1">IFERROR(__xludf.DUMMYFUNCTION("""COMPUTED_VALUE"""),"Ngô Thị Nhân Ái")</f>
        <v>Ngô Thị Nhân Ái</v>
      </c>
      <c r="D149" s="4" t="str">
        <f ca="1">IFERROR(__xludf.DUMMYFUNCTION("""COMPUTED_VALUE"""),"Nữ")</f>
        <v>Nữ</v>
      </c>
      <c r="E149" s="4" t="str">
        <f ca="1">IFERROR(__xludf.DUMMYFUNCTION("""COMPUTED_VALUE"""),"Công ty TNHH Kiểm Toán I.T.O")</f>
        <v>Công ty TNHH Kiểm Toán I.T.O</v>
      </c>
      <c r="F149" s="4" t="str">
        <f ca="1">IFERROR(__xludf.DUMMYFUNCTION("""COMPUTED_VALUE"""),"Đại học")</f>
        <v>Đại học</v>
      </c>
      <c r="G149" s="4" t="str">
        <f ca="1">IFERROR(__xludf.DUMMYFUNCTION("""COMPUTED_VALUE"""),"Từ 3 đến 5 năm")</f>
        <v>Từ 3 đến 5 năm</v>
      </c>
      <c r="H149" s="4" t="str">
        <f ca="1">IFERROR(__xludf.DUMMYFUNCTION("""COMPUTED_VALUE"""),"Trợ lý kiểm toán")</f>
        <v>Trợ lý kiểm toán</v>
      </c>
      <c r="I149" s="4">
        <f ca="1">IFERROR(__xludf.DUMMYFUNCTION("""COMPUTED_VALUE"""),5)</f>
        <v>5</v>
      </c>
      <c r="J149" s="4">
        <f ca="1">IFERROR(__xludf.DUMMYFUNCTION("""COMPUTED_VALUE"""),5)</f>
        <v>5</v>
      </c>
      <c r="K149" s="4">
        <f ca="1">IFERROR(__xludf.DUMMYFUNCTION("""COMPUTED_VALUE"""),5)</f>
        <v>5</v>
      </c>
      <c r="L149" s="4">
        <f ca="1">IFERROR(__xludf.DUMMYFUNCTION("""COMPUTED_VALUE"""),5)</f>
        <v>5</v>
      </c>
      <c r="M149" s="4">
        <f ca="1">IFERROR(__xludf.DUMMYFUNCTION("""COMPUTED_VALUE"""),5)</f>
        <v>5</v>
      </c>
      <c r="N149" s="4">
        <f ca="1">IFERROR(__xludf.DUMMYFUNCTION("""COMPUTED_VALUE"""),5)</f>
        <v>5</v>
      </c>
      <c r="O149" s="4">
        <f ca="1">IFERROR(__xludf.DUMMYFUNCTION("""COMPUTED_VALUE"""),5)</f>
        <v>5</v>
      </c>
      <c r="P149" s="4">
        <f ca="1">IFERROR(__xludf.DUMMYFUNCTION("""COMPUTED_VALUE"""),5)</f>
        <v>5</v>
      </c>
      <c r="Q149" s="4">
        <f ca="1">IFERROR(__xludf.DUMMYFUNCTION("""COMPUTED_VALUE"""),5)</f>
        <v>5</v>
      </c>
      <c r="R149" s="4">
        <f ca="1">IFERROR(__xludf.DUMMYFUNCTION("""COMPUTED_VALUE"""),5)</f>
        <v>5</v>
      </c>
      <c r="S149" s="4">
        <f ca="1">IFERROR(__xludf.DUMMYFUNCTION("""COMPUTED_VALUE"""),5)</f>
        <v>5</v>
      </c>
      <c r="T149" s="4">
        <f ca="1">IFERROR(__xludf.DUMMYFUNCTION("""COMPUTED_VALUE"""),5)</f>
        <v>5</v>
      </c>
      <c r="U149" s="4">
        <f ca="1">IFERROR(__xludf.DUMMYFUNCTION("""COMPUTED_VALUE"""),5)</f>
        <v>5</v>
      </c>
      <c r="V149" s="4">
        <f ca="1">IFERROR(__xludf.DUMMYFUNCTION("""COMPUTED_VALUE"""),5)</f>
        <v>5</v>
      </c>
      <c r="W149" s="4">
        <f ca="1">IFERROR(__xludf.DUMMYFUNCTION("""COMPUTED_VALUE"""),5)</f>
        <v>5</v>
      </c>
      <c r="X149" s="4">
        <f ca="1">IFERROR(__xludf.DUMMYFUNCTION("""COMPUTED_VALUE"""),5)</f>
        <v>5</v>
      </c>
      <c r="Y149" s="4">
        <f ca="1">IFERROR(__xludf.DUMMYFUNCTION("""COMPUTED_VALUE"""),4)</f>
        <v>4</v>
      </c>
      <c r="Z149" s="4">
        <f ca="1">IFERROR(__xludf.DUMMYFUNCTION("""COMPUTED_VALUE"""),5)</f>
        <v>5</v>
      </c>
      <c r="AA149" s="4">
        <f ca="1">IFERROR(__xludf.DUMMYFUNCTION("""COMPUTED_VALUE"""),4)</f>
        <v>4</v>
      </c>
      <c r="AB149" s="4">
        <f ca="1">IFERROR(__xludf.DUMMYFUNCTION("""COMPUTED_VALUE"""),4)</f>
        <v>4</v>
      </c>
      <c r="AC149" s="4">
        <f ca="1">IFERROR(__xludf.DUMMYFUNCTION("""COMPUTED_VALUE"""),5)</f>
        <v>5</v>
      </c>
      <c r="AD149" s="4">
        <f ca="1">IFERROR(__xludf.DUMMYFUNCTION("""COMPUTED_VALUE"""),5)</f>
        <v>5</v>
      </c>
      <c r="AE149" s="4">
        <f ca="1">IFERROR(__xludf.DUMMYFUNCTION("""COMPUTED_VALUE"""),5)</f>
        <v>5</v>
      </c>
      <c r="AF149" s="4">
        <f ca="1">IFERROR(__xludf.DUMMYFUNCTION("""COMPUTED_VALUE"""),5)</f>
        <v>5</v>
      </c>
      <c r="AG149" s="4">
        <f ca="1">IFERROR(__xludf.DUMMYFUNCTION("""COMPUTED_VALUE"""),5)</f>
        <v>5</v>
      </c>
      <c r="AH149" s="4">
        <f ca="1">IFERROR(__xludf.DUMMYFUNCTION("""COMPUTED_VALUE"""),5)</f>
        <v>5</v>
      </c>
      <c r="AI149" s="4">
        <f ca="1">IFERROR(__xludf.DUMMYFUNCTION("""COMPUTED_VALUE"""),5)</f>
        <v>5</v>
      </c>
      <c r="AJ149" s="4">
        <f ca="1">IFERROR(__xludf.DUMMYFUNCTION("""COMPUTED_VALUE"""),5)</f>
        <v>5</v>
      </c>
      <c r="AK149" s="4">
        <f ca="1">IFERROR(__xludf.DUMMYFUNCTION("""COMPUTED_VALUE"""),5)</f>
        <v>5</v>
      </c>
      <c r="AL149" s="4">
        <f ca="1">IFERROR(__xludf.DUMMYFUNCTION("""COMPUTED_VALUE"""),5)</f>
        <v>5</v>
      </c>
      <c r="AM149" s="4">
        <f ca="1">IFERROR(__xludf.DUMMYFUNCTION("""COMPUTED_VALUE"""),5)</f>
        <v>5</v>
      </c>
      <c r="AN149" s="4">
        <f ca="1">IFERROR(__xludf.DUMMYFUNCTION("""COMPUTED_VALUE"""),5)</f>
        <v>5</v>
      </c>
      <c r="AO149" s="4">
        <f ca="1">IFERROR(__xludf.DUMMYFUNCTION("""COMPUTED_VALUE"""),5)</f>
        <v>5</v>
      </c>
      <c r="AP149" s="4">
        <f ca="1">IFERROR(__xludf.DUMMYFUNCTION("""COMPUTED_VALUE"""),5)</f>
        <v>5</v>
      </c>
      <c r="AQ149" s="4">
        <f ca="1">IFERROR(__xludf.DUMMYFUNCTION("""COMPUTED_VALUE"""),5)</f>
        <v>5</v>
      </c>
      <c r="AR149" s="4">
        <f ca="1">IFERROR(__xludf.DUMMYFUNCTION("""COMPUTED_VALUE"""),4)</f>
        <v>4</v>
      </c>
      <c r="AS149" s="4">
        <f ca="1">IFERROR(__xludf.DUMMYFUNCTION("""COMPUTED_VALUE"""),5)</f>
        <v>5</v>
      </c>
      <c r="AT149" s="4">
        <f ca="1">IFERROR(__xludf.DUMMYFUNCTION("""COMPUTED_VALUE"""),4)</f>
        <v>4</v>
      </c>
      <c r="AU149" s="4">
        <f ca="1">IFERROR(__xludf.DUMMYFUNCTION("""COMPUTED_VALUE"""),4)</f>
        <v>4</v>
      </c>
      <c r="AV149" s="4">
        <f ca="1">IFERROR(__xludf.DUMMYFUNCTION("""COMPUTED_VALUE"""),5)</f>
        <v>5</v>
      </c>
      <c r="AW149" s="4">
        <f ca="1">IFERROR(__xludf.DUMMYFUNCTION("""COMPUTED_VALUE"""),5)</f>
        <v>5</v>
      </c>
      <c r="AX149" s="4">
        <f ca="1">IFERROR(__xludf.DUMMYFUNCTION("""COMPUTED_VALUE"""),4)</f>
        <v>4</v>
      </c>
      <c r="AY149" s="4">
        <f ca="1">IFERROR(__xludf.DUMMYFUNCTION("""COMPUTED_VALUE"""),4)</f>
        <v>4</v>
      </c>
      <c r="AZ149" s="4">
        <f ca="1">IFERROR(__xludf.DUMMYFUNCTION("""COMPUTED_VALUE"""),5)</f>
        <v>5</v>
      </c>
      <c r="BA149" s="4">
        <f ca="1">IFERROR(__xludf.DUMMYFUNCTION("""COMPUTED_VALUE"""),4)</f>
        <v>4</v>
      </c>
      <c r="BB149" s="4">
        <f ca="1">IFERROR(__xludf.DUMMYFUNCTION("""COMPUTED_VALUE"""),5)</f>
        <v>5</v>
      </c>
      <c r="BC149" s="4">
        <f ca="1">IFERROR(__xludf.DUMMYFUNCTION("""COMPUTED_VALUE"""),4)</f>
        <v>4</v>
      </c>
      <c r="BD149" s="4">
        <f ca="1">IFERROR(__xludf.DUMMYFUNCTION("""COMPUTED_VALUE"""),4)</f>
        <v>4</v>
      </c>
      <c r="BE149" s="4">
        <f ca="1">IFERROR(__xludf.DUMMYFUNCTION("""COMPUTED_VALUE"""),5)</f>
        <v>5</v>
      </c>
      <c r="BF149" s="4">
        <f ca="1">IFERROR(__xludf.DUMMYFUNCTION("""COMPUTED_VALUE"""),4)</f>
        <v>4</v>
      </c>
      <c r="BG149" s="4">
        <f ca="1">IFERROR(__xludf.DUMMYFUNCTION("""COMPUTED_VALUE"""),5)</f>
        <v>5</v>
      </c>
      <c r="BH149" s="4">
        <f ca="1">IFERROR(__xludf.DUMMYFUNCTION("""COMPUTED_VALUE"""),5)</f>
        <v>5</v>
      </c>
      <c r="BI149" s="4">
        <f ca="1">IFERROR(__xludf.DUMMYFUNCTION("""COMPUTED_VALUE"""),4)</f>
        <v>4</v>
      </c>
      <c r="BJ149" s="4">
        <f ca="1">IFERROR(__xludf.DUMMYFUNCTION("""COMPUTED_VALUE"""),5)</f>
        <v>5</v>
      </c>
      <c r="BK149" s="4">
        <f ca="1">IFERROR(__xludf.DUMMYFUNCTION("""COMPUTED_VALUE"""),4)</f>
        <v>4</v>
      </c>
      <c r="BL149" s="4">
        <f ca="1">IFERROR(__xludf.DUMMYFUNCTION("""COMPUTED_VALUE"""),5)</f>
        <v>5</v>
      </c>
      <c r="BM149" s="4">
        <f ca="1">IFERROR(__xludf.DUMMYFUNCTION("""COMPUTED_VALUE"""),5)</f>
        <v>5</v>
      </c>
      <c r="BN149" s="4">
        <f ca="1">IFERROR(__xludf.DUMMYFUNCTION("""COMPUTED_VALUE"""),5)</f>
        <v>5</v>
      </c>
      <c r="BO149" s="4">
        <f ca="1">IFERROR(__xludf.DUMMYFUNCTION("""COMPUTED_VALUE"""),5)</f>
        <v>5</v>
      </c>
      <c r="BP149" s="4">
        <f ca="1">IFERROR(__xludf.DUMMYFUNCTION("""COMPUTED_VALUE"""),5)</f>
        <v>5</v>
      </c>
    </row>
    <row r="150" spans="1:68" ht="13.2" x14ac:dyDescent="0.25">
      <c r="A150" s="4" t="str">
        <f ca="1">IFERROR(__xludf.DUMMYFUNCTION("""COMPUTED_VALUE"""),"2_ABaOnueYpTwVnPWxgJV4clEulXsixuoPKvj1cpnEg9giAsTI2mONwAP8Bvxz_H5QrA")</f>
        <v>2_ABaOnueYpTwVnPWxgJV4clEulXsixuoPKvj1cpnEg9giAsTI2mONwAP8Bvxz_H5QrA</v>
      </c>
      <c r="B150" s="5">
        <f ca="1">IFERROR(__xludf.DUMMYFUNCTION("""COMPUTED_VALUE"""),45974.6502934143)</f>
        <v>45974.650293414299</v>
      </c>
      <c r="C150" s="4" t="str">
        <f ca="1">IFERROR(__xludf.DUMMYFUNCTION("""COMPUTED_VALUE"""),"Lê ngọc nghĩa")</f>
        <v>Lê ngọc nghĩa</v>
      </c>
      <c r="D150" s="4" t="str">
        <f ca="1">IFERROR(__xludf.DUMMYFUNCTION("""COMPUTED_VALUE"""),"Nam")</f>
        <v>Nam</v>
      </c>
      <c r="E150" s="4" t="str">
        <f ca="1">IFERROR(__xludf.DUMMYFUNCTION("""COMPUTED_VALUE"""),"Công ty TNHH Kiểm toán I.T.O")</f>
        <v>Công ty TNHH Kiểm toán I.T.O</v>
      </c>
      <c r="F150" s="4" t="str">
        <f ca="1">IFERROR(__xludf.DUMMYFUNCTION("""COMPUTED_VALUE"""),"Đại học")</f>
        <v>Đại học</v>
      </c>
      <c r="G150" s="4" t="str">
        <f ca="1">IFERROR(__xludf.DUMMYFUNCTION("""COMPUTED_VALUE"""),"Từ 3 đến 5 năm")</f>
        <v>Từ 3 đến 5 năm</v>
      </c>
      <c r="H150" s="4" t="str">
        <f ca="1">IFERROR(__xludf.DUMMYFUNCTION("""COMPUTED_VALUE"""),"Trợ lý kiểm toán")</f>
        <v>Trợ lý kiểm toán</v>
      </c>
      <c r="I150" s="4">
        <f ca="1">IFERROR(__xludf.DUMMYFUNCTION("""COMPUTED_VALUE"""),5)</f>
        <v>5</v>
      </c>
      <c r="J150" s="4">
        <f ca="1">IFERROR(__xludf.DUMMYFUNCTION("""COMPUTED_VALUE"""),5)</f>
        <v>5</v>
      </c>
      <c r="K150" s="4">
        <f ca="1">IFERROR(__xludf.DUMMYFUNCTION("""COMPUTED_VALUE"""),5)</f>
        <v>5</v>
      </c>
      <c r="L150" s="4">
        <f ca="1">IFERROR(__xludf.DUMMYFUNCTION("""COMPUTED_VALUE"""),5)</f>
        <v>5</v>
      </c>
      <c r="M150" s="4">
        <f ca="1">IFERROR(__xludf.DUMMYFUNCTION("""COMPUTED_VALUE"""),5)</f>
        <v>5</v>
      </c>
      <c r="N150" s="4">
        <f ca="1">IFERROR(__xludf.DUMMYFUNCTION("""COMPUTED_VALUE"""),5)</f>
        <v>5</v>
      </c>
      <c r="O150" s="4">
        <f ca="1">IFERROR(__xludf.DUMMYFUNCTION("""COMPUTED_VALUE"""),5)</f>
        <v>5</v>
      </c>
      <c r="P150" s="4">
        <f ca="1">IFERROR(__xludf.DUMMYFUNCTION("""COMPUTED_VALUE"""),5)</f>
        <v>5</v>
      </c>
      <c r="Q150" s="4">
        <f ca="1">IFERROR(__xludf.DUMMYFUNCTION("""COMPUTED_VALUE"""),5)</f>
        <v>5</v>
      </c>
      <c r="R150" s="4">
        <f ca="1">IFERROR(__xludf.DUMMYFUNCTION("""COMPUTED_VALUE"""),5)</f>
        <v>5</v>
      </c>
      <c r="S150" s="4">
        <f ca="1">IFERROR(__xludf.DUMMYFUNCTION("""COMPUTED_VALUE"""),5)</f>
        <v>5</v>
      </c>
      <c r="T150" s="4">
        <f ca="1">IFERROR(__xludf.DUMMYFUNCTION("""COMPUTED_VALUE"""),5)</f>
        <v>5</v>
      </c>
      <c r="U150" s="4">
        <f ca="1">IFERROR(__xludf.DUMMYFUNCTION("""COMPUTED_VALUE"""),5)</f>
        <v>5</v>
      </c>
      <c r="V150" s="4">
        <f ca="1">IFERROR(__xludf.DUMMYFUNCTION("""COMPUTED_VALUE"""),5)</f>
        <v>5</v>
      </c>
      <c r="W150" s="4">
        <f ca="1">IFERROR(__xludf.DUMMYFUNCTION("""COMPUTED_VALUE"""),5)</f>
        <v>5</v>
      </c>
      <c r="X150" s="4">
        <f ca="1">IFERROR(__xludf.DUMMYFUNCTION("""COMPUTED_VALUE"""),5)</f>
        <v>5</v>
      </c>
      <c r="Y150" s="4">
        <f ca="1">IFERROR(__xludf.DUMMYFUNCTION("""COMPUTED_VALUE"""),5)</f>
        <v>5</v>
      </c>
      <c r="Z150" s="4">
        <f ca="1">IFERROR(__xludf.DUMMYFUNCTION("""COMPUTED_VALUE"""),5)</f>
        <v>5</v>
      </c>
      <c r="AA150" s="4">
        <f ca="1">IFERROR(__xludf.DUMMYFUNCTION("""COMPUTED_VALUE"""),5)</f>
        <v>5</v>
      </c>
      <c r="AB150" s="4">
        <f ca="1">IFERROR(__xludf.DUMMYFUNCTION("""COMPUTED_VALUE"""),5)</f>
        <v>5</v>
      </c>
      <c r="AC150" s="4">
        <f ca="1">IFERROR(__xludf.DUMMYFUNCTION("""COMPUTED_VALUE"""),5)</f>
        <v>5</v>
      </c>
      <c r="AD150" s="4">
        <f ca="1">IFERROR(__xludf.DUMMYFUNCTION("""COMPUTED_VALUE"""),5)</f>
        <v>5</v>
      </c>
      <c r="AE150" s="4">
        <f ca="1">IFERROR(__xludf.DUMMYFUNCTION("""COMPUTED_VALUE"""),5)</f>
        <v>5</v>
      </c>
      <c r="AF150" s="4">
        <f ca="1">IFERROR(__xludf.DUMMYFUNCTION("""COMPUTED_VALUE"""),5)</f>
        <v>5</v>
      </c>
      <c r="AG150" s="4">
        <f ca="1">IFERROR(__xludf.DUMMYFUNCTION("""COMPUTED_VALUE"""),5)</f>
        <v>5</v>
      </c>
      <c r="AH150" s="4">
        <f ca="1">IFERROR(__xludf.DUMMYFUNCTION("""COMPUTED_VALUE"""),5)</f>
        <v>5</v>
      </c>
      <c r="AI150" s="4">
        <f ca="1">IFERROR(__xludf.DUMMYFUNCTION("""COMPUTED_VALUE"""),5)</f>
        <v>5</v>
      </c>
      <c r="AJ150" s="4">
        <f ca="1">IFERROR(__xludf.DUMMYFUNCTION("""COMPUTED_VALUE"""),5)</f>
        <v>5</v>
      </c>
      <c r="AK150" s="4">
        <f ca="1">IFERROR(__xludf.DUMMYFUNCTION("""COMPUTED_VALUE"""),5)</f>
        <v>5</v>
      </c>
      <c r="AL150" s="4">
        <f ca="1">IFERROR(__xludf.DUMMYFUNCTION("""COMPUTED_VALUE"""),5)</f>
        <v>5</v>
      </c>
      <c r="AM150" s="4">
        <f ca="1">IFERROR(__xludf.DUMMYFUNCTION("""COMPUTED_VALUE"""),5)</f>
        <v>5</v>
      </c>
      <c r="AN150" s="4">
        <f ca="1">IFERROR(__xludf.DUMMYFUNCTION("""COMPUTED_VALUE"""),5)</f>
        <v>5</v>
      </c>
      <c r="AO150" s="4">
        <f ca="1">IFERROR(__xludf.DUMMYFUNCTION("""COMPUTED_VALUE"""),5)</f>
        <v>5</v>
      </c>
      <c r="AP150" s="4">
        <f ca="1">IFERROR(__xludf.DUMMYFUNCTION("""COMPUTED_VALUE"""),5)</f>
        <v>5</v>
      </c>
      <c r="AQ150" s="4">
        <f ca="1">IFERROR(__xludf.DUMMYFUNCTION("""COMPUTED_VALUE"""),5)</f>
        <v>5</v>
      </c>
      <c r="AR150" s="4">
        <f ca="1">IFERROR(__xludf.DUMMYFUNCTION("""COMPUTED_VALUE"""),5)</f>
        <v>5</v>
      </c>
      <c r="AS150" s="4">
        <f ca="1">IFERROR(__xludf.DUMMYFUNCTION("""COMPUTED_VALUE"""),5)</f>
        <v>5</v>
      </c>
      <c r="AT150" s="4">
        <f ca="1">IFERROR(__xludf.DUMMYFUNCTION("""COMPUTED_VALUE"""),5)</f>
        <v>5</v>
      </c>
      <c r="AU150" s="4">
        <f ca="1">IFERROR(__xludf.DUMMYFUNCTION("""COMPUTED_VALUE"""),5)</f>
        <v>5</v>
      </c>
      <c r="AV150" s="4">
        <f ca="1">IFERROR(__xludf.DUMMYFUNCTION("""COMPUTED_VALUE"""),5)</f>
        <v>5</v>
      </c>
      <c r="AW150" s="4">
        <f ca="1">IFERROR(__xludf.DUMMYFUNCTION("""COMPUTED_VALUE"""),5)</f>
        <v>5</v>
      </c>
      <c r="AX150" s="4">
        <f ca="1">IFERROR(__xludf.DUMMYFUNCTION("""COMPUTED_VALUE"""),5)</f>
        <v>5</v>
      </c>
      <c r="AY150" s="4">
        <f ca="1">IFERROR(__xludf.DUMMYFUNCTION("""COMPUTED_VALUE"""),5)</f>
        <v>5</v>
      </c>
      <c r="AZ150" s="4">
        <f ca="1">IFERROR(__xludf.DUMMYFUNCTION("""COMPUTED_VALUE"""),5)</f>
        <v>5</v>
      </c>
      <c r="BA150" s="4">
        <f ca="1">IFERROR(__xludf.DUMMYFUNCTION("""COMPUTED_VALUE"""),5)</f>
        <v>5</v>
      </c>
      <c r="BB150" s="4">
        <f ca="1">IFERROR(__xludf.DUMMYFUNCTION("""COMPUTED_VALUE"""),5)</f>
        <v>5</v>
      </c>
      <c r="BC150" s="4">
        <f ca="1">IFERROR(__xludf.DUMMYFUNCTION("""COMPUTED_VALUE"""),5)</f>
        <v>5</v>
      </c>
      <c r="BD150" s="4">
        <f ca="1">IFERROR(__xludf.DUMMYFUNCTION("""COMPUTED_VALUE"""),5)</f>
        <v>5</v>
      </c>
      <c r="BE150" s="4">
        <f ca="1">IFERROR(__xludf.DUMMYFUNCTION("""COMPUTED_VALUE"""),5)</f>
        <v>5</v>
      </c>
      <c r="BF150" s="4">
        <f ca="1">IFERROR(__xludf.DUMMYFUNCTION("""COMPUTED_VALUE"""),5)</f>
        <v>5</v>
      </c>
      <c r="BG150" s="4">
        <f ca="1">IFERROR(__xludf.DUMMYFUNCTION("""COMPUTED_VALUE"""),5)</f>
        <v>5</v>
      </c>
      <c r="BH150" s="4">
        <f ca="1">IFERROR(__xludf.DUMMYFUNCTION("""COMPUTED_VALUE"""),5)</f>
        <v>5</v>
      </c>
      <c r="BI150" s="4">
        <f ca="1">IFERROR(__xludf.DUMMYFUNCTION("""COMPUTED_VALUE"""),5)</f>
        <v>5</v>
      </c>
      <c r="BJ150" s="4">
        <f ca="1">IFERROR(__xludf.DUMMYFUNCTION("""COMPUTED_VALUE"""),5)</f>
        <v>5</v>
      </c>
      <c r="BK150" s="4">
        <f ca="1">IFERROR(__xludf.DUMMYFUNCTION("""COMPUTED_VALUE"""),5)</f>
        <v>5</v>
      </c>
      <c r="BL150" s="4">
        <f ca="1">IFERROR(__xludf.DUMMYFUNCTION("""COMPUTED_VALUE"""),5)</f>
        <v>5</v>
      </c>
      <c r="BM150" s="4">
        <f ca="1">IFERROR(__xludf.DUMMYFUNCTION("""COMPUTED_VALUE"""),5)</f>
        <v>5</v>
      </c>
      <c r="BN150" s="4">
        <f ca="1">IFERROR(__xludf.DUMMYFUNCTION("""COMPUTED_VALUE"""),5)</f>
        <v>5</v>
      </c>
      <c r="BO150" s="4">
        <f ca="1">IFERROR(__xludf.DUMMYFUNCTION("""COMPUTED_VALUE"""),5)</f>
        <v>5</v>
      </c>
      <c r="BP150" s="4">
        <f ca="1">IFERROR(__xludf.DUMMYFUNCTION("""COMPUTED_VALUE"""),5)</f>
        <v>5</v>
      </c>
    </row>
    <row r="151" spans="1:68" ht="13.2" x14ac:dyDescent="0.25">
      <c r="A151" s="4" t="str">
        <f ca="1">IFERROR(__xludf.DUMMYFUNCTION("""COMPUTED_VALUE"""),"2_ABaOnueQC6bJhyNcD9CkzNmEqeM6wtmrWvF1Us0qALWlx94nS4iU1XzSOP1nmrGH_Q")</f>
        <v>2_ABaOnueQC6bJhyNcD9CkzNmEqeM6wtmrWvF1Us0qALWlx94nS4iU1XzSOP1nmrGH_Q</v>
      </c>
      <c r="B151" s="5">
        <f ca="1">IFERROR(__xludf.DUMMYFUNCTION("""COMPUTED_VALUE"""),45974.6515824999)</f>
        <v>45974.651582499901</v>
      </c>
      <c r="C151" s="4" t="str">
        <f ca="1">IFERROR(__xludf.DUMMYFUNCTION("""COMPUTED_VALUE"""),"Nguyễn Thị Hoài Phương")</f>
        <v>Nguyễn Thị Hoài Phương</v>
      </c>
      <c r="D151" s="4" t="str">
        <f ca="1">IFERROR(__xludf.DUMMYFUNCTION("""COMPUTED_VALUE"""),"Nữ")</f>
        <v>Nữ</v>
      </c>
      <c r="E151" s="4" t="str">
        <f ca="1">IFERROR(__xludf.DUMMYFUNCTION("""COMPUTED_VALUE"""),"Công ty TNHH Kiểm toán I.T.O")</f>
        <v>Công ty TNHH Kiểm toán I.T.O</v>
      </c>
      <c r="F151" s="4" t="str">
        <f ca="1">IFERROR(__xludf.DUMMYFUNCTION("""COMPUTED_VALUE"""),"Đại học, Chứng chỉ Kiểm toán viên")</f>
        <v>Đại học, Chứng chỉ Kiểm toán viên</v>
      </c>
      <c r="G151" s="4" t="str">
        <f ca="1">IFERROR(__xludf.DUMMYFUNCTION("""COMPUTED_VALUE"""),"Trên 5 đến 10 năm")</f>
        <v>Trên 5 đến 10 năm</v>
      </c>
      <c r="H151" s="4" t="str">
        <f ca="1">IFERROR(__xludf.DUMMYFUNCTION("""COMPUTED_VALUE"""),"Kiểm toán viên/Trưởng nhóm")</f>
        <v>Kiểm toán viên/Trưởng nhóm</v>
      </c>
      <c r="I151" s="4">
        <f ca="1">IFERROR(__xludf.DUMMYFUNCTION("""COMPUTED_VALUE"""),5)</f>
        <v>5</v>
      </c>
      <c r="J151" s="4">
        <f ca="1">IFERROR(__xludf.DUMMYFUNCTION("""COMPUTED_VALUE"""),4)</f>
        <v>4</v>
      </c>
      <c r="K151" s="4">
        <f ca="1">IFERROR(__xludf.DUMMYFUNCTION("""COMPUTED_VALUE"""),4)</f>
        <v>4</v>
      </c>
      <c r="L151" s="4">
        <f ca="1">IFERROR(__xludf.DUMMYFUNCTION("""COMPUTED_VALUE"""),4)</f>
        <v>4</v>
      </c>
      <c r="M151" s="4">
        <f ca="1">IFERROR(__xludf.DUMMYFUNCTION("""COMPUTED_VALUE"""),5)</f>
        <v>5</v>
      </c>
      <c r="N151" s="4">
        <f ca="1">IFERROR(__xludf.DUMMYFUNCTION("""COMPUTED_VALUE"""),4)</f>
        <v>4</v>
      </c>
      <c r="O151" s="4">
        <f ca="1">IFERROR(__xludf.DUMMYFUNCTION("""COMPUTED_VALUE"""),3)</f>
        <v>3</v>
      </c>
      <c r="P151" s="4">
        <f ca="1">IFERROR(__xludf.DUMMYFUNCTION("""COMPUTED_VALUE"""),4)</f>
        <v>4</v>
      </c>
      <c r="Q151" s="4">
        <f ca="1">IFERROR(__xludf.DUMMYFUNCTION("""COMPUTED_VALUE"""),5)</f>
        <v>5</v>
      </c>
      <c r="R151" s="4">
        <f ca="1">IFERROR(__xludf.DUMMYFUNCTION("""COMPUTED_VALUE"""),5)</f>
        <v>5</v>
      </c>
      <c r="S151" s="4">
        <f ca="1">IFERROR(__xludf.DUMMYFUNCTION("""COMPUTED_VALUE"""),4)</f>
        <v>4</v>
      </c>
      <c r="T151" s="4">
        <f ca="1">IFERROR(__xludf.DUMMYFUNCTION("""COMPUTED_VALUE"""),4)</f>
        <v>4</v>
      </c>
      <c r="U151" s="4">
        <f ca="1">IFERROR(__xludf.DUMMYFUNCTION("""COMPUTED_VALUE"""),4)</f>
        <v>4</v>
      </c>
      <c r="V151" s="4">
        <f ca="1">IFERROR(__xludf.DUMMYFUNCTION("""COMPUTED_VALUE"""),5)</f>
        <v>5</v>
      </c>
      <c r="W151" s="4">
        <f ca="1">IFERROR(__xludf.DUMMYFUNCTION("""COMPUTED_VALUE"""),4)</f>
        <v>4</v>
      </c>
      <c r="X151" s="4">
        <f ca="1">IFERROR(__xludf.DUMMYFUNCTION("""COMPUTED_VALUE"""),4)</f>
        <v>4</v>
      </c>
      <c r="Y151" s="4">
        <f ca="1">IFERROR(__xludf.DUMMYFUNCTION("""COMPUTED_VALUE"""),3)</f>
        <v>3</v>
      </c>
      <c r="Z151" s="4">
        <f ca="1">IFERROR(__xludf.DUMMYFUNCTION("""COMPUTED_VALUE"""),3)</f>
        <v>3</v>
      </c>
      <c r="AA151" s="4">
        <f ca="1">IFERROR(__xludf.DUMMYFUNCTION("""COMPUTED_VALUE"""),5)</f>
        <v>5</v>
      </c>
      <c r="AB151" s="4">
        <f ca="1">IFERROR(__xludf.DUMMYFUNCTION("""COMPUTED_VALUE"""),5)</f>
        <v>5</v>
      </c>
      <c r="AC151" s="4">
        <f ca="1">IFERROR(__xludf.DUMMYFUNCTION("""COMPUTED_VALUE"""),4)</f>
        <v>4</v>
      </c>
      <c r="AD151" s="4">
        <f ca="1">IFERROR(__xludf.DUMMYFUNCTION("""COMPUTED_VALUE"""),4)</f>
        <v>4</v>
      </c>
      <c r="AE151" s="4">
        <f ca="1">IFERROR(__xludf.DUMMYFUNCTION("""COMPUTED_VALUE"""),5)</f>
        <v>5</v>
      </c>
      <c r="AF151" s="4">
        <f ca="1">IFERROR(__xludf.DUMMYFUNCTION("""COMPUTED_VALUE"""),4)</f>
        <v>4</v>
      </c>
      <c r="AG151" s="4">
        <f ca="1">IFERROR(__xludf.DUMMYFUNCTION("""COMPUTED_VALUE"""),4)</f>
        <v>4</v>
      </c>
      <c r="AH151" s="4">
        <f ca="1">IFERROR(__xludf.DUMMYFUNCTION("""COMPUTED_VALUE"""),4)</f>
        <v>4</v>
      </c>
      <c r="AI151" s="4">
        <f ca="1">IFERROR(__xludf.DUMMYFUNCTION("""COMPUTED_VALUE"""),4)</f>
        <v>4</v>
      </c>
      <c r="AJ151" s="4">
        <f ca="1">IFERROR(__xludf.DUMMYFUNCTION("""COMPUTED_VALUE"""),4)</f>
        <v>4</v>
      </c>
      <c r="AK151" s="4">
        <f ca="1">IFERROR(__xludf.DUMMYFUNCTION("""COMPUTED_VALUE"""),5)</f>
        <v>5</v>
      </c>
      <c r="AL151" s="4">
        <f ca="1">IFERROR(__xludf.DUMMYFUNCTION("""COMPUTED_VALUE"""),4)</f>
        <v>4</v>
      </c>
      <c r="AM151" s="4">
        <f ca="1">IFERROR(__xludf.DUMMYFUNCTION("""COMPUTED_VALUE"""),4)</f>
        <v>4</v>
      </c>
      <c r="AN151" s="4">
        <f ca="1">IFERROR(__xludf.DUMMYFUNCTION("""COMPUTED_VALUE"""),4)</f>
        <v>4</v>
      </c>
      <c r="AO151" s="4">
        <f ca="1">IFERROR(__xludf.DUMMYFUNCTION("""COMPUTED_VALUE"""),5)</f>
        <v>5</v>
      </c>
      <c r="AP151" s="4">
        <f ca="1">IFERROR(__xludf.DUMMYFUNCTION("""COMPUTED_VALUE"""),5)</f>
        <v>5</v>
      </c>
      <c r="AQ151" s="4">
        <f ca="1">IFERROR(__xludf.DUMMYFUNCTION("""COMPUTED_VALUE"""),4)</f>
        <v>4</v>
      </c>
      <c r="AR151" s="4">
        <f ca="1">IFERROR(__xludf.DUMMYFUNCTION("""COMPUTED_VALUE"""),4)</f>
        <v>4</v>
      </c>
      <c r="AS151" s="4">
        <f ca="1">IFERROR(__xludf.DUMMYFUNCTION("""COMPUTED_VALUE"""),4)</f>
        <v>4</v>
      </c>
      <c r="AT151" s="4">
        <f ca="1">IFERROR(__xludf.DUMMYFUNCTION("""COMPUTED_VALUE"""),1)</f>
        <v>1</v>
      </c>
      <c r="AU151" s="4">
        <f ca="1">IFERROR(__xludf.DUMMYFUNCTION("""COMPUTED_VALUE"""),3)</f>
        <v>3</v>
      </c>
      <c r="AV151" s="4">
        <f ca="1">IFERROR(__xludf.DUMMYFUNCTION("""COMPUTED_VALUE"""),3)</f>
        <v>3</v>
      </c>
      <c r="AW151" s="4">
        <f ca="1">IFERROR(__xludf.DUMMYFUNCTION("""COMPUTED_VALUE"""),3)</f>
        <v>3</v>
      </c>
      <c r="AX151" s="4">
        <f ca="1">IFERROR(__xludf.DUMMYFUNCTION("""COMPUTED_VALUE"""),5)</f>
        <v>5</v>
      </c>
      <c r="AY151" s="4">
        <f ca="1">IFERROR(__xludf.DUMMYFUNCTION("""COMPUTED_VALUE"""),5)</f>
        <v>5</v>
      </c>
      <c r="AZ151" s="4">
        <f ca="1">IFERROR(__xludf.DUMMYFUNCTION("""COMPUTED_VALUE"""),5)</f>
        <v>5</v>
      </c>
      <c r="BA151" s="4">
        <f ca="1">IFERROR(__xludf.DUMMYFUNCTION("""COMPUTED_VALUE"""),5)</f>
        <v>5</v>
      </c>
      <c r="BB151" s="4">
        <f ca="1">IFERROR(__xludf.DUMMYFUNCTION("""COMPUTED_VALUE"""),2)</f>
        <v>2</v>
      </c>
      <c r="BC151" s="4">
        <f ca="1">IFERROR(__xludf.DUMMYFUNCTION("""COMPUTED_VALUE"""),2)</f>
        <v>2</v>
      </c>
      <c r="BD151" s="4">
        <f ca="1">IFERROR(__xludf.DUMMYFUNCTION("""COMPUTED_VALUE"""),3)</f>
        <v>3</v>
      </c>
      <c r="BE151" s="4">
        <f ca="1">IFERROR(__xludf.DUMMYFUNCTION("""COMPUTED_VALUE"""),3)</f>
        <v>3</v>
      </c>
      <c r="BF151" s="4">
        <f ca="1">IFERROR(__xludf.DUMMYFUNCTION("""COMPUTED_VALUE"""),3)</f>
        <v>3</v>
      </c>
      <c r="BG151" s="4">
        <f ca="1">IFERROR(__xludf.DUMMYFUNCTION("""COMPUTED_VALUE"""),3)</f>
        <v>3</v>
      </c>
      <c r="BH151" s="4">
        <f ca="1">IFERROR(__xludf.DUMMYFUNCTION("""COMPUTED_VALUE"""),4)</f>
        <v>4</v>
      </c>
      <c r="BI151" s="4">
        <f ca="1">IFERROR(__xludf.DUMMYFUNCTION("""COMPUTED_VALUE"""),4)</f>
        <v>4</v>
      </c>
      <c r="BJ151" s="4">
        <f ca="1">IFERROR(__xludf.DUMMYFUNCTION("""COMPUTED_VALUE"""),4)</f>
        <v>4</v>
      </c>
      <c r="BK151" s="4">
        <f ca="1">IFERROR(__xludf.DUMMYFUNCTION("""COMPUTED_VALUE"""),5)</f>
        <v>5</v>
      </c>
      <c r="BL151" s="4">
        <f ca="1">IFERROR(__xludf.DUMMYFUNCTION("""COMPUTED_VALUE"""),4)</f>
        <v>4</v>
      </c>
      <c r="BM151" s="4">
        <f ca="1">IFERROR(__xludf.DUMMYFUNCTION("""COMPUTED_VALUE"""),4)</f>
        <v>4</v>
      </c>
      <c r="BN151" s="4">
        <f ca="1">IFERROR(__xludf.DUMMYFUNCTION("""COMPUTED_VALUE"""),5)</f>
        <v>5</v>
      </c>
      <c r="BO151" s="4">
        <f ca="1">IFERROR(__xludf.DUMMYFUNCTION("""COMPUTED_VALUE"""),5)</f>
        <v>5</v>
      </c>
      <c r="BP151" s="4">
        <f ca="1">IFERROR(__xludf.DUMMYFUNCTION("""COMPUTED_VALUE"""),5)</f>
        <v>5</v>
      </c>
    </row>
    <row r="152" spans="1:68" ht="13.2" x14ac:dyDescent="0.25">
      <c r="A152" s="4" t="str">
        <f ca="1">IFERROR(__xludf.DUMMYFUNCTION("""COMPUTED_VALUE"""),"2_ABaOnuforek-qAt9KEM-7ZL6e5EYv6LNVqINAUif0CeGdP2sTHB7Lfxrt5JC2_I6kw")</f>
        <v>2_ABaOnuforek-qAt9KEM-7ZL6e5EYv6LNVqINAUif0CeGdP2sTHB7Lfxrt5JC2_I6kw</v>
      </c>
      <c r="B152" s="5">
        <f ca="1">IFERROR(__xludf.DUMMYFUNCTION("""COMPUTED_VALUE"""),45974.6576530902)</f>
        <v>45974.657653090202</v>
      </c>
      <c r="C152" s="4" t="str">
        <f ca="1">IFERROR(__xludf.DUMMYFUNCTION("""COMPUTED_VALUE"""),"Lê Huy Bình")</f>
        <v>Lê Huy Bình</v>
      </c>
      <c r="D152" s="4" t="str">
        <f ca="1">IFERROR(__xludf.DUMMYFUNCTION("""COMPUTED_VALUE"""),"Nam")</f>
        <v>Nam</v>
      </c>
      <c r="E152" s="4" t="str">
        <f ca="1">IFERROR(__xludf.DUMMYFUNCTION("""COMPUTED_VALUE"""),"CÔng ty TNHH Kiểm toán DFK Việt Nam")</f>
        <v>CÔng ty TNHH Kiểm toán DFK Việt Nam</v>
      </c>
      <c r="F152" s="4" t="str">
        <f ca="1">IFERROR(__xludf.DUMMYFUNCTION("""COMPUTED_VALUE"""),"Sau đại học, Chứng chỉ Kiểm toán viên")</f>
        <v>Sau đại học, Chứng chỉ Kiểm toán viên</v>
      </c>
      <c r="G152" s="4" t="str">
        <f ca="1">IFERROR(__xludf.DUMMYFUNCTION("""COMPUTED_VALUE"""),"Trên 10 đến 15 năm")</f>
        <v>Trên 10 đến 15 năm</v>
      </c>
      <c r="H152" s="4" t="str">
        <f ca="1">IFERROR(__xludf.DUMMYFUNCTION("""COMPUTED_VALUE"""),"Trưởng phòng")</f>
        <v>Trưởng phòng</v>
      </c>
      <c r="I152" s="4">
        <f ca="1">IFERROR(__xludf.DUMMYFUNCTION("""COMPUTED_VALUE"""),5)</f>
        <v>5</v>
      </c>
      <c r="J152" s="4">
        <f ca="1">IFERROR(__xludf.DUMMYFUNCTION("""COMPUTED_VALUE"""),5)</f>
        <v>5</v>
      </c>
      <c r="K152" s="4">
        <f ca="1">IFERROR(__xludf.DUMMYFUNCTION("""COMPUTED_VALUE"""),5)</f>
        <v>5</v>
      </c>
      <c r="L152" s="4">
        <f ca="1">IFERROR(__xludf.DUMMYFUNCTION("""COMPUTED_VALUE"""),5)</f>
        <v>5</v>
      </c>
      <c r="M152" s="4">
        <f ca="1">IFERROR(__xludf.DUMMYFUNCTION("""COMPUTED_VALUE"""),5)</f>
        <v>5</v>
      </c>
      <c r="N152" s="4">
        <f ca="1">IFERROR(__xludf.DUMMYFUNCTION("""COMPUTED_VALUE"""),5)</f>
        <v>5</v>
      </c>
      <c r="O152" s="4">
        <f ca="1">IFERROR(__xludf.DUMMYFUNCTION("""COMPUTED_VALUE"""),5)</f>
        <v>5</v>
      </c>
      <c r="P152" s="4">
        <f ca="1">IFERROR(__xludf.DUMMYFUNCTION("""COMPUTED_VALUE"""),5)</f>
        <v>5</v>
      </c>
      <c r="Q152" s="4">
        <f ca="1">IFERROR(__xludf.DUMMYFUNCTION("""COMPUTED_VALUE"""),5)</f>
        <v>5</v>
      </c>
      <c r="R152" s="4">
        <f ca="1">IFERROR(__xludf.DUMMYFUNCTION("""COMPUTED_VALUE"""),5)</f>
        <v>5</v>
      </c>
      <c r="S152" s="4">
        <f ca="1">IFERROR(__xludf.DUMMYFUNCTION("""COMPUTED_VALUE"""),5)</f>
        <v>5</v>
      </c>
      <c r="T152" s="4">
        <f ca="1">IFERROR(__xludf.DUMMYFUNCTION("""COMPUTED_VALUE"""),5)</f>
        <v>5</v>
      </c>
      <c r="U152" s="4">
        <f ca="1">IFERROR(__xludf.DUMMYFUNCTION("""COMPUTED_VALUE"""),5)</f>
        <v>5</v>
      </c>
      <c r="V152" s="4">
        <f ca="1">IFERROR(__xludf.DUMMYFUNCTION("""COMPUTED_VALUE"""),5)</f>
        <v>5</v>
      </c>
      <c r="W152" s="4">
        <f ca="1">IFERROR(__xludf.DUMMYFUNCTION("""COMPUTED_VALUE"""),5)</f>
        <v>5</v>
      </c>
      <c r="X152" s="4">
        <f ca="1">IFERROR(__xludf.DUMMYFUNCTION("""COMPUTED_VALUE"""),5)</f>
        <v>5</v>
      </c>
      <c r="Y152" s="4">
        <f ca="1">IFERROR(__xludf.DUMMYFUNCTION("""COMPUTED_VALUE"""),5)</f>
        <v>5</v>
      </c>
      <c r="Z152" s="4">
        <f ca="1">IFERROR(__xludf.DUMMYFUNCTION("""COMPUTED_VALUE"""),5)</f>
        <v>5</v>
      </c>
      <c r="AA152" s="4">
        <f ca="1">IFERROR(__xludf.DUMMYFUNCTION("""COMPUTED_VALUE"""),5)</f>
        <v>5</v>
      </c>
      <c r="AB152" s="4">
        <f ca="1">IFERROR(__xludf.DUMMYFUNCTION("""COMPUTED_VALUE"""),5)</f>
        <v>5</v>
      </c>
      <c r="AC152" s="4">
        <f ca="1">IFERROR(__xludf.DUMMYFUNCTION("""COMPUTED_VALUE"""),3)</f>
        <v>3</v>
      </c>
      <c r="AD152" s="4">
        <f ca="1">IFERROR(__xludf.DUMMYFUNCTION("""COMPUTED_VALUE"""),3)</f>
        <v>3</v>
      </c>
      <c r="AE152" s="4">
        <f ca="1">IFERROR(__xludf.DUMMYFUNCTION("""COMPUTED_VALUE"""),5)</f>
        <v>5</v>
      </c>
      <c r="AF152" s="4">
        <f ca="1">IFERROR(__xludf.DUMMYFUNCTION("""COMPUTED_VALUE"""),5)</f>
        <v>5</v>
      </c>
      <c r="AG152" s="4">
        <f ca="1">IFERROR(__xludf.DUMMYFUNCTION("""COMPUTED_VALUE"""),5)</f>
        <v>5</v>
      </c>
      <c r="AH152" s="4">
        <f ca="1">IFERROR(__xludf.DUMMYFUNCTION("""COMPUTED_VALUE"""),5)</f>
        <v>5</v>
      </c>
      <c r="AI152" s="4">
        <f ca="1">IFERROR(__xludf.DUMMYFUNCTION("""COMPUTED_VALUE"""),5)</f>
        <v>5</v>
      </c>
      <c r="AJ152" s="4">
        <f ca="1">IFERROR(__xludf.DUMMYFUNCTION("""COMPUTED_VALUE"""),5)</f>
        <v>5</v>
      </c>
      <c r="AK152" s="4">
        <f ca="1">IFERROR(__xludf.DUMMYFUNCTION("""COMPUTED_VALUE"""),5)</f>
        <v>5</v>
      </c>
      <c r="AL152" s="4">
        <f ca="1">IFERROR(__xludf.DUMMYFUNCTION("""COMPUTED_VALUE"""),5)</f>
        <v>5</v>
      </c>
      <c r="AM152" s="4">
        <f ca="1">IFERROR(__xludf.DUMMYFUNCTION("""COMPUTED_VALUE"""),5)</f>
        <v>5</v>
      </c>
      <c r="AN152" s="4">
        <f ca="1">IFERROR(__xludf.DUMMYFUNCTION("""COMPUTED_VALUE"""),5)</f>
        <v>5</v>
      </c>
      <c r="AO152" s="4">
        <f ca="1">IFERROR(__xludf.DUMMYFUNCTION("""COMPUTED_VALUE"""),5)</f>
        <v>5</v>
      </c>
      <c r="AP152" s="4">
        <f ca="1">IFERROR(__xludf.DUMMYFUNCTION("""COMPUTED_VALUE"""),3)</f>
        <v>3</v>
      </c>
      <c r="AQ152" s="4">
        <f ca="1">IFERROR(__xludf.DUMMYFUNCTION("""COMPUTED_VALUE"""),5)</f>
        <v>5</v>
      </c>
      <c r="AR152" s="4">
        <f ca="1">IFERROR(__xludf.DUMMYFUNCTION("""COMPUTED_VALUE"""),5)</f>
        <v>5</v>
      </c>
      <c r="AS152" s="4">
        <f ca="1">IFERROR(__xludf.DUMMYFUNCTION("""COMPUTED_VALUE"""),3)</f>
        <v>3</v>
      </c>
      <c r="AT152" s="4">
        <f ca="1">IFERROR(__xludf.DUMMYFUNCTION("""COMPUTED_VALUE"""),4)</f>
        <v>4</v>
      </c>
      <c r="AU152" s="4">
        <f ca="1">IFERROR(__xludf.DUMMYFUNCTION("""COMPUTED_VALUE"""),3)</f>
        <v>3</v>
      </c>
      <c r="AV152" s="4">
        <f ca="1">IFERROR(__xludf.DUMMYFUNCTION("""COMPUTED_VALUE"""),3)</f>
        <v>3</v>
      </c>
      <c r="AW152" s="4">
        <f ca="1">IFERROR(__xludf.DUMMYFUNCTION("""COMPUTED_VALUE"""),4)</f>
        <v>4</v>
      </c>
      <c r="AX152" s="4">
        <f ca="1">IFERROR(__xludf.DUMMYFUNCTION("""COMPUTED_VALUE"""),5)</f>
        <v>5</v>
      </c>
      <c r="AY152" s="4">
        <f ca="1">IFERROR(__xludf.DUMMYFUNCTION("""COMPUTED_VALUE"""),5)</f>
        <v>5</v>
      </c>
      <c r="AZ152" s="4">
        <f ca="1">IFERROR(__xludf.DUMMYFUNCTION("""COMPUTED_VALUE"""),5)</f>
        <v>5</v>
      </c>
      <c r="BA152" s="4">
        <f ca="1">IFERROR(__xludf.DUMMYFUNCTION("""COMPUTED_VALUE"""),5)</f>
        <v>5</v>
      </c>
      <c r="BB152" s="4">
        <f ca="1">IFERROR(__xludf.DUMMYFUNCTION("""COMPUTED_VALUE"""),5)</f>
        <v>5</v>
      </c>
      <c r="BC152" s="4">
        <f ca="1">IFERROR(__xludf.DUMMYFUNCTION("""COMPUTED_VALUE"""),5)</f>
        <v>5</v>
      </c>
      <c r="BD152" s="4">
        <f ca="1">IFERROR(__xludf.DUMMYFUNCTION("""COMPUTED_VALUE"""),5)</f>
        <v>5</v>
      </c>
      <c r="BE152" s="4">
        <f ca="1">IFERROR(__xludf.DUMMYFUNCTION("""COMPUTED_VALUE"""),5)</f>
        <v>5</v>
      </c>
      <c r="BF152" s="4">
        <f ca="1">IFERROR(__xludf.DUMMYFUNCTION("""COMPUTED_VALUE"""),5)</f>
        <v>5</v>
      </c>
      <c r="BG152" s="4">
        <f ca="1">IFERROR(__xludf.DUMMYFUNCTION("""COMPUTED_VALUE"""),5)</f>
        <v>5</v>
      </c>
      <c r="BH152" s="4">
        <f ca="1">IFERROR(__xludf.DUMMYFUNCTION("""COMPUTED_VALUE"""),5)</f>
        <v>5</v>
      </c>
      <c r="BI152" s="4">
        <f ca="1">IFERROR(__xludf.DUMMYFUNCTION("""COMPUTED_VALUE"""),5)</f>
        <v>5</v>
      </c>
      <c r="BJ152" s="4">
        <f ca="1">IFERROR(__xludf.DUMMYFUNCTION("""COMPUTED_VALUE"""),5)</f>
        <v>5</v>
      </c>
      <c r="BK152" s="4">
        <f ca="1">IFERROR(__xludf.DUMMYFUNCTION("""COMPUTED_VALUE"""),5)</f>
        <v>5</v>
      </c>
      <c r="BL152" s="4">
        <f ca="1">IFERROR(__xludf.DUMMYFUNCTION("""COMPUTED_VALUE"""),5)</f>
        <v>5</v>
      </c>
      <c r="BM152" s="4">
        <f ca="1">IFERROR(__xludf.DUMMYFUNCTION("""COMPUTED_VALUE"""),5)</f>
        <v>5</v>
      </c>
      <c r="BN152" s="4">
        <f ca="1">IFERROR(__xludf.DUMMYFUNCTION("""COMPUTED_VALUE"""),5)</f>
        <v>5</v>
      </c>
      <c r="BO152" s="4">
        <f ca="1">IFERROR(__xludf.DUMMYFUNCTION("""COMPUTED_VALUE"""),5)</f>
        <v>5</v>
      </c>
      <c r="BP152" s="4">
        <f ca="1">IFERROR(__xludf.DUMMYFUNCTION("""COMPUTED_VALUE"""),5)</f>
        <v>5</v>
      </c>
    </row>
    <row r="153" spans="1:68" ht="13.2" x14ac:dyDescent="0.25">
      <c r="A153" s="4" t="str">
        <f ca="1">IFERROR(__xludf.DUMMYFUNCTION("""COMPUTED_VALUE"""),"2_ABaOnucCAAnJ7ot2nyxboW5B2C66rmW61Q54k3dS9B9F9sLKzS1Af9G52cbDz1aVOQ")</f>
        <v>2_ABaOnucCAAnJ7ot2nyxboW5B2C66rmW61Q54k3dS9B9F9sLKzS1Af9G52cbDz1aVOQ</v>
      </c>
      <c r="B153" s="5">
        <f ca="1">IFERROR(__xludf.DUMMYFUNCTION("""COMPUTED_VALUE"""),45974.6625668171)</f>
        <v>45974.662566817096</v>
      </c>
      <c r="C153" s="4" t="str">
        <f ca="1">IFERROR(__xludf.DUMMYFUNCTION("""COMPUTED_VALUE"""),"Nguyễn Ngọc Tân")</f>
        <v>Nguyễn Ngọc Tân</v>
      </c>
      <c r="D153" s="4" t="str">
        <f ca="1">IFERROR(__xludf.DUMMYFUNCTION("""COMPUTED_VALUE"""),"Nam")</f>
        <v>Nam</v>
      </c>
      <c r="E153" s="4" t="str">
        <f ca="1">IFERROR(__xludf.DUMMYFUNCTION("""COMPUTED_VALUE"""),"Công ty TNHH Indochina Link Việt Nam")</f>
        <v>Công ty TNHH Indochina Link Việt Nam</v>
      </c>
      <c r="F153" s="4" t="str">
        <f ca="1">IFERROR(__xludf.DUMMYFUNCTION("""COMPUTED_VALUE"""),"Đại học, Chứng chỉ Kiểm toán viên")</f>
        <v>Đại học, Chứng chỉ Kiểm toán viên</v>
      </c>
      <c r="G153" s="4" t="str">
        <f ca="1">IFERROR(__xludf.DUMMYFUNCTION("""COMPUTED_VALUE"""),"Trên 10 đến 15 năm")</f>
        <v>Trên 10 đến 15 năm</v>
      </c>
      <c r="H153" s="4" t="str">
        <f ca="1">IFERROR(__xludf.DUMMYFUNCTION("""COMPUTED_VALUE"""),"Ban giám đốc")</f>
        <v>Ban giám đốc</v>
      </c>
      <c r="I153" s="4">
        <f ca="1">IFERROR(__xludf.DUMMYFUNCTION("""COMPUTED_VALUE"""),4)</f>
        <v>4</v>
      </c>
      <c r="J153" s="4">
        <f ca="1">IFERROR(__xludf.DUMMYFUNCTION("""COMPUTED_VALUE"""),4)</f>
        <v>4</v>
      </c>
      <c r="K153" s="4">
        <f ca="1">IFERROR(__xludf.DUMMYFUNCTION("""COMPUTED_VALUE"""),4)</f>
        <v>4</v>
      </c>
      <c r="L153" s="4">
        <f ca="1">IFERROR(__xludf.DUMMYFUNCTION("""COMPUTED_VALUE"""),3)</f>
        <v>3</v>
      </c>
      <c r="M153" s="4">
        <f ca="1">IFERROR(__xludf.DUMMYFUNCTION("""COMPUTED_VALUE"""),4)</f>
        <v>4</v>
      </c>
      <c r="N153" s="4">
        <f ca="1">IFERROR(__xludf.DUMMYFUNCTION("""COMPUTED_VALUE"""),4)</f>
        <v>4</v>
      </c>
      <c r="O153" s="4">
        <f ca="1">IFERROR(__xludf.DUMMYFUNCTION("""COMPUTED_VALUE"""),4)</f>
        <v>4</v>
      </c>
      <c r="P153" s="4">
        <f ca="1">IFERROR(__xludf.DUMMYFUNCTION("""COMPUTED_VALUE"""),4)</f>
        <v>4</v>
      </c>
      <c r="Q153" s="4">
        <f ca="1">IFERROR(__xludf.DUMMYFUNCTION("""COMPUTED_VALUE"""),4)</f>
        <v>4</v>
      </c>
      <c r="R153" s="4">
        <f ca="1">IFERROR(__xludf.DUMMYFUNCTION("""COMPUTED_VALUE"""),4)</f>
        <v>4</v>
      </c>
      <c r="S153" s="4">
        <f ca="1">IFERROR(__xludf.DUMMYFUNCTION("""COMPUTED_VALUE"""),4)</f>
        <v>4</v>
      </c>
      <c r="T153" s="4">
        <f ca="1">IFERROR(__xludf.DUMMYFUNCTION("""COMPUTED_VALUE"""),4)</f>
        <v>4</v>
      </c>
      <c r="U153" s="4">
        <f ca="1">IFERROR(__xludf.DUMMYFUNCTION("""COMPUTED_VALUE"""),5)</f>
        <v>5</v>
      </c>
      <c r="V153" s="4">
        <f ca="1">IFERROR(__xludf.DUMMYFUNCTION("""COMPUTED_VALUE"""),5)</f>
        <v>5</v>
      </c>
      <c r="W153" s="4">
        <f ca="1">IFERROR(__xludf.DUMMYFUNCTION("""COMPUTED_VALUE"""),4)</f>
        <v>4</v>
      </c>
      <c r="X153" s="4">
        <f ca="1">IFERROR(__xludf.DUMMYFUNCTION("""COMPUTED_VALUE"""),4)</f>
        <v>4</v>
      </c>
      <c r="Y153" s="4">
        <f ca="1">IFERROR(__xludf.DUMMYFUNCTION("""COMPUTED_VALUE"""),5)</f>
        <v>5</v>
      </c>
      <c r="Z153" s="4">
        <f ca="1">IFERROR(__xludf.DUMMYFUNCTION("""COMPUTED_VALUE"""),5)</f>
        <v>5</v>
      </c>
      <c r="AA153" s="4">
        <f ca="1">IFERROR(__xludf.DUMMYFUNCTION("""COMPUTED_VALUE"""),3)</f>
        <v>3</v>
      </c>
      <c r="AB153" s="4">
        <f ca="1">IFERROR(__xludf.DUMMYFUNCTION("""COMPUTED_VALUE"""),5)</f>
        <v>5</v>
      </c>
      <c r="AC153" s="4">
        <f ca="1">IFERROR(__xludf.DUMMYFUNCTION("""COMPUTED_VALUE"""),5)</f>
        <v>5</v>
      </c>
      <c r="AD153" s="4">
        <f ca="1">IFERROR(__xludf.DUMMYFUNCTION("""COMPUTED_VALUE"""),4)</f>
        <v>4</v>
      </c>
      <c r="AE153" s="4">
        <f ca="1">IFERROR(__xludf.DUMMYFUNCTION("""COMPUTED_VALUE"""),5)</f>
        <v>5</v>
      </c>
      <c r="AF153" s="4">
        <f ca="1">IFERROR(__xludf.DUMMYFUNCTION("""COMPUTED_VALUE"""),5)</f>
        <v>5</v>
      </c>
      <c r="AG153" s="4">
        <f ca="1">IFERROR(__xludf.DUMMYFUNCTION("""COMPUTED_VALUE"""),5)</f>
        <v>5</v>
      </c>
      <c r="AH153" s="4">
        <f ca="1">IFERROR(__xludf.DUMMYFUNCTION("""COMPUTED_VALUE"""),5)</f>
        <v>5</v>
      </c>
      <c r="AI153" s="4">
        <f ca="1">IFERROR(__xludf.DUMMYFUNCTION("""COMPUTED_VALUE"""),5)</f>
        <v>5</v>
      </c>
      <c r="AJ153" s="4">
        <f ca="1">IFERROR(__xludf.DUMMYFUNCTION("""COMPUTED_VALUE"""),4)</f>
        <v>4</v>
      </c>
      <c r="AK153" s="4">
        <f ca="1">IFERROR(__xludf.DUMMYFUNCTION("""COMPUTED_VALUE"""),5)</f>
        <v>5</v>
      </c>
      <c r="AL153" s="4">
        <f ca="1">IFERROR(__xludf.DUMMYFUNCTION("""COMPUTED_VALUE"""),5)</f>
        <v>5</v>
      </c>
      <c r="AM153" s="4">
        <f ca="1">IFERROR(__xludf.DUMMYFUNCTION("""COMPUTED_VALUE"""),5)</f>
        <v>5</v>
      </c>
      <c r="AN153" s="4">
        <f ca="1">IFERROR(__xludf.DUMMYFUNCTION("""COMPUTED_VALUE"""),5)</f>
        <v>5</v>
      </c>
      <c r="AO153" s="4">
        <f ca="1">IFERROR(__xludf.DUMMYFUNCTION("""COMPUTED_VALUE"""),3)</f>
        <v>3</v>
      </c>
      <c r="AP153" s="4">
        <f ca="1">IFERROR(__xludf.DUMMYFUNCTION("""COMPUTED_VALUE"""),4)</f>
        <v>4</v>
      </c>
      <c r="AQ153" s="4">
        <f ca="1">IFERROR(__xludf.DUMMYFUNCTION("""COMPUTED_VALUE"""),4)</f>
        <v>4</v>
      </c>
      <c r="AR153" s="4">
        <f ca="1">IFERROR(__xludf.DUMMYFUNCTION("""COMPUTED_VALUE"""),4)</f>
        <v>4</v>
      </c>
      <c r="AS153" s="4">
        <f ca="1">IFERROR(__xludf.DUMMYFUNCTION("""COMPUTED_VALUE"""),4)</f>
        <v>4</v>
      </c>
      <c r="AT153" s="4">
        <f ca="1">IFERROR(__xludf.DUMMYFUNCTION("""COMPUTED_VALUE"""),4)</f>
        <v>4</v>
      </c>
      <c r="AU153" s="4">
        <f ca="1">IFERROR(__xludf.DUMMYFUNCTION("""COMPUTED_VALUE"""),4)</f>
        <v>4</v>
      </c>
      <c r="AV153" s="4">
        <f ca="1">IFERROR(__xludf.DUMMYFUNCTION("""COMPUTED_VALUE"""),4)</f>
        <v>4</v>
      </c>
      <c r="AW153" s="4">
        <f ca="1">IFERROR(__xludf.DUMMYFUNCTION("""COMPUTED_VALUE"""),4)</f>
        <v>4</v>
      </c>
      <c r="AX153" s="4">
        <f ca="1">IFERROR(__xludf.DUMMYFUNCTION("""COMPUTED_VALUE"""),5)</f>
        <v>5</v>
      </c>
      <c r="AY153" s="4">
        <f ca="1">IFERROR(__xludf.DUMMYFUNCTION("""COMPUTED_VALUE"""),5)</f>
        <v>5</v>
      </c>
      <c r="AZ153" s="4">
        <f ca="1">IFERROR(__xludf.DUMMYFUNCTION("""COMPUTED_VALUE"""),5)</f>
        <v>5</v>
      </c>
      <c r="BA153" s="4">
        <f ca="1">IFERROR(__xludf.DUMMYFUNCTION("""COMPUTED_VALUE"""),5)</f>
        <v>5</v>
      </c>
      <c r="BB153" s="4">
        <f ca="1">IFERROR(__xludf.DUMMYFUNCTION("""COMPUTED_VALUE"""),4)</f>
        <v>4</v>
      </c>
      <c r="BC153" s="4">
        <f ca="1">IFERROR(__xludf.DUMMYFUNCTION("""COMPUTED_VALUE"""),4)</f>
        <v>4</v>
      </c>
      <c r="BD153" s="4">
        <f ca="1">IFERROR(__xludf.DUMMYFUNCTION("""COMPUTED_VALUE"""),4)</f>
        <v>4</v>
      </c>
      <c r="BE153" s="4">
        <f ca="1">IFERROR(__xludf.DUMMYFUNCTION("""COMPUTED_VALUE"""),4)</f>
        <v>4</v>
      </c>
      <c r="BF153" s="4">
        <f ca="1">IFERROR(__xludf.DUMMYFUNCTION("""COMPUTED_VALUE"""),4)</f>
        <v>4</v>
      </c>
      <c r="BG153" s="4">
        <f ca="1">IFERROR(__xludf.DUMMYFUNCTION("""COMPUTED_VALUE"""),4)</f>
        <v>4</v>
      </c>
      <c r="BH153" s="4">
        <f ca="1">IFERROR(__xludf.DUMMYFUNCTION("""COMPUTED_VALUE"""),5)</f>
        <v>5</v>
      </c>
      <c r="BI153" s="4">
        <f ca="1">IFERROR(__xludf.DUMMYFUNCTION("""COMPUTED_VALUE"""),5)</f>
        <v>5</v>
      </c>
      <c r="BJ153" s="4">
        <f ca="1">IFERROR(__xludf.DUMMYFUNCTION("""COMPUTED_VALUE"""),5)</f>
        <v>5</v>
      </c>
      <c r="BK153" s="4">
        <f ca="1">IFERROR(__xludf.DUMMYFUNCTION("""COMPUTED_VALUE"""),4)</f>
        <v>4</v>
      </c>
      <c r="BL153" s="4">
        <f ca="1">IFERROR(__xludf.DUMMYFUNCTION("""COMPUTED_VALUE"""),4)</f>
        <v>4</v>
      </c>
      <c r="BM153" s="4">
        <f ca="1">IFERROR(__xludf.DUMMYFUNCTION("""COMPUTED_VALUE"""),4)</f>
        <v>4</v>
      </c>
      <c r="BN153" s="4">
        <f ca="1">IFERROR(__xludf.DUMMYFUNCTION("""COMPUTED_VALUE"""),4)</f>
        <v>4</v>
      </c>
      <c r="BO153" s="4">
        <f ca="1">IFERROR(__xludf.DUMMYFUNCTION("""COMPUTED_VALUE"""),4)</f>
        <v>4</v>
      </c>
      <c r="BP153" s="4">
        <f ca="1">IFERROR(__xludf.DUMMYFUNCTION("""COMPUTED_VALUE"""),4)</f>
        <v>4</v>
      </c>
    </row>
    <row r="154" spans="1:68" ht="13.2" x14ac:dyDescent="0.25">
      <c r="A154" s="4" t="str">
        <f ca="1">IFERROR(__xludf.DUMMYFUNCTION("""COMPUTED_VALUE"""),"2_ABaOnudRsFL46SOy8d6cEW922fR64LNLAn3buHCuiLZzCaLaMYBXhoEYYesxwZYtuA")</f>
        <v>2_ABaOnudRsFL46SOy8d6cEW922fR64LNLAn3buHCuiLZzCaLaMYBXhoEYYesxwZYtuA</v>
      </c>
      <c r="B154" s="5">
        <f ca="1">IFERROR(__xludf.DUMMYFUNCTION("""COMPUTED_VALUE"""),45974.6718715625)</f>
        <v>45974.671871562503</v>
      </c>
      <c r="C154" s="4" t="str">
        <f ca="1">IFERROR(__xludf.DUMMYFUNCTION("""COMPUTED_VALUE"""),"Đào Duy Phúc")</f>
        <v>Đào Duy Phúc</v>
      </c>
      <c r="D154" s="4" t="str">
        <f ca="1">IFERROR(__xludf.DUMMYFUNCTION("""COMPUTED_VALUE"""),"Nam")</f>
        <v>Nam</v>
      </c>
      <c r="E154" s="4" t="str">
        <f ca="1">IFERROR(__xludf.DUMMYFUNCTION("""COMPUTED_VALUE"""),"Công ty TNHH Kiểm toán và Tư vấn A&amp;C")</f>
        <v>Công ty TNHH Kiểm toán và Tư vấn A&amp;C</v>
      </c>
      <c r="F154" s="4" t="str">
        <f ca="1">IFERROR(__xludf.DUMMYFUNCTION("""COMPUTED_VALUE"""),"Đại học")</f>
        <v>Đại học</v>
      </c>
      <c r="G154" s="4" t="str">
        <f ca="1">IFERROR(__xludf.DUMMYFUNCTION("""COMPUTED_VALUE"""),"Từ 3 đến 5 năm")</f>
        <v>Từ 3 đến 5 năm</v>
      </c>
      <c r="H154" s="4" t="str">
        <f ca="1">IFERROR(__xludf.DUMMYFUNCTION("""COMPUTED_VALUE"""),"Trợ lý kiểm toán")</f>
        <v>Trợ lý kiểm toán</v>
      </c>
      <c r="I154" s="4">
        <f ca="1">IFERROR(__xludf.DUMMYFUNCTION("""COMPUTED_VALUE"""),5)</f>
        <v>5</v>
      </c>
      <c r="J154" s="4">
        <f ca="1">IFERROR(__xludf.DUMMYFUNCTION("""COMPUTED_VALUE"""),5)</f>
        <v>5</v>
      </c>
      <c r="K154" s="4">
        <f ca="1">IFERROR(__xludf.DUMMYFUNCTION("""COMPUTED_VALUE"""),5)</f>
        <v>5</v>
      </c>
      <c r="L154" s="4">
        <f ca="1">IFERROR(__xludf.DUMMYFUNCTION("""COMPUTED_VALUE"""),5)</f>
        <v>5</v>
      </c>
      <c r="M154" s="4">
        <f ca="1">IFERROR(__xludf.DUMMYFUNCTION("""COMPUTED_VALUE"""),5)</f>
        <v>5</v>
      </c>
      <c r="N154" s="4">
        <f ca="1">IFERROR(__xludf.DUMMYFUNCTION("""COMPUTED_VALUE"""),5)</f>
        <v>5</v>
      </c>
      <c r="O154" s="4">
        <f ca="1">IFERROR(__xludf.DUMMYFUNCTION("""COMPUTED_VALUE"""),5)</f>
        <v>5</v>
      </c>
      <c r="P154" s="4">
        <f ca="1">IFERROR(__xludf.DUMMYFUNCTION("""COMPUTED_VALUE"""),5)</f>
        <v>5</v>
      </c>
      <c r="Q154" s="4">
        <f ca="1">IFERROR(__xludf.DUMMYFUNCTION("""COMPUTED_VALUE"""),5)</f>
        <v>5</v>
      </c>
      <c r="R154" s="4">
        <f ca="1">IFERROR(__xludf.DUMMYFUNCTION("""COMPUTED_VALUE"""),5)</f>
        <v>5</v>
      </c>
      <c r="S154" s="4">
        <f ca="1">IFERROR(__xludf.DUMMYFUNCTION("""COMPUTED_VALUE"""),5)</f>
        <v>5</v>
      </c>
      <c r="T154" s="4">
        <f ca="1">IFERROR(__xludf.DUMMYFUNCTION("""COMPUTED_VALUE"""),5)</f>
        <v>5</v>
      </c>
      <c r="U154" s="4">
        <f ca="1">IFERROR(__xludf.DUMMYFUNCTION("""COMPUTED_VALUE"""),5)</f>
        <v>5</v>
      </c>
      <c r="V154" s="4">
        <f ca="1">IFERROR(__xludf.DUMMYFUNCTION("""COMPUTED_VALUE"""),5)</f>
        <v>5</v>
      </c>
      <c r="W154" s="4">
        <f ca="1">IFERROR(__xludf.DUMMYFUNCTION("""COMPUTED_VALUE"""),5)</f>
        <v>5</v>
      </c>
      <c r="X154" s="4">
        <f ca="1">IFERROR(__xludf.DUMMYFUNCTION("""COMPUTED_VALUE"""),5)</f>
        <v>5</v>
      </c>
      <c r="Y154" s="4">
        <f ca="1">IFERROR(__xludf.DUMMYFUNCTION("""COMPUTED_VALUE"""),5)</f>
        <v>5</v>
      </c>
      <c r="Z154" s="4">
        <f ca="1">IFERROR(__xludf.DUMMYFUNCTION("""COMPUTED_VALUE"""),5)</f>
        <v>5</v>
      </c>
      <c r="AA154" s="4">
        <f ca="1">IFERROR(__xludf.DUMMYFUNCTION("""COMPUTED_VALUE"""),5)</f>
        <v>5</v>
      </c>
      <c r="AB154" s="4">
        <f ca="1">IFERROR(__xludf.DUMMYFUNCTION("""COMPUTED_VALUE"""),5)</f>
        <v>5</v>
      </c>
      <c r="AC154" s="4">
        <f ca="1">IFERROR(__xludf.DUMMYFUNCTION("""COMPUTED_VALUE"""),5)</f>
        <v>5</v>
      </c>
      <c r="AD154" s="4">
        <f ca="1">IFERROR(__xludf.DUMMYFUNCTION("""COMPUTED_VALUE"""),5)</f>
        <v>5</v>
      </c>
      <c r="AE154" s="4">
        <f ca="1">IFERROR(__xludf.DUMMYFUNCTION("""COMPUTED_VALUE"""),5)</f>
        <v>5</v>
      </c>
      <c r="AF154" s="4">
        <f ca="1">IFERROR(__xludf.DUMMYFUNCTION("""COMPUTED_VALUE"""),5)</f>
        <v>5</v>
      </c>
      <c r="AG154" s="4">
        <f ca="1">IFERROR(__xludf.DUMMYFUNCTION("""COMPUTED_VALUE"""),5)</f>
        <v>5</v>
      </c>
      <c r="AH154" s="4">
        <f ca="1">IFERROR(__xludf.DUMMYFUNCTION("""COMPUTED_VALUE"""),5)</f>
        <v>5</v>
      </c>
      <c r="AI154" s="4">
        <f ca="1">IFERROR(__xludf.DUMMYFUNCTION("""COMPUTED_VALUE"""),5)</f>
        <v>5</v>
      </c>
      <c r="AJ154" s="4">
        <f ca="1">IFERROR(__xludf.DUMMYFUNCTION("""COMPUTED_VALUE"""),5)</f>
        <v>5</v>
      </c>
      <c r="AK154" s="4">
        <f ca="1">IFERROR(__xludf.DUMMYFUNCTION("""COMPUTED_VALUE"""),5)</f>
        <v>5</v>
      </c>
      <c r="AL154" s="4">
        <f ca="1">IFERROR(__xludf.DUMMYFUNCTION("""COMPUTED_VALUE"""),5)</f>
        <v>5</v>
      </c>
      <c r="AM154" s="4">
        <f ca="1">IFERROR(__xludf.DUMMYFUNCTION("""COMPUTED_VALUE"""),5)</f>
        <v>5</v>
      </c>
      <c r="AN154" s="4">
        <f ca="1">IFERROR(__xludf.DUMMYFUNCTION("""COMPUTED_VALUE"""),5)</f>
        <v>5</v>
      </c>
      <c r="AO154" s="4">
        <f ca="1">IFERROR(__xludf.DUMMYFUNCTION("""COMPUTED_VALUE"""),5)</f>
        <v>5</v>
      </c>
      <c r="AP154" s="4">
        <f ca="1">IFERROR(__xludf.DUMMYFUNCTION("""COMPUTED_VALUE"""),5)</f>
        <v>5</v>
      </c>
      <c r="AQ154" s="4">
        <f ca="1">IFERROR(__xludf.DUMMYFUNCTION("""COMPUTED_VALUE"""),5)</f>
        <v>5</v>
      </c>
      <c r="AR154" s="4">
        <f ca="1">IFERROR(__xludf.DUMMYFUNCTION("""COMPUTED_VALUE"""),5)</f>
        <v>5</v>
      </c>
      <c r="AS154" s="4">
        <f ca="1">IFERROR(__xludf.DUMMYFUNCTION("""COMPUTED_VALUE"""),5)</f>
        <v>5</v>
      </c>
      <c r="AT154" s="4">
        <f ca="1">IFERROR(__xludf.DUMMYFUNCTION("""COMPUTED_VALUE"""),5)</f>
        <v>5</v>
      </c>
      <c r="AU154" s="4">
        <f ca="1">IFERROR(__xludf.DUMMYFUNCTION("""COMPUTED_VALUE"""),5)</f>
        <v>5</v>
      </c>
      <c r="AV154" s="4">
        <f ca="1">IFERROR(__xludf.DUMMYFUNCTION("""COMPUTED_VALUE"""),5)</f>
        <v>5</v>
      </c>
      <c r="AW154" s="4">
        <f ca="1">IFERROR(__xludf.DUMMYFUNCTION("""COMPUTED_VALUE"""),5)</f>
        <v>5</v>
      </c>
      <c r="AX154" s="4">
        <f ca="1">IFERROR(__xludf.DUMMYFUNCTION("""COMPUTED_VALUE"""),5)</f>
        <v>5</v>
      </c>
      <c r="AY154" s="4">
        <f ca="1">IFERROR(__xludf.DUMMYFUNCTION("""COMPUTED_VALUE"""),5)</f>
        <v>5</v>
      </c>
      <c r="AZ154" s="4">
        <f ca="1">IFERROR(__xludf.DUMMYFUNCTION("""COMPUTED_VALUE"""),5)</f>
        <v>5</v>
      </c>
      <c r="BA154" s="4">
        <f ca="1">IFERROR(__xludf.DUMMYFUNCTION("""COMPUTED_VALUE"""),5)</f>
        <v>5</v>
      </c>
      <c r="BB154" s="4">
        <f ca="1">IFERROR(__xludf.DUMMYFUNCTION("""COMPUTED_VALUE"""),5)</f>
        <v>5</v>
      </c>
      <c r="BC154" s="4">
        <f ca="1">IFERROR(__xludf.DUMMYFUNCTION("""COMPUTED_VALUE"""),5)</f>
        <v>5</v>
      </c>
      <c r="BD154" s="4">
        <f ca="1">IFERROR(__xludf.DUMMYFUNCTION("""COMPUTED_VALUE"""),5)</f>
        <v>5</v>
      </c>
      <c r="BE154" s="4">
        <f ca="1">IFERROR(__xludf.DUMMYFUNCTION("""COMPUTED_VALUE"""),5)</f>
        <v>5</v>
      </c>
      <c r="BF154" s="4">
        <f ca="1">IFERROR(__xludf.DUMMYFUNCTION("""COMPUTED_VALUE"""),5)</f>
        <v>5</v>
      </c>
      <c r="BG154" s="4">
        <f ca="1">IFERROR(__xludf.DUMMYFUNCTION("""COMPUTED_VALUE"""),5)</f>
        <v>5</v>
      </c>
      <c r="BH154" s="4">
        <f ca="1">IFERROR(__xludf.DUMMYFUNCTION("""COMPUTED_VALUE"""),5)</f>
        <v>5</v>
      </c>
      <c r="BI154" s="4">
        <f ca="1">IFERROR(__xludf.DUMMYFUNCTION("""COMPUTED_VALUE"""),5)</f>
        <v>5</v>
      </c>
      <c r="BJ154" s="4">
        <f ca="1">IFERROR(__xludf.DUMMYFUNCTION("""COMPUTED_VALUE"""),5)</f>
        <v>5</v>
      </c>
      <c r="BK154" s="4">
        <f ca="1">IFERROR(__xludf.DUMMYFUNCTION("""COMPUTED_VALUE"""),5)</f>
        <v>5</v>
      </c>
      <c r="BL154" s="4">
        <f ca="1">IFERROR(__xludf.DUMMYFUNCTION("""COMPUTED_VALUE"""),5)</f>
        <v>5</v>
      </c>
      <c r="BM154" s="4">
        <f ca="1">IFERROR(__xludf.DUMMYFUNCTION("""COMPUTED_VALUE"""),5)</f>
        <v>5</v>
      </c>
      <c r="BN154" s="4">
        <f ca="1">IFERROR(__xludf.DUMMYFUNCTION("""COMPUTED_VALUE"""),5)</f>
        <v>5</v>
      </c>
      <c r="BO154" s="4">
        <f ca="1">IFERROR(__xludf.DUMMYFUNCTION("""COMPUTED_VALUE"""),5)</f>
        <v>5</v>
      </c>
      <c r="BP154" s="4">
        <f ca="1">IFERROR(__xludf.DUMMYFUNCTION("""COMPUTED_VALUE"""),5)</f>
        <v>5</v>
      </c>
    </row>
    <row r="155" spans="1:68" ht="13.2" x14ac:dyDescent="0.25">
      <c r="A155" s="4" t="str">
        <f ca="1">IFERROR(__xludf.DUMMYFUNCTION("""COMPUTED_VALUE"""),"2_ABaOnufhhi1UFZ1ZCphat963AzXBT1msdESN3lIgnHYES-BllcAS6S-CyLQMYXvWsQ")</f>
        <v>2_ABaOnufhhi1UFZ1ZCphat963AzXBT1msdESN3lIgnHYES-BllcAS6S-CyLQMYXvWsQ</v>
      </c>
      <c r="B155" s="5">
        <f ca="1">IFERROR(__xludf.DUMMYFUNCTION("""COMPUTED_VALUE"""),45974.6725717129)</f>
        <v>45974.672571712901</v>
      </c>
      <c r="C155" s="4"/>
      <c r="D155" s="4" t="str">
        <f ca="1">IFERROR(__xludf.DUMMYFUNCTION("""COMPUTED_VALUE"""),"Nam")</f>
        <v>Nam</v>
      </c>
      <c r="E155" s="4" t="str">
        <f ca="1">IFERROR(__xludf.DUMMYFUNCTION("""COMPUTED_VALUE"""),"Công ty kiểm toán A&amp;C")</f>
        <v>Công ty kiểm toán A&amp;C</v>
      </c>
      <c r="F155" s="4" t="str">
        <f ca="1">IFERROR(__xludf.DUMMYFUNCTION("""COMPUTED_VALUE"""),"Đại học, Chứng chỉ Kiểm toán viên")</f>
        <v>Đại học, Chứng chỉ Kiểm toán viên</v>
      </c>
      <c r="G155" s="4" t="str">
        <f ca="1">IFERROR(__xludf.DUMMYFUNCTION("""COMPUTED_VALUE"""),"Trên 5 đến 10 năm")</f>
        <v>Trên 5 đến 10 năm</v>
      </c>
      <c r="H155" s="4" t="str">
        <f ca="1">IFERROR(__xludf.DUMMYFUNCTION("""COMPUTED_VALUE"""),"Kiểm toán viên/Trưởng nhóm")</f>
        <v>Kiểm toán viên/Trưởng nhóm</v>
      </c>
      <c r="I155" s="4">
        <f ca="1">IFERROR(__xludf.DUMMYFUNCTION("""COMPUTED_VALUE"""),4)</f>
        <v>4</v>
      </c>
      <c r="J155" s="4">
        <f ca="1">IFERROR(__xludf.DUMMYFUNCTION("""COMPUTED_VALUE"""),4)</f>
        <v>4</v>
      </c>
      <c r="K155" s="4">
        <f ca="1">IFERROR(__xludf.DUMMYFUNCTION("""COMPUTED_VALUE"""),4)</f>
        <v>4</v>
      </c>
      <c r="L155" s="4">
        <f ca="1">IFERROR(__xludf.DUMMYFUNCTION("""COMPUTED_VALUE"""),4)</f>
        <v>4</v>
      </c>
      <c r="M155" s="4">
        <f ca="1">IFERROR(__xludf.DUMMYFUNCTION("""COMPUTED_VALUE"""),4)</f>
        <v>4</v>
      </c>
      <c r="N155" s="4">
        <f ca="1">IFERROR(__xludf.DUMMYFUNCTION("""COMPUTED_VALUE"""),5)</f>
        <v>5</v>
      </c>
      <c r="O155" s="4">
        <f ca="1">IFERROR(__xludf.DUMMYFUNCTION("""COMPUTED_VALUE"""),4)</f>
        <v>4</v>
      </c>
      <c r="P155" s="4">
        <f ca="1">IFERROR(__xludf.DUMMYFUNCTION("""COMPUTED_VALUE"""),4)</f>
        <v>4</v>
      </c>
      <c r="Q155" s="4">
        <f ca="1">IFERROR(__xludf.DUMMYFUNCTION("""COMPUTED_VALUE"""),4)</f>
        <v>4</v>
      </c>
      <c r="R155" s="4">
        <f ca="1">IFERROR(__xludf.DUMMYFUNCTION("""COMPUTED_VALUE"""),4)</f>
        <v>4</v>
      </c>
      <c r="S155" s="4">
        <f ca="1">IFERROR(__xludf.DUMMYFUNCTION("""COMPUTED_VALUE"""),5)</f>
        <v>5</v>
      </c>
      <c r="T155" s="4">
        <f ca="1">IFERROR(__xludf.DUMMYFUNCTION("""COMPUTED_VALUE"""),4)</f>
        <v>4</v>
      </c>
      <c r="U155" s="4">
        <f ca="1">IFERROR(__xludf.DUMMYFUNCTION("""COMPUTED_VALUE"""),5)</f>
        <v>5</v>
      </c>
      <c r="V155" s="4">
        <f ca="1">IFERROR(__xludf.DUMMYFUNCTION("""COMPUTED_VALUE"""),4)</f>
        <v>4</v>
      </c>
      <c r="W155" s="4">
        <f ca="1">IFERROR(__xludf.DUMMYFUNCTION("""COMPUTED_VALUE"""),3)</f>
        <v>3</v>
      </c>
      <c r="X155" s="4">
        <f ca="1">IFERROR(__xludf.DUMMYFUNCTION("""COMPUTED_VALUE"""),3)</f>
        <v>3</v>
      </c>
      <c r="Y155" s="4">
        <f ca="1">IFERROR(__xludf.DUMMYFUNCTION("""COMPUTED_VALUE"""),3)</f>
        <v>3</v>
      </c>
      <c r="Z155" s="4">
        <f ca="1">IFERROR(__xludf.DUMMYFUNCTION("""COMPUTED_VALUE"""),2)</f>
        <v>2</v>
      </c>
      <c r="AA155" s="4">
        <f ca="1">IFERROR(__xludf.DUMMYFUNCTION("""COMPUTED_VALUE"""),2)</f>
        <v>2</v>
      </c>
      <c r="AB155" s="4">
        <f ca="1">IFERROR(__xludf.DUMMYFUNCTION("""COMPUTED_VALUE"""),5)</f>
        <v>5</v>
      </c>
      <c r="AC155" s="4">
        <f ca="1">IFERROR(__xludf.DUMMYFUNCTION("""COMPUTED_VALUE"""),5)</f>
        <v>5</v>
      </c>
      <c r="AD155" s="4">
        <f ca="1">IFERROR(__xludf.DUMMYFUNCTION("""COMPUTED_VALUE"""),5)</f>
        <v>5</v>
      </c>
      <c r="AE155" s="4">
        <f ca="1">IFERROR(__xludf.DUMMYFUNCTION("""COMPUTED_VALUE"""),5)</f>
        <v>5</v>
      </c>
      <c r="AF155" s="4">
        <f ca="1">IFERROR(__xludf.DUMMYFUNCTION("""COMPUTED_VALUE"""),4)</f>
        <v>4</v>
      </c>
      <c r="AG155" s="4">
        <f ca="1">IFERROR(__xludf.DUMMYFUNCTION("""COMPUTED_VALUE"""),4)</f>
        <v>4</v>
      </c>
      <c r="AH155" s="4">
        <f ca="1">IFERROR(__xludf.DUMMYFUNCTION("""COMPUTED_VALUE"""),4)</f>
        <v>4</v>
      </c>
      <c r="AI155" s="4">
        <f ca="1">IFERROR(__xludf.DUMMYFUNCTION("""COMPUTED_VALUE"""),4)</f>
        <v>4</v>
      </c>
      <c r="AJ155" s="4">
        <f ca="1">IFERROR(__xludf.DUMMYFUNCTION("""COMPUTED_VALUE"""),3)</f>
        <v>3</v>
      </c>
      <c r="AK155" s="4">
        <f ca="1">IFERROR(__xludf.DUMMYFUNCTION("""COMPUTED_VALUE"""),3)</f>
        <v>3</v>
      </c>
      <c r="AL155" s="4">
        <f ca="1">IFERROR(__xludf.DUMMYFUNCTION("""COMPUTED_VALUE"""),3)</f>
        <v>3</v>
      </c>
      <c r="AM155" s="4">
        <f ca="1">IFERROR(__xludf.DUMMYFUNCTION("""COMPUTED_VALUE"""),3)</f>
        <v>3</v>
      </c>
      <c r="AN155" s="4">
        <f ca="1">IFERROR(__xludf.DUMMYFUNCTION("""COMPUTED_VALUE"""),3)</f>
        <v>3</v>
      </c>
      <c r="AO155" s="4">
        <f ca="1">IFERROR(__xludf.DUMMYFUNCTION("""COMPUTED_VALUE"""),2)</f>
        <v>2</v>
      </c>
      <c r="AP155" s="4">
        <f ca="1">IFERROR(__xludf.DUMMYFUNCTION("""COMPUTED_VALUE"""),4)</f>
        <v>4</v>
      </c>
      <c r="AQ155" s="4">
        <f ca="1">IFERROR(__xludf.DUMMYFUNCTION("""COMPUTED_VALUE"""),4)</f>
        <v>4</v>
      </c>
      <c r="AR155" s="4">
        <f ca="1">IFERROR(__xludf.DUMMYFUNCTION("""COMPUTED_VALUE"""),3)</f>
        <v>3</v>
      </c>
      <c r="AS155" s="4">
        <f ca="1">IFERROR(__xludf.DUMMYFUNCTION("""COMPUTED_VALUE"""),3)</f>
        <v>3</v>
      </c>
      <c r="AT155" s="4">
        <f ca="1">IFERROR(__xludf.DUMMYFUNCTION("""COMPUTED_VALUE"""),2)</f>
        <v>2</v>
      </c>
      <c r="AU155" s="4">
        <f ca="1">IFERROR(__xludf.DUMMYFUNCTION("""COMPUTED_VALUE"""),2)</f>
        <v>2</v>
      </c>
      <c r="AV155" s="4">
        <f ca="1">IFERROR(__xludf.DUMMYFUNCTION("""COMPUTED_VALUE"""),4)</f>
        <v>4</v>
      </c>
      <c r="AW155" s="4">
        <f ca="1">IFERROR(__xludf.DUMMYFUNCTION("""COMPUTED_VALUE"""),4)</f>
        <v>4</v>
      </c>
      <c r="AX155" s="4">
        <f ca="1">IFERROR(__xludf.DUMMYFUNCTION("""COMPUTED_VALUE"""),4)</f>
        <v>4</v>
      </c>
      <c r="AY155" s="4">
        <f ca="1">IFERROR(__xludf.DUMMYFUNCTION("""COMPUTED_VALUE"""),4)</f>
        <v>4</v>
      </c>
      <c r="AZ155" s="4">
        <f ca="1">IFERROR(__xludf.DUMMYFUNCTION("""COMPUTED_VALUE"""),4)</f>
        <v>4</v>
      </c>
      <c r="BA155" s="4">
        <f ca="1">IFERROR(__xludf.DUMMYFUNCTION("""COMPUTED_VALUE"""),4)</f>
        <v>4</v>
      </c>
      <c r="BB155" s="4">
        <f ca="1">IFERROR(__xludf.DUMMYFUNCTION("""COMPUTED_VALUE"""),4)</f>
        <v>4</v>
      </c>
      <c r="BC155" s="4">
        <f ca="1">IFERROR(__xludf.DUMMYFUNCTION("""COMPUTED_VALUE"""),2)</f>
        <v>2</v>
      </c>
      <c r="BD155" s="4">
        <f ca="1">IFERROR(__xludf.DUMMYFUNCTION("""COMPUTED_VALUE"""),2)</f>
        <v>2</v>
      </c>
      <c r="BE155" s="4">
        <f ca="1">IFERROR(__xludf.DUMMYFUNCTION("""COMPUTED_VALUE"""),2)</f>
        <v>2</v>
      </c>
      <c r="BF155" s="4">
        <f ca="1">IFERROR(__xludf.DUMMYFUNCTION("""COMPUTED_VALUE"""),2)</f>
        <v>2</v>
      </c>
      <c r="BG155" s="4">
        <f ca="1">IFERROR(__xludf.DUMMYFUNCTION("""COMPUTED_VALUE"""),4)</f>
        <v>4</v>
      </c>
      <c r="BH155" s="4">
        <f ca="1">IFERROR(__xludf.DUMMYFUNCTION("""COMPUTED_VALUE"""),4)</f>
        <v>4</v>
      </c>
      <c r="BI155" s="4">
        <f ca="1">IFERROR(__xludf.DUMMYFUNCTION("""COMPUTED_VALUE"""),4)</f>
        <v>4</v>
      </c>
      <c r="BJ155" s="4">
        <f ca="1">IFERROR(__xludf.DUMMYFUNCTION("""COMPUTED_VALUE"""),4)</f>
        <v>4</v>
      </c>
      <c r="BK155" s="4">
        <f ca="1">IFERROR(__xludf.DUMMYFUNCTION("""COMPUTED_VALUE"""),3)</f>
        <v>3</v>
      </c>
      <c r="BL155" s="4">
        <f ca="1">IFERROR(__xludf.DUMMYFUNCTION("""COMPUTED_VALUE"""),2)</f>
        <v>2</v>
      </c>
      <c r="BM155" s="4">
        <f ca="1">IFERROR(__xludf.DUMMYFUNCTION("""COMPUTED_VALUE"""),4)</f>
        <v>4</v>
      </c>
      <c r="BN155" s="4">
        <f ca="1">IFERROR(__xludf.DUMMYFUNCTION("""COMPUTED_VALUE"""),4)</f>
        <v>4</v>
      </c>
      <c r="BO155" s="4">
        <f ca="1">IFERROR(__xludf.DUMMYFUNCTION("""COMPUTED_VALUE"""),3)</f>
        <v>3</v>
      </c>
      <c r="BP155" s="4">
        <f ca="1">IFERROR(__xludf.DUMMYFUNCTION("""COMPUTED_VALUE"""),2)</f>
        <v>2</v>
      </c>
    </row>
    <row r="156" spans="1:68" ht="13.2" x14ac:dyDescent="0.25">
      <c r="A156" s="4" t="str">
        <f ca="1">IFERROR(__xludf.DUMMYFUNCTION("""COMPUTED_VALUE"""),"2_ABaOnudKea7DRA01AdPGVTQ8XFXNodHuCIhR_NHT4Pkb0dXnSWxyIxosxBulKZVfbw")</f>
        <v>2_ABaOnudKea7DRA01AdPGVTQ8XFXNodHuCIhR_NHT4Pkb0dXnSWxyIxosxBulKZVfbw</v>
      </c>
      <c r="B156" s="5">
        <f ca="1">IFERROR(__xludf.DUMMYFUNCTION("""COMPUTED_VALUE"""),45974.6730784259)</f>
        <v>45974.673078425898</v>
      </c>
      <c r="C156" s="4" t="str">
        <f ca="1">IFERROR(__xludf.DUMMYFUNCTION("""COMPUTED_VALUE"""),"Nguyễn Lưu Gia Bảo")</f>
        <v>Nguyễn Lưu Gia Bảo</v>
      </c>
      <c r="D156" s="4" t="str">
        <f ca="1">IFERROR(__xludf.DUMMYFUNCTION("""COMPUTED_VALUE"""),"Nam")</f>
        <v>Nam</v>
      </c>
      <c r="E156" s="4" t="str">
        <f ca="1">IFERROR(__xludf.DUMMYFUNCTION("""COMPUTED_VALUE"""),"Baker Tilly A&amp;C")</f>
        <v>Baker Tilly A&amp;C</v>
      </c>
      <c r="F156" s="4" t="str">
        <f ca="1">IFERROR(__xludf.DUMMYFUNCTION("""COMPUTED_VALUE"""),"Đại học")</f>
        <v>Đại học</v>
      </c>
      <c r="G156" s="4" t="str">
        <f ca="1">IFERROR(__xludf.DUMMYFUNCTION("""COMPUTED_VALUE"""),"Từ 3 đến 5 năm")</f>
        <v>Từ 3 đến 5 năm</v>
      </c>
      <c r="H156" s="4" t="str">
        <f ca="1">IFERROR(__xludf.DUMMYFUNCTION("""COMPUTED_VALUE"""),"Trợ lý kiểm toán")</f>
        <v>Trợ lý kiểm toán</v>
      </c>
      <c r="I156" s="4">
        <f ca="1">IFERROR(__xludf.DUMMYFUNCTION("""COMPUTED_VALUE"""),5)</f>
        <v>5</v>
      </c>
      <c r="J156" s="4">
        <f ca="1">IFERROR(__xludf.DUMMYFUNCTION("""COMPUTED_VALUE"""),5)</f>
        <v>5</v>
      </c>
      <c r="K156" s="4">
        <f ca="1">IFERROR(__xludf.DUMMYFUNCTION("""COMPUTED_VALUE"""),5)</f>
        <v>5</v>
      </c>
      <c r="L156" s="4">
        <f ca="1">IFERROR(__xludf.DUMMYFUNCTION("""COMPUTED_VALUE"""),5)</f>
        <v>5</v>
      </c>
      <c r="M156" s="4">
        <f ca="1">IFERROR(__xludf.DUMMYFUNCTION("""COMPUTED_VALUE"""),5)</f>
        <v>5</v>
      </c>
      <c r="N156" s="4">
        <f ca="1">IFERROR(__xludf.DUMMYFUNCTION("""COMPUTED_VALUE"""),5)</f>
        <v>5</v>
      </c>
      <c r="O156" s="4">
        <f ca="1">IFERROR(__xludf.DUMMYFUNCTION("""COMPUTED_VALUE"""),5)</f>
        <v>5</v>
      </c>
      <c r="P156" s="4">
        <f ca="1">IFERROR(__xludf.DUMMYFUNCTION("""COMPUTED_VALUE"""),5)</f>
        <v>5</v>
      </c>
      <c r="Q156" s="4">
        <f ca="1">IFERROR(__xludf.DUMMYFUNCTION("""COMPUTED_VALUE"""),5)</f>
        <v>5</v>
      </c>
      <c r="R156" s="4">
        <f ca="1">IFERROR(__xludf.DUMMYFUNCTION("""COMPUTED_VALUE"""),5)</f>
        <v>5</v>
      </c>
      <c r="S156" s="4">
        <f ca="1">IFERROR(__xludf.DUMMYFUNCTION("""COMPUTED_VALUE"""),5)</f>
        <v>5</v>
      </c>
      <c r="T156" s="4">
        <f ca="1">IFERROR(__xludf.DUMMYFUNCTION("""COMPUTED_VALUE"""),5)</f>
        <v>5</v>
      </c>
      <c r="U156" s="4">
        <f ca="1">IFERROR(__xludf.DUMMYFUNCTION("""COMPUTED_VALUE"""),5)</f>
        <v>5</v>
      </c>
      <c r="V156" s="4">
        <f ca="1">IFERROR(__xludf.DUMMYFUNCTION("""COMPUTED_VALUE"""),5)</f>
        <v>5</v>
      </c>
      <c r="W156" s="4">
        <f ca="1">IFERROR(__xludf.DUMMYFUNCTION("""COMPUTED_VALUE"""),3)</f>
        <v>3</v>
      </c>
      <c r="X156" s="4">
        <f ca="1">IFERROR(__xludf.DUMMYFUNCTION("""COMPUTED_VALUE"""),3)</f>
        <v>3</v>
      </c>
      <c r="Y156" s="4">
        <f ca="1">IFERROR(__xludf.DUMMYFUNCTION("""COMPUTED_VALUE"""),4)</f>
        <v>4</v>
      </c>
      <c r="Z156" s="4">
        <f ca="1">IFERROR(__xludf.DUMMYFUNCTION("""COMPUTED_VALUE"""),4)</f>
        <v>4</v>
      </c>
      <c r="AA156" s="4">
        <f ca="1">IFERROR(__xludf.DUMMYFUNCTION("""COMPUTED_VALUE"""),5)</f>
        <v>5</v>
      </c>
      <c r="AB156" s="4">
        <f ca="1">IFERROR(__xludf.DUMMYFUNCTION("""COMPUTED_VALUE"""),5)</f>
        <v>5</v>
      </c>
      <c r="AC156" s="4">
        <f ca="1">IFERROR(__xludf.DUMMYFUNCTION("""COMPUTED_VALUE"""),5)</f>
        <v>5</v>
      </c>
      <c r="AD156" s="4">
        <f ca="1">IFERROR(__xludf.DUMMYFUNCTION("""COMPUTED_VALUE"""),5)</f>
        <v>5</v>
      </c>
      <c r="AE156" s="4">
        <f ca="1">IFERROR(__xludf.DUMMYFUNCTION("""COMPUTED_VALUE"""),5)</f>
        <v>5</v>
      </c>
      <c r="AF156" s="4">
        <f ca="1">IFERROR(__xludf.DUMMYFUNCTION("""COMPUTED_VALUE"""),5)</f>
        <v>5</v>
      </c>
      <c r="AG156" s="4">
        <f ca="1">IFERROR(__xludf.DUMMYFUNCTION("""COMPUTED_VALUE"""),5)</f>
        <v>5</v>
      </c>
      <c r="AH156" s="4">
        <f ca="1">IFERROR(__xludf.DUMMYFUNCTION("""COMPUTED_VALUE"""),5)</f>
        <v>5</v>
      </c>
      <c r="AI156" s="4">
        <f ca="1">IFERROR(__xludf.DUMMYFUNCTION("""COMPUTED_VALUE"""),5)</f>
        <v>5</v>
      </c>
      <c r="AJ156" s="4">
        <f ca="1">IFERROR(__xludf.DUMMYFUNCTION("""COMPUTED_VALUE"""),5)</f>
        <v>5</v>
      </c>
      <c r="AK156" s="4">
        <f ca="1">IFERROR(__xludf.DUMMYFUNCTION("""COMPUTED_VALUE"""),5)</f>
        <v>5</v>
      </c>
      <c r="AL156" s="4">
        <f ca="1">IFERROR(__xludf.DUMMYFUNCTION("""COMPUTED_VALUE"""),5)</f>
        <v>5</v>
      </c>
      <c r="AM156" s="4">
        <f ca="1">IFERROR(__xludf.DUMMYFUNCTION("""COMPUTED_VALUE"""),5)</f>
        <v>5</v>
      </c>
      <c r="AN156" s="4">
        <f ca="1">IFERROR(__xludf.DUMMYFUNCTION("""COMPUTED_VALUE"""),5)</f>
        <v>5</v>
      </c>
      <c r="AO156" s="4">
        <f ca="1">IFERROR(__xludf.DUMMYFUNCTION("""COMPUTED_VALUE"""),5)</f>
        <v>5</v>
      </c>
      <c r="AP156" s="4">
        <f ca="1">IFERROR(__xludf.DUMMYFUNCTION("""COMPUTED_VALUE"""),5)</f>
        <v>5</v>
      </c>
      <c r="AQ156" s="4">
        <f ca="1">IFERROR(__xludf.DUMMYFUNCTION("""COMPUTED_VALUE"""),5)</f>
        <v>5</v>
      </c>
      <c r="AR156" s="4">
        <f ca="1">IFERROR(__xludf.DUMMYFUNCTION("""COMPUTED_VALUE"""),5)</f>
        <v>5</v>
      </c>
      <c r="AS156" s="4">
        <f ca="1">IFERROR(__xludf.DUMMYFUNCTION("""COMPUTED_VALUE"""),5)</f>
        <v>5</v>
      </c>
      <c r="AT156" s="4">
        <f ca="1">IFERROR(__xludf.DUMMYFUNCTION("""COMPUTED_VALUE"""),5)</f>
        <v>5</v>
      </c>
      <c r="AU156" s="4">
        <f ca="1">IFERROR(__xludf.DUMMYFUNCTION("""COMPUTED_VALUE"""),5)</f>
        <v>5</v>
      </c>
      <c r="AV156" s="4">
        <f ca="1">IFERROR(__xludf.DUMMYFUNCTION("""COMPUTED_VALUE"""),5)</f>
        <v>5</v>
      </c>
      <c r="AW156" s="4">
        <f ca="1">IFERROR(__xludf.DUMMYFUNCTION("""COMPUTED_VALUE"""),5)</f>
        <v>5</v>
      </c>
      <c r="AX156" s="4">
        <f ca="1">IFERROR(__xludf.DUMMYFUNCTION("""COMPUTED_VALUE"""),5)</f>
        <v>5</v>
      </c>
      <c r="AY156" s="4">
        <f ca="1">IFERROR(__xludf.DUMMYFUNCTION("""COMPUTED_VALUE"""),5)</f>
        <v>5</v>
      </c>
      <c r="AZ156" s="4">
        <f ca="1">IFERROR(__xludf.DUMMYFUNCTION("""COMPUTED_VALUE"""),5)</f>
        <v>5</v>
      </c>
      <c r="BA156" s="4">
        <f ca="1">IFERROR(__xludf.DUMMYFUNCTION("""COMPUTED_VALUE"""),5)</f>
        <v>5</v>
      </c>
      <c r="BB156" s="4">
        <f ca="1">IFERROR(__xludf.DUMMYFUNCTION("""COMPUTED_VALUE"""),5)</f>
        <v>5</v>
      </c>
      <c r="BC156" s="4">
        <f ca="1">IFERROR(__xludf.DUMMYFUNCTION("""COMPUTED_VALUE"""),5)</f>
        <v>5</v>
      </c>
      <c r="BD156" s="4">
        <f ca="1">IFERROR(__xludf.DUMMYFUNCTION("""COMPUTED_VALUE"""),5)</f>
        <v>5</v>
      </c>
      <c r="BE156" s="4">
        <f ca="1">IFERROR(__xludf.DUMMYFUNCTION("""COMPUTED_VALUE"""),5)</f>
        <v>5</v>
      </c>
      <c r="BF156" s="4">
        <f ca="1">IFERROR(__xludf.DUMMYFUNCTION("""COMPUTED_VALUE"""),5)</f>
        <v>5</v>
      </c>
      <c r="BG156" s="4">
        <f ca="1">IFERROR(__xludf.DUMMYFUNCTION("""COMPUTED_VALUE"""),5)</f>
        <v>5</v>
      </c>
      <c r="BH156" s="4">
        <f ca="1">IFERROR(__xludf.DUMMYFUNCTION("""COMPUTED_VALUE"""),5)</f>
        <v>5</v>
      </c>
      <c r="BI156" s="4">
        <f ca="1">IFERROR(__xludf.DUMMYFUNCTION("""COMPUTED_VALUE"""),5)</f>
        <v>5</v>
      </c>
      <c r="BJ156" s="4">
        <f ca="1">IFERROR(__xludf.DUMMYFUNCTION("""COMPUTED_VALUE"""),5)</f>
        <v>5</v>
      </c>
      <c r="BK156" s="4">
        <f ca="1">IFERROR(__xludf.DUMMYFUNCTION("""COMPUTED_VALUE"""),5)</f>
        <v>5</v>
      </c>
      <c r="BL156" s="4">
        <f ca="1">IFERROR(__xludf.DUMMYFUNCTION("""COMPUTED_VALUE"""),5)</f>
        <v>5</v>
      </c>
      <c r="BM156" s="4">
        <f ca="1">IFERROR(__xludf.DUMMYFUNCTION("""COMPUTED_VALUE"""),5)</f>
        <v>5</v>
      </c>
      <c r="BN156" s="4">
        <f ca="1">IFERROR(__xludf.DUMMYFUNCTION("""COMPUTED_VALUE"""),5)</f>
        <v>5</v>
      </c>
      <c r="BO156" s="4">
        <f ca="1">IFERROR(__xludf.DUMMYFUNCTION("""COMPUTED_VALUE"""),5)</f>
        <v>5</v>
      </c>
      <c r="BP156" s="4">
        <f ca="1">IFERROR(__xludf.DUMMYFUNCTION("""COMPUTED_VALUE"""),5)</f>
        <v>5</v>
      </c>
    </row>
    <row r="157" spans="1:68" ht="13.2" x14ac:dyDescent="0.25">
      <c r="A157" s="4" t="str">
        <f ca="1">IFERROR(__xludf.DUMMYFUNCTION("""COMPUTED_VALUE"""),"2_ABaOnucHSRT4C7WCM_kY8dPv1aDwK21E2Pd9cyKnqwhXGTOfX231t9TC1eRVrr_YWQ")</f>
        <v>2_ABaOnucHSRT4C7WCM_kY8dPv1aDwK21E2Pd9cyKnqwhXGTOfX231t9TC1eRVrr_YWQ</v>
      </c>
      <c r="B157" s="5">
        <f ca="1">IFERROR(__xludf.DUMMYFUNCTION("""COMPUTED_VALUE"""),45974.6755449768)</f>
        <v>45974.675544976802</v>
      </c>
      <c r="C157" s="4" t="str">
        <f ca="1">IFERROR(__xludf.DUMMYFUNCTION("""COMPUTED_VALUE"""),"Trần Thái Huy")</f>
        <v>Trần Thái Huy</v>
      </c>
      <c r="D157" s="4" t="str">
        <f ca="1">IFERROR(__xludf.DUMMYFUNCTION("""COMPUTED_VALUE"""),"Nam")</f>
        <v>Nam</v>
      </c>
      <c r="E157" s="4" t="str">
        <f ca="1">IFERROR(__xludf.DUMMYFUNCTION("""COMPUTED_VALUE"""),"bakertilly A&amp;C")</f>
        <v>bakertilly A&amp;C</v>
      </c>
      <c r="F157" s="4" t="str">
        <f ca="1">IFERROR(__xludf.DUMMYFUNCTION("""COMPUTED_VALUE"""),"Đại học")</f>
        <v>Đại học</v>
      </c>
      <c r="G157" s="4" t="str">
        <f ca="1">IFERROR(__xludf.DUMMYFUNCTION("""COMPUTED_VALUE"""),"Từ 3 đến 5 năm")</f>
        <v>Từ 3 đến 5 năm</v>
      </c>
      <c r="H157" s="4" t="str">
        <f ca="1">IFERROR(__xludf.DUMMYFUNCTION("""COMPUTED_VALUE"""),"Trợ lý kiểm toán")</f>
        <v>Trợ lý kiểm toán</v>
      </c>
      <c r="I157" s="4">
        <f ca="1">IFERROR(__xludf.DUMMYFUNCTION("""COMPUTED_VALUE"""),4)</f>
        <v>4</v>
      </c>
      <c r="J157" s="4">
        <f ca="1">IFERROR(__xludf.DUMMYFUNCTION("""COMPUTED_VALUE"""),3)</f>
        <v>3</v>
      </c>
      <c r="K157" s="4">
        <f ca="1">IFERROR(__xludf.DUMMYFUNCTION("""COMPUTED_VALUE"""),4)</f>
        <v>4</v>
      </c>
      <c r="L157" s="4">
        <f ca="1">IFERROR(__xludf.DUMMYFUNCTION("""COMPUTED_VALUE"""),4)</f>
        <v>4</v>
      </c>
      <c r="M157" s="4">
        <f ca="1">IFERROR(__xludf.DUMMYFUNCTION("""COMPUTED_VALUE"""),4)</f>
        <v>4</v>
      </c>
      <c r="N157" s="4">
        <f ca="1">IFERROR(__xludf.DUMMYFUNCTION("""COMPUTED_VALUE"""),4)</f>
        <v>4</v>
      </c>
      <c r="O157" s="4">
        <f ca="1">IFERROR(__xludf.DUMMYFUNCTION("""COMPUTED_VALUE"""),4)</f>
        <v>4</v>
      </c>
      <c r="P157" s="4">
        <f ca="1">IFERROR(__xludf.DUMMYFUNCTION("""COMPUTED_VALUE"""),4)</f>
        <v>4</v>
      </c>
      <c r="Q157" s="4">
        <f ca="1">IFERROR(__xludf.DUMMYFUNCTION("""COMPUTED_VALUE"""),4)</f>
        <v>4</v>
      </c>
      <c r="R157" s="4">
        <f ca="1">IFERROR(__xludf.DUMMYFUNCTION("""COMPUTED_VALUE"""),4)</f>
        <v>4</v>
      </c>
      <c r="S157" s="4">
        <f ca="1">IFERROR(__xludf.DUMMYFUNCTION("""COMPUTED_VALUE"""),4)</f>
        <v>4</v>
      </c>
      <c r="T157" s="4">
        <f ca="1">IFERROR(__xludf.DUMMYFUNCTION("""COMPUTED_VALUE"""),4)</f>
        <v>4</v>
      </c>
      <c r="U157" s="4">
        <f ca="1">IFERROR(__xludf.DUMMYFUNCTION("""COMPUTED_VALUE"""),4)</f>
        <v>4</v>
      </c>
      <c r="V157" s="4">
        <f ca="1">IFERROR(__xludf.DUMMYFUNCTION("""COMPUTED_VALUE"""),4)</f>
        <v>4</v>
      </c>
      <c r="W157" s="4">
        <f ca="1">IFERROR(__xludf.DUMMYFUNCTION("""COMPUTED_VALUE"""),4)</f>
        <v>4</v>
      </c>
      <c r="X157" s="4">
        <f ca="1">IFERROR(__xludf.DUMMYFUNCTION("""COMPUTED_VALUE"""),4)</f>
        <v>4</v>
      </c>
      <c r="Y157" s="4">
        <f ca="1">IFERROR(__xludf.DUMMYFUNCTION("""COMPUTED_VALUE"""),4)</f>
        <v>4</v>
      </c>
      <c r="Z157" s="4">
        <f ca="1">IFERROR(__xludf.DUMMYFUNCTION("""COMPUTED_VALUE"""),4)</f>
        <v>4</v>
      </c>
      <c r="AA157" s="4">
        <f ca="1">IFERROR(__xludf.DUMMYFUNCTION("""COMPUTED_VALUE"""),4)</f>
        <v>4</v>
      </c>
      <c r="AB157" s="4">
        <f ca="1">IFERROR(__xludf.DUMMYFUNCTION("""COMPUTED_VALUE"""),4)</f>
        <v>4</v>
      </c>
      <c r="AC157" s="4">
        <f ca="1">IFERROR(__xludf.DUMMYFUNCTION("""COMPUTED_VALUE"""),4)</f>
        <v>4</v>
      </c>
      <c r="AD157" s="4">
        <f ca="1">IFERROR(__xludf.DUMMYFUNCTION("""COMPUTED_VALUE"""),4)</f>
        <v>4</v>
      </c>
      <c r="AE157" s="4">
        <f ca="1">IFERROR(__xludf.DUMMYFUNCTION("""COMPUTED_VALUE"""),4)</f>
        <v>4</v>
      </c>
      <c r="AF157" s="4">
        <f ca="1">IFERROR(__xludf.DUMMYFUNCTION("""COMPUTED_VALUE"""),4)</f>
        <v>4</v>
      </c>
      <c r="AG157" s="4">
        <f ca="1">IFERROR(__xludf.DUMMYFUNCTION("""COMPUTED_VALUE"""),4)</f>
        <v>4</v>
      </c>
      <c r="AH157" s="4">
        <f ca="1">IFERROR(__xludf.DUMMYFUNCTION("""COMPUTED_VALUE"""),4)</f>
        <v>4</v>
      </c>
      <c r="AI157" s="4">
        <f ca="1">IFERROR(__xludf.DUMMYFUNCTION("""COMPUTED_VALUE"""),4)</f>
        <v>4</v>
      </c>
      <c r="AJ157" s="4">
        <f ca="1">IFERROR(__xludf.DUMMYFUNCTION("""COMPUTED_VALUE"""),4)</f>
        <v>4</v>
      </c>
      <c r="AK157" s="4">
        <f ca="1">IFERROR(__xludf.DUMMYFUNCTION("""COMPUTED_VALUE"""),4)</f>
        <v>4</v>
      </c>
      <c r="AL157" s="4">
        <f ca="1">IFERROR(__xludf.DUMMYFUNCTION("""COMPUTED_VALUE"""),4)</f>
        <v>4</v>
      </c>
      <c r="AM157" s="4">
        <f ca="1">IFERROR(__xludf.DUMMYFUNCTION("""COMPUTED_VALUE"""),4)</f>
        <v>4</v>
      </c>
      <c r="AN157" s="4">
        <f ca="1">IFERROR(__xludf.DUMMYFUNCTION("""COMPUTED_VALUE"""),4)</f>
        <v>4</v>
      </c>
      <c r="AO157" s="4">
        <f ca="1">IFERROR(__xludf.DUMMYFUNCTION("""COMPUTED_VALUE"""),4)</f>
        <v>4</v>
      </c>
      <c r="AP157" s="4">
        <f ca="1">IFERROR(__xludf.DUMMYFUNCTION("""COMPUTED_VALUE"""),4)</f>
        <v>4</v>
      </c>
      <c r="AQ157" s="4">
        <f ca="1">IFERROR(__xludf.DUMMYFUNCTION("""COMPUTED_VALUE"""),4)</f>
        <v>4</v>
      </c>
      <c r="AR157" s="4">
        <f ca="1">IFERROR(__xludf.DUMMYFUNCTION("""COMPUTED_VALUE"""),4)</f>
        <v>4</v>
      </c>
      <c r="AS157" s="4">
        <f ca="1">IFERROR(__xludf.DUMMYFUNCTION("""COMPUTED_VALUE"""),4)</f>
        <v>4</v>
      </c>
      <c r="AT157" s="4">
        <f ca="1">IFERROR(__xludf.DUMMYFUNCTION("""COMPUTED_VALUE"""),4)</f>
        <v>4</v>
      </c>
      <c r="AU157" s="4">
        <f ca="1">IFERROR(__xludf.DUMMYFUNCTION("""COMPUTED_VALUE"""),4)</f>
        <v>4</v>
      </c>
      <c r="AV157" s="4">
        <f ca="1">IFERROR(__xludf.DUMMYFUNCTION("""COMPUTED_VALUE"""),4)</f>
        <v>4</v>
      </c>
      <c r="AW157" s="4">
        <f ca="1">IFERROR(__xludf.DUMMYFUNCTION("""COMPUTED_VALUE"""),4)</f>
        <v>4</v>
      </c>
      <c r="AX157" s="4">
        <f ca="1">IFERROR(__xludf.DUMMYFUNCTION("""COMPUTED_VALUE"""),4)</f>
        <v>4</v>
      </c>
      <c r="AY157" s="4">
        <f ca="1">IFERROR(__xludf.DUMMYFUNCTION("""COMPUTED_VALUE"""),4)</f>
        <v>4</v>
      </c>
      <c r="AZ157" s="4">
        <f ca="1">IFERROR(__xludf.DUMMYFUNCTION("""COMPUTED_VALUE"""),4)</f>
        <v>4</v>
      </c>
      <c r="BA157" s="4">
        <f ca="1">IFERROR(__xludf.DUMMYFUNCTION("""COMPUTED_VALUE"""),4)</f>
        <v>4</v>
      </c>
      <c r="BB157" s="4">
        <f ca="1">IFERROR(__xludf.DUMMYFUNCTION("""COMPUTED_VALUE"""),4)</f>
        <v>4</v>
      </c>
      <c r="BC157" s="4">
        <f ca="1">IFERROR(__xludf.DUMMYFUNCTION("""COMPUTED_VALUE"""),4)</f>
        <v>4</v>
      </c>
      <c r="BD157" s="4">
        <f ca="1">IFERROR(__xludf.DUMMYFUNCTION("""COMPUTED_VALUE"""),4)</f>
        <v>4</v>
      </c>
      <c r="BE157" s="4">
        <f ca="1">IFERROR(__xludf.DUMMYFUNCTION("""COMPUTED_VALUE"""),4)</f>
        <v>4</v>
      </c>
      <c r="BF157" s="4">
        <f ca="1">IFERROR(__xludf.DUMMYFUNCTION("""COMPUTED_VALUE"""),4)</f>
        <v>4</v>
      </c>
      <c r="BG157" s="4">
        <f ca="1">IFERROR(__xludf.DUMMYFUNCTION("""COMPUTED_VALUE"""),4)</f>
        <v>4</v>
      </c>
      <c r="BH157" s="4">
        <f ca="1">IFERROR(__xludf.DUMMYFUNCTION("""COMPUTED_VALUE"""),4)</f>
        <v>4</v>
      </c>
      <c r="BI157" s="4">
        <f ca="1">IFERROR(__xludf.DUMMYFUNCTION("""COMPUTED_VALUE"""),4)</f>
        <v>4</v>
      </c>
      <c r="BJ157" s="4">
        <f ca="1">IFERROR(__xludf.DUMMYFUNCTION("""COMPUTED_VALUE"""),4)</f>
        <v>4</v>
      </c>
      <c r="BK157" s="4">
        <f ca="1">IFERROR(__xludf.DUMMYFUNCTION("""COMPUTED_VALUE"""),4)</f>
        <v>4</v>
      </c>
      <c r="BL157" s="4">
        <f ca="1">IFERROR(__xludf.DUMMYFUNCTION("""COMPUTED_VALUE"""),4)</f>
        <v>4</v>
      </c>
      <c r="BM157" s="4">
        <f ca="1">IFERROR(__xludf.DUMMYFUNCTION("""COMPUTED_VALUE"""),4)</f>
        <v>4</v>
      </c>
      <c r="BN157" s="4">
        <f ca="1">IFERROR(__xludf.DUMMYFUNCTION("""COMPUTED_VALUE"""),4)</f>
        <v>4</v>
      </c>
      <c r="BO157" s="4">
        <f ca="1">IFERROR(__xludf.DUMMYFUNCTION("""COMPUTED_VALUE"""),4)</f>
        <v>4</v>
      </c>
      <c r="BP157" s="4">
        <f ca="1">IFERROR(__xludf.DUMMYFUNCTION("""COMPUTED_VALUE"""),4)</f>
        <v>4</v>
      </c>
    </row>
    <row r="158" spans="1:68" ht="13.2" x14ac:dyDescent="0.25">
      <c r="A158" s="4" t="str">
        <f ca="1">IFERROR(__xludf.DUMMYFUNCTION("""COMPUTED_VALUE"""),"2_ABaOnueLwvwKoQpjBchUAbH5EWh7K-h0m84IPdB5pnTp7dWYtbLUSZI8XizsqLOCZg")</f>
        <v>2_ABaOnueLwvwKoQpjBchUAbH5EWh7K-h0m84IPdB5pnTp7dWYtbLUSZI8XizsqLOCZg</v>
      </c>
      <c r="B158" s="5">
        <f ca="1">IFERROR(__xludf.DUMMYFUNCTION("""COMPUTED_VALUE"""),45974.6760459953)</f>
        <v>45974.6760459953</v>
      </c>
      <c r="C158" s="4" t="str">
        <f ca="1">IFERROR(__xludf.DUMMYFUNCTION("""COMPUTED_VALUE"""),"Nguyễn Thị Hải Yến")</f>
        <v>Nguyễn Thị Hải Yến</v>
      </c>
      <c r="D158" s="4" t="str">
        <f ca="1">IFERROR(__xludf.DUMMYFUNCTION("""COMPUTED_VALUE"""),"Nữ")</f>
        <v>Nữ</v>
      </c>
      <c r="E158" s="4" t="str">
        <f ca="1">IFERROR(__xludf.DUMMYFUNCTION("""COMPUTED_VALUE"""),"Công ty TNHH Kiểm toán và Tư vấn A&amp;C")</f>
        <v>Công ty TNHH Kiểm toán và Tư vấn A&amp;C</v>
      </c>
      <c r="F158" s="4" t="str">
        <f ca="1">IFERROR(__xludf.DUMMYFUNCTION("""COMPUTED_VALUE"""),"Đại học")</f>
        <v>Đại học</v>
      </c>
      <c r="G158" s="4" t="str">
        <f ca="1">IFERROR(__xludf.DUMMYFUNCTION("""COMPUTED_VALUE"""),"Trên 5 đến 10 năm")</f>
        <v>Trên 5 đến 10 năm</v>
      </c>
      <c r="H158" s="4" t="str">
        <f ca="1">IFERROR(__xludf.DUMMYFUNCTION("""COMPUTED_VALUE"""),"Kiểm toán viên/Trưởng nhóm")</f>
        <v>Kiểm toán viên/Trưởng nhóm</v>
      </c>
      <c r="I158" s="4">
        <f ca="1">IFERROR(__xludf.DUMMYFUNCTION("""COMPUTED_VALUE"""),4)</f>
        <v>4</v>
      </c>
      <c r="J158" s="4">
        <f ca="1">IFERROR(__xludf.DUMMYFUNCTION("""COMPUTED_VALUE"""),4)</f>
        <v>4</v>
      </c>
      <c r="K158" s="4">
        <f ca="1">IFERROR(__xludf.DUMMYFUNCTION("""COMPUTED_VALUE"""),4)</f>
        <v>4</v>
      </c>
      <c r="L158" s="4">
        <f ca="1">IFERROR(__xludf.DUMMYFUNCTION("""COMPUTED_VALUE"""),4)</f>
        <v>4</v>
      </c>
      <c r="M158" s="4">
        <f ca="1">IFERROR(__xludf.DUMMYFUNCTION("""COMPUTED_VALUE"""),4)</f>
        <v>4</v>
      </c>
      <c r="N158" s="4">
        <f ca="1">IFERROR(__xludf.DUMMYFUNCTION("""COMPUTED_VALUE"""),4)</f>
        <v>4</v>
      </c>
      <c r="O158" s="4">
        <f ca="1">IFERROR(__xludf.DUMMYFUNCTION("""COMPUTED_VALUE"""),4)</f>
        <v>4</v>
      </c>
      <c r="P158" s="4">
        <f ca="1">IFERROR(__xludf.DUMMYFUNCTION("""COMPUTED_VALUE"""),5)</f>
        <v>5</v>
      </c>
      <c r="Q158" s="4">
        <f ca="1">IFERROR(__xludf.DUMMYFUNCTION("""COMPUTED_VALUE"""),5)</f>
        <v>5</v>
      </c>
      <c r="R158" s="4">
        <f ca="1">IFERROR(__xludf.DUMMYFUNCTION("""COMPUTED_VALUE"""),4)</f>
        <v>4</v>
      </c>
      <c r="S158" s="4">
        <f ca="1">IFERROR(__xludf.DUMMYFUNCTION("""COMPUTED_VALUE"""),4)</f>
        <v>4</v>
      </c>
      <c r="T158" s="4">
        <f ca="1">IFERROR(__xludf.DUMMYFUNCTION("""COMPUTED_VALUE"""),4)</f>
        <v>4</v>
      </c>
      <c r="U158" s="4">
        <f ca="1">IFERROR(__xludf.DUMMYFUNCTION("""COMPUTED_VALUE"""),5)</f>
        <v>5</v>
      </c>
      <c r="V158" s="4">
        <f ca="1">IFERROR(__xludf.DUMMYFUNCTION("""COMPUTED_VALUE"""),5)</f>
        <v>5</v>
      </c>
      <c r="W158" s="4">
        <f ca="1">IFERROR(__xludf.DUMMYFUNCTION("""COMPUTED_VALUE"""),3)</f>
        <v>3</v>
      </c>
      <c r="X158" s="4">
        <f ca="1">IFERROR(__xludf.DUMMYFUNCTION("""COMPUTED_VALUE"""),3)</f>
        <v>3</v>
      </c>
      <c r="Y158" s="4">
        <f ca="1">IFERROR(__xludf.DUMMYFUNCTION("""COMPUTED_VALUE"""),3)</f>
        <v>3</v>
      </c>
      <c r="Z158" s="4">
        <f ca="1">IFERROR(__xludf.DUMMYFUNCTION("""COMPUTED_VALUE"""),3)</f>
        <v>3</v>
      </c>
      <c r="AA158" s="4">
        <f ca="1">IFERROR(__xludf.DUMMYFUNCTION("""COMPUTED_VALUE"""),3)</f>
        <v>3</v>
      </c>
      <c r="AB158" s="4">
        <f ca="1">IFERROR(__xludf.DUMMYFUNCTION("""COMPUTED_VALUE"""),5)</f>
        <v>5</v>
      </c>
      <c r="AC158" s="4">
        <f ca="1">IFERROR(__xludf.DUMMYFUNCTION("""COMPUTED_VALUE"""),5)</f>
        <v>5</v>
      </c>
      <c r="AD158" s="4">
        <f ca="1">IFERROR(__xludf.DUMMYFUNCTION("""COMPUTED_VALUE"""),5)</f>
        <v>5</v>
      </c>
      <c r="AE158" s="4">
        <f ca="1">IFERROR(__xludf.DUMMYFUNCTION("""COMPUTED_VALUE"""),5)</f>
        <v>5</v>
      </c>
      <c r="AF158" s="4">
        <f ca="1">IFERROR(__xludf.DUMMYFUNCTION("""COMPUTED_VALUE"""),5)</f>
        <v>5</v>
      </c>
      <c r="AG158" s="4">
        <f ca="1">IFERROR(__xludf.DUMMYFUNCTION("""COMPUTED_VALUE"""),5)</f>
        <v>5</v>
      </c>
      <c r="AH158" s="4">
        <f ca="1">IFERROR(__xludf.DUMMYFUNCTION("""COMPUTED_VALUE"""),5)</f>
        <v>5</v>
      </c>
      <c r="AI158" s="4">
        <f ca="1">IFERROR(__xludf.DUMMYFUNCTION("""COMPUTED_VALUE"""),5)</f>
        <v>5</v>
      </c>
      <c r="AJ158" s="4">
        <f ca="1">IFERROR(__xludf.DUMMYFUNCTION("""COMPUTED_VALUE"""),5)</f>
        <v>5</v>
      </c>
      <c r="AK158" s="4">
        <f ca="1">IFERROR(__xludf.DUMMYFUNCTION("""COMPUTED_VALUE"""),5)</f>
        <v>5</v>
      </c>
      <c r="AL158" s="4">
        <f ca="1">IFERROR(__xludf.DUMMYFUNCTION("""COMPUTED_VALUE"""),5)</f>
        <v>5</v>
      </c>
      <c r="AM158" s="4">
        <f ca="1">IFERROR(__xludf.DUMMYFUNCTION("""COMPUTED_VALUE"""),4)</f>
        <v>4</v>
      </c>
      <c r="AN158" s="4">
        <f ca="1">IFERROR(__xludf.DUMMYFUNCTION("""COMPUTED_VALUE"""),4)</f>
        <v>4</v>
      </c>
      <c r="AO158" s="4">
        <f ca="1">IFERROR(__xludf.DUMMYFUNCTION("""COMPUTED_VALUE"""),5)</f>
        <v>5</v>
      </c>
      <c r="AP158" s="4">
        <f ca="1">IFERROR(__xludf.DUMMYFUNCTION("""COMPUTED_VALUE"""),5)</f>
        <v>5</v>
      </c>
      <c r="AQ158" s="4">
        <f ca="1">IFERROR(__xludf.DUMMYFUNCTION("""COMPUTED_VALUE"""),5)</f>
        <v>5</v>
      </c>
      <c r="AR158" s="4">
        <f ca="1">IFERROR(__xludf.DUMMYFUNCTION("""COMPUTED_VALUE"""),5)</f>
        <v>5</v>
      </c>
      <c r="AS158" s="4">
        <f ca="1">IFERROR(__xludf.DUMMYFUNCTION("""COMPUTED_VALUE"""),5)</f>
        <v>5</v>
      </c>
      <c r="AT158" s="4">
        <f ca="1">IFERROR(__xludf.DUMMYFUNCTION("""COMPUTED_VALUE"""),5)</f>
        <v>5</v>
      </c>
      <c r="AU158" s="4">
        <f ca="1">IFERROR(__xludf.DUMMYFUNCTION("""COMPUTED_VALUE"""),4)</f>
        <v>4</v>
      </c>
      <c r="AV158" s="4">
        <f ca="1">IFERROR(__xludf.DUMMYFUNCTION("""COMPUTED_VALUE"""),5)</f>
        <v>5</v>
      </c>
      <c r="AW158" s="4">
        <f ca="1">IFERROR(__xludf.DUMMYFUNCTION("""COMPUTED_VALUE"""),5)</f>
        <v>5</v>
      </c>
      <c r="AX158" s="4">
        <f ca="1">IFERROR(__xludf.DUMMYFUNCTION("""COMPUTED_VALUE"""),5)</f>
        <v>5</v>
      </c>
      <c r="AY158" s="4">
        <f ca="1">IFERROR(__xludf.DUMMYFUNCTION("""COMPUTED_VALUE"""),5)</f>
        <v>5</v>
      </c>
      <c r="AZ158" s="4">
        <f ca="1">IFERROR(__xludf.DUMMYFUNCTION("""COMPUTED_VALUE"""),5)</f>
        <v>5</v>
      </c>
      <c r="BA158" s="4">
        <f ca="1">IFERROR(__xludf.DUMMYFUNCTION("""COMPUTED_VALUE"""),5)</f>
        <v>5</v>
      </c>
      <c r="BB158" s="4">
        <f ca="1">IFERROR(__xludf.DUMMYFUNCTION("""COMPUTED_VALUE"""),5)</f>
        <v>5</v>
      </c>
      <c r="BC158" s="4">
        <f ca="1">IFERROR(__xludf.DUMMYFUNCTION("""COMPUTED_VALUE"""),5)</f>
        <v>5</v>
      </c>
      <c r="BD158" s="4">
        <f ca="1">IFERROR(__xludf.DUMMYFUNCTION("""COMPUTED_VALUE"""),4)</f>
        <v>4</v>
      </c>
      <c r="BE158" s="4">
        <f ca="1">IFERROR(__xludf.DUMMYFUNCTION("""COMPUTED_VALUE"""),4)</f>
        <v>4</v>
      </c>
      <c r="BF158" s="4">
        <f ca="1">IFERROR(__xludf.DUMMYFUNCTION("""COMPUTED_VALUE"""),4)</f>
        <v>4</v>
      </c>
      <c r="BG158" s="4">
        <f ca="1">IFERROR(__xludf.DUMMYFUNCTION("""COMPUTED_VALUE"""),4)</f>
        <v>4</v>
      </c>
      <c r="BH158" s="4">
        <f ca="1">IFERROR(__xludf.DUMMYFUNCTION("""COMPUTED_VALUE"""),5)</f>
        <v>5</v>
      </c>
      <c r="BI158" s="4">
        <f ca="1">IFERROR(__xludf.DUMMYFUNCTION("""COMPUTED_VALUE"""),5)</f>
        <v>5</v>
      </c>
      <c r="BJ158" s="4">
        <f ca="1">IFERROR(__xludf.DUMMYFUNCTION("""COMPUTED_VALUE"""),5)</f>
        <v>5</v>
      </c>
      <c r="BK158" s="4">
        <f ca="1">IFERROR(__xludf.DUMMYFUNCTION("""COMPUTED_VALUE"""),5)</f>
        <v>5</v>
      </c>
      <c r="BL158" s="4">
        <f ca="1">IFERROR(__xludf.DUMMYFUNCTION("""COMPUTED_VALUE"""),5)</f>
        <v>5</v>
      </c>
      <c r="BM158" s="4">
        <f ca="1">IFERROR(__xludf.DUMMYFUNCTION("""COMPUTED_VALUE"""),5)</f>
        <v>5</v>
      </c>
      <c r="BN158" s="4">
        <f ca="1">IFERROR(__xludf.DUMMYFUNCTION("""COMPUTED_VALUE"""),5)</f>
        <v>5</v>
      </c>
      <c r="BO158" s="4">
        <f ca="1">IFERROR(__xludf.DUMMYFUNCTION("""COMPUTED_VALUE"""),5)</f>
        <v>5</v>
      </c>
      <c r="BP158" s="4">
        <f ca="1">IFERROR(__xludf.DUMMYFUNCTION("""COMPUTED_VALUE"""),5)</f>
        <v>5</v>
      </c>
    </row>
    <row r="159" spans="1:68" ht="13.2" x14ac:dyDescent="0.25">
      <c r="A159" s="4" t="str">
        <f ca="1">IFERROR(__xludf.DUMMYFUNCTION("""COMPUTED_VALUE"""),"2_ABaOnudISkihHw6vNiZHrMlUeH01OQ41ulmUDG67Z5NNMSQsjCfa6JZbKseek7XH2Q")</f>
        <v>2_ABaOnudISkihHw6vNiZHrMlUeH01OQ41ulmUDG67Z5NNMSQsjCfa6JZbKseek7XH2Q</v>
      </c>
      <c r="B159" s="5">
        <f ca="1">IFERROR(__xludf.DUMMYFUNCTION("""COMPUTED_VALUE"""),45974.6783467129)</f>
        <v>45974.678346712899</v>
      </c>
      <c r="C159" s="4"/>
      <c r="D159" s="4" t="str">
        <f ca="1">IFERROR(__xludf.DUMMYFUNCTION("""COMPUTED_VALUE"""),"Nữ")</f>
        <v>Nữ</v>
      </c>
      <c r="E159" s="4" t="str">
        <f ca="1">IFERROR(__xludf.DUMMYFUNCTION("""COMPUTED_VALUE"""),"A&amp;C")</f>
        <v>A&amp;C</v>
      </c>
      <c r="F159" s="4" t="str">
        <f ca="1">IFERROR(__xludf.DUMMYFUNCTION("""COMPUTED_VALUE"""),"Đại học")</f>
        <v>Đại học</v>
      </c>
      <c r="G159" s="4" t="str">
        <f ca="1">IFERROR(__xludf.DUMMYFUNCTION("""COMPUTED_VALUE"""),"Từ 3 đến 5 năm")</f>
        <v>Từ 3 đến 5 năm</v>
      </c>
      <c r="H159" s="4" t="str">
        <f ca="1">IFERROR(__xludf.DUMMYFUNCTION("""COMPUTED_VALUE"""),"Kiểm toán viên/Trưởng nhóm")</f>
        <v>Kiểm toán viên/Trưởng nhóm</v>
      </c>
      <c r="I159" s="4">
        <f ca="1">IFERROR(__xludf.DUMMYFUNCTION("""COMPUTED_VALUE"""),5)</f>
        <v>5</v>
      </c>
      <c r="J159" s="4">
        <f ca="1">IFERROR(__xludf.DUMMYFUNCTION("""COMPUTED_VALUE"""),5)</f>
        <v>5</v>
      </c>
      <c r="K159" s="4">
        <f ca="1">IFERROR(__xludf.DUMMYFUNCTION("""COMPUTED_VALUE"""),5)</f>
        <v>5</v>
      </c>
      <c r="L159" s="4">
        <f ca="1">IFERROR(__xludf.DUMMYFUNCTION("""COMPUTED_VALUE"""),4)</f>
        <v>4</v>
      </c>
      <c r="M159" s="4">
        <f ca="1">IFERROR(__xludf.DUMMYFUNCTION("""COMPUTED_VALUE"""),4)</f>
        <v>4</v>
      </c>
      <c r="N159" s="4">
        <f ca="1">IFERROR(__xludf.DUMMYFUNCTION("""COMPUTED_VALUE"""),3)</f>
        <v>3</v>
      </c>
      <c r="O159" s="4">
        <f ca="1">IFERROR(__xludf.DUMMYFUNCTION("""COMPUTED_VALUE"""),3)</f>
        <v>3</v>
      </c>
      <c r="P159" s="4">
        <f ca="1">IFERROR(__xludf.DUMMYFUNCTION("""COMPUTED_VALUE"""),5)</f>
        <v>5</v>
      </c>
      <c r="Q159" s="4">
        <f ca="1">IFERROR(__xludf.DUMMYFUNCTION("""COMPUTED_VALUE"""),5)</f>
        <v>5</v>
      </c>
      <c r="R159" s="4">
        <f ca="1">IFERROR(__xludf.DUMMYFUNCTION("""COMPUTED_VALUE"""),5)</f>
        <v>5</v>
      </c>
      <c r="S159" s="4">
        <f ca="1">IFERROR(__xludf.DUMMYFUNCTION("""COMPUTED_VALUE"""),5)</f>
        <v>5</v>
      </c>
      <c r="T159" s="4">
        <f ca="1">IFERROR(__xludf.DUMMYFUNCTION("""COMPUTED_VALUE"""),5)</f>
        <v>5</v>
      </c>
      <c r="U159" s="4">
        <f ca="1">IFERROR(__xludf.DUMMYFUNCTION("""COMPUTED_VALUE"""),5)</f>
        <v>5</v>
      </c>
      <c r="V159" s="4">
        <f ca="1">IFERROR(__xludf.DUMMYFUNCTION("""COMPUTED_VALUE"""),5)</f>
        <v>5</v>
      </c>
      <c r="W159" s="4">
        <f ca="1">IFERROR(__xludf.DUMMYFUNCTION("""COMPUTED_VALUE"""),4)</f>
        <v>4</v>
      </c>
      <c r="X159" s="4">
        <f ca="1">IFERROR(__xludf.DUMMYFUNCTION("""COMPUTED_VALUE"""),4)</f>
        <v>4</v>
      </c>
      <c r="Y159" s="4">
        <f ca="1">IFERROR(__xludf.DUMMYFUNCTION("""COMPUTED_VALUE"""),5)</f>
        <v>5</v>
      </c>
      <c r="Z159" s="4">
        <f ca="1">IFERROR(__xludf.DUMMYFUNCTION("""COMPUTED_VALUE"""),5)</f>
        <v>5</v>
      </c>
      <c r="AA159" s="4">
        <f ca="1">IFERROR(__xludf.DUMMYFUNCTION("""COMPUTED_VALUE"""),5)</f>
        <v>5</v>
      </c>
      <c r="AB159" s="4">
        <f ca="1">IFERROR(__xludf.DUMMYFUNCTION("""COMPUTED_VALUE"""),3)</f>
        <v>3</v>
      </c>
      <c r="AC159" s="4">
        <f ca="1">IFERROR(__xludf.DUMMYFUNCTION("""COMPUTED_VALUE"""),3)</f>
        <v>3</v>
      </c>
      <c r="AD159" s="4">
        <f ca="1">IFERROR(__xludf.DUMMYFUNCTION("""COMPUTED_VALUE"""),4)</f>
        <v>4</v>
      </c>
      <c r="AE159" s="4">
        <f ca="1">IFERROR(__xludf.DUMMYFUNCTION("""COMPUTED_VALUE"""),4)</f>
        <v>4</v>
      </c>
      <c r="AF159" s="4">
        <f ca="1">IFERROR(__xludf.DUMMYFUNCTION("""COMPUTED_VALUE"""),5)</f>
        <v>5</v>
      </c>
      <c r="AG159" s="4">
        <f ca="1">IFERROR(__xludf.DUMMYFUNCTION("""COMPUTED_VALUE"""),5)</f>
        <v>5</v>
      </c>
      <c r="AH159" s="4">
        <f ca="1">IFERROR(__xludf.DUMMYFUNCTION("""COMPUTED_VALUE"""),5)</f>
        <v>5</v>
      </c>
      <c r="AI159" s="4">
        <f ca="1">IFERROR(__xludf.DUMMYFUNCTION("""COMPUTED_VALUE"""),5)</f>
        <v>5</v>
      </c>
      <c r="AJ159" s="4">
        <f ca="1">IFERROR(__xludf.DUMMYFUNCTION("""COMPUTED_VALUE"""),5)</f>
        <v>5</v>
      </c>
      <c r="AK159" s="4">
        <f ca="1">IFERROR(__xludf.DUMMYFUNCTION("""COMPUTED_VALUE"""),5)</f>
        <v>5</v>
      </c>
      <c r="AL159" s="4">
        <f ca="1">IFERROR(__xludf.DUMMYFUNCTION("""COMPUTED_VALUE"""),5)</f>
        <v>5</v>
      </c>
      <c r="AM159" s="4">
        <f ca="1">IFERROR(__xludf.DUMMYFUNCTION("""COMPUTED_VALUE"""),5)</f>
        <v>5</v>
      </c>
      <c r="AN159" s="4">
        <f ca="1">IFERROR(__xludf.DUMMYFUNCTION("""COMPUTED_VALUE"""),5)</f>
        <v>5</v>
      </c>
      <c r="AO159" s="4">
        <f ca="1">IFERROR(__xludf.DUMMYFUNCTION("""COMPUTED_VALUE"""),4)</f>
        <v>4</v>
      </c>
      <c r="AP159" s="4">
        <f ca="1">IFERROR(__xludf.DUMMYFUNCTION("""COMPUTED_VALUE"""),3)</f>
        <v>3</v>
      </c>
      <c r="AQ159" s="4">
        <f ca="1">IFERROR(__xludf.DUMMYFUNCTION("""COMPUTED_VALUE"""),4)</f>
        <v>4</v>
      </c>
      <c r="AR159" s="4">
        <f ca="1">IFERROR(__xludf.DUMMYFUNCTION("""COMPUTED_VALUE"""),5)</f>
        <v>5</v>
      </c>
      <c r="AS159" s="4">
        <f ca="1">IFERROR(__xludf.DUMMYFUNCTION("""COMPUTED_VALUE"""),5)</f>
        <v>5</v>
      </c>
      <c r="AT159" s="4">
        <f ca="1">IFERROR(__xludf.DUMMYFUNCTION("""COMPUTED_VALUE"""),4)</f>
        <v>4</v>
      </c>
      <c r="AU159" s="4">
        <f ca="1">IFERROR(__xludf.DUMMYFUNCTION("""COMPUTED_VALUE"""),4)</f>
        <v>4</v>
      </c>
      <c r="AV159" s="4">
        <f ca="1">IFERROR(__xludf.DUMMYFUNCTION("""COMPUTED_VALUE"""),4)</f>
        <v>4</v>
      </c>
      <c r="AW159" s="4">
        <f ca="1">IFERROR(__xludf.DUMMYFUNCTION("""COMPUTED_VALUE"""),5)</f>
        <v>5</v>
      </c>
      <c r="AX159" s="4">
        <f ca="1">IFERROR(__xludf.DUMMYFUNCTION("""COMPUTED_VALUE"""),5)</f>
        <v>5</v>
      </c>
      <c r="AY159" s="4">
        <f ca="1">IFERROR(__xludf.DUMMYFUNCTION("""COMPUTED_VALUE"""),5)</f>
        <v>5</v>
      </c>
      <c r="AZ159" s="4">
        <f ca="1">IFERROR(__xludf.DUMMYFUNCTION("""COMPUTED_VALUE"""),5)</f>
        <v>5</v>
      </c>
      <c r="BA159" s="4">
        <f ca="1">IFERROR(__xludf.DUMMYFUNCTION("""COMPUTED_VALUE"""),5)</f>
        <v>5</v>
      </c>
      <c r="BB159" s="4">
        <f ca="1">IFERROR(__xludf.DUMMYFUNCTION("""COMPUTED_VALUE"""),3)</f>
        <v>3</v>
      </c>
      <c r="BC159" s="4">
        <f ca="1">IFERROR(__xludf.DUMMYFUNCTION("""COMPUTED_VALUE"""),4)</f>
        <v>4</v>
      </c>
      <c r="BD159" s="4">
        <f ca="1">IFERROR(__xludf.DUMMYFUNCTION("""COMPUTED_VALUE"""),3)</f>
        <v>3</v>
      </c>
      <c r="BE159" s="4">
        <f ca="1">IFERROR(__xludf.DUMMYFUNCTION("""COMPUTED_VALUE"""),5)</f>
        <v>5</v>
      </c>
      <c r="BF159" s="4">
        <f ca="1">IFERROR(__xludf.DUMMYFUNCTION("""COMPUTED_VALUE"""),5)</f>
        <v>5</v>
      </c>
      <c r="BG159" s="4">
        <f ca="1">IFERROR(__xludf.DUMMYFUNCTION("""COMPUTED_VALUE"""),5)</f>
        <v>5</v>
      </c>
      <c r="BH159" s="4">
        <f ca="1">IFERROR(__xludf.DUMMYFUNCTION("""COMPUTED_VALUE"""),5)</f>
        <v>5</v>
      </c>
      <c r="BI159" s="4">
        <f ca="1">IFERROR(__xludf.DUMMYFUNCTION("""COMPUTED_VALUE"""),4)</f>
        <v>4</v>
      </c>
      <c r="BJ159" s="4">
        <f ca="1">IFERROR(__xludf.DUMMYFUNCTION("""COMPUTED_VALUE"""),4)</f>
        <v>4</v>
      </c>
      <c r="BK159" s="4">
        <f ca="1">IFERROR(__xludf.DUMMYFUNCTION("""COMPUTED_VALUE"""),4)</f>
        <v>4</v>
      </c>
      <c r="BL159" s="4">
        <f ca="1">IFERROR(__xludf.DUMMYFUNCTION("""COMPUTED_VALUE"""),3)</f>
        <v>3</v>
      </c>
      <c r="BM159" s="4">
        <f ca="1">IFERROR(__xludf.DUMMYFUNCTION("""COMPUTED_VALUE"""),3)</f>
        <v>3</v>
      </c>
      <c r="BN159" s="4">
        <f ca="1">IFERROR(__xludf.DUMMYFUNCTION("""COMPUTED_VALUE"""),3)</f>
        <v>3</v>
      </c>
      <c r="BO159" s="4">
        <f ca="1">IFERROR(__xludf.DUMMYFUNCTION("""COMPUTED_VALUE"""),4)</f>
        <v>4</v>
      </c>
      <c r="BP159" s="4">
        <f ca="1">IFERROR(__xludf.DUMMYFUNCTION("""COMPUTED_VALUE"""),4)</f>
        <v>4</v>
      </c>
    </row>
    <row r="160" spans="1:68" ht="13.2" x14ac:dyDescent="0.25">
      <c r="A160" s="4" t="str">
        <f ca="1">IFERROR(__xludf.DUMMYFUNCTION("""COMPUTED_VALUE"""),"2_ABaOnuc5NXblHS-x7ctcvuWpBS7nhqouuY2VWg859WtjopA2EhxwObUvBVlpz04MSA")</f>
        <v>2_ABaOnuc5NXblHS-x7ctcvuWpBS7nhqouuY2VWg859WtjopA2EhxwObUvBVlpz04MSA</v>
      </c>
      <c r="B160" s="5">
        <f ca="1">IFERROR(__xludf.DUMMYFUNCTION("""COMPUTED_VALUE"""),45974.6819195717)</f>
        <v>45974.681919571703</v>
      </c>
      <c r="C160" s="4" t="str">
        <f ca="1">IFERROR(__xludf.DUMMYFUNCTION("""COMPUTED_VALUE"""),"Nguyễn Hoàng Phương Anh")</f>
        <v>Nguyễn Hoàng Phương Anh</v>
      </c>
      <c r="D160" s="4" t="str">
        <f ca="1">IFERROR(__xludf.DUMMYFUNCTION("""COMPUTED_VALUE"""),"Nữ")</f>
        <v>Nữ</v>
      </c>
      <c r="E160" s="4" t="str">
        <f ca="1">IFERROR(__xludf.DUMMYFUNCTION("""COMPUTED_VALUE"""),"Công Ty Tnhh Kiểm Toán và Tư vấn A&amp;C")</f>
        <v>Công Ty Tnhh Kiểm Toán và Tư vấn A&amp;C</v>
      </c>
      <c r="F160" s="4" t="str">
        <f ca="1">IFERROR(__xludf.DUMMYFUNCTION("""COMPUTED_VALUE"""),"Đại học")</f>
        <v>Đại học</v>
      </c>
      <c r="G160" s="4" t="str">
        <f ca="1">IFERROR(__xludf.DUMMYFUNCTION("""COMPUTED_VALUE"""),"Từ 3 đến 5 năm")</f>
        <v>Từ 3 đến 5 năm</v>
      </c>
      <c r="H160" s="4" t="str">
        <f ca="1">IFERROR(__xludf.DUMMYFUNCTION("""COMPUTED_VALUE"""),"Trợ lý kiểm toán")</f>
        <v>Trợ lý kiểm toán</v>
      </c>
      <c r="I160" s="4">
        <f ca="1">IFERROR(__xludf.DUMMYFUNCTION("""COMPUTED_VALUE"""),5)</f>
        <v>5</v>
      </c>
      <c r="J160" s="4">
        <f ca="1">IFERROR(__xludf.DUMMYFUNCTION("""COMPUTED_VALUE"""),3)</f>
        <v>3</v>
      </c>
      <c r="K160" s="4">
        <f ca="1">IFERROR(__xludf.DUMMYFUNCTION("""COMPUTED_VALUE"""),5)</f>
        <v>5</v>
      </c>
      <c r="L160" s="4">
        <f ca="1">IFERROR(__xludf.DUMMYFUNCTION("""COMPUTED_VALUE"""),2)</f>
        <v>2</v>
      </c>
      <c r="M160" s="4">
        <f ca="1">IFERROR(__xludf.DUMMYFUNCTION("""COMPUTED_VALUE"""),4)</f>
        <v>4</v>
      </c>
      <c r="N160" s="4">
        <f ca="1">IFERROR(__xludf.DUMMYFUNCTION("""COMPUTED_VALUE"""),5)</f>
        <v>5</v>
      </c>
      <c r="O160" s="4">
        <f ca="1">IFERROR(__xludf.DUMMYFUNCTION("""COMPUTED_VALUE"""),3)</f>
        <v>3</v>
      </c>
      <c r="P160" s="4">
        <f ca="1">IFERROR(__xludf.DUMMYFUNCTION("""COMPUTED_VALUE"""),5)</f>
        <v>5</v>
      </c>
      <c r="Q160" s="4">
        <f ca="1">IFERROR(__xludf.DUMMYFUNCTION("""COMPUTED_VALUE"""),5)</f>
        <v>5</v>
      </c>
      <c r="R160" s="4">
        <f ca="1">IFERROR(__xludf.DUMMYFUNCTION("""COMPUTED_VALUE"""),5)</f>
        <v>5</v>
      </c>
      <c r="S160" s="4">
        <f ca="1">IFERROR(__xludf.DUMMYFUNCTION("""COMPUTED_VALUE"""),5)</f>
        <v>5</v>
      </c>
      <c r="T160" s="4">
        <f ca="1">IFERROR(__xludf.DUMMYFUNCTION("""COMPUTED_VALUE"""),5)</f>
        <v>5</v>
      </c>
      <c r="U160" s="4">
        <f ca="1">IFERROR(__xludf.DUMMYFUNCTION("""COMPUTED_VALUE"""),5)</f>
        <v>5</v>
      </c>
      <c r="V160" s="4">
        <f ca="1">IFERROR(__xludf.DUMMYFUNCTION("""COMPUTED_VALUE"""),5)</f>
        <v>5</v>
      </c>
      <c r="W160" s="4">
        <f ca="1">IFERROR(__xludf.DUMMYFUNCTION("""COMPUTED_VALUE"""),3)</f>
        <v>3</v>
      </c>
      <c r="X160" s="4">
        <f ca="1">IFERROR(__xludf.DUMMYFUNCTION("""COMPUTED_VALUE"""),2)</f>
        <v>2</v>
      </c>
      <c r="Y160" s="4">
        <f ca="1">IFERROR(__xludf.DUMMYFUNCTION("""COMPUTED_VALUE"""),5)</f>
        <v>5</v>
      </c>
      <c r="Z160" s="4">
        <f ca="1">IFERROR(__xludf.DUMMYFUNCTION("""COMPUTED_VALUE"""),5)</f>
        <v>5</v>
      </c>
      <c r="AA160" s="4">
        <f ca="1">IFERROR(__xludf.DUMMYFUNCTION("""COMPUTED_VALUE"""),5)</f>
        <v>5</v>
      </c>
      <c r="AB160" s="4">
        <f ca="1">IFERROR(__xludf.DUMMYFUNCTION("""COMPUTED_VALUE"""),5)</f>
        <v>5</v>
      </c>
      <c r="AC160" s="4">
        <f ca="1">IFERROR(__xludf.DUMMYFUNCTION("""COMPUTED_VALUE"""),5)</f>
        <v>5</v>
      </c>
      <c r="AD160" s="4">
        <f ca="1">IFERROR(__xludf.DUMMYFUNCTION("""COMPUTED_VALUE"""),5)</f>
        <v>5</v>
      </c>
      <c r="AE160" s="4">
        <f ca="1">IFERROR(__xludf.DUMMYFUNCTION("""COMPUTED_VALUE"""),5)</f>
        <v>5</v>
      </c>
      <c r="AF160" s="4">
        <f ca="1">IFERROR(__xludf.DUMMYFUNCTION("""COMPUTED_VALUE"""),5)</f>
        <v>5</v>
      </c>
      <c r="AG160" s="4">
        <f ca="1">IFERROR(__xludf.DUMMYFUNCTION("""COMPUTED_VALUE"""),5)</f>
        <v>5</v>
      </c>
      <c r="AH160" s="4">
        <f ca="1">IFERROR(__xludf.DUMMYFUNCTION("""COMPUTED_VALUE"""),5)</f>
        <v>5</v>
      </c>
      <c r="AI160" s="4">
        <f ca="1">IFERROR(__xludf.DUMMYFUNCTION("""COMPUTED_VALUE"""),5)</f>
        <v>5</v>
      </c>
      <c r="AJ160" s="4">
        <f ca="1">IFERROR(__xludf.DUMMYFUNCTION("""COMPUTED_VALUE"""),3)</f>
        <v>3</v>
      </c>
      <c r="AK160" s="4">
        <f ca="1">IFERROR(__xludf.DUMMYFUNCTION("""COMPUTED_VALUE"""),5)</f>
        <v>5</v>
      </c>
      <c r="AL160" s="4">
        <f ca="1">IFERROR(__xludf.DUMMYFUNCTION("""COMPUTED_VALUE"""),5)</f>
        <v>5</v>
      </c>
      <c r="AM160" s="4">
        <f ca="1">IFERROR(__xludf.DUMMYFUNCTION("""COMPUTED_VALUE"""),5)</f>
        <v>5</v>
      </c>
      <c r="AN160" s="4">
        <f ca="1">IFERROR(__xludf.DUMMYFUNCTION("""COMPUTED_VALUE"""),1)</f>
        <v>1</v>
      </c>
      <c r="AO160" s="4">
        <f ca="1">IFERROR(__xludf.DUMMYFUNCTION("""COMPUTED_VALUE"""),5)</f>
        <v>5</v>
      </c>
      <c r="AP160" s="4">
        <f ca="1">IFERROR(__xludf.DUMMYFUNCTION("""COMPUTED_VALUE"""),5)</f>
        <v>5</v>
      </c>
      <c r="AQ160" s="4">
        <f ca="1">IFERROR(__xludf.DUMMYFUNCTION("""COMPUTED_VALUE"""),5)</f>
        <v>5</v>
      </c>
      <c r="AR160" s="4">
        <f ca="1">IFERROR(__xludf.DUMMYFUNCTION("""COMPUTED_VALUE"""),5)</f>
        <v>5</v>
      </c>
      <c r="AS160" s="4">
        <f ca="1">IFERROR(__xludf.DUMMYFUNCTION("""COMPUTED_VALUE"""),4)</f>
        <v>4</v>
      </c>
      <c r="AT160" s="4">
        <f ca="1">IFERROR(__xludf.DUMMYFUNCTION("""COMPUTED_VALUE"""),4)</f>
        <v>4</v>
      </c>
      <c r="AU160" s="4">
        <f ca="1">IFERROR(__xludf.DUMMYFUNCTION("""COMPUTED_VALUE"""),3)</f>
        <v>3</v>
      </c>
      <c r="AV160" s="4">
        <f ca="1">IFERROR(__xludf.DUMMYFUNCTION("""COMPUTED_VALUE"""),5)</f>
        <v>5</v>
      </c>
      <c r="AW160" s="4">
        <f ca="1">IFERROR(__xludf.DUMMYFUNCTION("""COMPUTED_VALUE"""),5)</f>
        <v>5</v>
      </c>
      <c r="AX160" s="4">
        <f ca="1">IFERROR(__xludf.DUMMYFUNCTION("""COMPUTED_VALUE"""),5)</f>
        <v>5</v>
      </c>
      <c r="AY160" s="4">
        <f ca="1">IFERROR(__xludf.DUMMYFUNCTION("""COMPUTED_VALUE"""),5)</f>
        <v>5</v>
      </c>
      <c r="AZ160" s="4">
        <f ca="1">IFERROR(__xludf.DUMMYFUNCTION("""COMPUTED_VALUE"""),5)</f>
        <v>5</v>
      </c>
      <c r="BA160" s="4">
        <f ca="1">IFERROR(__xludf.DUMMYFUNCTION("""COMPUTED_VALUE"""),5)</f>
        <v>5</v>
      </c>
      <c r="BB160" s="4">
        <f ca="1">IFERROR(__xludf.DUMMYFUNCTION("""COMPUTED_VALUE"""),4)</f>
        <v>4</v>
      </c>
      <c r="BC160" s="4">
        <f ca="1">IFERROR(__xludf.DUMMYFUNCTION("""COMPUTED_VALUE"""),5)</f>
        <v>5</v>
      </c>
      <c r="BD160" s="4">
        <f ca="1">IFERROR(__xludf.DUMMYFUNCTION("""COMPUTED_VALUE"""),4)</f>
        <v>4</v>
      </c>
      <c r="BE160" s="4">
        <f ca="1">IFERROR(__xludf.DUMMYFUNCTION("""COMPUTED_VALUE"""),5)</f>
        <v>5</v>
      </c>
      <c r="BF160" s="4">
        <f ca="1">IFERROR(__xludf.DUMMYFUNCTION("""COMPUTED_VALUE"""),5)</f>
        <v>5</v>
      </c>
      <c r="BG160" s="4">
        <f ca="1">IFERROR(__xludf.DUMMYFUNCTION("""COMPUTED_VALUE"""),5)</f>
        <v>5</v>
      </c>
      <c r="BH160" s="4">
        <f ca="1">IFERROR(__xludf.DUMMYFUNCTION("""COMPUTED_VALUE"""),5)</f>
        <v>5</v>
      </c>
      <c r="BI160" s="4">
        <f ca="1">IFERROR(__xludf.DUMMYFUNCTION("""COMPUTED_VALUE"""),5)</f>
        <v>5</v>
      </c>
      <c r="BJ160" s="4">
        <f ca="1">IFERROR(__xludf.DUMMYFUNCTION("""COMPUTED_VALUE"""),5)</f>
        <v>5</v>
      </c>
      <c r="BK160" s="4">
        <f ca="1">IFERROR(__xludf.DUMMYFUNCTION("""COMPUTED_VALUE"""),5)</f>
        <v>5</v>
      </c>
      <c r="BL160" s="4">
        <f ca="1">IFERROR(__xludf.DUMMYFUNCTION("""COMPUTED_VALUE"""),5)</f>
        <v>5</v>
      </c>
      <c r="BM160" s="4">
        <f ca="1">IFERROR(__xludf.DUMMYFUNCTION("""COMPUTED_VALUE"""),5)</f>
        <v>5</v>
      </c>
      <c r="BN160" s="4">
        <f ca="1">IFERROR(__xludf.DUMMYFUNCTION("""COMPUTED_VALUE"""),5)</f>
        <v>5</v>
      </c>
      <c r="BO160" s="4">
        <f ca="1">IFERROR(__xludf.DUMMYFUNCTION("""COMPUTED_VALUE"""),5)</f>
        <v>5</v>
      </c>
      <c r="BP160" s="4">
        <f ca="1">IFERROR(__xludf.DUMMYFUNCTION("""COMPUTED_VALUE"""),5)</f>
        <v>5</v>
      </c>
    </row>
    <row r="161" spans="1:68" ht="13.2" x14ac:dyDescent="0.25">
      <c r="A161" s="4" t="str">
        <f ca="1">IFERROR(__xludf.DUMMYFUNCTION("""COMPUTED_VALUE"""),"2_ABaOnucQsjBh8AtEgxqSwEqgCeO-omrWe4aCWu6BvgE5yKyAsGtdsDWVrQBgfaloqg")</f>
        <v>2_ABaOnucQsjBh8AtEgxqSwEqgCeO-omrWe4aCWu6BvgE5yKyAsGtdsDWVrQBgfaloqg</v>
      </c>
      <c r="B161" s="5">
        <f ca="1">IFERROR(__xludf.DUMMYFUNCTION("""COMPUTED_VALUE"""),45974.6820654861)</f>
        <v>45974.6820654861</v>
      </c>
      <c r="C161" s="4" t="str">
        <f ca="1">IFERROR(__xludf.DUMMYFUNCTION("""COMPUTED_VALUE"""),"Vương Võ Thu Hà")</f>
        <v>Vương Võ Thu Hà</v>
      </c>
      <c r="D161" s="4" t="str">
        <f ca="1">IFERROR(__xludf.DUMMYFUNCTION("""COMPUTED_VALUE"""),"Nữ")</f>
        <v>Nữ</v>
      </c>
      <c r="E161" s="4" t="str">
        <f ca="1">IFERROR(__xludf.DUMMYFUNCTION("""COMPUTED_VALUE"""),"Công Ty TNHH Kiểm Toán I.T.O")</f>
        <v>Công Ty TNHH Kiểm Toán I.T.O</v>
      </c>
      <c r="F161" s="4" t="str">
        <f ca="1">IFERROR(__xludf.DUMMYFUNCTION("""COMPUTED_VALUE"""),"Đại học")</f>
        <v>Đại học</v>
      </c>
      <c r="G161" s="4" t="str">
        <f ca="1">IFERROR(__xludf.DUMMYFUNCTION("""COMPUTED_VALUE"""),"Từ 3 đến 5 năm")</f>
        <v>Từ 3 đến 5 năm</v>
      </c>
      <c r="H161" s="4" t="str">
        <f ca="1">IFERROR(__xludf.DUMMYFUNCTION("""COMPUTED_VALUE"""),"Trợ lý kiểm toán")</f>
        <v>Trợ lý kiểm toán</v>
      </c>
      <c r="I161" s="4">
        <f ca="1">IFERROR(__xludf.DUMMYFUNCTION("""COMPUTED_VALUE"""),5)</f>
        <v>5</v>
      </c>
      <c r="J161" s="4">
        <f ca="1">IFERROR(__xludf.DUMMYFUNCTION("""COMPUTED_VALUE"""),5)</f>
        <v>5</v>
      </c>
      <c r="K161" s="4">
        <f ca="1">IFERROR(__xludf.DUMMYFUNCTION("""COMPUTED_VALUE"""),5)</f>
        <v>5</v>
      </c>
      <c r="L161" s="4">
        <f ca="1">IFERROR(__xludf.DUMMYFUNCTION("""COMPUTED_VALUE"""),5)</f>
        <v>5</v>
      </c>
      <c r="M161" s="4">
        <f ca="1">IFERROR(__xludf.DUMMYFUNCTION("""COMPUTED_VALUE"""),5)</f>
        <v>5</v>
      </c>
      <c r="N161" s="4">
        <f ca="1">IFERROR(__xludf.DUMMYFUNCTION("""COMPUTED_VALUE"""),5)</f>
        <v>5</v>
      </c>
      <c r="O161" s="4">
        <f ca="1">IFERROR(__xludf.DUMMYFUNCTION("""COMPUTED_VALUE"""),5)</f>
        <v>5</v>
      </c>
      <c r="P161" s="4">
        <f ca="1">IFERROR(__xludf.DUMMYFUNCTION("""COMPUTED_VALUE"""),5)</f>
        <v>5</v>
      </c>
      <c r="Q161" s="4">
        <f ca="1">IFERROR(__xludf.DUMMYFUNCTION("""COMPUTED_VALUE"""),5)</f>
        <v>5</v>
      </c>
      <c r="R161" s="4">
        <f ca="1">IFERROR(__xludf.DUMMYFUNCTION("""COMPUTED_VALUE"""),5)</f>
        <v>5</v>
      </c>
      <c r="S161" s="4">
        <f ca="1">IFERROR(__xludf.DUMMYFUNCTION("""COMPUTED_VALUE"""),5)</f>
        <v>5</v>
      </c>
      <c r="T161" s="4">
        <f ca="1">IFERROR(__xludf.DUMMYFUNCTION("""COMPUTED_VALUE"""),5)</f>
        <v>5</v>
      </c>
      <c r="U161" s="4">
        <f ca="1">IFERROR(__xludf.DUMMYFUNCTION("""COMPUTED_VALUE"""),4)</f>
        <v>4</v>
      </c>
      <c r="V161" s="4">
        <f ca="1">IFERROR(__xludf.DUMMYFUNCTION("""COMPUTED_VALUE"""),5)</f>
        <v>5</v>
      </c>
      <c r="W161" s="4">
        <f ca="1">IFERROR(__xludf.DUMMYFUNCTION("""COMPUTED_VALUE"""),4)</f>
        <v>4</v>
      </c>
      <c r="X161" s="4">
        <f ca="1">IFERROR(__xludf.DUMMYFUNCTION("""COMPUTED_VALUE"""),4)</f>
        <v>4</v>
      </c>
      <c r="Y161" s="4">
        <f ca="1">IFERROR(__xludf.DUMMYFUNCTION("""COMPUTED_VALUE"""),5)</f>
        <v>5</v>
      </c>
      <c r="Z161" s="4">
        <f ca="1">IFERROR(__xludf.DUMMYFUNCTION("""COMPUTED_VALUE"""),5)</f>
        <v>5</v>
      </c>
      <c r="AA161" s="4">
        <f ca="1">IFERROR(__xludf.DUMMYFUNCTION("""COMPUTED_VALUE"""),4)</f>
        <v>4</v>
      </c>
      <c r="AB161" s="4">
        <f ca="1">IFERROR(__xludf.DUMMYFUNCTION("""COMPUTED_VALUE"""),4)</f>
        <v>4</v>
      </c>
      <c r="AC161" s="4">
        <f ca="1">IFERROR(__xludf.DUMMYFUNCTION("""COMPUTED_VALUE"""),4)</f>
        <v>4</v>
      </c>
      <c r="AD161" s="4">
        <f ca="1">IFERROR(__xludf.DUMMYFUNCTION("""COMPUTED_VALUE"""),4)</f>
        <v>4</v>
      </c>
      <c r="AE161" s="4">
        <f ca="1">IFERROR(__xludf.DUMMYFUNCTION("""COMPUTED_VALUE"""),5)</f>
        <v>5</v>
      </c>
      <c r="AF161" s="4">
        <f ca="1">IFERROR(__xludf.DUMMYFUNCTION("""COMPUTED_VALUE"""),5)</f>
        <v>5</v>
      </c>
      <c r="AG161" s="4">
        <f ca="1">IFERROR(__xludf.DUMMYFUNCTION("""COMPUTED_VALUE"""),5)</f>
        <v>5</v>
      </c>
      <c r="AH161" s="4">
        <f ca="1">IFERROR(__xludf.DUMMYFUNCTION("""COMPUTED_VALUE"""),5)</f>
        <v>5</v>
      </c>
      <c r="AI161" s="4">
        <f ca="1">IFERROR(__xludf.DUMMYFUNCTION("""COMPUTED_VALUE"""),5)</f>
        <v>5</v>
      </c>
      <c r="AJ161" s="4">
        <f ca="1">IFERROR(__xludf.DUMMYFUNCTION("""COMPUTED_VALUE"""),5)</f>
        <v>5</v>
      </c>
      <c r="AK161" s="4">
        <f ca="1">IFERROR(__xludf.DUMMYFUNCTION("""COMPUTED_VALUE"""),5)</f>
        <v>5</v>
      </c>
      <c r="AL161" s="4">
        <f ca="1">IFERROR(__xludf.DUMMYFUNCTION("""COMPUTED_VALUE"""),5)</f>
        <v>5</v>
      </c>
      <c r="AM161" s="4">
        <f ca="1">IFERROR(__xludf.DUMMYFUNCTION("""COMPUTED_VALUE"""),5)</f>
        <v>5</v>
      </c>
      <c r="AN161" s="4">
        <f ca="1">IFERROR(__xludf.DUMMYFUNCTION("""COMPUTED_VALUE"""),5)</f>
        <v>5</v>
      </c>
      <c r="AO161" s="4">
        <f ca="1">IFERROR(__xludf.DUMMYFUNCTION("""COMPUTED_VALUE"""),5)</f>
        <v>5</v>
      </c>
      <c r="AP161" s="4">
        <f ca="1">IFERROR(__xludf.DUMMYFUNCTION("""COMPUTED_VALUE"""),4)</f>
        <v>4</v>
      </c>
      <c r="AQ161" s="4">
        <f ca="1">IFERROR(__xludf.DUMMYFUNCTION("""COMPUTED_VALUE"""),4)</f>
        <v>4</v>
      </c>
      <c r="AR161" s="4">
        <f ca="1">IFERROR(__xludf.DUMMYFUNCTION("""COMPUTED_VALUE"""),5)</f>
        <v>5</v>
      </c>
      <c r="AS161" s="4">
        <f ca="1">IFERROR(__xludf.DUMMYFUNCTION("""COMPUTED_VALUE"""),5)</f>
        <v>5</v>
      </c>
      <c r="AT161" s="4">
        <f ca="1">IFERROR(__xludf.DUMMYFUNCTION("""COMPUTED_VALUE"""),5)</f>
        <v>5</v>
      </c>
      <c r="AU161" s="4">
        <f ca="1">IFERROR(__xludf.DUMMYFUNCTION("""COMPUTED_VALUE"""),4)</f>
        <v>4</v>
      </c>
      <c r="AV161" s="4">
        <f ca="1">IFERROR(__xludf.DUMMYFUNCTION("""COMPUTED_VALUE"""),4)</f>
        <v>4</v>
      </c>
      <c r="AW161" s="4">
        <f ca="1">IFERROR(__xludf.DUMMYFUNCTION("""COMPUTED_VALUE"""),5)</f>
        <v>5</v>
      </c>
      <c r="AX161" s="4">
        <f ca="1">IFERROR(__xludf.DUMMYFUNCTION("""COMPUTED_VALUE"""),5)</f>
        <v>5</v>
      </c>
      <c r="AY161" s="4">
        <f ca="1">IFERROR(__xludf.DUMMYFUNCTION("""COMPUTED_VALUE"""),5)</f>
        <v>5</v>
      </c>
      <c r="AZ161" s="4">
        <f ca="1">IFERROR(__xludf.DUMMYFUNCTION("""COMPUTED_VALUE"""),5)</f>
        <v>5</v>
      </c>
      <c r="BA161" s="4">
        <f ca="1">IFERROR(__xludf.DUMMYFUNCTION("""COMPUTED_VALUE"""),5)</f>
        <v>5</v>
      </c>
      <c r="BB161" s="4">
        <f ca="1">IFERROR(__xludf.DUMMYFUNCTION("""COMPUTED_VALUE"""),5)</f>
        <v>5</v>
      </c>
      <c r="BC161" s="4">
        <f ca="1">IFERROR(__xludf.DUMMYFUNCTION("""COMPUTED_VALUE"""),5)</f>
        <v>5</v>
      </c>
      <c r="BD161" s="4">
        <f ca="1">IFERROR(__xludf.DUMMYFUNCTION("""COMPUTED_VALUE"""),5)</f>
        <v>5</v>
      </c>
      <c r="BE161" s="4">
        <f ca="1">IFERROR(__xludf.DUMMYFUNCTION("""COMPUTED_VALUE"""),5)</f>
        <v>5</v>
      </c>
      <c r="BF161" s="4">
        <f ca="1">IFERROR(__xludf.DUMMYFUNCTION("""COMPUTED_VALUE"""),5)</f>
        <v>5</v>
      </c>
      <c r="BG161" s="4">
        <f ca="1">IFERROR(__xludf.DUMMYFUNCTION("""COMPUTED_VALUE"""),5)</f>
        <v>5</v>
      </c>
      <c r="BH161" s="4">
        <f ca="1">IFERROR(__xludf.DUMMYFUNCTION("""COMPUTED_VALUE"""),5)</f>
        <v>5</v>
      </c>
      <c r="BI161" s="4">
        <f ca="1">IFERROR(__xludf.DUMMYFUNCTION("""COMPUTED_VALUE"""),5)</f>
        <v>5</v>
      </c>
      <c r="BJ161" s="4">
        <f ca="1">IFERROR(__xludf.DUMMYFUNCTION("""COMPUTED_VALUE"""),5)</f>
        <v>5</v>
      </c>
      <c r="BK161" s="4">
        <f ca="1">IFERROR(__xludf.DUMMYFUNCTION("""COMPUTED_VALUE"""),5)</f>
        <v>5</v>
      </c>
      <c r="BL161" s="4">
        <f ca="1">IFERROR(__xludf.DUMMYFUNCTION("""COMPUTED_VALUE"""),5)</f>
        <v>5</v>
      </c>
      <c r="BM161" s="4">
        <f ca="1">IFERROR(__xludf.DUMMYFUNCTION("""COMPUTED_VALUE"""),5)</f>
        <v>5</v>
      </c>
      <c r="BN161" s="4">
        <f ca="1">IFERROR(__xludf.DUMMYFUNCTION("""COMPUTED_VALUE"""),5)</f>
        <v>5</v>
      </c>
      <c r="BO161" s="4">
        <f ca="1">IFERROR(__xludf.DUMMYFUNCTION("""COMPUTED_VALUE"""),5)</f>
        <v>5</v>
      </c>
      <c r="BP161" s="4">
        <f ca="1">IFERROR(__xludf.DUMMYFUNCTION("""COMPUTED_VALUE"""),5)</f>
        <v>5</v>
      </c>
    </row>
    <row r="162" spans="1:68" ht="13.2" x14ac:dyDescent="0.25">
      <c r="A162" s="4" t="str">
        <f ca="1">IFERROR(__xludf.DUMMYFUNCTION("""COMPUTED_VALUE"""),"2_ABaOnueglxXdlr6dipsAHl9L1ft9orzN-BSJ1JHwYwidjdyTJHBhUUJUmUm5h4207g")</f>
        <v>2_ABaOnueglxXdlr6dipsAHl9L1ft9orzN-BSJ1JHwYwidjdyTJHBhUUJUmUm5h4207g</v>
      </c>
      <c r="B162" s="5">
        <f ca="1">IFERROR(__xludf.DUMMYFUNCTION("""COMPUTED_VALUE"""),45974.6841385185)</f>
        <v>45974.684138518503</v>
      </c>
      <c r="C162" s="4" t="str">
        <f ca="1">IFERROR(__xludf.DUMMYFUNCTION("""COMPUTED_VALUE"""),"LÊ THỊ MỸ LINH")</f>
        <v>LÊ THỊ MỸ LINH</v>
      </c>
      <c r="D162" s="4" t="str">
        <f ca="1">IFERROR(__xludf.DUMMYFUNCTION("""COMPUTED_VALUE"""),"Nữ")</f>
        <v>Nữ</v>
      </c>
      <c r="E162" s="4" t="str">
        <f ca="1">IFERROR(__xludf.DUMMYFUNCTION("""COMPUTED_VALUE"""),"CÔNG TY TNHH KIỂM TOÁN I.T.O")</f>
        <v>CÔNG TY TNHH KIỂM TOÁN I.T.O</v>
      </c>
      <c r="F162" s="4" t="str">
        <f ca="1">IFERROR(__xludf.DUMMYFUNCTION("""COMPUTED_VALUE"""),"Đại học, Chứng chỉ Kiểm toán viên")</f>
        <v>Đại học, Chứng chỉ Kiểm toán viên</v>
      </c>
      <c r="G162" s="4" t="str">
        <f ca="1">IFERROR(__xludf.DUMMYFUNCTION("""COMPUTED_VALUE"""),"Trên 15 đến 20 năm")</f>
        <v>Trên 15 đến 20 năm</v>
      </c>
      <c r="H162" s="4" t="str">
        <f ca="1">IFERROR(__xludf.DUMMYFUNCTION("""COMPUTED_VALUE"""),"Trưởng phòng")</f>
        <v>Trưởng phòng</v>
      </c>
      <c r="I162" s="4">
        <f ca="1">IFERROR(__xludf.DUMMYFUNCTION("""COMPUTED_VALUE"""),5)</f>
        <v>5</v>
      </c>
      <c r="J162" s="4">
        <f ca="1">IFERROR(__xludf.DUMMYFUNCTION("""COMPUTED_VALUE"""),5)</f>
        <v>5</v>
      </c>
      <c r="K162" s="4">
        <f ca="1">IFERROR(__xludf.DUMMYFUNCTION("""COMPUTED_VALUE"""),5)</f>
        <v>5</v>
      </c>
      <c r="L162" s="4">
        <f ca="1">IFERROR(__xludf.DUMMYFUNCTION("""COMPUTED_VALUE"""),5)</f>
        <v>5</v>
      </c>
      <c r="M162" s="4">
        <f ca="1">IFERROR(__xludf.DUMMYFUNCTION("""COMPUTED_VALUE"""),5)</f>
        <v>5</v>
      </c>
      <c r="N162" s="4">
        <f ca="1">IFERROR(__xludf.DUMMYFUNCTION("""COMPUTED_VALUE"""),4)</f>
        <v>4</v>
      </c>
      <c r="O162" s="4">
        <f ca="1">IFERROR(__xludf.DUMMYFUNCTION("""COMPUTED_VALUE"""),4)</f>
        <v>4</v>
      </c>
      <c r="P162" s="4">
        <f ca="1">IFERROR(__xludf.DUMMYFUNCTION("""COMPUTED_VALUE"""),5)</f>
        <v>5</v>
      </c>
      <c r="Q162" s="4">
        <f ca="1">IFERROR(__xludf.DUMMYFUNCTION("""COMPUTED_VALUE"""),5)</f>
        <v>5</v>
      </c>
      <c r="R162" s="4">
        <f ca="1">IFERROR(__xludf.DUMMYFUNCTION("""COMPUTED_VALUE"""),5)</f>
        <v>5</v>
      </c>
      <c r="S162" s="4">
        <f ca="1">IFERROR(__xludf.DUMMYFUNCTION("""COMPUTED_VALUE"""),5)</f>
        <v>5</v>
      </c>
      <c r="T162" s="4">
        <f ca="1">IFERROR(__xludf.DUMMYFUNCTION("""COMPUTED_VALUE"""),5)</f>
        <v>5</v>
      </c>
      <c r="U162" s="4">
        <f ca="1">IFERROR(__xludf.DUMMYFUNCTION("""COMPUTED_VALUE"""),5)</f>
        <v>5</v>
      </c>
      <c r="V162" s="4">
        <f ca="1">IFERROR(__xludf.DUMMYFUNCTION("""COMPUTED_VALUE"""),5)</f>
        <v>5</v>
      </c>
      <c r="W162" s="4">
        <f ca="1">IFERROR(__xludf.DUMMYFUNCTION("""COMPUTED_VALUE"""),4)</f>
        <v>4</v>
      </c>
      <c r="X162" s="4">
        <f ca="1">IFERROR(__xludf.DUMMYFUNCTION("""COMPUTED_VALUE"""),4)</f>
        <v>4</v>
      </c>
      <c r="Y162" s="4">
        <f ca="1">IFERROR(__xludf.DUMMYFUNCTION("""COMPUTED_VALUE"""),4)</f>
        <v>4</v>
      </c>
      <c r="Z162" s="4">
        <f ca="1">IFERROR(__xludf.DUMMYFUNCTION("""COMPUTED_VALUE"""),3)</f>
        <v>3</v>
      </c>
      <c r="AA162" s="4">
        <f ca="1">IFERROR(__xludf.DUMMYFUNCTION("""COMPUTED_VALUE"""),4)</f>
        <v>4</v>
      </c>
      <c r="AB162" s="4">
        <f ca="1">IFERROR(__xludf.DUMMYFUNCTION("""COMPUTED_VALUE"""),3)</f>
        <v>3</v>
      </c>
      <c r="AC162" s="4">
        <f ca="1">IFERROR(__xludf.DUMMYFUNCTION("""COMPUTED_VALUE"""),3)</f>
        <v>3</v>
      </c>
      <c r="AD162" s="4">
        <f ca="1">IFERROR(__xludf.DUMMYFUNCTION("""COMPUTED_VALUE"""),3)</f>
        <v>3</v>
      </c>
      <c r="AE162" s="4">
        <f ca="1">IFERROR(__xludf.DUMMYFUNCTION("""COMPUTED_VALUE"""),4)</f>
        <v>4</v>
      </c>
      <c r="AF162" s="4">
        <f ca="1">IFERROR(__xludf.DUMMYFUNCTION("""COMPUTED_VALUE"""),4)</f>
        <v>4</v>
      </c>
      <c r="AG162" s="4">
        <f ca="1">IFERROR(__xludf.DUMMYFUNCTION("""COMPUTED_VALUE"""),4)</f>
        <v>4</v>
      </c>
      <c r="AH162" s="4">
        <f ca="1">IFERROR(__xludf.DUMMYFUNCTION("""COMPUTED_VALUE"""),4)</f>
        <v>4</v>
      </c>
      <c r="AI162" s="4">
        <f ca="1">IFERROR(__xludf.DUMMYFUNCTION("""COMPUTED_VALUE"""),4)</f>
        <v>4</v>
      </c>
      <c r="AJ162" s="4">
        <f ca="1">IFERROR(__xludf.DUMMYFUNCTION("""COMPUTED_VALUE"""),4)</f>
        <v>4</v>
      </c>
      <c r="AK162" s="4">
        <f ca="1">IFERROR(__xludf.DUMMYFUNCTION("""COMPUTED_VALUE"""),5)</f>
        <v>5</v>
      </c>
      <c r="AL162" s="4">
        <f ca="1">IFERROR(__xludf.DUMMYFUNCTION("""COMPUTED_VALUE"""),5)</f>
        <v>5</v>
      </c>
      <c r="AM162" s="4">
        <f ca="1">IFERROR(__xludf.DUMMYFUNCTION("""COMPUTED_VALUE"""),4)</f>
        <v>4</v>
      </c>
      <c r="AN162" s="4">
        <f ca="1">IFERROR(__xludf.DUMMYFUNCTION("""COMPUTED_VALUE"""),5)</f>
        <v>5</v>
      </c>
      <c r="AO162" s="4">
        <f ca="1">IFERROR(__xludf.DUMMYFUNCTION("""COMPUTED_VALUE"""),4)</f>
        <v>4</v>
      </c>
      <c r="AP162" s="4">
        <f ca="1">IFERROR(__xludf.DUMMYFUNCTION("""COMPUTED_VALUE"""),4)</f>
        <v>4</v>
      </c>
      <c r="AQ162" s="4">
        <f ca="1">IFERROR(__xludf.DUMMYFUNCTION("""COMPUTED_VALUE"""),4)</f>
        <v>4</v>
      </c>
      <c r="AR162" s="4">
        <f ca="1">IFERROR(__xludf.DUMMYFUNCTION("""COMPUTED_VALUE"""),4)</f>
        <v>4</v>
      </c>
      <c r="AS162" s="4">
        <f ca="1">IFERROR(__xludf.DUMMYFUNCTION("""COMPUTED_VALUE"""),4)</f>
        <v>4</v>
      </c>
      <c r="AT162" s="4">
        <f ca="1">IFERROR(__xludf.DUMMYFUNCTION("""COMPUTED_VALUE"""),3)</f>
        <v>3</v>
      </c>
      <c r="AU162" s="4">
        <f ca="1">IFERROR(__xludf.DUMMYFUNCTION("""COMPUTED_VALUE"""),4)</f>
        <v>4</v>
      </c>
      <c r="AV162" s="4">
        <f ca="1">IFERROR(__xludf.DUMMYFUNCTION("""COMPUTED_VALUE"""),4)</f>
        <v>4</v>
      </c>
      <c r="AW162" s="4">
        <f ca="1">IFERROR(__xludf.DUMMYFUNCTION("""COMPUTED_VALUE"""),4)</f>
        <v>4</v>
      </c>
      <c r="AX162" s="4">
        <f ca="1">IFERROR(__xludf.DUMMYFUNCTION("""COMPUTED_VALUE"""),5)</f>
        <v>5</v>
      </c>
      <c r="AY162" s="4">
        <f ca="1">IFERROR(__xludf.DUMMYFUNCTION("""COMPUTED_VALUE"""),5)</f>
        <v>5</v>
      </c>
      <c r="AZ162" s="4">
        <f ca="1">IFERROR(__xludf.DUMMYFUNCTION("""COMPUTED_VALUE"""),5)</f>
        <v>5</v>
      </c>
      <c r="BA162" s="4">
        <f ca="1">IFERROR(__xludf.DUMMYFUNCTION("""COMPUTED_VALUE"""),5)</f>
        <v>5</v>
      </c>
      <c r="BB162" s="4">
        <f ca="1">IFERROR(__xludf.DUMMYFUNCTION("""COMPUTED_VALUE"""),3)</f>
        <v>3</v>
      </c>
      <c r="BC162" s="4">
        <f ca="1">IFERROR(__xludf.DUMMYFUNCTION("""COMPUTED_VALUE"""),3)</f>
        <v>3</v>
      </c>
      <c r="BD162" s="4">
        <f ca="1">IFERROR(__xludf.DUMMYFUNCTION("""COMPUTED_VALUE"""),3)</f>
        <v>3</v>
      </c>
      <c r="BE162" s="4">
        <f ca="1">IFERROR(__xludf.DUMMYFUNCTION("""COMPUTED_VALUE"""),3)</f>
        <v>3</v>
      </c>
      <c r="BF162" s="4">
        <f ca="1">IFERROR(__xludf.DUMMYFUNCTION("""COMPUTED_VALUE"""),3)</f>
        <v>3</v>
      </c>
      <c r="BG162" s="4">
        <f ca="1">IFERROR(__xludf.DUMMYFUNCTION("""COMPUTED_VALUE"""),3)</f>
        <v>3</v>
      </c>
      <c r="BH162" s="4">
        <f ca="1">IFERROR(__xludf.DUMMYFUNCTION("""COMPUTED_VALUE"""),5)</f>
        <v>5</v>
      </c>
      <c r="BI162" s="4">
        <f ca="1">IFERROR(__xludf.DUMMYFUNCTION("""COMPUTED_VALUE"""),5)</f>
        <v>5</v>
      </c>
      <c r="BJ162" s="4">
        <f ca="1">IFERROR(__xludf.DUMMYFUNCTION("""COMPUTED_VALUE"""),5)</f>
        <v>5</v>
      </c>
      <c r="BK162" s="4">
        <f ca="1">IFERROR(__xludf.DUMMYFUNCTION("""COMPUTED_VALUE"""),5)</f>
        <v>5</v>
      </c>
      <c r="BL162" s="4">
        <f ca="1">IFERROR(__xludf.DUMMYFUNCTION("""COMPUTED_VALUE"""),5)</f>
        <v>5</v>
      </c>
      <c r="BM162" s="4">
        <f ca="1">IFERROR(__xludf.DUMMYFUNCTION("""COMPUTED_VALUE"""),5)</f>
        <v>5</v>
      </c>
      <c r="BN162" s="4">
        <f ca="1">IFERROR(__xludf.DUMMYFUNCTION("""COMPUTED_VALUE"""),5)</f>
        <v>5</v>
      </c>
      <c r="BO162" s="4">
        <f ca="1">IFERROR(__xludf.DUMMYFUNCTION("""COMPUTED_VALUE"""),5)</f>
        <v>5</v>
      </c>
      <c r="BP162" s="4">
        <f ca="1">IFERROR(__xludf.DUMMYFUNCTION("""COMPUTED_VALUE"""),4)</f>
        <v>4</v>
      </c>
    </row>
    <row r="163" spans="1:68" ht="13.2" x14ac:dyDescent="0.25">
      <c r="A163" s="4" t="str">
        <f ca="1">IFERROR(__xludf.DUMMYFUNCTION("""COMPUTED_VALUE"""),"2_ABaOnudkR8tcc2hu7euSFiuTrCZWvGURYXFCzSsRg5LBgG_cxMxl3P23WdTmxOE4Gw")</f>
        <v>2_ABaOnudkR8tcc2hu7euSFiuTrCZWvGURYXFCzSsRg5LBgG_cxMxl3P23WdTmxOE4Gw</v>
      </c>
      <c r="B163" s="5">
        <f ca="1">IFERROR(__xludf.DUMMYFUNCTION("""COMPUTED_VALUE"""),45974.6844563425)</f>
        <v>45974.684456342497</v>
      </c>
      <c r="C163" s="4"/>
      <c r="D163" s="4" t="str">
        <f ca="1">IFERROR(__xludf.DUMMYFUNCTION("""COMPUTED_VALUE"""),"Nữ")</f>
        <v>Nữ</v>
      </c>
      <c r="E163" s="4" t="str">
        <f ca="1">IFERROR(__xludf.DUMMYFUNCTION("""COMPUTED_VALUE"""),"VIETVALUES")</f>
        <v>VIETVALUES</v>
      </c>
      <c r="F163" s="4" t="str">
        <f ca="1">IFERROR(__xludf.DUMMYFUNCTION("""COMPUTED_VALUE"""),"Đại học")</f>
        <v>Đại học</v>
      </c>
      <c r="G163" s="4" t="str">
        <f ca="1">IFERROR(__xludf.DUMMYFUNCTION("""COMPUTED_VALUE"""),"Trên 10 đến 15 năm")</f>
        <v>Trên 10 đến 15 năm</v>
      </c>
      <c r="H163" s="4" t="str">
        <f ca="1">IFERROR(__xludf.DUMMYFUNCTION("""COMPUTED_VALUE"""),"Kiểm toán viên/Trưởng nhóm")</f>
        <v>Kiểm toán viên/Trưởng nhóm</v>
      </c>
      <c r="I163" s="4">
        <f ca="1">IFERROR(__xludf.DUMMYFUNCTION("""COMPUTED_VALUE"""),5)</f>
        <v>5</v>
      </c>
      <c r="J163" s="4">
        <f ca="1">IFERROR(__xludf.DUMMYFUNCTION("""COMPUTED_VALUE"""),5)</f>
        <v>5</v>
      </c>
      <c r="K163" s="4">
        <f ca="1">IFERROR(__xludf.DUMMYFUNCTION("""COMPUTED_VALUE"""),5)</f>
        <v>5</v>
      </c>
      <c r="L163" s="4">
        <f ca="1">IFERROR(__xludf.DUMMYFUNCTION("""COMPUTED_VALUE"""),5)</f>
        <v>5</v>
      </c>
      <c r="M163" s="4">
        <f ca="1">IFERROR(__xludf.DUMMYFUNCTION("""COMPUTED_VALUE"""),5)</f>
        <v>5</v>
      </c>
      <c r="N163" s="4">
        <f ca="1">IFERROR(__xludf.DUMMYFUNCTION("""COMPUTED_VALUE"""),5)</f>
        <v>5</v>
      </c>
      <c r="O163" s="4">
        <f ca="1">IFERROR(__xludf.DUMMYFUNCTION("""COMPUTED_VALUE"""),5)</f>
        <v>5</v>
      </c>
      <c r="P163" s="4">
        <f ca="1">IFERROR(__xludf.DUMMYFUNCTION("""COMPUTED_VALUE"""),5)</f>
        <v>5</v>
      </c>
      <c r="Q163" s="4">
        <f ca="1">IFERROR(__xludf.DUMMYFUNCTION("""COMPUTED_VALUE"""),5)</f>
        <v>5</v>
      </c>
      <c r="R163" s="4">
        <f ca="1">IFERROR(__xludf.DUMMYFUNCTION("""COMPUTED_VALUE"""),5)</f>
        <v>5</v>
      </c>
      <c r="S163" s="4">
        <f ca="1">IFERROR(__xludf.DUMMYFUNCTION("""COMPUTED_VALUE"""),5)</f>
        <v>5</v>
      </c>
      <c r="T163" s="4">
        <f ca="1">IFERROR(__xludf.DUMMYFUNCTION("""COMPUTED_VALUE"""),5)</f>
        <v>5</v>
      </c>
      <c r="U163" s="4">
        <f ca="1">IFERROR(__xludf.DUMMYFUNCTION("""COMPUTED_VALUE"""),5)</f>
        <v>5</v>
      </c>
      <c r="V163" s="4">
        <f ca="1">IFERROR(__xludf.DUMMYFUNCTION("""COMPUTED_VALUE"""),5)</f>
        <v>5</v>
      </c>
      <c r="W163" s="4">
        <f ca="1">IFERROR(__xludf.DUMMYFUNCTION("""COMPUTED_VALUE"""),5)</f>
        <v>5</v>
      </c>
      <c r="X163" s="4">
        <f ca="1">IFERROR(__xludf.DUMMYFUNCTION("""COMPUTED_VALUE"""),5)</f>
        <v>5</v>
      </c>
      <c r="Y163" s="4">
        <f ca="1">IFERROR(__xludf.DUMMYFUNCTION("""COMPUTED_VALUE"""),5)</f>
        <v>5</v>
      </c>
      <c r="Z163" s="4">
        <f ca="1">IFERROR(__xludf.DUMMYFUNCTION("""COMPUTED_VALUE"""),5)</f>
        <v>5</v>
      </c>
      <c r="AA163" s="4">
        <f ca="1">IFERROR(__xludf.DUMMYFUNCTION("""COMPUTED_VALUE"""),5)</f>
        <v>5</v>
      </c>
      <c r="AB163" s="4">
        <f ca="1">IFERROR(__xludf.DUMMYFUNCTION("""COMPUTED_VALUE"""),5)</f>
        <v>5</v>
      </c>
      <c r="AC163" s="4">
        <f ca="1">IFERROR(__xludf.DUMMYFUNCTION("""COMPUTED_VALUE"""),5)</f>
        <v>5</v>
      </c>
      <c r="AD163" s="4">
        <f ca="1">IFERROR(__xludf.DUMMYFUNCTION("""COMPUTED_VALUE"""),5)</f>
        <v>5</v>
      </c>
      <c r="AE163" s="4">
        <f ca="1">IFERROR(__xludf.DUMMYFUNCTION("""COMPUTED_VALUE"""),5)</f>
        <v>5</v>
      </c>
      <c r="AF163" s="4">
        <f ca="1">IFERROR(__xludf.DUMMYFUNCTION("""COMPUTED_VALUE"""),5)</f>
        <v>5</v>
      </c>
      <c r="AG163" s="4">
        <f ca="1">IFERROR(__xludf.DUMMYFUNCTION("""COMPUTED_VALUE"""),5)</f>
        <v>5</v>
      </c>
      <c r="AH163" s="4">
        <f ca="1">IFERROR(__xludf.DUMMYFUNCTION("""COMPUTED_VALUE"""),5)</f>
        <v>5</v>
      </c>
      <c r="AI163" s="4">
        <f ca="1">IFERROR(__xludf.DUMMYFUNCTION("""COMPUTED_VALUE"""),5)</f>
        <v>5</v>
      </c>
      <c r="AJ163" s="4">
        <f ca="1">IFERROR(__xludf.DUMMYFUNCTION("""COMPUTED_VALUE"""),5)</f>
        <v>5</v>
      </c>
      <c r="AK163" s="4">
        <f ca="1">IFERROR(__xludf.DUMMYFUNCTION("""COMPUTED_VALUE"""),5)</f>
        <v>5</v>
      </c>
      <c r="AL163" s="4">
        <f ca="1">IFERROR(__xludf.DUMMYFUNCTION("""COMPUTED_VALUE"""),5)</f>
        <v>5</v>
      </c>
      <c r="AM163" s="4">
        <f ca="1">IFERROR(__xludf.DUMMYFUNCTION("""COMPUTED_VALUE"""),5)</f>
        <v>5</v>
      </c>
      <c r="AN163" s="4">
        <f ca="1">IFERROR(__xludf.DUMMYFUNCTION("""COMPUTED_VALUE"""),5)</f>
        <v>5</v>
      </c>
      <c r="AO163" s="4">
        <f ca="1">IFERROR(__xludf.DUMMYFUNCTION("""COMPUTED_VALUE"""),5)</f>
        <v>5</v>
      </c>
      <c r="AP163" s="4">
        <f ca="1">IFERROR(__xludf.DUMMYFUNCTION("""COMPUTED_VALUE"""),5)</f>
        <v>5</v>
      </c>
      <c r="AQ163" s="4">
        <f ca="1">IFERROR(__xludf.DUMMYFUNCTION("""COMPUTED_VALUE"""),5)</f>
        <v>5</v>
      </c>
      <c r="AR163" s="4">
        <f ca="1">IFERROR(__xludf.DUMMYFUNCTION("""COMPUTED_VALUE"""),5)</f>
        <v>5</v>
      </c>
      <c r="AS163" s="4">
        <f ca="1">IFERROR(__xludf.DUMMYFUNCTION("""COMPUTED_VALUE"""),5)</f>
        <v>5</v>
      </c>
      <c r="AT163" s="4">
        <f ca="1">IFERROR(__xludf.DUMMYFUNCTION("""COMPUTED_VALUE"""),5)</f>
        <v>5</v>
      </c>
      <c r="AU163" s="4">
        <f ca="1">IFERROR(__xludf.DUMMYFUNCTION("""COMPUTED_VALUE"""),5)</f>
        <v>5</v>
      </c>
      <c r="AV163" s="4">
        <f ca="1">IFERROR(__xludf.DUMMYFUNCTION("""COMPUTED_VALUE"""),5)</f>
        <v>5</v>
      </c>
      <c r="AW163" s="4">
        <f ca="1">IFERROR(__xludf.DUMMYFUNCTION("""COMPUTED_VALUE"""),5)</f>
        <v>5</v>
      </c>
      <c r="AX163" s="4">
        <f ca="1">IFERROR(__xludf.DUMMYFUNCTION("""COMPUTED_VALUE"""),5)</f>
        <v>5</v>
      </c>
      <c r="AY163" s="4">
        <f ca="1">IFERROR(__xludf.DUMMYFUNCTION("""COMPUTED_VALUE"""),5)</f>
        <v>5</v>
      </c>
      <c r="AZ163" s="4">
        <f ca="1">IFERROR(__xludf.DUMMYFUNCTION("""COMPUTED_VALUE"""),5)</f>
        <v>5</v>
      </c>
      <c r="BA163" s="4">
        <f ca="1">IFERROR(__xludf.DUMMYFUNCTION("""COMPUTED_VALUE"""),5)</f>
        <v>5</v>
      </c>
      <c r="BB163" s="4">
        <f ca="1">IFERROR(__xludf.DUMMYFUNCTION("""COMPUTED_VALUE"""),5)</f>
        <v>5</v>
      </c>
      <c r="BC163" s="4">
        <f ca="1">IFERROR(__xludf.DUMMYFUNCTION("""COMPUTED_VALUE"""),5)</f>
        <v>5</v>
      </c>
      <c r="BD163" s="4">
        <f ca="1">IFERROR(__xludf.DUMMYFUNCTION("""COMPUTED_VALUE"""),5)</f>
        <v>5</v>
      </c>
      <c r="BE163" s="4">
        <f ca="1">IFERROR(__xludf.DUMMYFUNCTION("""COMPUTED_VALUE"""),5)</f>
        <v>5</v>
      </c>
      <c r="BF163" s="4">
        <f ca="1">IFERROR(__xludf.DUMMYFUNCTION("""COMPUTED_VALUE"""),5)</f>
        <v>5</v>
      </c>
      <c r="BG163" s="4">
        <f ca="1">IFERROR(__xludf.DUMMYFUNCTION("""COMPUTED_VALUE"""),5)</f>
        <v>5</v>
      </c>
      <c r="BH163" s="4">
        <f ca="1">IFERROR(__xludf.DUMMYFUNCTION("""COMPUTED_VALUE"""),5)</f>
        <v>5</v>
      </c>
      <c r="BI163" s="4">
        <f ca="1">IFERROR(__xludf.DUMMYFUNCTION("""COMPUTED_VALUE"""),5)</f>
        <v>5</v>
      </c>
      <c r="BJ163" s="4">
        <f ca="1">IFERROR(__xludf.DUMMYFUNCTION("""COMPUTED_VALUE"""),5)</f>
        <v>5</v>
      </c>
      <c r="BK163" s="4">
        <f ca="1">IFERROR(__xludf.DUMMYFUNCTION("""COMPUTED_VALUE"""),5)</f>
        <v>5</v>
      </c>
      <c r="BL163" s="4">
        <f ca="1">IFERROR(__xludf.DUMMYFUNCTION("""COMPUTED_VALUE"""),5)</f>
        <v>5</v>
      </c>
      <c r="BM163" s="4">
        <f ca="1">IFERROR(__xludf.DUMMYFUNCTION("""COMPUTED_VALUE"""),5)</f>
        <v>5</v>
      </c>
      <c r="BN163" s="4">
        <f ca="1">IFERROR(__xludf.DUMMYFUNCTION("""COMPUTED_VALUE"""),5)</f>
        <v>5</v>
      </c>
      <c r="BO163" s="4">
        <f ca="1">IFERROR(__xludf.DUMMYFUNCTION("""COMPUTED_VALUE"""),5)</f>
        <v>5</v>
      </c>
      <c r="BP163" s="4">
        <f ca="1">IFERROR(__xludf.DUMMYFUNCTION("""COMPUTED_VALUE"""),5)</f>
        <v>5</v>
      </c>
    </row>
    <row r="164" spans="1:68" ht="13.2" x14ac:dyDescent="0.25">
      <c r="A164" s="4" t="str">
        <f ca="1">IFERROR(__xludf.DUMMYFUNCTION("""COMPUTED_VALUE"""),"2_ABaOnudO8cs_kB7XjY9fOSozilZqVN5hPRZQ7mGTJHMLe7-B-OWd0JsHtV1GpyKE_g")</f>
        <v>2_ABaOnudO8cs_kB7XjY9fOSozilZqVN5hPRZQ7mGTJHMLe7-B-OWd0JsHtV1GpyKE_g</v>
      </c>
      <c r="B164" s="5">
        <f ca="1">IFERROR(__xludf.DUMMYFUNCTION("""COMPUTED_VALUE"""),45974.7530737615)</f>
        <v>45974.753073761502</v>
      </c>
      <c r="C164" s="4" t="str">
        <f ca="1">IFERROR(__xludf.DUMMYFUNCTION("""COMPUTED_VALUE"""),"Đặng Nguyễn Anh Đào")</f>
        <v>Đặng Nguyễn Anh Đào</v>
      </c>
      <c r="D164" s="4" t="str">
        <f ca="1">IFERROR(__xludf.DUMMYFUNCTION("""COMPUTED_VALUE"""),"Nữ")</f>
        <v>Nữ</v>
      </c>
      <c r="E164" s="4" t="str">
        <f ca="1">IFERROR(__xludf.DUMMYFUNCTION("""COMPUTED_VALUE"""),"Công ty TNHH Kiểm toán và Tư vấn Chuẩn Việt")</f>
        <v>Công ty TNHH Kiểm toán và Tư vấn Chuẩn Việt</v>
      </c>
      <c r="F164" s="4" t="str">
        <f ca="1">IFERROR(__xludf.DUMMYFUNCTION("""COMPUTED_VALUE"""),"Đại học")</f>
        <v>Đại học</v>
      </c>
      <c r="G164" s="4" t="str">
        <f ca="1">IFERROR(__xludf.DUMMYFUNCTION("""COMPUTED_VALUE"""),"Trên 5 đến 10 năm")</f>
        <v>Trên 5 đến 10 năm</v>
      </c>
      <c r="H164" s="4" t="str">
        <f ca="1">IFERROR(__xludf.DUMMYFUNCTION("""COMPUTED_VALUE"""),"Trợ lý kiểm toán")</f>
        <v>Trợ lý kiểm toán</v>
      </c>
      <c r="I164" s="4">
        <f ca="1">IFERROR(__xludf.DUMMYFUNCTION("""COMPUTED_VALUE"""),5)</f>
        <v>5</v>
      </c>
      <c r="J164" s="4">
        <f ca="1">IFERROR(__xludf.DUMMYFUNCTION("""COMPUTED_VALUE"""),5)</f>
        <v>5</v>
      </c>
      <c r="K164" s="4">
        <f ca="1">IFERROR(__xludf.DUMMYFUNCTION("""COMPUTED_VALUE"""),4)</f>
        <v>4</v>
      </c>
      <c r="L164" s="4">
        <f ca="1">IFERROR(__xludf.DUMMYFUNCTION("""COMPUTED_VALUE"""),4)</f>
        <v>4</v>
      </c>
      <c r="M164" s="4">
        <f ca="1">IFERROR(__xludf.DUMMYFUNCTION("""COMPUTED_VALUE"""),5)</f>
        <v>5</v>
      </c>
      <c r="N164" s="4">
        <f ca="1">IFERROR(__xludf.DUMMYFUNCTION("""COMPUTED_VALUE"""),4)</f>
        <v>4</v>
      </c>
      <c r="O164" s="4">
        <f ca="1">IFERROR(__xludf.DUMMYFUNCTION("""COMPUTED_VALUE"""),5)</f>
        <v>5</v>
      </c>
      <c r="P164" s="4">
        <f ca="1">IFERROR(__xludf.DUMMYFUNCTION("""COMPUTED_VALUE"""),5)</f>
        <v>5</v>
      </c>
      <c r="Q164" s="4">
        <f ca="1">IFERROR(__xludf.DUMMYFUNCTION("""COMPUTED_VALUE"""),5)</f>
        <v>5</v>
      </c>
      <c r="R164" s="4">
        <f ca="1">IFERROR(__xludf.DUMMYFUNCTION("""COMPUTED_VALUE"""),4)</f>
        <v>4</v>
      </c>
      <c r="S164" s="4">
        <f ca="1">IFERROR(__xludf.DUMMYFUNCTION("""COMPUTED_VALUE"""),4)</f>
        <v>4</v>
      </c>
      <c r="T164" s="4">
        <f ca="1">IFERROR(__xludf.DUMMYFUNCTION("""COMPUTED_VALUE"""),4)</f>
        <v>4</v>
      </c>
      <c r="U164" s="4">
        <f ca="1">IFERROR(__xludf.DUMMYFUNCTION("""COMPUTED_VALUE"""),4)</f>
        <v>4</v>
      </c>
      <c r="V164" s="4">
        <f ca="1">IFERROR(__xludf.DUMMYFUNCTION("""COMPUTED_VALUE"""),4)</f>
        <v>4</v>
      </c>
      <c r="W164" s="4">
        <f ca="1">IFERROR(__xludf.DUMMYFUNCTION("""COMPUTED_VALUE"""),4)</f>
        <v>4</v>
      </c>
      <c r="X164" s="4">
        <f ca="1">IFERROR(__xludf.DUMMYFUNCTION("""COMPUTED_VALUE"""),4)</f>
        <v>4</v>
      </c>
      <c r="Y164" s="4">
        <f ca="1">IFERROR(__xludf.DUMMYFUNCTION("""COMPUTED_VALUE"""),5)</f>
        <v>5</v>
      </c>
      <c r="Z164" s="4">
        <f ca="1">IFERROR(__xludf.DUMMYFUNCTION("""COMPUTED_VALUE"""),4)</f>
        <v>4</v>
      </c>
      <c r="AA164" s="4">
        <f ca="1">IFERROR(__xludf.DUMMYFUNCTION("""COMPUTED_VALUE"""),5)</f>
        <v>5</v>
      </c>
      <c r="AB164" s="4">
        <f ca="1">IFERROR(__xludf.DUMMYFUNCTION("""COMPUTED_VALUE"""),4)</f>
        <v>4</v>
      </c>
      <c r="AC164" s="4">
        <f ca="1">IFERROR(__xludf.DUMMYFUNCTION("""COMPUTED_VALUE"""),4)</f>
        <v>4</v>
      </c>
      <c r="AD164" s="4">
        <f ca="1">IFERROR(__xludf.DUMMYFUNCTION("""COMPUTED_VALUE"""),3)</f>
        <v>3</v>
      </c>
      <c r="AE164" s="4">
        <f ca="1">IFERROR(__xludf.DUMMYFUNCTION("""COMPUTED_VALUE"""),4)</f>
        <v>4</v>
      </c>
      <c r="AF164" s="4">
        <f ca="1">IFERROR(__xludf.DUMMYFUNCTION("""COMPUTED_VALUE"""),3)</f>
        <v>3</v>
      </c>
      <c r="AG164" s="4">
        <f ca="1">IFERROR(__xludf.DUMMYFUNCTION("""COMPUTED_VALUE"""),4)</f>
        <v>4</v>
      </c>
      <c r="AH164" s="4">
        <f ca="1">IFERROR(__xludf.DUMMYFUNCTION("""COMPUTED_VALUE"""),4)</f>
        <v>4</v>
      </c>
      <c r="AI164" s="4">
        <f ca="1">IFERROR(__xludf.DUMMYFUNCTION("""COMPUTED_VALUE"""),3)</f>
        <v>3</v>
      </c>
      <c r="AJ164" s="4">
        <f ca="1">IFERROR(__xludf.DUMMYFUNCTION("""COMPUTED_VALUE"""),4)</f>
        <v>4</v>
      </c>
      <c r="AK164" s="4">
        <f ca="1">IFERROR(__xludf.DUMMYFUNCTION("""COMPUTED_VALUE"""),5)</f>
        <v>5</v>
      </c>
      <c r="AL164" s="4">
        <f ca="1">IFERROR(__xludf.DUMMYFUNCTION("""COMPUTED_VALUE"""),4)</f>
        <v>4</v>
      </c>
      <c r="AM164" s="4">
        <f ca="1">IFERROR(__xludf.DUMMYFUNCTION("""COMPUTED_VALUE"""),5)</f>
        <v>5</v>
      </c>
      <c r="AN164" s="4">
        <f ca="1">IFERROR(__xludf.DUMMYFUNCTION("""COMPUTED_VALUE"""),5)</f>
        <v>5</v>
      </c>
      <c r="AO164" s="4">
        <f ca="1">IFERROR(__xludf.DUMMYFUNCTION("""COMPUTED_VALUE"""),4)</f>
        <v>4</v>
      </c>
      <c r="AP164" s="4">
        <f ca="1">IFERROR(__xludf.DUMMYFUNCTION("""COMPUTED_VALUE"""),5)</f>
        <v>5</v>
      </c>
      <c r="AQ164" s="4">
        <f ca="1">IFERROR(__xludf.DUMMYFUNCTION("""COMPUTED_VALUE"""),5)</f>
        <v>5</v>
      </c>
      <c r="AR164" s="4">
        <f ca="1">IFERROR(__xludf.DUMMYFUNCTION("""COMPUTED_VALUE"""),5)</f>
        <v>5</v>
      </c>
      <c r="AS164" s="4">
        <f ca="1">IFERROR(__xludf.DUMMYFUNCTION("""COMPUTED_VALUE"""),4)</f>
        <v>4</v>
      </c>
      <c r="AT164" s="4">
        <f ca="1">IFERROR(__xludf.DUMMYFUNCTION("""COMPUTED_VALUE"""),5)</f>
        <v>5</v>
      </c>
      <c r="AU164" s="4">
        <f ca="1">IFERROR(__xludf.DUMMYFUNCTION("""COMPUTED_VALUE"""),5)</f>
        <v>5</v>
      </c>
      <c r="AV164" s="4">
        <f ca="1">IFERROR(__xludf.DUMMYFUNCTION("""COMPUTED_VALUE"""),4)</f>
        <v>4</v>
      </c>
      <c r="AW164" s="4">
        <f ca="1">IFERROR(__xludf.DUMMYFUNCTION("""COMPUTED_VALUE"""),5)</f>
        <v>5</v>
      </c>
      <c r="AX164" s="4">
        <f ca="1">IFERROR(__xludf.DUMMYFUNCTION("""COMPUTED_VALUE"""),4)</f>
        <v>4</v>
      </c>
      <c r="AY164" s="4">
        <f ca="1">IFERROR(__xludf.DUMMYFUNCTION("""COMPUTED_VALUE"""),5)</f>
        <v>5</v>
      </c>
      <c r="AZ164" s="4">
        <f ca="1">IFERROR(__xludf.DUMMYFUNCTION("""COMPUTED_VALUE"""),5)</f>
        <v>5</v>
      </c>
      <c r="BA164" s="4">
        <f ca="1">IFERROR(__xludf.DUMMYFUNCTION("""COMPUTED_VALUE"""),4)</f>
        <v>4</v>
      </c>
      <c r="BB164" s="4">
        <f ca="1">IFERROR(__xludf.DUMMYFUNCTION("""COMPUTED_VALUE"""),5)</f>
        <v>5</v>
      </c>
      <c r="BC164" s="4">
        <f ca="1">IFERROR(__xludf.DUMMYFUNCTION("""COMPUTED_VALUE"""),4)</f>
        <v>4</v>
      </c>
      <c r="BD164" s="4">
        <f ca="1">IFERROR(__xludf.DUMMYFUNCTION("""COMPUTED_VALUE"""),5)</f>
        <v>5</v>
      </c>
      <c r="BE164" s="4">
        <f ca="1">IFERROR(__xludf.DUMMYFUNCTION("""COMPUTED_VALUE"""),5)</f>
        <v>5</v>
      </c>
      <c r="BF164" s="4">
        <f ca="1">IFERROR(__xludf.DUMMYFUNCTION("""COMPUTED_VALUE"""),5)</f>
        <v>5</v>
      </c>
      <c r="BG164" s="4">
        <f ca="1">IFERROR(__xludf.DUMMYFUNCTION("""COMPUTED_VALUE"""),5)</f>
        <v>5</v>
      </c>
      <c r="BH164" s="4">
        <f ca="1">IFERROR(__xludf.DUMMYFUNCTION("""COMPUTED_VALUE"""),4)</f>
        <v>4</v>
      </c>
      <c r="BI164" s="4">
        <f ca="1">IFERROR(__xludf.DUMMYFUNCTION("""COMPUTED_VALUE"""),5)</f>
        <v>5</v>
      </c>
      <c r="BJ164" s="4">
        <f ca="1">IFERROR(__xludf.DUMMYFUNCTION("""COMPUTED_VALUE"""),5)</f>
        <v>5</v>
      </c>
      <c r="BK164" s="4">
        <f ca="1">IFERROR(__xludf.DUMMYFUNCTION("""COMPUTED_VALUE"""),5)</f>
        <v>5</v>
      </c>
      <c r="BL164" s="4">
        <f ca="1">IFERROR(__xludf.DUMMYFUNCTION("""COMPUTED_VALUE"""),5)</f>
        <v>5</v>
      </c>
      <c r="BM164" s="4">
        <f ca="1">IFERROR(__xludf.DUMMYFUNCTION("""COMPUTED_VALUE"""),5)</f>
        <v>5</v>
      </c>
      <c r="BN164" s="4">
        <f ca="1">IFERROR(__xludf.DUMMYFUNCTION("""COMPUTED_VALUE"""),4)</f>
        <v>4</v>
      </c>
      <c r="BO164" s="4">
        <f ca="1">IFERROR(__xludf.DUMMYFUNCTION("""COMPUTED_VALUE"""),4)</f>
        <v>4</v>
      </c>
      <c r="BP164" s="4">
        <f ca="1">IFERROR(__xludf.DUMMYFUNCTION("""COMPUTED_VALUE"""),5)</f>
        <v>5</v>
      </c>
    </row>
    <row r="165" spans="1:68" ht="13.2" x14ac:dyDescent="0.25">
      <c r="A165" s="4" t="str">
        <f ca="1">IFERROR(__xludf.DUMMYFUNCTION("""COMPUTED_VALUE"""),"2_ABaOnucmxG6fd84j3FMtpW5OSvk5rZjsbTaA71fGy2zFmuwlavgw3fIZXAlk7gleGA")</f>
        <v>2_ABaOnucmxG6fd84j3FMtpW5OSvk5rZjsbTaA71fGy2zFmuwlavgw3fIZXAlk7gleGA</v>
      </c>
      <c r="B165" s="5">
        <f ca="1">IFERROR(__xludf.DUMMYFUNCTION("""COMPUTED_VALUE"""),45974.814243125)</f>
        <v>45974.814243125002</v>
      </c>
      <c r="C165" s="4"/>
      <c r="D165" s="4" t="str">
        <f ca="1">IFERROR(__xludf.DUMMYFUNCTION("""COMPUTED_VALUE"""),"Nam")</f>
        <v>Nam</v>
      </c>
      <c r="E165" s="4" t="str">
        <f ca="1">IFERROR(__xludf.DUMMYFUNCTION("""COMPUTED_VALUE"""),"Công ty TNHH kiểm toán Quốc tế SBS")</f>
        <v>Công ty TNHH kiểm toán Quốc tế SBS</v>
      </c>
      <c r="F165" s="4" t="str">
        <f ca="1">IFERROR(__xludf.DUMMYFUNCTION("""COMPUTED_VALUE"""),"Đại học, Chứng chỉ Kiểm toán viên")</f>
        <v>Đại học, Chứng chỉ Kiểm toán viên</v>
      </c>
      <c r="G165" s="4" t="str">
        <f ca="1">IFERROR(__xludf.DUMMYFUNCTION("""COMPUTED_VALUE"""),"Trên 10 đến 15 năm")</f>
        <v>Trên 10 đến 15 năm</v>
      </c>
      <c r="H165" s="4" t="str">
        <f ca="1">IFERROR(__xludf.DUMMYFUNCTION("""COMPUTED_VALUE"""),"Trưởng phòng")</f>
        <v>Trưởng phòng</v>
      </c>
      <c r="I165" s="4">
        <f ca="1">IFERROR(__xludf.DUMMYFUNCTION("""COMPUTED_VALUE"""),5)</f>
        <v>5</v>
      </c>
      <c r="J165" s="4">
        <f ca="1">IFERROR(__xludf.DUMMYFUNCTION("""COMPUTED_VALUE"""),5)</f>
        <v>5</v>
      </c>
      <c r="K165" s="4">
        <f ca="1">IFERROR(__xludf.DUMMYFUNCTION("""COMPUTED_VALUE"""),5)</f>
        <v>5</v>
      </c>
      <c r="L165" s="4">
        <f ca="1">IFERROR(__xludf.DUMMYFUNCTION("""COMPUTED_VALUE"""),4)</f>
        <v>4</v>
      </c>
      <c r="M165" s="4">
        <f ca="1">IFERROR(__xludf.DUMMYFUNCTION("""COMPUTED_VALUE"""),4)</f>
        <v>4</v>
      </c>
      <c r="N165" s="4">
        <f ca="1">IFERROR(__xludf.DUMMYFUNCTION("""COMPUTED_VALUE"""),3)</f>
        <v>3</v>
      </c>
      <c r="O165" s="4">
        <f ca="1">IFERROR(__xludf.DUMMYFUNCTION("""COMPUTED_VALUE"""),3)</f>
        <v>3</v>
      </c>
      <c r="P165" s="4">
        <f ca="1">IFERROR(__xludf.DUMMYFUNCTION("""COMPUTED_VALUE"""),4)</f>
        <v>4</v>
      </c>
      <c r="Q165" s="4">
        <f ca="1">IFERROR(__xludf.DUMMYFUNCTION("""COMPUTED_VALUE"""),5)</f>
        <v>5</v>
      </c>
      <c r="R165" s="4">
        <f ca="1">IFERROR(__xludf.DUMMYFUNCTION("""COMPUTED_VALUE"""),5)</f>
        <v>5</v>
      </c>
      <c r="S165" s="4">
        <f ca="1">IFERROR(__xludf.DUMMYFUNCTION("""COMPUTED_VALUE"""),5)</f>
        <v>5</v>
      </c>
      <c r="T165" s="4">
        <f ca="1">IFERROR(__xludf.DUMMYFUNCTION("""COMPUTED_VALUE"""),4)</f>
        <v>4</v>
      </c>
      <c r="U165" s="4">
        <f ca="1">IFERROR(__xludf.DUMMYFUNCTION("""COMPUTED_VALUE"""),5)</f>
        <v>5</v>
      </c>
      <c r="V165" s="4">
        <f ca="1">IFERROR(__xludf.DUMMYFUNCTION("""COMPUTED_VALUE"""),5)</f>
        <v>5</v>
      </c>
      <c r="W165" s="4">
        <f ca="1">IFERROR(__xludf.DUMMYFUNCTION("""COMPUTED_VALUE"""),4)</f>
        <v>4</v>
      </c>
      <c r="X165" s="4">
        <f ca="1">IFERROR(__xludf.DUMMYFUNCTION("""COMPUTED_VALUE"""),4)</f>
        <v>4</v>
      </c>
      <c r="Y165" s="4">
        <f ca="1">IFERROR(__xludf.DUMMYFUNCTION("""COMPUTED_VALUE"""),3)</f>
        <v>3</v>
      </c>
      <c r="Z165" s="4">
        <f ca="1">IFERROR(__xludf.DUMMYFUNCTION("""COMPUTED_VALUE"""),4)</f>
        <v>4</v>
      </c>
      <c r="AA165" s="4">
        <f ca="1">IFERROR(__xludf.DUMMYFUNCTION("""COMPUTED_VALUE"""),4)</f>
        <v>4</v>
      </c>
      <c r="AB165" s="4">
        <f ca="1">IFERROR(__xludf.DUMMYFUNCTION("""COMPUTED_VALUE"""),4)</f>
        <v>4</v>
      </c>
      <c r="AC165" s="4">
        <f ca="1">IFERROR(__xludf.DUMMYFUNCTION("""COMPUTED_VALUE"""),4)</f>
        <v>4</v>
      </c>
      <c r="AD165" s="4">
        <f ca="1">IFERROR(__xludf.DUMMYFUNCTION("""COMPUTED_VALUE"""),3)</f>
        <v>3</v>
      </c>
      <c r="AE165" s="4">
        <f ca="1">IFERROR(__xludf.DUMMYFUNCTION("""COMPUTED_VALUE"""),4)</f>
        <v>4</v>
      </c>
      <c r="AF165" s="4">
        <f ca="1">IFERROR(__xludf.DUMMYFUNCTION("""COMPUTED_VALUE"""),4)</f>
        <v>4</v>
      </c>
      <c r="AG165" s="4">
        <f ca="1">IFERROR(__xludf.DUMMYFUNCTION("""COMPUTED_VALUE"""),4)</f>
        <v>4</v>
      </c>
      <c r="AH165" s="4">
        <f ca="1">IFERROR(__xludf.DUMMYFUNCTION("""COMPUTED_VALUE"""),4)</f>
        <v>4</v>
      </c>
      <c r="AI165" s="4">
        <f ca="1">IFERROR(__xludf.DUMMYFUNCTION("""COMPUTED_VALUE"""),4)</f>
        <v>4</v>
      </c>
      <c r="AJ165" s="4">
        <f ca="1">IFERROR(__xludf.DUMMYFUNCTION("""COMPUTED_VALUE"""),4)</f>
        <v>4</v>
      </c>
      <c r="AK165" s="4">
        <f ca="1">IFERROR(__xludf.DUMMYFUNCTION("""COMPUTED_VALUE"""),4)</f>
        <v>4</v>
      </c>
      <c r="AL165" s="4">
        <f ca="1">IFERROR(__xludf.DUMMYFUNCTION("""COMPUTED_VALUE"""),4)</f>
        <v>4</v>
      </c>
      <c r="AM165" s="4">
        <f ca="1">IFERROR(__xludf.DUMMYFUNCTION("""COMPUTED_VALUE"""),4)</f>
        <v>4</v>
      </c>
      <c r="AN165" s="4">
        <f ca="1">IFERROR(__xludf.DUMMYFUNCTION("""COMPUTED_VALUE"""),4)</f>
        <v>4</v>
      </c>
      <c r="AO165" s="4">
        <f ca="1">IFERROR(__xludf.DUMMYFUNCTION("""COMPUTED_VALUE"""),3)</f>
        <v>3</v>
      </c>
      <c r="AP165" s="4">
        <f ca="1">IFERROR(__xludf.DUMMYFUNCTION("""COMPUTED_VALUE"""),3)</f>
        <v>3</v>
      </c>
      <c r="AQ165" s="4">
        <f ca="1">IFERROR(__xludf.DUMMYFUNCTION("""COMPUTED_VALUE"""),4)</f>
        <v>4</v>
      </c>
      <c r="AR165" s="4">
        <f ca="1">IFERROR(__xludf.DUMMYFUNCTION("""COMPUTED_VALUE"""),3)</f>
        <v>3</v>
      </c>
      <c r="AS165" s="4">
        <f ca="1">IFERROR(__xludf.DUMMYFUNCTION("""COMPUTED_VALUE"""),3)</f>
        <v>3</v>
      </c>
      <c r="AT165" s="4">
        <f ca="1">IFERROR(__xludf.DUMMYFUNCTION("""COMPUTED_VALUE"""),3)</f>
        <v>3</v>
      </c>
      <c r="AU165" s="4">
        <f ca="1">IFERROR(__xludf.DUMMYFUNCTION("""COMPUTED_VALUE"""),4)</f>
        <v>4</v>
      </c>
      <c r="AV165" s="4">
        <f ca="1">IFERROR(__xludf.DUMMYFUNCTION("""COMPUTED_VALUE"""),4)</f>
        <v>4</v>
      </c>
      <c r="AW165" s="4">
        <f ca="1">IFERROR(__xludf.DUMMYFUNCTION("""COMPUTED_VALUE"""),5)</f>
        <v>5</v>
      </c>
      <c r="AX165" s="4">
        <f ca="1">IFERROR(__xludf.DUMMYFUNCTION("""COMPUTED_VALUE"""),5)</f>
        <v>5</v>
      </c>
      <c r="AY165" s="4">
        <f ca="1">IFERROR(__xludf.DUMMYFUNCTION("""COMPUTED_VALUE"""),5)</f>
        <v>5</v>
      </c>
      <c r="AZ165" s="4">
        <f ca="1">IFERROR(__xludf.DUMMYFUNCTION("""COMPUTED_VALUE"""),5)</f>
        <v>5</v>
      </c>
      <c r="BA165" s="4">
        <f ca="1">IFERROR(__xludf.DUMMYFUNCTION("""COMPUTED_VALUE"""),5)</f>
        <v>5</v>
      </c>
      <c r="BB165" s="4">
        <f ca="1">IFERROR(__xludf.DUMMYFUNCTION("""COMPUTED_VALUE"""),4)</f>
        <v>4</v>
      </c>
      <c r="BC165" s="4">
        <f ca="1">IFERROR(__xludf.DUMMYFUNCTION("""COMPUTED_VALUE"""),4)</f>
        <v>4</v>
      </c>
      <c r="BD165" s="4">
        <f ca="1">IFERROR(__xludf.DUMMYFUNCTION("""COMPUTED_VALUE"""),4)</f>
        <v>4</v>
      </c>
      <c r="BE165" s="4">
        <f ca="1">IFERROR(__xludf.DUMMYFUNCTION("""COMPUTED_VALUE"""),4)</f>
        <v>4</v>
      </c>
      <c r="BF165" s="4">
        <f ca="1">IFERROR(__xludf.DUMMYFUNCTION("""COMPUTED_VALUE"""),4)</f>
        <v>4</v>
      </c>
      <c r="BG165" s="4">
        <f ca="1">IFERROR(__xludf.DUMMYFUNCTION("""COMPUTED_VALUE"""),4)</f>
        <v>4</v>
      </c>
      <c r="BH165" s="4">
        <f ca="1">IFERROR(__xludf.DUMMYFUNCTION("""COMPUTED_VALUE"""),3)</f>
        <v>3</v>
      </c>
      <c r="BI165" s="4">
        <f ca="1">IFERROR(__xludf.DUMMYFUNCTION("""COMPUTED_VALUE"""),4)</f>
        <v>4</v>
      </c>
      <c r="BJ165" s="4">
        <f ca="1">IFERROR(__xludf.DUMMYFUNCTION("""COMPUTED_VALUE"""),4)</f>
        <v>4</v>
      </c>
      <c r="BK165" s="4">
        <f ca="1">IFERROR(__xludf.DUMMYFUNCTION("""COMPUTED_VALUE"""),4)</f>
        <v>4</v>
      </c>
      <c r="BL165" s="4">
        <f ca="1">IFERROR(__xludf.DUMMYFUNCTION("""COMPUTED_VALUE"""),4)</f>
        <v>4</v>
      </c>
      <c r="BM165" s="4">
        <f ca="1">IFERROR(__xludf.DUMMYFUNCTION("""COMPUTED_VALUE"""),4)</f>
        <v>4</v>
      </c>
      <c r="BN165" s="4">
        <f ca="1">IFERROR(__xludf.DUMMYFUNCTION("""COMPUTED_VALUE"""),5)</f>
        <v>5</v>
      </c>
      <c r="BO165" s="4">
        <f ca="1">IFERROR(__xludf.DUMMYFUNCTION("""COMPUTED_VALUE"""),5)</f>
        <v>5</v>
      </c>
      <c r="BP165" s="4">
        <f ca="1">IFERROR(__xludf.DUMMYFUNCTION("""COMPUTED_VALUE"""),5)</f>
        <v>5</v>
      </c>
    </row>
    <row r="166" spans="1:68" ht="13.2" x14ac:dyDescent="0.25">
      <c r="A166" s="4" t="str">
        <f ca="1">IFERROR(__xludf.DUMMYFUNCTION("""COMPUTED_VALUE"""),"2_ABaOnuf_WR2WnWrk-22sSlYUnRG0Op1RTan6nQsv-bEwp5o7h5GLHaVsGn-YpA1wSQ")</f>
        <v>2_ABaOnuf_WR2WnWrk-22sSlYUnRG0Op1RTan6nQsv-bEwp5o7h5GLHaVsGn-YpA1wSQ</v>
      </c>
      <c r="B166" s="5">
        <f ca="1">IFERROR(__xludf.DUMMYFUNCTION("""COMPUTED_VALUE"""),45974.843037824)</f>
        <v>45974.843037824001</v>
      </c>
      <c r="C166" s="4" t="str">
        <f ca="1">IFERROR(__xludf.DUMMYFUNCTION("""COMPUTED_VALUE"""),"Nguyễn Thanh Hồng")</f>
        <v>Nguyễn Thanh Hồng</v>
      </c>
      <c r="D166" s="4" t="str">
        <f ca="1">IFERROR(__xludf.DUMMYFUNCTION("""COMPUTED_VALUE"""),"Nam")</f>
        <v>Nam</v>
      </c>
      <c r="E166" s="4" t="str">
        <f ca="1">IFERROR(__xludf.DUMMYFUNCTION("""COMPUTED_VALUE"""),"Công ty TNHH Kiểm toán và Tư vấn Chuẩn Việt")</f>
        <v>Công ty TNHH Kiểm toán và Tư vấn Chuẩn Việt</v>
      </c>
      <c r="F166" s="4" t="str">
        <f ca="1">IFERROR(__xludf.DUMMYFUNCTION("""COMPUTED_VALUE"""),"Đại học, Sau đại học, Chứng chỉ Kiểm toán viên")</f>
        <v>Đại học, Sau đại học, Chứng chỉ Kiểm toán viên</v>
      </c>
      <c r="G166" s="4" t="str">
        <f ca="1">IFERROR(__xludf.DUMMYFUNCTION("""COMPUTED_VALUE"""),"Trên 20 năm")</f>
        <v>Trên 20 năm</v>
      </c>
      <c r="H166" s="4" t="str">
        <f ca="1">IFERROR(__xludf.DUMMYFUNCTION("""COMPUTED_VALUE"""),"Ban giám đốc")</f>
        <v>Ban giám đốc</v>
      </c>
      <c r="I166" s="4">
        <f ca="1">IFERROR(__xludf.DUMMYFUNCTION("""COMPUTED_VALUE"""),5)</f>
        <v>5</v>
      </c>
      <c r="J166" s="4">
        <f ca="1">IFERROR(__xludf.DUMMYFUNCTION("""COMPUTED_VALUE"""),4)</f>
        <v>4</v>
      </c>
      <c r="K166" s="4">
        <f ca="1">IFERROR(__xludf.DUMMYFUNCTION("""COMPUTED_VALUE"""),4)</f>
        <v>4</v>
      </c>
      <c r="L166" s="4">
        <f ca="1">IFERROR(__xludf.DUMMYFUNCTION("""COMPUTED_VALUE"""),5)</f>
        <v>5</v>
      </c>
      <c r="M166" s="4">
        <f ca="1">IFERROR(__xludf.DUMMYFUNCTION("""COMPUTED_VALUE"""),5)</f>
        <v>5</v>
      </c>
      <c r="N166" s="4">
        <f ca="1">IFERROR(__xludf.DUMMYFUNCTION("""COMPUTED_VALUE"""),4)</f>
        <v>4</v>
      </c>
      <c r="O166" s="4">
        <f ca="1">IFERROR(__xludf.DUMMYFUNCTION("""COMPUTED_VALUE"""),4)</f>
        <v>4</v>
      </c>
      <c r="P166" s="4">
        <f ca="1">IFERROR(__xludf.DUMMYFUNCTION("""COMPUTED_VALUE"""),5)</f>
        <v>5</v>
      </c>
      <c r="Q166" s="4">
        <f ca="1">IFERROR(__xludf.DUMMYFUNCTION("""COMPUTED_VALUE"""),5)</f>
        <v>5</v>
      </c>
      <c r="R166" s="4">
        <f ca="1">IFERROR(__xludf.DUMMYFUNCTION("""COMPUTED_VALUE"""),5)</f>
        <v>5</v>
      </c>
      <c r="S166" s="4">
        <f ca="1">IFERROR(__xludf.DUMMYFUNCTION("""COMPUTED_VALUE"""),5)</f>
        <v>5</v>
      </c>
      <c r="T166" s="4">
        <f ca="1">IFERROR(__xludf.DUMMYFUNCTION("""COMPUTED_VALUE"""),5)</f>
        <v>5</v>
      </c>
      <c r="U166" s="4">
        <f ca="1">IFERROR(__xludf.DUMMYFUNCTION("""COMPUTED_VALUE"""),5)</f>
        <v>5</v>
      </c>
      <c r="V166" s="4">
        <f ca="1">IFERROR(__xludf.DUMMYFUNCTION("""COMPUTED_VALUE"""),5)</f>
        <v>5</v>
      </c>
      <c r="W166" s="4">
        <f ca="1">IFERROR(__xludf.DUMMYFUNCTION("""COMPUTED_VALUE"""),3)</f>
        <v>3</v>
      </c>
      <c r="X166" s="4">
        <f ca="1">IFERROR(__xludf.DUMMYFUNCTION("""COMPUTED_VALUE"""),3)</f>
        <v>3</v>
      </c>
      <c r="Y166" s="4">
        <f ca="1">IFERROR(__xludf.DUMMYFUNCTION("""COMPUTED_VALUE"""),4)</f>
        <v>4</v>
      </c>
      <c r="Z166" s="4">
        <f ca="1">IFERROR(__xludf.DUMMYFUNCTION("""COMPUTED_VALUE"""),5)</f>
        <v>5</v>
      </c>
      <c r="AA166" s="4">
        <f ca="1">IFERROR(__xludf.DUMMYFUNCTION("""COMPUTED_VALUE"""),3)</f>
        <v>3</v>
      </c>
      <c r="AB166" s="4">
        <f ca="1">IFERROR(__xludf.DUMMYFUNCTION("""COMPUTED_VALUE"""),5)</f>
        <v>5</v>
      </c>
      <c r="AC166" s="4">
        <f ca="1">IFERROR(__xludf.DUMMYFUNCTION("""COMPUTED_VALUE"""),5)</f>
        <v>5</v>
      </c>
      <c r="AD166" s="4">
        <f ca="1">IFERROR(__xludf.DUMMYFUNCTION("""COMPUTED_VALUE"""),5)</f>
        <v>5</v>
      </c>
      <c r="AE166" s="4">
        <f ca="1">IFERROR(__xludf.DUMMYFUNCTION("""COMPUTED_VALUE"""),5)</f>
        <v>5</v>
      </c>
      <c r="AF166" s="4">
        <f ca="1">IFERROR(__xludf.DUMMYFUNCTION("""COMPUTED_VALUE"""),4)</f>
        <v>4</v>
      </c>
      <c r="AG166" s="4">
        <f ca="1">IFERROR(__xludf.DUMMYFUNCTION("""COMPUTED_VALUE"""),4)</f>
        <v>4</v>
      </c>
      <c r="AH166" s="4">
        <f ca="1">IFERROR(__xludf.DUMMYFUNCTION("""COMPUTED_VALUE"""),4)</f>
        <v>4</v>
      </c>
      <c r="AI166" s="4">
        <f ca="1">IFERROR(__xludf.DUMMYFUNCTION("""COMPUTED_VALUE"""),4)</f>
        <v>4</v>
      </c>
      <c r="AJ166" s="4">
        <f ca="1">IFERROR(__xludf.DUMMYFUNCTION("""COMPUTED_VALUE"""),4)</f>
        <v>4</v>
      </c>
      <c r="AK166" s="4">
        <f ca="1">IFERROR(__xludf.DUMMYFUNCTION("""COMPUTED_VALUE"""),4)</f>
        <v>4</v>
      </c>
      <c r="AL166" s="4">
        <f ca="1">IFERROR(__xludf.DUMMYFUNCTION("""COMPUTED_VALUE"""),5)</f>
        <v>5</v>
      </c>
      <c r="AM166" s="4">
        <f ca="1">IFERROR(__xludf.DUMMYFUNCTION("""COMPUTED_VALUE"""),4)</f>
        <v>4</v>
      </c>
      <c r="AN166" s="4">
        <f ca="1">IFERROR(__xludf.DUMMYFUNCTION("""COMPUTED_VALUE"""),5)</f>
        <v>5</v>
      </c>
      <c r="AO166" s="4">
        <f ca="1">IFERROR(__xludf.DUMMYFUNCTION("""COMPUTED_VALUE"""),4)</f>
        <v>4</v>
      </c>
      <c r="AP166" s="4">
        <f ca="1">IFERROR(__xludf.DUMMYFUNCTION("""COMPUTED_VALUE"""),4)</f>
        <v>4</v>
      </c>
      <c r="AQ166" s="4">
        <f ca="1">IFERROR(__xludf.DUMMYFUNCTION("""COMPUTED_VALUE"""),4)</f>
        <v>4</v>
      </c>
      <c r="AR166" s="4">
        <f ca="1">IFERROR(__xludf.DUMMYFUNCTION("""COMPUTED_VALUE"""),4)</f>
        <v>4</v>
      </c>
      <c r="AS166" s="4">
        <f ca="1">IFERROR(__xludf.DUMMYFUNCTION("""COMPUTED_VALUE"""),4)</f>
        <v>4</v>
      </c>
      <c r="AT166" s="4">
        <f ca="1">IFERROR(__xludf.DUMMYFUNCTION("""COMPUTED_VALUE"""),5)</f>
        <v>5</v>
      </c>
      <c r="AU166" s="4">
        <f ca="1">IFERROR(__xludf.DUMMYFUNCTION("""COMPUTED_VALUE"""),5)</f>
        <v>5</v>
      </c>
      <c r="AV166" s="4">
        <f ca="1">IFERROR(__xludf.DUMMYFUNCTION("""COMPUTED_VALUE"""),4)</f>
        <v>4</v>
      </c>
      <c r="AW166" s="4">
        <f ca="1">IFERROR(__xludf.DUMMYFUNCTION("""COMPUTED_VALUE"""),5)</f>
        <v>5</v>
      </c>
      <c r="AX166" s="4">
        <f ca="1">IFERROR(__xludf.DUMMYFUNCTION("""COMPUTED_VALUE"""),5)</f>
        <v>5</v>
      </c>
      <c r="AY166" s="4">
        <f ca="1">IFERROR(__xludf.DUMMYFUNCTION("""COMPUTED_VALUE"""),5)</f>
        <v>5</v>
      </c>
      <c r="AZ166" s="4">
        <f ca="1">IFERROR(__xludf.DUMMYFUNCTION("""COMPUTED_VALUE"""),5)</f>
        <v>5</v>
      </c>
      <c r="BA166" s="4">
        <f ca="1">IFERROR(__xludf.DUMMYFUNCTION("""COMPUTED_VALUE"""),5)</f>
        <v>5</v>
      </c>
      <c r="BB166" s="4">
        <f ca="1">IFERROR(__xludf.DUMMYFUNCTION("""COMPUTED_VALUE"""),4)</f>
        <v>4</v>
      </c>
      <c r="BC166" s="4">
        <f ca="1">IFERROR(__xludf.DUMMYFUNCTION("""COMPUTED_VALUE"""),4)</f>
        <v>4</v>
      </c>
      <c r="BD166" s="4">
        <f ca="1">IFERROR(__xludf.DUMMYFUNCTION("""COMPUTED_VALUE"""),5)</f>
        <v>5</v>
      </c>
      <c r="BE166" s="4">
        <f ca="1">IFERROR(__xludf.DUMMYFUNCTION("""COMPUTED_VALUE"""),5)</f>
        <v>5</v>
      </c>
      <c r="BF166" s="4">
        <f ca="1">IFERROR(__xludf.DUMMYFUNCTION("""COMPUTED_VALUE"""),4)</f>
        <v>4</v>
      </c>
      <c r="BG166" s="4">
        <f ca="1">IFERROR(__xludf.DUMMYFUNCTION("""COMPUTED_VALUE"""),4)</f>
        <v>4</v>
      </c>
      <c r="BH166" s="4">
        <f ca="1">IFERROR(__xludf.DUMMYFUNCTION("""COMPUTED_VALUE"""),5)</f>
        <v>5</v>
      </c>
      <c r="BI166" s="4">
        <f ca="1">IFERROR(__xludf.DUMMYFUNCTION("""COMPUTED_VALUE"""),5)</f>
        <v>5</v>
      </c>
      <c r="BJ166" s="4">
        <f ca="1">IFERROR(__xludf.DUMMYFUNCTION("""COMPUTED_VALUE"""),5)</f>
        <v>5</v>
      </c>
      <c r="BK166" s="4">
        <f ca="1">IFERROR(__xludf.DUMMYFUNCTION("""COMPUTED_VALUE"""),4)</f>
        <v>4</v>
      </c>
      <c r="BL166" s="4">
        <f ca="1">IFERROR(__xludf.DUMMYFUNCTION("""COMPUTED_VALUE"""),4)</f>
        <v>4</v>
      </c>
      <c r="BM166" s="4">
        <f ca="1">IFERROR(__xludf.DUMMYFUNCTION("""COMPUTED_VALUE"""),4)</f>
        <v>4</v>
      </c>
      <c r="BN166" s="4">
        <f ca="1">IFERROR(__xludf.DUMMYFUNCTION("""COMPUTED_VALUE"""),4)</f>
        <v>4</v>
      </c>
      <c r="BO166" s="4">
        <f ca="1">IFERROR(__xludf.DUMMYFUNCTION("""COMPUTED_VALUE"""),4)</f>
        <v>4</v>
      </c>
      <c r="BP166" s="4">
        <f ca="1">IFERROR(__xludf.DUMMYFUNCTION("""COMPUTED_VALUE"""),4)</f>
        <v>4</v>
      </c>
    </row>
    <row r="167" spans="1:68" ht="13.2" x14ac:dyDescent="0.25">
      <c r="A167" s="4" t="str">
        <f ca="1">IFERROR(__xludf.DUMMYFUNCTION("""COMPUTED_VALUE"""),"2_ABaOnudlnL_UFdgJTlC1C01TMXDSXrFdZau16uXZAyobhMxc4Fjhslf5JjaXDMugTA")</f>
        <v>2_ABaOnudlnL_UFdgJTlC1C01TMXDSXrFdZau16uXZAyobhMxc4Fjhslf5JjaXDMugTA</v>
      </c>
      <c r="B167" s="5">
        <f ca="1">IFERROR(__xludf.DUMMYFUNCTION("""COMPUTED_VALUE"""),45975.3399935532)</f>
        <v>45975.3399935532</v>
      </c>
      <c r="C167" s="4" t="str">
        <f ca="1">IFERROR(__xludf.DUMMYFUNCTION("""COMPUTED_VALUE"""),"Lưu Mỹ Huyền")</f>
        <v>Lưu Mỹ Huyền</v>
      </c>
      <c r="D167" s="4" t="str">
        <f ca="1">IFERROR(__xludf.DUMMYFUNCTION("""COMPUTED_VALUE"""),"Nữ")</f>
        <v>Nữ</v>
      </c>
      <c r="E167" s="4" t="str">
        <f ca="1">IFERROR(__xludf.DUMMYFUNCTION("""COMPUTED_VALUE"""),"Công ty TNHH Kiểm toán Thái Dương")</f>
        <v>Công ty TNHH Kiểm toán Thái Dương</v>
      </c>
      <c r="F167" s="4" t="str">
        <f ca="1">IFERROR(__xludf.DUMMYFUNCTION("""COMPUTED_VALUE"""),"Đại học")</f>
        <v>Đại học</v>
      </c>
      <c r="G167" s="4" t="str">
        <f ca="1">IFERROR(__xludf.DUMMYFUNCTION("""COMPUTED_VALUE"""),"Từ 3 đến 5 năm")</f>
        <v>Từ 3 đến 5 năm</v>
      </c>
      <c r="H167" s="4" t="str">
        <f ca="1">IFERROR(__xludf.DUMMYFUNCTION("""COMPUTED_VALUE"""),"Trợ lý kiểm toán")</f>
        <v>Trợ lý kiểm toán</v>
      </c>
      <c r="I167" s="4">
        <f ca="1">IFERROR(__xludf.DUMMYFUNCTION("""COMPUTED_VALUE"""),5)</f>
        <v>5</v>
      </c>
      <c r="J167" s="4">
        <f ca="1">IFERROR(__xludf.DUMMYFUNCTION("""COMPUTED_VALUE"""),5)</f>
        <v>5</v>
      </c>
      <c r="K167" s="4">
        <f ca="1">IFERROR(__xludf.DUMMYFUNCTION("""COMPUTED_VALUE"""),5)</f>
        <v>5</v>
      </c>
      <c r="L167" s="4">
        <f ca="1">IFERROR(__xludf.DUMMYFUNCTION("""COMPUTED_VALUE"""),4)</f>
        <v>4</v>
      </c>
      <c r="M167" s="4">
        <f ca="1">IFERROR(__xludf.DUMMYFUNCTION("""COMPUTED_VALUE"""),5)</f>
        <v>5</v>
      </c>
      <c r="N167" s="4">
        <f ca="1">IFERROR(__xludf.DUMMYFUNCTION("""COMPUTED_VALUE"""),5)</f>
        <v>5</v>
      </c>
      <c r="O167" s="4">
        <f ca="1">IFERROR(__xludf.DUMMYFUNCTION("""COMPUTED_VALUE"""),5)</f>
        <v>5</v>
      </c>
      <c r="P167" s="4">
        <f ca="1">IFERROR(__xludf.DUMMYFUNCTION("""COMPUTED_VALUE"""),5)</f>
        <v>5</v>
      </c>
      <c r="Q167" s="4">
        <f ca="1">IFERROR(__xludf.DUMMYFUNCTION("""COMPUTED_VALUE"""),5)</f>
        <v>5</v>
      </c>
      <c r="R167" s="4">
        <f ca="1">IFERROR(__xludf.DUMMYFUNCTION("""COMPUTED_VALUE"""),5)</f>
        <v>5</v>
      </c>
      <c r="S167" s="4">
        <f ca="1">IFERROR(__xludf.DUMMYFUNCTION("""COMPUTED_VALUE"""),5)</f>
        <v>5</v>
      </c>
      <c r="T167" s="4">
        <f ca="1">IFERROR(__xludf.DUMMYFUNCTION("""COMPUTED_VALUE"""),5)</f>
        <v>5</v>
      </c>
      <c r="U167" s="4">
        <f ca="1">IFERROR(__xludf.DUMMYFUNCTION("""COMPUTED_VALUE"""),5)</f>
        <v>5</v>
      </c>
      <c r="V167" s="4">
        <f ca="1">IFERROR(__xludf.DUMMYFUNCTION("""COMPUTED_VALUE"""),5)</f>
        <v>5</v>
      </c>
      <c r="W167" s="4">
        <f ca="1">IFERROR(__xludf.DUMMYFUNCTION("""COMPUTED_VALUE"""),5)</f>
        <v>5</v>
      </c>
      <c r="X167" s="4">
        <f ca="1">IFERROR(__xludf.DUMMYFUNCTION("""COMPUTED_VALUE"""),5)</f>
        <v>5</v>
      </c>
      <c r="Y167" s="4">
        <f ca="1">IFERROR(__xludf.DUMMYFUNCTION("""COMPUTED_VALUE"""),5)</f>
        <v>5</v>
      </c>
      <c r="Z167" s="4">
        <f ca="1">IFERROR(__xludf.DUMMYFUNCTION("""COMPUTED_VALUE"""),5)</f>
        <v>5</v>
      </c>
      <c r="AA167" s="4">
        <f ca="1">IFERROR(__xludf.DUMMYFUNCTION("""COMPUTED_VALUE"""),5)</f>
        <v>5</v>
      </c>
      <c r="AB167" s="4">
        <f ca="1">IFERROR(__xludf.DUMMYFUNCTION("""COMPUTED_VALUE"""),3)</f>
        <v>3</v>
      </c>
      <c r="AC167" s="4">
        <f ca="1">IFERROR(__xludf.DUMMYFUNCTION("""COMPUTED_VALUE"""),3)</f>
        <v>3</v>
      </c>
      <c r="AD167" s="4">
        <f ca="1">IFERROR(__xludf.DUMMYFUNCTION("""COMPUTED_VALUE"""),3)</f>
        <v>3</v>
      </c>
      <c r="AE167" s="4">
        <f ca="1">IFERROR(__xludf.DUMMYFUNCTION("""COMPUTED_VALUE"""),3)</f>
        <v>3</v>
      </c>
      <c r="AF167" s="4">
        <f ca="1">IFERROR(__xludf.DUMMYFUNCTION("""COMPUTED_VALUE"""),5)</f>
        <v>5</v>
      </c>
      <c r="AG167" s="4">
        <f ca="1">IFERROR(__xludf.DUMMYFUNCTION("""COMPUTED_VALUE"""),5)</f>
        <v>5</v>
      </c>
      <c r="AH167" s="4">
        <f ca="1">IFERROR(__xludf.DUMMYFUNCTION("""COMPUTED_VALUE"""),5)</f>
        <v>5</v>
      </c>
      <c r="AI167" s="4">
        <f ca="1">IFERROR(__xludf.DUMMYFUNCTION("""COMPUTED_VALUE"""),5)</f>
        <v>5</v>
      </c>
      <c r="AJ167" s="4">
        <f ca="1">IFERROR(__xludf.DUMMYFUNCTION("""COMPUTED_VALUE"""),5)</f>
        <v>5</v>
      </c>
      <c r="AK167" s="4">
        <f ca="1">IFERROR(__xludf.DUMMYFUNCTION("""COMPUTED_VALUE"""),5)</f>
        <v>5</v>
      </c>
      <c r="AL167" s="4">
        <f ca="1">IFERROR(__xludf.DUMMYFUNCTION("""COMPUTED_VALUE"""),5)</f>
        <v>5</v>
      </c>
      <c r="AM167" s="4">
        <f ca="1">IFERROR(__xludf.DUMMYFUNCTION("""COMPUTED_VALUE"""),5)</f>
        <v>5</v>
      </c>
      <c r="AN167" s="4">
        <f ca="1">IFERROR(__xludf.DUMMYFUNCTION("""COMPUTED_VALUE"""),5)</f>
        <v>5</v>
      </c>
      <c r="AO167" s="4">
        <f ca="1">IFERROR(__xludf.DUMMYFUNCTION("""COMPUTED_VALUE"""),5)</f>
        <v>5</v>
      </c>
      <c r="AP167" s="4">
        <f ca="1">IFERROR(__xludf.DUMMYFUNCTION("""COMPUTED_VALUE"""),5)</f>
        <v>5</v>
      </c>
      <c r="AQ167" s="4">
        <f ca="1">IFERROR(__xludf.DUMMYFUNCTION("""COMPUTED_VALUE"""),5)</f>
        <v>5</v>
      </c>
      <c r="AR167" s="4">
        <f ca="1">IFERROR(__xludf.DUMMYFUNCTION("""COMPUTED_VALUE"""),4)</f>
        <v>4</v>
      </c>
      <c r="AS167" s="4">
        <f ca="1">IFERROR(__xludf.DUMMYFUNCTION("""COMPUTED_VALUE"""),5)</f>
        <v>5</v>
      </c>
      <c r="AT167" s="4">
        <f ca="1">IFERROR(__xludf.DUMMYFUNCTION("""COMPUTED_VALUE"""),5)</f>
        <v>5</v>
      </c>
      <c r="AU167" s="4">
        <f ca="1">IFERROR(__xludf.DUMMYFUNCTION("""COMPUTED_VALUE"""),5)</f>
        <v>5</v>
      </c>
      <c r="AV167" s="4">
        <f ca="1">IFERROR(__xludf.DUMMYFUNCTION("""COMPUTED_VALUE"""),5)</f>
        <v>5</v>
      </c>
      <c r="AW167" s="4">
        <f ca="1">IFERROR(__xludf.DUMMYFUNCTION("""COMPUTED_VALUE"""),5)</f>
        <v>5</v>
      </c>
      <c r="AX167" s="4">
        <f ca="1">IFERROR(__xludf.DUMMYFUNCTION("""COMPUTED_VALUE"""),5)</f>
        <v>5</v>
      </c>
      <c r="AY167" s="4">
        <f ca="1">IFERROR(__xludf.DUMMYFUNCTION("""COMPUTED_VALUE"""),5)</f>
        <v>5</v>
      </c>
      <c r="AZ167" s="4">
        <f ca="1">IFERROR(__xludf.DUMMYFUNCTION("""COMPUTED_VALUE"""),5)</f>
        <v>5</v>
      </c>
      <c r="BA167" s="4">
        <f ca="1">IFERROR(__xludf.DUMMYFUNCTION("""COMPUTED_VALUE"""),5)</f>
        <v>5</v>
      </c>
      <c r="BB167" s="4">
        <f ca="1">IFERROR(__xludf.DUMMYFUNCTION("""COMPUTED_VALUE"""),5)</f>
        <v>5</v>
      </c>
      <c r="BC167" s="4">
        <f ca="1">IFERROR(__xludf.DUMMYFUNCTION("""COMPUTED_VALUE"""),5)</f>
        <v>5</v>
      </c>
      <c r="BD167" s="4">
        <f ca="1">IFERROR(__xludf.DUMMYFUNCTION("""COMPUTED_VALUE"""),5)</f>
        <v>5</v>
      </c>
      <c r="BE167" s="4">
        <f ca="1">IFERROR(__xludf.DUMMYFUNCTION("""COMPUTED_VALUE"""),5)</f>
        <v>5</v>
      </c>
      <c r="BF167" s="4">
        <f ca="1">IFERROR(__xludf.DUMMYFUNCTION("""COMPUTED_VALUE"""),5)</f>
        <v>5</v>
      </c>
      <c r="BG167" s="4">
        <f ca="1">IFERROR(__xludf.DUMMYFUNCTION("""COMPUTED_VALUE"""),5)</f>
        <v>5</v>
      </c>
      <c r="BH167" s="4">
        <f ca="1">IFERROR(__xludf.DUMMYFUNCTION("""COMPUTED_VALUE"""),5)</f>
        <v>5</v>
      </c>
      <c r="BI167" s="4">
        <f ca="1">IFERROR(__xludf.DUMMYFUNCTION("""COMPUTED_VALUE"""),5)</f>
        <v>5</v>
      </c>
      <c r="BJ167" s="4">
        <f ca="1">IFERROR(__xludf.DUMMYFUNCTION("""COMPUTED_VALUE"""),5)</f>
        <v>5</v>
      </c>
      <c r="BK167" s="4">
        <f ca="1">IFERROR(__xludf.DUMMYFUNCTION("""COMPUTED_VALUE"""),5)</f>
        <v>5</v>
      </c>
      <c r="BL167" s="4">
        <f ca="1">IFERROR(__xludf.DUMMYFUNCTION("""COMPUTED_VALUE"""),5)</f>
        <v>5</v>
      </c>
      <c r="BM167" s="4">
        <f ca="1">IFERROR(__xludf.DUMMYFUNCTION("""COMPUTED_VALUE"""),5)</f>
        <v>5</v>
      </c>
      <c r="BN167" s="4">
        <f ca="1">IFERROR(__xludf.DUMMYFUNCTION("""COMPUTED_VALUE"""),5)</f>
        <v>5</v>
      </c>
      <c r="BO167" s="4">
        <f ca="1">IFERROR(__xludf.DUMMYFUNCTION("""COMPUTED_VALUE"""),5)</f>
        <v>5</v>
      </c>
      <c r="BP167" s="4">
        <f ca="1">IFERROR(__xludf.DUMMYFUNCTION("""COMPUTED_VALUE"""),5)</f>
        <v>5</v>
      </c>
    </row>
    <row r="168" spans="1:68" ht="13.2" x14ac:dyDescent="0.25">
      <c r="A168" s="4" t="str">
        <f ca="1">IFERROR(__xludf.DUMMYFUNCTION("""COMPUTED_VALUE"""),"2_ABaOnudqDTtVjqijuVgphY4xSM0je2Z5siUQFj76hTrVmLqvT6_4JszAKn7SCENWUg")</f>
        <v>2_ABaOnudqDTtVjqijuVgphY4xSM0je2Z5siUQFj76hTrVmLqvT6_4JszAKn7SCENWUg</v>
      </c>
      <c r="B168" s="5">
        <f ca="1">IFERROR(__xludf.DUMMYFUNCTION("""COMPUTED_VALUE"""),45975.3657433101)</f>
        <v>45975.365743310103</v>
      </c>
      <c r="C168" s="4" t="str">
        <f ca="1">IFERROR(__xludf.DUMMYFUNCTION("""COMPUTED_VALUE"""),"Nguyễn Quang Nhật")</f>
        <v>Nguyễn Quang Nhật</v>
      </c>
      <c r="D168" s="4" t="str">
        <f ca="1">IFERROR(__xludf.DUMMYFUNCTION("""COMPUTED_VALUE"""),"Nam")</f>
        <v>Nam</v>
      </c>
      <c r="E168" s="4" t="str">
        <f ca="1">IFERROR(__xludf.DUMMYFUNCTION("""COMPUTED_VALUE"""),"Công ty TNHH Kiểm toán và Tư vấn A&amp;C - Chi nhánh Tây Nam Bộ")</f>
        <v>Công ty TNHH Kiểm toán và Tư vấn A&amp;C - Chi nhánh Tây Nam Bộ</v>
      </c>
      <c r="F168" s="4" t="str">
        <f ca="1">IFERROR(__xludf.DUMMYFUNCTION("""COMPUTED_VALUE"""),"Đại học")</f>
        <v>Đại học</v>
      </c>
      <c r="G168" s="4" t="str">
        <f ca="1">IFERROR(__xludf.DUMMYFUNCTION("""COMPUTED_VALUE"""),"Từ 3 đến 5 năm")</f>
        <v>Từ 3 đến 5 năm</v>
      </c>
      <c r="H168" s="4" t="str">
        <f ca="1">IFERROR(__xludf.DUMMYFUNCTION("""COMPUTED_VALUE"""),"Trợ lý kiểm toán")</f>
        <v>Trợ lý kiểm toán</v>
      </c>
      <c r="I168" s="4">
        <f ca="1">IFERROR(__xludf.DUMMYFUNCTION("""COMPUTED_VALUE"""),5)</f>
        <v>5</v>
      </c>
      <c r="J168" s="4">
        <f ca="1">IFERROR(__xludf.DUMMYFUNCTION("""COMPUTED_VALUE"""),5)</f>
        <v>5</v>
      </c>
      <c r="K168" s="4">
        <f ca="1">IFERROR(__xludf.DUMMYFUNCTION("""COMPUTED_VALUE"""),5)</f>
        <v>5</v>
      </c>
      <c r="L168" s="4">
        <f ca="1">IFERROR(__xludf.DUMMYFUNCTION("""COMPUTED_VALUE"""),5)</f>
        <v>5</v>
      </c>
      <c r="M168" s="4">
        <f ca="1">IFERROR(__xludf.DUMMYFUNCTION("""COMPUTED_VALUE"""),5)</f>
        <v>5</v>
      </c>
      <c r="N168" s="4">
        <f ca="1">IFERROR(__xludf.DUMMYFUNCTION("""COMPUTED_VALUE"""),5)</f>
        <v>5</v>
      </c>
      <c r="O168" s="4">
        <f ca="1">IFERROR(__xludf.DUMMYFUNCTION("""COMPUTED_VALUE"""),5)</f>
        <v>5</v>
      </c>
      <c r="P168" s="4">
        <f ca="1">IFERROR(__xludf.DUMMYFUNCTION("""COMPUTED_VALUE"""),5)</f>
        <v>5</v>
      </c>
      <c r="Q168" s="4">
        <f ca="1">IFERROR(__xludf.DUMMYFUNCTION("""COMPUTED_VALUE"""),5)</f>
        <v>5</v>
      </c>
      <c r="R168" s="4">
        <f ca="1">IFERROR(__xludf.DUMMYFUNCTION("""COMPUTED_VALUE"""),5)</f>
        <v>5</v>
      </c>
      <c r="S168" s="4">
        <f ca="1">IFERROR(__xludf.DUMMYFUNCTION("""COMPUTED_VALUE"""),5)</f>
        <v>5</v>
      </c>
      <c r="T168" s="4">
        <f ca="1">IFERROR(__xludf.DUMMYFUNCTION("""COMPUTED_VALUE"""),5)</f>
        <v>5</v>
      </c>
      <c r="U168" s="4">
        <f ca="1">IFERROR(__xludf.DUMMYFUNCTION("""COMPUTED_VALUE"""),5)</f>
        <v>5</v>
      </c>
      <c r="V168" s="4">
        <f ca="1">IFERROR(__xludf.DUMMYFUNCTION("""COMPUTED_VALUE"""),5)</f>
        <v>5</v>
      </c>
      <c r="W168" s="4">
        <f ca="1">IFERROR(__xludf.DUMMYFUNCTION("""COMPUTED_VALUE"""),5)</f>
        <v>5</v>
      </c>
      <c r="X168" s="4">
        <f ca="1">IFERROR(__xludf.DUMMYFUNCTION("""COMPUTED_VALUE"""),5)</f>
        <v>5</v>
      </c>
      <c r="Y168" s="4">
        <f ca="1">IFERROR(__xludf.DUMMYFUNCTION("""COMPUTED_VALUE"""),5)</f>
        <v>5</v>
      </c>
      <c r="Z168" s="4">
        <f ca="1">IFERROR(__xludf.DUMMYFUNCTION("""COMPUTED_VALUE"""),5)</f>
        <v>5</v>
      </c>
      <c r="AA168" s="4">
        <f ca="1">IFERROR(__xludf.DUMMYFUNCTION("""COMPUTED_VALUE"""),5)</f>
        <v>5</v>
      </c>
      <c r="AB168" s="4">
        <f ca="1">IFERROR(__xludf.DUMMYFUNCTION("""COMPUTED_VALUE"""),5)</f>
        <v>5</v>
      </c>
      <c r="AC168" s="4">
        <f ca="1">IFERROR(__xludf.DUMMYFUNCTION("""COMPUTED_VALUE"""),5)</f>
        <v>5</v>
      </c>
      <c r="AD168" s="4">
        <f ca="1">IFERROR(__xludf.DUMMYFUNCTION("""COMPUTED_VALUE"""),4)</f>
        <v>4</v>
      </c>
      <c r="AE168" s="4">
        <f ca="1">IFERROR(__xludf.DUMMYFUNCTION("""COMPUTED_VALUE"""),5)</f>
        <v>5</v>
      </c>
      <c r="AF168" s="4">
        <f ca="1">IFERROR(__xludf.DUMMYFUNCTION("""COMPUTED_VALUE"""),5)</f>
        <v>5</v>
      </c>
      <c r="AG168" s="4">
        <f ca="1">IFERROR(__xludf.DUMMYFUNCTION("""COMPUTED_VALUE"""),5)</f>
        <v>5</v>
      </c>
      <c r="AH168" s="4">
        <f ca="1">IFERROR(__xludf.DUMMYFUNCTION("""COMPUTED_VALUE"""),5)</f>
        <v>5</v>
      </c>
      <c r="AI168" s="4">
        <f ca="1">IFERROR(__xludf.DUMMYFUNCTION("""COMPUTED_VALUE"""),4)</f>
        <v>4</v>
      </c>
      <c r="AJ168" s="4">
        <f ca="1">IFERROR(__xludf.DUMMYFUNCTION("""COMPUTED_VALUE"""),5)</f>
        <v>5</v>
      </c>
      <c r="AK168" s="4">
        <f ca="1">IFERROR(__xludf.DUMMYFUNCTION("""COMPUTED_VALUE"""),5)</f>
        <v>5</v>
      </c>
      <c r="AL168" s="4">
        <f ca="1">IFERROR(__xludf.DUMMYFUNCTION("""COMPUTED_VALUE"""),5)</f>
        <v>5</v>
      </c>
      <c r="AM168" s="4">
        <f ca="1">IFERROR(__xludf.DUMMYFUNCTION("""COMPUTED_VALUE"""),5)</f>
        <v>5</v>
      </c>
      <c r="AN168" s="4">
        <f ca="1">IFERROR(__xludf.DUMMYFUNCTION("""COMPUTED_VALUE"""),5)</f>
        <v>5</v>
      </c>
      <c r="AO168" s="4">
        <f ca="1">IFERROR(__xludf.DUMMYFUNCTION("""COMPUTED_VALUE"""),5)</f>
        <v>5</v>
      </c>
      <c r="AP168" s="4">
        <f ca="1">IFERROR(__xludf.DUMMYFUNCTION("""COMPUTED_VALUE"""),5)</f>
        <v>5</v>
      </c>
      <c r="AQ168" s="4">
        <f ca="1">IFERROR(__xludf.DUMMYFUNCTION("""COMPUTED_VALUE"""),5)</f>
        <v>5</v>
      </c>
      <c r="AR168" s="4">
        <f ca="1">IFERROR(__xludf.DUMMYFUNCTION("""COMPUTED_VALUE"""),5)</f>
        <v>5</v>
      </c>
      <c r="AS168" s="4">
        <f ca="1">IFERROR(__xludf.DUMMYFUNCTION("""COMPUTED_VALUE"""),5)</f>
        <v>5</v>
      </c>
      <c r="AT168" s="4">
        <f ca="1">IFERROR(__xludf.DUMMYFUNCTION("""COMPUTED_VALUE"""),5)</f>
        <v>5</v>
      </c>
      <c r="AU168" s="4">
        <f ca="1">IFERROR(__xludf.DUMMYFUNCTION("""COMPUTED_VALUE"""),5)</f>
        <v>5</v>
      </c>
      <c r="AV168" s="4">
        <f ca="1">IFERROR(__xludf.DUMMYFUNCTION("""COMPUTED_VALUE"""),5)</f>
        <v>5</v>
      </c>
      <c r="AW168" s="4">
        <f ca="1">IFERROR(__xludf.DUMMYFUNCTION("""COMPUTED_VALUE"""),5)</f>
        <v>5</v>
      </c>
      <c r="AX168" s="4">
        <f ca="1">IFERROR(__xludf.DUMMYFUNCTION("""COMPUTED_VALUE"""),5)</f>
        <v>5</v>
      </c>
      <c r="AY168" s="4">
        <f ca="1">IFERROR(__xludf.DUMMYFUNCTION("""COMPUTED_VALUE"""),5)</f>
        <v>5</v>
      </c>
      <c r="AZ168" s="4">
        <f ca="1">IFERROR(__xludf.DUMMYFUNCTION("""COMPUTED_VALUE"""),5)</f>
        <v>5</v>
      </c>
      <c r="BA168" s="4">
        <f ca="1">IFERROR(__xludf.DUMMYFUNCTION("""COMPUTED_VALUE"""),5)</f>
        <v>5</v>
      </c>
      <c r="BB168" s="4">
        <f ca="1">IFERROR(__xludf.DUMMYFUNCTION("""COMPUTED_VALUE"""),5)</f>
        <v>5</v>
      </c>
      <c r="BC168" s="4">
        <f ca="1">IFERROR(__xludf.DUMMYFUNCTION("""COMPUTED_VALUE"""),5)</f>
        <v>5</v>
      </c>
      <c r="BD168" s="4">
        <f ca="1">IFERROR(__xludf.DUMMYFUNCTION("""COMPUTED_VALUE"""),5)</f>
        <v>5</v>
      </c>
      <c r="BE168" s="4">
        <f ca="1">IFERROR(__xludf.DUMMYFUNCTION("""COMPUTED_VALUE"""),5)</f>
        <v>5</v>
      </c>
      <c r="BF168" s="4">
        <f ca="1">IFERROR(__xludf.DUMMYFUNCTION("""COMPUTED_VALUE"""),5)</f>
        <v>5</v>
      </c>
      <c r="BG168" s="4">
        <f ca="1">IFERROR(__xludf.DUMMYFUNCTION("""COMPUTED_VALUE"""),5)</f>
        <v>5</v>
      </c>
      <c r="BH168" s="4">
        <f ca="1">IFERROR(__xludf.DUMMYFUNCTION("""COMPUTED_VALUE"""),5)</f>
        <v>5</v>
      </c>
      <c r="BI168" s="4">
        <f ca="1">IFERROR(__xludf.DUMMYFUNCTION("""COMPUTED_VALUE"""),5)</f>
        <v>5</v>
      </c>
      <c r="BJ168" s="4">
        <f ca="1">IFERROR(__xludf.DUMMYFUNCTION("""COMPUTED_VALUE"""),5)</f>
        <v>5</v>
      </c>
      <c r="BK168" s="4">
        <f ca="1">IFERROR(__xludf.DUMMYFUNCTION("""COMPUTED_VALUE"""),5)</f>
        <v>5</v>
      </c>
      <c r="BL168" s="4">
        <f ca="1">IFERROR(__xludf.DUMMYFUNCTION("""COMPUTED_VALUE"""),5)</f>
        <v>5</v>
      </c>
      <c r="BM168" s="4">
        <f ca="1">IFERROR(__xludf.DUMMYFUNCTION("""COMPUTED_VALUE"""),5)</f>
        <v>5</v>
      </c>
      <c r="BN168" s="4">
        <f ca="1">IFERROR(__xludf.DUMMYFUNCTION("""COMPUTED_VALUE"""),5)</f>
        <v>5</v>
      </c>
      <c r="BO168" s="4">
        <f ca="1">IFERROR(__xludf.DUMMYFUNCTION("""COMPUTED_VALUE"""),5)</f>
        <v>5</v>
      </c>
      <c r="BP168" s="4">
        <f ca="1">IFERROR(__xludf.DUMMYFUNCTION("""COMPUTED_VALUE"""),5)</f>
        <v>5</v>
      </c>
    </row>
    <row r="169" spans="1:68" ht="13.2" x14ac:dyDescent="0.25">
      <c r="A169" s="4" t="str">
        <f ca="1">IFERROR(__xludf.DUMMYFUNCTION("""COMPUTED_VALUE"""),"2_ABaOnudRMzUXkimlaDZf1-SJ0o_NV7dZyFE0zbAykcWDUpciVVD3R3W8YKLRLb2Y2Q")</f>
        <v>2_ABaOnudRMzUXkimlaDZf1-SJ0o_NV7dZyFE0zbAykcWDUpciVVD3R3W8YKLRLb2Y2Q</v>
      </c>
      <c r="B169" s="5">
        <f ca="1">IFERROR(__xludf.DUMMYFUNCTION("""COMPUTED_VALUE"""),45975.3667100694)</f>
        <v>45975.3667100694</v>
      </c>
      <c r="C169" s="4" t="str">
        <f ca="1">IFERROR(__xludf.DUMMYFUNCTION("""COMPUTED_VALUE"""),"Nguyễn Thị Ngọc Hân")</f>
        <v>Nguyễn Thị Ngọc Hân</v>
      </c>
      <c r="D169" s="4" t="str">
        <f ca="1">IFERROR(__xludf.DUMMYFUNCTION("""COMPUTED_VALUE"""),"Nữ")</f>
        <v>Nữ</v>
      </c>
      <c r="E169" s="4" t="str">
        <f ca="1">IFERROR(__xludf.DUMMYFUNCTION("""COMPUTED_VALUE"""),"Công ty TNHH Kiểm toán và Tư vấn A &amp; C - Chi nhánh Tây Nam Bộ")</f>
        <v>Công ty TNHH Kiểm toán và Tư vấn A &amp; C - Chi nhánh Tây Nam Bộ</v>
      </c>
      <c r="F169" s="4" t="str">
        <f ca="1">IFERROR(__xludf.DUMMYFUNCTION("""COMPUTED_VALUE"""),"Đại học")</f>
        <v>Đại học</v>
      </c>
      <c r="G169" s="4" t="str">
        <f ca="1">IFERROR(__xludf.DUMMYFUNCTION("""COMPUTED_VALUE"""),"Từ 3 đến 5 năm")</f>
        <v>Từ 3 đến 5 năm</v>
      </c>
      <c r="H169" s="4" t="str">
        <f ca="1">IFERROR(__xludf.DUMMYFUNCTION("""COMPUTED_VALUE"""),"Kiểm toán viên/Trưởng nhóm")</f>
        <v>Kiểm toán viên/Trưởng nhóm</v>
      </c>
      <c r="I169" s="4">
        <f ca="1">IFERROR(__xludf.DUMMYFUNCTION("""COMPUTED_VALUE"""),5)</f>
        <v>5</v>
      </c>
      <c r="J169" s="4">
        <f ca="1">IFERROR(__xludf.DUMMYFUNCTION("""COMPUTED_VALUE"""),5)</f>
        <v>5</v>
      </c>
      <c r="K169" s="4">
        <f ca="1">IFERROR(__xludf.DUMMYFUNCTION("""COMPUTED_VALUE"""),4)</f>
        <v>4</v>
      </c>
      <c r="L169" s="4">
        <f ca="1">IFERROR(__xludf.DUMMYFUNCTION("""COMPUTED_VALUE"""),5)</f>
        <v>5</v>
      </c>
      <c r="M169" s="4">
        <f ca="1">IFERROR(__xludf.DUMMYFUNCTION("""COMPUTED_VALUE"""),5)</f>
        <v>5</v>
      </c>
      <c r="N169" s="4">
        <f ca="1">IFERROR(__xludf.DUMMYFUNCTION("""COMPUTED_VALUE"""),5)</f>
        <v>5</v>
      </c>
      <c r="O169" s="4">
        <f ca="1">IFERROR(__xludf.DUMMYFUNCTION("""COMPUTED_VALUE"""),5)</f>
        <v>5</v>
      </c>
      <c r="P169" s="4">
        <f ca="1">IFERROR(__xludf.DUMMYFUNCTION("""COMPUTED_VALUE"""),5)</f>
        <v>5</v>
      </c>
      <c r="Q169" s="4">
        <f ca="1">IFERROR(__xludf.DUMMYFUNCTION("""COMPUTED_VALUE"""),5)</f>
        <v>5</v>
      </c>
      <c r="R169" s="4">
        <f ca="1">IFERROR(__xludf.DUMMYFUNCTION("""COMPUTED_VALUE"""),5)</f>
        <v>5</v>
      </c>
      <c r="S169" s="4">
        <f ca="1">IFERROR(__xludf.DUMMYFUNCTION("""COMPUTED_VALUE"""),5)</f>
        <v>5</v>
      </c>
      <c r="T169" s="4">
        <f ca="1">IFERROR(__xludf.DUMMYFUNCTION("""COMPUTED_VALUE"""),5)</f>
        <v>5</v>
      </c>
      <c r="U169" s="4">
        <f ca="1">IFERROR(__xludf.DUMMYFUNCTION("""COMPUTED_VALUE"""),5)</f>
        <v>5</v>
      </c>
      <c r="V169" s="4">
        <f ca="1">IFERROR(__xludf.DUMMYFUNCTION("""COMPUTED_VALUE"""),5)</f>
        <v>5</v>
      </c>
      <c r="W169" s="4">
        <f ca="1">IFERROR(__xludf.DUMMYFUNCTION("""COMPUTED_VALUE"""),5)</f>
        <v>5</v>
      </c>
      <c r="X169" s="4">
        <f ca="1">IFERROR(__xludf.DUMMYFUNCTION("""COMPUTED_VALUE"""),5)</f>
        <v>5</v>
      </c>
      <c r="Y169" s="4">
        <f ca="1">IFERROR(__xludf.DUMMYFUNCTION("""COMPUTED_VALUE"""),5)</f>
        <v>5</v>
      </c>
      <c r="Z169" s="4">
        <f ca="1">IFERROR(__xludf.DUMMYFUNCTION("""COMPUTED_VALUE"""),5)</f>
        <v>5</v>
      </c>
      <c r="AA169" s="4">
        <f ca="1">IFERROR(__xludf.DUMMYFUNCTION("""COMPUTED_VALUE"""),5)</f>
        <v>5</v>
      </c>
      <c r="AB169" s="4">
        <f ca="1">IFERROR(__xludf.DUMMYFUNCTION("""COMPUTED_VALUE"""),5)</f>
        <v>5</v>
      </c>
      <c r="AC169" s="4">
        <f ca="1">IFERROR(__xludf.DUMMYFUNCTION("""COMPUTED_VALUE"""),5)</f>
        <v>5</v>
      </c>
      <c r="AD169" s="4">
        <f ca="1">IFERROR(__xludf.DUMMYFUNCTION("""COMPUTED_VALUE"""),5)</f>
        <v>5</v>
      </c>
      <c r="AE169" s="4">
        <f ca="1">IFERROR(__xludf.DUMMYFUNCTION("""COMPUTED_VALUE"""),5)</f>
        <v>5</v>
      </c>
      <c r="AF169" s="4">
        <f ca="1">IFERROR(__xludf.DUMMYFUNCTION("""COMPUTED_VALUE"""),5)</f>
        <v>5</v>
      </c>
      <c r="AG169" s="4">
        <f ca="1">IFERROR(__xludf.DUMMYFUNCTION("""COMPUTED_VALUE"""),5)</f>
        <v>5</v>
      </c>
      <c r="AH169" s="4">
        <f ca="1">IFERROR(__xludf.DUMMYFUNCTION("""COMPUTED_VALUE"""),5)</f>
        <v>5</v>
      </c>
      <c r="AI169" s="4">
        <f ca="1">IFERROR(__xludf.DUMMYFUNCTION("""COMPUTED_VALUE"""),5)</f>
        <v>5</v>
      </c>
      <c r="AJ169" s="4">
        <f ca="1">IFERROR(__xludf.DUMMYFUNCTION("""COMPUTED_VALUE"""),5)</f>
        <v>5</v>
      </c>
      <c r="AK169" s="4">
        <f ca="1">IFERROR(__xludf.DUMMYFUNCTION("""COMPUTED_VALUE"""),5)</f>
        <v>5</v>
      </c>
      <c r="AL169" s="4">
        <f ca="1">IFERROR(__xludf.DUMMYFUNCTION("""COMPUTED_VALUE"""),5)</f>
        <v>5</v>
      </c>
      <c r="AM169" s="4">
        <f ca="1">IFERROR(__xludf.DUMMYFUNCTION("""COMPUTED_VALUE"""),5)</f>
        <v>5</v>
      </c>
      <c r="AN169" s="4">
        <f ca="1">IFERROR(__xludf.DUMMYFUNCTION("""COMPUTED_VALUE"""),5)</f>
        <v>5</v>
      </c>
      <c r="AO169" s="4">
        <f ca="1">IFERROR(__xludf.DUMMYFUNCTION("""COMPUTED_VALUE"""),4)</f>
        <v>4</v>
      </c>
      <c r="AP169" s="4">
        <f ca="1">IFERROR(__xludf.DUMMYFUNCTION("""COMPUTED_VALUE"""),4)</f>
        <v>4</v>
      </c>
      <c r="AQ169" s="4">
        <f ca="1">IFERROR(__xludf.DUMMYFUNCTION("""COMPUTED_VALUE"""),5)</f>
        <v>5</v>
      </c>
      <c r="AR169" s="4">
        <f ca="1">IFERROR(__xludf.DUMMYFUNCTION("""COMPUTED_VALUE"""),3)</f>
        <v>3</v>
      </c>
      <c r="AS169" s="4">
        <f ca="1">IFERROR(__xludf.DUMMYFUNCTION("""COMPUTED_VALUE"""),3)</f>
        <v>3</v>
      </c>
      <c r="AT169" s="4">
        <f ca="1">IFERROR(__xludf.DUMMYFUNCTION("""COMPUTED_VALUE"""),3)</f>
        <v>3</v>
      </c>
      <c r="AU169" s="4">
        <f ca="1">IFERROR(__xludf.DUMMYFUNCTION("""COMPUTED_VALUE"""),4)</f>
        <v>4</v>
      </c>
      <c r="AV169" s="4">
        <f ca="1">IFERROR(__xludf.DUMMYFUNCTION("""COMPUTED_VALUE"""),4)</f>
        <v>4</v>
      </c>
      <c r="AW169" s="4">
        <f ca="1">IFERROR(__xludf.DUMMYFUNCTION("""COMPUTED_VALUE"""),4)</f>
        <v>4</v>
      </c>
      <c r="AX169" s="4">
        <f ca="1">IFERROR(__xludf.DUMMYFUNCTION("""COMPUTED_VALUE"""),5)</f>
        <v>5</v>
      </c>
      <c r="AY169" s="4">
        <f ca="1">IFERROR(__xludf.DUMMYFUNCTION("""COMPUTED_VALUE"""),5)</f>
        <v>5</v>
      </c>
      <c r="AZ169" s="4">
        <f ca="1">IFERROR(__xludf.DUMMYFUNCTION("""COMPUTED_VALUE"""),5)</f>
        <v>5</v>
      </c>
      <c r="BA169" s="4">
        <f ca="1">IFERROR(__xludf.DUMMYFUNCTION("""COMPUTED_VALUE"""),5)</f>
        <v>5</v>
      </c>
      <c r="BB169" s="4">
        <f ca="1">IFERROR(__xludf.DUMMYFUNCTION("""COMPUTED_VALUE"""),5)</f>
        <v>5</v>
      </c>
      <c r="BC169" s="4">
        <f ca="1">IFERROR(__xludf.DUMMYFUNCTION("""COMPUTED_VALUE"""),5)</f>
        <v>5</v>
      </c>
      <c r="BD169" s="4">
        <f ca="1">IFERROR(__xludf.DUMMYFUNCTION("""COMPUTED_VALUE"""),5)</f>
        <v>5</v>
      </c>
      <c r="BE169" s="4">
        <f ca="1">IFERROR(__xludf.DUMMYFUNCTION("""COMPUTED_VALUE"""),5)</f>
        <v>5</v>
      </c>
      <c r="BF169" s="4">
        <f ca="1">IFERROR(__xludf.DUMMYFUNCTION("""COMPUTED_VALUE"""),5)</f>
        <v>5</v>
      </c>
      <c r="BG169" s="4">
        <f ca="1">IFERROR(__xludf.DUMMYFUNCTION("""COMPUTED_VALUE"""),5)</f>
        <v>5</v>
      </c>
      <c r="BH169" s="4">
        <f ca="1">IFERROR(__xludf.DUMMYFUNCTION("""COMPUTED_VALUE"""),5)</f>
        <v>5</v>
      </c>
      <c r="BI169" s="4">
        <f ca="1">IFERROR(__xludf.DUMMYFUNCTION("""COMPUTED_VALUE"""),5)</f>
        <v>5</v>
      </c>
      <c r="BJ169" s="4">
        <f ca="1">IFERROR(__xludf.DUMMYFUNCTION("""COMPUTED_VALUE"""),5)</f>
        <v>5</v>
      </c>
      <c r="BK169" s="4">
        <f ca="1">IFERROR(__xludf.DUMMYFUNCTION("""COMPUTED_VALUE"""),5)</f>
        <v>5</v>
      </c>
      <c r="BL169" s="4">
        <f ca="1">IFERROR(__xludf.DUMMYFUNCTION("""COMPUTED_VALUE"""),5)</f>
        <v>5</v>
      </c>
      <c r="BM169" s="4">
        <f ca="1">IFERROR(__xludf.DUMMYFUNCTION("""COMPUTED_VALUE"""),5)</f>
        <v>5</v>
      </c>
      <c r="BN169" s="4">
        <f ca="1">IFERROR(__xludf.DUMMYFUNCTION("""COMPUTED_VALUE"""),5)</f>
        <v>5</v>
      </c>
      <c r="BO169" s="4">
        <f ca="1">IFERROR(__xludf.DUMMYFUNCTION("""COMPUTED_VALUE"""),5)</f>
        <v>5</v>
      </c>
      <c r="BP169" s="4">
        <f ca="1">IFERROR(__xludf.DUMMYFUNCTION("""COMPUTED_VALUE"""),5)</f>
        <v>5</v>
      </c>
    </row>
    <row r="170" spans="1:68" ht="13.2" x14ac:dyDescent="0.25">
      <c r="A170" s="4" t="str">
        <f ca="1">IFERROR(__xludf.DUMMYFUNCTION("""COMPUTED_VALUE"""),"2_ABaOnudPFLyO3oznsQkPRU29906ib8pT-RMRjpAHD9d8LyIZrMU5z5pZjvCUzxz2iQ")</f>
        <v>2_ABaOnudPFLyO3oznsQkPRU29906ib8pT-RMRjpAHD9d8LyIZrMU5z5pZjvCUzxz2iQ</v>
      </c>
      <c r="B170" s="5">
        <f ca="1">IFERROR(__xludf.DUMMYFUNCTION("""COMPUTED_VALUE"""),45975.3687034027)</f>
        <v>45975.368703402703</v>
      </c>
      <c r="C170" s="4" t="str">
        <f ca="1">IFERROR(__xludf.DUMMYFUNCTION("""COMPUTED_VALUE"""),"Thiều Thị Bảo Nhi")</f>
        <v>Thiều Thị Bảo Nhi</v>
      </c>
      <c r="D170" s="4" t="str">
        <f ca="1">IFERROR(__xludf.DUMMYFUNCTION("""COMPUTED_VALUE"""),"Nữ")</f>
        <v>Nữ</v>
      </c>
      <c r="E170" s="4" t="str">
        <f ca="1">IFERROR(__xludf.DUMMYFUNCTION("""COMPUTED_VALUE"""),"Công ty TNHH Kiểm toán và Tư vấn A&amp;C - Chi nhánh Tây Nam Bộ")</f>
        <v>Công ty TNHH Kiểm toán và Tư vấn A&amp;C - Chi nhánh Tây Nam Bộ</v>
      </c>
      <c r="F170" s="4" t="str">
        <f ca="1">IFERROR(__xludf.DUMMYFUNCTION("""COMPUTED_VALUE"""),"Đại học, Chứng chỉ Kiểm toán viên")</f>
        <v>Đại học, Chứng chỉ Kiểm toán viên</v>
      </c>
      <c r="G170" s="4" t="str">
        <f ca="1">IFERROR(__xludf.DUMMYFUNCTION("""COMPUTED_VALUE"""),"Trên 5 đến 10 năm")</f>
        <v>Trên 5 đến 10 năm</v>
      </c>
      <c r="H170" s="4" t="str">
        <f ca="1">IFERROR(__xludf.DUMMYFUNCTION("""COMPUTED_VALUE"""),"Trưởng phòng")</f>
        <v>Trưởng phòng</v>
      </c>
      <c r="I170" s="4">
        <f ca="1">IFERROR(__xludf.DUMMYFUNCTION("""COMPUTED_VALUE"""),5)</f>
        <v>5</v>
      </c>
      <c r="J170" s="4">
        <f ca="1">IFERROR(__xludf.DUMMYFUNCTION("""COMPUTED_VALUE"""),5)</f>
        <v>5</v>
      </c>
      <c r="K170" s="4">
        <f ca="1">IFERROR(__xludf.DUMMYFUNCTION("""COMPUTED_VALUE"""),5)</f>
        <v>5</v>
      </c>
      <c r="L170" s="4">
        <f ca="1">IFERROR(__xludf.DUMMYFUNCTION("""COMPUTED_VALUE"""),5)</f>
        <v>5</v>
      </c>
      <c r="M170" s="4">
        <f ca="1">IFERROR(__xludf.DUMMYFUNCTION("""COMPUTED_VALUE"""),5)</f>
        <v>5</v>
      </c>
      <c r="N170" s="4">
        <f ca="1">IFERROR(__xludf.DUMMYFUNCTION("""COMPUTED_VALUE"""),5)</f>
        <v>5</v>
      </c>
      <c r="O170" s="4">
        <f ca="1">IFERROR(__xludf.DUMMYFUNCTION("""COMPUTED_VALUE"""),5)</f>
        <v>5</v>
      </c>
      <c r="P170" s="4">
        <f ca="1">IFERROR(__xludf.DUMMYFUNCTION("""COMPUTED_VALUE"""),5)</f>
        <v>5</v>
      </c>
      <c r="Q170" s="4">
        <f ca="1">IFERROR(__xludf.DUMMYFUNCTION("""COMPUTED_VALUE"""),5)</f>
        <v>5</v>
      </c>
      <c r="R170" s="4">
        <f ca="1">IFERROR(__xludf.DUMMYFUNCTION("""COMPUTED_VALUE"""),5)</f>
        <v>5</v>
      </c>
      <c r="S170" s="4">
        <f ca="1">IFERROR(__xludf.DUMMYFUNCTION("""COMPUTED_VALUE"""),5)</f>
        <v>5</v>
      </c>
      <c r="T170" s="4">
        <f ca="1">IFERROR(__xludf.DUMMYFUNCTION("""COMPUTED_VALUE"""),5)</f>
        <v>5</v>
      </c>
      <c r="U170" s="4">
        <f ca="1">IFERROR(__xludf.DUMMYFUNCTION("""COMPUTED_VALUE"""),5)</f>
        <v>5</v>
      </c>
      <c r="V170" s="4">
        <f ca="1">IFERROR(__xludf.DUMMYFUNCTION("""COMPUTED_VALUE"""),5)</f>
        <v>5</v>
      </c>
      <c r="W170" s="4">
        <f ca="1">IFERROR(__xludf.DUMMYFUNCTION("""COMPUTED_VALUE"""),4)</f>
        <v>4</v>
      </c>
      <c r="X170" s="4">
        <f ca="1">IFERROR(__xludf.DUMMYFUNCTION("""COMPUTED_VALUE"""),4)</f>
        <v>4</v>
      </c>
      <c r="Y170" s="4">
        <f ca="1">IFERROR(__xludf.DUMMYFUNCTION("""COMPUTED_VALUE"""),3)</f>
        <v>3</v>
      </c>
      <c r="Z170" s="4">
        <f ca="1">IFERROR(__xludf.DUMMYFUNCTION("""COMPUTED_VALUE"""),4)</f>
        <v>4</v>
      </c>
      <c r="AA170" s="4">
        <f ca="1">IFERROR(__xludf.DUMMYFUNCTION("""COMPUTED_VALUE"""),4)</f>
        <v>4</v>
      </c>
      <c r="AB170" s="4">
        <f ca="1">IFERROR(__xludf.DUMMYFUNCTION("""COMPUTED_VALUE"""),5)</f>
        <v>5</v>
      </c>
      <c r="AC170" s="4">
        <f ca="1">IFERROR(__xludf.DUMMYFUNCTION("""COMPUTED_VALUE"""),5)</f>
        <v>5</v>
      </c>
      <c r="AD170" s="4">
        <f ca="1">IFERROR(__xludf.DUMMYFUNCTION("""COMPUTED_VALUE"""),3)</f>
        <v>3</v>
      </c>
      <c r="AE170" s="4">
        <f ca="1">IFERROR(__xludf.DUMMYFUNCTION("""COMPUTED_VALUE"""),5)</f>
        <v>5</v>
      </c>
      <c r="AF170" s="4">
        <f ca="1">IFERROR(__xludf.DUMMYFUNCTION("""COMPUTED_VALUE"""),4)</f>
        <v>4</v>
      </c>
      <c r="AG170" s="4">
        <f ca="1">IFERROR(__xludf.DUMMYFUNCTION("""COMPUTED_VALUE"""),4)</f>
        <v>4</v>
      </c>
      <c r="AH170" s="4">
        <f ca="1">IFERROR(__xludf.DUMMYFUNCTION("""COMPUTED_VALUE"""),3)</f>
        <v>3</v>
      </c>
      <c r="AI170" s="4">
        <f ca="1">IFERROR(__xludf.DUMMYFUNCTION("""COMPUTED_VALUE"""),4)</f>
        <v>4</v>
      </c>
      <c r="AJ170" s="4">
        <f ca="1">IFERROR(__xludf.DUMMYFUNCTION("""COMPUTED_VALUE"""),5)</f>
        <v>5</v>
      </c>
      <c r="AK170" s="4">
        <f ca="1">IFERROR(__xludf.DUMMYFUNCTION("""COMPUTED_VALUE"""),5)</f>
        <v>5</v>
      </c>
      <c r="AL170" s="4">
        <f ca="1">IFERROR(__xludf.DUMMYFUNCTION("""COMPUTED_VALUE"""),5)</f>
        <v>5</v>
      </c>
      <c r="AM170" s="4">
        <f ca="1">IFERROR(__xludf.DUMMYFUNCTION("""COMPUTED_VALUE"""),5)</f>
        <v>5</v>
      </c>
      <c r="AN170" s="4">
        <f ca="1">IFERROR(__xludf.DUMMYFUNCTION("""COMPUTED_VALUE"""),5)</f>
        <v>5</v>
      </c>
      <c r="AO170" s="4">
        <f ca="1">IFERROR(__xludf.DUMMYFUNCTION("""COMPUTED_VALUE"""),4)</f>
        <v>4</v>
      </c>
      <c r="AP170" s="4">
        <f ca="1">IFERROR(__xludf.DUMMYFUNCTION("""COMPUTED_VALUE"""),3)</f>
        <v>3</v>
      </c>
      <c r="AQ170" s="4">
        <f ca="1">IFERROR(__xludf.DUMMYFUNCTION("""COMPUTED_VALUE"""),4)</f>
        <v>4</v>
      </c>
      <c r="AR170" s="4">
        <f ca="1">IFERROR(__xludf.DUMMYFUNCTION("""COMPUTED_VALUE"""),3)</f>
        <v>3</v>
      </c>
      <c r="AS170" s="4">
        <f ca="1">IFERROR(__xludf.DUMMYFUNCTION("""COMPUTED_VALUE"""),3)</f>
        <v>3</v>
      </c>
      <c r="AT170" s="4">
        <f ca="1">IFERROR(__xludf.DUMMYFUNCTION("""COMPUTED_VALUE"""),4)</f>
        <v>4</v>
      </c>
      <c r="AU170" s="4">
        <f ca="1">IFERROR(__xludf.DUMMYFUNCTION("""COMPUTED_VALUE"""),3)</f>
        <v>3</v>
      </c>
      <c r="AV170" s="4">
        <f ca="1">IFERROR(__xludf.DUMMYFUNCTION("""COMPUTED_VALUE"""),4)</f>
        <v>4</v>
      </c>
      <c r="AW170" s="4">
        <f ca="1">IFERROR(__xludf.DUMMYFUNCTION("""COMPUTED_VALUE"""),4)</f>
        <v>4</v>
      </c>
      <c r="AX170" s="4">
        <f ca="1">IFERROR(__xludf.DUMMYFUNCTION("""COMPUTED_VALUE"""),5)</f>
        <v>5</v>
      </c>
      <c r="AY170" s="4">
        <f ca="1">IFERROR(__xludf.DUMMYFUNCTION("""COMPUTED_VALUE"""),5)</f>
        <v>5</v>
      </c>
      <c r="AZ170" s="4">
        <f ca="1">IFERROR(__xludf.DUMMYFUNCTION("""COMPUTED_VALUE"""),5)</f>
        <v>5</v>
      </c>
      <c r="BA170" s="4">
        <f ca="1">IFERROR(__xludf.DUMMYFUNCTION("""COMPUTED_VALUE"""),5)</f>
        <v>5</v>
      </c>
      <c r="BB170" s="4">
        <f ca="1">IFERROR(__xludf.DUMMYFUNCTION("""COMPUTED_VALUE"""),1)</f>
        <v>1</v>
      </c>
      <c r="BC170" s="4">
        <f ca="1">IFERROR(__xludf.DUMMYFUNCTION("""COMPUTED_VALUE"""),1)</f>
        <v>1</v>
      </c>
      <c r="BD170" s="4">
        <f ca="1">IFERROR(__xludf.DUMMYFUNCTION("""COMPUTED_VALUE"""),3)</f>
        <v>3</v>
      </c>
      <c r="BE170" s="4">
        <f ca="1">IFERROR(__xludf.DUMMYFUNCTION("""COMPUTED_VALUE"""),3)</f>
        <v>3</v>
      </c>
      <c r="BF170" s="4">
        <f ca="1">IFERROR(__xludf.DUMMYFUNCTION("""COMPUTED_VALUE"""),3)</f>
        <v>3</v>
      </c>
      <c r="BG170" s="4">
        <f ca="1">IFERROR(__xludf.DUMMYFUNCTION("""COMPUTED_VALUE"""),3)</f>
        <v>3</v>
      </c>
      <c r="BH170" s="4">
        <f ca="1">IFERROR(__xludf.DUMMYFUNCTION("""COMPUTED_VALUE"""),3)</f>
        <v>3</v>
      </c>
      <c r="BI170" s="4">
        <f ca="1">IFERROR(__xludf.DUMMYFUNCTION("""COMPUTED_VALUE"""),3)</f>
        <v>3</v>
      </c>
      <c r="BJ170" s="4">
        <f ca="1">IFERROR(__xludf.DUMMYFUNCTION("""COMPUTED_VALUE"""),3)</f>
        <v>3</v>
      </c>
      <c r="BK170" s="4">
        <f ca="1">IFERROR(__xludf.DUMMYFUNCTION("""COMPUTED_VALUE"""),5)</f>
        <v>5</v>
      </c>
      <c r="BL170" s="4">
        <f ca="1">IFERROR(__xludf.DUMMYFUNCTION("""COMPUTED_VALUE"""),4)</f>
        <v>4</v>
      </c>
      <c r="BM170" s="4">
        <f ca="1">IFERROR(__xludf.DUMMYFUNCTION("""COMPUTED_VALUE"""),4)</f>
        <v>4</v>
      </c>
      <c r="BN170" s="4">
        <f ca="1">IFERROR(__xludf.DUMMYFUNCTION("""COMPUTED_VALUE"""),4)</f>
        <v>4</v>
      </c>
      <c r="BO170" s="4">
        <f ca="1">IFERROR(__xludf.DUMMYFUNCTION("""COMPUTED_VALUE"""),4)</f>
        <v>4</v>
      </c>
      <c r="BP170" s="4">
        <f ca="1">IFERROR(__xludf.DUMMYFUNCTION("""COMPUTED_VALUE"""),4)</f>
        <v>4</v>
      </c>
    </row>
    <row r="171" spans="1:68" ht="13.2" x14ac:dyDescent="0.25">
      <c r="A171" s="4" t="str">
        <f ca="1">IFERROR(__xludf.DUMMYFUNCTION("""COMPUTED_VALUE"""),"2_ABaOnudrtyzQtvB0idXLxSEepEA0Av4q8vBkQrYOY-0Cn51ZfXhcC_69S0XtZWOE1w")</f>
        <v>2_ABaOnudrtyzQtvB0idXLxSEepEA0Av4q8vBkQrYOY-0Cn51ZfXhcC_69S0XtZWOE1w</v>
      </c>
      <c r="B171" s="5">
        <f ca="1">IFERROR(__xludf.DUMMYFUNCTION("""COMPUTED_VALUE"""),45975.3691235185)</f>
        <v>45975.369123518503</v>
      </c>
      <c r="C171" s="4" t="str">
        <f ca="1">IFERROR(__xludf.DUMMYFUNCTION("""COMPUTED_VALUE"""),"Dương Bé Phương")</f>
        <v>Dương Bé Phương</v>
      </c>
      <c r="D171" s="4" t="str">
        <f ca="1">IFERROR(__xludf.DUMMYFUNCTION("""COMPUTED_VALUE"""),"Nữ")</f>
        <v>Nữ</v>
      </c>
      <c r="E171" s="4" t="str">
        <f ca="1">IFERROR(__xludf.DUMMYFUNCTION("""COMPUTED_VALUE"""),"Công ty TNHH Kiểm toán và Tư vấn A&amp;C - Chi nhánh Tây Nam Bộ")</f>
        <v>Công ty TNHH Kiểm toán và Tư vấn A&amp;C - Chi nhánh Tây Nam Bộ</v>
      </c>
      <c r="F171" s="4" t="str">
        <f ca="1">IFERROR(__xludf.DUMMYFUNCTION("""COMPUTED_VALUE"""),"Đại học")</f>
        <v>Đại học</v>
      </c>
      <c r="G171" s="4" t="str">
        <f ca="1">IFERROR(__xludf.DUMMYFUNCTION("""COMPUTED_VALUE"""),"Từ 3 đến 5 năm")</f>
        <v>Từ 3 đến 5 năm</v>
      </c>
      <c r="H171" s="4" t="str">
        <f ca="1">IFERROR(__xludf.DUMMYFUNCTION("""COMPUTED_VALUE"""),"Trợ lý kiểm toán")</f>
        <v>Trợ lý kiểm toán</v>
      </c>
      <c r="I171" s="4">
        <f ca="1">IFERROR(__xludf.DUMMYFUNCTION("""COMPUTED_VALUE"""),4)</f>
        <v>4</v>
      </c>
      <c r="J171" s="4">
        <f ca="1">IFERROR(__xludf.DUMMYFUNCTION("""COMPUTED_VALUE"""),3)</f>
        <v>3</v>
      </c>
      <c r="K171" s="4">
        <f ca="1">IFERROR(__xludf.DUMMYFUNCTION("""COMPUTED_VALUE"""),4)</f>
        <v>4</v>
      </c>
      <c r="L171" s="4">
        <f ca="1">IFERROR(__xludf.DUMMYFUNCTION("""COMPUTED_VALUE"""),5)</f>
        <v>5</v>
      </c>
      <c r="M171" s="4">
        <f ca="1">IFERROR(__xludf.DUMMYFUNCTION("""COMPUTED_VALUE"""),4)</f>
        <v>4</v>
      </c>
      <c r="N171" s="4">
        <f ca="1">IFERROR(__xludf.DUMMYFUNCTION("""COMPUTED_VALUE"""),4)</f>
        <v>4</v>
      </c>
      <c r="O171" s="4">
        <f ca="1">IFERROR(__xludf.DUMMYFUNCTION("""COMPUTED_VALUE"""),5)</f>
        <v>5</v>
      </c>
      <c r="P171" s="4">
        <f ca="1">IFERROR(__xludf.DUMMYFUNCTION("""COMPUTED_VALUE"""),4)</f>
        <v>4</v>
      </c>
      <c r="Q171" s="4">
        <f ca="1">IFERROR(__xludf.DUMMYFUNCTION("""COMPUTED_VALUE"""),4)</f>
        <v>4</v>
      </c>
      <c r="R171" s="4">
        <f ca="1">IFERROR(__xludf.DUMMYFUNCTION("""COMPUTED_VALUE"""),4)</f>
        <v>4</v>
      </c>
      <c r="S171" s="4">
        <f ca="1">IFERROR(__xludf.DUMMYFUNCTION("""COMPUTED_VALUE"""),4)</f>
        <v>4</v>
      </c>
      <c r="T171" s="4">
        <f ca="1">IFERROR(__xludf.DUMMYFUNCTION("""COMPUTED_VALUE"""),4)</f>
        <v>4</v>
      </c>
      <c r="U171" s="4">
        <f ca="1">IFERROR(__xludf.DUMMYFUNCTION("""COMPUTED_VALUE"""),4)</f>
        <v>4</v>
      </c>
      <c r="V171" s="4">
        <f ca="1">IFERROR(__xludf.DUMMYFUNCTION("""COMPUTED_VALUE"""),4)</f>
        <v>4</v>
      </c>
      <c r="W171" s="4">
        <f ca="1">IFERROR(__xludf.DUMMYFUNCTION("""COMPUTED_VALUE"""),4)</f>
        <v>4</v>
      </c>
      <c r="X171" s="4">
        <f ca="1">IFERROR(__xludf.DUMMYFUNCTION("""COMPUTED_VALUE"""),4)</f>
        <v>4</v>
      </c>
      <c r="Y171" s="4">
        <f ca="1">IFERROR(__xludf.DUMMYFUNCTION("""COMPUTED_VALUE"""),3)</f>
        <v>3</v>
      </c>
      <c r="Z171" s="4">
        <f ca="1">IFERROR(__xludf.DUMMYFUNCTION("""COMPUTED_VALUE"""),5)</f>
        <v>5</v>
      </c>
      <c r="AA171" s="4">
        <f ca="1">IFERROR(__xludf.DUMMYFUNCTION("""COMPUTED_VALUE"""),4)</f>
        <v>4</v>
      </c>
      <c r="AB171" s="4">
        <f ca="1">IFERROR(__xludf.DUMMYFUNCTION("""COMPUTED_VALUE"""),4)</f>
        <v>4</v>
      </c>
      <c r="AC171" s="4">
        <f ca="1">IFERROR(__xludf.DUMMYFUNCTION("""COMPUTED_VALUE"""),3)</f>
        <v>3</v>
      </c>
      <c r="AD171" s="4">
        <f ca="1">IFERROR(__xludf.DUMMYFUNCTION("""COMPUTED_VALUE"""),4)</f>
        <v>4</v>
      </c>
      <c r="AE171" s="4">
        <f ca="1">IFERROR(__xludf.DUMMYFUNCTION("""COMPUTED_VALUE"""),5)</f>
        <v>5</v>
      </c>
      <c r="AF171" s="4">
        <f ca="1">IFERROR(__xludf.DUMMYFUNCTION("""COMPUTED_VALUE"""),4)</f>
        <v>4</v>
      </c>
      <c r="AG171" s="4">
        <f ca="1">IFERROR(__xludf.DUMMYFUNCTION("""COMPUTED_VALUE"""),4)</f>
        <v>4</v>
      </c>
      <c r="AH171" s="4">
        <f ca="1">IFERROR(__xludf.DUMMYFUNCTION("""COMPUTED_VALUE"""),4)</f>
        <v>4</v>
      </c>
      <c r="AI171" s="4">
        <f ca="1">IFERROR(__xludf.DUMMYFUNCTION("""COMPUTED_VALUE"""),4)</f>
        <v>4</v>
      </c>
      <c r="AJ171" s="4">
        <f ca="1">IFERROR(__xludf.DUMMYFUNCTION("""COMPUTED_VALUE"""),4)</f>
        <v>4</v>
      </c>
      <c r="AK171" s="4">
        <f ca="1">IFERROR(__xludf.DUMMYFUNCTION("""COMPUTED_VALUE"""),5)</f>
        <v>5</v>
      </c>
      <c r="AL171" s="4">
        <f ca="1">IFERROR(__xludf.DUMMYFUNCTION("""COMPUTED_VALUE"""),4)</f>
        <v>4</v>
      </c>
      <c r="AM171" s="4">
        <f ca="1">IFERROR(__xludf.DUMMYFUNCTION("""COMPUTED_VALUE"""),4)</f>
        <v>4</v>
      </c>
      <c r="AN171" s="4">
        <f ca="1">IFERROR(__xludf.DUMMYFUNCTION("""COMPUTED_VALUE"""),4)</f>
        <v>4</v>
      </c>
      <c r="AO171" s="4">
        <f ca="1">IFERROR(__xludf.DUMMYFUNCTION("""COMPUTED_VALUE"""),4)</f>
        <v>4</v>
      </c>
      <c r="AP171" s="4">
        <f ca="1">IFERROR(__xludf.DUMMYFUNCTION("""COMPUTED_VALUE"""),4)</f>
        <v>4</v>
      </c>
      <c r="AQ171" s="4">
        <f ca="1">IFERROR(__xludf.DUMMYFUNCTION("""COMPUTED_VALUE"""),4)</f>
        <v>4</v>
      </c>
      <c r="AR171" s="4">
        <f ca="1">IFERROR(__xludf.DUMMYFUNCTION("""COMPUTED_VALUE"""),4)</f>
        <v>4</v>
      </c>
      <c r="AS171" s="4">
        <f ca="1">IFERROR(__xludf.DUMMYFUNCTION("""COMPUTED_VALUE"""),5)</f>
        <v>5</v>
      </c>
      <c r="AT171" s="4">
        <f ca="1">IFERROR(__xludf.DUMMYFUNCTION("""COMPUTED_VALUE"""),3)</f>
        <v>3</v>
      </c>
      <c r="AU171" s="4">
        <f ca="1">IFERROR(__xludf.DUMMYFUNCTION("""COMPUTED_VALUE"""),4)</f>
        <v>4</v>
      </c>
      <c r="AV171" s="4">
        <f ca="1">IFERROR(__xludf.DUMMYFUNCTION("""COMPUTED_VALUE"""),4)</f>
        <v>4</v>
      </c>
      <c r="AW171" s="4">
        <f ca="1">IFERROR(__xludf.DUMMYFUNCTION("""COMPUTED_VALUE"""),4)</f>
        <v>4</v>
      </c>
      <c r="AX171" s="4">
        <f ca="1">IFERROR(__xludf.DUMMYFUNCTION("""COMPUTED_VALUE"""),4)</f>
        <v>4</v>
      </c>
      <c r="AY171" s="4">
        <f ca="1">IFERROR(__xludf.DUMMYFUNCTION("""COMPUTED_VALUE"""),4)</f>
        <v>4</v>
      </c>
      <c r="AZ171" s="4">
        <f ca="1">IFERROR(__xludf.DUMMYFUNCTION("""COMPUTED_VALUE"""),5)</f>
        <v>5</v>
      </c>
      <c r="BA171" s="4">
        <f ca="1">IFERROR(__xludf.DUMMYFUNCTION("""COMPUTED_VALUE"""),4)</f>
        <v>4</v>
      </c>
      <c r="BB171" s="4">
        <f ca="1">IFERROR(__xludf.DUMMYFUNCTION("""COMPUTED_VALUE"""),4)</f>
        <v>4</v>
      </c>
      <c r="BC171" s="4">
        <f ca="1">IFERROR(__xludf.DUMMYFUNCTION("""COMPUTED_VALUE"""),4)</f>
        <v>4</v>
      </c>
      <c r="BD171" s="4">
        <f ca="1">IFERROR(__xludf.DUMMYFUNCTION("""COMPUTED_VALUE"""),4)</f>
        <v>4</v>
      </c>
      <c r="BE171" s="4">
        <f ca="1">IFERROR(__xludf.DUMMYFUNCTION("""COMPUTED_VALUE"""),4)</f>
        <v>4</v>
      </c>
      <c r="BF171" s="4">
        <f ca="1">IFERROR(__xludf.DUMMYFUNCTION("""COMPUTED_VALUE"""),4)</f>
        <v>4</v>
      </c>
      <c r="BG171" s="4">
        <f ca="1">IFERROR(__xludf.DUMMYFUNCTION("""COMPUTED_VALUE"""),4)</f>
        <v>4</v>
      </c>
      <c r="BH171" s="4">
        <f ca="1">IFERROR(__xludf.DUMMYFUNCTION("""COMPUTED_VALUE"""),4)</f>
        <v>4</v>
      </c>
      <c r="BI171" s="4">
        <f ca="1">IFERROR(__xludf.DUMMYFUNCTION("""COMPUTED_VALUE"""),5)</f>
        <v>5</v>
      </c>
      <c r="BJ171" s="4">
        <f ca="1">IFERROR(__xludf.DUMMYFUNCTION("""COMPUTED_VALUE"""),4)</f>
        <v>4</v>
      </c>
      <c r="BK171" s="4">
        <f ca="1">IFERROR(__xludf.DUMMYFUNCTION("""COMPUTED_VALUE"""),4)</f>
        <v>4</v>
      </c>
      <c r="BL171" s="4">
        <f ca="1">IFERROR(__xludf.DUMMYFUNCTION("""COMPUTED_VALUE"""),4)</f>
        <v>4</v>
      </c>
      <c r="BM171" s="4">
        <f ca="1">IFERROR(__xludf.DUMMYFUNCTION("""COMPUTED_VALUE"""),5)</f>
        <v>5</v>
      </c>
      <c r="BN171" s="4">
        <f ca="1">IFERROR(__xludf.DUMMYFUNCTION("""COMPUTED_VALUE"""),5)</f>
        <v>5</v>
      </c>
      <c r="BO171" s="4">
        <f ca="1">IFERROR(__xludf.DUMMYFUNCTION("""COMPUTED_VALUE"""),4)</f>
        <v>4</v>
      </c>
      <c r="BP171" s="4">
        <f ca="1">IFERROR(__xludf.DUMMYFUNCTION("""COMPUTED_VALUE"""),5)</f>
        <v>5</v>
      </c>
    </row>
    <row r="172" spans="1:68" ht="13.2" x14ac:dyDescent="0.25">
      <c r="A172" s="4" t="str">
        <f ca="1">IFERROR(__xludf.DUMMYFUNCTION("""COMPUTED_VALUE"""),"2_ABaOnud_vXqHv2ohU5l249_5MltQLdQT9SaYBWwhXjBXWsz6Ix73KwbPKC6ajqCxVQ")</f>
        <v>2_ABaOnud_vXqHv2ohU5l249_5MltQLdQT9SaYBWwhXjBXWsz6Ix73KwbPKC6ajqCxVQ</v>
      </c>
      <c r="B172" s="5">
        <f ca="1">IFERROR(__xludf.DUMMYFUNCTION("""COMPUTED_VALUE"""),45975.3695572916)</f>
        <v>45975.369557291597</v>
      </c>
      <c r="C172" s="4" t="str">
        <f ca="1">IFERROR(__xludf.DUMMYFUNCTION("""COMPUTED_VALUE"""),"Phó Vĩ Hào")</f>
        <v>Phó Vĩ Hào</v>
      </c>
      <c r="D172" s="4" t="str">
        <f ca="1">IFERROR(__xludf.DUMMYFUNCTION("""COMPUTED_VALUE"""),"Nam")</f>
        <v>Nam</v>
      </c>
      <c r="E172" s="4" t="str">
        <f ca="1">IFERROR(__xludf.DUMMYFUNCTION("""COMPUTED_VALUE"""),"Công ty TNHH Kiểm toán và Tư vấn A&amp;C - Chi nhánh Tây Nam Bộ")</f>
        <v>Công ty TNHH Kiểm toán và Tư vấn A&amp;C - Chi nhánh Tây Nam Bộ</v>
      </c>
      <c r="F172" s="4" t="str">
        <f ca="1">IFERROR(__xludf.DUMMYFUNCTION("""COMPUTED_VALUE"""),"Đại học")</f>
        <v>Đại học</v>
      </c>
      <c r="G172" s="4" t="str">
        <f ca="1">IFERROR(__xludf.DUMMYFUNCTION("""COMPUTED_VALUE"""),"Từ 3 đến 5 năm")</f>
        <v>Từ 3 đến 5 năm</v>
      </c>
      <c r="H172" s="4" t="str">
        <f ca="1">IFERROR(__xludf.DUMMYFUNCTION("""COMPUTED_VALUE"""),"Trợ lý kiểm toán")</f>
        <v>Trợ lý kiểm toán</v>
      </c>
      <c r="I172" s="4">
        <f ca="1">IFERROR(__xludf.DUMMYFUNCTION("""COMPUTED_VALUE"""),3)</f>
        <v>3</v>
      </c>
      <c r="J172" s="4">
        <f ca="1">IFERROR(__xludf.DUMMYFUNCTION("""COMPUTED_VALUE"""),3)</f>
        <v>3</v>
      </c>
      <c r="K172" s="4">
        <f ca="1">IFERROR(__xludf.DUMMYFUNCTION("""COMPUTED_VALUE"""),4)</f>
        <v>4</v>
      </c>
      <c r="L172" s="4">
        <f ca="1">IFERROR(__xludf.DUMMYFUNCTION("""COMPUTED_VALUE"""),4)</f>
        <v>4</v>
      </c>
      <c r="M172" s="4">
        <f ca="1">IFERROR(__xludf.DUMMYFUNCTION("""COMPUTED_VALUE"""),2)</f>
        <v>2</v>
      </c>
      <c r="N172" s="4">
        <f ca="1">IFERROR(__xludf.DUMMYFUNCTION("""COMPUTED_VALUE"""),3)</f>
        <v>3</v>
      </c>
      <c r="O172" s="4">
        <f ca="1">IFERROR(__xludf.DUMMYFUNCTION("""COMPUTED_VALUE"""),4)</f>
        <v>4</v>
      </c>
      <c r="P172" s="4">
        <f ca="1">IFERROR(__xludf.DUMMYFUNCTION("""COMPUTED_VALUE"""),3)</f>
        <v>3</v>
      </c>
      <c r="Q172" s="4">
        <f ca="1">IFERROR(__xludf.DUMMYFUNCTION("""COMPUTED_VALUE"""),4)</f>
        <v>4</v>
      </c>
      <c r="R172" s="4">
        <f ca="1">IFERROR(__xludf.DUMMYFUNCTION("""COMPUTED_VALUE"""),4)</f>
        <v>4</v>
      </c>
      <c r="S172" s="4">
        <f ca="1">IFERROR(__xludf.DUMMYFUNCTION("""COMPUTED_VALUE"""),4)</f>
        <v>4</v>
      </c>
      <c r="T172" s="4">
        <f ca="1">IFERROR(__xludf.DUMMYFUNCTION("""COMPUTED_VALUE"""),5)</f>
        <v>5</v>
      </c>
      <c r="U172" s="4">
        <f ca="1">IFERROR(__xludf.DUMMYFUNCTION("""COMPUTED_VALUE"""),4)</f>
        <v>4</v>
      </c>
      <c r="V172" s="4">
        <f ca="1">IFERROR(__xludf.DUMMYFUNCTION("""COMPUTED_VALUE"""),3)</f>
        <v>3</v>
      </c>
      <c r="W172" s="4">
        <f ca="1">IFERROR(__xludf.DUMMYFUNCTION("""COMPUTED_VALUE"""),4)</f>
        <v>4</v>
      </c>
      <c r="X172" s="4">
        <f ca="1">IFERROR(__xludf.DUMMYFUNCTION("""COMPUTED_VALUE"""),4)</f>
        <v>4</v>
      </c>
      <c r="Y172" s="4">
        <f ca="1">IFERROR(__xludf.DUMMYFUNCTION("""COMPUTED_VALUE"""),2)</f>
        <v>2</v>
      </c>
      <c r="Z172" s="4">
        <f ca="1">IFERROR(__xludf.DUMMYFUNCTION("""COMPUTED_VALUE"""),4)</f>
        <v>4</v>
      </c>
      <c r="AA172" s="4">
        <f ca="1">IFERROR(__xludf.DUMMYFUNCTION("""COMPUTED_VALUE"""),5)</f>
        <v>5</v>
      </c>
      <c r="AB172" s="4">
        <f ca="1">IFERROR(__xludf.DUMMYFUNCTION("""COMPUTED_VALUE"""),5)</f>
        <v>5</v>
      </c>
      <c r="AC172" s="4">
        <f ca="1">IFERROR(__xludf.DUMMYFUNCTION("""COMPUTED_VALUE"""),5)</f>
        <v>5</v>
      </c>
      <c r="AD172" s="4">
        <f ca="1">IFERROR(__xludf.DUMMYFUNCTION("""COMPUTED_VALUE"""),2)</f>
        <v>2</v>
      </c>
      <c r="AE172" s="4">
        <f ca="1">IFERROR(__xludf.DUMMYFUNCTION("""COMPUTED_VALUE"""),5)</f>
        <v>5</v>
      </c>
      <c r="AF172" s="4">
        <f ca="1">IFERROR(__xludf.DUMMYFUNCTION("""COMPUTED_VALUE"""),5)</f>
        <v>5</v>
      </c>
      <c r="AG172" s="4">
        <f ca="1">IFERROR(__xludf.DUMMYFUNCTION("""COMPUTED_VALUE"""),5)</f>
        <v>5</v>
      </c>
      <c r="AH172" s="4">
        <f ca="1">IFERROR(__xludf.DUMMYFUNCTION("""COMPUTED_VALUE"""),3)</f>
        <v>3</v>
      </c>
      <c r="AI172" s="4">
        <f ca="1">IFERROR(__xludf.DUMMYFUNCTION("""COMPUTED_VALUE"""),4)</f>
        <v>4</v>
      </c>
      <c r="AJ172" s="4">
        <f ca="1">IFERROR(__xludf.DUMMYFUNCTION("""COMPUTED_VALUE"""),4)</f>
        <v>4</v>
      </c>
      <c r="AK172" s="4">
        <f ca="1">IFERROR(__xludf.DUMMYFUNCTION("""COMPUTED_VALUE"""),3)</f>
        <v>3</v>
      </c>
      <c r="AL172" s="4">
        <f ca="1">IFERROR(__xludf.DUMMYFUNCTION("""COMPUTED_VALUE"""),5)</f>
        <v>5</v>
      </c>
      <c r="AM172" s="4">
        <f ca="1">IFERROR(__xludf.DUMMYFUNCTION("""COMPUTED_VALUE"""),4)</f>
        <v>4</v>
      </c>
      <c r="AN172" s="4">
        <f ca="1">IFERROR(__xludf.DUMMYFUNCTION("""COMPUTED_VALUE"""),3)</f>
        <v>3</v>
      </c>
      <c r="AO172" s="4">
        <f ca="1">IFERROR(__xludf.DUMMYFUNCTION("""COMPUTED_VALUE"""),4)</f>
        <v>4</v>
      </c>
      <c r="AP172" s="4">
        <f ca="1">IFERROR(__xludf.DUMMYFUNCTION("""COMPUTED_VALUE"""),3)</f>
        <v>3</v>
      </c>
      <c r="AQ172" s="4">
        <f ca="1">IFERROR(__xludf.DUMMYFUNCTION("""COMPUTED_VALUE"""),4)</f>
        <v>4</v>
      </c>
      <c r="AR172" s="4">
        <f ca="1">IFERROR(__xludf.DUMMYFUNCTION("""COMPUTED_VALUE"""),5)</f>
        <v>5</v>
      </c>
      <c r="AS172" s="4">
        <f ca="1">IFERROR(__xludf.DUMMYFUNCTION("""COMPUTED_VALUE"""),3)</f>
        <v>3</v>
      </c>
      <c r="AT172" s="4">
        <f ca="1">IFERROR(__xludf.DUMMYFUNCTION("""COMPUTED_VALUE"""),4)</f>
        <v>4</v>
      </c>
      <c r="AU172" s="4">
        <f ca="1">IFERROR(__xludf.DUMMYFUNCTION("""COMPUTED_VALUE"""),4)</f>
        <v>4</v>
      </c>
      <c r="AV172" s="4">
        <f ca="1">IFERROR(__xludf.DUMMYFUNCTION("""COMPUTED_VALUE"""),4)</f>
        <v>4</v>
      </c>
      <c r="AW172" s="4">
        <f ca="1">IFERROR(__xludf.DUMMYFUNCTION("""COMPUTED_VALUE"""),2)</f>
        <v>2</v>
      </c>
      <c r="AX172" s="4">
        <f ca="1">IFERROR(__xludf.DUMMYFUNCTION("""COMPUTED_VALUE"""),4)</f>
        <v>4</v>
      </c>
      <c r="AY172" s="4">
        <f ca="1">IFERROR(__xludf.DUMMYFUNCTION("""COMPUTED_VALUE"""),5)</f>
        <v>5</v>
      </c>
      <c r="AZ172" s="4">
        <f ca="1">IFERROR(__xludf.DUMMYFUNCTION("""COMPUTED_VALUE"""),3)</f>
        <v>3</v>
      </c>
      <c r="BA172" s="4">
        <f ca="1">IFERROR(__xludf.DUMMYFUNCTION("""COMPUTED_VALUE"""),3)</f>
        <v>3</v>
      </c>
      <c r="BB172" s="4">
        <f ca="1">IFERROR(__xludf.DUMMYFUNCTION("""COMPUTED_VALUE"""),5)</f>
        <v>5</v>
      </c>
      <c r="BC172" s="4">
        <f ca="1">IFERROR(__xludf.DUMMYFUNCTION("""COMPUTED_VALUE"""),3)</f>
        <v>3</v>
      </c>
      <c r="BD172" s="4">
        <f ca="1">IFERROR(__xludf.DUMMYFUNCTION("""COMPUTED_VALUE"""),4)</f>
        <v>4</v>
      </c>
      <c r="BE172" s="4">
        <f ca="1">IFERROR(__xludf.DUMMYFUNCTION("""COMPUTED_VALUE"""),4)</f>
        <v>4</v>
      </c>
      <c r="BF172" s="4">
        <f ca="1">IFERROR(__xludf.DUMMYFUNCTION("""COMPUTED_VALUE"""),4)</f>
        <v>4</v>
      </c>
      <c r="BG172" s="4">
        <f ca="1">IFERROR(__xludf.DUMMYFUNCTION("""COMPUTED_VALUE"""),3)</f>
        <v>3</v>
      </c>
      <c r="BH172" s="4">
        <f ca="1">IFERROR(__xludf.DUMMYFUNCTION("""COMPUTED_VALUE"""),4)</f>
        <v>4</v>
      </c>
      <c r="BI172" s="4">
        <f ca="1">IFERROR(__xludf.DUMMYFUNCTION("""COMPUTED_VALUE"""),4)</f>
        <v>4</v>
      </c>
      <c r="BJ172" s="4">
        <f ca="1">IFERROR(__xludf.DUMMYFUNCTION("""COMPUTED_VALUE"""),5)</f>
        <v>5</v>
      </c>
      <c r="BK172" s="4">
        <f ca="1">IFERROR(__xludf.DUMMYFUNCTION("""COMPUTED_VALUE"""),3)</f>
        <v>3</v>
      </c>
      <c r="BL172" s="4">
        <f ca="1">IFERROR(__xludf.DUMMYFUNCTION("""COMPUTED_VALUE"""),4)</f>
        <v>4</v>
      </c>
      <c r="BM172" s="4">
        <f ca="1">IFERROR(__xludf.DUMMYFUNCTION("""COMPUTED_VALUE"""),5)</f>
        <v>5</v>
      </c>
      <c r="BN172" s="4">
        <f ca="1">IFERROR(__xludf.DUMMYFUNCTION("""COMPUTED_VALUE"""),5)</f>
        <v>5</v>
      </c>
      <c r="BO172" s="4">
        <f ca="1">IFERROR(__xludf.DUMMYFUNCTION("""COMPUTED_VALUE"""),4)</f>
        <v>4</v>
      </c>
      <c r="BP172" s="4">
        <f ca="1">IFERROR(__xludf.DUMMYFUNCTION("""COMPUTED_VALUE"""),3)</f>
        <v>3</v>
      </c>
    </row>
    <row r="173" spans="1:68" ht="13.2" x14ac:dyDescent="0.25">
      <c r="A173" s="4" t="str">
        <f ca="1">IFERROR(__xludf.DUMMYFUNCTION("""COMPUTED_VALUE"""),"2_ABaOnucEto2lScf5mXtY3IMBYYfQXGCD5mDF5lpfVv_crY3jO6uXl1L3SQaU70-dGg")</f>
        <v>2_ABaOnucEto2lScf5mXtY3IMBYYfQXGCD5mDF5lpfVv_crY3jO6uXl1L3SQaU70-dGg</v>
      </c>
      <c r="B173" s="5">
        <f ca="1">IFERROR(__xludf.DUMMYFUNCTION("""COMPUTED_VALUE"""),45975.3702258449)</f>
        <v>45975.370225844898</v>
      </c>
      <c r="C173" s="4" t="str">
        <f ca="1">IFERROR(__xludf.DUMMYFUNCTION("""COMPUTED_VALUE"""),"Nguyễn Ngọc Cầm")</f>
        <v>Nguyễn Ngọc Cầm</v>
      </c>
      <c r="D173" s="4" t="str">
        <f ca="1">IFERROR(__xludf.DUMMYFUNCTION("""COMPUTED_VALUE"""),"Nữ")</f>
        <v>Nữ</v>
      </c>
      <c r="E173" s="4" t="str">
        <f ca="1">IFERROR(__xludf.DUMMYFUNCTION("""COMPUTED_VALUE"""),"Công ty TNHH Kiểm toán và Tư vấn A&amp;C - Chi nhánh Tây Nam Bộ")</f>
        <v>Công ty TNHH Kiểm toán và Tư vấn A&amp;C - Chi nhánh Tây Nam Bộ</v>
      </c>
      <c r="F173" s="4" t="str">
        <f ca="1">IFERROR(__xludf.DUMMYFUNCTION("""COMPUTED_VALUE"""),"Đại học")</f>
        <v>Đại học</v>
      </c>
      <c r="G173" s="4" t="str">
        <f ca="1">IFERROR(__xludf.DUMMYFUNCTION("""COMPUTED_VALUE"""),"Từ 3 đến 5 năm")</f>
        <v>Từ 3 đến 5 năm</v>
      </c>
      <c r="H173" s="4" t="str">
        <f ca="1">IFERROR(__xludf.DUMMYFUNCTION("""COMPUTED_VALUE"""),"Trợ lý kiểm toán")</f>
        <v>Trợ lý kiểm toán</v>
      </c>
      <c r="I173" s="4">
        <f ca="1">IFERROR(__xludf.DUMMYFUNCTION("""COMPUTED_VALUE"""),5)</f>
        <v>5</v>
      </c>
      <c r="J173" s="4">
        <f ca="1">IFERROR(__xludf.DUMMYFUNCTION("""COMPUTED_VALUE"""),4)</f>
        <v>4</v>
      </c>
      <c r="K173" s="4">
        <f ca="1">IFERROR(__xludf.DUMMYFUNCTION("""COMPUTED_VALUE"""),4)</f>
        <v>4</v>
      </c>
      <c r="L173" s="4">
        <f ca="1">IFERROR(__xludf.DUMMYFUNCTION("""COMPUTED_VALUE"""),5)</f>
        <v>5</v>
      </c>
      <c r="M173" s="4">
        <f ca="1">IFERROR(__xludf.DUMMYFUNCTION("""COMPUTED_VALUE"""),4)</f>
        <v>4</v>
      </c>
      <c r="N173" s="4">
        <f ca="1">IFERROR(__xludf.DUMMYFUNCTION("""COMPUTED_VALUE"""),5)</f>
        <v>5</v>
      </c>
      <c r="O173" s="4">
        <f ca="1">IFERROR(__xludf.DUMMYFUNCTION("""COMPUTED_VALUE"""),5)</f>
        <v>5</v>
      </c>
      <c r="P173" s="4">
        <f ca="1">IFERROR(__xludf.DUMMYFUNCTION("""COMPUTED_VALUE"""),5)</f>
        <v>5</v>
      </c>
      <c r="Q173" s="4">
        <f ca="1">IFERROR(__xludf.DUMMYFUNCTION("""COMPUTED_VALUE"""),4)</f>
        <v>4</v>
      </c>
      <c r="R173" s="4">
        <f ca="1">IFERROR(__xludf.DUMMYFUNCTION("""COMPUTED_VALUE"""),5)</f>
        <v>5</v>
      </c>
      <c r="S173" s="4">
        <f ca="1">IFERROR(__xludf.DUMMYFUNCTION("""COMPUTED_VALUE"""),4)</f>
        <v>4</v>
      </c>
      <c r="T173" s="4">
        <f ca="1">IFERROR(__xludf.DUMMYFUNCTION("""COMPUTED_VALUE"""),5)</f>
        <v>5</v>
      </c>
      <c r="U173" s="4">
        <f ca="1">IFERROR(__xludf.DUMMYFUNCTION("""COMPUTED_VALUE"""),5)</f>
        <v>5</v>
      </c>
      <c r="V173" s="4">
        <f ca="1">IFERROR(__xludf.DUMMYFUNCTION("""COMPUTED_VALUE"""),5)</f>
        <v>5</v>
      </c>
      <c r="W173" s="4">
        <f ca="1">IFERROR(__xludf.DUMMYFUNCTION("""COMPUTED_VALUE"""),4)</f>
        <v>4</v>
      </c>
      <c r="X173" s="4">
        <f ca="1">IFERROR(__xludf.DUMMYFUNCTION("""COMPUTED_VALUE"""),4)</f>
        <v>4</v>
      </c>
      <c r="Y173" s="4">
        <f ca="1">IFERROR(__xludf.DUMMYFUNCTION("""COMPUTED_VALUE"""),3)</f>
        <v>3</v>
      </c>
      <c r="Z173" s="4">
        <f ca="1">IFERROR(__xludf.DUMMYFUNCTION("""COMPUTED_VALUE"""),3)</f>
        <v>3</v>
      </c>
      <c r="AA173" s="4">
        <f ca="1">IFERROR(__xludf.DUMMYFUNCTION("""COMPUTED_VALUE"""),4)</f>
        <v>4</v>
      </c>
      <c r="AB173" s="4">
        <f ca="1">IFERROR(__xludf.DUMMYFUNCTION("""COMPUTED_VALUE"""),4)</f>
        <v>4</v>
      </c>
      <c r="AC173" s="4">
        <f ca="1">IFERROR(__xludf.DUMMYFUNCTION("""COMPUTED_VALUE"""),4)</f>
        <v>4</v>
      </c>
      <c r="AD173" s="4">
        <f ca="1">IFERROR(__xludf.DUMMYFUNCTION("""COMPUTED_VALUE"""),3)</f>
        <v>3</v>
      </c>
      <c r="AE173" s="4">
        <f ca="1">IFERROR(__xludf.DUMMYFUNCTION("""COMPUTED_VALUE"""),4)</f>
        <v>4</v>
      </c>
      <c r="AF173" s="4">
        <f ca="1">IFERROR(__xludf.DUMMYFUNCTION("""COMPUTED_VALUE"""),5)</f>
        <v>5</v>
      </c>
      <c r="AG173" s="4">
        <f ca="1">IFERROR(__xludf.DUMMYFUNCTION("""COMPUTED_VALUE"""),5)</f>
        <v>5</v>
      </c>
      <c r="AH173" s="4">
        <f ca="1">IFERROR(__xludf.DUMMYFUNCTION("""COMPUTED_VALUE"""),5)</f>
        <v>5</v>
      </c>
      <c r="AI173" s="4">
        <f ca="1">IFERROR(__xludf.DUMMYFUNCTION("""COMPUTED_VALUE"""),4)</f>
        <v>4</v>
      </c>
      <c r="AJ173" s="4">
        <f ca="1">IFERROR(__xludf.DUMMYFUNCTION("""COMPUTED_VALUE"""),4)</f>
        <v>4</v>
      </c>
      <c r="AK173" s="4">
        <f ca="1">IFERROR(__xludf.DUMMYFUNCTION("""COMPUTED_VALUE"""),4)</f>
        <v>4</v>
      </c>
      <c r="AL173" s="4">
        <f ca="1">IFERROR(__xludf.DUMMYFUNCTION("""COMPUTED_VALUE"""),4)</f>
        <v>4</v>
      </c>
      <c r="AM173" s="4">
        <f ca="1">IFERROR(__xludf.DUMMYFUNCTION("""COMPUTED_VALUE"""),4)</f>
        <v>4</v>
      </c>
      <c r="AN173" s="4">
        <f ca="1">IFERROR(__xludf.DUMMYFUNCTION("""COMPUTED_VALUE"""),3)</f>
        <v>3</v>
      </c>
      <c r="AO173" s="4">
        <f ca="1">IFERROR(__xludf.DUMMYFUNCTION("""COMPUTED_VALUE"""),5)</f>
        <v>5</v>
      </c>
      <c r="AP173" s="4">
        <f ca="1">IFERROR(__xludf.DUMMYFUNCTION("""COMPUTED_VALUE"""),5)</f>
        <v>5</v>
      </c>
      <c r="AQ173" s="4">
        <f ca="1">IFERROR(__xludf.DUMMYFUNCTION("""COMPUTED_VALUE"""),5)</f>
        <v>5</v>
      </c>
      <c r="AR173" s="4">
        <f ca="1">IFERROR(__xludf.DUMMYFUNCTION("""COMPUTED_VALUE"""),4)</f>
        <v>4</v>
      </c>
      <c r="AS173" s="4">
        <f ca="1">IFERROR(__xludf.DUMMYFUNCTION("""COMPUTED_VALUE"""),5)</f>
        <v>5</v>
      </c>
      <c r="AT173" s="4">
        <f ca="1">IFERROR(__xludf.DUMMYFUNCTION("""COMPUTED_VALUE"""),3)</f>
        <v>3</v>
      </c>
      <c r="AU173" s="4">
        <f ca="1">IFERROR(__xludf.DUMMYFUNCTION("""COMPUTED_VALUE"""),4)</f>
        <v>4</v>
      </c>
      <c r="AV173" s="4">
        <f ca="1">IFERROR(__xludf.DUMMYFUNCTION("""COMPUTED_VALUE"""),3)</f>
        <v>3</v>
      </c>
      <c r="AW173" s="4">
        <f ca="1">IFERROR(__xludf.DUMMYFUNCTION("""COMPUTED_VALUE"""),4)</f>
        <v>4</v>
      </c>
      <c r="AX173" s="4">
        <f ca="1">IFERROR(__xludf.DUMMYFUNCTION("""COMPUTED_VALUE"""),5)</f>
        <v>5</v>
      </c>
      <c r="AY173" s="4">
        <f ca="1">IFERROR(__xludf.DUMMYFUNCTION("""COMPUTED_VALUE"""),5)</f>
        <v>5</v>
      </c>
      <c r="AZ173" s="4">
        <f ca="1">IFERROR(__xludf.DUMMYFUNCTION("""COMPUTED_VALUE"""),5)</f>
        <v>5</v>
      </c>
      <c r="BA173" s="4">
        <f ca="1">IFERROR(__xludf.DUMMYFUNCTION("""COMPUTED_VALUE"""),5)</f>
        <v>5</v>
      </c>
      <c r="BB173" s="4">
        <f ca="1">IFERROR(__xludf.DUMMYFUNCTION("""COMPUTED_VALUE"""),3)</f>
        <v>3</v>
      </c>
      <c r="BC173" s="4">
        <f ca="1">IFERROR(__xludf.DUMMYFUNCTION("""COMPUTED_VALUE"""),4)</f>
        <v>4</v>
      </c>
      <c r="BD173" s="4">
        <f ca="1">IFERROR(__xludf.DUMMYFUNCTION("""COMPUTED_VALUE"""),3)</f>
        <v>3</v>
      </c>
      <c r="BE173" s="4">
        <f ca="1">IFERROR(__xludf.DUMMYFUNCTION("""COMPUTED_VALUE"""),5)</f>
        <v>5</v>
      </c>
      <c r="BF173" s="4">
        <f ca="1">IFERROR(__xludf.DUMMYFUNCTION("""COMPUTED_VALUE"""),5)</f>
        <v>5</v>
      </c>
      <c r="BG173" s="4">
        <f ca="1">IFERROR(__xludf.DUMMYFUNCTION("""COMPUTED_VALUE"""),4)</f>
        <v>4</v>
      </c>
      <c r="BH173" s="4">
        <f ca="1">IFERROR(__xludf.DUMMYFUNCTION("""COMPUTED_VALUE"""),4)</f>
        <v>4</v>
      </c>
      <c r="BI173" s="4">
        <f ca="1">IFERROR(__xludf.DUMMYFUNCTION("""COMPUTED_VALUE"""),4)</f>
        <v>4</v>
      </c>
      <c r="BJ173" s="4">
        <f ca="1">IFERROR(__xludf.DUMMYFUNCTION("""COMPUTED_VALUE"""),4)</f>
        <v>4</v>
      </c>
      <c r="BK173" s="4">
        <f ca="1">IFERROR(__xludf.DUMMYFUNCTION("""COMPUTED_VALUE"""),5)</f>
        <v>5</v>
      </c>
      <c r="BL173" s="4">
        <f ca="1">IFERROR(__xludf.DUMMYFUNCTION("""COMPUTED_VALUE"""),5)</f>
        <v>5</v>
      </c>
      <c r="BM173" s="4">
        <f ca="1">IFERROR(__xludf.DUMMYFUNCTION("""COMPUTED_VALUE"""),5)</f>
        <v>5</v>
      </c>
      <c r="BN173" s="4">
        <f ca="1">IFERROR(__xludf.DUMMYFUNCTION("""COMPUTED_VALUE"""),5)</f>
        <v>5</v>
      </c>
      <c r="BO173" s="4">
        <f ca="1">IFERROR(__xludf.DUMMYFUNCTION("""COMPUTED_VALUE"""),5)</f>
        <v>5</v>
      </c>
      <c r="BP173" s="4">
        <f ca="1">IFERROR(__xludf.DUMMYFUNCTION("""COMPUTED_VALUE"""),5)</f>
        <v>5</v>
      </c>
    </row>
    <row r="174" spans="1:68" ht="13.2" x14ac:dyDescent="0.25">
      <c r="A174" s="4" t="str">
        <f ca="1">IFERROR(__xludf.DUMMYFUNCTION("""COMPUTED_VALUE"""),"2_ABaOnuc7JTef1UUBnS22MEGDZ9VlPqkCKxzTxWwwcYwLyhIBU-xpXQcjKsSkA6xTZQ")</f>
        <v>2_ABaOnuc7JTef1UUBnS22MEGDZ9VlPqkCKxzTxWwwcYwLyhIBU-xpXQcjKsSkA6xTZQ</v>
      </c>
      <c r="B174" s="5">
        <f ca="1">IFERROR(__xludf.DUMMYFUNCTION("""COMPUTED_VALUE"""),45975.3704803935)</f>
        <v>45975.370480393503</v>
      </c>
      <c r="C174" s="4" t="str">
        <f ca="1">IFERROR(__xludf.DUMMYFUNCTION("""COMPUTED_VALUE"""),"Nguyễn Quốc Ngữ")</f>
        <v>Nguyễn Quốc Ngữ</v>
      </c>
      <c r="D174" s="4" t="str">
        <f ca="1">IFERROR(__xludf.DUMMYFUNCTION("""COMPUTED_VALUE"""),"Nam")</f>
        <v>Nam</v>
      </c>
      <c r="E174" s="4" t="str">
        <f ca="1">IFERROR(__xludf.DUMMYFUNCTION("""COMPUTED_VALUE"""),"Công ty TNHH Kiểm toán và Tư vấn A&amp;C - Chi nhánh Tây Nam Bộ")</f>
        <v>Công ty TNHH Kiểm toán và Tư vấn A&amp;C - Chi nhánh Tây Nam Bộ</v>
      </c>
      <c r="F174" s="4" t="str">
        <f ca="1">IFERROR(__xludf.DUMMYFUNCTION("""COMPUTED_VALUE"""),"Đại học, Sau đại học, Chứng chỉ Kiểm toán viên")</f>
        <v>Đại học, Sau đại học, Chứng chỉ Kiểm toán viên</v>
      </c>
      <c r="G174" s="4" t="str">
        <f ca="1">IFERROR(__xludf.DUMMYFUNCTION("""COMPUTED_VALUE"""),"Trên 20 năm")</f>
        <v>Trên 20 năm</v>
      </c>
      <c r="H174" s="4" t="str">
        <f ca="1">IFERROR(__xludf.DUMMYFUNCTION("""COMPUTED_VALUE"""),"Ban giám đốc")</f>
        <v>Ban giám đốc</v>
      </c>
      <c r="I174" s="4">
        <f ca="1">IFERROR(__xludf.DUMMYFUNCTION("""COMPUTED_VALUE"""),5)</f>
        <v>5</v>
      </c>
      <c r="J174" s="4">
        <f ca="1">IFERROR(__xludf.DUMMYFUNCTION("""COMPUTED_VALUE"""),4)</f>
        <v>4</v>
      </c>
      <c r="K174" s="4">
        <f ca="1">IFERROR(__xludf.DUMMYFUNCTION("""COMPUTED_VALUE"""),4)</f>
        <v>4</v>
      </c>
      <c r="L174" s="4">
        <f ca="1">IFERROR(__xludf.DUMMYFUNCTION("""COMPUTED_VALUE"""),3)</f>
        <v>3</v>
      </c>
      <c r="M174" s="4">
        <f ca="1">IFERROR(__xludf.DUMMYFUNCTION("""COMPUTED_VALUE"""),4)</f>
        <v>4</v>
      </c>
      <c r="N174" s="4">
        <f ca="1">IFERROR(__xludf.DUMMYFUNCTION("""COMPUTED_VALUE"""),4)</f>
        <v>4</v>
      </c>
      <c r="O174" s="4">
        <f ca="1">IFERROR(__xludf.DUMMYFUNCTION("""COMPUTED_VALUE"""),4)</f>
        <v>4</v>
      </c>
      <c r="P174" s="4">
        <f ca="1">IFERROR(__xludf.DUMMYFUNCTION("""COMPUTED_VALUE"""),4)</f>
        <v>4</v>
      </c>
      <c r="Q174" s="4">
        <f ca="1">IFERROR(__xludf.DUMMYFUNCTION("""COMPUTED_VALUE"""),5)</f>
        <v>5</v>
      </c>
      <c r="R174" s="4">
        <f ca="1">IFERROR(__xludf.DUMMYFUNCTION("""COMPUTED_VALUE"""),4)</f>
        <v>4</v>
      </c>
      <c r="S174" s="4">
        <f ca="1">IFERROR(__xludf.DUMMYFUNCTION("""COMPUTED_VALUE"""),4)</f>
        <v>4</v>
      </c>
      <c r="T174" s="4">
        <f ca="1">IFERROR(__xludf.DUMMYFUNCTION("""COMPUTED_VALUE"""),4)</f>
        <v>4</v>
      </c>
      <c r="U174" s="4">
        <f ca="1">IFERROR(__xludf.DUMMYFUNCTION("""COMPUTED_VALUE"""),3)</f>
        <v>3</v>
      </c>
      <c r="V174" s="4">
        <f ca="1">IFERROR(__xludf.DUMMYFUNCTION("""COMPUTED_VALUE"""),4)</f>
        <v>4</v>
      </c>
      <c r="W174" s="4">
        <f ca="1">IFERROR(__xludf.DUMMYFUNCTION("""COMPUTED_VALUE"""),3)</f>
        <v>3</v>
      </c>
      <c r="X174" s="4">
        <f ca="1">IFERROR(__xludf.DUMMYFUNCTION("""COMPUTED_VALUE"""),4)</f>
        <v>4</v>
      </c>
      <c r="Y174" s="4">
        <f ca="1">IFERROR(__xludf.DUMMYFUNCTION("""COMPUTED_VALUE"""),4)</f>
        <v>4</v>
      </c>
      <c r="Z174" s="4">
        <f ca="1">IFERROR(__xludf.DUMMYFUNCTION("""COMPUTED_VALUE"""),3)</f>
        <v>3</v>
      </c>
      <c r="AA174" s="4">
        <f ca="1">IFERROR(__xludf.DUMMYFUNCTION("""COMPUTED_VALUE"""),3)</f>
        <v>3</v>
      </c>
      <c r="AB174" s="4">
        <f ca="1">IFERROR(__xludf.DUMMYFUNCTION("""COMPUTED_VALUE"""),4)</f>
        <v>4</v>
      </c>
      <c r="AC174" s="4">
        <f ca="1">IFERROR(__xludf.DUMMYFUNCTION("""COMPUTED_VALUE"""),4)</f>
        <v>4</v>
      </c>
      <c r="AD174" s="4">
        <f ca="1">IFERROR(__xludf.DUMMYFUNCTION("""COMPUTED_VALUE"""),4)</f>
        <v>4</v>
      </c>
      <c r="AE174" s="4">
        <f ca="1">IFERROR(__xludf.DUMMYFUNCTION("""COMPUTED_VALUE"""),5)</f>
        <v>5</v>
      </c>
      <c r="AF174" s="4">
        <f ca="1">IFERROR(__xludf.DUMMYFUNCTION("""COMPUTED_VALUE"""),4)</f>
        <v>4</v>
      </c>
      <c r="AG174" s="4">
        <f ca="1">IFERROR(__xludf.DUMMYFUNCTION("""COMPUTED_VALUE"""),4)</f>
        <v>4</v>
      </c>
      <c r="AH174" s="4">
        <f ca="1">IFERROR(__xludf.DUMMYFUNCTION("""COMPUTED_VALUE"""),4)</f>
        <v>4</v>
      </c>
      <c r="AI174" s="4">
        <f ca="1">IFERROR(__xludf.DUMMYFUNCTION("""COMPUTED_VALUE"""),4)</f>
        <v>4</v>
      </c>
      <c r="AJ174" s="4">
        <f ca="1">IFERROR(__xludf.DUMMYFUNCTION("""COMPUTED_VALUE"""),4)</f>
        <v>4</v>
      </c>
      <c r="AK174" s="4">
        <f ca="1">IFERROR(__xludf.DUMMYFUNCTION("""COMPUTED_VALUE"""),4)</f>
        <v>4</v>
      </c>
      <c r="AL174" s="4">
        <f ca="1">IFERROR(__xludf.DUMMYFUNCTION("""COMPUTED_VALUE"""),4)</f>
        <v>4</v>
      </c>
      <c r="AM174" s="4">
        <f ca="1">IFERROR(__xludf.DUMMYFUNCTION("""COMPUTED_VALUE"""),4)</f>
        <v>4</v>
      </c>
      <c r="AN174" s="4">
        <f ca="1">IFERROR(__xludf.DUMMYFUNCTION("""COMPUTED_VALUE"""),4)</f>
        <v>4</v>
      </c>
      <c r="AO174" s="4">
        <f ca="1">IFERROR(__xludf.DUMMYFUNCTION("""COMPUTED_VALUE"""),4)</f>
        <v>4</v>
      </c>
      <c r="AP174" s="4">
        <f ca="1">IFERROR(__xludf.DUMMYFUNCTION("""COMPUTED_VALUE"""),4)</f>
        <v>4</v>
      </c>
      <c r="AQ174" s="4">
        <f ca="1">IFERROR(__xludf.DUMMYFUNCTION("""COMPUTED_VALUE"""),3)</f>
        <v>3</v>
      </c>
      <c r="AR174" s="4">
        <f ca="1">IFERROR(__xludf.DUMMYFUNCTION("""COMPUTED_VALUE"""),4)</f>
        <v>4</v>
      </c>
      <c r="AS174" s="4">
        <f ca="1">IFERROR(__xludf.DUMMYFUNCTION("""COMPUTED_VALUE"""),4)</f>
        <v>4</v>
      </c>
      <c r="AT174" s="4">
        <f ca="1">IFERROR(__xludf.DUMMYFUNCTION("""COMPUTED_VALUE"""),4)</f>
        <v>4</v>
      </c>
      <c r="AU174" s="4">
        <f ca="1">IFERROR(__xludf.DUMMYFUNCTION("""COMPUTED_VALUE"""),3)</f>
        <v>3</v>
      </c>
      <c r="AV174" s="4">
        <f ca="1">IFERROR(__xludf.DUMMYFUNCTION("""COMPUTED_VALUE"""),4)</f>
        <v>4</v>
      </c>
      <c r="AW174" s="4">
        <f ca="1">IFERROR(__xludf.DUMMYFUNCTION("""COMPUTED_VALUE"""),4)</f>
        <v>4</v>
      </c>
      <c r="AX174" s="4">
        <f ca="1">IFERROR(__xludf.DUMMYFUNCTION("""COMPUTED_VALUE"""),5)</f>
        <v>5</v>
      </c>
      <c r="AY174" s="4">
        <f ca="1">IFERROR(__xludf.DUMMYFUNCTION("""COMPUTED_VALUE"""),5)</f>
        <v>5</v>
      </c>
      <c r="AZ174" s="4">
        <f ca="1">IFERROR(__xludf.DUMMYFUNCTION("""COMPUTED_VALUE"""),5)</f>
        <v>5</v>
      </c>
      <c r="BA174" s="4">
        <f ca="1">IFERROR(__xludf.DUMMYFUNCTION("""COMPUTED_VALUE"""),5)</f>
        <v>5</v>
      </c>
      <c r="BB174" s="4">
        <f ca="1">IFERROR(__xludf.DUMMYFUNCTION("""COMPUTED_VALUE"""),4)</f>
        <v>4</v>
      </c>
      <c r="BC174" s="4">
        <f ca="1">IFERROR(__xludf.DUMMYFUNCTION("""COMPUTED_VALUE"""),4)</f>
        <v>4</v>
      </c>
      <c r="BD174" s="4">
        <f ca="1">IFERROR(__xludf.DUMMYFUNCTION("""COMPUTED_VALUE"""),4)</f>
        <v>4</v>
      </c>
      <c r="BE174" s="4">
        <f ca="1">IFERROR(__xludf.DUMMYFUNCTION("""COMPUTED_VALUE"""),4)</f>
        <v>4</v>
      </c>
      <c r="BF174" s="4">
        <f ca="1">IFERROR(__xludf.DUMMYFUNCTION("""COMPUTED_VALUE"""),4)</f>
        <v>4</v>
      </c>
      <c r="BG174" s="4">
        <f ca="1">IFERROR(__xludf.DUMMYFUNCTION("""COMPUTED_VALUE"""),4)</f>
        <v>4</v>
      </c>
      <c r="BH174" s="4">
        <f ca="1">IFERROR(__xludf.DUMMYFUNCTION("""COMPUTED_VALUE"""),4)</f>
        <v>4</v>
      </c>
      <c r="BI174" s="4">
        <f ca="1">IFERROR(__xludf.DUMMYFUNCTION("""COMPUTED_VALUE"""),4)</f>
        <v>4</v>
      </c>
      <c r="BJ174" s="4">
        <f ca="1">IFERROR(__xludf.DUMMYFUNCTION("""COMPUTED_VALUE"""),4)</f>
        <v>4</v>
      </c>
      <c r="BK174" s="4">
        <f ca="1">IFERROR(__xludf.DUMMYFUNCTION("""COMPUTED_VALUE"""),4)</f>
        <v>4</v>
      </c>
      <c r="BL174" s="4">
        <f ca="1">IFERROR(__xludf.DUMMYFUNCTION("""COMPUTED_VALUE"""),4)</f>
        <v>4</v>
      </c>
      <c r="BM174" s="4">
        <f ca="1">IFERROR(__xludf.DUMMYFUNCTION("""COMPUTED_VALUE"""),4)</f>
        <v>4</v>
      </c>
      <c r="BN174" s="4">
        <f ca="1">IFERROR(__xludf.DUMMYFUNCTION("""COMPUTED_VALUE"""),4)</f>
        <v>4</v>
      </c>
      <c r="BO174" s="4">
        <f ca="1">IFERROR(__xludf.DUMMYFUNCTION("""COMPUTED_VALUE"""),4)</f>
        <v>4</v>
      </c>
      <c r="BP174" s="4">
        <f ca="1">IFERROR(__xludf.DUMMYFUNCTION("""COMPUTED_VALUE"""),4)</f>
        <v>4</v>
      </c>
    </row>
    <row r="175" spans="1:68" ht="13.2" x14ac:dyDescent="0.25">
      <c r="A175" s="4" t="str">
        <f ca="1">IFERROR(__xludf.DUMMYFUNCTION("""COMPUTED_VALUE"""),"2_ABaOnudoYY7Ebm6N6lSNhTEfnY12iUjWPnIh5dPid7ourqhQ5C3sOznf7te18TIp5w")</f>
        <v>2_ABaOnudoYY7Ebm6N6lSNhTEfnY12iUjWPnIh5dPid7ourqhQ5C3sOznf7te18TIp5w</v>
      </c>
      <c r="B175" s="5">
        <f ca="1">IFERROR(__xludf.DUMMYFUNCTION("""COMPUTED_VALUE"""),45975.3717603009)</f>
        <v>45975.371760300899</v>
      </c>
      <c r="C175" s="4" t="str">
        <f ca="1">IFERROR(__xludf.DUMMYFUNCTION("""COMPUTED_VALUE"""),"Nguyễn Đức Toàn")</f>
        <v>Nguyễn Đức Toàn</v>
      </c>
      <c r="D175" s="4" t="str">
        <f ca="1">IFERROR(__xludf.DUMMYFUNCTION("""COMPUTED_VALUE"""),"Nam")</f>
        <v>Nam</v>
      </c>
      <c r="E175" s="4" t="str">
        <f ca="1">IFERROR(__xludf.DUMMYFUNCTION("""COMPUTED_VALUE"""),"Công ty TNHH Kiểm toán và Tư vấn A&amp;C_Chi nhánh Tây Nam Bộ")</f>
        <v>Công ty TNHH Kiểm toán và Tư vấn A&amp;C_Chi nhánh Tây Nam Bộ</v>
      </c>
      <c r="F175" s="4" t="str">
        <f ca="1">IFERROR(__xludf.DUMMYFUNCTION("""COMPUTED_VALUE"""),"Đại học, Chứng chỉ Kiểm toán viên")</f>
        <v>Đại học, Chứng chỉ Kiểm toán viên</v>
      </c>
      <c r="G175" s="4" t="str">
        <f ca="1">IFERROR(__xludf.DUMMYFUNCTION("""COMPUTED_VALUE"""),"Trên 5 đến 10 năm")</f>
        <v>Trên 5 đến 10 năm</v>
      </c>
      <c r="H175" s="4" t="str">
        <f ca="1">IFERROR(__xludf.DUMMYFUNCTION("""COMPUTED_VALUE"""),"Kiểm toán viên/Trưởng nhóm")</f>
        <v>Kiểm toán viên/Trưởng nhóm</v>
      </c>
      <c r="I175" s="4">
        <f ca="1">IFERROR(__xludf.DUMMYFUNCTION("""COMPUTED_VALUE"""),4)</f>
        <v>4</v>
      </c>
      <c r="J175" s="4">
        <f ca="1">IFERROR(__xludf.DUMMYFUNCTION("""COMPUTED_VALUE"""),4)</f>
        <v>4</v>
      </c>
      <c r="K175" s="4">
        <f ca="1">IFERROR(__xludf.DUMMYFUNCTION("""COMPUTED_VALUE"""),4)</f>
        <v>4</v>
      </c>
      <c r="L175" s="4">
        <f ca="1">IFERROR(__xludf.DUMMYFUNCTION("""COMPUTED_VALUE"""),4)</f>
        <v>4</v>
      </c>
      <c r="M175" s="4">
        <f ca="1">IFERROR(__xludf.DUMMYFUNCTION("""COMPUTED_VALUE"""),4)</f>
        <v>4</v>
      </c>
      <c r="N175" s="4">
        <f ca="1">IFERROR(__xludf.DUMMYFUNCTION("""COMPUTED_VALUE"""),4)</f>
        <v>4</v>
      </c>
      <c r="O175" s="4">
        <f ca="1">IFERROR(__xludf.DUMMYFUNCTION("""COMPUTED_VALUE"""),4)</f>
        <v>4</v>
      </c>
      <c r="P175" s="4">
        <f ca="1">IFERROR(__xludf.DUMMYFUNCTION("""COMPUTED_VALUE"""),4)</f>
        <v>4</v>
      </c>
      <c r="Q175" s="4">
        <f ca="1">IFERROR(__xludf.DUMMYFUNCTION("""COMPUTED_VALUE"""),4)</f>
        <v>4</v>
      </c>
      <c r="R175" s="4">
        <f ca="1">IFERROR(__xludf.DUMMYFUNCTION("""COMPUTED_VALUE"""),4)</f>
        <v>4</v>
      </c>
      <c r="S175" s="4">
        <f ca="1">IFERROR(__xludf.DUMMYFUNCTION("""COMPUTED_VALUE"""),4)</f>
        <v>4</v>
      </c>
      <c r="T175" s="4">
        <f ca="1">IFERROR(__xludf.DUMMYFUNCTION("""COMPUTED_VALUE"""),4)</f>
        <v>4</v>
      </c>
      <c r="U175" s="4">
        <f ca="1">IFERROR(__xludf.DUMMYFUNCTION("""COMPUTED_VALUE"""),4)</f>
        <v>4</v>
      </c>
      <c r="V175" s="4">
        <f ca="1">IFERROR(__xludf.DUMMYFUNCTION("""COMPUTED_VALUE"""),4)</f>
        <v>4</v>
      </c>
      <c r="W175" s="4">
        <f ca="1">IFERROR(__xludf.DUMMYFUNCTION("""COMPUTED_VALUE"""),4)</f>
        <v>4</v>
      </c>
      <c r="X175" s="4">
        <f ca="1">IFERROR(__xludf.DUMMYFUNCTION("""COMPUTED_VALUE"""),4)</f>
        <v>4</v>
      </c>
      <c r="Y175" s="4">
        <f ca="1">IFERROR(__xludf.DUMMYFUNCTION("""COMPUTED_VALUE"""),4)</f>
        <v>4</v>
      </c>
      <c r="Z175" s="4">
        <f ca="1">IFERROR(__xludf.DUMMYFUNCTION("""COMPUTED_VALUE"""),4)</f>
        <v>4</v>
      </c>
      <c r="AA175" s="4">
        <f ca="1">IFERROR(__xludf.DUMMYFUNCTION("""COMPUTED_VALUE"""),4)</f>
        <v>4</v>
      </c>
      <c r="AB175" s="4">
        <f ca="1">IFERROR(__xludf.DUMMYFUNCTION("""COMPUTED_VALUE"""),4)</f>
        <v>4</v>
      </c>
      <c r="AC175" s="4">
        <f ca="1">IFERROR(__xludf.DUMMYFUNCTION("""COMPUTED_VALUE"""),4)</f>
        <v>4</v>
      </c>
      <c r="AD175" s="4">
        <f ca="1">IFERROR(__xludf.DUMMYFUNCTION("""COMPUTED_VALUE"""),4)</f>
        <v>4</v>
      </c>
      <c r="AE175" s="4">
        <f ca="1">IFERROR(__xludf.DUMMYFUNCTION("""COMPUTED_VALUE"""),4)</f>
        <v>4</v>
      </c>
      <c r="AF175" s="4">
        <f ca="1">IFERROR(__xludf.DUMMYFUNCTION("""COMPUTED_VALUE"""),4)</f>
        <v>4</v>
      </c>
      <c r="AG175" s="4">
        <f ca="1">IFERROR(__xludf.DUMMYFUNCTION("""COMPUTED_VALUE"""),4)</f>
        <v>4</v>
      </c>
      <c r="AH175" s="4">
        <f ca="1">IFERROR(__xludf.DUMMYFUNCTION("""COMPUTED_VALUE"""),4)</f>
        <v>4</v>
      </c>
      <c r="AI175" s="4">
        <f ca="1">IFERROR(__xludf.DUMMYFUNCTION("""COMPUTED_VALUE"""),4)</f>
        <v>4</v>
      </c>
      <c r="AJ175" s="4">
        <f ca="1">IFERROR(__xludf.DUMMYFUNCTION("""COMPUTED_VALUE"""),4)</f>
        <v>4</v>
      </c>
      <c r="AK175" s="4">
        <f ca="1">IFERROR(__xludf.DUMMYFUNCTION("""COMPUTED_VALUE"""),4)</f>
        <v>4</v>
      </c>
      <c r="AL175" s="4">
        <f ca="1">IFERROR(__xludf.DUMMYFUNCTION("""COMPUTED_VALUE"""),4)</f>
        <v>4</v>
      </c>
      <c r="AM175" s="4">
        <f ca="1">IFERROR(__xludf.DUMMYFUNCTION("""COMPUTED_VALUE"""),4)</f>
        <v>4</v>
      </c>
      <c r="AN175" s="4">
        <f ca="1">IFERROR(__xludf.DUMMYFUNCTION("""COMPUTED_VALUE"""),4)</f>
        <v>4</v>
      </c>
      <c r="AO175" s="4">
        <f ca="1">IFERROR(__xludf.DUMMYFUNCTION("""COMPUTED_VALUE"""),4)</f>
        <v>4</v>
      </c>
      <c r="AP175" s="4">
        <f ca="1">IFERROR(__xludf.DUMMYFUNCTION("""COMPUTED_VALUE"""),4)</f>
        <v>4</v>
      </c>
      <c r="AQ175" s="4">
        <f ca="1">IFERROR(__xludf.DUMMYFUNCTION("""COMPUTED_VALUE"""),4)</f>
        <v>4</v>
      </c>
      <c r="AR175" s="4">
        <f ca="1">IFERROR(__xludf.DUMMYFUNCTION("""COMPUTED_VALUE"""),4)</f>
        <v>4</v>
      </c>
      <c r="AS175" s="4">
        <f ca="1">IFERROR(__xludf.DUMMYFUNCTION("""COMPUTED_VALUE"""),4)</f>
        <v>4</v>
      </c>
      <c r="AT175" s="4">
        <f ca="1">IFERROR(__xludf.DUMMYFUNCTION("""COMPUTED_VALUE"""),4)</f>
        <v>4</v>
      </c>
      <c r="AU175" s="4">
        <f ca="1">IFERROR(__xludf.DUMMYFUNCTION("""COMPUTED_VALUE"""),4)</f>
        <v>4</v>
      </c>
      <c r="AV175" s="4">
        <f ca="1">IFERROR(__xludf.DUMMYFUNCTION("""COMPUTED_VALUE"""),4)</f>
        <v>4</v>
      </c>
      <c r="AW175" s="4">
        <f ca="1">IFERROR(__xludf.DUMMYFUNCTION("""COMPUTED_VALUE"""),4)</f>
        <v>4</v>
      </c>
      <c r="AX175" s="4">
        <f ca="1">IFERROR(__xludf.DUMMYFUNCTION("""COMPUTED_VALUE"""),4)</f>
        <v>4</v>
      </c>
      <c r="AY175" s="4">
        <f ca="1">IFERROR(__xludf.DUMMYFUNCTION("""COMPUTED_VALUE"""),4)</f>
        <v>4</v>
      </c>
      <c r="AZ175" s="4">
        <f ca="1">IFERROR(__xludf.DUMMYFUNCTION("""COMPUTED_VALUE"""),4)</f>
        <v>4</v>
      </c>
      <c r="BA175" s="4">
        <f ca="1">IFERROR(__xludf.DUMMYFUNCTION("""COMPUTED_VALUE"""),4)</f>
        <v>4</v>
      </c>
      <c r="BB175" s="4">
        <f ca="1">IFERROR(__xludf.DUMMYFUNCTION("""COMPUTED_VALUE"""),4)</f>
        <v>4</v>
      </c>
      <c r="BC175" s="4">
        <f ca="1">IFERROR(__xludf.DUMMYFUNCTION("""COMPUTED_VALUE"""),4)</f>
        <v>4</v>
      </c>
      <c r="BD175" s="4">
        <f ca="1">IFERROR(__xludf.DUMMYFUNCTION("""COMPUTED_VALUE"""),4)</f>
        <v>4</v>
      </c>
      <c r="BE175" s="4">
        <f ca="1">IFERROR(__xludf.DUMMYFUNCTION("""COMPUTED_VALUE"""),4)</f>
        <v>4</v>
      </c>
      <c r="BF175" s="4">
        <f ca="1">IFERROR(__xludf.DUMMYFUNCTION("""COMPUTED_VALUE"""),4)</f>
        <v>4</v>
      </c>
      <c r="BG175" s="4">
        <f ca="1">IFERROR(__xludf.DUMMYFUNCTION("""COMPUTED_VALUE"""),4)</f>
        <v>4</v>
      </c>
      <c r="BH175" s="4">
        <f ca="1">IFERROR(__xludf.DUMMYFUNCTION("""COMPUTED_VALUE"""),4)</f>
        <v>4</v>
      </c>
      <c r="BI175" s="4">
        <f ca="1">IFERROR(__xludf.DUMMYFUNCTION("""COMPUTED_VALUE"""),4)</f>
        <v>4</v>
      </c>
      <c r="BJ175" s="4">
        <f ca="1">IFERROR(__xludf.DUMMYFUNCTION("""COMPUTED_VALUE"""),4)</f>
        <v>4</v>
      </c>
      <c r="BK175" s="4">
        <f ca="1">IFERROR(__xludf.DUMMYFUNCTION("""COMPUTED_VALUE"""),4)</f>
        <v>4</v>
      </c>
      <c r="BL175" s="4">
        <f ca="1">IFERROR(__xludf.DUMMYFUNCTION("""COMPUTED_VALUE"""),4)</f>
        <v>4</v>
      </c>
      <c r="BM175" s="4">
        <f ca="1">IFERROR(__xludf.DUMMYFUNCTION("""COMPUTED_VALUE"""),4)</f>
        <v>4</v>
      </c>
      <c r="BN175" s="4">
        <f ca="1">IFERROR(__xludf.DUMMYFUNCTION("""COMPUTED_VALUE"""),4)</f>
        <v>4</v>
      </c>
      <c r="BO175" s="4">
        <f ca="1">IFERROR(__xludf.DUMMYFUNCTION("""COMPUTED_VALUE"""),4)</f>
        <v>4</v>
      </c>
      <c r="BP175" s="4">
        <f ca="1">IFERROR(__xludf.DUMMYFUNCTION("""COMPUTED_VALUE"""),4)</f>
        <v>4</v>
      </c>
    </row>
    <row r="176" spans="1:68" ht="13.2" x14ac:dyDescent="0.25">
      <c r="A176" s="4" t="str">
        <f ca="1">IFERROR(__xludf.DUMMYFUNCTION("""COMPUTED_VALUE"""),"2_ABaOnucRqAulTlhaELwP19sWEhT5cozg5sb1fESvoNKFFifIofvdocM1G1A-RL2IAA")</f>
        <v>2_ABaOnucRqAulTlhaELwP19sWEhT5cozg5sb1fESvoNKFFifIofvdocM1G1A-RL2IAA</v>
      </c>
      <c r="B176" s="5">
        <f ca="1">IFERROR(__xludf.DUMMYFUNCTION("""COMPUTED_VALUE"""),45975.3736773611)</f>
        <v>45975.373677361102</v>
      </c>
      <c r="C176" s="4" t="str">
        <f ca="1">IFERROR(__xludf.DUMMYFUNCTION("""COMPUTED_VALUE"""),"Lê Hồ Diễm Trang")</f>
        <v>Lê Hồ Diễm Trang</v>
      </c>
      <c r="D176" s="4" t="str">
        <f ca="1">IFERROR(__xludf.DUMMYFUNCTION("""COMPUTED_VALUE"""),"Nữ")</f>
        <v>Nữ</v>
      </c>
      <c r="E176" s="4" t="str">
        <f ca="1">IFERROR(__xludf.DUMMYFUNCTION("""COMPUTED_VALUE"""),"Công ty TNHH Kiểm toán và Tư vấn A&amp;C - Chi nhánh Tây Nam Bộ")</f>
        <v>Công ty TNHH Kiểm toán và Tư vấn A&amp;C - Chi nhánh Tây Nam Bộ</v>
      </c>
      <c r="F176" s="4" t="str">
        <f ca="1">IFERROR(__xludf.DUMMYFUNCTION("""COMPUTED_VALUE"""),"Đại học")</f>
        <v>Đại học</v>
      </c>
      <c r="G176" s="4" t="str">
        <f ca="1">IFERROR(__xludf.DUMMYFUNCTION("""COMPUTED_VALUE"""),"Từ 3 đến 5 năm")</f>
        <v>Từ 3 đến 5 năm</v>
      </c>
      <c r="H176" s="4" t="str">
        <f ca="1">IFERROR(__xludf.DUMMYFUNCTION("""COMPUTED_VALUE"""),"Kiểm toán viên/Trưởng nhóm")</f>
        <v>Kiểm toán viên/Trưởng nhóm</v>
      </c>
      <c r="I176" s="4">
        <f ca="1">IFERROR(__xludf.DUMMYFUNCTION("""COMPUTED_VALUE"""),5)</f>
        <v>5</v>
      </c>
      <c r="J176" s="4">
        <f ca="1">IFERROR(__xludf.DUMMYFUNCTION("""COMPUTED_VALUE"""),5)</f>
        <v>5</v>
      </c>
      <c r="K176" s="4">
        <f ca="1">IFERROR(__xludf.DUMMYFUNCTION("""COMPUTED_VALUE"""),5)</f>
        <v>5</v>
      </c>
      <c r="L176" s="4">
        <f ca="1">IFERROR(__xludf.DUMMYFUNCTION("""COMPUTED_VALUE"""),4)</f>
        <v>4</v>
      </c>
      <c r="M176" s="4">
        <f ca="1">IFERROR(__xludf.DUMMYFUNCTION("""COMPUTED_VALUE"""),4)</f>
        <v>4</v>
      </c>
      <c r="N176" s="4">
        <f ca="1">IFERROR(__xludf.DUMMYFUNCTION("""COMPUTED_VALUE"""),3)</f>
        <v>3</v>
      </c>
      <c r="O176" s="4">
        <f ca="1">IFERROR(__xludf.DUMMYFUNCTION("""COMPUTED_VALUE"""),4)</f>
        <v>4</v>
      </c>
      <c r="P176" s="4">
        <f ca="1">IFERROR(__xludf.DUMMYFUNCTION("""COMPUTED_VALUE"""),4)</f>
        <v>4</v>
      </c>
      <c r="Q176" s="4">
        <f ca="1">IFERROR(__xludf.DUMMYFUNCTION("""COMPUTED_VALUE"""),5)</f>
        <v>5</v>
      </c>
      <c r="R176" s="4">
        <f ca="1">IFERROR(__xludf.DUMMYFUNCTION("""COMPUTED_VALUE"""),5)</f>
        <v>5</v>
      </c>
      <c r="S176" s="4">
        <f ca="1">IFERROR(__xludf.DUMMYFUNCTION("""COMPUTED_VALUE"""),4)</f>
        <v>4</v>
      </c>
      <c r="T176" s="4">
        <f ca="1">IFERROR(__xludf.DUMMYFUNCTION("""COMPUTED_VALUE"""),5)</f>
        <v>5</v>
      </c>
      <c r="U176" s="4">
        <f ca="1">IFERROR(__xludf.DUMMYFUNCTION("""COMPUTED_VALUE"""),5)</f>
        <v>5</v>
      </c>
      <c r="V176" s="4">
        <f ca="1">IFERROR(__xludf.DUMMYFUNCTION("""COMPUTED_VALUE"""),4)</f>
        <v>4</v>
      </c>
      <c r="W176" s="4">
        <f ca="1">IFERROR(__xludf.DUMMYFUNCTION("""COMPUTED_VALUE"""),3)</f>
        <v>3</v>
      </c>
      <c r="X176" s="4">
        <f ca="1">IFERROR(__xludf.DUMMYFUNCTION("""COMPUTED_VALUE"""),4)</f>
        <v>4</v>
      </c>
      <c r="Y176" s="4">
        <f ca="1">IFERROR(__xludf.DUMMYFUNCTION("""COMPUTED_VALUE"""),3)</f>
        <v>3</v>
      </c>
      <c r="Z176" s="4">
        <f ca="1">IFERROR(__xludf.DUMMYFUNCTION("""COMPUTED_VALUE"""),2)</f>
        <v>2</v>
      </c>
      <c r="AA176" s="4">
        <f ca="1">IFERROR(__xludf.DUMMYFUNCTION("""COMPUTED_VALUE"""),5)</f>
        <v>5</v>
      </c>
      <c r="AB176" s="4">
        <f ca="1">IFERROR(__xludf.DUMMYFUNCTION("""COMPUTED_VALUE"""),5)</f>
        <v>5</v>
      </c>
      <c r="AC176" s="4">
        <f ca="1">IFERROR(__xludf.DUMMYFUNCTION("""COMPUTED_VALUE"""),4)</f>
        <v>4</v>
      </c>
      <c r="AD176" s="4">
        <f ca="1">IFERROR(__xludf.DUMMYFUNCTION("""COMPUTED_VALUE"""),5)</f>
        <v>5</v>
      </c>
      <c r="AE176" s="4">
        <f ca="1">IFERROR(__xludf.DUMMYFUNCTION("""COMPUTED_VALUE"""),5)</f>
        <v>5</v>
      </c>
      <c r="AF176" s="4">
        <f ca="1">IFERROR(__xludf.DUMMYFUNCTION("""COMPUTED_VALUE"""),5)</f>
        <v>5</v>
      </c>
      <c r="AG176" s="4">
        <f ca="1">IFERROR(__xludf.DUMMYFUNCTION("""COMPUTED_VALUE"""),5)</f>
        <v>5</v>
      </c>
      <c r="AH176" s="4">
        <f ca="1">IFERROR(__xludf.DUMMYFUNCTION("""COMPUTED_VALUE"""),5)</f>
        <v>5</v>
      </c>
      <c r="AI176" s="4">
        <f ca="1">IFERROR(__xludf.DUMMYFUNCTION("""COMPUTED_VALUE"""),4)</f>
        <v>4</v>
      </c>
      <c r="AJ176" s="4">
        <f ca="1">IFERROR(__xludf.DUMMYFUNCTION("""COMPUTED_VALUE"""),4)</f>
        <v>4</v>
      </c>
      <c r="AK176" s="4">
        <f ca="1">IFERROR(__xludf.DUMMYFUNCTION("""COMPUTED_VALUE"""),4)</f>
        <v>4</v>
      </c>
      <c r="AL176" s="4">
        <f ca="1">IFERROR(__xludf.DUMMYFUNCTION("""COMPUTED_VALUE"""),5)</f>
        <v>5</v>
      </c>
      <c r="AM176" s="4">
        <f ca="1">IFERROR(__xludf.DUMMYFUNCTION("""COMPUTED_VALUE"""),5)</f>
        <v>5</v>
      </c>
      <c r="AN176" s="4">
        <f ca="1">IFERROR(__xludf.DUMMYFUNCTION("""COMPUTED_VALUE"""),4)</f>
        <v>4</v>
      </c>
      <c r="AO176" s="4">
        <f ca="1">IFERROR(__xludf.DUMMYFUNCTION("""COMPUTED_VALUE"""),4)</f>
        <v>4</v>
      </c>
      <c r="AP176" s="4">
        <f ca="1">IFERROR(__xludf.DUMMYFUNCTION("""COMPUTED_VALUE"""),4)</f>
        <v>4</v>
      </c>
      <c r="AQ176" s="4">
        <f ca="1">IFERROR(__xludf.DUMMYFUNCTION("""COMPUTED_VALUE"""),5)</f>
        <v>5</v>
      </c>
      <c r="AR176" s="4">
        <f ca="1">IFERROR(__xludf.DUMMYFUNCTION("""COMPUTED_VALUE"""),4)</f>
        <v>4</v>
      </c>
      <c r="AS176" s="4">
        <f ca="1">IFERROR(__xludf.DUMMYFUNCTION("""COMPUTED_VALUE"""),4)</f>
        <v>4</v>
      </c>
      <c r="AT176" s="4">
        <f ca="1">IFERROR(__xludf.DUMMYFUNCTION("""COMPUTED_VALUE"""),4)</f>
        <v>4</v>
      </c>
      <c r="AU176" s="4">
        <f ca="1">IFERROR(__xludf.DUMMYFUNCTION("""COMPUTED_VALUE"""),3)</f>
        <v>3</v>
      </c>
      <c r="AV176" s="4">
        <f ca="1">IFERROR(__xludf.DUMMYFUNCTION("""COMPUTED_VALUE"""),4)</f>
        <v>4</v>
      </c>
      <c r="AW176" s="4">
        <f ca="1">IFERROR(__xludf.DUMMYFUNCTION("""COMPUTED_VALUE"""),5)</f>
        <v>5</v>
      </c>
      <c r="AX176" s="4">
        <f ca="1">IFERROR(__xludf.DUMMYFUNCTION("""COMPUTED_VALUE"""),5)</f>
        <v>5</v>
      </c>
      <c r="AY176" s="4">
        <f ca="1">IFERROR(__xludf.DUMMYFUNCTION("""COMPUTED_VALUE"""),5)</f>
        <v>5</v>
      </c>
      <c r="AZ176" s="4">
        <f ca="1">IFERROR(__xludf.DUMMYFUNCTION("""COMPUTED_VALUE"""),5)</f>
        <v>5</v>
      </c>
      <c r="BA176" s="4">
        <f ca="1">IFERROR(__xludf.DUMMYFUNCTION("""COMPUTED_VALUE"""),5)</f>
        <v>5</v>
      </c>
      <c r="BB176" s="4">
        <f ca="1">IFERROR(__xludf.DUMMYFUNCTION("""COMPUTED_VALUE"""),4)</f>
        <v>4</v>
      </c>
      <c r="BC176" s="4">
        <f ca="1">IFERROR(__xludf.DUMMYFUNCTION("""COMPUTED_VALUE"""),4)</f>
        <v>4</v>
      </c>
      <c r="BD176" s="4">
        <f ca="1">IFERROR(__xludf.DUMMYFUNCTION("""COMPUTED_VALUE"""),5)</f>
        <v>5</v>
      </c>
      <c r="BE176" s="4">
        <f ca="1">IFERROR(__xludf.DUMMYFUNCTION("""COMPUTED_VALUE"""),5)</f>
        <v>5</v>
      </c>
      <c r="BF176" s="4">
        <f ca="1">IFERROR(__xludf.DUMMYFUNCTION("""COMPUTED_VALUE"""),5)</f>
        <v>5</v>
      </c>
      <c r="BG176" s="4">
        <f ca="1">IFERROR(__xludf.DUMMYFUNCTION("""COMPUTED_VALUE"""),5)</f>
        <v>5</v>
      </c>
      <c r="BH176" s="4">
        <f ca="1">IFERROR(__xludf.DUMMYFUNCTION("""COMPUTED_VALUE"""),5)</f>
        <v>5</v>
      </c>
      <c r="BI176" s="4">
        <f ca="1">IFERROR(__xludf.DUMMYFUNCTION("""COMPUTED_VALUE"""),5)</f>
        <v>5</v>
      </c>
      <c r="BJ176" s="4">
        <f ca="1">IFERROR(__xludf.DUMMYFUNCTION("""COMPUTED_VALUE"""),5)</f>
        <v>5</v>
      </c>
      <c r="BK176" s="4">
        <f ca="1">IFERROR(__xludf.DUMMYFUNCTION("""COMPUTED_VALUE"""),5)</f>
        <v>5</v>
      </c>
      <c r="BL176" s="4">
        <f ca="1">IFERROR(__xludf.DUMMYFUNCTION("""COMPUTED_VALUE"""),5)</f>
        <v>5</v>
      </c>
      <c r="BM176" s="4">
        <f ca="1">IFERROR(__xludf.DUMMYFUNCTION("""COMPUTED_VALUE"""),5)</f>
        <v>5</v>
      </c>
      <c r="BN176" s="4">
        <f ca="1">IFERROR(__xludf.DUMMYFUNCTION("""COMPUTED_VALUE"""),5)</f>
        <v>5</v>
      </c>
      <c r="BO176" s="4">
        <f ca="1">IFERROR(__xludf.DUMMYFUNCTION("""COMPUTED_VALUE"""),5)</f>
        <v>5</v>
      </c>
      <c r="BP176" s="4">
        <f ca="1">IFERROR(__xludf.DUMMYFUNCTION("""COMPUTED_VALUE"""),5)</f>
        <v>5</v>
      </c>
    </row>
    <row r="177" spans="1:68" ht="13.2" x14ac:dyDescent="0.25">
      <c r="A177" s="4" t="str">
        <f ca="1">IFERROR(__xludf.DUMMYFUNCTION("""COMPUTED_VALUE"""),"2_ABaOnucSRo1e0XoA2YLVLGExpossp0Kgp0NKt6T_9d5TvAyBroqPLFi3Iayyd1CIrw")</f>
        <v>2_ABaOnucSRo1e0XoA2YLVLGExpossp0Kgp0NKt6T_9d5TvAyBroqPLFi3Iayyd1CIrw</v>
      </c>
      <c r="B177" s="5">
        <f ca="1">IFERROR(__xludf.DUMMYFUNCTION("""COMPUTED_VALUE"""),45975.3743541088)</f>
        <v>45975.374354108797</v>
      </c>
      <c r="C177" s="4" t="str">
        <f ca="1">IFERROR(__xludf.DUMMYFUNCTION("""COMPUTED_VALUE"""),"Nguyễn Tấn Trung")</f>
        <v>Nguyễn Tấn Trung</v>
      </c>
      <c r="D177" s="4" t="str">
        <f ca="1">IFERROR(__xludf.DUMMYFUNCTION("""COMPUTED_VALUE"""),"Nam")</f>
        <v>Nam</v>
      </c>
      <c r="E177" s="4" t="str">
        <f ca="1">IFERROR(__xludf.DUMMYFUNCTION("""COMPUTED_VALUE"""),"Công ty TNHH Kiểm toán và Tư vấn A&amp;C - CN Tây Nam Bộ")</f>
        <v>Công ty TNHH Kiểm toán và Tư vấn A&amp;C - CN Tây Nam Bộ</v>
      </c>
      <c r="F177" s="4" t="str">
        <f ca="1">IFERROR(__xludf.DUMMYFUNCTION("""COMPUTED_VALUE"""),"Đại học")</f>
        <v>Đại học</v>
      </c>
      <c r="G177" s="4" t="str">
        <f ca="1">IFERROR(__xludf.DUMMYFUNCTION("""COMPUTED_VALUE"""),"Từ 3 đến 5 năm")</f>
        <v>Từ 3 đến 5 năm</v>
      </c>
      <c r="H177" s="4" t="str">
        <f ca="1">IFERROR(__xludf.DUMMYFUNCTION("""COMPUTED_VALUE"""),"Trợ lý kiểm toán")</f>
        <v>Trợ lý kiểm toán</v>
      </c>
      <c r="I177" s="4">
        <f ca="1">IFERROR(__xludf.DUMMYFUNCTION("""COMPUTED_VALUE"""),5)</f>
        <v>5</v>
      </c>
      <c r="J177" s="4">
        <f ca="1">IFERROR(__xludf.DUMMYFUNCTION("""COMPUTED_VALUE"""),4)</f>
        <v>4</v>
      </c>
      <c r="K177" s="4">
        <f ca="1">IFERROR(__xludf.DUMMYFUNCTION("""COMPUTED_VALUE"""),4)</f>
        <v>4</v>
      </c>
      <c r="L177" s="4">
        <f ca="1">IFERROR(__xludf.DUMMYFUNCTION("""COMPUTED_VALUE"""),5)</f>
        <v>5</v>
      </c>
      <c r="M177" s="4">
        <f ca="1">IFERROR(__xludf.DUMMYFUNCTION("""COMPUTED_VALUE"""),3)</f>
        <v>3</v>
      </c>
      <c r="N177" s="4">
        <f ca="1">IFERROR(__xludf.DUMMYFUNCTION("""COMPUTED_VALUE"""),4)</f>
        <v>4</v>
      </c>
      <c r="O177" s="4">
        <f ca="1">IFERROR(__xludf.DUMMYFUNCTION("""COMPUTED_VALUE"""),4)</f>
        <v>4</v>
      </c>
      <c r="P177" s="4">
        <f ca="1">IFERROR(__xludf.DUMMYFUNCTION("""COMPUTED_VALUE"""),5)</f>
        <v>5</v>
      </c>
      <c r="Q177" s="4">
        <f ca="1">IFERROR(__xludf.DUMMYFUNCTION("""COMPUTED_VALUE"""),5)</f>
        <v>5</v>
      </c>
      <c r="R177" s="4">
        <f ca="1">IFERROR(__xludf.DUMMYFUNCTION("""COMPUTED_VALUE"""),5)</f>
        <v>5</v>
      </c>
      <c r="S177" s="4">
        <f ca="1">IFERROR(__xludf.DUMMYFUNCTION("""COMPUTED_VALUE"""),5)</f>
        <v>5</v>
      </c>
      <c r="T177" s="4">
        <f ca="1">IFERROR(__xludf.DUMMYFUNCTION("""COMPUTED_VALUE"""),5)</f>
        <v>5</v>
      </c>
      <c r="U177" s="4">
        <f ca="1">IFERROR(__xludf.DUMMYFUNCTION("""COMPUTED_VALUE"""),4)</f>
        <v>4</v>
      </c>
      <c r="V177" s="4">
        <f ca="1">IFERROR(__xludf.DUMMYFUNCTION("""COMPUTED_VALUE"""),5)</f>
        <v>5</v>
      </c>
      <c r="W177" s="4">
        <f ca="1">IFERROR(__xludf.DUMMYFUNCTION("""COMPUTED_VALUE"""),4)</f>
        <v>4</v>
      </c>
      <c r="X177" s="4">
        <f ca="1">IFERROR(__xludf.DUMMYFUNCTION("""COMPUTED_VALUE"""),3)</f>
        <v>3</v>
      </c>
      <c r="Y177" s="4">
        <f ca="1">IFERROR(__xludf.DUMMYFUNCTION("""COMPUTED_VALUE"""),3)</f>
        <v>3</v>
      </c>
      <c r="Z177" s="4">
        <f ca="1">IFERROR(__xludf.DUMMYFUNCTION("""COMPUTED_VALUE"""),3)</f>
        <v>3</v>
      </c>
      <c r="AA177" s="4">
        <f ca="1">IFERROR(__xludf.DUMMYFUNCTION("""COMPUTED_VALUE"""),5)</f>
        <v>5</v>
      </c>
      <c r="AB177" s="4">
        <f ca="1">IFERROR(__xludf.DUMMYFUNCTION("""COMPUTED_VALUE"""),4)</f>
        <v>4</v>
      </c>
      <c r="AC177" s="4">
        <f ca="1">IFERROR(__xludf.DUMMYFUNCTION("""COMPUTED_VALUE"""),3)</f>
        <v>3</v>
      </c>
      <c r="AD177" s="4">
        <f ca="1">IFERROR(__xludf.DUMMYFUNCTION("""COMPUTED_VALUE"""),2)</f>
        <v>2</v>
      </c>
      <c r="AE177" s="4">
        <f ca="1">IFERROR(__xludf.DUMMYFUNCTION("""COMPUTED_VALUE"""),5)</f>
        <v>5</v>
      </c>
      <c r="AF177" s="4">
        <f ca="1">IFERROR(__xludf.DUMMYFUNCTION("""COMPUTED_VALUE"""),5)</f>
        <v>5</v>
      </c>
      <c r="AG177" s="4">
        <f ca="1">IFERROR(__xludf.DUMMYFUNCTION("""COMPUTED_VALUE"""),4)</f>
        <v>4</v>
      </c>
      <c r="AH177" s="4">
        <f ca="1">IFERROR(__xludf.DUMMYFUNCTION("""COMPUTED_VALUE"""),4)</f>
        <v>4</v>
      </c>
      <c r="AI177" s="4">
        <f ca="1">IFERROR(__xludf.DUMMYFUNCTION("""COMPUTED_VALUE"""),3)</f>
        <v>3</v>
      </c>
      <c r="AJ177" s="4">
        <f ca="1">IFERROR(__xludf.DUMMYFUNCTION("""COMPUTED_VALUE"""),4)</f>
        <v>4</v>
      </c>
      <c r="AK177" s="4">
        <f ca="1">IFERROR(__xludf.DUMMYFUNCTION("""COMPUTED_VALUE"""),5)</f>
        <v>5</v>
      </c>
      <c r="AL177" s="4">
        <f ca="1">IFERROR(__xludf.DUMMYFUNCTION("""COMPUTED_VALUE"""),5)</f>
        <v>5</v>
      </c>
      <c r="AM177" s="4">
        <f ca="1">IFERROR(__xludf.DUMMYFUNCTION("""COMPUTED_VALUE"""),5)</f>
        <v>5</v>
      </c>
      <c r="AN177" s="4">
        <f ca="1">IFERROR(__xludf.DUMMYFUNCTION("""COMPUTED_VALUE"""),4)</f>
        <v>4</v>
      </c>
      <c r="AO177" s="4">
        <f ca="1">IFERROR(__xludf.DUMMYFUNCTION("""COMPUTED_VALUE"""),4)</f>
        <v>4</v>
      </c>
      <c r="AP177" s="4">
        <f ca="1">IFERROR(__xludf.DUMMYFUNCTION("""COMPUTED_VALUE"""),4)</f>
        <v>4</v>
      </c>
      <c r="AQ177" s="4">
        <f ca="1">IFERROR(__xludf.DUMMYFUNCTION("""COMPUTED_VALUE"""),4)</f>
        <v>4</v>
      </c>
      <c r="AR177" s="4">
        <f ca="1">IFERROR(__xludf.DUMMYFUNCTION("""COMPUTED_VALUE"""),4)</f>
        <v>4</v>
      </c>
      <c r="AS177" s="4">
        <f ca="1">IFERROR(__xludf.DUMMYFUNCTION("""COMPUTED_VALUE"""),5)</f>
        <v>5</v>
      </c>
      <c r="AT177" s="4">
        <f ca="1">IFERROR(__xludf.DUMMYFUNCTION("""COMPUTED_VALUE"""),3)</f>
        <v>3</v>
      </c>
      <c r="AU177" s="4">
        <f ca="1">IFERROR(__xludf.DUMMYFUNCTION("""COMPUTED_VALUE"""),4)</f>
        <v>4</v>
      </c>
      <c r="AV177" s="4">
        <f ca="1">IFERROR(__xludf.DUMMYFUNCTION("""COMPUTED_VALUE"""),4)</f>
        <v>4</v>
      </c>
      <c r="AW177" s="4">
        <f ca="1">IFERROR(__xludf.DUMMYFUNCTION("""COMPUTED_VALUE"""),5)</f>
        <v>5</v>
      </c>
      <c r="AX177" s="4">
        <f ca="1">IFERROR(__xludf.DUMMYFUNCTION("""COMPUTED_VALUE"""),5)</f>
        <v>5</v>
      </c>
      <c r="AY177" s="4">
        <f ca="1">IFERROR(__xludf.DUMMYFUNCTION("""COMPUTED_VALUE"""),5)</f>
        <v>5</v>
      </c>
      <c r="AZ177" s="4">
        <f ca="1">IFERROR(__xludf.DUMMYFUNCTION("""COMPUTED_VALUE"""),5)</f>
        <v>5</v>
      </c>
      <c r="BA177" s="4">
        <f ca="1">IFERROR(__xludf.DUMMYFUNCTION("""COMPUTED_VALUE"""),4)</f>
        <v>4</v>
      </c>
      <c r="BB177" s="4">
        <f ca="1">IFERROR(__xludf.DUMMYFUNCTION("""COMPUTED_VALUE"""),3)</f>
        <v>3</v>
      </c>
      <c r="BC177" s="4">
        <f ca="1">IFERROR(__xludf.DUMMYFUNCTION("""COMPUTED_VALUE"""),3)</f>
        <v>3</v>
      </c>
      <c r="BD177" s="4">
        <f ca="1">IFERROR(__xludf.DUMMYFUNCTION("""COMPUTED_VALUE"""),2)</f>
        <v>2</v>
      </c>
      <c r="BE177" s="4">
        <f ca="1">IFERROR(__xludf.DUMMYFUNCTION("""COMPUTED_VALUE"""),2)</f>
        <v>2</v>
      </c>
      <c r="BF177" s="4">
        <f ca="1">IFERROR(__xludf.DUMMYFUNCTION("""COMPUTED_VALUE"""),2)</f>
        <v>2</v>
      </c>
      <c r="BG177" s="4">
        <f ca="1">IFERROR(__xludf.DUMMYFUNCTION("""COMPUTED_VALUE"""),2)</f>
        <v>2</v>
      </c>
      <c r="BH177" s="4">
        <f ca="1">IFERROR(__xludf.DUMMYFUNCTION("""COMPUTED_VALUE"""),3)</f>
        <v>3</v>
      </c>
      <c r="BI177" s="4">
        <f ca="1">IFERROR(__xludf.DUMMYFUNCTION("""COMPUTED_VALUE"""),4)</f>
        <v>4</v>
      </c>
      <c r="BJ177" s="4">
        <f ca="1">IFERROR(__xludf.DUMMYFUNCTION("""COMPUTED_VALUE"""),5)</f>
        <v>5</v>
      </c>
      <c r="BK177" s="4">
        <f ca="1">IFERROR(__xludf.DUMMYFUNCTION("""COMPUTED_VALUE"""),5)</f>
        <v>5</v>
      </c>
      <c r="BL177" s="4">
        <f ca="1">IFERROR(__xludf.DUMMYFUNCTION("""COMPUTED_VALUE"""),4)</f>
        <v>4</v>
      </c>
      <c r="BM177" s="4">
        <f ca="1">IFERROR(__xludf.DUMMYFUNCTION("""COMPUTED_VALUE"""),3)</f>
        <v>3</v>
      </c>
      <c r="BN177" s="4">
        <f ca="1">IFERROR(__xludf.DUMMYFUNCTION("""COMPUTED_VALUE"""),5)</f>
        <v>5</v>
      </c>
      <c r="BO177" s="4">
        <f ca="1">IFERROR(__xludf.DUMMYFUNCTION("""COMPUTED_VALUE"""),5)</f>
        <v>5</v>
      </c>
      <c r="BP177" s="4">
        <f ca="1">IFERROR(__xludf.DUMMYFUNCTION("""COMPUTED_VALUE"""),5)</f>
        <v>5</v>
      </c>
    </row>
    <row r="178" spans="1:68" ht="13.2" x14ac:dyDescent="0.25">
      <c r="A178" s="4" t="str">
        <f ca="1">IFERROR(__xludf.DUMMYFUNCTION("""COMPUTED_VALUE"""),"2_ABaOnudyalm5PVL7T8gzfLb2sn8y8lAqHODkZ4lt3iIye_FEO2zak0Ks0vgVeTPNUw")</f>
        <v>2_ABaOnudyalm5PVL7T8gzfLb2sn8y8lAqHODkZ4lt3iIye_FEO2zak0Ks0vgVeTPNUw</v>
      </c>
      <c r="B178" s="5">
        <f ca="1">IFERROR(__xludf.DUMMYFUNCTION("""COMPUTED_VALUE"""),45975.3752375578)</f>
        <v>45975.375237557797</v>
      </c>
      <c r="C178" s="4"/>
      <c r="D178" s="4" t="str">
        <f ca="1">IFERROR(__xludf.DUMMYFUNCTION("""COMPUTED_VALUE"""),"Nữ")</f>
        <v>Nữ</v>
      </c>
      <c r="E178" s="4" t="str">
        <f ca="1">IFERROR(__xludf.DUMMYFUNCTION("""COMPUTED_VALUE"""),"Công ty TNHH Kiểm toán và Tư vấn A&amp;C chi nhánh Tây Nam Bộ")</f>
        <v>Công ty TNHH Kiểm toán và Tư vấn A&amp;C chi nhánh Tây Nam Bộ</v>
      </c>
      <c r="F178" s="4" t="str">
        <f ca="1">IFERROR(__xludf.DUMMYFUNCTION("""COMPUTED_VALUE"""),"Đại học")</f>
        <v>Đại học</v>
      </c>
      <c r="G178" s="4" t="str">
        <f ca="1">IFERROR(__xludf.DUMMYFUNCTION("""COMPUTED_VALUE"""),"Từ 3 đến 5 năm")</f>
        <v>Từ 3 đến 5 năm</v>
      </c>
      <c r="H178" s="4" t="str">
        <f ca="1">IFERROR(__xludf.DUMMYFUNCTION("""COMPUTED_VALUE"""),"Trợ lý kiểm toán")</f>
        <v>Trợ lý kiểm toán</v>
      </c>
      <c r="I178" s="4">
        <f ca="1">IFERROR(__xludf.DUMMYFUNCTION("""COMPUTED_VALUE"""),4)</f>
        <v>4</v>
      </c>
      <c r="J178" s="4">
        <f ca="1">IFERROR(__xludf.DUMMYFUNCTION("""COMPUTED_VALUE"""),4)</f>
        <v>4</v>
      </c>
      <c r="K178" s="4">
        <f ca="1">IFERROR(__xludf.DUMMYFUNCTION("""COMPUTED_VALUE"""),4)</f>
        <v>4</v>
      </c>
      <c r="L178" s="4">
        <f ca="1">IFERROR(__xludf.DUMMYFUNCTION("""COMPUTED_VALUE"""),3)</f>
        <v>3</v>
      </c>
      <c r="M178" s="4">
        <f ca="1">IFERROR(__xludf.DUMMYFUNCTION("""COMPUTED_VALUE"""),3)</f>
        <v>3</v>
      </c>
      <c r="N178" s="4">
        <f ca="1">IFERROR(__xludf.DUMMYFUNCTION("""COMPUTED_VALUE"""),4)</f>
        <v>4</v>
      </c>
      <c r="O178" s="4">
        <f ca="1">IFERROR(__xludf.DUMMYFUNCTION("""COMPUTED_VALUE"""),4)</f>
        <v>4</v>
      </c>
      <c r="P178" s="4">
        <f ca="1">IFERROR(__xludf.DUMMYFUNCTION("""COMPUTED_VALUE"""),4)</f>
        <v>4</v>
      </c>
      <c r="Q178" s="4">
        <f ca="1">IFERROR(__xludf.DUMMYFUNCTION("""COMPUTED_VALUE"""),4)</f>
        <v>4</v>
      </c>
      <c r="R178" s="4">
        <f ca="1">IFERROR(__xludf.DUMMYFUNCTION("""COMPUTED_VALUE"""),4)</f>
        <v>4</v>
      </c>
      <c r="S178" s="4">
        <f ca="1">IFERROR(__xludf.DUMMYFUNCTION("""COMPUTED_VALUE"""),4)</f>
        <v>4</v>
      </c>
      <c r="T178" s="4">
        <f ca="1">IFERROR(__xludf.DUMMYFUNCTION("""COMPUTED_VALUE"""),4)</f>
        <v>4</v>
      </c>
      <c r="U178" s="4">
        <f ca="1">IFERROR(__xludf.DUMMYFUNCTION("""COMPUTED_VALUE"""),4)</f>
        <v>4</v>
      </c>
      <c r="V178" s="4">
        <f ca="1">IFERROR(__xludf.DUMMYFUNCTION("""COMPUTED_VALUE"""),4)</f>
        <v>4</v>
      </c>
      <c r="W178" s="4">
        <f ca="1">IFERROR(__xludf.DUMMYFUNCTION("""COMPUTED_VALUE"""),4)</f>
        <v>4</v>
      </c>
      <c r="X178" s="4">
        <f ca="1">IFERROR(__xludf.DUMMYFUNCTION("""COMPUTED_VALUE"""),4)</f>
        <v>4</v>
      </c>
      <c r="Y178" s="4">
        <f ca="1">IFERROR(__xludf.DUMMYFUNCTION("""COMPUTED_VALUE"""),3)</f>
        <v>3</v>
      </c>
      <c r="Z178" s="4">
        <f ca="1">IFERROR(__xludf.DUMMYFUNCTION("""COMPUTED_VALUE"""),4)</f>
        <v>4</v>
      </c>
      <c r="AA178" s="4">
        <f ca="1">IFERROR(__xludf.DUMMYFUNCTION("""COMPUTED_VALUE"""),4)</f>
        <v>4</v>
      </c>
      <c r="AB178" s="4">
        <f ca="1">IFERROR(__xludf.DUMMYFUNCTION("""COMPUTED_VALUE"""),3)</f>
        <v>3</v>
      </c>
      <c r="AC178" s="4">
        <f ca="1">IFERROR(__xludf.DUMMYFUNCTION("""COMPUTED_VALUE"""),4)</f>
        <v>4</v>
      </c>
      <c r="AD178" s="4">
        <f ca="1">IFERROR(__xludf.DUMMYFUNCTION("""COMPUTED_VALUE"""),4)</f>
        <v>4</v>
      </c>
      <c r="AE178" s="4">
        <f ca="1">IFERROR(__xludf.DUMMYFUNCTION("""COMPUTED_VALUE"""),4)</f>
        <v>4</v>
      </c>
      <c r="AF178" s="4">
        <f ca="1">IFERROR(__xludf.DUMMYFUNCTION("""COMPUTED_VALUE"""),4)</f>
        <v>4</v>
      </c>
      <c r="AG178" s="4">
        <f ca="1">IFERROR(__xludf.DUMMYFUNCTION("""COMPUTED_VALUE"""),4)</f>
        <v>4</v>
      </c>
      <c r="AH178" s="4">
        <f ca="1">IFERROR(__xludf.DUMMYFUNCTION("""COMPUTED_VALUE"""),4)</f>
        <v>4</v>
      </c>
      <c r="AI178" s="4">
        <f ca="1">IFERROR(__xludf.DUMMYFUNCTION("""COMPUTED_VALUE"""),4)</f>
        <v>4</v>
      </c>
      <c r="AJ178" s="4">
        <f ca="1">IFERROR(__xludf.DUMMYFUNCTION("""COMPUTED_VALUE"""),4)</f>
        <v>4</v>
      </c>
      <c r="AK178" s="4">
        <f ca="1">IFERROR(__xludf.DUMMYFUNCTION("""COMPUTED_VALUE"""),4)</f>
        <v>4</v>
      </c>
      <c r="AL178" s="4">
        <f ca="1">IFERROR(__xludf.DUMMYFUNCTION("""COMPUTED_VALUE"""),4)</f>
        <v>4</v>
      </c>
      <c r="AM178" s="4">
        <f ca="1">IFERROR(__xludf.DUMMYFUNCTION("""COMPUTED_VALUE"""),4)</f>
        <v>4</v>
      </c>
      <c r="AN178" s="4">
        <f ca="1">IFERROR(__xludf.DUMMYFUNCTION("""COMPUTED_VALUE"""),4)</f>
        <v>4</v>
      </c>
      <c r="AO178" s="4">
        <f ca="1">IFERROR(__xludf.DUMMYFUNCTION("""COMPUTED_VALUE"""),4)</f>
        <v>4</v>
      </c>
      <c r="AP178" s="4">
        <f ca="1">IFERROR(__xludf.DUMMYFUNCTION("""COMPUTED_VALUE"""),4)</f>
        <v>4</v>
      </c>
      <c r="AQ178" s="4">
        <f ca="1">IFERROR(__xludf.DUMMYFUNCTION("""COMPUTED_VALUE"""),4)</f>
        <v>4</v>
      </c>
      <c r="AR178" s="4">
        <f ca="1">IFERROR(__xludf.DUMMYFUNCTION("""COMPUTED_VALUE"""),3)</f>
        <v>3</v>
      </c>
      <c r="AS178" s="4">
        <f ca="1">IFERROR(__xludf.DUMMYFUNCTION("""COMPUTED_VALUE"""),4)</f>
        <v>4</v>
      </c>
      <c r="AT178" s="4">
        <f ca="1">IFERROR(__xludf.DUMMYFUNCTION("""COMPUTED_VALUE"""),3)</f>
        <v>3</v>
      </c>
      <c r="AU178" s="4">
        <f ca="1">IFERROR(__xludf.DUMMYFUNCTION("""COMPUTED_VALUE"""),4)</f>
        <v>4</v>
      </c>
      <c r="AV178" s="4">
        <f ca="1">IFERROR(__xludf.DUMMYFUNCTION("""COMPUTED_VALUE"""),3)</f>
        <v>3</v>
      </c>
      <c r="AW178" s="4">
        <f ca="1">IFERROR(__xludf.DUMMYFUNCTION("""COMPUTED_VALUE"""),4)</f>
        <v>4</v>
      </c>
      <c r="AX178" s="4">
        <f ca="1">IFERROR(__xludf.DUMMYFUNCTION("""COMPUTED_VALUE"""),4)</f>
        <v>4</v>
      </c>
      <c r="AY178" s="4">
        <f ca="1">IFERROR(__xludf.DUMMYFUNCTION("""COMPUTED_VALUE"""),4)</f>
        <v>4</v>
      </c>
      <c r="AZ178" s="4">
        <f ca="1">IFERROR(__xludf.DUMMYFUNCTION("""COMPUTED_VALUE"""),4)</f>
        <v>4</v>
      </c>
      <c r="BA178" s="4">
        <f ca="1">IFERROR(__xludf.DUMMYFUNCTION("""COMPUTED_VALUE"""),4)</f>
        <v>4</v>
      </c>
      <c r="BB178" s="4">
        <f ca="1">IFERROR(__xludf.DUMMYFUNCTION("""COMPUTED_VALUE"""),3)</f>
        <v>3</v>
      </c>
      <c r="BC178" s="4">
        <f ca="1">IFERROR(__xludf.DUMMYFUNCTION("""COMPUTED_VALUE"""),3)</f>
        <v>3</v>
      </c>
      <c r="BD178" s="4">
        <f ca="1">IFERROR(__xludf.DUMMYFUNCTION("""COMPUTED_VALUE"""),3)</f>
        <v>3</v>
      </c>
      <c r="BE178" s="4">
        <f ca="1">IFERROR(__xludf.DUMMYFUNCTION("""COMPUTED_VALUE"""),3)</f>
        <v>3</v>
      </c>
      <c r="BF178" s="4">
        <f ca="1">IFERROR(__xludf.DUMMYFUNCTION("""COMPUTED_VALUE"""),3)</f>
        <v>3</v>
      </c>
      <c r="BG178" s="4">
        <f ca="1">IFERROR(__xludf.DUMMYFUNCTION("""COMPUTED_VALUE"""),3)</f>
        <v>3</v>
      </c>
      <c r="BH178" s="4">
        <f ca="1">IFERROR(__xludf.DUMMYFUNCTION("""COMPUTED_VALUE"""),4)</f>
        <v>4</v>
      </c>
      <c r="BI178" s="4">
        <f ca="1">IFERROR(__xludf.DUMMYFUNCTION("""COMPUTED_VALUE"""),4)</f>
        <v>4</v>
      </c>
      <c r="BJ178" s="4">
        <f ca="1">IFERROR(__xludf.DUMMYFUNCTION("""COMPUTED_VALUE"""),4)</f>
        <v>4</v>
      </c>
      <c r="BK178" s="4">
        <f ca="1">IFERROR(__xludf.DUMMYFUNCTION("""COMPUTED_VALUE"""),4)</f>
        <v>4</v>
      </c>
      <c r="BL178" s="4">
        <f ca="1">IFERROR(__xludf.DUMMYFUNCTION("""COMPUTED_VALUE"""),4)</f>
        <v>4</v>
      </c>
      <c r="BM178" s="4">
        <f ca="1">IFERROR(__xludf.DUMMYFUNCTION("""COMPUTED_VALUE"""),4)</f>
        <v>4</v>
      </c>
      <c r="BN178" s="4">
        <f ca="1">IFERROR(__xludf.DUMMYFUNCTION("""COMPUTED_VALUE"""),4)</f>
        <v>4</v>
      </c>
      <c r="BO178" s="4">
        <f ca="1">IFERROR(__xludf.DUMMYFUNCTION("""COMPUTED_VALUE"""),4)</f>
        <v>4</v>
      </c>
      <c r="BP178" s="4">
        <f ca="1">IFERROR(__xludf.DUMMYFUNCTION("""COMPUTED_VALUE"""),4)</f>
        <v>4</v>
      </c>
    </row>
    <row r="179" spans="1:68" ht="13.2" x14ac:dyDescent="0.25">
      <c r="A179" s="4" t="str">
        <f ca="1">IFERROR(__xludf.DUMMYFUNCTION("""COMPUTED_VALUE"""),"2_ABaOnueeh31U_Moz8E9GGD6Zpl27KzFcRRJvvFu1ZQKizVTbP7HKRlwaiDULQN7HTg")</f>
        <v>2_ABaOnueeh31U_Moz8E9GGD6Zpl27KzFcRRJvvFu1ZQKizVTbP7HKRlwaiDULQN7HTg</v>
      </c>
      <c r="B179" s="5">
        <f ca="1">IFERROR(__xludf.DUMMYFUNCTION("""COMPUTED_VALUE"""),45975.3789565856)</f>
        <v>45975.378956585599</v>
      </c>
      <c r="C179" s="4" t="str">
        <f ca="1">IFERROR(__xludf.DUMMYFUNCTION("""COMPUTED_VALUE"""),"Đoàn Phạm Trang Thư")</f>
        <v>Đoàn Phạm Trang Thư</v>
      </c>
      <c r="D179" s="4" t="str">
        <f ca="1">IFERROR(__xludf.DUMMYFUNCTION("""COMPUTED_VALUE"""),"Nữ")</f>
        <v>Nữ</v>
      </c>
      <c r="E179" s="4" t="str">
        <f ca="1">IFERROR(__xludf.DUMMYFUNCTION("""COMPUTED_VALUE"""),"Công ty TNHH Kiểm toán và Tư vấn A&amp;C - Chi nhánh Tây Nam Bộ")</f>
        <v>Công ty TNHH Kiểm toán và Tư vấn A&amp;C - Chi nhánh Tây Nam Bộ</v>
      </c>
      <c r="F179" s="4" t="str">
        <f ca="1">IFERROR(__xludf.DUMMYFUNCTION("""COMPUTED_VALUE"""),"Đại học")</f>
        <v>Đại học</v>
      </c>
      <c r="G179" s="4" t="str">
        <f ca="1">IFERROR(__xludf.DUMMYFUNCTION("""COMPUTED_VALUE"""),"Từ 3 đến 5 năm")</f>
        <v>Từ 3 đến 5 năm</v>
      </c>
      <c r="H179" s="4" t="str">
        <f ca="1">IFERROR(__xludf.DUMMYFUNCTION("""COMPUTED_VALUE"""),"Trợ lý kiểm toán")</f>
        <v>Trợ lý kiểm toán</v>
      </c>
      <c r="I179" s="4">
        <f ca="1">IFERROR(__xludf.DUMMYFUNCTION("""COMPUTED_VALUE"""),5)</f>
        <v>5</v>
      </c>
      <c r="J179" s="4">
        <f ca="1">IFERROR(__xludf.DUMMYFUNCTION("""COMPUTED_VALUE"""),5)</f>
        <v>5</v>
      </c>
      <c r="K179" s="4">
        <f ca="1">IFERROR(__xludf.DUMMYFUNCTION("""COMPUTED_VALUE"""),5)</f>
        <v>5</v>
      </c>
      <c r="L179" s="4">
        <f ca="1">IFERROR(__xludf.DUMMYFUNCTION("""COMPUTED_VALUE"""),5)</f>
        <v>5</v>
      </c>
      <c r="M179" s="4">
        <f ca="1">IFERROR(__xludf.DUMMYFUNCTION("""COMPUTED_VALUE"""),5)</f>
        <v>5</v>
      </c>
      <c r="N179" s="4">
        <f ca="1">IFERROR(__xludf.DUMMYFUNCTION("""COMPUTED_VALUE"""),5)</f>
        <v>5</v>
      </c>
      <c r="O179" s="4">
        <f ca="1">IFERROR(__xludf.DUMMYFUNCTION("""COMPUTED_VALUE"""),5)</f>
        <v>5</v>
      </c>
      <c r="P179" s="4">
        <f ca="1">IFERROR(__xludf.DUMMYFUNCTION("""COMPUTED_VALUE"""),5)</f>
        <v>5</v>
      </c>
      <c r="Q179" s="4">
        <f ca="1">IFERROR(__xludf.DUMMYFUNCTION("""COMPUTED_VALUE"""),5)</f>
        <v>5</v>
      </c>
      <c r="R179" s="4">
        <f ca="1">IFERROR(__xludf.DUMMYFUNCTION("""COMPUTED_VALUE"""),5)</f>
        <v>5</v>
      </c>
      <c r="S179" s="4">
        <f ca="1">IFERROR(__xludf.DUMMYFUNCTION("""COMPUTED_VALUE"""),5)</f>
        <v>5</v>
      </c>
      <c r="T179" s="4">
        <f ca="1">IFERROR(__xludf.DUMMYFUNCTION("""COMPUTED_VALUE"""),5)</f>
        <v>5</v>
      </c>
      <c r="U179" s="4">
        <f ca="1">IFERROR(__xludf.DUMMYFUNCTION("""COMPUTED_VALUE"""),5)</f>
        <v>5</v>
      </c>
      <c r="V179" s="4">
        <f ca="1">IFERROR(__xludf.DUMMYFUNCTION("""COMPUTED_VALUE"""),5)</f>
        <v>5</v>
      </c>
      <c r="W179" s="4">
        <f ca="1">IFERROR(__xludf.DUMMYFUNCTION("""COMPUTED_VALUE"""),5)</f>
        <v>5</v>
      </c>
      <c r="X179" s="4">
        <f ca="1">IFERROR(__xludf.DUMMYFUNCTION("""COMPUTED_VALUE"""),5)</f>
        <v>5</v>
      </c>
      <c r="Y179" s="4">
        <f ca="1">IFERROR(__xludf.DUMMYFUNCTION("""COMPUTED_VALUE"""),5)</f>
        <v>5</v>
      </c>
      <c r="Z179" s="4">
        <f ca="1">IFERROR(__xludf.DUMMYFUNCTION("""COMPUTED_VALUE"""),5)</f>
        <v>5</v>
      </c>
      <c r="AA179" s="4">
        <f ca="1">IFERROR(__xludf.DUMMYFUNCTION("""COMPUTED_VALUE"""),5)</f>
        <v>5</v>
      </c>
      <c r="AB179" s="4">
        <f ca="1">IFERROR(__xludf.DUMMYFUNCTION("""COMPUTED_VALUE"""),3)</f>
        <v>3</v>
      </c>
      <c r="AC179" s="4">
        <f ca="1">IFERROR(__xludf.DUMMYFUNCTION("""COMPUTED_VALUE"""),3)</f>
        <v>3</v>
      </c>
      <c r="AD179" s="4">
        <f ca="1">IFERROR(__xludf.DUMMYFUNCTION("""COMPUTED_VALUE"""),3)</f>
        <v>3</v>
      </c>
      <c r="AE179" s="4">
        <f ca="1">IFERROR(__xludf.DUMMYFUNCTION("""COMPUTED_VALUE"""),3)</f>
        <v>3</v>
      </c>
      <c r="AF179" s="4">
        <f ca="1">IFERROR(__xludf.DUMMYFUNCTION("""COMPUTED_VALUE"""),5)</f>
        <v>5</v>
      </c>
      <c r="AG179" s="4">
        <f ca="1">IFERROR(__xludf.DUMMYFUNCTION("""COMPUTED_VALUE"""),5)</f>
        <v>5</v>
      </c>
      <c r="AH179" s="4">
        <f ca="1">IFERROR(__xludf.DUMMYFUNCTION("""COMPUTED_VALUE"""),5)</f>
        <v>5</v>
      </c>
      <c r="AI179" s="4">
        <f ca="1">IFERROR(__xludf.DUMMYFUNCTION("""COMPUTED_VALUE"""),5)</f>
        <v>5</v>
      </c>
      <c r="AJ179" s="4">
        <f ca="1">IFERROR(__xludf.DUMMYFUNCTION("""COMPUTED_VALUE"""),5)</f>
        <v>5</v>
      </c>
      <c r="AK179" s="4">
        <f ca="1">IFERROR(__xludf.DUMMYFUNCTION("""COMPUTED_VALUE"""),5)</f>
        <v>5</v>
      </c>
      <c r="AL179" s="4">
        <f ca="1">IFERROR(__xludf.DUMMYFUNCTION("""COMPUTED_VALUE"""),5)</f>
        <v>5</v>
      </c>
      <c r="AM179" s="4">
        <f ca="1">IFERROR(__xludf.DUMMYFUNCTION("""COMPUTED_VALUE"""),5)</f>
        <v>5</v>
      </c>
      <c r="AN179" s="4">
        <f ca="1">IFERROR(__xludf.DUMMYFUNCTION("""COMPUTED_VALUE"""),5)</f>
        <v>5</v>
      </c>
      <c r="AO179" s="4">
        <f ca="1">IFERROR(__xludf.DUMMYFUNCTION("""COMPUTED_VALUE"""),3)</f>
        <v>3</v>
      </c>
      <c r="AP179" s="4">
        <f ca="1">IFERROR(__xludf.DUMMYFUNCTION("""COMPUTED_VALUE"""),3)</f>
        <v>3</v>
      </c>
      <c r="AQ179" s="4">
        <f ca="1">IFERROR(__xludf.DUMMYFUNCTION("""COMPUTED_VALUE"""),3)</f>
        <v>3</v>
      </c>
      <c r="AR179" s="4">
        <f ca="1">IFERROR(__xludf.DUMMYFUNCTION("""COMPUTED_VALUE"""),3)</f>
        <v>3</v>
      </c>
      <c r="AS179" s="4">
        <f ca="1">IFERROR(__xludf.DUMMYFUNCTION("""COMPUTED_VALUE"""),3)</f>
        <v>3</v>
      </c>
      <c r="AT179" s="4">
        <f ca="1">IFERROR(__xludf.DUMMYFUNCTION("""COMPUTED_VALUE"""),3)</f>
        <v>3</v>
      </c>
      <c r="AU179" s="4">
        <f ca="1">IFERROR(__xludf.DUMMYFUNCTION("""COMPUTED_VALUE"""),3)</f>
        <v>3</v>
      </c>
      <c r="AV179" s="4">
        <f ca="1">IFERROR(__xludf.DUMMYFUNCTION("""COMPUTED_VALUE"""),3)</f>
        <v>3</v>
      </c>
      <c r="AW179" s="4">
        <f ca="1">IFERROR(__xludf.DUMMYFUNCTION("""COMPUTED_VALUE"""),3)</f>
        <v>3</v>
      </c>
      <c r="AX179" s="4">
        <f ca="1">IFERROR(__xludf.DUMMYFUNCTION("""COMPUTED_VALUE"""),5)</f>
        <v>5</v>
      </c>
      <c r="AY179" s="4">
        <f ca="1">IFERROR(__xludf.DUMMYFUNCTION("""COMPUTED_VALUE"""),5)</f>
        <v>5</v>
      </c>
      <c r="AZ179" s="4">
        <f ca="1">IFERROR(__xludf.DUMMYFUNCTION("""COMPUTED_VALUE"""),5)</f>
        <v>5</v>
      </c>
      <c r="BA179" s="4">
        <f ca="1">IFERROR(__xludf.DUMMYFUNCTION("""COMPUTED_VALUE"""),5)</f>
        <v>5</v>
      </c>
      <c r="BB179" s="4">
        <f ca="1">IFERROR(__xludf.DUMMYFUNCTION("""COMPUTED_VALUE"""),3)</f>
        <v>3</v>
      </c>
      <c r="BC179" s="4">
        <f ca="1">IFERROR(__xludf.DUMMYFUNCTION("""COMPUTED_VALUE"""),3)</f>
        <v>3</v>
      </c>
      <c r="BD179" s="4">
        <f ca="1">IFERROR(__xludf.DUMMYFUNCTION("""COMPUTED_VALUE"""),3)</f>
        <v>3</v>
      </c>
      <c r="BE179" s="4">
        <f ca="1">IFERROR(__xludf.DUMMYFUNCTION("""COMPUTED_VALUE"""),3)</f>
        <v>3</v>
      </c>
      <c r="BF179" s="4">
        <f ca="1">IFERROR(__xludf.DUMMYFUNCTION("""COMPUTED_VALUE"""),3)</f>
        <v>3</v>
      </c>
      <c r="BG179" s="4">
        <f ca="1">IFERROR(__xludf.DUMMYFUNCTION("""COMPUTED_VALUE"""),3)</f>
        <v>3</v>
      </c>
      <c r="BH179" s="4">
        <f ca="1">IFERROR(__xludf.DUMMYFUNCTION("""COMPUTED_VALUE"""),5)</f>
        <v>5</v>
      </c>
      <c r="BI179" s="4">
        <f ca="1">IFERROR(__xludf.DUMMYFUNCTION("""COMPUTED_VALUE"""),5)</f>
        <v>5</v>
      </c>
      <c r="BJ179" s="4">
        <f ca="1">IFERROR(__xludf.DUMMYFUNCTION("""COMPUTED_VALUE"""),5)</f>
        <v>5</v>
      </c>
      <c r="BK179" s="4">
        <f ca="1">IFERROR(__xludf.DUMMYFUNCTION("""COMPUTED_VALUE"""),5)</f>
        <v>5</v>
      </c>
      <c r="BL179" s="4">
        <f ca="1">IFERROR(__xludf.DUMMYFUNCTION("""COMPUTED_VALUE"""),5)</f>
        <v>5</v>
      </c>
      <c r="BM179" s="4">
        <f ca="1">IFERROR(__xludf.DUMMYFUNCTION("""COMPUTED_VALUE"""),5)</f>
        <v>5</v>
      </c>
      <c r="BN179" s="4">
        <f ca="1">IFERROR(__xludf.DUMMYFUNCTION("""COMPUTED_VALUE"""),5)</f>
        <v>5</v>
      </c>
      <c r="BO179" s="4">
        <f ca="1">IFERROR(__xludf.DUMMYFUNCTION("""COMPUTED_VALUE"""),5)</f>
        <v>5</v>
      </c>
      <c r="BP179" s="4">
        <f ca="1">IFERROR(__xludf.DUMMYFUNCTION("""COMPUTED_VALUE"""),5)</f>
        <v>5</v>
      </c>
    </row>
    <row r="180" spans="1:68" ht="13.2" x14ac:dyDescent="0.25">
      <c r="A180" s="4" t="str">
        <f ca="1">IFERROR(__xludf.DUMMYFUNCTION("""COMPUTED_VALUE"""),"2_ABaOnucFOSeexVUor87puzsEhrLdMp25FWKORAH4rHAgSzz3WGeC4lAt8wJuvOMiLA")</f>
        <v>2_ABaOnucFOSeexVUor87puzsEhrLdMp25FWKORAH4rHAgSzz3WGeC4lAt8wJuvOMiLA</v>
      </c>
      <c r="B180" s="5">
        <f ca="1">IFERROR(__xludf.DUMMYFUNCTION("""COMPUTED_VALUE"""),45975.3795109259)</f>
        <v>45975.379510925901</v>
      </c>
      <c r="C180" s="4" t="str">
        <f ca="1">IFERROR(__xludf.DUMMYFUNCTION("""COMPUTED_VALUE"""),"Nguyễn Hoàng Phương")</f>
        <v>Nguyễn Hoàng Phương</v>
      </c>
      <c r="D180" s="4" t="str">
        <f ca="1">IFERROR(__xludf.DUMMYFUNCTION("""COMPUTED_VALUE"""),"Nam")</f>
        <v>Nam</v>
      </c>
      <c r="E180" s="4" t="str">
        <f ca="1">IFERROR(__xludf.DUMMYFUNCTION("""COMPUTED_VALUE"""),"Công ty TNHH Kiểm toán SG-VN")</f>
        <v>Công ty TNHH Kiểm toán SG-VN</v>
      </c>
      <c r="F180" s="4" t="str">
        <f ca="1">IFERROR(__xludf.DUMMYFUNCTION("""COMPUTED_VALUE"""),"Đại học")</f>
        <v>Đại học</v>
      </c>
      <c r="G180" s="4" t="str">
        <f ca="1">IFERROR(__xludf.DUMMYFUNCTION("""COMPUTED_VALUE"""),"Trên 20 năm")</f>
        <v>Trên 20 năm</v>
      </c>
      <c r="H180" s="4" t="str">
        <f ca="1">IFERROR(__xludf.DUMMYFUNCTION("""COMPUTED_VALUE"""),"Ban giám đốc")</f>
        <v>Ban giám đốc</v>
      </c>
      <c r="I180" s="4">
        <f ca="1">IFERROR(__xludf.DUMMYFUNCTION("""COMPUTED_VALUE"""),1)</f>
        <v>1</v>
      </c>
      <c r="J180" s="4">
        <f ca="1">IFERROR(__xludf.DUMMYFUNCTION("""COMPUTED_VALUE"""),1)</f>
        <v>1</v>
      </c>
      <c r="K180" s="4">
        <f ca="1">IFERROR(__xludf.DUMMYFUNCTION("""COMPUTED_VALUE"""),1)</f>
        <v>1</v>
      </c>
      <c r="L180" s="4">
        <f ca="1">IFERROR(__xludf.DUMMYFUNCTION("""COMPUTED_VALUE"""),1)</f>
        <v>1</v>
      </c>
      <c r="M180" s="4">
        <f ca="1">IFERROR(__xludf.DUMMYFUNCTION("""COMPUTED_VALUE"""),1)</f>
        <v>1</v>
      </c>
      <c r="N180" s="4">
        <f ca="1">IFERROR(__xludf.DUMMYFUNCTION("""COMPUTED_VALUE"""),1)</f>
        <v>1</v>
      </c>
      <c r="O180" s="4">
        <f ca="1">IFERROR(__xludf.DUMMYFUNCTION("""COMPUTED_VALUE"""),1)</f>
        <v>1</v>
      </c>
      <c r="P180" s="4">
        <f ca="1">IFERROR(__xludf.DUMMYFUNCTION("""COMPUTED_VALUE"""),1)</f>
        <v>1</v>
      </c>
      <c r="Q180" s="4">
        <f ca="1">IFERROR(__xludf.DUMMYFUNCTION("""COMPUTED_VALUE"""),1)</f>
        <v>1</v>
      </c>
      <c r="R180" s="4">
        <f ca="1">IFERROR(__xludf.DUMMYFUNCTION("""COMPUTED_VALUE"""),1)</f>
        <v>1</v>
      </c>
      <c r="S180" s="4">
        <f ca="1">IFERROR(__xludf.DUMMYFUNCTION("""COMPUTED_VALUE"""),1)</f>
        <v>1</v>
      </c>
      <c r="T180" s="4">
        <f ca="1">IFERROR(__xludf.DUMMYFUNCTION("""COMPUTED_VALUE"""),1)</f>
        <v>1</v>
      </c>
      <c r="U180" s="4">
        <f ca="1">IFERROR(__xludf.DUMMYFUNCTION("""COMPUTED_VALUE"""),1)</f>
        <v>1</v>
      </c>
      <c r="V180" s="4">
        <f ca="1">IFERROR(__xludf.DUMMYFUNCTION("""COMPUTED_VALUE"""),1)</f>
        <v>1</v>
      </c>
      <c r="W180" s="4">
        <f ca="1">IFERROR(__xludf.DUMMYFUNCTION("""COMPUTED_VALUE"""),4)</f>
        <v>4</v>
      </c>
      <c r="X180" s="4">
        <f ca="1">IFERROR(__xludf.DUMMYFUNCTION("""COMPUTED_VALUE"""),5)</f>
        <v>5</v>
      </c>
      <c r="Y180" s="4">
        <f ca="1">IFERROR(__xludf.DUMMYFUNCTION("""COMPUTED_VALUE"""),2)</f>
        <v>2</v>
      </c>
      <c r="Z180" s="4">
        <f ca="1">IFERROR(__xludf.DUMMYFUNCTION("""COMPUTED_VALUE"""),4)</f>
        <v>4</v>
      </c>
      <c r="AA180" s="4">
        <f ca="1">IFERROR(__xludf.DUMMYFUNCTION("""COMPUTED_VALUE"""),1)</f>
        <v>1</v>
      </c>
      <c r="AB180" s="4">
        <f ca="1">IFERROR(__xludf.DUMMYFUNCTION("""COMPUTED_VALUE"""),4)</f>
        <v>4</v>
      </c>
      <c r="AC180" s="4">
        <f ca="1">IFERROR(__xludf.DUMMYFUNCTION("""COMPUTED_VALUE"""),4)</f>
        <v>4</v>
      </c>
      <c r="AD180" s="4">
        <f ca="1">IFERROR(__xludf.DUMMYFUNCTION("""COMPUTED_VALUE"""),4)</f>
        <v>4</v>
      </c>
      <c r="AE180" s="4">
        <f ca="1">IFERROR(__xludf.DUMMYFUNCTION("""COMPUTED_VALUE"""),4)</f>
        <v>4</v>
      </c>
      <c r="AF180" s="4">
        <f ca="1">IFERROR(__xludf.DUMMYFUNCTION("""COMPUTED_VALUE"""),5)</f>
        <v>5</v>
      </c>
      <c r="AG180" s="4">
        <f ca="1">IFERROR(__xludf.DUMMYFUNCTION("""COMPUTED_VALUE"""),4)</f>
        <v>4</v>
      </c>
      <c r="AH180" s="4">
        <f ca="1">IFERROR(__xludf.DUMMYFUNCTION("""COMPUTED_VALUE"""),4)</f>
        <v>4</v>
      </c>
      <c r="AI180" s="4">
        <f ca="1">IFERROR(__xludf.DUMMYFUNCTION("""COMPUTED_VALUE"""),4)</f>
        <v>4</v>
      </c>
      <c r="AJ180" s="4">
        <f ca="1">IFERROR(__xludf.DUMMYFUNCTION("""COMPUTED_VALUE"""),5)</f>
        <v>5</v>
      </c>
      <c r="AK180" s="4">
        <f ca="1">IFERROR(__xludf.DUMMYFUNCTION("""COMPUTED_VALUE"""),5)</f>
        <v>5</v>
      </c>
      <c r="AL180" s="4">
        <f ca="1">IFERROR(__xludf.DUMMYFUNCTION("""COMPUTED_VALUE"""),5)</f>
        <v>5</v>
      </c>
      <c r="AM180" s="4">
        <f ca="1">IFERROR(__xludf.DUMMYFUNCTION("""COMPUTED_VALUE"""),4)</f>
        <v>4</v>
      </c>
      <c r="AN180" s="4">
        <f ca="1">IFERROR(__xludf.DUMMYFUNCTION("""COMPUTED_VALUE"""),5)</f>
        <v>5</v>
      </c>
      <c r="AO180" s="4">
        <f ca="1">IFERROR(__xludf.DUMMYFUNCTION("""COMPUTED_VALUE"""),5)</f>
        <v>5</v>
      </c>
      <c r="AP180" s="4">
        <f ca="1">IFERROR(__xludf.DUMMYFUNCTION("""COMPUTED_VALUE"""),4)</f>
        <v>4</v>
      </c>
      <c r="AQ180" s="4">
        <f ca="1">IFERROR(__xludf.DUMMYFUNCTION("""COMPUTED_VALUE"""),4)</f>
        <v>4</v>
      </c>
      <c r="AR180" s="4">
        <f ca="1">IFERROR(__xludf.DUMMYFUNCTION("""COMPUTED_VALUE"""),3)</f>
        <v>3</v>
      </c>
      <c r="AS180" s="4">
        <f ca="1">IFERROR(__xludf.DUMMYFUNCTION("""COMPUTED_VALUE"""),4)</f>
        <v>4</v>
      </c>
      <c r="AT180" s="4">
        <f ca="1">IFERROR(__xludf.DUMMYFUNCTION("""COMPUTED_VALUE"""),2)</f>
        <v>2</v>
      </c>
      <c r="AU180" s="4">
        <f ca="1">IFERROR(__xludf.DUMMYFUNCTION("""COMPUTED_VALUE"""),4)</f>
        <v>4</v>
      </c>
      <c r="AV180" s="4">
        <f ca="1">IFERROR(__xludf.DUMMYFUNCTION("""COMPUTED_VALUE"""),4)</f>
        <v>4</v>
      </c>
      <c r="AW180" s="4">
        <f ca="1">IFERROR(__xludf.DUMMYFUNCTION("""COMPUTED_VALUE"""),4)</f>
        <v>4</v>
      </c>
      <c r="AX180" s="4">
        <f ca="1">IFERROR(__xludf.DUMMYFUNCTION("""COMPUTED_VALUE"""),4)</f>
        <v>4</v>
      </c>
      <c r="AY180" s="4">
        <f ca="1">IFERROR(__xludf.DUMMYFUNCTION("""COMPUTED_VALUE"""),4)</f>
        <v>4</v>
      </c>
      <c r="AZ180" s="4">
        <f ca="1">IFERROR(__xludf.DUMMYFUNCTION("""COMPUTED_VALUE"""),4)</f>
        <v>4</v>
      </c>
      <c r="BA180" s="4">
        <f ca="1">IFERROR(__xludf.DUMMYFUNCTION("""COMPUTED_VALUE"""),4)</f>
        <v>4</v>
      </c>
      <c r="BB180" s="4">
        <f ca="1">IFERROR(__xludf.DUMMYFUNCTION("""COMPUTED_VALUE"""),4)</f>
        <v>4</v>
      </c>
      <c r="BC180" s="4">
        <f ca="1">IFERROR(__xludf.DUMMYFUNCTION("""COMPUTED_VALUE"""),4)</f>
        <v>4</v>
      </c>
      <c r="BD180" s="4">
        <f ca="1">IFERROR(__xludf.DUMMYFUNCTION("""COMPUTED_VALUE"""),4)</f>
        <v>4</v>
      </c>
      <c r="BE180" s="4">
        <f ca="1">IFERROR(__xludf.DUMMYFUNCTION("""COMPUTED_VALUE"""),4)</f>
        <v>4</v>
      </c>
      <c r="BF180" s="4">
        <f ca="1">IFERROR(__xludf.DUMMYFUNCTION("""COMPUTED_VALUE"""),4)</f>
        <v>4</v>
      </c>
      <c r="BG180" s="4">
        <f ca="1">IFERROR(__xludf.DUMMYFUNCTION("""COMPUTED_VALUE"""),4)</f>
        <v>4</v>
      </c>
      <c r="BH180" s="4">
        <f ca="1">IFERROR(__xludf.DUMMYFUNCTION("""COMPUTED_VALUE"""),4)</f>
        <v>4</v>
      </c>
      <c r="BI180" s="4">
        <f ca="1">IFERROR(__xludf.DUMMYFUNCTION("""COMPUTED_VALUE"""),4)</f>
        <v>4</v>
      </c>
      <c r="BJ180" s="4">
        <f ca="1">IFERROR(__xludf.DUMMYFUNCTION("""COMPUTED_VALUE"""),4)</f>
        <v>4</v>
      </c>
      <c r="BK180" s="4">
        <f ca="1">IFERROR(__xludf.DUMMYFUNCTION("""COMPUTED_VALUE"""),4)</f>
        <v>4</v>
      </c>
      <c r="BL180" s="4">
        <f ca="1">IFERROR(__xludf.DUMMYFUNCTION("""COMPUTED_VALUE"""),4)</f>
        <v>4</v>
      </c>
      <c r="BM180" s="4">
        <f ca="1">IFERROR(__xludf.DUMMYFUNCTION("""COMPUTED_VALUE"""),4)</f>
        <v>4</v>
      </c>
      <c r="BN180" s="4">
        <f ca="1">IFERROR(__xludf.DUMMYFUNCTION("""COMPUTED_VALUE"""),4)</f>
        <v>4</v>
      </c>
      <c r="BO180" s="4">
        <f ca="1">IFERROR(__xludf.DUMMYFUNCTION("""COMPUTED_VALUE"""),4)</f>
        <v>4</v>
      </c>
      <c r="BP180" s="4">
        <f ca="1">IFERROR(__xludf.DUMMYFUNCTION("""COMPUTED_VALUE"""),4)</f>
        <v>4</v>
      </c>
    </row>
    <row r="181" spans="1:68" ht="13.2" x14ac:dyDescent="0.25">
      <c r="A181" s="4" t="str">
        <f ca="1">IFERROR(__xludf.DUMMYFUNCTION("""COMPUTED_VALUE"""),"2_ABaOnufqFr4-MvNeVPkqx2Qnmgq5hIx_fogc-tb8zCdt7lhX6D0PDEv4h5Qb39EoiA")</f>
        <v>2_ABaOnufqFr4-MvNeVPkqx2Qnmgq5hIx_fogc-tb8zCdt7lhX6D0PDEv4h5Qb39EoiA</v>
      </c>
      <c r="B181" s="5">
        <f ca="1">IFERROR(__xludf.DUMMYFUNCTION("""COMPUTED_VALUE"""),45975.3801955439)</f>
        <v>45975.380195543898</v>
      </c>
      <c r="C181" s="4" t="str">
        <f ca="1">IFERROR(__xludf.DUMMYFUNCTION("""COMPUTED_VALUE"""),"Nguyễn Quốc Khánh")</f>
        <v>Nguyễn Quốc Khánh</v>
      </c>
      <c r="D181" s="4" t="str">
        <f ca="1">IFERROR(__xludf.DUMMYFUNCTION("""COMPUTED_VALUE"""),"Nam")</f>
        <v>Nam</v>
      </c>
      <c r="E181" s="4" t="str">
        <f ca="1">IFERROR(__xludf.DUMMYFUNCTION("""COMPUTED_VALUE"""),"Công ty TNHH Kiểm toán và Tư vấn A&amp;C - Chi nhánh Tây Nam Bộ")</f>
        <v>Công ty TNHH Kiểm toán và Tư vấn A&amp;C - Chi nhánh Tây Nam Bộ</v>
      </c>
      <c r="F181" s="4" t="str">
        <f ca="1">IFERROR(__xludf.DUMMYFUNCTION("""COMPUTED_VALUE"""),"Đại học")</f>
        <v>Đại học</v>
      </c>
      <c r="G181" s="4" t="str">
        <f ca="1">IFERROR(__xludf.DUMMYFUNCTION("""COMPUTED_VALUE"""),"Từ 3 đến 5 năm")</f>
        <v>Từ 3 đến 5 năm</v>
      </c>
      <c r="H181" s="4" t="str">
        <f ca="1">IFERROR(__xludf.DUMMYFUNCTION("""COMPUTED_VALUE"""),"Kiểm toán viên/Trưởng nhóm")</f>
        <v>Kiểm toán viên/Trưởng nhóm</v>
      </c>
      <c r="I181" s="4">
        <f ca="1">IFERROR(__xludf.DUMMYFUNCTION("""COMPUTED_VALUE"""),5)</f>
        <v>5</v>
      </c>
      <c r="J181" s="4">
        <f ca="1">IFERROR(__xludf.DUMMYFUNCTION("""COMPUTED_VALUE"""),4)</f>
        <v>4</v>
      </c>
      <c r="K181" s="4">
        <f ca="1">IFERROR(__xludf.DUMMYFUNCTION("""COMPUTED_VALUE"""),4)</f>
        <v>4</v>
      </c>
      <c r="L181" s="4">
        <f ca="1">IFERROR(__xludf.DUMMYFUNCTION("""COMPUTED_VALUE"""),5)</f>
        <v>5</v>
      </c>
      <c r="M181" s="4">
        <f ca="1">IFERROR(__xludf.DUMMYFUNCTION("""COMPUTED_VALUE"""),4)</f>
        <v>4</v>
      </c>
      <c r="N181" s="4">
        <f ca="1">IFERROR(__xludf.DUMMYFUNCTION("""COMPUTED_VALUE"""),4)</f>
        <v>4</v>
      </c>
      <c r="O181" s="4">
        <f ca="1">IFERROR(__xludf.DUMMYFUNCTION("""COMPUTED_VALUE"""),4)</f>
        <v>4</v>
      </c>
      <c r="P181" s="4">
        <f ca="1">IFERROR(__xludf.DUMMYFUNCTION("""COMPUTED_VALUE"""),4)</f>
        <v>4</v>
      </c>
      <c r="Q181" s="4">
        <f ca="1">IFERROR(__xludf.DUMMYFUNCTION("""COMPUTED_VALUE"""),5)</f>
        <v>5</v>
      </c>
      <c r="R181" s="4">
        <f ca="1">IFERROR(__xludf.DUMMYFUNCTION("""COMPUTED_VALUE"""),5)</f>
        <v>5</v>
      </c>
      <c r="S181" s="4">
        <f ca="1">IFERROR(__xludf.DUMMYFUNCTION("""COMPUTED_VALUE"""),5)</f>
        <v>5</v>
      </c>
      <c r="T181" s="4">
        <f ca="1">IFERROR(__xludf.DUMMYFUNCTION("""COMPUTED_VALUE"""),5)</f>
        <v>5</v>
      </c>
      <c r="U181" s="4">
        <f ca="1">IFERROR(__xludf.DUMMYFUNCTION("""COMPUTED_VALUE"""),4)</f>
        <v>4</v>
      </c>
      <c r="V181" s="4">
        <f ca="1">IFERROR(__xludf.DUMMYFUNCTION("""COMPUTED_VALUE"""),5)</f>
        <v>5</v>
      </c>
      <c r="W181" s="4">
        <f ca="1">IFERROR(__xludf.DUMMYFUNCTION("""COMPUTED_VALUE"""),4)</f>
        <v>4</v>
      </c>
      <c r="X181" s="4">
        <f ca="1">IFERROR(__xludf.DUMMYFUNCTION("""COMPUTED_VALUE"""),4)</f>
        <v>4</v>
      </c>
      <c r="Y181" s="4">
        <f ca="1">IFERROR(__xludf.DUMMYFUNCTION("""COMPUTED_VALUE"""),4)</f>
        <v>4</v>
      </c>
      <c r="Z181" s="4">
        <f ca="1">IFERROR(__xludf.DUMMYFUNCTION("""COMPUTED_VALUE"""),5)</f>
        <v>5</v>
      </c>
      <c r="AA181" s="4">
        <f ca="1">IFERROR(__xludf.DUMMYFUNCTION("""COMPUTED_VALUE"""),4)</f>
        <v>4</v>
      </c>
      <c r="AB181" s="4">
        <f ca="1">IFERROR(__xludf.DUMMYFUNCTION("""COMPUTED_VALUE"""),4)</f>
        <v>4</v>
      </c>
      <c r="AC181" s="4">
        <f ca="1">IFERROR(__xludf.DUMMYFUNCTION("""COMPUTED_VALUE"""),4)</f>
        <v>4</v>
      </c>
      <c r="AD181" s="4">
        <f ca="1">IFERROR(__xludf.DUMMYFUNCTION("""COMPUTED_VALUE"""),3)</f>
        <v>3</v>
      </c>
      <c r="AE181" s="4">
        <f ca="1">IFERROR(__xludf.DUMMYFUNCTION("""COMPUTED_VALUE"""),5)</f>
        <v>5</v>
      </c>
      <c r="AF181" s="4">
        <f ca="1">IFERROR(__xludf.DUMMYFUNCTION("""COMPUTED_VALUE"""),4)</f>
        <v>4</v>
      </c>
      <c r="AG181" s="4">
        <f ca="1">IFERROR(__xludf.DUMMYFUNCTION("""COMPUTED_VALUE"""),4)</f>
        <v>4</v>
      </c>
      <c r="AH181" s="4">
        <f ca="1">IFERROR(__xludf.DUMMYFUNCTION("""COMPUTED_VALUE"""),5)</f>
        <v>5</v>
      </c>
      <c r="AI181" s="4">
        <f ca="1">IFERROR(__xludf.DUMMYFUNCTION("""COMPUTED_VALUE"""),5)</f>
        <v>5</v>
      </c>
      <c r="AJ181" s="4">
        <f ca="1">IFERROR(__xludf.DUMMYFUNCTION("""COMPUTED_VALUE"""),5)</f>
        <v>5</v>
      </c>
      <c r="AK181" s="4">
        <f ca="1">IFERROR(__xludf.DUMMYFUNCTION("""COMPUTED_VALUE"""),5)</f>
        <v>5</v>
      </c>
      <c r="AL181" s="4">
        <f ca="1">IFERROR(__xludf.DUMMYFUNCTION("""COMPUTED_VALUE"""),5)</f>
        <v>5</v>
      </c>
      <c r="AM181" s="4">
        <f ca="1">IFERROR(__xludf.DUMMYFUNCTION("""COMPUTED_VALUE"""),5)</f>
        <v>5</v>
      </c>
      <c r="AN181" s="4">
        <f ca="1">IFERROR(__xludf.DUMMYFUNCTION("""COMPUTED_VALUE"""),5)</f>
        <v>5</v>
      </c>
      <c r="AO181" s="4">
        <f ca="1">IFERROR(__xludf.DUMMYFUNCTION("""COMPUTED_VALUE"""),5)</f>
        <v>5</v>
      </c>
      <c r="AP181" s="4">
        <f ca="1">IFERROR(__xludf.DUMMYFUNCTION("""COMPUTED_VALUE"""),5)</f>
        <v>5</v>
      </c>
      <c r="AQ181" s="4">
        <f ca="1">IFERROR(__xludf.DUMMYFUNCTION("""COMPUTED_VALUE"""),5)</f>
        <v>5</v>
      </c>
      <c r="AR181" s="4">
        <f ca="1">IFERROR(__xludf.DUMMYFUNCTION("""COMPUTED_VALUE"""),5)</f>
        <v>5</v>
      </c>
      <c r="AS181" s="4">
        <f ca="1">IFERROR(__xludf.DUMMYFUNCTION("""COMPUTED_VALUE"""),5)</f>
        <v>5</v>
      </c>
      <c r="AT181" s="4">
        <f ca="1">IFERROR(__xludf.DUMMYFUNCTION("""COMPUTED_VALUE"""),5)</f>
        <v>5</v>
      </c>
      <c r="AU181" s="4">
        <f ca="1">IFERROR(__xludf.DUMMYFUNCTION("""COMPUTED_VALUE"""),5)</f>
        <v>5</v>
      </c>
      <c r="AV181" s="4">
        <f ca="1">IFERROR(__xludf.DUMMYFUNCTION("""COMPUTED_VALUE"""),5)</f>
        <v>5</v>
      </c>
      <c r="AW181" s="4">
        <f ca="1">IFERROR(__xludf.DUMMYFUNCTION("""COMPUTED_VALUE"""),5)</f>
        <v>5</v>
      </c>
      <c r="AX181" s="4">
        <f ca="1">IFERROR(__xludf.DUMMYFUNCTION("""COMPUTED_VALUE"""),5)</f>
        <v>5</v>
      </c>
      <c r="AY181" s="4">
        <f ca="1">IFERROR(__xludf.DUMMYFUNCTION("""COMPUTED_VALUE"""),5)</f>
        <v>5</v>
      </c>
      <c r="AZ181" s="4">
        <f ca="1">IFERROR(__xludf.DUMMYFUNCTION("""COMPUTED_VALUE"""),5)</f>
        <v>5</v>
      </c>
      <c r="BA181" s="4">
        <f ca="1">IFERROR(__xludf.DUMMYFUNCTION("""COMPUTED_VALUE"""),4)</f>
        <v>4</v>
      </c>
      <c r="BB181" s="4">
        <f ca="1">IFERROR(__xludf.DUMMYFUNCTION("""COMPUTED_VALUE"""),5)</f>
        <v>5</v>
      </c>
      <c r="BC181" s="4">
        <f ca="1">IFERROR(__xludf.DUMMYFUNCTION("""COMPUTED_VALUE"""),4)</f>
        <v>4</v>
      </c>
      <c r="BD181" s="4">
        <f ca="1">IFERROR(__xludf.DUMMYFUNCTION("""COMPUTED_VALUE"""),4)</f>
        <v>4</v>
      </c>
      <c r="BE181" s="4">
        <f ca="1">IFERROR(__xludf.DUMMYFUNCTION("""COMPUTED_VALUE"""),5)</f>
        <v>5</v>
      </c>
      <c r="BF181" s="4">
        <f ca="1">IFERROR(__xludf.DUMMYFUNCTION("""COMPUTED_VALUE"""),4)</f>
        <v>4</v>
      </c>
      <c r="BG181" s="4">
        <f ca="1">IFERROR(__xludf.DUMMYFUNCTION("""COMPUTED_VALUE"""),4)</f>
        <v>4</v>
      </c>
      <c r="BH181" s="4">
        <f ca="1">IFERROR(__xludf.DUMMYFUNCTION("""COMPUTED_VALUE"""),5)</f>
        <v>5</v>
      </c>
      <c r="BI181" s="4">
        <f ca="1">IFERROR(__xludf.DUMMYFUNCTION("""COMPUTED_VALUE"""),5)</f>
        <v>5</v>
      </c>
      <c r="BJ181" s="4">
        <f ca="1">IFERROR(__xludf.DUMMYFUNCTION("""COMPUTED_VALUE"""),5)</f>
        <v>5</v>
      </c>
      <c r="BK181" s="4">
        <f ca="1">IFERROR(__xludf.DUMMYFUNCTION("""COMPUTED_VALUE"""),5)</f>
        <v>5</v>
      </c>
      <c r="BL181" s="4">
        <f ca="1">IFERROR(__xludf.DUMMYFUNCTION("""COMPUTED_VALUE"""),4)</f>
        <v>4</v>
      </c>
      <c r="BM181" s="4">
        <f ca="1">IFERROR(__xludf.DUMMYFUNCTION("""COMPUTED_VALUE"""),4)</f>
        <v>4</v>
      </c>
      <c r="BN181" s="4">
        <f ca="1">IFERROR(__xludf.DUMMYFUNCTION("""COMPUTED_VALUE"""),4)</f>
        <v>4</v>
      </c>
      <c r="BO181" s="4">
        <f ca="1">IFERROR(__xludf.DUMMYFUNCTION("""COMPUTED_VALUE"""),5)</f>
        <v>5</v>
      </c>
      <c r="BP181" s="4">
        <f ca="1">IFERROR(__xludf.DUMMYFUNCTION("""COMPUTED_VALUE"""),5)</f>
        <v>5</v>
      </c>
    </row>
    <row r="182" spans="1:68" ht="13.2" x14ac:dyDescent="0.25">
      <c r="A182" s="4" t="str">
        <f ca="1">IFERROR(__xludf.DUMMYFUNCTION("""COMPUTED_VALUE"""),"2_ABaOnufbcAoSbeX9jFy7S6ag0wxyY2WvrgRCqHB_FXT-srbpxFGtN8CgnwPdNMcRWg")</f>
        <v>2_ABaOnufbcAoSbeX9jFy7S6ag0wxyY2WvrgRCqHB_FXT-srbpxFGtN8CgnwPdNMcRWg</v>
      </c>
      <c r="B182" s="5">
        <f ca="1">IFERROR(__xludf.DUMMYFUNCTION("""COMPUTED_VALUE"""),45975.3809296643)</f>
        <v>45975.380929664301</v>
      </c>
      <c r="C182" s="4" t="str">
        <f ca="1">IFERROR(__xludf.DUMMYFUNCTION("""COMPUTED_VALUE"""),"Trương Diễm Phương")</f>
        <v>Trương Diễm Phương</v>
      </c>
      <c r="D182" s="4" t="str">
        <f ca="1">IFERROR(__xludf.DUMMYFUNCTION("""COMPUTED_VALUE"""),"Nữ")</f>
        <v>Nữ</v>
      </c>
      <c r="E182" s="4" t="str">
        <f ca="1">IFERROR(__xludf.DUMMYFUNCTION("""COMPUTED_VALUE"""),"Công ty TNHH Kiểm toán và Tư vấn A&amp;C Chi nhánh Tây Nam Bộ")</f>
        <v>Công ty TNHH Kiểm toán và Tư vấn A&amp;C Chi nhánh Tây Nam Bộ</v>
      </c>
      <c r="F182" s="4" t="str">
        <f ca="1">IFERROR(__xludf.DUMMYFUNCTION("""COMPUTED_VALUE"""),"Đại học")</f>
        <v>Đại học</v>
      </c>
      <c r="G182" s="4" t="str">
        <f ca="1">IFERROR(__xludf.DUMMYFUNCTION("""COMPUTED_VALUE"""),"Từ 3 đến 5 năm")</f>
        <v>Từ 3 đến 5 năm</v>
      </c>
      <c r="H182" s="4" t="str">
        <f ca="1">IFERROR(__xludf.DUMMYFUNCTION("""COMPUTED_VALUE"""),"Trợ lý kiểm toán")</f>
        <v>Trợ lý kiểm toán</v>
      </c>
      <c r="I182" s="4">
        <f ca="1">IFERROR(__xludf.DUMMYFUNCTION("""COMPUTED_VALUE"""),5)</f>
        <v>5</v>
      </c>
      <c r="J182" s="4">
        <f ca="1">IFERROR(__xludf.DUMMYFUNCTION("""COMPUTED_VALUE"""),5)</f>
        <v>5</v>
      </c>
      <c r="K182" s="4">
        <f ca="1">IFERROR(__xludf.DUMMYFUNCTION("""COMPUTED_VALUE"""),5)</f>
        <v>5</v>
      </c>
      <c r="L182" s="4">
        <f ca="1">IFERROR(__xludf.DUMMYFUNCTION("""COMPUTED_VALUE"""),5)</f>
        <v>5</v>
      </c>
      <c r="M182" s="4">
        <f ca="1">IFERROR(__xludf.DUMMYFUNCTION("""COMPUTED_VALUE"""),4)</f>
        <v>4</v>
      </c>
      <c r="N182" s="4">
        <f ca="1">IFERROR(__xludf.DUMMYFUNCTION("""COMPUTED_VALUE"""),4)</f>
        <v>4</v>
      </c>
      <c r="O182" s="4">
        <f ca="1">IFERROR(__xludf.DUMMYFUNCTION("""COMPUTED_VALUE"""),4)</f>
        <v>4</v>
      </c>
      <c r="P182" s="4">
        <f ca="1">IFERROR(__xludf.DUMMYFUNCTION("""COMPUTED_VALUE"""),4)</f>
        <v>4</v>
      </c>
      <c r="Q182" s="4">
        <f ca="1">IFERROR(__xludf.DUMMYFUNCTION("""COMPUTED_VALUE"""),5)</f>
        <v>5</v>
      </c>
      <c r="R182" s="4">
        <f ca="1">IFERROR(__xludf.DUMMYFUNCTION("""COMPUTED_VALUE"""),4)</f>
        <v>4</v>
      </c>
      <c r="S182" s="4">
        <f ca="1">IFERROR(__xludf.DUMMYFUNCTION("""COMPUTED_VALUE"""),4)</f>
        <v>4</v>
      </c>
      <c r="T182" s="4">
        <f ca="1">IFERROR(__xludf.DUMMYFUNCTION("""COMPUTED_VALUE"""),5)</f>
        <v>5</v>
      </c>
      <c r="U182" s="4">
        <f ca="1">IFERROR(__xludf.DUMMYFUNCTION("""COMPUTED_VALUE"""),4)</f>
        <v>4</v>
      </c>
      <c r="V182" s="4">
        <f ca="1">IFERROR(__xludf.DUMMYFUNCTION("""COMPUTED_VALUE"""),5)</f>
        <v>5</v>
      </c>
      <c r="W182" s="4">
        <f ca="1">IFERROR(__xludf.DUMMYFUNCTION("""COMPUTED_VALUE"""),4)</f>
        <v>4</v>
      </c>
      <c r="X182" s="4">
        <f ca="1">IFERROR(__xludf.DUMMYFUNCTION("""COMPUTED_VALUE"""),4)</f>
        <v>4</v>
      </c>
      <c r="Y182" s="4">
        <f ca="1">IFERROR(__xludf.DUMMYFUNCTION("""COMPUTED_VALUE"""),3)</f>
        <v>3</v>
      </c>
      <c r="Z182" s="4">
        <f ca="1">IFERROR(__xludf.DUMMYFUNCTION("""COMPUTED_VALUE"""),3)</f>
        <v>3</v>
      </c>
      <c r="AA182" s="4">
        <f ca="1">IFERROR(__xludf.DUMMYFUNCTION("""COMPUTED_VALUE"""),4)</f>
        <v>4</v>
      </c>
      <c r="AB182" s="4">
        <f ca="1">IFERROR(__xludf.DUMMYFUNCTION("""COMPUTED_VALUE"""),4)</f>
        <v>4</v>
      </c>
      <c r="AC182" s="4">
        <f ca="1">IFERROR(__xludf.DUMMYFUNCTION("""COMPUTED_VALUE"""),3)</f>
        <v>3</v>
      </c>
      <c r="AD182" s="4">
        <f ca="1">IFERROR(__xludf.DUMMYFUNCTION("""COMPUTED_VALUE"""),3)</f>
        <v>3</v>
      </c>
      <c r="AE182" s="4">
        <f ca="1">IFERROR(__xludf.DUMMYFUNCTION("""COMPUTED_VALUE"""),4)</f>
        <v>4</v>
      </c>
      <c r="AF182" s="4">
        <f ca="1">IFERROR(__xludf.DUMMYFUNCTION("""COMPUTED_VALUE"""),5)</f>
        <v>5</v>
      </c>
      <c r="AG182" s="4">
        <f ca="1">IFERROR(__xludf.DUMMYFUNCTION("""COMPUTED_VALUE"""),5)</f>
        <v>5</v>
      </c>
      <c r="AH182" s="4">
        <f ca="1">IFERROR(__xludf.DUMMYFUNCTION("""COMPUTED_VALUE"""),4)</f>
        <v>4</v>
      </c>
      <c r="AI182" s="4">
        <f ca="1">IFERROR(__xludf.DUMMYFUNCTION("""COMPUTED_VALUE"""),3)</f>
        <v>3</v>
      </c>
      <c r="AJ182" s="4">
        <f ca="1">IFERROR(__xludf.DUMMYFUNCTION("""COMPUTED_VALUE"""),4)</f>
        <v>4</v>
      </c>
      <c r="AK182" s="4">
        <f ca="1">IFERROR(__xludf.DUMMYFUNCTION("""COMPUTED_VALUE"""),4)</f>
        <v>4</v>
      </c>
      <c r="AL182" s="4">
        <f ca="1">IFERROR(__xludf.DUMMYFUNCTION("""COMPUTED_VALUE"""),4)</f>
        <v>4</v>
      </c>
      <c r="AM182" s="4">
        <f ca="1">IFERROR(__xludf.DUMMYFUNCTION("""COMPUTED_VALUE"""),4)</f>
        <v>4</v>
      </c>
      <c r="AN182" s="4">
        <f ca="1">IFERROR(__xludf.DUMMYFUNCTION("""COMPUTED_VALUE"""),3)</f>
        <v>3</v>
      </c>
      <c r="AO182" s="4">
        <f ca="1">IFERROR(__xludf.DUMMYFUNCTION("""COMPUTED_VALUE"""),3)</f>
        <v>3</v>
      </c>
      <c r="AP182" s="4">
        <f ca="1">IFERROR(__xludf.DUMMYFUNCTION("""COMPUTED_VALUE"""),4)</f>
        <v>4</v>
      </c>
      <c r="AQ182" s="4">
        <f ca="1">IFERROR(__xludf.DUMMYFUNCTION("""COMPUTED_VALUE"""),3)</f>
        <v>3</v>
      </c>
      <c r="AR182" s="4">
        <f ca="1">IFERROR(__xludf.DUMMYFUNCTION("""COMPUTED_VALUE"""),4)</f>
        <v>4</v>
      </c>
      <c r="AS182" s="4">
        <f ca="1">IFERROR(__xludf.DUMMYFUNCTION("""COMPUTED_VALUE"""),4)</f>
        <v>4</v>
      </c>
      <c r="AT182" s="4">
        <f ca="1">IFERROR(__xludf.DUMMYFUNCTION("""COMPUTED_VALUE"""),2)</f>
        <v>2</v>
      </c>
      <c r="AU182" s="4">
        <f ca="1">IFERROR(__xludf.DUMMYFUNCTION("""COMPUTED_VALUE"""),3)</f>
        <v>3</v>
      </c>
      <c r="AV182" s="4">
        <f ca="1">IFERROR(__xludf.DUMMYFUNCTION("""COMPUTED_VALUE"""),4)</f>
        <v>4</v>
      </c>
      <c r="AW182" s="4">
        <f ca="1">IFERROR(__xludf.DUMMYFUNCTION("""COMPUTED_VALUE"""),3)</f>
        <v>3</v>
      </c>
      <c r="AX182" s="4">
        <f ca="1">IFERROR(__xludf.DUMMYFUNCTION("""COMPUTED_VALUE"""),4)</f>
        <v>4</v>
      </c>
      <c r="AY182" s="4">
        <f ca="1">IFERROR(__xludf.DUMMYFUNCTION("""COMPUTED_VALUE"""),4)</f>
        <v>4</v>
      </c>
      <c r="AZ182" s="4">
        <f ca="1">IFERROR(__xludf.DUMMYFUNCTION("""COMPUTED_VALUE"""),3)</f>
        <v>3</v>
      </c>
      <c r="BA182" s="4">
        <f ca="1">IFERROR(__xludf.DUMMYFUNCTION("""COMPUTED_VALUE"""),5)</f>
        <v>5</v>
      </c>
      <c r="BB182" s="4">
        <f ca="1">IFERROR(__xludf.DUMMYFUNCTION("""COMPUTED_VALUE"""),4)</f>
        <v>4</v>
      </c>
      <c r="BC182" s="4">
        <f ca="1">IFERROR(__xludf.DUMMYFUNCTION("""COMPUTED_VALUE"""),4)</f>
        <v>4</v>
      </c>
      <c r="BD182" s="4">
        <f ca="1">IFERROR(__xludf.DUMMYFUNCTION("""COMPUTED_VALUE"""),3)</f>
        <v>3</v>
      </c>
      <c r="BE182" s="4">
        <f ca="1">IFERROR(__xludf.DUMMYFUNCTION("""COMPUTED_VALUE"""),2)</f>
        <v>2</v>
      </c>
      <c r="BF182" s="4">
        <f ca="1">IFERROR(__xludf.DUMMYFUNCTION("""COMPUTED_VALUE"""),2)</f>
        <v>2</v>
      </c>
      <c r="BG182" s="4">
        <f ca="1">IFERROR(__xludf.DUMMYFUNCTION("""COMPUTED_VALUE"""),1)</f>
        <v>1</v>
      </c>
      <c r="BH182" s="4">
        <f ca="1">IFERROR(__xludf.DUMMYFUNCTION("""COMPUTED_VALUE"""),3)</f>
        <v>3</v>
      </c>
      <c r="BI182" s="4">
        <f ca="1">IFERROR(__xludf.DUMMYFUNCTION("""COMPUTED_VALUE"""),3)</f>
        <v>3</v>
      </c>
      <c r="BJ182" s="4">
        <f ca="1">IFERROR(__xludf.DUMMYFUNCTION("""COMPUTED_VALUE"""),4)</f>
        <v>4</v>
      </c>
      <c r="BK182" s="4">
        <f ca="1">IFERROR(__xludf.DUMMYFUNCTION("""COMPUTED_VALUE"""),5)</f>
        <v>5</v>
      </c>
      <c r="BL182" s="4">
        <f ca="1">IFERROR(__xludf.DUMMYFUNCTION("""COMPUTED_VALUE"""),4)</f>
        <v>4</v>
      </c>
      <c r="BM182" s="4">
        <f ca="1">IFERROR(__xludf.DUMMYFUNCTION("""COMPUTED_VALUE"""),4)</f>
        <v>4</v>
      </c>
      <c r="BN182" s="4">
        <f ca="1">IFERROR(__xludf.DUMMYFUNCTION("""COMPUTED_VALUE"""),4)</f>
        <v>4</v>
      </c>
      <c r="BO182" s="4">
        <f ca="1">IFERROR(__xludf.DUMMYFUNCTION("""COMPUTED_VALUE"""),5)</f>
        <v>5</v>
      </c>
      <c r="BP182" s="4">
        <f ca="1">IFERROR(__xludf.DUMMYFUNCTION("""COMPUTED_VALUE"""),3)</f>
        <v>3</v>
      </c>
    </row>
    <row r="183" spans="1:68" ht="13.2" x14ac:dyDescent="0.25">
      <c r="A183" s="4" t="str">
        <f ca="1">IFERROR(__xludf.DUMMYFUNCTION("""COMPUTED_VALUE"""),"2_ABaOnucqUb39Xrwr08zpPHJIvpwd8L4lx73rglzK-pS-nDd_BjuEVHh3-Nea95obeA")</f>
        <v>2_ABaOnucqUb39Xrwr08zpPHJIvpwd8L4lx73rglzK-pS-nDd_BjuEVHh3-Nea95obeA</v>
      </c>
      <c r="B183" s="5">
        <f ca="1">IFERROR(__xludf.DUMMYFUNCTION("""COMPUTED_VALUE"""),45975.3820948148)</f>
        <v>45975.382094814799</v>
      </c>
      <c r="C183" s="4" t="str">
        <f ca="1">IFERROR(__xludf.DUMMYFUNCTION("""COMPUTED_VALUE"""),"Lê Thị Mỹ Nhân")</f>
        <v>Lê Thị Mỹ Nhân</v>
      </c>
      <c r="D183" s="4" t="str">
        <f ca="1">IFERROR(__xludf.DUMMYFUNCTION("""COMPUTED_VALUE"""),"Nữ")</f>
        <v>Nữ</v>
      </c>
      <c r="E183" s="4" t="str">
        <f ca="1">IFERROR(__xludf.DUMMYFUNCTION("""COMPUTED_VALUE"""),"Công ty TNHH Kiểm toán và Tư vấn A&amp;C - Chi nhánh Tây Nam Bộ")</f>
        <v>Công ty TNHH Kiểm toán và Tư vấn A&amp;C - Chi nhánh Tây Nam Bộ</v>
      </c>
      <c r="F183" s="4" t="str">
        <f ca="1">IFERROR(__xludf.DUMMYFUNCTION("""COMPUTED_VALUE"""),"Đại học, Chứng chỉ Kiểm toán viên")</f>
        <v>Đại học, Chứng chỉ Kiểm toán viên</v>
      </c>
      <c r="G183" s="4" t="str">
        <f ca="1">IFERROR(__xludf.DUMMYFUNCTION("""COMPUTED_VALUE"""),"Trên 5 đến 10 năm")</f>
        <v>Trên 5 đến 10 năm</v>
      </c>
      <c r="H183" s="4" t="str">
        <f ca="1">IFERROR(__xludf.DUMMYFUNCTION("""COMPUTED_VALUE"""),"Kiểm toán viên/Trưởng nhóm")</f>
        <v>Kiểm toán viên/Trưởng nhóm</v>
      </c>
      <c r="I183" s="4">
        <f ca="1">IFERROR(__xludf.DUMMYFUNCTION("""COMPUTED_VALUE"""),4)</f>
        <v>4</v>
      </c>
      <c r="J183" s="4">
        <f ca="1">IFERROR(__xludf.DUMMYFUNCTION("""COMPUTED_VALUE"""),4)</f>
        <v>4</v>
      </c>
      <c r="K183" s="4">
        <f ca="1">IFERROR(__xludf.DUMMYFUNCTION("""COMPUTED_VALUE"""),4)</f>
        <v>4</v>
      </c>
      <c r="L183" s="4">
        <f ca="1">IFERROR(__xludf.DUMMYFUNCTION("""COMPUTED_VALUE"""),4)</f>
        <v>4</v>
      </c>
      <c r="M183" s="4">
        <f ca="1">IFERROR(__xludf.DUMMYFUNCTION("""COMPUTED_VALUE"""),4)</f>
        <v>4</v>
      </c>
      <c r="N183" s="4">
        <f ca="1">IFERROR(__xludf.DUMMYFUNCTION("""COMPUTED_VALUE"""),4)</f>
        <v>4</v>
      </c>
      <c r="O183" s="4">
        <f ca="1">IFERROR(__xludf.DUMMYFUNCTION("""COMPUTED_VALUE"""),4)</f>
        <v>4</v>
      </c>
      <c r="P183" s="4">
        <f ca="1">IFERROR(__xludf.DUMMYFUNCTION("""COMPUTED_VALUE"""),4)</f>
        <v>4</v>
      </c>
      <c r="Q183" s="4">
        <f ca="1">IFERROR(__xludf.DUMMYFUNCTION("""COMPUTED_VALUE"""),4)</f>
        <v>4</v>
      </c>
      <c r="R183" s="4">
        <f ca="1">IFERROR(__xludf.DUMMYFUNCTION("""COMPUTED_VALUE"""),4)</f>
        <v>4</v>
      </c>
      <c r="S183" s="4">
        <f ca="1">IFERROR(__xludf.DUMMYFUNCTION("""COMPUTED_VALUE"""),4)</f>
        <v>4</v>
      </c>
      <c r="T183" s="4">
        <f ca="1">IFERROR(__xludf.DUMMYFUNCTION("""COMPUTED_VALUE"""),4)</f>
        <v>4</v>
      </c>
      <c r="U183" s="4">
        <f ca="1">IFERROR(__xludf.DUMMYFUNCTION("""COMPUTED_VALUE"""),4)</f>
        <v>4</v>
      </c>
      <c r="V183" s="4">
        <f ca="1">IFERROR(__xludf.DUMMYFUNCTION("""COMPUTED_VALUE"""),4)</f>
        <v>4</v>
      </c>
      <c r="W183" s="4">
        <f ca="1">IFERROR(__xludf.DUMMYFUNCTION("""COMPUTED_VALUE"""),4)</f>
        <v>4</v>
      </c>
      <c r="X183" s="4">
        <f ca="1">IFERROR(__xludf.DUMMYFUNCTION("""COMPUTED_VALUE"""),4)</f>
        <v>4</v>
      </c>
      <c r="Y183" s="4">
        <f ca="1">IFERROR(__xludf.DUMMYFUNCTION("""COMPUTED_VALUE"""),4)</f>
        <v>4</v>
      </c>
      <c r="Z183" s="4">
        <f ca="1">IFERROR(__xludf.DUMMYFUNCTION("""COMPUTED_VALUE"""),4)</f>
        <v>4</v>
      </c>
      <c r="AA183" s="4">
        <f ca="1">IFERROR(__xludf.DUMMYFUNCTION("""COMPUTED_VALUE"""),4)</f>
        <v>4</v>
      </c>
      <c r="AB183" s="4">
        <f ca="1">IFERROR(__xludf.DUMMYFUNCTION("""COMPUTED_VALUE"""),4)</f>
        <v>4</v>
      </c>
      <c r="AC183" s="4">
        <f ca="1">IFERROR(__xludf.DUMMYFUNCTION("""COMPUTED_VALUE"""),4)</f>
        <v>4</v>
      </c>
      <c r="AD183" s="4">
        <f ca="1">IFERROR(__xludf.DUMMYFUNCTION("""COMPUTED_VALUE"""),4)</f>
        <v>4</v>
      </c>
      <c r="AE183" s="4">
        <f ca="1">IFERROR(__xludf.DUMMYFUNCTION("""COMPUTED_VALUE"""),4)</f>
        <v>4</v>
      </c>
      <c r="AF183" s="4">
        <f ca="1">IFERROR(__xludf.DUMMYFUNCTION("""COMPUTED_VALUE"""),4)</f>
        <v>4</v>
      </c>
      <c r="AG183" s="4">
        <f ca="1">IFERROR(__xludf.DUMMYFUNCTION("""COMPUTED_VALUE"""),4)</f>
        <v>4</v>
      </c>
      <c r="AH183" s="4">
        <f ca="1">IFERROR(__xludf.DUMMYFUNCTION("""COMPUTED_VALUE"""),4)</f>
        <v>4</v>
      </c>
      <c r="AI183" s="4">
        <f ca="1">IFERROR(__xludf.DUMMYFUNCTION("""COMPUTED_VALUE"""),4)</f>
        <v>4</v>
      </c>
      <c r="AJ183" s="4">
        <f ca="1">IFERROR(__xludf.DUMMYFUNCTION("""COMPUTED_VALUE"""),4)</f>
        <v>4</v>
      </c>
      <c r="AK183" s="4">
        <f ca="1">IFERROR(__xludf.DUMMYFUNCTION("""COMPUTED_VALUE"""),4)</f>
        <v>4</v>
      </c>
      <c r="AL183" s="4">
        <f ca="1">IFERROR(__xludf.DUMMYFUNCTION("""COMPUTED_VALUE"""),4)</f>
        <v>4</v>
      </c>
      <c r="AM183" s="4">
        <f ca="1">IFERROR(__xludf.DUMMYFUNCTION("""COMPUTED_VALUE"""),4)</f>
        <v>4</v>
      </c>
      <c r="AN183" s="4">
        <f ca="1">IFERROR(__xludf.DUMMYFUNCTION("""COMPUTED_VALUE"""),4)</f>
        <v>4</v>
      </c>
      <c r="AO183" s="4">
        <f ca="1">IFERROR(__xludf.DUMMYFUNCTION("""COMPUTED_VALUE"""),4)</f>
        <v>4</v>
      </c>
      <c r="AP183" s="4">
        <f ca="1">IFERROR(__xludf.DUMMYFUNCTION("""COMPUTED_VALUE"""),4)</f>
        <v>4</v>
      </c>
      <c r="AQ183" s="4">
        <f ca="1">IFERROR(__xludf.DUMMYFUNCTION("""COMPUTED_VALUE"""),4)</f>
        <v>4</v>
      </c>
      <c r="AR183" s="4">
        <f ca="1">IFERROR(__xludf.DUMMYFUNCTION("""COMPUTED_VALUE"""),4)</f>
        <v>4</v>
      </c>
      <c r="AS183" s="4">
        <f ca="1">IFERROR(__xludf.DUMMYFUNCTION("""COMPUTED_VALUE"""),4)</f>
        <v>4</v>
      </c>
      <c r="AT183" s="4">
        <f ca="1">IFERROR(__xludf.DUMMYFUNCTION("""COMPUTED_VALUE"""),4)</f>
        <v>4</v>
      </c>
      <c r="AU183" s="4">
        <f ca="1">IFERROR(__xludf.DUMMYFUNCTION("""COMPUTED_VALUE"""),4)</f>
        <v>4</v>
      </c>
      <c r="AV183" s="4">
        <f ca="1">IFERROR(__xludf.DUMMYFUNCTION("""COMPUTED_VALUE"""),4)</f>
        <v>4</v>
      </c>
      <c r="AW183" s="4">
        <f ca="1">IFERROR(__xludf.DUMMYFUNCTION("""COMPUTED_VALUE"""),4)</f>
        <v>4</v>
      </c>
      <c r="AX183" s="4">
        <f ca="1">IFERROR(__xludf.DUMMYFUNCTION("""COMPUTED_VALUE"""),4)</f>
        <v>4</v>
      </c>
      <c r="AY183" s="4">
        <f ca="1">IFERROR(__xludf.DUMMYFUNCTION("""COMPUTED_VALUE"""),4)</f>
        <v>4</v>
      </c>
      <c r="AZ183" s="4">
        <f ca="1">IFERROR(__xludf.DUMMYFUNCTION("""COMPUTED_VALUE"""),4)</f>
        <v>4</v>
      </c>
      <c r="BA183" s="4">
        <f ca="1">IFERROR(__xludf.DUMMYFUNCTION("""COMPUTED_VALUE"""),4)</f>
        <v>4</v>
      </c>
      <c r="BB183" s="4">
        <f ca="1">IFERROR(__xludf.DUMMYFUNCTION("""COMPUTED_VALUE"""),4)</f>
        <v>4</v>
      </c>
      <c r="BC183" s="4">
        <f ca="1">IFERROR(__xludf.DUMMYFUNCTION("""COMPUTED_VALUE"""),4)</f>
        <v>4</v>
      </c>
      <c r="BD183" s="4">
        <f ca="1">IFERROR(__xludf.DUMMYFUNCTION("""COMPUTED_VALUE"""),4)</f>
        <v>4</v>
      </c>
      <c r="BE183" s="4">
        <f ca="1">IFERROR(__xludf.DUMMYFUNCTION("""COMPUTED_VALUE"""),4)</f>
        <v>4</v>
      </c>
      <c r="BF183" s="4">
        <f ca="1">IFERROR(__xludf.DUMMYFUNCTION("""COMPUTED_VALUE"""),4)</f>
        <v>4</v>
      </c>
      <c r="BG183" s="4">
        <f ca="1">IFERROR(__xludf.DUMMYFUNCTION("""COMPUTED_VALUE"""),4)</f>
        <v>4</v>
      </c>
      <c r="BH183" s="4">
        <f ca="1">IFERROR(__xludf.DUMMYFUNCTION("""COMPUTED_VALUE"""),4)</f>
        <v>4</v>
      </c>
      <c r="BI183" s="4">
        <f ca="1">IFERROR(__xludf.DUMMYFUNCTION("""COMPUTED_VALUE"""),4)</f>
        <v>4</v>
      </c>
      <c r="BJ183" s="4">
        <f ca="1">IFERROR(__xludf.DUMMYFUNCTION("""COMPUTED_VALUE"""),4)</f>
        <v>4</v>
      </c>
      <c r="BK183" s="4">
        <f ca="1">IFERROR(__xludf.DUMMYFUNCTION("""COMPUTED_VALUE"""),4)</f>
        <v>4</v>
      </c>
      <c r="BL183" s="4">
        <f ca="1">IFERROR(__xludf.DUMMYFUNCTION("""COMPUTED_VALUE"""),4)</f>
        <v>4</v>
      </c>
      <c r="BM183" s="4">
        <f ca="1">IFERROR(__xludf.DUMMYFUNCTION("""COMPUTED_VALUE"""),4)</f>
        <v>4</v>
      </c>
      <c r="BN183" s="4">
        <f ca="1">IFERROR(__xludf.DUMMYFUNCTION("""COMPUTED_VALUE"""),4)</f>
        <v>4</v>
      </c>
      <c r="BO183" s="4">
        <f ca="1">IFERROR(__xludf.DUMMYFUNCTION("""COMPUTED_VALUE"""),4)</f>
        <v>4</v>
      </c>
      <c r="BP183" s="4">
        <f ca="1">IFERROR(__xludf.DUMMYFUNCTION("""COMPUTED_VALUE"""),4)</f>
        <v>4</v>
      </c>
    </row>
    <row r="184" spans="1:68" ht="13.2" x14ac:dyDescent="0.25">
      <c r="A184" s="4" t="str">
        <f ca="1">IFERROR(__xludf.DUMMYFUNCTION("""COMPUTED_VALUE"""),"2_ABaOnufuJcYc2otwpXTlwKK2OORwJ4IUAI1VVtXjotbUOWVI-rbBVNv2mdhFJjD-hg")</f>
        <v>2_ABaOnufuJcYc2otwpXTlwKK2OORwJ4IUAI1VVtXjotbUOWVI-rbBVNv2mdhFJjD-hg</v>
      </c>
      <c r="B184" s="5">
        <f ca="1">IFERROR(__xludf.DUMMYFUNCTION("""COMPUTED_VALUE"""),45975.3837325925)</f>
        <v>45975.383732592498</v>
      </c>
      <c r="C184" s="4" t="str">
        <f ca="1">IFERROR(__xludf.DUMMYFUNCTION("""COMPUTED_VALUE"""),"Lê Thị Mai Phương")</f>
        <v>Lê Thị Mai Phương</v>
      </c>
      <c r="D184" s="4" t="str">
        <f ca="1">IFERROR(__xludf.DUMMYFUNCTION("""COMPUTED_VALUE"""),"Nữ")</f>
        <v>Nữ</v>
      </c>
      <c r="E184" s="4" t="str">
        <f ca="1">IFERROR(__xludf.DUMMYFUNCTION("""COMPUTED_VALUE"""),"Công ty TNHH Kiểm toán và Tư vấn A&amp;C - Chi nhánh Tây Nam Bộ")</f>
        <v>Công ty TNHH Kiểm toán và Tư vấn A&amp;C - Chi nhánh Tây Nam Bộ</v>
      </c>
      <c r="F184" s="4" t="str">
        <f ca="1">IFERROR(__xludf.DUMMYFUNCTION("""COMPUTED_VALUE"""),"Đại học")</f>
        <v>Đại học</v>
      </c>
      <c r="G184" s="4" t="str">
        <f ca="1">IFERROR(__xludf.DUMMYFUNCTION("""COMPUTED_VALUE"""),"Từ 3 đến 5 năm")</f>
        <v>Từ 3 đến 5 năm</v>
      </c>
      <c r="H184" s="4" t="str">
        <f ca="1">IFERROR(__xludf.DUMMYFUNCTION("""COMPUTED_VALUE"""),"Trợ lý kiểm toán")</f>
        <v>Trợ lý kiểm toán</v>
      </c>
      <c r="I184" s="4">
        <f ca="1">IFERROR(__xludf.DUMMYFUNCTION("""COMPUTED_VALUE"""),5)</f>
        <v>5</v>
      </c>
      <c r="J184" s="4">
        <f ca="1">IFERROR(__xludf.DUMMYFUNCTION("""COMPUTED_VALUE"""),5)</f>
        <v>5</v>
      </c>
      <c r="K184" s="4">
        <f ca="1">IFERROR(__xludf.DUMMYFUNCTION("""COMPUTED_VALUE"""),4)</f>
        <v>4</v>
      </c>
      <c r="L184" s="4">
        <f ca="1">IFERROR(__xludf.DUMMYFUNCTION("""COMPUTED_VALUE"""),4)</f>
        <v>4</v>
      </c>
      <c r="M184" s="4">
        <f ca="1">IFERROR(__xludf.DUMMYFUNCTION("""COMPUTED_VALUE"""),4)</f>
        <v>4</v>
      </c>
      <c r="N184" s="4">
        <f ca="1">IFERROR(__xludf.DUMMYFUNCTION("""COMPUTED_VALUE"""),4)</f>
        <v>4</v>
      </c>
      <c r="O184" s="4">
        <f ca="1">IFERROR(__xludf.DUMMYFUNCTION("""COMPUTED_VALUE"""),5)</f>
        <v>5</v>
      </c>
      <c r="P184" s="4">
        <f ca="1">IFERROR(__xludf.DUMMYFUNCTION("""COMPUTED_VALUE"""),4)</f>
        <v>4</v>
      </c>
      <c r="Q184" s="4">
        <f ca="1">IFERROR(__xludf.DUMMYFUNCTION("""COMPUTED_VALUE"""),4)</f>
        <v>4</v>
      </c>
      <c r="R184" s="4">
        <f ca="1">IFERROR(__xludf.DUMMYFUNCTION("""COMPUTED_VALUE"""),5)</f>
        <v>5</v>
      </c>
      <c r="S184" s="4">
        <f ca="1">IFERROR(__xludf.DUMMYFUNCTION("""COMPUTED_VALUE"""),5)</f>
        <v>5</v>
      </c>
      <c r="T184" s="4">
        <f ca="1">IFERROR(__xludf.DUMMYFUNCTION("""COMPUTED_VALUE"""),5)</f>
        <v>5</v>
      </c>
      <c r="U184" s="4">
        <f ca="1">IFERROR(__xludf.DUMMYFUNCTION("""COMPUTED_VALUE"""),5)</f>
        <v>5</v>
      </c>
      <c r="V184" s="4">
        <f ca="1">IFERROR(__xludf.DUMMYFUNCTION("""COMPUTED_VALUE"""),5)</f>
        <v>5</v>
      </c>
      <c r="W184" s="4">
        <f ca="1">IFERROR(__xludf.DUMMYFUNCTION("""COMPUTED_VALUE"""),4)</f>
        <v>4</v>
      </c>
      <c r="X184" s="4">
        <f ca="1">IFERROR(__xludf.DUMMYFUNCTION("""COMPUTED_VALUE"""),4)</f>
        <v>4</v>
      </c>
      <c r="Y184" s="4">
        <f ca="1">IFERROR(__xludf.DUMMYFUNCTION("""COMPUTED_VALUE"""),4)</f>
        <v>4</v>
      </c>
      <c r="Z184" s="4">
        <f ca="1">IFERROR(__xludf.DUMMYFUNCTION("""COMPUTED_VALUE"""),4)</f>
        <v>4</v>
      </c>
      <c r="AA184" s="4">
        <f ca="1">IFERROR(__xludf.DUMMYFUNCTION("""COMPUTED_VALUE"""),5)</f>
        <v>5</v>
      </c>
      <c r="AB184" s="4">
        <f ca="1">IFERROR(__xludf.DUMMYFUNCTION("""COMPUTED_VALUE"""),4)</f>
        <v>4</v>
      </c>
      <c r="AC184" s="4">
        <f ca="1">IFERROR(__xludf.DUMMYFUNCTION("""COMPUTED_VALUE"""),3)</f>
        <v>3</v>
      </c>
      <c r="AD184" s="4">
        <f ca="1">IFERROR(__xludf.DUMMYFUNCTION("""COMPUTED_VALUE"""),3)</f>
        <v>3</v>
      </c>
      <c r="AE184" s="4">
        <f ca="1">IFERROR(__xludf.DUMMYFUNCTION("""COMPUTED_VALUE"""),4)</f>
        <v>4</v>
      </c>
      <c r="AF184" s="4">
        <f ca="1">IFERROR(__xludf.DUMMYFUNCTION("""COMPUTED_VALUE"""),5)</f>
        <v>5</v>
      </c>
      <c r="AG184" s="4">
        <f ca="1">IFERROR(__xludf.DUMMYFUNCTION("""COMPUTED_VALUE"""),5)</f>
        <v>5</v>
      </c>
      <c r="AH184" s="4">
        <f ca="1">IFERROR(__xludf.DUMMYFUNCTION("""COMPUTED_VALUE"""),4)</f>
        <v>4</v>
      </c>
      <c r="AI184" s="4">
        <f ca="1">IFERROR(__xludf.DUMMYFUNCTION("""COMPUTED_VALUE"""),4)</f>
        <v>4</v>
      </c>
      <c r="AJ184" s="4">
        <f ca="1">IFERROR(__xludf.DUMMYFUNCTION("""COMPUTED_VALUE"""),5)</f>
        <v>5</v>
      </c>
      <c r="AK184" s="4">
        <f ca="1">IFERROR(__xludf.DUMMYFUNCTION("""COMPUTED_VALUE"""),5)</f>
        <v>5</v>
      </c>
      <c r="AL184" s="4">
        <f ca="1">IFERROR(__xludf.DUMMYFUNCTION("""COMPUTED_VALUE"""),5)</f>
        <v>5</v>
      </c>
      <c r="AM184" s="4">
        <f ca="1">IFERROR(__xludf.DUMMYFUNCTION("""COMPUTED_VALUE"""),5)</f>
        <v>5</v>
      </c>
      <c r="AN184" s="4">
        <f ca="1">IFERROR(__xludf.DUMMYFUNCTION("""COMPUTED_VALUE"""),5)</f>
        <v>5</v>
      </c>
      <c r="AO184" s="4">
        <f ca="1">IFERROR(__xludf.DUMMYFUNCTION("""COMPUTED_VALUE"""),4)</f>
        <v>4</v>
      </c>
      <c r="AP184" s="4">
        <f ca="1">IFERROR(__xludf.DUMMYFUNCTION("""COMPUTED_VALUE"""),4)</f>
        <v>4</v>
      </c>
      <c r="AQ184" s="4">
        <f ca="1">IFERROR(__xludf.DUMMYFUNCTION("""COMPUTED_VALUE"""),4)</f>
        <v>4</v>
      </c>
      <c r="AR184" s="4">
        <f ca="1">IFERROR(__xludf.DUMMYFUNCTION("""COMPUTED_VALUE"""),4)</f>
        <v>4</v>
      </c>
      <c r="AS184" s="4">
        <f ca="1">IFERROR(__xludf.DUMMYFUNCTION("""COMPUTED_VALUE"""),4)</f>
        <v>4</v>
      </c>
      <c r="AT184" s="4">
        <f ca="1">IFERROR(__xludf.DUMMYFUNCTION("""COMPUTED_VALUE"""),4)</f>
        <v>4</v>
      </c>
      <c r="AU184" s="4">
        <f ca="1">IFERROR(__xludf.DUMMYFUNCTION("""COMPUTED_VALUE"""),4)</f>
        <v>4</v>
      </c>
      <c r="AV184" s="4">
        <f ca="1">IFERROR(__xludf.DUMMYFUNCTION("""COMPUTED_VALUE"""),4)</f>
        <v>4</v>
      </c>
      <c r="AW184" s="4">
        <f ca="1">IFERROR(__xludf.DUMMYFUNCTION("""COMPUTED_VALUE"""),4)</f>
        <v>4</v>
      </c>
      <c r="AX184" s="4">
        <f ca="1">IFERROR(__xludf.DUMMYFUNCTION("""COMPUTED_VALUE"""),5)</f>
        <v>5</v>
      </c>
      <c r="AY184" s="4">
        <f ca="1">IFERROR(__xludf.DUMMYFUNCTION("""COMPUTED_VALUE"""),5)</f>
        <v>5</v>
      </c>
      <c r="AZ184" s="4">
        <f ca="1">IFERROR(__xludf.DUMMYFUNCTION("""COMPUTED_VALUE"""),5)</f>
        <v>5</v>
      </c>
      <c r="BA184" s="4">
        <f ca="1">IFERROR(__xludf.DUMMYFUNCTION("""COMPUTED_VALUE"""),5)</f>
        <v>5</v>
      </c>
      <c r="BB184" s="4">
        <f ca="1">IFERROR(__xludf.DUMMYFUNCTION("""COMPUTED_VALUE"""),4)</f>
        <v>4</v>
      </c>
      <c r="BC184" s="4">
        <f ca="1">IFERROR(__xludf.DUMMYFUNCTION("""COMPUTED_VALUE"""),3)</f>
        <v>3</v>
      </c>
      <c r="BD184" s="4">
        <f ca="1">IFERROR(__xludf.DUMMYFUNCTION("""COMPUTED_VALUE"""),3)</f>
        <v>3</v>
      </c>
      <c r="BE184" s="4">
        <f ca="1">IFERROR(__xludf.DUMMYFUNCTION("""COMPUTED_VALUE"""),2)</f>
        <v>2</v>
      </c>
      <c r="BF184" s="4">
        <f ca="1">IFERROR(__xludf.DUMMYFUNCTION("""COMPUTED_VALUE"""),3)</f>
        <v>3</v>
      </c>
      <c r="BG184" s="4">
        <f ca="1">IFERROR(__xludf.DUMMYFUNCTION("""COMPUTED_VALUE"""),3)</f>
        <v>3</v>
      </c>
      <c r="BH184" s="4">
        <f ca="1">IFERROR(__xludf.DUMMYFUNCTION("""COMPUTED_VALUE"""),4)</f>
        <v>4</v>
      </c>
      <c r="BI184" s="4">
        <f ca="1">IFERROR(__xludf.DUMMYFUNCTION("""COMPUTED_VALUE"""),5)</f>
        <v>5</v>
      </c>
      <c r="BJ184" s="4">
        <f ca="1">IFERROR(__xludf.DUMMYFUNCTION("""COMPUTED_VALUE"""),5)</f>
        <v>5</v>
      </c>
      <c r="BK184" s="4">
        <f ca="1">IFERROR(__xludf.DUMMYFUNCTION("""COMPUTED_VALUE"""),5)</f>
        <v>5</v>
      </c>
      <c r="BL184" s="4">
        <f ca="1">IFERROR(__xludf.DUMMYFUNCTION("""COMPUTED_VALUE"""),5)</f>
        <v>5</v>
      </c>
      <c r="BM184" s="4">
        <f ca="1">IFERROR(__xludf.DUMMYFUNCTION("""COMPUTED_VALUE"""),5)</f>
        <v>5</v>
      </c>
      <c r="BN184" s="4">
        <f ca="1">IFERROR(__xludf.DUMMYFUNCTION("""COMPUTED_VALUE"""),5)</f>
        <v>5</v>
      </c>
      <c r="BO184" s="4">
        <f ca="1">IFERROR(__xludf.DUMMYFUNCTION("""COMPUTED_VALUE"""),5)</f>
        <v>5</v>
      </c>
      <c r="BP184" s="4">
        <f ca="1">IFERROR(__xludf.DUMMYFUNCTION("""COMPUTED_VALUE"""),5)</f>
        <v>5</v>
      </c>
    </row>
    <row r="185" spans="1:68" ht="13.2" x14ac:dyDescent="0.25">
      <c r="A185" s="4" t="str">
        <f ca="1">IFERROR(__xludf.DUMMYFUNCTION("""COMPUTED_VALUE"""),"2_ABaOnucNSgEmYMlyVSp9kZ5ILKtly3t1b6ZhTxJBSXzeZO0YartwFZCAsORytMivWA")</f>
        <v>2_ABaOnucNSgEmYMlyVSp9kZ5ILKtly3t1b6ZhTxJBSXzeZO0YartwFZCAsORytMivWA</v>
      </c>
      <c r="B185" s="5">
        <f ca="1">IFERROR(__xludf.DUMMYFUNCTION("""COMPUTED_VALUE"""),45975.3931023379)</f>
        <v>45975.393102337897</v>
      </c>
      <c r="C185" s="4" t="str">
        <f ca="1">IFERROR(__xludf.DUMMYFUNCTION("""COMPUTED_VALUE"""),"Hồ Đại")</f>
        <v>Hồ Đại</v>
      </c>
      <c r="D185" s="4" t="str">
        <f ca="1">IFERROR(__xludf.DUMMYFUNCTION("""COMPUTED_VALUE"""),"Nam")</f>
        <v>Nam</v>
      </c>
      <c r="E185" s="4" t="str">
        <f ca="1">IFERROR(__xludf.DUMMYFUNCTION("""COMPUTED_VALUE"""),"PWC")</f>
        <v>PWC</v>
      </c>
      <c r="F185" s="4" t="str">
        <f ca="1">IFERROR(__xludf.DUMMYFUNCTION("""COMPUTED_VALUE"""),"Sau đại học")</f>
        <v>Sau đại học</v>
      </c>
      <c r="G185" s="4" t="str">
        <f ca="1">IFERROR(__xludf.DUMMYFUNCTION("""COMPUTED_VALUE"""),"Từ 3 đến 5 năm")</f>
        <v>Từ 3 đến 5 năm</v>
      </c>
      <c r="H185" s="4" t="str">
        <f ca="1">IFERROR(__xludf.DUMMYFUNCTION("""COMPUTED_VALUE"""),"Kiểm toán viên/Trưởng nhóm")</f>
        <v>Kiểm toán viên/Trưởng nhóm</v>
      </c>
      <c r="I185" s="4">
        <f ca="1">IFERROR(__xludf.DUMMYFUNCTION("""COMPUTED_VALUE"""),4)</f>
        <v>4</v>
      </c>
      <c r="J185" s="4">
        <f ca="1">IFERROR(__xludf.DUMMYFUNCTION("""COMPUTED_VALUE"""),4)</f>
        <v>4</v>
      </c>
      <c r="K185" s="4">
        <f ca="1">IFERROR(__xludf.DUMMYFUNCTION("""COMPUTED_VALUE"""),4)</f>
        <v>4</v>
      </c>
      <c r="L185" s="4">
        <f ca="1">IFERROR(__xludf.DUMMYFUNCTION("""COMPUTED_VALUE"""),4)</f>
        <v>4</v>
      </c>
      <c r="M185" s="4">
        <f ca="1">IFERROR(__xludf.DUMMYFUNCTION("""COMPUTED_VALUE"""),4)</f>
        <v>4</v>
      </c>
      <c r="N185" s="4">
        <f ca="1">IFERROR(__xludf.DUMMYFUNCTION("""COMPUTED_VALUE"""),4)</f>
        <v>4</v>
      </c>
      <c r="O185" s="4">
        <f ca="1">IFERROR(__xludf.DUMMYFUNCTION("""COMPUTED_VALUE"""),4)</f>
        <v>4</v>
      </c>
      <c r="P185" s="4">
        <f ca="1">IFERROR(__xludf.DUMMYFUNCTION("""COMPUTED_VALUE"""),4)</f>
        <v>4</v>
      </c>
      <c r="Q185" s="4">
        <f ca="1">IFERROR(__xludf.DUMMYFUNCTION("""COMPUTED_VALUE"""),4)</f>
        <v>4</v>
      </c>
      <c r="R185" s="4">
        <f ca="1">IFERROR(__xludf.DUMMYFUNCTION("""COMPUTED_VALUE"""),4)</f>
        <v>4</v>
      </c>
      <c r="S185" s="4">
        <f ca="1">IFERROR(__xludf.DUMMYFUNCTION("""COMPUTED_VALUE"""),4)</f>
        <v>4</v>
      </c>
      <c r="T185" s="4">
        <f ca="1">IFERROR(__xludf.DUMMYFUNCTION("""COMPUTED_VALUE"""),4)</f>
        <v>4</v>
      </c>
      <c r="U185" s="4">
        <f ca="1">IFERROR(__xludf.DUMMYFUNCTION("""COMPUTED_VALUE"""),4)</f>
        <v>4</v>
      </c>
      <c r="V185" s="4">
        <f ca="1">IFERROR(__xludf.DUMMYFUNCTION("""COMPUTED_VALUE"""),4)</f>
        <v>4</v>
      </c>
      <c r="W185" s="4">
        <f ca="1">IFERROR(__xludf.DUMMYFUNCTION("""COMPUTED_VALUE"""),4)</f>
        <v>4</v>
      </c>
      <c r="X185" s="4">
        <f ca="1">IFERROR(__xludf.DUMMYFUNCTION("""COMPUTED_VALUE"""),3)</f>
        <v>3</v>
      </c>
      <c r="Y185" s="4">
        <f ca="1">IFERROR(__xludf.DUMMYFUNCTION("""COMPUTED_VALUE"""),4)</f>
        <v>4</v>
      </c>
      <c r="Z185" s="4">
        <f ca="1">IFERROR(__xludf.DUMMYFUNCTION("""COMPUTED_VALUE"""),4)</f>
        <v>4</v>
      </c>
      <c r="AA185" s="4">
        <f ca="1">IFERROR(__xludf.DUMMYFUNCTION("""COMPUTED_VALUE"""),3)</f>
        <v>3</v>
      </c>
      <c r="AB185" s="4">
        <f ca="1">IFERROR(__xludf.DUMMYFUNCTION("""COMPUTED_VALUE"""),5)</f>
        <v>5</v>
      </c>
      <c r="AC185" s="4">
        <f ca="1">IFERROR(__xludf.DUMMYFUNCTION("""COMPUTED_VALUE"""),4)</f>
        <v>4</v>
      </c>
      <c r="AD185" s="4">
        <f ca="1">IFERROR(__xludf.DUMMYFUNCTION("""COMPUTED_VALUE"""),4)</f>
        <v>4</v>
      </c>
      <c r="AE185" s="4">
        <f ca="1">IFERROR(__xludf.DUMMYFUNCTION("""COMPUTED_VALUE"""),4)</f>
        <v>4</v>
      </c>
      <c r="AF185" s="4">
        <f ca="1">IFERROR(__xludf.DUMMYFUNCTION("""COMPUTED_VALUE"""),4)</f>
        <v>4</v>
      </c>
      <c r="AG185" s="4">
        <f ca="1">IFERROR(__xludf.DUMMYFUNCTION("""COMPUTED_VALUE"""),3)</f>
        <v>3</v>
      </c>
      <c r="AH185" s="4">
        <f ca="1">IFERROR(__xludf.DUMMYFUNCTION("""COMPUTED_VALUE"""),4)</f>
        <v>4</v>
      </c>
      <c r="AI185" s="4">
        <f ca="1">IFERROR(__xludf.DUMMYFUNCTION("""COMPUTED_VALUE"""),3)</f>
        <v>3</v>
      </c>
      <c r="AJ185" s="4">
        <f ca="1">IFERROR(__xludf.DUMMYFUNCTION("""COMPUTED_VALUE"""),4)</f>
        <v>4</v>
      </c>
      <c r="AK185" s="4">
        <f ca="1">IFERROR(__xludf.DUMMYFUNCTION("""COMPUTED_VALUE"""),4)</f>
        <v>4</v>
      </c>
      <c r="AL185" s="4">
        <f ca="1">IFERROR(__xludf.DUMMYFUNCTION("""COMPUTED_VALUE"""),4)</f>
        <v>4</v>
      </c>
      <c r="AM185" s="4">
        <f ca="1">IFERROR(__xludf.DUMMYFUNCTION("""COMPUTED_VALUE"""),4)</f>
        <v>4</v>
      </c>
      <c r="AN185" s="4">
        <f ca="1">IFERROR(__xludf.DUMMYFUNCTION("""COMPUTED_VALUE"""),4)</f>
        <v>4</v>
      </c>
      <c r="AO185" s="4">
        <f ca="1">IFERROR(__xludf.DUMMYFUNCTION("""COMPUTED_VALUE"""),4)</f>
        <v>4</v>
      </c>
      <c r="AP185" s="4">
        <f ca="1">IFERROR(__xludf.DUMMYFUNCTION("""COMPUTED_VALUE"""),4)</f>
        <v>4</v>
      </c>
      <c r="AQ185" s="4">
        <f ca="1">IFERROR(__xludf.DUMMYFUNCTION("""COMPUTED_VALUE"""),4)</f>
        <v>4</v>
      </c>
      <c r="AR185" s="4">
        <f ca="1">IFERROR(__xludf.DUMMYFUNCTION("""COMPUTED_VALUE"""),3)</f>
        <v>3</v>
      </c>
      <c r="AS185" s="4">
        <f ca="1">IFERROR(__xludf.DUMMYFUNCTION("""COMPUTED_VALUE"""),4)</f>
        <v>4</v>
      </c>
      <c r="AT185" s="4">
        <f ca="1">IFERROR(__xludf.DUMMYFUNCTION("""COMPUTED_VALUE"""),3)</f>
        <v>3</v>
      </c>
      <c r="AU185" s="4">
        <f ca="1">IFERROR(__xludf.DUMMYFUNCTION("""COMPUTED_VALUE"""),4)</f>
        <v>4</v>
      </c>
      <c r="AV185" s="4">
        <f ca="1">IFERROR(__xludf.DUMMYFUNCTION("""COMPUTED_VALUE"""),4)</f>
        <v>4</v>
      </c>
      <c r="AW185" s="4">
        <f ca="1">IFERROR(__xludf.DUMMYFUNCTION("""COMPUTED_VALUE"""),4)</f>
        <v>4</v>
      </c>
      <c r="AX185" s="4">
        <f ca="1">IFERROR(__xludf.DUMMYFUNCTION("""COMPUTED_VALUE"""),4)</f>
        <v>4</v>
      </c>
      <c r="AY185" s="4">
        <f ca="1">IFERROR(__xludf.DUMMYFUNCTION("""COMPUTED_VALUE"""),4)</f>
        <v>4</v>
      </c>
      <c r="AZ185" s="4">
        <f ca="1">IFERROR(__xludf.DUMMYFUNCTION("""COMPUTED_VALUE"""),4)</f>
        <v>4</v>
      </c>
      <c r="BA185" s="4">
        <f ca="1">IFERROR(__xludf.DUMMYFUNCTION("""COMPUTED_VALUE"""),4)</f>
        <v>4</v>
      </c>
      <c r="BB185" s="4">
        <f ca="1">IFERROR(__xludf.DUMMYFUNCTION("""COMPUTED_VALUE"""),3)</f>
        <v>3</v>
      </c>
      <c r="BC185" s="4">
        <f ca="1">IFERROR(__xludf.DUMMYFUNCTION("""COMPUTED_VALUE"""),3)</f>
        <v>3</v>
      </c>
      <c r="BD185" s="4">
        <f ca="1">IFERROR(__xludf.DUMMYFUNCTION("""COMPUTED_VALUE"""),3)</f>
        <v>3</v>
      </c>
      <c r="BE185" s="4">
        <f ca="1">IFERROR(__xludf.DUMMYFUNCTION("""COMPUTED_VALUE"""),3)</f>
        <v>3</v>
      </c>
      <c r="BF185" s="4">
        <f ca="1">IFERROR(__xludf.DUMMYFUNCTION("""COMPUTED_VALUE"""),3)</f>
        <v>3</v>
      </c>
      <c r="BG185" s="4">
        <f ca="1">IFERROR(__xludf.DUMMYFUNCTION("""COMPUTED_VALUE"""),3)</f>
        <v>3</v>
      </c>
      <c r="BH185" s="4">
        <f ca="1">IFERROR(__xludf.DUMMYFUNCTION("""COMPUTED_VALUE"""),3)</f>
        <v>3</v>
      </c>
      <c r="BI185" s="4">
        <f ca="1">IFERROR(__xludf.DUMMYFUNCTION("""COMPUTED_VALUE"""),3)</f>
        <v>3</v>
      </c>
      <c r="BJ185" s="4">
        <f ca="1">IFERROR(__xludf.DUMMYFUNCTION("""COMPUTED_VALUE"""),3)</f>
        <v>3</v>
      </c>
      <c r="BK185" s="4">
        <f ca="1">IFERROR(__xludf.DUMMYFUNCTION("""COMPUTED_VALUE"""),3)</f>
        <v>3</v>
      </c>
      <c r="BL185" s="4">
        <f ca="1">IFERROR(__xludf.DUMMYFUNCTION("""COMPUTED_VALUE"""),3)</f>
        <v>3</v>
      </c>
      <c r="BM185" s="4">
        <f ca="1">IFERROR(__xludf.DUMMYFUNCTION("""COMPUTED_VALUE"""),3)</f>
        <v>3</v>
      </c>
      <c r="BN185" s="4">
        <f ca="1">IFERROR(__xludf.DUMMYFUNCTION("""COMPUTED_VALUE"""),3)</f>
        <v>3</v>
      </c>
      <c r="BO185" s="4">
        <f ca="1">IFERROR(__xludf.DUMMYFUNCTION("""COMPUTED_VALUE"""),3)</f>
        <v>3</v>
      </c>
      <c r="BP185" s="4">
        <f ca="1">IFERROR(__xludf.DUMMYFUNCTION("""COMPUTED_VALUE"""),3)</f>
        <v>3</v>
      </c>
    </row>
    <row r="186" spans="1:68" ht="13.2" x14ac:dyDescent="0.25">
      <c r="A186" s="4" t="str">
        <f ca="1">IFERROR(__xludf.DUMMYFUNCTION("""COMPUTED_VALUE"""),"2_ABaOnudOy0cVsoLsRwcHa3gpu2A7ytGs9uzHCBL9AC98X6AHj0M6FdoehECJ6Qt2RA")</f>
        <v>2_ABaOnudOy0cVsoLsRwcHa3gpu2A7ytGs9uzHCBL9AC98X6AHj0M6FdoehECJ6Qt2RA</v>
      </c>
      <c r="B186" s="5">
        <f ca="1">IFERROR(__xludf.DUMMYFUNCTION("""COMPUTED_VALUE"""),45975.3944028703)</f>
        <v>45975.394402870297</v>
      </c>
      <c r="C186" s="4" t="str">
        <f ca="1">IFERROR(__xludf.DUMMYFUNCTION("""COMPUTED_VALUE"""),"Nguyễn Thị Thu Huyền")</f>
        <v>Nguyễn Thị Thu Huyền</v>
      </c>
      <c r="D186" s="4" t="str">
        <f ca="1">IFERROR(__xludf.DUMMYFUNCTION("""COMPUTED_VALUE"""),"Nữ")</f>
        <v>Nữ</v>
      </c>
      <c r="E186" s="4" t="str">
        <f ca="1">IFERROR(__xludf.DUMMYFUNCTION("""COMPUTED_VALUE"""),"Công ty TNHH Kết nối và Tư vấn Doanh nghiệp")</f>
        <v>Công ty TNHH Kết nối và Tư vấn Doanh nghiệp</v>
      </c>
      <c r="F186" s="4" t="str">
        <f ca="1">IFERROR(__xludf.DUMMYFUNCTION("""COMPUTED_VALUE"""),"Đại học, Chứng chỉ Kiểm toán viên")</f>
        <v>Đại học, Chứng chỉ Kiểm toán viên</v>
      </c>
      <c r="G186" s="4" t="str">
        <f ca="1">IFERROR(__xludf.DUMMYFUNCTION("""COMPUTED_VALUE"""),"Trên 15 đến 20 năm")</f>
        <v>Trên 15 đến 20 năm</v>
      </c>
      <c r="H186" s="4" t="str">
        <f ca="1">IFERROR(__xludf.DUMMYFUNCTION("""COMPUTED_VALUE"""),"Ban giám đốc")</f>
        <v>Ban giám đốc</v>
      </c>
      <c r="I186" s="4">
        <f ca="1">IFERROR(__xludf.DUMMYFUNCTION("""COMPUTED_VALUE"""),5)</f>
        <v>5</v>
      </c>
      <c r="J186" s="4">
        <f ca="1">IFERROR(__xludf.DUMMYFUNCTION("""COMPUTED_VALUE"""),5)</f>
        <v>5</v>
      </c>
      <c r="K186" s="4">
        <f ca="1">IFERROR(__xludf.DUMMYFUNCTION("""COMPUTED_VALUE"""),5)</f>
        <v>5</v>
      </c>
      <c r="L186" s="4">
        <f ca="1">IFERROR(__xludf.DUMMYFUNCTION("""COMPUTED_VALUE"""),5)</f>
        <v>5</v>
      </c>
      <c r="M186" s="4">
        <f ca="1">IFERROR(__xludf.DUMMYFUNCTION("""COMPUTED_VALUE"""),5)</f>
        <v>5</v>
      </c>
      <c r="N186" s="4">
        <f ca="1">IFERROR(__xludf.DUMMYFUNCTION("""COMPUTED_VALUE"""),4)</f>
        <v>4</v>
      </c>
      <c r="O186" s="4">
        <f ca="1">IFERROR(__xludf.DUMMYFUNCTION("""COMPUTED_VALUE"""),5)</f>
        <v>5</v>
      </c>
      <c r="P186" s="4">
        <f ca="1">IFERROR(__xludf.DUMMYFUNCTION("""COMPUTED_VALUE"""),5)</f>
        <v>5</v>
      </c>
      <c r="Q186" s="4">
        <f ca="1">IFERROR(__xludf.DUMMYFUNCTION("""COMPUTED_VALUE"""),5)</f>
        <v>5</v>
      </c>
      <c r="R186" s="4">
        <f ca="1">IFERROR(__xludf.DUMMYFUNCTION("""COMPUTED_VALUE"""),5)</f>
        <v>5</v>
      </c>
      <c r="S186" s="4">
        <f ca="1">IFERROR(__xludf.DUMMYFUNCTION("""COMPUTED_VALUE"""),5)</f>
        <v>5</v>
      </c>
      <c r="T186" s="4">
        <f ca="1">IFERROR(__xludf.DUMMYFUNCTION("""COMPUTED_VALUE"""),5)</f>
        <v>5</v>
      </c>
      <c r="U186" s="4">
        <f ca="1">IFERROR(__xludf.DUMMYFUNCTION("""COMPUTED_VALUE"""),5)</f>
        <v>5</v>
      </c>
      <c r="V186" s="4">
        <f ca="1">IFERROR(__xludf.DUMMYFUNCTION("""COMPUTED_VALUE"""),5)</f>
        <v>5</v>
      </c>
      <c r="W186" s="4">
        <f ca="1">IFERROR(__xludf.DUMMYFUNCTION("""COMPUTED_VALUE"""),5)</f>
        <v>5</v>
      </c>
      <c r="X186" s="4">
        <f ca="1">IFERROR(__xludf.DUMMYFUNCTION("""COMPUTED_VALUE"""),5)</f>
        <v>5</v>
      </c>
      <c r="Y186" s="4">
        <f ca="1">IFERROR(__xludf.DUMMYFUNCTION("""COMPUTED_VALUE"""),2)</f>
        <v>2</v>
      </c>
      <c r="Z186" s="4">
        <f ca="1">IFERROR(__xludf.DUMMYFUNCTION("""COMPUTED_VALUE"""),5)</f>
        <v>5</v>
      </c>
      <c r="AA186" s="4">
        <f ca="1">IFERROR(__xludf.DUMMYFUNCTION("""COMPUTED_VALUE"""),5)</f>
        <v>5</v>
      </c>
      <c r="AB186" s="4">
        <f ca="1">IFERROR(__xludf.DUMMYFUNCTION("""COMPUTED_VALUE"""),3)</f>
        <v>3</v>
      </c>
      <c r="AC186" s="4">
        <f ca="1">IFERROR(__xludf.DUMMYFUNCTION("""COMPUTED_VALUE"""),3)</f>
        <v>3</v>
      </c>
      <c r="AD186" s="4">
        <f ca="1">IFERROR(__xludf.DUMMYFUNCTION("""COMPUTED_VALUE"""),3)</f>
        <v>3</v>
      </c>
      <c r="AE186" s="4">
        <f ca="1">IFERROR(__xludf.DUMMYFUNCTION("""COMPUTED_VALUE"""),5)</f>
        <v>5</v>
      </c>
      <c r="AF186" s="4">
        <f ca="1">IFERROR(__xludf.DUMMYFUNCTION("""COMPUTED_VALUE"""),4)</f>
        <v>4</v>
      </c>
      <c r="AG186" s="4">
        <f ca="1">IFERROR(__xludf.DUMMYFUNCTION("""COMPUTED_VALUE"""),4)</f>
        <v>4</v>
      </c>
      <c r="AH186" s="4">
        <f ca="1">IFERROR(__xludf.DUMMYFUNCTION("""COMPUTED_VALUE"""),4)</f>
        <v>4</v>
      </c>
      <c r="AI186" s="4">
        <f ca="1">IFERROR(__xludf.DUMMYFUNCTION("""COMPUTED_VALUE"""),4)</f>
        <v>4</v>
      </c>
      <c r="AJ186" s="4">
        <f ca="1">IFERROR(__xludf.DUMMYFUNCTION("""COMPUTED_VALUE"""),5)</f>
        <v>5</v>
      </c>
      <c r="AK186" s="4">
        <f ca="1">IFERROR(__xludf.DUMMYFUNCTION("""COMPUTED_VALUE"""),5)</f>
        <v>5</v>
      </c>
      <c r="AL186" s="4">
        <f ca="1">IFERROR(__xludf.DUMMYFUNCTION("""COMPUTED_VALUE"""),5)</f>
        <v>5</v>
      </c>
      <c r="AM186" s="4">
        <f ca="1">IFERROR(__xludf.DUMMYFUNCTION("""COMPUTED_VALUE"""),5)</f>
        <v>5</v>
      </c>
      <c r="AN186" s="4">
        <f ca="1">IFERROR(__xludf.DUMMYFUNCTION("""COMPUTED_VALUE"""),5)</f>
        <v>5</v>
      </c>
      <c r="AO186" s="4">
        <f ca="1">IFERROR(__xludf.DUMMYFUNCTION("""COMPUTED_VALUE"""),4)</f>
        <v>4</v>
      </c>
      <c r="AP186" s="4">
        <f ca="1">IFERROR(__xludf.DUMMYFUNCTION("""COMPUTED_VALUE"""),4)</f>
        <v>4</v>
      </c>
      <c r="AQ186" s="4">
        <f ca="1">IFERROR(__xludf.DUMMYFUNCTION("""COMPUTED_VALUE"""),4)</f>
        <v>4</v>
      </c>
      <c r="AR186" s="4">
        <f ca="1">IFERROR(__xludf.DUMMYFUNCTION("""COMPUTED_VALUE"""),5)</f>
        <v>5</v>
      </c>
      <c r="AS186" s="4">
        <f ca="1">IFERROR(__xludf.DUMMYFUNCTION("""COMPUTED_VALUE"""),4)</f>
        <v>4</v>
      </c>
      <c r="AT186" s="4">
        <f ca="1">IFERROR(__xludf.DUMMYFUNCTION("""COMPUTED_VALUE"""),2)</f>
        <v>2</v>
      </c>
      <c r="AU186" s="4">
        <f ca="1">IFERROR(__xludf.DUMMYFUNCTION("""COMPUTED_VALUE"""),5)</f>
        <v>5</v>
      </c>
      <c r="AV186" s="4">
        <f ca="1">IFERROR(__xludf.DUMMYFUNCTION("""COMPUTED_VALUE"""),5)</f>
        <v>5</v>
      </c>
      <c r="AW186" s="4">
        <f ca="1">IFERROR(__xludf.DUMMYFUNCTION("""COMPUTED_VALUE"""),5)</f>
        <v>5</v>
      </c>
      <c r="AX186" s="4">
        <f ca="1">IFERROR(__xludf.DUMMYFUNCTION("""COMPUTED_VALUE"""),5)</f>
        <v>5</v>
      </c>
      <c r="AY186" s="4">
        <f ca="1">IFERROR(__xludf.DUMMYFUNCTION("""COMPUTED_VALUE"""),5)</f>
        <v>5</v>
      </c>
      <c r="AZ186" s="4">
        <f ca="1">IFERROR(__xludf.DUMMYFUNCTION("""COMPUTED_VALUE"""),5)</f>
        <v>5</v>
      </c>
      <c r="BA186" s="4">
        <f ca="1">IFERROR(__xludf.DUMMYFUNCTION("""COMPUTED_VALUE"""),5)</f>
        <v>5</v>
      </c>
      <c r="BB186" s="4">
        <f ca="1">IFERROR(__xludf.DUMMYFUNCTION("""COMPUTED_VALUE"""),4)</f>
        <v>4</v>
      </c>
      <c r="BC186" s="4">
        <f ca="1">IFERROR(__xludf.DUMMYFUNCTION("""COMPUTED_VALUE"""),4)</f>
        <v>4</v>
      </c>
      <c r="BD186" s="4">
        <f ca="1">IFERROR(__xludf.DUMMYFUNCTION("""COMPUTED_VALUE"""),4)</f>
        <v>4</v>
      </c>
      <c r="BE186" s="4">
        <f ca="1">IFERROR(__xludf.DUMMYFUNCTION("""COMPUTED_VALUE"""),3)</f>
        <v>3</v>
      </c>
      <c r="BF186" s="4">
        <f ca="1">IFERROR(__xludf.DUMMYFUNCTION("""COMPUTED_VALUE"""),3)</f>
        <v>3</v>
      </c>
      <c r="BG186" s="4">
        <f ca="1">IFERROR(__xludf.DUMMYFUNCTION("""COMPUTED_VALUE"""),3)</f>
        <v>3</v>
      </c>
      <c r="BH186" s="4">
        <f ca="1">IFERROR(__xludf.DUMMYFUNCTION("""COMPUTED_VALUE"""),4)</f>
        <v>4</v>
      </c>
      <c r="BI186" s="4">
        <f ca="1">IFERROR(__xludf.DUMMYFUNCTION("""COMPUTED_VALUE"""),4)</f>
        <v>4</v>
      </c>
      <c r="BJ186" s="4">
        <f ca="1">IFERROR(__xludf.DUMMYFUNCTION("""COMPUTED_VALUE"""),5)</f>
        <v>5</v>
      </c>
      <c r="BK186" s="4">
        <f ca="1">IFERROR(__xludf.DUMMYFUNCTION("""COMPUTED_VALUE"""),5)</f>
        <v>5</v>
      </c>
      <c r="BL186" s="4">
        <f ca="1">IFERROR(__xludf.DUMMYFUNCTION("""COMPUTED_VALUE"""),5)</f>
        <v>5</v>
      </c>
      <c r="BM186" s="4">
        <f ca="1">IFERROR(__xludf.DUMMYFUNCTION("""COMPUTED_VALUE"""),5)</f>
        <v>5</v>
      </c>
      <c r="BN186" s="4">
        <f ca="1">IFERROR(__xludf.DUMMYFUNCTION("""COMPUTED_VALUE"""),5)</f>
        <v>5</v>
      </c>
      <c r="BO186" s="4">
        <f ca="1">IFERROR(__xludf.DUMMYFUNCTION("""COMPUTED_VALUE"""),5)</f>
        <v>5</v>
      </c>
      <c r="BP186" s="4">
        <f ca="1">IFERROR(__xludf.DUMMYFUNCTION("""COMPUTED_VALUE"""),4)</f>
        <v>4</v>
      </c>
    </row>
    <row r="187" spans="1:68" ht="13.2" x14ac:dyDescent="0.25">
      <c r="A187" s="4" t="str">
        <f ca="1">IFERROR(__xludf.DUMMYFUNCTION("""COMPUTED_VALUE"""),"2_ABaOnudzuuGZ7T-_sNF35rWJzl6wbTngPcGI0DkwcXjCwpgEPH2iF2ZdJSR_8JDKcg")</f>
        <v>2_ABaOnudzuuGZ7T-_sNF35rWJzl6wbTngPcGI0DkwcXjCwpgEPH2iF2ZdJSR_8JDKcg</v>
      </c>
      <c r="B187" s="5">
        <f ca="1">IFERROR(__xludf.DUMMYFUNCTION("""COMPUTED_VALUE"""),45975.4004257754)</f>
        <v>45975.400425775399</v>
      </c>
      <c r="C187" s="4" t="str">
        <f ca="1">IFERROR(__xludf.DUMMYFUNCTION("""COMPUTED_VALUE"""),"Tô Đức Lợi")</f>
        <v>Tô Đức Lợi</v>
      </c>
      <c r="D187" s="4" t="str">
        <f ca="1">IFERROR(__xludf.DUMMYFUNCTION("""COMPUTED_VALUE"""),"Nam")</f>
        <v>Nam</v>
      </c>
      <c r="E187" s="4" t="str">
        <f ca="1">IFERROR(__xludf.DUMMYFUNCTION("""COMPUTED_VALUE"""),"Công ty TNHH Kiểm toán và Tư vấn A&amp;C - CN Tây Nam Bộ")</f>
        <v>Công ty TNHH Kiểm toán và Tư vấn A&amp;C - CN Tây Nam Bộ</v>
      </c>
      <c r="F187" s="4" t="str">
        <f ca="1">IFERROR(__xludf.DUMMYFUNCTION("""COMPUTED_VALUE"""),"Đại học")</f>
        <v>Đại học</v>
      </c>
      <c r="G187" s="4" t="str">
        <f ca="1">IFERROR(__xludf.DUMMYFUNCTION("""COMPUTED_VALUE"""),"Từ 3 đến 5 năm")</f>
        <v>Từ 3 đến 5 năm</v>
      </c>
      <c r="H187" s="4" t="str">
        <f ca="1">IFERROR(__xludf.DUMMYFUNCTION("""COMPUTED_VALUE"""),"Kiểm toán viên/Trưởng nhóm")</f>
        <v>Kiểm toán viên/Trưởng nhóm</v>
      </c>
      <c r="I187" s="4">
        <f ca="1">IFERROR(__xludf.DUMMYFUNCTION("""COMPUTED_VALUE"""),5)</f>
        <v>5</v>
      </c>
      <c r="J187" s="4">
        <f ca="1">IFERROR(__xludf.DUMMYFUNCTION("""COMPUTED_VALUE"""),5)</f>
        <v>5</v>
      </c>
      <c r="K187" s="4">
        <f ca="1">IFERROR(__xludf.DUMMYFUNCTION("""COMPUTED_VALUE"""),5)</f>
        <v>5</v>
      </c>
      <c r="L187" s="4">
        <f ca="1">IFERROR(__xludf.DUMMYFUNCTION("""COMPUTED_VALUE"""),5)</f>
        <v>5</v>
      </c>
      <c r="M187" s="4">
        <f ca="1">IFERROR(__xludf.DUMMYFUNCTION("""COMPUTED_VALUE"""),5)</f>
        <v>5</v>
      </c>
      <c r="N187" s="4">
        <f ca="1">IFERROR(__xludf.DUMMYFUNCTION("""COMPUTED_VALUE"""),5)</f>
        <v>5</v>
      </c>
      <c r="O187" s="4">
        <f ca="1">IFERROR(__xludf.DUMMYFUNCTION("""COMPUTED_VALUE"""),5)</f>
        <v>5</v>
      </c>
      <c r="P187" s="4">
        <f ca="1">IFERROR(__xludf.DUMMYFUNCTION("""COMPUTED_VALUE"""),5)</f>
        <v>5</v>
      </c>
      <c r="Q187" s="4">
        <f ca="1">IFERROR(__xludf.DUMMYFUNCTION("""COMPUTED_VALUE"""),5)</f>
        <v>5</v>
      </c>
      <c r="R187" s="4">
        <f ca="1">IFERROR(__xludf.DUMMYFUNCTION("""COMPUTED_VALUE"""),4)</f>
        <v>4</v>
      </c>
      <c r="S187" s="4">
        <f ca="1">IFERROR(__xludf.DUMMYFUNCTION("""COMPUTED_VALUE"""),4)</f>
        <v>4</v>
      </c>
      <c r="T187" s="4">
        <f ca="1">IFERROR(__xludf.DUMMYFUNCTION("""COMPUTED_VALUE"""),4)</f>
        <v>4</v>
      </c>
      <c r="U187" s="4">
        <f ca="1">IFERROR(__xludf.DUMMYFUNCTION("""COMPUTED_VALUE"""),4)</f>
        <v>4</v>
      </c>
      <c r="V187" s="4">
        <f ca="1">IFERROR(__xludf.DUMMYFUNCTION("""COMPUTED_VALUE"""),4)</f>
        <v>4</v>
      </c>
      <c r="W187" s="4">
        <f ca="1">IFERROR(__xludf.DUMMYFUNCTION("""COMPUTED_VALUE"""),4)</f>
        <v>4</v>
      </c>
      <c r="X187" s="4">
        <f ca="1">IFERROR(__xludf.DUMMYFUNCTION("""COMPUTED_VALUE"""),4)</f>
        <v>4</v>
      </c>
      <c r="Y187" s="4">
        <f ca="1">IFERROR(__xludf.DUMMYFUNCTION("""COMPUTED_VALUE"""),3)</f>
        <v>3</v>
      </c>
      <c r="Z187" s="4">
        <f ca="1">IFERROR(__xludf.DUMMYFUNCTION("""COMPUTED_VALUE"""),3)</f>
        <v>3</v>
      </c>
      <c r="AA187" s="4">
        <f ca="1">IFERROR(__xludf.DUMMYFUNCTION("""COMPUTED_VALUE"""),4)</f>
        <v>4</v>
      </c>
      <c r="AB187" s="4">
        <f ca="1">IFERROR(__xludf.DUMMYFUNCTION("""COMPUTED_VALUE"""),4)</f>
        <v>4</v>
      </c>
      <c r="AC187" s="4">
        <f ca="1">IFERROR(__xludf.DUMMYFUNCTION("""COMPUTED_VALUE"""),4)</f>
        <v>4</v>
      </c>
      <c r="AD187" s="4">
        <f ca="1">IFERROR(__xludf.DUMMYFUNCTION("""COMPUTED_VALUE"""),4)</f>
        <v>4</v>
      </c>
      <c r="AE187" s="4">
        <f ca="1">IFERROR(__xludf.DUMMYFUNCTION("""COMPUTED_VALUE"""),5)</f>
        <v>5</v>
      </c>
      <c r="AF187" s="4">
        <f ca="1">IFERROR(__xludf.DUMMYFUNCTION("""COMPUTED_VALUE"""),4)</f>
        <v>4</v>
      </c>
      <c r="AG187" s="4">
        <f ca="1">IFERROR(__xludf.DUMMYFUNCTION("""COMPUTED_VALUE"""),4)</f>
        <v>4</v>
      </c>
      <c r="AH187" s="4">
        <f ca="1">IFERROR(__xludf.DUMMYFUNCTION("""COMPUTED_VALUE"""),4)</f>
        <v>4</v>
      </c>
      <c r="AI187" s="4">
        <f ca="1">IFERROR(__xludf.DUMMYFUNCTION("""COMPUTED_VALUE"""),4)</f>
        <v>4</v>
      </c>
      <c r="AJ187" s="4">
        <f ca="1">IFERROR(__xludf.DUMMYFUNCTION("""COMPUTED_VALUE"""),4)</f>
        <v>4</v>
      </c>
      <c r="AK187" s="4">
        <f ca="1">IFERROR(__xludf.DUMMYFUNCTION("""COMPUTED_VALUE"""),4)</f>
        <v>4</v>
      </c>
      <c r="AL187" s="4">
        <f ca="1">IFERROR(__xludf.DUMMYFUNCTION("""COMPUTED_VALUE"""),4)</f>
        <v>4</v>
      </c>
      <c r="AM187" s="4">
        <f ca="1">IFERROR(__xludf.DUMMYFUNCTION("""COMPUTED_VALUE"""),4)</f>
        <v>4</v>
      </c>
      <c r="AN187" s="4">
        <f ca="1">IFERROR(__xludf.DUMMYFUNCTION("""COMPUTED_VALUE"""),4)</f>
        <v>4</v>
      </c>
      <c r="AO187" s="4">
        <f ca="1">IFERROR(__xludf.DUMMYFUNCTION("""COMPUTED_VALUE"""),5)</f>
        <v>5</v>
      </c>
      <c r="AP187" s="4">
        <f ca="1">IFERROR(__xludf.DUMMYFUNCTION("""COMPUTED_VALUE"""),5)</f>
        <v>5</v>
      </c>
      <c r="AQ187" s="4">
        <f ca="1">IFERROR(__xludf.DUMMYFUNCTION("""COMPUTED_VALUE"""),5)</f>
        <v>5</v>
      </c>
      <c r="AR187" s="4">
        <f ca="1">IFERROR(__xludf.DUMMYFUNCTION("""COMPUTED_VALUE"""),5)</f>
        <v>5</v>
      </c>
      <c r="AS187" s="4">
        <f ca="1">IFERROR(__xludf.DUMMYFUNCTION("""COMPUTED_VALUE"""),5)</f>
        <v>5</v>
      </c>
      <c r="AT187" s="4">
        <f ca="1">IFERROR(__xludf.DUMMYFUNCTION("""COMPUTED_VALUE"""),5)</f>
        <v>5</v>
      </c>
      <c r="AU187" s="4">
        <f ca="1">IFERROR(__xludf.DUMMYFUNCTION("""COMPUTED_VALUE"""),5)</f>
        <v>5</v>
      </c>
      <c r="AV187" s="4">
        <f ca="1">IFERROR(__xludf.DUMMYFUNCTION("""COMPUTED_VALUE"""),5)</f>
        <v>5</v>
      </c>
      <c r="AW187" s="4">
        <f ca="1">IFERROR(__xludf.DUMMYFUNCTION("""COMPUTED_VALUE"""),5)</f>
        <v>5</v>
      </c>
      <c r="AX187" s="4">
        <f ca="1">IFERROR(__xludf.DUMMYFUNCTION("""COMPUTED_VALUE"""),4)</f>
        <v>4</v>
      </c>
      <c r="AY187" s="4">
        <f ca="1">IFERROR(__xludf.DUMMYFUNCTION("""COMPUTED_VALUE"""),4)</f>
        <v>4</v>
      </c>
      <c r="AZ187" s="4">
        <f ca="1">IFERROR(__xludf.DUMMYFUNCTION("""COMPUTED_VALUE"""),4)</f>
        <v>4</v>
      </c>
      <c r="BA187" s="4">
        <f ca="1">IFERROR(__xludf.DUMMYFUNCTION("""COMPUTED_VALUE"""),4)</f>
        <v>4</v>
      </c>
      <c r="BB187" s="4">
        <f ca="1">IFERROR(__xludf.DUMMYFUNCTION("""COMPUTED_VALUE"""),3)</f>
        <v>3</v>
      </c>
      <c r="BC187" s="4">
        <f ca="1">IFERROR(__xludf.DUMMYFUNCTION("""COMPUTED_VALUE"""),3)</f>
        <v>3</v>
      </c>
      <c r="BD187" s="4">
        <f ca="1">IFERROR(__xludf.DUMMYFUNCTION("""COMPUTED_VALUE"""),3)</f>
        <v>3</v>
      </c>
      <c r="BE187" s="4">
        <f ca="1">IFERROR(__xludf.DUMMYFUNCTION("""COMPUTED_VALUE"""),3)</f>
        <v>3</v>
      </c>
      <c r="BF187" s="4">
        <f ca="1">IFERROR(__xludf.DUMMYFUNCTION("""COMPUTED_VALUE"""),4)</f>
        <v>4</v>
      </c>
      <c r="BG187" s="4">
        <f ca="1">IFERROR(__xludf.DUMMYFUNCTION("""COMPUTED_VALUE"""),4)</f>
        <v>4</v>
      </c>
      <c r="BH187" s="4">
        <f ca="1">IFERROR(__xludf.DUMMYFUNCTION("""COMPUTED_VALUE"""),4)</f>
        <v>4</v>
      </c>
      <c r="BI187" s="4">
        <f ca="1">IFERROR(__xludf.DUMMYFUNCTION("""COMPUTED_VALUE"""),4)</f>
        <v>4</v>
      </c>
      <c r="BJ187" s="4">
        <f ca="1">IFERROR(__xludf.DUMMYFUNCTION("""COMPUTED_VALUE"""),4)</f>
        <v>4</v>
      </c>
      <c r="BK187" s="4">
        <f ca="1">IFERROR(__xludf.DUMMYFUNCTION("""COMPUTED_VALUE"""),4)</f>
        <v>4</v>
      </c>
      <c r="BL187" s="4">
        <f ca="1">IFERROR(__xludf.DUMMYFUNCTION("""COMPUTED_VALUE"""),4)</f>
        <v>4</v>
      </c>
      <c r="BM187" s="4">
        <f ca="1">IFERROR(__xludf.DUMMYFUNCTION("""COMPUTED_VALUE"""),4)</f>
        <v>4</v>
      </c>
      <c r="BN187" s="4">
        <f ca="1">IFERROR(__xludf.DUMMYFUNCTION("""COMPUTED_VALUE"""),4)</f>
        <v>4</v>
      </c>
      <c r="BO187" s="4">
        <f ca="1">IFERROR(__xludf.DUMMYFUNCTION("""COMPUTED_VALUE"""),4)</f>
        <v>4</v>
      </c>
      <c r="BP187" s="4">
        <f ca="1">IFERROR(__xludf.DUMMYFUNCTION("""COMPUTED_VALUE"""),4)</f>
        <v>4</v>
      </c>
    </row>
    <row r="188" spans="1:68" ht="13.2" x14ac:dyDescent="0.25">
      <c r="A188" s="4" t="str">
        <f ca="1">IFERROR(__xludf.DUMMYFUNCTION("""COMPUTED_VALUE"""),"2_ABaOnueilSWqhhOp-3rNgFFAD_30D0agdhegyHPUefYCRQNIwuu9rHSJ7XSstzbd5A")</f>
        <v>2_ABaOnueilSWqhhOp-3rNgFFAD_30D0agdhegyHPUefYCRQNIwuu9rHSJ7XSstzbd5A</v>
      </c>
      <c r="B188" s="5">
        <f ca="1">IFERROR(__xludf.DUMMYFUNCTION("""COMPUTED_VALUE"""),45975.4045041319)</f>
        <v>45975.404504131897</v>
      </c>
      <c r="C188" s="4" t="str">
        <f ca="1">IFERROR(__xludf.DUMMYFUNCTION("""COMPUTED_VALUE"""),"Nguyễn Thị Thùy Trang")</f>
        <v>Nguyễn Thị Thùy Trang</v>
      </c>
      <c r="D188" s="4" t="str">
        <f ca="1">IFERROR(__xludf.DUMMYFUNCTION("""COMPUTED_VALUE"""),"Nữ")</f>
        <v>Nữ</v>
      </c>
      <c r="E188" s="4" t="str">
        <f ca="1">IFERROR(__xludf.DUMMYFUNCTION("""COMPUTED_VALUE"""),"Công ty TNHH Kiểm toán AFC Việt Nam")</f>
        <v>Công ty TNHH Kiểm toán AFC Việt Nam</v>
      </c>
      <c r="F188" s="4" t="str">
        <f ca="1">IFERROR(__xludf.DUMMYFUNCTION("""COMPUTED_VALUE"""),"Đại học, Chứng chỉ Kiểm toán viên")</f>
        <v>Đại học, Chứng chỉ Kiểm toán viên</v>
      </c>
      <c r="G188" s="4" t="str">
        <f ca="1">IFERROR(__xludf.DUMMYFUNCTION("""COMPUTED_VALUE"""),"Trên 15 đến 20 năm")</f>
        <v>Trên 15 đến 20 năm</v>
      </c>
      <c r="H188" s="4" t="str">
        <f ca="1">IFERROR(__xludf.DUMMYFUNCTION("""COMPUTED_VALUE"""),"Kiểm toán viên/Trưởng nhóm")</f>
        <v>Kiểm toán viên/Trưởng nhóm</v>
      </c>
      <c r="I188" s="4">
        <f ca="1">IFERROR(__xludf.DUMMYFUNCTION("""COMPUTED_VALUE"""),5)</f>
        <v>5</v>
      </c>
      <c r="J188" s="4">
        <f ca="1">IFERROR(__xludf.DUMMYFUNCTION("""COMPUTED_VALUE"""),5)</f>
        <v>5</v>
      </c>
      <c r="K188" s="4">
        <f ca="1">IFERROR(__xludf.DUMMYFUNCTION("""COMPUTED_VALUE"""),5)</f>
        <v>5</v>
      </c>
      <c r="L188" s="4">
        <f ca="1">IFERROR(__xludf.DUMMYFUNCTION("""COMPUTED_VALUE"""),5)</f>
        <v>5</v>
      </c>
      <c r="M188" s="4">
        <f ca="1">IFERROR(__xludf.DUMMYFUNCTION("""COMPUTED_VALUE"""),5)</f>
        <v>5</v>
      </c>
      <c r="N188" s="4">
        <f ca="1">IFERROR(__xludf.DUMMYFUNCTION("""COMPUTED_VALUE"""),4)</f>
        <v>4</v>
      </c>
      <c r="O188" s="4">
        <f ca="1">IFERROR(__xludf.DUMMYFUNCTION("""COMPUTED_VALUE"""),4)</f>
        <v>4</v>
      </c>
      <c r="P188" s="4">
        <f ca="1">IFERROR(__xludf.DUMMYFUNCTION("""COMPUTED_VALUE"""),4)</f>
        <v>4</v>
      </c>
      <c r="Q188" s="4">
        <f ca="1">IFERROR(__xludf.DUMMYFUNCTION("""COMPUTED_VALUE"""),4)</f>
        <v>4</v>
      </c>
      <c r="R188" s="4">
        <f ca="1">IFERROR(__xludf.DUMMYFUNCTION("""COMPUTED_VALUE"""),4)</f>
        <v>4</v>
      </c>
      <c r="S188" s="4">
        <f ca="1">IFERROR(__xludf.DUMMYFUNCTION("""COMPUTED_VALUE"""),4)</f>
        <v>4</v>
      </c>
      <c r="T188" s="4">
        <f ca="1">IFERROR(__xludf.DUMMYFUNCTION("""COMPUTED_VALUE"""),5)</f>
        <v>5</v>
      </c>
      <c r="U188" s="4">
        <f ca="1">IFERROR(__xludf.DUMMYFUNCTION("""COMPUTED_VALUE"""),5)</f>
        <v>5</v>
      </c>
      <c r="V188" s="4">
        <f ca="1">IFERROR(__xludf.DUMMYFUNCTION("""COMPUTED_VALUE"""),5)</f>
        <v>5</v>
      </c>
      <c r="W188" s="4">
        <f ca="1">IFERROR(__xludf.DUMMYFUNCTION("""COMPUTED_VALUE"""),4)</f>
        <v>4</v>
      </c>
      <c r="X188" s="4">
        <f ca="1">IFERROR(__xludf.DUMMYFUNCTION("""COMPUTED_VALUE"""),4)</f>
        <v>4</v>
      </c>
      <c r="Y188" s="4">
        <f ca="1">IFERROR(__xludf.DUMMYFUNCTION("""COMPUTED_VALUE"""),4)</f>
        <v>4</v>
      </c>
      <c r="Z188" s="4">
        <f ca="1">IFERROR(__xludf.DUMMYFUNCTION("""COMPUTED_VALUE"""),4)</f>
        <v>4</v>
      </c>
      <c r="AA188" s="4">
        <f ca="1">IFERROR(__xludf.DUMMYFUNCTION("""COMPUTED_VALUE"""),5)</f>
        <v>5</v>
      </c>
      <c r="AB188" s="4">
        <f ca="1">IFERROR(__xludf.DUMMYFUNCTION("""COMPUTED_VALUE"""),5)</f>
        <v>5</v>
      </c>
      <c r="AC188" s="4">
        <f ca="1">IFERROR(__xludf.DUMMYFUNCTION("""COMPUTED_VALUE"""),5)</f>
        <v>5</v>
      </c>
      <c r="AD188" s="4">
        <f ca="1">IFERROR(__xludf.DUMMYFUNCTION("""COMPUTED_VALUE"""),4)</f>
        <v>4</v>
      </c>
      <c r="AE188" s="4">
        <f ca="1">IFERROR(__xludf.DUMMYFUNCTION("""COMPUTED_VALUE"""),5)</f>
        <v>5</v>
      </c>
      <c r="AF188" s="4">
        <f ca="1">IFERROR(__xludf.DUMMYFUNCTION("""COMPUTED_VALUE"""),4)</f>
        <v>4</v>
      </c>
      <c r="AG188" s="4">
        <f ca="1">IFERROR(__xludf.DUMMYFUNCTION("""COMPUTED_VALUE"""),4)</f>
        <v>4</v>
      </c>
      <c r="AH188" s="4">
        <f ca="1">IFERROR(__xludf.DUMMYFUNCTION("""COMPUTED_VALUE"""),4)</f>
        <v>4</v>
      </c>
      <c r="AI188" s="4">
        <f ca="1">IFERROR(__xludf.DUMMYFUNCTION("""COMPUTED_VALUE"""),4)</f>
        <v>4</v>
      </c>
      <c r="AJ188" s="4">
        <f ca="1">IFERROR(__xludf.DUMMYFUNCTION("""COMPUTED_VALUE"""),2)</f>
        <v>2</v>
      </c>
      <c r="AK188" s="4">
        <f ca="1">IFERROR(__xludf.DUMMYFUNCTION("""COMPUTED_VALUE"""),3)</f>
        <v>3</v>
      </c>
      <c r="AL188" s="4">
        <f ca="1">IFERROR(__xludf.DUMMYFUNCTION("""COMPUTED_VALUE"""),3)</f>
        <v>3</v>
      </c>
      <c r="AM188" s="4">
        <f ca="1">IFERROR(__xludf.DUMMYFUNCTION("""COMPUTED_VALUE"""),4)</f>
        <v>4</v>
      </c>
      <c r="AN188" s="4">
        <f ca="1">IFERROR(__xludf.DUMMYFUNCTION("""COMPUTED_VALUE"""),2)</f>
        <v>2</v>
      </c>
      <c r="AO188" s="4">
        <f ca="1">IFERROR(__xludf.DUMMYFUNCTION("""COMPUTED_VALUE"""),3)</f>
        <v>3</v>
      </c>
      <c r="AP188" s="4">
        <f ca="1">IFERROR(__xludf.DUMMYFUNCTION("""COMPUTED_VALUE"""),3)</f>
        <v>3</v>
      </c>
      <c r="AQ188" s="4">
        <f ca="1">IFERROR(__xludf.DUMMYFUNCTION("""COMPUTED_VALUE"""),3)</f>
        <v>3</v>
      </c>
      <c r="AR188" s="4">
        <f ca="1">IFERROR(__xludf.DUMMYFUNCTION("""COMPUTED_VALUE"""),3)</f>
        <v>3</v>
      </c>
      <c r="AS188" s="4">
        <f ca="1">IFERROR(__xludf.DUMMYFUNCTION("""COMPUTED_VALUE"""),2)</f>
        <v>2</v>
      </c>
      <c r="AT188" s="4">
        <f ca="1">IFERROR(__xludf.DUMMYFUNCTION("""COMPUTED_VALUE"""),3)</f>
        <v>3</v>
      </c>
      <c r="AU188" s="4">
        <f ca="1">IFERROR(__xludf.DUMMYFUNCTION("""COMPUTED_VALUE"""),3)</f>
        <v>3</v>
      </c>
      <c r="AV188" s="4">
        <f ca="1">IFERROR(__xludf.DUMMYFUNCTION("""COMPUTED_VALUE"""),3)</f>
        <v>3</v>
      </c>
      <c r="AW188" s="4">
        <f ca="1">IFERROR(__xludf.DUMMYFUNCTION("""COMPUTED_VALUE"""),3)</f>
        <v>3</v>
      </c>
      <c r="AX188" s="4">
        <f ca="1">IFERROR(__xludf.DUMMYFUNCTION("""COMPUTED_VALUE"""),4)</f>
        <v>4</v>
      </c>
      <c r="AY188" s="4">
        <f ca="1">IFERROR(__xludf.DUMMYFUNCTION("""COMPUTED_VALUE"""),4)</f>
        <v>4</v>
      </c>
      <c r="AZ188" s="4">
        <f ca="1">IFERROR(__xludf.DUMMYFUNCTION("""COMPUTED_VALUE"""),4)</f>
        <v>4</v>
      </c>
      <c r="BA188" s="4">
        <f ca="1">IFERROR(__xludf.DUMMYFUNCTION("""COMPUTED_VALUE"""),3)</f>
        <v>3</v>
      </c>
      <c r="BB188" s="4">
        <f ca="1">IFERROR(__xludf.DUMMYFUNCTION("""COMPUTED_VALUE"""),4)</f>
        <v>4</v>
      </c>
      <c r="BC188" s="4">
        <f ca="1">IFERROR(__xludf.DUMMYFUNCTION("""COMPUTED_VALUE"""),4)</f>
        <v>4</v>
      </c>
      <c r="BD188" s="4">
        <f ca="1">IFERROR(__xludf.DUMMYFUNCTION("""COMPUTED_VALUE"""),4)</f>
        <v>4</v>
      </c>
      <c r="BE188" s="4">
        <f ca="1">IFERROR(__xludf.DUMMYFUNCTION("""COMPUTED_VALUE"""),4)</f>
        <v>4</v>
      </c>
      <c r="BF188" s="4">
        <f ca="1">IFERROR(__xludf.DUMMYFUNCTION("""COMPUTED_VALUE"""),3)</f>
        <v>3</v>
      </c>
      <c r="BG188" s="4">
        <f ca="1">IFERROR(__xludf.DUMMYFUNCTION("""COMPUTED_VALUE"""),3)</f>
        <v>3</v>
      </c>
      <c r="BH188" s="4">
        <f ca="1">IFERROR(__xludf.DUMMYFUNCTION("""COMPUTED_VALUE"""),4)</f>
        <v>4</v>
      </c>
      <c r="BI188" s="4">
        <f ca="1">IFERROR(__xludf.DUMMYFUNCTION("""COMPUTED_VALUE"""),4)</f>
        <v>4</v>
      </c>
      <c r="BJ188" s="4">
        <f ca="1">IFERROR(__xludf.DUMMYFUNCTION("""COMPUTED_VALUE"""),5)</f>
        <v>5</v>
      </c>
      <c r="BK188" s="4">
        <f ca="1">IFERROR(__xludf.DUMMYFUNCTION("""COMPUTED_VALUE"""),4)</f>
        <v>4</v>
      </c>
      <c r="BL188" s="4">
        <f ca="1">IFERROR(__xludf.DUMMYFUNCTION("""COMPUTED_VALUE"""),5)</f>
        <v>5</v>
      </c>
      <c r="BM188" s="4">
        <f ca="1">IFERROR(__xludf.DUMMYFUNCTION("""COMPUTED_VALUE"""),4)</f>
        <v>4</v>
      </c>
      <c r="BN188" s="4">
        <f ca="1">IFERROR(__xludf.DUMMYFUNCTION("""COMPUTED_VALUE"""),4)</f>
        <v>4</v>
      </c>
      <c r="BO188" s="4">
        <f ca="1">IFERROR(__xludf.DUMMYFUNCTION("""COMPUTED_VALUE"""),4)</f>
        <v>4</v>
      </c>
      <c r="BP188" s="4">
        <f ca="1">IFERROR(__xludf.DUMMYFUNCTION("""COMPUTED_VALUE"""),3)</f>
        <v>3</v>
      </c>
    </row>
    <row r="189" spans="1:68" ht="13.2" x14ac:dyDescent="0.25">
      <c r="A189" s="4" t="str">
        <f ca="1">IFERROR(__xludf.DUMMYFUNCTION("""COMPUTED_VALUE"""),"2_ABaOnucBkT9j2m24FVk76mcsIYf2gTO0x0ihs9mZ74TLNvd2b8xABkm8A8jSyMfygQ")</f>
        <v>2_ABaOnucBkT9j2m24FVk76mcsIYf2gTO0x0ihs9mZ74TLNvd2b8xABkm8A8jSyMfygQ</v>
      </c>
      <c r="B189" s="5">
        <f ca="1">IFERROR(__xludf.DUMMYFUNCTION("""COMPUTED_VALUE"""),45975.4176067939)</f>
        <v>45975.417606793897</v>
      </c>
      <c r="C189" s="4" t="str">
        <f ca="1">IFERROR(__xludf.DUMMYFUNCTION("""COMPUTED_VALUE"""),"Nguyễn Thị Cẩm Thu")</f>
        <v>Nguyễn Thị Cẩm Thu</v>
      </c>
      <c r="D189" s="4" t="str">
        <f ca="1">IFERROR(__xludf.DUMMYFUNCTION("""COMPUTED_VALUE"""),"Nữ")</f>
        <v>Nữ</v>
      </c>
      <c r="E189" s="4" t="str">
        <f ca="1">IFERROR(__xludf.DUMMYFUNCTION("""COMPUTED_VALUE"""),"Công ty TNHH Kiểm toán và Tư vấn A&amp;C CN Tây Nam Bộ")</f>
        <v>Công ty TNHH Kiểm toán và Tư vấn A&amp;C CN Tây Nam Bộ</v>
      </c>
      <c r="F189" s="4" t="str">
        <f ca="1">IFERROR(__xludf.DUMMYFUNCTION("""COMPUTED_VALUE"""),"Đại học")</f>
        <v>Đại học</v>
      </c>
      <c r="G189" s="4" t="str">
        <f ca="1">IFERROR(__xludf.DUMMYFUNCTION("""COMPUTED_VALUE"""),"Từ 3 đến 5 năm")</f>
        <v>Từ 3 đến 5 năm</v>
      </c>
      <c r="H189" s="4" t="str">
        <f ca="1">IFERROR(__xludf.DUMMYFUNCTION("""COMPUTED_VALUE"""),"Kiểm toán viên/Trưởng nhóm")</f>
        <v>Kiểm toán viên/Trưởng nhóm</v>
      </c>
      <c r="I189" s="4">
        <f ca="1">IFERROR(__xludf.DUMMYFUNCTION("""COMPUTED_VALUE"""),5)</f>
        <v>5</v>
      </c>
      <c r="J189" s="4">
        <f ca="1">IFERROR(__xludf.DUMMYFUNCTION("""COMPUTED_VALUE"""),4)</f>
        <v>4</v>
      </c>
      <c r="K189" s="4">
        <f ca="1">IFERROR(__xludf.DUMMYFUNCTION("""COMPUTED_VALUE"""),4)</f>
        <v>4</v>
      </c>
      <c r="L189" s="4">
        <f ca="1">IFERROR(__xludf.DUMMYFUNCTION("""COMPUTED_VALUE"""),4)</f>
        <v>4</v>
      </c>
      <c r="M189" s="4">
        <f ca="1">IFERROR(__xludf.DUMMYFUNCTION("""COMPUTED_VALUE"""),4)</f>
        <v>4</v>
      </c>
      <c r="N189" s="4">
        <f ca="1">IFERROR(__xludf.DUMMYFUNCTION("""COMPUTED_VALUE"""),5)</f>
        <v>5</v>
      </c>
      <c r="O189" s="4">
        <f ca="1">IFERROR(__xludf.DUMMYFUNCTION("""COMPUTED_VALUE"""),5)</f>
        <v>5</v>
      </c>
      <c r="P189" s="4">
        <f ca="1">IFERROR(__xludf.DUMMYFUNCTION("""COMPUTED_VALUE"""),4)</f>
        <v>4</v>
      </c>
      <c r="Q189" s="4">
        <f ca="1">IFERROR(__xludf.DUMMYFUNCTION("""COMPUTED_VALUE"""),4)</f>
        <v>4</v>
      </c>
      <c r="R189" s="4">
        <f ca="1">IFERROR(__xludf.DUMMYFUNCTION("""COMPUTED_VALUE"""),4)</f>
        <v>4</v>
      </c>
      <c r="S189" s="4">
        <f ca="1">IFERROR(__xludf.DUMMYFUNCTION("""COMPUTED_VALUE"""),4)</f>
        <v>4</v>
      </c>
      <c r="T189" s="4">
        <f ca="1">IFERROR(__xludf.DUMMYFUNCTION("""COMPUTED_VALUE"""),4)</f>
        <v>4</v>
      </c>
      <c r="U189" s="4">
        <f ca="1">IFERROR(__xludf.DUMMYFUNCTION("""COMPUTED_VALUE"""),4)</f>
        <v>4</v>
      </c>
      <c r="V189" s="4">
        <f ca="1">IFERROR(__xludf.DUMMYFUNCTION("""COMPUTED_VALUE"""),4)</f>
        <v>4</v>
      </c>
      <c r="W189" s="4">
        <f ca="1">IFERROR(__xludf.DUMMYFUNCTION("""COMPUTED_VALUE"""),4)</f>
        <v>4</v>
      </c>
      <c r="X189" s="4">
        <f ca="1">IFERROR(__xludf.DUMMYFUNCTION("""COMPUTED_VALUE"""),4)</f>
        <v>4</v>
      </c>
      <c r="Y189" s="4">
        <f ca="1">IFERROR(__xludf.DUMMYFUNCTION("""COMPUTED_VALUE"""),3)</f>
        <v>3</v>
      </c>
      <c r="Z189" s="4">
        <f ca="1">IFERROR(__xludf.DUMMYFUNCTION("""COMPUTED_VALUE"""),4)</f>
        <v>4</v>
      </c>
      <c r="AA189" s="4">
        <f ca="1">IFERROR(__xludf.DUMMYFUNCTION("""COMPUTED_VALUE"""),4)</f>
        <v>4</v>
      </c>
      <c r="AB189" s="4">
        <f ca="1">IFERROR(__xludf.DUMMYFUNCTION("""COMPUTED_VALUE"""),3)</f>
        <v>3</v>
      </c>
      <c r="AC189" s="4">
        <f ca="1">IFERROR(__xludf.DUMMYFUNCTION("""COMPUTED_VALUE"""),3)</f>
        <v>3</v>
      </c>
      <c r="AD189" s="4">
        <f ca="1">IFERROR(__xludf.DUMMYFUNCTION("""COMPUTED_VALUE"""),2)</f>
        <v>2</v>
      </c>
      <c r="AE189" s="4">
        <f ca="1">IFERROR(__xludf.DUMMYFUNCTION("""COMPUTED_VALUE"""),3)</f>
        <v>3</v>
      </c>
      <c r="AF189" s="4">
        <f ca="1">IFERROR(__xludf.DUMMYFUNCTION("""COMPUTED_VALUE"""),4)</f>
        <v>4</v>
      </c>
      <c r="AG189" s="4">
        <f ca="1">IFERROR(__xludf.DUMMYFUNCTION("""COMPUTED_VALUE"""),4)</f>
        <v>4</v>
      </c>
      <c r="AH189" s="4">
        <f ca="1">IFERROR(__xludf.DUMMYFUNCTION("""COMPUTED_VALUE"""),4)</f>
        <v>4</v>
      </c>
      <c r="AI189" s="4">
        <f ca="1">IFERROR(__xludf.DUMMYFUNCTION("""COMPUTED_VALUE"""),4)</f>
        <v>4</v>
      </c>
      <c r="AJ189" s="4">
        <f ca="1">IFERROR(__xludf.DUMMYFUNCTION("""COMPUTED_VALUE"""),4)</f>
        <v>4</v>
      </c>
      <c r="AK189" s="4">
        <f ca="1">IFERROR(__xludf.DUMMYFUNCTION("""COMPUTED_VALUE"""),4)</f>
        <v>4</v>
      </c>
      <c r="AL189" s="4">
        <f ca="1">IFERROR(__xludf.DUMMYFUNCTION("""COMPUTED_VALUE"""),4)</f>
        <v>4</v>
      </c>
      <c r="AM189" s="4">
        <f ca="1">IFERROR(__xludf.DUMMYFUNCTION("""COMPUTED_VALUE"""),4)</f>
        <v>4</v>
      </c>
      <c r="AN189" s="4">
        <f ca="1">IFERROR(__xludf.DUMMYFUNCTION("""COMPUTED_VALUE"""),4)</f>
        <v>4</v>
      </c>
      <c r="AO189" s="4">
        <f ca="1">IFERROR(__xludf.DUMMYFUNCTION("""COMPUTED_VALUE"""),4)</f>
        <v>4</v>
      </c>
      <c r="AP189" s="4">
        <f ca="1">IFERROR(__xludf.DUMMYFUNCTION("""COMPUTED_VALUE"""),4)</f>
        <v>4</v>
      </c>
      <c r="AQ189" s="4">
        <f ca="1">IFERROR(__xludf.DUMMYFUNCTION("""COMPUTED_VALUE"""),4)</f>
        <v>4</v>
      </c>
      <c r="AR189" s="4">
        <f ca="1">IFERROR(__xludf.DUMMYFUNCTION("""COMPUTED_VALUE"""),4)</f>
        <v>4</v>
      </c>
      <c r="AS189" s="4">
        <f ca="1">IFERROR(__xludf.DUMMYFUNCTION("""COMPUTED_VALUE"""),4)</f>
        <v>4</v>
      </c>
      <c r="AT189" s="4">
        <f ca="1">IFERROR(__xludf.DUMMYFUNCTION("""COMPUTED_VALUE"""),4)</f>
        <v>4</v>
      </c>
      <c r="AU189" s="4">
        <f ca="1">IFERROR(__xludf.DUMMYFUNCTION("""COMPUTED_VALUE"""),4)</f>
        <v>4</v>
      </c>
      <c r="AV189" s="4">
        <f ca="1">IFERROR(__xludf.DUMMYFUNCTION("""COMPUTED_VALUE"""),4)</f>
        <v>4</v>
      </c>
      <c r="AW189" s="4">
        <f ca="1">IFERROR(__xludf.DUMMYFUNCTION("""COMPUTED_VALUE"""),4)</f>
        <v>4</v>
      </c>
      <c r="AX189" s="4">
        <f ca="1">IFERROR(__xludf.DUMMYFUNCTION("""COMPUTED_VALUE"""),4)</f>
        <v>4</v>
      </c>
      <c r="AY189" s="4">
        <f ca="1">IFERROR(__xludf.DUMMYFUNCTION("""COMPUTED_VALUE"""),5)</f>
        <v>5</v>
      </c>
      <c r="AZ189" s="4">
        <f ca="1">IFERROR(__xludf.DUMMYFUNCTION("""COMPUTED_VALUE"""),4)</f>
        <v>4</v>
      </c>
      <c r="BA189" s="4">
        <f ca="1">IFERROR(__xludf.DUMMYFUNCTION("""COMPUTED_VALUE"""),4)</f>
        <v>4</v>
      </c>
      <c r="BB189" s="4">
        <f ca="1">IFERROR(__xludf.DUMMYFUNCTION("""COMPUTED_VALUE"""),4)</f>
        <v>4</v>
      </c>
      <c r="BC189" s="4">
        <f ca="1">IFERROR(__xludf.DUMMYFUNCTION("""COMPUTED_VALUE"""),2)</f>
        <v>2</v>
      </c>
      <c r="BD189" s="4">
        <f ca="1">IFERROR(__xludf.DUMMYFUNCTION("""COMPUTED_VALUE"""),3)</f>
        <v>3</v>
      </c>
      <c r="BE189" s="4">
        <f ca="1">IFERROR(__xludf.DUMMYFUNCTION("""COMPUTED_VALUE"""),2)</f>
        <v>2</v>
      </c>
      <c r="BF189" s="4">
        <f ca="1">IFERROR(__xludf.DUMMYFUNCTION("""COMPUTED_VALUE"""),3)</f>
        <v>3</v>
      </c>
      <c r="BG189" s="4">
        <f ca="1">IFERROR(__xludf.DUMMYFUNCTION("""COMPUTED_VALUE"""),3)</f>
        <v>3</v>
      </c>
      <c r="BH189" s="4">
        <f ca="1">IFERROR(__xludf.DUMMYFUNCTION("""COMPUTED_VALUE"""),4)</f>
        <v>4</v>
      </c>
      <c r="BI189" s="4">
        <f ca="1">IFERROR(__xludf.DUMMYFUNCTION("""COMPUTED_VALUE"""),2)</f>
        <v>2</v>
      </c>
      <c r="BJ189" s="4">
        <f ca="1">IFERROR(__xludf.DUMMYFUNCTION("""COMPUTED_VALUE"""),3)</f>
        <v>3</v>
      </c>
      <c r="BK189" s="4">
        <f ca="1">IFERROR(__xludf.DUMMYFUNCTION("""COMPUTED_VALUE"""),4)</f>
        <v>4</v>
      </c>
      <c r="BL189" s="4">
        <f ca="1">IFERROR(__xludf.DUMMYFUNCTION("""COMPUTED_VALUE"""),4)</f>
        <v>4</v>
      </c>
      <c r="BM189" s="4">
        <f ca="1">IFERROR(__xludf.DUMMYFUNCTION("""COMPUTED_VALUE"""),4)</f>
        <v>4</v>
      </c>
      <c r="BN189" s="4">
        <f ca="1">IFERROR(__xludf.DUMMYFUNCTION("""COMPUTED_VALUE"""),4)</f>
        <v>4</v>
      </c>
      <c r="BO189" s="4">
        <f ca="1">IFERROR(__xludf.DUMMYFUNCTION("""COMPUTED_VALUE"""),4)</f>
        <v>4</v>
      </c>
      <c r="BP189" s="4">
        <f ca="1">IFERROR(__xludf.DUMMYFUNCTION("""COMPUTED_VALUE"""),4)</f>
        <v>4</v>
      </c>
    </row>
    <row r="190" spans="1:68" ht="13.2" x14ac:dyDescent="0.25">
      <c r="A190" s="4" t="str">
        <f ca="1">IFERROR(__xludf.DUMMYFUNCTION("""COMPUTED_VALUE"""),"2_ABaOnucq_hKaSTEE6oBHjh6Zl9uhXLmmZJMw9cAcbJCIkacC1nh87rcWB_sySHV8NA")</f>
        <v>2_ABaOnucq_hKaSTEE6oBHjh6Zl9uhXLmmZJMw9cAcbJCIkacC1nh87rcWB_sySHV8NA</v>
      </c>
      <c r="B190" s="5">
        <f ca="1">IFERROR(__xludf.DUMMYFUNCTION("""COMPUTED_VALUE"""),45975.492149375)</f>
        <v>45975.492149375001</v>
      </c>
      <c r="C190" s="4" t="str">
        <f ca="1">IFERROR(__xludf.DUMMYFUNCTION("""COMPUTED_VALUE"""),"Nguyễn Xuân Cương")</f>
        <v>Nguyễn Xuân Cương</v>
      </c>
      <c r="D190" s="4" t="str">
        <f ca="1">IFERROR(__xludf.DUMMYFUNCTION("""COMPUTED_VALUE"""),"Nam")</f>
        <v>Nam</v>
      </c>
      <c r="E190" s="4" t="str">
        <f ca="1">IFERROR(__xludf.DUMMYFUNCTION("""COMPUTED_VALUE"""),"Parker Russell Vietnam")</f>
        <v>Parker Russell Vietnam</v>
      </c>
      <c r="F190" s="4" t="str">
        <f ca="1">IFERROR(__xludf.DUMMYFUNCTION("""COMPUTED_VALUE"""),"Chứng chỉ Kiểm toán viên")</f>
        <v>Chứng chỉ Kiểm toán viên</v>
      </c>
      <c r="G190" s="4" t="str">
        <f ca="1">IFERROR(__xludf.DUMMYFUNCTION("""COMPUTED_VALUE"""),"Trên 10 đến 15 năm")</f>
        <v>Trên 10 đến 15 năm</v>
      </c>
      <c r="H190" s="4" t="str">
        <f ca="1">IFERROR(__xludf.DUMMYFUNCTION("""COMPUTED_VALUE"""),"Ban giám đốc")</f>
        <v>Ban giám đốc</v>
      </c>
      <c r="I190" s="4">
        <f ca="1">IFERROR(__xludf.DUMMYFUNCTION("""COMPUTED_VALUE"""),5)</f>
        <v>5</v>
      </c>
      <c r="J190" s="4">
        <f ca="1">IFERROR(__xludf.DUMMYFUNCTION("""COMPUTED_VALUE"""),5)</f>
        <v>5</v>
      </c>
      <c r="K190" s="4">
        <f ca="1">IFERROR(__xludf.DUMMYFUNCTION("""COMPUTED_VALUE"""),5)</f>
        <v>5</v>
      </c>
      <c r="L190" s="4">
        <f ca="1">IFERROR(__xludf.DUMMYFUNCTION("""COMPUTED_VALUE"""),5)</f>
        <v>5</v>
      </c>
      <c r="M190" s="4">
        <f ca="1">IFERROR(__xludf.DUMMYFUNCTION("""COMPUTED_VALUE"""),5)</f>
        <v>5</v>
      </c>
      <c r="N190" s="4">
        <f ca="1">IFERROR(__xludf.DUMMYFUNCTION("""COMPUTED_VALUE"""),5)</f>
        <v>5</v>
      </c>
      <c r="O190" s="4">
        <f ca="1">IFERROR(__xludf.DUMMYFUNCTION("""COMPUTED_VALUE"""),5)</f>
        <v>5</v>
      </c>
      <c r="P190" s="4">
        <f ca="1">IFERROR(__xludf.DUMMYFUNCTION("""COMPUTED_VALUE"""),5)</f>
        <v>5</v>
      </c>
      <c r="Q190" s="4">
        <f ca="1">IFERROR(__xludf.DUMMYFUNCTION("""COMPUTED_VALUE"""),5)</f>
        <v>5</v>
      </c>
      <c r="R190" s="4">
        <f ca="1">IFERROR(__xludf.DUMMYFUNCTION("""COMPUTED_VALUE"""),5)</f>
        <v>5</v>
      </c>
      <c r="S190" s="4">
        <f ca="1">IFERROR(__xludf.DUMMYFUNCTION("""COMPUTED_VALUE"""),5)</f>
        <v>5</v>
      </c>
      <c r="T190" s="4">
        <f ca="1">IFERROR(__xludf.DUMMYFUNCTION("""COMPUTED_VALUE"""),5)</f>
        <v>5</v>
      </c>
      <c r="U190" s="4">
        <f ca="1">IFERROR(__xludf.DUMMYFUNCTION("""COMPUTED_VALUE"""),5)</f>
        <v>5</v>
      </c>
      <c r="V190" s="4">
        <f ca="1">IFERROR(__xludf.DUMMYFUNCTION("""COMPUTED_VALUE"""),5)</f>
        <v>5</v>
      </c>
      <c r="W190" s="4">
        <f ca="1">IFERROR(__xludf.DUMMYFUNCTION("""COMPUTED_VALUE"""),5)</f>
        <v>5</v>
      </c>
      <c r="X190" s="4">
        <f ca="1">IFERROR(__xludf.DUMMYFUNCTION("""COMPUTED_VALUE"""),5)</f>
        <v>5</v>
      </c>
      <c r="Y190" s="4">
        <f ca="1">IFERROR(__xludf.DUMMYFUNCTION("""COMPUTED_VALUE"""),5)</f>
        <v>5</v>
      </c>
      <c r="Z190" s="4">
        <f ca="1">IFERROR(__xludf.DUMMYFUNCTION("""COMPUTED_VALUE"""),5)</f>
        <v>5</v>
      </c>
      <c r="AA190" s="4">
        <f ca="1">IFERROR(__xludf.DUMMYFUNCTION("""COMPUTED_VALUE"""),5)</f>
        <v>5</v>
      </c>
      <c r="AB190" s="4">
        <f ca="1">IFERROR(__xludf.DUMMYFUNCTION("""COMPUTED_VALUE"""),5)</f>
        <v>5</v>
      </c>
      <c r="AC190" s="4">
        <f ca="1">IFERROR(__xludf.DUMMYFUNCTION("""COMPUTED_VALUE"""),5)</f>
        <v>5</v>
      </c>
      <c r="AD190" s="4">
        <f ca="1">IFERROR(__xludf.DUMMYFUNCTION("""COMPUTED_VALUE"""),5)</f>
        <v>5</v>
      </c>
      <c r="AE190" s="4">
        <f ca="1">IFERROR(__xludf.DUMMYFUNCTION("""COMPUTED_VALUE"""),5)</f>
        <v>5</v>
      </c>
      <c r="AF190" s="4">
        <f ca="1">IFERROR(__xludf.DUMMYFUNCTION("""COMPUTED_VALUE"""),5)</f>
        <v>5</v>
      </c>
      <c r="AG190" s="4">
        <f ca="1">IFERROR(__xludf.DUMMYFUNCTION("""COMPUTED_VALUE"""),5)</f>
        <v>5</v>
      </c>
      <c r="AH190" s="4">
        <f ca="1">IFERROR(__xludf.DUMMYFUNCTION("""COMPUTED_VALUE"""),5)</f>
        <v>5</v>
      </c>
      <c r="AI190" s="4">
        <f ca="1">IFERROR(__xludf.DUMMYFUNCTION("""COMPUTED_VALUE"""),5)</f>
        <v>5</v>
      </c>
      <c r="AJ190" s="4">
        <f ca="1">IFERROR(__xludf.DUMMYFUNCTION("""COMPUTED_VALUE"""),3)</f>
        <v>3</v>
      </c>
      <c r="AK190" s="4">
        <f ca="1">IFERROR(__xludf.DUMMYFUNCTION("""COMPUTED_VALUE"""),5)</f>
        <v>5</v>
      </c>
      <c r="AL190" s="4">
        <f ca="1">IFERROR(__xludf.DUMMYFUNCTION("""COMPUTED_VALUE"""),3)</f>
        <v>3</v>
      </c>
      <c r="AM190" s="4">
        <f ca="1">IFERROR(__xludf.DUMMYFUNCTION("""COMPUTED_VALUE"""),3)</f>
        <v>3</v>
      </c>
      <c r="AN190" s="4">
        <f ca="1">IFERROR(__xludf.DUMMYFUNCTION("""COMPUTED_VALUE"""),3)</f>
        <v>3</v>
      </c>
      <c r="AO190" s="4">
        <f ca="1">IFERROR(__xludf.DUMMYFUNCTION("""COMPUTED_VALUE"""),4)</f>
        <v>4</v>
      </c>
      <c r="AP190" s="4">
        <f ca="1">IFERROR(__xludf.DUMMYFUNCTION("""COMPUTED_VALUE"""),4)</f>
        <v>4</v>
      </c>
      <c r="AQ190" s="4">
        <f ca="1">IFERROR(__xludf.DUMMYFUNCTION("""COMPUTED_VALUE"""),4)</f>
        <v>4</v>
      </c>
      <c r="AR190" s="4">
        <f ca="1">IFERROR(__xludf.DUMMYFUNCTION("""COMPUTED_VALUE"""),4)</f>
        <v>4</v>
      </c>
      <c r="AS190" s="4">
        <f ca="1">IFERROR(__xludf.DUMMYFUNCTION("""COMPUTED_VALUE"""),4)</f>
        <v>4</v>
      </c>
      <c r="AT190" s="4">
        <f ca="1">IFERROR(__xludf.DUMMYFUNCTION("""COMPUTED_VALUE"""),3)</f>
        <v>3</v>
      </c>
      <c r="AU190" s="4">
        <f ca="1">IFERROR(__xludf.DUMMYFUNCTION("""COMPUTED_VALUE"""),3)</f>
        <v>3</v>
      </c>
      <c r="AV190" s="4">
        <f ca="1">IFERROR(__xludf.DUMMYFUNCTION("""COMPUTED_VALUE"""),3)</f>
        <v>3</v>
      </c>
      <c r="AW190" s="4">
        <f ca="1">IFERROR(__xludf.DUMMYFUNCTION("""COMPUTED_VALUE"""),3)</f>
        <v>3</v>
      </c>
      <c r="AX190" s="4">
        <f ca="1">IFERROR(__xludf.DUMMYFUNCTION("""COMPUTED_VALUE"""),5)</f>
        <v>5</v>
      </c>
      <c r="AY190" s="4">
        <f ca="1">IFERROR(__xludf.DUMMYFUNCTION("""COMPUTED_VALUE"""),5)</f>
        <v>5</v>
      </c>
      <c r="AZ190" s="4">
        <f ca="1">IFERROR(__xludf.DUMMYFUNCTION("""COMPUTED_VALUE"""),5)</f>
        <v>5</v>
      </c>
      <c r="BA190" s="4">
        <f ca="1">IFERROR(__xludf.DUMMYFUNCTION("""COMPUTED_VALUE"""),5)</f>
        <v>5</v>
      </c>
      <c r="BB190" s="4">
        <f ca="1">IFERROR(__xludf.DUMMYFUNCTION("""COMPUTED_VALUE"""),5)</f>
        <v>5</v>
      </c>
      <c r="BC190" s="4">
        <f ca="1">IFERROR(__xludf.DUMMYFUNCTION("""COMPUTED_VALUE"""),5)</f>
        <v>5</v>
      </c>
      <c r="BD190" s="4">
        <f ca="1">IFERROR(__xludf.DUMMYFUNCTION("""COMPUTED_VALUE"""),5)</f>
        <v>5</v>
      </c>
      <c r="BE190" s="4">
        <f ca="1">IFERROR(__xludf.DUMMYFUNCTION("""COMPUTED_VALUE"""),5)</f>
        <v>5</v>
      </c>
      <c r="BF190" s="4">
        <f ca="1">IFERROR(__xludf.DUMMYFUNCTION("""COMPUTED_VALUE"""),5)</f>
        <v>5</v>
      </c>
      <c r="BG190" s="4">
        <f ca="1">IFERROR(__xludf.DUMMYFUNCTION("""COMPUTED_VALUE"""),5)</f>
        <v>5</v>
      </c>
      <c r="BH190" s="4">
        <f ca="1">IFERROR(__xludf.DUMMYFUNCTION("""COMPUTED_VALUE"""),5)</f>
        <v>5</v>
      </c>
      <c r="BI190" s="4">
        <f ca="1">IFERROR(__xludf.DUMMYFUNCTION("""COMPUTED_VALUE"""),5)</f>
        <v>5</v>
      </c>
      <c r="BJ190" s="4">
        <f ca="1">IFERROR(__xludf.DUMMYFUNCTION("""COMPUTED_VALUE"""),5)</f>
        <v>5</v>
      </c>
      <c r="BK190" s="4">
        <f ca="1">IFERROR(__xludf.DUMMYFUNCTION("""COMPUTED_VALUE"""),4)</f>
        <v>4</v>
      </c>
      <c r="BL190" s="4">
        <f ca="1">IFERROR(__xludf.DUMMYFUNCTION("""COMPUTED_VALUE"""),5)</f>
        <v>5</v>
      </c>
      <c r="BM190" s="4">
        <f ca="1">IFERROR(__xludf.DUMMYFUNCTION("""COMPUTED_VALUE"""),5)</f>
        <v>5</v>
      </c>
      <c r="BN190" s="4">
        <f ca="1">IFERROR(__xludf.DUMMYFUNCTION("""COMPUTED_VALUE"""),5)</f>
        <v>5</v>
      </c>
      <c r="BO190" s="4">
        <f ca="1">IFERROR(__xludf.DUMMYFUNCTION("""COMPUTED_VALUE"""),3)</f>
        <v>3</v>
      </c>
      <c r="BP190" s="4">
        <f ca="1">IFERROR(__xludf.DUMMYFUNCTION("""COMPUTED_VALUE"""),3)</f>
        <v>3</v>
      </c>
    </row>
    <row r="191" spans="1:68" ht="13.2" x14ac:dyDescent="0.25">
      <c r="A191" s="4" t="str">
        <f ca="1">IFERROR(__xludf.DUMMYFUNCTION("""COMPUTED_VALUE"""),"2_ABaOnuc8ceYDsHsmAWg_woJjF-D3TPb3Os1upny20H0A0pABbmGI_Ov8gw_AHabMqg")</f>
        <v>2_ABaOnuc8ceYDsHsmAWg_woJjF-D3TPb3Os1upny20H0A0pABbmGI_Ov8gw_AHabMqg</v>
      </c>
      <c r="B191" s="5">
        <f ca="1">IFERROR(__xludf.DUMMYFUNCTION("""COMPUTED_VALUE"""),45975.5011348611)</f>
        <v>45975.501134861101</v>
      </c>
      <c r="C191" s="4" t="str">
        <f ca="1">IFERROR(__xludf.DUMMYFUNCTION("""COMPUTED_VALUE"""),"Phạm Xuân Duy")</f>
        <v>Phạm Xuân Duy</v>
      </c>
      <c r="D191" s="4" t="str">
        <f ca="1">IFERROR(__xludf.DUMMYFUNCTION("""COMPUTED_VALUE"""),"Nam")</f>
        <v>Nam</v>
      </c>
      <c r="E191" s="4" t="str">
        <f ca="1">IFERROR(__xludf.DUMMYFUNCTION("""COMPUTED_VALUE"""),"Công ty TNHH Kiểm toán I.T.O")</f>
        <v>Công ty TNHH Kiểm toán I.T.O</v>
      </c>
      <c r="F191" s="4" t="str">
        <f ca="1">IFERROR(__xludf.DUMMYFUNCTION("""COMPUTED_VALUE"""),"Đại học")</f>
        <v>Đại học</v>
      </c>
      <c r="G191" s="4" t="str">
        <f ca="1">IFERROR(__xludf.DUMMYFUNCTION("""COMPUTED_VALUE"""),"Trên 5 đến 10 năm")</f>
        <v>Trên 5 đến 10 năm</v>
      </c>
      <c r="H191" s="4" t="str">
        <f ca="1">IFERROR(__xludf.DUMMYFUNCTION("""COMPUTED_VALUE"""),"Kiểm toán viên/Trưởng nhóm")</f>
        <v>Kiểm toán viên/Trưởng nhóm</v>
      </c>
      <c r="I191" s="4">
        <f ca="1">IFERROR(__xludf.DUMMYFUNCTION("""COMPUTED_VALUE"""),4)</f>
        <v>4</v>
      </c>
      <c r="J191" s="4">
        <f ca="1">IFERROR(__xludf.DUMMYFUNCTION("""COMPUTED_VALUE"""),4)</f>
        <v>4</v>
      </c>
      <c r="K191" s="4">
        <f ca="1">IFERROR(__xludf.DUMMYFUNCTION("""COMPUTED_VALUE"""),3)</f>
        <v>3</v>
      </c>
      <c r="L191" s="4">
        <f ca="1">IFERROR(__xludf.DUMMYFUNCTION("""COMPUTED_VALUE"""),4)</f>
        <v>4</v>
      </c>
      <c r="M191" s="4">
        <f ca="1">IFERROR(__xludf.DUMMYFUNCTION("""COMPUTED_VALUE"""),5)</f>
        <v>5</v>
      </c>
      <c r="N191" s="4">
        <f ca="1">IFERROR(__xludf.DUMMYFUNCTION("""COMPUTED_VALUE"""),4)</f>
        <v>4</v>
      </c>
      <c r="O191" s="4">
        <f ca="1">IFERROR(__xludf.DUMMYFUNCTION("""COMPUTED_VALUE"""),4)</f>
        <v>4</v>
      </c>
      <c r="P191" s="4">
        <f ca="1">IFERROR(__xludf.DUMMYFUNCTION("""COMPUTED_VALUE"""),3)</f>
        <v>3</v>
      </c>
      <c r="Q191" s="4">
        <f ca="1">IFERROR(__xludf.DUMMYFUNCTION("""COMPUTED_VALUE"""),4)</f>
        <v>4</v>
      </c>
      <c r="R191" s="4">
        <f ca="1">IFERROR(__xludf.DUMMYFUNCTION("""COMPUTED_VALUE"""),5)</f>
        <v>5</v>
      </c>
      <c r="S191" s="4">
        <f ca="1">IFERROR(__xludf.DUMMYFUNCTION("""COMPUTED_VALUE"""),4)</f>
        <v>4</v>
      </c>
      <c r="T191" s="4">
        <f ca="1">IFERROR(__xludf.DUMMYFUNCTION("""COMPUTED_VALUE"""),4)</f>
        <v>4</v>
      </c>
      <c r="U191" s="4">
        <f ca="1">IFERROR(__xludf.DUMMYFUNCTION("""COMPUTED_VALUE"""),3)</f>
        <v>3</v>
      </c>
      <c r="V191" s="4">
        <f ca="1">IFERROR(__xludf.DUMMYFUNCTION("""COMPUTED_VALUE"""),4)</f>
        <v>4</v>
      </c>
      <c r="W191" s="4">
        <f ca="1">IFERROR(__xludf.DUMMYFUNCTION("""COMPUTED_VALUE"""),4)</f>
        <v>4</v>
      </c>
      <c r="X191" s="4">
        <f ca="1">IFERROR(__xludf.DUMMYFUNCTION("""COMPUTED_VALUE"""),4)</f>
        <v>4</v>
      </c>
      <c r="Y191" s="4">
        <f ca="1">IFERROR(__xludf.DUMMYFUNCTION("""COMPUTED_VALUE"""),4)</f>
        <v>4</v>
      </c>
      <c r="Z191" s="4">
        <f ca="1">IFERROR(__xludf.DUMMYFUNCTION("""COMPUTED_VALUE"""),4)</f>
        <v>4</v>
      </c>
      <c r="AA191" s="4">
        <f ca="1">IFERROR(__xludf.DUMMYFUNCTION("""COMPUTED_VALUE"""),4)</f>
        <v>4</v>
      </c>
      <c r="AB191" s="4">
        <f ca="1">IFERROR(__xludf.DUMMYFUNCTION("""COMPUTED_VALUE"""),3)</f>
        <v>3</v>
      </c>
      <c r="AC191" s="4">
        <f ca="1">IFERROR(__xludf.DUMMYFUNCTION("""COMPUTED_VALUE"""),2)</f>
        <v>2</v>
      </c>
      <c r="AD191" s="4">
        <f ca="1">IFERROR(__xludf.DUMMYFUNCTION("""COMPUTED_VALUE"""),3)</f>
        <v>3</v>
      </c>
      <c r="AE191" s="4">
        <f ca="1">IFERROR(__xludf.DUMMYFUNCTION("""COMPUTED_VALUE"""),3)</f>
        <v>3</v>
      </c>
      <c r="AF191" s="4">
        <f ca="1">IFERROR(__xludf.DUMMYFUNCTION("""COMPUTED_VALUE"""),3)</f>
        <v>3</v>
      </c>
      <c r="AG191" s="4">
        <f ca="1">IFERROR(__xludf.DUMMYFUNCTION("""COMPUTED_VALUE"""),4)</f>
        <v>4</v>
      </c>
      <c r="AH191" s="4">
        <f ca="1">IFERROR(__xludf.DUMMYFUNCTION("""COMPUTED_VALUE"""),4)</f>
        <v>4</v>
      </c>
      <c r="AI191" s="4">
        <f ca="1">IFERROR(__xludf.DUMMYFUNCTION("""COMPUTED_VALUE"""),3)</f>
        <v>3</v>
      </c>
      <c r="AJ191" s="4">
        <f ca="1">IFERROR(__xludf.DUMMYFUNCTION("""COMPUTED_VALUE"""),3)</f>
        <v>3</v>
      </c>
      <c r="AK191" s="4">
        <f ca="1">IFERROR(__xludf.DUMMYFUNCTION("""COMPUTED_VALUE"""),3)</f>
        <v>3</v>
      </c>
      <c r="AL191" s="4">
        <f ca="1">IFERROR(__xludf.DUMMYFUNCTION("""COMPUTED_VALUE"""),4)</f>
        <v>4</v>
      </c>
      <c r="AM191" s="4">
        <f ca="1">IFERROR(__xludf.DUMMYFUNCTION("""COMPUTED_VALUE"""),4)</f>
        <v>4</v>
      </c>
      <c r="AN191" s="4">
        <f ca="1">IFERROR(__xludf.DUMMYFUNCTION("""COMPUTED_VALUE"""),3)</f>
        <v>3</v>
      </c>
      <c r="AO191" s="4">
        <f ca="1">IFERROR(__xludf.DUMMYFUNCTION("""COMPUTED_VALUE"""),3)</f>
        <v>3</v>
      </c>
      <c r="AP191" s="4">
        <f ca="1">IFERROR(__xludf.DUMMYFUNCTION("""COMPUTED_VALUE"""),4)</f>
        <v>4</v>
      </c>
      <c r="AQ191" s="4">
        <f ca="1">IFERROR(__xludf.DUMMYFUNCTION("""COMPUTED_VALUE"""),3)</f>
        <v>3</v>
      </c>
      <c r="AR191" s="4">
        <f ca="1">IFERROR(__xludf.DUMMYFUNCTION("""COMPUTED_VALUE"""),4)</f>
        <v>4</v>
      </c>
      <c r="AS191" s="4">
        <f ca="1">IFERROR(__xludf.DUMMYFUNCTION("""COMPUTED_VALUE"""),4)</f>
        <v>4</v>
      </c>
      <c r="AT191" s="4">
        <f ca="1">IFERROR(__xludf.DUMMYFUNCTION("""COMPUTED_VALUE"""),5)</f>
        <v>5</v>
      </c>
      <c r="AU191" s="4">
        <f ca="1">IFERROR(__xludf.DUMMYFUNCTION("""COMPUTED_VALUE"""),4)</f>
        <v>4</v>
      </c>
      <c r="AV191" s="4">
        <f ca="1">IFERROR(__xludf.DUMMYFUNCTION("""COMPUTED_VALUE"""),4)</f>
        <v>4</v>
      </c>
      <c r="AW191" s="4">
        <f ca="1">IFERROR(__xludf.DUMMYFUNCTION("""COMPUTED_VALUE"""),3)</f>
        <v>3</v>
      </c>
      <c r="AX191" s="4">
        <f ca="1">IFERROR(__xludf.DUMMYFUNCTION("""COMPUTED_VALUE"""),3)</f>
        <v>3</v>
      </c>
      <c r="AY191" s="4">
        <f ca="1">IFERROR(__xludf.DUMMYFUNCTION("""COMPUTED_VALUE"""),3)</f>
        <v>3</v>
      </c>
      <c r="AZ191" s="4">
        <f ca="1">IFERROR(__xludf.DUMMYFUNCTION("""COMPUTED_VALUE"""),4)</f>
        <v>4</v>
      </c>
      <c r="BA191" s="4">
        <f ca="1">IFERROR(__xludf.DUMMYFUNCTION("""COMPUTED_VALUE"""),4)</f>
        <v>4</v>
      </c>
      <c r="BB191" s="4">
        <f ca="1">IFERROR(__xludf.DUMMYFUNCTION("""COMPUTED_VALUE"""),3)</f>
        <v>3</v>
      </c>
      <c r="BC191" s="4">
        <f ca="1">IFERROR(__xludf.DUMMYFUNCTION("""COMPUTED_VALUE"""),2)</f>
        <v>2</v>
      </c>
      <c r="BD191" s="4">
        <f ca="1">IFERROR(__xludf.DUMMYFUNCTION("""COMPUTED_VALUE"""),3)</f>
        <v>3</v>
      </c>
      <c r="BE191" s="4">
        <f ca="1">IFERROR(__xludf.DUMMYFUNCTION("""COMPUTED_VALUE"""),4)</f>
        <v>4</v>
      </c>
      <c r="BF191" s="4">
        <f ca="1">IFERROR(__xludf.DUMMYFUNCTION("""COMPUTED_VALUE"""),3)</f>
        <v>3</v>
      </c>
      <c r="BG191" s="4">
        <f ca="1">IFERROR(__xludf.DUMMYFUNCTION("""COMPUTED_VALUE"""),3)</f>
        <v>3</v>
      </c>
      <c r="BH191" s="4">
        <f ca="1">IFERROR(__xludf.DUMMYFUNCTION("""COMPUTED_VALUE"""),3)</f>
        <v>3</v>
      </c>
      <c r="BI191" s="4">
        <f ca="1">IFERROR(__xludf.DUMMYFUNCTION("""COMPUTED_VALUE"""),4)</f>
        <v>4</v>
      </c>
      <c r="BJ191" s="4">
        <f ca="1">IFERROR(__xludf.DUMMYFUNCTION("""COMPUTED_VALUE"""),4)</f>
        <v>4</v>
      </c>
      <c r="BK191" s="4">
        <f ca="1">IFERROR(__xludf.DUMMYFUNCTION("""COMPUTED_VALUE"""),3)</f>
        <v>3</v>
      </c>
      <c r="BL191" s="4">
        <f ca="1">IFERROR(__xludf.DUMMYFUNCTION("""COMPUTED_VALUE"""),3)</f>
        <v>3</v>
      </c>
      <c r="BM191" s="4">
        <f ca="1">IFERROR(__xludf.DUMMYFUNCTION("""COMPUTED_VALUE"""),4)</f>
        <v>4</v>
      </c>
      <c r="BN191" s="4">
        <f ca="1">IFERROR(__xludf.DUMMYFUNCTION("""COMPUTED_VALUE"""),3)</f>
        <v>3</v>
      </c>
      <c r="BO191" s="4">
        <f ca="1">IFERROR(__xludf.DUMMYFUNCTION("""COMPUTED_VALUE"""),4)</f>
        <v>4</v>
      </c>
      <c r="BP191" s="4">
        <f ca="1">IFERROR(__xludf.DUMMYFUNCTION("""COMPUTED_VALUE"""),4)</f>
        <v>4</v>
      </c>
    </row>
    <row r="192" spans="1:68" ht="13.2" x14ac:dyDescent="0.25">
      <c r="A192" s="4" t="str">
        <f ca="1">IFERROR(__xludf.DUMMYFUNCTION("""COMPUTED_VALUE"""),"2_ABaOnucXXwWCs8k6mcYcJd57gJsq-AqLFRVqwD2_ATm5X5Sme1om0D6qu4yyN5GZww")</f>
        <v>2_ABaOnucXXwWCs8k6mcYcJd57gJsq-AqLFRVqwD2_ATm5X5Sme1om0D6qu4yyN5GZww</v>
      </c>
      <c r="B192" s="5">
        <f ca="1">IFERROR(__xludf.DUMMYFUNCTION("""COMPUTED_VALUE"""),45975.5839529861)</f>
        <v>45975.583952986097</v>
      </c>
      <c r="C192" s="4" t="str">
        <f ca="1">IFERROR(__xludf.DUMMYFUNCTION("""COMPUTED_VALUE"""),"Nguyễn Thị Trà My")</f>
        <v>Nguyễn Thị Trà My</v>
      </c>
      <c r="D192" s="4" t="str">
        <f ca="1">IFERROR(__xludf.DUMMYFUNCTION("""COMPUTED_VALUE"""),"Nữ")</f>
        <v>Nữ</v>
      </c>
      <c r="E192" s="4" t="str">
        <f ca="1">IFERROR(__xludf.DUMMYFUNCTION("""COMPUTED_VALUE"""),"Công ty TNHH kiểm toán I.T.O")</f>
        <v>Công ty TNHH kiểm toán I.T.O</v>
      </c>
      <c r="F192" s="4" t="str">
        <f ca="1">IFERROR(__xludf.DUMMYFUNCTION("""COMPUTED_VALUE"""),"Đại học")</f>
        <v>Đại học</v>
      </c>
      <c r="G192" s="4" t="str">
        <f ca="1">IFERROR(__xludf.DUMMYFUNCTION("""COMPUTED_VALUE"""),"Từ 3 đến 5 năm")</f>
        <v>Từ 3 đến 5 năm</v>
      </c>
      <c r="H192" s="4" t="str">
        <f ca="1">IFERROR(__xludf.DUMMYFUNCTION("""COMPUTED_VALUE"""),"Trợ lý kiểm toán")</f>
        <v>Trợ lý kiểm toán</v>
      </c>
      <c r="I192" s="4">
        <f ca="1">IFERROR(__xludf.DUMMYFUNCTION("""COMPUTED_VALUE"""),5)</f>
        <v>5</v>
      </c>
      <c r="J192" s="4">
        <f ca="1">IFERROR(__xludf.DUMMYFUNCTION("""COMPUTED_VALUE"""),4)</f>
        <v>4</v>
      </c>
      <c r="K192" s="4">
        <f ca="1">IFERROR(__xludf.DUMMYFUNCTION("""COMPUTED_VALUE"""),4)</f>
        <v>4</v>
      </c>
      <c r="L192" s="4">
        <f ca="1">IFERROR(__xludf.DUMMYFUNCTION("""COMPUTED_VALUE"""),3)</f>
        <v>3</v>
      </c>
      <c r="M192" s="4">
        <f ca="1">IFERROR(__xludf.DUMMYFUNCTION("""COMPUTED_VALUE"""),3)</f>
        <v>3</v>
      </c>
      <c r="N192" s="4">
        <f ca="1">IFERROR(__xludf.DUMMYFUNCTION("""COMPUTED_VALUE"""),4)</f>
        <v>4</v>
      </c>
      <c r="O192" s="4">
        <f ca="1">IFERROR(__xludf.DUMMYFUNCTION("""COMPUTED_VALUE"""),5)</f>
        <v>5</v>
      </c>
      <c r="P192" s="4">
        <f ca="1">IFERROR(__xludf.DUMMYFUNCTION("""COMPUTED_VALUE"""),4)</f>
        <v>4</v>
      </c>
      <c r="Q192" s="4">
        <f ca="1">IFERROR(__xludf.DUMMYFUNCTION("""COMPUTED_VALUE"""),5)</f>
        <v>5</v>
      </c>
      <c r="R192" s="4">
        <f ca="1">IFERROR(__xludf.DUMMYFUNCTION("""COMPUTED_VALUE"""),5)</f>
        <v>5</v>
      </c>
      <c r="S192" s="4">
        <f ca="1">IFERROR(__xludf.DUMMYFUNCTION("""COMPUTED_VALUE"""),4)</f>
        <v>4</v>
      </c>
      <c r="T192" s="4">
        <f ca="1">IFERROR(__xludf.DUMMYFUNCTION("""COMPUTED_VALUE"""),4)</f>
        <v>4</v>
      </c>
      <c r="U192" s="4">
        <f ca="1">IFERROR(__xludf.DUMMYFUNCTION("""COMPUTED_VALUE"""),5)</f>
        <v>5</v>
      </c>
      <c r="V192" s="4">
        <f ca="1">IFERROR(__xludf.DUMMYFUNCTION("""COMPUTED_VALUE"""),5)</f>
        <v>5</v>
      </c>
      <c r="W192" s="4">
        <f ca="1">IFERROR(__xludf.DUMMYFUNCTION("""COMPUTED_VALUE"""),5)</f>
        <v>5</v>
      </c>
      <c r="X192" s="4">
        <f ca="1">IFERROR(__xludf.DUMMYFUNCTION("""COMPUTED_VALUE"""),5)</f>
        <v>5</v>
      </c>
      <c r="Y192" s="4">
        <f ca="1">IFERROR(__xludf.DUMMYFUNCTION("""COMPUTED_VALUE"""),4)</f>
        <v>4</v>
      </c>
      <c r="Z192" s="4">
        <f ca="1">IFERROR(__xludf.DUMMYFUNCTION("""COMPUTED_VALUE"""),4)</f>
        <v>4</v>
      </c>
      <c r="AA192" s="4">
        <f ca="1">IFERROR(__xludf.DUMMYFUNCTION("""COMPUTED_VALUE"""),5)</f>
        <v>5</v>
      </c>
      <c r="AB192" s="4">
        <f ca="1">IFERROR(__xludf.DUMMYFUNCTION("""COMPUTED_VALUE"""),5)</f>
        <v>5</v>
      </c>
      <c r="AC192" s="4">
        <f ca="1">IFERROR(__xludf.DUMMYFUNCTION("""COMPUTED_VALUE"""),5)</f>
        <v>5</v>
      </c>
      <c r="AD192" s="4">
        <f ca="1">IFERROR(__xludf.DUMMYFUNCTION("""COMPUTED_VALUE"""),5)</f>
        <v>5</v>
      </c>
      <c r="AE192" s="4">
        <f ca="1">IFERROR(__xludf.DUMMYFUNCTION("""COMPUTED_VALUE"""),4)</f>
        <v>4</v>
      </c>
      <c r="AF192" s="4">
        <f ca="1">IFERROR(__xludf.DUMMYFUNCTION("""COMPUTED_VALUE"""),5)</f>
        <v>5</v>
      </c>
      <c r="AG192" s="4">
        <f ca="1">IFERROR(__xludf.DUMMYFUNCTION("""COMPUTED_VALUE"""),4)</f>
        <v>4</v>
      </c>
      <c r="AH192" s="4">
        <f ca="1">IFERROR(__xludf.DUMMYFUNCTION("""COMPUTED_VALUE"""),4)</f>
        <v>4</v>
      </c>
      <c r="AI192" s="4">
        <f ca="1">IFERROR(__xludf.DUMMYFUNCTION("""COMPUTED_VALUE"""),4)</f>
        <v>4</v>
      </c>
      <c r="AJ192" s="4">
        <f ca="1">IFERROR(__xludf.DUMMYFUNCTION("""COMPUTED_VALUE"""),5)</f>
        <v>5</v>
      </c>
      <c r="AK192" s="4">
        <f ca="1">IFERROR(__xludf.DUMMYFUNCTION("""COMPUTED_VALUE"""),5)</f>
        <v>5</v>
      </c>
      <c r="AL192" s="4">
        <f ca="1">IFERROR(__xludf.DUMMYFUNCTION("""COMPUTED_VALUE"""),5)</f>
        <v>5</v>
      </c>
      <c r="AM192" s="4">
        <f ca="1">IFERROR(__xludf.DUMMYFUNCTION("""COMPUTED_VALUE"""),4)</f>
        <v>4</v>
      </c>
      <c r="AN192" s="4">
        <f ca="1">IFERROR(__xludf.DUMMYFUNCTION("""COMPUTED_VALUE"""),4)</f>
        <v>4</v>
      </c>
      <c r="AO192" s="4">
        <f ca="1">IFERROR(__xludf.DUMMYFUNCTION("""COMPUTED_VALUE"""),5)</f>
        <v>5</v>
      </c>
      <c r="AP192" s="4">
        <f ca="1">IFERROR(__xludf.DUMMYFUNCTION("""COMPUTED_VALUE"""),5)</f>
        <v>5</v>
      </c>
      <c r="AQ192" s="4">
        <f ca="1">IFERROR(__xludf.DUMMYFUNCTION("""COMPUTED_VALUE"""),4)</f>
        <v>4</v>
      </c>
      <c r="AR192" s="4">
        <f ca="1">IFERROR(__xludf.DUMMYFUNCTION("""COMPUTED_VALUE"""),5)</f>
        <v>5</v>
      </c>
      <c r="AS192" s="4">
        <f ca="1">IFERROR(__xludf.DUMMYFUNCTION("""COMPUTED_VALUE"""),5)</f>
        <v>5</v>
      </c>
      <c r="AT192" s="4">
        <f ca="1">IFERROR(__xludf.DUMMYFUNCTION("""COMPUTED_VALUE"""),5)</f>
        <v>5</v>
      </c>
      <c r="AU192" s="4">
        <f ca="1">IFERROR(__xludf.DUMMYFUNCTION("""COMPUTED_VALUE"""),5)</f>
        <v>5</v>
      </c>
      <c r="AV192" s="4">
        <f ca="1">IFERROR(__xludf.DUMMYFUNCTION("""COMPUTED_VALUE"""),4)</f>
        <v>4</v>
      </c>
      <c r="AW192" s="4">
        <f ca="1">IFERROR(__xludf.DUMMYFUNCTION("""COMPUTED_VALUE"""),5)</f>
        <v>5</v>
      </c>
      <c r="AX192" s="4">
        <f ca="1">IFERROR(__xludf.DUMMYFUNCTION("""COMPUTED_VALUE"""),5)</f>
        <v>5</v>
      </c>
      <c r="AY192" s="4">
        <f ca="1">IFERROR(__xludf.DUMMYFUNCTION("""COMPUTED_VALUE"""),4)</f>
        <v>4</v>
      </c>
      <c r="AZ192" s="4">
        <f ca="1">IFERROR(__xludf.DUMMYFUNCTION("""COMPUTED_VALUE"""),4)</f>
        <v>4</v>
      </c>
      <c r="BA192" s="4">
        <f ca="1">IFERROR(__xludf.DUMMYFUNCTION("""COMPUTED_VALUE"""),5)</f>
        <v>5</v>
      </c>
      <c r="BB192" s="4">
        <f ca="1">IFERROR(__xludf.DUMMYFUNCTION("""COMPUTED_VALUE"""),5)</f>
        <v>5</v>
      </c>
      <c r="BC192" s="4">
        <f ca="1">IFERROR(__xludf.DUMMYFUNCTION("""COMPUTED_VALUE"""),5)</f>
        <v>5</v>
      </c>
      <c r="BD192" s="4">
        <f ca="1">IFERROR(__xludf.DUMMYFUNCTION("""COMPUTED_VALUE"""),4)</f>
        <v>4</v>
      </c>
      <c r="BE192" s="4">
        <f ca="1">IFERROR(__xludf.DUMMYFUNCTION("""COMPUTED_VALUE"""),4)</f>
        <v>4</v>
      </c>
      <c r="BF192" s="4">
        <f ca="1">IFERROR(__xludf.DUMMYFUNCTION("""COMPUTED_VALUE"""),4)</f>
        <v>4</v>
      </c>
      <c r="BG192" s="4">
        <f ca="1">IFERROR(__xludf.DUMMYFUNCTION("""COMPUTED_VALUE"""),5)</f>
        <v>5</v>
      </c>
      <c r="BH192" s="4">
        <f ca="1">IFERROR(__xludf.DUMMYFUNCTION("""COMPUTED_VALUE"""),5)</f>
        <v>5</v>
      </c>
      <c r="BI192" s="4">
        <f ca="1">IFERROR(__xludf.DUMMYFUNCTION("""COMPUTED_VALUE"""),5)</f>
        <v>5</v>
      </c>
      <c r="BJ192" s="4">
        <f ca="1">IFERROR(__xludf.DUMMYFUNCTION("""COMPUTED_VALUE"""),5)</f>
        <v>5</v>
      </c>
      <c r="BK192" s="4">
        <f ca="1">IFERROR(__xludf.DUMMYFUNCTION("""COMPUTED_VALUE"""),4)</f>
        <v>4</v>
      </c>
      <c r="BL192" s="4">
        <f ca="1">IFERROR(__xludf.DUMMYFUNCTION("""COMPUTED_VALUE"""),5)</f>
        <v>5</v>
      </c>
      <c r="BM192" s="4">
        <f ca="1">IFERROR(__xludf.DUMMYFUNCTION("""COMPUTED_VALUE"""),5)</f>
        <v>5</v>
      </c>
      <c r="BN192" s="4">
        <f ca="1">IFERROR(__xludf.DUMMYFUNCTION("""COMPUTED_VALUE"""),4)</f>
        <v>4</v>
      </c>
      <c r="BO192" s="4">
        <f ca="1">IFERROR(__xludf.DUMMYFUNCTION("""COMPUTED_VALUE"""),5)</f>
        <v>5</v>
      </c>
      <c r="BP192" s="4">
        <f ca="1">IFERROR(__xludf.DUMMYFUNCTION("""COMPUTED_VALUE"""),5)</f>
        <v>5</v>
      </c>
    </row>
    <row r="193" spans="1:68" ht="13.2" x14ac:dyDescent="0.25">
      <c r="A193" s="4" t="str">
        <f ca="1">IFERROR(__xludf.DUMMYFUNCTION("""COMPUTED_VALUE"""),"2_ABaOnudfU3PNDx45YJxtQ7oeqmM80D_zcYGyr_M7XBXyvRSssKEGWiXNRlBd_rm7QQ")</f>
        <v>2_ABaOnudfU3PNDx45YJxtQ7oeqmM80D_zcYGyr_M7XBXyvRSssKEGWiXNRlBd_rm7QQ</v>
      </c>
      <c r="B193" s="5">
        <f ca="1">IFERROR(__xludf.DUMMYFUNCTION("""COMPUTED_VALUE"""),45975.586363449)</f>
        <v>45975.586363449002</v>
      </c>
      <c r="C193" s="4" t="str">
        <f ca="1">IFERROR(__xludf.DUMMYFUNCTION("""COMPUTED_VALUE"""),"Nguyễn Ngọc Thùy Dung")</f>
        <v>Nguyễn Ngọc Thùy Dung</v>
      </c>
      <c r="D193" s="4" t="str">
        <f ca="1">IFERROR(__xludf.DUMMYFUNCTION("""COMPUTED_VALUE"""),"Nữ")</f>
        <v>Nữ</v>
      </c>
      <c r="E193" s="4" t="str">
        <f ca="1">IFERROR(__xludf.DUMMYFUNCTION("""COMPUTED_VALUE"""),"Công ty TNHH Kiểm toán AFC Việt Nam")</f>
        <v>Công ty TNHH Kiểm toán AFC Việt Nam</v>
      </c>
      <c r="F193" s="4" t="str">
        <f ca="1">IFERROR(__xludf.DUMMYFUNCTION("""COMPUTED_VALUE"""),"Đại học")</f>
        <v>Đại học</v>
      </c>
      <c r="G193" s="4" t="str">
        <f ca="1">IFERROR(__xludf.DUMMYFUNCTION("""COMPUTED_VALUE"""),"Trên 15 đến 20 năm")</f>
        <v>Trên 15 đến 20 năm</v>
      </c>
      <c r="H193" s="4" t="str">
        <f ca="1">IFERROR(__xludf.DUMMYFUNCTION("""COMPUTED_VALUE"""),"Ban giám đốc")</f>
        <v>Ban giám đốc</v>
      </c>
      <c r="I193" s="4">
        <f ca="1">IFERROR(__xludf.DUMMYFUNCTION("""COMPUTED_VALUE"""),5)</f>
        <v>5</v>
      </c>
      <c r="J193" s="4">
        <f ca="1">IFERROR(__xludf.DUMMYFUNCTION("""COMPUTED_VALUE"""),5)</f>
        <v>5</v>
      </c>
      <c r="K193" s="4">
        <f ca="1">IFERROR(__xludf.DUMMYFUNCTION("""COMPUTED_VALUE"""),5)</f>
        <v>5</v>
      </c>
      <c r="L193" s="4">
        <f ca="1">IFERROR(__xludf.DUMMYFUNCTION("""COMPUTED_VALUE"""),3)</f>
        <v>3</v>
      </c>
      <c r="M193" s="4">
        <f ca="1">IFERROR(__xludf.DUMMYFUNCTION("""COMPUTED_VALUE"""),5)</f>
        <v>5</v>
      </c>
      <c r="N193" s="4">
        <f ca="1">IFERROR(__xludf.DUMMYFUNCTION("""COMPUTED_VALUE"""),3)</f>
        <v>3</v>
      </c>
      <c r="O193" s="4">
        <f ca="1">IFERROR(__xludf.DUMMYFUNCTION("""COMPUTED_VALUE"""),3)</f>
        <v>3</v>
      </c>
      <c r="P193" s="4">
        <f ca="1">IFERROR(__xludf.DUMMYFUNCTION("""COMPUTED_VALUE"""),5)</f>
        <v>5</v>
      </c>
      <c r="Q193" s="4">
        <f ca="1">IFERROR(__xludf.DUMMYFUNCTION("""COMPUTED_VALUE"""),5)</f>
        <v>5</v>
      </c>
      <c r="R193" s="4">
        <f ca="1">IFERROR(__xludf.DUMMYFUNCTION("""COMPUTED_VALUE"""),4)</f>
        <v>4</v>
      </c>
      <c r="S193" s="4">
        <f ca="1">IFERROR(__xludf.DUMMYFUNCTION("""COMPUTED_VALUE"""),4)</f>
        <v>4</v>
      </c>
      <c r="T193" s="4">
        <f ca="1">IFERROR(__xludf.DUMMYFUNCTION("""COMPUTED_VALUE"""),5)</f>
        <v>5</v>
      </c>
      <c r="U193" s="4">
        <f ca="1">IFERROR(__xludf.DUMMYFUNCTION("""COMPUTED_VALUE"""),5)</f>
        <v>5</v>
      </c>
      <c r="V193" s="4">
        <f ca="1">IFERROR(__xludf.DUMMYFUNCTION("""COMPUTED_VALUE"""),5)</f>
        <v>5</v>
      </c>
      <c r="W193" s="4">
        <f ca="1">IFERROR(__xludf.DUMMYFUNCTION("""COMPUTED_VALUE"""),3)</f>
        <v>3</v>
      </c>
      <c r="X193" s="4">
        <f ca="1">IFERROR(__xludf.DUMMYFUNCTION("""COMPUTED_VALUE"""),3)</f>
        <v>3</v>
      </c>
      <c r="Y193" s="4">
        <f ca="1">IFERROR(__xludf.DUMMYFUNCTION("""COMPUTED_VALUE"""),3)</f>
        <v>3</v>
      </c>
      <c r="Z193" s="4">
        <f ca="1">IFERROR(__xludf.DUMMYFUNCTION("""COMPUTED_VALUE"""),3)</f>
        <v>3</v>
      </c>
      <c r="AA193" s="4">
        <f ca="1">IFERROR(__xludf.DUMMYFUNCTION("""COMPUTED_VALUE"""),3)</f>
        <v>3</v>
      </c>
      <c r="AB193" s="4">
        <f ca="1">IFERROR(__xludf.DUMMYFUNCTION("""COMPUTED_VALUE"""),5)</f>
        <v>5</v>
      </c>
      <c r="AC193" s="4">
        <f ca="1">IFERROR(__xludf.DUMMYFUNCTION("""COMPUTED_VALUE"""),4)</f>
        <v>4</v>
      </c>
      <c r="AD193" s="4">
        <f ca="1">IFERROR(__xludf.DUMMYFUNCTION("""COMPUTED_VALUE"""),3)</f>
        <v>3</v>
      </c>
      <c r="AE193" s="4">
        <f ca="1">IFERROR(__xludf.DUMMYFUNCTION("""COMPUTED_VALUE"""),5)</f>
        <v>5</v>
      </c>
      <c r="AF193" s="4">
        <f ca="1">IFERROR(__xludf.DUMMYFUNCTION("""COMPUTED_VALUE"""),4)</f>
        <v>4</v>
      </c>
      <c r="AG193" s="4">
        <f ca="1">IFERROR(__xludf.DUMMYFUNCTION("""COMPUTED_VALUE"""),4)</f>
        <v>4</v>
      </c>
      <c r="AH193" s="4">
        <f ca="1">IFERROR(__xludf.DUMMYFUNCTION("""COMPUTED_VALUE"""),5)</f>
        <v>5</v>
      </c>
      <c r="AI193" s="4">
        <f ca="1">IFERROR(__xludf.DUMMYFUNCTION("""COMPUTED_VALUE"""),3)</f>
        <v>3</v>
      </c>
      <c r="AJ193" s="4">
        <f ca="1">IFERROR(__xludf.DUMMYFUNCTION("""COMPUTED_VALUE"""),5)</f>
        <v>5</v>
      </c>
      <c r="AK193" s="4">
        <f ca="1">IFERROR(__xludf.DUMMYFUNCTION("""COMPUTED_VALUE"""),4)</f>
        <v>4</v>
      </c>
      <c r="AL193" s="4">
        <f ca="1">IFERROR(__xludf.DUMMYFUNCTION("""COMPUTED_VALUE"""),5)</f>
        <v>5</v>
      </c>
      <c r="AM193" s="4">
        <f ca="1">IFERROR(__xludf.DUMMYFUNCTION("""COMPUTED_VALUE"""),4)</f>
        <v>4</v>
      </c>
      <c r="AN193" s="4">
        <f ca="1">IFERROR(__xludf.DUMMYFUNCTION("""COMPUTED_VALUE"""),4)</f>
        <v>4</v>
      </c>
      <c r="AO193" s="4">
        <f ca="1">IFERROR(__xludf.DUMMYFUNCTION("""COMPUTED_VALUE"""),4)</f>
        <v>4</v>
      </c>
      <c r="AP193" s="4">
        <f ca="1">IFERROR(__xludf.DUMMYFUNCTION("""COMPUTED_VALUE"""),4)</f>
        <v>4</v>
      </c>
      <c r="AQ193" s="4">
        <f ca="1">IFERROR(__xludf.DUMMYFUNCTION("""COMPUTED_VALUE"""),4)</f>
        <v>4</v>
      </c>
      <c r="AR193" s="4">
        <f ca="1">IFERROR(__xludf.DUMMYFUNCTION("""COMPUTED_VALUE"""),4)</f>
        <v>4</v>
      </c>
      <c r="AS193" s="4">
        <f ca="1">IFERROR(__xludf.DUMMYFUNCTION("""COMPUTED_VALUE"""),3)</f>
        <v>3</v>
      </c>
      <c r="AT193" s="4">
        <f ca="1">IFERROR(__xludf.DUMMYFUNCTION("""COMPUTED_VALUE"""),3)</f>
        <v>3</v>
      </c>
      <c r="AU193" s="4">
        <f ca="1">IFERROR(__xludf.DUMMYFUNCTION("""COMPUTED_VALUE"""),3)</f>
        <v>3</v>
      </c>
      <c r="AV193" s="4">
        <f ca="1">IFERROR(__xludf.DUMMYFUNCTION("""COMPUTED_VALUE"""),4)</f>
        <v>4</v>
      </c>
      <c r="AW193" s="4">
        <f ca="1">IFERROR(__xludf.DUMMYFUNCTION("""COMPUTED_VALUE"""),3)</f>
        <v>3</v>
      </c>
      <c r="AX193" s="4">
        <f ca="1">IFERROR(__xludf.DUMMYFUNCTION("""COMPUTED_VALUE"""),5)</f>
        <v>5</v>
      </c>
      <c r="AY193" s="4">
        <f ca="1">IFERROR(__xludf.DUMMYFUNCTION("""COMPUTED_VALUE"""),5)</f>
        <v>5</v>
      </c>
      <c r="AZ193" s="4">
        <f ca="1">IFERROR(__xludf.DUMMYFUNCTION("""COMPUTED_VALUE"""),5)</f>
        <v>5</v>
      </c>
      <c r="BA193" s="4">
        <f ca="1">IFERROR(__xludf.DUMMYFUNCTION("""COMPUTED_VALUE"""),4)</f>
        <v>4</v>
      </c>
      <c r="BB193" s="4">
        <f ca="1">IFERROR(__xludf.DUMMYFUNCTION("""COMPUTED_VALUE"""),4)</f>
        <v>4</v>
      </c>
      <c r="BC193" s="4">
        <f ca="1">IFERROR(__xludf.DUMMYFUNCTION("""COMPUTED_VALUE"""),4)</f>
        <v>4</v>
      </c>
      <c r="BD193" s="4">
        <f ca="1">IFERROR(__xludf.DUMMYFUNCTION("""COMPUTED_VALUE"""),5)</f>
        <v>5</v>
      </c>
      <c r="BE193" s="4">
        <f ca="1">IFERROR(__xludf.DUMMYFUNCTION("""COMPUTED_VALUE"""),5)</f>
        <v>5</v>
      </c>
      <c r="BF193" s="4">
        <f ca="1">IFERROR(__xludf.DUMMYFUNCTION("""COMPUTED_VALUE"""),4)</f>
        <v>4</v>
      </c>
      <c r="BG193" s="4">
        <f ca="1">IFERROR(__xludf.DUMMYFUNCTION("""COMPUTED_VALUE"""),4)</f>
        <v>4</v>
      </c>
      <c r="BH193" s="4">
        <f ca="1">IFERROR(__xludf.DUMMYFUNCTION("""COMPUTED_VALUE"""),4)</f>
        <v>4</v>
      </c>
      <c r="BI193" s="4">
        <f ca="1">IFERROR(__xludf.DUMMYFUNCTION("""COMPUTED_VALUE"""),5)</f>
        <v>5</v>
      </c>
      <c r="BJ193" s="4">
        <f ca="1">IFERROR(__xludf.DUMMYFUNCTION("""COMPUTED_VALUE"""),5)</f>
        <v>5</v>
      </c>
      <c r="BK193" s="4">
        <f ca="1">IFERROR(__xludf.DUMMYFUNCTION("""COMPUTED_VALUE"""),4)</f>
        <v>4</v>
      </c>
      <c r="BL193" s="4">
        <f ca="1">IFERROR(__xludf.DUMMYFUNCTION("""COMPUTED_VALUE"""),4)</f>
        <v>4</v>
      </c>
      <c r="BM193" s="4">
        <f ca="1">IFERROR(__xludf.DUMMYFUNCTION("""COMPUTED_VALUE"""),5)</f>
        <v>5</v>
      </c>
      <c r="BN193" s="4">
        <f ca="1">IFERROR(__xludf.DUMMYFUNCTION("""COMPUTED_VALUE"""),5)</f>
        <v>5</v>
      </c>
      <c r="BO193" s="4">
        <f ca="1">IFERROR(__xludf.DUMMYFUNCTION("""COMPUTED_VALUE"""),5)</f>
        <v>5</v>
      </c>
      <c r="BP193" s="4">
        <f ca="1">IFERROR(__xludf.DUMMYFUNCTION("""COMPUTED_VALUE"""),4)</f>
        <v>4</v>
      </c>
    </row>
    <row r="194" spans="1:68" ht="13.2" x14ac:dyDescent="0.25">
      <c r="A194" s="4" t="str">
        <f ca="1">IFERROR(__xludf.DUMMYFUNCTION("""COMPUTED_VALUE"""),"2_ABaOnueO95EMb31VbGRMuadrDBh4wZOc_5Ueit2NYRXr3JFPimm59jR_kJnu5ZIGhg")</f>
        <v>2_ABaOnueO95EMb31VbGRMuadrDBh4wZOc_5Ueit2NYRXr3JFPimm59jR_kJnu5ZIGhg</v>
      </c>
      <c r="B194" s="5">
        <f ca="1">IFERROR(__xludf.DUMMYFUNCTION("""COMPUTED_VALUE"""),45975.5913980902)</f>
        <v>45975.591398090197</v>
      </c>
      <c r="C194" s="4" t="str">
        <f ca="1">IFERROR(__xludf.DUMMYFUNCTION("""COMPUTED_VALUE"""),"Nguyễn Trịnh Hoài Thư ")</f>
        <v xml:space="preserve">Nguyễn Trịnh Hoài Thư </v>
      </c>
      <c r="D194" s="4" t="str">
        <f ca="1">IFERROR(__xludf.DUMMYFUNCTION("""COMPUTED_VALUE"""),"Nữ")</f>
        <v>Nữ</v>
      </c>
      <c r="E194" s="4" t="str">
        <f ca="1">IFERROR(__xludf.DUMMYFUNCTION("""COMPUTED_VALUE"""),"Công ty TNHH Kiểm Toán AFC")</f>
        <v>Công ty TNHH Kiểm Toán AFC</v>
      </c>
      <c r="F194" s="4" t="str">
        <f ca="1">IFERROR(__xludf.DUMMYFUNCTION("""COMPUTED_VALUE"""),"Đại học")</f>
        <v>Đại học</v>
      </c>
      <c r="G194" s="4" t="str">
        <f ca="1">IFERROR(__xludf.DUMMYFUNCTION("""COMPUTED_VALUE"""),"Từ 3 đến 5 năm")</f>
        <v>Từ 3 đến 5 năm</v>
      </c>
      <c r="H194" s="4" t="str">
        <f ca="1">IFERROR(__xludf.DUMMYFUNCTION("""COMPUTED_VALUE"""),"Trợ lý kiểm toán")</f>
        <v>Trợ lý kiểm toán</v>
      </c>
      <c r="I194" s="4">
        <f ca="1">IFERROR(__xludf.DUMMYFUNCTION("""COMPUTED_VALUE"""),5)</f>
        <v>5</v>
      </c>
      <c r="J194" s="4">
        <f ca="1">IFERROR(__xludf.DUMMYFUNCTION("""COMPUTED_VALUE"""),4)</f>
        <v>4</v>
      </c>
      <c r="K194" s="4">
        <f ca="1">IFERROR(__xludf.DUMMYFUNCTION("""COMPUTED_VALUE"""),4)</f>
        <v>4</v>
      </c>
      <c r="L194" s="4">
        <f ca="1">IFERROR(__xludf.DUMMYFUNCTION("""COMPUTED_VALUE"""),5)</f>
        <v>5</v>
      </c>
      <c r="M194" s="4">
        <f ca="1">IFERROR(__xludf.DUMMYFUNCTION("""COMPUTED_VALUE"""),4)</f>
        <v>4</v>
      </c>
      <c r="N194" s="4">
        <f ca="1">IFERROR(__xludf.DUMMYFUNCTION("""COMPUTED_VALUE"""),4)</f>
        <v>4</v>
      </c>
      <c r="O194" s="4">
        <f ca="1">IFERROR(__xludf.DUMMYFUNCTION("""COMPUTED_VALUE"""),4)</f>
        <v>4</v>
      </c>
      <c r="P194" s="4">
        <f ca="1">IFERROR(__xludf.DUMMYFUNCTION("""COMPUTED_VALUE"""),4)</f>
        <v>4</v>
      </c>
      <c r="Q194" s="4">
        <f ca="1">IFERROR(__xludf.DUMMYFUNCTION("""COMPUTED_VALUE"""),5)</f>
        <v>5</v>
      </c>
      <c r="R194" s="4">
        <f ca="1">IFERROR(__xludf.DUMMYFUNCTION("""COMPUTED_VALUE"""),4)</f>
        <v>4</v>
      </c>
      <c r="S194" s="4">
        <f ca="1">IFERROR(__xludf.DUMMYFUNCTION("""COMPUTED_VALUE"""),5)</f>
        <v>5</v>
      </c>
      <c r="T194" s="4">
        <f ca="1">IFERROR(__xludf.DUMMYFUNCTION("""COMPUTED_VALUE"""),5)</f>
        <v>5</v>
      </c>
      <c r="U194" s="4">
        <f ca="1">IFERROR(__xludf.DUMMYFUNCTION("""COMPUTED_VALUE"""),4)</f>
        <v>4</v>
      </c>
      <c r="V194" s="4">
        <f ca="1">IFERROR(__xludf.DUMMYFUNCTION("""COMPUTED_VALUE"""),5)</f>
        <v>5</v>
      </c>
      <c r="W194" s="4">
        <f ca="1">IFERROR(__xludf.DUMMYFUNCTION("""COMPUTED_VALUE"""),3)</f>
        <v>3</v>
      </c>
      <c r="X194" s="4">
        <f ca="1">IFERROR(__xludf.DUMMYFUNCTION("""COMPUTED_VALUE"""),3)</f>
        <v>3</v>
      </c>
      <c r="Y194" s="4">
        <f ca="1">IFERROR(__xludf.DUMMYFUNCTION("""COMPUTED_VALUE"""),4)</f>
        <v>4</v>
      </c>
      <c r="Z194" s="4">
        <f ca="1">IFERROR(__xludf.DUMMYFUNCTION("""COMPUTED_VALUE"""),3)</f>
        <v>3</v>
      </c>
      <c r="AA194" s="4">
        <f ca="1">IFERROR(__xludf.DUMMYFUNCTION("""COMPUTED_VALUE"""),5)</f>
        <v>5</v>
      </c>
      <c r="AB194" s="4">
        <f ca="1">IFERROR(__xludf.DUMMYFUNCTION("""COMPUTED_VALUE"""),5)</f>
        <v>5</v>
      </c>
      <c r="AC194" s="4">
        <f ca="1">IFERROR(__xludf.DUMMYFUNCTION("""COMPUTED_VALUE"""),4)</f>
        <v>4</v>
      </c>
      <c r="AD194" s="4">
        <f ca="1">IFERROR(__xludf.DUMMYFUNCTION("""COMPUTED_VALUE"""),4)</f>
        <v>4</v>
      </c>
      <c r="AE194" s="4">
        <f ca="1">IFERROR(__xludf.DUMMYFUNCTION("""COMPUTED_VALUE"""),5)</f>
        <v>5</v>
      </c>
      <c r="AF194" s="4">
        <f ca="1">IFERROR(__xludf.DUMMYFUNCTION("""COMPUTED_VALUE"""),5)</f>
        <v>5</v>
      </c>
      <c r="AG194" s="4">
        <f ca="1">IFERROR(__xludf.DUMMYFUNCTION("""COMPUTED_VALUE"""),4)</f>
        <v>4</v>
      </c>
      <c r="AH194" s="4">
        <f ca="1">IFERROR(__xludf.DUMMYFUNCTION("""COMPUTED_VALUE"""),5)</f>
        <v>5</v>
      </c>
      <c r="AI194" s="4">
        <f ca="1">IFERROR(__xludf.DUMMYFUNCTION("""COMPUTED_VALUE"""),5)</f>
        <v>5</v>
      </c>
      <c r="AJ194" s="4">
        <f ca="1">IFERROR(__xludf.DUMMYFUNCTION("""COMPUTED_VALUE"""),4)</f>
        <v>4</v>
      </c>
      <c r="AK194" s="4">
        <f ca="1">IFERROR(__xludf.DUMMYFUNCTION("""COMPUTED_VALUE"""),4)</f>
        <v>4</v>
      </c>
      <c r="AL194" s="4">
        <f ca="1">IFERROR(__xludf.DUMMYFUNCTION("""COMPUTED_VALUE"""),4)</f>
        <v>4</v>
      </c>
      <c r="AM194" s="4">
        <f ca="1">IFERROR(__xludf.DUMMYFUNCTION("""COMPUTED_VALUE"""),4)</f>
        <v>4</v>
      </c>
      <c r="AN194" s="4">
        <f ca="1">IFERROR(__xludf.DUMMYFUNCTION("""COMPUTED_VALUE"""),4)</f>
        <v>4</v>
      </c>
      <c r="AO194" s="4">
        <f ca="1">IFERROR(__xludf.DUMMYFUNCTION("""COMPUTED_VALUE"""),4)</f>
        <v>4</v>
      </c>
      <c r="AP194" s="4">
        <f ca="1">IFERROR(__xludf.DUMMYFUNCTION("""COMPUTED_VALUE"""),4)</f>
        <v>4</v>
      </c>
      <c r="AQ194" s="4">
        <f ca="1">IFERROR(__xludf.DUMMYFUNCTION("""COMPUTED_VALUE"""),5)</f>
        <v>5</v>
      </c>
      <c r="AR194" s="4">
        <f ca="1">IFERROR(__xludf.DUMMYFUNCTION("""COMPUTED_VALUE"""),4)</f>
        <v>4</v>
      </c>
      <c r="AS194" s="4">
        <f ca="1">IFERROR(__xludf.DUMMYFUNCTION("""COMPUTED_VALUE"""),4)</f>
        <v>4</v>
      </c>
      <c r="AT194" s="4">
        <f ca="1">IFERROR(__xludf.DUMMYFUNCTION("""COMPUTED_VALUE"""),3)</f>
        <v>3</v>
      </c>
      <c r="AU194" s="4">
        <f ca="1">IFERROR(__xludf.DUMMYFUNCTION("""COMPUTED_VALUE"""),4)</f>
        <v>4</v>
      </c>
      <c r="AV194" s="4">
        <f ca="1">IFERROR(__xludf.DUMMYFUNCTION("""COMPUTED_VALUE"""),4)</f>
        <v>4</v>
      </c>
      <c r="AW194" s="4">
        <f ca="1">IFERROR(__xludf.DUMMYFUNCTION("""COMPUTED_VALUE"""),4)</f>
        <v>4</v>
      </c>
      <c r="AX194" s="4">
        <f ca="1">IFERROR(__xludf.DUMMYFUNCTION("""COMPUTED_VALUE"""),4)</f>
        <v>4</v>
      </c>
      <c r="AY194" s="4">
        <f ca="1">IFERROR(__xludf.DUMMYFUNCTION("""COMPUTED_VALUE"""),5)</f>
        <v>5</v>
      </c>
      <c r="AZ194" s="4">
        <f ca="1">IFERROR(__xludf.DUMMYFUNCTION("""COMPUTED_VALUE"""),5)</f>
        <v>5</v>
      </c>
      <c r="BA194" s="4">
        <f ca="1">IFERROR(__xludf.DUMMYFUNCTION("""COMPUTED_VALUE"""),5)</f>
        <v>5</v>
      </c>
      <c r="BB194" s="4">
        <f ca="1">IFERROR(__xludf.DUMMYFUNCTION("""COMPUTED_VALUE"""),4)</f>
        <v>4</v>
      </c>
      <c r="BC194" s="4">
        <f ca="1">IFERROR(__xludf.DUMMYFUNCTION("""COMPUTED_VALUE"""),4)</f>
        <v>4</v>
      </c>
      <c r="BD194" s="4">
        <f ca="1">IFERROR(__xludf.DUMMYFUNCTION("""COMPUTED_VALUE"""),4)</f>
        <v>4</v>
      </c>
      <c r="BE194" s="4">
        <f ca="1">IFERROR(__xludf.DUMMYFUNCTION("""COMPUTED_VALUE"""),3)</f>
        <v>3</v>
      </c>
      <c r="BF194" s="4">
        <f ca="1">IFERROR(__xludf.DUMMYFUNCTION("""COMPUTED_VALUE"""),4)</f>
        <v>4</v>
      </c>
      <c r="BG194" s="4">
        <f ca="1">IFERROR(__xludf.DUMMYFUNCTION("""COMPUTED_VALUE"""),4)</f>
        <v>4</v>
      </c>
      <c r="BH194" s="4">
        <f ca="1">IFERROR(__xludf.DUMMYFUNCTION("""COMPUTED_VALUE"""),5)</f>
        <v>5</v>
      </c>
      <c r="BI194" s="4">
        <f ca="1">IFERROR(__xludf.DUMMYFUNCTION("""COMPUTED_VALUE"""),5)</f>
        <v>5</v>
      </c>
      <c r="BJ194" s="4">
        <f ca="1">IFERROR(__xludf.DUMMYFUNCTION("""COMPUTED_VALUE"""),4)</f>
        <v>4</v>
      </c>
      <c r="BK194" s="4">
        <f ca="1">IFERROR(__xludf.DUMMYFUNCTION("""COMPUTED_VALUE"""),5)</f>
        <v>5</v>
      </c>
      <c r="BL194" s="4">
        <f ca="1">IFERROR(__xludf.DUMMYFUNCTION("""COMPUTED_VALUE"""),5)</f>
        <v>5</v>
      </c>
      <c r="BM194" s="4">
        <f ca="1">IFERROR(__xludf.DUMMYFUNCTION("""COMPUTED_VALUE"""),5)</f>
        <v>5</v>
      </c>
      <c r="BN194" s="4">
        <f ca="1">IFERROR(__xludf.DUMMYFUNCTION("""COMPUTED_VALUE"""),5)</f>
        <v>5</v>
      </c>
      <c r="BO194" s="4">
        <f ca="1">IFERROR(__xludf.DUMMYFUNCTION("""COMPUTED_VALUE"""),5)</f>
        <v>5</v>
      </c>
      <c r="BP194" s="4">
        <f ca="1">IFERROR(__xludf.DUMMYFUNCTION("""COMPUTED_VALUE"""),4)</f>
        <v>4</v>
      </c>
    </row>
    <row r="195" spans="1:68" ht="13.2" x14ac:dyDescent="0.25">
      <c r="A195" s="4" t="str">
        <f ca="1">IFERROR(__xludf.DUMMYFUNCTION("""COMPUTED_VALUE"""),"2_ABaOnufYcz0AqZOKWOzZV5yJtuqVuoF21OyxQ9Ua-p4J9uXpsX1DGEgsNogHKaS_KA")</f>
        <v>2_ABaOnufYcz0AqZOKWOzZV5yJtuqVuoF21OyxQ9Ua-p4J9uXpsX1DGEgsNogHKaS_KA</v>
      </c>
      <c r="B195" s="5">
        <f ca="1">IFERROR(__xludf.DUMMYFUNCTION("""COMPUTED_VALUE"""),45975.6082798032)</f>
        <v>45975.6082798032</v>
      </c>
      <c r="C195" s="4" t="str">
        <f ca="1">IFERROR(__xludf.DUMMYFUNCTION("""COMPUTED_VALUE"""),"Nhật Huy")</f>
        <v>Nhật Huy</v>
      </c>
      <c r="D195" s="4" t="str">
        <f ca="1">IFERROR(__xludf.DUMMYFUNCTION("""COMPUTED_VALUE"""),"Nam")</f>
        <v>Nam</v>
      </c>
      <c r="E195" s="4" t="str">
        <f ca="1">IFERROR(__xludf.DUMMYFUNCTION("""COMPUTED_VALUE"""),"AFC Việt Nam")</f>
        <v>AFC Việt Nam</v>
      </c>
      <c r="F195" s="4" t="str">
        <f ca="1">IFERROR(__xludf.DUMMYFUNCTION("""COMPUTED_VALUE"""),"Chứng chỉ Kiểm toán viên")</f>
        <v>Chứng chỉ Kiểm toán viên</v>
      </c>
      <c r="G195" s="4" t="str">
        <f ca="1">IFERROR(__xludf.DUMMYFUNCTION("""COMPUTED_VALUE"""),"Trên 10 đến 15 năm")</f>
        <v>Trên 10 đến 15 năm</v>
      </c>
      <c r="H195" s="4" t="str">
        <f ca="1">IFERROR(__xludf.DUMMYFUNCTION("""COMPUTED_VALUE"""),"Kiểm toán viên/Trưởng nhóm")</f>
        <v>Kiểm toán viên/Trưởng nhóm</v>
      </c>
      <c r="I195" s="4">
        <f ca="1">IFERROR(__xludf.DUMMYFUNCTION("""COMPUTED_VALUE"""),5)</f>
        <v>5</v>
      </c>
      <c r="J195" s="4">
        <f ca="1">IFERROR(__xludf.DUMMYFUNCTION("""COMPUTED_VALUE"""),4)</f>
        <v>4</v>
      </c>
      <c r="K195" s="4">
        <f ca="1">IFERROR(__xludf.DUMMYFUNCTION("""COMPUTED_VALUE"""),3)</f>
        <v>3</v>
      </c>
      <c r="L195" s="4">
        <f ca="1">IFERROR(__xludf.DUMMYFUNCTION("""COMPUTED_VALUE"""),3)</f>
        <v>3</v>
      </c>
      <c r="M195" s="4">
        <f ca="1">IFERROR(__xludf.DUMMYFUNCTION("""COMPUTED_VALUE"""),3)</f>
        <v>3</v>
      </c>
      <c r="N195" s="4">
        <f ca="1">IFERROR(__xludf.DUMMYFUNCTION("""COMPUTED_VALUE"""),2)</f>
        <v>2</v>
      </c>
      <c r="O195" s="4">
        <f ca="1">IFERROR(__xludf.DUMMYFUNCTION("""COMPUTED_VALUE"""),4)</f>
        <v>4</v>
      </c>
      <c r="P195" s="4">
        <f ca="1">IFERROR(__xludf.DUMMYFUNCTION("""COMPUTED_VALUE"""),4)</f>
        <v>4</v>
      </c>
      <c r="Q195" s="4">
        <f ca="1">IFERROR(__xludf.DUMMYFUNCTION("""COMPUTED_VALUE"""),3)</f>
        <v>3</v>
      </c>
      <c r="R195" s="4">
        <f ca="1">IFERROR(__xludf.DUMMYFUNCTION("""COMPUTED_VALUE"""),5)</f>
        <v>5</v>
      </c>
      <c r="S195" s="4">
        <f ca="1">IFERROR(__xludf.DUMMYFUNCTION("""COMPUTED_VALUE"""),4)</f>
        <v>4</v>
      </c>
      <c r="T195" s="4">
        <f ca="1">IFERROR(__xludf.DUMMYFUNCTION("""COMPUTED_VALUE"""),4)</f>
        <v>4</v>
      </c>
      <c r="U195" s="4">
        <f ca="1">IFERROR(__xludf.DUMMYFUNCTION("""COMPUTED_VALUE"""),5)</f>
        <v>5</v>
      </c>
      <c r="V195" s="4">
        <f ca="1">IFERROR(__xludf.DUMMYFUNCTION("""COMPUTED_VALUE"""),5)</f>
        <v>5</v>
      </c>
      <c r="W195" s="4">
        <f ca="1">IFERROR(__xludf.DUMMYFUNCTION("""COMPUTED_VALUE"""),3)</f>
        <v>3</v>
      </c>
      <c r="X195" s="4">
        <f ca="1">IFERROR(__xludf.DUMMYFUNCTION("""COMPUTED_VALUE"""),3)</f>
        <v>3</v>
      </c>
      <c r="Y195" s="4">
        <f ca="1">IFERROR(__xludf.DUMMYFUNCTION("""COMPUTED_VALUE"""),4)</f>
        <v>4</v>
      </c>
      <c r="Z195" s="4">
        <f ca="1">IFERROR(__xludf.DUMMYFUNCTION("""COMPUTED_VALUE"""),3)</f>
        <v>3</v>
      </c>
      <c r="AA195" s="4">
        <f ca="1">IFERROR(__xludf.DUMMYFUNCTION("""COMPUTED_VALUE"""),5)</f>
        <v>5</v>
      </c>
      <c r="AB195" s="4">
        <f ca="1">IFERROR(__xludf.DUMMYFUNCTION("""COMPUTED_VALUE"""),5)</f>
        <v>5</v>
      </c>
      <c r="AC195" s="4">
        <f ca="1">IFERROR(__xludf.DUMMYFUNCTION("""COMPUTED_VALUE"""),3)</f>
        <v>3</v>
      </c>
      <c r="AD195" s="4">
        <f ca="1">IFERROR(__xludf.DUMMYFUNCTION("""COMPUTED_VALUE"""),4)</f>
        <v>4</v>
      </c>
      <c r="AE195" s="4">
        <f ca="1">IFERROR(__xludf.DUMMYFUNCTION("""COMPUTED_VALUE"""),5)</f>
        <v>5</v>
      </c>
      <c r="AF195" s="4">
        <f ca="1">IFERROR(__xludf.DUMMYFUNCTION("""COMPUTED_VALUE"""),5)</f>
        <v>5</v>
      </c>
      <c r="AG195" s="4">
        <f ca="1">IFERROR(__xludf.DUMMYFUNCTION("""COMPUTED_VALUE"""),5)</f>
        <v>5</v>
      </c>
      <c r="AH195" s="4">
        <f ca="1">IFERROR(__xludf.DUMMYFUNCTION("""COMPUTED_VALUE"""),5)</f>
        <v>5</v>
      </c>
      <c r="AI195" s="4">
        <f ca="1">IFERROR(__xludf.DUMMYFUNCTION("""COMPUTED_VALUE"""),5)</f>
        <v>5</v>
      </c>
      <c r="AJ195" s="4">
        <f ca="1">IFERROR(__xludf.DUMMYFUNCTION("""COMPUTED_VALUE"""),4)</f>
        <v>4</v>
      </c>
      <c r="AK195" s="4">
        <f ca="1">IFERROR(__xludf.DUMMYFUNCTION("""COMPUTED_VALUE"""),5)</f>
        <v>5</v>
      </c>
      <c r="AL195" s="4">
        <f ca="1">IFERROR(__xludf.DUMMYFUNCTION("""COMPUTED_VALUE"""),4)</f>
        <v>4</v>
      </c>
      <c r="AM195" s="4">
        <f ca="1">IFERROR(__xludf.DUMMYFUNCTION("""COMPUTED_VALUE"""),3)</f>
        <v>3</v>
      </c>
      <c r="AN195" s="4">
        <f ca="1">IFERROR(__xludf.DUMMYFUNCTION("""COMPUTED_VALUE"""),4)</f>
        <v>4</v>
      </c>
      <c r="AO195" s="4">
        <f ca="1">IFERROR(__xludf.DUMMYFUNCTION("""COMPUTED_VALUE"""),3)</f>
        <v>3</v>
      </c>
      <c r="AP195" s="4">
        <f ca="1">IFERROR(__xludf.DUMMYFUNCTION("""COMPUTED_VALUE"""),3)</f>
        <v>3</v>
      </c>
      <c r="AQ195" s="4">
        <f ca="1">IFERROR(__xludf.DUMMYFUNCTION("""COMPUTED_VALUE"""),5)</f>
        <v>5</v>
      </c>
      <c r="AR195" s="4">
        <f ca="1">IFERROR(__xludf.DUMMYFUNCTION("""COMPUTED_VALUE"""),4)</f>
        <v>4</v>
      </c>
      <c r="AS195" s="4">
        <f ca="1">IFERROR(__xludf.DUMMYFUNCTION("""COMPUTED_VALUE"""),4)</f>
        <v>4</v>
      </c>
      <c r="AT195" s="4">
        <f ca="1">IFERROR(__xludf.DUMMYFUNCTION("""COMPUTED_VALUE"""),2)</f>
        <v>2</v>
      </c>
      <c r="AU195" s="4">
        <f ca="1">IFERROR(__xludf.DUMMYFUNCTION("""COMPUTED_VALUE"""),4)</f>
        <v>4</v>
      </c>
      <c r="AV195" s="4">
        <f ca="1">IFERROR(__xludf.DUMMYFUNCTION("""COMPUTED_VALUE"""),4)</f>
        <v>4</v>
      </c>
      <c r="AW195" s="4">
        <f ca="1">IFERROR(__xludf.DUMMYFUNCTION("""COMPUTED_VALUE"""),5)</f>
        <v>5</v>
      </c>
      <c r="AX195" s="4">
        <f ca="1">IFERROR(__xludf.DUMMYFUNCTION("""COMPUTED_VALUE"""),5)</f>
        <v>5</v>
      </c>
      <c r="AY195" s="4">
        <f ca="1">IFERROR(__xludf.DUMMYFUNCTION("""COMPUTED_VALUE"""),4)</f>
        <v>4</v>
      </c>
      <c r="AZ195" s="4">
        <f ca="1">IFERROR(__xludf.DUMMYFUNCTION("""COMPUTED_VALUE"""),4)</f>
        <v>4</v>
      </c>
      <c r="BA195" s="4">
        <f ca="1">IFERROR(__xludf.DUMMYFUNCTION("""COMPUTED_VALUE"""),4)</f>
        <v>4</v>
      </c>
      <c r="BB195" s="4">
        <f ca="1">IFERROR(__xludf.DUMMYFUNCTION("""COMPUTED_VALUE"""),4)</f>
        <v>4</v>
      </c>
      <c r="BC195" s="4">
        <f ca="1">IFERROR(__xludf.DUMMYFUNCTION("""COMPUTED_VALUE"""),2)</f>
        <v>2</v>
      </c>
      <c r="BD195" s="4">
        <f ca="1">IFERROR(__xludf.DUMMYFUNCTION("""COMPUTED_VALUE"""),3)</f>
        <v>3</v>
      </c>
      <c r="BE195" s="4">
        <f ca="1">IFERROR(__xludf.DUMMYFUNCTION("""COMPUTED_VALUE"""),2)</f>
        <v>2</v>
      </c>
      <c r="BF195" s="4">
        <f ca="1">IFERROR(__xludf.DUMMYFUNCTION("""COMPUTED_VALUE"""),2)</f>
        <v>2</v>
      </c>
      <c r="BG195" s="4">
        <f ca="1">IFERROR(__xludf.DUMMYFUNCTION("""COMPUTED_VALUE"""),3)</f>
        <v>3</v>
      </c>
      <c r="BH195" s="4">
        <f ca="1">IFERROR(__xludf.DUMMYFUNCTION("""COMPUTED_VALUE"""),4)</f>
        <v>4</v>
      </c>
      <c r="BI195" s="4">
        <f ca="1">IFERROR(__xludf.DUMMYFUNCTION("""COMPUTED_VALUE"""),4)</f>
        <v>4</v>
      </c>
      <c r="BJ195" s="4">
        <f ca="1">IFERROR(__xludf.DUMMYFUNCTION("""COMPUTED_VALUE"""),5)</f>
        <v>5</v>
      </c>
      <c r="BK195" s="4">
        <f ca="1">IFERROR(__xludf.DUMMYFUNCTION("""COMPUTED_VALUE"""),5)</f>
        <v>5</v>
      </c>
      <c r="BL195" s="4">
        <f ca="1">IFERROR(__xludf.DUMMYFUNCTION("""COMPUTED_VALUE"""),5)</f>
        <v>5</v>
      </c>
      <c r="BM195" s="4">
        <f ca="1">IFERROR(__xludf.DUMMYFUNCTION("""COMPUTED_VALUE"""),5)</f>
        <v>5</v>
      </c>
      <c r="BN195" s="4">
        <f ca="1">IFERROR(__xludf.DUMMYFUNCTION("""COMPUTED_VALUE"""),5)</f>
        <v>5</v>
      </c>
      <c r="BO195" s="4">
        <f ca="1">IFERROR(__xludf.DUMMYFUNCTION("""COMPUTED_VALUE"""),5)</f>
        <v>5</v>
      </c>
      <c r="BP195" s="4">
        <f ca="1">IFERROR(__xludf.DUMMYFUNCTION("""COMPUTED_VALUE"""),5)</f>
        <v>5</v>
      </c>
    </row>
    <row r="196" spans="1:68" ht="13.2" x14ac:dyDescent="0.25">
      <c r="A196" s="4" t="str">
        <f ca="1">IFERROR(__xludf.DUMMYFUNCTION("""COMPUTED_VALUE"""),"2_ABaOnuf2s6e_JMvdHxbni_ldA8qqlJlF1kC6W3mwnMlD00EG5ON1vtO3FjPSoiI8ig")</f>
        <v>2_ABaOnuf2s6e_JMvdHxbni_ldA8qqlJlF1kC6W3mwnMlD00EG5ON1vtO3FjPSoiI8ig</v>
      </c>
      <c r="B196" s="5">
        <f ca="1">IFERROR(__xludf.DUMMYFUNCTION("""COMPUTED_VALUE"""),45975.6169264004)</f>
        <v>45975.616926400398</v>
      </c>
      <c r="C196" s="4" t="str">
        <f ca="1">IFERROR(__xludf.DUMMYFUNCTION("""COMPUTED_VALUE"""),"Nguyễn Lê Ngọc Ái")</f>
        <v>Nguyễn Lê Ngọc Ái</v>
      </c>
      <c r="D196" s="4" t="str">
        <f ca="1">IFERROR(__xludf.DUMMYFUNCTION("""COMPUTED_VALUE"""),"Nữ")</f>
        <v>Nữ</v>
      </c>
      <c r="E196" s="4" t="str">
        <f ca="1">IFERROR(__xludf.DUMMYFUNCTION("""COMPUTED_VALUE"""),"Công ty TNHH Kiểm toán NVA")</f>
        <v>Công ty TNHH Kiểm toán NVA</v>
      </c>
      <c r="F196" s="4" t="str">
        <f ca="1">IFERROR(__xludf.DUMMYFUNCTION("""COMPUTED_VALUE"""),"Đại học")</f>
        <v>Đại học</v>
      </c>
      <c r="G196" s="4" t="str">
        <f ca="1">IFERROR(__xludf.DUMMYFUNCTION("""COMPUTED_VALUE"""),"Từ 3 đến 5 năm")</f>
        <v>Từ 3 đến 5 năm</v>
      </c>
      <c r="H196" s="4" t="str">
        <f ca="1">IFERROR(__xludf.DUMMYFUNCTION("""COMPUTED_VALUE"""),"Trợ lý kiểm toán")</f>
        <v>Trợ lý kiểm toán</v>
      </c>
      <c r="I196" s="4">
        <f ca="1">IFERROR(__xludf.DUMMYFUNCTION("""COMPUTED_VALUE"""),5)</f>
        <v>5</v>
      </c>
      <c r="J196" s="4">
        <f ca="1">IFERROR(__xludf.DUMMYFUNCTION("""COMPUTED_VALUE"""),4)</f>
        <v>4</v>
      </c>
      <c r="K196" s="4">
        <f ca="1">IFERROR(__xludf.DUMMYFUNCTION("""COMPUTED_VALUE"""),4)</f>
        <v>4</v>
      </c>
      <c r="L196" s="4">
        <f ca="1">IFERROR(__xludf.DUMMYFUNCTION("""COMPUTED_VALUE"""),4)</f>
        <v>4</v>
      </c>
      <c r="M196" s="4">
        <f ca="1">IFERROR(__xludf.DUMMYFUNCTION("""COMPUTED_VALUE"""),4)</f>
        <v>4</v>
      </c>
      <c r="N196" s="4">
        <f ca="1">IFERROR(__xludf.DUMMYFUNCTION("""COMPUTED_VALUE"""),5)</f>
        <v>5</v>
      </c>
      <c r="O196" s="4">
        <f ca="1">IFERROR(__xludf.DUMMYFUNCTION("""COMPUTED_VALUE"""),5)</f>
        <v>5</v>
      </c>
      <c r="P196" s="4">
        <f ca="1">IFERROR(__xludf.DUMMYFUNCTION("""COMPUTED_VALUE"""),5)</f>
        <v>5</v>
      </c>
      <c r="Q196" s="4">
        <f ca="1">IFERROR(__xludf.DUMMYFUNCTION("""COMPUTED_VALUE"""),5)</f>
        <v>5</v>
      </c>
      <c r="R196" s="4">
        <f ca="1">IFERROR(__xludf.DUMMYFUNCTION("""COMPUTED_VALUE"""),5)</f>
        <v>5</v>
      </c>
      <c r="S196" s="4">
        <f ca="1">IFERROR(__xludf.DUMMYFUNCTION("""COMPUTED_VALUE"""),5)</f>
        <v>5</v>
      </c>
      <c r="T196" s="4">
        <f ca="1">IFERROR(__xludf.DUMMYFUNCTION("""COMPUTED_VALUE"""),5)</f>
        <v>5</v>
      </c>
      <c r="U196" s="4">
        <f ca="1">IFERROR(__xludf.DUMMYFUNCTION("""COMPUTED_VALUE"""),5)</f>
        <v>5</v>
      </c>
      <c r="V196" s="4">
        <f ca="1">IFERROR(__xludf.DUMMYFUNCTION("""COMPUTED_VALUE"""),5)</f>
        <v>5</v>
      </c>
      <c r="W196" s="4">
        <f ca="1">IFERROR(__xludf.DUMMYFUNCTION("""COMPUTED_VALUE"""),4)</f>
        <v>4</v>
      </c>
      <c r="X196" s="4">
        <f ca="1">IFERROR(__xludf.DUMMYFUNCTION("""COMPUTED_VALUE"""),4)</f>
        <v>4</v>
      </c>
      <c r="Y196" s="4">
        <f ca="1">IFERROR(__xludf.DUMMYFUNCTION("""COMPUTED_VALUE"""),4)</f>
        <v>4</v>
      </c>
      <c r="Z196" s="4">
        <f ca="1">IFERROR(__xludf.DUMMYFUNCTION("""COMPUTED_VALUE"""),3)</f>
        <v>3</v>
      </c>
      <c r="AA196" s="4">
        <f ca="1">IFERROR(__xludf.DUMMYFUNCTION("""COMPUTED_VALUE"""),5)</f>
        <v>5</v>
      </c>
      <c r="AB196" s="4">
        <f ca="1">IFERROR(__xludf.DUMMYFUNCTION("""COMPUTED_VALUE"""),3)</f>
        <v>3</v>
      </c>
      <c r="AC196" s="4">
        <f ca="1">IFERROR(__xludf.DUMMYFUNCTION("""COMPUTED_VALUE"""),3)</f>
        <v>3</v>
      </c>
      <c r="AD196" s="4">
        <f ca="1">IFERROR(__xludf.DUMMYFUNCTION("""COMPUTED_VALUE"""),4)</f>
        <v>4</v>
      </c>
      <c r="AE196" s="4">
        <f ca="1">IFERROR(__xludf.DUMMYFUNCTION("""COMPUTED_VALUE"""),4)</f>
        <v>4</v>
      </c>
      <c r="AF196" s="4">
        <f ca="1">IFERROR(__xludf.DUMMYFUNCTION("""COMPUTED_VALUE"""),4)</f>
        <v>4</v>
      </c>
      <c r="AG196" s="4">
        <f ca="1">IFERROR(__xludf.DUMMYFUNCTION("""COMPUTED_VALUE"""),4)</f>
        <v>4</v>
      </c>
      <c r="AH196" s="4">
        <f ca="1">IFERROR(__xludf.DUMMYFUNCTION("""COMPUTED_VALUE"""),4)</f>
        <v>4</v>
      </c>
      <c r="AI196" s="4">
        <f ca="1">IFERROR(__xludf.DUMMYFUNCTION("""COMPUTED_VALUE"""),4)</f>
        <v>4</v>
      </c>
      <c r="AJ196" s="4">
        <f ca="1">IFERROR(__xludf.DUMMYFUNCTION("""COMPUTED_VALUE"""),4)</f>
        <v>4</v>
      </c>
      <c r="AK196" s="4">
        <f ca="1">IFERROR(__xludf.DUMMYFUNCTION("""COMPUTED_VALUE"""),4)</f>
        <v>4</v>
      </c>
      <c r="AL196" s="4">
        <f ca="1">IFERROR(__xludf.DUMMYFUNCTION("""COMPUTED_VALUE"""),4)</f>
        <v>4</v>
      </c>
      <c r="AM196" s="4">
        <f ca="1">IFERROR(__xludf.DUMMYFUNCTION("""COMPUTED_VALUE"""),4)</f>
        <v>4</v>
      </c>
      <c r="AN196" s="4">
        <f ca="1">IFERROR(__xludf.DUMMYFUNCTION("""COMPUTED_VALUE"""),4)</f>
        <v>4</v>
      </c>
      <c r="AO196" s="4">
        <f ca="1">IFERROR(__xludf.DUMMYFUNCTION("""COMPUTED_VALUE"""),5)</f>
        <v>5</v>
      </c>
      <c r="AP196" s="4">
        <f ca="1">IFERROR(__xludf.DUMMYFUNCTION("""COMPUTED_VALUE"""),5)</f>
        <v>5</v>
      </c>
      <c r="AQ196" s="4">
        <f ca="1">IFERROR(__xludf.DUMMYFUNCTION("""COMPUTED_VALUE"""),5)</f>
        <v>5</v>
      </c>
      <c r="AR196" s="4">
        <f ca="1">IFERROR(__xludf.DUMMYFUNCTION("""COMPUTED_VALUE"""),5)</f>
        <v>5</v>
      </c>
      <c r="AS196" s="4">
        <f ca="1">IFERROR(__xludf.DUMMYFUNCTION("""COMPUTED_VALUE"""),5)</f>
        <v>5</v>
      </c>
      <c r="AT196" s="4">
        <f ca="1">IFERROR(__xludf.DUMMYFUNCTION("""COMPUTED_VALUE"""),5)</f>
        <v>5</v>
      </c>
      <c r="AU196" s="4">
        <f ca="1">IFERROR(__xludf.DUMMYFUNCTION("""COMPUTED_VALUE"""),5)</f>
        <v>5</v>
      </c>
      <c r="AV196" s="4">
        <f ca="1">IFERROR(__xludf.DUMMYFUNCTION("""COMPUTED_VALUE"""),5)</f>
        <v>5</v>
      </c>
      <c r="AW196" s="4">
        <f ca="1">IFERROR(__xludf.DUMMYFUNCTION("""COMPUTED_VALUE"""),5)</f>
        <v>5</v>
      </c>
      <c r="AX196" s="4">
        <f ca="1">IFERROR(__xludf.DUMMYFUNCTION("""COMPUTED_VALUE"""),5)</f>
        <v>5</v>
      </c>
      <c r="AY196" s="4">
        <f ca="1">IFERROR(__xludf.DUMMYFUNCTION("""COMPUTED_VALUE"""),5)</f>
        <v>5</v>
      </c>
      <c r="AZ196" s="4">
        <f ca="1">IFERROR(__xludf.DUMMYFUNCTION("""COMPUTED_VALUE"""),5)</f>
        <v>5</v>
      </c>
      <c r="BA196" s="4">
        <f ca="1">IFERROR(__xludf.DUMMYFUNCTION("""COMPUTED_VALUE"""),5)</f>
        <v>5</v>
      </c>
      <c r="BB196" s="4">
        <f ca="1">IFERROR(__xludf.DUMMYFUNCTION("""COMPUTED_VALUE"""),4)</f>
        <v>4</v>
      </c>
      <c r="BC196" s="4">
        <f ca="1">IFERROR(__xludf.DUMMYFUNCTION("""COMPUTED_VALUE"""),4)</f>
        <v>4</v>
      </c>
      <c r="BD196" s="4">
        <f ca="1">IFERROR(__xludf.DUMMYFUNCTION("""COMPUTED_VALUE"""),4)</f>
        <v>4</v>
      </c>
      <c r="BE196" s="4">
        <f ca="1">IFERROR(__xludf.DUMMYFUNCTION("""COMPUTED_VALUE"""),4)</f>
        <v>4</v>
      </c>
      <c r="BF196" s="4">
        <f ca="1">IFERROR(__xludf.DUMMYFUNCTION("""COMPUTED_VALUE"""),4)</f>
        <v>4</v>
      </c>
      <c r="BG196" s="4">
        <f ca="1">IFERROR(__xludf.DUMMYFUNCTION("""COMPUTED_VALUE"""),4)</f>
        <v>4</v>
      </c>
      <c r="BH196" s="4">
        <f ca="1">IFERROR(__xludf.DUMMYFUNCTION("""COMPUTED_VALUE"""),4)</f>
        <v>4</v>
      </c>
      <c r="BI196" s="4">
        <f ca="1">IFERROR(__xludf.DUMMYFUNCTION("""COMPUTED_VALUE"""),4)</f>
        <v>4</v>
      </c>
      <c r="BJ196" s="4">
        <f ca="1">IFERROR(__xludf.DUMMYFUNCTION("""COMPUTED_VALUE"""),4)</f>
        <v>4</v>
      </c>
      <c r="BK196" s="4">
        <f ca="1">IFERROR(__xludf.DUMMYFUNCTION("""COMPUTED_VALUE"""),4)</f>
        <v>4</v>
      </c>
      <c r="BL196" s="4">
        <f ca="1">IFERROR(__xludf.DUMMYFUNCTION("""COMPUTED_VALUE"""),4)</f>
        <v>4</v>
      </c>
      <c r="BM196" s="4">
        <f ca="1">IFERROR(__xludf.DUMMYFUNCTION("""COMPUTED_VALUE"""),4)</f>
        <v>4</v>
      </c>
      <c r="BN196" s="4">
        <f ca="1">IFERROR(__xludf.DUMMYFUNCTION("""COMPUTED_VALUE"""),4)</f>
        <v>4</v>
      </c>
      <c r="BO196" s="4">
        <f ca="1">IFERROR(__xludf.DUMMYFUNCTION("""COMPUTED_VALUE"""),4)</f>
        <v>4</v>
      </c>
      <c r="BP196" s="4">
        <f ca="1">IFERROR(__xludf.DUMMYFUNCTION("""COMPUTED_VALUE"""),4)</f>
        <v>4</v>
      </c>
    </row>
    <row r="197" spans="1:68" ht="13.2" x14ac:dyDescent="0.25">
      <c r="A197" s="4" t="str">
        <f ca="1">IFERROR(__xludf.DUMMYFUNCTION("""COMPUTED_VALUE"""),"2_ABaOnucfEIQvCcesXbmB2OFb5LJIF8CbHwYuMQ5V309-94FHA8LRCZJtNXjUP045YA")</f>
        <v>2_ABaOnucfEIQvCcesXbmB2OFb5LJIF8CbHwYuMQ5V309-94FHA8LRCZJtNXjUP045YA</v>
      </c>
      <c r="B197" s="5">
        <f ca="1">IFERROR(__xludf.DUMMYFUNCTION("""COMPUTED_VALUE"""),45975.625561956)</f>
        <v>45975.625561956003</v>
      </c>
      <c r="C197" s="4" t="str">
        <f ca="1">IFERROR(__xludf.DUMMYFUNCTION("""COMPUTED_VALUE"""),"Trần Văn Quân")</f>
        <v>Trần Văn Quân</v>
      </c>
      <c r="D197" s="4" t="str">
        <f ca="1">IFERROR(__xludf.DUMMYFUNCTION("""COMPUTED_VALUE"""),"Nam")</f>
        <v>Nam</v>
      </c>
      <c r="E197" s="4" t="str">
        <f ca="1">IFERROR(__xludf.DUMMYFUNCTION("""COMPUTED_VALUE"""),"Công ty TNHH Kiểm toán NVA")</f>
        <v>Công ty TNHH Kiểm toán NVA</v>
      </c>
      <c r="F197" s="4" t="str">
        <f ca="1">IFERROR(__xludf.DUMMYFUNCTION("""COMPUTED_VALUE"""),"Chứng chỉ Kiểm toán viên")</f>
        <v>Chứng chỉ Kiểm toán viên</v>
      </c>
      <c r="G197" s="4" t="str">
        <f ca="1">IFERROR(__xludf.DUMMYFUNCTION("""COMPUTED_VALUE"""),"Trên 5 đến 10 năm")</f>
        <v>Trên 5 đến 10 năm</v>
      </c>
      <c r="H197" s="4" t="str">
        <f ca="1">IFERROR(__xludf.DUMMYFUNCTION("""COMPUTED_VALUE"""),"Kiểm toán viên/Trưởng nhóm")</f>
        <v>Kiểm toán viên/Trưởng nhóm</v>
      </c>
      <c r="I197" s="4">
        <f ca="1">IFERROR(__xludf.DUMMYFUNCTION("""COMPUTED_VALUE"""),5)</f>
        <v>5</v>
      </c>
      <c r="J197" s="4">
        <f ca="1">IFERROR(__xludf.DUMMYFUNCTION("""COMPUTED_VALUE"""),5)</f>
        <v>5</v>
      </c>
      <c r="K197" s="4">
        <f ca="1">IFERROR(__xludf.DUMMYFUNCTION("""COMPUTED_VALUE"""),5)</f>
        <v>5</v>
      </c>
      <c r="L197" s="4">
        <f ca="1">IFERROR(__xludf.DUMMYFUNCTION("""COMPUTED_VALUE"""),5)</f>
        <v>5</v>
      </c>
      <c r="M197" s="4">
        <f ca="1">IFERROR(__xludf.DUMMYFUNCTION("""COMPUTED_VALUE"""),5)</f>
        <v>5</v>
      </c>
      <c r="N197" s="4">
        <f ca="1">IFERROR(__xludf.DUMMYFUNCTION("""COMPUTED_VALUE"""),5)</f>
        <v>5</v>
      </c>
      <c r="O197" s="4">
        <f ca="1">IFERROR(__xludf.DUMMYFUNCTION("""COMPUTED_VALUE"""),5)</f>
        <v>5</v>
      </c>
      <c r="P197" s="4">
        <f ca="1">IFERROR(__xludf.DUMMYFUNCTION("""COMPUTED_VALUE"""),5)</f>
        <v>5</v>
      </c>
      <c r="Q197" s="4">
        <f ca="1">IFERROR(__xludf.DUMMYFUNCTION("""COMPUTED_VALUE"""),5)</f>
        <v>5</v>
      </c>
      <c r="R197" s="4">
        <f ca="1">IFERROR(__xludf.DUMMYFUNCTION("""COMPUTED_VALUE"""),4)</f>
        <v>4</v>
      </c>
      <c r="S197" s="4">
        <f ca="1">IFERROR(__xludf.DUMMYFUNCTION("""COMPUTED_VALUE"""),4)</f>
        <v>4</v>
      </c>
      <c r="T197" s="4">
        <f ca="1">IFERROR(__xludf.DUMMYFUNCTION("""COMPUTED_VALUE"""),4)</f>
        <v>4</v>
      </c>
      <c r="U197" s="4">
        <f ca="1">IFERROR(__xludf.DUMMYFUNCTION("""COMPUTED_VALUE"""),5)</f>
        <v>5</v>
      </c>
      <c r="V197" s="4">
        <f ca="1">IFERROR(__xludf.DUMMYFUNCTION("""COMPUTED_VALUE"""),5)</f>
        <v>5</v>
      </c>
      <c r="W197" s="4">
        <f ca="1">IFERROR(__xludf.DUMMYFUNCTION("""COMPUTED_VALUE"""),4)</f>
        <v>4</v>
      </c>
      <c r="X197" s="4">
        <f ca="1">IFERROR(__xludf.DUMMYFUNCTION("""COMPUTED_VALUE"""),4)</f>
        <v>4</v>
      </c>
      <c r="Y197" s="4">
        <f ca="1">IFERROR(__xludf.DUMMYFUNCTION("""COMPUTED_VALUE"""),4)</f>
        <v>4</v>
      </c>
      <c r="Z197" s="4">
        <f ca="1">IFERROR(__xludf.DUMMYFUNCTION("""COMPUTED_VALUE"""),4)</f>
        <v>4</v>
      </c>
      <c r="AA197" s="4">
        <f ca="1">IFERROR(__xludf.DUMMYFUNCTION("""COMPUTED_VALUE"""),5)</f>
        <v>5</v>
      </c>
      <c r="AB197" s="4">
        <f ca="1">IFERROR(__xludf.DUMMYFUNCTION("""COMPUTED_VALUE"""),4)</f>
        <v>4</v>
      </c>
      <c r="AC197" s="4">
        <f ca="1">IFERROR(__xludf.DUMMYFUNCTION("""COMPUTED_VALUE"""),4)</f>
        <v>4</v>
      </c>
      <c r="AD197" s="4">
        <f ca="1">IFERROR(__xludf.DUMMYFUNCTION("""COMPUTED_VALUE"""),4)</f>
        <v>4</v>
      </c>
      <c r="AE197" s="4">
        <f ca="1">IFERROR(__xludf.DUMMYFUNCTION("""COMPUTED_VALUE"""),4)</f>
        <v>4</v>
      </c>
      <c r="AF197" s="4">
        <f ca="1">IFERROR(__xludf.DUMMYFUNCTION("""COMPUTED_VALUE"""),5)</f>
        <v>5</v>
      </c>
      <c r="AG197" s="4">
        <f ca="1">IFERROR(__xludf.DUMMYFUNCTION("""COMPUTED_VALUE"""),5)</f>
        <v>5</v>
      </c>
      <c r="AH197" s="4">
        <f ca="1">IFERROR(__xludf.DUMMYFUNCTION("""COMPUTED_VALUE"""),5)</f>
        <v>5</v>
      </c>
      <c r="AI197" s="4">
        <f ca="1">IFERROR(__xludf.DUMMYFUNCTION("""COMPUTED_VALUE"""),5)</f>
        <v>5</v>
      </c>
      <c r="AJ197" s="4">
        <f ca="1">IFERROR(__xludf.DUMMYFUNCTION("""COMPUTED_VALUE"""),5)</f>
        <v>5</v>
      </c>
      <c r="AK197" s="4">
        <f ca="1">IFERROR(__xludf.DUMMYFUNCTION("""COMPUTED_VALUE"""),5)</f>
        <v>5</v>
      </c>
      <c r="AL197" s="4">
        <f ca="1">IFERROR(__xludf.DUMMYFUNCTION("""COMPUTED_VALUE"""),5)</f>
        <v>5</v>
      </c>
      <c r="AM197" s="4">
        <f ca="1">IFERROR(__xludf.DUMMYFUNCTION("""COMPUTED_VALUE"""),4)</f>
        <v>4</v>
      </c>
      <c r="AN197" s="4">
        <f ca="1">IFERROR(__xludf.DUMMYFUNCTION("""COMPUTED_VALUE"""),4)</f>
        <v>4</v>
      </c>
      <c r="AO197" s="4">
        <f ca="1">IFERROR(__xludf.DUMMYFUNCTION("""COMPUTED_VALUE"""),3)</f>
        <v>3</v>
      </c>
      <c r="AP197" s="4">
        <f ca="1">IFERROR(__xludf.DUMMYFUNCTION("""COMPUTED_VALUE"""),3)</f>
        <v>3</v>
      </c>
      <c r="AQ197" s="4">
        <f ca="1">IFERROR(__xludf.DUMMYFUNCTION("""COMPUTED_VALUE"""),4)</f>
        <v>4</v>
      </c>
      <c r="AR197" s="4">
        <f ca="1">IFERROR(__xludf.DUMMYFUNCTION("""COMPUTED_VALUE"""),4)</f>
        <v>4</v>
      </c>
      <c r="AS197" s="4">
        <f ca="1">IFERROR(__xludf.DUMMYFUNCTION("""COMPUTED_VALUE"""),4)</f>
        <v>4</v>
      </c>
      <c r="AT197" s="4">
        <f ca="1">IFERROR(__xludf.DUMMYFUNCTION("""COMPUTED_VALUE"""),4)</f>
        <v>4</v>
      </c>
      <c r="AU197" s="4">
        <f ca="1">IFERROR(__xludf.DUMMYFUNCTION("""COMPUTED_VALUE"""),4)</f>
        <v>4</v>
      </c>
      <c r="AV197" s="4">
        <f ca="1">IFERROR(__xludf.DUMMYFUNCTION("""COMPUTED_VALUE"""),4)</f>
        <v>4</v>
      </c>
      <c r="AW197" s="4">
        <f ca="1">IFERROR(__xludf.DUMMYFUNCTION("""COMPUTED_VALUE"""),4)</f>
        <v>4</v>
      </c>
      <c r="AX197" s="4">
        <f ca="1">IFERROR(__xludf.DUMMYFUNCTION("""COMPUTED_VALUE"""),5)</f>
        <v>5</v>
      </c>
      <c r="AY197" s="4">
        <f ca="1">IFERROR(__xludf.DUMMYFUNCTION("""COMPUTED_VALUE"""),5)</f>
        <v>5</v>
      </c>
      <c r="AZ197" s="4">
        <f ca="1">IFERROR(__xludf.DUMMYFUNCTION("""COMPUTED_VALUE"""),5)</f>
        <v>5</v>
      </c>
      <c r="BA197" s="4">
        <f ca="1">IFERROR(__xludf.DUMMYFUNCTION("""COMPUTED_VALUE"""),5)</f>
        <v>5</v>
      </c>
      <c r="BB197" s="4">
        <f ca="1">IFERROR(__xludf.DUMMYFUNCTION("""COMPUTED_VALUE"""),3)</f>
        <v>3</v>
      </c>
      <c r="BC197" s="4">
        <f ca="1">IFERROR(__xludf.DUMMYFUNCTION("""COMPUTED_VALUE"""),2)</f>
        <v>2</v>
      </c>
      <c r="BD197" s="4">
        <f ca="1">IFERROR(__xludf.DUMMYFUNCTION("""COMPUTED_VALUE"""),2)</f>
        <v>2</v>
      </c>
      <c r="BE197" s="4">
        <f ca="1">IFERROR(__xludf.DUMMYFUNCTION("""COMPUTED_VALUE"""),2)</f>
        <v>2</v>
      </c>
      <c r="BF197" s="4">
        <f ca="1">IFERROR(__xludf.DUMMYFUNCTION("""COMPUTED_VALUE"""),2)</f>
        <v>2</v>
      </c>
      <c r="BG197" s="4">
        <f ca="1">IFERROR(__xludf.DUMMYFUNCTION("""COMPUTED_VALUE"""),2)</f>
        <v>2</v>
      </c>
      <c r="BH197" s="4">
        <f ca="1">IFERROR(__xludf.DUMMYFUNCTION("""COMPUTED_VALUE"""),5)</f>
        <v>5</v>
      </c>
      <c r="BI197" s="4">
        <f ca="1">IFERROR(__xludf.DUMMYFUNCTION("""COMPUTED_VALUE"""),5)</f>
        <v>5</v>
      </c>
      <c r="BJ197" s="4">
        <f ca="1">IFERROR(__xludf.DUMMYFUNCTION("""COMPUTED_VALUE"""),5)</f>
        <v>5</v>
      </c>
      <c r="BK197" s="4">
        <f ca="1">IFERROR(__xludf.DUMMYFUNCTION("""COMPUTED_VALUE"""),5)</f>
        <v>5</v>
      </c>
      <c r="BL197" s="4">
        <f ca="1">IFERROR(__xludf.DUMMYFUNCTION("""COMPUTED_VALUE"""),5)</f>
        <v>5</v>
      </c>
      <c r="BM197" s="4">
        <f ca="1">IFERROR(__xludf.DUMMYFUNCTION("""COMPUTED_VALUE"""),5)</f>
        <v>5</v>
      </c>
      <c r="BN197" s="4">
        <f ca="1">IFERROR(__xludf.DUMMYFUNCTION("""COMPUTED_VALUE"""),5)</f>
        <v>5</v>
      </c>
      <c r="BO197" s="4">
        <f ca="1">IFERROR(__xludf.DUMMYFUNCTION("""COMPUTED_VALUE"""),5)</f>
        <v>5</v>
      </c>
      <c r="BP197" s="4">
        <f ca="1">IFERROR(__xludf.DUMMYFUNCTION("""COMPUTED_VALUE"""),4)</f>
        <v>4</v>
      </c>
    </row>
    <row r="198" spans="1:68" ht="13.2" x14ac:dyDescent="0.25">
      <c r="A198" s="4" t="str">
        <f ca="1">IFERROR(__xludf.DUMMYFUNCTION("""COMPUTED_VALUE"""),"2_ABaOnucbWPDPZfVC0RJcvTc7pij321C9BXzBDatv3Np9v96B0komf-2u2mBviBJ8eg")</f>
        <v>2_ABaOnucbWPDPZfVC0RJcvTc7pij321C9BXzBDatv3Np9v96B0komf-2u2mBviBJ8eg</v>
      </c>
      <c r="B198" s="5">
        <f ca="1">IFERROR(__xludf.DUMMYFUNCTION("""COMPUTED_VALUE"""),45975.6497355671)</f>
        <v>45975.649735567102</v>
      </c>
      <c r="C198" s="4" t="str">
        <f ca="1">IFERROR(__xludf.DUMMYFUNCTION("""COMPUTED_VALUE"""),"Nguyễn Hữu Nghi")</f>
        <v>Nguyễn Hữu Nghi</v>
      </c>
      <c r="D198" s="4" t="str">
        <f ca="1">IFERROR(__xludf.DUMMYFUNCTION("""COMPUTED_VALUE"""),"Nam")</f>
        <v>Nam</v>
      </c>
      <c r="E198" s="4" t="str">
        <f ca="1">IFERROR(__xludf.DUMMYFUNCTION("""COMPUTED_VALUE"""),"Công ty TNHH Kiểm toán và Tư vấn A&amp;C - Chi nhánh Cần Thơ")</f>
        <v>Công ty TNHH Kiểm toán và Tư vấn A&amp;C - Chi nhánh Cần Thơ</v>
      </c>
      <c r="F198" s="4" t="str">
        <f ca="1">IFERROR(__xludf.DUMMYFUNCTION("""COMPUTED_VALUE"""),"Đại học, Chứng chỉ Kiểm toán viên")</f>
        <v>Đại học, Chứng chỉ Kiểm toán viên</v>
      </c>
      <c r="G198" s="4" t="str">
        <f ca="1">IFERROR(__xludf.DUMMYFUNCTION("""COMPUTED_VALUE"""),"Trên 15 đến 20 năm")</f>
        <v>Trên 15 đến 20 năm</v>
      </c>
      <c r="H198" s="4" t="str">
        <f ca="1">IFERROR(__xludf.DUMMYFUNCTION("""COMPUTED_VALUE"""),"Kiểm toán viên/Trưởng nhóm")</f>
        <v>Kiểm toán viên/Trưởng nhóm</v>
      </c>
      <c r="I198" s="4">
        <f ca="1">IFERROR(__xludf.DUMMYFUNCTION("""COMPUTED_VALUE"""),4)</f>
        <v>4</v>
      </c>
      <c r="J198" s="4">
        <f ca="1">IFERROR(__xludf.DUMMYFUNCTION("""COMPUTED_VALUE"""),4)</f>
        <v>4</v>
      </c>
      <c r="K198" s="4">
        <f ca="1">IFERROR(__xludf.DUMMYFUNCTION("""COMPUTED_VALUE"""),4)</f>
        <v>4</v>
      </c>
      <c r="L198" s="4">
        <f ca="1">IFERROR(__xludf.DUMMYFUNCTION("""COMPUTED_VALUE"""),4)</f>
        <v>4</v>
      </c>
      <c r="M198" s="4">
        <f ca="1">IFERROR(__xludf.DUMMYFUNCTION("""COMPUTED_VALUE"""),4)</f>
        <v>4</v>
      </c>
      <c r="N198" s="4">
        <f ca="1">IFERROR(__xludf.DUMMYFUNCTION("""COMPUTED_VALUE"""),4)</f>
        <v>4</v>
      </c>
      <c r="O198" s="4">
        <f ca="1">IFERROR(__xludf.DUMMYFUNCTION("""COMPUTED_VALUE"""),4)</f>
        <v>4</v>
      </c>
      <c r="P198" s="4">
        <f ca="1">IFERROR(__xludf.DUMMYFUNCTION("""COMPUTED_VALUE"""),4)</f>
        <v>4</v>
      </c>
      <c r="Q198" s="4">
        <f ca="1">IFERROR(__xludf.DUMMYFUNCTION("""COMPUTED_VALUE"""),4)</f>
        <v>4</v>
      </c>
      <c r="R198" s="4">
        <f ca="1">IFERROR(__xludf.DUMMYFUNCTION("""COMPUTED_VALUE"""),4)</f>
        <v>4</v>
      </c>
      <c r="S198" s="4">
        <f ca="1">IFERROR(__xludf.DUMMYFUNCTION("""COMPUTED_VALUE"""),4)</f>
        <v>4</v>
      </c>
      <c r="T198" s="4">
        <f ca="1">IFERROR(__xludf.DUMMYFUNCTION("""COMPUTED_VALUE"""),4)</f>
        <v>4</v>
      </c>
      <c r="U198" s="4">
        <f ca="1">IFERROR(__xludf.DUMMYFUNCTION("""COMPUTED_VALUE"""),4)</f>
        <v>4</v>
      </c>
      <c r="V198" s="4">
        <f ca="1">IFERROR(__xludf.DUMMYFUNCTION("""COMPUTED_VALUE"""),4)</f>
        <v>4</v>
      </c>
      <c r="W198" s="4">
        <f ca="1">IFERROR(__xludf.DUMMYFUNCTION("""COMPUTED_VALUE"""),4)</f>
        <v>4</v>
      </c>
      <c r="X198" s="4">
        <f ca="1">IFERROR(__xludf.DUMMYFUNCTION("""COMPUTED_VALUE"""),4)</f>
        <v>4</v>
      </c>
      <c r="Y198" s="4">
        <f ca="1">IFERROR(__xludf.DUMMYFUNCTION("""COMPUTED_VALUE"""),4)</f>
        <v>4</v>
      </c>
      <c r="Z198" s="4">
        <f ca="1">IFERROR(__xludf.DUMMYFUNCTION("""COMPUTED_VALUE"""),4)</f>
        <v>4</v>
      </c>
      <c r="AA198" s="4">
        <f ca="1">IFERROR(__xludf.DUMMYFUNCTION("""COMPUTED_VALUE"""),4)</f>
        <v>4</v>
      </c>
      <c r="AB198" s="4">
        <f ca="1">IFERROR(__xludf.DUMMYFUNCTION("""COMPUTED_VALUE"""),4)</f>
        <v>4</v>
      </c>
      <c r="AC198" s="4">
        <f ca="1">IFERROR(__xludf.DUMMYFUNCTION("""COMPUTED_VALUE"""),4)</f>
        <v>4</v>
      </c>
      <c r="AD198" s="4">
        <f ca="1">IFERROR(__xludf.DUMMYFUNCTION("""COMPUTED_VALUE"""),4)</f>
        <v>4</v>
      </c>
      <c r="AE198" s="4">
        <f ca="1">IFERROR(__xludf.DUMMYFUNCTION("""COMPUTED_VALUE"""),4)</f>
        <v>4</v>
      </c>
      <c r="AF198" s="4">
        <f ca="1">IFERROR(__xludf.DUMMYFUNCTION("""COMPUTED_VALUE"""),4)</f>
        <v>4</v>
      </c>
      <c r="AG198" s="4">
        <f ca="1">IFERROR(__xludf.DUMMYFUNCTION("""COMPUTED_VALUE"""),4)</f>
        <v>4</v>
      </c>
      <c r="AH198" s="4">
        <f ca="1">IFERROR(__xludf.DUMMYFUNCTION("""COMPUTED_VALUE"""),4)</f>
        <v>4</v>
      </c>
      <c r="AI198" s="4">
        <f ca="1">IFERROR(__xludf.DUMMYFUNCTION("""COMPUTED_VALUE"""),4)</f>
        <v>4</v>
      </c>
      <c r="AJ198" s="4">
        <f ca="1">IFERROR(__xludf.DUMMYFUNCTION("""COMPUTED_VALUE"""),4)</f>
        <v>4</v>
      </c>
      <c r="AK198" s="4">
        <f ca="1">IFERROR(__xludf.DUMMYFUNCTION("""COMPUTED_VALUE"""),4)</f>
        <v>4</v>
      </c>
      <c r="AL198" s="4">
        <f ca="1">IFERROR(__xludf.DUMMYFUNCTION("""COMPUTED_VALUE"""),4)</f>
        <v>4</v>
      </c>
      <c r="AM198" s="4">
        <f ca="1">IFERROR(__xludf.DUMMYFUNCTION("""COMPUTED_VALUE"""),4)</f>
        <v>4</v>
      </c>
      <c r="AN198" s="4">
        <f ca="1">IFERROR(__xludf.DUMMYFUNCTION("""COMPUTED_VALUE"""),4)</f>
        <v>4</v>
      </c>
      <c r="AO198" s="4">
        <f ca="1">IFERROR(__xludf.DUMMYFUNCTION("""COMPUTED_VALUE"""),4)</f>
        <v>4</v>
      </c>
      <c r="AP198" s="4">
        <f ca="1">IFERROR(__xludf.DUMMYFUNCTION("""COMPUTED_VALUE"""),4)</f>
        <v>4</v>
      </c>
      <c r="AQ198" s="4">
        <f ca="1">IFERROR(__xludf.DUMMYFUNCTION("""COMPUTED_VALUE"""),4)</f>
        <v>4</v>
      </c>
      <c r="AR198" s="4">
        <f ca="1">IFERROR(__xludf.DUMMYFUNCTION("""COMPUTED_VALUE"""),4)</f>
        <v>4</v>
      </c>
      <c r="AS198" s="4">
        <f ca="1">IFERROR(__xludf.DUMMYFUNCTION("""COMPUTED_VALUE"""),4)</f>
        <v>4</v>
      </c>
      <c r="AT198" s="4">
        <f ca="1">IFERROR(__xludf.DUMMYFUNCTION("""COMPUTED_VALUE"""),4)</f>
        <v>4</v>
      </c>
      <c r="AU198" s="4">
        <f ca="1">IFERROR(__xludf.DUMMYFUNCTION("""COMPUTED_VALUE"""),4)</f>
        <v>4</v>
      </c>
      <c r="AV198" s="4">
        <f ca="1">IFERROR(__xludf.DUMMYFUNCTION("""COMPUTED_VALUE"""),4)</f>
        <v>4</v>
      </c>
      <c r="AW198" s="4">
        <f ca="1">IFERROR(__xludf.DUMMYFUNCTION("""COMPUTED_VALUE"""),4)</f>
        <v>4</v>
      </c>
      <c r="AX198" s="4">
        <f ca="1">IFERROR(__xludf.DUMMYFUNCTION("""COMPUTED_VALUE"""),4)</f>
        <v>4</v>
      </c>
      <c r="AY198" s="4">
        <f ca="1">IFERROR(__xludf.DUMMYFUNCTION("""COMPUTED_VALUE"""),4)</f>
        <v>4</v>
      </c>
      <c r="AZ198" s="4">
        <f ca="1">IFERROR(__xludf.DUMMYFUNCTION("""COMPUTED_VALUE"""),4)</f>
        <v>4</v>
      </c>
      <c r="BA198" s="4">
        <f ca="1">IFERROR(__xludf.DUMMYFUNCTION("""COMPUTED_VALUE"""),4)</f>
        <v>4</v>
      </c>
      <c r="BB198" s="4">
        <f ca="1">IFERROR(__xludf.DUMMYFUNCTION("""COMPUTED_VALUE"""),4)</f>
        <v>4</v>
      </c>
      <c r="BC198" s="4">
        <f ca="1">IFERROR(__xludf.DUMMYFUNCTION("""COMPUTED_VALUE"""),4)</f>
        <v>4</v>
      </c>
      <c r="BD198" s="4">
        <f ca="1">IFERROR(__xludf.DUMMYFUNCTION("""COMPUTED_VALUE"""),4)</f>
        <v>4</v>
      </c>
      <c r="BE198" s="4">
        <f ca="1">IFERROR(__xludf.DUMMYFUNCTION("""COMPUTED_VALUE"""),4)</f>
        <v>4</v>
      </c>
      <c r="BF198" s="4">
        <f ca="1">IFERROR(__xludf.DUMMYFUNCTION("""COMPUTED_VALUE"""),4)</f>
        <v>4</v>
      </c>
      <c r="BG198" s="4">
        <f ca="1">IFERROR(__xludf.DUMMYFUNCTION("""COMPUTED_VALUE"""),4)</f>
        <v>4</v>
      </c>
      <c r="BH198" s="4">
        <f ca="1">IFERROR(__xludf.DUMMYFUNCTION("""COMPUTED_VALUE"""),4)</f>
        <v>4</v>
      </c>
      <c r="BI198" s="4">
        <f ca="1">IFERROR(__xludf.DUMMYFUNCTION("""COMPUTED_VALUE"""),4)</f>
        <v>4</v>
      </c>
      <c r="BJ198" s="4">
        <f ca="1">IFERROR(__xludf.DUMMYFUNCTION("""COMPUTED_VALUE"""),4)</f>
        <v>4</v>
      </c>
      <c r="BK198" s="4">
        <f ca="1">IFERROR(__xludf.DUMMYFUNCTION("""COMPUTED_VALUE"""),4)</f>
        <v>4</v>
      </c>
      <c r="BL198" s="4">
        <f ca="1">IFERROR(__xludf.DUMMYFUNCTION("""COMPUTED_VALUE"""),4)</f>
        <v>4</v>
      </c>
      <c r="BM198" s="4">
        <f ca="1">IFERROR(__xludf.DUMMYFUNCTION("""COMPUTED_VALUE"""),4)</f>
        <v>4</v>
      </c>
      <c r="BN198" s="4">
        <f ca="1">IFERROR(__xludf.DUMMYFUNCTION("""COMPUTED_VALUE"""),4)</f>
        <v>4</v>
      </c>
      <c r="BO198" s="4">
        <f ca="1">IFERROR(__xludf.DUMMYFUNCTION("""COMPUTED_VALUE"""),4)</f>
        <v>4</v>
      </c>
      <c r="BP198" s="4">
        <f ca="1">IFERROR(__xludf.DUMMYFUNCTION("""COMPUTED_VALUE"""),4)</f>
        <v>4</v>
      </c>
    </row>
    <row r="199" spans="1:68" ht="13.2" x14ac:dyDescent="0.25">
      <c r="A199" s="4" t="str">
        <f ca="1">IFERROR(__xludf.DUMMYFUNCTION("""COMPUTED_VALUE"""),"2_ABaOnuf2ZqkzcbQypGSg4WJcli-1b62ps-Xbiv6mxQcW4kks9JdWqnfRLCMmmOlU-g")</f>
        <v>2_ABaOnuf2ZqkzcbQypGSg4WJcli-1b62ps-Xbiv6mxQcW4kks9JdWqnfRLCMmmOlU-g</v>
      </c>
      <c r="B199" s="5">
        <f ca="1">IFERROR(__xludf.DUMMYFUNCTION("""COMPUTED_VALUE"""),45975.6520584606)</f>
        <v>45975.652058460597</v>
      </c>
      <c r="C199" s="4" t="str">
        <f ca="1">IFERROR(__xludf.DUMMYFUNCTION("""COMPUTED_VALUE"""),"Võ Văn Lễ")</f>
        <v>Võ Văn Lễ</v>
      </c>
      <c r="D199" s="4" t="str">
        <f ca="1">IFERROR(__xludf.DUMMYFUNCTION("""COMPUTED_VALUE"""),"Nam")</f>
        <v>Nam</v>
      </c>
      <c r="E199" s="4" t="str">
        <f ca="1">IFERROR(__xludf.DUMMYFUNCTION("""COMPUTED_VALUE"""),"Công ty TNHH Kiểm toán và Tư vấn A&amp;C - Chi nhánh Tây Nam Bộ")</f>
        <v>Công ty TNHH Kiểm toán và Tư vấn A&amp;C - Chi nhánh Tây Nam Bộ</v>
      </c>
      <c r="F199" s="4" t="str">
        <f ca="1">IFERROR(__xludf.DUMMYFUNCTION("""COMPUTED_VALUE"""),"Đại học")</f>
        <v>Đại học</v>
      </c>
      <c r="G199" s="4" t="str">
        <f ca="1">IFERROR(__xludf.DUMMYFUNCTION("""COMPUTED_VALUE"""),"Trên 5 đến 10 năm")</f>
        <v>Trên 5 đến 10 năm</v>
      </c>
      <c r="H199" s="4" t="str">
        <f ca="1">IFERROR(__xludf.DUMMYFUNCTION("""COMPUTED_VALUE"""),"Kiểm toán viên/Trưởng nhóm")</f>
        <v>Kiểm toán viên/Trưởng nhóm</v>
      </c>
      <c r="I199" s="4">
        <f ca="1">IFERROR(__xludf.DUMMYFUNCTION("""COMPUTED_VALUE"""),5)</f>
        <v>5</v>
      </c>
      <c r="J199" s="4">
        <f ca="1">IFERROR(__xludf.DUMMYFUNCTION("""COMPUTED_VALUE"""),5)</f>
        <v>5</v>
      </c>
      <c r="K199" s="4">
        <f ca="1">IFERROR(__xludf.DUMMYFUNCTION("""COMPUTED_VALUE"""),5)</f>
        <v>5</v>
      </c>
      <c r="L199" s="4">
        <f ca="1">IFERROR(__xludf.DUMMYFUNCTION("""COMPUTED_VALUE"""),5)</f>
        <v>5</v>
      </c>
      <c r="M199" s="4">
        <f ca="1">IFERROR(__xludf.DUMMYFUNCTION("""COMPUTED_VALUE"""),5)</f>
        <v>5</v>
      </c>
      <c r="N199" s="4">
        <f ca="1">IFERROR(__xludf.DUMMYFUNCTION("""COMPUTED_VALUE"""),4)</f>
        <v>4</v>
      </c>
      <c r="O199" s="4">
        <f ca="1">IFERROR(__xludf.DUMMYFUNCTION("""COMPUTED_VALUE"""),4)</f>
        <v>4</v>
      </c>
      <c r="P199" s="4">
        <f ca="1">IFERROR(__xludf.DUMMYFUNCTION("""COMPUTED_VALUE"""),4)</f>
        <v>4</v>
      </c>
      <c r="Q199" s="4">
        <f ca="1">IFERROR(__xludf.DUMMYFUNCTION("""COMPUTED_VALUE"""),5)</f>
        <v>5</v>
      </c>
      <c r="R199" s="4">
        <f ca="1">IFERROR(__xludf.DUMMYFUNCTION("""COMPUTED_VALUE"""),5)</f>
        <v>5</v>
      </c>
      <c r="S199" s="4">
        <f ca="1">IFERROR(__xludf.DUMMYFUNCTION("""COMPUTED_VALUE"""),5)</f>
        <v>5</v>
      </c>
      <c r="T199" s="4">
        <f ca="1">IFERROR(__xludf.DUMMYFUNCTION("""COMPUTED_VALUE"""),5)</f>
        <v>5</v>
      </c>
      <c r="U199" s="4">
        <f ca="1">IFERROR(__xludf.DUMMYFUNCTION("""COMPUTED_VALUE"""),5)</f>
        <v>5</v>
      </c>
      <c r="V199" s="4">
        <f ca="1">IFERROR(__xludf.DUMMYFUNCTION("""COMPUTED_VALUE"""),4)</f>
        <v>4</v>
      </c>
      <c r="W199" s="4">
        <f ca="1">IFERROR(__xludf.DUMMYFUNCTION("""COMPUTED_VALUE"""),4)</f>
        <v>4</v>
      </c>
      <c r="X199" s="4">
        <f ca="1">IFERROR(__xludf.DUMMYFUNCTION("""COMPUTED_VALUE"""),4)</f>
        <v>4</v>
      </c>
      <c r="Y199" s="4">
        <f ca="1">IFERROR(__xludf.DUMMYFUNCTION("""COMPUTED_VALUE"""),4)</f>
        <v>4</v>
      </c>
      <c r="Z199" s="4">
        <f ca="1">IFERROR(__xludf.DUMMYFUNCTION("""COMPUTED_VALUE"""),4)</f>
        <v>4</v>
      </c>
      <c r="AA199" s="4">
        <f ca="1">IFERROR(__xludf.DUMMYFUNCTION("""COMPUTED_VALUE"""),5)</f>
        <v>5</v>
      </c>
      <c r="AB199" s="4">
        <f ca="1">IFERROR(__xludf.DUMMYFUNCTION("""COMPUTED_VALUE"""),4)</f>
        <v>4</v>
      </c>
      <c r="AC199" s="4">
        <f ca="1">IFERROR(__xludf.DUMMYFUNCTION("""COMPUTED_VALUE"""),4)</f>
        <v>4</v>
      </c>
      <c r="AD199" s="4">
        <f ca="1">IFERROR(__xludf.DUMMYFUNCTION("""COMPUTED_VALUE"""),4)</f>
        <v>4</v>
      </c>
      <c r="AE199" s="4">
        <f ca="1">IFERROR(__xludf.DUMMYFUNCTION("""COMPUTED_VALUE"""),5)</f>
        <v>5</v>
      </c>
      <c r="AF199" s="4">
        <f ca="1">IFERROR(__xludf.DUMMYFUNCTION("""COMPUTED_VALUE"""),4)</f>
        <v>4</v>
      </c>
      <c r="AG199" s="4">
        <f ca="1">IFERROR(__xludf.DUMMYFUNCTION("""COMPUTED_VALUE"""),4)</f>
        <v>4</v>
      </c>
      <c r="AH199" s="4">
        <f ca="1">IFERROR(__xludf.DUMMYFUNCTION("""COMPUTED_VALUE"""),4)</f>
        <v>4</v>
      </c>
      <c r="AI199" s="4">
        <f ca="1">IFERROR(__xludf.DUMMYFUNCTION("""COMPUTED_VALUE"""),4)</f>
        <v>4</v>
      </c>
      <c r="AJ199" s="4">
        <f ca="1">IFERROR(__xludf.DUMMYFUNCTION("""COMPUTED_VALUE"""),4)</f>
        <v>4</v>
      </c>
      <c r="AK199" s="4">
        <f ca="1">IFERROR(__xludf.DUMMYFUNCTION("""COMPUTED_VALUE"""),5)</f>
        <v>5</v>
      </c>
      <c r="AL199" s="4">
        <f ca="1">IFERROR(__xludf.DUMMYFUNCTION("""COMPUTED_VALUE"""),5)</f>
        <v>5</v>
      </c>
      <c r="AM199" s="4">
        <f ca="1">IFERROR(__xludf.DUMMYFUNCTION("""COMPUTED_VALUE"""),4)</f>
        <v>4</v>
      </c>
      <c r="AN199" s="4">
        <f ca="1">IFERROR(__xludf.DUMMYFUNCTION("""COMPUTED_VALUE"""),4)</f>
        <v>4</v>
      </c>
      <c r="AO199" s="4">
        <f ca="1">IFERROR(__xludf.DUMMYFUNCTION("""COMPUTED_VALUE"""),4)</f>
        <v>4</v>
      </c>
      <c r="AP199" s="4">
        <f ca="1">IFERROR(__xludf.DUMMYFUNCTION("""COMPUTED_VALUE"""),4)</f>
        <v>4</v>
      </c>
      <c r="AQ199" s="4">
        <f ca="1">IFERROR(__xludf.DUMMYFUNCTION("""COMPUTED_VALUE"""),4)</f>
        <v>4</v>
      </c>
      <c r="AR199" s="4">
        <f ca="1">IFERROR(__xludf.DUMMYFUNCTION("""COMPUTED_VALUE"""),4)</f>
        <v>4</v>
      </c>
      <c r="AS199" s="4">
        <f ca="1">IFERROR(__xludf.DUMMYFUNCTION("""COMPUTED_VALUE"""),4)</f>
        <v>4</v>
      </c>
      <c r="AT199" s="4">
        <f ca="1">IFERROR(__xludf.DUMMYFUNCTION("""COMPUTED_VALUE"""),4)</f>
        <v>4</v>
      </c>
      <c r="AU199" s="4">
        <f ca="1">IFERROR(__xludf.DUMMYFUNCTION("""COMPUTED_VALUE"""),4)</f>
        <v>4</v>
      </c>
      <c r="AV199" s="4">
        <f ca="1">IFERROR(__xludf.DUMMYFUNCTION("""COMPUTED_VALUE"""),4)</f>
        <v>4</v>
      </c>
      <c r="AW199" s="4">
        <f ca="1">IFERROR(__xludf.DUMMYFUNCTION("""COMPUTED_VALUE"""),4)</f>
        <v>4</v>
      </c>
      <c r="AX199" s="4">
        <f ca="1">IFERROR(__xludf.DUMMYFUNCTION("""COMPUTED_VALUE"""),5)</f>
        <v>5</v>
      </c>
      <c r="AY199" s="4">
        <f ca="1">IFERROR(__xludf.DUMMYFUNCTION("""COMPUTED_VALUE"""),5)</f>
        <v>5</v>
      </c>
      <c r="AZ199" s="4">
        <f ca="1">IFERROR(__xludf.DUMMYFUNCTION("""COMPUTED_VALUE"""),5)</f>
        <v>5</v>
      </c>
      <c r="BA199" s="4">
        <f ca="1">IFERROR(__xludf.DUMMYFUNCTION("""COMPUTED_VALUE"""),5)</f>
        <v>5</v>
      </c>
      <c r="BB199" s="4">
        <f ca="1">IFERROR(__xludf.DUMMYFUNCTION("""COMPUTED_VALUE"""),4)</f>
        <v>4</v>
      </c>
      <c r="BC199" s="4">
        <f ca="1">IFERROR(__xludf.DUMMYFUNCTION("""COMPUTED_VALUE"""),4)</f>
        <v>4</v>
      </c>
      <c r="BD199" s="4">
        <f ca="1">IFERROR(__xludf.DUMMYFUNCTION("""COMPUTED_VALUE"""),5)</f>
        <v>5</v>
      </c>
      <c r="BE199" s="4">
        <f ca="1">IFERROR(__xludf.DUMMYFUNCTION("""COMPUTED_VALUE"""),4)</f>
        <v>4</v>
      </c>
      <c r="BF199" s="4">
        <f ca="1">IFERROR(__xludf.DUMMYFUNCTION("""COMPUTED_VALUE"""),4)</f>
        <v>4</v>
      </c>
      <c r="BG199" s="4">
        <f ca="1">IFERROR(__xludf.DUMMYFUNCTION("""COMPUTED_VALUE"""),4)</f>
        <v>4</v>
      </c>
      <c r="BH199" s="4">
        <f ca="1">IFERROR(__xludf.DUMMYFUNCTION("""COMPUTED_VALUE"""),4)</f>
        <v>4</v>
      </c>
      <c r="BI199" s="4">
        <f ca="1">IFERROR(__xludf.DUMMYFUNCTION("""COMPUTED_VALUE"""),4)</f>
        <v>4</v>
      </c>
      <c r="BJ199" s="4">
        <f ca="1">IFERROR(__xludf.DUMMYFUNCTION("""COMPUTED_VALUE"""),4)</f>
        <v>4</v>
      </c>
      <c r="BK199" s="4">
        <f ca="1">IFERROR(__xludf.DUMMYFUNCTION("""COMPUTED_VALUE"""),4)</f>
        <v>4</v>
      </c>
      <c r="BL199" s="4">
        <f ca="1">IFERROR(__xludf.DUMMYFUNCTION("""COMPUTED_VALUE"""),4)</f>
        <v>4</v>
      </c>
      <c r="BM199" s="4">
        <f ca="1">IFERROR(__xludf.DUMMYFUNCTION("""COMPUTED_VALUE"""),4)</f>
        <v>4</v>
      </c>
      <c r="BN199" s="4">
        <f ca="1">IFERROR(__xludf.DUMMYFUNCTION("""COMPUTED_VALUE"""),4)</f>
        <v>4</v>
      </c>
      <c r="BO199" s="4">
        <f ca="1">IFERROR(__xludf.DUMMYFUNCTION("""COMPUTED_VALUE"""),4)</f>
        <v>4</v>
      </c>
      <c r="BP199" s="4">
        <f ca="1">IFERROR(__xludf.DUMMYFUNCTION("""COMPUTED_VALUE"""),4)</f>
        <v>4</v>
      </c>
    </row>
    <row r="200" spans="1:68" ht="13.2" x14ac:dyDescent="0.25">
      <c r="A200" s="4" t="str">
        <f ca="1">IFERROR(__xludf.DUMMYFUNCTION("""COMPUTED_VALUE"""),"2_ABaOnuewUN5OU20ggRt8leEryojaV106C7aQe-n-czchKUzht1XBdyT_LX27riDWlw")</f>
        <v>2_ABaOnuewUN5OU20ggRt8leEryojaV106C7aQe-n-czchKUzht1XBdyT_LX27riDWlw</v>
      </c>
      <c r="B200" s="5">
        <f ca="1">IFERROR(__xludf.DUMMYFUNCTION("""COMPUTED_VALUE"""),45975.6638016203)</f>
        <v>45975.6638016203</v>
      </c>
      <c r="C200" s="4" t="str">
        <f ca="1">IFERROR(__xludf.DUMMYFUNCTION("""COMPUTED_VALUE"""),"Nguyễn Thị Ngọc Dung")</f>
        <v>Nguyễn Thị Ngọc Dung</v>
      </c>
      <c r="D200" s="4" t="str">
        <f ca="1">IFERROR(__xludf.DUMMYFUNCTION("""COMPUTED_VALUE"""),"Nữ")</f>
        <v>Nữ</v>
      </c>
      <c r="E200" s="4" t="str">
        <f ca="1">IFERROR(__xludf.DUMMYFUNCTION("""COMPUTED_VALUE"""),"Công ty TNHH Kiểm toán AFC Việt Nam")</f>
        <v>Công ty TNHH Kiểm toán AFC Việt Nam</v>
      </c>
      <c r="F200" s="4" t="str">
        <f ca="1">IFERROR(__xludf.DUMMYFUNCTION("""COMPUTED_VALUE"""),"Đại học")</f>
        <v>Đại học</v>
      </c>
      <c r="G200" s="4" t="str">
        <f ca="1">IFERROR(__xludf.DUMMYFUNCTION("""COMPUTED_VALUE"""),"Trên 5 đến 10 năm")</f>
        <v>Trên 5 đến 10 năm</v>
      </c>
      <c r="H200" s="4" t="str">
        <f ca="1">IFERROR(__xludf.DUMMYFUNCTION("""COMPUTED_VALUE"""),"Trợ lý kiểm toán")</f>
        <v>Trợ lý kiểm toán</v>
      </c>
      <c r="I200" s="4">
        <f ca="1">IFERROR(__xludf.DUMMYFUNCTION("""COMPUTED_VALUE"""),4)</f>
        <v>4</v>
      </c>
      <c r="J200" s="4">
        <f ca="1">IFERROR(__xludf.DUMMYFUNCTION("""COMPUTED_VALUE"""),4)</f>
        <v>4</v>
      </c>
      <c r="K200" s="4">
        <f ca="1">IFERROR(__xludf.DUMMYFUNCTION("""COMPUTED_VALUE"""),4)</f>
        <v>4</v>
      </c>
      <c r="L200" s="4">
        <f ca="1">IFERROR(__xludf.DUMMYFUNCTION("""COMPUTED_VALUE"""),3)</f>
        <v>3</v>
      </c>
      <c r="M200" s="4">
        <f ca="1">IFERROR(__xludf.DUMMYFUNCTION("""COMPUTED_VALUE"""),4)</f>
        <v>4</v>
      </c>
      <c r="N200" s="4">
        <f ca="1">IFERROR(__xludf.DUMMYFUNCTION("""COMPUTED_VALUE"""),3)</f>
        <v>3</v>
      </c>
      <c r="O200" s="4">
        <f ca="1">IFERROR(__xludf.DUMMYFUNCTION("""COMPUTED_VALUE"""),3)</f>
        <v>3</v>
      </c>
      <c r="P200" s="4">
        <f ca="1">IFERROR(__xludf.DUMMYFUNCTION("""COMPUTED_VALUE"""),3)</f>
        <v>3</v>
      </c>
      <c r="Q200" s="4">
        <f ca="1">IFERROR(__xludf.DUMMYFUNCTION("""COMPUTED_VALUE"""),4)</f>
        <v>4</v>
      </c>
      <c r="R200" s="4">
        <f ca="1">IFERROR(__xludf.DUMMYFUNCTION("""COMPUTED_VALUE"""),3)</f>
        <v>3</v>
      </c>
      <c r="S200" s="4">
        <f ca="1">IFERROR(__xludf.DUMMYFUNCTION("""COMPUTED_VALUE"""),4)</f>
        <v>4</v>
      </c>
      <c r="T200" s="4">
        <f ca="1">IFERROR(__xludf.DUMMYFUNCTION("""COMPUTED_VALUE"""),4)</f>
        <v>4</v>
      </c>
      <c r="U200" s="4">
        <f ca="1">IFERROR(__xludf.DUMMYFUNCTION("""COMPUTED_VALUE"""),4)</f>
        <v>4</v>
      </c>
      <c r="V200" s="4">
        <f ca="1">IFERROR(__xludf.DUMMYFUNCTION("""COMPUTED_VALUE"""),3)</f>
        <v>3</v>
      </c>
      <c r="W200" s="4">
        <f ca="1">IFERROR(__xludf.DUMMYFUNCTION("""COMPUTED_VALUE"""),3)</f>
        <v>3</v>
      </c>
      <c r="X200" s="4">
        <f ca="1">IFERROR(__xludf.DUMMYFUNCTION("""COMPUTED_VALUE"""),4)</f>
        <v>4</v>
      </c>
      <c r="Y200" s="4">
        <f ca="1">IFERROR(__xludf.DUMMYFUNCTION("""COMPUTED_VALUE"""),3)</f>
        <v>3</v>
      </c>
      <c r="Z200" s="4">
        <f ca="1">IFERROR(__xludf.DUMMYFUNCTION("""COMPUTED_VALUE"""),4)</f>
        <v>4</v>
      </c>
      <c r="AA200" s="4">
        <f ca="1">IFERROR(__xludf.DUMMYFUNCTION("""COMPUTED_VALUE"""),3)</f>
        <v>3</v>
      </c>
      <c r="AB200" s="4">
        <f ca="1">IFERROR(__xludf.DUMMYFUNCTION("""COMPUTED_VALUE"""),4)</f>
        <v>4</v>
      </c>
      <c r="AC200" s="4">
        <f ca="1">IFERROR(__xludf.DUMMYFUNCTION("""COMPUTED_VALUE"""),4)</f>
        <v>4</v>
      </c>
      <c r="AD200" s="4">
        <f ca="1">IFERROR(__xludf.DUMMYFUNCTION("""COMPUTED_VALUE"""),3)</f>
        <v>3</v>
      </c>
      <c r="AE200" s="4">
        <f ca="1">IFERROR(__xludf.DUMMYFUNCTION("""COMPUTED_VALUE"""),4)</f>
        <v>4</v>
      </c>
      <c r="AF200" s="4">
        <f ca="1">IFERROR(__xludf.DUMMYFUNCTION("""COMPUTED_VALUE"""),3)</f>
        <v>3</v>
      </c>
      <c r="AG200" s="4">
        <f ca="1">IFERROR(__xludf.DUMMYFUNCTION("""COMPUTED_VALUE"""),3)</f>
        <v>3</v>
      </c>
      <c r="AH200" s="4">
        <f ca="1">IFERROR(__xludf.DUMMYFUNCTION("""COMPUTED_VALUE"""),4)</f>
        <v>4</v>
      </c>
      <c r="AI200" s="4">
        <f ca="1">IFERROR(__xludf.DUMMYFUNCTION("""COMPUTED_VALUE"""),3)</f>
        <v>3</v>
      </c>
      <c r="AJ200" s="4">
        <f ca="1">IFERROR(__xludf.DUMMYFUNCTION("""COMPUTED_VALUE"""),4)</f>
        <v>4</v>
      </c>
      <c r="AK200" s="4">
        <f ca="1">IFERROR(__xludf.DUMMYFUNCTION("""COMPUTED_VALUE"""),4)</f>
        <v>4</v>
      </c>
      <c r="AL200" s="4">
        <f ca="1">IFERROR(__xludf.DUMMYFUNCTION("""COMPUTED_VALUE"""),4)</f>
        <v>4</v>
      </c>
      <c r="AM200" s="4">
        <f ca="1">IFERROR(__xludf.DUMMYFUNCTION("""COMPUTED_VALUE"""),4)</f>
        <v>4</v>
      </c>
      <c r="AN200" s="4">
        <f ca="1">IFERROR(__xludf.DUMMYFUNCTION("""COMPUTED_VALUE"""),3)</f>
        <v>3</v>
      </c>
      <c r="AO200" s="4">
        <f ca="1">IFERROR(__xludf.DUMMYFUNCTION("""COMPUTED_VALUE"""),3)</f>
        <v>3</v>
      </c>
      <c r="AP200" s="4">
        <f ca="1">IFERROR(__xludf.DUMMYFUNCTION("""COMPUTED_VALUE"""),3)</f>
        <v>3</v>
      </c>
      <c r="AQ200" s="4">
        <f ca="1">IFERROR(__xludf.DUMMYFUNCTION("""COMPUTED_VALUE"""),3)</f>
        <v>3</v>
      </c>
      <c r="AR200" s="4">
        <f ca="1">IFERROR(__xludf.DUMMYFUNCTION("""COMPUTED_VALUE"""),3)</f>
        <v>3</v>
      </c>
      <c r="AS200" s="4">
        <f ca="1">IFERROR(__xludf.DUMMYFUNCTION("""COMPUTED_VALUE"""),3)</f>
        <v>3</v>
      </c>
      <c r="AT200" s="4">
        <f ca="1">IFERROR(__xludf.DUMMYFUNCTION("""COMPUTED_VALUE"""),3)</f>
        <v>3</v>
      </c>
      <c r="AU200" s="4">
        <f ca="1">IFERROR(__xludf.DUMMYFUNCTION("""COMPUTED_VALUE"""),3)</f>
        <v>3</v>
      </c>
      <c r="AV200" s="4">
        <f ca="1">IFERROR(__xludf.DUMMYFUNCTION("""COMPUTED_VALUE"""),3)</f>
        <v>3</v>
      </c>
      <c r="AW200" s="4">
        <f ca="1">IFERROR(__xludf.DUMMYFUNCTION("""COMPUTED_VALUE"""),3)</f>
        <v>3</v>
      </c>
      <c r="AX200" s="4">
        <f ca="1">IFERROR(__xludf.DUMMYFUNCTION("""COMPUTED_VALUE"""),4)</f>
        <v>4</v>
      </c>
      <c r="AY200" s="4">
        <f ca="1">IFERROR(__xludf.DUMMYFUNCTION("""COMPUTED_VALUE"""),4)</f>
        <v>4</v>
      </c>
      <c r="AZ200" s="4">
        <f ca="1">IFERROR(__xludf.DUMMYFUNCTION("""COMPUTED_VALUE"""),4)</f>
        <v>4</v>
      </c>
      <c r="BA200" s="4">
        <f ca="1">IFERROR(__xludf.DUMMYFUNCTION("""COMPUTED_VALUE"""),3)</f>
        <v>3</v>
      </c>
      <c r="BB200" s="4">
        <f ca="1">IFERROR(__xludf.DUMMYFUNCTION("""COMPUTED_VALUE"""),3)</f>
        <v>3</v>
      </c>
      <c r="BC200" s="4">
        <f ca="1">IFERROR(__xludf.DUMMYFUNCTION("""COMPUTED_VALUE"""),3)</f>
        <v>3</v>
      </c>
      <c r="BD200" s="4">
        <f ca="1">IFERROR(__xludf.DUMMYFUNCTION("""COMPUTED_VALUE"""),3)</f>
        <v>3</v>
      </c>
      <c r="BE200" s="4">
        <f ca="1">IFERROR(__xludf.DUMMYFUNCTION("""COMPUTED_VALUE"""),3)</f>
        <v>3</v>
      </c>
      <c r="BF200" s="4">
        <f ca="1">IFERROR(__xludf.DUMMYFUNCTION("""COMPUTED_VALUE"""),3)</f>
        <v>3</v>
      </c>
      <c r="BG200" s="4">
        <f ca="1">IFERROR(__xludf.DUMMYFUNCTION("""COMPUTED_VALUE"""),3)</f>
        <v>3</v>
      </c>
      <c r="BH200" s="4">
        <f ca="1">IFERROR(__xludf.DUMMYFUNCTION("""COMPUTED_VALUE"""),3)</f>
        <v>3</v>
      </c>
      <c r="BI200" s="4">
        <f ca="1">IFERROR(__xludf.DUMMYFUNCTION("""COMPUTED_VALUE"""),3)</f>
        <v>3</v>
      </c>
      <c r="BJ200" s="4">
        <f ca="1">IFERROR(__xludf.DUMMYFUNCTION("""COMPUTED_VALUE"""),3)</f>
        <v>3</v>
      </c>
      <c r="BK200" s="4">
        <f ca="1">IFERROR(__xludf.DUMMYFUNCTION("""COMPUTED_VALUE"""),3)</f>
        <v>3</v>
      </c>
      <c r="BL200" s="4">
        <f ca="1">IFERROR(__xludf.DUMMYFUNCTION("""COMPUTED_VALUE"""),3)</f>
        <v>3</v>
      </c>
      <c r="BM200" s="4">
        <f ca="1">IFERROR(__xludf.DUMMYFUNCTION("""COMPUTED_VALUE"""),4)</f>
        <v>4</v>
      </c>
      <c r="BN200" s="4">
        <f ca="1">IFERROR(__xludf.DUMMYFUNCTION("""COMPUTED_VALUE"""),4)</f>
        <v>4</v>
      </c>
      <c r="BO200" s="4">
        <f ca="1">IFERROR(__xludf.DUMMYFUNCTION("""COMPUTED_VALUE"""),4)</f>
        <v>4</v>
      </c>
      <c r="BP200" s="4">
        <f ca="1">IFERROR(__xludf.DUMMYFUNCTION("""COMPUTED_VALUE"""),3)</f>
        <v>3</v>
      </c>
    </row>
    <row r="201" spans="1:68" ht="13.2" x14ac:dyDescent="0.25">
      <c r="A201" s="4" t="str">
        <f ca="1">IFERROR(__xludf.DUMMYFUNCTION("""COMPUTED_VALUE"""),"2_ABaOnufFzf2rxQNBi6krZxGfdG-_xG-xSMfySqdgLjRoh1lqUeblAVXVH8uanpJKOg")</f>
        <v>2_ABaOnufFzf2rxQNBi6krZxGfdG-_xG-xSMfySqdgLjRoh1lqUeblAVXVH8uanpJKOg</v>
      </c>
      <c r="B201" s="5">
        <f ca="1">IFERROR(__xludf.DUMMYFUNCTION("""COMPUTED_VALUE"""),45976.4536472222)</f>
        <v>45976.453647222203</v>
      </c>
      <c r="C201" s="4" t="str">
        <f ca="1">IFERROR(__xludf.DUMMYFUNCTION("""COMPUTED_VALUE"""),"Trần Đức Duy")</f>
        <v>Trần Đức Duy</v>
      </c>
      <c r="D201" s="4" t="str">
        <f ca="1">IFERROR(__xludf.DUMMYFUNCTION("""COMPUTED_VALUE"""),"Nam")</f>
        <v>Nam</v>
      </c>
      <c r="E201" s="4" t="str">
        <f ca="1">IFERROR(__xludf.DUMMYFUNCTION("""COMPUTED_VALUE"""),"Công ty TNHH Kiểm toán và Tư vấn A&amp;C - Chi nhánh Tây Nam Bộ")</f>
        <v>Công ty TNHH Kiểm toán và Tư vấn A&amp;C - Chi nhánh Tây Nam Bộ</v>
      </c>
      <c r="F201" s="4" t="str">
        <f ca="1">IFERROR(__xludf.DUMMYFUNCTION("""COMPUTED_VALUE"""),"Đại học")</f>
        <v>Đại học</v>
      </c>
      <c r="G201" s="4" t="str">
        <f ca="1">IFERROR(__xludf.DUMMYFUNCTION("""COMPUTED_VALUE"""),"Từ 3 đến 5 năm")</f>
        <v>Từ 3 đến 5 năm</v>
      </c>
      <c r="H201" s="4" t="str">
        <f ca="1">IFERROR(__xludf.DUMMYFUNCTION("""COMPUTED_VALUE"""),"Trợ lý kiểm toán")</f>
        <v>Trợ lý kiểm toán</v>
      </c>
      <c r="I201" s="4">
        <f ca="1">IFERROR(__xludf.DUMMYFUNCTION("""COMPUTED_VALUE"""),4)</f>
        <v>4</v>
      </c>
      <c r="J201" s="4">
        <f ca="1">IFERROR(__xludf.DUMMYFUNCTION("""COMPUTED_VALUE"""),4)</f>
        <v>4</v>
      </c>
      <c r="K201" s="4">
        <f ca="1">IFERROR(__xludf.DUMMYFUNCTION("""COMPUTED_VALUE"""),4)</f>
        <v>4</v>
      </c>
      <c r="L201" s="4">
        <f ca="1">IFERROR(__xludf.DUMMYFUNCTION("""COMPUTED_VALUE"""),4)</f>
        <v>4</v>
      </c>
      <c r="M201" s="4">
        <f ca="1">IFERROR(__xludf.DUMMYFUNCTION("""COMPUTED_VALUE"""),4)</f>
        <v>4</v>
      </c>
      <c r="N201" s="4">
        <f ca="1">IFERROR(__xludf.DUMMYFUNCTION("""COMPUTED_VALUE"""),4)</f>
        <v>4</v>
      </c>
      <c r="O201" s="4">
        <f ca="1">IFERROR(__xludf.DUMMYFUNCTION("""COMPUTED_VALUE"""),4)</f>
        <v>4</v>
      </c>
      <c r="P201" s="4">
        <f ca="1">IFERROR(__xludf.DUMMYFUNCTION("""COMPUTED_VALUE"""),4)</f>
        <v>4</v>
      </c>
      <c r="Q201" s="4">
        <f ca="1">IFERROR(__xludf.DUMMYFUNCTION("""COMPUTED_VALUE"""),4)</f>
        <v>4</v>
      </c>
      <c r="R201" s="4">
        <f ca="1">IFERROR(__xludf.DUMMYFUNCTION("""COMPUTED_VALUE"""),4)</f>
        <v>4</v>
      </c>
      <c r="S201" s="4">
        <f ca="1">IFERROR(__xludf.DUMMYFUNCTION("""COMPUTED_VALUE"""),4)</f>
        <v>4</v>
      </c>
      <c r="T201" s="4">
        <f ca="1">IFERROR(__xludf.DUMMYFUNCTION("""COMPUTED_VALUE"""),4)</f>
        <v>4</v>
      </c>
      <c r="U201" s="4">
        <f ca="1">IFERROR(__xludf.DUMMYFUNCTION("""COMPUTED_VALUE"""),4)</f>
        <v>4</v>
      </c>
      <c r="V201" s="4">
        <f ca="1">IFERROR(__xludf.DUMMYFUNCTION("""COMPUTED_VALUE"""),4)</f>
        <v>4</v>
      </c>
      <c r="W201" s="4">
        <f ca="1">IFERROR(__xludf.DUMMYFUNCTION("""COMPUTED_VALUE"""),4)</f>
        <v>4</v>
      </c>
      <c r="X201" s="4">
        <f ca="1">IFERROR(__xludf.DUMMYFUNCTION("""COMPUTED_VALUE"""),3)</f>
        <v>3</v>
      </c>
      <c r="Y201" s="4">
        <f ca="1">IFERROR(__xludf.DUMMYFUNCTION("""COMPUTED_VALUE"""),3)</f>
        <v>3</v>
      </c>
      <c r="Z201" s="4">
        <f ca="1">IFERROR(__xludf.DUMMYFUNCTION("""COMPUTED_VALUE"""),3)</f>
        <v>3</v>
      </c>
      <c r="AA201" s="4">
        <f ca="1">IFERROR(__xludf.DUMMYFUNCTION("""COMPUTED_VALUE"""),4)</f>
        <v>4</v>
      </c>
      <c r="AB201" s="4">
        <f ca="1">IFERROR(__xludf.DUMMYFUNCTION("""COMPUTED_VALUE"""),4)</f>
        <v>4</v>
      </c>
      <c r="AC201" s="4">
        <f ca="1">IFERROR(__xludf.DUMMYFUNCTION("""COMPUTED_VALUE"""),4)</f>
        <v>4</v>
      </c>
      <c r="AD201" s="4">
        <f ca="1">IFERROR(__xludf.DUMMYFUNCTION("""COMPUTED_VALUE"""),4)</f>
        <v>4</v>
      </c>
      <c r="AE201" s="4">
        <f ca="1">IFERROR(__xludf.DUMMYFUNCTION("""COMPUTED_VALUE"""),4)</f>
        <v>4</v>
      </c>
      <c r="AF201" s="4">
        <f ca="1">IFERROR(__xludf.DUMMYFUNCTION("""COMPUTED_VALUE"""),4)</f>
        <v>4</v>
      </c>
      <c r="AG201" s="4">
        <f ca="1">IFERROR(__xludf.DUMMYFUNCTION("""COMPUTED_VALUE"""),4)</f>
        <v>4</v>
      </c>
      <c r="AH201" s="4">
        <f ca="1">IFERROR(__xludf.DUMMYFUNCTION("""COMPUTED_VALUE"""),4)</f>
        <v>4</v>
      </c>
      <c r="AI201" s="4">
        <f ca="1">IFERROR(__xludf.DUMMYFUNCTION("""COMPUTED_VALUE"""),4)</f>
        <v>4</v>
      </c>
      <c r="AJ201" s="4">
        <f ca="1">IFERROR(__xludf.DUMMYFUNCTION("""COMPUTED_VALUE"""),4)</f>
        <v>4</v>
      </c>
      <c r="AK201" s="4">
        <f ca="1">IFERROR(__xludf.DUMMYFUNCTION("""COMPUTED_VALUE"""),4)</f>
        <v>4</v>
      </c>
      <c r="AL201" s="4">
        <f ca="1">IFERROR(__xludf.DUMMYFUNCTION("""COMPUTED_VALUE"""),4)</f>
        <v>4</v>
      </c>
      <c r="AM201" s="4">
        <f ca="1">IFERROR(__xludf.DUMMYFUNCTION("""COMPUTED_VALUE"""),4)</f>
        <v>4</v>
      </c>
      <c r="AN201" s="4">
        <f ca="1">IFERROR(__xludf.DUMMYFUNCTION("""COMPUTED_VALUE"""),4)</f>
        <v>4</v>
      </c>
      <c r="AO201" s="4">
        <f ca="1">IFERROR(__xludf.DUMMYFUNCTION("""COMPUTED_VALUE"""),3)</f>
        <v>3</v>
      </c>
      <c r="AP201" s="4">
        <f ca="1">IFERROR(__xludf.DUMMYFUNCTION("""COMPUTED_VALUE"""),3)</f>
        <v>3</v>
      </c>
      <c r="AQ201" s="4">
        <f ca="1">IFERROR(__xludf.DUMMYFUNCTION("""COMPUTED_VALUE"""),3)</f>
        <v>3</v>
      </c>
      <c r="AR201" s="4">
        <f ca="1">IFERROR(__xludf.DUMMYFUNCTION("""COMPUTED_VALUE"""),3)</f>
        <v>3</v>
      </c>
      <c r="AS201" s="4">
        <f ca="1">IFERROR(__xludf.DUMMYFUNCTION("""COMPUTED_VALUE"""),3)</f>
        <v>3</v>
      </c>
      <c r="AT201" s="4">
        <f ca="1">IFERROR(__xludf.DUMMYFUNCTION("""COMPUTED_VALUE"""),3)</f>
        <v>3</v>
      </c>
      <c r="AU201" s="4">
        <f ca="1">IFERROR(__xludf.DUMMYFUNCTION("""COMPUTED_VALUE"""),3)</f>
        <v>3</v>
      </c>
      <c r="AV201" s="4">
        <f ca="1">IFERROR(__xludf.DUMMYFUNCTION("""COMPUTED_VALUE"""),3)</f>
        <v>3</v>
      </c>
      <c r="AW201" s="4">
        <f ca="1">IFERROR(__xludf.DUMMYFUNCTION("""COMPUTED_VALUE"""),3)</f>
        <v>3</v>
      </c>
      <c r="AX201" s="4">
        <f ca="1">IFERROR(__xludf.DUMMYFUNCTION("""COMPUTED_VALUE"""),4)</f>
        <v>4</v>
      </c>
      <c r="AY201" s="4">
        <f ca="1">IFERROR(__xludf.DUMMYFUNCTION("""COMPUTED_VALUE"""),4)</f>
        <v>4</v>
      </c>
      <c r="AZ201" s="4">
        <f ca="1">IFERROR(__xludf.DUMMYFUNCTION("""COMPUTED_VALUE"""),4)</f>
        <v>4</v>
      </c>
      <c r="BA201" s="4">
        <f ca="1">IFERROR(__xludf.DUMMYFUNCTION("""COMPUTED_VALUE"""),4)</f>
        <v>4</v>
      </c>
      <c r="BB201" s="4">
        <f ca="1">IFERROR(__xludf.DUMMYFUNCTION("""COMPUTED_VALUE"""),3)</f>
        <v>3</v>
      </c>
      <c r="BC201" s="4">
        <f ca="1">IFERROR(__xludf.DUMMYFUNCTION("""COMPUTED_VALUE"""),3)</f>
        <v>3</v>
      </c>
      <c r="BD201" s="4">
        <f ca="1">IFERROR(__xludf.DUMMYFUNCTION("""COMPUTED_VALUE"""),3)</f>
        <v>3</v>
      </c>
      <c r="BE201" s="4">
        <f ca="1">IFERROR(__xludf.DUMMYFUNCTION("""COMPUTED_VALUE"""),3)</f>
        <v>3</v>
      </c>
      <c r="BF201" s="4">
        <f ca="1">IFERROR(__xludf.DUMMYFUNCTION("""COMPUTED_VALUE"""),3)</f>
        <v>3</v>
      </c>
      <c r="BG201" s="4">
        <f ca="1">IFERROR(__xludf.DUMMYFUNCTION("""COMPUTED_VALUE"""),3)</f>
        <v>3</v>
      </c>
      <c r="BH201" s="4">
        <f ca="1">IFERROR(__xludf.DUMMYFUNCTION("""COMPUTED_VALUE"""),4)</f>
        <v>4</v>
      </c>
      <c r="BI201" s="4">
        <f ca="1">IFERROR(__xludf.DUMMYFUNCTION("""COMPUTED_VALUE"""),4)</f>
        <v>4</v>
      </c>
      <c r="BJ201" s="4">
        <f ca="1">IFERROR(__xludf.DUMMYFUNCTION("""COMPUTED_VALUE"""),4)</f>
        <v>4</v>
      </c>
      <c r="BK201" s="4">
        <f ca="1">IFERROR(__xludf.DUMMYFUNCTION("""COMPUTED_VALUE"""),3)</f>
        <v>3</v>
      </c>
      <c r="BL201" s="4">
        <f ca="1">IFERROR(__xludf.DUMMYFUNCTION("""COMPUTED_VALUE"""),4)</f>
        <v>4</v>
      </c>
      <c r="BM201" s="4">
        <f ca="1">IFERROR(__xludf.DUMMYFUNCTION("""COMPUTED_VALUE"""),3)</f>
        <v>3</v>
      </c>
      <c r="BN201" s="4">
        <f ca="1">IFERROR(__xludf.DUMMYFUNCTION("""COMPUTED_VALUE"""),3)</f>
        <v>3</v>
      </c>
      <c r="BO201" s="4">
        <f ca="1">IFERROR(__xludf.DUMMYFUNCTION("""COMPUTED_VALUE"""),3)</f>
        <v>3</v>
      </c>
      <c r="BP201" s="4">
        <f ca="1">IFERROR(__xludf.DUMMYFUNCTION("""COMPUTED_VALUE"""),3)</f>
        <v>3</v>
      </c>
    </row>
    <row r="202" spans="1:68" ht="13.2" x14ac:dyDescent="0.25">
      <c r="A202" s="4" t="str">
        <f ca="1">IFERROR(__xludf.DUMMYFUNCTION("""COMPUTED_VALUE"""),"2_ABaOnuce8fPmajMbzKwaK8LzJ1yy0pab-SXEvFeCmvLlGp_WUrvGJQaHZDJDLPlwgg")</f>
        <v>2_ABaOnuce8fPmajMbzKwaK8LzJ1yy0pab-SXEvFeCmvLlGp_WUrvGJQaHZDJDLPlwgg</v>
      </c>
      <c r="B202" s="5">
        <f ca="1">IFERROR(__xludf.DUMMYFUNCTION("""COMPUTED_VALUE"""),45976.646116412)</f>
        <v>45976.646116411997</v>
      </c>
      <c r="C202" s="4" t="str">
        <f ca="1">IFERROR(__xludf.DUMMYFUNCTION("""COMPUTED_VALUE"""),"Trần Thị Lành")</f>
        <v>Trần Thị Lành</v>
      </c>
      <c r="D202" s="4" t="str">
        <f ca="1">IFERROR(__xludf.DUMMYFUNCTION("""COMPUTED_VALUE"""),"Nữ")</f>
        <v>Nữ</v>
      </c>
      <c r="E202" s="4" t="str">
        <f ca="1">IFERROR(__xludf.DUMMYFUNCTION("""COMPUTED_VALUE"""),"Công ty TNHH Kiểm toán và Tư vấn Việt Nam")</f>
        <v>Công ty TNHH Kiểm toán và Tư vấn Việt Nam</v>
      </c>
      <c r="F202" s="4" t="str">
        <f ca="1">IFERROR(__xludf.DUMMYFUNCTION("""COMPUTED_VALUE"""),"Chứng chỉ Kiểm toán viên")</f>
        <v>Chứng chỉ Kiểm toán viên</v>
      </c>
      <c r="G202" s="4" t="str">
        <f ca="1">IFERROR(__xludf.DUMMYFUNCTION("""COMPUTED_VALUE"""),"Trên 5 đến 10 năm")</f>
        <v>Trên 5 đến 10 năm</v>
      </c>
      <c r="H202" s="4" t="str">
        <f ca="1">IFERROR(__xludf.DUMMYFUNCTION("""COMPUTED_VALUE"""),"Trưởng phòng")</f>
        <v>Trưởng phòng</v>
      </c>
      <c r="I202" s="4">
        <f ca="1">IFERROR(__xludf.DUMMYFUNCTION("""COMPUTED_VALUE"""),5)</f>
        <v>5</v>
      </c>
      <c r="J202" s="4">
        <f ca="1">IFERROR(__xludf.DUMMYFUNCTION("""COMPUTED_VALUE"""),5)</f>
        <v>5</v>
      </c>
      <c r="K202" s="4">
        <f ca="1">IFERROR(__xludf.DUMMYFUNCTION("""COMPUTED_VALUE"""),5)</f>
        <v>5</v>
      </c>
      <c r="L202" s="4">
        <f ca="1">IFERROR(__xludf.DUMMYFUNCTION("""COMPUTED_VALUE"""),5)</f>
        <v>5</v>
      </c>
      <c r="M202" s="4">
        <f ca="1">IFERROR(__xludf.DUMMYFUNCTION("""COMPUTED_VALUE"""),5)</f>
        <v>5</v>
      </c>
      <c r="N202" s="4">
        <f ca="1">IFERROR(__xludf.DUMMYFUNCTION("""COMPUTED_VALUE"""),5)</f>
        <v>5</v>
      </c>
      <c r="O202" s="4">
        <f ca="1">IFERROR(__xludf.DUMMYFUNCTION("""COMPUTED_VALUE"""),5)</f>
        <v>5</v>
      </c>
      <c r="P202" s="4">
        <f ca="1">IFERROR(__xludf.DUMMYFUNCTION("""COMPUTED_VALUE"""),5)</f>
        <v>5</v>
      </c>
      <c r="Q202" s="4">
        <f ca="1">IFERROR(__xludf.DUMMYFUNCTION("""COMPUTED_VALUE"""),5)</f>
        <v>5</v>
      </c>
      <c r="R202" s="4">
        <f ca="1">IFERROR(__xludf.DUMMYFUNCTION("""COMPUTED_VALUE"""),5)</f>
        <v>5</v>
      </c>
      <c r="S202" s="4">
        <f ca="1">IFERROR(__xludf.DUMMYFUNCTION("""COMPUTED_VALUE"""),5)</f>
        <v>5</v>
      </c>
      <c r="T202" s="4">
        <f ca="1">IFERROR(__xludf.DUMMYFUNCTION("""COMPUTED_VALUE"""),5)</f>
        <v>5</v>
      </c>
      <c r="U202" s="4">
        <f ca="1">IFERROR(__xludf.DUMMYFUNCTION("""COMPUTED_VALUE"""),5)</f>
        <v>5</v>
      </c>
      <c r="V202" s="4">
        <f ca="1">IFERROR(__xludf.DUMMYFUNCTION("""COMPUTED_VALUE"""),5)</f>
        <v>5</v>
      </c>
      <c r="W202" s="4">
        <f ca="1">IFERROR(__xludf.DUMMYFUNCTION("""COMPUTED_VALUE"""),4)</f>
        <v>4</v>
      </c>
      <c r="X202" s="4">
        <f ca="1">IFERROR(__xludf.DUMMYFUNCTION("""COMPUTED_VALUE"""),4)</f>
        <v>4</v>
      </c>
      <c r="Y202" s="4">
        <f ca="1">IFERROR(__xludf.DUMMYFUNCTION("""COMPUTED_VALUE"""),4)</f>
        <v>4</v>
      </c>
      <c r="Z202" s="4">
        <f ca="1">IFERROR(__xludf.DUMMYFUNCTION("""COMPUTED_VALUE"""),4)</f>
        <v>4</v>
      </c>
      <c r="AA202" s="4">
        <f ca="1">IFERROR(__xludf.DUMMYFUNCTION("""COMPUTED_VALUE"""),4)</f>
        <v>4</v>
      </c>
      <c r="AB202" s="4">
        <f ca="1">IFERROR(__xludf.DUMMYFUNCTION("""COMPUTED_VALUE"""),4)</f>
        <v>4</v>
      </c>
      <c r="AC202" s="4">
        <f ca="1">IFERROR(__xludf.DUMMYFUNCTION("""COMPUTED_VALUE"""),3)</f>
        <v>3</v>
      </c>
      <c r="AD202" s="4">
        <f ca="1">IFERROR(__xludf.DUMMYFUNCTION("""COMPUTED_VALUE"""),3)</f>
        <v>3</v>
      </c>
      <c r="AE202" s="4">
        <f ca="1">IFERROR(__xludf.DUMMYFUNCTION("""COMPUTED_VALUE"""),4)</f>
        <v>4</v>
      </c>
      <c r="AF202" s="4">
        <f ca="1">IFERROR(__xludf.DUMMYFUNCTION("""COMPUTED_VALUE"""),4)</f>
        <v>4</v>
      </c>
      <c r="AG202" s="4">
        <f ca="1">IFERROR(__xludf.DUMMYFUNCTION("""COMPUTED_VALUE"""),4)</f>
        <v>4</v>
      </c>
      <c r="AH202" s="4">
        <f ca="1">IFERROR(__xludf.DUMMYFUNCTION("""COMPUTED_VALUE"""),4)</f>
        <v>4</v>
      </c>
      <c r="AI202" s="4">
        <f ca="1">IFERROR(__xludf.DUMMYFUNCTION("""COMPUTED_VALUE"""),4)</f>
        <v>4</v>
      </c>
      <c r="AJ202" s="4">
        <f ca="1">IFERROR(__xludf.DUMMYFUNCTION("""COMPUTED_VALUE"""),4)</f>
        <v>4</v>
      </c>
      <c r="AK202" s="4">
        <f ca="1">IFERROR(__xludf.DUMMYFUNCTION("""COMPUTED_VALUE"""),4)</f>
        <v>4</v>
      </c>
      <c r="AL202" s="4">
        <f ca="1">IFERROR(__xludf.DUMMYFUNCTION("""COMPUTED_VALUE"""),4)</f>
        <v>4</v>
      </c>
      <c r="AM202" s="4">
        <f ca="1">IFERROR(__xludf.DUMMYFUNCTION("""COMPUTED_VALUE"""),4)</f>
        <v>4</v>
      </c>
      <c r="AN202" s="4">
        <f ca="1">IFERROR(__xludf.DUMMYFUNCTION("""COMPUTED_VALUE"""),4)</f>
        <v>4</v>
      </c>
      <c r="AO202" s="4">
        <f ca="1">IFERROR(__xludf.DUMMYFUNCTION("""COMPUTED_VALUE"""),4)</f>
        <v>4</v>
      </c>
      <c r="AP202" s="4">
        <f ca="1">IFERROR(__xludf.DUMMYFUNCTION("""COMPUTED_VALUE"""),4)</f>
        <v>4</v>
      </c>
      <c r="AQ202" s="4">
        <f ca="1">IFERROR(__xludf.DUMMYFUNCTION("""COMPUTED_VALUE"""),4)</f>
        <v>4</v>
      </c>
      <c r="AR202" s="4">
        <f ca="1">IFERROR(__xludf.DUMMYFUNCTION("""COMPUTED_VALUE"""),4)</f>
        <v>4</v>
      </c>
      <c r="AS202" s="4">
        <f ca="1">IFERROR(__xludf.DUMMYFUNCTION("""COMPUTED_VALUE"""),4)</f>
        <v>4</v>
      </c>
      <c r="AT202" s="4">
        <f ca="1">IFERROR(__xludf.DUMMYFUNCTION("""COMPUTED_VALUE"""),4)</f>
        <v>4</v>
      </c>
      <c r="AU202" s="4">
        <f ca="1">IFERROR(__xludf.DUMMYFUNCTION("""COMPUTED_VALUE"""),4)</f>
        <v>4</v>
      </c>
      <c r="AV202" s="4">
        <f ca="1">IFERROR(__xludf.DUMMYFUNCTION("""COMPUTED_VALUE"""),4)</f>
        <v>4</v>
      </c>
      <c r="AW202" s="4">
        <f ca="1">IFERROR(__xludf.DUMMYFUNCTION("""COMPUTED_VALUE"""),4)</f>
        <v>4</v>
      </c>
      <c r="AX202" s="4">
        <f ca="1">IFERROR(__xludf.DUMMYFUNCTION("""COMPUTED_VALUE"""),5)</f>
        <v>5</v>
      </c>
      <c r="AY202" s="4">
        <f ca="1">IFERROR(__xludf.DUMMYFUNCTION("""COMPUTED_VALUE"""),5)</f>
        <v>5</v>
      </c>
      <c r="AZ202" s="4">
        <f ca="1">IFERROR(__xludf.DUMMYFUNCTION("""COMPUTED_VALUE"""),5)</f>
        <v>5</v>
      </c>
      <c r="BA202" s="4">
        <f ca="1">IFERROR(__xludf.DUMMYFUNCTION("""COMPUTED_VALUE"""),5)</f>
        <v>5</v>
      </c>
      <c r="BB202" s="4">
        <f ca="1">IFERROR(__xludf.DUMMYFUNCTION("""COMPUTED_VALUE"""),3)</f>
        <v>3</v>
      </c>
      <c r="BC202" s="4">
        <f ca="1">IFERROR(__xludf.DUMMYFUNCTION("""COMPUTED_VALUE"""),3)</f>
        <v>3</v>
      </c>
      <c r="BD202" s="4">
        <f ca="1">IFERROR(__xludf.DUMMYFUNCTION("""COMPUTED_VALUE"""),3)</f>
        <v>3</v>
      </c>
      <c r="BE202" s="4">
        <f ca="1">IFERROR(__xludf.DUMMYFUNCTION("""COMPUTED_VALUE"""),3)</f>
        <v>3</v>
      </c>
      <c r="BF202" s="4">
        <f ca="1">IFERROR(__xludf.DUMMYFUNCTION("""COMPUTED_VALUE"""),3)</f>
        <v>3</v>
      </c>
      <c r="BG202" s="4">
        <f ca="1">IFERROR(__xludf.DUMMYFUNCTION("""COMPUTED_VALUE"""),3)</f>
        <v>3</v>
      </c>
      <c r="BH202" s="4">
        <f ca="1">IFERROR(__xludf.DUMMYFUNCTION("""COMPUTED_VALUE"""),4)</f>
        <v>4</v>
      </c>
      <c r="BI202" s="4">
        <f ca="1">IFERROR(__xludf.DUMMYFUNCTION("""COMPUTED_VALUE"""),4)</f>
        <v>4</v>
      </c>
      <c r="BJ202" s="4">
        <f ca="1">IFERROR(__xludf.DUMMYFUNCTION("""COMPUTED_VALUE"""),4)</f>
        <v>4</v>
      </c>
      <c r="BK202" s="4">
        <f ca="1">IFERROR(__xludf.DUMMYFUNCTION("""COMPUTED_VALUE"""),5)</f>
        <v>5</v>
      </c>
      <c r="BL202" s="4">
        <f ca="1">IFERROR(__xludf.DUMMYFUNCTION("""COMPUTED_VALUE"""),5)</f>
        <v>5</v>
      </c>
      <c r="BM202" s="4">
        <f ca="1">IFERROR(__xludf.DUMMYFUNCTION("""COMPUTED_VALUE"""),5)</f>
        <v>5</v>
      </c>
      <c r="BN202" s="4">
        <f ca="1">IFERROR(__xludf.DUMMYFUNCTION("""COMPUTED_VALUE"""),5)</f>
        <v>5</v>
      </c>
      <c r="BO202" s="4">
        <f ca="1">IFERROR(__xludf.DUMMYFUNCTION("""COMPUTED_VALUE"""),5)</f>
        <v>5</v>
      </c>
      <c r="BP202" s="4">
        <f ca="1">IFERROR(__xludf.DUMMYFUNCTION("""COMPUTED_VALUE"""),5)</f>
        <v>5</v>
      </c>
    </row>
    <row r="203" spans="1:68" ht="13.2" x14ac:dyDescent="0.25">
      <c r="A203" s="4" t="str">
        <f ca="1">IFERROR(__xludf.DUMMYFUNCTION("""COMPUTED_VALUE"""),"2_ABaOnudaVjG5Fr9L4rt8V6gBeL-u3ImGkiPqiRyX2poN-9XRZOJgdmmUMF7q40ioGw")</f>
        <v>2_ABaOnudaVjG5Fr9L4rt8V6gBeL-u3ImGkiPqiRyX2poN-9XRZOJgdmmUMF7q40ioGw</v>
      </c>
      <c r="B203" s="5">
        <f ca="1">IFERROR(__xludf.DUMMYFUNCTION("""COMPUTED_VALUE"""),45977.6811085763)</f>
        <v>45977.681108576297</v>
      </c>
      <c r="C203" s="4" t="str">
        <f ca="1">IFERROR(__xludf.DUMMYFUNCTION("""COMPUTED_VALUE"""),"Nguyễn Thành Việt")</f>
        <v>Nguyễn Thành Việt</v>
      </c>
      <c r="D203" s="4" t="str">
        <f ca="1">IFERROR(__xludf.DUMMYFUNCTION("""COMPUTED_VALUE"""),"Nam")</f>
        <v>Nam</v>
      </c>
      <c r="E203" s="4" t="str">
        <f ca="1">IFERROR(__xludf.DUMMYFUNCTION("""COMPUTED_VALUE"""),"Công ty Kiểm toán I.T.O")</f>
        <v>Công ty Kiểm toán I.T.O</v>
      </c>
      <c r="F203" s="4" t="str">
        <f ca="1">IFERROR(__xludf.DUMMYFUNCTION("""COMPUTED_VALUE"""),"Đại học")</f>
        <v>Đại học</v>
      </c>
      <c r="G203" s="4" t="str">
        <f ca="1">IFERROR(__xludf.DUMMYFUNCTION("""COMPUTED_VALUE"""),"Trên 15 đến 20 năm")</f>
        <v>Trên 15 đến 20 năm</v>
      </c>
      <c r="H203" s="4" t="str">
        <f ca="1">IFERROR(__xludf.DUMMYFUNCTION("""COMPUTED_VALUE"""),"Ban giám đốc")</f>
        <v>Ban giám đốc</v>
      </c>
      <c r="I203" s="4">
        <f ca="1">IFERROR(__xludf.DUMMYFUNCTION("""COMPUTED_VALUE"""),4)</f>
        <v>4</v>
      </c>
      <c r="J203" s="4">
        <f ca="1">IFERROR(__xludf.DUMMYFUNCTION("""COMPUTED_VALUE"""),4)</f>
        <v>4</v>
      </c>
      <c r="K203" s="4">
        <f ca="1">IFERROR(__xludf.DUMMYFUNCTION("""COMPUTED_VALUE"""),3)</f>
        <v>3</v>
      </c>
      <c r="L203" s="4">
        <f ca="1">IFERROR(__xludf.DUMMYFUNCTION("""COMPUTED_VALUE"""),5)</f>
        <v>5</v>
      </c>
      <c r="M203" s="4">
        <f ca="1">IFERROR(__xludf.DUMMYFUNCTION("""COMPUTED_VALUE"""),4)</f>
        <v>4</v>
      </c>
      <c r="N203" s="4">
        <f ca="1">IFERROR(__xludf.DUMMYFUNCTION("""COMPUTED_VALUE"""),2)</f>
        <v>2</v>
      </c>
      <c r="O203" s="4">
        <f ca="1">IFERROR(__xludf.DUMMYFUNCTION("""COMPUTED_VALUE"""),3)</f>
        <v>3</v>
      </c>
      <c r="P203" s="4">
        <f ca="1">IFERROR(__xludf.DUMMYFUNCTION("""COMPUTED_VALUE"""),4)</f>
        <v>4</v>
      </c>
      <c r="Q203" s="4">
        <f ca="1">IFERROR(__xludf.DUMMYFUNCTION("""COMPUTED_VALUE"""),5)</f>
        <v>5</v>
      </c>
      <c r="R203" s="4">
        <f ca="1">IFERROR(__xludf.DUMMYFUNCTION("""COMPUTED_VALUE"""),4)</f>
        <v>4</v>
      </c>
      <c r="S203" s="4">
        <f ca="1">IFERROR(__xludf.DUMMYFUNCTION("""COMPUTED_VALUE"""),5)</f>
        <v>5</v>
      </c>
      <c r="T203" s="4">
        <f ca="1">IFERROR(__xludf.DUMMYFUNCTION("""COMPUTED_VALUE"""),4)</f>
        <v>4</v>
      </c>
      <c r="U203" s="4">
        <f ca="1">IFERROR(__xludf.DUMMYFUNCTION("""COMPUTED_VALUE"""),3)</f>
        <v>3</v>
      </c>
      <c r="V203" s="4">
        <f ca="1">IFERROR(__xludf.DUMMYFUNCTION("""COMPUTED_VALUE"""),5)</f>
        <v>5</v>
      </c>
      <c r="W203" s="4">
        <f ca="1">IFERROR(__xludf.DUMMYFUNCTION("""COMPUTED_VALUE"""),4)</f>
        <v>4</v>
      </c>
      <c r="X203" s="4">
        <f ca="1">IFERROR(__xludf.DUMMYFUNCTION("""COMPUTED_VALUE"""),4)</f>
        <v>4</v>
      </c>
      <c r="Y203" s="4">
        <f ca="1">IFERROR(__xludf.DUMMYFUNCTION("""COMPUTED_VALUE"""),3)</f>
        <v>3</v>
      </c>
      <c r="Z203" s="4">
        <f ca="1">IFERROR(__xludf.DUMMYFUNCTION("""COMPUTED_VALUE"""),2)</f>
        <v>2</v>
      </c>
      <c r="AA203" s="4">
        <f ca="1">IFERROR(__xludf.DUMMYFUNCTION("""COMPUTED_VALUE"""),3)</f>
        <v>3</v>
      </c>
      <c r="AB203" s="4">
        <f ca="1">IFERROR(__xludf.DUMMYFUNCTION("""COMPUTED_VALUE"""),5)</f>
        <v>5</v>
      </c>
      <c r="AC203" s="4">
        <f ca="1">IFERROR(__xludf.DUMMYFUNCTION("""COMPUTED_VALUE"""),4)</f>
        <v>4</v>
      </c>
      <c r="AD203" s="4">
        <f ca="1">IFERROR(__xludf.DUMMYFUNCTION("""COMPUTED_VALUE"""),3)</f>
        <v>3</v>
      </c>
      <c r="AE203" s="4">
        <f ca="1">IFERROR(__xludf.DUMMYFUNCTION("""COMPUTED_VALUE"""),5)</f>
        <v>5</v>
      </c>
      <c r="AF203" s="4">
        <f ca="1">IFERROR(__xludf.DUMMYFUNCTION("""COMPUTED_VALUE"""),3)</f>
        <v>3</v>
      </c>
      <c r="AG203" s="4">
        <f ca="1">IFERROR(__xludf.DUMMYFUNCTION("""COMPUTED_VALUE"""),3)</f>
        <v>3</v>
      </c>
      <c r="AH203" s="4">
        <f ca="1">IFERROR(__xludf.DUMMYFUNCTION("""COMPUTED_VALUE"""),3)</f>
        <v>3</v>
      </c>
      <c r="AI203" s="4">
        <f ca="1">IFERROR(__xludf.DUMMYFUNCTION("""COMPUTED_VALUE"""),4)</f>
        <v>4</v>
      </c>
      <c r="AJ203" s="4">
        <f ca="1">IFERROR(__xludf.DUMMYFUNCTION("""COMPUTED_VALUE"""),3)</f>
        <v>3</v>
      </c>
      <c r="AK203" s="4">
        <f ca="1">IFERROR(__xludf.DUMMYFUNCTION("""COMPUTED_VALUE"""),5)</f>
        <v>5</v>
      </c>
      <c r="AL203" s="4">
        <f ca="1">IFERROR(__xludf.DUMMYFUNCTION("""COMPUTED_VALUE"""),5)</f>
        <v>5</v>
      </c>
      <c r="AM203" s="4">
        <f ca="1">IFERROR(__xludf.DUMMYFUNCTION("""COMPUTED_VALUE"""),4)</f>
        <v>4</v>
      </c>
      <c r="AN203" s="4">
        <f ca="1">IFERROR(__xludf.DUMMYFUNCTION("""COMPUTED_VALUE"""),5)</f>
        <v>5</v>
      </c>
      <c r="AO203" s="4">
        <f ca="1">IFERROR(__xludf.DUMMYFUNCTION("""COMPUTED_VALUE"""),5)</f>
        <v>5</v>
      </c>
      <c r="AP203" s="4">
        <f ca="1">IFERROR(__xludf.DUMMYFUNCTION("""COMPUTED_VALUE"""),5)</f>
        <v>5</v>
      </c>
      <c r="AQ203" s="4">
        <f ca="1">IFERROR(__xludf.DUMMYFUNCTION("""COMPUTED_VALUE"""),4)</f>
        <v>4</v>
      </c>
      <c r="AR203" s="4">
        <f ca="1">IFERROR(__xludf.DUMMYFUNCTION("""COMPUTED_VALUE"""),4)</f>
        <v>4</v>
      </c>
      <c r="AS203" s="4">
        <f ca="1">IFERROR(__xludf.DUMMYFUNCTION("""COMPUTED_VALUE"""),3)</f>
        <v>3</v>
      </c>
      <c r="AT203" s="4">
        <f ca="1">IFERROR(__xludf.DUMMYFUNCTION("""COMPUTED_VALUE"""),3)</f>
        <v>3</v>
      </c>
      <c r="AU203" s="4">
        <f ca="1">IFERROR(__xludf.DUMMYFUNCTION("""COMPUTED_VALUE"""),4)</f>
        <v>4</v>
      </c>
      <c r="AV203" s="4">
        <f ca="1">IFERROR(__xludf.DUMMYFUNCTION("""COMPUTED_VALUE"""),4)</f>
        <v>4</v>
      </c>
      <c r="AW203" s="4">
        <f ca="1">IFERROR(__xludf.DUMMYFUNCTION("""COMPUTED_VALUE"""),4)</f>
        <v>4</v>
      </c>
      <c r="AX203" s="4">
        <f ca="1">IFERROR(__xludf.DUMMYFUNCTION("""COMPUTED_VALUE"""),5)</f>
        <v>5</v>
      </c>
      <c r="AY203" s="4">
        <f ca="1">IFERROR(__xludf.DUMMYFUNCTION("""COMPUTED_VALUE"""),4)</f>
        <v>4</v>
      </c>
      <c r="AZ203" s="4">
        <f ca="1">IFERROR(__xludf.DUMMYFUNCTION("""COMPUTED_VALUE"""),5)</f>
        <v>5</v>
      </c>
      <c r="BA203" s="4">
        <f ca="1">IFERROR(__xludf.DUMMYFUNCTION("""COMPUTED_VALUE"""),4)</f>
        <v>4</v>
      </c>
      <c r="BB203" s="4">
        <f ca="1">IFERROR(__xludf.DUMMYFUNCTION("""COMPUTED_VALUE"""),2)</f>
        <v>2</v>
      </c>
      <c r="BC203" s="4">
        <f ca="1">IFERROR(__xludf.DUMMYFUNCTION("""COMPUTED_VALUE"""),2)</f>
        <v>2</v>
      </c>
      <c r="BD203" s="4">
        <f ca="1">IFERROR(__xludf.DUMMYFUNCTION("""COMPUTED_VALUE"""),4)</f>
        <v>4</v>
      </c>
      <c r="BE203" s="4">
        <f ca="1">IFERROR(__xludf.DUMMYFUNCTION("""COMPUTED_VALUE"""),3)</f>
        <v>3</v>
      </c>
      <c r="BF203" s="4">
        <f ca="1">IFERROR(__xludf.DUMMYFUNCTION("""COMPUTED_VALUE"""),3)</f>
        <v>3</v>
      </c>
      <c r="BG203" s="4">
        <f ca="1">IFERROR(__xludf.DUMMYFUNCTION("""COMPUTED_VALUE"""),3)</f>
        <v>3</v>
      </c>
      <c r="BH203" s="4">
        <f ca="1">IFERROR(__xludf.DUMMYFUNCTION("""COMPUTED_VALUE"""),4)</f>
        <v>4</v>
      </c>
      <c r="BI203" s="4">
        <f ca="1">IFERROR(__xludf.DUMMYFUNCTION("""COMPUTED_VALUE"""),4)</f>
        <v>4</v>
      </c>
      <c r="BJ203" s="4">
        <f ca="1">IFERROR(__xludf.DUMMYFUNCTION("""COMPUTED_VALUE"""),4)</f>
        <v>4</v>
      </c>
      <c r="BK203" s="4">
        <f ca="1">IFERROR(__xludf.DUMMYFUNCTION("""COMPUTED_VALUE"""),5)</f>
        <v>5</v>
      </c>
      <c r="BL203" s="4">
        <f ca="1">IFERROR(__xludf.DUMMYFUNCTION("""COMPUTED_VALUE"""),4)</f>
        <v>4</v>
      </c>
      <c r="BM203" s="4">
        <f ca="1">IFERROR(__xludf.DUMMYFUNCTION("""COMPUTED_VALUE"""),4)</f>
        <v>4</v>
      </c>
      <c r="BN203" s="4">
        <f ca="1">IFERROR(__xludf.DUMMYFUNCTION("""COMPUTED_VALUE"""),4)</f>
        <v>4</v>
      </c>
      <c r="BO203" s="4">
        <f ca="1">IFERROR(__xludf.DUMMYFUNCTION("""COMPUTED_VALUE"""),5)</f>
        <v>5</v>
      </c>
      <c r="BP203" s="4">
        <f ca="1">IFERROR(__xludf.DUMMYFUNCTION("""COMPUTED_VALUE"""),5)</f>
        <v>5</v>
      </c>
    </row>
    <row r="204" spans="1:68" ht="13.2" x14ac:dyDescent="0.25">
      <c r="A204" s="4" t="str">
        <f ca="1">IFERROR(__xludf.DUMMYFUNCTION("""COMPUTED_VALUE"""),"2_ABaOnufQwxuGTBQZ_YU-NWnFhMHli7LnbUvg2wF1KFBcJhGoj2pgl6GmWYam8MoC5Q")</f>
        <v>2_ABaOnufQwxuGTBQZ_YU-NWnFhMHli7LnbUvg2wF1KFBcJhGoj2pgl6GmWYam8MoC5Q</v>
      </c>
      <c r="B204" s="5">
        <f ca="1">IFERROR(__xludf.DUMMYFUNCTION("""COMPUTED_VALUE"""),45977.7843163541)</f>
        <v>45977.784316354097</v>
      </c>
      <c r="C204" s="4" t="str">
        <f ca="1">IFERROR(__xludf.DUMMYFUNCTION("""COMPUTED_VALUE"""),"Trịnh Hồng Khánh")</f>
        <v>Trịnh Hồng Khánh</v>
      </c>
      <c r="D204" s="4" t="str">
        <f ca="1">IFERROR(__xludf.DUMMYFUNCTION("""COMPUTED_VALUE"""),"Nam")</f>
        <v>Nam</v>
      </c>
      <c r="E204" s="4" t="str">
        <f ca="1">IFERROR(__xludf.DUMMYFUNCTION("""COMPUTED_VALUE"""),"Công ty TNHH Kiểm toán DFK Việt Nam")</f>
        <v>Công ty TNHH Kiểm toán DFK Việt Nam</v>
      </c>
      <c r="F204" s="4" t="str">
        <f ca="1">IFERROR(__xludf.DUMMYFUNCTION("""COMPUTED_VALUE"""),"Đại học, Chứng chỉ Kiểm toán viên")</f>
        <v>Đại học, Chứng chỉ Kiểm toán viên</v>
      </c>
      <c r="G204" s="4" t="str">
        <f ca="1">IFERROR(__xludf.DUMMYFUNCTION("""COMPUTED_VALUE"""),"Trên 15 đến 20 năm")</f>
        <v>Trên 15 đến 20 năm</v>
      </c>
      <c r="H204" s="4" t="str">
        <f ca="1">IFERROR(__xludf.DUMMYFUNCTION("""COMPUTED_VALUE"""),"Ban giám đốc")</f>
        <v>Ban giám đốc</v>
      </c>
      <c r="I204" s="4">
        <f ca="1">IFERROR(__xludf.DUMMYFUNCTION("""COMPUTED_VALUE"""),5)</f>
        <v>5</v>
      </c>
      <c r="J204" s="4">
        <f ca="1">IFERROR(__xludf.DUMMYFUNCTION("""COMPUTED_VALUE"""),5)</f>
        <v>5</v>
      </c>
      <c r="K204" s="4">
        <f ca="1">IFERROR(__xludf.DUMMYFUNCTION("""COMPUTED_VALUE"""),5)</f>
        <v>5</v>
      </c>
      <c r="L204" s="4">
        <f ca="1">IFERROR(__xludf.DUMMYFUNCTION("""COMPUTED_VALUE"""),5)</f>
        <v>5</v>
      </c>
      <c r="M204" s="4">
        <f ca="1">IFERROR(__xludf.DUMMYFUNCTION("""COMPUTED_VALUE"""),5)</f>
        <v>5</v>
      </c>
      <c r="N204" s="4">
        <f ca="1">IFERROR(__xludf.DUMMYFUNCTION("""COMPUTED_VALUE"""),5)</f>
        <v>5</v>
      </c>
      <c r="O204" s="4">
        <f ca="1">IFERROR(__xludf.DUMMYFUNCTION("""COMPUTED_VALUE"""),5)</f>
        <v>5</v>
      </c>
      <c r="P204" s="4">
        <f ca="1">IFERROR(__xludf.DUMMYFUNCTION("""COMPUTED_VALUE"""),5)</f>
        <v>5</v>
      </c>
      <c r="Q204" s="4">
        <f ca="1">IFERROR(__xludf.DUMMYFUNCTION("""COMPUTED_VALUE"""),5)</f>
        <v>5</v>
      </c>
      <c r="R204" s="4">
        <f ca="1">IFERROR(__xludf.DUMMYFUNCTION("""COMPUTED_VALUE"""),5)</f>
        <v>5</v>
      </c>
      <c r="S204" s="4">
        <f ca="1">IFERROR(__xludf.DUMMYFUNCTION("""COMPUTED_VALUE"""),5)</f>
        <v>5</v>
      </c>
      <c r="T204" s="4">
        <f ca="1">IFERROR(__xludf.DUMMYFUNCTION("""COMPUTED_VALUE"""),5)</f>
        <v>5</v>
      </c>
      <c r="U204" s="4">
        <f ca="1">IFERROR(__xludf.DUMMYFUNCTION("""COMPUTED_VALUE"""),5)</f>
        <v>5</v>
      </c>
      <c r="V204" s="4">
        <f ca="1">IFERROR(__xludf.DUMMYFUNCTION("""COMPUTED_VALUE"""),5)</f>
        <v>5</v>
      </c>
      <c r="W204" s="4">
        <f ca="1">IFERROR(__xludf.DUMMYFUNCTION("""COMPUTED_VALUE"""),5)</f>
        <v>5</v>
      </c>
      <c r="X204" s="4">
        <f ca="1">IFERROR(__xludf.DUMMYFUNCTION("""COMPUTED_VALUE"""),5)</f>
        <v>5</v>
      </c>
      <c r="Y204" s="4">
        <f ca="1">IFERROR(__xludf.DUMMYFUNCTION("""COMPUTED_VALUE"""),5)</f>
        <v>5</v>
      </c>
      <c r="Z204" s="4">
        <f ca="1">IFERROR(__xludf.DUMMYFUNCTION("""COMPUTED_VALUE"""),5)</f>
        <v>5</v>
      </c>
      <c r="AA204" s="4">
        <f ca="1">IFERROR(__xludf.DUMMYFUNCTION("""COMPUTED_VALUE"""),5)</f>
        <v>5</v>
      </c>
      <c r="AB204" s="4">
        <f ca="1">IFERROR(__xludf.DUMMYFUNCTION("""COMPUTED_VALUE"""),3)</f>
        <v>3</v>
      </c>
      <c r="AC204" s="4">
        <f ca="1">IFERROR(__xludf.DUMMYFUNCTION("""COMPUTED_VALUE"""),3)</f>
        <v>3</v>
      </c>
      <c r="AD204" s="4">
        <f ca="1">IFERROR(__xludf.DUMMYFUNCTION("""COMPUTED_VALUE"""),3)</f>
        <v>3</v>
      </c>
      <c r="AE204" s="4">
        <f ca="1">IFERROR(__xludf.DUMMYFUNCTION("""COMPUTED_VALUE"""),3)</f>
        <v>3</v>
      </c>
      <c r="AF204" s="4">
        <f ca="1">IFERROR(__xludf.DUMMYFUNCTION("""COMPUTED_VALUE"""),4)</f>
        <v>4</v>
      </c>
      <c r="AG204" s="4">
        <f ca="1">IFERROR(__xludf.DUMMYFUNCTION("""COMPUTED_VALUE"""),4)</f>
        <v>4</v>
      </c>
      <c r="AH204" s="4">
        <f ca="1">IFERROR(__xludf.DUMMYFUNCTION("""COMPUTED_VALUE"""),4)</f>
        <v>4</v>
      </c>
      <c r="AI204" s="4">
        <f ca="1">IFERROR(__xludf.DUMMYFUNCTION("""COMPUTED_VALUE"""),4)</f>
        <v>4</v>
      </c>
      <c r="AJ204" s="4">
        <f ca="1">IFERROR(__xludf.DUMMYFUNCTION("""COMPUTED_VALUE"""),5)</f>
        <v>5</v>
      </c>
      <c r="AK204" s="4">
        <f ca="1">IFERROR(__xludf.DUMMYFUNCTION("""COMPUTED_VALUE"""),5)</f>
        <v>5</v>
      </c>
      <c r="AL204" s="4">
        <f ca="1">IFERROR(__xludf.DUMMYFUNCTION("""COMPUTED_VALUE"""),5)</f>
        <v>5</v>
      </c>
      <c r="AM204" s="4">
        <f ca="1">IFERROR(__xludf.DUMMYFUNCTION("""COMPUTED_VALUE"""),5)</f>
        <v>5</v>
      </c>
      <c r="AN204" s="4">
        <f ca="1">IFERROR(__xludf.DUMMYFUNCTION("""COMPUTED_VALUE"""),5)</f>
        <v>5</v>
      </c>
      <c r="AO204" s="4">
        <f ca="1">IFERROR(__xludf.DUMMYFUNCTION("""COMPUTED_VALUE"""),4)</f>
        <v>4</v>
      </c>
      <c r="AP204" s="4">
        <f ca="1">IFERROR(__xludf.DUMMYFUNCTION("""COMPUTED_VALUE"""),4)</f>
        <v>4</v>
      </c>
      <c r="AQ204" s="4">
        <f ca="1">IFERROR(__xludf.DUMMYFUNCTION("""COMPUTED_VALUE"""),4)</f>
        <v>4</v>
      </c>
      <c r="AR204" s="4">
        <f ca="1">IFERROR(__xludf.DUMMYFUNCTION("""COMPUTED_VALUE"""),4)</f>
        <v>4</v>
      </c>
      <c r="AS204" s="4">
        <f ca="1">IFERROR(__xludf.DUMMYFUNCTION("""COMPUTED_VALUE"""),4)</f>
        <v>4</v>
      </c>
      <c r="AT204" s="4">
        <f ca="1">IFERROR(__xludf.DUMMYFUNCTION("""COMPUTED_VALUE"""),3)</f>
        <v>3</v>
      </c>
      <c r="AU204" s="4">
        <f ca="1">IFERROR(__xludf.DUMMYFUNCTION("""COMPUTED_VALUE"""),3)</f>
        <v>3</v>
      </c>
      <c r="AV204" s="4">
        <f ca="1">IFERROR(__xludf.DUMMYFUNCTION("""COMPUTED_VALUE"""),3)</f>
        <v>3</v>
      </c>
      <c r="AW204" s="4">
        <f ca="1">IFERROR(__xludf.DUMMYFUNCTION("""COMPUTED_VALUE"""),3)</f>
        <v>3</v>
      </c>
      <c r="AX204" s="4">
        <f ca="1">IFERROR(__xludf.DUMMYFUNCTION("""COMPUTED_VALUE"""),5)</f>
        <v>5</v>
      </c>
      <c r="AY204" s="4">
        <f ca="1">IFERROR(__xludf.DUMMYFUNCTION("""COMPUTED_VALUE"""),5)</f>
        <v>5</v>
      </c>
      <c r="AZ204" s="4">
        <f ca="1">IFERROR(__xludf.DUMMYFUNCTION("""COMPUTED_VALUE"""),5)</f>
        <v>5</v>
      </c>
      <c r="BA204" s="4">
        <f ca="1">IFERROR(__xludf.DUMMYFUNCTION("""COMPUTED_VALUE"""),5)</f>
        <v>5</v>
      </c>
      <c r="BB204" s="4">
        <f ca="1">IFERROR(__xludf.DUMMYFUNCTION("""COMPUTED_VALUE"""),3)</f>
        <v>3</v>
      </c>
      <c r="BC204" s="4">
        <f ca="1">IFERROR(__xludf.DUMMYFUNCTION("""COMPUTED_VALUE"""),3)</f>
        <v>3</v>
      </c>
      <c r="BD204" s="4">
        <f ca="1">IFERROR(__xludf.DUMMYFUNCTION("""COMPUTED_VALUE"""),5)</f>
        <v>5</v>
      </c>
      <c r="BE204" s="4">
        <f ca="1">IFERROR(__xludf.DUMMYFUNCTION("""COMPUTED_VALUE"""),4)</f>
        <v>4</v>
      </c>
      <c r="BF204" s="4">
        <f ca="1">IFERROR(__xludf.DUMMYFUNCTION("""COMPUTED_VALUE"""),4)</f>
        <v>4</v>
      </c>
      <c r="BG204" s="4">
        <f ca="1">IFERROR(__xludf.DUMMYFUNCTION("""COMPUTED_VALUE"""),4)</f>
        <v>4</v>
      </c>
      <c r="BH204" s="4">
        <f ca="1">IFERROR(__xludf.DUMMYFUNCTION("""COMPUTED_VALUE"""),4)</f>
        <v>4</v>
      </c>
      <c r="BI204" s="4">
        <f ca="1">IFERROR(__xludf.DUMMYFUNCTION("""COMPUTED_VALUE"""),4)</f>
        <v>4</v>
      </c>
      <c r="BJ204" s="4">
        <f ca="1">IFERROR(__xludf.DUMMYFUNCTION("""COMPUTED_VALUE"""),4)</f>
        <v>4</v>
      </c>
      <c r="BK204" s="4">
        <f ca="1">IFERROR(__xludf.DUMMYFUNCTION("""COMPUTED_VALUE"""),4)</f>
        <v>4</v>
      </c>
      <c r="BL204" s="4">
        <f ca="1">IFERROR(__xludf.DUMMYFUNCTION("""COMPUTED_VALUE"""),4)</f>
        <v>4</v>
      </c>
      <c r="BM204" s="4">
        <f ca="1">IFERROR(__xludf.DUMMYFUNCTION("""COMPUTED_VALUE"""),4)</f>
        <v>4</v>
      </c>
      <c r="BN204" s="4">
        <f ca="1">IFERROR(__xludf.DUMMYFUNCTION("""COMPUTED_VALUE"""),5)</f>
        <v>5</v>
      </c>
      <c r="BO204" s="4">
        <f ca="1">IFERROR(__xludf.DUMMYFUNCTION("""COMPUTED_VALUE"""),5)</f>
        <v>5</v>
      </c>
      <c r="BP204" s="4">
        <f ca="1">IFERROR(__xludf.DUMMYFUNCTION("""COMPUTED_VALUE"""),3)</f>
        <v>3</v>
      </c>
    </row>
    <row r="205" spans="1:68" ht="13.2" x14ac:dyDescent="0.25">
      <c r="A205" s="4" t="str">
        <f ca="1">IFERROR(__xludf.DUMMYFUNCTION("""COMPUTED_VALUE"""),"2_ABaOnuez_FqABTYkUXjUMgBeeRMffd1mHlNhnFNFbP4fqbVAEM3DDrFlITd8xnwbRw")</f>
        <v>2_ABaOnuez_FqABTYkUXjUMgBeeRMffd1mHlNhnFNFbP4fqbVAEM3DDrFlITd8xnwbRw</v>
      </c>
      <c r="B205" s="5">
        <f ca="1">IFERROR(__xludf.DUMMYFUNCTION("""COMPUTED_VALUE"""),45977.8098721527)</f>
        <v>45977.809872152699</v>
      </c>
      <c r="C205" s="4" t="str">
        <f ca="1">IFERROR(__xludf.DUMMYFUNCTION("""COMPUTED_VALUE"""),"Đào Thị Thu Huyền")</f>
        <v>Đào Thị Thu Huyền</v>
      </c>
      <c r="D205" s="4" t="str">
        <f ca="1">IFERROR(__xludf.DUMMYFUNCTION("""COMPUTED_VALUE"""),"Nữ")</f>
        <v>Nữ</v>
      </c>
      <c r="E205" s="4" t="str">
        <f ca="1">IFERROR(__xludf.DUMMYFUNCTION("""COMPUTED_VALUE"""),"Công ty TNHH Kiểm toán DFK Việt Nam")</f>
        <v>Công ty TNHH Kiểm toán DFK Việt Nam</v>
      </c>
      <c r="F205" s="4" t="str">
        <f ca="1">IFERROR(__xludf.DUMMYFUNCTION("""COMPUTED_VALUE"""),"Sau đại học")</f>
        <v>Sau đại học</v>
      </c>
      <c r="G205" s="4" t="str">
        <f ca="1">IFERROR(__xludf.DUMMYFUNCTION("""COMPUTED_VALUE"""),"Từ 3 đến 5 năm")</f>
        <v>Từ 3 đến 5 năm</v>
      </c>
      <c r="H205" s="4" t="str">
        <f ca="1">IFERROR(__xludf.DUMMYFUNCTION("""COMPUTED_VALUE"""),"Trợ lý kiểm toán")</f>
        <v>Trợ lý kiểm toán</v>
      </c>
      <c r="I205" s="4">
        <f ca="1">IFERROR(__xludf.DUMMYFUNCTION("""COMPUTED_VALUE"""),5)</f>
        <v>5</v>
      </c>
      <c r="J205" s="4">
        <f ca="1">IFERROR(__xludf.DUMMYFUNCTION("""COMPUTED_VALUE"""),5)</f>
        <v>5</v>
      </c>
      <c r="K205" s="4">
        <f ca="1">IFERROR(__xludf.DUMMYFUNCTION("""COMPUTED_VALUE"""),4)</f>
        <v>4</v>
      </c>
      <c r="L205" s="4">
        <f ca="1">IFERROR(__xludf.DUMMYFUNCTION("""COMPUTED_VALUE"""),5)</f>
        <v>5</v>
      </c>
      <c r="M205" s="4">
        <f ca="1">IFERROR(__xludf.DUMMYFUNCTION("""COMPUTED_VALUE"""),5)</f>
        <v>5</v>
      </c>
      <c r="N205" s="4">
        <f ca="1">IFERROR(__xludf.DUMMYFUNCTION("""COMPUTED_VALUE"""),4)</f>
        <v>4</v>
      </c>
      <c r="O205" s="4">
        <f ca="1">IFERROR(__xludf.DUMMYFUNCTION("""COMPUTED_VALUE"""),4)</f>
        <v>4</v>
      </c>
      <c r="P205" s="4">
        <f ca="1">IFERROR(__xludf.DUMMYFUNCTION("""COMPUTED_VALUE"""),5)</f>
        <v>5</v>
      </c>
      <c r="Q205" s="4">
        <f ca="1">IFERROR(__xludf.DUMMYFUNCTION("""COMPUTED_VALUE"""),5)</f>
        <v>5</v>
      </c>
      <c r="R205" s="4">
        <f ca="1">IFERROR(__xludf.DUMMYFUNCTION("""COMPUTED_VALUE"""),4)</f>
        <v>4</v>
      </c>
      <c r="S205" s="4">
        <f ca="1">IFERROR(__xludf.DUMMYFUNCTION("""COMPUTED_VALUE"""),3)</f>
        <v>3</v>
      </c>
      <c r="T205" s="4">
        <f ca="1">IFERROR(__xludf.DUMMYFUNCTION("""COMPUTED_VALUE"""),4)</f>
        <v>4</v>
      </c>
      <c r="U205" s="4">
        <f ca="1">IFERROR(__xludf.DUMMYFUNCTION("""COMPUTED_VALUE"""),4)</f>
        <v>4</v>
      </c>
      <c r="V205" s="4">
        <f ca="1">IFERROR(__xludf.DUMMYFUNCTION("""COMPUTED_VALUE"""),5)</f>
        <v>5</v>
      </c>
      <c r="W205" s="4">
        <f ca="1">IFERROR(__xludf.DUMMYFUNCTION("""COMPUTED_VALUE"""),3)</f>
        <v>3</v>
      </c>
      <c r="X205" s="4">
        <f ca="1">IFERROR(__xludf.DUMMYFUNCTION("""COMPUTED_VALUE"""),3)</f>
        <v>3</v>
      </c>
      <c r="Y205" s="4">
        <f ca="1">IFERROR(__xludf.DUMMYFUNCTION("""COMPUTED_VALUE"""),4)</f>
        <v>4</v>
      </c>
      <c r="Z205" s="4">
        <f ca="1">IFERROR(__xludf.DUMMYFUNCTION("""COMPUTED_VALUE"""),3)</f>
        <v>3</v>
      </c>
      <c r="AA205" s="4">
        <f ca="1">IFERROR(__xludf.DUMMYFUNCTION("""COMPUTED_VALUE"""),3)</f>
        <v>3</v>
      </c>
      <c r="AB205" s="4">
        <f ca="1">IFERROR(__xludf.DUMMYFUNCTION("""COMPUTED_VALUE"""),3)</f>
        <v>3</v>
      </c>
      <c r="AC205" s="4">
        <f ca="1">IFERROR(__xludf.DUMMYFUNCTION("""COMPUTED_VALUE"""),3)</f>
        <v>3</v>
      </c>
      <c r="AD205" s="4">
        <f ca="1">IFERROR(__xludf.DUMMYFUNCTION("""COMPUTED_VALUE"""),2)</f>
        <v>2</v>
      </c>
      <c r="AE205" s="4">
        <f ca="1">IFERROR(__xludf.DUMMYFUNCTION("""COMPUTED_VALUE"""),3)</f>
        <v>3</v>
      </c>
      <c r="AF205" s="4">
        <f ca="1">IFERROR(__xludf.DUMMYFUNCTION("""COMPUTED_VALUE"""),5)</f>
        <v>5</v>
      </c>
      <c r="AG205" s="4">
        <f ca="1">IFERROR(__xludf.DUMMYFUNCTION("""COMPUTED_VALUE"""),5)</f>
        <v>5</v>
      </c>
      <c r="AH205" s="4">
        <f ca="1">IFERROR(__xludf.DUMMYFUNCTION("""COMPUTED_VALUE"""),5)</f>
        <v>5</v>
      </c>
      <c r="AI205" s="4">
        <f ca="1">IFERROR(__xludf.DUMMYFUNCTION("""COMPUTED_VALUE"""),5)</f>
        <v>5</v>
      </c>
      <c r="AJ205" s="4">
        <f ca="1">IFERROR(__xludf.DUMMYFUNCTION("""COMPUTED_VALUE"""),3)</f>
        <v>3</v>
      </c>
      <c r="AK205" s="4">
        <f ca="1">IFERROR(__xludf.DUMMYFUNCTION("""COMPUTED_VALUE"""),5)</f>
        <v>5</v>
      </c>
      <c r="AL205" s="4">
        <f ca="1">IFERROR(__xludf.DUMMYFUNCTION("""COMPUTED_VALUE"""),3)</f>
        <v>3</v>
      </c>
      <c r="AM205" s="4">
        <f ca="1">IFERROR(__xludf.DUMMYFUNCTION("""COMPUTED_VALUE"""),3)</f>
        <v>3</v>
      </c>
      <c r="AN205" s="4">
        <f ca="1">IFERROR(__xludf.DUMMYFUNCTION("""COMPUTED_VALUE"""),3)</f>
        <v>3</v>
      </c>
      <c r="AO205" s="4">
        <f ca="1">IFERROR(__xludf.DUMMYFUNCTION("""COMPUTED_VALUE"""),3)</f>
        <v>3</v>
      </c>
      <c r="AP205" s="4">
        <f ca="1">IFERROR(__xludf.DUMMYFUNCTION("""COMPUTED_VALUE"""),4)</f>
        <v>4</v>
      </c>
      <c r="AQ205" s="4">
        <f ca="1">IFERROR(__xludf.DUMMYFUNCTION("""COMPUTED_VALUE"""),4)</f>
        <v>4</v>
      </c>
      <c r="AR205" s="4">
        <f ca="1">IFERROR(__xludf.DUMMYFUNCTION("""COMPUTED_VALUE"""),3)</f>
        <v>3</v>
      </c>
      <c r="AS205" s="4">
        <f ca="1">IFERROR(__xludf.DUMMYFUNCTION("""COMPUTED_VALUE"""),4)</f>
        <v>4</v>
      </c>
      <c r="AT205" s="4">
        <f ca="1">IFERROR(__xludf.DUMMYFUNCTION("""COMPUTED_VALUE"""),3)</f>
        <v>3</v>
      </c>
      <c r="AU205" s="4">
        <f ca="1">IFERROR(__xludf.DUMMYFUNCTION("""COMPUTED_VALUE"""),4)</f>
        <v>4</v>
      </c>
      <c r="AV205" s="4">
        <f ca="1">IFERROR(__xludf.DUMMYFUNCTION("""COMPUTED_VALUE"""),4)</f>
        <v>4</v>
      </c>
      <c r="AW205" s="4">
        <f ca="1">IFERROR(__xludf.DUMMYFUNCTION("""COMPUTED_VALUE"""),4)</f>
        <v>4</v>
      </c>
      <c r="AX205" s="4">
        <f ca="1">IFERROR(__xludf.DUMMYFUNCTION("""COMPUTED_VALUE"""),5)</f>
        <v>5</v>
      </c>
      <c r="AY205" s="4">
        <f ca="1">IFERROR(__xludf.DUMMYFUNCTION("""COMPUTED_VALUE"""),5)</f>
        <v>5</v>
      </c>
      <c r="AZ205" s="4">
        <f ca="1">IFERROR(__xludf.DUMMYFUNCTION("""COMPUTED_VALUE"""),5)</f>
        <v>5</v>
      </c>
      <c r="BA205" s="4">
        <f ca="1">IFERROR(__xludf.DUMMYFUNCTION("""COMPUTED_VALUE"""),5)</f>
        <v>5</v>
      </c>
      <c r="BB205" s="4">
        <f ca="1">IFERROR(__xludf.DUMMYFUNCTION("""COMPUTED_VALUE"""),3)</f>
        <v>3</v>
      </c>
      <c r="BC205" s="4">
        <f ca="1">IFERROR(__xludf.DUMMYFUNCTION("""COMPUTED_VALUE"""),3)</f>
        <v>3</v>
      </c>
      <c r="BD205" s="4">
        <f ca="1">IFERROR(__xludf.DUMMYFUNCTION("""COMPUTED_VALUE"""),3)</f>
        <v>3</v>
      </c>
      <c r="BE205" s="4">
        <f ca="1">IFERROR(__xludf.DUMMYFUNCTION("""COMPUTED_VALUE"""),4)</f>
        <v>4</v>
      </c>
      <c r="BF205" s="4">
        <f ca="1">IFERROR(__xludf.DUMMYFUNCTION("""COMPUTED_VALUE"""),3)</f>
        <v>3</v>
      </c>
      <c r="BG205" s="4">
        <f ca="1">IFERROR(__xludf.DUMMYFUNCTION("""COMPUTED_VALUE"""),3)</f>
        <v>3</v>
      </c>
      <c r="BH205" s="4">
        <f ca="1">IFERROR(__xludf.DUMMYFUNCTION("""COMPUTED_VALUE"""),5)</f>
        <v>5</v>
      </c>
      <c r="BI205" s="4">
        <f ca="1">IFERROR(__xludf.DUMMYFUNCTION("""COMPUTED_VALUE"""),5)</f>
        <v>5</v>
      </c>
      <c r="BJ205" s="4">
        <f ca="1">IFERROR(__xludf.DUMMYFUNCTION("""COMPUTED_VALUE"""),5)</f>
        <v>5</v>
      </c>
      <c r="BK205" s="4">
        <f ca="1">IFERROR(__xludf.DUMMYFUNCTION("""COMPUTED_VALUE"""),5)</f>
        <v>5</v>
      </c>
      <c r="BL205" s="4">
        <f ca="1">IFERROR(__xludf.DUMMYFUNCTION("""COMPUTED_VALUE"""),5)</f>
        <v>5</v>
      </c>
      <c r="BM205" s="4">
        <f ca="1">IFERROR(__xludf.DUMMYFUNCTION("""COMPUTED_VALUE"""),5)</f>
        <v>5</v>
      </c>
      <c r="BN205" s="4">
        <f ca="1">IFERROR(__xludf.DUMMYFUNCTION("""COMPUTED_VALUE"""),5)</f>
        <v>5</v>
      </c>
      <c r="BO205" s="4">
        <f ca="1">IFERROR(__xludf.DUMMYFUNCTION("""COMPUTED_VALUE"""),5)</f>
        <v>5</v>
      </c>
      <c r="BP205" s="4">
        <f ca="1">IFERROR(__xludf.DUMMYFUNCTION("""COMPUTED_VALUE"""),5)</f>
        <v>5</v>
      </c>
    </row>
    <row r="206" spans="1:68" ht="13.2" x14ac:dyDescent="0.25">
      <c r="A206" s="4" t="str">
        <f ca="1">IFERROR(__xludf.DUMMYFUNCTION("""COMPUTED_VALUE"""),"2_ABaOnufmH9HtjTktwfrop1Ys25IX-nAAdeSb4ZeQsZkOLrZzzyYUTAJ0kNSS9x-RIA")</f>
        <v>2_ABaOnufmH9HtjTktwfrop1Ys25IX-nAAdeSb4ZeQsZkOLrZzzyYUTAJ0kNSS9x-RIA</v>
      </c>
      <c r="B206" s="5">
        <f ca="1">IFERROR(__xludf.DUMMYFUNCTION("""COMPUTED_VALUE"""),45977.8131173379)</f>
        <v>45977.813117337901</v>
      </c>
      <c r="C206" s="4" t="str">
        <f ca="1">IFERROR(__xludf.DUMMYFUNCTION("""COMPUTED_VALUE"""),"Nguyễn Thị Phương Anh")</f>
        <v>Nguyễn Thị Phương Anh</v>
      </c>
      <c r="D206" s="4" t="str">
        <f ca="1">IFERROR(__xludf.DUMMYFUNCTION("""COMPUTED_VALUE"""),"Nữ")</f>
        <v>Nữ</v>
      </c>
      <c r="E206" s="4" t="str">
        <f ca="1">IFERROR(__xludf.DUMMYFUNCTION("""COMPUTED_VALUE"""),"Công ty TNHH Kiểm toán DFK Việt Nam")</f>
        <v>Công ty TNHH Kiểm toán DFK Việt Nam</v>
      </c>
      <c r="F206" s="4" t="str">
        <f ca="1">IFERROR(__xludf.DUMMYFUNCTION("""COMPUTED_VALUE"""),"Đại học")</f>
        <v>Đại học</v>
      </c>
      <c r="G206" s="4" t="str">
        <f ca="1">IFERROR(__xludf.DUMMYFUNCTION("""COMPUTED_VALUE"""),"Từ 3 đến 5 năm")</f>
        <v>Từ 3 đến 5 năm</v>
      </c>
      <c r="H206" s="4" t="str">
        <f ca="1">IFERROR(__xludf.DUMMYFUNCTION("""COMPUTED_VALUE"""),"Trợ lý kiểm toán")</f>
        <v>Trợ lý kiểm toán</v>
      </c>
      <c r="I206" s="4">
        <f ca="1">IFERROR(__xludf.DUMMYFUNCTION("""COMPUTED_VALUE"""),5)</f>
        <v>5</v>
      </c>
      <c r="J206" s="4">
        <f ca="1">IFERROR(__xludf.DUMMYFUNCTION("""COMPUTED_VALUE"""),5)</f>
        <v>5</v>
      </c>
      <c r="K206" s="4">
        <f ca="1">IFERROR(__xludf.DUMMYFUNCTION("""COMPUTED_VALUE"""),5)</f>
        <v>5</v>
      </c>
      <c r="L206" s="4">
        <f ca="1">IFERROR(__xludf.DUMMYFUNCTION("""COMPUTED_VALUE"""),5)</f>
        <v>5</v>
      </c>
      <c r="M206" s="4">
        <f ca="1">IFERROR(__xludf.DUMMYFUNCTION("""COMPUTED_VALUE"""),5)</f>
        <v>5</v>
      </c>
      <c r="N206" s="4">
        <f ca="1">IFERROR(__xludf.DUMMYFUNCTION("""COMPUTED_VALUE"""),5)</f>
        <v>5</v>
      </c>
      <c r="O206" s="4">
        <f ca="1">IFERROR(__xludf.DUMMYFUNCTION("""COMPUTED_VALUE"""),5)</f>
        <v>5</v>
      </c>
      <c r="P206" s="4">
        <f ca="1">IFERROR(__xludf.DUMMYFUNCTION("""COMPUTED_VALUE"""),5)</f>
        <v>5</v>
      </c>
      <c r="Q206" s="4">
        <f ca="1">IFERROR(__xludf.DUMMYFUNCTION("""COMPUTED_VALUE"""),5)</f>
        <v>5</v>
      </c>
      <c r="R206" s="4">
        <f ca="1">IFERROR(__xludf.DUMMYFUNCTION("""COMPUTED_VALUE"""),4)</f>
        <v>4</v>
      </c>
      <c r="S206" s="4">
        <f ca="1">IFERROR(__xludf.DUMMYFUNCTION("""COMPUTED_VALUE"""),5)</f>
        <v>5</v>
      </c>
      <c r="T206" s="4">
        <f ca="1">IFERROR(__xludf.DUMMYFUNCTION("""COMPUTED_VALUE"""),4)</f>
        <v>4</v>
      </c>
      <c r="U206" s="4">
        <f ca="1">IFERROR(__xludf.DUMMYFUNCTION("""COMPUTED_VALUE"""),4)</f>
        <v>4</v>
      </c>
      <c r="V206" s="4">
        <f ca="1">IFERROR(__xludf.DUMMYFUNCTION("""COMPUTED_VALUE"""),5)</f>
        <v>5</v>
      </c>
      <c r="W206" s="4">
        <f ca="1">IFERROR(__xludf.DUMMYFUNCTION("""COMPUTED_VALUE"""),4)</f>
        <v>4</v>
      </c>
      <c r="X206" s="4">
        <f ca="1">IFERROR(__xludf.DUMMYFUNCTION("""COMPUTED_VALUE"""),3)</f>
        <v>3</v>
      </c>
      <c r="Y206" s="4">
        <f ca="1">IFERROR(__xludf.DUMMYFUNCTION("""COMPUTED_VALUE"""),4)</f>
        <v>4</v>
      </c>
      <c r="Z206" s="4">
        <f ca="1">IFERROR(__xludf.DUMMYFUNCTION("""COMPUTED_VALUE"""),4)</f>
        <v>4</v>
      </c>
      <c r="AA206" s="4">
        <f ca="1">IFERROR(__xludf.DUMMYFUNCTION("""COMPUTED_VALUE"""),4)</f>
        <v>4</v>
      </c>
      <c r="AB206" s="4">
        <f ca="1">IFERROR(__xludf.DUMMYFUNCTION("""COMPUTED_VALUE"""),3)</f>
        <v>3</v>
      </c>
      <c r="AC206" s="4">
        <f ca="1">IFERROR(__xludf.DUMMYFUNCTION("""COMPUTED_VALUE"""),2)</f>
        <v>2</v>
      </c>
      <c r="AD206" s="4">
        <f ca="1">IFERROR(__xludf.DUMMYFUNCTION("""COMPUTED_VALUE"""),2)</f>
        <v>2</v>
      </c>
      <c r="AE206" s="4">
        <f ca="1">IFERROR(__xludf.DUMMYFUNCTION("""COMPUTED_VALUE"""),3)</f>
        <v>3</v>
      </c>
      <c r="AF206" s="4">
        <f ca="1">IFERROR(__xludf.DUMMYFUNCTION("""COMPUTED_VALUE"""),4)</f>
        <v>4</v>
      </c>
      <c r="AG206" s="4">
        <f ca="1">IFERROR(__xludf.DUMMYFUNCTION("""COMPUTED_VALUE"""),4)</f>
        <v>4</v>
      </c>
      <c r="AH206" s="4">
        <f ca="1">IFERROR(__xludf.DUMMYFUNCTION("""COMPUTED_VALUE"""),3)</f>
        <v>3</v>
      </c>
      <c r="AI206" s="4">
        <f ca="1">IFERROR(__xludf.DUMMYFUNCTION("""COMPUTED_VALUE"""),5)</f>
        <v>5</v>
      </c>
      <c r="AJ206" s="4">
        <f ca="1">IFERROR(__xludf.DUMMYFUNCTION("""COMPUTED_VALUE"""),4)</f>
        <v>4</v>
      </c>
      <c r="AK206" s="4">
        <f ca="1">IFERROR(__xludf.DUMMYFUNCTION("""COMPUTED_VALUE"""),4)</f>
        <v>4</v>
      </c>
      <c r="AL206" s="4">
        <f ca="1">IFERROR(__xludf.DUMMYFUNCTION("""COMPUTED_VALUE"""),4)</f>
        <v>4</v>
      </c>
      <c r="AM206" s="4">
        <f ca="1">IFERROR(__xludf.DUMMYFUNCTION("""COMPUTED_VALUE"""),4)</f>
        <v>4</v>
      </c>
      <c r="AN206" s="4">
        <f ca="1">IFERROR(__xludf.DUMMYFUNCTION("""COMPUTED_VALUE"""),4)</f>
        <v>4</v>
      </c>
      <c r="AO206" s="4">
        <f ca="1">IFERROR(__xludf.DUMMYFUNCTION("""COMPUTED_VALUE"""),4)</f>
        <v>4</v>
      </c>
      <c r="AP206" s="4">
        <f ca="1">IFERROR(__xludf.DUMMYFUNCTION("""COMPUTED_VALUE"""),4)</f>
        <v>4</v>
      </c>
      <c r="AQ206" s="4">
        <f ca="1">IFERROR(__xludf.DUMMYFUNCTION("""COMPUTED_VALUE"""),4)</f>
        <v>4</v>
      </c>
      <c r="AR206" s="4">
        <f ca="1">IFERROR(__xludf.DUMMYFUNCTION("""COMPUTED_VALUE"""),4)</f>
        <v>4</v>
      </c>
      <c r="AS206" s="4">
        <f ca="1">IFERROR(__xludf.DUMMYFUNCTION("""COMPUTED_VALUE"""),3)</f>
        <v>3</v>
      </c>
      <c r="AT206" s="4">
        <f ca="1">IFERROR(__xludf.DUMMYFUNCTION("""COMPUTED_VALUE"""),2)</f>
        <v>2</v>
      </c>
      <c r="AU206" s="4">
        <f ca="1">IFERROR(__xludf.DUMMYFUNCTION("""COMPUTED_VALUE"""),3)</f>
        <v>3</v>
      </c>
      <c r="AV206" s="4">
        <f ca="1">IFERROR(__xludf.DUMMYFUNCTION("""COMPUTED_VALUE"""),4)</f>
        <v>4</v>
      </c>
      <c r="AW206" s="4">
        <f ca="1">IFERROR(__xludf.DUMMYFUNCTION("""COMPUTED_VALUE"""),4)</f>
        <v>4</v>
      </c>
      <c r="AX206" s="4">
        <f ca="1">IFERROR(__xludf.DUMMYFUNCTION("""COMPUTED_VALUE"""),4)</f>
        <v>4</v>
      </c>
      <c r="AY206" s="4">
        <f ca="1">IFERROR(__xludf.DUMMYFUNCTION("""COMPUTED_VALUE"""),4)</f>
        <v>4</v>
      </c>
      <c r="AZ206" s="4">
        <f ca="1">IFERROR(__xludf.DUMMYFUNCTION("""COMPUTED_VALUE"""),4)</f>
        <v>4</v>
      </c>
      <c r="BA206" s="4">
        <f ca="1">IFERROR(__xludf.DUMMYFUNCTION("""COMPUTED_VALUE"""),4)</f>
        <v>4</v>
      </c>
      <c r="BB206" s="4">
        <f ca="1">IFERROR(__xludf.DUMMYFUNCTION("""COMPUTED_VALUE"""),2)</f>
        <v>2</v>
      </c>
      <c r="BC206" s="4">
        <f ca="1">IFERROR(__xludf.DUMMYFUNCTION("""COMPUTED_VALUE"""),2)</f>
        <v>2</v>
      </c>
      <c r="BD206" s="4">
        <f ca="1">IFERROR(__xludf.DUMMYFUNCTION("""COMPUTED_VALUE"""),3)</f>
        <v>3</v>
      </c>
      <c r="BE206" s="4">
        <f ca="1">IFERROR(__xludf.DUMMYFUNCTION("""COMPUTED_VALUE"""),3)</f>
        <v>3</v>
      </c>
      <c r="BF206" s="4">
        <f ca="1">IFERROR(__xludf.DUMMYFUNCTION("""COMPUTED_VALUE"""),3)</f>
        <v>3</v>
      </c>
      <c r="BG206" s="4">
        <f ca="1">IFERROR(__xludf.DUMMYFUNCTION("""COMPUTED_VALUE"""),3)</f>
        <v>3</v>
      </c>
      <c r="BH206" s="4">
        <f ca="1">IFERROR(__xludf.DUMMYFUNCTION("""COMPUTED_VALUE"""),4)</f>
        <v>4</v>
      </c>
      <c r="BI206" s="4">
        <f ca="1">IFERROR(__xludf.DUMMYFUNCTION("""COMPUTED_VALUE"""),4)</f>
        <v>4</v>
      </c>
      <c r="BJ206" s="4">
        <f ca="1">IFERROR(__xludf.DUMMYFUNCTION("""COMPUTED_VALUE"""),4)</f>
        <v>4</v>
      </c>
      <c r="BK206" s="4">
        <f ca="1">IFERROR(__xludf.DUMMYFUNCTION("""COMPUTED_VALUE"""),4)</f>
        <v>4</v>
      </c>
      <c r="BL206" s="4">
        <f ca="1">IFERROR(__xludf.DUMMYFUNCTION("""COMPUTED_VALUE"""),4)</f>
        <v>4</v>
      </c>
      <c r="BM206" s="4">
        <f ca="1">IFERROR(__xludf.DUMMYFUNCTION("""COMPUTED_VALUE"""),4)</f>
        <v>4</v>
      </c>
      <c r="BN206" s="4">
        <f ca="1">IFERROR(__xludf.DUMMYFUNCTION("""COMPUTED_VALUE"""),4)</f>
        <v>4</v>
      </c>
      <c r="BO206" s="4">
        <f ca="1">IFERROR(__xludf.DUMMYFUNCTION("""COMPUTED_VALUE"""),4)</f>
        <v>4</v>
      </c>
      <c r="BP206" s="4">
        <f ca="1">IFERROR(__xludf.DUMMYFUNCTION("""COMPUTED_VALUE"""),4)</f>
        <v>4</v>
      </c>
    </row>
    <row r="207" spans="1:68" ht="13.2" x14ac:dyDescent="0.25">
      <c r="A207" s="4" t="str">
        <f ca="1">IFERROR(__xludf.DUMMYFUNCTION("""COMPUTED_VALUE"""),"2_ABaOnucGFIuC2oJUcBM-0X0dLbNAF24SxYtMjTPuxJXRQiaDqnzyxXCaOJxHldJyVw")</f>
        <v>2_ABaOnucGFIuC2oJUcBM-0X0dLbNAF24SxYtMjTPuxJXRQiaDqnzyxXCaOJxHldJyVw</v>
      </c>
      <c r="B207" s="5">
        <f ca="1">IFERROR(__xludf.DUMMYFUNCTION("""COMPUTED_VALUE"""),45977.8162269907)</f>
        <v>45977.816226990697</v>
      </c>
      <c r="C207" s="4" t="str">
        <f ca="1">IFERROR(__xludf.DUMMYFUNCTION("""COMPUTED_VALUE"""),"Lê Thị Huyền Trang")</f>
        <v>Lê Thị Huyền Trang</v>
      </c>
      <c r="D207" s="4" t="str">
        <f ca="1">IFERROR(__xludf.DUMMYFUNCTION("""COMPUTED_VALUE"""),"Nữ")</f>
        <v>Nữ</v>
      </c>
      <c r="E207" s="4" t="str">
        <f ca="1">IFERROR(__xludf.DUMMYFUNCTION("""COMPUTED_VALUE"""),"Công ty TNHH Kiểm toán DFK Việt Nam")</f>
        <v>Công ty TNHH Kiểm toán DFK Việt Nam</v>
      </c>
      <c r="F207" s="4" t="str">
        <f ca="1">IFERROR(__xludf.DUMMYFUNCTION("""COMPUTED_VALUE"""),"Sau đại học")</f>
        <v>Sau đại học</v>
      </c>
      <c r="G207" s="4" t="str">
        <f ca="1">IFERROR(__xludf.DUMMYFUNCTION("""COMPUTED_VALUE"""),"Từ 3 đến 5 năm")</f>
        <v>Từ 3 đến 5 năm</v>
      </c>
      <c r="H207" s="4" t="str">
        <f ca="1">IFERROR(__xludf.DUMMYFUNCTION("""COMPUTED_VALUE"""),"Trợ lý kiểm toán")</f>
        <v>Trợ lý kiểm toán</v>
      </c>
      <c r="I207" s="4">
        <f ca="1">IFERROR(__xludf.DUMMYFUNCTION("""COMPUTED_VALUE"""),5)</f>
        <v>5</v>
      </c>
      <c r="J207" s="4">
        <f ca="1">IFERROR(__xludf.DUMMYFUNCTION("""COMPUTED_VALUE"""),5)</f>
        <v>5</v>
      </c>
      <c r="K207" s="4">
        <f ca="1">IFERROR(__xludf.DUMMYFUNCTION("""COMPUTED_VALUE"""),5)</f>
        <v>5</v>
      </c>
      <c r="L207" s="4">
        <f ca="1">IFERROR(__xludf.DUMMYFUNCTION("""COMPUTED_VALUE"""),5)</f>
        <v>5</v>
      </c>
      <c r="M207" s="4">
        <f ca="1">IFERROR(__xludf.DUMMYFUNCTION("""COMPUTED_VALUE"""),5)</f>
        <v>5</v>
      </c>
      <c r="N207" s="4">
        <f ca="1">IFERROR(__xludf.DUMMYFUNCTION("""COMPUTED_VALUE"""),4)</f>
        <v>4</v>
      </c>
      <c r="O207" s="4">
        <f ca="1">IFERROR(__xludf.DUMMYFUNCTION("""COMPUTED_VALUE"""),4)</f>
        <v>4</v>
      </c>
      <c r="P207" s="4">
        <f ca="1">IFERROR(__xludf.DUMMYFUNCTION("""COMPUTED_VALUE"""),4)</f>
        <v>4</v>
      </c>
      <c r="Q207" s="4">
        <f ca="1">IFERROR(__xludf.DUMMYFUNCTION("""COMPUTED_VALUE"""),4)</f>
        <v>4</v>
      </c>
      <c r="R207" s="4">
        <f ca="1">IFERROR(__xludf.DUMMYFUNCTION("""COMPUTED_VALUE"""),5)</f>
        <v>5</v>
      </c>
      <c r="S207" s="4">
        <f ca="1">IFERROR(__xludf.DUMMYFUNCTION("""COMPUTED_VALUE"""),5)</f>
        <v>5</v>
      </c>
      <c r="T207" s="4">
        <f ca="1">IFERROR(__xludf.DUMMYFUNCTION("""COMPUTED_VALUE"""),5)</f>
        <v>5</v>
      </c>
      <c r="U207" s="4">
        <f ca="1">IFERROR(__xludf.DUMMYFUNCTION("""COMPUTED_VALUE"""),5)</f>
        <v>5</v>
      </c>
      <c r="V207" s="4">
        <f ca="1">IFERROR(__xludf.DUMMYFUNCTION("""COMPUTED_VALUE"""),5)</f>
        <v>5</v>
      </c>
      <c r="W207" s="4">
        <f ca="1">IFERROR(__xludf.DUMMYFUNCTION("""COMPUTED_VALUE"""),5)</f>
        <v>5</v>
      </c>
      <c r="X207" s="4">
        <f ca="1">IFERROR(__xludf.DUMMYFUNCTION("""COMPUTED_VALUE"""),5)</f>
        <v>5</v>
      </c>
      <c r="Y207" s="4">
        <f ca="1">IFERROR(__xludf.DUMMYFUNCTION("""COMPUTED_VALUE"""),4)</f>
        <v>4</v>
      </c>
      <c r="Z207" s="4">
        <f ca="1">IFERROR(__xludf.DUMMYFUNCTION("""COMPUTED_VALUE"""),4)</f>
        <v>4</v>
      </c>
      <c r="AA207" s="4">
        <f ca="1">IFERROR(__xludf.DUMMYFUNCTION("""COMPUTED_VALUE"""),4)</f>
        <v>4</v>
      </c>
      <c r="AB207" s="4">
        <f ca="1">IFERROR(__xludf.DUMMYFUNCTION("""COMPUTED_VALUE"""),5)</f>
        <v>5</v>
      </c>
      <c r="AC207" s="4">
        <f ca="1">IFERROR(__xludf.DUMMYFUNCTION("""COMPUTED_VALUE"""),3)</f>
        <v>3</v>
      </c>
      <c r="AD207" s="4">
        <f ca="1">IFERROR(__xludf.DUMMYFUNCTION("""COMPUTED_VALUE"""),4)</f>
        <v>4</v>
      </c>
      <c r="AE207" s="4">
        <f ca="1">IFERROR(__xludf.DUMMYFUNCTION("""COMPUTED_VALUE"""),5)</f>
        <v>5</v>
      </c>
      <c r="AF207" s="4">
        <f ca="1">IFERROR(__xludf.DUMMYFUNCTION("""COMPUTED_VALUE"""),5)</f>
        <v>5</v>
      </c>
      <c r="AG207" s="4">
        <f ca="1">IFERROR(__xludf.DUMMYFUNCTION("""COMPUTED_VALUE"""),5)</f>
        <v>5</v>
      </c>
      <c r="AH207" s="4">
        <f ca="1">IFERROR(__xludf.DUMMYFUNCTION("""COMPUTED_VALUE"""),5)</f>
        <v>5</v>
      </c>
      <c r="AI207" s="4">
        <f ca="1">IFERROR(__xludf.DUMMYFUNCTION("""COMPUTED_VALUE"""),5)</f>
        <v>5</v>
      </c>
      <c r="AJ207" s="4">
        <f ca="1">IFERROR(__xludf.DUMMYFUNCTION("""COMPUTED_VALUE"""),4)</f>
        <v>4</v>
      </c>
      <c r="AK207" s="4">
        <f ca="1">IFERROR(__xludf.DUMMYFUNCTION("""COMPUTED_VALUE"""),4)</f>
        <v>4</v>
      </c>
      <c r="AL207" s="4">
        <f ca="1">IFERROR(__xludf.DUMMYFUNCTION("""COMPUTED_VALUE"""),4)</f>
        <v>4</v>
      </c>
      <c r="AM207" s="4">
        <f ca="1">IFERROR(__xludf.DUMMYFUNCTION("""COMPUTED_VALUE"""),4)</f>
        <v>4</v>
      </c>
      <c r="AN207" s="4">
        <f ca="1">IFERROR(__xludf.DUMMYFUNCTION("""COMPUTED_VALUE"""),4)</f>
        <v>4</v>
      </c>
      <c r="AO207" s="4">
        <f ca="1">IFERROR(__xludf.DUMMYFUNCTION("""COMPUTED_VALUE"""),4)</f>
        <v>4</v>
      </c>
      <c r="AP207" s="4">
        <f ca="1">IFERROR(__xludf.DUMMYFUNCTION("""COMPUTED_VALUE"""),5)</f>
        <v>5</v>
      </c>
      <c r="AQ207" s="4">
        <f ca="1">IFERROR(__xludf.DUMMYFUNCTION("""COMPUTED_VALUE"""),4)</f>
        <v>4</v>
      </c>
      <c r="AR207" s="4">
        <f ca="1">IFERROR(__xludf.DUMMYFUNCTION("""COMPUTED_VALUE"""),5)</f>
        <v>5</v>
      </c>
      <c r="AS207" s="4">
        <f ca="1">IFERROR(__xludf.DUMMYFUNCTION("""COMPUTED_VALUE"""),5)</f>
        <v>5</v>
      </c>
      <c r="AT207" s="4">
        <f ca="1">IFERROR(__xludf.DUMMYFUNCTION("""COMPUTED_VALUE"""),4)</f>
        <v>4</v>
      </c>
      <c r="AU207" s="4">
        <f ca="1">IFERROR(__xludf.DUMMYFUNCTION("""COMPUTED_VALUE"""),4)</f>
        <v>4</v>
      </c>
      <c r="AV207" s="4">
        <f ca="1">IFERROR(__xludf.DUMMYFUNCTION("""COMPUTED_VALUE"""),4)</f>
        <v>4</v>
      </c>
      <c r="AW207" s="4">
        <f ca="1">IFERROR(__xludf.DUMMYFUNCTION("""COMPUTED_VALUE"""),4)</f>
        <v>4</v>
      </c>
      <c r="AX207" s="4">
        <f ca="1">IFERROR(__xludf.DUMMYFUNCTION("""COMPUTED_VALUE"""),5)</f>
        <v>5</v>
      </c>
      <c r="AY207" s="4">
        <f ca="1">IFERROR(__xludf.DUMMYFUNCTION("""COMPUTED_VALUE"""),5)</f>
        <v>5</v>
      </c>
      <c r="AZ207" s="4">
        <f ca="1">IFERROR(__xludf.DUMMYFUNCTION("""COMPUTED_VALUE"""),5)</f>
        <v>5</v>
      </c>
      <c r="BA207" s="4">
        <f ca="1">IFERROR(__xludf.DUMMYFUNCTION("""COMPUTED_VALUE"""),5)</f>
        <v>5</v>
      </c>
      <c r="BB207" s="4">
        <f ca="1">IFERROR(__xludf.DUMMYFUNCTION("""COMPUTED_VALUE"""),3)</f>
        <v>3</v>
      </c>
      <c r="BC207" s="4">
        <f ca="1">IFERROR(__xludf.DUMMYFUNCTION("""COMPUTED_VALUE"""),4)</f>
        <v>4</v>
      </c>
      <c r="BD207" s="4">
        <f ca="1">IFERROR(__xludf.DUMMYFUNCTION("""COMPUTED_VALUE"""),4)</f>
        <v>4</v>
      </c>
      <c r="BE207" s="4">
        <f ca="1">IFERROR(__xludf.DUMMYFUNCTION("""COMPUTED_VALUE"""),4)</f>
        <v>4</v>
      </c>
      <c r="BF207" s="4">
        <f ca="1">IFERROR(__xludf.DUMMYFUNCTION("""COMPUTED_VALUE"""),4)</f>
        <v>4</v>
      </c>
      <c r="BG207" s="4">
        <f ca="1">IFERROR(__xludf.DUMMYFUNCTION("""COMPUTED_VALUE"""),4)</f>
        <v>4</v>
      </c>
      <c r="BH207" s="4">
        <f ca="1">IFERROR(__xludf.DUMMYFUNCTION("""COMPUTED_VALUE"""),5)</f>
        <v>5</v>
      </c>
      <c r="BI207" s="4">
        <f ca="1">IFERROR(__xludf.DUMMYFUNCTION("""COMPUTED_VALUE"""),5)</f>
        <v>5</v>
      </c>
      <c r="BJ207" s="4">
        <f ca="1">IFERROR(__xludf.DUMMYFUNCTION("""COMPUTED_VALUE"""),5)</f>
        <v>5</v>
      </c>
      <c r="BK207" s="4">
        <f ca="1">IFERROR(__xludf.DUMMYFUNCTION("""COMPUTED_VALUE"""),4)</f>
        <v>4</v>
      </c>
      <c r="BL207" s="4">
        <f ca="1">IFERROR(__xludf.DUMMYFUNCTION("""COMPUTED_VALUE"""),4)</f>
        <v>4</v>
      </c>
      <c r="BM207" s="4">
        <f ca="1">IFERROR(__xludf.DUMMYFUNCTION("""COMPUTED_VALUE"""),4)</f>
        <v>4</v>
      </c>
      <c r="BN207" s="4">
        <f ca="1">IFERROR(__xludf.DUMMYFUNCTION("""COMPUTED_VALUE"""),4)</f>
        <v>4</v>
      </c>
      <c r="BO207" s="4">
        <f ca="1">IFERROR(__xludf.DUMMYFUNCTION("""COMPUTED_VALUE"""),5)</f>
        <v>5</v>
      </c>
      <c r="BP207" s="4">
        <f ca="1">IFERROR(__xludf.DUMMYFUNCTION("""COMPUTED_VALUE"""),4)</f>
        <v>4</v>
      </c>
    </row>
    <row r="208" spans="1:68" ht="13.2" x14ac:dyDescent="0.25">
      <c r="A208" s="4" t="str">
        <f ca="1">IFERROR(__xludf.DUMMYFUNCTION("""COMPUTED_VALUE"""),"2_ABaOnucUnBFBhOhyBsBhYWPtBTb35F8gkZ8Lx4PQ8BsCzUN_A_2Nxdc1E5-kYNwx0Q")</f>
        <v>2_ABaOnucUnBFBhOhyBsBhYWPtBTb35F8gkZ8Lx4PQ8BsCzUN_A_2Nxdc1E5-kYNwx0Q</v>
      </c>
      <c r="B208" s="5">
        <f ca="1">IFERROR(__xludf.DUMMYFUNCTION("""COMPUTED_VALUE"""),45977.8573983564)</f>
        <v>45977.857398356398</v>
      </c>
      <c r="C208" s="4" t="str">
        <f ca="1">IFERROR(__xludf.DUMMYFUNCTION("""COMPUTED_VALUE"""),"TRẦN NGUYỄN PHÚC GIA")</f>
        <v>TRẦN NGUYỄN PHÚC GIA</v>
      </c>
      <c r="D208" s="4" t="str">
        <f ca="1">IFERROR(__xludf.DUMMYFUNCTION("""COMPUTED_VALUE"""),"Nữ")</f>
        <v>Nữ</v>
      </c>
      <c r="E208" s="4" t="str">
        <f ca="1">IFERROR(__xludf.DUMMYFUNCTION("""COMPUTED_VALUE"""),"CÔNG TY TNHH KIỂM TOÁN DFK VIỆT NAM")</f>
        <v>CÔNG TY TNHH KIỂM TOÁN DFK VIỆT NAM</v>
      </c>
      <c r="F208" s="4" t="str">
        <f ca="1">IFERROR(__xludf.DUMMYFUNCTION("""COMPUTED_VALUE"""),"Đại học")</f>
        <v>Đại học</v>
      </c>
      <c r="G208" s="4" t="str">
        <f ca="1">IFERROR(__xludf.DUMMYFUNCTION("""COMPUTED_VALUE"""),"Từ 3 đến 5 năm")</f>
        <v>Từ 3 đến 5 năm</v>
      </c>
      <c r="H208" s="4" t="str">
        <f ca="1">IFERROR(__xludf.DUMMYFUNCTION("""COMPUTED_VALUE"""),"Trợ lý kiểm toán")</f>
        <v>Trợ lý kiểm toán</v>
      </c>
      <c r="I208" s="4">
        <f ca="1">IFERROR(__xludf.DUMMYFUNCTION("""COMPUTED_VALUE"""),5)</f>
        <v>5</v>
      </c>
      <c r="J208" s="4">
        <f ca="1">IFERROR(__xludf.DUMMYFUNCTION("""COMPUTED_VALUE"""),5)</f>
        <v>5</v>
      </c>
      <c r="K208" s="4">
        <f ca="1">IFERROR(__xludf.DUMMYFUNCTION("""COMPUTED_VALUE"""),5)</f>
        <v>5</v>
      </c>
      <c r="L208" s="4">
        <f ca="1">IFERROR(__xludf.DUMMYFUNCTION("""COMPUTED_VALUE"""),5)</f>
        <v>5</v>
      </c>
      <c r="M208" s="4">
        <f ca="1">IFERROR(__xludf.DUMMYFUNCTION("""COMPUTED_VALUE"""),5)</f>
        <v>5</v>
      </c>
      <c r="N208" s="4">
        <f ca="1">IFERROR(__xludf.DUMMYFUNCTION("""COMPUTED_VALUE"""),5)</f>
        <v>5</v>
      </c>
      <c r="O208" s="4">
        <f ca="1">IFERROR(__xludf.DUMMYFUNCTION("""COMPUTED_VALUE"""),5)</f>
        <v>5</v>
      </c>
      <c r="P208" s="4">
        <f ca="1">IFERROR(__xludf.DUMMYFUNCTION("""COMPUTED_VALUE"""),5)</f>
        <v>5</v>
      </c>
      <c r="Q208" s="4">
        <f ca="1">IFERROR(__xludf.DUMMYFUNCTION("""COMPUTED_VALUE"""),5)</f>
        <v>5</v>
      </c>
      <c r="R208" s="4">
        <f ca="1">IFERROR(__xludf.DUMMYFUNCTION("""COMPUTED_VALUE"""),5)</f>
        <v>5</v>
      </c>
      <c r="S208" s="4">
        <f ca="1">IFERROR(__xludf.DUMMYFUNCTION("""COMPUTED_VALUE"""),5)</f>
        <v>5</v>
      </c>
      <c r="T208" s="4">
        <f ca="1">IFERROR(__xludf.DUMMYFUNCTION("""COMPUTED_VALUE"""),5)</f>
        <v>5</v>
      </c>
      <c r="U208" s="4">
        <f ca="1">IFERROR(__xludf.DUMMYFUNCTION("""COMPUTED_VALUE"""),5)</f>
        <v>5</v>
      </c>
      <c r="V208" s="4">
        <f ca="1">IFERROR(__xludf.DUMMYFUNCTION("""COMPUTED_VALUE"""),5)</f>
        <v>5</v>
      </c>
      <c r="W208" s="4">
        <f ca="1">IFERROR(__xludf.DUMMYFUNCTION("""COMPUTED_VALUE"""),5)</f>
        <v>5</v>
      </c>
      <c r="X208" s="4">
        <f ca="1">IFERROR(__xludf.DUMMYFUNCTION("""COMPUTED_VALUE"""),4)</f>
        <v>4</v>
      </c>
      <c r="Y208" s="4">
        <f ca="1">IFERROR(__xludf.DUMMYFUNCTION("""COMPUTED_VALUE"""),4)</f>
        <v>4</v>
      </c>
      <c r="Z208" s="4">
        <f ca="1">IFERROR(__xludf.DUMMYFUNCTION("""COMPUTED_VALUE"""),4)</f>
        <v>4</v>
      </c>
      <c r="AA208" s="4">
        <f ca="1">IFERROR(__xludf.DUMMYFUNCTION("""COMPUTED_VALUE"""),4)</f>
        <v>4</v>
      </c>
      <c r="AB208" s="4">
        <f ca="1">IFERROR(__xludf.DUMMYFUNCTION("""COMPUTED_VALUE"""),4)</f>
        <v>4</v>
      </c>
      <c r="AC208" s="4">
        <f ca="1">IFERROR(__xludf.DUMMYFUNCTION("""COMPUTED_VALUE"""),3)</f>
        <v>3</v>
      </c>
      <c r="AD208" s="4">
        <f ca="1">IFERROR(__xludf.DUMMYFUNCTION("""COMPUTED_VALUE"""),2)</f>
        <v>2</v>
      </c>
      <c r="AE208" s="4">
        <f ca="1">IFERROR(__xludf.DUMMYFUNCTION("""COMPUTED_VALUE"""),5)</f>
        <v>5</v>
      </c>
      <c r="AF208" s="4">
        <f ca="1">IFERROR(__xludf.DUMMYFUNCTION("""COMPUTED_VALUE"""),5)</f>
        <v>5</v>
      </c>
      <c r="AG208" s="4">
        <f ca="1">IFERROR(__xludf.DUMMYFUNCTION("""COMPUTED_VALUE"""),5)</f>
        <v>5</v>
      </c>
      <c r="AH208" s="4">
        <f ca="1">IFERROR(__xludf.DUMMYFUNCTION("""COMPUTED_VALUE"""),5)</f>
        <v>5</v>
      </c>
      <c r="AI208" s="4">
        <f ca="1">IFERROR(__xludf.DUMMYFUNCTION("""COMPUTED_VALUE"""),5)</f>
        <v>5</v>
      </c>
      <c r="AJ208" s="4">
        <f ca="1">IFERROR(__xludf.DUMMYFUNCTION("""COMPUTED_VALUE"""),5)</f>
        <v>5</v>
      </c>
      <c r="AK208" s="4">
        <f ca="1">IFERROR(__xludf.DUMMYFUNCTION("""COMPUTED_VALUE"""),5)</f>
        <v>5</v>
      </c>
      <c r="AL208" s="4">
        <f ca="1">IFERROR(__xludf.DUMMYFUNCTION("""COMPUTED_VALUE"""),5)</f>
        <v>5</v>
      </c>
      <c r="AM208" s="4">
        <f ca="1">IFERROR(__xludf.DUMMYFUNCTION("""COMPUTED_VALUE"""),5)</f>
        <v>5</v>
      </c>
      <c r="AN208" s="4">
        <f ca="1">IFERROR(__xludf.DUMMYFUNCTION("""COMPUTED_VALUE"""),5)</f>
        <v>5</v>
      </c>
      <c r="AO208" s="4">
        <f ca="1">IFERROR(__xludf.DUMMYFUNCTION("""COMPUTED_VALUE"""),5)</f>
        <v>5</v>
      </c>
      <c r="AP208" s="4">
        <f ca="1">IFERROR(__xludf.DUMMYFUNCTION("""COMPUTED_VALUE"""),5)</f>
        <v>5</v>
      </c>
      <c r="AQ208" s="4">
        <f ca="1">IFERROR(__xludf.DUMMYFUNCTION("""COMPUTED_VALUE"""),5)</f>
        <v>5</v>
      </c>
      <c r="AR208" s="4">
        <f ca="1">IFERROR(__xludf.DUMMYFUNCTION("""COMPUTED_VALUE"""),5)</f>
        <v>5</v>
      </c>
      <c r="AS208" s="4">
        <f ca="1">IFERROR(__xludf.DUMMYFUNCTION("""COMPUTED_VALUE"""),5)</f>
        <v>5</v>
      </c>
      <c r="AT208" s="4">
        <f ca="1">IFERROR(__xludf.DUMMYFUNCTION("""COMPUTED_VALUE"""),5)</f>
        <v>5</v>
      </c>
      <c r="AU208" s="4">
        <f ca="1">IFERROR(__xludf.DUMMYFUNCTION("""COMPUTED_VALUE"""),5)</f>
        <v>5</v>
      </c>
      <c r="AV208" s="4">
        <f ca="1">IFERROR(__xludf.DUMMYFUNCTION("""COMPUTED_VALUE"""),5)</f>
        <v>5</v>
      </c>
      <c r="AW208" s="4">
        <f ca="1">IFERROR(__xludf.DUMMYFUNCTION("""COMPUTED_VALUE"""),5)</f>
        <v>5</v>
      </c>
      <c r="AX208" s="4">
        <f ca="1">IFERROR(__xludf.DUMMYFUNCTION("""COMPUTED_VALUE"""),5)</f>
        <v>5</v>
      </c>
      <c r="AY208" s="4">
        <f ca="1">IFERROR(__xludf.DUMMYFUNCTION("""COMPUTED_VALUE"""),5)</f>
        <v>5</v>
      </c>
      <c r="AZ208" s="4">
        <f ca="1">IFERROR(__xludf.DUMMYFUNCTION("""COMPUTED_VALUE"""),5)</f>
        <v>5</v>
      </c>
      <c r="BA208" s="4">
        <f ca="1">IFERROR(__xludf.DUMMYFUNCTION("""COMPUTED_VALUE"""),5)</f>
        <v>5</v>
      </c>
      <c r="BB208" s="4">
        <f ca="1">IFERROR(__xludf.DUMMYFUNCTION("""COMPUTED_VALUE"""),4)</f>
        <v>4</v>
      </c>
      <c r="BC208" s="4">
        <f ca="1">IFERROR(__xludf.DUMMYFUNCTION("""COMPUTED_VALUE"""),4)</f>
        <v>4</v>
      </c>
      <c r="BD208" s="4">
        <f ca="1">IFERROR(__xludf.DUMMYFUNCTION("""COMPUTED_VALUE"""),5)</f>
        <v>5</v>
      </c>
      <c r="BE208" s="4">
        <f ca="1">IFERROR(__xludf.DUMMYFUNCTION("""COMPUTED_VALUE"""),5)</f>
        <v>5</v>
      </c>
      <c r="BF208" s="4">
        <f ca="1">IFERROR(__xludf.DUMMYFUNCTION("""COMPUTED_VALUE"""),4)</f>
        <v>4</v>
      </c>
      <c r="BG208" s="4">
        <f ca="1">IFERROR(__xludf.DUMMYFUNCTION("""COMPUTED_VALUE"""),4)</f>
        <v>4</v>
      </c>
      <c r="BH208" s="4">
        <f ca="1">IFERROR(__xludf.DUMMYFUNCTION("""COMPUTED_VALUE"""),5)</f>
        <v>5</v>
      </c>
      <c r="BI208" s="4">
        <f ca="1">IFERROR(__xludf.DUMMYFUNCTION("""COMPUTED_VALUE"""),5)</f>
        <v>5</v>
      </c>
      <c r="BJ208" s="4">
        <f ca="1">IFERROR(__xludf.DUMMYFUNCTION("""COMPUTED_VALUE"""),5)</f>
        <v>5</v>
      </c>
      <c r="BK208" s="4">
        <f ca="1">IFERROR(__xludf.DUMMYFUNCTION("""COMPUTED_VALUE"""),5)</f>
        <v>5</v>
      </c>
      <c r="BL208" s="4">
        <f ca="1">IFERROR(__xludf.DUMMYFUNCTION("""COMPUTED_VALUE"""),5)</f>
        <v>5</v>
      </c>
      <c r="BM208" s="4">
        <f ca="1">IFERROR(__xludf.DUMMYFUNCTION("""COMPUTED_VALUE"""),5)</f>
        <v>5</v>
      </c>
      <c r="BN208" s="4">
        <f ca="1">IFERROR(__xludf.DUMMYFUNCTION("""COMPUTED_VALUE"""),5)</f>
        <v>5</v>
      </c>
      <c r="BO208" s="4">
        <f ca="1">IFERROR(__xludf.DUMMYFUNCTION("""COMPUTED_VALUE"""),5)</f>
        <v>5</v>
      </c>
      <c r="BP208" s="4">
        <f ca="1">IFERROR(__xludf.DUMMYFUNCTION("""COMPUTED_VALUE"""),5)</f>
        <v>5</v>
      </c>
    </row>
    <row r="209" spans="1:68" ht="13.2" x14ac:dyDescent="0.25">
      <c r="A209" s="4" t="str">
        <f ca="1">IFERROR(__xludf.DUMMYFUNCTION("""COMPUTED_VALUE"""),"2_ABaOnufW5dnieuD5gzGcbWlDfJjm73Y7LNl7KCJmiXqFRMBsznHgMGtwNJRgBcmVNg")</f>
        <v>2_ABaOnufW5dnieuD5gzGcbWlDfJjm73Y7LNl7KCJmiXqFRMBsznHgMGtwNJRgBcmVNg</v>
      </c>
      <c r="B209" s="5">
        <f ca="1">IFERROR(__xludf.DUMMYFUNCTION("""COMPUTED_VALUE"""),45977.89547625)</f>
        <v>45977.89547625</v>
      </c>
      <c r="C209" s="4" t="str">
        <f ca="1">IFERROR(__xludf.DUMMYFUNCTION("""COMPUTED_VALUE"""),"Hoàng Gia")</f>
        <v>Hoàng Gia</v>
      </c>
      <c r="D209" s="4" t="str">
        <f ca="1">IFERROR(__xludf.DUMMYFUNCTION("""COMPUTED_VALUE"""),"Nữ")</f>
        <v>Nữ</v>
      </c>
      <c r="E209" s="4" t="str">
        <f ca="1">IFERROR(__xludf.DUMMYFUNCTION("""COMPUTED_VALUE"""),"Công ty TNHH Kiểm toán DFK Việt Nam")</f>
        <v>Công ty TNHH Kiểm toán DFK Việt Nam</v>
      </c>
      <c r="F209" s="4" t="str">
        <f ca="1">IFERROR(__xludf.DUMMYFUNCTION("""COMPUTED_VALUE"""),"Đại học")</f>
        <v>Đại học</v>
      </c>
      <c r="G209" s="4" t="str">
        <f ca="1">IFERROR(__xludf.DUMMYFUNCTION("""COMPUTED_VALUE"""),"Từ 3 đến 5 năm")</f>
        <v>Từ 3 đến 5 năm</v>
      </c>
      <c r="H209" s="4" t="str">
        <f ca="1">IFERROR(__xludf.DUMMYFUNCTION("""COMPUTED_VALUE"""),"Trợ lý kiểm toán")</f>
        <v>Trợ lý kiểm toán</v>
      </c>
      <c r="I209" s="4">
        <f ca="1">IFERROR(__xludf.DUMMYFUNCTION("""COMPUTED_VALUE"""),5)</f>
        <v>5</v>
      </c>
      <c r="J209" s="4">
        <f ca="1">IFERROR(__xludf.DUMMYFUNCTION("""COMPUTED_VALUE"""),5)</f>
        <v>5</v>
      </c>
      <c r="K209" s="4">
        <f ca="1">IFERROR(__xludf.DUMMYFUNCTION("""COMPUTED_VALUE"""),5)</f>
        <v>5</v>
      </c>
      <c r="L209" s="4">
        <f ca="1">IFERROR(__xludf.DUMMYFUNCTION("""COMPUTED_VALUE"""),5)</f>
        <v>5</v>
      </c>
      <c r="M209" s="4">
        <f ca="1">IFERROR(__xludf.DUMMYFUNCTION("""COMPUTED_VALUE"""),5)</f>
        <v>5</v>
      </c>
      <c r="N209" s="4">
        <f ca="1">IFERROR(__xludf.DUMMYFUNCTION("""COMPUTED_VALUE"""),3)</f>
        <v>3</v>
      </c>
      <c r="O209" s="4">
        <f ca="1">IFERROR(__xludf.DUMMYFUNCTION("""COMPUTED_VALUE"""),3)</f>
        <v>3</v>
      </c>
      <c r="P209" s="4">
        <f ca="1">IFERROR(__xludf.DUMMYFUNCTION("""COMPUTED_VALUE"""),4)</f>
        <v>4</v>
      </c>
      <c r="Q209" s="4">
        <f ca="1">IFERROR(__xludf.DUMMYFUNCTION("""COMPUTED_VALUE"""),4)</f>
        <v>4</v>
      </c>
      <c r="R209" s="4">
        <f ca="1">IFERROR(__xludf.DUMMYFUNCTION("""COMPUTED_VALUE"""),4)</f>
        <v>4</v>
      </c>
      <c r="S209" s="4">
        <f ca="1">IFERROR(__xludf.DUMMYFUNCTION("""COMPUTED_VALUE"""),4)</f>
        <v>4</v>
      </c>
      <c r="T209" s="4">
        <f ca="1">IFERROR(__xludf.DUMMYFUNCTION("""COMPUTED_VALUE"""),4)</f>
        <v>4</v>
      </c>
      <c r="U209" s="4">
        <f ca="1">IFERROR(__xludf.DUMMYFUNCTION("""COMPUTED_VALUE"""),4)</f>
        <v>4</v>
      </c>
      <c r="V209" s="4">
        <f ca="1">IFERROR(__xludf.DUMMYFUNCTION("""COMPUTED_VALUE"""),4)</f>
        <v>4</v>
      </c>
      <c r="W209" s="4">
        <f ca="1">IFERROR(__xludf.DUMMYFUNCTION("""COMPUTED_VALUE"""),3)</f>
        <v>3</v>
      </c>
      <c r="X209" s="4">
        <f ca="1">IFERROR(__xludf.DUMMYFUNCTION("""COMPUTED_VALUE"""),2)</f>
        <v>2</v>
      </c>
      <c r="Y209" s="4">
        <f ca="1">IFERROR(__xludf.DUMMYFUNCTION("""COMPUTED_VALUE"""),3)</f>
        <v>3</v>
      </c>
      <c r="Z209" s="4">
        <f ca="1">IFERROR(__xludf.DUMMYFUNCTION("""COMPUTED_VALUE"""),2)</f>
        <v>2</v>
      </c>
      <c r="AA209" s="4">
        <f ca="1">IFERROR(__xludf.DUMMYFUNCTION("""COMPUTED_VALUE"""),2)</f>
        <v>2</v>
      </c>
      <c r="AB209" s="4">
        <f ca="1">IFERROR(__xludf.DUMMYFUNCTION("""COMPUTED_VALUE"""),4)</f>
        <v>4</v>
      </c>
      <c r="AC209" s="4">
        <f ca="1">IFERROR(__xludf.DUMMYFUNCTION("""COMPUTED_VALUE"""),3)</f>
        <v>3</v>
      </c>
      <c r="AD209" s="4">
        <f ca="1">IFERROR(__xludf.DUMMYFUNCTION("""COMPUTED_VALUE"""),3)</f>
        <v>3</v>
      </c>
      <c r="AE209" s="4">
        <f ca="1">IFERROR(__xludf.DUMMYFUNCTION("""COMPUTED_VALUE"""),4)</f>
        <v>4</v>
      </c>
      <c r="AF209" s="4">
        <f ca="1">IFERROR(__xludf.DUMMYFUNCTION("""COMPUTED_VALUE"""),4)</f>
        <v>4</v>
      </c>
      <c r="AG209" s="4">
        <f ca="1">IFERROR(__xludf.DUMMYFUNCTION("""COMPUTED_VALUE"""),3)</f>
        <v>3</v>
      </c>
      <c r="AH209" s="4">
        <f ca="1">IFERROR(__xludf.DUMMYFUNCTION("""COMPUTED_VALUE"""),4)</f>
        <v>4</v>
      </c>
      <c r="AI209" s="4">
        <f ca="1">IFERROR(__xludf.DUMMYFUNCTION("""COMPUTED_VALUE"""),3)</f>
        <v>3</v>
      </c>
      <c r="AJ209" s="4">
        <f ca="1">IFERROR(__xludf.DUMMYFUNCTION("""COMPUTED_VALUE"""),4)</f>
        <v>4</v>
      </c>
      <c r="AK209" s="4">
        <f ca="1">IFERROR(__xludf.DUMMYFUNCTION("""COMPUTED_VALUE"""),3)</f>
        <v>3</v>
      </c>
      <c r="AL209" s="4">
        <f ca="1">IFERROR(__xludf.DUMMYFUNCTION("""COMPUTED_VALUE"""),3)</f>
        <v>3</v>
      </c>
      <c r="AM209" s="4">
        <f ca="1">IFERROR(__xludf.DUMMYFUNCTION("""COMPUTED_VALUE"""),3)</f>
        <v>3</v>
      </c>
      <c r="AN209" s="4">
        <f ca="1">IFERROR(__xludf.DUMMYFUNCTION("""COMPUTED_VALUE"""),3)</f>
        <v>3</v>
      </c>
      <c r="AO209" s="4">
        <f ca="1">IFERROR(__xludf.DUMMYFUNCTION("""COMPUTED_VALUE"""),4)</f>
        <v>4</v>
      </c>
      <c r="AP209" s="4">
        <f ca="1">IFERROR(__xludf.DUMMYFUNCTION("""COMPUTED_VALUE"""),4)</f>
        <v>4</v>
      </c>
      <c r="AQ209" s="4">
        <f ca="1">IFERROR(__xludf.DUMMYFUNCTION("""COMPUTED_VALUE"""),2)</f>
        <v>2</v>
      </c>
      <c r="AR209" s="4">
        <f ca="1">IFERROR(__xludf.DUMMYFUNCTION("""COMPUTED_VALUE"""),3)</f>
        <v>3</v>
      </c>
      <c r="AS209" s="4">
        <f ca="1">IFERROR(__xludf.DUMMYFUNCTION("""COMPUTED_VALUE"""),2)</f>
        <v>2</v>
      </c>
      <c r="AT209" s="4">
        <f ca="1">IFERROR(__xludf.DUMMYFUNCTION("""COMPUTED_VALUE"""),3)</f>
        <v>3</v>
      </c>
      <c r="AU209" s="4">
        <f ca="1">IFERROR(__xludf.DUMMYFUNCTION("""COMPUTED_VALUE"""),3)</f>
        <v>3</v>
      </c>
      <c r="AV209" s="4">
        <f ca="1">IFERROR(__xludf.DUMMYFUNCTION("""COMPUTED_VALUE"""),4)</f>
        <v>4</v>
      </c>
      <c r="AW209" s="4">
        <f ca="1">IFERROR(__xludf.DUMMYFUNCTION("""COMPUTED_VALUE"""),3)</f>
        <v>3</v>
      </c>
      <c r="AX209" s="4">
        <f ca="1">IFERROR(__xludf.DUMMYFUNCTION("""COMPUTED_VALUE"""),4)</f>
        <v>4</v>
      </c>
      <c r="AY209" s="4">
        <f ca="1">IFERROR(__xludf.DUMMYFUNCTION("""COMPUTED_VALUE"""),4)</f>
        <v>4</v>
      </c>
      <c r="AZ209" s="4">
        <f ca="1">IFERROR(__xludf.DUMMYFUNCTION("""COMPUTED_VALUE"""),3)</f>
        <v>3</v>
      </c>
      <c r="BA209" s="4">
        <f ca="1">IFERROR(__xludf.DUMMYFUNCTION("""COMPUTED_VALUE"""),3)</f>
        <v>3</v>
      </c>
      <c r="BB209" s="4">
        <f ca="1">IFERROR(__xludf.DUMMYFUNCTION("""COMPUTED_VALUE"""),4)</f>
        <v>4</v>
      </c>
      <c r="BC209" s="4">
        <f ca="1">IFERROR(__xludf.DUMMYFUNCTION("""COMPUTED_VALUE"""),4)</f>
        <v>4</v>
      </c>
      <c r="BD209" s="4">
        <f ca="1">IFERROR(__xludf.DUMMYFUNCTION("""COMPUTED_VALUE"""),3)</f>
        <v>3</v>
      </c>
      <c r="BE209" s="4">
        <f ca="1">IFERROR(__xludf.DUMMYFUNCTION("""COMPUTED_VALUE"""),3)</f>
        <v>3</v>
      </c>
      <c r="BF209" s="4">
        <f ca="1">IFERROR(__xludf.DUMMYFUNCTION("""COMPUTED_VALUE"""),2)</f>
        <v>2</v>
      </c>
      <c r="BG209" s="4">
        <f ca="1">IFERROR(__xludf.DUMMYFUNCTION("""COMPUTED_VALUE"""),2)</f>
        <v>2</v>
      </c>
      <c r="BH209" s="4">
        <f ca="1">IFERROR(__xludf.DUMMYFUNCTION("""COMPUTED_VALUE"""),3)</f>
        <v>3</v>
      </c>
      <c r="BI209" s="4">
        <f ca="1">IFERROR(__xludf.DUMMYFUNCTION("""COMPUTED_VALUE"""),3)</f>
        <v>3</v>
      </c>
      <c r="BJ209" s="4">
        <f ca="1">IFERROR(__xludf.DUMMYFUNCTION("""COMPUTED_VALUE"""),4)</f>
        <v>4</v>
      </c>
      <c r="BK209" s="4">
        <f ca="1">IFERROR(__xludf.DUMMYFUNCTION("""COMPUTED_VALUE"""),4)</f>
        <v>4</v>
      </c>
      <c r="BL209" s="4">
        <f ca="1">IFERROR(__xludf.DUMMYFUNCTION("""COMPUTED_VALUE"""),4)</f>
        <v>4</v>
      </c>
      <c r="BM209" s="4">
        <f ca="1">IFERROR(__xludf.DUMMYFUNCTION("""COMPUTED_VALUE"""),4)</f>
        <v>4</v>
      </c>
      <c r="BN209" s="4">
        <f ca="1">IFERROR(__xludf.DUMMYFUNCTION("""COMPUTED_VALUE"""),3)</f>
        <v>3</v>
      </c>
      <c r="BO209" s="4">
        <f ca="1">IFERROR(__xludf.DUMMYFUNCTION("""COMPUTED_VALUE"""),4)</f>
        <v>4</v>
      </c>
      <c r="BP209" s="4">
        <f ca="1">IFERROR(__xludf.DUMMYFUNCTION("""COMPUTED_VALUE"""),3)</f>
        <v>3</v>
      </c>
    </row>
    <row r="210" spans="1:68" ht="13.2" x14ac:dyDescent="0.25">
      <c r="A210" s="4" t="str">
        <f ca="1">IFERROR(__xludf.DUMMYFUNCTION("""COMPUTED_VALUE"""),"2_ABaOnufgq5aEynvSUutougHaeXkq867agdzcmPyvMpgdST8Yx0XDLNK56nO0kjmaUQ")</f>
        <v>2_ABaOnufgq5aEynvSUutougHaeXkq867agdzcmPyvMpgdST8Yx0XDLNK56nO0kjmaUQ</v>
      </c>
      <c r="B210" s="5">
        <f ca="1">IFERROR(__xludf.DUMMYFUNCTION("""COMPUTED_VALUE"""),45977.9662304629)</f>
        <v>45977.966230462902</v>
      </c>
      <c r="C210" s="4" t="str">
        <f ca="1">IFERROR(__xludf.DUMMYFUNCTION("""COMPUTED_VALUE"""),"Nguyễn Trí Luật")</f>
        <v>Nguyễn Trí Luật</v>
      </c>
      <c r="D210" s="4" t="str">
        <f ca="1">IFERROR(__xludf.DUMMYFUNCTION("""COMPUTED_VALUE"""),"Nam")</f>
        <v>Nam</v>
      </c>
      <c r="E210" s="4" t="str">
        <f ca="1">IFERROR(__xludf.DUMMYFUNCTION("""COMPUTED_VALUE"""),"Kiểm toán MOORE AISC")</f>
        <v>Kiểm toán MOORE AISC</v>
      </c>
      <c r="F210" s="4" t="str">
        <f ca="1">IFERROR(__xludf.DUMMYFUNCTION("""COMPUTED_VALUE"""),"Sau đại học, Chứng chỉ Kiểm toán viên")</f>
        <v>Sau đại học, Chứng chỉ Kiểm toán viên</v>
      </c>
      <c r="G210" s="4" t="str">
        <f ca="1">IFERROR(__xludf.DUMMYFUNCTION("""COMPUTED_VALUE"""),"Trên 5 đến 10 năm")</f>
        <v>Trên 5 đến 10 năm</v>
      </c>
      <c r="H210" s="4" t="str">
        <f ca="1">IFERROR(__xludf.DUMMYFUNCTION("""COMPUTED_VALUE"""),"Kiểm toán viên/Trưởng nhóm")</f>
        <v>Kiểm toán viên/Trưởng nhóm</v>
      </c>
      <c r="I210" s="4">
        <f ca="1">IFERROR(__xludf.DUMMYFUNCTION("""COMPUTED_VALUE"""),5)</f>
        <v>5</v>
      </c>
      <c r="J210" s="4">
        <f ca="1">IFERROR(__xludf.DUMMYFUNCTION("""COMPUTED_VALUE"""),4)</f>
        <v>4</v>
      </c>
      <c r="K210" s="4">
        <f ca="1">IFERROR(__xludf.DUMMYFUNCTION("""COMPUTED_VALUE"""),5)</f>
        <v>5</v>
      </c>
      <c r="L210" s="4">
        <f ca="1">IFERROR(__xludf.DUMMYFUNCTION("""COMPUTED_VALUE"""),3)</f>
        <v>3</v>
      </c>
      <c r="M210" s="4">
        <f ca="1">IFERROR(__xludf.DUMMYFUNCTION("""COMPUTED_VALUE"""),4)</f>
        <v>4</v>
      </c>
      <c r="N210" s="4">
        <f ca="1">IFERROR(__xludf.DUMMYFUNCTION("""COMPUTED_VALUE"""),1)</f>
        <v>1</v>
      </c>
      <c r="O210" s="4">
        <f ca="1">IFERROR(__xludf.DUMMYFUNCTION("""COMPUTED_VALUE"""),2)</f>
        <v>2</v>
      </c>
      <c r="P210" s="4">
        <f ca="1">IFERROR(__xludf.DUMMYFUNCTION("""COMPUTED_VALUE"""),4)</f>
        <v>4</v>
      </c>
      <c r="Q210" s="4">
        <f ca="1">IFERROR(__xludf.DUMMYFUNCTION("""COMPUTED_VALUE"""),5)</f>
        <v>5</v>
      </c>
      <c r="R210" s="4">
        <f ca="1">IFERROR(__xludf.DUMMYFUNCTION("""COMPUTED_VALUE"""),5)</f>
        <v>5</v>
      </c>
      <c r="S210" s="4">
        <f ca="1">IFERROR(__xludf.DUMMYFUNCTION("""COMPUTED_VALUE"""),5)</f>
        <v>5</v>
      </c>
      <c r="T210" s="4">
        <f ca="1">IFERROR(__xludf.DUMMYFUNCTION("""COMPUTED_VALUE"""),5)</f>
        <v>5</v>
      </c>
      <c r="U210" s="4">
        <f ca="1">IFERROR(__xludf.DUMMYFUNCTION("""COMPUTED_VALUE"""),5)</f>
        <v>5</v>
      </c>
      <c r="V210" s="4">
        <f ca="1">IFERROR(__xludf.DUMMYFUNCTION("""COMPUTED_VALUE"""),5)</f>
        <v>5</v>
      </c>
      <c r="W210" s="4">
        <f ca="1">IFERROR(__xludf.DUMMYFUNCTION("""COMPUTED_VALUE"""),4)</f>
        <v>4</v>
      </c>
      <c r="X210" s="4">
        <f ca="1">IFERROR(__xludf.DUMMYFUNCTION("""COMPUTED_VALUE"""),3)</f>
        <v>3</v>
      </c>
      <c r="Y210" s="4">
        <f ca="1">IFERROR(__xludf.DUMMYFUNCTION("""COMPUTED_VALUE"""),4)</f>
        <v>4</v>
      </c>
      <c r="Z210" s="4">
        <f ca="1">IFERROR(__xludf.DUMMYFUNCTION("""COMPUTED_VALUE"""),4)</f>
        <v>4</v>
      </c>
      <c r="AA210" s="4">
        <f ca="1">IFERROR(__xludf.DUMMYFUNCTION("""COMPUTED_VALUE"""),4)</f>
        <v>4</v>
      </c>
      <c r="AB210" s="4">
        <f ca="1">IFERROR(__xludf.DUMMYFUNCTION("""COMPUTED_VALUE"""),5)</f>
        <v>5</v>
      </c>
      <c r="AC210" s="4">
        <f ca="1">IFERROR(__xludf.DUMMYFUNCTION("""COMPUTED_VALUE"""),3)</f>
        <v>3</v>
      </c>
      <c r="AD210" s="4">
        <f ca="1">IFERROR(__xludf.DUMMYFUNCTION("""COMPUTED_VALUE"""),3)</f>
        <v>3</v>
      </c>
      <c r="AE210" s="4">
        <f ca="1">IFERROR(__xludf.DUMMYFUNCTION("""COMPUTED_VALUE"""),4)</f>
        <v>4</v>
      </c>
      <c r="AF210" s="4">
        <f ca="1">IFERROR(__xludf.DUMMYFUNCTION("""COMPUTED_VALUE"""),5)</f>
        <v>5</v>
      </c>
      <c r="AG210" s="4">
        <f ca="1">IFERROR(__xludf.DUMMYFUNCTION("""COMPUTED_VALUE"""),5)</f>
        <v>5</v>
      </c>
      <c r="AH210" s="4">
        <f ca="1">IFERROR(__xludf.DUMMYFUNCTION("""COMPUTED_VALUE"""),3)</f>
        <v>3</v>
      </c>
      <c r="AI210" s="4">
        <f ca="1">IFERROR(__xludf.DUMMYFUNCTION("""COMPUTED_VALUE"""),3)</f>
        <v>3</v>
      </c>
      <c r="AJ210" s="4">
        <f ca="1">IFERROR(__xludf.DUMMYFUNCTION("""COMPUTED_VALUE"""),4)</f>
        <v>4</v>
      </c>
      <c r="AK210" s="4">
        <f ca="1">IFERROR(__xludf.DUMMYFUNCTION("""COMPUTED_VALUE"""),4)</f>
        <v>4</v>
      </c>
      <c r="AL210" s="4">
        <f ca="1">IFERROR(__xludf.DUMMYFUNCTION("""COMPUTED_VALUE"""),5)</f>
        <v>5</v>
      </c>
      <c r="AM210" s="4">
        <f ca="1">IFERROR(__xludf.DUMMYFUNCTION("""COMPUTED_VALUE"""),5)</f>
        <v>5</v>
      </c>
      <c r="AN210" s="4">
        <f ca="1">IFERROR(__xludf.DUMMYFUNCTION("""COMPUTED_VALUE"""),5)</f>
        <v>5</v>
      </c>
      <c r="AO210" s="4">
        <f ca="1">IFERROR(__xludf.DUMMYFUNCTION("""COMPUTED_VALUE"""),5)</f>
        <v>5</v>
      </c>
      <c r="AP210" s="4">
        <f ca="1">IFERROR(__xludf.DUMMYFUNCTION("""COMPUTED_VALUE"""),5)</f>
        <v>5</v>
      </c>
      <c r="AQ210" s="4">
        <f ca="1">IFERROR(__xludf.DUMMYFUNCTION("""COMPUTED_VALUE"""),5)</f>
        <v>5</v>
      </c>
      <c r="AR210" s="4">
        <f ca="1">IFERROR(__xludf.DUMMYFUNCTION("""COMPUTED_VALUE"""),3)</f>
        <v>3</v>
      </c>
      <c r="AS210" s="4">
        <f ca="1">IFERROR(__xludf.DUMMYFUNCTION("""COMPUTED_VALUE"""),3)</f>
        <v>3</v>
      </c>
      <c r="AT210" s="4">
        <f ca="1">IFERROR(__xludf.DUMMYFUNCTION("""COMPUTED_VALUE"""),4)</f>
        <v>4</v>
      </c>
      <c r="AU210" s="4">
        <f ca="1">IFERROR(__xludf.DUMMYFUNCTION("""COMPUTED_VALUE"""),4)</f>
        <v>4</v>
      </c>
      <c r="AV210" s="4">
        <f ca="1">IFERROR(__xludf.DUMMYFUNCTION("""COMPUTED_VALUE"""),4)</f>
        <v>4</v>
      </c>
      <c r="AW210" s="4">
        <f ca="1">IFERROR(__xludf.DUMMYFUNCTION("""COMPUTED_VALUE"""),4)</f>
        <v>4</v>
      </c>
      <c r="AX210" s="4">
        <f ca="1">IFERROR(__xludf.DUMMYFUNCTION("""COMPUTED_VALUE"""),5)</f>
        <v>5</v>
      </c>
      <c r="AY210" s="4">
        <f ca="1">IFERROR(__xludf.DUMMYFUNCTION("""COMPUTED_VALUE"""),5)</f>
        <v>5</v>
      </c>
      <c r="AZ210" s="4">
        <f ca="1">IFERROR(__xludf.DUMMYFUNCTION("""COMPUTED_VALUE"""),5)</f>
        <v>5</v>
      </c>
      <c r="BA210" s="4">
        <f ca="1">IFERROR(__xludf.DUMMYFUNCTION("""COMPUTED_VALUE"""),5)</f>
        <v>5</v>
      </c>
      <c r="BB210" s="4">
        <f ca="1">IFERROR(__xludf.DUMMYFUNCTION("""COMPUTED_VALUE"""),3)</f>
        <v>3</v>
      </c>
      <c r="BC210" s="4">
        <f ca="1">IFERROR(__xludf.DUMMYFUNCTION("""COMPUTED_VALUE"""),4)</f>
        <v>4</v>
      </c>
      <c r="BD210" s="4">
        <f ca="1">IFERROR(__xludf.DUMMYFUNCTION("""COMPUTED_VALUE"""),4)</f>
        <v>4</v>
      </c>
      <c r="BE210" s="4">
        <f ca="1">IFERROR(__xludf.DUMMYFUNCTION("""COMPUTED_VALUE"""),4)</f>
        <v>4</v>
      </c>
      <c r="BF210" s="4">
        <f ca="1">IFERROR(__xludf.DUMMYFUNCTION("""COMPUTED_VALUE"""),4)</f>
        <v>4</v>
      </c>
      <c r="BG210" s="4">
        <f ca="1">IFERROR(__xludf.DUMMYFUNCTION("""COMPUTED_VALUE"""),3)</f>
        <v>3</v>
      </c>
      <c r="BH210" s="4">
        <f ca="1">IFERROR(__xludf.DUMMYFUNCTION("""COMPUTED_VALUE"""),3)</f>
        <v>3</v>
      </c>
      <c r="BI210" s="4">
        <f ca="1">IFERROR(__xludf.DUMMYFUNCTION("""COMPUTED_VALUE"""),5)</f>
        <v>5</v>
      </c>
      <c r="BJ210" s="4">
        <f ca="1">IFERROR(__xludf.DUMMYFUNCTION("""COMPUTED_VALUE"""),5)</f>
        <v>5</v>
      </c>
      <c r="BK210" s="4">
        <f ca="1">IFERROR(__xludf.DUMMYFUNCTION("""COMPUTED_VALUE"""),4)</f>
        <v>4</v>
      </c>
      <c r="BL210" s="4">
        <f ca="1">IFERROR(__xludf.DUMMYFUNCTION("""COMPUTED_VALUE"""),4)</f>
        <v>4</v>
      </c>
      <c r="BM210" s="4">
        <f ca="1">IFERROR(__xludf.DUMMYFUNCTION("""COMPUTED_VALUE"""),4)</f>
        <v>4</v>
      </c>
      <c r="BN210" s="4">
        <f ca="1">IFERROR(__xludf.DUMMYFUNCTION("""COMPUTED_VALUE"""),4)</f>
        <v>4</v>
      </c>
      <c r="BO210" s="4">
        <f ca="1">IFERROR(__xludf.DUMMYFUNCTION("""COMPUTED_VALUE"""),5)</f>
        <v>5</v>
      </c>
      <c r="BP210" s="4">
        <f ca="1">IFERROR(__xludf.DUMMYFUNCTION("""COMPUTED_VALUE"""),4)</f>
        <v>4</v>
      </c>
    </row>
    <row r="211" spans="1:68" ht="13.2" x14ac:dyDescent="0.25">
      <c r="A211" s="4" t="str">
        <f ca="1">IFERROR(__xludf.DUMMYFUNCTION("""COMPUTED_VALUE"""),"2_ABaOnudukx-f59PlkQ_6249HQD2IOEyUcXal4SB0NoYn4sTuKDAFrgGvxH5pA9CHhA")</f>
        <v>2_ABaOnudukx-f59PlkQ_6249HQD2IOEyUcXal4SB0NoYn4sTuKDAFrgGvxH5pA9CHhA</v>
      </c>
      <c r="B211" s="5">
        <f ca="1">IFERROR(__xludf.DUMMYFUNCTION("""COMPUTED_VALUE"""),45978.3896319328)</f>
        <v>45978.389631932798</v>
      </c>
      <c r="C211" s="4" t="str">
        <f ca="1">IFERROR(__xludf.DUMMYFUNCTION("""COMPUTED_VALUE"""),"Trần Văn Sâm")</f>
        <v>Trần Văn Sâm</v>
      </c>
      <c r="D211" s="4" t="str">
        <f ca="1">IFERROR(__xludf.DUMMYFUNCTION("""COMPUTED_VALUE"""),"Nam")</f>
        <v>Nam</v>
      </c>
      <c r="E211" s="4" t="str">
        <f ca="1">IFERROR(__xludf.DUMMYFUNCTION("""COMPUTED_VALUE"""),"Công ty TNHH Kiểm Toán DFK Việt Nam")</f>
        <v>Công ty TNHH Kiểm Toán DFK Việt Nam</v>
      </c>
      <c r="F211" s="4" t="str">
        <f ca="1">IFERROR(__xludf.DUMMYFUNCTION("""COMPUTED_VALUE"""),"Đại học")</f>
        <v>Đại học</v>
      </c>
      <c r="G211" s="4" t="str">
        <f ca="1">IFERROR(__xludf.DUMMYFUNCTION("""COMPUTED_VALUE"""),"Từ 3 đến 5 năm")</f>
        <v>Từ 3 đến 5 năm</v>
      </c>
      <c r="H211" s="4" t="str">
        <f ca="1">IFERROR(__xludf.DUMMYFUNCTION("""COMPUTED_VALUE"""),"Trợ lý kiểm toán")</f>
        <v>Trợ lý kiểm toán</v>
      </c>
      <c r="I211" s="4">
        <f ca="1">IFERROR(__xludf.DUMMYFUNCTION("""COMPUTED_VALUE"""),5)</f>
        <v>5</v>
      </c>
      <c r="J211" s="4">
        <f ca="1">IFERROR(__xludf.DUMMYFUNCTION("""COMPUTED_VALUE"""),5)</f>
        <v>5</v>
      </c>
      <c r="K211" s="4">
        <f ca="1">IFERROR(__xludf.DUMMYFUNCTION("""COMPUTED_VALUE"""),5)</f>
        <v>5</v>
      </c>
      <c r="L211" s="4">
        <f ca="1">IFERROR(__xludf.DUMMYFUNCTION("""COMPUTED_VALUE"""),5)</f>
        <v>5</v>
      </c>
      <c r="M211" s="4">
        <f ca="1">IFERROR(__xludf.DUMMYFUNCTION("""COMPUTED_VALUE"""),5)</f>
        <v>5</v>
      </c>
      <c r="N211" s="4">
        <f ca="1">IFERROR(__xludf.DUMMYFUNCTION("""COMPUTED_VALUE"""),5)</f>
        <v>5</v>
      </c>
      <c r="O211" s="4">
        <f ca="1">IFERROR(__xludf.DUMMYFUNCTION("""COMPUTED_VALUE"""),5)</f>
        <v>5</v>
      </c>
      <c r="P211" s="4">
        <f ca="1">IFERROR(__xludf.DUMMYFUNCTION("""COMPUTED_VALUE"""),5)</f>
        <v>5</v>
      </c>
      <c r="Q211" s="4">
        <f ca="1">IFERROR(__xludf.DUMMYFUNCTION("""COMPUTED_VALUE"""),5)</f>
        <v>5</v>
      </c>
      <c r="R211" s="4">
        <f ca="1">IFERROR(__xludf.DUMMYFUNCTION("""COMPUTED_VALUE"""),5)</f>
        <v>5</v>
      </c>
      <c r="S211" s="4">
        <f ca="1">IFERROR(__xludf.DUMMYFUNCTION("""COMPUTED_VALUE"""),5)</f>
        <v>5</v>
      </c>
      <c r="T211" s="4">
        <f ca="1">IFERROR(__xludf.DUMMYFUNCTION("""COMPUTED_VALUE"""),5)</f>
        <v>5</v>
      </c>
      <c r="U211" s="4">
        <f ca="1">IFERROR(__xludf.DUMMYFUNCTION("""COMPUTED_VALUE"""),5)</f>
        <v>5</v>
      </c>
      <c r="V211" s="4">
        <f ca="1">IFERROR(__xludf.DUMMYFUNCTION("""COMPUTED_VALUE"""),5)</f>
        <v>5</v>
      </c>
      <c r="W211" s="4">
        <f ca="1">IFERROR(__xludf.DUMMYFUNCTION("""COMPUTED_VALUE"""),3)</f>
        <v>3</v>
      </c>
      <c r="X211" s="4">
        <f ca="1">IFERROR(__xludf.DUMMYFUNCTION("""COMPUTED_VALUE"""),4)</f>
        <v>4</v>
      </c>
      <c r="Y211" s="4">
        <f ca="1">IFERROR(__xludf.DUMMYFUNCTION("""COMPUTED_VALUE"""),5)</f>
        <v>5</v>
      </c>
      <c r="Z211" s="4">
        <f ca="1">IFERROR(__xludf.DUMMYFUNCTION("""COMPUTED_VALUE"""),4)</f>
        <v>4</v>
      </c>
      <c r="AA211" s="4">
        <f ca="1">IFERROR(__xludf.DUMMYFUNCTION("""COMPUTED_VALUE"""),4)</f>
        <v>4</v>
      </c>
      <c r="AB211" s="4">
        <f ca="1">IFERROR(__xludf.DUMMYFUNCTION("""COMPUTED_VALUE"""),4)</f>
        <v>4</v>
      </c>
      <c r="AC211" s="4">
        <f ca="1">IFERROR(__xludf.DUMMYFUNCTION("""COMPUTED_VALUE"""),4)</f>
        <v>4</v>
      </c>
      <c r="AD211" s="4">
        <f ca="1">IFERROR(__xludf.DUMMYFUNCTION("""COMPUTED_VALUE"""),4)</f>
        <v>4</v>
      </c>
      <c r="AE211" s="4">
        <f ca="1">IFERROR(__xludf.DUMMYFUNCTION("""COMPUTED_VALUE"""),4)</f>
        <v>4</v>
      </c>
      <c r="AF211" s="4">
        <f ca="1">IFERROR(__xludf.DUMMYFUNCTION("""COMPUTED_VALUE"""),3)</f>
        <v>3</v>
      </c>
      <c r="AG211" s="4">
        <f ca="1">IFERROR(__xludf.DUMMYFUNCTION("""COMPUTED_VALUE"""),3)</f>
        <v>3</v>
      </c>
      <c r="AH211" s="4">
        <f ca="1">IFERROR(__xludf.DUMMYFUNCTION("""COMPUTED_VALUE"""),3)</f>
        <v>3</v>
      </c>
      <c r="AI211" s="4">
        <f ca="1">IFERROR(__xludf.DUMMYFUNCTION("""COMPUTED_VALUE"""),3)</f>
        <v>3</v>
      </c>
      <c r="AJ211" s="4">
        <f ca="1">IFERROR(__xludf.DUMMYFUNCTION("""COMPUTED_VALUE"""),4)</f>
        <v>4</v>
      </c>
      <c r="AK211" s="4">
        <f ca="1">IFERROR(__xludf.DUMMYFUNCTION("""COMPUTED_VALUE"""),4)</f>
        <v>4</v>
      </c>
      <c r="AL211" s="4">
        <f ca="1">IFERROR(__xludf.DUMMYFUNCTION("""COMPUTED_VALUE"""),4)</f>
        <v>4</v>
      </c>
      <c r="AM211" s="4">
        <f ca="1">IFERROR(__xludf.DUMMYFUNCTION("""COMPUTED_VALUE"""),4)</f>
        <v>4</v>
      </c>
      <c r="AN211" s="4">
        <f ca="1">IFERROR(__xludf.DUMMYFUNCTION("""COMPUTED_VALUE"""),4)</f>
        <v>4</v>
      </c>
      <c r="AO211" s="4">
        <f ca="1">IFERROR(__xludf.DUMMYFUNCTION("""COMPUTED_VALUE"""),3)</f>
        <v>3</v>
      </c>
      <c r="AP211" s="4">
        <f ca="1">IFERROR(__xludf.DUMMYFUNCTION("""COMPUTED_VALUE"""),3)</f>
        <v>3</v>
      </c>
      <c r="AQ211" s="4">
        <f ca="1">IFERROR(__xludf.DUMMYFUNCTION("""COMPUTED_VALUE"""),3)</f>
        <v>3</v>
      </c>
      <c r="AR211" s="4">
        <f ca="1">IFERROR(__xludf.DUMMYFUNCTION("""COMPUTED_VALUE"""),3)</f>
        <v>3</v>
      </c>
      <c r="AS211" s="4">
        <f ca="1">IFERROR(__xludf.DUMMYFUNCTION("""COMPUTED_VALUE"""),3)</f>
        <v>3</v>
      </c>
      <c r="AT211" s="4">
        <f ca="1">IFERROR(__xludf.DUMMYFUNCTION("""COMPUTED_VALUE"""),3)</f>
        <v>3</v>
      </c>
      <c r="AU211" s="4">
        <f ca="1">IFERROR(__xludf.DUMMYFUNCTION("""COMPUTED_VALUE"""),3)</f>
        <v>3</v>
      </c>
      <c r="AV211" s="4">
        <f ca="1">IFERROR(__xludf.DUMMYFUNCTION("""COMPUTED_VALUE"""),3)</f>
        <v>3</v>
      </c>
      <c r="AW211" s="4">
        <f ca="1">IFERROR(__xludf.DUMMYFUNCTION("""COMPUTED_VALUE"""),3)</f>
        <v>3</v>
      </c>
      <c r="AX211" s="4">
        <f ca="1">IFERROR(__xludf.DUMMYFUNCTION("""COMPUTED_VALUE"""),4)</f>
        <v>4</v>
      </c>
      <c r="AY211" s="4">
        <f ca="1">IFERROR(__xludf.DUMMYFUNCTION("""COMPUTED_VALUE"""),4)</f>
        <v>4</v>
      </c>
      <c r="AZ211" s="4">
        <f ca="1">IFERROR(__xludf.DUMMYFUNCTION("""COMPUTED_VALUE"""),4)</f>
        <v>4</v>
      </c>
      <c r="BA211" s="4">
        <f ca="1">IFERROR(__xludf.DUMMYFUNCTION("""COMPUTED_VALUE"""),4)</f>
        <v>4</v>
      </c>
      <c r="BB211" s="4">
        <f ca="1">IFERROR(__xludf.DUMMYFUNCTION("""COMPUTED_VALUE"""),5)</f>
        <v>5</v>
      </c>
      <c r="BC211" s="4">
        <f ca="1">IFERROR(__xludf.DUMMYFUNCTION("""COMPUTED_VALUE"""),5)</f>
        <v>5</v>
      </c>
      <c r="BD211" s="4">
        <f ca="1">IFERROR(__xludf.DUMMYFUNCTION("""COMPUTED_VALUE"""),5)</f>
        <v>5</v>
      </c>
      <c r="BE211" s="4">
        <f ca="1">IFERROR(__xludf.DUMMYFUNCTION("""COMPUTED_VALUE"""),5)</f>
        <v>5</v>
      </c>
      <c r="BF211" s="4">
        <f ca="1">IFERROR(__xludf.DUMMYFUNCTION("""COMPUTED_VALUE"""),5)</f>
        <v>5</v>
      </c>
      <c r="BG211" s="4">
        <f ca="1">IFERROR(__xludf.DUMMYFUNCTION("""COMPUTED_VALUE"""),5)</f>
        <v>5</v>
      </c>
      <c r="BH211" s="4">
        <f ca="1">IFERROR(__xludf.DUMMYFUNCTION("""COMPUTED_VALUE"""),5)</f>
        <v>5</v>
      </c>
      <c r="BI211" s="4">
        <f ca="1">IFERROR(__xludf.DUMMYFUNCTION("""COMPUTED_VALUE"""),5)</f>
        <v>5</v>
      </c>
      <c r="BJ211" s="4">
        <f ca="1">IFERROR(__xludf.DUMMYFUNCTION("""COMPUTED_VALUE"""),5)</f>
        <v>5</v>
      </c>
      <c r="BK211" s="4">
        <f ca="1">IFERROR(__xludf.DUMMYFUNCTION("""COMPUTED_VALUE"""),5)</f>
        <v>5</v>
      </c>
      <c r="BL211" s="4">
        <f ca="1">IFERROR(__xludf.DUMMYFUNCTION("""COMPUTED_VALUE"""),5)</f>
        <v>5</v>
      </c>
      <c r="BM211" s="4">
        <f ca="1">IFERROR(__xludf.DUMMYFUNCTION("""COMPUTED_VALUE"""),5)</f>
        <v>5</v>
      </c>
      <c r="BN211" s="4">
        <f ca="1">IFERROR(__xludf.DUMMYFUNCTION("""COMPUTED_VALUE"""),5)</f>
        <v>5</v>
      </c>
      <c r="BO211" s="4">
        <f ca="1">IFERROR(__xludf.DUMMYFUNCTION("""COMPUTED_VALUE"""),5)</f>
        <v>5</v>
      </c>
      <c r="BP211" s="4">
        <f ca="1">IFERROR(__xludf.DUMMYFUNCTION("""COMPUTED_VALUE"""),5)</f>
        <v>5</v>
      </c>
    </row>
    <row r="212" spans="1:68" ht="13.2" x14ac:dyDescent="0.25">
      <c r="A212" s="4" t="str">
        <f ca="1">IFERROR(__xludf.DUMMYFUNCTION("""COMPUTED_VALUE"""),"2_ABaOnufmzWwDlecrezw1FSOgGijAvZTJQd_e0KoDIigQBeDQ_5naCWqjONPeWINmXg")</f>
        <v>2_ABaOnufmzWwDlecrezw1FSOgGijAvZTJQd_e0KoDIigQBeDQ_5naCWqjONPeWINmXg</v>
      </c>
      <c r="B212" s="5">
        <f ca="1">IFERROR(__xludf.DUMMYFUNCTION("""COMPUTED_VALUE"""),45978.6732733449)</f>
        <v>45978.673273344903</v>
      </c>
      <c r="C212" s="4" t="str">
        <f ca="1">IFERROR(__xludf.DUMMYFUNCTION("""COMPUTED_VALUE"""),"Nguyễn Thị Thùy Ngân")</f>
        <v>Nguyễn Thị Thùy Ngân</v>
      </c>
      <c r="D212" s="4" t="str">
        <f ca="1">IFERROR(__xludf.DUMMYFUNCTION("""COMPUTED_VALUE"""),"Nữ")</f>
        <v>Nữ</v>
      </c>
      <c r="E212" s="4" t="str">
        <f ca="1">IFERROR(__xludf.DUMMYFUNCTION("""COMPUTED_VALUE"""),"Công ty TNHH Kiểm toán và Tư vấn Chuẩn Việt")</f>
        <v>Công ty TNHH Kiểm toán và Tư vấn Chuẩn Việt</v>
      </c>
      <c r="F212" s="4" t="str">
        <f ca="1">IFERROR(__xludf.DUMMYFUNCTION("""COMPUTED_VALUE"""),"Đại học")</f>
        <v>Đại học</v>
      </c>
      <c r="G212" s="4" t="str">
        <f ca="1">IFERROR(__xludf.DUMMYFUNCTION("""COMPUTED_VALUE"""),"Từ 3 đến 5 năm")</f>
        <v>Từ 3 đến 5 năm</v>
      </c>
      <c r="H212" s="4" t="str">
        <f ca="1">IFERROR(__xludf.DUMMYFUNCTION("""COMPUTED_VALUE"""),"Trợ lý kiểm toán")</f>
        <v>Trợ lý kiểm toán</v>
      </c>
      <c r="I212" s="4">
        <f ca="1">IFERROR(__xludf.DUMMYFUNCTION("""COMPUTED_VALUE"""),5)</f>
        <v>5</v>
      </c>
      <c r="J212" s="4">
        <f ca="1">IFERROR(__xludf.DUMMYFUNCTION("""COMPUTED_VALUE"""),5)</f>
        <v>5</v>
      </c>
      <c r="K212" s="4">
        <f ca="1">IFERROR(__xludf.DUMMYFUNCTION("""COMPUTED_VALUE"""),5)</f>
        <v>5</v>
      </c>
      <c r="L212" s="4">
        <f ca="1">IFERROR(__xludf.DUMMYFUNCTION("""COMPUTED_VALUE"""),5)</f>
        <v>5</v>
      </c>
      <c r="M212" s="4">
        <f ca="1">IFERROR(__xludf.DUMMYFUNCTION("""COMPUTED_VALUE"""),5)</f>
        <v>5</v>
      </c>
      <c r="N212" s="4">
        <f ca="1">IFERROR(__xludf.DUMMYFUNCTION("""COMPUTED_VALUE"""),5)</f>
        <v>5</v>
      </c>
      <c r="O212" s="4">
        <f ca="1">IFERROR(__xludf.DUMMYFUNCTION("""COMPUTED_VALUE"""),5)</f>
        <v>5</v>
      </c>
      <c r="P212" s="4">
        <f ca="1">IFERROR(__xludf.DUMMYFUNCTION("""COMPUTED_VALUE"""),5)</f>
        <v>5</v>
      </c>
      <c r="Q212" s="4">
        <f ca="1">IFERROR(__xludf.DUMMYFUNCTION("""COMPUTED_VALUE"""),5)</f>
        <v>5</v>
      </c>
      <c r="R212" s="4">
        <f ca="1">IFERROR(__xludf.DUMMYFUNCTION("""COMPUTED_VALUE"""),5)</f>
        <v>5</v>
      </c>
      <c r="S212" s="4">
        <f ca="1">IFERROR(__xludf.DUMMYFUNCTION("""COMPUTED_VALUE"""),5)</f>
        <v>5</v>
      </c>
      <c r="T212" s="4">
        <f ca="1">IFERROR(__xludf.DUMMYFUNCTION("""COMPUTED_VALUE"""),5)</f>
        <v>5</v>
      </c>
      <c r="U212" s="4">
        <f ca="1">IFERROR(__xludf.DUMMYFUNCTION("""COMPUTED_VALUE"""),5)</f>
        <v>5</v>
      </c>
      <c r="V212" s="4">
        <f ca="1">IFERROR(__xludf.DUMMYFUNCTION("""COMPUTED_VALUE"""),5)</f>
        <v>5</v>
      </c>
      <c r="W212" s="4">
        <f ca="1">IFERROR(__xludf.DUMMYFUNCTION("""COMPUTED_VALUE"""),4)</f>
        <v>4</v>
      </c>
      <c r="X212" s="4">
        <f ca="1">IFERROR(__xludf.DUMMYFUNCTION("""COMPUTED_VALUE"""),4)</f>
        <v>4</v>
      </c>
      <c r="Y212" s="4">
        <f ca="1">IFERROR(__xludf.DUMMYFUNCTION("""COMPUTED_VALUE"""),5)</f>
        <v>5</v>
      </c>
      <c r="Z212" s="4">
        <f ca="1">IFERROR(__xludf.DUMMYFUNCTION("""COMPUTED_VALUE"""),5)</f>
        <v>5</v>
      </c>
      <c r="AA212" s="4">
        <f ca="1">IFERROR(__xludf.DUMMYFUNCTION("""COMPUTED_VALUE"""),5)</f>
        <v>5</v>
      </c>
      <c r="AB212" s="4">
        <f ca="1">IFERROR(__xludf.DUMMYFUNCTION("""COMPUTED_VALUE"""),5)</f>
        <v>5</v>
      </c>
      <c r="AC212" s="4">
        <f ca="1">IFERROR(__xludf.DUMMYFUNCTION("""COMPUTED_VALUE"""),5)</f>
        <v>5</v>
      </c>
      <c r="AD212" s="4">
        <f ca="1">IFERROR(__xludf.DUMMYFUNCTION("""COMPUTED_VALUE"""),5)</f>
        <v>5</v>
      </c>
      <c r="AE212" s="4">
        <f ca="1">IFERROR(__xludf.DUMMYFUNCTION("""COMPUTED_VALUE"""),5)</f>
        <v>5</v>
      </c>
      <c r="AF212" s="4">
        <f ca="1">IFERROR(__xludf.DUMMYFUNCTION("""COMPUTED_VALUE"""),5)</f>
        <v>5</v>
      </c>
      <c r="AG212" s="4">
        <f ca="1">IFERROR(__xludf.DUMMYFUNCTION("""COMPUTED_VALUE"""),5)</f>
        <v>5</v>
      </c>
      <c r="AH212" s="4">
        <f ca="1">IFERROR(__xludf.DUMMYFUNCTION("""COMPUTED_VALUE"""),5)</f>
        <v>5</v>
      </c>
      <c r="AI212" s="4">
        <f ca="1">IFERROR(__xludf.DUMMYFUNCTION("""COMPUTED_VALUE"""),5)</f>
        <v>5</v>
      </c>
      <c r="AJ212" s="4">
        <f ca="1">IFERROR(__xludf.DUMMYFUNCTION("""COMPUTED_VALUE"""),5)</f>
        <v>5</v>
      </c>
      <c r="AK212" s="4">
        <f ca="1">IFERROR(__xludf.DUMMYFUNCTION("""COMPUTED_VALUE"""),5)</f>
        <v>5</v>
      </c>
      <c r="AL212" s="4">
        <f ca="1">IFERROR(__xludf.DUMMYFUNCTION("""COMPUTED_VALUE"""),5)</f>
        <v>5</v>
      </c>
      <c r="AM212" s="4">
        <f ca="1">IFERROR(__xludf.DUMMYFUNCTION("""COMPUTED_VALUE"""),5)</f>
        <v>5</v>
      </c>
      <c r="AN212" s="4">
        <f ca="1">IFERROR(__xludf.DUMMYFUNCTION("""COMPUTED_VALUE"""),5)</f>
        <v>5</v>
      </c>
      <c r="AO212" s="4">
        <f ca="1">IFERROR(__xludf.DUMMYFUNCTION("""COMPUTED_VALUE"""),5)</f>
        <v>5</v>
      </c>
      <c r="AP212" s="4">
        <f ca="1">IFERROR(__xludf.DUMMYFUNCTION("""COMPUTED_VALUE"""),5)</f>
        <v>5</v>
      </c>
      <c r="AQ212" s="4">
        <f ca="1">IFERROR(__xludf.DUMMYFUNCTION("""COMPUTED_VALUE"""),5)</f>
        <v>5</v>
      </c>
      <c r="AR212" s="4">
        <f ca="1">IFERROR(__xludf.DUMMYFUNCTION("""COMPUTED_VALUE"""),5)</f>
        <v>5</v>
      </c>
      <c r="AS212" s="4">
        <f ca="1">IFERROR(__xludf.DUMMYFUNCTION("""COMPUTED_VALUE"""),5)</f>
        <v>5</v>
      </c>
      <c r="AT212" s="4">
        <f ca="1">IFERROR(__xludf.DUMMYFUNCTION("""COMPUTED_VALUE"""),5)</f>
        <v>5</v>
      </c>
      <c r="AU212" s="4">
        <f ca="1">IFERROR(__xludf.DUMMYFUNCTION("""COMPUTED_VALUE"""),5)</f>
        <v>5</v>
      </c>
      <c r="AV212" s="4">
        <f ca="1">IFERROR(__xludf.DUMMYFUNCTION("""COMPUTED_VALUE"""),5)</f>
        <v>5</v>
      </c>
      <c r="AW212" s="4">
        <f ca="1">IFERROR(__xludf.DUMMYFUNCTION("""COMPUTED_VALUE"""),5)</f>
        <v>5</v>
      </c>
      <c r="AX212" s="4">
        <f ca="1">IFERROR(__xludf.DUMMYFUNCTION("""COMPUTED_VALUE"""),5)</f>
        <v>5</v>
      </c>
      <c r="AY212" s="4">
        <f ca="1">IFERROR(__xludf.DUMMYFUNCTION("""COMPUTED_VALUE"""),5)</f>
        <v>5</v>
      </c>
      <c r="AZ212" s="4">
        <f ca="1">IFERROR(__xludf.DUMMYFUNCTION("""COMPUTED_VALUE"""),5)</f>
        <v>5</v>
      </c>
      <c r="BA212" s="4">
        <f ca="1">IFERROR(__xludf.DUMMYFUNCTION("""COMPUTED_VALUE"""),5)</f>
        <v>5</v>
      </c>
      <c r="BB212" s="4">
        <f ca="1">IFERROR(__xludf.DUMMYFUNCTION("""COMPUTED_VALUE"""),5)</f>
        <v>5</v>
      </c>
      <c r="BC212" s="4">
        <f ca="1">IFERROR(__xludf.DUMMYFUNCTION("""COMPUTED_VALUE"""),5)</f>
        <v>5</v>
      </c>
      <c r="BD212" s="4">
        <f ca="1">IFERROR(__xludf.DUMMYFUNCTION("""COMPUTED_VALUE"""),5)</f>
        <v>5</v>
      </c>
      <c r="BE212" s="4">
        <f ca="1">IFERROR(__xludf.DUMMYFUNCTION("""COMPUTED_VALUE"""),5)</f>
        <v>5</v>
      </c>
      <c r="BF212" s="4">
        <f ca="1">IFERROR(__xludf.DUMMYFUNCTION("""COMPUTED_VALUE"""),5)</f>
        <v>5</v>
      </c>
      <c r="BG212" s="4">
        <f ca="1">IFERROR(__xludf.DUMMYFUNCTION("""COMPUTED_VALUE"""),5)</f>
        <v>5</v>
      </c>
      <c r="BH212" s="4">
        <f ca="1">IFERROR(__xludf.DUMMYFUNCTION("""COMPUTED_VALUE"""),5)</f>
        <v>5</v>
      </c>
      <c r="BI212" s="4">
        <f ca="1">IFERROR(__xludf.DUMMYFUNCTION("""COMPUTED_VALUE"""),5)</f>
        <v>5</v>
      </c>
      <c r="BJ212" s="4">
        <f ca="1">IFERROR(__xludf.DUMMYFUNCTION("""COMPUTED_VALUE"""),5)</f>
        <v>5</v>
      </c>
      <c r="BK212" s="4">
        <f ca="1">IFERROR(__xludf.DUMMYFUNCTION("""COMPUTED_VALUE"""),5)</f>
        <v>5</v>
      </c>
      <c r="BL212" s="4">
        <f ca="1">IFERROR(__xludf.DUMMYFUNCTION("""COMPUTED_VALUE"""),5)</f>
        <v>5</v>
      </c>
      <c r="BM212" s="4">
        <f ca="1">IFERROR(__xludf.DUMMYFUNCTION("""COMPUTED_VALUE"""),5)</f>
        <v>5</v>
      </c>
      <c r="BN212" s="4">
        <f ca="1">IFERROR(__xludf.DUMMYFUNCTION("""COMPUTED_VALUE"""),5)</f>
        <v>5</v>
      </c>
      <c r="BO212" s="4">
        <f ca="1">IFERROR(__xludf.DUMMYFUNCTION("""COMPUTED_VALUE"""),5)</f>
        <v>5</v>
      </c>
      <c r="BP212" s="4">
        <f ca="1">IFERROR(__xludf.DUMMYFUNCTION("""COMPUTED_VALUE"""),5)</f>
        <v>5</v>
      </c>
    </row>
    <row r="213" spans="1:68" ht="13.2" x14ac:dyDescent="0.25">
      <c r="A213" s="4" t="str">
        <f ca="1">IFERROR(__xludf.DUMMYFUNCTION("""COMPUTED_VALUE"""),"2_ABaOnudVf1WqnT5AZm_zCnbm29iC3Hp_zMRRJAtofPOh-nM2Dbb7SmgWq49lSDXyNA")</f>
        <v>2_ABaOnudVf1WqnT5AZm_zCnbm29iC3Hp_zMRRJAtofPOh-nM2Dbb7SmgWq49lSDXyNA</v>
      </c>
      <c r="B213" s="5">
        <f ca="1">IFERROR(__xludf.DUMMYFUNCTION("""COMPUTED_VALUE"""),45978.6843687268)</f>
        <v>45978.684368726797</v>
      </c>
      <c r="C213" s="4" t="str">
        <f ca="1">IFERROR(__xludf.DUMMYFUNCTION("""COMPUTED_VALUE"""),"Nguyễn Thị Tuyết Xuân")</f>
        <v>Nguyễn Thị Tuyết Xuân</v>
      </c>
      <c r="D213" s="4" t="str">
        <f ca="1">IFERROR(__xludf.DUMMYFUNCTION("""COMPUTED_VALUE"""),"Nữ")</f>
        <v>Nữ</v>
      </c>
      <c r="E213" s="4" t="str">
        <f ca="1">IFERROR(__xludf.DUMMYFUNCTION("""COMPUTED_VALUE"""),"Chi nhánh Công ty TNHH Kiểm toán và Tư vấn Chuẩn Việt")</f>
        <v>Chi nhánh Công ty TNHH Kiểm toán và Tư vấn Chuẩn Việt</v>
      </c>
      <c r="F213" s="4" t="str">
        <f ca="1">IFERROR(__xludf.DUMMYFUNCTION("""COMPUTED_VALUE"""),"Đại học")</f>
        <v>Đại học</v>
      </c>
      <c r="G213" s="4" t="str">
        <f ca="1">IFERROR(__xludf.DUMMYFUNCTION("""COMPUTED_VALUE"""),"Từ 3 đến 5 năm")</f>
        <v>Từ 3 đến 5 năm</v>
      </c>
      <c r="H213" s="4" t="str">
        <f ca="1">IFERROR(__xludf.DUMMYFUNCTION("""COMPUTED_VALUE"""),"Trợ lý kiểm toán")</f>
        <v>Trợ lý kiểm toán</v>
      </c>
      <c r="I213" s="4">
        <f ca="1">IFERROR(__xludf.DUMMYFUNCTION("""COMPUTED_VALUE"""),5)</f>
        <v>5</v>
      </c>
      <c r="J213" s="4">
        <f ca="1">IFERROR(__xludf.DUMMYFUNCTION("""COMPUTED_VALUE"""),5)</f>
        <v>5</v>
      </c>
      <c r="K213" s="4">
        <f ca="1">IFERROR(__xludf.DUMMYFUNCTION("""COMPUTED_VALUE"""),5)</f>
        <v>5</v>
      </c>
      <c r="L213" s="4">
        <f ca="1">IFERROR(__xludf.DUMMYFUNCTION("""COMPUTED_VALUE"""),5)</f>
        <v>5</v>
      </c>
      <c r="M213" s="4">
        <f ca="1">IFERROR(__xludf.DUMMYFUNCTION("""COMPUTED_VALUE"""),5)</f>
        <v>5</v>
      </c>
      <c r="N213" s="4">
        <f ca="1">IFERROR(__xludf.DUMMYFUNCTION("""COMPUTED_VALUE"""),3)</f>
        <v>3</v>
      </c>
      <c r="O213" s="4">
        <f ca="1">IFERROR(__xludf.DUMMYFUNCTION("""COMPUTED_VALUE"""),4)</f>
        <v>4</v>
      </c>
      <c r="P213" s="4">
        <f ca="1">IFERROR(__xludf.DUMMYFUNCTION("""COMPUTED_VALUE"""),5)</f>
        <v>5</v>
      </c>
      <c r="Q213" s="4">
        <f ca="1">IFERROR(__xludf.DUMMYFUNCTION("""COMPUTED_VALUE"""),5)</f>
        <v>5</v>
      </c>
      <c r="R213" s="4">
        <f ca="1">IFERROR(__xludf.DUMMYFUNCTION("""COMPUTED_VALUE"""),5)</f>
        <v>5</v>
      </c>
      <c r="S213" s="4">
        <f ca="1">IFERROR(__xludf.DUMMYFUNCTION("""COMPUTED_VALUE"""),5)</f>
        <v>5</v>
      </c>
      <c r="T213" s="4">
        <f ca="1">IFERROR(__xludf.DUMMYFUNCTION("""COMPUTED_VALUE"""),5)</f>
        <v>5</v>
      </c>
      <c r="U213" s="4">
        <f ca="1">IFERROR(__xludf.DUMMYFUNCTION("""COMPUTED_VALUE"""),5)</f>
        <v>5</v>
      </c>
      <c r="V213" s="4">
        <f ca="1">IFERROR(__xludf.DUMMYFUNCTION("""COMPUTED_VALUE"""),5)</f>
        <v>5</v>
      </c>
      <c r="W213" s="4">
        <f ca="1">IFERROR(__xludf.DUMMYFUNCTION("""COMPUTED_VALUE"""),4)</f>
        <v>4</v>
      </c>
      <c r="X213" s="4">
        <f ca="1">IFERROR(__xludf.DUMMYFUNCTION("""COMPUTED_VALUE"""),4)</f>
        <v>4</v>
      </c>
      <c r="Y213" s="4">
        <f ca="1">IFERROR(__xludf.DUMMYFUNCTION("""COMPUTED_VALUE"""),5)</f>
        <v>5</v>
      </c>
      <c r="Z213" s="4">
        <f ca="1">IFERROR(__xludf.DUMMYFUNCTION("""COMPUTED_VALUE"""),4)</f>
        <v>4</v>
      </c>
      <c r="AA213" s="4">
        <f ca="1">IFERROR(__xludf.DUMMYFUNCTION("""COMPUTED_VALUE"""),5)</f>
        <v>5</v>
      </c>
      <c r="AB213" s="4">
        <f ca="1">IFERROR(__xludf.DUMMYFUNCTION("""COMPUTED_VALUE"""),4)</f>
        <v>4</v>
      </c>
      <c r="AC213" s="4">
        <f ca="1">IFERROR(__xludf.DUMMYFUNCTION("""COMPUTED_VALUE"""),3)</f>
        <v>3</v>
      </c>
      <c r="AD213" s="4">
        <f ca="1">IFERROR(__xludf.DUMMYFUNCTION("""COMPUTED_VALUE"""),3)</f>
        <v>3</v>
      </c>
      <c r="AE213" s="4">
        <f ca="1">IFERROR(__xludf.DUMMYFUNCTION("""COMPUTED_VALUE"""),4)</f>
        <v>4</v>
      </c>
      <c r="AF213" s="4">
        <f ca="1">IFERROR(__xludf.DUMMYFUNCTION("""COMPUTED_VALUE"""),5)</f>
        <v>5</v>
      </c>
      <c r="AG213" s="4">
        <f ca="1">IFERROR(__xludf.DUMMYFUNCTION("""COMPUTED_VALUE"""),5)</f>
        <v>5</v>
      </c>
      <c r="AH213" s="4">
        <f ca="1">IFERROR(__xludf.DUMMYFUNCTION("""COMPUTED_VALUE"""),5)</f>
        <v>5</v>
      </c>
      <c r="AI213" s="4">
        <f ca="1">IFERROR(__xludf.DUMMYFUNCTION("""COMPUTED_VALUE"""),5)</f>
        <v>5</v>
      </c>
      <c r="AJ213" s="4">
        <f ca="1">IFERROR(__xludf.DUMMYFUNCTION("""COMPUTED_VALUE"""),4)</f>
        <v>4</v>
      </c>
      <c r="AK213" s="4">
        <f ca="1">IFERROR(__xludf.DUMMYFUNCTION("""COMPUTED_VALUE"""),5)</f>
        <v>5</v>
      </c>
      <c r="AL213" s="4">
        <f ca="1">IFERROR(__xludf.DUMMYFUNCTION("""COMPUTED_VALUE"""),5)</f>
        <v>5</v>
      </c>
      <c r="AM213" s="4">
        <f ca="1">IFERROR(__xludf.DUMMYFUNCTION("""COMPUTED_VALUE"""),4)</f>
        <v>4</v>
      </c>
      <c r="AN213" s="4">
        <f ca="1">IFERROR(__xludf.DUMMYFUNCTION("""COMPUTED_VALUE"""),5)</f>
        <v>5</v>
      </c>
      <c r="AO213" s="4">
        <f ca="1">IFERROR(__xludf.DUMMYFUNCTION("""COMPUTED_VALUE"""),4)</f>
        <v>4</v>
      </c>
      <c r="AP213" s="4">
        <f ca="1">IFERROR(__xludf.DUMMYFUNCTION("""COMPUTED_VALUE"""),4)</f>
        <v>4</v>
      </c>
      <c r="AQ213" s="4">
        <f ca="1">IFERROR(__xludf.DUMMYFUNCTION("""COMPUTED_VALUE"""),5)</f>
        <v>5</v>
      </c>
      <c r="AR213" s="4">
        <f ca="1">IFERROR(__xludf.DUMMYFUNCTION("""COMPUTED_VALUE"""),4)</f>
        <v>4</v>
      </c>
      <c r="AS213" s="4">
        <f ca="1">IFERROR(__xludf.DUMMYFUNCTION("""COMPUTED_VALUE"""),4)</f>
        <v>4</v>
      </c>
      <c r="AT213" s="4">
        <f ca="1">IFERROR(__xludf.DUMMYFUNCTION("""COMPUTED_VALUE"""),4)</f>
        <v>4</v>
      </c>
      <c r="AU213" s="4">
        <f ca="1">IFERROR(__xludf.DUMMYFUNCTION("""COMPUTED_VALUE"""),5)</f>
        <v>5</v>
      </c>
      <c r="AV213" s="4">
        <f ca="1">IFERROR(__xludf.DUMMYFUNCTION("""COMPUTED_VALUE"""),5)</f>
        <v>5</v>
      </c>
      <c r="AW213" s="4">
        <f ca="1">IFERROR(__xludf.DUMMYFUNCTION("""COMPUTED_VALUE"""),5)</f>
        <v>5</v>
      </c>
      <c r="AX213" s="4">
        <f ca="1">IFERROR(__xludf.DUMMYFUNCTION("""COMPUTED_VALUE"""),5)</f>
        <v>5</v>
      </c>
      <c r="AY213" s="4">
        <f ca="1">IFERROR(__xludf.DUMMYFUNCTION("""COMPUTED_VALUE"""),5)</f>
        <v>5</v>
      </c>
      <c r="AZ213" s="4">
        <f ca="1">IFERROR(__xludf.DUMMYFUNCTION("""COMPUTED_VALUE"""),5)</f>
        <v>5</v>
      </c>
      <c r="BA213" s="4">
        <f ca="1">IFERROR(__xludf.DUMMYFUNCTION("""COMPUTED_VALUE"""),5)</f>
        <v>5</v>
      </c>
      <c r="BB213" s="4">
        <f ca="1">IFERROR(__xludf.DUMMYFUNCTION("""COMPUTED_VALUE"""),3)</f>
        <v>3</v>
      </c>
      <c r="BC213" s="4">
        <f ca="1">IFERROR(__xludf.DUMMYFUNCTION("""COMPUTED_VALUE"""),4)</f>
        <v>4</v>
      </c>
      <c r="BD213" s="4">
        <f ca="1">IFERROR(__xludf.DUMMYFUNCTION("""COMPUTED_VALUE"""),3)</f>
        <v>3</v>
      </c>
      <c r="BE213" s="4">
        <f ca="1">IFERROR(__xludf.DUMMYFUNCTION("""COMPUTED_VALUE"""),3)</f>
        <v>3</v>
      </c>
      <c r="BF213" s="4">
        <f ca="1">IFERROR(__xludf.DUMMYFUNCTION("""COMPUTED_VALUE"""),3)</f>
        <v>3</v>
      </c>
      <c r="BG213" s="4">
        <f ca="1">IFERROR(__xludf.DUMMYFUNCTION("""COMPUTED_VALUE"""),3)</f>
        <v>3</v>
      </c>
      <c r="BH213" s="4">
        <f ca="1">IFERROR(__xludf.DUMMYFUNCTION("""COMPUTED_VALUE"""),5)</f>
        <v>5</v>
      </c>
      <c r="BI213" s="4">
        <f ca="1">IFERROR(__xludf.DUMMYFUNCTION("""COMPUTED_VALUE"""),5)</f>
        <v>5</v>
      </c>
      <c r="BJ213" s="4">
        <f ca="1">IFERROR(__xludf.DUMMYFUNCTION("""COMPUTED_VALUE"""),5)</f>
        <v>5</v>
      </c>
      <c r="BK213" s="4">
        <f ca="1">IFERROR(__xludf.DUMMYFUNCTION("""COMPUTED_VALUE"""),5)</f>
        <v>5</v>
      </c>
      <c r="BL213" s="4">
        <f ca="1">IFERROR(__xludf.DUMMYFUNCTION("""COMPUTED_VALUE"""),5)</f>
        <v>5</v>
      </c>
      <c r="BM213" s="4">
        <f ca="1">IFERROR(__xludf.DUMMYFUNCTION("""COMPUTED_VALUE"""),5)</f>
        <v>5</v>
      </c>
      <c r="BN213" s="4">
        <f ca="1">IFERROR(__xludf.DUMMYFUNCTION("""COMPUTED_VALUE"""),5)</f>
        <v>5</v>
      </c>
      <c r="BO213" s="4">
        <f ca="1">IFERROR(__xludf.DUMMYFUNCTION("""COMPUTED_VALUE"""),5)</f>
        <v>5</v>
      </c>
      <c r="BP213" s="4">
        <f ca="1">IFERROR(__xludf.DUMMYFUNCTION("""COMPUTED_VALUE"""),5)</f>
        <v>5</v>
      </c>
    </row>
    <row r="214" spans="1:68" ht="13.2" x14ac:dyDescent="0.25">
      <c r="A214" s="4" t="str">
        <f ca="1">IFERROR(__xludf.DUMMYFUNCTION("""COMPUTED_VALUE"""),"2_ABaOnuf0MlrmlEpHOXfohsbbuXDMIrHUxUI7pl0j2LQOAaxBOyIlwjU_wkMkwrqyUQ")</f>
        <v>2_ABaOnuf0MlrmlEpHOXfohsbbuXDMIrHUxUI7pl0j2LQOAaxBOyIlwjU_wkMkwrqyUQ</v>
      </c>
      <c r="B214" s="5">
        <f ca="1">IFERROR(__xludf.DUMMYFUNCTION("""COMPUTED_VALUE"""),45978.6864902314)</f>
        <v>45978.686490231397</v>
      </c>
      <c r="C214" s="4" t="str">
        <f ca="1">IFERROR(__xludf.DUMMYFUNCTION("""COMPUTED_VALUE"""),"Nguyễn Ngọc Tú Anh")</f>
        <v>Nguyễn Ngọc Tú Anh</v>
      </c>
      <c r="D214" s="4" t="str">
        <f ca="1">IFERROR(__xludf.DUMMYFUNCTION("""COMPUTED_VALUE"""),"Nữ")</f>
        <v>Nữ</v>
      </c>
      <c r="E214" s="4" t="str">
        <f ca="1">IFERROR(__xludf.DUMMYFUNCTION("""COMPUTED_VALUE"""),"CÔNG TY TNHH KIỂM TOÁN VÀ TƯ VẤN A&amp;C – CHI NHÁNH TÂY NAM BỘ")</f>
        <v>CÔNG TY TNHH KIỂM TOÁN VÀ TƯ VẤN A&amp;C – CHI NHÁNH TÂY NAM BỘ</v>
      </c>
      <c r="F214" s="4" t="str">
        <f ca="1">IFERROR(__xludf.DUMMYFUNCTION("""COMPUTED_VALUE"""),"Đại học")</f>
        <v>Đại học</v>
      </c>
      <c r="G214" s="4" t="str">
        <f ca="1">IFERROR(__xludf.DUMMYFUNCTION("""COMPUTED_VALUE"""),"Từ 3 đến 5 năm")</f>
        <v>Từ 3 đến 5 năm</v>
      </c>
      <c r="H214" s="4" t="str">
        <f ca="1">IFERROR(__xludf.DUMMYFUNCTION("""COMPUTED_VALUE"""),"Trợ lý kiểm toán")</f>
        <v>Trợ lý kiểm toán</v>
      </c>
      <c r="I214" s="4">
        <f ca="1">IFERROR(__xludf.DUMMYFUNCTION("""COMPUTED_VALUE"""),4)</f>
        <v>4</v>
      </c>
      <c r="J214" s="4">
        <f ca="1">IFERROR(__xludf.DUMMYFUNCTION("""COMPUTED_VALUE"""),4)</f>
        <v>4</v>
      </c>
      <c r="K214" s="4">
        <f ca="1">IFERROR(__xludf.DUMMYFUNCTION("""COMPUTED_VALUE"""),4)</f>
        <v>4</v>
      </c>
      <c r="L214" s="4">
        <f ca="1">IFERROR(__xludf.DUMMYFUNCTION("""COMPUTED_VALUE"""),4)</f>
        <v>4</v>
      </c>
      <c r="M214" s="4">
        <f ca="1">IFERROR(__xludf.DUMMYFUNCTION("""COMPUTED_VALUE"""),4)</f>
        <v>4</v>
      </c>
      <c r="N214" s="4">
        <f ca="1">IFERROR(__xludf.DUMMYFUNCTION("""COMPUTED_VALUE"""),4)</f>
        <v>4</v>
      </c>
      <c r="O214" s="4">
        <f ca="1">IFERROR(__xludf.DUMMYFUNCTION("""COMPUTED_VALUE"""),4)</f>
        <v>4</v>
      </c>
      <c r="P214" s="4">
        <f ca="1">IFERROR(__xludf.DUMMYFUNCTION("""COMPUTED_VALUE"""),4)</f>
        <v>4</v>
      </c>
      <c r="Q214" s="4">
        <f ca="1">IFERROR(__xludf.DUMMYFUNCTION("""COMPUTED_VALUE"""),4)</f>
        <v>4</v>
      </c>
      <c r="R214" s="4">
        <f ca="1">IFERROR(__xludf.DUMMYFUNCTION("""COMPUTED_VALUE"""),4)</f>
        <v>4</v>
      </c>
      <c r="S214" s="4">
        <f ca="1">IFERROR(__xludf.DUMMYFUNCTION("""COMPUTED_VALUE"""),4)</f>
        <v>4</v>
      </c>
      <c r="T214" s="4">
        <f ca="1">IFERROR(__xludf.DUMMYFUNCTION("""COMPUTED_VALUE"""),4)</f>
        <v>4</v>
      </c>
      <c r="U214" s="4">
        <f ca="1">IFERROR(__xludf.DUMMYFUNCTION("""COMPUTED_VALUE"""),4)</f>
        <v>4</v>
      </c>
      <c r="V214" s="4">
        <f ca="1">IFERROR(__xludf.DUMMYFUNCTION("""COMPUTED_VALUE"""),4)</f>
        <v>4</v>
      </c>
      <c r="W214" s="4">
        <f ca="1">IFERROR(__xludf.DUMMYFUNCTION("""COMPUTED_VALUE"""),4)</f>
        <v>4</v>
      </c>
      <c r="X214" s="4">
        <f ca="1">IFERROR(__xludf.DUMMYFUNCTION("""COMPUTED_VALUE"""),4)</f>
        <v>4</v>
      </c>
      <c r="Y214" s="4">
        <f ca="1">IFERROR(__xludf.DUMMYFUNCTION("""COMPUTED_VALUE"""),4)</f>
        <v>4</v>
      </c>
      <c r="Z214" s="4">
        <f ca="1">IFERROR(__xludf.DUMMYFUNCTION("""COMPUTED_VALUE"""),4)</f>
        <v>4</v>
      </c>
      <c r="AA214" s="4">
        <f ca="1">IFERROR(__xludf.DUMMYFUNCTION("""COMPUTED_VALUE"""),4)</f>
        <v>4</v>
      </c>
      <c r="AB214" s="4">
        <f ca="1">IFERROR(__xludf.DUMMYFUNCTION("""COMPUTED_VALUE"""),4)</f>
        <v>4</v>
      </c>
      <c r="AC214" s="4">
        <f ca="1">IFERROR(__xludf.DUMMYFUNCTION("""COMPUTED_VALUE"""),4)</f>
        <v>4</v>
      </c>
      <c r="AD214" s="4">
        <f ca="1">IFERROR(__xludf.DUMMYFUNCTION("""COMPUTED_VALUE"""),4)</f>
        <v>4</v>
      </c>
      <c r="AE214" s="4">
        <f ca="1">IFERROR(__xludf.DUMMYFUNCTION("""COMPUTED_VALUE"""),4)</f>
        <v>4</v>
      </c>
      <c r="AF214" s="4">
        <f ca="1">IFERROR(__xludf.DUMMYFUNCTION("""COMPUTED_VALUE"""),4)</f>
        <v>4</v>
      </c>
      <c r="AG214" s="4">
        <f ca="1">IFERROR(__xludf.DUMMYFUNCTION("""COMPUTED_VALUE"""),4)</f>
        <v>4</v>
      </c>
      <c r="AH214" s="4">
        <f ca="1">IFERROR(__xludf.DUMMYFUNCTION("""COMPUTED_VALUE"""),4)</f>
        <v>4</v>
      </c>
      <c r="AI214" s="4">
        <f ca="1">IFERROR(__xludf.DUMMYFUNCTION("""COMPUTED_VALUE"""),4)</f>
        <v>4</v>
      </c>
      <c r="AJ214" s="4">
        <f ca="1">IFERROR(__xludf.DUMMYFUNCTION("""COMPUTED_VALUE"""),4)</f>
        <v>4</v>
      </c>
      <c r="AK214" s="4">
        <f ca="1">IFERROR(__xludf.DUMMYFUNCTION("""COMPUTED_VALUE"""),4)</f>
        <v>4</v>
      </c>
      <c r="AL214" s="4">
        <f ca="1">IFERROR(__xludf.DUMMYFUNCTION("""COMPUTED_VALUE"""),4)</f>
        <v>4</v>
      </c>
      <c r="AM214" s="4">
        <f ca="1">IFERROR(__xludf.DUMMYFUNCTION("""COMPUTED_VALUE"""),4)</f>
        <v>4</v>
      </c>
      <c r="AN214" s="4">
        <f ca="1">IFERROR(__xludf.DUMMYFUNCTION("""COMPUTED_VALUE"""),4)</f>
        <v>4</v>
      </c>
      <c r="AO214" s="4">
        <f ca="1">IFERROR(__xludf.DUMMYFUNCTION("""COMPUTED_VALUE"""),4)</f>
        <v>4</v>
      </c>
      <c r="AP214" s="4">
        <f ca="1">IFERROR(__xludf.DUMMYFUNCTION("""COMPUTED_VALUE"""),4)</f>
        <v>4</v>
      </c>
      <c r="AQ214" s="4">
        <f ca="1">IFERROR(__xludf.DUMMYFUNCTION("""COMPUTED_VALUE"""),4)</f>
        <v>4</v>
      </c>
      <c r="AR214" s="4">
        <f ca="1">IFERROR(__xludf.DUMMYFUNCTION("""COMPUTED_VALUE"""),4)</f>
        <v>4</v>
      </c>
      <c r="AS214" s="4">
        <f ca="1">IFERROR(__xludf.DUMMYFUNCTION("""COMPUTED_VALUE"""),4)</f>
        <v>4</v>
      </c>
      <c r="AT214" s="4">
        <f ca="1">IFERROR(__xludf.DUMMYFUNCTION("""COMPUTED_VALUE"""),4)</f>
        <v>4</v>
      </c>
      <c r="AU214" s="4">
        <f ca="1">IFERROR(__xludf.DUMMYFUNCTION("""COMPUTED_VALUE"""),4)</f>
        <v>4</v>
      </c>
      <c r="AV214" s="4">
        <f ca="1">IFERROR(__xludf.DUMMYFUNCTION("""COMPUTED_VALUE"""),4)</f>
        <v>4</v>
      </c>
      <c r="AW214" s="4">
        <f ca="1">IFERROR(__xludf.DUMMYFUNCTION("""COMPUTED_VALUE"""),4)</f>
        <v>4</v>
      </c>
      <c r="AX214" s="4">
        <f ca="1">IFERROR(__xludf.DUMMYFUNCTION("""COMPUTED_VALUE"""),4)</f>
        <v>4</v>
      </c>
      <c r="AY214" s="4">
        <f ca="1">IFERROR(__xludf.DUMMYFUNCTION("""COMPUTED_VALUE"""),4)</f>
        <v>4</v>
      </c>
      <c r="AZ214" s="4">
        <f ca="1">IFERROR(__xludf.DUMMYFUNCTION("""COMPUTED_VALUE"""),4)</f>
        <v>4</v>
      </c>
      <c r="BA214" s="4">
        <f ca="1">IFERROR(__xludf.DUMMYFUNCTION("""COMPUTED_VALUE"""),4)</f>
        <v>4</v>
      </c>
      <c r="BB214" s="4">
        <f ca="1">IFERROR(__xludf.DUMMYFUNCTION("""COMPUTED_VALUE"""),4)</f>
        <v>4</v>
      </c>
      <c r="BC214" s="4">
        <f ca="1">IFERROR(__xludf.DUMMYFUNCTION("""COMPUTED_VALUE"""),4)</f>
        <v>4</v>
      </c>
      <c r="BD214" s="4">
        <f ca="1">IFERROR(__xludf.DUMMYFUNCTION("""COMPUTED_VALUE"""),4)</f>
        <v>4</v>
      </c>
      <c r="BE214" s="4">
        <f ca="1">IFERROR(__xludf.DUMMYFUNCTION("""COMPUTED_VALUE"""),4)</f>
        <v>4</v>
      </c>
      <c r="BF214" s="4">
        <f ca="1">IFERROR(__xludf.DUMMYFUNCTION("""COMPUTED_VALUE"""),4)</f>
        <v>4</v>
      </c>
      <c r="BG214" s="4">
        <f ca="1">IFERROR(__xludf.DUMMYFUNCTION("""COMPUTED_VALUE"""),4)</f>
        <v>4</v>
      </c>
      <c r="BH214" s="4">
        <f ca="1">IFERROR(__xludf.DUMMYFUNCTION("""COMPUTED_VALUE"""),4)</f>
        <v>4</v>
      </c>
      <c r="BI214" s="4">
        <f ca="1">IFERROR(__xludf.DUMMYFUNCTION("""COMPUTED_VALUE"""),4)</f>
        <v>4</v>
      </c>
      <c r="BJ214" s="4">
        <f ca="1">IFERROR(__xludf.DUMMYFUNCTION("""COMPUTED_VALUE"""),4)</f>
        <v>4</v>
      </c>
      <c r="BK214" s="4">
        <f ca="1">IFERROR(__xludf.DUMMYFUNCTION("""COMPUTED_VALUE"""),4)</f>
        <v>4</v>
      </c>
      <c r="BL214" s="4">
        <f ca="1">IFERROR(__xludf.DUMMYFUNCTION("""COMPUTED_VALUE"""),4)</f>
        <v>4</v>
      </c>
      <c r="BM214" s="4">
        <f ca="1">IFERROR(__xludf.DUMMYFUNCTION("""COMPUTED_VALUE"""),4)</f>
        <v>4</v>
      </c>
      <c r="BN214" s="4">
        <f ca="1">IFERROR(__xludf.DUMMYFUNCTION("""COMPUTED_VALUE"""),4)</f>
        <v>4</v>
      </c>
      <c r="BO214" s="4">
        <f ca="1">IFERROR(__xludf.DUMMYFUNCTION("""COMPUTED_VALUE"""),4)</f>
        <v>4</v>
      </c>
      <c r="BP214" s="4">
        <f ca="1">IFERROR(__xludf.DUMMYFUNCTION("""COMPUTED_VALUE"""),4)</f>
        <v>4</v>
      </c>
    </row>
    <row r="215" spans="1:68" ht="13.2" x14ac:dyDescent="0.25">
      <c r="A215" s="4" t="str">
        <f ca="1">IFERROR(__xludf.DUMMYFUNCTION("""COMPUTED_VALUE"""),"2_ABaOnudqhMlFsL7lIMWSnHL6E2S5zQ_58efo7bioiyb8mc-ZTZVn0j6zxx8uRVE4jg")</f>
        <v>2_ABaOnudqhMlFsL7lIMWSnHL6E2S5zQ_58efo7bioiyb8mc-ZTZVn0j6zxx8uRVE4jg</v>
      </c>
      <c r="B215" s="5">
        <f ca="1">IFERROR(__xludf.DUMMYFUNCTION("""COMPUTED_VALUE"""),45978.8389090393)</f>
        <v>45978.838909039303</v>
      </c>
      <c r="C215" s="4" t="str">
        <f ca="1">IFERROR(__xludf.DUMMYFUNCTION("""COMPUTED_VALUE"""),"Nguyễn Hoàng Thanh Thảo")</f>
        <v>Nguyễn Hoàng Thanh Thảo</v>
      </c>
      <c r="D215" s="4" t="str">
        <f ca="1">IFERROR(__xludf.DUMMYFUNCTION("""COMPUTED_VALUE"""),"Nữ")</f>
        <v>Nữ</v>
      </c>
      <c r="E215" s="4" t="str">
        <f ca="1">IFERROR(__xludf.DUMMYFUNCTION("""COMPUTED_VALUE"""),"CHI NHÁNH CÔNG TY TNHH KIỂM TOÁN VÀ TƯ VẤN CHUẨN VIỆT")</f>
        <v>CHI NHÁNH CÔNG TY TNHH KIỂM TOÁN VÀ TƯ VẤN CHUẨN VIỆT</v>
      </c>
      <c r="F215" s="4" t="str">
        <f ca="1">IFERROR(__xludf.DUMMYFUNCTION("""COMPUTED_VALUE"""),"Đại học")</f>
        <v>Đại học</v>
      </c>
      <c r="G215" s="4" t="str">
        <f ca="1">IFERROR(__xludf.DUMMYFUNCTION("""COMPUTED_VALUE"""),"Trên 5 đến 10 năm")</f>
        <v>Trên 5 đến 10 năm</v>
      </c>
      <c r="H215" s="4" t="str">
        <f ca="1">IFERROR(__xludf.DUMMYFUNCTION("""COMPUTED_VALUE"""),"Kiểm toán viên/Trưởng nhóm")</f>
        <v>Kiểm toán viên/Trưởng nhóm</v>
      </c>
      <c r="I215" s="4">
        <f ca="1">IFERROR(__xludf.DUMMYFUNCTION("""COMPUTED_VALUE"""),5)</f>
        <v>5</v>
      </c>
      <c r="J215" s="4">
        <f ca="1">IFERROR(__xludf.DUMMYFUNCTION("""COMPUTED_VALUE"""),5)</f>
        <v>5</v>
      </c>
      <c r="K215" s="4">
        <f ca="1">IFERROR(__xludf.DUMMYFUNCTION("""COMPUTED_VALUE"""),5)</f>
        <v>5</v>
      </c>
      <c r="L215" s="4">
        <f ca="1">IFERROR(__xludf.DUMMYFUNCTION("""COMPUTED_VALUE"""),5)</f>
        <v>5</v>
      </c>
      <c r="M215" s="4">
        <f ca="1">IFERROR(__xludf.DUMMYFUNCTION("""COMPUTED_VALUE"""),5)</f>
        <v>5</v>
      </c>
      <c r="N215" s="4">
        <f ca="1">IFERROR(__xludf.DUMMYFUNCTION("""COMPUTED_VALUE"""),5)</f>
        <v>5</v>
      </c>
      <c r="O215" s="4">
        <f ca="1">IFERROR(__xludf.DUMMYFUNCTION("""COMPUTED_VALUE"""),5)</f>
        <v>5</v>
      </c>
      <c r="P215" s="4">
        <f ca="1">IFERROR(__xludf.DUMMYFUNCTION("""COMPUTED_VALUE"""),5)</f>
        <v>5</v>
      </c>
      <c r="Q215" s="4">
        <f ca="1">IFERROR(__xludf.DUMMYFUNCTION("""COMPUTED_VALUE"""),5)</f>
        <v>5</v>
      </c>
      <c r="R215" s="4">
        <f ca="1">IFERROR(__xludf.DUMMYFUNCTION("""COMPUTED_VALUE"""),5)</f>
        <v>5</v>
      </c>
      <c r="S215" s="4">
        <f ca="1">IFERROR(__xludf.DUMMYFUNCTION("""COMPUTED_VALUE"""),5)</f>
        <v>5</v>
      </c>
      <c r="T215" s="4">
        <f ca="1">IFERROR(__xludf.DUMMYFUNCTION("""COMPUTED_VALUE"""),5)</f>
        <v>5</v>
      </c>
      <c r="U215" s="4">
        <f ca="1">IFERROR(__xludf.DUMMYFUNCTION("""COMPUTED_VALUE"""),5)</f>
        <v>5</v>
      </c>
      <c r="V215" s="4">
        <f ca="1">IFERROR(__xludf.DUMMYFUNCTION("""COMPUTED_VALUE"""),5)</f>
        <v>5</v>
      </c>
      <c r="W215" s="4">
        <f ca="1">IFERROR(__xludf.DUMMYFUNCTION("""COMPUTED_VALUE"""),5)</f>
        <v>5</v>
      </c>
      <c r="X215" s="4">
        <f ca="1">IFERROR(__xludf.DUMMYFUNCTION("""COMPUTED_VALUE"""),5)</f>
        <v>5</v>
      </c>
      <c r="Y215" s="4">
        <f ca="1">IFERROR(__xludf.DUMMYFUNCTION("""COMPUTED_VALUE"""),5)</f>
        <v>5</v>
      </c>
      <c r="Z215" s="4">
        <f ca="1">IFERROR(__xludf.DUMMYFUNCTION("""COMPUTED_VALUE"""),5)</f>
        <v>5</v>
      </c>
      <c r="AA215" s="4">
        <f ca="1">IFERROR(__xludf.DUMMYFUNCTION("""COMPUTED_VALUE"""),5)</f>
        <v>5</v>
      </c>
      <c r="AB215" s="4">
        <f ca="1">IFERROR(__xludf.DUMMYFUNCTION("""COMPUTED_VALUE"""),3)</f>
        <v>3</v>
      </c>
      <c r="AC215" s="4">
        <f ca="1">IFERROR(__xludf.DUMMYFUNCTION("""COMPUTED_VALUE"""),3)</f>
        <v>3</v>
      </c>
      <c r="AD215" s="4">
        <f ca="1">IFERROR(__xludf.DUMMYFUNCTION("""COMPUTED_VALUE"""),3)</f>
        <v>3</v>
      </c>
      <c r="AE215" s="4">
        <f ca="1">IFERROR(__xludf.DUMMYFUNCTION("""COMPUTED_VALUE"""),4)</f>
        <v>4</v>
      </c>
      <c r="AF215" s="4">
        <f ca="1">IFERROR(__xludf.DUMMYFUNCTION("""COMPUTED_VALUE"""),5)</f>
        <v>5</v>
      </c>
      <c r="AG215" s="4">
        <f ca="1">IFERROR(__xludf.DUMMYFUNCTION("""COMPUTED_VALUE"""),5)</f>
        <v>5</v>
      </c>
      <c r="AH215" s="4">
        <f ca="1">IFERROR(__xludf.DUMMYFUNCTION("""COMPUTED_VALUE"""),5)</f>
        <v>5</v>
      </c>
      <c r="AI215" s="4">
        <f ca="1">IFERROR(__xludf.DUMMYFUNCTION("""COMPUTED_VALUE"""),5)</f>
        <v>5</v>
      </c>
      <c r="AJ215" s="4">
        <f ca="1">IFERROR(__xludf.DUMMYFUNCTION("""COMPUTED_VALUE"""),5)</f>
        <v>5</v>
      </c>
      <c r="AK215" s="4">
        <f ca="1">IFERROR(__xludf.DUMMYFUNCTION("""COMPUTED_VALUE"""),5)</f>
        <v>5</v>
      </c>
      <c r="AL215" s="4">
        <f ca="1">IFERROR(__xludf.DUMMYFUNCTION("""COMPUTED_VALUE"""),5)</f>
        <v>5</v>
      </c>
      <c r="AM215" s="4">
        <f ca="1">IFERROR(__xludf.DUMMYFUNCTION("""COMPUTED_VALUE"""),5)</f>
        <v>5</v>
      </c>
      <c r="AN215" s="4">
        <f ca="1">IFERROR(__xludf.DUMMYFUNCTION("""COMPUTED_VALUE"""),5)</f>
        <v>5</v>
      </c>
      <c r="AO215" s="4">
        <f ca="1">IFERROR(__xludf.DUMMYFUNCTION("""COMPUTED_VALUE"""),5)</f>
        <v>5</v>
      </c>
      <c r="AP215" s="4">
        <f ca="1">IFERROR(__xludf.DUMMYFUNCTION("""COMPUTED_VALUE"""),5)</f>
        <v>5</v>
      </c>
      <c r="AQ215" s="4">
        <f ca="1">IFERROR(__xludf.DUMMYFUNCTION("""COMPUTED_VALUE"""),5)</f>
        <v>5</v>
      </c>
      <c r="AR215" s="4">
        <f ca="1">IFERROR(__xludf.DUMMYFUNCTION("""COMPUTED_VALUE"""),5)</f>
        <v>5</v>
      </c>
      <c r="AS215" s="4">
        <f ca="1">IFERROR(__xludf.DUMMYFUNCTION("""COMPUTED_VALUE"""),5)</f>
        <v>5</v>
      </c>
      <c r="AT215" s="4">
        <f ca="1">IFERROR(__xludf.DUMMYFUNCTION("""COMPUTED_VALUE"""),5)</f>
        <v>5</v>
      </c>
      <c r="AU215" s="4">
        <f ca="1">IFERROR(__xludf.DUMMYFUNCTION("""COMPUTED_VALUE"""),5)</f>
        <v>5</v>
      </c>
      <c r="AV215" s="4">
        <f ca="1">IFERROR(__xludf.DUMMYFUNCTION("""COMPUTED_VALUE"""),5)</f>
        <v>5</v>
      </c>
      <c r="AW215" s="4">
        <f ca="1">IFERROR(__xludf.DUMMYFUNCTION("""COMPUTED_VALUE"""),5)</f>
        <v>5</v>
      </c>
      <c r="AX215" s="4">
        <f ca="1">IFERROR(__xludf.DUMMYFUNCTION("""COMPUTED_VALUE"""),5)</f>
        <v>5</v>
      </c>
      <c r="AY215" s="4">
        <f ca="1">IFERROR(__xludf.DUMMYFUNCTION("""COMPUTED_VALUE"""),5)</f>
        <v>5</v>
      </c>
      <c r="AZ215" s="4">
        <f ca="1">IFERROR(__xludf.DUMMYFUNCTION("""COMPUTED_VALUE"""),5)</f>
        <v>5</v>
      </c>
      <c r="BA215" s="4">
        <f ca="1">IFERROR(__xludf.DUMMYFUNCTION("""COMPUTED_VALUE"""),5)</f>
        <v>5</v>
      </c>
      <c r="BB215" s="4">
        <f ca="1">IFERROR(__xludf.DUMMYFUNCTION("""COMPUTED_VALUE"""),4)</f>
        <v>4</v>
      </c>
      <c r="BC215" s="4">
        <f ca="1">IFERROR(__xludf.DUMMYFUNCTION("""COMPUTED_VALUE"""),4)</f>
        <v>4</v>
      </c>
      <c r="BD215" s="4">
        <f ca="1">IFERROR(__xludf.DUMMYFUNCTION("""COMPUTED_VALUE"""),4)</f>
        <v>4</v>
      </c>
      <c r="BE215" s="4">
        <f ca="1">IFERROR(__xludf.DUMMYFUNCTION("""COMPUTED_VALUE"""),4)</f>
        <v>4</v>
      </c>
      <c r="BF215" s="4">
        <f ca="1">IFERROR(__xludf.DUMMYFUNCTION("""COMPUTED_VALUE"""),4)</f>
        <v>4</v>
      </c>
      <c r="BG215" s="4">
        <f ca="1">IFERROR(__xludf.DUMMYFUNCTION("""COMPUTED_VALUE"""),4)</f>
        <v>4</v>
      </c>
      <c r="BH215" s="4">
        <f ca="1">IFERROR(__xludf.DUMMYFUNCTION("""COMPUTED_VALUE"""),4)</f>
        <v>4</v>
      </c>
      <c r="BI215" s="4">
        <f ca="1">IFERROR(__xludf.DUMMYFUNCTION("""COMPUTED_VALUE"""),4)</f>
        <v>4</v>
      </c>
      <c r="BJ215" s="4">
        <f ca="1">IFERROR(__xludf.DUMMYFUNCTION("""COMPUTED_VALUE"""),4)</f>
        <v>4</v>
      </c>
      <c r="BK215" s="4">
        <f ca="1">IFERROR(__xludf.DUMMYFUNCTION("""COMPUTED_VALUE"""),5)</f>
        <v>5</v>
      </c>
      <c r="BL215" s="4">
        <f ca="1">IFERROR(__xludf.DUMMYFUNCTION("""COMPUTED_VALUE"""),5)</f>
        <v>5</v>
      </c>
      <c r="BM215" s="4">
        <f ca="1">IFERROR(__xludf.DUMMYFUNCTION("""COMPUTED_VALUE"""),5)</f>
        <v>5</v>
      </c>
      <c r="BN215" s="4">
        <f ca="1">IFERROR(__xludf.DUMMYFUNCTION("""COMPUTED_VALUE"""),5)</f>
        <v>5</v>
      </c>
      <c r="BO215" s="4">
        <f ca="1">IFERROR(__xludf.DUMMYFUNCTION("""COMPUTED_VALUE"""),5)</f>
        <v>5</v>
      </c>
      <c r="BP215" s="4">
        <f ca="1">IFERROR(__xludf.DUMMYFUNCTION("""COMPUTED_VALUE"""),5)</f>
        <v>5</v>
      </c>
    </row>
    <row r="216" spans="1:68" ht="13.2" x14ac:dyDescent="0.25">
      <c r="A216" s="4" t="str">
        <f ca="1">IFERROR(__xludf.DUMMYFUNCTION("""COMPUTED_VALUE"""),"2_ABaOnuc7hEl-Cqdwgcr_d1DtNdjAHSEmK8jlBJoJefJ5TcbbXqyrR4uzcc1aj3l_ig")</f>
        <v>2_ABaOnuc7hEl-Cqdwgcr_d1DtNdjAHSEmK8jlBJoJefJ5TcbbXqyrR4uzcc1aj3l_ig</v>
      </c>
      <c r="B216" s="5">
        <f ca="1">IFERROR(__xludf.DUMMYFUNCTION("""COMPUTED_VALUE"""),45978.8568692592)</f>
        <v>45978.856869259202</v>
      </c>
      <c r="C216" s="4" t="str">
        <f ca="1">IFERROR(__xludf.DUMMYFUNCTION("""COMPUTED_VALUE"""),"Nguyễn Giàu Sang")</f>
        <v>Nguyễn Giàu Sang</v>
      </c>
      <c r="D216" s="4" t="str">
        <f ca="1">IFERROR(__xludf.DUMMYFUNCTION("""COMPUTED_VALUE"""),"Nam")</f>
        <v>Nam</v>
      </c>
      <c r="E216" s="4" t="str">
        <f ca="1">IFERROR(__xludf.DUMMYFUNCTION("""COMPUTED_VALUE"""),"CHI NHÁNH CÔNG TY TNHH KIỂM TOÁN VÀ TƯ VẤN CHUẨN VIỆT")</f>
        <v>CHI NHÁNH CÔNG TY TNHH KIỂM TOÁN VÀ TƯ VẤN CHUẨN VIỆT</v>
      </c>
      <c r="F216" s="4" t="str">
        <f ca="1">IFERROR(__xludf.DUMMYFUNCTION("""COMPUTED_VALUE"""),"Đại học")</f>
        <v>Đại học</v>
      </c>
      <c r="G216" s="4" t="str">
        <f ca="1">IFERROR(__xludf.DUMMYFUNCTION("""COMPUTED_VALUE"""),"Từ 3 đến 5 năm")</f>
        <v>Từ 3 đến 5 năm</v>
      </c>
      <c r="H216" s="4" t="str">
        <f ca="1">IFERROR(__xludf.DUMMYFUNCTION("""COMPUTED_VALUE"""),"Trợ lý kiểm toán")</f>
        <v>Trợ lý kiểm toán</v>
      </c>
      <c r="I216" s="4">
        <f ca="1">IFERROR(__xludf.DUMMYFUNCTION("""COMPUTED_VALUE"""),5)</f>
        <v>5</v>
      </c>
      <c r="J216" s="4">
        <f ca="1">IFERROR(__xludf.DUMMYFUNCTION("""COMPUTED_VALUE"""),5)</f>
        <v>5</v>
      </c>
      <c r="K216" s="4">
        <f ca="1">IFERROR(__xludf.DUMMYFUNCTION("""COMPUTED_VALUE"""),5)</f>
        <v>5</v>
      </c>
      <c r="L216" s="4">
        <f ca="1">IFERROR(__xludf.DUMMYFUNCTION("""COMPUTED_VALUE"""),5)</f>
        <v>5</v>
      </c>
      <c r="M216" s="4">
        <f ca="1">IFERROR(__xludf.DUMMYFUNCTION("""COMPUTED_VALUE"""),5)</f>
        <v>5</v>
      </c>
      <c r="N216" s="4">
        <f ca="1">IFERROR(__xludf.DUMMYFUNCTION("""COMPUTED_VALUE"""),5)</f>
        <v>5</v>
      </c>
      <c r="O216" s="4">
        <f ca="1">IFERROR(__xludf.DUMMYFUNCTION("""COMPUTED_VALUE"""),5)</f>
        <v>5</v>
      </c>
      <c r="P216" s="4">
        <f ca="1">IFERROR(__xludf.DUMMYFUNCTION("""COMPUTED_VALUE"""),5)</f>
        <v>5</v>
      </c>
      <c r="Q216" s="4">
        <f ca="1">IFERROR(__xludf.DUMMYFUNCTION("""COMPUTED_VALUE"""),5)</f>
        <v>5</v>
      </c>
      <c r="R216" s="4">
        <f ca="1">IFERROR(__xludf.DUMMYFUNCTION("""COMPUTED_VALUE"""),5)</f>
        <v>5</v>
      </c>
      <c r="S216" s="4">
        <f ca="1">IFERROR(__xludf.DUMMYFUNCTION("""COMPUTED_VALUE"""),5)</f>
        <v>5</v>
      </c>
      <c r="T216" s="4">
        <f ca="1">IFERROR(__xludf.DUMMYFUNCTION("""COMPUTED_VALUE"""),5)</f>
        <v>5</v>
      </c>
      <c r="U216" s="4">
        <f ca="1">IFERROR(__xludf.DUMMYFUNCTION("""COMPUTED_VALUE"""),5)</f>
        <v>5</v>
      </c>
      <c r="V216" s="4">
        <f ca="1">IFERROR(__xludf.DUMMYFUNCTION("""COMPUTED_VALUE"""),5)</f>
        <v>5</v>
      </c>
      <c r="W216" s="4">
        <f ca="1">IFERROR(__xludf.DUMMYFUNCTION("""COMPUTED_VALUE"""),5)</f>
        <v>5</v>
      </c>
      <c r="X216" s="4">
        <f ca="1">IFERROR(__xludf.DUMMYFUNCTION("""COMPUTED_VALUE"""),4)</f>
        <v>4</v>
      </c>
      <c r="Y216" s="4">
        <f ca="1">IFERROR(__xludf.DUMMYFUNCTION("""COMPUTED_VALUE"""),5)</f>
        <v>5</v>
      </c>
      <c r="Z216" s="4">
        <f ca="1">IFERROR(__xludf.DUMMYFUNCTION("""COMPUTED_VALUE"""),5)</f>
        <v>5</v>
      </c>
      <c r="AA216" s="4">
        <f ca="1">IFERROR(__xludf.DUMMYFUNCTION("""COMPUTED_VALUE"""),5)</f>
        <v>5</v>
      </c>
      <c r="AB216" s="4">
        <f ca="1">IFERROR(__xludf.DUMMYFUNCTION("""COMPUTED_VALUE"""),5)</f>
        <v>5</v>
      </c>
      <c r="AC216" s="4">
        <f ca="1">IFERROR(__xludf.DUMMYFUNCTION("""COMPUTED_VALUE"""),5)</f>
        <v>5</v>
      </c>
      <c r="AD216" s="4">
        <f ca="1">IFERROR(__xludf.DUMMYFUNCTION("""COMPUTED_VALUE"""),5)</f>
        <v>5</v>
      </c>
      <c r="AE216" s="4">
        <f ca="1">IFERROR(__xludf.DUMMYFUNCTION("""COMPUTED_VALUE"""),5)</f>
        <v>5</v>
      </c>
      <c r="AF216" s="4">
        <f ca="1">IFERROR(__xludf.DUMMYFUNCTION("""COMPUTED_VALUE"""),5)</f>
        <v>5</v>
      </c>
      <c r="AG216" s="4">
        <f ca="1">IFERROR(__xludf.DUMMYFUNCTION("""COMPUTED_VALUE"""),5)</f>
        <v>5</v>
      </c>
      <c r="AH216" s="4">
        <f ca="1">IFERROR(__xludf.DUMMYFUNCTION("""COMPUTED_VALUE"""),5)</f>
        <v>5</v>
      </c>
      <c r="AI216" s="4">
        <f ca="1">IFERROR(__xludf.DUMMYFUNCTION("""COMPUTED_VALUE"""),4)</f>
        <v>4</v>
      </c>
      <c r="AJ216" s="4">
        <f ca="1">IFERROR(__xludf.DUMMYFUNCTION("""COMPUTED_VALUE"""),4)</f>
        <v>4</v>
      </c>
      <c r="AK216" s="4">
        <f ca="1">IFERROR(__xludf.DUMMYFUNCTION("""COMPUTED_VALUE"""),4)</f>
        <v>4</v>
      </c>
      <c r="AL216" s="4">
        <f ca="1">IFERROR(__xludf.DUMMYFUNCTION("""COMPUTED_VALUE"""),4)</f>
        <v>4</v>
      </c>
      <c r="AM216" s="4">
        <f ca="1">IFERROR(__xludf.DUMMYFUNCTION("""COMPUTED_VALUE"""),4)</f>
        <v>4</v>
      </c>
      <c r="AN216" s="4">
        <f ca="1">IFERROR(__xludf.DUMMYFUNCTION("""COMPUTED_VALUE"""),4)</f>
        <v>4</v>
      </c>
      <c r="AO216" s="4">
        <f ca="1">IFERROR(__xludf.DUMMYFUNCTION("""COMPUTED_VALUE"""),4)</f>
        <v>4</v>
      </c>
      <c r="AP216" s="4">
        <f ca="1">IFERROR(__xludf.DUMMYFUNCTION("""COMPUTED_VALUE"""),4)</f>
        <v>4</v>
      </c>
      <c r="AQ216" s="4">
        <f ca="1">IFERROR(__xludf.DUMMYFUNCTION("""COMPUTED_VALUE"""),4)</f>
        <v>4</v>
      </c>
      <c r="AR216" s="4">
        <f ca="1">IFERROR(__xludf.DUMMYFUNCTION("""COMPUTED_VALUE"""),4)</f>
        <v>4</v>
      </c>
      <c r="AS216" s="4">
        <f ca="1">IFERROR(__xludf.DUMMYFUNCTION("""COMPUTED_VALUE"""),4)</f>
        <v>4</v>
      </c>
      <c r="AT216" s="4">
        <f ca="1">IFERROR(__xludf.DUMMYFUNCTION("""COMPUTED_VALUE"""),4)</f>
        <v>4</v>
      </c>
      <c r="AU216" s="4">
        <f ca="1">IFERROR(__xludf.DUMMYFUNCTION("""COMPUTED_VALUE"""),4)</f>
        <v>4</v>
      </c>
      <c r="AV216" s="4">
        <f ca="1">IFERROR(__xludf.DUMMYFUNCTION("""COMPUTED_VALUE"""),4)</f>
        <v>4</v>
      </c>
      <c r="AW216" s="4">
        <f ca="1">IFERROR(__xludf.DUMMYFUNCTION("""COMPUTED_VALUE"""),4)</f>
        <v>4</v>
      </c>
      <c r="AX216" s="4">
        <f ca="1">IFERROR(__xludf.DUMMYFUNCTION("""COMPUTED_VALUE"""),5)</f>
        <v>5</v>
      </c>
      <c r="AY216" s="4">
        <f ca="1">IFERROR(__xludf.DUMMYFUNCTION("""COMPUTED_VALUE"""),5)</f>
        <v>5</v>
      </c>
      <c r="AZ216" s="4">
        <f ca="1">IFERROR(__xludf.DUMMYFUNCTION("""COMPUTED_VALUE"""),5)</f>
        <v>5</v>
      </c>
      <c r="BA216" s="4">
        <f ca="1">IFERROR(__xludf.DUMMYFUNCTION("""COMPUTED_VALUE"""),5)</f>
        <v>5</v>
      </c>
      <c r="BB216" s="4">
        <f ca="1">IFERROR(__xludf.DUMMYFUNCTION("""COMPUTED_VALUE"""),5)</f>
        <v>5</v>
      </c>
      <c r="BC216" s="4">
        <f ca="1">IFERROR(__xludf.DUMMYFUNCTION("""COMPUTED_VALUE"""),5)</f>
        <v>5</v>
      </c>
      <c r="BD216" s="4">
        <f ca="1">IFERROR(__xludf.DUMMYFUNCTION("""COMPUTED_VALUE"""),4)</f>
        <v>4</v>
      </c>
      <c r="BE216" s="4">
        <f ca="1">IFERROR(__xludf.DUMMYFUNCTION("""COMPUTED_VALUE"""),4)</f>
        <v>4</v>
      </c>
      <c r="BF216" s="4">
        <f ca="1">IFERROR(__xludf.DUMMYFUNCTION("""COMPUTED_VALUE"""),5)</f>
        <v>5</v>
      </c>
      <c r="BG216" s="4">
        <f ca="1">IFERROR(__xludf.DUMMYFUNCTION("""COMPUTED_VALUE"""),5)</f>
        <v>5</v>
      </c>
      <c r="BH216" s="4">
        <f ca="1">IFERROR(__xludf.DUMMYFUNCTION("""COMPUTED_VALUE"""),5)</f>
        <v>5</v>
      </c>
      <c r="BI216" s="4">
        <f ca="1">IFERROR(__xludf.DUMMYFUNCTION("""COMPUTED_VALUE"""),5)</f>
        <v>5</v>
      </c>
      <c r="BJ216" s="4">
        <f ca="1">IFERROR(__xludf.DUMMYFUNCTION("""COMPUTED_VALUE"""),4)</f>
        <v>4</v>
      </c>
      <c r="BK216" s="4">
        <f ca="1">IFERROR(__xludf.DUMMYFUNCTION("""COMPUTED_VALUE"""),5)</f>
        <v>5</v>
      </c>
      <c r="BL216" s="4">
        <f ca="1">IFERROR(__xludf.DUMMYFUNCTION("""COMPUTED_VALUE"""),5)</f>
        <v>5</v>
      </c>
      <c r="BM216" s="4">
        <f ca="1">IFERROR(__xludf.DUMMYFUNCTION("""COMPUTED_VALUE"""),5)</f>
        <v>5</v>
      </c>
      <c r="BN216" s="4">
        <f ca="1">IFERROR(__xludf.DUMMYFUNCTION("""COMPUTED_VALUE"""),5)</f>
        <v>5</v>
      </c>
      <c r="BO216" s="4">
        <f ca="1">IFERROR(__xludf.DUMMYFUNCTION("""COMPUTED_VALUE"""),5)</f>
        <v>5</v>
      </c>
      <c r="BP216" s="4">
        <f ca="1">IFERROR(__xludf.DUMMYFUNCTION("""COMPUTED_VALUE"""),5)</f>
        <v>5</v>
      </c>
    </row>
    <row r="217" spans="1:68" ht="13.2" x14ac:dyDescent="0.25">
      <c r="A217" s="4" t="str">
        <f ca="1">IFERROR(__xludf.DUMMYFUNCTION("""COMPUTED_VALUE"""),"2_ABaOnudRaaa9IVdY3gt0h08KNkSanoKFWW5rdWdDkqBejJ6eyfj28UOTLQbqz_dfSQ")</f>
        <v>2_ABaOnudRaaa9IVdY3gt0h08KNkSanoKFWW5rdWdDkqBejJ6eyfj28UOTLQbqz_dfSQ</v>
      </c>
      <c r="B217" s="5">
        <f ca="1">IFERROR(__xludf.DUMMYFUNCTION("""COMPUTED_VALUE"""),45978.8955162152)</f>
        <v>45978.895516215198</v>
      </c>
      <c r="C217" s="4" t="str">
        <f ca="1">IFERROR(__xludf.DUMMYFUNCTION("""COMPUTED_VALUE"""),"Thân Trọng Hoàng")</f>
        <v>Thân Trọng Hoàng</v>
      </c>
      <c r="D217" s="4" t="str">
        <f ca="1">IFERROR(__xludf.DUMMYFUNCTION("""COMPUTED_VALUE"""),"Nam")</f>
        <v>Nam</v>
      </c>
      <c r="E217" s="4" t="str">
        <f ca="1">IFERROR(__xludf.DUMMYFUNCTION("""COMPUTED_VALUE"""),"Công ty TNHH Kiểm toán và Tư vấn Chuẩn Việt")</f>
        <v>Công ty TNHH Kiểm toán và Tư vấn Chuẩn Việt</v>
      </c>
      <c r="F217" s="4" t="str">
        <f ca="1">IFERROR(__xludf.DUMMYFUNCTION("""COMPUTED_VALUE"""),"Sau đại học")</f>
        <v>Sau đại học</v>
      </c>
      <c r="G217" s="4" t="str">
        <f ca="1">IFERROR(__xludf.DUMMYFUNCTION("""COMPUTED_VALUE"""),"Từ 3 đến 5 năm")</f>
        <v>Từ 3 đến 5 năm</v>
      </c>
      <c r="H217" s="4" t="str">
        <f ca="1">IFERROR(__xludf.DUMMYFUNCTION("""COMPUTED_VALUE"""),"Trợ lý kiểm toán")</f>
        <v>Trợ lý kiểm toán</v>
      </c>
      <c r="I217" s="4">
        <f ca="1">IFERROR(__xludf.DUMMYFUNCTION("""COMPUTED_VALUE"""),5)</f>
        <v>5</v>
      </c>
      <c r="J217" s="4">
        <f ca="1">IFERROR(__xludf.DUMMYFUNCTION("""COMPUTED_VALUE"""),5)</f>
        <v>5</v>
      </c>
      <c r="K217" s="4">
        <f ca="1">IFERROR(__xludf.DUMMYFUNCTION("""COMPUTED_VALUE"""),5)</f>
        <v>5</v>
      </c>
      <c r="L217" s="4">
        <f ca="1">IFERROR(__xludf.DUMMYFUNCTION("""COMPUTED_VALUE"""),5)</f>
        <v>5</v>
      </c>
      <c r="M217" s="4">
        <f ca="1">IFERROR(__xludf.DUMMYFUNCTION("""COMPUTED_VALUE"""),5)</f>
        <v>5</v>
      </c>
      <c r="N217" s="4">
        <f ca="1">IFERROR(__xludf.DUMMYFUNCTION("""COMPUTED_VALUE"""),5)</f>
        <v>5</v>
      </c>
      <c r="O217" s="4">
        <f ca="1">IFERROR(__xludf.DUMMYFUNCTION("""COMPUTED_VALUE"""),5)</f>
        <v>5</v>
      </c>
      <c r="P217" s="4">
        <f ca="1">IFERROR(__xludf.DUMMYFUNCTION("""COMPUTED_VALUE"""),5)</f>
        <v>5</v>
      </c>
      <c r="Q217" s="4">
        <f ca="1">IFERROR(__xludf.DUMMYFUNCTION("""COMPUTED_VALUE"""),5)</f>
        <v>5</v>
      </c>
      <c r="R217" s="4">
        <f ca="1">IFERROR(__xludf.DUMMYFUNCTION("""COMPUTED_VALUE"""),5)</f>
        <v>5</v>
      </c>
      <c r="S217" s="4">
        <f ca="1">IFERROR(__xludf.DUMMYFUNCTION("""COMPUTED_VALUE"""),5)</f>
        <v>5</v>
      </c>
      <c r="T217" s="4">
        <f ca="1">IFERROR(__xludf.DUMMYFUNCTION("""COMPUTED_VALUE"""),5)</f>
        <v>5</v>
      </c>
      <c r="U217" s="4">
        <f ca="1">IFERROR(__xludf.DUMMYFUNCTION("""COMPUTED_VALUE"""),5)</f>
        <v>5</v>
      </c>
      <c r="V217" s="4">
        <f ca="1">IFERROR(__xludf.DUMMYFUNCTION("""COMPUTED_VALUE"""),5)</f>
        <v>5</v>
      </c>
      <c r="W217" s="4">
        <f ca="1">IFERROR(__xludf.DUMMYFUNCTION("""COMPUTED_VALUE"""),5)</f>
        <v>5</v>
      </c>
      <c r="X217" s="4">
        <f ca="1">IFERROR(__xludf.DUMMYFUNCTION("""COMPUTED_VALUE"""),5)</f>
        <v>5</v>
      </c>
      <c r="Y217" s="4">
        <f ca="1">IFERROR(__xludf.DUMMYFUNCTION("""COMPUTED_VALUE"""),5)</f>
        <v>5</v>
      </c>
      <c r="Z217" s="4">
        <f ca="1">IFERROR(__xludf.DUMMYFUNCTION("""COMPUTED_VALUE"""),5)</f>
        <v>5</v>
      </c>
      <c r="AA217" s="4">
        <f ca="1">IFERROR(__xludf.DUMMYFUNCTION("""COMPUTED_VALUE"""),5)</f>
        <v>5</v>
      </c>
      <c r="AB217" s="4">
        <f ca="1">IFERROR(__xludf.DUMMYFUNCTION("""COMPUTED_VALUE"""),5)</f>
        <v>5</v>
      </c>
      <c r="AC217" s="4">
        <f ca="1">IFERROR(__xludf.DUMMYFUNCTION("""COMPUTED_VALUE"""),3)</f>
        <v>3</v>
      </c>
      <c r="AD217" s="4">
        <f ca="1">IFERROR(__xludf.DUMMYFUNCTION("""COMPUTED_VALUE"""),3)</f>
        <v>3</v>
      </c>
      <c r="AE217" s="4">
        <f ca="1">IFERROR(__xludf.DUMMYFUNCTION("""COMPUTED_VALUE"""),5)</f>
        <v>5</v>
      </c>
      <c r="AF217" s="4">
        <f ca="1">IFERROR(__xludf.DUMMYFUNCTION("""COMPUTED_VALUE"""),5)</f>
        <v>5</v>
      </c>
      <c r="AG217" s="4">
        <f ca="1">IFERROR(__xludf.DUMMYFUNCTION("""COMPUTED_VALUE"""),5)</f>
        <v>5</v>
      </c>
      <c r="AH217" s="4">
        <f ca="1">IFERROR(__xludf.DUMMYFUNCTION("""COMPUTED_VALUE"""),5)</f>
        <v>5</v>
      </c>
      <c r="AI217" s="4">
        <f ca="1">IFERROR(__xludf.DUMMYFUNCTION("""COMPUTED_VALUE"""),5)</f>
        <v>5</v>
      </c>
      <c r="AJ217" s="4">
        <f ca="1">IFERROR(__xludf.DUMMYFUNCTION("""COMPUTED_VALUE"""),5)</f>
        <v>5</v>
      </c>
      <c r="AK217" s="4">
        <f ca="1">IFERROR(__xludf.DUMMYFUNCTION("""COMPUTED_VALUE"""),5)</f>
        <v>5</v>
      </c>
      <c r="AL217" s="4">
        <f ca="1">IFERROR(__xludf.DUMMYFUNCTION("""COMPUTED_VALUE"""),5)</f>
        <v>5</v>
      </c>
      <c r="AM217" s="4">
        <f ca="1">IFERROR(__xludf.DUMMYFUNCTION("""COMPUTED_VALUE"""),5)</f>
        <v>5</v>
      </c>
      <c r="AN217" s="4">
        <f ca="1">IFERROR(__xludf.DUMMYFUNCTION("""COMPUTED_VALUE"""),5)</f>
        <v>5</v>
      </c>
      <c r="AO217" s="4">
        <f ca="1">IFERROR(__xludf.DUMMYFUNCTION("""COMPUTED_VALUE"""),5)</f>
        <v>5</v>
      </c>
      <c r="AP217" s="4">
        <f ca="1">IFERROR(__xludf.DUMMYFUNCTION("""COMPUTED_VALUE"""),3)</f>
        <v>3</v>
      </c>
      <c r="AQ217" s="4">
        <f ca="1">IFERROR(__xludf.DUMMYFUNCTION("""COMPUTED_VALUE"""),4)</f>
        <v>4</v>
      </c>
      <c r="AR217" s="4">
        <f ca="1">IFERROR(__xludf.DUMMYFUNCTION("""COMPUTED_VALUE"""),5)</f>
        <v>5</v>
      </c>
      <c r="AS217" s="4">
        <f ca="1">IFERROR(__xludf.DUMMYFUNCTION("""COMPUTED_VALUE"""),5)</f>
        <v>5</v>
      </c>
      <c r="AT217" s="4">
        <f ca="1">IFERROR(__xludf.DUMMYFUNCTION("""COMPUTED_VALUE"""),3)</f>
        <v>3</v>
      </c>
      <c r="AU217" s="4">
        <f ca="1">IFERROR(__xludf.DUMMYFUNCTION("""COMPUTED_VALUE"""),5)</f>
        <v>5</v>
      </c>
      <c r="AV217" s="4">
        <f ca="1">IFERROR(__xludf.DUMMYFUNCTION("""COMPUTED_VALUE"""),5)</f>
        <v>5</v>
      </c>
      <c r="AW217" s="4">
        <f ca="1">IFERROR(__xludf.DUMMYFUNCTION("""COMPUTED_VALUE"""),5)</f>
        <v>5</v>
      </c>
      <c r="AX217" s="4">
        <f ca="1">IFERROR(__xludf.DUMMYFUNCTION("""COMPUTED_VALUE"""),5)</f>
        <v>5</v>
      </c>
      <c r="AY217" s="4">
        <f ca="1">IFERROR(__xludf.DUMMYFUNCTION("""COMPUTED_VALUE"""),5)</f>
        <v>5</v>
      </c>
      <c r="AZ217" s="4">
        <f ca="1">IFERROR(__xludf.DUMMYFUNCTION("""COMPUTED_VALUE"""),5)</f>
        <v>5</v>
      </c>
      <c r="BA217" s="4">
        <f ca="1">IFERROR(__xludf.DUMMYFUNCTION("""COMPUTED_VALUE"""),5)</f>
        <v>5</v>
      </c>
      <c r="BB217" s="4">
        <f ca="1">IFERROR(__xludf.DUMMYFUNCTION("""COMPUTED_VALUE"""),4)</f>
        <v>4</v>
      </c>
      <c r="BC217" s="4">
        <f ca="1">IFERROR(__xludf.DUMMYFUNCTION("""COMPUTED_VALUE"""),4)</f>
        <v>4</v>
      </c>
      <c r="BD217" s="4">
        <f ca="1">IFERROR(__xludf.DUMMYFUNCTION("""COMPUTED_VALUE"""),3)</f>
        <v>3</v>
      </c>
      <c r="BE217" s="4">
        <f ca="1">IFERROR(__xludf.DUMMYFUNCTION("""COMPUTED_VALUE"""),3)</f>
        <v>3</v>
      </c>
      <c r="BF217" s="4">
        <f ca="1">IFERROR(__xludf.DUMMYFUNCTION("""COMPUTED_VALUE"""),4)</f>
        <v>4</v>
      </c>
      <c r="BG217" s="4">
        <f ca="1">IFERROR(__xludf.DUMMYFUNCTION("""COMPUTED_VALUE"""),3)</f>
        <v>3</v>
      </c>
      <c r="BH217" s="4">
        <f ca="1">IFERROR(__xludf.DUMMYFUNCTION("""COMPUTED_VALUE"""),5)</f>
        <v>5</v>
      </c>
      <c r="BI217" s="4">
        <f ca="1">IFERROR(__xludf.DUMMYFUNCTION("""COMPUTED_VALUE"""),5)</f>
        <v>5</v>
      </c>
      <c r="BJ217" s="4">
        <f ca="1">IFERROR(__xludf.DUMMYFUNCTION("""COMPUTED_VALUE"""),5)</f>
        <v>5</v>
      </c>
      <c r="BK217" s="4">
        <f ca="1">IFERROR(__xludf.DUMMYFUNCTION("""COMPUTED_VALUE"""),5)</f>
        <v>5</v>
      </c>
      <c r="BL217" s="4">
        <f ca="1">IFERROR(__xludf.DUMMYFUNCTION("""COMPUTED_VALUE"""),5)</f>
        <v>5</v>
      </c>
      <c r="BM217" s="4">
        <f ca="1">IFERROR(__xludf.DUMMYFUNCTION("""COMPUTED_VALUE"""),5)</f>
        <v>5</v>
      </c>
      <c r="BN217" s="4">
        <f ca="1">IFERROR(__xludf.DUMMYFUNCTION("""COMPUTED_VALUE"""),5)</f>
        <v>5</v>
      </c>
      <c r="BO217" s="4">
        <f ca="1">IFERROR(__xludf.DUMMYFUNCTION("""COMPUTED_VALUE"""),5)</f>
        <v>5</v>
      </c>
      <c r="BP217" s="4">
        <f ca="1">IFERROR(__xludf.DUMMYFUNCTION("""COMPUTED_VALUE"""),5)</f>
        <v>5</v>
      </c>
    </row>
    <row r="218" spans="1:68" ht="13.2" x14ac:dyDescent="0.25">
      <c r="A218" s="4" t="str">
        <f ca="1">IFERROR(__xludf.DUMMYFUNCTION("""COMPUTED_VALUE"""),"2_ABaOnucDvBwFvDVv_JwFYIPUHj35ynQPeknKIfwaIv9wOUzJhMC8zL-qryqpfSzXaA")</f>
        <v>2_ABaOnucDvBwFvDVv_JwFYIPUHj35ynQPeknKIfwaIv9wOUzJhMC8zL-qryqpfSzXaA</v>
      </c>
      <c r="B218" s="5">
        <f ca="1">IFERROR(__xludf.DUMMYFUNCTION("""COMPUTED_VALUE"""),45978.9124017361)</f>
        <v>45978.912401736103</v>
      </c>
      <c r="C218" s="4" t="str">
        <f ca="1">IFERROR(__xludf.DUMMYFUNCTION("""COMPUTED_VALUE"""),"Nguyễn Thanh Thảo Ly")</f>
        <v>Nguyễn Thanh Thảo Ly</v>
      </c>
      <c r="D218" s="4" t="str">
        <f ca="1">IFERROR(__xludf.DUMMYFUNCTION("""COMPUTED_VALUE"""),"Nữ")</f>
        <v>Nữ</v>
      </c>
      <c r="E218" s="4" t="str">
        <f ca="1">IFERROR(__xludf.DUMMYFUNCTION("""COMPUTED_VALUE"""),"Công ty TNHH Kiểm toán và Tư vấn Chuẩn Việt")</f>
        <v>Công ty TNHH Kiểm toán và Tư vấn Chuẩn Việt</v>
      </c>
      <c r="F218" s="4" t="str">
        <f ca="1">IFERROR(__xludf.DUMMYFUNCTION("""COMPUTED_VALUE"""),"Đại học")</f>
        <v>Đại học</v>
      </c>
      <c r="G218" s="4" t="str">
        <f ca="1">IFERROR(__xludf.DUMMYFUNCTION("""COMPUTED_VALUE"""),"Từ 3 đến 5 năm")</f>
        <v>Từ 3 đến 5 năm</v>
      </c>
      <c r="H218" s="4" t="str">
        <f ca="1">IFERROR(__xludf.DUMMYFUNCTION("""COMPUTED_VALUE"""),"Trợ lý kiểm toán")</f>
        <v>Trợ lý kiểm toán</v>
      </c>
      <c r="I218" s="4">
        <f ca="1">IFERROR(__xludf.DUMMYFUNCTION("""COMPUTED_VALUE"""),5)</f>
        <v>5</v>
      </c>
      <c r="J218" s="4">
        <f ca="1">IFERROR(__xludf.DUMMYFUNCTION("""COMPUTED_VALUE"""),5)</f>
        <v>5</v>
      </c>
      <c r="K218" s="4">
        <f ca="1">IFERROR(__xludf.DUMMYFUNCTION("""COMPUTED_VALUE"""),5)</f>
        <v>5</v>
      </c>
      <c r="L218" s="4">
        <f ca="1">IFERROR(__xludf.DUMMYFUNCTION("""COMPUTED_VALUE"""),5)</f>
        <v>5</v>
      </c>
      <c r="M218" s="4">
        <f ca="1">IFERROR(__xludf.DUMMYFUNCTION("""COMPUTED_VALUE"""),5)</f>
        <v>5</v>
      </c>
      <c r="N218" s="4">
        <f ca="1">IFERROR(__xludf.DUMMYFUNCTION("""COMPUTED_VALUE"""),5)</f>
        <v>5</v>
      </c>
      <c r="O218" s="4">
        <f ca="1">IFERROR(__xludf.DUMMYFUNCTION("""COMPUTED_VALUE"""),5)</f>
        <v>5</v>
      </c>
      <c r="P218" s="4">
        <f ca="1">IFERROR(__xludf.DUMMYFUNCTION("""COMPUTED_VALUE"""),5)</f>
        <v>5</v>
      </c>
      <c r="Q218" s="4">
        <f ca="1">IFERROR(__xludf.DUMMYFUNCTION("""COMPUTED_VALUE"""),5)</f>
        <v>5</v>
      </c>
      <c r="R218" s="4">
        <f ca="1">IFERROR(__xludf.DUMMYFUNCTION("""COMPUTED_VALUE"""),5)</f>
        <v>5</v>
      </c>
      <c r="S218" s="4">
        <f ca="1">IFERROR(__xludf.DUMMYFUNCTION("""COMPUTED_VALUE"""),5)</f>
        <v>5</v>
      </c>
      <c r="T218" s="4">
        <f ca="1">IFERROR(__xludf.DUMMYFUNCTION("""COMPUTED_VALUE"""),5)</f>
        <v>5</v>
      </c>
      <c r="U218" s="4">
        <f ca="1">IFERROR(__xludf.DUMMYFUNCTION("""COMPUTED_VALUE"""),5)</f>
        <v>5</v>
      </c>
      <c r="V218" s="4">
        <f ca="1">IFERROR(__xludf.DUMMYFUNCTION("""COMPUTED_VALUE"""),5)</f>
        <v>5</v>
      </c>
      <c r="W218" s="4">
        <f ca="1">IFERROR(__xludf.DUMMYFUNCTION("""COMPUTED_VALUE"""),5)</f>
        <v>5</v>
      </c>
      <c r="X218" s="4">
        <f ca="1">IFERROR(__xludf.DUMMYFUNCTION("""COMPUTED_VALUE"""),5)</f>
        <v>5</v>
      </c>
      <c r="Y218" s="4">
        <f ca="1">IFERROR(__xludf.DUMMYFUNCTION("""COMPUTED_VALUE"""),5)</f>
        <v>5</v>
      </c>
      <c r="Z218" s="4">
        <f ca="1">IFERROR(__xludf.DUMMYFUNCTION("""COMPUTED_VALUE"""),5)</f>
        <v>5</v>
      </c>
      <c r="AA218" s="4">
        <f ca="1">IFERROR(__xludf.DUMMYFUNCTION("""COMPUTED_VALUE"""),5)</f>
        <v>5</v>
      </c>
      <c r="AB218" s="4">
        <f ca="1">IFERROR(__xludf.DUMMYFUNCTION("""COMPUTED_VALUE"""),5)</f>
        <v>5</v>
      </c>
      <c r="AC218" s="4">
        <f ca="1">IFERROR(__xludf.DUMMYFUNCTION("""COMPUTED_VALUE"""),5)</f>
        <v>5</v>
      </c>
      <c r="AD218" s="4">
        <f ca="1">IFERROR(__xludf.DUMMYFUNCTION("""COMPUTED_VALUE"""),5)</f>
        <v>5</v>
      </c>
      <c r="AE218" s="4">
        <f ca="1">IFERROR(__xludf.DUMMYFUNCTION("""COMPUTED_VALUE"""),5)</f>
        <v>5</v>
      </c>
      <c r="AF218" s="4">
        <f ca="1">IFERROR(__xludf.DUMMYFUNCTION("""COMPUTED_VALUE"""),5)</f>
        <v>5</v>
      </c>
      <c r="AG218" s="4">
        <f ca="1">IFERROR(__xludf.DUMMYFUNCTION("""COMPUTED_VALUE"""),5)</f>
        <v>5</v>
      </c>
      <c r="AH218" s="4">
        <f ca="1">IFERROR(__xludf.DUMMYFUNCTION("""COMPUTED_VALUE"""),5)</f>
        <v>5</v>
      </c>
      <c r="AI218" s="4">
        <f ca="1">IFERROR(__xludf.DUMMYFUNCTION("""COMPUTED_VALUE"""),5)</f>
        <v>5</v>
      </c>
      <c r="AJ218" s="4">
        <f ca="1">IFERROR(__xludf.DUMMYFUNCTION("""COMPUTED_VALUE"""),5)</f>
        <v>5</v>
      </c>
      <c r="AK218" s="4">
        <f ca="1">IFERROR(__xludf.DUMMYFUNCTION("""COMPUTED_VALUE"""),5)</f>
        <v>5</v>
      </c>
      <c r="AL218" s="4">
        <f ca="1">IFERROR(__xludf.DUMMYFUNCTION("""COMPUTED_VALUE"""),5)</f>
        <v>5</v>
      </c>
      <c r="AM218" s="4">
        <f ca="1">IFERROR(__xludf.DUMMYFUNCTION("""COMPUTED_VALUE"""),5)</f>
        <v>5</v>
      </c>
      <c r="AN218" s="4">
        <f ca="1">IFERROR(__xludf.DUMMYFUNCTION("""COMPUTED_VALUE"""),5)</f>
        <v>5</v>
      </c>
      <c r="AO218" s="4">
        <f ca="1">IFERROR(__xludf.DUMMYFUNCTION("""COMPUTED_VALUE"""),5)</f>
        <v>5</v>
      </c>
      <c r="AP218" s="4">
        <f ca="1">IFERROR(__xludf.DUMMYFUNCTION("""COMPUTED_VALUE"""),5)</f>
        <v>5</v>
      </c>
      <c r="AQ218" s="4">
        <f ca="1">IFERROR(__xludf.DUMMYFUNCTION("""COMPUTED_VALUE"""),5)</f>
        <v>5</v>
      </c>
      <c r="AR218" s="4">
        <f ca="1">IFERROR(__xludf.DUMMYFUNCTION("""COMPUTED_VALUE"""),5)</f>
        <v>5</v>
      </c>
      <c r="AS218" s="4">
        <f ca="1">IFERROR(__xludf.DUMMYFUNCTION("""COMPUTED_VALUE"""),5)</f>
        <v>5</v>
      </c>
      <c r="AT218" s="4">
        <f ca="1">IFERROR(__xludf.DUMMYFUNCTION("""COMPUTED_VALUE"""),5)</f>
        <v>5</v>
      </c>
      <c r="AU218" s="4">
        <f ca="1">IFERROR(__xludf.DUMMYFUNCTION("""COMPUTED_VALUE"""),5)</f>
        <v>5</v>
      </c>
      <c r="AV218" s="4">
        <f ca="1">IFERROR(__xludf.DUMMYFUNCTION("""COMPUTED_VALUE"""),5)</f>
        <v>5</v>
      </c>
      <c r="AW218" s="4">
        <f ca="1">IFERROR(__xludf.DUMMYFUNCTION("""COMPUTED_VALUE"""),5)</f>
        <v>5</v>
      </c>
      <c r="AX218" s="4">
        <f ca="1">IFERROR(__xludf.DUMMYFUNCTION("""COMPUTED_VALUE"""),5)</f>
        <v>5</v>
      </c>
      <c r="AY218" s="4">
        <f ca="1">IFERROR(__xludf.DUMMYFUNCTION("""COMPUTED_VALUE"""),5)</f>
        <v>5</v>
      </c>
      <c r="AZ218" s="4">
        <f ca="1">IFERROR(__xludf.DUMMYFUNCTION("""COMPUTED_VALUE"""),5)</f>
        <v>5</v>
      </c>
      <c r="BA218" s="4">
        <f ca="1">IFERROR(__xludf.DUMMYFUNCTION("""COMPUTED_VALUE"""),5)</f>
        <v>5</v>
      </c>
      <c r="BB218" s="4">
        <f ca="1">IFERROR(__xludf.DUMMYFUNCTION("""COMPUTED_VALUE"""),5)</f>
        <v>5</v>
      </c>
      <c r="BC218" s="4">
        <f ca="1">IFERROR(__xludf.DUMMYFUNCTION("""COMPUTED_VALUE"""),5)</f>
        <v>5</v>
      </c>
      <c r="BD218" s="4">
        <f ca="1">IFERROR(__xludf.DUMMYFUNCTION("""COMPUTED_VALUE"""),5)</f>
        <v>5</v>
      </c>
      <c r="BE218" s="4">
        <f ca="1">IFERROR(__xludf.DUMMYFUNCTION("""COMPUTED_VALUE"""),5)</f>
        <v>5</v>
      </c>
      <c r="BF218" s="4">
        <f ca="1">IFERROR(__xludf.DUMMYFUNCTION("""COMPUTED_VALUE"""),5)</f>
        <v>5</v>
      </c>
      <c r="BG218" s="4">
        <f ca="1">IFERROR(__xludf.DUMMYFUNCTION("""COMPUTED_VALUE"""),5)</f>
        <v>5</v>
      </c>
      <c r="BH218" s="4">
        <f ca="1">IFERROR(__xludf.DUMMYFUNCTION("""COMPUTED_VALUE"""),5)</f>
        <v>5</v>
      </c>
      <c r="BI218" s="4">
        <f ca="1">IFERROR(__xludf.DUMMYFUNCTION("""COMPUTED_VALUE"""),5)</f>
        <v>5</v>
      </c>
      <c r="BJ218" s="4">
        <f ca="1">IFERROR(__xludf.DUMMYFUNCTION("""COMPUTED_VALUE"""),5)</f>
        <v>5</v>
      </c>
      <c r="BK218" s="4">
        <f ca="1">IFERROR(__xludf.DUMMYFUNCTION("""COMPUTED_VALUE"""),5)</f>
        <v>5</v>
      </c>
      <c r="BL218" s="4">
        <f ca="1">IFERROR(__xludf.DUMMYFUNCTION("""COMPUTED_VALUE"""),5)</f>
        <v>5</v>
      </c>
      <c r="BM218" s="4">
        <f ca="1">IFERROR(__xludf.DUMMYFUNCTION("""COMPUTED_VALUE"""),5)</f>
        <v>5</v>
      </c>
      <c r="BN218" s="4">
        <f ca="1">IFERROR(__xludf.DUMMYFUNCTION("""COMPUTED_VALUE"""),5)</f>
        <v>5</v>
      </c>
      <c r="BO218" s="4">
        <f ca="1">IFERROR(__xludf.DUMMYFUNCTION("""COMPUTED_VALUE"""),5)</f>
        <v>5</v>
      </c>
      <c r="BP218" s="4">
        <f ca="1">IFERROR(__xludf.DUMMYFUNCTION("""COMPUTED_VALUE"""),5)</f>
        <v>5</v>
      </c>
    </row>
    <row r="219" spans="1:68" ht="13.2" x14ac:dyDescent="0.25">
      <c r="A219" s="4" t="str">
        <f ca="1">IFERROR(__xludf.DUMMYFUNCTION("""COMPUTED_VALUE"""),"2_ABaOnudmGJ2t2hP6UPbQAQi2gSJTVtgV4nWGJw5-eeYg4nIIxiZIBm2-v7NItHYpQw")</f>
        <v>2_ABaOnudmGJ2t2hP6UPbQAQi2gSJTVtgV4nWGJw5-eeYg4nIIxiZIBm2-v7NItHYpQw</v>
      </c>
      <c r="B219" s="5">
        <f ca="1">IFERROR(__xludf.DUMMYFUNCTION("""COMPUTED_VALUE"""),45978.9251255324)</f>
        <v>45978.925125532398</v>
      </c>
      <c r="C219" s="4" t="str">
        <f ca="1">IFERROR(__xludf.DUMMYFUNCTION("""COMPUTED_VALUE"""),"Diệp Mẫn")</f>
        <v>Diệp Mẫn</v>
      </c>
      <c r="D219" s="4" t="str">
        <f ca="1">IFERROR(__xludf.DUMMYFUNCTION("""COMPUTED_VALUE"""),"Nữ")</f>
        <v>Nữ</v>
      </c>
      <c r="E219" s="4" t="str">
        <f ca="1">IFERROR(__xludf.DUMMYFUNCTION("""COMPUTED_VALUE"""),"Chi nhánh Công ty TNHH Kiểm toán và Tư vấn Chuẩn Việt")</f>
        <v>Chi nhánh Công ty TNHH Kiểm toán và Tư vấn Chuẩn Việt</v>
      </c>
      <c r="F219" s="4" t="str">
        <f ca="1">IFERROR(__xludf.DUMMYFUNCTION("""COMPUTED_VALUE"""),"Đại học, Chứng chỉ Kiểm toán viên")</f>
        <v>Đại học, Chứng chỉ Kiểm toán viên</v>
      </c>
      <c r="G219" s="4" t="str">
        <f ca="1">IFERROR(__xludf.DUMMYFUNCTION("""COMPUTED_VALUE"""),"Trên 5 đến 10 năm")</f>
        <v>Trên 5 đến 10 năm</v>
      </c>
      <c r="H219" s="4" t="str">
        <f ca="1">IFERROR(__xludf.DUMMYFUNCTION("""COMPUTED_VALUE"""),"Kiểm toán viên/Trưởng nhóm")</f>
        <v>Kiểm toán viên/Trưởng nhóm</v>
      </c>
      <c r="I219" s="4">
        <f ca="1">IFERROR(__xludf.DUMMYFUNCTION("""COMPUTED_VALUE"""),5)</f>
        <v>5</v>
      </c>
      <c r="J219" s="4">
        <f ca="1">IFERROR(__xludf.DUMMYFUNCTION("""COMPUTED_VALUE"""),4)</f>
        <v>4</v>
      </c>
      <c r="K219" s="4">
        <f ca="1">IFERROR(__xludf.DUMMYFUNCTION("""COMPUTED_VALUE"""),4)</f>
        <v>4</v>
      </c>
      <c r="L219" s="4">
        <f ca="1">IFERROR(__xludf.DUMMYFUNCTION("""COMPUTED_VALUE"""),4)</f>
        <v>4</v>
      </c>
      <c r="M219" s="4">
        <f ca="1">IFERROR(__xludf.DUMMYFUNCTION("""COMPUTED_VALUE"""),4)</f>
        <v>4</v>
      </c>
      <c r="N219" s="4">
        <f ca="1">IFERROR(__xludf.DUMMYFUNCTION("""COMPUTED_VALUE"""),4)</f>
        <v>4</v>
      </c>
      <c r="O219" s="4">
        <f ca="1">IFERROR(__xludf.DUMMYFUNCTION("""COMPUTED_VALUE"""),4)</f>
        <v>4</v>
      </c>
      <c r="P219" s="4">
        <f ca="1">IFERROR(__xludf.DUMMYFUNCTION("""COMPUTED_VALUE"""),5)</f>
        <v>5</v>
      </c>
      <c r="Q219" s="4">
        <f ca="1">IFERROR(__xludf.DUMMYFUNCTION("""COMPUTED_VALUE"""),5)</f>
        <v>5</v>
      </c>
      <c r="R219" s="4">
        <f ca="1">IFERROR(__xludf.DUMMYFUNCTION("""COMPUTED_VALUE"""),4)</f>
        <v>4</v>
      </c>
      <c r="S219" s="4">
        <f ca="1">IFERROR(__xludf.DUMMYFUNCTION("""COMPUTED_VALUE"""),5)</f>
        <v>5</v>
      </c>
      <c r="T219" s="4">
        <f ca="1">IFERROR(__xludf.DUMMYFUNCTION("""COMPUTED_VALUE"""),4)</f>
        <v>4</v>
      </c>
      <c r="U219" s="4">
        <f ca="1">IFERROR(__xludf.DUMMYFUNCTION("""COMPUTED_VALUE"""),5)</f>
        <v>5</v>
      </c>
      <c r="V219" s="4">
        <f ca="1">IFERROR(__xludf.DUMMYFUNCTION("""COMPUTED_VALUE"""),5)</f>
        <v>5</v>
      </c>
      <c r="W219" s="4">
        <f ca="1">IFERROR(__xludf.DUMMYFUNCTION("""COMPUTED_VALUE"""),4)</f>
        <v>4</v>
      </c>
      <c r="X219" s="4">
        <f ca="1">IFERROR(__xludf.DUMMYFUNCTION("""COMPUTED_VALUE"""),3)</f>
        <v>3</v>
      </c>
      <c r="Y219" s="4">
        <f ca="1">IFERROR(__xludf.DUMMYFUNCTION("""COMPUTED_VALUE"""),4)</f>
        <v>4</v>
      </c>
      <c r="Z219" s="4">
        <f ca="1">IFERROR(__xludf.DUMMYFUNCTION("""COMPUTED_VALUE"""),4)</f>
        <v>4</v>
      </c>
      <c r="AA219" s="4">
        <f ca="1">IFERROR(__xludf.DUMMYFUNCTION("""COMPUTED_VALUE"""),4)</f>
        <v>4</v>
      </c>
      <c r="AB219" s="4">
        <f ca="1">IFERROR(__xludf.DUMMYFUNCTION("""COMPUTED_VALUE"""),3)</f>
        <v>3</v>
      </c>
      <c r="AC219" s="4">
        <f ca="1">IFERROR(__xludf.DUMMYFUNCTION("""COMPUTED_VALUE"""),2)</f>
        <v>2</v>
      </c>
      <c r="AD219" s="4">
        <f ca="1">IFERROR(__xludf.DUMMYFUNCTION("""COMPUTED_VALUE"""),3)</f>
        <v>3</v>
      </c>
      <c r="AE219" s="4">
        <f ca="1">IFERROR(__xludf.DUMMYFUNCTION("""COMPUTED_VALUE"""),4)</f>
        <v>4</v>
      </c>
      <c r="AF219" s="4">
        <f ca="1">IFERROR(__xludf.DUMMYFUNCTION("""COMPUTED_VALUE"""),4)</f>
        <v>4</v>
      </c>
      <c r="AG219" s="4">
        <f ca="1">IFERROR(__xludf.DUMMYFUNCTION("""COMPUTED_VALUE"""),4)</f>
        <v>4</v>
      </c>
      <c r="AH219" s="4">
        <f ca="1">IFERROR(__xludf.DUMMYFUNCTION("""COMPUTED_VALUE"""),4)</f>
        <v>4</v>
      </c>
      <c r="AI219" s="4">
        <f ca="1">IFERROR(__xludf.DUMMYFUNCTION("""COMPUTED_VALUE"""),4)</f>
        <v>4</v>
      </c>
      <c r="AJ219" s="4">
        <f ca="1">IFERROR(__xludf.DUMMYFUNCTION("""COMPUTED_VALUE"""),4)</f>
        <v>4</v>
      </c>
      <c r="AK219" s="4">
        <f ca="1">IFERROR(__xludf.DUMMYFUNCTION("""COMPUTED_VALUE"""),4)</f>
        <v>4</v>
      </c>
      <c r="AL219" s="4">
        <f ca="1">IFERROR(__xludf.DUMMYFUNCTION("""COMPUTED_VALUE"""),4)</f>
        <v>4</v>
      </c>
      <c r="AM219" s="4">
        <f ca="1">IFERROR(__xludf.DUMMYFUNCTION("""COMPUTED_VALUE"""),4)</f>
        <v>4</v>
      </c>
      <c r="AN219" s="4">
        <f ca="1">IFERROR(__xludf.DUMMYFUNCTION("""COMPUTED_VALUE"""),4)</f>
        <v>4</v>
      </c>
      <c r="AO219" s="4">
        <f ca="1">IFERROR(__xludf.DUMMYFUNCTION("""COMPUTED_VALUE"""),4)</f>
        <v>4</v>
      </c>
      <c r="AP219" s="4">
        <f ca="1">IFERROR(__xludf.DUMMYFUNCTION("""COMPUTED_VALUE"""),4)</f>
        <v>4</v>
      </c>
      <c r="AQ219" s="4">
        <f ca="1">IFERROR(__xludf.DUMMYFUNCTION("""COMPUTED_VALUE"""),4)</f>
        <v>4</v>
      </c>
      <c r="AR219" s="4">
        <f ca="1">IFERROR(__xludf.DUMMYFUNCTION("""COMPUTED_VALUE"""),4)</f>
        <v>4</v>
      </c>
      <c r="AS219" s="4">
        <f ca="1">IFERROR(__xludf.DUMMYFUNCTION("""COMPUTED_VALUE"""),4)</f>
        <v>4</v>
      </c>
      <c r="AT219" s="4">
        <f ca="1">IFERROR(__xludf.DUMMYFUNCTION("""COMPUTED_VALUE"""),3)</f>
        <v>3</v>
      </c>
      <c r="AU219" s="4">
        <f ca="1">IFERROR(__xludf.DUMMYFUNCTION("""COMPUTED_VALUE"""),4)</f>
        <v>4</v>
      </c>
      <c r="AV219" s="4">
        <f ca="1">IFERROR(__xludf.DUMMYFUNCTION("""COMPUTED_VALUE"""),4)</f>
        <v>4</v>
      </c>
      <c r="AW219" s="4">
        <f ca="1">IFERROR(__xludf.DUMMYFUNCTION("""COMPUTED_VALUE"""),4)</f>
        <v>4</v>
      </c>
      <c r="AX219" s="4">
        <f ca="1">IFERROR(__xludf.DUMMYFUNCTION("""COMPUTED_VALUE"""),4)</f>
        <v>4</v>
      </c>
      <c r="AY219" s="4">
        <f ca="1">IFERROR(__xludf.DUMMYFUNCTION("""COMPUTED_VALUE"""),4)</f>
        <v>4</v>
      </c>
      <c r="AZ219" s="4">
        <f ca="1">IFERROR(__xludf.DUMMYFUNCTION("""COMPUTED_VALUE"""),4)</f>
        <v>4</v>
      </c>
      <c r="BA219" s="4">
        <f ca="1">IFERROR(__xludf.DUMMYFUNCTION("""COMPUTED_VALUE"""),4)</f>
        <v>4</v>
      </c>
      <c r="BB219" s="4">
        <f ca="1">IFERROR(__xludf.DUMMYFUNCTION("""COMPUTED_VALUE"""),3)</f>
        <v>3</v>
      </c>
      <c r="BC219" s="4">
        <f ca="1">IFERROR(__xludf.DUMMYFUNCTION("""COMPUTED_VALUE"""),2)</f>
        <v>2</v>
      </c>
      <c r="BD219" s="4">
        <f ca="1">IFERROR(__xludf.DUMMYFUNCTION("""COMPUTED_VALUE"""),3)</f>
        <v>3</v>
      </c>
      <c r="BE219" s="4">
        <f ca="1">IFERROR(__xludf.DUMMYFUNCTION("""COMPUTED_VALUE"""),2)</f>
        <v>2</v>
      </c>
      <c r="BF219" s="4">
        <f ca="1">IFERROR(__xludf.DUMMYFUNCTION("""COMPUTED_VALUE"""),2)</f>
        <v>2</v>
      </c>
      <c r="BG219" s="4">
        <f ca="1">IFERROR(__xludf.DUMMYFUNCTION("""COMPUTED_VALUE"""),2)</f>
        <v>2</v>
      </c>
      <c r="BH219" s="4">
        <f ca="1">IFERROR(__xludf.DUMMYFUNCTION("""COMPUTED_VALUE"""),4)</f>
        <v>4</v>
      </c>
      <c r="BI219" s="4">
        <f ca="1">IFERROR(__xludf.DUMMYFUNCTION("""COMPUTED_VALUE"""),4)</f>
        <v>4</v>
      </c>
      <c r="BJ219" s="4">
        <f ca="1">IFERROR(__xludf.DUMMYFUNCTION("""COMPUTED_VALUE"""),4)</f>
        <v>4</v>
      </c>
      <c r="BK219" s="4">
        <f ca="1">IFERROR(__xludf.DUMMYFUNCTION("""COMPUTED_VALUE"""),4)</f>
        <v>4</v>
      </c>
      <c r="BL219" s="4">
        <f ca="1">IFERROR(__xludf.DUMMYFUNCTION("""COMPUTED_VALUE"""),3)</f>
        <v>3</v>
      </c>
      <c r="BM219" s="4">
        <f ca="1">IFERROR(__xludf.DUMMYFUNCTION("""COMPUTED_VALUE"""),4)</f>
        <v>4</v>
      </c>
      <c r="BN219" s="4">
        <f ca="1">IFERROR(__xludf.DUMMYFUNCTION("""COMPUTED_VALUE"""),4)</f>
        <v>4</v>
      </c>
      <c r="BO219" s="4">
        <f ca="1">IFERROR(__xludf.DUMMYFUNCTION("""COMPUTED_VALUE"""),4)</f>
        <v>4</v>
      </c>
      <c r="BP219" s="4">
        <f ca="1">IFERROR(__xludf.DUMMYFUNCTION("""COMPUTED_VALUE"""),4)</f>
        <v>4</v>
      </c>
    </row>
    <row r="220" spans="1:68" ht="13.2" x14ac:dyDescent="0.25">
      <c r="A220" s="4" t="str">
        <f ca="1">IFERROR(__xludf.DUMMYFUNCTION("""COMPUTED_VALUE"""),"2_ABaOnufLFttHUvAA8TpUlBsy8MB6o2cA-8LEuWQ6f-VoAvrfo4rNYJvNGIz0RCF70Q")</f>
        <v>2_ABaOnufLFttHUvAA8TpUlBsy8MB6o2cA-8LEuWQ6f-VoAvrfo4rNYJvNGIz0RCF70Q</v>
      </c>
      <c r="B220" s="5">
        <f ca="1">IFERROR(__xludf.DUMMYFUNCTION("""COMPUTED_VALUE"""),45979.423911655)</f>
        <v>45979.423911655002</v>
      </c>
      <c r="C220" s="4" t="str">
        <f ca="1">IFERROR(__xludf.DUMMYFUNCTION("""COMPUTED_VALUE"""),"Nguyễn Đức Đình Huấn")</f>
        <v>Nguyễn Đức Đình Huấn</v>
      </c>
      <c r="D220" s="4" t="str">
        <f ca="1">IFERROR(__xludf.DUMMYFUNCTION("""COMPUTED_VALUE"""),"Nam")</f>
        <v>Nam</v>
      </c>
      <c r="E220" s="4" t="str">
        <f ca="1">IFERROR(__xludf.DUMMYFUNCTION("""COMPUTED_VALUE"""),"Công ty TNHH Kiểm toán Thái Dương")</f>
        <v>Công ty TNHH Kiểm toán Thái Dương</v>
      </c>
      <c r="F220" s="4" t="str">
        <f ca="1">IFERROR(__xludf.DUMMYFUNCTION("""COMPUTED_VALUE"""),"Sau đại học")</f>
        <v>Sau đại học</v>
      </c>
      <c r="G220" s="4" t="str">
        <f ca="1">IFERROR(__xludf.DUMMYFUNCTION("""COMPUTED_VALUE"""),"Trên 10 đến 15 năm")</f>
        <v>Trên 10 đến 15 năm</v>
      </c>
      <c r="H220" s="4" t="str">
        <f ca="1">IFERROR(__xludf.DUMMYFUNCTION("""COMPUTED_VALUE"""),"Kiểm toán viên/Trưởng nhóm")</f>
        <v>Kiểm toán viên/Trưởng nhóm</v>
      </c>
      <c r="I220" s="4">
        <f ca="1">IFERROR(__xludf.DUMMYFUNCTION("""COMPUTED_VALUE"""),5)</f>
        <v>5</v>
      </c>
      <c r="J220" s="4">
        <f ca="1">IFERROR(__xludf.DUMMYFUNCTION("""COMPUTED_VALUE"""),5)</f>
        <v>5</v>
      </c>
      <c r="K220" s="4">
        <f ca="1">IFERROR(__xludf.DUMMYFUNCTION("""COMPUTED_VALUE"""),4)</f>
        <v>4</v>
      </c>
      <c r="L220" s="4">
        <f ca="1">IFERROR(__xludf.DUMMYFUNCTION("""COMPUTED_VALUE"""),5)</f>
        <v>5</v>
      </c>
      <c r="M220" s="4">
        <f ca="1">IFERROR(__xludf.DUMMYFUNCTION("""COMPUTED_VALUE"""),4)</f>
        <v>4</v>
      </c>
      <c r="N220" s="4">
        <f ca="1">IFERROR(__xludf.DUMMYFUNCTION("""COMPUTED_VALUE"""),4)</f>
        <v>4</v>
      </c>
      <c r="O220" s="4">
        <f ca="1">IFERROR(__xludf.DUMMYFUNCTION("""COMPUTED_VALUE"""),4)</f>
        <v>4</v>
      </c>
      <c r="P220" s="4">
        <f ca="1">IFERROR(__xludf.DUMMYFUNCTION("""COMPUTED_VALUE"""),4)</f>
        <v>4</v>
      </c>
      <c r="Q220" s="4">
        <f ca="1">IFERROR(__xludf.DUMMYFUNCTION("""COMPUTED_VALUE"""),5)</f>
        <v>5</v>
      </c>
      <c r="R220" s="4">
        <f ca="1">IFERROR(__xludf.DUMMYFUNCTION("""COMPUTED_VALUE"""),5)</f>
        <v>5</v>
      </c>
      <c r="S220" s="4">
        <f ca="1">IFERROR(__xludf.DUMMYFUNCTION("""COMPUTED_VALUE"""),5)</f>
        <v>5</v>
      </c>
      <c r="T220" s="4">
        <f ca="1">IFERROR(__xludf.DUMMYFUNCTION("""COMPUTED_VALUE"""),5)</f>
        <v>5</v>
      </c>
      <c r="U220" s="4">
        <f ca="1">IFERROR(__xludf.DUMMYFUNCTION("""COMPUTED_VALUE"""),5)</f>
        <v>5</v>
      </c>
      <c r="V220" s="4">
        <f ca="1">IFERROR(__xludf.DUMMYFUNCTION("""COMPUTED_VALUE"""),5)</f>
        <v>5</v>
      </c>
      <c r="W220" s="4">
        <f ca="1">IFERROR(__xludf.DUMMYFUNCTION("""COMPUTED_VALUE"""),4)</f>
        <v>4</v>
      </c>
      <c r="X220" s="4">
        <f ca="1">IFERROR(__xludf.DUMMYFUNCTION("""COMPUTED_VALUE"""),4)</f>
        <v>4</v>
      </c>
      <c r="Y220" s="4">
        <f ca="1">IFERROR(__xludf.DUMMYFUNCTION("""COMPUTED_VALUE"""),4)</f>
        <v>4</v>
      </c>
      <c r="Z220" s="4">
        <f ca="1">IFERROR(__xludf.DUMMYFUNCTION("""COMPUTED_VALUE"""),4)</f>
        <v>4</v>
      </c>
      <c r="AA220" s="4">
        <f ca="1">IFERROR(__xludf.DUMMYFUNCTION("""COMPUTED_VALUE"""),3)</f>
        <v>3</v>
      </c>
      <c r="AB220" s="4">
        <f ca="1">IFERROR(__xludf.DUMMYFUNCTION("""COMPUTED_VALUE"""),4)</f>
        <v>4</v>
      </c>
      <c r="AC220" s="4">
        <f ca="1">IFERROR(__xludf.DUMMYFUNCTION("""COMPUTED_VALUE"""),2)</f>
        <v>2</v>
      </c>
      <c r="AD220" s="4">
        <f ca="1">IFERROR(__xludf.DUMMYFUNCTION("""COMPUTED_VALUE"""),2)</f>
        <v>2</v>
      </c>
      <c r="AE220" s="4">
        <f ca="1">IFERROR(__xludf.DUMMYFUNCTION("""COMPUTED_VALUE"""),4)</f>
        <v>4</v>
      </c>
      <c r="AF220" s="4">
        <f ca="1">IFERROR(__xludf.DUMMYFUNCTION("""COMPUTED_VALUE"""),5)</f>
        <v>5</v>
      </c>
      <c r="AG220" s="4">
        <f ca="1">IFERROR(__xludf.DUMMYFUNCTION("""COMPUTED_VALUE"""),5)</f>
        <v>5</v>
      </c>
      <c r="AH220" s="4">
        <f ca="1">IFERROR(__xludf.DUMMYFUNCTION("""COMPUTED_VALUE"""),5)</f>
        <v>5</v>
      </c>
      <c r="AI220" s="4">
        <f ca="1">IFERROR(__xludf.DUMMYFUNCTION("""COMPUTED_VALUE"""),5)</f>
        <v>5</v>
      </c>
      <c r="AJ220" s="4">
        <f ca="1">IFERROR(__xludf.DUMMYFUNCTION("""COMPUTED_VALUE"""),4)</f>
        <v>4</v>
      </c>
      <c r="AK220" s="4">
        <f ca="1">IFERROR(__xludf.DUMMYFUNCTION("""COMPUTED_VALUE"""),4)</f>
        <v>4</v>
      </c>
      <c r="AL220" s="4">
        <f ca="1">IFERROR(__xludf.DUMMYFUNCTION("""COMPUTED_VALUE"""),4)</f>
        <v>4</v>
      </c>
      <c r="AM220" s="4">
        <f ca="1">IFERROR(__xludf.DUMMYFUNCTION("""COMPUTED_VALUE"""),4)</f>
        <v>4</v>
      </c>
      <c r="AN220" s="4">
        <f ca="1">IFERROR(__xludf.DUMMYFUNCTION("""COMPUTED_VALUE"""),4)</f>
        <v>4</v>
      </c>
      <c r="AO220" s="4">
        <f ca="1">IFERROR(__xludf.DUMMYFUNCTION("""COMPUTED_VALUE"""),3)</f>
        <v>3</v>
      </c>
      <c r="AP220" s="4">
        <f ca="1">IFERROR(__xludf.DUMMYFUNCTION("""COMPUTED_VALUE"""),4)</f>
        <v>4</v>
      </c>
      <c r="AQ220" s="4">
        <f ca="1">IFERROR(__xludf.DUMMYFUNCTION("""COMPUTED_VALUE"""),3)</f>
        <v>3</v>
      </c>
      <c r="AR220" s="4">
        <f ca="1">IFERROR(__xludf.DUMMYFUNCTION("""COMPUTED_VALUE"""),4)</f>
        <v>4</v>
      </c>
      <c r="AS220" s="4">
        <f ca="1">IFERROR(__xludf.DUMMYFUNCTION("""COMPUTED_VALUE"""),4)</f>
        <v>4</v>
      </c>
      <c r="AT220" s="4">
        <f ca="1">IFERROR(__xludf.DUMMYFUNCTION("""COMPUTED_VALUE"""),2)</f>
        <v>2</v>
      </c>
      <c r="AU220" s="4">
        <f ca="1">IFERROR(__xludf.DUMMYFUNCTION("""COMPUTED_VALUE"""),4)</f>
        <v>4</v>
      </c>
      <c r="AV220" s="4">
        <f ca="1">IFERROR(__xludf.DUMMYFUNCTION("""COMPUTED_VALUE"""),3)</f>
        <v>3</v>
      </c>
      <c r="AW220" s="4">
        <f ca="1">IFERROR(__xludf.DUMMYFUNCTION("""COMPUTED_VALUE"""),5)</f>
        <v>5</v>
      </c>
      <c r="AX220" s="4">
        <f ca="1">IFERROR(__xludf.DUMMYFUNCTION("""COMPUTED_VALUE"""),5)</f>
        <v>5</v>
      </c>
      <c r="AY220" s="4">
        <f ca="1">IFERROR(__xludf.DUMMYFUNCTION("""COMPUTED_VALUE"""),5)</f>
        <v>5</v>
      </c>
      <c r="AZ220" s="4">
        <f ca="1">IFERROR(__xludf.DUMMYFUNCTION("""COMPUTED_VALUE"""),5)</f>
        <v>5</v>
      </c>
      <c r="BA220" s="4">
        <f ca="1">IFERROR(__xludf.DUMMYFUNCTION("""COMPUTED_VALUE"""),5)</f>
        <v>5</v>
      </c>
      <c r="BB220" s="4">
        <f ca="1">IFERROR(__xludf.DUMMYFUNCTION("""COMPUTED_VALUE"""),4)</f>
        <v>4</v>
      </c>
      <c r="BC220" s="4">
        <f ca="1">IFERROR(__xludf.DUMMYFUNCTION("""COMPUTED_VALUE"""),4)</f>
        <v>4</v>
      </c>
      <c r="BD220" s="4">
        <f ca="1">IFERROR(__xludf.DUMMYFUNCTION("""COMPUTED_VALUE"""),4)</f>
        <v>4</v>
      </c>
      <c r="BE220" s="4">
        <f ca="1">IFERROR(__xludf.DUMMYFUNCTION("""COMPUTED_VALUE"""),3)</f>
        <v>3</v>
      </c>
      <c r="BF220" s="4">
        <f ca="1">IFERROR(__xludf.DUMMYFUNCTION("""COMPUTED_VALUE"""),3)</f>
        <v>3</v>
      </c>
      <c r="BG220" s="4">
        <f ca="1">IFERROR(__xludf.DUMMYFUNCTION("""COMPUTED_VALUE"""),3)</f>
        <v>3</v>
      </c>
      <c r="BH220" s="4">
        <f ca="1">IFERROR(__xludf.DUMMYFUNCTION("""COMPUTED_VALUE"""),5)</f>
        <v>5</v>
      </c>
      <c r="BI220" s="4">
        <f ca="1">IFERROR(__xludf.DUMMYFUNCTION("""COMPUTED_VALUE"""),5)</f>
        <v>5</v>
      </c>
      <c r="BJ220" s="4">
        <f ca="1">IFERROR(__xludf.DUMMYFUNCTION("""COMPUTED_VALUE"""),5)</f>
        <v>5</v>
      </c>
      <c r="BK220" s="4">
        <f ca="1">IFERROR(__xludf.DUMMYFUNCTION("""COMPUTED_VALUE"""),5)</f>
        <v>5</v>
      </c>
      <c r="BL220" s="4">
        <f ca="1">IFERROR(__xludf.DUMMYFUNCTION("""COMPUTED_VALUE"""),5)</f>
        <v>5</v>
      </c>
      <c r="BM220" s="4">
        <f ca="1">IFERROR(__xludf.DUMMYFUNCTION("""COMPUTED_VALUE"""),5)</f>
        <v>5</v>
      </c>
      <c r="BN220" s="4">
        <f ca="1">IFERROR(__xludf.DUMMYFUNCTION("""COMPUTED_VALUE"""),5)</f>
        <v>5</v>
      </c>
      <c r="BO220" s="4">
        <f ca="1">IFERROR(__xludf.DUMMYFUNCTION("""COMPUTED_VALUE"""),5)</f>
        <v>5</v>
      </c>
      <c r="BP220" s="4">
        <f ca="1">IFERROR(__xludf.DUMMYFUNCTION("""COMPUTED_VALUE"""),4)</f>
        <v>4</v>
      </c>
    </row>
    <row r="221" spans="1:68" ht="13.2" x14ac:dyDescent="0.25">
      <c r="A221" s="4" t="str">
        <f ca="1">IFERROR(__xludf.DUMMYFUNCTION("""COMPUTED_VALUE"""),"2_ABaOnueLS5FNdJ4cqgIOW_p7oatCLFBlcuPlqEvSv4hyWpxWj52FLwgjroRuetAQzg")</f>
        <v>2_ABaOnueLS5FNdJ4cqgIOW_p7oatCLFBlcuPlqEvSv4hyWpxWj52FLwgjroRuetAQzg</v>
      </c>
      <c r="B221" s="5">
        <f ca="1">IFERROR(__xludf.DUMMYFUNCTION("""COMPUTED_VALUE"""),45979.4429090972)</f>
        <v>45979.442909097197</v>
      </c>
      <c r="C221" s="4" t="str">
        <f ca="1">IFERROR(__xludf.DUMMYFUNCTION("""COMPUTED_VALUE"""),"CHÂUO")</f>
        <v>CHÂUO</v>
      </c>
      <c r="D221" s="4" t="str">
        <f ca="1">IFERROR(__xludf.DUMMYFUNCTION("""COMPUTED_VALUE"""),"Nữ")</f>
        <v>Nữ</v>
      </c>
      <c r="E221" s="4" t="str">
        <f ca="1">IFERROR(__xludf.DUMMYFUNCTION("""COMPUTED_VALUE"""),"KNIGHT FRANK VIETNAM")</f>
        <v>KNIGHT FRANK VIETNAM</v>
      </c>
      <c r="F221" s="4" t="str">
        <f ca="1">IFERROR(__xludf.DUMMYFUNCTION("""COMPUTED_VALUE"""),"Đại học")</f>
        <v>Đại học</v>
      </c>
      <c r="G221" s="4" t="str">
        <f ca="1">IFERROR(__xludf.DUMMYFUNCTION("""COMPUTED_VALUE"""),"Trên 20 năm")</f>
        <v>Trên 20 năm</v>
      </c>
      <c r="H221" s="4" t="str">
        <f ca="1">IFERROR(__xludf.DUMMYFUNCTION("""COMPUTED_VALUE"""),"Trưởng phòng")</f>
        <v>Trưởng phòng</v>
      </c>
      <c r="I221" s="4">
        <f ca="1">IFERROR(__xludf.DUMMYFUNCTION("""COMPUTED_VALUE"""),4)</f>
        <v>4</v>
      </c>
      <c r="J221" s="4">
        <f ca="1">IFERROR(__xludf.DUMMYFUNCTION("""COMPUTED_VALUE"""),3)</f>
        <v>3</v>
      </c>
      <c r="K221" s="4">
        <f ca="1">IFERROR(__xludf.DUMMYFUNCTION("""COMPUTED_VALUE"""),3)</f>
        <v>3</v>
      </c>
      <c r="L221" s="4">
        <f ca="1">IFERROR(__xludf.DUMMYFUNCTION("""COMPUTED_VALUE"""),3)</f>
        <v>3</v>
      </c>
      <c r="M221" s="4">
        <f ca="1">IFERROR(__xludf.DUMMYFUNCTION("""COMPUTED_VALUE"""),4)</f>
        <v>4</v>
      </c>
      <c r="N221" s="4">
        <f ca="1">IFERROR(__xludf.DUMMYFUNCTION("""COMPUTED_VALUE"""),4)</f>
        <v>4</v>
      </c>
      <c r="O221" s="4">
        <f ca="1">IFERROR(__xludf.DUMMYFUNCTION("""COMPUTED_VALUE"""),4)</f>
        <v>4</v>
      </c>
      <c r="P221" s="4">
        <f ca="1">IFERROR(__xludf.DUMMYFUNCTION("""COMPUTED_VALUE"""),4)</f>
        <v>4</v>
      </c>
      <c r="Q221" s="4">
        <f ca="1">IFERROR(__xludf.DUMMYFUNCTION("""COMPUTED_VALUE"""),4)</f>
        <v>4</v>
      </c>
      <c r="R221" s="4">
        <f ca="1">IFERROR(__xludf.DUMMYFUNCTION("""COMPUTED_VALUE"""),3)</f>
        <v>3</v>
      </c>
      <c r="S221" s="4">
        <f ca="1">IFERROR(__xludf.DUMMYFUNCTION("""COMPUTED_VALUE"""),4)</f>
        <v>4</v>
      </c>
      <c r="T221" s="4">
        <f ca="1">IFERROR(__xludf.DUMMYFUNCTION("""COMPUTED_VALUE"""),4)</f>
        <v>4</v>
      </c>
      <c r="U221" s="4">
        <f ca="1">IFERROR(__xludf.DUMMYFUNCTION("""COMPUTED_VALUE"""),4)</f>
        <v>4</v>
      </c>
      <c r="V221" s="4">
        <f ca="1">IFERROR(__xludf.DUMMYFUNCTION("""COMPUTED_VALUE"""),5)</f>
        <v>5</v>
      </c>
      <c r="W221" s="4">
        <f ca="1">IFERROR(__xludf.DUMMYFUNCTION("""COMPUTED_VALUE"""),4)</f>
        <v>4</v>
      </c>
      <c r="X221" s="4">
        <f ca="1">IFERROR(__xludf.DUMMYFUNCTION("""COMPUTED_VALUE"""),3)</f>
        <v>3</v>
      </c>
      <c r="Y221" s="4">
        <f ca="1">IFERROR(__xludf.DUMMYFUNCTION("""COMPUTED_VALUE"""),3)</f>
        <v>3</v>
      </c>
      <c r="Z221" s="4">
        <f ca="1">IFERROR(__xludf.DUMMYFUNCTION("""COMPUTED_VALUE"""),3)</f>
        <v>3</v>
      </c>
      <c r="AA221" s="4">
        <f ca="1">IFERROR(__xludf.DUMMYFUNCTION("""COMPUTED_VALUE"""),4)</f>
        <v>4</v>
      </c>
      <c r="AB221" s="4">
        <f ca="1">IFERROR(__xludf.DUMMYFUNCTION("""COMPUTED_VALUE"""),4)</f>
        <v>4</v>
      </c>
      <c r="AC221" s="4">
        <f ca="1">IFERROR(__xludf.DUMMYFUNCTION("""COMPUTED_VALUE"""),2)</f>
        <v>2</v>
      </c>
      <c r="AD221" s="4">
        <f ca="1">IFERROR(__xludf.DUMMYFUNCTION("""COMPUTED_VALUE"""),2)</f>
        <v>2</v>
      </c>
      <c r="AE221" s="4">
        <f ca="1">IFERROR(__xludf.DUMMYFUNCTION("""COMPUTED_VALUE"""),4)</f>
        <v>4</v>
      </c>
      <c r="AF221" s="4">
        <f ca="1">IFERROR(__xludf.DUMMYFUNCTION("""COMPUTED_VALUE"""),4)</f>
        <v>4</v>
      </c>
      <c r="AG221" s="4">
        <f ca="1">IFERROR(__xludf.DUMMYFUNCTION("""COMPUTED_VALUE"""),4)</f>
        <v>4</v>
      </c>
      <c r="AH221" s="4">
        <f ca="1">IFERROR(__xludf.DUMMYFUNCTION("""COMPUTED_VALUE"""),4)</f>
        <v>4</v>
      </c>
      <c r="AI221" s="4">
        <f ca="1">IFERROR(__xludf.DUMMYFUNCTION("""COMPUTED_VALUE"""),4)</f>
        <v>4</v>
      </c>
      <c r="AJ221" s="4">
        <f ca="1">IFERROR(__xludf.DUMMYFUNCTION("""COMPUTED_VALUE"""),4)</f>
        <v>4</v>
      </c>
      <c r="AK221" s="4">
        <f ca="1">IFERROR(__xludf.DUMMYFUNCTION("""COMPUTED_VALUE"""),4)</f>
        <v>4</v>
      </c>
      <c r="AL221" s="4">
        <f ca="1">IFERROR(__xludf.DUMMYFUNCTION("""COMPUTED_VALUE"""),4)</f>
        <v>4</v>
      </c>
      <c r="AM221" s="4">
        <f ca="1">IFERROR(__xludf.DUMMYFUNCTION("""COMPUTED_VALUE"""),4)</f>
        <v>4</v>
      </c>
      <c r="AN221" s="4">
        <f ca="1">IFERROR(__xludf.DUMMYFUNCTION("""COMPUTED_VALUE"""),4)</f>
        <v>4</v>
      </c>
      <c r="AO221" s="4">
        <f ca="1">IFERROR(__xludf.DUMMYFUNCTION("""COMPUTED_VALUE"""),5)</f>
        <v>5</v>
      </c>
      <c r="AP221" s="4">
        <f ca="1">IFERROR(__xludf.DUMMYFUNCTION("""COMPUTED_VALUE"""),3)</f>
        <v>3</v>
      </c>
      <c r="AQ221" s="4">
        <f ca="1">IFERROR(__xludf.DUMMYFUNCTION("""COMPUTED_VALUE"""),4)</f>
        <v>4</v>
      </c>
      <c r="AR221" s="4">
        <f ca="1">IFERROR(__xludf.DUMMYFUNCTION("""COMPUTED_VALUE"""),5)</f>
        <v>5</v>
      </c>
      <c r="AS221" s="4">
        <f ca="1">IFERROR(__xludf.DUMMYFUNCTION("""COMPUTED_VALUE"""),4)</f>
        <v>4</v>
      </c>
      <c r="AT221" s="4">
        <f ca="1">IFERROR(__xludf.DUMMYFUNCTION("""COMPUTED_VALUE"""),4)</f>
        <v>4</v>
      </c>
      <c r="AU221" s="4">
        <f ca="1">IFERROR(__xludf.DUMMYFUNCTION("""COMPUTED_VALUE"""),4)</f>
        <v>4</v>
      </c>
      <c r="AV221" s="4">
        <f ca="1">IFERROR(__xludf.DUMMYFUNCTION("""COMPUTED_VALUE"""),4)</f>
        <v>4</v>
      </c>
      <c r="AW221" s="4">
        <f ca="1">IFERROR(__xludf.DUMMYFUNCTION("""COMPUTED_VALUE"""),4)</f>
        <v>4</v>
      </c>
      <c r="AX221" s="4">
        <f ca="1">IFERROR(__xludf.DUMMYFUNCTION("""COMPUTED_VALUE"""),5)</f>
        <v>5</v>
      </c>
      <c r="AY221" s="4">
        <f ca="1">IFERROR(__xludf.DUMMYFUNCTION("""COMPUTED_VALUE"""),5)</f>
        <v>5</v>
      </c>
      <c r="AZ221" s="4">
        <f ca="1">IFERROR(__xludf.DUMMYFUNCTION("""COMPUTED_VALUE"""),4)</f>
        <v>4</v>
      </c>
      <c r="BA221" s="4">
        <f ca="1">IFERROR(__xludf.DUMMYFUNCTION("""COMPUTED_VALUE"""),4)</f>
        <v>4</v>
      </c>
      <c r="BB221" s="4">
        <f ca="1">IFERROR(__xludf.DUMMYFUNCTION("""COMPUTED_VALUE"""),4)</f>
        <v>4</v>
      </c>
      <c r="BC221" s="4">
        <f ca="1">IFERROR(__xludf.DUMMYFUNCTION("""COMPUTED_VALUE"""),4)</f>
        <v>4</v>
      </c>
      <c r="BD221" s="4">
        <f ca="1">IFERROR(__xludf.DUMMYFUNCTION("""COMPUTED_VALUE"""),3)</f>
        <v>3</v>
      </c>
      <c r="BE221" s="4">
        <f ca="1">IFERROR(__xludf.DUMMYFUNCTION("""COMPUTED_VALUE"""),3)</f>
        <v>3</v>
      </c>
      <c r="BF221" s="4">
        <f ca="1">IFERROR(__xludf.DUMMYFUNCTION("""COMPUTED_VALUE"""),3)</f>
        <v>3</v>
      </c>
      <c r="BG221" s="4">
        <f ca="1">IFERROR(__xludf.DUMMYFUNCTION("""COMPUTED_VALUE"""),3)</f>
        <v>3</v>
      </c>
      <c r="BH221" s="4">
        <f ca="1">IFERROR(__xludf.DUMMYFUNCTION("""COMPUTED_VALUE"""),4)</f>
        <v>4</v>
      </c>
      <c r="BI221" s="4">
        <f ca="1">IFERROR(__xludf.DUMMYFUNCTION("""COMPUTED_VALUE"""),4)</f>
        <v>4</v>
      </c>
      <c r="BJ221" s="4">
        <f ca="1">IFERROR(__xludf.DUMMYFUNCTION("""COMPUTED_VALUE"""),4)</f>
        <v>4</v>
      </c>
      <c r="BK221" s="4">
        <f ca="1">IFERROR(__xludf.DUMMYFUNCTION("""COMPUTED_VALUE"""),4)</f>
        <v>4</v>
      </c>
      <c r="BL221" s="4">
        <f ca="1">IFERROR(__xludf.DUMMYFUNCTION("""COMPUTED_VALUE"""),4)</f>
        <v>4</v>
      </c>
      <c r="BM221" s="4">
        <f ca="1">IFERROR(__xludf.DUMMYFUNCTION("""COMPUTED_VALUE"""),4)</f>
        <v>4</v>
      </c>
      <c r="BN221" s="4">
        <f ca="1">IFERROR(__xludf.DUMMYFUNCTION("""COMPUTED_VALUE"""),4)</f>
        <v>4</v>
      </c>
      <c r="BO221" s="4">
        <f ca="1">IFERROR(__xludf.DUMMYFUNCTION("""COMPUTED_VALUE"""),5)</f>
        <v>5</v>
      </c>
      <c r="BP221" s="4">
        <f ca="1">IFERROR(__xludf.DUMMYFUNCTION("""COMPUTED_VALUE"""),5)</f>
        <v>5</v>
      </c>
    </row>
    <row r="222" spans="1:68" ht="13.2" x14ac:dyDescent="0.25">
      <c r="A222" s="4" t="str">
        <f ca="1">IFERROR(__xludf.DUMMYFUNCTION("""COMPUTED_VALUE"""),"2_ABaOnudggPCeqad4ZK_vlCaIGdIRR_CemQNAdqZ853UFprSOHSfK2GWgDe4DciECgA")</f>
        <v>2_ABaOnudggPCeqad4ZK_vlCaIGdIRR_CemQNAdqZ853UFprSOHSfK2GWgDe4DciECgA</v>
      </c>
      <c r="B222" s="5">
        <f ca="1">IFERROR(__xludf.DUMMYFUNCTION("""COMPUTED_VALUE"""),45979.4547619097)</f>
        <v>45979.454761909699</v>
      </c>
      <c r="C222" s="4" t="str">
        <f ca="1">IFERROR(__xludf.DUMMYFUNCTION("""COMPUTED_VALUE"""),"Nguyễn Thị Phượng Anh")</f>
        <v>Nguyễn Thị Phượng Anh</v>
      </c>
      <c r="D222" s="4" t="str">
        <f ca="1">IFERROR(__xludf.DUMMYFUNCTION("""COMPUTED_VALUE"""),"Nữ")</f>
        <v>Nữ</v>
      </c>
      <c r="E222" s="4" t="str">
        <f ca="1">IFERROR(__xludf.DUMMYFUNCTION("""COMPUTED_VALUE"""),"CÔNG TY TNHH KIỂM TOÁN SG-GN")</f>
        <v>CÔNG TY TNHH KIỂM TOÁN SG-GN</v>
      </c>
      <c r="F222" s="4" t="str">
        <f ca="1">IFERROR(__xludf.DUMMYFUNCTION("""COMPUTED_VALUE"""),"Đại học")</f>
        <v>Đại học</v>
      </c>
      <c r="G222" s="4" t="str">
        <f ca="1">IFERROR(__xludf.DUMMYFUNCTION("""COMPUTED_VALUE"""),"Trên 15 đến 20 năm")</f>
        <v>Trên 15 đến 20 năm</v>
      </c>
      <c r="H222" s="4" t="str">
        <f ca="1">IFERROR(__xludf.DUMMYFUNCTION("""COMPUTED_VALUE"""),"Trợ lý kiểm toán")</f>
        <v>Trợ lý kiểm toán</v>
      </c>
      <c r="I222" s="4">
        <f ca="1">IFERROR(__xludf.DUMMYFUNCTION("""COMPUTED_VALUE"""),5)</f>
        <v>5</v>
      </c>
      <c r="J222" s="4">
        <f ca="1">IFERROR(__xludf.DUMMYFUNCTION("""COMPUTED_VALUE"""),5)</f>
        <v>5</v>
      </c>
      <c r="K222" s="4">
        <f ca="1">IFERROR(__xludf.DUMMYFUNCTION("""COMPUTED_VALUE"""),5)</f>
        <v>5</v>
      </c>
      <c r="L222" s="4">
        <f ca="1">IFERROR(__xludf.DUMMYFUNCTION("""COMPUTED_VALUE"""),5)</f>
        <v>5</v>
      </c>
      <c r="M222" s="4">
        <f ca="1">IFERROR(__xludf.DUMMYFUNCTION("""COMPUTED_VALUE"""),5)</f>
        <v>5</v>
      </c>
      <c r="N222" s="4">
        <f ca="1">IFERROR(__xludf.DUMMYFUNCTION("""COMPUTED_VALUE"""),5)</f>
        <v>5</v>
      </c>
      <c r="O222" s="4">
        <f ca="1">IFERROR(__xludf.DUMMYFUNCTION("""COMPUTED_VALUE"""),5)</f>
        <v>5</v>
      </c>
      <c r="P222" s="4">
        <f ca="1">IFERROR(__xludf.DUMMYFUNCTION("""COMPUTED_VALUE"""),5)</f>
        <v>5</v>
      </c>
      <c r="Q222" s="4">
        <f ca="1">IFERROR(__xludf.DUMMYFUNCTION("""COMPUTED_VALUE"""),5)</f>
        <v>5</v>
      </c>
      <c r="R222" s="4">
        <f ca="1">IFERROR(__xludf.DUMMYFUNCTION("""COMPUTED_VALUE"""),5)</f>
        <v>5</v>
      </c>
      <c r="S222" s="4">
        <f ca="1">IFERROR(__xludf.DUMMYFUNCTION("""COMPUTED_VALUE"""),5)</f>
        <v>5</v>
      </c>
      <c r="T222" s="4">
        <f ca="1">IFERROR(__xludf.DUMMYFUNCTION("""COMPUTED_VALUE"""),5)</f>
        <v>5</v>
      </c>
      <c r="U222" s="4">
        <f ca="1">IFERROR(__xludf.DUMMYFUNCTION("""COMPUTED_VALUE"""),5)</f>
        <v>5</v>
      </c>
      <c r="V222" s="4">
        <f ca="1">IFERROR(__xludf.DUMMYFUNCTION("""COMPUTED_VALUE"""),5)</f>
        <v>5</v>
      </c>
      <c r="W222" s="4">
        <f ca="1">IFERROR(__xludf.DUMMYFUNCTION("""COMPUTED_VALUE"""),5)</f>
        <v>5</v>
      </c>
      <c r="X222" s="4">
        <f ca="1">IFERROR(__xludf.DUMMYFUNCTION("""COMPUTED_VALUE"""),5)</f>
        <v>5</v>
      </c>
      <c r="Y222" s="4">
        <f ca="1">IFERROR(__xludf.DUMMYFUNCTION("""COMPUTED_VALUE"""),5)</f>
        <v>5</v>
      </c>
      <c r="Z222" s="4">
        <f ca="1">IFERROR(__xludf.DUMMYFUNCTION("""COMPUTED_VALUE"""),5)</f>
        <v>5</v>
      </c>
      <c r="AA222" s="4">
        <f ca="1">IFERROR(__xludf.DUMMYFUNCTION("""COMPUTED_VALUE"""),5)</f>
        <v>5</v>
      </c>
      <c r="AB222" s="4">
        <f ca="1">IFERROR(__xludf.DUMMYFUNCTION("""COMPUTED_VALUE"""),5)</f>
        <v>5</v>
      </c>
      <c r="AC222" s="4">
        <f ca="1">IFERROR(__xludf.DUMMYFUNCTION("""COMPUTED_VALUE"""),5)</f>
        <v>5</v>
      </c>
      <c r="AD222" s="4">
        <f ca="1">IFERROR(__xludf.DUMMYFUNCTION("""COMPUTED_VALUE"""),5)</f>
        <v>5</v>
      </c>
      <c r="AE222" s="4">
        <f ca="1">IFERROR(__xludf.DUMMYFUNCTION("""COMPUTED_VALUE"""),5)</f>
        <v>5</v>
      </c>
      <c r="AF222" s="4">
        <f ca="1">IFERROR(__xludf.DUMMYFUNCTION("""COMPUTED_VALUE"""),5)</f>
        <v>5</v>
      </c>
      <c r="AG222" s="4">
        <f ca="1">IFERROR(__xludf.DUMMYFUNCTION("""COMPUTED_VALUE"""),5)</f>
        <v>5</v>
      </c>
      <c r="AH222" s="4">
        <f ca="1">IFERROR(__xludf.DUMMYFUNCTION("""COMPUTED_VALUE"""),5)</f>
        <v>5</v>
      </c>
      <c r="AI222" s="4">
        <f ca="1">IFERROR(__xludf.DUMMYFUNCTION("""COMPUTED_VALUE"""),5)</f>
        <v>5</v>
      </c>
      <c r="AJ222" s="4">
        <f ca="1">IFERROR(__xludf.DUMMYFUNCTION("""COMPUTED_VALUE"""),5)</f>
        <v>5</v>
      </c>
      <c r="AK222" s="4">
        <f ca="1">IFERROR(__xludf.DUMMYFUNCTION("""COMPUTED_VALUE"""),5)</f>
        <v>5</v>
      </c>
      <c r="AL222" s="4">
        <f ca="1">IFERROR(__xludf.DUMMYFUNCTION("""COMPUTED_VALUE"""),5)</f>
        <v>5</v>
      </c>
      <c r="AM222" s="4">
        <f ca="1">IFERROR(__xludf.DUMMYFUNCTION("""COMPUTED_VALUE"""),5)</f>
        <v>5</v>
      </c>
      <c r="AN222" s="4">
        <f ca="1">IFERROR(__xludf.DUMMYFUNCTION("""COMPUTED_VALUE"""),5)</f>
        <v>5</v>
      </c>
      <c r="AO222" s="4">
        <f ca="1">IFERROR(__xludf.DUMMYFUNCTION("""COMPUTED_VALUE"""),5)</f>
        <v>5</v>
      </c>
      <c r="AP222" s="4">
        <f ca="1">IFERROR(__xludf.DUMMYFUNCTION("""COMPUTED_VALUE"""),5)</f>
        <v>5</v>
      </c>
      <c r="AQ222" s="4">
        <f ca="1">IFERROR(__xludf.DUMMYFUNCTION("""COMPUTED_VALUE"""),5)</f>
        <v>5</v>
      </c>
      <c r="AR222" s="4">
        <f ca="1">IFERROR(__xludf.DUMMYFUNCTION("""COMPUTED_VALUE"""),5)</f>
        <v>5</v>
      </c>
      <c r="AS222" s="4">
        <f ca="1">IFERROR(__xludf.DUMMYFUNCTION("""COMPUTED_VALUE"""),5)</f>
        <v>5</v>
      </c>
      <c r="AT222" s="4">
        <f ca="1">IFERROR(__xludf.DUMMYFUNCTION("""COMPUTED_VALUE"""),5)</f>
        <v>5</v>
      </c>
      <c r="AU222" s="4">
        <f ca="1">IFERROR(__xludf.DUMMYFUNCTION("""COMPUTED_VALUE"""),5)</f>
        <v>5</v>
      </c>
      <c r="AV222" s="4">
        <f ca="1">IFERROR(__xludf.DUMMYFUNCTION("""COMPUTED_VALUE"""),5)</f>
        <v>5</v>
      </c>
      <c r="AW222" s="4">
        <f ca="1">IFERROR(__xludf.DUMMYFUNCTION("""COMPUTED_VALUE"""),5)</f>
        <v>5</v>
      </c>
      <c r="AX222" s="4">
        <f ca="1">IFERROR(__xludf.DUMMYFUNCTION("""COMPUTED_VALUE"""),5)</f>
        <v>5</v>
      </c>
      <c r="AY222" s="4">
        <f ca="1">IFERROR(__xludf.DUMMYFUNCTION("""COMPUTED_VALUE"""),5)</f>
        <v>5</v>
      </c>
      <c r="AZ222" s="4">
        <f ca="1">IFERROR(__xludf.DUMMYFUNCTION("""COMPUTED_VALUE"""),5)</f>
        <v>5</v>
      </c>
      <c r="BA222" s="4">
        <f ca="1">IFERROR(__xludf.DUMMYFUNCTION("""COMPUTED_VALUE"""),5)</f>
        <v>5</v>
      </c>
      <c r="BB222" s="4">
        <f ca="1">IFERROR(__xludf.DUMMYFUNCTION("""COMPUTED_VALUE"""),5)</f>
        <v>5</v>
      </c>
      <c r="BC222" s="4">
        <f ca="1">IFERROR(__xludf.DUMMYFUNCTION("""COMPUTED_VALUE"""),5)</f>
        <v>5</v>
      </c>
      <c r="BD222" s="4">
        <f ca="1">IFERROR(__xludf.DUMMYFUNCTION("""COMPUTED_VALUE"""),5)</f>
        <v>5</v>
      </c>
      <c r="BE222" s="4">
        <f ca="1">IFERROR(__xludf.DUMMYFUNCTION("""COMPUTED_VALUE"""),5)</f>
        <v>5</v>
      </c>
      <c r="BF222" s="4">
        <f ca="1">IFERROR(__xludf.DUMMYFUNCTION("""COMPUTED_VALUE"""),5)</f>
        <v>5</v>
      </c>
      <c r="BG222" s="4">
        <f ca="1">IFERROR(__xludf.DUMMYFUNCTION("""COMPUTED_VALUE"""),5)</f>
        <v>5</v>
      </c>
      <c r="BH222" s="4">
        <f ca="1">IFERROR(__xludf.DUMMYFUNCTION("""COMPUTED_VALUE"""),5)</f>
        <v>5</v>
      </c>
      <c r="BI222" s="4">
        <f ca="1">IFERROR(__xludf.DUMMYFUNCTION("""COMPUTED_VALUE"""),5)</f>
        <v>5</v>
      </c>
      <c r="BJ222" s="4">
        <f ca="1">IFERROR(__xludf.DUMMYFUNCTION("""COMPUTED_VALUE"""),5)</f>
        <v>5</v>
      </c>
      <c r="BK222" s="4">
        <f ca="1">IFERROR(__xludf.DUMMYFUNCTION("""COMPUTED_VALUE"""),5)</f>
        <v>5</v>
      </c>
      <c r="BL222" s="4">
        <f ca="1">IFERROR(__xludf.DUMMYFUNCTION("""COMPUTED_VALUE"""),5)</f>
        <v>5</v>
      </c>
      <c r="BM222" s="4">
        <f ca="1">IFERROR(__xludf.DUMMYFUNCTION("""COMPUTED_VALUE"""),5)</f>
        <v>5</v>
      </c>
      <c r="BN222" s="4">
        <f ca="1">IFERROR(__xludf.DUMMYFUNCTION("""COMPUTED_VALUE"""),5)</f>
        <v>5</v>
      </c>
      <c r="BO222" s="4">
        <f ca="1">IFERROR(__xludf.DUMMYFUNCTION("""COMPUTED_VALUE"""),5)</f>
        <v>5</v>
      </c>
      <c r="BP222" s="4">
        <f ca="1">IFERROR(__xludf.DUMMYFUNCTION("""COMPUTED_VALUE"""),5)</f>
        <v>5</v>
      </c>
    </row>
    <row r="223" spans="1:68" ht="13.2" x14ac:dyDescent="0.25">
      <c r="A223" s="4" t="str">
        <f ca="1">IFERROR(__xludf.DUMMYFUNCTION("""COMPUTED_VALUE"""),"2_ABaOnudecEAZt3l2HMuyZG3Khw7HO3l4X8xVLSGI-Z7s87CKwJ4AnbyBTPNNLbHUOQ")</f>
        <v>2_ABaOnudecEAZt3l2HMuyZG3Khw7HO3l4X8xVLSGI-Z7s87CKwJ4AnbyBTPNNLbHUOQ</v>
      </c>
      <c r="B223" s="5">
        <f ca="1">IFERROR(__xludf.DUMMYFUNCTION("""COMPUTED_VALUE"""),45979.4561364814)</f>
        <v>45979.4561364814</v>
      </c>
      <c r="C223" s="4" t="str">
        <f ca="1">IFERROR(__xludf.DUMMYFUNCTION("""COMPUTED_VALUE"""),"Trương Thị Ngọc Nhã")</f>
        <v>Trương Thị Ngọc Nhã</v>
      </c>
      <c r="D223" s="4" t="str">
        <f ca="1">IFERROR(__xludf.DUMMYFUNCTION("""COMPUTED_VALUE"""),"Nữ")</f>
        <v>Nữ</v>
      </c>
      <c r="E223" s="4" t="str">
        <f ca="1">IFERROR(__xludf.DUMMYFUNCTION("""COMPUTED_VALUE"""),"Cty TNHH kiểm toán tư vấn sáng lập á châu")</f>
        <v>Cty TNHH kiểm toán tư vấn sáng lập á châu</v>
      </c>
      <c r="F223" s="4" t="str">
        <f ca="1">IFERROR(__xludf.DUMMYFUNCTION("""COMPUTED_VALUE"""),"Đại học")</f>
        <v>Đại học</v>
      </c>
      <c r="G223" s="4" t="str">
        <f ca="1">IFERROR(__xludf.DUMMYFUNCTION("""COMPUTED_VALUE"""),"Từ 3 đến 5 năm")</f>
        <v>Từ 3 đến 5 năm</v>
      </c>
      <c r="H223" s="4" t="str">
        <f ca="1">IFERROR(__xludf.DUMMYFUNCTION("""COMPUTED_VALUE"""),"Trợ lý kiểm toán")</f>
        <v>Trợ lý kiểm toán</v>
      </c>
      <c r="I223" s="4">
        <f ca="1">IFERROR(__xludf.DUMMYFUNCTION("""COMPUTED_VALUE"""),3)</f>
        <v>3</v>
      </c>
      <c r="J223" s="4">
        <f ca="1">IFERROR(__xludf.DUMMYFUNCTION("""COMPUTED_VALUE"""),1)</f>
        <v>1</v>
      </c>
      <c r="K223" s="4">
        <f ca="1">IFERROR(__xludf.DUMMYFUNCTION("""COMPUTED_VALUE"""),4)</f>
        <v>4</v>
      </c>
      <c r="L223" s="4">
        <f ca="1">IFERROR(__xludf.DUMMYFUNCTION("""COMPUTED_VALUE"""),1)</f>
        <v>1</v>
      </c>
      <c r="M223" s="4">
        <f ca="1">IFERROR(__xludf.DUMMYFUNCTION("""COMPUTED_VALUE"""),3)</f>
        <v>3</v>
      </c>
      <c r="N223" s="4">
        <f ca="1">IFERROR(__xludf.DUMMYFUNCTION("""COMPUTED_VALUE"""),2)</f>
        <v>2</v>
      </c>
      <c r="O223" s="4">
        <f ca="1">IFERROR(__xludf.DUMMYFUNCTION("""COMPUTED_VALUE"""),4)</f>
        <v>4</v>
      </c>
      <c r="P223" s="4">
        <f ca="1">IFERROR(__xludf.DUMMYFUNCTION("""COMPUTED_VALUE"""),5)</f>
        <v>5</v>
      </c>
      <c r="Q223" s="4">
        <f ca="1">IFERROR(__xludf.DUMMYFUNCTION("""COMPUTED_VALUE"""),2)</f>
        <v>2</v>
      </c>
      <c r="R223" s="4">
        <f ca="1">IFERROR(__xludf.DUMMYFUNCTION("""COMPUTED_VALUE"""),2)</f>
        <v>2</v>
      </c>
      <c r="S223" s="4">
        <f ca="1">IFERROR(__xludf.DUMMYFUNCTION("""COMPUTED_VALUE"""),4)</f>
        <v>4</v>
      </c>
      <c r="T223" s="4">
        <f ca="1">IFERROR(__xludf.DUMMYFUNCTION("""COMPUTED_VALUE"""),2)</f>
        <v>2</v>
      </c>
      <c r="U223" s="4">
        <f ca="1">IFERROR(__xludf.DUMMYFUNCTION("""COMPUTED_VALUE"""),1)</f>
        <v>1</v>
      </c>
      <c r="V223" s="4">
        <f ca="1">IFERROR(__xludf.DUMMYFUNCTION("""COMPUTED_VALUE"""),4)</f>
        <v>4</v>
      </c>
      <c r="W223" s="4">
        <f ca="1">IFERROR(__xludf.DUMMYFUNCTION("""COMPUTED_VALUE"""),1)</f>
        <v>1</v>
      </c>
      <c r="X223" s="4">
        <f ca="1">IFERROR(__xludf.DUMMYFUNCTION("""COMPUTED_VALUE"""),4)</f>
        <v>4</v>
      </c>
      <c r="Y223" s="4">
        <f ca="1">IFERROR(__xludf.DUMMYFUNCTION("""COMPUTED_VALUE"""),1)</f>
        <v>1</v>
      </c>
      <c r="Z223" s="4">
        <f ca="1">IFERROR(__xludf.DUMMYFUNCTION("""COMPUTED_VALUE"""),3)</f>
        <v>3</v>
      </c>
      <c r="AA223" s="4">
        <f ca="1">IFERROR(__xludf.DUMMYFUNCTION("""COMPUTED_VALUE"""),5)</f>
        <v>5</v>
      </c>
      <c r="AB223" s="4">
        <f ca="1">IFERROR(__xludf.DUMMYFUNCTION("""COMPUTED_VALUE"""),2)</f>
        <v>2</v>
      </c>
      <c r="AC223" s="4">
        <f ca="1">IFERROR(__xludf.DUMMYFUNCTION("""COMPUTED_VALUE"""),5)</f>
        <v>5</v>
      </c>
      <c r="AD223" s="4">
        <f ca="1">IFERROR(__xludf.DUMMYFUNCTION("""COMPUTED_VALUE"""),3)</f>
        <v>3</v>
      </c>
      <c r="AE223" s="4">
        <f ca="1">IFERROR(__xludf.DUMMYFUNCTION("""COMPUTED_VALUE"""),1)</f>
        <v>1</v>
      </c>
      <c r="AF223" s="4">
        <f ca="1">IFERROR(__xludf.DUMMYFUNCTION("""COMPUTED_VALUE"""),4)</f>
        <v>4</v>
      </c>
      <c r="AG223" s="4">
        <f ca="1">IFERROR(__xludf.DUMMYFUNCTION("""COMPUTED_VALUE"""),2)</f>
        <v>2</v>
      </c>
      <c r="AH223" s="4">
        <f ca="1">IFERROR(__xludf.DUMMYFUNCTION("""COMPUTED_VALUE"""),2)</f>
        <v>2</v>
      </c>
      <c r="AI223" s="4">
        <f ca="1">IFERROR(__xludf.DUMMYFUNCTION("""COMPUTED_VALUE"""),4)</f>
        <v>4</v>
      </c>
      <c r="AJ223" s="4">
        <f ca="1">IFERROR(__xludf.DUMMYFUNCTION("""COMPUTED_VALUE"""),1)</f>
        <v>1</v>
      </c>
      <c r="AK223" s="4">
        <f ca="1">IFERROR(__xludf.DUMMYFUNCTION("""COMPUTED_VALUE"""),4)</f>
        <v>4</v>
      </c>
      <c r="AL223" s="4">
        <f ca="1">IFERROR(__xludf.DUMMYFUNCTION("""COMPUTED_VALUE"""),1)</f>
        <v>1</v>
      </c>
      <c r="AM223" s="4">
        <f ca="1">IFERROR(__xludf.DUMMYFUNCTION("""COMPUTED_VALUE"""),4)</f>
        <v>4</v>
      </c>
      <c r="AN223" s="4">
        <f ca="1">IFERROR(__xludf.DUMMYFUNCTION("""COMPUTED_VALUE"""),4)</f>
        <v>4</v>
      </c>
      <c r="AO223" s="4">
        <f ca="1">IFERROR(__xludf.DUMMYFUNCTION("""COMPUTED_VALUE"""),1)</f>
        <v>1</v>
      </c>
      <c r="AP223" s="4">
        <f ca="1">IFERROR(__xludf.DUMMYFUNCTION("""COMPUTED_VALUE"""),3)</f>
        <v>3</v>
      </c>
      <c r="AQ223" s="4">
        <f ca="1">IFERROR(__xludf.DUMMYFUNCTION("""COMPUTED_VALUE"""),4)</f>
        <v>4</v>
      </c>
      <c r="AR223" s="4">
        <f ca="1">IFERROR(__xludf.DUMMYFUNCTION("""COMPUTED_VALUE"""),2)</f>
        <v>2</v>
      </c>
      <c r="AS223" s="4">
        <f ca="1">IFERROR(__xludf.DUMMYFUNCTION("""COMPUTED_VALUE"""),3)</f>
        <v>3</v>
      </c>
      <c r="AT223" s="4">
        <f ca="1">IFERROR(__xludf.DUMMYFUNCTION("""COMPUTED_VALUE"""),3)</f>
        <v>3</v>
      </c>
      <c r="AU223" s="4">
        <f ca="1">IFERROR(__xludf.DUMMYFUNCTION("""COMPUTED_VALUE"""),2)</f>
        <v>2</v>
      </c>
      <c r="AV223" s="4">
        <f ca="1">IFERROR(__xludf.DUMMYFUNCTION("""COMPUTED_VALUE"""),4)</f>
        <v>4</v>
      </c>
      <c r="AW223" s="4">
        <f ca="1">IFERROR(__xludf.DUMMYFUNCTION("""COMPUTED_VALUE"""),4)</f>
        <v>4</v>
      </c>
      <c r="AX223" s="4">
        <f ca="1">IFERROR(__xludf.DUMMYFUNCTION("""COMPUTED_VALUE"""),4)</f>
        <v>4</v>
      </c>
      <c r="AY223" s="4">
        <f ca="1">IFERROR(__xludf.DUMMYFUNCTION("""COMPUTED_VALUE"""),5)</f>
        <v>5</v>
      </c>
      <c r="AZ223" s="4">
        <f ca="1">IFERROR(__xludf.DUMMYFUNCTION("""COMPUTED_VALUE"""),4)</f>
        <v>4</v>
      </c>
      <c r="BA223" s="4">
        <f ca="1">IFERROR(__xludf.DUMMYFUNCTION("""COMPUTED_VALUE"""),5)</f>
        <v>5</v>
      </c>
      <c r="BB223" s="4">
        <f ca="1">IFERROR(__xludf.DUMMYFUNCTION("""COMPUTED_VALUE"""),4)</f>
        <v>4</v>
      </c>
      <c r="BC223" s="4">
        <f ca="1">IFERROR(__xludf.DUMMYFUNCTION("""COMPUTED_VALUE"""),5)</f>
        <v>5</v>
      </c>
      <c r="BD223" s="4">
        <f ca="1">IFERROR(__xludf.DUMMYFUNCTION("""COMPUTED_VALUE"""),4)</f>
        <v>4</v>
      </c>
      <c r="BE223" s="4">
        <f ca="1">IFERROR(__xludf.DUMMYFUNCTION("""COMPUTED_VALUE"""),4)</f>
        <v>4</v>
      </c>
      <c r="BF223" s="4">
        <f ca="1">IFERROR(__xludf.DUMMYFUNCTION("""COMPUTED_VALUE"""),5)</f>
        <v>5</v>
      </c>
      <c r="BG223" s="4">
        <f ca="1">IFERROR(__xludf.DUMMYFUNCTION("""COMPUTED_VALUE"""),4)</f>
        <v>4</v>
      </c>
      <c r="BH223" s="4">
        <f ca="1">IFERROR(__xludf.DUMMYFUNCTION("""COMPUTED_VALUE"""),5)</f>
        <v>5</v>
      </c>
      <c r="BI223" s="4">
        <f ca="1">IFERROR(__xludf.DUMMYFUNCTION("""COMPUTED_VALUE"""),5)</f>
        <v>5</v>
      </c>
      <c r="BJ223" s="4">
        <f ca="1">IFERROR(__xludf.DUMMYFUNCTION("""COMPUTED_VALUE"""),4)</f>
        <v>4</v>
      </c>
      <c r="BK223" s="4">
        <f ca="1">IFERROR(__xludf.DUMMYFUNCTION("""COMPUTED_VALUE"""),5)</f>
        <v>5</v>
      </c>
      <c r="BL223" s="4">
        <f ca="1">IFERROR(__xludf.DUMMYFUNCTION("""COMPUTED_VALUE"""),4)</f>
        <v>4</v>
      </c>
      <c r="BM223" s="4">
        <f ca="1">IFERROR(__xludf.DUMMYFUNCTION("""COMPUTED_VALUE"""),4)</f>
        <v>4</v>
      </c>
      <c r="BN223" s="4">
        <f ca="1">IFERROR(__xludf.DUMMYFUNCTION("""COMPUTED_VALUE"""),5)</f>
        <v>5</v>
      </c>
      <c r="BO223" s="4">
        <f ca="1">IFERROR(__xludf.DUMMYFUNCTION("""COMPUTED_VALUE"""),4)</f>
        <v>4</v>
      </c>
      <c r="BP223" s="4">
        <f ca="1">IFERROR(__xludf.DUMMYFUNCTION("""COMPUTED_VALUE"""),4)</f>
        <v>4</v>
      </c>
    </row>
    <row r="224" spans="1:68" ht="13.2" x14ac:dyDescent="0.25">
      <c r="A224" s="4" t="str">
        <f ca="1">IFERROR(__xludf.DUMMYFUNCTION("""COMPUTED_VALUE"""),"2_ABaOnueVqNDggpvcT69sVVlDDeQASz-oIcq8oJ3eALku6D7i2BW9QrQuCA25Z3UQhg")</f>
        <v>2_ABaOnueVqNDggpvcT69sVVlDDeQASz-oIcq8oJ3eALku6D7i2BW9QrQuCA25Z3UQhg</v>
      </c>
      <c r="B224" s="5">
        <f ca="1">IFERROR(__xludf.DUMMYFUNCTION("""COMPUTED_VALUE"""),45979.4567834027)</f>
        <v>45979.456783402697</v>
      </c>
      <c r="C224" s="4" t="str">
        <f ca="1">IFERROR(__xludf.DUMMYFUNCTION("""COMPUTED_VALUE"""),"Huỳnh Thị Kim Xuyến")</f>
        <v>Huỳnh Thị Kim Xuyến</v>
      </c>
      <c r="D224" s="4" t="str">
        <f ca="1">IFERROR(__xludf.DUMMYFUNCTION("""COMPUTED_VALUE"""),"Nữ")</f>
        <v>Nữ</v>
      </c>
      <c r="E224" s="4" t="str">
        <f ca="1">IFERROR(__xludf.DUMMYFUNCTION("""COMPUTED_VALUE"""),"Cty TNHH Kiểm Toán Tư Vấn Sáng Lập Á Châu")</f>
        <v>Cty TNHH Kiểm Toán Tư Vấn Sáng Lập Á Châu</v>
      </c>
      <c r="F224" s="4" t="str">
        <f ca="1">IFERROR(__xludf.DUMMYFUNCTION("""COMPUTED_VALUE"""),"Đại học")</f>
        <v>Đại học</v>
      </c>
      <c r="G224" s="4" t="str">
        <f ca="1">IFERROR(__xludf.DUMMYFUNCTION("""COMPUTED_VALUE"""),"Từ 3 đến 5 năm")</f>
        <v>Từ 3 đến 5 năm</v>
      </c>
      <c r="H224" s="4" t="str">
        <f ca="1">IFERROR(__xludf.DUMMYFUNCTION("""COMPUTED_VALUE"""),"Trợ lý kiểm toán")</f>
        <v>Trợ lý kiểm toán</v>
      </c>
      <c r="I224" s="4">
        <f ca="1">IFERROR(__xludf.DUMMYFUNCTION("""COMPUTED_VALUE"""),5)</f>
        <v>5</v>
      </c>
      <c r="J224" s="4">
        <f ca="1">IFERROR(__xludf.DUMMYFUNCTION("""COMPUTED_VALUE"""),5)</f>
        <v>5</v>
      </c>
      <c r="K224" s="4">
        <f ca="1">IFERROR(__xludf.DUMMYFUNCTION("""COMPUTED_VALUE"""),5)</f>
        <v>5</v>
      </c>
      <c r="L224" s="4">
        <f ca="1">IFERROR(__xludf.DUMMYFUNCTION("""COMPUTED_VALUE"""),5)</f>
        <v>5</v>
      </c>
      <c r="M224" s="4">
        <f ca="1">IFERROR(__xludf.DUMMYFUNCTION("""COMPUTED_VALUE"""),5)</f>
        <v>5</v>
      </c>
      <c r="N224" s="4">
        <f ca="1">IFERROR(__xludf.DUMMYFUNCTION("""COMPUTED_VALUE"""),4)</f>
        <v>4</v>
      </c>
      <c r="O224" s="4">
        <f ca="1">IFERROR(__xludf.DUMMYFUNCTION("""COMPUTED_VALUE"""),5)</f>
        <v>5</v>
      </c>
      <c r="P224" s="4">
        <f ca="1">IFERROR(__xludf.DUMMYFUNCTION("""COMPUTED_VALUE"""),5)</f>
        <v>5</v>
      </c>
      <c r="Q224" s="4">
        <f ca="1">IFERROR(__xludf.DUMMYFUNCTION("""COMPUTED_VALUE"""),4)</f>
        <v>4</v>
      </c>
      <c r="R224" s="4">
        <f ca="1">IFERROR(__xludf.DUMMYFUNCTION("""COMPUTED_VALUE"""),4)</f>
        <v>4</v>
      </c>
      <c r="S224" s="4">
        <f ca="1">IFERROR(__xludf.DUMMYFUNCTION("""COMPUTED_VALUE"""),3)</f>
        <v>3</v>
      </c>
      <c r="T224" s="4">
        <f ca="1">IFERROR(__xludf.DUMMYFUNCTION("""COMPUTED_VALUE"""),4)</f>
        <v>4</v>
      </c>
      <c r="U224" s="4">
        <f ca="1">IFERROR(__xludf.DUMMYFUNCTION("""COMPUTED_VALUE"""),4)</f>
        <v>4</v>
      </c>
      <c r="V224" s="4">
        <f ca="1">IFERROR(__xludf.DUMMYFUNCTION("""COMPUTED_VALUE"""),4)</f>
        <v>4</v>
      </c>
      <c r="W224" s="4">
        <f ca="1">IFERROR(__xludf.DUMMYFUNCTION("""COMPUTED_VALUE"""),5)</f>
        <v>5</v>
      </c>
      <c r="X224" s="4">
        <f ca="1">IFERROR(__xludf.DUMMYFUNCTION("""COMPUTED_VALUE"""),5)</f>
        <v>5</v>
      </c>
      <c r="Y224" s="4">
        <f ca="1">IFERROR(__xludf.DUMMYFUNCTION("""COMPUTED_VALUE"""),5)</f>
        <v>5</v>
      </c>
      <c r="Z224" s="4">
        <f ca="1">IFERROR(__xludf.DUMMYFUNCTION("""COMPUTED_VALUE"""),5)</f>
        <v>5</v>
      </c>
      <c r="AA224" s="4">
        <f ca="1">IFERROR(__xludf.DUMMYFUNCTION("""COMPUTED_VALUE"""),5)</f>
        <v>5</v>
      </c>
      <c r="AB224" s="4">
        <f ca="1">IFERROR(__xludf.DUMMYFUNCTION("""COMPUTED_VALUE"""),3)</f>
        <v>3</v>
      </c>
      <c r="AC224" s="4">
        <f ca="1">IFERROR(__xludf.DUMMYFUNCTION("""COMPUTED_VALUE"""),4)</f>
        <v>4</v>
      </c>
      <c r="AD224" s="4">
        <f ca="1">IFERROR(__xludf.DUMMYFUNCTION("""COMPUTED_VALUE"""),3)</f>
        <v>3</v>
      </c>
      <c r="AE224" s="4">
        <f ca="1">IFERROR(__xludf.DUMMYFUNCTION("""COMPUTED_VALUE"""),4)</f>
        <v>4</v>
      </c>
      <c r="AF224" s="4">
        <f ca="1">IFERROR(__xludf.DUMMYFUNCTION("""COMPUTED_VALUE"""),5)</f>
        <v>5</v>
      </c>
      <c r="AG224" s="4">
        <f ca="1">IFERROR(__xludf.DUMMYFUNCTION("""COMPUTED_VALUE"""),5)</f>
        <v>5</v>
      </c>
      <c r="AH224" s="4">
        <f ca="1">IFERROR(__xludf.DUMMYFUNCTION("""COMPUTED_VALUE"""),5)</f>
        <v>5</v>
      </c>
      <c r="AI224" s="4">
        <f ca="1">IFERROR(__xludf.DUMMYFUNCTION("""COMPUTED_VALUE"""),5)</f>
        <v>5</v>
      </c>
      <c r="AJ224" s="4">
        <f ca="1">IFERROR(__xludf.DUMMYFUNCTION("""COMPUTED_VALUE"""),5)</f>
        <v>5</v>
      </c>
      <c r="AK224" s="4">
        <f ca="1">IFERROR(__xludf.DUMMYFUNCTION("""COMPUTED_VALUE"""),5)</f>
        <v>5</v>
      </c>
      <c r="AL224" s="4">
        <f ca="1">IFERROR(__xludf.DUMMYFUNCTION("""COMPUTED_VALUE"""),5)</f>
        <v>5</v>
      </c>
      <c r="AM224" s="4">
        <f ca="1">IFERROR(__xludf.DUMMYFUNCTION("""COMPUTED_VALUE"""),5)</f>
        <v>5</v>
      </c>
      <c r="AN224" s="4">
        <f ca="1">IFERROR(__xludf.DUMMYFUNCTION("""COMPUTED_VALUE"""),5)</f>
        <v>5</v>
      </c>
      <c r="AO224" s="4">
        <f ca="1">IFERROR(__xludf.DUMMYFUNCTION("""COMPUTED_VALUE"""),5)</f>
        <v>5</v>
      </c>
      <c r="AP224" s="4">
        <f ca="1">IFERROR(__xludf.DUMMYFUNCTION("""COMPUTED_VALUE"""),5)</f>
        <v>5</v>
      </c>
      <c r="AQ224" s="4">
        <f ca="1">IFERROR(__xludf.DUMMYFUNCTION("""COMPUTED_VALUE"""),5)</f>
        <v>5</v>
      </c>
      <c r="AR224" s="4">
        <f ca="1">IFERROR(__xludf.DUMMYFUNCTION("""COMPUTED_VALUE"""),5)</f>
        <v>5</v>
      </c>
      <c r="AS224" s="4">
        <f ca="1">IFERROR(__xludf.DUMMYFUNCTION("""COMPUTED_VALUE"""),5)</f>
        <v>5</v>
      </c>
      <c r="AT224" s="4">
        <f ca="1">IFERROR(__xludf.DUMMYFUNCTION("""COMPUTED_VALUE"""),5)</f>
        <v>5</v>
      </c>
      <c r="AU224" s="4">
        <f ca="1">IFERROR(__xludf.DUMMYFUNCTION("""COMPUTED_VALUE"""),5)</f>
        <v>5</v>
      </c>
      <c r="AV224" s="4">
        <f ca="1">IFERROR(__xludf.DUMMYFUNCTION("""COMPUTED_VALUE"""),5)</f>
        <v>5</v>
      </c>
      <c r="AW224" s="4">
        <f ca="1">IFERROR(__xludf.DUMMYFUNCTION("""COMPUTED_VALUE"""),5)</f>
        <v>5</v>
      </c>
      <c r="AX224" s="4">
        <f ca="1">IFERROR(__xludf.DUMMYFUNCTION("""COMPUTED_VALUE"""),4)</f>
        <v>4</v>
      </c>
      <c r="AY224" s="4">
        <f ca="1">IFERROR(__xludf.DUMMYFUNCTION("""COMPUTED_VALUE"""),5)</f>
        <v>5</v>
      </c>
      <c r="AZ224" s="4">
        <f ca="1">IFERROR(__xludf.DUMMYFUNCTION("""COMPUTED_VALUE"""),5)</f>
        <v>5</v>
      </c>
      <c r="BA224" s="4">
        <f ca="1">IFERROR(__xludf.DUMMYFUNCTION("""COMPUTED_VALUE"""),5)</f>
        <v>5</v>
      </c>
      <c r="BB224" s="4">
        <f ca="1">IFERROR(__xludf.DUMMYFUNCTION("""COMPUTED_VALUE"""),5)</f>
        <v>5</v>
      </c>
      <c r="BC224" s="4">
        <f ca="1">IFERROR(__xludf.DUMMYFUNCTION("""COMPUTED_VALUE"""),5)</f>
        <v>5</v>
      </c>
      <c r="BD224" s="4">
        <f ca="1">IFERROR(__xludf.DUMMYFUNCTION("""COMPUTED_VALUE"""),5)</f>
        <v>5</v>
      </c>
      <c r="BE224" s="4">
        <f ca="1">IFERROR(__xludf.DUMMYFUNCTION("""COMPUTED_VALUE"""),5)</f>
        <v>5</v>
      </c>
      <c r="BF224" s="4">
        <f ca="1">IFERROR(__xludf.DUMMYFUNCTION("""COMPUTED_VALUE"""),5)</f>
        <v>5</v>
      </c>
      <c r="BG224" s="4">
        <f ca="1">IFERROR(__xludf.DUMMYFUNCTION("""COMPUTED_VALUE"""),5)</f>
        <v>5</v>
      </c>
      <c r="BH224" s="4">
        <f ca="1">IFERROR(__xludf.DUMMYFUNCTION("""COMPUTED_VALUE"""),4)</f>
        <v>4</v>
      </c>
      <c r="BI224" s="4">
        <f ca="1">IFERROR(__xludf.DUMMYFUNCTION("""COMPUTED_VALUE"""),5)</f>
        <v>5</v>
      </c>
      <c r="BJ224" s="4">
        <f ca="1">IFERROR(__xludf.DUMMYFUNCTION("""COMPUTED_VALUE"""),5)</f>
        <v>5</v>
      </c>
      <c r="BK224" s="4">
        <f ca="1">IFERROR(__xludf.DUMMYFUNCTION("""COMPUTED_VALUE"""),5)</f>
        <v>5</v>
      </c>
      <c r="BL224" s="4">
        <f ca="1">IFERROR(__xludf.DUMMYFUNCTION("""COMPUTED_VALUE"""),5)</f>
        <v>5</v>
      </c>
      <c r="BM224" s="4">
        <f ca="1">IFERROR(__xludf.DUMMYFUNCTION("""COMPUTED_VALUE"""),5)</f>
        <v>5</v>
      </c>
      <c r="BN224" s="4">
        <f ca="1">IFERROR(__xludf.DUMMYFUNCTION("""COMPUTED_VALUE"""),5)</f>
        <v>5</v>
      </c>
      <c r="BO224" s="4">
        <f ca="1">IFERROR(__xludf.DUMMYFUNCTION("""COMPUTED_VALUE"""),5)</f>
        <v>5</v>
      </c>
      <c r="BP224" s="4">
        <f ca="1">IFERROR(__xludf.DUMMYFUNCTION("""COMPUTED_VALUE"""),5)</f>
        <v>5</v>
      </c>
    </row>
    <row r="225" spans="1:68" ht="13.2" x14ac:dyDescent="0.25">
      <c r="A225" s="4" t="str">
        <f ca="1">IFERROR(__xludf.DUMMYFUNCTION("""COMPUTED_VALUE"""),"2_ABaOnufmAW83-bF71z0NzYksjV2YNWKjAsK5Fz6cPuuaxkItN6fDPen_V8LN9sk5qw")</f>
        <v>2_ABaOnufmAW83-bF71z0NzYksjV2YNWKjAsK5Fz6cPuuaxkItN6fDPen_V8LN9sk5qw</v>
      </c>
      <c r="B225" s="5">
        <f ca="1">IFERROR(__xludf.DUMMYFUNCTION("""COMPUTED_VALUE"""),45979.4568241666)</f>
        <v>45979.456824166598</v>
      </c>
      <c r="C225" s="4" t="str">
        <f ca="1">IFERROR(__xludf.DUMMYFUNCTION("""COMPUTED_VALUE"""),"Trần Thị Thảo Ly")</f>
        <v>Trần Thị Thảo Ly</v>
      </c>
      <c r="D225" s="4" t="str">
        <f ca="1">IFERROR(__xludf.DUMMYFUNCTION("""COMPUTED_VALUE"""),"Nữ")</f>
        <v>Nữ</v>
      </c>
      <c r="E225" s="4" t="str">
        <f ca="1">IFERROR(__xludf.DUMMYFUNCTION("""COMPUTED_VALUE"""),"Công ty TNHH kiểm toán tư vấn sáng lập Á Châu")</f>
        <v>Công ty TNHH kiểm toán tư vấn sáng lập Á Châu</v>
      </c>
      <c r="F225" s="4" t="str">
        <f ca="1">IFERROR(__xludf.DUMMYFUNCTION("""COMPUTED_VALUE"""),"Đại học")</f>
        <v>Đại học</v>
      </c>
      <c r="G225" s="4" t="str">
        <f ca="1">IFERROR(__xludf.DUMMYFUNCTION("""COMPUTED_VALUE"""),"Từ 3 đến 5 năm")</f>
        <v>Từ 3 đến 5 năm</v>
      </c>
      <c r="H225" s="4" t="str">
        <f ca="1">IFERROR(__xludf.DUMMYFUNCTION("""COMPUTED_VALUE"""),"Trợ lý kiểm toán")</f>
        <v>Trợ lý kiểm toán</v>
      </c>
      <c r="I225" s="4">
        <f ca="1">IFERROR(__xludf.DUMMYFUNCTION("""COMPUTED_VALUE"""),5)</f>
        <v>5</v>
      </c>
      <c r="J225" s="4">
        <f ca="1">IFERROR(__xludf.DUMMYFUNCTION("""COMPUTED_VALUE"""),5)</f>
        <v>5</v>
      </c>
      <c r="K225" s="4">
        <f ca="1">IFERROR(__xludf.DUMMYFUNCTION("""COMPUTED_VALUE"""),5)</f>
        <v>5</v>
      </c>
      <c r="L225" s="4">
        <f ca="1">IFERROR(__xludf.DUMMYFUNCTION("""COMPUTED_VALUE"""),5)</f>
        <v>5</v>
      </c>
      <c r="M225" s="4">
        <f ca="1">IFERROR(__xludf.DUMMYFUNCTION("""COMPUTED_VALUE"""),5)</f>
        <v>5</v>
      </c>
      <c r="N225" s="4">
        <f ca="1">IFERROR(__xludf.DUMMYFUNCTION("""COMPUTED_VALUE"""),5)</f>
        <v>5</v>
      </c>
      <c r="O225" s="4">
        <f ca="1">IFERROR(__xludf.DUMMYFUNCTION("""COMPUTED_VALUE"""),5)</f>
        <v>5</v>
      </c>
      <c r="P225" s="4">
        <f ca="1">IFERROR(__xludf.DUMMYFUNCTION("""COMPUTED_VALUE"""),5)</f>
        <v>5</v>
      </c>
      <c r="Q225" s="4">
        <f ca="1">IFERROR(__xludf.DUMMYFUNCTION("""COMPUTED_VALUE"""),5)</f>
        <v>5</v>
      </c>
      <c r="R225" s="4">
        <f ca="1">IFERROR(__xludf.DUMMYFUNCTION("""COMPUTED_VALUE"""),5)</f>
        <v>5</v>
      </c>
      <c r="S225" s="4">
        <f ca="1">IFERROR(__xludf.DUMMYFUNCTION("""COMPUTED_VALUE"""),5)</f>
        <v>5</v>
      </c>
      <c r="T225" s="4">
        <f ca="1">IFERROR(__xludf.DUMMYFUNCTION("""COMPUTED_VALUE"""),5)</f>
        <v>5</v>
      </c>
      <c r="U225" s="4">
        <f ca="1">IFERROR(__xludf.DUMMYFUNCTION("""COMPUTED_VALUE"""),5)</f>
        <v>5</v>
      </c>
      <c r="V225" s="4">
        <f ca="1">IFERROR(__xludf.DUMMYFUNCTION("""COMPUTED_VALUE"""),5)</f>
        <v>5</v>
      </c>
      <c r="W225" s="4">
        <f ca="1">IFERROR(__xludf.DUMMYFUNCTION("""COMPUTED_VALUE"""),5)</f>
        <v>5</v>
      </c>
      <c r="X225" s="4">
        <f ca="1">IFERROR(__xludf.DUMMYFUNCTION("""COMPUTED_VALUE"""),5)</f>
        <v>5</v>
      </c>
      <c r="Y225" s="4">
        <f ca="1">IFERROR(__xludf.DUMMYFUNCTION("""COMPUTED_VALUE"""),5)</f>
        <v>5</v>
      </c>
      <c r="Z225" s="4">
        <f ca="1">IFERROR(__xludf.DUMMYFUNCTION("""COMPUTED_VALUE"""),5)</f>
        <v>5</v>
      </c>
      <c r="AA225" s="4">
        <f ca="1">IFERROR(__xludf.DUMMYFUNCTION("""COMPUTED_VALUE"""),5)</f>
        <v>5</v>
      </c>
      <c r="AB225" s="4">
        <f ca="1">IFERROR(__xludf.DUMMYFUNCTION("""COMPUTED_VALUE"""),5)</f>
        <v>5</v>
      </c>
      <c r="AC225" s="4">
        <f ca="1">IFERROR(__xludf.DUMMYFUNCTION("""COMPUTED_VALUE"""),5)</f>
        <v>5</v>
      </c>
      <c r="AD225" s="4">
        <f ca="1">IFERROR(__xludf.DUMMYFUNCTION("""COMPUTED_VALUE"""),5)</f>
        <v>5</v>
      </c>
      <c r="AE225" s="4">
        <f ca="1">IFERROR(__xludf.DUMMYFUNCTION("""COMPUTED_VALUE"""),5)</f>
        <v>5</v>
      </c>
      <c r="AF225" s="4">
        <f ca="1">IFERROR(__xludf.DUMMYFUNCTION("""COMPUTED_VALUE"""),5)</f>
        <v>5</v>
      </c>
      <c r="AG225" s="4">
        <f ca="1">IFERROR(__xludf.DUMMYFUNCTION("""COMPUTED_VALUE"""),5)</f>
        <v>5</v>
      </c>
      <c r="AH225" s="4">
        <f ca="1">IFERROR(__xludf.DUMMYFUNCTION("""COMPUTED_VALUE"""),5)</f>
        <v>5</v>
      </c>
      <c r="AI225" s="4">
        <f ca="1">IFERROR(__xludf.DUMMYFUNCTION("""COMPUTED_VALUE"""),5)</f>
        <v>5</v>
      </c>
      <c r="AJ225" s="4">
        <f ca="1">IFERROR(__xludf.DUMMYFUNCTION("""COMPUTED_VALUE"""),5)</f>
        <v>5</v>
      </c>
      <c r="AK225" s="4">
        <f ca="1">IFERROR(__xludf.DUMMYFUNCTION("""COMPUTED_VALUE"""),5)</f>
        <v>5</v>
      </c>
      <c r="AL225" s="4">
        <f ca="1">IFERROR(__xludf.DUMMYFUNCTION("""COMPUTED_VALUE"""),5)</f>
        <v>5</v>
      </c>
      <c r="AM225" s="4">
        <f ca="1">IFERROR(__xludf.DUMMYFUNCTION("""COMPUTED_VALUE"""),5)</f>
        <v>5</v>
      </c>
      <c r="AN225" s="4">
        <f ca="1">IFERROR(__xludf.DUMMYFUNCTION("""COMPUTED_VALUE"""),5)</f>
        <v>5</v>
      </c>
      <c r="AO225" s="4">
        <f ca="1">IFERROR(__xludf.DUMMYFUNCTION("""COMPUTED_VALUE"""),5)</f>
        <v>5</v>
      </c>
      <c r="AP225" s="4">
        <f ca="1">IFERROR(__xludf.DUMMYFUNCTION("""COMPUTED_VALUE"""),5)</f>
        <v>5</v>
      </c>
      <c r="AQ225" s="4">
        <f ca="1">IFERROR(__xludf.DUMMYFUNCTION("""COMPUTED_VALUE"""),5)</f>
        <v>5</v>
      </c>
      <c r="AR225" s="4">
        <f ca="1">IFERROR(__xludf.DUMMYFUNCTION("""COMPUTED_VALUE"""),5)</f>
        <v>5</v>
      </c>
      <c r="AS225" s="4">
        <f ca="1">IFERROR(__xludf.DUMMYFUNCTION("""COMPUTED_VALUE"""),5)</f>
        <v>5</v>
      </c>
      <c r="AT225" s="4">
        <f ca="1">IFERROR(__xludf.DUMMYFUNCTION("""COMPUTED_VALUE"""),5)</f>
        <v>5</v>
      </c>
      <c r="AU225" s="4">
        <f ca="1">IFERROR(__xludf.DUMMYFUNCTION("""COMPUTED_VALUE"""),5)</f>
        <v>5</v>
      </c>
      <c r="AV225" s="4">
        <f ca="1">IFERROR(__xludf.DUMMYFUNCTION("""COMPUTED_VALUE"""),5)</f>
        <v>5</v>
      </c>
      <c r="AW225" s="4">
        <f ca="1">IFERROR(__xludf.DUMMYFUNCTION("""COMPUTED_VALUE"""),5)</f>
        <v>5</v>
      </c>
      <c r="AX225" s="4">
        <f ca="1">IFERROR(__xludf.DUMMYFUNCTION("""COMPUTED_VALUE"""),5)</f>
        <v>5</v>
      </c>
      <c r="AY225" s="4">
        <f ca="1">IFERROR(__xludf.DUMMYFUNCTION("""COMPUTED_VALUE"""),5)</f>
        <v>5</v>
      </c>
      <c r="AZ225" s="4">
        <f ca="1">IFERROR(__xludf.DUMMYFUNCTION("""COMPUTED_VALUE"""),5)</f>
        <v>5</v>
      </c>
      <c r="BA225" s="4">
        <f ca="1">IFERROR(__xludf.DUMMYFUNCTION("""COMPUTED_VALUE"""),5)</f>
        <v>5</v>
      </c>
      <c r="BB225" s="4">
        <f ca="1">IFERROR(__xludf.DUMMYFUNCTION("""COMPUTED_VALUE"""),5)</f>
        <v>5</v>
      </c>
      <c r="BC225" s="4">
        <f ca="1">IFERROR(__xludf.DUMMYFUNCTION("""COMPUTED_VALUE"""),5)</f>
        <v>5</v>
      </c>
      <c r="BD225" s="4">
        <f ca="1">IFERROR(__xludf.DUMMYFUNCTION("""COMPUTED_VALUE"""),5)</f>
        <v>5</v>
      </c>
      <c r="BE225" s="4">
        <f ca="1">IFERROR(__xludf.DUMMYFUNCTION("""COMPUTED_VALUE"""),5)</f>
        <v>5</v>
      </c>
      <c r="BF225" s="4">
        <f ca="1">IFERROR(__xludf.DUMMYFUNCTION("""COMPUTED_VALUE"""),5)</f>
        <v>5</v>
      </c>
      <c r="BG225" s="4">
        <f ca="1">IFERROR(__xludf.DUMMYFUNCTION("""COMPUTED_VALUE"""),5)</f>
        <v>5</v>
      </c>
      <c r="BH225" s="4">
        <f ca="1">IFERROR(__xludf.DUMMYFUNCTION("""COMPUTED_VALUE"""),5)</f>
        <v>5</v>
      </c>
      <c r="BI225" s="4">
        <f ca="1">IFERROR(__xludf.DUMMYFUNCTION("""COMPUTED_VALUE"""),5)</f>
        <v>5</v>
      </c>
      <c r="BJ225" s="4">
        <f ca="1">IFERROR(__xludf.DUMMYFUNCTION("""COMPUTED_VALUE"""),5)</f>
        <v>5</v>
      </c>
      <c r="BK225" s="4">
        <f ca="1">IFERROR(__xludf.DUMMYFUNCTION("""COMPUTED_VALUE"""),5)</f>
        <v>5</v>
      </c>
      <c r="BL225" s="4">
        <f ca="1">IFERROR(__xludf.DUMMYFUNCTION("""COMPUTED_VALUE"""),5)</f>
        <v>5</v>
      </c>
      <c r="BM225" s="4">
        <f ca="1">IFERROR(__xludf.DUMMYFUNCTION("""COMPUTED_VALUE"""),5)</f>
        <v>5</v>
      </c>
      <c r="BN225" s="4">
        <f ca="1">IFERROR(__xludf.DUMMYFUNCTION("""COMPUTED_VALUE"""),5)</f>
        <v>5</v>
      </c>
      <c r="BO225" s="4">
        <f ca="1">IFERROR(__xludf.DUMMYFUNCTION("""COMPUTED_VALUE"""),5)</f>
        <v>5</v>
      </c>
      <c r="BP225" s="4">
        <f ca="1">IFERROR(__xludf.DUMMYFUNCTION("""COMPUTED_VALUE"""),5)</f>
        <v>5</v>
      </c>
    </row>
    <row r="226" spans="1:68" ht="13.2" x14ac:dyDescent="0.25">
      <c r="A226" s="4" t="str">
        <f ca="1">IFERROR(__xludf.DUMMYFUNCTION("""COMPUTED_VALUE"""),"2_ABaOnudipEFllMRWiBsNyVWbNaPwszaFLRS_iXw73B0KLJcO9Og5a2sRwPvQxm5FjA")</f>
        <v>2_ABaOnudipEFllMRWiBsNyVWbNaPwszaFLRS_iXw73B0KLJcO9Og5a2sRwPvQxm5FjA</v>
      </c>
      <c r="B226" s="5">
        <f ca="1">IFERROR(__xludf.DUMMYFUNCTION("""COMPUTED_VALUE"""),45979.4570771412)</f>
        <v>45979.457077141204</v>
      </c>
      <c r="C226" s="4" t="str">
        <f ca="1">IFERROR(__xludf.DUMMYFUNCTION("""COMPUTED_VALUE"""),"Phạm Quỳnh Anh ")</f>
        <v xml:space="preserve">Phạm Quỳnh Anh </v>
      </c>
      <c r="D226" s="4" t="str">
        <f ca="1">IFERROR(__xludf.DUMMYFUNCTION("""COMPUTED_VALUE"""),"Nữ")</f>
        <v>Nữ</v>
      </c>
      <c r="E226" s="4" t="str">
        <f ca="1">IFERROR(__xludf.DUMMYFUNCTION("""COMPUTED_VALUE"""),"Công ty TNHH Kiểm toán tư vấn sáng lập Á Châu ")</f>
        <v xml:space="preserve">Công ty TNHH Kiểm toán tư vấn sáng lập Á Châu </v>
      </c>
      <c r="F226" s="4" t="str">
        <f ca="1">IFERROR(__xludf.DUMMYFUNCTION("""COMPUTED_VALUE"""),"Đại học")</f>
        <v>Đại học</v>
      </c>
      <c r="G226" s="4" t="str">
        <f ca="1">IFERROR(__xludf.DUMMYFUNCTION("""COMPUTED_VALUE"""),"Từ 3 đến 5 năm")</f>
        <v>Từ 3 đến 5 năm</v>
      </c>
      <c r="H226" s="4" t="str">
        <f ca="1">IFERROR(__xludf.DUMMYFUNCTION("""COMPUTED_VALUE"""),"Trợ lý kiểm toán")</f>
        <v>Trợ lý kiểm toán</v>
      </c>
      <c r="I226" s="4">
        <f ca="1">IFERROR(__xludf.DUMMYFUNCTION("""COMPUTED_VALUE"""),5)</f>
        <v>5</v>
      </c>
      <c r="J226" s="4">
        <f ca="1">IFERROR(__xludf.DUMMYFUNCTION("""COMPUTED_VALUE"""),4)</f>
        <v>4</v>
      </c>
      <c r="K226" s="4">
        <f ca="1">IFERROR(__xludf.DUMMYFUNCTION("""COMPUTED_VALUE"""),4)</f>
        <v>4</v>
      </c>
      <c r="L226" s="4">
        <f ca="1">IFERROR(__xludf.DUMMYFUNCTION("""COMPUTED_VALUE"""),5)</f>
        <v>5</v>
      </c>
      <c r="M226" s="4">
        <f ca="1">IFERROR(__xludf.DUMMYFUNCTION("""COMPUTED_VALUE"""),5)</f>
        <v>5</v>
      </c>
      <c r="N226" s="4">
        <f ca="1">IFERROR(__xludf.DUMMYFUNCTION("""COMPUTED_VALUE"""),4)</f>
        <v>4</v>
      </c>
      <c r="O226" s="4">
        <f ca="1">IFERROR(__xludf.DUMMYFUNCTION("""COMPUTED_VALUE"""),5)</f>
        <v>5</v>
      </c>
      <c r="P226" s="4">
        <f ca="1">IFERROR(__xludf.DUMMYFUNCTION("""COMPUTED_VALUE"""),5)</f>
        <v>5</v>
      </c>
      <c r="Q226" s="4">
        <f ca="1">IFERROR(__xludf.DUMMYFUNCTION("""COMPUTED_VALUE"""),4)</f>
        <v>4</v>
      </c>
      <c r="R226" s="4">
        <f ca="1">IFERROR(__xludf.DUMMYFUNCTION("""COMPUTED_VALUE"""),5)</f>
        <v>5</v>
      </c>
      <c r="S226" s="4">
        <f ca="1">IFERROR(__xludf.DUMMYFUNCTION("""COMPUTED_VALUE"""),4)</f>
        <v>4</v>
      </c>
      <c r="T226" s="4">
        <f ca="1">IFERROR(__xludf.DUMMYFUNCTION("""COMPUTED_VALUE"""),5)</f>
        <v>5</v>
      </c>
      <c r="U226" s="4">
        <f ca="1">IFERROR(__xludf.DUMMYFUNCTION("""COMPUTED_VALUE"""),4)</f>
        <v>4</v>
      </c>
      <c r="V226" s="4">
        <f ca="1">IFERROR(__xludf.DUMMYFUNCTION("""COMPUTED_VALUE"""),5)</f>
        <v>5</v>
      </c>
      <c r="W226" s="4">
        <f ca="1">IFERROR(__xludf.DUMMYFUNCTION("""COMPUTED_VALUE"""),5)</f>
        <v>5</v>
      </c>
      <c r="X226" s="4">
        <f ca="1">IFERROR(__xludf.DUMMYFUNCTION("""COMPUTED_VALUE"""),4)</f>
        <v>4</v>
      </c>
      <c r="Y226" s="4">
        <f ca="1">IFERROR(__xludf.DUMMYFUNCTION("""COMPUTED_VALUE"""),5)</f>
        <v>5</v>
      </c>
      <c r="Z226" s="4">
        <f ca="1">IFERROR(__xludf.DUMMYFUNCTION("""COMPUTED_VALUE"""),5)</f>
        <v>5</v>
      </c>
      <c r="AA226" s="4">
        <f ca="1">IFERROR(__xludf.DUMMYFUNCTION("""COMPUTED_VALUE"""),5)</f>
        <v>5</v>
      </c>
      <c r="AB226" s="4">
        <f ca="1">IFERROR(__xludf.DUMMYFUNCTION("""COMPUTED_VALUE"""),4)</f>
        <v>4</v>
      </c>
      <c r="AC226" s="4">
        <f ca="1">IFERROR(__xludf.DUMMYFUNCTION("""COMPUTED_VALUE"""),4)</f>
        <v>4</v>
      </c>
      <c r="AD226" s="4">
        <f ca="1">IFERROR(__xludf.DUMMYFUNCTION("""COMPUTED_VALUE"""),5)</f>
        <v>5</v>
      </c>
      <c r="AE226" s="4">
        <f ca="1">IFERROR(__xludf.DUMMYFUNCTION("""COMPUTED_VALUE"""),4)</f>
        <v>4</v>
      </c>
      <c r="AF226" s="4">
        <f ca="1">IFERROR(__xludf.DUMMYFUNCTION("""COMPUTED_VALUE"""),4)</f>
        <v>4</v>
      </c>
      <c r="AG226" s="4">
        <f ca="1">IFERROR(__xludf.DUMMYFUNCTION("""COMPUTED_VALUE"""),5)</f>
        <v>5</v>
      </c>
      <c r="AH226" s="4">
        <f ca="1">IFERROR(__xludf.DUMMYFUNCTION("""COMPUTED_VALUE"""),5)</f>
        <v>5</v>
      </c>
      <c r="AI226" s="4">
        <f ca="1">IFERROR(__xludf.DUMMYFUNCTION("""COMPUTED_VALUE"""),5)</f>
        <v>5</v>
      </c>
      <c r="AJ226" s="4">
        <f ca="1">IFERROR(__xludf.DUMMYFUNCTION("""COMPUTED_VALUE"""),5)</f>
        <v>5</v>
      </c>
      <c r="AK226" s="4">
        <f ca="1">IFERROR(__xludf.DUMMYFUNCTION("""COMPUTED_VALUE"""),4)</f>
        <v>4</v>
      </c>
      <c r="AL226" s="4">
        <f ca="1">IFERROR(__xludf.DUMMYFUNCTION("""COMPUTED_VALUE"""),4)</f>
        <v>4</v>
      </c>
      <c r="AM226" s="4">
        <f ca="1">IFERROR(__xludf.DUMMYFUNCTION("""COMPUTED_VALUE"""),4)</f>
        <v>4</v>
      </c>
      <c r="AN226" s="4">
        <f ca="1">IFERROR(__xludf.DUMMYFUNCTION("""COMPUTED_VALUE"""),5)</f>
        <v>5</v>
      </c>
      <c r="AO226" s="4">
        <f ca="1">IFERROR(__xludf.DUMMYFUNCTION("""COMPUTED_VALUE"""),5)</f>
        <v>5</v>
      </c>
      <c r="AP226" s="4">
        <f ca="1">IFERROR(__xludf.DUMMYFUNCTION("""COMPUTED_VALUE"""),5)</f>
        <v>5</v>
      </c>
      <c r="AQ226" s="4">
        <f ca="1">IFERROR(__xludf.DUMMYFUNCTION("""COMPUTED_VALUE"""),5)</f>
        <v>5</v>
      </c>
      <c r="AR226" s="4">
        <f ca="1">IFERROR(__xludf.DUMMYFUNCTION("""COMPUTED_VALUE"""),5)</f>
        <v>5</v>
      </c>
      <c r="AS226" s="4">
        <f ca="1">IFERROR(__xludf.DUMMYFUNCTION("""COMPUTED_VALUE"""),5)</f>
        <v>5</v>
      </c>
      <c r="AT226" s="4">
        <f ca="1">IFERROR(__xludf.DUMMYFUNCTION("""COMPUTED_VALUE"""),5)</f>
        <v>5</v>
      </c>
      <c r="AU226" s="4">
        <f ca="1">IFERROR(__xludf.DUMMYFUNCTION("""COMPUTED_VALUE"""),5)</f>
        <v>5</v>
      </c>
      <c r="AV226" s="4">
        <f ca="1">IFERROR(__xludf.DUMMYFUNCTION("""COMPUTED_VALUE"""),5)</f>
        <v>5</v>
      </c>
      <c r="AW226" s="4">
        <f ca="1">IFERROR(__xludf.DUMMYFUNCTION("""COMPUTED_VALUE"""),5)</f>
        <v>5</v>
      </c>
      <c r="AX226" s="4">
        <f ca="1">IFERROR(__xludf.DUMMYFUNCTION("""COMPUTED_VALUE"""),5)</f>
        <v>5</v>
      </c>
      <c r="AY226" s="4">
        <f ca="1">IFERROR(__xludf.DUMMYFUNCTION("""COMPUTED_VALUE"""),5)</f>
        <v>5</v>
      </c>
      <c r="AZ226" s="4">
        <f ca="1">IFERROR(__xludf.DUMMYFUNCTION("""COMPUTED_VALUE"""),5)</f>
        <v>5</v>
      </c>
      <c r="BA226" s="4">
        <f ca="1">IFERROR(__xludf.DUMMYFUNCTION("""COMPUTED_VALUE"""),5)</f>
        <v>5</v>
      </c>
      <c r="BB226" s="4">
        <f ca="1">IFERROR(__xludf.DUMMYFUNCTION("""COMPUTED_VALUE"""),5)</f>
        <v>5</v>
      </c>
      <c r="BC226" s="4">
        <f ca="1">IFERROR(__xludf.DUMMYFUNCTION("""COMPUTED_VALUE"""),5)</f>
        <v>5</v>
      </c>
      <c r="BD226" s="4">
        <f ca="1">IFERROR(__xludf.DUMMYFUNCTION("""COMPUTED_VALUE"""),5)</f>
        <v>5</v>
      </c>
      <c r="BE226" s="4">
        <f ca="1">IFERROR(__xludf.DUMMYFUNCTION("""COMPUTED_VALUE"""),5)</f>
        <v>5</v>
      </c>
      <c r="BF226" s="4">
        <f ca="1">IFERROR(__xludf.DUMMYFUNCTION("""COMPUTED_VALUE"""),5)</f>
        <v>5</v>
      </c>
      <c r="BG226" s="4">
        <f ca="1">IFERROR(__xludf.DUMMYFUNCTION("""COMPUTED_VALUE"""),5)</f>
        <v>5</v>
      </c>
      <c r="BH226" s="4">
        <f ca="1">IFERROR(__xludf.DUMMYFUNCTION("""COMPUTED_VALUE"""),4)</f>
        <v>4</v>
      </c>
      <c r="BI226" s="4">
        <f ca="1">IFERROR(__xludf.DUMMYFUNCTION("""COMPUTED_VALUE"""),5)</f>
        <v>5</v>
      </c>
      <c r="BJ226" s="4">
        <f ca="1">IFERROR(__xludf.DUMMYFUNCTION("""COMPUTED_VALUE"""),4)</f>
        <v>4</v>
      </c>
      <c r="BK226" s="4">
        <f ca="1">IFERROR(__xludf.DUMMYFUNCTION("""COMPUTED_VALUE"""),5)</f>
        <v>5</v>
      </c>
      <c r="BL226" s="4">
        <f ca="1">IFERROR(__xludf.DUMMYFUNCTION("""COMPUTED_VALUE"""),5)</f>
        <v>5</v>
      </c>
      <c r="BM226" s="4">
        <f ca="1">IFERROR(__xludf.DUMMYFUNCTION("""COMPUTED_VALUE"""),4)</f>
        <v>4</v>
      </c>
      <c r="BN226" s="4">
        <f ca="1">IFERROR(__xludf.DUMMYFUNCTION("""COMPUTED_VALUE"""),5)</f>
        <v>5</v>
      </c>
      <c r="BO226" s="4">
        <f ca="1">IFERROR(__xludf.DUMMYFUNCTION("""COMPUTED_VALUE"""),5)</f>
        <v>5</v>
      </c>
      <c r="BP226" s="4">
        <f ca="1">IFERROR(__xludf.DUMMYFUNCTION("""COMPUTED_VALUE"""),5)</f>
        <v>5</v>
      </c>
    </row>
    <row r="227" spans="1:68" ht="13.2" x14ac:dyDescent="0.25">
      <c r="A227" s="4" t="str">
        <f ca="1">IFERROR(__xludf.DUMMYFUNCTION("""COMPUTED_VALUE"""),"2_ABaOnudKMXRkdarDVJBjW_L9pEZ-EILs6T33CNURikezejCLMZ4JTwPMFS4CPLnzsQ")</f>
        <v>2_ABaOnudKMXRkdarDVJBjW_L9pEZ-EILs6T33CNURikezejCLMZ4JTwPMFS4CPLnzsQ</v>
      </c>
      <c r="B227" s="5">
        <f ca="1">IFERROR(__xludf.DUMMYFUNCTION("""COMPUTED_VALUE"""),45979.4570805902)</f>
        <v>45979.457080590197</v>
      </c>
      <c r="C227" s="4" t="str">
        <f ca="1">IFERROR(__xludf.DUMMYFUNCTION("""COMPUTED_VALUE"""),"NGUYỄN HỒNG TRÂM")</f>
        <v>NGUYỄN HỒNG TRÂM</v>
      </c>
      <c r="D227" s="4" t="str">
        <f ca="1">IFERROR(__xludf.DUMMYFUNCTION("""COMPUTED_VALUE"""),"Nữ")</f>
        <v>Nữ</v>
      </c>
      <c r="E227" s="4" t="str">
        <f ca="1">IFERROR(__xludf.DUMMYFUNCTION("""COMPUTED_VALUE"""),"CÔNG TY TNHH KIỂM TOÁN SG-VN")</f>
        <v>CÔNG TY TNHH KIỂM TOÁN SG-VN</v>
      </c>
      <c r="F227" s="4" t="str">
        <f ca="1">IFERROR(__xludf.DUMMYFUNCTION("""COMPUTED_VALUE"""),"Đại học")</f>
        <v>Đại học</v>
      </c>
      <c r="G227" s="4" t="str">
        <f ca="1">IFERROR(__xludf.DUMMYFUNCTION("""COMPUTED_VALUE"""),"Từ 3 đến 5 năm")</f>
        <v>Từ 3 đến 5 năm</v>
      </c>
      <c r="H227" s="4" t="str">
        <f ca="1">IFERROR(__xludf.DUMMYFUNCTION("""COMPUTED_VALUE"""),"Trợ lý kiểm toán")</f>
        <v>Trợ lý kiểm toán</v>
      </c>
      <c r="I227" s="4">
        <f ca="1">IFERROR(__xludf.DUMMYFUNCTION("""COMPUTED_VALUE"""),3)</f>
        <v>3</v>
      </c>
      <c r="J227" s="4">
        <f ca="1">IFERROR(__xludf.DUMMYFUNCTION("""COMPUTED_VALUE"""),4)</f>
        <v>4</v>
      </c>
      <c r="K227" s="4">
        <f ca="1">IFERROR(__xludf.DUMMYFUNCTION("""COMPUTED_VALUE"""),3)</f>
        <v>3</v>
      </c>
      <c r="L227" s="4">
        <f ca="1">IFERROR(__xludf.DUMMYFUNCTION("""COMPUTED_VALUE"""),3)</f>
        <v>3</v>
      </c>
      <c r="M227" s="4">
        <f ca="1">IFERROR(__xludf.DUMMYFUNCTION("""COMPUTED_VALUE"""),4)</f>
        <v>4</v>
      </c>
      <c r="N227" s="4">
        <f ca="1">IFERROR(__xludf.DUMMYFUNCTION("""COMPUTED_VALUE"""),3)</f>
        <v>3</v>
      </c>
      <c r="O227" s="4">
        <f ca="1">IFERROR(__xludf.DUMMYFUNCTION("""COMPUTED_VALUE"""),3)</f>
        <v>3</v>
      </c>
      <c r="P227" s="4">
        <f ca="1">IFERROR(__xludf.DUMMYFUNCTION("""COMPUTED_VALUE"""),4)</f>
        <v>4</v>
      </c>
      <c r="Q227" s="4">
        <f ca="1">IFERROR(__xludf.DUMMYFUNCTION("""COMPUTED_VALUE"""),4)</f>
        <v>4</v>
      </c>
      <c r="R227" s="4">
        <f ca="1">IFERROR(__xludf.DUMMYFUNCTION("""COMPUTED_VALUE"""),3)</f>
        <v>3</v>
      </c>
      <c r="S227" s="4">
        <f ca="1">IFERROR(__xludf.DUMMYFUNCTION("""COMPUTED_VALUE"""),4)</f>
        <v>4</v>
      </c>
      <c r="T227" s="4">
        <f ca="1">IFERROR(__xludf.DUMMYFUNCTION("""COMPUTED_VALUE"""),4)</f>
        <v>4</v>
      </c>
      <c r="U227" s="4">
        <f ca="1">IFERROR(__xludf.DUMMYFUNCTION("""COMPUTED_VALUE"""),3)</f>
        <v>3</v>
      </c>
      <c r="V227" s="4">
        <f ca="1">IFERROR(__xludf.DUMMYFUNCTION("""COMPUTED_VALUE"""),3)</f>
        <v>3</v>
      </c>
      <c r="W227" s="4">
        <f ca="1">IFERROR(__xludf.DUMMYFUNCTION("""COMPUTED_VALUE"""),3)</f>
        <v>3</v>
      </c>
      <c r="X227" s="4">
        <f ca="1">IFERROR(__xludf.DUMMYFUNCTION("""COMPUTED_VALUE"""),3)</f>
        <v>3</v>
      </c>
      <c r="Y227" s="4">
        <f ca="1">IFERROR(__xludf.DUMMYFUNCTION("""COMPUTED_VALUE"""),4)</f>
        <v>4</v>
      </c>
      <c r="Z227" s="4">
        <f ca="1">IFERROR(__xludf.DUMMYFUNCTION("""COMPUTED_VALUE"""),3)</f>
        <v>3</v>
      </c>
      <c r="AA227" s="4">
        <f ca="1">IFERROR(__xludf.DUMMYFUNCTION("""COMPUTED_VALUE"""),3)</f>
        <v>3</v>
      </c>
      <c r="AB227" s="4">
        <f ca="1">IFERROR(__xludf.DUMMYFUNCTION("""COMPUTED_VALUE"""),3)</f>
        <v>3</v>
      </c>
      <c r="AC227" s="4">
        <f ca="1">IFERROR(__xludf.DUMMYFUNCTION("""COMPUTED_VALUE"""),3)</f>
        <v>3</v>
      </c>
      <c r="AD227" s="4">
        <f ca="1">IFERROR(__xludf.DUMMYFUNCTION("""COMPUTED_VALUE"""),4)</f>
        <v>4</v>
      </c>
      <c r="AE227" s="4">
        <f ca="1">IFERROR(__xludf.DUMMYFUNCTION("""COMPUTED_VALUE"""),4)</f>
        <v>4</v>
      </c>
      <c r="AF227" s="4">
        <f ca="1">IFERROR(__xludf.DUMMYFUNCTION("""COMPUTED_VALUE"""),3)</f>
        <v>3</v>
      </c>
      <c r="AG227" s="4">
        <f ca="1">IFERROR(__xludf.DUMMYFUNCTION("""COMPUTED_VALUE"""),3)</f>
        <v>3</v>
      </c>
      <c r="AH227" s="4">
        <f ca="1">IFERROR(__xludf.DUMMYFUNCTION("""COMPUTED_VALUE"""),4)</f>
        <v>4</v>
      </c>
      <c r="AI227" s="4">
        <f ca="1">IFERROR(__xludf.DUMMYFUNCTION("""COMPUTED_VALUE"""),4)</f>
        <v>4</v>
      </c>
      <c r="AJ227" s="4">
        <f ca="1">IFERROR(__xludf.DUMMYFUNCTION("""COMPUTED_VALUE"""),3)</f>
        <v>3</v>
      </c>
      <c r="AK227" s="4">
        <f ca="1">IFERROR(__xludf.DUMMYFUNCTION("""COMPUTED_VALUE"""),3)</f>
        <v>3</v>
      </c>
      <c r="AL227" s="4">
        <f ca="1">IFERROR(__xludf.DUMMYFUNCTION("""COMPUTED_VALUE"""),4)</f>
        <v>4</v>
      </c>
      <c r="AM227" s="4">
        <f ca="1">IFERROR(__xludf.DUMMYFUNCTION("""COMPUTED_VALUE"""),4)</f>
        <v>4</v>
      </c>
      <c r="AN227" s="4">
        <f ca="1">IFERROR(__xludf.DUMMYFUNCTION("""COMPUTED_VALUE"""),3)</f>
        <v>3</v>
      </c>
      <c r="AO227" s="4">
        <f ca="1">IFERROR(__xludf.DUMMYFUNCTION("""COMPUTED_VALUE"""),3)</f>
        <v>3</v>
      </c>
      <c r="AP227" s="4">
        <f ca="1">IFERROR(__xludf.DUMMYFUNCTION("""COMPUTED_VALUE"""),4)</f>
        <v>4</v>
      </c>
      <c r="AQ227" s="4">
        <f ca="1">IFERROR(__xludf.DUMMYFUNCTION("""COMPUTED_VALUE"""),4)</f>
        <v>4</v>
      </c>
      <c r="AR227" s="4">
        <f ca="1">IFERROR(__xludf.DUMMYFUNCTION("""COMPUTED_VALUE"""),3)</f>
        <v>3</v>
      </c>
      <c r="AS227" s="4">
        <f ca="1">IFERROR(__xludf.DUMMYFUNCTION("""COMPUTED_VALUE"""),4)</f>
        <v>4</v>
      </c>
      <c r="AT227" s="4">
        <f ca="1">IFERROR(__xludf.DUMMYFUNCTION("""COMPUTED_VALUE"""),3)</f>
        <v>3</v>
      </c>
      <c r="AU227" s="4">
        <f ca="1">IFERROR(__xludf.DUMMYFUNCTION("""COMPUTED_VALUE"""),3)</f>
        <v>3</v>
      </c>
      <c r="AV227" s="4">
        <f ca="1">IFERROR(__xludf.DUMMYFUNCTION("""COMPUTED_VALUE"""),3)</f>
        <v>3</v>
      </c>
      <c r="AW227" s="4">
        <f ca="1">IFERROR(__xludf.DUMMYFUNCTION("""COMPUTED_VALUE"""),3)</f>
        <v>3</v>
      </c>
      <c r="AX227" s="4">
        <f ca="1">IFERROR(__xludf.DUMMYFUNCTION("""COMPUTED_VALUE"""),4)</f>
        <v>4</v>
      </c>
      <c r="AY227" s="4">
        <f ca="1">IFERROR(__xludf.DUMMYFUNCTION("""COMPUTED_VALUE"""),3)</f>
        <v>3</v>
      </c>
      <c r="AZ227" s="4">
        <f ca="1">IFERROR(__xludf.DUMMYFUNCTION("""COMPUTED_VALUE"""),3)</f>
        <v>3</v>
      </c>
      <c r="BA227" s="4">
        <f ca="1">IFERROR(__xludf.DUMMYFUNCTION("""COMPUTED_VALUE"""),3)</f>
        <v>3</v>
      </c>
      <c r="BB227" s="4">
        <f ca="1">IFERROR(__xludf.DUMMYFUNCTION("""COMPUTED_VALUE"""),3)</f>
        <v>3</v>
      </c>
      <c r="BC227" s="4">
        <f ca="1">IFERROR(__xludf.DUMMYFUNCTION("""COMPUTED_VALUE"""),4)</f>
        <v>4</v>
      </c>
      <c r="BD227" s="4">
        <f ca="1">IFERROR(__xludf.DUMMYFUNCTION("""COMPUTED_VALUE"""),4)</f>
        <v>4</v>
      </c>
      <c r="BE227" s="4">
        <f ca="1">IFERROR(__xludf.DUMMYFUNCTION("""COMPUTED_VALUE"""),4)</f>
        <v>4</v>
      </c>
      <c r="BF227" s="4">
        <f ca="1">IFERROR(__xludf.DUMMYFUNCTION("""COMPUTED_VALUE"""),3)</f>
        <v>3</v>
      </c>
      <c r="BG227" s="4">
        <f ca="1">IFERROR(__xludf.DUMMYFUNCTION("""COMPUTED_VALUE"""),3)</f>
        <v>3</v>
      </c>
      <c r="BH227" s="4">
        <f ca="1">IFERROR(__xludf.DUMMYFUNCTION("""COMPUTED_VALUE"""),3)</f>
        <v>3</v>
      </c>
      <c r="BI227" s="4">
        <f ca="1">IFERROR(__xludf.DUMMYFUNCTION("""COMPUTED_VALUE"""),3)</f>
        <v>3</v>
      </c>
      <c r="BJ227" s="4">
        <f ca="1">IFERROR(__xludf.DUMMYFUNCTION("""COMPUTED_VALUE"""),4)</f>
        <v>4</v>
      </c>
      <c r="BK227" s="4">
        <f ca="1">IFERROR(__xludf.DUMMYFUNCTION("""COMPUTED_VALUE"""),3)</f>
        <v>3</v>
      </c>
      <c r="BL227" s="4">
        <f ca="1">IFERROR(__xludf.DUMMYFUNCTION("""COMPUTED_VALUE"""),3)</f>
        <v>3</v>
      </c>
      <c r="BM227" s="4">
        <f ca="1">IFERROR(__xludf.DUMMYFUNCTION("""COMPUTED_VALUE"""),4)</f>
        <v>4</v>
      </c>
      <c r="BN227" s="4">
        <f ca="1">IFERROR(__xludf.DUMMYFUNCTION("""COMPUTED_VALUE"""),3)</f>
        <v>3</v>
      </c>
      <c r="BO227" s="4">
        <f ca="1">IFERROR(__xludf.DUMMYFUNCTION("""COMPUTED_VALUE"""),3)</f>
        <v>3</v>
      </c>
      <c r="BP227" s="4">
        <f ca="1">IFERROR(__xludf.DUMMYFUNCTION("""COMPUTED_VALUE"""),3)</f>
        <v>3</v>
      </c>
    </row>
    <row r="228" spans="1:68" ht="13.2" x14ac:dyDescent="0.25">
      <c r="A228" s="4" t="str">
        <f ca="1">IFERROR(__xludf.DUMMYFUNCTION("""COMPUTED_VALUE"""),"2_ABaOnuf8SMGlzcMhzPdlvc0jUW9V5O8Tfa4zL5wD87axUq8FmY9xg1JQQhFOlB5HkA")</f>
        <v>2_ABaOnuf8SMGlzcMhzPdlvc0jUW9V5O8Tfa4zL5wD87axUq8FmY9xg1JQQhFOlB5HkA</v>
      </c>
      <c r="B228" s="5">
        <f ca="1">IFERROR(__xludf.DUMMYFUNCTION("""COMPUTED_VALUE"""),45979.4576195486)</f>
        <v>45979.457619548601</v>
      </c>
      <c r="C228" s="4" t="str">
        <f ca="1">IFERROR(__xludf.DUMMYFUNCTION("""COMPUTED_VALUE"""),"Hoàng thị hoa")</f>
        <v>Hoàng thị hoa</v>
      </c>
      <c r="D228" s="4" t="str">
        <f ca="1">IFERROR(__xludf.DUMMYFUNCTION("""COMPUTED_VALUE"""),"Nữ")</f>
        <v>Nữ</v>
      </c>
      <c r="E228" s="4" t="str">
        <f ca="1">IFERROR(__xludf.DUMMYFUNCTION("""COMPUTED_VALUE"""),"Cty tnhh kiểm toán tưvvaans sáng lập Á Châu")</f>
        <v>Cty tnhh kiểm toán tưvvaans sáng lập Á Châu</v>
      </c>
      <c r="F228" s="4" t="str">
        <f ca="1">IFERROR(__xludf.DUMMYFUNCTION("""COMPUTED_VALUE"""),"Chứng chỉ Kiểm toán viên")</f>
        <v>Chứng chỉ Kiểm toán viên</v>
      </c>
      <c r="G228" s="4" t="str">
        <f ca="1">IFERROR(__xludf.DUMMYFUNCTION("""COMPUTED_VALUE"""),"Trên 5 đến 10 năm")</f>
        <v>Trên 5 đến 10 năm</v>
      </c>
      <c r="H228" s="4" t="str">
        <f ca="1">IFERROR(__xludf.DUMMYFUNCTION("""COMPUTED_VALUE"""),"Trợ lý kiểm toán")</f>
        <v>Trợ lý kiểm toán</v>
      </c>
      <c r="I228" s="4">
        <f ca="1">IFERROR(__xludf.DUMMYFUNCTION("""COMPUTED_VALUE"""),5)</f>
        <v>5</v>
      </c>
      <c r="J228" s="4">
        <f ca="1">IFERROR(__xludf.DUMMYFUNCTION("""COMPUTED_VALUE"""),5)</f>
        <v>5</v>
      </c>
      <c r="K228" s="4">
        <f ca="1">IFERROR(__xludf.DUMMYFUNCTION("""COMPUTED_VALUE"""),5)</f>
        <v>5</v>
      </c>
      <c r="L228" s="4">
        <f ca="1">IFERROR(__xludf.DUMMYFUNCTION("""COMPUTED_VALUE"""),5)</f>
        <v>5</v>
      </c>
      <c r="M228" s="4">
        <f ca="1">IFERROR(__xludf.DUMMYFUNCTION("""COMPUTED_VALUE"""),5)</f>
        <v>5</v>
      </c>
      <c r="N228" s="4">
        <f ca="1">IFERROR(__xludf.DUMMYFUNCTION("""COMPUTED_VALUE"""),5)</f>
        <v>5</v>
      </c>
      <c r="O228" s="4">
        <f ca="1">IFERROR(__xludf.DUMMYFUNCTION("""COMPUTED_VALUE"""),5)</f>
        <v>5</v>
      </c>
      <c r="P228" s="4">
        <f ca="1">IFERROR(__xludf.DUMMYFUNCTION("""COMPUTED_VALUE"""),5)</f>
        <v>5</v>
      </c>
      <c r="Q228" s="4">
        <f ca="1">IFERROR(__xludf.DUMMYFUNCTION("""COMPUTED_VALUE"""),5)</f>
        <v>5</v>
      </c>
      <c r="R228" s="4">
        <f ca="1">IFERROR(__xludf.DUMMYFUNCTION("""COMPUTED_VALUE"""),5)</f>
        <v>5</v>
      </c>
      <c r="S228" s="4">
        <f ca="1">IFERROR(__xludf.DUMMYFUNCTION("""COMPUTED_VALUE"""),5)</f>
        <v>5</v>
      </c>
      <c r="T228" s="4">
        <f ca="1">IFERROR(__xludf.DUMMYFUNCTION("""COMPUTED_VALUE"""),5)</f>
        <v>5</v>
      </c>
      <c r="U228" s="4">
        <f ca="1">IFERROR(__xludf.DUMMYFUNCTION("""COMPUTED_VALUE"""),5)</f>
        <v>5</v>
      </c>
      <c r="V228" s="4">
        <f ca="1">IFERROR(__xludf.DUMMYFUNCTION("""COMPUTED_VALUE"""),5)</f>
        <v>5</v>
      </c>
      <c r="W228" s="4">
        <f ca="1">IFERROR(__xludf.DUMMYFUNCTION("""COMPUTED_VALUE"""),5)</f>
        <v>5</v>
      </c>
      <c r="X228" s="4">
        <f ca="1">IFERROR(__xludf.DUMMYFUNCTION("""COMPUTED_VALUE"""),5)</f>
        <v>5</v>
      </c>
      <c r="Y228" s="4">
        <f ca="1">IFERROR(__xludf.DUMMYFUNCTION("""COMPUTED_VALUE"""),5)</f>
        <v>5</v>
      </c>
      <c r="Z228" s="4">
        <f ca="1">IFERROR(__xludf.DUMMYFUNCTION("""COMPUTED_VALUE"""),5)</f>
        <v>5</v>
      </c>
      <c r="AA228" s="4">
        <f ca="1">IFERROR(__xludf.DUMMYFUNCTION("""COMPUTED_VALUE"""),5)</f>
        <v>5</v>
      </c>
      <c r="AB228" s="4">
        <f ca="1">IFERROR(__xludf.DUMMYFUNCTION("""COMPUTED_VALUE"""),5)</f>
        <v>5</v>
      </c>
      <c r="AC228" s="4">
        <f ca="1">IFERROR(__xludf.DUMMYFUNCTION("""COMPUTED_VALUE"""),5)</f>
        <v>5</v>
      </c>
      <c r="AD228" s="4">
        <f ca="1">IFERROR(__xludf.DUMMYFUNCTION("""COMPUTED_VALUE"""),5)</f>
        <v>5</v>
      </c>
      <c r="AE228" s="4">
        <f ca="1">IFERROR(__xludf.DUMMYFUNCTION("""COMPUTED_VALUE"""),5)</f>
        <v>5</v>
      </c>
      <c r="AF228" s="4">
        <f ca="1">IFERROR(__xludf.DUMMYFUNCTION("""COMPUTED_VALUE"""),5)</f>
        <v>5</v>
      </c>
      <c r="AG228" s="4">
        <f ca="1">IFERROR(__xludf.DUMMYFUNCTION("""COMPUTED_VALUE"""),5)</f>
        <v>5</v>
      </c>
      <c r="AH228" s="4">
        <f ca="1">IFERROR(__xludf.DUMMYFUNCTION("""COMPUTED_VALUE"""),5)</f>
        <v>5</v>
      </c>
      <c r="AI228" s="4">
        <f ca="1">IFERROR(__xludf.DUMMYFUNCTION("""COMPUTED_VALUE"""),5)</f>
        <v>5</v>
      </c>
      <c r="AJ228" s="4">
        <f ca="1">IFERROR(__xludf.DUMMYFUNCTION("""COMPUTED_VALUE"""),5)</f>
        <v>5</v>
      </c>
      <c r="AK228" s="4">
        <f ca="1">IFERROR(__xludf.DUMMYFUNCTION("""COMPUTED_VALUE"""),5)</f>
        <v>5</v>
      </c>
      <c r="AL228" s="4">
        <f ca="1">IFERROR(__xludf.DUMMYFUNCTION("""COMPUTED_VALUE"""),5)</f>
        <v>5</v>
      </c>
      <c r="AM228" s="4">
        <f ca="1">IFERROR(__xludf.DUMMYFUNCTION("""COMPUTED_VALUE"""),5)</f>
        <v>5</v>
      </c>
      <c r="AN228" s="4">
        <f ca="1">IFERROR(__xludf.DUMMYFUNCTION("""COMPUTED_VALUE"""),5)</f>
        <v>5</v>
      </c>
      <c r="AO228" s="4">
        <f ca="1">IFERROR(__xludf.DUMMYFUNCTION("""COMPUTED_VALUE"""),5)</f>
        <v>5</v>
      </c>
      <c r="AP228" s="4">
        <f ca="1">IFERROR(__xludf.DUMMYFUNCTION("""COMPUTED_VALUE"""),5)</f>
        <v>5</v>
      </c>
      <c r="AQ228" s="4">
        <f ca="1">IFERROR(__xludf.DUMMYFUNCTION("""COMPUTED_VALUE"""),5)</f>
        <v>5</v>
      </c>
      <c r="AR228" s="4">
        <f ca="1">IFERROR(__xludf.DUMMYFUNCTION("""COMPUTED_VALUE"""),5)</f>
        <v>5</v>
      </c>
      <c r="AS228" s="4">
        <f ca="1">IFERROR(__xludf.DUMMYFUNCTION("""COMPUTED_VALUE"""),5)</f>
        <v>5</v>
      </c>
      <c r="AT228" s="4">
        <f ca="1">IFERROR(__xludf.DUMMYFUNCTION("""COMPUTED_VALUE"""),5)</f>
        <v>5</v>
      </c>
      <c r="AU228" s="4">
        <f ca="1">IFERROR(__xludf.DUMMYFUNCTION("""COMPUTED_VALUE"""),5)</f>
        <v>5</v>
      </c>
      <c r="AV228" s="4">
        <f ca="1">IFERROR(__xludf.DUMMYFUNCTION("""COMPUTED_VALUE"""),5)</f>
        <v>5</v>
      </c>
      <c r="AW228" s="4">
        <f ca="1">IFERROR(__xludf.DUMMYFUNCTION("""COMPUTED_VALUE"""),5)</f>
        <v>5</v>
      </c>
      <c r="AX228" s="4">
        <f ca="1">IFERROR(__xludf.DUMMYFUNCTION("""COMPUTED_VALUE"""),5)</f>
        <v>5</v>
      </c>
      <c r="AY228" s="4">
        <f ca="1">IFERROR(__xludf.DUMMYFUNCTION("""COMPUTED_VALUE"""),5)</f>
        <v>5</v>
      </c>
      <c r="AZ228" s="4">
        <f ca="1">IFERROR(__xludf.DUMMYFUNCTION("""COMPUTED_VALUE"""),5)</f>
        <v>5</v>
      </c>
      <c r="BA228" s="4">
        <f ca="1">IFERROR(__xludf.DUMMYFUNCTION("""COMPUTED_VALUE"""),5)</f>
        <v>5</v>
      </c>
      <c r="BB228" s="4">
        <f ca="1">IFERROR(__xludf.DUMMYFUNCTION("""COMPUTED_VALUE"""),5)</f>
        <v>5</v>
      </c>
      <c r="BC228" s="4">
        <f ca="1">IFERROR(__xludf.DUMMYFUNCTION("""COMPUTED_VALUE"""),5)</f>
        <v>5</v>
      </c>
      <c r="BD228" s="4">
        <f ca="1">IFERROR(__xludf.DUMMYFUNCTION("""COMPUTED_VALUE"""),5)</f>
        <v>5</v>
      </c>
      <c r="BE228" s="4">
        <f ca="1">IFERROR(__xludf.DUMMYFUNCTION("""COMPUTED_VALUE"""),5)</f>
        <v>5</v>
      </c>
      <c r="BF228" s="4">
        <f ca="1">IFERROR(__xludf.DUMMYFUNCTION("""COMPUTED_VALUE"""),5)</f>
        <v>5</v>
      </c>
      <c r="BG228" s="4">
        <f ca="1">IFERROR(__xludf.DUMMYFUNCTION("""COMPUTED_VALUE"""),5)</f>
        <v>5</v>
      </c>
      <c r="BH228" s="4">
        <f ca="1">IFERROR(__xludf.DUMMYFUNCTION("""COMPUTED_VALUE"""),5)</f>
        <v>5</v>
      </c>
      <c r="BI228" s="4">
        <f ca="1">IFERROR(__xludf.DUMMYFUNCTION("""COMPUTED_VALUE"""),5)</f>
        <v>5</v>
      </c>
      <c r="BJ228" s="4">
        <f ca="1">IFERROR(__xludf.DUMMYFUNCTION("""COMPUTED_VALUE"""),5)</f>
        <v>5</v>
      </c>
      <c r="BK228" s="4">
        <f ca="1">IFERROR(__xludf.DUMMYFUNCTION("""COMPUTED_VALUE"""),5)</f>
        <v>5</v>
      </c>
      <c r="BL228" s="4">
        <f ca="1">IFERROR(__xludf.DUMMYFUNCTION("""COMPUTED_VALUE"""),5)</f>
        <v>5</v>
      </c>
      <c r="BM228" s="4">
        <f ca="1">IFERROR(__xludf.DUMMYFUNCTION("""COMPUTED_VALUE"""),5)</f>
        <v>5</v>
      </c>
      <c r="BN228" s="4">
        <f ca="1">IFERROR(__xludf.DUMMYFUNCTION("""COMPUTED_VALUE"""),5)</f>
        <v>5</v>
      </c>
      <c r="BO228" s="4">
        <f ca="1">IFERROR(__xludf.DUMMYFUNCTION("""COMPUTED_VALUE"""),5)</f>
        <v>5</v>
      </c>
      <c r="BP228" s="4">
        <f ca="1">IFERROR(__xludf.DUMMYFUNCTION("""COMPUTED_VALUE"""),5)</f>
        <v>5</v>
      </c>
    </row>
    <row r="229" spans="1:68" ht="13.2" x14ac:dyDescent="0.25">
      <c r="A229" s="4" t="str">
        <f ca="1">IFERROR(__xludf.DUMMYFUNCTION("""COMPUTED_VALUE"""),"2_ABaOnufSLC4RuwKq8cKyKrQt5kajqmggPdeF32g-mi1XM6ShWzAioW9qmbR6eUhzjA")</f>
        <v>2_ABaOnufSLC4RuwKq8cKyKrQt5kajqmggPdeF32g-mi1XM6ShWzAioW9qmbR6eUhzjA</v>
      </c>
      <c r="B229" s="5">
        <f ca="1">IFERROR(__xludf.DUMMYFUNCTION("""COMPUTED_VALUE"""),45979.4585513773)</f>
        <v>45979.458551377298</v>
      </c>
      <c r="C229" s="4" t="str">
        <f ca="1">IFERROR(__xludf.DUMMYFUNCTION("""COMPUTED_VALUE"""),"Trần minh quốc ")</f>
        <v xml:space="preserve">Trần minh quốc </v>
      </c>
      <c r="D229" s="4" t="str">
        <f ca="1">IFERROR(__xludf.DUMMYFUNCTION("""COMPUTED_VALUE"""),"Nam")</f>
        <v>Nam</v>
      </c>
      <c r="E229" s="4" t="str">
        <f ca="1">IFERROR(__xludf.DUMMYFUNCTION("""COMPUTED_VALUE"""),"Cty TNHH kiểm toán tư vấn sáng lập á châu")</f>
        <v>Cty TNHH kiểm toán tư vấn sáng lập á châu</v>
      </c>
      <c r="F229" s="4" t="str">
        <f ca="1">IFERROR(__xludf.DUMMYFUNCTION("""COMPUTED_VALUE"""),"Đại học")</f>
        <v>Đại học</v>
      </c>
      <c r="G229" s="4" t="str">
        <f ca="1">IFERROR(__xludf.DUMMYFUNCTION("""COMPUTED_VALUE"""),"Từ 3 đến 5 năm")</f>
        <v>Từ 3 đến 5 năm</v>
      </c>
      <c r="H229" s="4" t="str">
        <f ca="1">IFERROR(__xludf.DUMMYFUNCTION("""COMPUTED_VALUE"""),"Trợ lý kiểm toán")</f>
        <v>Trợ lý kiểm toán</v>
      </c>
      <c r="I229" s="4">
        <f ca="1">IFERROR(__xludf.DUMMYFUNCTION("""COMPUTED_VALUE"""),5)</f>
        <v>5</v>
      </c>
      <c r="J229" s="4">
        <f ca="1">IFERROR(__xludf.DUMMYFUNCTION("""COMPUTED_VALUE"""),5)</f>
        <v>5</v>
      </c>
      <c r="K229" s="4">
        <f ca="1">IFERROR(__xludf.DUMMYFUNCTION("""COMPUTED_VALUE"""),5)</f>
        <v>5</v>
      </c>
      <c r="L229" s="4">
        <f ca="1">IFERROR(__xludf.DUMMYFUNCTION("""COMPUTED_VALUE"""),5)</f>
        <v>5</v>
      </c>
      <c r="M229" s="4">
        <f ca="1">IFERROR(__xludf.DUMMYFUNCTION("""COMPUTED_VALUE"""),5)</f>
        <v>5</v>
      </c>
      <c r="N229" s="4">
        <f ca="1">IFERROR(__xludf.DUMMYFUNCTION("""COMPUTED_VALUE"""),5)</f>
        <v>5</v>
      </c>
      <c r="O229" s="4">
        <f ca="1">IFERROR(__xludf.DUMMYFUNCTION("""COMPUTED_VALUE"""),5)</f>
        <v>5</v>
      </c>
      <c r="P229" s="4">
        <f ca="1">IFERROR(__xludf.DUMMYFUNCTION("""COMPUTED_VALUE"""),5)</f>
        <v>5</v>
      </c>
      <c r="Q229" s="4">
        <f ca="1">IFERROR(__xludf.DUMMYFUNCTION("""COMPUTED_VALUE"""),5)</f>
        <v>5</v>
      </c>
      <c r="R229" s="4">
        <f ca="1">IFERROR(__xludf.DUMMYFUNCTION("""COMPUTED_VALUE"""),5)</f>
        <v>5</v>
      </c>
      <c r="S229" s="4">
        <f ca="1">IFERROR(__xludf.DUMMYFUNCTION("""COMPUTED_VALUE"""),5)</f>
        <v>5</v>
      </c>
      <c r="T229" s="4">
        <f ca="1">IFERROR(__xludf.DUMMYFUNCTION("""COMPUTED_VALUE"""),5)</f>
        <v>5</v>
      </c>
      <c r="U229" s="4">
        <f ca="1">IFERROR(__xludf.DUMMYFUNCTION("""COMPUTED_VALUE"""),5)</f>
        <v>5</v>
      </c>
      <c r="V229" s="4">
        <f ca="1">IFERROR(__xludf.DUMMYFUNCTION("""COMPUTED_VALUE"""),5)</f>
        <v>5</v>
      </c>
      <c r="W229" s="4">
        <f ca="1">IFERROR(__xludf.DUMMYFUNCTION("""COMPUTED_VALUE"""),5)</f>
        <v>5</v>
      </c>
      <c r="X229" s="4">
        <f ca="1">IFERROR(__xludf.DUMMYFUNCTION("""COMPUTED_VALUE"""),5)</f>
        <v>5</v>
      </c>
      <c r="Y229" s="4">
        <f ca="1">IFERROR(__xludf.DUMMYFUNCTION("""COMPUTED_VALUE"""),5)</f>
        <v>5</v>
      </c>
      <c r="Z229" s="4">
        <f ca="1">IFERROR(__xludf.DUMMYFUNCTION("""COMPUTED_VALUE"""),5)</f>
        <v>5</v>
      </c>
      <c r="AA229" s="4">
        <f ca="1">IFERROR(__xludf.DUMMYFUNCTION("""COMPUTED_VALUE"""),5)</f>
        <v>5</v>
      </c>
      <c r="AB229" s="4">
        <f ca="1">IFERROR(__xludf.DUMMYFUNCTION("""COMPUTED_VALUE"""),5)</f>
        <v>5</v>
      </c>
      <c r="AC229" s="4">
        <f ca="1">IFERROR(__xludf.DUMMYFUNCTION("""COMPUTED_VALUE"""),5)</f>
        <v>5</v>
      </c>
      <c r="AD229" s="4">
        <f ca="1">IFERROR(__xludf.DUMMYFUNCTION("""COMPUTED_VALUE"""),5)</f>
        <v>5</v>
      </c>
      <c r="AE229" s="4">
        <f ca="1">IFERROR(__xludf.DUMMYFUNCTION("""COMPUTED_VALUE"""),5)</f>
        <v>5</v>
      </c>
      <c r="AF229" s="4">
        <f ca="1">IFERROR(__xludf.DUMMYFUNCTION("""COMPUTED_VALUE"""),5)</f>
        <v>5</v>
      </c>
      <c r="AG229" s="4">
        <f ca="1">IFERROR(__xludf.DUMMYFUNCTION("""COMPUTED_VALUE"""),5)</f>
        <v>5</v>
      </c>
      <c r="AH229" s="4">
        <f ca="1">IFERROR(__xludf.DUMMYFUNCTION("""COMPUTED_VALUE"""),5)</f>
        <v>5</v>
      </c>
      <c r="AI229" s="4">
        <f ca="1">IFERROR(__xludf.DUMMYFUNCTION("""COMPUTED_VALUE"""),5)</f>
        <v>5</v>
      </c>
      <c r="AJ229" s="4">
        <f ca="1">IFERROR(__xludf.DUMMYFUNCTION("""COMPUTED_VALUE"""),5)</f>
        <v>5</v>
      </c>
      <c r="AK229" s="4">
        <f ca="1">IFERROR(__xludf.DUMMYFUNCTION("""COMPUTED_VALUE"""),5)</f>
        <v>5</v>
      </c>
      <c r="AL229" s="4">
        <f ca="1">IFERROR(__xludf.DUMMYFUNCTION("""COMPUTED_VALUE"""),5)</f>
        <v>5</v>
      </c>
      <c r="AM229" s="4">
        <f ca="1">IFERROR(__xludf.DUMMYFUNCTION("""COMPUTED_VALUE"""),5)</f>
        <v>5</v>
      </c>
      <c r="AN229" s="4">
        <f ca="1">IFERROR(__xludf.DUMMYFUNCTION("""COMPUTED_VALUE"""),5)</f>
        <v>5</v>
      </c>
      <c r="AO229" s="4">
        <f ca="1">IFERROR(__xludf.DUMMYFUNCTION("""COMPUTED_VALUE"""),5)</f>
        <v>5</v>
      </c>
      <c r="AP229" s="4">
        <f ca="1">IFERROR(__xludf.DUMMYFUNCTION("""COMPUTED_VALUE"""),5)</f>
        <v>5</v>
      </c>
      <c r="AQ229" s="4">
        <f ca="1">IFERROR(__xludf.DUMMYFUNCTION("""COMPUTED_VALUE"""),5)</f>
        <v>5</v>
      </c>
      <c r="AR229" s="4">
        <f ca="1">IFERROR(__xludf.DUMMYFUNCTION("""COMPUTED_VALUE"""),5)</f>
        <v>5</v>
      </c>
      <c r="AS229" s="4">
        <f ca="1">IFERROR(__xludf.DUMMYFUNCTION("""COMPUTED_VALUE"""),5)</f>
        <v>5</v>
      </c>
      <c r="AT229" s="4">
        <f ca="1">IFERROR(__xludf.DUMMYFUNCTION("""COMPUTED_VALUE"""),5)</f>
        <v>5</v>
      </c>
      <c r="AU229" s="4">
        <f ca="1">IFERROR(__xludf.DUMMYFUNCTION("""COMPUTED_VALUE"""),5)</f>
        <v>5</v>
      </c>
      <c r="AV229" s="4">
        <f ca="1">IFERROR(__xludf.DUMMYFUNCTION("""COMPUTED_VALUE"""),5)</f>
        <v>5</v>
      </c>
      <c r="AW229" s="4">
        <f ca="1">IFERROR(__xludf.DUMMYFUNCTION("""COMPUTED_VALUE"""),5)</f>
        <v>5</v>
      </c>
      <c r="AX229" s="4">
        <f ca="1">IFERROR(__xludf.DUMMYFUNCTION("""COMPUTED_VALUE"""),5)</f>
        <v>5</v>
      </c>
      <c r="AY229" s="4">
        <f ca="1">IFERROR(__xludf.DUMMYFUNCTION("""COMPUTED_VALUE"""),5)</f>
        <v>5</v>
      </c>
      <c r="AZ229" s="4">
        <f ca="1">IFERROR(__xludf.DUMMYFUNCTION("""COMPUTED_VALUE"""),5)</f>
        <v>5</v>
      </c>
      <c r="BA229" s="4">
        <f ca="1">IFERROR(__xludf.DUMMYFUNCTION("""COMPUTED_VALUE"""),5)</f>
        <v>5</v>
      </c>
      <c r="BB229" s="4">
        <f ca="1">IFERROR(__xludf.DUMMYFUNCTION("""COMPUTED_VALUE"""),5)</f>
        <v>5</v>
      </c>
      <c r="BC229" s="4">
        <f ca="1">IFERROR(__xludf.DUMMYFUNCTION("""COMPUTED_VALUE"""),5)</f>
        <v>5</v>
      </c>
      <c r="BD229" s="4">
        <f ca="1">IFERROR(__xludf.DUMMYFUNCTION("""COMPUTED_VALUE"""),5)</f>
        <v>5</v>
      </c>
      <c r="BE229" s="4">
        <f ca="1">IFERROR(__xludf.DUMMYFUNCTION("""COMPUTED_VALUE"""),5)</f>
        <v>5</v>
      </c>
      <c r="BF229" s="4">
        <f ca="1">IFERROR(__xludf.DUMMYFUNCTION("""COMPUTED_VALUE"""),5)</f>
        <v>5</v>
      </c>
      <c r="BG229" s="4">
        <f ca="1">IFERROR(__xludf.DUMMYFUNCTION("""COMPUTED_VALUE"""),5)</f>
        <v>5</v>
      </c>
      <c r="BH229" s="4">
        <f ca="1">IFERROR(__xludf.DUMMYFUNCTION("""COMPUTED_VALUE"""),5)</f>
        <v>5</v>
      </c>
      <c r="BI229" s="4">
        <f ca="1">IFERROR(__xludf.DUMMYFUNCTION("""COMPUTED_VALUE"""),5)</f>
        <v>5</v>
      </c>
      <c r="BJ229" s="4">
        <f ca="1">IFERROR(__xludf.DUMMYFUNCTION("""COMPUTED_VALUE"""),5)</f>
        <v>5</v>
      </c>
      <c r="BK229" s="4">
        <f ca="1">IFERROR(__xludf.DUMMYFUNCTION("""COMPUTED_VALUE"""),5)</f>
        <v>5</v>
      </c>
      <c r="BL229" s="4">
        <f ca="1">IFERROR(__xludf.DUMMYFUNCTION("""COMPUTED_VALUE"""),5)</f>
        <v>5</v>
      </c>
      <c r="BM229" s="4">
        <f ca="1">IFERROR(__xludf.DUMMYFUNCTION("""COMPUTED_VALUE"""),5)</f>
        <v>5</v>
      </c>
      <c r="BN229" s="4">
        <f ca="1">IFERROR(__xludf.DUMMYFUNCTION("""COMPUTED_VALUE"""),5)</f>
        <v>5</v>
      </c>
      <c r="BO229" s="4">
        <f ca="1">IFERROR(__xludf.DUMMYFUNCTION("""COMPUTED_VALUE"""),5)</f>
        <v>5</v>
      </c>
      <c r="BP229" s="4">
        <f ca="1">IFERROR(__xludf.DUMMYFUNCTION("""COMPUTED_VALUE"""),5)</f>
        <v>5</v>
      </c>
    </row>
    <row r="230" spans="1:68" ht="13.2" x14ac:dyDescent="0.25">
      <c r="A230" s="4" t="str">
        <f ca="1">IFERROR(__xludf.DUMMYFUNCTION("""COMPUTED_VALUE"""),"2_ABaOnufQrWGg5oNW--E64j0ZxxwNOcch5DAh5mdUgpnXKoJk1kf6KydbbhcNGOruoQ")</f>
        <v>2_ABaOnufQrWGg5oNW--E64j0ZxxwNOcch5DAh5mdUgpnXKoJk1kf6KydbbhcNGOruoQ</v>
      </c>
      <c r="B230" s="5">
        <f ca="1">IFERROR(__xludf.DUMMYFUNCTION("""COMPUTED_VALUE"""),45979.4589099074)</f>
        <v>45979.4589099074</v>
      </c>
      <c r="C230" s="4" t="str">
        <f ca="1">IFERROR(__xludf.DUMMYFUNCTION("""COMPUTED_VALUE"""),"Nguyễn Thị Minh Anh")</f>
        <v>Nguyễn Thị Minh Anh</v>
      </c>
      <c r="D230" s="4" t="str">
        <f ca="1">IFERROR(__xludf.DUMMYFUNCTION("""COMPUTED_VALUE"""),"Nữ")</f>
        <v>Nữ</v>
      </c>
      <c r="E230" s="4" t="str">
        <f ca="1">IFERROR(__xludf.DUMMYFUNCTION("""COMPUTED_VALUE"""),"Công ty TNHH Kiểm toán SG-VN")</f>
        <v>Công ty TNHH Kiểm toán SG-VN</v>
      </c>
      <c r="F230" s="4" t="str">
        <f ca="1">IFERROR(__xludf.DUMMYFUNCTION("""COMPUTED_VALUE"""),"Đại học")</f>
        <v>Đại học</v>
      </c>
      <c r="G230" s="4" t="str">
        <f ca="1">IFERROR(__xludf.DUMMYFUNCTION("""COMPUTED_VALUE"""),"Từ 3 đến 5 năm")</f>
        <v>Từ 3 đến 5 năm</v>
      </c>
      <c r="H230" s="4" t="str">
        <f ca="1">IFERROR(__xludf.DUMMYFUNCTION("""COMPUTED_VALUE"""),"Trợ lý kiểm toán")</f>
        <v>Trợ lý kiểm toán</v>
      </c>
      <c r="I230" s="4">
        <f ca="1">IFERROR(__xludf.DUMMYFUNCTION("""COMPUTED_VALUE"""),5)</f>
        <v>5</v>
      </c>
      <c r="J230" s="4">
        <f ca="1">IFERROR(__xludf.DUMMYFUNCTION("""COMPUTED_VALUE"""),5)</f>
        <v>5</v>
      </c>
      <c r="K230" s="4">
        <f ca="1">IFERROR(__xludf.DUMMYFUNCTION("""COMPUTED_VALUE"""),4)</f>
        <v>4</v>
      </c>
      <c r="L230" s="4">
        <f ca="1">IFERROR(__xludf.DUMMYFUNCTION("""COMPUTED_VALUE"""),3)</f>
        <v>3</v>
      </c>
      <c r="M230" s="4">
        <f ca="1">IFERROR(__xludf.DUMMYFUNCTION("""COMPUTED_VALUE"""),4)</f>
        <v>4</v>
      </c>
      <c r="N230" s="4">
        <f ca="1">IFERROR(__xludf.DUMMYFUNCTION("""COMPUTED_VALUE"""),3)</f>
        <v>3</v>
      </c>
      <c r="O230" s="4">
        <f ca="1">IFERROR(__xludf.DUMMYFUNCTION("""COMPUTED_VALUE"""),4)</f>
        <v>4</v>
      </c>
      <c r="P230" s="4">
        <f ca="1">IFERROR(__xludf.DUMMYFUNCTION("""COMPUTED_VALUE"""),5)</f>
        <v>5</v>
      </c>
      <c r="Q230" s="4">
        <f ca="1">IFERROR(__xludf.DUMMYFUNCTION("""COMPUTED_VALUE"""),5)</f>
        <v>5</v>
      </c>
      <c r="R230" s="4">
        <f ca="1">IFERROR(__xludf.DUMMYFUNCTION("""COMPUTED_VALUE"""),3)</f>
        <v>3</v>
      </c>
      <c r="S230" s="4">
        <f ca="1">IFERROR(__xludf.DUMMYFUNCTION("""COMPUTED_VALUE"""),5)</f>
        <v>5</v>
      </c>
      <c r="T230" s="4">
        <f ca="1">IFERROR(__xludf.DUMMYFUNCTION("""COMPUTED_VALUE"""),4)</f>
        <v>4</v>
      </c>
      <c r="U230" s="4">
        <f ca="1">IFERROR(__xludf.DUMMYFUNCTION("""COMPUTED_VALUE"""),5)</f>
        <v>5</v>
      </c>
      <c r="V230" s="4">
        <f ca="1">IFERROR(__xludf.DUMMYFUNCTION("""COMPUTED_VALUE"""),4)</f>
        <v>4</v>
      </c>
      <c r="W230" s="4">
        <f ca="1">IFERROR(__xludf.DUMMYFUNCTION("""COMPUTED_VALUE"""),3)</f>
        <v>3</v>
      </c>
      <c r="X230" s="4">
        <f ca="1">IFERROR(__xludf.DUMMYFUNCTION("""COMPUTED_VALUE"""),4)</f>
        <v>4</v>
      </c>
      <c r="Y230" s="4">
        <f ca="1">IFERROR(__xludf.DUMMYFUNCTION("""COMPUTED_VALUE"""),2)</f>
        <v>2</v>
      </c>
      <c r="Z230" s="4">
        <f ca="1">IFERROR(__xludf.DUMMYFUNCTION("""COMPUTED_VALUE"""),4)</f>
        <v>4</v>
      </c>
      <c r="AA230" s="4">
        <f ca="1">IFERROR(__xludf.DUMMYFUNCTION("""COMPUTED_VALUE"""),2)</f>
        <v>2</v>
      </c>
      <c r="AB230" s="4">
        <f ca="1">IFERROR(__xludf.DUMMYFUNCTION("""COMPUTED_VALUE"""),2)</f>
        <v>2</v>
      </c>
      <c r="AC230" s="4">
        <f ca="1">IFERROR(__xludf.DUMMYFUNCTION("""COMPUTED_VALUE"""),3)</f>
        <v>3</v>
      </c>
      <c r="AD230" s="4">
        <f ca="1">IFERROR(__xludf.DUMMYFUNCTION("""COMPUTED_VALUE"""),3)</f>
        <v>3</v>
      </c>
      <c r="AE230" s="4">
        <f ca="1">IFERROR(__xludf.DUMMYFUNCTION("""COMPUTED_VALUE"""),4)</f>
        <v>4</v>
      </c>
      <c r="AF230" s="4">
        <f ca="1">IFERROR(__xludf.DUMMYFUNCTION("""COMPUTED_VALUE"""),5)</f>
        <v>5</v>
      </c>
      <c r="AG230" s="4">
        <f ca="1">IFERROR(__xludf.DUMMYFUNCTION("""COMPUTED_VALUE"""),5)</f>
        <v>5</v>
      </c>
      <c r="AH230" s="4">
        <f ca="1">IFERROR(__xludf.DUMMYFUNCTION("""COMPUTED_VALUE"""),5)</f>
        <v>5</v>
      </c>
      <c r="AI230" s="4">
        <f ca="1">IFERROR(__xludf.DUMMYFUNCTION("""COMPUTED_VALUE"""),5)</f>
        <v>5</v>
      </c>
      <c r="AJ230" s="4">
        <f ca="1">IFERROR(__xludf.DUMMYFUNCTION("""COMPUTED_VALUE"""),5)</f>
        <v>5</v>
      </c>
      <c r="AK230" s="4">
        <f ca="1">IFERROR(__xludf.DUMMYFUNCTION("""COMPUTED_VALUE"""),5)</f>
        <v>5</v>
      </c>
      <c r="AL230" s="4">
        <f ca="1">IFERROR(__xludf.DUMMYFUNCTION("""COMPUTED_VALUE"""),5)</f>
        <v>5</v>
      </c>
      <c r="AM230" s="4">
        <f ca="1">IFERROR(__xludf.DUMMYFUNCTION("""COMPUTED_VALUE"""),5)</f>
        <v>5</v>
      </c>
      <c r="AN230" s="4">
        <f ca="1">IFERROR(__xludf.DUMMYFUNCTION("""COMPUTED_VALUE"""),5)</f>
        <v>5</v>
      </c>
      <c r="AO230" s="4">
        <f ca="1">IFERROR(__xludf.DUMMYFUNCTION("""COMPUTED_VALUE"""),4)</f>
        <v>4</v>
      </c>
      <c r="AP230" s="4">
        <f ca="1">IFERROR(__xludf.DUMMYFUNCTION("""COMPUTED_VALUE"""),4)</f>
        <v>4</v>
      </c>
      <c r="AQ230" s="4">
        <f ca="1">IFERROR(__xludf.DUMMYFUNCTION("""COMPUTED_VALUE"""),4)</f>
        <v>4</v>
      </c>
      <c r="AR230" s="4">
        <f ca="1">IFERROR(__xludf.DUMMYFUNCTION("""COMPUTED_VALUE"""),5)</f>
        <v>5</v>
      </c>
      <c r="AS230" s="4">
        <f ca="1">IFERROR(__xludf.DUMMYFUNCTION("""COMPUTED_VALUE"""),5)</f>
        <v>5</v>
      </c>
      <c r="AT230" s="4">
        <f ca="1">IFERROR(__xludf.DUMMYFUNCTION("""COMPUTED_VALUE"""),2)</f>
        <v>2</v>
      </c>
      <c r="AU230" s="4">
        <f ca="1">IFERROR(__xludf.DUMMYFUNCTION("""COMPUTED_VALUE"""),3)</f>
        <v>3</v>
      </c>
      <c r="AV230" s="4">
        <f ca="1">IFERROR(__xludf.DUMMYFUNCTION("""COMPUTED_VALUE"""),4)</f>
        <v>4</v>
      </c>
      <c r="AW230" s="4">
        <f ca="1">IFERROR(__xludf.DUMMYFUNCTION("""COMPUTED_VALUE"""),4)</f>
        <v>4</v>
      </c>
      <c r="AX230" s="4">
        <f ca="1">IFERROR(__xludf.DUMMYFUNCTION("""COMPUTED_VALUE"""),5)</f>
        <v>5</v>
      </c>
      <c r="AY230" s="4">
        <f ca="1">IFERROR(__xludf.DUMMYFUNCTION("""COMPUTED_VALUE"""),5)</f>
        <v>5</v>
      </c>
      <c r="AZ230" s="4">
        <f ca="1">IFERROR(__xludf.DUMMYFUNCTION("""COMPUTED_VALUE"""),5)</f>
        <v>5</v>
      </c>
      <c r="BA230" s="4">
        <f ca="1">IFERROR(__xludf.DUMMYFUNCTION("""COMPUTED_VALUE"""),5)</f>
        <v>5</v>
      </c>
      <c r="BB230" s="4">
        <f ca="1">IFERROR(__xludf.DUMMYFUNCTION("""COMPUTED_VALUE"""),3)</f>
        <v>3</v>
      </c>
      <c r="BC230" s="4">
        <f ca="1">IFERROR(__xludf.DUMMYFUNCTION("""COMPUTED_VALUE"""),3)</f>
        <v>3</v>
      </c>
      <c r="BD230" s="4">
        <f ca="1">IFERROR(__xludf.DUMMYFUNCTION("""COMPUTED_VALUE"""),3)</f>
        <v>3</v>
      </c>
      <c r="BE230" s="4">
        <f ca="1">IFERROR(__xludf.DUMMYFUNCTION("""COMPUTED_VALUE"""),3)</f>
        <v>3</v>
      </c>
      <c r="BF230" s="4">
        <f ca="1">IFERROR(__xludf.DUMMYFUNCTION("""COMPUTED_VALUE"""),3)</f>
        <v>3</v>
      </c>
      <c r="BG230" s="4">
        <f ca="1">IFERROR(__xludf.DUMMYFUNCTION("""COMPUTED_VALUE"""),4)</f>
        <v>4</v>
      </c>
      <c r="BH230" s="4">
        <f ca="1">IFERROR(__xludf.DUMMYFUNCTION("""COMPUTED_VALUE"""),3)</f>
        <v>3</v>
      </c>
      <c r="BI230" s="4">
        <f ca="1">IFERROR(__xludf.DUMMYFUNCTION("""COMPUTED_VALUE"""),3)</f>
        <v>3</v>
      </c>
      <c r="BJ230" s="4">
        <f ca="1">IFERROR(__xludf.DUMMYFUNCTION("""COMPUTED_VALUE"""),5)</f>
        <v>5</v>
      </c>
      <c r="BK230" s="4">
        <f ca="1">IFERROR(__xludf.DUMMYFUNCTION("""COMPUTED_VALUE"""),5)</f>
        <v>5</v>
      </c>
      <c r="BL230" s="4">
        <f ca="1">IFERROR(__xludf.DUMMYFUNCTION("""COMPUTED_VALUE"""),5)</f>
        <v>5</v>
      </c>
      <c r="BM230" s="4">
        <f ca="1">IFERROR(__xludf.DUMMYFUNCTION("""COMPUTED_VALUE"""),4)</f>
        <v>4</v>
      </c>
      <c r="BN230" s="4">
        <f ca="1">IFERROR(__xludf.DUMMYFUNCTION("""COMPUTED_VALUE"""),5)</f>
        <v>5</v>
      </c>
      <c r="BO230" s="4">
        <f ca="1">IFERROR(__xludf.DUMMYFUNCTION("""COMPUTED_VALUE"""),5)</f>
        <v>5</v>
      </c>
      <c r="BP230" s="4">
        <f ca="1">IFERROR(__xludf.DUMMYFUNCTION("""COMPUTED_VALUE"""),5)</f>
        <v>5</v>
      </c>
    </row>
    <row r="231" spans="1:68" ht="13.2" x14ac:dyDescent="0.25">
      <c r="A231" s="4" t="str">
        <f ca="1">IFERROR(__xludf.DUMMYFUNCTION("""COMPUTED_VALUE"""),"2_ABaOnucUEZ2q3JyQTIRC_7K16Z-LznaCzza_BgDPieuB2CiJZX91FZ5bzYnTsE0OVw")</f>
        <v>2_ABaOnucUEZ2q3JyQTIRC_7K16Z-LznaCzza_BgDPieuB2CiJZX91FZ5bzYnTsE0OVw</v>
      </c>
      <c r="B231" s="5">
        <f ca="1">IFERROR(__xludf.DUMMYFUNCTION("""COMPUTED_VALUE"""),45979.4677791782)</f>
        <v>45979.467779178201</v>
      </c>
      <c r="C231" s="4" t="str">
        <f ca="1">IFERROR(__xludf.DUMMYFUNCTION("""COMPUTED_VALUE"""),"Phạm Trường Giang")</f>
        <v>Phạm Trường Giang</v>
      </c>
      <c r="D231" s="4" t="str">
        <f ca="1">IFERROR(__xludf.DUMMYFUNCTION("""COMPUTED_VALUE"""),"Nam")</f>
        <v>Nam</v>
      </c>
      <c r="E231" s="4" t="str">
        <f ca="1">IFERROR(__xludf.DUMMYFUNCTION("""COMPUTED_VALUE"""),"Công ty TNHH Kiểm toán BDO")</f>
        <v>Công ty TNHH Kiểm toán BDO</v>
      </c>
      <c r="F231" s="4" t="str">
        <f ca="1">IFERROR(__xludf.DUMMYFUNCTION("""COMPUTED_VALUE"""),"Đại học")</f>
        <v>Đại học</v>
      </c>
      <c r="G231" s="4" t="str">
        <f ca="1">IFERROR(__xludf.DUMMYFUNCTION("""COMPUTED_VALUE"""),"Trên 10 đến 15 năm")</f>
        <v>Trên 10 đến 15 năm</v>
      </c>
      <c r="H231" s="4" t="str">
        <f ca="1">IFERROR(__xludf.DUMMYFUNCTION("""COMPUTED_VALUE"""),"Kiểm toán viên/Trưởng nhóm")</f>
        <v>Kiểm toán viên/Trưởng nhóm</v>
      </c>
      <c r="I231" s="4">
        <f ca="1">IFERROR(__xludf.DUMMYFUNCTION("""COMPUTED_VALUE"""),4)</f>
        <v>4</v>
      </c>
      <c r="J231" s="4">
        <f ca="1">IFERROR(__xludf.DUMMYFUNCTION("""COMPUTED_VALUE"""),4)</f>
        <v>4</v>
      </c>
      <c r="K231" s="4">
        <f ca="1">IFERROR(__xludf.DUMMYFUNCTION("""COMPUTED_VALUE"""),4)</f>
        <v>4</v>
      </c>
      <c r="L231" s="4">
        <f ca="1">IFERROR(__xludf.DUMMYFUNCTION("""COMPUTED_VALUE"""),4)</f>
        <v>4</v>
      </c>
      <c r="M231" s="4">
        <f ca="1">IFERROR(__xludf.DUMMYFUNCTION("""COMPUTED_VALUE"""),4)</f>
        <v>4</v>
      </c>
      <c r="N231" s="4">
        <f ca="1">IFERROR(__xludf.DUMMYFUNCTION("""COMPUTED_VALUE"""),4)</f>
        <v>4</v>
      </c>
      <c r="O231" s="4">
        <f ca="1">IFERROR(__xludf.DUMMYFUNCTION("""COMPUTED_VALUE"""),4)</f>
        <v>4</v>
      </c>
      <c r="P231" s="4">
        <f ca="1">IFERROR(__xludf.DUMMYFUNCTION("""COMPUTED_VALUE"""),4)</f>
        <v>4</v>
      </c>
      <c r="Q231" s="4">
        <f ca="1">IFERROR(__xludf.DUMMYFUNCTION("""COMPUTED_VALUE"""),4)</f>
        <v>4</v>
      </c>
      <c r="R231" s="4">
        <f ca="1">IFERROR(__xludf.DUMMYFUNCTION("""COMPUTED_VALUE"""),4)</f>
        <v>4</v>
      </c>
      <c r="S231" s="4">
        <f ca="1">IFERROR(__xludf.DUMMYFUNCTION("""COMPUTED_VALUE"""),4)</f>
        <v>4</v>
      </c>
      <c r="T231" s="4">
        <f ca="1">IFERROR(__xludf.DUMMYFUNCTION("""COMPUTED_VALUE"""),4)</f>
        <v>4</v>
      </c>
      <c r="U231" s="4">
        <f ca="1">IFERROR(__xludf.DUMMYFUNCTION("""COMPUTED_VALUE"""),4)</f>
        <v>4</v>
      </c>
      <c r="V231" s="4">
        <f ca="1">IFERROR(__xludf.DUMMYFUNCTION("""COMPUTED_VALUE"""),4)</f>
        <v>4</v>
      </c>
      <c r="W231" s="4">
        <f ca="1">IFERROR(__xludf.DUMMYFUNCTION("""COMPUTED_VALUE"""),4)</f>
        <v>4</v>
      </c>
      <c r="X231" s="4">
        <f ca="1">IFERROR(__xludf.DUMMYFUNCTION("""COMPUTED_VALUE"""),4)</f>
        <v>4</v>
      </c>
      <c r="Y231" s="4">
        <f ca="1">IFERROR(__xludf.DUMMYFUNCTION("""COMPUTED_VALUE"""),4)</f>
        <v>4</v>
      </c>
      <c r="Z231" s="4">
        <f ca="1">IFERROR(__xludf.DUMMYFUNCTION("""COMPUTED_VALUE"""),4)</f>
        <v>4</v>
      </c>
      <c r="AA231" s="4">
        <f ca="1">IFERROR(__xludf.DUMMYFUNCTION("""COMPUTED_VALUE"""),4)</f>
        <v>4</v>
      </c>
      <c r="AB231" s="4">
        <f ca="1">IFERROR(__xludf.DUMMYFUNCTION("""COMPUTED_VALUE"""),4)</f>
        <v>4</v>
      </c>
      <c r="AC231" s="4">
        <f ca="1">IFERROR(__xludf.DUMMYFUNCTION("""COMPUTED_VALUE"""),4)</f>
        <v>4</v>
      </c>
      <c r="AD231" s="4">
        <f ca="1">IFERROR(__xludf.DUMMYFUNCTION("""COMPUTED_VALUE"""),4)</f>
        <v>4</v>
      </c>
      <c r="AE231" s="4">
        <f ca="1">IFERROR(__xludf.DUMMYFUNCTION("""COMPUTED_VALUE"""),4)</f>
        <v>4</v>
      </c>
      <c r="AF231" s="4">
        <f ca="1">IFERROR(__xludf.DUMMYFUNCTION("""COMPUTED_VALUE"""),4)</f>
        <v>4</v>
      </c>
      <c r="AG231" s="4">
        <f ca="1">IFERROR(__xludf.DUMMYFUNCTION("""COMPUTED_VALUE"""),4)</f>
        <v>4</v>
      </c>
      <c r="AH231" s="4">
        <f ca="1">IFERROR(__xludf.DUMMYFUNCTION("""COMPUTED_VALUE"""),4)</f>
        <v>4</v>
      </c>
      <c r="AI231" s="4">
        <f ca="1">IFERROR(__xludf.DUMMYFUNCTION("""COMPUTED_VALUE"""),4)</f>
        <v>4</v>
      </c>
      <c r="AJ231" s="4">
        <f ca="1">IFERROR(__xludf.DUMMYFUNCTION("""COMPUTED_VALUE"""),4)</f>
        <v>4</v>
      </c>
      <c r="AK231" s="4">
        <f ca="1">IFERROR(__xludf.DUMMYFUNCTION("""COMPUTED_VALUE"""),4)</f>
        <v>4</v>
      </c>
      <c r="AL231" s="4">
        <f ca="1">IFERROR(__xludf.DUMMYFUNCTION("""COMPUTED_VALUE"""),4)</f>
        <v>4</v>
      </c>
      <c r="AM231" s="4">
        <f ca="1">IFERROR(__xludf.DUMMYFUNCTION("""COMPUTED_VALUE"""),4)</f>
        <v>4</v>
      </c>
      <c r="AN231" s="4">
        <f ca="1">IFERROR(__xludf.DUMMYFUNCTION("""COMPUTED_VALUE"""),4)</f>
        <v>4</v>
      </c>
      <c r="AO231" s="4">
        <f ca="1">IFERROR(__xludf.DUMMYFUNCTION("""COMPUTED_VALUE"""),4)</f>
        <v>4</v>
      </c>
      <c r="AP231" s="4">
        <f ca="1">IFERROR(__xludf.DUMMYFUNCTION("""COMPUTED_VALUE"""),4)</f>
        <v>4</v>
      </c>
      <c r="AQ231" s="4">
        <f ca="1">IFERROR(__xludf.DUMMYFUNCTION("""COMPUTED_VALUE"""),4)</f>
        <v>4</v>
      </c>
      <c r="AR231" s="4">
        <f ca="1">IFERROR(__xludf.DUMMYFUNCTION("""COMPUTED_VALUE"""),4)</f>
        <v>4</v>
      </c>
      <c r="AS231" s="4">
        <f ca="1">IFERROR(__xludf.DUMMYFUNCTION("""COMPUTED_VALUE"""),4)</f>
        <v>4</v>
      </c>
      <c r="AT231" s="4">
        <f ca="1">IFERROR(__xludf.DUMMYFUNCTION("""COMPUTED_VALUE"""),4)</f>
        <v>4</v>
      </c>
      <c r="AU231" s="4">
        <f ca="1">IFERROR(__xludf.DUMMYFUNCTION("""COMPUTED_VALUE"""),4)</f>
        <v>4</v>
      </c>
      <c r="AV231" s="4">
        <f ca="1">IFERROR(__xludf.DUMMYFUNCTION("""COMPUTED_VALUE"""),4)</f>
        <v>4</v>
      </c>
      <c r="AW231" s="4">
        <f ca="1">IFERROR(__xludf.DUMMYFUNCTION("""COMPUTED_VALUE"""),4)</f>
        <v>4</v>
      </c>
      <c r="AX231" s="4">
        <f ca="1">IFERROR(__xludf.DUMMYFUNCTION("""COMPUTED_VALUE"""),4)</f>
        <v>4</v>
      </c>
      <c r="AY231" s="4">
        <f ca="1">IFERROR(__xludf.DUMMYFUNCTION("""COMPUTED_VALUE"""),4)</f>
        <v>4</v>
      </c>
      <c r="AZ231" s="4">
        <f ca="1">IFERROR(__xludf.DUMMYFUNCTION("""COMPUTED_VALUE"""),4)</f>
        <v>4</v>
      </c>
      <c r="BA231" s="4">
        <f ca="1">IFERROR(__xludf.DUMMYFUNCTION("""COMPUTED_VALUE"""),4)</f>
        <v>4</v>
      </c>
      <c r="BB231" s="4">
        <f ca="1">IFERROR(__xludf.DUMMYFUNCTION("""COMPUTED_VALUE"""),4)</f>
        <v>4</v>
      </c>
      <c r="BC231" s="4">
        <f ca="1">IFERROR(__xludf.DUMMYFUNCTION("""COMPUTED_VALUE"""),4)</f>
        <v>4</v>
      </c>
      <c r="BD231" s="4">
        <f ca="1">IFERROR(__xludf.DUMMYFUNCTION("""COMPUTED_VALUE"""),4)</f>
        <v>4</v>
      </c>
      <c r="BE231" s="4">
        <f ca="1">IFERROR(__xludf.DUMMYFUNCTION("""COMPUTED_VALUE"""),4)</f>
        <v>4</v>
      </c>
      <c r="BF231" s="4">
        <f ca="1">IFERROR(__xludf.DUMMYFUNCTION("""COMPUTED_VALUE"""),4)</f>
        <v>4</v>
      </c>
      <c r="BG231" s="4">
        <f ca="1">IFERROR(__xludf.DUMMYFUNCTION("""COMPUTED_VALUE"""),4)</f>
        <v>4</v>
      </c>
      <c r="BH231" s="4">
        <f ca="1">IFERROR(__xludf.DUMMYFUNCTION("""COMPUTED_VALUE"""),4)</f>
        <v>4</v>
      </c>
      <c r="BI231" s="4">
        <f ca="1">IFERROR(__xludf.DUMMYFUNCTION("""COMPUTED_VALUE"""),4)</f>
        <v>4</v>
      </c>
      <c r="BJ231" s="4">
        <f ca="1">IFERROR(__xludf.DUMMYFUNCTION("""COMPUTED_VALUE"""),4)</f>
        <v>4</v>
      </c>
      <c r="BK231" s="4">
        <f ca="1">IFERROR(__xludf.DUMMYFUNCTION("""COMPUTED_VALUE"""),4)</f>
        <v>4</v>
      </c>
      <c r="BL231" s="4">
        <f ca="1">IFERROR(__xludf.DUMMYFUNCTION("""COMPUTED_VALUE"""),4)</f>
        <v>4</v>
      </c>
      <c r="BM231" s="4">
        <f ca="1">IFERROR(__xludf.DUMMYFUNCTION("""COMPUTED_VALUE"""),4)</f>
        <v>4</v>
      </c>
      <c r="BN231" s="4">
        <f ca="1">IFERROR(__xludf.DUMMYFUNCTION("""COMPUTED_VALUE"""),4)</f>
        <v>4</v>
      </c>
      <c r="BO231" s="4">
        <f ca="1">IFERROR(__xludf.DUMMYFUNCTION("""COMPUTED_VALUE"""),4)</f>
        <v>4</v>
      </c>
      <c r="BP231" s="4">
        <f ca="1">IFERROR(__xludf.DUMMYFUNCTION("""COMPUTED_VALUE"""),4)</f>
        <v>4</v>
      </c>
    </row>
    <row r="232" spans="1:68" ht="13.2" x14ac:dyDescent="0.25">
      <c r="A232" s="4" t="str">
        <f ca="1">IFERROR(__xludf.DUMMYFUNCTION("""COMPUTED_VALUE"""),"2_ABaOnuciMApyeHd0OQsDWh4P0ONL1WGL4US31-CGtNNaZf7Bsqw7SR5_aVDw4PvXiA")</f>
        <v>2_ABaOnuciMApyeHd0OQsDWh4P0ONL1WGL4US31-CGtNNaZf7Bsqw7SR5_aVDw4PvXiA</v>
      </c>
      <c r="B232" s="5">
        <f ca="1">IFERROR(__xludf.DUMMYFUNCTION("""COMPUTED_VALUE"""),45979.4702148958)</f>
        <v>45979.470214895802</v>
      </c>
      <c r="C232" s="4"/>
      <c r="D232" s="4" t="str">
        <f ca="1">IFERROR(__xludf.DUMMYFUNCTION("""COMPUTED_VALUE"""),"Nam")</f>
        <v>Nam</v>
      </c>
      <c r="E232" s="4" t="str">
        <f ca="1">IFERROR(__xludf.DUMMYFUNCTION("""COMPUTED_VALUE"""),"Công ty TNHH Kiểm toán và Kế toán AAC")</f>
        <v>Công ty TNHH Kiểm toán và Kế toán AAC</v>
      </c>
      <c r="F232" s="4" t="str">
        <f ca="1">IFERROR(__xludf.DUMMYFUNCTION("""COMPUTED_VALUE"""),"Đại học")</f>
        <v>Đại học</v>
      </c>
      <c r="G232" s="4" t="str">
        <f ca="1">IFERROR(__xludf.DUMMYFUNCTION("""COMPUTED_VALUE"""),"Trên 10 đến 15 năm")</f>
        <v>Trên 10 đến 15 năm</v>
      </c>
      <c r="H232" s="4" t="str">
        <f ca="1">IFERROR(__xludf.DUMMYFUNCTION("""COMPUTED_VALUE"""),"Trưởng phòng")</f>
        <v>Trưởng phòng</v>
      </c>
      <c r="I232" s="4">
        <f ca="1">IFERROR(__xludf.DUMMYFUNCTION("""COMPUTED_VALUE"""),5)</f>
        <v>5</v>
      </c>
      <c r="J232" s="4">
        <f ca="1">IFERROR(__xludf.DUMMYFUNCTION("""COMPUTED_VALUE"""),5)</f>
        <v>5</v>
      </c>
      <c r="K232" s="4">
        <f ca="1">IFERROR(__xludf.DUMMYFUNCTION("""COMPUTED_VALUE"""),5)</f>
        <v>5</v>
      </c>
      <c r="L232" s="4">
        <f ca="1">IFERROR(__xludf.DUMMYFUNCTION("""COMPUTED_VALUE"""),4)</f>
        <v>4</v>
      </c>
      <c r="M232" s="4">
        <f ca="1">IFERROR(__xludf.DUMMYFUNCTION("""COMPUTED_VALUE"""),5)</f>
        <v>5</v>
      </c>
      <c r="N232" s="4">
        <f ca="1">IFERROR(__xludf.DUMMYFUNCTION("""COMPUTED_VALUE"""),4)</f>
        <v>4</v>
      </c>
      <c r="O232" s="4">
        <f ca="1">IFERROR(__xludf.DUMMYFUNCTION("""COMPUTED_VALUE"""),4)</f>
        <v>4</v>
      </c>
      <c r="P232" s="4">
        <f ca="1">IFERROR(__xludf.DUMMYFUNCTION("""COMPUTED_VALUE"""),5)</f>
        <v>5</v>
      </c>
      <c r="Q232" s="4">
        <f ca="1">IFERROR(__xludf.DUMMYFUNCTION("""COMPUTED_VALUE"""),5)</f>
        <v>5</v>
      </c>
      <c r="R232" s="4">
        <f ca="1">IFERROR(__xludf.DUMMYFUNCTION("""COMPUTED_VALUE"""),5)</f>
        <v>5</v>
      </c>
      <c r="S232" s="4">
        <f ca="1">IFERROR(__xludf.DUMMYFUNCTION("""COMPUTED_VALUE"""),5)</f>
        <v>5</v>
      </c>
      <c r="T232" s="4">
        <f ca="1">IFERROR(__xludf.DUMMYFUNCTION("""COMPUTED_VALUE"""),5)</f>
        <v>5</v>
      </c>
      <c r="U232" s="4">
        <f ca="1">IFERROR(__xludf.DUMMYFUNCTION("""COMPUTED_VALUE"""),4)</f>
        <v>4</v>
      </c>
      <c r="V232" s="4">
        <f ca="1">IFERROR(__xludf.DUMMYFUNCTION("""COMPUTED_VALUE"""),5)</f>
        <v>5</v>
      </c>
      <c r="W232" s="4">
        <f ca="1">IFERROR(__xludf.DUMMYFUNCTION("""COMPUTED_VALUE"""),4)</f>
        <v>4</v>
      </c>
      <c r="X232" s="4">
        <f ca="1">IFERROR(__xludf.DUMMYFUNCTION("""COMPUTED_VALUE"""),4)</f>
        <v>4</v>
      </c>
      <c r="Y232" s="4">
        <f ca="1">IFERROR(__xludf.DUMMYFUNCTION("""COMPUTED_VALUE"""),4)</f>
        <v>4</v>
      </c>
      <c r="Z232" s="4">
        <f ca="1">IFERROR(__xludf.DUMMYFUNCTION("""COMPUTED_VALUE"""),4)</f>
        <v>4</v>
      </c>
      <c r="AA232" s="4">
        <f ca="1">IFERROR(__xludf.DUMMYFUNCTION("""COMPUTED_VALUE"""),4)</f>
        <v>4</v>
      </c>
      <c r="AB232" s="4">
        <f ca="1">IFERROR(__xludf.DUMMYFUNCTION("""COMPUTED_VALUE"""),4)</f>
        <v>4</v>
      </c>
      <c r="AC232" s="4">
        <f ca="1">IFERROR(__xludf.DUMMYFUNCTION("""COMPUTED_VALUE"""),3)</f>
        <v>3</v>
      </c>
      <c r="AD232" s="4">
        <f ca="1">IFERROR(__xludf.DUMMYFUNCTION("""COMPUTED_VALUE"""),2)</f>
        <v>2</v>
      </c>
      <c r="AE232" s="4">
        <f ca="1">IFERROR(__xludf.DUMMYFUNCTION("""COMPUTED_VALUE"""),4)</f>
        <v>4</v>
      </c>
      <c r="AF232" s="4">
        <f ca="1">IFERROR(__xludf.DUMMYFUNCTION("""COMPUTED_VALUE"""),4)</f>
        <v>4</v>
      </c>
      <c r="AG232" s="4">
        <f ca="1">IFERROR(__xludf.DUMMYFUNCTION("""COMPUTED_VALUE"""),4)</f>
        <v>4</v>
      </c>
      <c r="AH232" s="4">
        <f ca="1">IFERROR(__xludf.DUMMYFUNCTION("""COMPUTED_VALUE"""),4)</f>
        <v>4</v>
      </c>
      <c r="AI232" s="4">
        <f ca="1">IFERROR(__xludf.DUMMYFUNCTION("""COMPUTED_VALUE"""),4)</f>
        <v>4</v>
      </c>
      <c r="AJ232" s="4">
        <f ca="1">IFERROR(__xludf.DUMMYFUNCTION("""COMPUTED_VALUE"""),4)</f>
        <v>4</v>
      </c>
      <c r="AK232" s="4">
        <f ca="1">IFERROR(__xludf.DUMMYFUNCTION("""COMPUTED_VALUE"""),4)</f>
        <v>4</v>
      </c>
      <c r="AL232" s="4">
        <f ca="1">IFERROR(__xludf.DUMMYFUNCTION("""COMPUTED_VALUE"""),4)</f>
        <v>4</v>
      </c>
      <c r="AM232" s="4">
        <f ca="1">IFERROR(__xludf.DUMMYFUNCTION("""COMPUTED_VALUE"""),4)</f>
        <v>4</v>
      </c>
      <c r="AN232" s="4">
        <f ca="1">IFERROR(__xludf.DUMMYFUNCTION("""COMPUTED_VALUE"""),4)</f>
        <v>4</v>
      </c>
      <c r="AO232" s="4">
        <f ca="1">IFERROR(__xludf.DUMMYFUNCTION("""COMPUTED_VALUE"""),4)</f>
        <v>4</v>
      </c>
      <c r="AP232" s="4">
        <f ca="1">IFERROR(__xludf.DUMMYFUNCTION("""COMPUTED_VALUE"""),4)</f>
        <v>4</v>
      </c>
      <c r="AQ232" s="4">
        <f ca="1">IFERROR(__xludf.DUMMYFUNCTION("""COMPUTED_VALUE"""),4)</f>
        <v>4</v>
      </c>
      <c r="AR232" s="4">
        <f ca="1">IFERROR(__xludf.DUMMYFUNCTION("""COMPUTED_VALUE"""),4)</f>
        <v>4</v>
      </c>
      <c r="AS232" s="4">
        <f ca="1">IFERROR(__xludf.DUMMYFUNCTION("""COMPUTED_VALUE"""),3)</f>
        <v>3</v>
      </c>
      <c r="AT232" s="4">
        <f ca="1">IFERROR(__xludf.DUMMYFUNCTION("""COMPUTED_VALUE"""),4)</f>
        <v>4</v>
      </c>
      <c r="AU232" s="4">
        <f ca="1">IFERROR(__xludf.DUMMYFUNCTION("""COMPUTED_VALUE"""),3)</f>
        <v>3</v>
      </c>
      <c r="AV232" s="4">
        <f ca="1">IFERROR(__xludf.DUMMYFUNCTION("""COMPUTED_VALUE"""),4)</f>
        <v>4</v>
      </c>
      <c r="AW232" s="4">
        <f ca="1">IFERROR(__xludf.DUMMYFUNCTION("""COMPUTED_VALUE"""),4)</f>
        <v>4</v>
      </c>
      <c r="AX232" s="4">
        <f ca="1">IFERROR(__xludf.DUMMYFUNCTION("""COMPUTED_VALUE"""),5)</f>
        <v>5</v>
      </c>
      <c r="AY232" s="4">
        <f ca="1">IFERROR(__xludf.DUMMYFUNCTION("""COMPUTED_VALUE"""),5)</f>
        <v>5</v>
      </c>
      <c r="AZ232" s="4">
        <f ca="1">IFERROR(__xludf.DUMMYFUNCTION("""COMPUTED_VALUE"""),5)</f>
        <v>5</v>
      </c>
      <c r="BA232" s="4">
        <f ca="1">IFERROR(__xludf.DUMMYFUNCTION("""COMPUTED_VALUE"""),5)</f>
        <v>5</v>
      </c>
      <c r="BB232" s="4">
        <f ca="1">IFERROR(__xludf.DUMMYFUNCTION("""COMPUTED_VALUE"""),4)</f>
        <v>4</v>
      </c>
      <c r="BC232" s="4">
        <f ca="1">IFERROR(__xludf.DUMMYFUNCTION("""COMPUTED_VALUE"""),2)</f>
        <v>2</v>
      </c>
      <c r="BD232" s="4">
        <f ca="1">IFERROR(__xludf.DUMMYFUNCTION("""COMPUTED_VALUE"""),3)</f>
        <v>3</v>
      </c>
      <c r="BE232" s="4">
        <f ca="1">IFERROR(__xludf.DUMMYFUNCTION("""COMPUTED_VALUE"""),3)</f>
        <v>3</v>
      </c>
      <c r="BF232" s="4">
        <f ca="1">IFERROR(__xludf.DUMMYFUNCTION("""COMPUTED_VALUE"""),3)</f>
        <v>3</v>
      </c>
      <c r="BG232" s="4">
        <f ca="1">IFERROR(__xludf.DUMMYFUNCTION("""COMPUTED_VALUE"""),3)</f>
        <v>3</v>
      </c>
      <c r="BH232" s="4">
        <f ca="1">IFERROR(__xludf.DUMMYFUNCTION("""COMPUTED_VALUE"""),4)</f>
        <v>4</v>
      </c>
      <c r="BI232" s="4">
        <f ca="1">IFERROR(__xludf.DUMMYFUNCTION("""COMPUTED_VALUE"""),4)</f>
        <v>4</v>
      </c>
      <c r="BJ232" s="4">
        <f ca="1">IFERROR(__xludf.DUMMYFUNCTION("""COMPUTED_VALUE"""),4)</f>
        <v>4</v>
      </c>
      <c r="BK232" s="4">
        <f ca="1">IFERROR(__xludf.DUMMYFUNCTION("""COMPUTED_VALUE"""),5)</f>
        <v>5</v>
      </c>
      <c r="BL232" s="4">
        <f ca="1">IFERROR(__xludf.DUMMYFUNCTION("""COMPUTED_VALUE"""),4)</f>
        <v>4</v>
      </c>
      <c r="BM232" s="4">
        <f ca="1">IFERROR(__xludf.DUMMYFUNCTION("""COMPUTED_VALUE"""),4)</f>
        <v>4</v>
      </c>
      <c r="BN232" s="4">
        <f ca="1">IFERROR(__xludf.DUMMYFUNCTION("""COMPUTED_VALUE"""),5)</f>
        <v>5</v>
      </c>
      <c r="BO232" s="4">
        <f ca="1">IFERROR(__xludf.DUMMYFUNCTION("""COMPUTED_VALUE"""),5)</f>
        <v>5</v>
      </c>
      <c r="BP232" s="4">
        <f ca="1">IFERROR(__xludf.DUMMYFUNCTION("""COMPUTED_VALUE"""),4)</f>
        <v>4</v>
      </c>
    </row>
    <row r="233" spans="1:68" ht="13.2" x14ac:dyDescent="0.25">
      <c r="A233" s="4" t="str">
        <f ca="1">IFERROR(__xludf.DUMMYFUNCTION("""COMPUTED_VALUE"""),"2_ABaOnucNtQVBC9oOl2HgzDtPH1cUpWZHOVc8MovdeZFx6zkGkYtQnLMASqfkhR7cAQ")</f>
        <v>2_ABaOnucNtQVBC9oOl2HgzDtPH1cUpWZHOVc8MovdeZFx6zkGkYtQnLMASqfkhR7cAQ</v>
      </c>
      <c r="B233" s="5">
        <f ca="1">IFERROR(__xludf.DUMMYFUNCTION("""COMPUTED_VALUE"""),45979.4708072685)</f>
        <v>45979.470807268503</v>
      </c>
      <c r="C233" s="4" t="str">
        <f ca="1">IFERROR(__xludf.DUMMYFUNCTION("""COMPUTED_VALUE"""),"THÁI ÁNH Nhung")</f>
        <v>THÁI ÁNH Nhung</v>
      </c>
      <c r="D233" s="4" t="str">
        <f ca="1">IFERROR(__xludf.DUMMYFUNCTION("""COMPUTED_VALUE"""),"Nữ")</f>
        <v>Nữ</v>
      </c>
      <c r="E233" s="4" t="str">
        <f ca="1">IFERROR(__xludf.DUMMYFUNCTION("""COMPUTED_VALUE"""),"Công ty TNHH Kiểm toán &amp; Kế toán AAC")</f>
        <v>Công ty TNHH Kiểm toán &amp; Kế toán AAC</v>
      </c>
      <c r="F233" s="4" t="str">
        <f ca="1">IFERROR(__xludf.DUMMYFUNCTION("""COMPUTED_VALUE"""),"Đại học, Chứng chỉ Kiểm toán viên")</f>
        <v>Đại học, Chứng chỉ Kiểm toán viên</v>
      </c>
      <c r="G233" s="4" t="str">
        <f ca="1">IFERROR(__xludf.DUMMYFUNCTION("""COMPUTED_VALUE"""),"Trên 10 đến 15 năm")</f>
        <v>Trên 10 đến 15 năm</v>
      </c>
      <c r="H233" s="4" t="str">
        <f ca="1">IFERROR(__xludf.DUMMYFUNCTION("""COMPUTED_VALUE"""),"Kiểm toán viên/Trưởng nhóm")</f>
        <v>Kiểm toán viên/Trưởng nhóm</v>
      </c>
      <c r="I233" s="4">
        <f ca="1">IFERROR(__xludf.DUMMYFUNCTION("""COMPUTED_VALUE"""),5)</f>
        <v>5</v>
      </c>
      <c r="J233" s="4">
        <f ca="1">IFERROR(__xludf.DUMMYFUNCTION("""COMPUTED_VALUE"""),5)</f>
        <v>5</v>
      </c>
      <c r="K233" s="4">
        <f ca="1">IFERROR(__xludf.DUMMYFUNCTION("""COMPUTED_VALUE"""),5)</f>
        <v>5</v>
      </c>
      <c r="L233" s="4">
        <f ca="1">IFERROR(__xludf.DUMMYFUNCTION("""COMPUTED_VALUE"""),5)</f>
        <v>5</v>
      </c>
      <c r="M233" s="4">
        <f ca="1">IFERROR(__xludf.DUMMYFUNCTION("""COMPUTED_VALUE"""),5)</f>
        <v>5</v>
      </c>
      <c r="N233" s="4">
        <f ca="1">IFERROR(__xludf.DUMMYFUNCTION("""COMPUTED_VALUE"""),3)</f>
        <v>3</v>
      </c>
      <c r="O233" s="4">
        <f ca="1">IFERROR(__xludf.DUMMYFUNCTION("""COMPUTED_VALUE"""),4)</f>
        <v>4</v>
      </c>
      <c r="P233" s="4">
        <f ca="1">IFERROR(__xludf.DUMMYFUNCTION("""COMPUTED_VALUE"""),4)</f>
        <v>4</v>
      </c>
      <c r="Q233" s="4">
        <f ca="1">IFERROR(__xludf.DUMMYFUNCTION("""COMPUTED_VALUE"""),5)</f>
        <v>5</v>
      </c>
      <c r="R233" s="4">
        <f ca="1">IFERROR(__xludf.DUMMYFUNCTION("""COMPUTED_VALUE"""),5)</f>
        <v>5</v>
      </c>
      <c r="S233" s="4">
        <f ca="1">IFERROR(__xludf.DUMMYFUNCTION("""COMPUTED_VALUE"""),5)</f>
        <v>5</v>
      </c>
      <c r="T233" s="4">
        <f ca="1">IFERROR(__xludf.DUMMYFUNCTION("""COMPUTED_VALUE"""),5)</f>
        <v>5</v>
      </c>
      <c r="U233" s="4">
        <f ca="1">IFERROR(__xludf.DUMMYFUNCTION("""COMPUTED_VALUE"""),5)</f>
        <v>5</v>
      </c>
      <c r="V233" s="4">
        <f ca="1">IFERROR(__xludf.DUMMYFUNCTION("""COMPUTED_VALUE"""),4)</f>
        <v>4</v>
      </c>
      <c r="W233" s="4">
        <f ca="1">IFERROR(__xludf.DUMMYFUNCTION("""COMPUTED_VALUE"""),4)</f>
        <v>4</v>
      </c>
      <c r="X233" s="4">
        <f ca="1">IFERROR(__xludf.DUMMYFUNCTION("""COMPUTED_VALUE"""),4)</f>
        <v>4</v>
      </c>
      <c r="Y233" s="4">
        <f ca="1">IFERROR(__xludf.DUMMYFUNCTION("""COMPUTED_VALUE"""),4)</f>
        <v>4</v>
      </c>
      <c r="Z233" s="4">
        <f ca="1">IFERROR(__xludf.DUMMYFUNCTION("""COMPUTED_VALUE"""),3)</f>
        <v>3</v>
      </c>
      <c r="AA233" s="4">
        <f ca="1">IFERROR(__xludf.DUMMYFUNCTION("""COMPUTED_VALUE"""),5)</f>
        <v>5</v>
      </c>
      <c r="AB233" s="4">
        <f ca="1">IFERROR(__xludf.DUMMYFUNCTION("""COMPUTED_VALUE"""),4)</f>
        <v>4</v>
      </c>
      <c r="AC233" s="4">
        <f ca="1">IFERROR(__xludf.DUMMYFUNCTION("""COMPUTED_VALUE"""),4)</f>
        <v>4</v>
      </c>
      <c r="AD233" s="4">
        <f ca="1">IFERROR(__xludf.DUMMYFUNCTION("""COMPUTED_VALUE"""),4)</f>
        <v>4</v>
      </c>
      <c r="AE233" s="4">
        <f ca="1">IFERROR(__xludf.DUMMYFUNCTION("""COMPUTED_VALUE"""),4)</f>
        <v>4</v>
      </c>
      <c r="AF233" s="4">
        <f ca="1">IFERROR(__xludf.DUMMYFUNCTION("""COMPUTED_VALUE"""),3)</f>
        <v>3</v>
      </c>
      <c r="AG233" s="4">
        <f ca="1">IFERROR(__xludf.DUMMYFUNCTION("""COMPUTED_VALUE"""),3)</f>
        <v>3</v>
      </c>
      <c r="AH233" s="4">
        <f ca="1">IFERROR(__xludf.DUMMYFUNCTION("""COMPUTED_VALUE"""),4)</f>
        <v>4</v>
      </c>
      <c r="AI233" s="4">
        <f ca="1">IFERROR(__xludf.DUMMYFUNCTION("""COMPUTED_VALUE"""),4)</f>
        <v>4</v>
      </c>
      <c r="AJ233" s="4">
        <f ca="1">IFERROR(__xludf.DUMMYFUNCTION("""COMPUTED_VALUE"""),4)</f>
        <v>4</v>
      </c>
      <c r="AK233" s="4">
        <f ca="1">IFERROR(__xludf.DUMMYFUNCTION("""COMPUTED_VALUE"""),4)</f>
        <v>4</v>
      </c>
      <c r="AL233" s="4">
        <f ca="1">IFERROR(__xludf.DUMMYFUNCTION("""COMPUTED_VALUE"""),4)</f>
        <v>4</v>
      </c>
      <c r="AM233" s="4">
        <f ca="1">IFERROR(__xludf.DUMMYFUNCTION("""COMPUTED_VALUE"""),4)</f>
        <v>4</v>
      </c>
      <c r="AN233" s="4">
        <f ca="1">IFERROR(__xludf.DUMMYFUNCTION("""COMPUTED_VALUE"""),4)</f>
        <v>4</v>
      </c>
      <c r="AO233" s="4">
        <f ca="1">IFERROR(__xludf.DUMMYFUNCTION("""COMPUTED_VALUE"""),4)</f>
        <v>4</v>
      </c>
      <c r="AP233" s="4">
        <f ca="1">IFERROR(__xludf.DUMMYFUNCTION("""COMPUTED_VALUE"""),4)</f>
        <v>4</v>
      </c>
      <c r="AQ233" s="4">
        <f ca="1">IFERROR(__xludf.DUMMYFUNCTION("""COMPUTED_VALUE"""),4)</f>
        <v>4</v>
      </c>
      <c r="AR233" s="4">
        <f ca="1">IFERROR(__xludf.DUMMYFUNCTION("""COMPUTED_VALUE"""),4)</f>
        <v>4</v>
      </c>
      <c r="AS233" s="4">
        <f ca="1">IFERROR(__xludf.DUMMYFUNCTION("""COMPUTED_VALUE"""),4)</f>
        <v>4</v>
      </c>
      <c r="AT233" s="4">
        <f ca="1">IFERROR(__xludf.DUMMYFUNCTION("""COMPUTED_VALUE"""),3)</f>
        <v>3</v>
      </c>
      <c r="AU233" s="4">
        <f ca="1">IFERROR(__xludf.DUMMYFUNCTION("""COMPUTED_VALUE"""),3)</f>
        <v>3</v>
      </c>
      <c r="AV233" s="4">
        <f ca="1">IFERROR(__xludf.DUMMYFUNCTION("""COMPUTED_VALUE"""),3)</f>
        <v>3</v>
      </c>
      <c r="AW233" s="4">
        <f ca="1">IFERROR(__xludf.DUMMYFUNCTION("""COMPUTED_VALUE"""),3)</f>
        <v>3</v>
      </c>
      <c r="AX233" s="4">
        <f ca="1">IFERROR(__xludf.DUMMYFUNCTION("""COMPUTED_VALUE"""),5)</f>
        <v>5</v>
      </c>
      <c r="AY233" s="4">
        <f ca="1">IFERROR(__xludf.DUMMYFUNCTION("""COMPUTED_VALUE"""),5)</f>
        <v>5</v>
      </c>
      <c r="AZ233" s="4">
        <f ca="1">IFERROR(__xludf.DUMMYFUNCTION("""COMPUTED_VALUE"""),5)</f>
        <v>5</v>
      </c>
      <c r="BA233" s="4">
        <f ca="1">IFERROR(__xludf.DUMMYFUNCTION("""COMPUTED_VALUE"""),5)</f>
        <v>5</v>
      </c>
      <c r="BB233" s="4">
        <f ca="1">IFERROR(__xludf.DUMMYFUNCTION("""COMPUTED_VALUE"""),3)</f>
        <v>3</v>
      </c>
      <c r="BC233" s="4">
        <f ca="1">IFERROR(__xludf.DUMMYFUNCTION("""COMPUTED_VALUE"""),3)</f>
        <v>3</v>
      </c>
      <c r="BD233" s="4">
        <f ca="1">IFERROR(__xludf.DUMMYFUNCTION("""COMPUTED_VALUE"""),3)</f>
        <v>3</v>
      </c>
      <c r="BE233" s="4">
        <f ca="1">IFERROR(__xludf.DUMMYFUNCTION("""COMPUTED_VALUE"""),3)</f>
        <v>3</v>
      </c>
      <c r="BF233" s="4">
        <f ca="1">IFERROR(__xludf.DUMMYFUNCTION("""COMPUTED_VALUE"""),3)</f>
        <v>3</v>
      </c>
      <c r="BG233" s="4">
        <f ca="1">IFERROR(__xludf.DUMMYFUNCTION("""COMPUTED_VALUE"""),3)</f>
        <v>3</v>
      </c>
      <c r="BH233" s="4">
        <f ca="1">IFERROR(__xludf.DUMMYFUNCTION("""COMPUTED_VALUE"""),4)</f>
        <v>4</v>
      </c>
      <c r="BI233" s="4">
        <f ca="1">IFERROR(__xludf.DUMMYFUNCTION("""COMPUTED_VALUE"""),4)</f>
        <v>4</v>
      </c>
      <c r="BJ233" s="4">
        <f ca="1">IFERROR(__xludf.DUMMYFUNCTION("""COMPUTED_VALUE"""),5)</f>
        <v>5</v>
      </c>
      <c r="BK233" s="4">
        <f ca="1">IFERROR(__xludf.DUMMYFUNCTION("""COMPUTED_VALUE"""),4)</f>
        <v>4</v>
      </c>
      <c r="BL233" s="4">
        <f ca="1">IFERROR(__xludf.DUMMYFUNCTION("""COMPUTED_VALUE"""),5)</f>
        <v>5</v>
      </c>
      <c r="BM233" s="4">
        <f ca="1">IFERROR(__xludf.DUMMYFUNCTION("""COMPUTED_VALUE"""),5)</f>
        <v>5</v>
      </c>
      <c r="BN233" s="4">
        <f ca="1">IFERROR(__xludf.DUMMYFUNCTION("""COMPUTED_VALUE"""),5)</f>
        <v>5</v>
      </c>
      <c r="BO233" s="4">
        <f ca="1">IFERROR(__xludf.DUMMYFUNCTION("""COMPUTED_VALUE"""),5)</f>
        <v>5</v>
      </c>
      <c r="BP233" s="4">
        <f ca="1">IFERROR(__xludf.DUMMYFUNCTION("""COMPUTED_VALUE"""),5)</f>
        <v>5</v>
      </c>
    </row>
    <row r="234" spans="1:68" ht="13.2" x14ac:dyDescent="0.25">
      <c r="A234" s="4" t="str">
        <f ca="1">IFERROR(__xludf.DUMMYFUNCTION("""COMPUTED_VALUE"""),"2_ABaOnueztdKG_lIcLhOh6RDQZ9NfEOi6XEY1NFr64NFcLQmShexdNSsY55ttRZbQ2w")</f>
        <v>2_ABaOnueztdKG_lIcLhOh6RDQZ9NfEOi6XEY1NFr64NFcLQmShexdNSsY55ttRZbQ2w</v>
      </c>
      <c r="B234" s="5">
        <f ca="1">IFERROR(__xludf.DUMMYFUNCTION("""COMPUTED_VALUE"""),45979.4836674652)</f>
        <v>45979.483667465203</v>
      </c>
      <c r="C234" s="4" t="str">
        <f ca="1">IFERROR(__xludf.DUMMYFUNCTION("""COMPUTED_VALUE"""),"Đinh Thị Ngọc Thùy")</f>
        <v>Đinh Thị Ngọc Thùy</v>
      </c>
      <c r="D234" s="4" t="str">
        <f ca="1">IFERROR(__xludf.DUMMYFUNCTION("""COMPUTED_VALUE"""),"Nữ")</f>
        <v>Nữ</v>
      </c>
      <c r="E234" s="4" t="str">
        <f ca="1">IFERROR(__xludf.DUMMYFUNCTION("""COMPUTED_VALUE"""),"Công ty TNHH Kiểm toán và Kế toán AAC")</f>
        <v>Công ty TNHH Kiểm toán và Kế toán AAC</v>
      </c>
      <c r="F234" s="4" t="str">
        <f ca="1">IFERROR(__xludf.DUMMYFUNCTION("""COMPUTED_VALUE"""),"Đại học, Chứng chỉ Kiểm toán viên")</f>
        <v>Đại học, Chứng chỉ Kiểm toán viên</v>
      </c>
      <c r="G234" s="4" t="str">
        <f ca="1">IFERROR(__xludf.DUMMYFUNCTION("""COMPUTED_VALUE"""),"Trên 20 năm")</f>
        <v>Trên 20 năm</v>
      </c>
      <c r="H234" s="4" t="str">
        <f ca="1">IFERROR(__xludf.DUMMYFUNCTION("""COMPUTED_VALUE"""),"Trưởng phòng")</f>
        <v>Trưởng phòng</v>
      </c>
      <c r="I234" s="4">
        <f ca="1">IFERROR(__xludf.DUMMYFUNCTION("""COMPUTED_VALUE"""),5)</f>
        <v>5</v>
      </c>
      <c r="J234" s="4">
        <f ca="1">IFERROR(__xludf.DUMMYFUNCTION("""COMPUTED_VALUE"""),5)</f>
        <v>5</v>
      </c>
      <c r="K234" s="4">
        <f ca="1">IFERROR(__xludf.DUMMYFUNCTION("""COMPUTED_VALUE"""),5)</f>
        <v>5</v>
      </c>
      <c r="L234" s="4">
        <f ca="1">IFERROR(__xludf.DUMMYFUNCTION("""COMPUTED_VALUE"""),5)</f>
        <v>5</v>
      </c>
      <c r="M234" s="4">
        <f ca="1">IFERROR(__xludf.DUMMYFUNCTION("""COMPUTED_VALUE"""),5)</f>
        <v>5</v>
      </c>
      <c r="N234" s="4">
        <f ca="1">IFERROR(__xludf.DUMMYFUNCTION("""COMPUTED_VALUE"""),4)</f>
        <v>4</v>
      </c>
      <c r="O234" s="4">
        <f ca="1">IFERROR(__xludf.DUMMYFUNCTION("""COMPUTED_VALUE"""),4)</f>
        <v>4</v>
      </c>
      <c r="P234" s="4">
        <f ca="1">IFERROR(__xludf.DUMMYFUNCTION("""COMPUTED_VALUE"""),5)</f>
        <v>5</v>
      </c>
      <c r="Q234" s="4">
        <f ca="1">IFERROR(__xludf.DUMMYFUNCTION("""COMPUTED_VALUE"""),5)</f>
        <v>5</v>
      </c>
      <c r="R234" s="4">
        <f ca="1">IFERROR(__xludf.DUMMYFUNCTION("""COMPUTED_VALUE"""),5)</f>
        <v>5</v>
      </c>
      <c r="S234" s="4">
        <f ca="1">IFERROR(__xludf.DUMMYFUNCTION("""COMPUTED_VALUE"""),5)</f>
        <v>5</v>
      </c>
      <c r="T234" s="4">
        <f ca="1">IFERROR(__xludf.DUMMYFUNCTION("""COMPUTED_VALUE"""),5)</f>
        <v>5</v>
      </c>
      <c r="U234" s="4">
        <f ca="1">IFERROR(__xludf.DUMMYFUNCTION("""COMPUTED_VALUE"""),5)</f>
        <v>5</v>
      </c>
      <c r="V234" s="4">
        <f ca="1">IFERROR(__xludf.DUMMYFUNCTION("""COMPUTED_VALUE"""),5)</f>
        <v>5</v>
      </c>
      <c r="W234" s="4">
        <f ca="1">IFERROR(__xludf.DUMMYFUNCTION("""COMPUTED_VALUE"""),4)</f>
        <v>4</v>
      </c>
      <c r="X234" s="4">
        <f ca="1">IFERROR(__xludf.DUMMYFUNCTION("""COMPUTED_VALUE"""),4)</f>
        <v>4</v>
      </c>
      <c r="Y234" s="4">
        <f ca="1">IFERROR(__xludf.DUMMYFUNCTION("""COMPUTED_VALUE"""),4)</f>
        <v>4</v>
      </c>
      <c r="Z234" s="4">
        <f ca="1">IFERROR(__xludf.DUMMYFUNCTION("""COMPUTED_VALUE"""),3)</f>
        <v>3</v>
      </c>
      <c r="AA234" s="4">
        <f ca="1">IFERROR(__xludf.DUMMYFUNCTION("""COMPUTED_VALUE"""),3)</f>
        <v>3</v>
      </c>
      <c r="AB234" s="4">
        <f ca="1">IFERROR(__xludf.DUMMYFUNCTION("""COMPUTED_VALUE"""),4)</f>
        <v>4</v>
      </c>
      <c r="AC234" s="4">
        <f ca="1">IFERROR(__xludf.DUMMYFUNCTION("""COMPUTED_VALUE"""),4)</f>
        <v>4</v>
      </c>
      <c r="AD234" s="4">
        <f ca="1">IFERROR(__xludf.DUMMYFUNCTION("""COMPUTED_VALUE"""),4)</f>
        <v>4</v>
      </c>
      <c r="AE234" s="4">
        <f ca="1">IFERROR(__xludf.DUMMYFUNCTION("""COMPUTED_VALUE"""),4)</f>
        <v>4</v>
      </c>
      <c r="AF234" s="4">
        <f ca="1">IFERROR(__xludf.DUMMYFUNCTION("""COMPUTED_VALUE"""),5)</f>
        <v>5</v>
      </c>
      <c r="AG234" s="4">
        <f ca="1">IFERROR(__xludf.DUMMYFUNCTION("""COMPUTED_VALUE"""),5)</f>
        <v>5</v>
      </c>
      <c r="AH234" s="4">
        <f ca="1">IFERROR(__xludf.DUMMYFUNCTION("""COMPUTED_VALUE"""),5)</f>
        <v>5</v>
      </c>
      <c r="AI234" s="4">
        <f ca="1">IFERROR(__xludf.DUMMYFUNCTION("""COMPUTED_VALUE"""),3)</f>
        <v>3</v>
      </c>
      <c r="AJ234" s="4">
        <f ca="1">IFERROR(__xludf.DUMMYFUNCTION("""COMPUTED_VALUE"""),4)</f>
        <v>4</v>
      </c>
      <c r="AK234" s="4">
        <f ca="1">IFERROR(__xludf.DUMMYFUNCTION("""COMPUTED_VALUE"""),4)</f>
        <v>4</v>
      </c>
      <c r="AL234" s="4">
        <f ca="1">IFERROR(__xludf.DUMMYFUNCTION("""COMPUTED_VALUE"""),5)</f>
        <v>5</v>
      </c>
      <c r="AM234" s="4">
        <f ca="1">IFERROR(__xludf.DUMMYFUNCTION("""COMPUTED_VALUE"""),4)</f>
        <v>4</v>
      </c>
      <c r="AN234" s="4">
        <f ca="1">IFERROR(__xludf.DUMMYFUNCTION("""COMPUTED_VALUE"""),4)</f>
        <v>4</v>
      </c>
      <c r="AO234" s="4">
        <f ca="1">IFERROR(__xludf.DUMMYFUNCTION("""COMPUTED_VALUE"""),4)</f>
        <v>4</v>
      </c>
      <c r="AP234" s="4">
        <f ca="1">IFERROR(__xludf.DUMMYFUNCTION("""COMPUTED_VALUE"""),4)</f>
        <v>4</v>
      </c>
      <c r="AQ234" s="4">
        <f ca="1">IFERROR(__xludf.DUMMYFUNCTION("""COMPUTED_VALUE"""),4)</f>
        <v>4</v>
      </c>
      <c r="AR234" s="4">
        <f ca="1">IFERROR(__xludf.DUMMYFUNCTION("""COMPUTED_VALUE"""),4)</f>
        <v>4</v>
      </c>
      <c r="AS234" s="4">
        <f ca="1">IFERROR(__xludf.DUMMYFUNCTION("""COMPUTED_VALUE"""),4)</f>
        <v>4</v>
      </c>
      <c r="AT234" s="4">
        <f ca="1">IFERROR(__xludf.DUMMYFUNCTION("""COMPUTED_VALUE"""),4)</f>
        <v>4</v>
      </c>
      <c r="AU234" s="4">
        <f ca="1">IFERROR(__xludf.DUMMYFUNCTION("""COMPUTED_VALUE"""),4)</f>
        <v>4</v>
      </c>
      <c r="AV234" s="4">
        <f ca="1">IFERROR(__xludf.DUMMYFUNCTION("""COMPUTED_VALUE"""),4)</f>
        <v>4</v>
      </c>
      <c r="AW234" s="4">
        <f ca="1">IFERROR(__xludf.DUMMYFUNCTION("""COMPUTED_VALUE"""),4)</f>
        <v>4</v>
      </c>
      <c r="AX234" s="4">
        <f ca="1">IFERROR(__xludf.DUMMYFUNCTION("""COMPUTED_VALUE"""),5)</f>
        <v>5</v>
      </c>
      <c r="AY234" s="4">
        <f ca="1">IFERROR(__xludf.DUMMYFUNCTION("""COMPUTED_VALUE"""),5)</f>
        <v>5</v>
      </c>
      <c r="AZ234" s="4">
        <f ca="1">IFERROR(__xludf.DUMMYFUNCTION("""COMPUTED_VALUE"""),5)</f>
        <v>5</v>
      </c>
      <c r="BA234" s="4">
        <f ca="1">IFERROR(__xludf.DUMMYFUNCTION("""COMPUTED_VALUE"""),4)</f>
        <v>4</v>
      </c>
      <c r="BB234" s="4">
        <f ca="1">IFERROR(__xludf.DUMMYFUNCTION("""COMPUTED_VALUE"""),4)</f>
        <v>4</v>
      </c>
      <c r="BC234" s="4">
        <f ca="1">IFERROR(__xludf.DUMMYFUNCTION("""COMPUTED_VALUE"""),4)</f>
        <v>4</v>
      </c>
      <c r="BD234" s="4">
        <f ca="1">IFERROR(__xludf.DUMMYFUNCTION("""COMPUTED_VALUE"""),4)</f>
        <v>4</v>
      </c>
      <c r="BE234" s="4">
        <f ca="1">IFERROR(__xludf.DUMMYFUNCTION("""COMPUTED_VALUE"""),4)</f>
        <v>4</v>
      </c>
      <c r="BF234" s="4">
        <f ca="1">IFERROR(__xludf.DUMMYFUNCTION("""COMPUTED_VALUE"""),4)</f>
        <v>4</v>
      </c>
      <c r="BG234" s="4">
        <f ca="1">IFERROR(__xludf.DUMMYFUNCTION("""COMPUTED_VALUE"""),4)</f>
        <v>4</v>
      </c>
      <c r="BH234" s="4">
        <f ca="1">IFERROR(__xludf.DUMMYFUNCTION("""COMPUTED_VALUE"""),5)</f>
        <v>5</v>
      </c>
      <c r="BI234" s="4">
        <f ca="1">IFERROR(__xludf.DUMMYFUNCTION("""COMPUTED_VALUE"""),5)</f>
        <v>5</v>
      </c>
      <c r="BJ234" s="4">
        <f ca="1">IFERROR(__xludf.DUMMYFUNCTION("""COMPUTED_VALUE"""),5)</f>
        <v>5</v>
      </c>
      <c r="BK234" s="4">
        <f ca="1">IFERROR(__xludf.DUMMYFUNCTION("""COMPUTED_VALUE"""),5)</f>
        <v>5</v>
      </c>
      <c r="BL234" s="4">
        <f ca="1">IFERROR(__xludf.DUMMYFUNCTION("""COMPUTED_VALUE"""),5)</f>
        <v>5</v>
      </c>
      <c r="BM234" s="4">
        <f ca="1">IFERROR(__xludf.DUMMYFUNCTION("""COMPUTED_VALUE"""),5)</f>
        <v>5</v>
      </c>
      <c r="BN234" s="4">
        <f ca="1">IFERROR(__xludf.DUMMYFUNCTION("""COMPUTED_VALUE"""),5)</f>
        <v>5</v>
      </c>
      <c r="BO234" s="4">
        <f ca="1">IFERROR(__xludf.DUMMYFUNCTION("""COMPUTED_VALUE"""),5)</f>
        <v>5</v>
      </c>
      <c r="BP234" s="4">
        <f ca="1">IFERROR(__xludf.DUMMYFUNCTION("""COMPUTED_VALUE"""),5)</f>
        <v>5</v>
      </c>
    </row>
    <row r="235" spans="1:68" ht="13.2" x14ac:dyDescent="0.25">
      <c r="A235" s="4" t="str">
        <f ca="1">IFERROR(__xludf.DUMMYFUNCTION("""COMPUTED_VALUE"""),"2_ABaOnueY3lMvvSlH7Kh634YkSU3yJaJfiE4db6O1JO5CSYAVcI9vYYc0Aia_w2mdxA")</f>
        <v>2_ABaOnueY3lMvvSlH7Kh634YkSU3yJaJfiE4db6O1JO5CSYAVcI9vYYc0Aia_w2mdxA</v>
      </c>
      <c r="B235" s="5">
        <f ca="1">IFERROR(__xludf.DUMMYFUNCTION("""COMPUTED_VALUE"""),45979.4950259837)</f>
        <v>45979.495025983699</v>
      </c>
      <c r="C235" s="4" t="str">
        <f ca="1">IFERROR(__xludf.DUMMYFUNCTION("""COMPUTED_VALUE"""),"Nguyễn Quang Huy")</f>
        <v>Nguyễn Quang Huy</v>
      </c>
      <c r="D235" s="4" t="str">
        <f ca="1">IFERROR(__xludf.DUMMYFUNCTION("""COMPUTED_VALUE"""),"Nam")</f>
        <v>Nam</v>
      </c>
      <c r="E235" s="4" t="str">
        <f ca="1">IFERROR(__xludf.DUMMYFUNCTION("""COMPUTED_VALUE"""),"Công ty TNHH Kiểm toán AS")</f>
        <v>Công ty TNHH Kiểm toán AS</v>
      </c>
      <c r="F235" s="4" t="str">
        <f ca="1">IFERROR(__xludf.DUMMYFUNCTION("""COMPUTED_VALUE"""),"Đại học, Chứng chỉ Kiểm toán viên")</f>
        <v>Đại học, Chứng chỉ Kiểm toán viên</v>
      </c>
      <c r="G235" s="4" t="str">
        <f ca="1">IFERROR(__xludf.DUMMYFUNCTION("""COMPUTED_VALUE"""),"Trên 5 đến 10 năm")</f>
        <v>Trên 5 đến 10 năm</v>
      </c>
      <c r="H235" s="4" t="str">
        <f ca="1">IFERROR(__xludf.DUMMYFUNCTION("""COMPUTED_VALUE"""),"Kiểm toán viên/Trưởng nhóm")</f>
        <v>Kiểm toán viên/Trưởng nhóm</v>
      </c>
      <c r="I235" s="4">
        <f ca="1">IFERROR(__xludf.DUMMYFUNCTION("""COMPUTED_VALUE"""),5)</f>
        <v>5</v>
      </c>
      <c r="J235" s="4">
        <f ca="1">IFERROR(__xludf.DUMMYFUNCTION("""COMPUTED_VALUE"""),4)</f>
        <v>4</v>
      </c>
      <c r="K235" s="4">
        <f ca="1">IFERROR(__xludf.DUMMYFUNCTION("""COMPUTED_VALUE"""),4)</f>
        <v>4</v>
      </c>
      <c r="L235" s="4">
        <f ca="1">IFERROR(__xludf.DUMMYFUNCTION("""COMPUTED_VALUE"""),4)</f>
        <v>4</v>
      </c>
      <c r="M235" s="4">
        <f ca="1">IFERROR(__xludf.DUMMYFUNCTION("""COMPUTED_VALUE"""),3)</f>
        <v>3</v>
      </c>
      <c r="N235" s="4">
        <f ca="1">IFERROR(__xludf.DUMMYFUNCTION("""COMPUTED_VALUE"""),3)</f>
        <v>3</v>
      </c>
      <c r="O235" s="4">
        <f ca="1">IFERROR(__xludf.DUMMYFUNCTION("""COMPUTED_VALUE"""),3)</f>
        <v>3</v>
      </c>
      <c r="P235" s="4">
        <f ca="1">IFERROR(__xludf.DUMMYFUNCTION("""COMPUTED_VALUE"""),4)</f>
        <v>4</v>
      </c>
      <c r="Q235" s="4">
        <f ca="1">IFERROR(__xludf.DUMMYFUNCTION("""COMPUTED_VALUE"""),4)</f>
        <v>4</v>
      </c>
      <c r="R235" s="4">
        <f ca="1">IFERROR(__xludf.DUMMYFUNCTION("""COMPUTED_VALUE"""),5)</f>
        <v>5</v>
      </c>
      <c r="S235" s="4">
        <f ca="1">IFERROR(__xludf.DUMMYFUNCTION("""COMPUTED_VALUE"""),5)</f>
        <v>5</v>
      </c>
      <c r="T235" s="4">
        <f ca="1">IFERROR(__xludf.DUMMYFUNCTION("""COMPUTED_VALUE"""),5)</f>
        <v>5</v>
      </c>
      <c r="U235" s="4">
        <f ca="1">IFERROR(__xludf.DUMMYFUNCTION("""COMPUTED_VALUE"""),5)</f>
        <v>5</v>
      </c>
      <c r="V235" s="4">
        <f ca="1">IFERROR(__xludf.DUMMYFUNCTION("""COMPUTED_VALUE"""),5)</f>
        <v>5</v>
      </c>
      <c r="W235" s="4">
        <f ca="1">IFERROR(__xludf.DUMMYFUNCTION("""COMPUTED_VALUE"""),3)</f>
        <v>3</v>
      </c>
      <c r="X235" s="4">
        <f ca="1">IFERROR(__xludf.DUMMYFUNCTION("""COMPUTED_VALUE"""),3)</f>
        <v>3</v>
      </c>
      <c r="Y235" s="4">
        <f ca="1">IFERROR(__xludf.DUMMYFUNCTION("""COMPUTED_VALUE"""),3)</f>
        <v>3</v>
      </c>
      <c r="Z235" s="4">
        <f ca="1">IFERROR(__xludf.DUMMYFUNCTION("""COMPUTED_VALUE"""),3)</f>
        <v>3</v>
      </c>
      <c r="AA235" s="4">
        <f ca="1">IFERROR(__xludf.DUMMYFUNCTION("""COMPUTED_VALUE"""),3)</f>
        <v>3</v>
      </c>
      <c r="AB235" s="4">
        <f ca="1">IFERROR(__xludf.DUMMYFUNCTION("""COMPUTED_VALUE"""),5)</f>
        <v>5</v>
      </c>
      <c r="AC235" s="4">
        <f ca="1">IFERROR(__xludf.DUMMYFUNCTION("""COMPUTED_VALUE"""),5)</f>
        <v>5</v>
      </c>
      <c r="AD235" s="4">
        <f ca="1">IFERROR(__xludf.DUMMYFUNCTION("""COMPUTED_VALUE"""),4)</f>
        <v>4</v>
      </c>
      <c r="AE235" s="4">
        <f ca="1">IFERROR(__xludf.DUMMYFUNCTION("""COMPUTED_VALUE"""),5)</f>
        <v>5</v>
      </c>
      <c r="AF235" s="4">
        <f ca="1">IFERROR(__xludf.DUMMYFUNCTION("""COMPUTED_VALUE"""),4)</f>
        <v>4</v>
      </c>
      <c r="AG235" s="4">
        <f ca="1">IFERROR(__xludf.DUMMYFUNCTION("""COMPUTED_VALUE"""),4)</f>
        <v>4</v>
      </c>
      <c r="AH235" s="4">
        <f ca="1">IFERROR(__xludf.DUMMYFUNCTION("""COMPUTED_VALUE"""),4)</f>
        <v>4</v>
      </c>
      <c r="AI235" s="4">
        <f ca="1">IFERROR(__xludf.DUMMYFUNCTION("""COMPUTED_VALUE"""),4)</f>
        <v>4</v>
      </c>
      <c r="AJ235" s="4">
        <f ca="1">IFERROR(__xludf.DUMMYFUNCTION("""COMPUTED_VALUE"""),4)</f>
        <v>4</v>
      </c>
      <c r="AK235" s="4">
        <f ca="1">IFERROR(__xludf.DUMMYFUNCTION("""COMPUTED_VALUE"""),4)</f>
        <v>4</v>
      </c>
      <c r="AL235" s="4">
        <f ca="1">IFERROR(__xludf.DUMMYFUNCTION("""COMPUTED_VALUE"""),4)</f>
        <v>4</v>
      </c>
      <c r="AM235" s="4">
        <f ca="1">IFERROR(__xludf.DUMMYFUNCTION("""COMPUTED_VALUE"""),4)</f>
        <v>4</v>
      </c>
      <c r="AN235" s="4">
        <f ca="1">IFERROR(__xludf.DUMMYFUNCTION("""COMPUTED_VALUE"""),4)</f>
        <v>4</v>
      </c>
      <c r="AO235" s="4">
        <f ca="1">IFERROR(__xludf.DUMMYFUNCTION("""COMPUTED_VALUE"""),3)</f>
        <v>3</v>
      </c>
      <c r="AP235" s="4">
        <f ca="1">IFERROR(__xludf.DUMMYFUNCTION("""COMPUTED_VALUE"""),3)</f>
        <v>3</v>
      </c>
      <c r="AQ235" s="4">
        <f ca="1">IFERROR(__xludf.DUMMYFUNCTION("""COMPUTED_VALUE"""),3)</f>
        <v>3</v>
      </c>
      <c r="AR235" s="4">
        <f ca="1">IFERROR(__xludf.DUMMYFUNCTION("""COMPUTED_VALUE"""),3)</f>
        <v>3</v>
      </c>
      <c r="AS235" s="4">
        <f ca="1">IFERROR(__xludf.DUMMYFUNCTION("""COMPUTED_VALUE"""),3)</f>
        <v>3</v>
      </c>
      <c r="AT235" s="4">
        <f ca="1">IFERROR(__xludf.DUMMYFUNCTION("""COMPUTED_VALUE"""),3)</f>
        <v>3</v>
      </c>
      <c r="AU235" s="4">
        <f ca="1">IFERROR(__xludf.DUMMYFUNCTION("""COMPUTED_VALUE"""),3)</f>
        <v>3</v>
      </c>
      <c r="AV235" s="4">
        <f ca="1">IFERROR(__xludf.DUMMYFUNCTION("""COMPUTED_VALUE"""),3)</f>
        <v>3</v>
      </c>
      <c r="AW235" s="4">
        <f ca="1">IFERROR(__xludf.DUMMYFUNCTION("""COMPUTED_VALUE"""),3)</f>
        <v>3</v>
      </c>
      <c r="AX235" s="4">
        <f ca="1">IFERROR(__xludf.DUMMYFUNCTION("""COMPUTED_VALUE"""),4)</f>
        <v>4</v>
      </c>
      <c r="AY235" s="4">
        <f ca="1">IFERROR(__xludf.DUMMYFUNCTION("""COMPUTED_VALUE"""),4)</f>
        <v>4</v>
      </c>
      <c r="AZ235" s="4">
        <f ca="1">IFERROR(__xludf.DUMMYFUNCTION("""COMPUTED_VALUE"""),4)</f>
        <v>4</v>
      </c>
      <c r="BA235" s="4">
        <f ca="1">IFERROR(__xludf.DUMMYFUNCTION("""COMPUTED_VALUE"""),4)</f>
        <v>4</v>
      </c>
      <c r="BB235" s="4">
        <f ca="1">IFERROR(__xludf.DUMMYFUNCTION("""COMPUTED_VALUE"""),3)</f>
        <v>3</v>
      </c>
      <c r="BC235" s="4">
        <f ca="1">IFERROR(__xludf.DUMMYFUNCTION("""COMPUTED_VALUE"""),3)</f>
        <v>3</v>
      </c>
      <c r="BD235" s="4">
        <f ca="1">IFERROR(__xludf.DUMMYFUNCTION("""COMPUTED_VALUE"""),3)</f>
        <v>3</v>
      </c>
      <c r="BE235" s="4">
        <f ca="1">IFERROR(__xludf.DUMMYFUNCTION("""COMPUTED_VALUE"""),3)</f>
        <v>3</v>
      </c>
      <c r="BF235" s="4">
        <f ca="1">IFERROR(__xludf.DUMMYFUNCTION("""COMPUTED_VALUE"""),3)</f>
        <v>3</v>
      </c>
      <c r="BG235" s="4">
        <f ca="1">IFERROR(__xludf.DUMMYFUNCTION("""COMPUTED_VALUE"""),3)</f>
        <v>3</v>
      </c>
      <c r="BH235" s="4">
        <f ca="1">IFERROR(__xludf.DUMMYFUNCTION("""COMPUTED_VALUE"""),3)</f>
        <v>3</v>
      </c>
      <c r="BI235" s="4">
        <f ca="1">IFERROR(__xludf.DUMMYFUNCTION("""COMPUTED_VALUE"""),4)</f>
        <v>4</v>
      </c>
      <c r="BJ235" s="4">
        <f ca="1">IFERROR(__xludf.DUMMYFUNCTION("""COMPUTED_VALUE"""),4)</f>
        <v>4</v>
      </c>
      <c r="BK235" s="4">
        <f ca="1">IFERROR(__xludf.DUMMYFUNCTION("""COMPUTED_VALUE"""),4)</f>
        <v>4</v>
      </c>
      <c r="BL235" s="4">
        <f ca="1">IFERROR(__xludf.DUMMYFUNCTION("""COMPUTED_VALUE"""),4)</f>
        <v>4</v>
      </c>
      <c r="BM235" s="4">
        <f ca="1">IFERROR(__xludf.DUMMYFUNCTION("""COMPUTED_VALUE"""),4)</f>
        <v>4</v>
      </c>
      <c r="BN235" s="4">
        <f ca="1">IFERROR(__xludf.DUMMYFUNCTION("""COMPUTED_VALUE"""),4)</f>
        <v>4</v>
      </c>
      <c r="BO235" s="4">
        <f ca="1">IFERROR(__xludf.DUMMYFUNCTION("""COMPUTED_VALUE"""),5)</f>
        <v>5</v>
      </c>
      <c r="BP235" s="4">
        <f ca="1">IFERROR(__xludf.DUMMYFUNCTION("""COMPUTED_VALUE"""),4)</f>
        <v>4</v>
      </c>
    </row>
    <row r="236" spans="1:68" ht="13.2" x14ac:dyDescent="0.25">
      <c r="A236" s="4" t="str">
        <f ca="1">IFERROR(__xludf.DUMMYFUNCTION("""COMPUTED_VALUE"""),"2_ABaOnuccSTO0IM7xBW6vFJfOQnz6tokJp-G_MGcdQUZ2Gg0HK9Hy856xZGMSWqe6Zg")</f>
        <v>2_ABaOnuccSTO0IM7xBW6vFJfOQnz6tokJp-G_MGcdQUZ2Gg0HK9Hy856xZGMSWqe6Zg</v>
      </c>
      <c r="B236" s="5">
        <f ca="1">IFERROR(__xludf.DUMMYFUNCTION("""COMPUTED_VALUE"""),45979.5007085879)</f>
        <v>45979.500708587897</v>
      </c>
      <c r="C236" s="4" t="str">
        <f ca="1">IFERROR(__xludf.DUMMYFUNCTION("""COMPUTED_VALUE"""),"Nguyễn Đoàn Nhật Hạ")</f>
        <v>Nguyễn Đoàn Nhật Hạ</v>
      </c>
      <c r="D236" s="4" t="str">
        <f ca="1">IFERROR(__xludf.DUMMYFUNCTION("""COMPUTED_VALUE"""),"Nữ")</f>
        <v>Nữ</v>
      </c>
      <c r="E236" s="4" t="str">
        <f ca="1">IFERROR(__xludf.DUMMYFUNCTION("""COMPUTED_VALUE"""),"Chi nhánh Công ty TNHH Kiểm toán và Tư vấn Chuẩn Việt tại Đà Nẵng")</f>
        <v>Chi nhánh Công ty TNHH Kiểm toán và Tư vấn Chuẩn Việt tại Đà Nẵng</v>
      </c>
      <c r="F236" s="4" t="str">
        <f ca="1">IFERROR(__xludf.DUMMYFUNCTION("""COMPUTED_VALUE"""),"Đại học")</f>
        <v>Đại học</v>
      </c>
      <c r="G236" s="4" t="str">
        <f ca="1">IFERROR(__xludf.DUMMYFUNCTION("""COMPUTED_VALUE"""),"Từ 3 đến 5 năm")</f>
        <v>Từ 3 đến 5 năm</v>
      </c>
      <c r="H236" s="4" t="str">
        <f ca="1">IFERROR(__xludf.DUMMYFUNCTION("""COMPUTED_VALUE"""),"Kiểm toán viên/Trưởng nhóm")</f>
        <v>Kiểm toán viên/Trưởng nhóm</v>
      </c>
      <c r="I236" s="4">
        <f ca="1">IFERROR(__xludf.DUMMYFUNCTION("""COMPUTED_VALUE"""),5)</f>
        <v>5</v>
      </c>
      <c r="J236" s="4">
        <f ca="1">IFERROR(__xludf.DUMMYFUNCTION("""COMPUTED_VALUE"""),5)</f>
        <v>5</v>
      </c>
      <c r="K236" s="4">
        <f ca="1">IFERROR(__xludf.DUMMYFUNCTION("""COMPUTED_VALUE"""),5)</f>
        <v>5</v>
      </c>
      <c r="L236" s="4">
        <f ca="1">IFERROR(__xludf.DUMMYFUNCTION("""COMPUTED_VALUE"""),5)</f>
        <v>5</v>
      </c>
      <c r="M236" s="4">
        <f ca="1">IFERROR(__xludf.DUMMYFUNCTION("""COMPUTED_VALUE"""),5)</f>
        <v>5</v>
      </c>
      <c r="N236" s="4">
        <f ca="1">IFERROR(__xludf.DUMMYFUNCTION("""COMPUTED_VALUE"""),5)</f>
        <v>5</v>
      </c>
      <c r="O236" s="4">
        <f ca="1">IFERROR(__xludf.DUMMYFUNCTION("""COMPUTED_VALUE"""),5)</f>
        <v>5</v>
      </c>
      <c r="P236" s="4">
        <f ca="1">IFERROR(__xludf.DUMMYFUNCTION("""COMPUTED_VALUE"""),5)</f>
        <v>5</v>
      </c>
      <c r="Q236" s="4">
        <f ca="1">IFERROR(__xludf.DUMMYFUNCTION("""COMPUTED_VALUE"""),5)</f>
        <v>5</v>
      </c>
      <c r="R236" s="4">
        <f ca="1">IFERROR(__xludf.DUMMYFUNCTION("""COMPUTED_VALUE"""),5)</f>
        <v>5</v>
      </c>
      <c r="S236" s="4">
        <f ca="1">IFERROR(__xludf.DUMMYFUNCTION("""COMPUTED_VALUE"""),5)</f>
        <v>5</v>
      </c>
      <c r="T236" s="4">
        <f ca="1">IFERROR(__xludf.DUMMYFUNCTION("""COMPUTED_VALUE"""),5)</f>
        <v>5</v>
      </c>
      <c r="U236" s="4">
        <f ca="1">IFERROR(__xludf.DUMMYFUNCTION("""COMPUTED_VALUE"""),5)</f>
        <v>5</v>
      </c>
      <c r="V236" s="4">
        <f ca="1">IFERROR(__xludf.DUMMYFUNCTION("""COMPUTED_VALUE"""),5)</f>
        <v>5</v>
      </c>
      <c r="W236" s="4">
        <f ca="1">IFERROR(__xludf.DUMMYFUNCTION("""COMPUTED_VALUE"""),5)</f>
        <v>5</v>
      </c>
      <c r="X236" s="4">
        <f ca="1">IFERROR(__xludf.DUMMYFUNCTION("""COMPUTED_VALUE"""),5)</f>
        <v>5</v>
      </c>
      <c r="Y236" s="4">
        <f ca="1">IFERROR(__xludf.DUMMYFUNCTION("""COMPUTED_VALUE"""),5)</f>
        <v>5</v>
      </c>
      <c r="Z236" s="4">
        <f ca="1">IFERROR(__xludf.DUMMYFUNCTION("""COMPUTED_VALUE"""),5)</f>
        <v>5</v>
      </c>
      <c r="AA236" s="4">
        <f ca="1">IFERROR(__xludf.DUMMYFUNCTION("""COMPUTED_VALUE"""),5)</f>
        <v>5</v>
      </c>
      <c r="AB236" s="4">
        <f ca="1">IFERROR(__xludf.DUMMYFUNCTION("""COMPUTED_VALUE"""),4)</f>
        <v>4</v>
      </c>
      <c r="AC236" s="4">
        <f ca="1">IFERROR(__xludf.DUMMYFUNCTION("""COMPUTED_VALUE"""),4)</f>
        <v>4</v>
      </c>
      <c r="AD236" s="4">
        <f ca="1">IFERROR(__xludf.DUMMYFUNCTION("""COMPUTED_VALUE"""),4)</f>
        <v>4</v>
      </c>
      <c r="AE236" s="4">
        <f ca="1">IFERROR(__xludf.DUMMYFUNCTION("""COMPUTED_VALUE"""),5)</f>
        <v>5</v>
      </c>
      <c r="AF236" s="4">
        <f ca="1">IFERROR(__xludf.DUMMYFUNCTION("""COMPUTED_VALUE"""),5)</f>
        <v>5</v>
      </c>
      <c r="AG236" s="4">
        <f ca="1">IFERROR(__xludf.DUMMYFUNCTION("""COMPUTED_VALUE"""),5)</f>
        <v>5</v>
      </c>
      <c r="AH236" s="4">
        <f ca="1">IFERROR(__xludf.DUMMYFUNCTION("""COMPUTED_VALUE"""),5)</f>
        <v>5</v>
      </c>
      <c r="AI236" s="4">
        <f ca="1">IFERROR(__xludf.DUMMYFUNCTION("""COMPUTED_VALUE"""),5)</f>
        <v>5</v>
      </c>
      <c r="AJ236" s="4">
        <f ca="1">IFERROR(__xludf.DUMMYFUNCTION("""COMPUTED_VALUE"""),5)</f>
        <v>5</v>
      </c>
      <c r="AK236" s="4">
        <f ca="1">IFERROR(__xludf.DUMMYFUNCTION("""COMPUTED_VALUE"""),5)</f>
        <v>5</v>
      </c>
      <c r="AL236" s="4">
        <f ca="1">IFERROR(__xludf.DUMMYFUNCTION("""COMPUTED_VALUE"""),5)</f>
        <v>5</v>
      </c>
      <c r="AM236" s="4">
        <f ca="1">IFERROR(__xludf.DUMMYFUNCTION("""COMPUTED_VALUE"""),5)</f>
        <v>5</v>
      </c>
      <c r="AN236" s="4">
        <f ca="1">IFERROR(__xludf.DUMMYFUNCTION("""COMPUTED_VALUE"""),5)</f>
        <v>5</v>
      </c>
      <c r="AO236" s="4">
        <f ca="1">IFERROR(__xludf.DUMMYFUNCTION("""COMPUTED_VALUE"""),4)</f>
        <v>4</v>
      </c>
      <c r="AP236" s="4">
        <f ca="1">IFERROR(__xludf.DUMMYFUNCTION("""COMPUTED_VALUE"""),4)</f>
        <v>4</v>
      </c>
      <c r="AQ236" s="4">
        <f ca="1">IFERROR(__xludf.DUMMYFUNCTION("""COMPUTED_VALUE"""),4)</f>
        <v>4</v>
      </c>
      <c r="AR236" s="4">
        <f ca="1">IFERROR(__xludf.DUMMYFUNCTION("""COMPUTED_VALUE"""),5)</f>
        <v>5</v>
      </c>
      <c r="AS236" s="4">
        <f ca="1">IFERROR(__xludf.DUMMYFUNCTION("""COMPUTED_VALUE"""),5)</f>
        <v>5</v>
      </c>
      <c r="AT236" s="4">
        <f ca="1">IFERROR(__xludf.DUMMYFUNCTION("""COMPUTED_VALUE"""),4)</f>
        <v>4</v>
      </c>
      <c r="AU236" s="4">
        <f ca="1">IFERROR(__xludf.DUMMYFUNCTION("""COMPUTED_VALUE"""),4)</f>
        <v>4</v>
      </c>
      <c r="AV236" s="4">
        <f ca="1">IFERROR(__xludf.DUMMYFUNCTION("""COMPUTED_VALUE"""),5)</f>
        <v>5</v>
      </c>
      <c r="AW236" s="4">
        <f ca="1">IFERROR(__xludf.DUMMYFUNCTION("""COMPUTED_VALUE"""),4)</f>
        <v>4</v>
      </c>
      <c r="AX236" s="4">
        <f ca="1">IFERROR(__xludf.DUMMYFUNCTION("""COMPUTED_VALUE"""),5)</f>
        <v>5</v>
      </c>
      <c r="AY236" s="4">
        <f ca="1">IFERROR(__xludf.DUMMYFUNCTION("""COMPUTED_VALUE"""),5)</f>
        <v>5</v>
      </c>
      <c r="AZ236" s="4">
        <f ca="1">IFERROR(__xludf.DUMMYFUNCTION("""COMPUTED_VALUE"""),5)</f>
        <v>5</v>
      </c>
      <c r="BA236" s="4">
        <f ca="1">IFERROR(__xludf.DUMMYFUNCTION("""COMPUTED_VALUE"""),5)</f>
        <v>5</v>
      </c>
      <c r="BB236" s="4">
        <f ca="1">IFERROR(__xludf.DUMMYFUNCTION("""COMPUTED_VALUE"""),5)</f>
        <v>5</v>
      </c>
      <c r="BC236" s="4">
        <f ca="1">IFERROR(__xludf.DUMMYFUNCTION("""COMPUTED_VALUE"""),5)</f>
        <v>5</v>
      </c>
      <c r="BD236" s="4">
        <f ca="1">IFERROR(__xludf.DUMMYFUNCTION("""COMPUTED_VALUE"""),5)</f>
        <v>5</v>
      </c>
      <c r="BE236" s="4">
        <f ca="1">IFERROR(__xludf.DUMMYFUNCTION("""COMPUTED_VALUE"""),5)</f>
        <v>5</v>
      </c>
      <c r="BF236" s="4">
        <f ca="1">IFERROR(__xludf.DUMMYFUNCTION("""COMPUTED_VALUE"""),5)</f>
        <v>5</v>
      </c>
      <c r="BG236" s="4">
        <f ca="1">IFERROR(__xludf.DUMMYFUNCTION("""COMPUTED_VALUE"""),5)</f>
        <v>5</v>
      </c>
      <c r="BH236" s="4">
        <f ca="1">IFERROR(__xludf.DUMMYFUNCTION("""COMPUTED_VALUE"""),5)</f>
        <v>5</v>
      </c>
      <c r="BI236" s="4">
        <f ca="1">IFERROR(__xludf.DUMMYFUNCTION("""COMPUTED_VALUE"""),5)</f>
        <v>5</v>
      </c>
      <c r="BJ236" s="4">
        <f ca="1">IFERROR(__xludf.DUMMYFUNCTION("""COMPUTED_VALUE"""),5)</f>
        <v>5</v>
      </c>
      <c r="BK236" s="4">
        <f ca="1">IFERROR(__xludf.DUMMYFUNCTION("""COMPUTED_VALUE"""),5)</f>
        <v>5</v>
      </c>
      <c r="BL236" s="4">
        <f ca="1">IFERROR(__xludf.DUMMYFUNCTION("""COMPUTED_VALUE"""),5)</f>
        <v>5</v>
      </c>
      <c r="BM236" s="4">
        <f ca="1">IFERROR(__xludf.DUMMYFUNCTION("""COMPUTED_VALUE"""),5)</f>
        <v>5</v>
      </c>
      <c r="BN236" s="4">
        <f ca="1">IFERROR(__xludf.DUMMYFUNCTION("""COMPUTED_VALUE"""),5)</f>
        <v>5</v>
      </c>
      <c r="BO236" s="4">
        <f ca="1">IFERROR(__xludf.DUMMYFUNCTION("""COMPUTED_VALUE"""),5)</f>
        <v>5</v>
      </c>
      <c r="BP236" s="4">
        <f ca="1">IFERROR(__xludf.DUMMYFUNCTION("""COMPUTED_VALUE"""),4)</f>
        <v>4</v>
      </c>
    </row>
    <row r="237" spans="1:68" ht="13.2" x14ac:dyDescent="0.25">
      <c r="A237" s="4" t="str">
        <f ca="1">IFERROR(__xludf.DUMMYFUNCTION("""COMPUTED_VALUE"""),"2_ABaOnucoJxAgOU4kDxaIAsz3DcJ6iElxTZl5IwFlkpajP4_odzjUgeizqPNbzfuAtA")</f>
        <v>2_ABaOnucoJxAgOU4kDxaIAsz3DcJ6iElxTZl5IwFlkpajP4_odzjUgeizqPNbzfuAtA</v>
      </c>
      <c r="B237" s="5">
        <f ca="1">IFERROR(__xludf.DUMMYFUNCTION("""COMPUTED_VALUE"""),45979.5040798495)</f>
        <v>45979.504079849503</v>
      </c>
      <c r="C237" s="4" t="str">
        <f ca="1">IFERROR(__xludf.DUMMYFUNCTION("""COMPUTED_VALUE"""),"Nguyễn Thuý Vân Quỳnh")</f>
        <v>Nguyễn Thuý Vân Quỳnh</v>
      </c>
      <c r="D237" s="4" t="str">
        <f ca="1">IFERROR(__xludf.DUMMYFUNCTION("""COMPUTED_VALUE"""),"Nữ")</f>
        <v>Nữ</v>
      </c>
      <c r="E237" s="4" t="str">
        <f ca="1">IFERROR(__xludf.DUMMYFUNCTION("""COMPUTED_VALUE"""),"Công ty TNHH Kiểm toán AVN Việt Nam")</f>
        <v>Công ty TNHH Kiểm toán AVN Việt Nam</v>
      </c>
      <c r="F237" s="4" t="str">
        <f ca="1">IFERROR(__xludf.DUMMYFUNCTION("""COMPUTED_VALUE"""),"Đại học")</f>
        <v>Đại học</v>
      </c>
      <c r="G237" s="4" t="str">
        <f ca="1">IFERROR(__xludf.DUMMYFUNCTION("""COMPUTED_VALUE"""),"Từ 3 đến 5 năm")</f>
        <v>Từ 3 đến 5 năm</v>
      </c>
      <c r="H237" s="4" t="str">
        <f ca="1">IFERROR(__xludf.DUMMYFUNCTION("""COMPUTED_VALUE"""),"Trợ lý kiểm toán")</f>
        <v>Trợ lý kiểm toán</v>
      </c>
      <c r="I237" s="4">
        <f ca="1">IFERROR(__xludf.DUMMYFUNCTION("""COMPUTED_VALUE"""),4)</f>
        <v>4</v>
      </c>
      <c r="J237" s="4">
        <f ca="1">IFERROR(__xludf.DUMMYFUNCTION("""COMPUTED_VALUE"""),4)</f>
        <v>4</v>
      </c>
      <c r="K237" s="4">
        <f ca="1">IFERROR(__xludf.DUMMYFUNCTION("""COMPUTED_VALUE"""),3)</f>
        <v>3</v>
      </c>
      <c r="L237" s="4">
        <f ca="1">IFERROR(__xludf.DUMMYFUNCTION("""COMPUTED_VALUE"""),4)</f>
        <v>4</v>
      </c>
      <c r="M237" s="4">
        <f ca="1">IFERROR(__xludf.DUMMYFUNCTION("""COMPUTED_VALUE"""),4)</f>
        <v>4</v>
      </c>
      <c r="N237" s="4">
        <f ca="1">IFERROR(__xludf.DUMMYFUNCTION("""COMPUTED_VALUE"""),4)</f>
        <v>4</v>
      </c>
      <c r="O237" s="4">
        <f ca="1">IFERROR(__xludf.DUMMYFUNCTION("""COMPUTED_VALUE"""),4)</f>
        <v>4</v>
      </c>
      <c r="P237" s="4">
        <f ca="1">IFERROR(__xludf.DUMMYFUNCTION("""COMPUTED_VALUE"""),4)</f>
        <v>4</v>
      </c>
      <c r="Q237" s="4">
        <f ca="1">IFERROR(__xludf.DUMMYFUNCTION("""COMPUTED_VALUE"""),5)</f>
        <v>5</v>
      </c>
      <c r="R237" s="4">
        <f ca="1">IFERROR(__xludf.DUMMYFUNCTION("""COMPUTED_VALUE"""),5)</f>
        <v>5</v>
      </c>
      <c r="S237" s="4">
        <f ca="1">IFERROR(__xludf.DUMMYFUNCTION("""COMPUTED_VALUE"""),5)</f>
        <v>5</v>
      </c>
      <c r="T237" s="4">
        <f ca="1">IFERROR(__xludf.DUMMYFUNCTION("""COMPUTED_VALUE"""),5)</f>
        <v>5</v>
      </c>
      <c r="U237" s="4">
        <f ca="1">IFERROR(__xludf.DUMMYFUNCTION("""COMPUTED_VALUE"""),5)</f>
        <v>5</v>
      </c>
      <c r="V237" s="4">
        <f ca="1">IFERROR(__xludf.DUMMYFUNCTION("""COMPUTED_VALUE"""),5)</f>
        <v>5</v>
      </c>
      <c r="W237" s="4">
        <f ca="1">IFERROR(__xludf.DUMMYFUNCTION("""COMPUTED_VALUE"""),3)</f>
        <v>3</v>
      </c>
      <c r="X237" s="4">
        <f ca="1">IFERROR(__xludf.DUMMYFUNCTION("""COMPUTED_VALUE"""),3)</f>
        <v>3</v>
      </c>
      <c r="Y237" s="4">
        <f ca="1">IFERROR(__xludf.DUMMYFUNCTION("""COMPUTED_VALUE"""),4)</f>
        <v>4</v>
      </c>
      <c r="Z237" s="4">
        <f ca="1">IFERROR(__xludf.DUMMYFUNCTION("""COMPUTED_VALUE"""),4)</f>
        <v>4</v>
      </c>
      <c r="AA237" s="4">
        <f ca="1">IFERROR(__xludf.DUMMYFUNCTION("""COMPUTED_VALUE"""),3)</f>
        <v>3</v>
      </c>
      <c r="AB237" s="4">
        <f ca="1">IFERROR(__xludf.DUMMYFUNCTION("""COMPUTED_VALUE"""),3)</f>
        <v>3</v>
      </c>
      <c r="AC237" s="4">
        <f ca="1">IFERROR(__xludf.DUMMYFUNCTION("""COMPUTED_VALUE"""),3)</f>
        <v>3</v>
      </c>
      <c r="AD237" s="4">
        <f ca="1">IFERROR(__xludf.DUMMYFUNCTION("""COMPUTED_VALUE"""),2)</f>
        <v>2</v>
      </c>
      <c r="AE237" s="4">
        <f ca="1">IFERROR(__xludf.DUMMYFUNCTION("""COMPUTED_VALUE"""),3)</f>
        <v>3</v>
      </c>
      <c r="AF237" s="4">
        <f ca="1">IFERROR(__xludf.DUMMYFUNCTION("""COMPUTED_VALUE"""),5)</f>
        <v>5</v>
      </c>
      <c r="AG237" s="4">
        <f ca="1">IFERROR(__xludf.DUMMYFUNCTION("""COMPUTED_VALUE"""),5)</f>
        <v>5</v>
      </c>
      <c r="AH237" s="4">
        <f ca="1">IFERROR(__xludf.DUMMYFUNCTION("""COMPUTED_VALUE"""),5)</f>
        <v>5</v>
      </c>
      <c r="AI237" s="4">
        <f ca="1">IFERROR(__xludf.DUMMYFUNCTION("""COMPUTED_VALUE"""),5)</f>
        <v>5</v>
      </c>
      <c r="AJ237" s="4">
        <f ca="1">IFERROR(__xludf.DUMMYFUNCTION("""COMPUTED_VALUE"""),3)</f>
        <v>3</v>
      </c>
      <c r="AK237" s="4">
        <f ca="1">IFERROR(__xludf.DUMMYFUNCTION("""COMPUTED_VALUE"""),3)</f>
        <v>3</v>
      </c>
      <c r="AL237" s="4">
        <f ca="1">IFERROR(__xludf.DUMMYFUNCTION("""COMPUTED_VALUE"""),3)</f>
        <v>3</v>
      </c>
      <c r="AM237" s="4">
        <f ca="1">IFERROR(__xludf.DUMMYFUNCTION("""COMPUTED_VALUE"""),3)</f>
        <v>3</v>
      </c>
      <c r="AN237" s="4">
        <f ca="1">IFERROR(__xludf.DUMMYFUNCTION("""COMPUTED_VALUE"""),4)</f>
        <v>4</v>
      </c>
      <c r="AO237" s="4">
        <f ca="1">IFERROR(__xludf.DUMMYFUNCTION("""COMPUTED_VALUE"""),3)</f>
        <v>3</v>
      </c>
      <c r="AP237" s="4">
        <f ca="1">IFERROR(__xludf.DUMMYFUNCTION("""COMPUTED_VALUE"""),3)</f>
        <v>3</v>
      </c>
      <c r="AQ237" s="4">
        <f ca="1">IFERROR(__xludf.DUMMYFUNCTION("""COMPUTED_VALUE"""),3)</f>
        <v>3</v>
      </c>
      <c r="AR237" s="4">
        <f ca="1">IFERROR(__xludf.DUMMYFUNCTION("""COMPUTED_VALUE"""),3)</f>
        <v>3</v>
      </c>
      <c r="AS237" s="4">
        <f ca="1">IFERROR(__xludf.DUMMYFUNCTION("""COMPUTED_VALUE"""),3)</f>
        <v>3</v>
      </c>
      <c r="AT237" s="4">
        <f ca="1">IFERROR(__xludf.DUMMYFUNCTION("""COMPUTED_VALUE"""),2)</f>
        <v>2</v>
      </c>
      <c r="AU237" s="4">
        <f ca="1">IFERROR(__xludf.DUMMYFUNCTION("""COMPUTED_VALUE"""),3)</f>
        <v>3</v>
      </c>
      <c r="AV237" s="4">
        <f ca="1">IFERROR(__xludf.DUMMYFUNCTION("""COMPUTED_VALUE"""),3)</f>
        <v>3</v>
      </c>
      <c r="AW237" s="4">
        <f ca="1">IFERROR(__xludf.DUMMYFUNCTION("""COMPUTED_VALUE"""),3)</f>
        <v>3</v>
      </c>
      <c r="AX237" s="4">
        <f ca="1">IFERROR(__xludf.DUMMYFUNCTION("""COMPUTED_VALUE"""),4)</f>
        <v>4</v>
      </c>
      <c r="AY237" s="4">
        <f ca="1">IFERROR(__xludf.DUMMYFUNCTION("""COMPUTED_VALUE"""),4)</f>
        <v>4</v>
      </c>
      <c r="AZ237" s="4">
        <f ca="1">IFERROR(__xludf.DUMMYFUNCTION("""COMPUTED_VALUE"""),4)</f>
        <v>4</v>
      </c>
      <c r="BA237" s="4">
        <f ca="1">IFERROR(__xludf.DUMMYFUNCTION("""COMPUTED_VALUE"""),4)</f>
        <v>4</v>
      </c>
      <c r="BB237" s="4">
        <f ca="1">IFERROR(__xludf.DUMMYFUNCTION("""COMPUTED_VALUE"""),3)</f>
        <v>3</v>
      </c>
      <c r="BC237" s="4">
        <f ca="1">IFERROR(__xludf.DUMMYFUNCTION("""COMPUTED_VALUE"""),3)</f>
        <v>3</v>
      </c>
      <c r="BD237" s="4">
        <f ca="1">IFERROR(__xludf.DUMMYFUNCTION("""COMPUTED_VALUE"""),3)</f>
        <v>3</v>
      </c>
      <c r="BE237" s="4">
        <f ca="1">IFERROR(__xludf.DUMMYFUNCTION("""COMPUTED_VALUE"""),4)</f>
        <v>4</v>
      </c>
      <c r="BF237" s="4">
        <f ca="1">IFERROR(__xludf.DUMMYFUNCTION("""COMPUTED_VALUE"""),3)</f>
        <v>3</v>
      </c>
      <c r="BG237" s="4">
        <f ca="1">IFERROR(__xludf.DUMMYFUNCTION("""COMPUTED_VALUE"""),3)</f>
        <v>3</v>
      </c>
      <c r="BH237" s="4">
        <f ca="1">IFERROR(__xludf.DUMMYFUNCTION("""COMPUTED_VALUE"""),3)</f>
        <v>3</v>
      </c>
      <c r="BI237" s="4">
        <f ca="1">IFERROR(__xludf.DUMMYFUNCTION("""COMPUTED_VALUE"""),3)</f>
        <v>3</v>
      </c>
      <c r="BJ237" s="4">
        <f ca="1">IFERROR(__xludf.DUMMYFUNCTION("""COMPUTED_VALUE"""),4)</f>
        <v>4</v>
      </c>
      <c r="BK237" s="4">
        <f ca="1">IFERROR(__xludf.DUMMYFUNCTION("""COMPUTED_VALUE"""),3)</f>
        <v>3</v>
      </c>
      <c r="BL237" s="4">
        <f ca="1">IFERROR(__xludf.DUMMYFUNCTION("""COMPUTED_VALUE"""),3)</f>
        <v>3</v>
      </c>
      <c r="BM237" s="4">
        <f ca="1">IFERROR(__xludf.DUMMYFUNCTION("""COMPUTED_VALUE"""),3)</f>
        <v>3</v>
      </c>
      <c r="BN237" s="4">
        <f ca="1">IFERROR(__xludf.DUMMYFUNCTION("""COMPUTED_VALUE"""),3)</f>
        <v>3</v>
      </c>
      <c r="BO237" s="4">
        <f ca="1">IFERROR(__xludf.DUMMYFUNCTION("""COMPUTED_VALUE"""),4)</f>
        <v>4</v>
      </c>
      <c r="BP237" s="4">
        <f ca="1">IFERROR(__xludf.DUMMYFUNCTION("""COMPUTED_VALUE"""),3)</f>
        <v>3</v>
      </c>
    </row>
    <row r="238" spans="1:68" ht="13.2" x14ac:dyDescent="0.25">
      <c r="A238" s="4" t="str">
        <f ca="1">IFERROR(__xludf.DUMMYFUNCTION("""COMPUTED_VALUE"""),"2_ABaOnufmNsk3VuRZ3tZwe531kZ4cOBisf_K3bCAHGFmIvMUFm_vSJ1i0Be2lhSvnfg")</f>
        <v>2_ABaOnufmNsk3VuRZ3tZwe531kZ4cOBisf_K3bCAHGFmIvMUFm_vSJ1i0Be2lhSvnfg</v>
      </c>
      <c r="B238" s="5">
        <f ca="1">IFERROR(__xludf.DUMMYFUNCTION("""COMPUTED_VALUE"""),45979.5051631597)</f>
        <v>45979.505163159702</v>
      </c>
      <c r="C238" s="4" t="str">
        <f ca="1">IFERROR(__xludf.DUMMYFUNCTION("""COMPUTED_VALUE"""),"Lê Nguyễn Nhật Hào")</f>
        <v>Lê Nguyễn Nhật Hào</v>
      </c>
      <c r="D238" s="4" t="str">
        <f ca="1">IFERROR(__xludf.DUMMYFUNCTION("""COMPUTED_VALUE"""),"Nam")</f>
        <v>Nam</v>
      </c>
      <c r="E238" s="4" t="str">
        <f ca="1">IFERROR(__xludf.DUMMYFUNCTION("""COMPUTED_VALUE"""),"Công ty TNHH Kiểm toán AVN Việt Nam")</f>
        <v>Công ty TNHH Kiểm toán AVN Việt Nam</v>
      </c>
      <c r="F238" s="4" t="str">
        <f ca="1">IFERROR(__xludf.DUMMYFUNCTION("""COMPUTED_VALUE"""),"Đại học")</f>
        <v>Đại học</v>
      </c>
      <c r="G238" s="4" t="str">
        <f ca="1">IFERROR(__xludf.DUMMYFUNCTION("""COMPUTED_VALUE"""),"Từ 3 đến 5 năm")</f>
        <v>Từ 3 đến 5 năm</v>
      </c>
      <c r="H238" s="4" t="str">
        <f ca="1">IFERROR(__xludf.DUMMYFUNCTION("""COMPUTED_VALUE"""),"Trợ lý kiểm toán")</f>
        <v>Trợ lý kiểm toán</v>
      </c>
      <c r="I238" s="4">
        <f ca="1">IFERROR(__xludf.DUMMYFUNCTION("""COMPUTED_VALUE"""),5)</f>
        <v>5</v>
      </c>
      <c r="J238" s="4">
        <f ca="1">IFERROR(__xludf.DUMMYFUNCTION("""COMPUTED_VALUE"""),5)</f>
        <v>5</v>
      </c>
      <c r="K238" s="4">
        <f ca="1">IFERROR(__xludf.DUMMYFUNCTION("""COMPUTED_VALUE"""),5)</f>
        <v>5</v>
      </c>
      <c r="L238" s="4">
        <f ca="1">IFERROR(__xludf.DUMMYFUNCTION("""COMPUTED_VALUE"""),5)</f>
        <v>5</v>
      </c>
      <c r="M238" s="4">
        <f ca="1">IFERROR(__xludf.DUMMYFUNCTION("""COMPUTED_VALUE"""),5)</f>
        <v>5</v>
      </c>
      <c r="N238" s="4">
        <f ca="1">IFERROR(__xludf.DUMMYFUNCTION("""COMPUTED_VALUE"""),5)</f>
        <v>5</v>
      </c>
      <c r="O238" s="4">
        <f ca="1">IFERROR(__xludf.DUMMYFUNCTION("""COMPUTED_VALUE"""),5)</f>
        <v>5</v>
      </c>
      <c r="P238" s="4">
        <f ca="1">IFERROR(__xludf.DUMMYFUNCTION("""COMPUTED_VALUE"""),5)</f>
        <v>5</v>
      </c>
      <c r="Q238" s="4">
        <f ca="1">IFERROR(__xludf.DUMMYFUNCTION("""COMPUTED_VALUE"""),5)</f>
        <v>5</v>
      </c>
      <c r="R238" s="4">
        <f ca="1">IFERROR(__xludf.DUMMYFUNCTION("""COMPUTED_VALUE"""),5)</f>
        <v>5</v>
      </c>
      <c r="S238" s="4">
        <f ca="1">IFERROR(__xludf.DUMMYFUNCTION("""COMPUTED_VALUE"""),5)</f>
        <v>5</v>
      </c>
      <c r="T238" s="4">
        <f ca="1">IFERROR(__xludf.DUMMYFUNCTION("""COMPUTED_VALUE"""),5)</f>
        <v>5</v>
      </c>
      <c r="U238" s="4">
        <f ca="1">IFERROR(__xludf.DUMMYFUNCTION("""COMPUTED_VALUE"""),5)</f>
        <v>5</v>
      </c>
      <c r="V238" s="4">
        <f ca="1">IFERROR(__xludf.DUMMYFUNCTION("""COMPUTED_VALUE"""),5)</f>
        <v>5</v>
      </c>
      <c r="W238" s="4">
        <f ca="1">IFERROR(__xludf.DUMMYFUNCTION("""COMPUTED_VALUE"""),5)</f>
        <v>5</v>
      </c>
      <c r="X238" s="4">
        <f ca="1">IFERROR(__xludf.DUMMYFUNCTION("""COMPUTED_VALUE"""),5)</f>
        <v>5</v>
      </c>
      <c r="Y238" s="4">
        <f ca="1">IFERROR(__xludf.DUMMYFUNCTION("""COMPUTED_VALUE"""),4)</f>
        <v>4</v>
      </c>
      <c r="Z238" s="4">
        <f ca="1">IFERROR(__xludf.DUMMYFUNCTION("""COMPUTED_VALUE"""),4)</f>
        <v>4</v>
      </c>
      <c r="AA238" s="4">
        <f ca="1">IFERROR(__xludf.DUMMYFUNCTION("""COMPUTED_VALUE"""),5)</f>
        <v>5</v>
      </c>
      <c r="AB238" s="4">
        <f ca="1">IFERROR(__xludf.DUMMYFUNCTION("""COMPUTED_VALUE"""),5)</f>
        <v>5</v>
      </c>
      <c r="AC238" s="4">
        <f ca="1">IFERROR(__xludf.DUMMYFUNCTION("""COMPUTED_VALUE"""),5)</f>
        <v>5</v>
      </c>
      <c r="AD238" s="4">
        <f ca="1">IFERROR(__xludf.DUMMYFUNCTION("""COMPUTED_VALUE"""),5)</f>
        <v>5</v>
      </c>
      <c r="AE238" s="4">
        <f ca="1">IFERROR(__xludf.DUMMYFUNCTION("""COMPUTED_VALUE"""),5)</f>
        <v>5</v>
      </c>
      <c r="AF238" s="4">
        <f ca="1">IFERROR(__xludf.DUMMYFUNCTION("""COMPUTED_VALUE"""),5)</f>
        <v>5</v>
      </c>
      <c r="AG238" s="4">
        <f ca="1">IFERROR(__xludf.DUMMYFUNCTION("""COMPUTED_VALUE"""),5)</f>
        <v>5</v>
      </c>
      <c r="AH238" s="4">
        <f ca="1">IFERROR(__xludf.DUMMYFUNCTION("""COMPUTED_VALUE"""),5)</f>
        <v>5</v>
      </c>
      <c r="AI238" s="4">
        <f ca="1">IFERROR(__xludf.DUMMYFUNCTION("""COMPUTED_VALUE"""),5)</f>
        <v>5</v>
      </c>
      <c r="AJ238" s="4">
        <f ca="1">IFERROR(__xludf.DUMMYFUNCTION("""COMPUTED_VALUE"""),5)</f>
        <v>5</v>
      </c>
      <c r="AK238" s="4">
        <f ca="1">IFERROR(__xludf.DUMMYFUNCTION("""COMPUTED_VALUE"""),5)</f>
        <v>5</v>
      </c>
      <c r="AL238" s="4">
        <f ca="1">IFERROR(__xludf.DUMMYFUNCTION("""COMPUTED_VALUE"""),5)</f>
        <v>5</v>
      </c>
      <c r="AM238" s="4">
        <f ca="1">IFERROR(__xludf.DUMMYFUNCTION("""COMPUTED_VALUE"""),5)</f>
        <v>5</v>
      </c>
      <c r="AN238" s="4">
        <f ca="1">IFERROR(__xludf.DUMMYFUNCTION("""COMPUTED_VALUE"""),5)</f>
        <v>5</v>
      </c>
      <c r="AO238" s="4">
        <f ca="1">IFERROR(__xludf.DUMMYFUNCTION("""COMPUTED_VALUE"""),3)</f>
        <v>3</v>
      </c>
      <c r="AP238" s="4">
        <f ca="1">IFERROR(__xludf.DUMMYFUNCTION("""COMPUTED_VALUE"""),4)</f>
        <v>4</v>
      </c>
      <c r="AQ238" s="4">
        <f ca="1">IFERROR(__xludf.DUMMYFUNCTION("""COMPUTED_VALUE"""),4)</f>
        <v>4</v>
      </c>
      <c r="AR238" s="4">
        <f ca="1">IFERROR(__xludf.DUMMYFUNCTION("""COMPUTED_VALUE"""),2)</f>
        <v>2</v>
      </c>
      <c r="AS238" s="4">
        <f ca="1">IFERROR(__xludf.DUMMYFUNCTION("""COMPUTED_VALUE"""),3)</f>
        <v>3</v>
      </c>
      <c r="AT238" s="4">
        <f ca="1">IFERROR(__xludf.DUMMYFUNCTION("""COMPUTED_VALUE"""),4)</f>
        <v>4</v>
      </c>
      <c r="AU238" s="4">
        <f ca="1">IFERROR(__xludf.DUMMYFUNCTION("""COMPUTED_VALUE"""),4)</f>
        <v>4</v>
      </c>
      <c r="AV238" s="4">
        <f ca="1">IFERROR(__xludf.DUMMYFUNCTION("""COMPUTED_VALUE"""),3)</f>
        <v>3</v>
      </c>
      <c r="AW238" s="4">
        <f ca="1">IFERROR(__xludf.DUMMYFUNCTION("""COMPUTED_VALUE"""),4)</f>
        <v>4</v>
      </c>
      <c r="AX238" s="4">
        <f ca="1">IFERROR(__xludf.DUMMYFUNCTION("""COMPUTED_VALUE"""),5)</f>
        <v>5</v>
      </c>
      <c r="AY238" s="4">
        <f ca="1">IFERROR(__xludf.DUMMYFUNCTION("""COMPUTED_VALUE"""),5)</f>
        <v>5</v>
      </c>
      <c r="AZ238" s="4">
        <f ca="1">IFERROR(__xludf.DUMMYFUNCTION("""COMPUTED_VALUE"""),5)</f>
        <v>5</v>
      </c>
      <c r="BA238" s="4">
        <f ca="1">IFERROR(__xludf.DUMMYFUNCTION("""COMPUTED_VALUE"""),5)</f>
        <v>5</v>
      </c>
      <c r="BB238" s="4">
        <f ca="1">IFERROR(__xludf.DUMMYFUNCTION("""COMPUTED_VALUE"""),5)</f>
        <v>5</v>
      </c>
      <c r="BC238" s="4">
        <f ca="1">IFERROR(__xludf.DUMMYFUNCTION("""COMPUTED_VALUE"""),5)</f>
        <v>5</v>
      </c>
      <c r="BD238" s="4">
        <f ca="1">IFERROR(__xludf.DUMMYFUNCTION("""COMPUTED_VALUE"""),3)</f>
        <v>3</v>
      </c>
      <c r="BE238" s="4">
        <f ca="1">IFERROR(__xludf.DUMMYFUNCTION("""COMPUTED_VALUE"""),3)</f>
        <v>3</v>
      </c>
      <c r="BF238" s="4">
        <f ca="1">IFERROR(__xludf.DUMMYFUNCTION("""COMPUTED_VALUE"""),3)</f>
        <v>3</v>
      </c>
      <c r="BG238" s="4">
        <f ca="1">IFERROR(__xludf.DUMMYFUNCTION("""COMPUTED_VALUE"""),3)</f>
        <v>3</v>
      </c>
      <c r="BH238" s="4">
        <f ca="1">IFERROR(__xludf.DUMMYFUNCTION("""COMPUTED_VALUE"""),5)</f>
        <v>5</v>
      </c>
      <c r="BI238" s="4">
        <f ca="1">IFERROR(__xludf.DUMMYFUNCTION("""COMPUTED_VALUE"""),5)</f>
        <v>5</v>
      </c>
      <c r="BJ238" s="4">
        <f ca="1">IFERROR(__xludf.DUMMYFUNCTION("""COMPUTED_VALUE"""),5)</f>
        <v>5</v>
      </c>
      <c r="BK238" s="4">
        <f ca="1">IFERROR(__xludf.DUMMYFUNCTION("""COMPUTED_VALUE"""),5)</f>
        <v>5</v>
      </c>
      <c r="BL238" s="4">
        <f ca="1">IFERROR(__xludf.DUMMYFUNCTION("""COMPUTED_VALUE"""),5)</f>
        <v>5</v>
      </c>
      <c r="BM238" s="4">
        <f ca="1">IFERROR(__xludf.DUMMYFUNCTION("""COMPUTED_VALUE"""),4)</f>
        <v>4</v>
      </c>
      <c r="BN238" s="4">
        <f ca="1">IFERROR(__xludf.DUMMYFUNCTION("""COMPUTED_VALUE"""),5)</f>
        <v>5</v>
      </c>
      <c r="BO238" s="4">
        <f ca="1">IFERROR(__xludf.DUMMYFUNCTION("""COMPUTED_VALUE"""),5)</f>
        <v>5</v>
      </c>
      <c r="BP238" s="4">
        <f ca="1">IFERROR(__xludf.DUMMYFUNCTION("""COMPUTED_VALUE"""),3)</f>
        <v>3</v>
      </c>
    </row>
    <row r="239" spans="1:68" ht="13.2" x14ac:dyDescent="0.25">
      <c r="A239" s="4" t="str">
        <f ca="1">IFERROR(__xludf.DUMMYFUNCTION("""COMPUTED_VALUE"""),"2_ABaOnuf1C4oQ8HoMxYFN281hN92o8mJ3IfM7hQOCWzwhYoOKsffBJ8gVKwoiN9l4Cg")</f>
        <v>2_ABaOnuf1C4oQ8HoMxYFN281hN92o8mJ3IfM7hQOCWzwhYoOKsffBJ8gVKwoiN9l4Cg</v>
      </c>
      <c r="B239" s="5">
        <f ca="1">IFERROR(__xludf.DUMMYFUNCTION("""COMPUTED_VALUE"""),45979.512889375)</f>
        <v>45979.512889375001</v>
      </c>
      <c r="C239" s="4" t="str">
        <f ca="1">IFERROR(__xludf.DUMMYFUNCTION("""COMPUTED_VALUE"""),"Trương Nhật Hồng")</f>
        <v>Trương Nhật Hồng</v>
      </c>
      <c r="D239" s="4" t="str">
        <f ca="1">IFERROR(__xludf.DUMMYFUNCTION("""COMPUTED_VALUE"""),"Nữ")</f>
        <v>Nữ</v>
      </c>
      <c r="E239" s="4" t="str">
        <f ca="1">IFERROR(__xludf.DUMMYFUNCTION("""COMPUTED_VALUE"""),"Công ty kiểm toán As")</f>
        <v>Công ty kiểm toán As</v>
      </c>
      <c r="F239" s="4" t="str">
        <f ca="1">IFERROR(__xludf.DUMMYFUNCTION("""COMPUTED_VALUE"""),"Đại học, Chứng chỉ Kiểm toán viên")</f>
        <v>Đại học, Chứng chỉ Kiểm toán viên</v>
      </c>
      <c r="G239" s="4" t="str">
        <f ca="1">IFERROR(__xludf.DUMMYFUNCTION("""COMPUTED_VALUE"""),"Từ 3 đến 5 năm")</f>
        <v>Từ 3 đến 5 năm</v>
      </c>
      <c r="H239" s="4" t="str">
        <f ca="1">IFERROR(__xludf.DUMMYFUNCTION("""COMPUTED_VALUE"""),"Kiểm toán viên/Trưởng nhóm")</f>
        <v>Kiểm toán viên/Trưởng nhóm</v>
      </c>
      <c r="I239" s="4">
        <f ca="1">IFERROR(__xludf.DUMMYFUNCTION("""COMPUTED_VALUE"""),5)</f>
        <v>5</v>
      </c>
      <c r="J239" s="4">
        <f ca="1">IFERROR(__xludf.DUMMYFUNCTION("""COMPUTED_VALUE"""),5)</f>
        <v>5</v>
      </c>
      <c r="K239" s="4">
        <f ca="1">IFERROR(__xludf.DUMMYFUNCTION("""COMPUTED_VALUE"""),5)</f>
        <v>5</v>
      </c>
      <c r="L239" s="4">
        <f ca="1">IFERROR(__xludf.DUMMYFUNCTION("""COMPUTED_VALUE"""),5)</f>
        <v>5</v>
      </c>
      <c r="M239" s="4">
        <f ca="1">IFERROR(__xludf.DUMMYFUNCTION("""COMPUTED_VALUE"""),5)</f>
        <v>5</v>
      </c>
      <c r="N239" s="4">
        <f ca="1">IFERROR(__xludf.DUMMYFUNCTION("""COMPUTED_VALUE"""),5)</f>
        <v>5</v>
      </c>
      <c r="O239" s="4">
        <f ca="1">IFERROR(__xludf.DUMMYFUNCTION("""COMPUTED_VALUE"""),5)</f>
        <v>5</v>
      </c>
      <c r="P239" s="4">
        <f ca="1">IFERROR(__xludf.DUMMYFUNCTION("""COMPUTED_VALUE"""),5)</f>
        <v>5</v>
      </c>
      <c r="Q239" s="4">
        <f ca="1">IFERROR(__xludf.DUMMYFUNCTION("""COMPUTED_VALUE"""),5)</f>
        <v>5</v>
      </c>
      <c r="R239" s="4">
        <f ca="1">IFERROR(__xludf.DUMMYFUNCTION("""COMPUTED_VALUE"""),5)</f>
        <v>5</v>
      </c>
      <c r="S239" s="4">
        <f ca="1">IFERROR(__xludf.DUMMYFUNCTION("""COMPUTED_VALUE"""),5)</f>
        <v>5</v>
      </c>
      <c r="T239" s="4">
        <f ca="1">IFERROR(__xludf.DUMMYFUNCTION("""COMPUTED_VALUE"""),5)</f>
        <v>5</v>
      </c>
      <c r="U239" s="4">
        <f ca="1">IFERROR(__xludf.DUMMYFUNCTION("""COMPUTED_VALUE"""),5)</f>
        <v>5</v>
      </c>
      <c r="V239" s="4">
        <f ca="1">IFERROR(__xludf.DUMMYFUNCTION("""COMPUTED_VALUE"""),5)</f>
        <v>5</v>
      </c>
      <c r="W239" s="4">
        <f ca="1">IFERROR(__xludf.DUMMYFUNCTION("""COMPUTED_VALUE"""),5)</f>
        <v>5</v>
      </c>
      <c r="X239" s="4">
        <f ca="1">IFERROR(__xludf.DUMMYFUNCTION("""COMPUTED_VALUE"""),5)</f>
        <v>5</v>
      </c>
      <c r="Y239" s="4">
        <f ca="1">IFERROR(__xludf.DUMMYFUNCTION("""COMPUTED_VALUE"""),5)</f>
        <v>5</v>
      </c>
      <c r="Z239" s="4">
        <f ca="1">IFERROR(__xludf.DUMMYFUNCTION("""COMPUTED_VALUE"""),5)</f>
        <v>5</v>
      </c>
      <c r="AA239" s="4">
        <f ca="1">IFERROR(__xludf.DUMMYFUNCTION("""COMPUTED_VALUE"""),5)</f>
        <v>5</v>
      </c>
      <c r="AB239" s="4">
        <f ca="1">IFERROR(__xludf.DUMMYFUNCTION("""COMPUTED_VALUE"""),5)</f>
        <v>5</v>
      </c>
      <c r="AC239" s="4">
        <f ca="1">IFERROR(__xludf.DUMMYFUNCTION("""COMPUTED_VALUE"""),4)</f>
        <v>4</v>
      </c>
      <c r="AD239" s="4">
        <f ca="1">IFERROR(__xludf.DUMMYFUNCTION("""COMPUTED_VALUE"""),4)</f>
        <v>4</v>
      </c>
      <c r="AE239" s="4">
        <f ca="1">IFERROR(__xludf.DUMMYFUNCTION("""COMPUTED_VALUE"""),5)</f>
        <v>5</v>
      </c>
      <c r="AF239" s="4">
        <f ca="1">IFERROR(__xludf.DUMMYFUNCTION("""COMPUTED_VALUE"""),5)</f>
        <v>5</v>
      </c>
      <c r="AG239" s="4">
        <f ca="1">IFERROR(__xludf.DUMMYFUNCTION("""COMPUTED_VALUE"""),5)</f>
        <v>5</v>
      </c>
      <c r="AH239" s="4">
        <f ca="1">IFERROR(__xludf.DUMMYFUNCTION("""COMPUTED_VALUE"""),5)</f>
        <v>5</v>
      </c>
      <c r="AI239" s="4">
        <f ca="1">IFERROR(__xludf.DUMMYFUNCTION("""COMPUTED_VALUE"""),5)</f>
        <v>5</v>
      </c>
      <c r="AJ239" s="4">
        <f ca="1">IFERROR(__xludf.DUMMYFUNCTION("""COMPUTED_VALUE"""),5)</f>
        <v>5</v>
      </c>
      <c r="AK239" s="4">
        <f ca="1">IFERROR(__xludf.DUMMYFUNCTION("""COMPUTED_VALUE"""),5)</f>
        <v>5</v>
      </c>
      <c r="AL239" s="4">
        <f ca="1">IFERROR(__xludf.DUMMYFUNCTION("""COMPUTED_VALUE"""),5)</f>
        <v>5</v>
      </c>
      <c r="AM239" s="4">
        <f ca="1">IFERROR(__xludf.DUMMYFUNCTION("""COMPUTED_VALUE"""),5)</f>
        <v>5</v>
      </c>
      <c r="AN239" s="4">
        <f ca="1">IFERROR(__xludf.DUMMYFUNCTION("""COMPUTED_VALUE"""),5)</f>
        <v>5</v>
      </c>
      <c r="AO239" s="4">
        <f ca="1">IFERROR(__xludf.DUMMYFUNCTION("""COMPUTED_VALUE"""),5)</f>
        <v>5</v>
      </c>
      <c r="AP239" s="4">
        <f ca="1">IFERROR(__xludf.DUMMYFUNCTION("""COMPUTED_VALUE"""),5)</f>
        <v>5</v>
      </c>
      <c r="AQ239" s="4">
        <f ca="1">IFERROR(__xludf.DUMMYFUNCTION("""COMPUTED_VALUE"""),5)</f>
        <v>5</v>
      </c>
      <c r="AR239" s="4">
        <f ca="1">IFERROR(__xludf.DUMMYFUNCTION("""COMPUTED_VALUE"""),5)</f>
        <v>5</v>
      </c>
      <c r="AS239" s="4">
        <f ca="1">IFERROR(__xludf.DUMMYFUNCTION("""COMPUTED_VALUE"""),5)</f>
        <v>5</v>
      </c>
      <c r="AT239" s="4">
        <f ca="1">IFERROR(__xludf.DUMMYFUNCTION("""COMPUTED_VALUE"""),5)</f>
        <v>5</v>
      </c>
      <c r="AU239" s="4">
        <f ca="1">IFERROR(__xludf.DUMMYFUNCTION("""COMPUTED_VALUE"""),5)</f>
        <v>5</v>
      </c>
      <c r="AV239" s="4">
        <f ca="1">IFERROR(__xludf.DUMMYFUNCTION("""COMPUTED_VALUE"""),5)</f>
        <v>5</v>
      </c>
      <c r="AW239" s="4">
        <f ca="1">IFERROR(__xludf.DUMMYFUNCTION("""COMPUTED_VALUE"""),5)</f>
        <v>5</v>
      </c>
      <c r="AX239" s="4">
        <f ca="1">IFERROR(__xludf.DUMMYFUNCTION("""COMPUTED_VALUE"""),5)</f>
        <v>5</v>
      </c>
      <c r="AY239" s="4">
        <f ca="1">IFERROR(__xludf.DUMMYFUNCTION("""COMPUTED_VALUE"""),5)</f>
        <v>5</v>
      </c>
      <c r="AZ239" s="4">
        <f ca="1">IFERROR(__xludf.DUMMYFUNCTION("""COMPUTED_VALUE"""),5)</f>
        <v>5</v>
      </c>
      <c r="BA239" s="4">
        <f ca="1">IFERROR(__xludf.DUMMYFUNCTION("""COMPUTED_VALUE"""),5)</f>
        <v>5</v>
      </c>
      <c r="BB239" s="4">
        <f ca="1">IFERROR(__xludf.DUMMYFUNCTION("""COMPUTED_VALUE"""),4)</f>
        <v>4</v>
      </c>
      <c r="BC239" s="4">
        <f ca="1">IFERROR(__xludf.DUMMYFUNCTION("""COMPUTED_VALUE"""),4)</f>
        <v>4</v>
      </c>
      <c r="BD239" s="4">
        <f ca="1">IFERROR(__xludf.DUMMYFUNCTION("""COMPUTED_VALUE"""),4)</f>
        <v>4</v>
      </c>
      <c r="BE239" s="4">
        <f ca="1">IFERROR(__xludf.DUMMYFUNCTION("""COMPUTED_VALUE"""),4)</f>
        <v>4</v>
      </c>
      <c r="BF239" s="4">
        <f ca="1">IFERROR(__xludf.DUMMYFUNCTION("""COMPUTED_VALUE"""),4)</f>
        <v>4</v>
      </c>
      <c r="BG239" s="4">
        <f ca="1">IFERROR(__xludf.DUMMYFUNCTION("""COMPUTED_VALUE"""),3)</f>
        <v>3</v>
      </c>
      <c r="BH239" s="4">
        <f ca="1">IFERROR(__xludf.DUMMYFUNCTION("""COMPUTED_VALUE"""),5)</f>
        <v>5</v>
      </c>
      <c r="BI239" s="4">
        <f ca="1">IFERROR(__xludf.DUMMYFUNCTION("""COMPUTED_VALUE"""),5)</f>
        <v>5</v>
      </c>
      <c r="BJ239" s="4">
        <f ca="1">IFERROR(__xludf.DUMMYFUNCTION("""COMPUTED_VALUE"""),5)</f>
        <v>5</v>
      </c>
      <c r="BK239" s="4">
        <f ca="1">IFERROR(__xludf.DUMMYFUNCTION("""COMPUTED_VALUE"""),5)</f>
        <v>5</v>
      </c>
      <c r="BL239" s="4">
        <f ca="1">IFERROR(__xludf.DUMMYFUNCTION("""COMPUTED_VALUE"""),5)</f>
        <v>5</v>
      </c>
      <c r="BM239" s="4">
        <f ca="1">IFERROR(__xludf.DUMMYFUNCTION("""COMPUTED_VALUE"""),5)</f>
        <v>5</v>
      </c>
      <c r="BN239" s="4">
        <f ca="1">IFERROR(__xludf.DUMMYFUNCTION("""COMPUTED_VALUE"""),5)</f>
        <v>5</v>
      </c>
      <c r="BO239" s="4">
        <f ca="1">IFERROR(__xludf.DUMMYFUNCTION("""COMPUTED_VALUE"""),5)</f>
        <v>5</v>
      </c>
      <c r="BP239" s="4">
        <f ca="1">IFERROR(__xludf.DUMMYFUNCTION("""COMPUTED_VALUE"""),5)</f>
        <v>5</v>
      </c>
    </row>
    <row r="240" spans="1:68" ht="13.2" x14ac:dyDescent="0.25">
      <c r="A240" s="4" t="str">
        <f ca="1">IFERROR(__xludf.DUMMYFUNCTION("""COMPUTED_VALUE"""),"2_ABaOnuduZOLkovZqbsPI9_Co2TKWVimhKh8rXCN8rHHrX_bzPxTcIKjgyV2ehhlwMw")</f>
        <v>2_ABaOnuduZOLkovZqbsPI9_Co2TKWVimhKh8rXCN8rHHrX_bzPxTcIKjgyV2ehhlwMw</v>
      </c>
      <c r="B240" s="5">
        <f ca="1">IFERROR(__xludf.DUMMYFUNCTION("""COMPUTED_VALUE"""),45979.5158284606)</f>
        <v>45979.5158284606</v>
      </c>
      <c r="C240" s="4" t="str">
        <f ca="1">IFERROR(__xludf.DUMMYFUNCTION("""COMPUTED_VALUE"""),"Trần Thị Thảo")</f>
        <v>Trần Thị Thảo</v>
      </c>
      <c r="D240" s="4" t="str">
        <f ca="1">IFERROR(__xludf.DUMMYFUNCTION("""COMPUTED_VALUE"""),"Nữ")</f>
        <v>Nữ</v>
      </c>
      <c r="E240" s="4" t="str">
        <f ca="1">IFERROR(__xludf.DUMMYFUNCTION("""COMPUTED_VALUE"""),"Công ty TNHH Kiểm toán AVN Việt Nam")</f>
        <v>Công ty TNHH Kiểm toán AVN Việt Nam</v>
      </c>
      <c r="F240" s="4" t="str">
        <f ca="1">IFERROR(__xludf.DUMMYFUNCTION("""COMPUTED_VALUE"""),"Đại học")</f>
        <v>Đại học</v>
      </c>
      <c r="G240" s="4" t="str">
        <f ca="1">IFERROR(__xludf.DUMMYFUNCTION("""COMPUTED_VALUE"""),"Trên 5 đến 10 năm")</f>
        <v>Trên 5 đến 10 năm</v>
      </c>
      <c r="H240" s="4" t="str">
        <f ca="1">IFERROR(__xludf.DUMMYFUNCTION("""COMPUTED_VALUE"""),"Kiểm toán viên/Trưởng nhóm")</f>
        <v>Kiểm toán viên/Trưởng nhóm</v>
      </c>
      <c r="I240" s="4">
        <f ca="1">IFERROR(__xludf.DUMMYFUNCTION("""COMPUTED_VALUE"""),5)</f>
        <v>5</v>
      </c>
      <c r="J240" s="4">
        <f ca="1">IFERROR(__xludf.DUMMYFUNCTION("""COMPUTED_VALUE"""),5)</f>
        <v>5</v>
      </c>
      <c r="K240" s="4">
        <f ca="1">IFERROR(__xludf.DUMMYFUNCTION("""COMPUTED_VALUE"""),5)</f>
        <v>5</v>
      </c>
      <c r="L240" s="4">
        <f ca="1">IFERROR(__xludf.DUMMYFUNCTION("""COMPUTED_VALUE"""),4)</f>
        <v>4</v>
      </c>
      <c r="M240" s="4">
        <f ca="1">IFERROR(__xludf.DUMMYFUNCTION("""COMPUTED_VALUE"""),5)</f>
        <v>5</v>
      </c>
      <c r="N240" s="4">
        <f ca="1">IFERROR(__xludf.DUMMYFUNCTION("""COMPUTED_VALUE"""),4)</f>
        <v>4</v>
      </c>
      <c r="O240" s="4">
        <f ca="1">IFERROR(__xludf.DUMMYFUNCTION("""COMPUTED_VALUE"""),5)</f>
        <v>5</v>
      </c>
      <c r="P240" s="4">
        <f ca="1">IFERROR(__xludf.DUMMYFUNCTION("""COMPUTED_VALUE"""),5)</f>
        <v>5</v>
      </c>
      <c r="Q240" s="4">
        <f ca="1">IFERROR(__xludf.DUMMYFUNCTION("""COMPUTED_VALUE"""),5)</f>
        <v>5</v>
      </c>
      <c r="R240" s="4">
        <f ca="1">IFERROR(__xludf.DUMMYFUNCTION("""COMPUTED_VALUE"""),5)</f>
        <v>5</v>
      </c>
      <c r="S240" s="4">
        <f ca="1">IFERROR(__xludf.DUMMYFUNCTION("""COMPUTED_VALUE"""),5)</f>
        <v>5</v>
      </c>
      <c r="T240" s="4">
        <f ca="1">IFERROR(__xludf.DUMMYFUNCTION("""COMPUTED_VALUE"""),5)</f>
        <v>5</v>
      </c>
      <c r="U240" s="4">
        <f ca="1">IFERROR(__xludf.DUMMYFUNCTION("""COMPUTED_VALUE"""),5)</f>
        <v>5</v>
      </c>
      <c r="V240" s="4">
        <f ca="1">IFERROR(__xludf.DUMMYFUNCTION("""COMPUTED_VALUE"""),5)</f>
        <v>5</v>
      </c>
      <c r="W240" s="4">
        <f ca="1">IFERROR(__xludf.DUMMYFUNCTION("""COMPUTED_VALUE"""),4)</f>
        <v>4</v>
      </c>
      <c r="X240" s="4">
        <f ca="1">IFERROR(__xludf.DUMMYFUNCTION("""COMPUTED_VALUE"""),4)</f>
        <v>4</v>
      </c>
      <c r="Y240" s="4">
        <f ca="1">IFERROR(__xludf.DUMMYFUNCTION("""COMPUTED_VALUE"""),3)</f>
        <v>3</v>
      </c>
      <c r="Z240" s="4">
        <f ca="1">IFERROR(__xludf.DUMMYFUNCTION("""COMPUTED_VALUE"""),3)</f>
        <v>3</v>
      </c>
      <c r="AA240" s="4">
        <f ca="1">IFERROR(__xludf.DUMMYFUNCTION("""COMPUTED_VALUE"""),3)</f>
        <v>3</v>
      </c>
      <c r="AB240" s="4">
        <f ca="1">IFERROR(__xludf.DUMMYFUNCTION("""COMPUTED_VALUE"""),4)</f>
        <v>4</v>
      </c>
      <c r="AC240" s="4">
        <f ca="1">IFERROR(__xludf.DUMMYFUNCTION("""COMPUTED_VALUE"""),4)</f>
        <v>4</v>
      </c>
      <c r="AD240" s="4">
        <f ca="1">IFERROR(__xludf.DUMMYFUNCTION("""COMPUTED_VALUE"""),1)</f>
        <v>1</v>
      </c>
      <c r="AE240" s="4">
        <f ca="1">IFERROR(__xludf.DUMMYFUNCTION("""COMPUTED_VALUE"""),3)</f>
        <v>3</v>
      </c>
      <c r="AF240" s="4">
        <f ca="1">IFERROR(__xludf.DUMMYFUNCTION("""COMPUTED_VALUE"""),4)</f>
        <v>4</v>
      </c>
      <c r="AG240" s="4">
        <f ca="1">IFERROR(__xludf.DUMMYFUNCTION("""COMPUTED_VALUE"""),4)</f>
        <v>4</v>
      </c>
      <c r="AH240" s="4">
        <f ca="1">IFERROR(__xludf.DUMMYFUNCTION("""COMPUTED_VALUE"""),4)</f>
        <v>4</v>
      </c>
      <c r="AI240" s="4">
        <f ca="1">IFERROR(__xludf.DUMMYFUNCTION("""COMPUTED_VALUE"""),4)</f>
        <v>4</v>
      </c>
      <c r="AJ240" s="4">
        <f ca="1">IFERROR(__xludf.DUMMYFUNCTION("""COMPUTED_VALUE"""),4)</f>
        <v>4</v>
      </c>
      <c r="AK240" s="4">
        <f ca="1">IFERROR(__xludf.DUMMYFUNCTION("""COMPUTED_VALUE"""),4)</f>
        <v>4</v>
      </c>
      <c r="AL240" s="4">
        <f ca="1">IFERROR(__xludf.DUMMYFUNCTION("""COMPUTED_VALUE"""),4)</f>
        <v>4</v>
      </c>
      <c r="AM240" s="4">
        <f ca="1">IFERROR(__xludf.DUMMYFUNCTION("""COMPUTED_VALUE"""),4)</f>
        <v>4</v>
      </c>
      <c r="AN240" s="4">
        <f ca="1">IFERROR(__xludf.DUMMYFUNCTION("""COMPUTED_VALUE"""),4)</f>
        <v>4</v>
      </c>
      <c r="AO240" s="4">
        <f ca="1">IFERROR(__xludf.DUMMYFUNCTION("""COMPUTED_VALUE"""),4)</f>
        <v>4</v>
      </c>
      <c r="AP240" s="4">
        <f ca="1">IFERROR(__xludf.DUMMYFUNCTION("""COMPUTED_VALUE"""),3)</f>
        <v>3</v>
      </c>
      <c r="AQ240" s="4">
        <f ca="1">IFERROR(__xludf.DUMMYFUNCTION("""COMPUTED_VALUE"""),4)</f>
        <v>4</v>
      </c>
      <c r="AR240" s="4">
        <f ca="1">IFERROR(__xludf.DUMMYFUNCTION("""COMPUTED_VALUE"""),4)</f>
        <v>4</v>
      </c>
      <c r="AS240" s="4">
        <f ca="1">IFERROR(__xludf.DUMMYFUNCTION("""COMPUTED_VALUE"""),4)</f>
        <v>4</v>
      </c>
      <c r="AT240" s="4">
        <f ca="1">IFERROR(__xludf.DUMMYFUNCTION("""COMPUTED_VALUE"""),3)</f>
        <v>3</v>
      </c>
      <c r="AU240" s="4">
        <f ca="1">IFERROR(__xludf.DUMMYFUNCTION("""COMPUTED_VALUE"""),3)</f>
        <v>3</v>
      </c>
      <c r="AV240" s="4">
        <f ca="1">IFERROR(__xludf.DUMMYFUNCTION("""COMPUTED_VALUE"""),3)</f>
        <v>3</v>
      </c>
      <c r="AW240" s="4">
        <f ca="1">IFERROR(__xludf.DUMMYFUNCTION("""COMPUTED_VALUE"""),3)</f>
        <v>3</v>
      </c>
      <c r="AX240" s="4">
        <f ca="1">IFERROR(__xludf.DUMMYFUNCTION("""COMPUTED_VALUE"""),5)</f>
        <v>5</v>
      </c>
      <c r="AY240" s="4">
        <f ca="1">IFERROR(__xludf.DUMMYFUNCTION("""COMPUTED_VALUE"""),5)</f>
        <v>5</v>
      </c>
      <c r="AZ240" s="4">
        <f ca="1">IFERROR(__xludf.DUMMYFUNCTION("""COMPUTED_VALUE"""),5)</f>
        <v>5</v>
      </c>
      <c r="BA240" s="4">
        <f ca="1">IFERROR(__xludf.DUMMYFUNCTION("""COMPUTED_VALUE"""),5)</f>
        <v>5</v>
      </c>
      <c r="BB240" s="4">
        <f ca="1">IFERROR(__xludf.DUMMYFUNCTION("""COMPUTED_VALUE"""),2)</f>
        <v>2</v>
      </c>
      <c r="BC240" s="4">
        <f ca="1">IFERROR(__xludf.DUMMYFUNCTION("""COMPUTED_VALUE"""),2)</f>
        <v>2</v>
      </c>
      <c r="BD240" s="4">
        <f ca="1">IFERROR(__xludf.DUMMYFUNCTION("""COMPUTED_VALUE"""),2)</f>
        <v>2</v>
      </c>
      <c r="BE240" s="4">
        <f ca="1">IFERROR(__xludf.DUMMYFUNCTION("""COMPUTED_VALUE"""),2)</f>
        <v>2</v>
      </c>
      <c r="BF240" s="4">
        <f ca="1">IFERROR(__xludf.DUMMYFUNCTION("""COMPUTED_VALUE"""),2)</f>
        <v>2</v>
      </c>
      <c r="BG240" s="4">
        <f ca="1">IFERROR(__xludf.DUMMYFUNCTION("""COMPUTED_VALUE"""),2)</f>
        <v>2</v>
      </c>
      <c r="BH240" s="4">
        <f ca="1">IFERROR(__xludf.DUMMYFUNCTION("""COMPUTED_VALUE"""),4)</f>
        <v>4</v>
      </c>
      <c r="BI240" s="4">
        <f ca="1">IFERROR(__xludf.DUMMYFUNCTION("""COMPUTED_VALUE"""),4)</f>
        <v>4</v>
      </c>
      <c r="BJ240" s="4">
        <f ca="1">IFERROR(__xludf.DUMMYFUNCTION("""COMPUTED_VALUE"""),5)</f>
        <v>5</v>
      </c>
      <c r="BK240" s="4">
        <f ca="1">IFERROR(__xludf.DUMMYFUNCTION("""COMPUTED_VALUE"""),5)</f>
        <v>5</v>
      </c>
      <c r="BL240" s="4">
        <f ca="1">IFERROR(__xludf.DUMMYFUNCTION("""COMPUTED_VALUE"""),5)</f>
        <v>5</v>
      </c>
      <c r="BM240" s="4">
        <f ca="1">IFERROR(__xludf.DUMMYFUNCTION("""COMPUTED_VALUE"""),5)</f>
        <v>5</v>
      </c>
      <c r="BN240" s="4">
        <f ca="1">IFERROR(__xludf.DUMMYFUNCTION("""COMPUTED_VALUE"""),5)</f>
        <v>5</v>
      </c>
      <c r="BO240" s="4">
        <f ca="1">IFERROR(__xludf.DUMMYFUNCTION("""COMPUTED_VALUE"""),5)</f>
        <v>5</v>
      </c>
      <c r="BP240" s="4">
        <f ca="1">IFERROR(__xludf.DUMMYFUNCTION("""COMPUTED_VALUE"""),5)</f>
        <v>5</v>
      </c>
    </row>
    <row r="241" spans="1:68" ht="13.2" x14ac:dyDescent="0.25">
      <c r="A241" s="4" t="str">
        <f ca="1">IFERROR(__xludf.DUMMYFUNCTION("""COMPUTED_VALUE"""),"2_ABaOnudmuCKavSLXe8_k2uyiIa7JXgxxBH5mdvnQ7VvLJtjPqTU95byWXaghJkjMyg")</f>
        <v>2_ABaOnudmuCKavSLXe8_k2uyiIa7JXgxxBH5mdvnQ7VvLJtjPqTU95byWXaghJkjMyg</v>
      </c>
      <c r="B241" s="5">
        <f ca="1">IFERROR(__xludf.DUMMYFUNCTION("""COMPUTED_VALUE"""),45979.5545159606)</f>
        <v>45979.554515960597</v>
      </c>
      <c r="C241" s="4" t="str">
        <f ca="1">IFERROR(__xludf.DUMMYFUNCTION("""COMPUTED_VALUE"""),"Trần Thùy Linh")</f>
        <v>Trần Thùy Linh</v>
      </c>
      <c r="D241" s="4" t="str">
        <f ca="1">IFERROR(__xludf.DUMMYFUNCTION("""COMPUTED_VALUE"""),"Nữ")</f>
        <v>Nữ</v>
      </c>
      <c r="E241" s="4" t="str">
        <f ca="1">IFERROR(__xludf.DUMMYFUNCTION("""COMPUTED_VALUE"""),"Công ty TNHH kiểm toán KTC")</f>
        <v>Công ty TNHH kiểm toán KTC</v>
      </c>
      <c r="F241" s="4" t="str">
        <f ca="1">IFERROR(__xludf.DUMMYFUNCTION("""COMPUTED_VALUE"""),"Đại học, Chứng chỉ Kiểm toán viên")</f>
        <v>Đại học, Chứng chỉ Kiểm toán viên</v>
      </c>
      <c r="G241" s="4" t="str">
        <f ca="1">IFERROR(__xludf.DUMMYFUNCTION("""COMPUTED_VALUE"""),"Trên 5 đến 10 năm")</f>
        <v>Trên 5 đến 10 năm</v>
      </c>
      <c r="H241" s="4" t="str">
        <f ca="1">IFERROR(__xludf.DUMMYFUNCTION("""COMPUTED_VALUE"""),"Trưởng phòng")</f>
        <v>Trưởng phòng</v>
      </c>
      <c r="I241" s="4">
        <f ca="1">IFERROR(__xludf.DUMMYFUNCTION("""COMPUTED_VALUE"""),5)</f>
        <v>5</v>
      </c>
      <c r="J241" s="4">
        <f ca="1">IFERROR(__xludf.DUMMYFUNCTION("""COMPUTED_VALUE"""),4)</f>
        <v>4</v>
      </c>
      <c r="K241" s="4">
        <f ca="1">IFERROR(__xludf.DUMMYFUNCTION("""COMPUTED_VALUE"""),5)</f>
        <v>5</v>
      </c>
      <c r="L241" s="4">
        <f ca="1">IFERROR(__xludf.DUMMYFUNCTION("""COMPUTED_VALUE"""),5)</f>
        <v>5</v>
      </c>
      <c r="M241" s="4">
        <f ca="1">IFERROR(__xludf.DUMMYFUNCTION("""COMPUTED_VALUE"""),4)</f>
        <v>4</v>
      </c>
      <c r="N241" s="4">
        <f ca="1">IFERROR(__xludf.DUMMYFUNCTION("""COMPUTED_VALUE"""),3)</f>
        <v>3</v>
      </c>
      <c r="O241" s="4">
        <f ca="1">IFERROR(__xludf.DUMMYFUNCTION("""COMPUTED_VALUE"""),3)</f>
        <v>3</v>
      </c>
      <c r="P241" s="4">
        <f ca="1">IFERROR(__xludf.DUMMYFUNCTION("""COMPUTED_VALUE"""),4)</f>
        <v>4</v>
      </c>
      <c r="Q241" s="4">
        <f ca="1">IFERROR(__xludf.DUMMYFUNCTION("""COMPUTED_VALUE"""),4)</f>
        <v>4</v>
      </c>
      <c r="R241" s="4">
        <f ca="1">IFERROR(__xludf.DUMMYFUNCTION("""COMPUTED_VALUE"""),5)</f>
        <v>5</v>
      </c>
      <c r="S241" s="4">
        <f ca="1">IFERROR(__xludf.DUMMYFUNCTION("""COMPUTED_VALUE"""),5)</f>
        <v>5</v>
      </c>
      <c r="T241" s="4">
        <f ca="1">IFERROR(__xludf.DUMMYFUNCTION("""COMPUTED_VALUE"""),5)</f>
        <v>5</v>
      </c>
      <c r="U241" s="4">
        <f ca="1">IFERROR(__xludf.DUMMYFUNCTION("""COMPUTED_VALUE"""),5)</f>
        <v>5</v>
      </c>
      <c r="V241" s="4">
        <f ca="1">IFERROR(__xludf.DUMMYFUNCTION("""COMPUTED_VALUE"""),5)</f>
        <v>5</v>
      </c>
      <c r="W241" s="4">
        <f ca="1">IFERROR(__xludf.DUMMYFUNCTION("""COMPUTED_VALUE"""),5)</f>
        <v>5</v>
      </c>
      <c r="X241" s="4">
        <f ca="1">IFERROR(__xludf.DUMMYFUNCTION("""COMPUTED_VALUE"""),4)</f>
        <v>4</v>
      </c>
      <c r="Y241" s="4">
        <f ca="1">IFERROR(__xludf.DUMMYFUNCTION("""COMPUTED_VALUE"""),5)</f>
        <v>5</v>
      </c>
      <c r="Z241" s="4">
        <f ca="1">IFERROR(__xludf.DUMMYFUNCTION("""COMPUTED_VALUE"""),4)</f>
        <v>4</v>
      </c>
      <c r="AA241" s="4">
        <f ca="1">IFERROR(__xludf.DUMMYFUNCTION("""COMPUTED_VALUE"""),5)</f>
        <v>5</v>
      </c>
      <c r="AB241" s="4">
        <f ca="1">IFERROR(__xludf.DUMMYFUNCTION("""COMPUTED_VALUE"""),4)</f>
        <v>4</v>
      </c>
      <c r="AC241" s="4">
        <f ca="1">IFERROR(__xludf.DUMMYFUNCTION("""COMPUTED_VALUE"""),3)</f>
        <v>3</v>
      </c>
      <c r="AD241" s="4">
        <f ca="1">IFERROR(__xludf.DUMMYFUNCTION("""COMPUTED_VALUE"""),2)</f>
        <v>2</v>
      </c>
      <c r="AE241" s="4">
        <f ca="1">IFERROR(__xludf.DUMMYFUNCTION("""COMPUTED_VALUE"""),4)</f>
        <v>4</v>
      </c>
      <c r="AF241" s="4">
        <f ca="1">IFERROR(__xludf.DUMMYFUNCTION("""COMPUTED_VALUE"""),4)</f>
        <v>4</v>
      </c>
      <c r="AG241" s="4">
        <f ca="1">IFERROR(__xludf.DUMMYFUNCTION("""COMPUTED_VALUE"""),4)</f>
        <v>4</v>
      </c>
      <c r="AH241" s="4">
        <f ca="1">IFERROR(__xludf.DUMMYFUNCTION("""COMPUTED_VALUE"""),5)</f>
        <v>5</v>
      </c>
      <c r="AI241" s="4">
        <f ca="1">IFERROR(__xludf.DUMMYFUNCTION("""COMPUTED_VALUE"""),5)</f>
        <v>5</v>
      </c>
      <c r="AJ241" s="4">
        <f ca="1">IFERROR(__xludf.DUMMYFUNCTION("""COMPUTED_VALUE"""),4)</f>
        <v>4</v>
      </c>
      <c r="AK241" s="4">
        <f ca="1">IFERROR(__xludf.DUMMYFUNCTION("""COMPUTED_VALUE"""),4)</f>
        <v>4</v>
      </c>
      <c r="AL241" s="4">
        <f ca="1">IFERROR(__xludf.DUMMYFUNCTION("""COMPUTED_VALUE"""),5)</f>
        <v>5</v>
      </c>
      <c r="AM241" s="4">
        <f ca="1">IFERROR(__xludf.DUMMYFUNCTION("""COMPUTED_VALUE"""),5)</f>
        <v>5</v>
      </c>
      <c r="AN241" s="4">
        <f ca="1">IFERROR(__xludf.DUMMYFUNCTION("""COMPUTED_VALUE"""),5)</f>
        <v>5</v>
      </c>
      <c r="AO241" s="4">
        <f ca="1">IFERROR(__xludf.DUMMYFUNCTION("""COMPUTED_VALUE"""),3)</f>
        <v>3</v>
      </c>
      <c r="AP241" s="4">
        <f ca="1">IFERROR(__xludf.DUMMYFUNCTION("""COMPUTED_VALUE"""),2)</f>
        <v>2</v>
      </c>
      <c r="AQ241" s="4">
        <f ca="1">IFERROR(__xludf.DUMMYFUNCTION("""COMPUTED_VALUE"""),4)</f>
        <v>4</v>
      </c>
      <c r="AR241" s="4">
        <f ca="1">IFERROR(__xludf.DUMMYFUNCTION("""COMPUTED_VALUE"""),5)</f>
        <v>5</v>
      </c>
      <c r="AS241" s="4">
        <f ca="1">IFERROR(__xludf.DUMMYFUNCTION("""COMPUTED_VALUE"""),4)</f>
        <v>4</v>
      </c>
      <c r="AT241" s="4">
        <f ca="1">IFERROR(__xludf.DUMMYFUNCTION("""COMPUTED_VALUE"""),2)</f>
        <v>2</v>
      </c>
      <c r="AU241" s="4">
        <f ca="1">IFERROR(__xludf.DUMMYFUNCTION("""COMPUTED_VALUE"""),2)</f>
        <v>2</v>
      </c>
      <c r="AV241" s="4">
        <f ca="1">IFERROR(__xludf.DUMMYFUNCTION("""COMPUTED_VALUE"""),4)</f>
        <v>4</v>
      </c>
      <c r="AW241" s="4">
        <f ca="1">IFERROR(__xludf.DUMMYFUNCTION("""COMPUTED_VALUE"""),5)</f>
        <v>5</v>
      </c>
      <c r="AX241" s="4">
        <f ca="1">IFERROR(__xludf.DUMMYFUNCTION("""COMPUTED_VALUE"""),5)</f>
        <v>5</v>
      </c>
      <c r="AY241" s="4">
        <f ca="1">IFERROR(__xludf.DUMMYFUNCTION("""COMPUTED_VALUE"""),5)</f>
        <v>5</v>
      </c>
      <c r="AZ241" s="4">
        <f ca="1">IFERROR(__xludf.DUMMYFUNCTION("""COMPUTED_VALUE"""),5)</f>
        <v>5</v>
      </c>
      <c r="BA241" s="4">
        <f ca="1">IFERROR(__xludf.DUMMYFUNCTION("""COMPUTED_VALUE"""),3)</f>
        <v>3</v>
      </c>
      <c r="BB241" s="4">
        <f ca="1">IFERROR(__xludf.DUMMYFUNCTION("""COMPUTED_VALUE"""),3)</f>
        <v>3</v>
      </c>
      <c r="BC241" s="4">
        <f ca="1">IFERROR(__xludf.DUMMYFUNCTION("""COMPUTED_VALUE"""),3)</f>
        <v>3</v>
      </c>
      <c r="BD241" s="4">
        <f ca="1">IFERROR(__xludf.DUMMYFUNCTION("""COMPUTED_VALUE"""),4)</f>
        <v>4</v>
      </c>
      <c r="BE241" s="4">
        <f ca="1">IFERROR(__xludf.DUMMYFUNCTION("""COMPUTED_VALUE"""),2)</f>
        <v>2</v>
      </c>
      <c r="BF241" s="4">
        <f ca="1">IFERROR(__xludf.DUMMYFUNCTION("""COMPUTED_VALUE"""),4)</f>
        <v>4</v>
      </c>
      <c r="BG241" s="4">
        <f ca="1">IFERROR(__xludf.DUMMYFUNCTION("""COMPUTED_VALUE"""),3)</f>
        <v>3</v>
      </c>
      <c r="BH241" s="4">
        <f ca="1">IFERROR(__xludf.DUMMYFUNCTION("""COMPUTED_VALUE"""),4)</f>
        <v>4</v>
      </c>
      <c r="BI241" s="4">
        <f ca="1">IFERROR(__xludf.DUMMYFUNCTION("""COMPUTED_VALUE"""),4)</f>
        <v>4</v>
      </c>
      <c r="BJ241" s="4">
        <f ca="1">IFERROR(__xludf.DUMMYFUNCTION("""COMPUTED_VALUE"""),5)</f>
        <v>5</v>
      </c>
      <c r="BK241" s="4">
        <f ca="1">IFERROR(__xludf.DUMMYFUNCTION("""COMPUTED_VALUE"""),4)</f>
        <v>4</v>
      </c>
      <c r="BL241" s="4">
        <f ca="1">IFERROR(__xludf.DUMMYFUNCTION("""COMPUTED_VALUE"""),5)</f>
        <v>5</v>
      </c>
      <c r="BM241" s="4">
        <f ca="1">IFERROR(__xludf.DUMMYFUNCTION("""COMPUTED_VALUE"""),5)</f>
        <v>5</v>
      </c>
      <c r="BN241" s="4">
        <f ca="1">IFERROR(__xludf.DUMMYFUNCTION("""COMPUTED_VALUE"""),4)</f>
        <v>4</v>
      </c>
      <c r="BO241" s="4">
        <f ca="1">IFERROR(__xludf.DUMMYFUNCTION("""COMPUTED_VALUE"""),4)</f>
        <v>4</v>
      </c>
      <c r="BP241" s="4">
        <f ca="1">IFERROR(__xludf.DUMMYFUNCTION("""COMPUTED_VALUE"""),3)</f>
        <v>3</v>
      </c>
    </row>
    <row r="242" spans="1:68" ht="13.2" x14ac:dyDescent="0.25">
      <c r="A242" s="4" t="str">
        <f ca="1">IFERROR(__xludf.DUMMYFUNCTION("""COMPUTED_VALUE"""),"2_ABaOnufK9tm-ip__mC-MmWZw8ScSM-Jda_OigXNT6LkHsE_lWfeRJymLp9crgizTCw")</f>
        <v>2_ABaOnufK9tm-ip__mC-MmWZw8ScSM-Jda_OigXNT6LkHsE_lWfeRJymLp9crgizTCw</v>
      </c>
      <c r="B242" s="5">
        <f ca="1">IFERROR(__xludf.DUMMYFUNCTION("""COMPUTED_VALUE"""),45979.5546305092)</f>
        <v>45979.554630509199</v>
      </c>
      <c r="C242" s="4" t="str">
        <f ca="1">IFERROR(__xludf.DUMMYFUNCTION("""COMPUTED_VALUE"""),"Nguyễn Thị Hải Nga")</f>
        <v>Nguyễn Thị Hải Nga</v>
      </c>
      <c r="D242" s="4" t="str">
        <f ca="1">IFERROR(__xludf.DUMMYFUNCTION("""COMPUTED_VALUE"""),"Nữ")</f>
        <v>Nữ</v>
      </c>
      <c r="E242" s="4" t="str">
        <f ca="1">IFERROR(__xludf.DUMMYFUNCTION("""COMPUTED_VALUE"""),"Công ty KTC")</f>
        <v>Công ty KTC</v>
      </c>
      <c r="F242" s="4" t="str">
        <f ca="1">IFERROR(__xludf.DUMMYFUNCTION("""COMPUTED_VALUE"""),"Đại học")</f>
        <v>Đại học</v>
      </c>
      <c r="G242" s="4" t="str">
        <f ca="1">IFERROR(__xludf.DUMMYFUNCTION("""COMPUTED_VALUE"""),"Từ 3 đến 5 năm")</f>
        <v>Từ 3 đến 5 năm</v>
      </c>
      <c r="H242" s="4" t="str">
        <f ca="1">IFERROR(__xludf.DUMMYFUNCTION("""COMPUTED_VALUE"""),"Trợ lý kiểm toán")</f>
        <v>Trợ lý kiểm toán</v>
      </c>
      <c r="I242" s="4">
        <f ca="1">IFERROR(__xludf.DUMMYFUNCTION("""COMPUTED_VALUE"""),3)</f>
        <v>3</v>
      </c>
      <c r="J242" s="4">
        <f ca="1">IFERROR(__xludf.DUMMYFUNCTION("""COMPUTED_VALUE"""),3)</f>
        <v>3</v>
      </c>
      <c r="K242" s="4">
        <f ca="1">IFERROR(__xludf.DUMMYFUNCTION("""COMPUTED_VALUE"""),3)</f>
        <v>3</v>
      </c>
      <c r="L242" s="4">
        <f ca="1">IFERROR(__xludf.DUMMYFUNCTION("""COMPUTED_VALUE"""),3)</f>
        <v>3</v>
      </c>
      <c r="M242" s="4">
        <f ca="1">IFERROR(__xludf.DUMMYFUNCTION("""COMPUTED_VALUE"""),3)</f>
        <v>3</v>
      </c>
      <c r="N242" s="4">
        <f ca="1">IFERROR(__xludf.DUMMYFUNCTION("""COMPUTED_VALUE"""),3)</f>
        <v>3</v>
      </c>
      <c r="O242" s="4">
        <f ca="1">IFERROR(__xludf.DUMMYFUNCTION("""COMPUTED_VALUE"""),3)</f>
        <v>3</v>
      </c>
      <c r="P242" s="4">
        <f ca="1">IFERROR(__xludf.DUMMYFUNCTION("""COMPUTED_VALUE"""),4)</f>
        <v>4</v>
      </c>
      <c r="Q242" s="4">
        <f ca="1">IFERROR(__xludf.DUMMYFUNCTION("""COMPUTED_VALUE"""),4)</f>
        <v>4</v>
      </c>
      <c r="R242" s="4">
        <f ca="1">IFERROR(__xludf.DUMMYFUNCTION("""COMPUTED_VALUE"""),4)</f>
        <v>4</v>
      </c>
      <c r="S242" s="4">
        <f ca="1">IFERROR(__xludf.DUMMYFUNCTION("""COMPUTED_VALUE"""),5)</f>
        <v>5</v>
      </c>
      <c r="T242" s="4">
        <f ca="1">IFERROR(__xludf.DUMMYFUNCTION("""COMPUTED_VALUE"""),5)</f>
        <v>5</v>
      </c>
      <c r="U242" s="4">
        <f ca="1">IFERROR(__xludf.DUMMYFUNCTION("""COMPUTED_VALUE"""),5)</f>
        <v>5</v>
      </c>
      <c r="V242" s="4">
        <f ca="1">IFERROR(__xludf.DUMMYFUNCTION("""COMPUTED_VALUE"""),5)</f>
        <v>5</v>
      </c>
      <c r="W242" s="4">
        <f ca="1">IFERROR(__xludf.DUMMYFUNCTION("""COMPUTED_VALUE"""),3)</f>
        <v>3</v>
      </c>
      <c r="X242" s="4">
        <f ca="1">IFERROR(__xludf.DUMMYFUNCTION("""COMPUTED_VALUE"""),3)</f>
        <v>3</v>
      </c>
      <c r="Y242" s="4">
        <f ca="1">IFERROR(__xludf.DUMMYFUNCTION("""COMPUTED_VALUE"""),4)</f>
        <v>4</v>
      </c>
      <c r="Z242" s="4">
        <f ca="1">IFERROR(__xludf.DUMMYFUNCTION("""COMPUTED_VALUE"""),4)</f>
        <v>4</v>
      </c>
      <c r="AA242" s="4">
        <f ca="1">IFERROR(__xludf.DUMMYFUNCTION("""COMPUTED_VALUE"""),4)</f>
        <v>4</v>
      </c>
      <c r="AB242" s="4">
        <f ca="1">IFERROR(__xludf.DUMMYFUNCTION("""COMPUTED_VALUE"""),4)</f>
        <v>4</v>
      </c>
      <c r="AC242" s="4">
        <f ca="1">IFERROR(__xludf.DUMMYFUNCTION("""COMPUTED_VALUE"""),4)</f>
        <v>4</v>
      </c>
      <c r="AD242" s="4">
        <f ca="1">IFERROR(__xludf.DUMMYFUNCTION("""COMPUTED_VALUE"""),4)</f>
        <v>4</v>
      </c>
      <c r="AE242" s="4">
        <f ca="1">IFERROR(__xludf.DUMMYFUNCTION("""COMPUTED_VALUE"""),4)</f>
        <v>4</v>
      </c>
      <c r="AF242" s="4">
        <f ca="1">IFERROR(__xludf.DUMMYFUNCTION("""COMPUTED_VALUE"""),4)</f>
        <v>4</v>
      </c>
      <c r="AG242" s="4">
        <f ca="1">IFERROR(__xludf.DUMMYFUNCTION("""COMPUTED_VALUE"""),4)</f>
        <v>4</v>
      </c>
      <c r="AH242" s="4">
        <f ca="1">IFERROR(__xludf.DUMMYFUNCTION("""COMPUTED_VALUE"""),3)</f>
        <v>3</v>
      </c>
      <c r="AI242" s="4">
        <f ca="1">IFERROR(__xludf.DUMMYFUNCTION("""COMPUTED_VALUE"""),3)</f>
        <v>3</v>
      </c>
      <c r="AJ242" s="4">
        <f ca="1">IFERROR(__xludf.DUMMYFUNCTION("""COMPUTED_VALUE"""),5)</f>
        <v>5</v>
      </c>
      <c r="AK242" s="4">
        <f ca="1">IFERROR(__xludf.DUMMYFUNCTION("""COMPUTED_VALUE"""),4)</f>
        <v>4</v>
      </c>
      <c r="AL242" s="4">
        <f ca="1">IFERROR(__xludf.DUMMYFUNCTION("""COMPUTED_VALUE"""),4)</f>
        <v>4</v>
      </c>
      <c r="AM242" s="4">
        <f ca="1">IFERROR(__xludf.DUMMYFUNCTION("""COMPUTED_VALUE"""),4)</f>
        <v>4</v>
      </c>
      <c r="AN242" s="4">
        <f ca="1">IFERROR(__xludf.DUMMYFUNCTION("""COMPUTED_VALUE"""),4)</f>
        <v>4</v>
      </c>
      <c r="AO242" s="4">
        <f ca="1">IFERROR(__xludf.DUMMYFUNCTION("""COMPUTED_VALUE"""),4)</f>
        <v>4</v>
      </c>
      <c r="AP242" s="4">
        <f ca="1">IFERROR(__xludf.DUMMYFUNCTION("""COMPUTED_VALUE"""),4)</f>
        <v>4</v>
      </c>
      <c r="AQ242" s="4">
        <f ca="1">IFERROR(__xludf.DUMMYFUNCTION("""COMPUTED_VALUE"""),4)</f>
        <v>4</v>
      </c>
      <c r="AR242" s="4">
        <f ca="1">IFERROR(__xludf.DUMMYFUNCTION("""COMPUTED_VALUE"""),4)</f>
        <v>4</v>
      </c>
      <c r="AS242" s="4">
        <f ca="1">IFERROR(__xludf.DUMMYFUNCTION("""COMPUTED_VALUE"""),4)</f>
        <v>4</v>
      </c>
      <c r="AT242" s="4">
        <f ca="1">IFERROR(__xludf.DUMMYFUNCTION("""COMPUTED_VALUE"""),5)</f>
        <v>5</v>
      </c>
      <c r="AU242" s="4">
        <f ca="1">IFERROR(__xludf.DUMMYFUNCTION("""COMPUTED_VALUE"""),4)</f>
        <v>4</v>
      </c>
      <c r="AV242" s="4">
        <f ca="1">IFERROR(__xludf.DUMMYFUNCTION("""COMPUTED_VALUE"""),4)</f>
        <v>4</v>
      </c>
      <c r="AW242" s="4">
        <f ca="1">IFERROR(__xludf.DUMMYFUNCTION("""COMPUTED_VALUE"""),5)</f>
        <v>5</v>
      </c>
      <c r="AX242" s="4">
        <f ca="1">IFERROR(__xludf.DUMMYFUNCTION("""COMPUTED_VALUE"""),4)</f>
        <v>4</v>
      </c>
      <c r="AY242" s="4">
        <f ca="1">IFERROR(__xludf.DUMMYFUNCTION("""COMPUTED_VALUE"""),4)</f>
        <v>4</v>
      </c>
      <c r="AZ242" s="4">
        <f ca="1">IFERROR(__xludf.DUMMYFUNCTION("""COMPUTED_VALUE"""),4)</f>
        <v>4</v>
      </c>
      <c r="BA242" s="4">
        <f ca="1">IFERROR(__xludf.DUMMYFUNCTION("""COMPUTED_VALUE"""),4)</f>
        <v>4</v>
      </c>
      <c r="BB242" s="4">
        <f ca="1">IFERROR(__xludf.DUMMYFUNCTION("""COMPUTED_VALUE"""),4)</f>
        <v>4</v>
      </c>
      <c r="BC242" s="4">
        <f ca="1">IFERROR(__xludf.DUMMYFUNCTION("""COMPUTED_VALUE"""),4)</f>
        <v>4</v>
      </c>
      <c r="BD242" s="4">
        <f ca="1">IFERROR(__xludf.DUMMYFUNCTION("""COMPUTED_VALUE"""),4)</f>
        <v>4</v>
      </c>
      <c r="BE242" s="4">
        <f ca="1">IFERROR(__xludf.DUMMYFUNCTION("""COMPUTED_VALUE"""),4)</f>
        <v>4</v>
      </c>
      <c r="BF242" s="4">
        <f ca="1">IFERROR(__xludf.DUMMYFUNCTION("""COMPUTED_VALUE"""),4)</f>
        <v>4</v>
      </c>
      <c r="BG242" s="4">
        <f ca="1">IFERROR(__xludf.DUMMYFUNCTION("""COMPUTED_VALUE"""),4)</f>
        <v>4</v>
      </c>
      <c r="BH242" s="4">
        <f ca="1">IFERROR(__xludf.DUMMYFUNCTION("""COMPUTED_VALUE"""),4)</f>
        <v>4</v>
      </c>
      <c r="BI242" s="4">
        <f ca="1">IFERROR(__xludf.DUMMYFUNCTION("""COMPUTED_VALUE"""),4)</f>
        <v>4</v>
      </c>
      <c r="BJ242" s="4">
        <f ca="1">IFERROR(__xludf.DUMMYFUNCTION("""COMPUTED_VALUE"""),4)</f>
        <v>4</v>
      </c>
      <c r="BK242" s="4">
        <f ca="1">IFERROR(__xludf.DUMMYFUNCTION("""COMPUTED_VALUE"""),4)</f>
        <v>4</v>
      </c>
      <c r="BL242" s="4">
        <f ca="1">IFERROR(__xludf.DUMMYFUNCTION("""COMPUTED_VALUE"""),4)</f>
        <v>4</v>
      </c>
      <c r="BM242" s="4">
        <f ca="1">IFERROR(__xludf.DUMMYFUNCTION("""COMPUTED_VALUE"""),4)</f>
        <v>4</v>
      </c>
      <c r="BN242" s="4">
        <f ca="1">IFERROR(__xludf.DUMMYFUNCTION("""COMPUTED_VALUE"""),4)</f>
        <v>4</v>
      </c>
      <c r="BO242" s="4">
        <f ca="1">IFERROR(__xludf.DUMMYFUNCTION("""COMPUTED_VALUE"""),4)</f>
        <v>4</v>
      </c>
      <c r="BP242" s="4">
        <f ca="1">IFERROR(__xludf.DUMMYFUNCTION("""COMPUTED_VALUE"""),4)</f>
        <v>4</v>
      </c>
    </row>
    <row r="243" spans="1:68" ht="13.2" x14ac:dyDescent="0.25">
      <c r="A243" s="4" t="str">
        <f ca="1">IFERROR(__xludf.DUMMYFUNCTION("""COMPUTED_VALUE"""),"2_ABaOnueFw_EhznaHu_nv29gzOK4XOTb9Xj4TIWHiZOa6XZG31d5QcVukNO_C_uJbWA")</f>
        <v>2_ABaOnueFw_EhznaHu_nv29gzOK4XOTb9Xj4TIWHiZOa6XZG31d5QcVukNO_C_uJbWA</v>
      </c>
      <c r="B243" s="5">
        <f ca="1">IFERROR(__xludf.DUMMYFUNCTION("""COMPUTED_VALUE"""),45979.5564377546)</f>
        <v>45979.556437754603</v>
      </c>
      <c r="C243" s="4" t="str">
        <f ca="1">IFERROR(__xludf.DUMMYFUNCTION("""COMPUTED_VALUE"""),"Nguyễn Thị Thanh Vân")</f>
        <v>Nguyễn Thị Thanh Vân</v>
      </c>
      <c r="D243" s="4" t="str">
        <f ca="1">IFERROR(__xludf.DUMMYFUNCTION("""COMPUTED_VALUE"""),"Nữ")</f>
        <v>Nữ</v>
      </c>
      <c r="E243" s="4" t="str">
        <f ca="1">IFERROR(__xludf.DUMMYFUNCTION("""COMPUTED_VALUE"""),"Công ty TNHH Kiểm toán AVN Việt Nam")</f>
        <v>Công ty TNHH Kiểm toán AVN Việt Nam</v>
      </c>
      <c r="F243" s="4" t="str">
        <f ca="1">IFERROR(__xludf.DUMMYFUNCTION("""COMPUTED_VALUE"""),"Đại học")</f>
        <v>Đại học</v>
      </c>
      <c r="G243" s="4" t="str">
        <f ca="1">IFERROR(__xludf.DUMMYFUNCTION("""COMPUTED_VALUE"""),"Từ 3 đến 5 năm")</f>
        <v>Từ 3 đến 5 năm</v>
      </c>
      <c r="H243" s="4" t="str">
        <f ca="1">IFERROR(__xludf.DUMMYFUNCTION("""COMPUTED_VALUE"""),"Trợ lý kiểm toán")</f>
        <v>Trợ lý kiểm toán</v>
      </c>
      <c r="I243" s="4">
        <f ca="1">IFERROR(__xludf.DUMMYFUNCTION("""COMPUTED_VALUE"""),5)</f>
        <v>5</v>
      </c>
      <c r="J243" s="4">
        <f ca="1">IFERROR(__xludf.DUMMYFUNCTION("""COMPUTED_VALUE"""),4)</f>
        <v>4</v>
      </c>
      <c r="K243" s="4">
        <f ca="1">IFERROR(__xludf.DUMMYFUNCTION("""COMPUTED_VALUE"""),4)</f>
        <v>4</v>
      </c>
      <c r="L243" s="4">
        <f ca="1">IFERROR(__xludf.DUMMYFUNCTION("""COMPUTED_VALUE"""),4)</f>
        <v>4</v>
      </c>
      <c r="M243" s="4">
        <f ca="1">IFERROR(__xludf.DUMMYFUNCTION("""COMPUTED_VALUE"""),5)</f>
        <v>5</v>
      </c>
      <c r="N243" s="4">
        <f ca="1">IFERROR(__xludf.DUMMYFUNCTION("""COMPUTED_VALUE"""),4)</f>
        <v>4</v>
      </c>
      <c r="O243" s="4">
        <f ca="1">IFERROR(__xludf.DUMMYFUNCTION("""COMPUTED_VALUE"""),5)</f>
        <v>5</v>
      </c>
      <c r="P243" s="4">
        <f ca="1">IFERROR(__xludf.DUMMYFUNCTION("""COMPUTED_VALUE"""),4)</f>
        <v>4</v>
      </c>
      <c r="Q243" s="4">
        <f ca="1">IFERROR(__xludf.DUMMYFUNCTION("""COMPUTED_VALUE"""),5)</f>
        <v>5</v>
      </c>
      <c r="R243" s="4">
        <f ca="1">IFERROR(__xludf.DUMMYFUNCTION("""COMPUTED_VALUE"""),5)</f>
        <v>5</v>
      </c>
      <c r="S243" s="4">
        <f ca="1">IFERROR(__xludf.DUMMYFUNCTION("""COMPUTED_VALUE"""),4)</f>
        <v>4</v>
      </c>
      <c r="T243" s="4">
        <f ca="1">IFERROR(__xludf.DUMMYFUNCTION("""COMPUTED_VALUE"""),4)</f>
        <v>4</v>
      </c>
      <c r="U243" s="4">
        <f ca="1">IFERROR(__xludf.DUMMYFUNCTION("""COMPUTED_VALUE"""),5)</f>
        <v>5</v>
      </c>
      <c r="V243" s="4">
        <f ca="1">IFERROR(__xludf.DUMMYFUNCTION("""COMPUTED_VALUE"""),4)</f>
        <v>4</v>
      </c>
      <c r="W243" s="4">
        <f ca="1">IFERROR(__xludf.DUMMYFUNCTION("""COMPUTED_VALUE"""),4)</f>
        <v>4</v>
      </c>
      <c r="X243" s="4">
        <f ca="1">IFERROR(__xludf.DUMMYFUNCTION("""COMPUTED_VALUE"""),4)</f>
        <v>4</v>
      </c>
      <c r="Y243" s="4">
        <f ca="1">IFERROR(__xludf.DUMMYFUNCTION("""COMPUTED_VALUE"""),4)</f>
        <v>4</v>
      </c>
      <c r="Z243" s="4">
        <f ca="1">IFERROR(__xludf.DUMMYFUNCTION("""COMPUTED_VALUE"""),4)</f>
        <v>4</v>
      </c>
      <c r="AA243" s="4">
        <f ca="1">IFERROR(__xludf.DUMMYFUNCTION("""COMPUTED_VALUE"""),4)</f>
        <v>4</v>
      </c>
      <c r="AB243" s="4">
        <f ca="1">IFERROR(__xludf.DUMMYFUNCTION("""COMPUTED_VALUE"""),4)</f>
        <v>4</v>
      </c>
      <c r="AC243" s="4">
        <f ca="1">IFERROR(__xludf.DUMMYFUNCTION("""COMPUTED_VALUE"""),3)</f>
        <v>3</v>
      </c>
      <c r="AD243" s="4">
        <f ca="1">IFERROR(__xludf.DUMMYFUNCTION("""COMPUTED_VALUE"""),3)</f>
        <v>3</v>
      </c>
      <c r="AE243" s="4">
        <f ca="1">IFERROR(__xludf.DUMMYFUNCTION("""COMPUTED_VALUE"""),4)</f>
        <v>4</v>
      </c>
      <c r="AF243" s="4">
        <f ca="1">IFERROR(__xludf.DUMMYFUNCTION("""COMPUTED_VALUE"""),5)</f>
        <v>5</v>
      </c>
      <c r="AG243" s="4">
        <f ca="1">IFERROR(__xludf.DUMMYFUNCTION("""COMPUTED_VALUE"""),4)</f>
        <v>4</v>
      </c>
      <c r="AH243" s="4">
        <f ca="1">IFERROR(__xludf.DUMMYFUNCTION("""COMPUTED_VALUE"""),4)</f>
        <v>4</v>
      </c>
      <c r="AI243" s="4">
        <f ca="1">IFERROR(__xludf.DUMMYFUNCTION("""COMPUTED_VALUE"""),5)</f>
        <v>5</v>
      </c>
      <c r="AJ243" s="4">
        <f ca="1">IFERROR(__xludf.DUMMYFUNCTION("""COMPUTED_VALUE"""),5)</f>
        <v>5</v>
      </c>
      <c r="AK243" s="4">
        <f ca="1">IFERROR(__xludf.DUMMYFUNCTION("""COMPUTED_VALUE"""),5)</f>
        <v>5</v>
      </c>
      <c r="AL243" s="4">
        <f ca="1">IFERROR(__xludf.DUMMYFUNCTION("""COMPUTED_VALUE"""),5)</f>
        <v>5</v>
      </c>
      <c r="AM243" s="4">
        <f ca="1">IFERROR(__xludf.DUMMYFUNCTION("""COMPUTED_VALUE"""),5)</f>
        <v>5</v>
      </c>
      <c r="AN243" s="4">
        <f ca="1">IFERROR(__xludf.DUMMYFUNCTION("""COMPUTED_VALUE"""),5)</f>
        <v>5</v>
      </c>
      <c r="AO243" s="4">
        <f ca="1">IFERROR(__xludf.DUMMYFUNCTION("""COMPUTED_VALUE"""),5)</f>
        <v>5</v>
      </c>
      <c r="AP243" s="4">
        <f ca="1">IFERROR(__xludf.DUMMYFUNCTION("""COMPUTED_VALUE"""),5)</f>
        <v>5</v>
      </c>
      <c r="AQ243" s="4">
        <f ca="1">IFERROR(__xludf.DUMMYFUNCTION("""COMPUTED_VALUE"""),4)</f>
        <v>4</v>
      </c>
      <c r="AR243" s="4">
        <f ca="1">IFERROR(__xludf.DUMMYFUNCTION("""COMPUTED_VALUE"""),4)</f>
        <v>4</v>
      </c>
      <c r="AS243" s="4">
        <f ca="1">IFERROR(__xludf.DUMMYFUNCTION("""COMPUTED_VALUE"""),4)</f>
        <v>4</v>
      </c>
      <c r="AT243" s="4">
        <f ca="1">IFERROR(__xludf.DUMMYFUNCTION("""COMPUTED_VALUE"""),5)</f>
        <v>5</v>
      </c>
      <c r="AU243" s="4">
        <f ca="1">IFERROR(__xludf.DUMMYFUNCTION("""COMPUTED_VALUE"""),4)</f>
        <v>4</v>
      </c>
      <c r="AV243" s="4">
        <f ca="1">IFERROR(__xludf.DUMMYFUNCTION("""COMPUTED_VALUE"""),4)</f>
        <v>4</v>
      </c>
      <c r="AW243" s="4">
        <f ca="1">IFERROR(__xludf.DUMMYFUNCTION("""COMPUTED_VALUE"""),4)</f>
        <v>4</v>
      </c>
      <c r="AX243" s="4">
        <f ca="1">IFERROR(__xludf.DUMMYFUNCTION("""COMPUTED_VALUE"""),5)</f>
        <v>5</v>
      </c>
      <c r="AY243" s="4">
        <f ca="1">IFERROR(__xludf.DUMMYFUNCTION("""COMPUTED_VALUE"""),5)</f>
        <v>5</v>
      </c>
      <c r="AZ243" s="4">
        <f ca="1">IFERROR(__xludf.DUMMYFUNCTION("""COMPUTED_VALUE"""),5)</f>
        <v>5</v>
      </c>
      <c r="BA243" s="4">
        <f ca="1">IFERROR(__xludf.DUMMYFUNCTION("""COMPUTED_VALUE"""),5)</f>
        <v>5</v>
      </c>
      <c r="BB243" s="4">
        <f ca="1">IFERROR(__xludf.DUMMYFUNCTION("""COMPUTED_VALUE"""),4)</f>
        <v>4</v>
      </c>
      <c r="BC243" s="4">
        <f ca="1">IFERROR(__xludf.DUMMYFUNCTION("""COMPUTED_VALUE"""),4)</f>
        <v>4</v>
      </c>
      <c r="BD243" s="4">
        <f ca="1">IFERROR(__xludf.DUMMYFUNCTION("""COMPUTED_VALUE"""),4)</f>
        <v>4</v>
      </c>
      <c r="BE243" s="4">
        <f ca="1">IFERROR(__xludf.DUMMYFUNCTION("""COMPUTED_VALUE"""),4)</f>
        <v>4</v>
      </c>
      <c r="BF243" s="4">
        <f ca="1">IFERROR(__xludf.DUMMYFUNCTION("""COMPUTED_VALUE"""),4)</f>
        <v>4</v>
      </c>
      <c r="BG243" s="4">
        <f ca="1">IFERROR(__xludf.DUMMYFUNCTION("""COMPUTED_VALUE"""),4)</f>
        <v>4</v>
      </c>
      <c r="BH243" s="4">
        <f ca="1">IFERROR(__xludf.DUMMYFUNCTION("""COMPUTED_VALUE"""),4)</f>
        <v>4</v>
      </c>
      <c r="BI243" s="4">
        <f ca="1">IFERROR(__xludf.DUMMYFUNCTION("""COMPUTED_VALUE"""),5)</f>
        <v>5</v>
      </c>
      <c r="BJ243" s="4">
        <f ca="1">IFERROR(__xludf.DUMMYFUNCTION("""COMPUTED_VALUE"""),5)</f>
        <v>5</v>
      </c>
      <c r="BK243" s="4">
        <f ca="1">IFERROR(__xludf.DUMMYFUNCTION("""COMPUTED_VALUE"""),5)</f>
        <v>5</v>
      </c>
      <c r="BL243" s="4">
        <f ca="1">IFERROR(__xludf.DUMMYFUNCTION("""COMPUTED_VALUE"""),5)</f>
        <v>5</v>
      </c>
      <c r="BM243" s="4">
        <f ca="1">IFERROR(__xludf.DUMMYFUNCTION("""COMPUTED_VALUE"""),4)</f>
        <v>4</v>
      </c>
      <c r="BN243" s="4">
        <f ca="1">IFERROR(__xludf.DUMMYFUNCTION("""COMPUTED_VALUE"""),4)</f>
        <v>4</v>
      </c>
      <c r="BO243" s="4">
        <f ca="1">IFERROR(__xludf.DUMMYFUNCTION("""COMPUTED_VALUE"""),5)</f>
        <v>5</v>
      </c>
      <c r="BP243" s="4">
        <f ca="1">IFERROR(__xludf.DUMMYFUNCTION("""COMPUTED_VALUE"""),5)</f>
        <v>5</v>
      </c>
    </row>
    <row r="244" spans="1:68" ht="13.2" x14ac:dyDescent="0.25">
      <c r="A244" s="4" t="str">
        <f ca="1">IFERROR(__xludf.DUMMYFUNCTION("""COMPUTED_VALUE"""),"2_ABaOnucZdxGZXPxjqZI8C9Zntk50-3YJOzaQE9FhltzwKicxKT1EVfnT1TyFcoRzJg")</f>
        <v>2_ABaOnucZdxGZXPxjqZI8C9Zntk50-3YJOzaQE9FhltzwKicxKT1EVfnT1TyFcoRzJg</v>
      </c>
      <c r="B244" s="5">
        <f ca="1">IFERROR(__xludf.DUMMYFUNCTION("""COMPUTED_VALUE"""),45979.5581202083)</f>
        <v>45979.558120208298</v>
      </c>
      <c r="C244" s="4" t="str">
        <f ca="1">IFERROR(__xludf.DUMMYFUNCTION("""COMPUTED_VALUE"""),"Trần Anh Thư")</f>
        <v>Trần Anh Thư</v>
      </c>
      <c r="D244" s="4" t="str">
        <f ca="1">IFERROR(__xludf.DUMMYFUNCTION("""COMPUTED_VALUE"""),"Nữ")</f>
        <v>Nữ</v>
      </c>
      <c r="E244" s="4" t="str">
        <f ca="1">IFERROR(__xludf.DUMMYFUNCTION("""COMPUTED_VALUE"""),"Chi nhánh Hồ Chí Minh - Công ty TNHH Kiểm toán KTC")</f>
        <v>Chi nhánh Hồ Chí Minh - Công ty TNHH Kiểm toán KTC</v>
      </c>
      <c r="F244" s="4" t="str">
        <f ca="1">IFERROR(__xludf.DUMMYFUNCTION("""COMPUTED_VALUE"""),"Đại học")</f>
        <v>Đại học</v>
      </c>
      <c r="G244" s="4" t="str">
        <f ca="1">IFERROR(__xludf.DUMMYFUNCTION("""COMPUTED_VALUE"""),"Từ 3 đến 5 năm")</f>
        <v>Từ 3 đến 5 năm</v>
      </c>
      <c r="H244" s="4" t="str">
        <f ca="1">IFERROR(__xludf.DUMMYFUNCTION("""COMPUTED_VALUE"""),"Kiểm toán viên/Trưởng nhóm")</f>
        <v>Kiểm toán viên/Trưởng nhóm</v>
      </c>
      <c r="I244" s="4">
        <f ca="1">IFERROR(__xludf.DUMMYFUNCTION("""COMPUTED_VALUE"""),5)</f>
        <v>5</v>
      </c>
      <c r="J244" s="4">
        <f ca="1">IFERROR(__xludf.DUMMYFUNCTION("""COMPUTED_VALUE"""),5)</f>
        <v>5</v>
      </c>
      <c r="K244" s="4">
        <f ca="1">IFERROR(__xludf.DUMMYFUNCTION("""COMPUTED_VALUE"""),5)</f>
        <v>5</v>
      </c>
      <c r="L244" s="4">
        <f ca="1">IFERROR(__xludf.DUMMYFUNCTION("""COMPUTED_VALUE"""),5)</f>
        <v>5</v>
      </c>
      <c r="M244" s="4">
        <f ca="1">IFERROR(__xludf.DUMMYFUNCTION("""COMPUTED_VALUE"""),5)</f>
        <v>5</v>
      </c>
      <c r="N244" s="4">
        <f ca="1">IFERROR(__xludf.DUMMYFUNCTION("""COMPUTED_VALUE"""),5)</f>
        <v>5</v>
      </c>
      <c r="O244" s="4">
        <f ca="1">IFERROR(__xludf.DUMMYFUNCTION("""COMPUTED_VALUE"""),5)</f>
        <v>5</v>
      </c>
      <c r="P244" s="4">
        <f ca="1">IFERROR(__xludf.DUMMYFUNCTION("""COMPUTED_VALUE"""),5)</f>
        <v>5</v>
      </c>
      <c r="Q244" s="4">
        <f ca="1">IFERROR(__xludf.DUMMYFUNCTION("""COMPUTED_VALUE"""),5)</f>
        <v>5</v>
      </c>
      <c r="R244" s="4">
        <f ca="1">IFERROR(__xludf.DUMMYFUNCTION("""COMPUTED_VALUE"""),5)</f>
        <v>5</v>
      </c>
      <c r="S244" s="4">
        <f ca="1">IFERROR(__xludf.DUMMYFUNCTION("""COMPUTED_VALUE"""),5)</f>
        <v>5</v>
      </c>
      <c r="T244" s="4">
        <f ca="1">IFERROR(__xludf.DUMMYFUNCTION("""COMPUTED_VALUE"""),5)</f>
        <v>5</v>
      </c>
      <c r="U244" s="4">
        <f ca="1">IFERROR(__xludf.DUMMYFUNCTION("""COMPUTED_VALUE"""),5)</f>
        <v>5</v>
      </c>
      <c r="V244" s="4">
        <f ca="1">IFERROR(__xludf.DUMMYFUNCTION("""COMPUTED_VALUE"""),5)</f>
        <v>5</v>
      </c>
      <c r="W244" s="4">
        <f ca="1">IFERROR(__xludf.DUMMYFUNCTION("""COMPUTED_VALUE"""),5)</f>
        <v>5</v>
      </c>
      <c r="X244" s="4">
        <f ca="1">IFERROR(__xludf.DUMMYFUNCTION("""COMPUTED_VALUE"""),4)</f>
        <v>4</v>
      </c>
      <c r="Y244" s="4">
        <f ca="1">IFERROR(__xludf.DUMMYFUNCTION("""COMPUTED_VALUE"""),5)</f>
        <v>5</v>
      </c>
      <c r="Z244" s="4">
        <f ca="1">IFERROR(__xludf.DUMMYFUNCTION("""COMPUTED_VALUE"""),5)</f>
        <v>5</v>
      </c>
      <c r="AA244" s="4">
        <f ca="1">IFERROR(__xludf.DUMMYFUNCTION("""COMPUTED_VALUE"""),5)</f>
        <v>5</v>
      </c>
      <c r="AB244" s="4">
        <f ca="1">IFERROR(__xludf.DUMMYFUNCTION("""COMPUTED_VALUE"""),5)</f>
        <v>5</v>
      </c>
      <c r="AC244" s="4">
        <f ca="1">IFERROR(__xludf.DUMMYFUNCTION("""COMPUTED_VALUE"""),5)</f>
        <v>5</v>
      </c>
      <c r="AD244" s="4">
        <f ca="1">IFERROR(__xludf.DUMMYFUNCTION("""COMPUTED_VALUE"""),3)</f>
        <v>3</v>
      </c>
      <c r="AE244" s="4">
        <f ca="1">IFERROR(__xludf.DUMMYFUNCTION("""COMPUTED_VALUE"""),5)</f>
        <v>5</v>
      </c>
      <c r="AF244" s="4">
        <f ca="1">IFERROR(__xludf.DUMMYFUNCTION("""COMPUTED_VALUE"""),5)</f>
        <v>5</v>
      </c>
      <c r="AG244" s="4">
        <f ca="1">IFERROR(__xludf.DUMMYFUNCTION("""COMPUTED_VALUE"""),5)</f>
        <v>5</v>
      </c>
      <c r="AH244" s="4">
        <f ca="1">IFERROR(__xludf.DUMMYFUNCTION("""COMPUTED_VALUE"""),5)</f>
        <v>5</v>
      </c>
      <c r="AI244" s="4">
        <f ca="1">IFERROR(__xludf.DUMMYFUNCTION("""COMPUTED_VALUE"""),5)</f>
        <v>5</v>
      </c>
      <c r="AJ244" s="4">
        <f ca="1">IFERROR(__xludf.DUMMYFUNCTION("""COMPUTED_VALUE"""),5)</f>
        <v>5</v>
      </c>
      <c r="AK244" s="4">
        <f ca="1">IFERROR(__xludf.DUMMYFUNCTION("""COMPUTED_VALUE"""),5)</f>
        <v>5</v>
      </c>
      <c r="AL244" s="4">
        <f ca="1">IFERROR(__xludf.DUMMYFUNCTION("""COMPUTED_VALUE"""),5)</f>
        <v>5</v>
      </c>
      <c r="AM244" s="4">
        <f ca="1">IFERROR(__xludf.DUMMYFUNCTION("""COMPUTED_VALUE"""),5)</f>
        <v>5</v>
      </c>
      <c r="AN244" s="4">
        <f ca="1">IFERROR(__xludf.DUMMYFUNCTION("""COMPUTED_VALUE"""),5)</f>
        <v>5</v>
      </c>
      <c r="AO244" s="4">
        <f ca="1">IFERROR(__xludf.DUMMYFUNCTION("""COMPUTED_VALUE"""),5)</f>
        <v>5</v>
      </c>
      <c r="AP244" s="4">
        <f ca="1">IFERROR(__xludf.DUMMYFUNCTION("""COMPUTED_VALUE"""),5)</f>
        <v>5</v>
      </c>
      <c r="AQ244" s="4">
        <f ca="1">IFERROR(__xludf.DUMMYFUNCTION("""COMPUTED_VALUE"""),5)</f>
        <v>5</v>
      </c>
      <c r="AR244" s="4">
        <f ca="1">IFERROR(__xludf.DUMMYFUNCTION("""COMPUTED_VALUE"""),5)</f>
        <v>5</v>
      </c>
      <c r="AS244" s="4">
        <f ca="1">IFERROR(__xludf.DUMMYFUNCTION("""COMPUTED_VALUE"""),4)</f>
        <v>4</v>
      </c>
      <c r="AT244" s="4">
        <f ca="1">IFERROR(__xludf.DUMMYFUNCTION("""COMPUTED_VALUE"""),4)</f>
        <v>4</v>
      </c>
      <c r="AU244" s="4">
        <f ca="1">IFERROR(__xludf.DUMMYFUNCTION("""COMPUTED_VALUE"""),5)</f>
        <v>5</v>
      </c>
      <c r="AV244" s="4">
        <f ca="1">IFERROR(__xludf.DUMMYFUNCTION("""COMPUTED_VALUE"""),5)</f>
        <v>5</v>
      </c>
      <c r="AW244" s="4">
        <f ca="1">IFERROR(__xludf.DUMMYFUNCTION("""COMPUTED_VALUE"""),5)</f>
        <v>5</v>
      </c>
      <c r="AX244" s="4">
        <f ca="1">IFERROR(__xludf.DUMMYFUNCTION("""COMPUTED_VALUE"""),5)</f>
        <v>5</v>
      </c>
      <c r="AY244" s="4">
        <f ca="1">IFERROR(__xludf.DUMMYFUNCTION("""COMPUTED_VALUE"""),5)</f>
        <v>5</v>
      </c>
      <c r="AZ244" s="4">
        <f ca="1">IFERROR(__xludf.DUMMYFUNCTION("""COMPUTED_VALUE"""),5)</f>
        <v>5</v>
      </c>
      <c r="BA244" s="4">
        <f ca="1">IFERROR(__xludf.DUMMYFUNCTION("""COMPUTED_VALUE"""),5)</f>
        <v>5</v>
      </c>
      <c r="BB244" s="4">
        <f ca="1">IFERROR(__xludf.DUMMYFUNCTION("""COMPUTED_VALUE"""),5)</f>
        <v>5</v>
      </c>
      <c r="BC244" s="4">
        <f ca="1">IFERROR(__xludf.DUMMYFUNCTION("""COMPUTED_VALUE"""),5)</f>
        <v>5</v>
      </c>
      <c r="BD244" s="4">
        <f ca="1">IFERROR(__xludf.DUMMYFUNCTION("""COMPUTED_VALUE"""),4)</f>
        <v>4</v>
      </c>
      <c r="BE244" s="4">
        <f ca="1">IFERROR(__xludf.DUMMYFUNCTION("""COMPUTED_VALUE"""),3)</f>
        <v>3</v>
      </c>
      <c r="BF244" s="4">
        <f ca="1">IFERROR(__xludf.DUMMYFUNCTION("""COMPUTED_VALUE"""),3)</f>
        <v>3</v>
      </c>
      <c r="BG244" s="4">
        <f ca="1">IFERROR(__xludf.DUMMYFUNCTION("""COMPUTED_VALUE"""),3)</f>
        <v>3</v>
      </c>
      <c r="BH244" s="4">
        <f ca="1">IFERROR(__xludf.DUMMYFUNCTION("""COMPUTED_VALUE"""),5)</f>
        <v>5</v>
      </c>
      <c r="BI244" s="4">
        <f ca="1">IFERROR(__xludf.DUMMYFUNCTION("""COMPUTED_VALUE"""),5)</f>
        <v>5</v>
      </c>
      <c r="BJ244" s="4">
        <f ca="1">IFERROR(__xludf.DUMMYFUNCTION("""COMPUTED_VALUE"""),5)</f>
        <v>5</v>
      </c>
      <c r="BK244" s="4">
        <f ca="1">IFERROR(__xludf.DUMMYFUNCTION("""COMPUTED_VALUE"""),5)</f>
        <v>5</v>
      </c>
      <c r="BL244" s="4">
        <f ca="1">IFERROR(__xludf.DUMMYFUNCTION("""COMPUTED_VALUE"""),5)</f>
        <v>5</v>
      </c>
      <c r="BM244" s="4">
        <f ca="1">IFERROR(__xludf.DUMMYFUNCTION("""COMPUTED_VALUE"""),5)</f>
        <v>5</v>
      </c>
      <c r="BN244" s="4">
        <f ca="1">IFERROR(__xludf.DUMMYFUNCTION("""COMPUTED_VALUE"""),5)</f>
        <v>5</v>
      </c>
      <c r="BO244" s="4">
        <f ca="1">IFERROR(__xludf.DUMMYFUNCTION("""COMPUTED_VALUE"""),5)</f>
        <v>5</v>
      </c>
      <c r="BP244" s="4">
        <f ca="1">IFERROR(__xludf.DUMMYFUNCTION("""COMPUTED_VALUE"""),5)</f>
        <v>5</v>
      </c>
    </row>
    <row r="245" spans="1:68" ht="13.2" x14ac:dyDescent="0.25">
      <c r="A245" s="4" t="str">
        <f ca="1">IFERROR(__xludf.DUMMYFUNCTION("""COMPUTED_VALUE"""),"2_ABaOnucyBknW7WYWAmUce_V5yD0i9i3kI0IMIqYa5kFkwPU9WJVg1lclaSkaAefcow")</f>
        <v>2_ABaOnucyBknW7WYWAmUce_V5yD0i9i3kI0IMIqYa5kFkwPU9WJVg1lclaSkaAefcow</v>
      </c>
      <c r="B245" s="5">
        <f ca="1">IFERROR(__xludf.DUMMYFUNCTION("""COMPUTED_VALUE"""),45979.559447743)</f>
        <v>45979.559447742999</v>
      </c>
      <c r="C245" s="4"/>
      <c r="D245" s="4" t="str">
        <f ca="1">IFERROR(__xludf.DUMMYFUNCTION("""COMPUTED_VALUE"""),"Nam")</f>
        <v>Nam</v>
      </c>
      <c r="E245" s="4" t="str">
        <f ca="1">IFERROR(__xludf.DUMMYFUNCTION("""COMPUTED_VALUE"""),"Công ty TNHH Kiểm toán BDO")</f>
        <v>Công ty TNHH Kiểm toán BDO</v>
      </c>
      <c r="F245" s="4" t="str">
        <f ca="1">IFERROR(__xludf.DUMMYFUNCTION("""COMPUTED_VALUE"""),"Sau đại học")</f>
        <v>Sau đại học</v>
      </c>
      <c r="G245" s="4" t="str">
        <f ca="1">IFERROR(__xludf.DUMMYFUNCTION("""COMPUTED_VALUE"""),"Từ 3 đến 5 năm")</f>
        <v>Từ 3 đến 5 năm</v>
      </c>
      <c r="H245" s="4" t="str">
        <f ca="1">IFERROR(__xludf.DUMMYFUNCTION("""COMPUTED_VALUE"""),"Trợ lý kiểm toán")</f>
        <v>Trợ lý kiểm toán</v>
      </c>
      <c r="I245" s="4">
        <f ca="1">IFERROR(__xludf.DUMMYFUNCTION("""COMPUTED_VALUE"""),4)</f>
        <v>4</v>
      </c>
      <c r="J245" s="4">
        <f ca="1">IFERROR(__xludf.DUMMYFUNCTION("""COMPUTED_VALUE"""),4)</f>
        <v>4</v>
      </c>
      <c r="K245" s="4">
        <f ca="1">IFERROR(__xludf.DUMMYFUNCTION("""COMPUTED_VALUE"""),4)</f>
        <v>4</v>
      </c>
      <c r="L245" s="4">
        <f ca="1">IFERROR(__xludf.DUMMYFUNCTION("""COMPUTED_VALUE"""),4)</f>
        <v>4</v>
      </c>
      <c r="M245" s="4">
        <f ca="1">IFERROR(__xludf.DUMMYFUNCTION("""COMPUTED_VALUE"""),4)</f>
        <v>4</v>
      </c>
      <c r="N245" s="4">
        <f ca="1">IFERROR(__xludf.DUMMYFUNCTION("""COMPUTED_VALUE"""),4)</f>
        <v>4</v>
      </c>
      <c r="O245" s="4">
        <f ca="1">IFERROR(__xludf.DUMMYFUNCTION("""COMPUTED_VALUE"""),4)</f>
        <v>4</v>
      </c>
      <c r="P245" s="4">
        <f ca="1">IFERROR(__xludf.DUMMYFUNCTION("""COMPUTED_VALUE"""),4)</f>
        <v>4</v>
      </c>
      <c r="Q245" s="4">
        <f ca="1">IFERROR(__xludf.DUMMYFUNCTION("""COMPUTED_VALUE"""),4)</f>
        <v>4</v>
      </c>
      <c r="R245" s="4">
        <f ca="1">IFERROR(__xludf.DUMMYFUNCTION("""COMPUTED_VALUE"""),4)</f>
        <v>4</v>
      </c>
      <c r="S245" s="4">
        <f ca="1">IFERROR(__xludf.DUMMYFUNCTION("""COMPUTED_VALUE"""),5)</f>
        <v>5</v>
      </c>
      <c r="T245" s="4">
        <f ca="1">IFERROR(__xludf.DUMMYFUNCTION("""COMPUTED_VALUE"""),5)</f>
        <v>5</v>
      </c>
      <c r="U245" s="4">
        <f ca="1">IFERROR(__xludf.DUMMYFUNCTION("""COMPUTED_VALUE"""),4)</f>
        <v>4</v>
      </c>
      <c r="V245" s="4">
        <f ca="1">IFERROR(__xludf.DUMMYFUNCTION("""COMPUTED_VALUE"""),4)</f>
        <v>4</v>
      </c>
      <c r="W245" s="4">
        <f ca="1">IFERROR(__xludf.DUMMYFUNCTION("""COMPUTED_VALUE"""),2)</f>
        <v>2</v>
      </c>
      <c r="X245" s="4">
        <f ca="1">IFERROR(__xludf.DUMMYFUNCTION("""COMPUTED_VALUE"""),3)</f>
        <v>3</v>
      </c>
      <c r="Y245" s="4">
        <f ca="1">IFERROR(__xludf.DUMMYFUNCTION("""COMPUTED_VALUE"""),2)</f>
        <v>2</v>
      </c>
      <c r="Z245" s="4">
        <f ca="1">IFERROR(__xludf.DUMMYFUNCTION("""COMPUTED_VALUE"""),2)</f>
        <v>2</v>
      </c>
      <c r="AA245" s="4">
        <f ca="1">IFERROR(__xludf.DUMMYFUNCTION("""COMPUTED_VALUE"""),3)</f>
        <v>3</v>
      </c>
      <c r="AB245" s="4">
        <f ca="1">IFERROR(__xludf.DUMMYFUNCTION("""COMPUTED_VALUE"""),4)</f>
        <v>4</v>
      </c>
      <c r="AC245" s="4">
        <f ca="1">IFERROR(__xludf.DUMMYFUNCTION("""COMPUTED_VALUE"""),5)</f>
        <v>5</v>
      </c>
      <c r="AD245" s="4">
        <f ca="1">IFERROR(__xludf.DUMMYFUNCTION("""COMPUTED_VALUE"""),5)</f>
        <v>5</v>
      </c>
      <c r="AE245" s="4">
        <f ca="1">IFERROR(__xludf.DUMMYFUNCTION("""COMPUTED_VALUE"""),5)</f>
        <v>5</v>
      </c>
      <c r="AF245" s="4">
        <f ca="1">IFERROR(__xludf.DUMMYFUNCTION("""COMPUTED_VALUE"""),4)</f>
        <v>4</v>
      </c>
      <c r="AG245" s="4">
        <f ca="1">IFERROR(__xludf.DUMMYFUNCTION("""COMPUTED_VALUE"""),4)</f>
        <v>4</v>
      </c>
      <c r="AH245" s="4">
        <f ca="1">IFERROR(__xludf.DUMMYFUNCTION("""COMPUTED_VALUE"""),4)</f>
        <v>4</v>
      </c>
      <c r="AI245" s="4">
        <f ca="1">IFERROR(__xludf.DUMMYFUNCTION("""COMPUTED_VALUE"""),4)</f>
        <v>4</v>
      </c>
      <c r="AJ245" s="4">
        <f ca="1">IFERROR(__xludf.DUMMYFUNCTION("""COMPUTED_VALUE"""),3)</f>
        <v>3</v>
      </c>
      <c r="AK245" s="4">
        <f ca="1">IFERROR(__xludf.DUMMYFUNCTION("""COMPUTED_VALUE"""),4)</f>
        <v>4</v>
      </c>
      <c r="AL245" s="4">
        <f ca="1">IFERROR(__xludf.DUMMYFUNCTION("""COMPUTED_VALUE"""),3)</f>
        <v>3</v>
      </c>
      <c r="AM245" s="4">
        <f ca="1">IFERROR(__xludf.DUMMYFUNCTION("""COMPUTED_VALUE"""),4)</f>
        <v>4</v>
      </c>
      <c r="AN245" s="4">
        <f ca="1">IFERROR(__xludf.DUMMYFUNCTION("""COMPUTED_VALUE"""),2)</f>
        <v>2</v>
      </c>
      <c r="AO245" s="4">
        <f ca="1">IFERROR(__xludf.DUMMYFUNCTION("""COMPUTED_VALUE"""),4)</f>
        <v>4</v>
      </c>
      <c r="AP245" s="4">
        <f ca="1">IFERROR(__xludf.DUMMYFUNCTION("""COMPUTED_VALUE"""),4)</f>
        <v>4</v>
      </c>
      <c r="AQ245" s="4">
        <f ca="1">IFERROR(__xludf.DUMMYFUNCTION("""COMPUTED_VALUE"""),4)</f>
        <v>4</v>
      </c>
      <c r="AR245" s="4">
        <f ca="1">IFERROR(__xludf.DUMMYFUNCTION("""COMPUTED_VALUE"""),4)</f>
        <v>4</v>
      </c>
      <c r="AS245" s="4">
        <f ca="1">IFERROR(__xludf.DUMMYFUNCTION("""COMPUTED_VALUE"""),4)</f>
        <v>4</v>
      </c>
      <c r="AT245" s="4">
        <f ca="1">IFERROR(__xludf.DUMMYFUNCTION("""COMPUTED_VALUE"""),3)</f>
        <v>3</v>
      </c>
      <c r="AU245" s="4">
        <f ca="1">IFERROR(__xludf.DUMMYFUNCTION("""COMPUTED_VALUE"""),3)</f>
        <v>3</v>
      </c>
      <c r="AV245" s="4">
        <f ca="1">IFERROR(__xludf.DUMMYFUNCTION("""COMPUTED_VALUE"""),3)</f>
        <v>3</v>
      </c>
      <c r="AW245" s="4">
        <f ca="1">IFERROR(__xludf.DUMMYFUNCTION("""COMPUTED_VALUE"""),3)</f>
        <v>3</v>
      </c>
      <c r="AX245" s="4">
        <f ca="1">IFERROR(__xludf.DUMMYFUNCTION("""COMPUTED_VALUE"""),4)</f>
        <v>4</v>
      </c>
      <c r="AY245" s="4">
        <f ca="1">IFERROR(__xludf.DUMMYFUNCTION("""COMPUTED_VALUE"""),4)</f>
        <v>4</v>
      </c>
      <c r="AZ245" s="4">
        <f ca="1">IFERROR(__xludf.DUMMYFUNCTION("""COMPUTED_VALUE"""),4)</f>
        <v>4</v>
      </c>
      <c r="BA245" s="4">
        <f ca="1">IFERROR(__xludf.DUMMYFUNCTION("""COMPUTED_VALUE"""),4)</f>
        <v>4</v>
      </c>
      <c r="BB245" s="4">
        <f ca="1">IFERROR(__xludf.DUMMYFUNCTION("""COMPUTED_VALUE"""),4)</f>
        <v>4</v>
      </c>
      <c r="BC245" s="4">
        <f ca="1">IFERROR(__xludf.DUMMYFUNCTION("""COMPUTED_VALUE"""),4)</f>
        <v>4</v>
      </c>
      <c r="BD245" s="4">
        <f ca="1">IFERROR(__xludf.DUMMYFUNCTION("""COMPUTED_VALUE"""),4)</f>
        <v>4</v>
      </c>
      <c r="BE245" s="4">
        <f ca="1">IFERROR(__xludf.DUMMYFUNCTION("""COMPUTED_VALUE"""),4)</f>
        <v>4</v>
      </c>
      <c r="BF245" s="4">
        <f ca="1">IFERROR(__xludf.DUMMYFUNCTION("""COMPUTED_VALUE"""),4)</f>
        <v>4</v>
      </c>
      <c r="BG245" s="4">
        <f ca="1">IFERROR(__xludf.DUMMYFUNCTION("""COMPUTED_VALUE"""),4)</f>
        <v>4</v>
      </c>
      <c r="BH245" s="4">
        <f ca="1">IFERROR(__xludf.DUMMYFUNCTION("""COMPUTED_VALUE"""),4)</f>
        <v>4</v>
      </c>
      <c r="BI245" s="4">
        <f ca="1">IFERROR(__xludf.DUMMYFUNCTION("""COMPUTED_VALUE"""),4)</f>
        <v>4</v>
      </c>
      <c r="BJ245" s="4">
        <f ca="1">IFERROR(__xludf.DUMMYFUNCTION("""COMPUTED_VALUE"""),4)</f>
        <v>4</v>
      </c>
      <c r="BK245" s="4">
        <f ca="1">IFERROR(__xludf.DUMMYFUNCTION("""COMPUTED_VALUE"""),4)</f>
        <v>4</v>
      </c>
      <c r="BL245" s="4">
        <f ca="1">IFERROR(__xludf.DUMMYFUNCTION("""COMPUTED_VALUE"""),4)</f>
        <v>4</v>
      </c>
      <c r="BM245" s="4">
        <f ca="1">IFERROR(__xludf.DUMMYFUNCTION("""COMPUTED_VALUE"""),4)</f>
        <v>4</v>
      </c>
      <c r="BN245" s="4">
        <f ca="1">IFERROR(__xludf.DUMMYFUNCTION("""COMPUTED_VALUE"""),4)</f>
        <v>4</v>
      </c>
      <c r="BO245" s="4">
        <f ca="1">IFERROR(__xludf.DUMMYFUNCTION("""COMPUTED_VALUE"""),4)</f>
        <v>4</v>
      </c>
      <c r="BP245" s="4">
        <f ca="1">IFERROR(__xludf.DUMMYFUNCTION("""COMPUTED_VALUE"""),4)</f>
        <v>4</v>
      </c>
    </row>
    <row r="246" spans="1:68" ht="13.2" x14ac:dyDescent="0.25">
      <c r="A246" s="4" t="str">
        <f ca="1">IFERROR(__xludf.DUMMYFUNCTION("""COMPUTED_VALUE"""),"2_ABaOnufdh5uEK306utqfkoTRyQJWTcCUAPGiEQ_WdhOIx3Zn2Xp0d0ci0YQoFULiDA")</f>
        <v>2_ABaOnufdh5uEK306utqfkoTRyQJWTcCUAPGiEQ_WdhOIx3Zn2Xp0d0ci0YQoFULiDA</v>
      </c>
      <c r="B246" s="5">
        <f ca="1">IFERROR(__xludf.DUMMYFUNCTION("""COMPUTED_VALUE"""),45979.5625516088)</f>
        <v>45979.562551608797</v>
      </c>
      <c r="C246" s="4"/>
      <c r="D246" s="4" t="str">
        <f ca="1">IFERROR(__xludf.DUMMYFUNCTION("""COMPUTED_VALUE"""),"Nam")</f>
        <v>Nam</v>
      </c>
      <c r="E246" s="4" t="str">
        <f ca="1">IFERROR(__xludf.DUMMYFUNCTION("""COMPUTED_VALUE"""),"Công ty TNHH Kiểm toán KTC - CN TP. HCM")</f>
        <v>Công ty TNHH Kiểm toán KTC - CN TP. HCM</v>
      </c>
      <c r="F246" s="4" t="str">
        <f ca="1">IFERROR(__xludf.DUMMYFUNCTION("""COMPUTED_VALUE"""),"Đại học, Chứng chỉ Kiểm toán viên")</f>
        <v>Đại học, Chứng chỉ Kiểm toán viên</v>
      </c>
      <c r="G246" s="4" t="str">
        <f ca="1">IFERROR(__xludf.DUMMYFUNCTION("""COMPUTED_VALUE"""),"Trên 5 đến 10 năm")</f>
        <v>Trên 5 đến 10 năm</v>
      </c>
      <c r="H246" s="4" t="str">
        <f ca="1">IFERROR(__xludf.DUMMYFUNCTION("""COMPUTED_VALUE"""),"Trưởng phòng")</f>
        <v>Trưởng phòng</v>
      </c>
      <c r="I246" s="4">
        <f ca="1">IFERROR(__xludf.DUMMYFUNCTION("""COMPUTED_VALUE"""),1)</f>
        <v>1</v>
      </c>
      <c r="J246" s="4">
        <f ca="1">IFERROR(__xludf.DUMMYFUNCTION("""COMPUTED_VALUE"""),1)</f>
        <v>1</v>
      </c>
      <c r="K246" s="4">
        <f ca="1">IFERROR(__xludf.DUMMYFUNCTION("""COMPUTED_VALUE"""),1)</f>
        <v>1</v>
      </c>
      <c r="L246" s="4">
        <f ca="1">IFERROR(__xludf.DUMMYFUNCTION("""COMPUTED_VALUE"""),1)</f>
        <v>1</v>
      </c>
      <c r="M246" s="4">
        <f ca="1">IFERROR(__xludf.DUMMYFUNCTION("""COMPUTED_VALUE"""),1)</f>
        <v>1</v>
      </c>
      <c r="N246" s="4">
        <f ca="1">IFERROR(__xludf.DUMMYFUNCTION("""COMPUTED_VALUE"""),2)</f>
        <v>2</v>
      </c>
      <c r="O246" s="4">
        <f ca="1">IFERROR(__xludf.DUMMYFUNCTION("""COMPUTED_VALUE"""),1)</f>
        <v>1</v>
      </c>
      <c r="P246" s="4">
        <f ca="1">IFERROR(__xludf.DUMMYFUNCTION("""COMPUTED_VALUE"""),1)</f>
        <v>1</v>
      </c>
      <c r="Q246" s="4">
        <f ca="1">IFERROR(__xludf.DUMMYFUNCTION("""COMPUTED_VALUE"""),1)</f>
        <v>1</v>
      </c>
      <c r="R246" s="4">
        <f ca="1">IFERROR(__xludf.DUMMYFUNCTION("""COMPUTED_VALUE"""),1)</f>
        <v>1</v>
      </c>
      <c r="S246" s="4">
        <f ca="1">IFERROR(__xludf.DUMMYFUNCTION("""COMPUTED_VALUE"""),1)</f>
        <v>1</v>
      </c>
      <c r="T246" s="4">
        <f ca="1">IFERROR(__xludf.DUMMYFUNCTION("""COMPUTED_VALUE"""),1)</f>
        <v>1</v>
      </c>
      <c r="U246" s="4">
        <f ca="1">IFERROR(__xludf.DUMMYFUNCTION("""COMPUTED_VALUE"""),1)</f>
        <v>1</v>
      </c>
      <c r="V246" s="4">
        <f ca="1">IFERROR(__xludf.DUMMYFUNCTION("""COMPUTED_VALUE"""),1)</f>
        <v>1</v>
      </c>
      <c r="W246" s="4">
        <f ca="1">IFERROR(__xludf.DUMMYFUNCTION("""COMPUTED_VALUE"""),1)</f>
        <v>1</v>
      </c>
      <c r="X246" s="4">
        <f ca="1">IFERROR(__xludf.DUMMYFUNCTION("""COMPUTED_VALUE"""),1)</f>
        <v>1</v>
      </c>
      <c r="Y246" s="4">
        <f ca="1">IFERROR(__xludf.DUMMYFUNCTION("""COMPUTED_VALUE"""),4)</f>
        <v>4</v>
      </c>
      <c r="Z246" s="4">
        <f ca="1">IFERROR(__xludf.DUMMYFUNCTION("""COMPUTED_VALUE"""),2)</f>
        <v>2</v>
      </c>
      <c r="AA246" s="4">
        <f ca="1">IFERROR(__xludf.DUMMYFUNCTION("""COMPUTED_VALUE"""),2)</f>
        <v>2</v>
      </c>
      <c r="AB246" s="4">
        <f ca="1">IFERROR(__xludf.DUMMYFUNCTION("""COMPUTED_VALUE"""),2)</f>
        <v>2</v>
      </c>
      <c r="AC246" s="4">
        <f ca="1">IFERROR(__xludf.DUMMYFUNCTION("""COMPUTED_VALUE"""),4)</f>
        <v>4</v>
      </c>
      <c r="AD246" s="4">
        <f ca="1">IFERROR(__xludf.DUMMYFUNCTION("""COMPUTED_VALUE"""),3)</f>
        <v>3</v>
      </c>
      <c r="AE246" s="4">
        <f ca="1">IFERROR(__xludf.DUMMYFUNCTION("""COMPUTED_VALUE"""),2)</f>
        <v>2</v>
      </c>
      <c r="AF246" s="4">
        <f ca="1">IFERROR(__xludf.DUMMYFUNCTION("""COMPUTED_VALUE"""),2)</f>
        <v>2</v>
      </c>
      <c r="AG246" s="4">
        <f ca="1">IFERROR(__xludf.DUMMYFUNCTION("""COMPUTED_VALUE"""),2)</f>
        <v>2</v>
      </c>
      <c r="AH246" s="4">
        <f ca="1">IFERROR(__xludf.DUMMYFUNCTION("""COMPUTED_VALUE"""),2)</f>
        <v>2</v>
      </c>
      <c r="AI246" s="4">
        <f ca="1">IFERROR(__xludf.DUMMYFUNCTION("""COMPUTED_VALUE"""),2)</f>
        <v>2</v>
      </c>
      <c r="AJ246" s="4">
        <f ca="1">IFERROR(__xludf.DUMMYFUNCTION("""COMPUTED_VALUE"""),1)</f>
        <v>1</v>
      </c>
      <c r="AK246" s="4">
        <f ca="1">IFERROR(__xludf.DUMMYFUNCTION("""COMPUTED_VALUE"""),1)</f>
        <v>1</v>
      </c>
      <c r="AL246" s="4">
        <f ca="1">IFERROR(__xludf.DUMMYFUNCTION("""COMPUTED_VALUE"""),1)</f>
        <v>1</v>
      </c>
      <c r="AM246" s="4">
        <f ca="1">IFERROR(__xludf.DUMMYFUNCTION("""COMPUTED_VALUE"""),1)</f>
        <v>1</v>
      </c>
      <c r="AN246" s="4">
        <f ca="1">IFERROR(__xludf.DUMMYFUNCTION("""COMPUTED_VALUE"""),1)</f>
        <v>1</v>
      </c>
      <c r="AO246" s="4">
        <f ca="1">IFERROR(__xludf.DUMMYFUNCTION("""COMPUTED_VALUE"""),2)</f>
        <v>2</v>
      </c>
      <c r="AP246" s="4">
        <f ca="1">IFERROR(__xludf.DUMMYFUNCTION("""COMPUTED_VALUE"""),3)</f>
        <v>3</v>
      </c>
      <c r="AQ246" s="4">
        <f ca="1">IFERROR(__xludf.DUMMYFUNCTION("""COMPUTED_VALUE"""),2)</f>
        <v>2</v>
      </c>
      <c r="AR246" s="4">
        <f ca="1">IFERROR(__xludf.DUMMYFUNCTION("""COMPUTED_VALUE"""),2)</f>
        <v>2</v>
      </c>
      <c r="AS246" s="4">
        <f ca="1">IFERROR(__xludf.DUMMYFUNCTION("""COMPUTED_VALUE"""),2)</f>
        <v>2</v>
      </c>
      <c r="AT246" s="4">
        <f ca="1">IFERROR(__xludf.DUMMYFUNCTION("""COMPUTED_VALUE"""),2)</f>
        <v>2</v>
      </c>
      <c r="AU246" s="4">
        <f ca="1">IFERROR(__xludf.DUMMYFUNCTION("""COMPUTED_VALUE"""),2)</f>
        <v>2</v>
      </c>
      <c r="AV246" s="4">
        <f ca="1">IFERROR(__xludf.DUMMYFUNCTION("""COMPUTED_VALUE"""),2)</f>
        <v>2</v>
      </c>
      <c r="AW246" s="4">
        <f ca="1">IFERROR(__xludf.DUMMYFUNCTION("""COMPUTED_VALUE"""),2)</f>
        <v>2</v>
      </c>
      <c r="AX246" s="4">
        <f ca="1">IFERROR(__xludf.DUMMYFUNCTION("""COMPUTED_VALUE"""),1)</f>
        <v>1</v>
      </c>
      <c r="AY246" s="4">
        <f ca="1">IFERROR(__xludf.DUMMYFUNCTION("""COMPUTED_VALUE"""),1)</f>
        <v>1</v>
      </c>
      <c r="AZ246" s="4">
        <f ca="1">IFERROR(__xludf.DUMMYFUNCTION("""COMPUTED_VALUE"""),1)</f>
        <v>1</v>
      </c>
      <c r="BA246" s="4">
        <f ca="1">IFERROR(__xludf.DUMMYFUNCTION("""COMPUTED_VALUE"""),1)</f>
        <v>1</v>
      </c>
      <c r="BB246" s="4">
        <f ca="1">IFERROR(__xludf.DUMMYFUNCTION("""COMPUTED_VALUE"""),4)</f>
        <v>4</v>
      </c>
      <c r="BC246" s="4">
        <f ca="1">IFERROR(__xludf.DUMMYFUNCTION("""COMPUTED_VALUE"""),4)</f>
        <v>4</v>
      </c>
      <c r="BD246" s="4">
        <f ca="1">IFERROR(__xludf.DUMMYFUNCTION("""COMPUTED_VALUE"""),4)</f>
        <v>4</v>
      </c>
      <c r="BE246" s="4">
        <f ca="1">IFERROR(__xludf.DUMMYFUNCTION("""COMPUTED_VALUE"""),4)</f>
        <v>4</v>
      </c>
      <c r="BF246" s="4">
        <f ca="1">IFERROR(__xludf.DUMMYFUNCTION("""COMPUTED_VALUE"""),4)</f>
        <v>4</v>
      </c>
      <c r="BG246" s="4">
        <f ca="1">IFERROR(__xludf.DUMMYFUNCTION("""COMPUTED_VALUE"""),4)</f>
        <v>4</v>
      </c>
      <c r="BH246" s="4">
        <f ca="1">IFERROR(__xludf.DUMMYFUNCTION("""COMPUTED_VALUE"""),2)</f>
        <v>2</v>
      </c>
      <c r="BI246" s="4">
        <f ca="1">IFERROR(__xludf.DUMMYFUNCTION("""COMPUTED_VALUE"""),2)</f>
        <v>2</v>
      </c>
      <c r="BJ246" s="4">
        <f ca="1">IFERROR(__xludf.DUMMYFUNCTION("""COMPUTED_VALUE"""),2)</f>
        <v>2</v>
      </c>
      <c r="BK246" s="4">
        <f ca="1">IFERROR(__xludf.DUMMYFUNCTION("""COMPUTED_VALUE"""),1)</f>
        <v>1</v>
      </c>
      <c r="BL246" s="4">
        <f ca="1">IFERROR(__xludf.DUMMYFUNCTION("""COMPUTED_VALUE"""),1)</f>
        <v>1</v>
      </c>
      <c r="BM246" s="4">
        <f ca="1">IFERROR(__xludf.DUMMYFUNCTION("""COMPUTED_VALUE"""),1)</f>
        <v>1</v>
      </c>
      <c r="BN246" s="4">
        <f ca="1">IFERROR(__xludf.DUMMYFUNCTION("""COMPUTED_VALUE"""),1)</f>
        <v>1</v>
      </c>
      <c r="BO246" s="4">
        <f ca="1">IFERROR(__xludf.DUMMYFUNCTION("""COMPUTED_VALUE"""),1)</f>
        <v>1</v>
      </c>
      <c r="BP246" s="4">
        <f ca="1">IFERROR(__xludf.DUMMYFUNCTION("""COMPUTED_VALUE"""),1)</f>
        <v>1</v>
      </c>
    </row>
    <row r="247" spans="1:68" ht="13.2" x14ac:dyDescent="0.25">
      <c r="A247" s="4" t="str">
        <f ca="1">IFERROR(__xludf.DUMMYFUNCTION("""COMPUTED_VALUE"""),"2_ABaOnueRSYjBref_ZMiM-RmBx88D2_x7eWxX3uq6kCSxZ4JqzD-P7C7hVR38t1dY-w")</f>
        <v>2_ABaOnueRSYjBref_ZMiM-RmBx88D2_x7eWxX3uq6kCSxZ4JqzD-P7C7hVR38t1dY-w</v>
      </c>
      <c r="B247" s="5">
        <f ca="1">IFERROR(__xludf.DUMMYFUNCTION("""COMPUTED_VALUE"""),45979.5665138426)</f>
        <v>45979.566513842597</v>
      </c>
      <c r="C247" s="4" t="str">
        <f ca="1">IFERROR(__xludf.DUMMYFUNCTION("""COMPUTED_VALUE"""),"Vũ Thị Thanh Tâm")</f>
        <v>Vũ Thị Thanh Tâm</v>
      </c>
      <c r="D247" s="4" t="str">
        <f ca="1">IFERROR(__xludf.DUMMYFUNCTION("""COMPUTED_VALUE"""),"Nữ")</f>
        <v>Nữ</v>
      </c>
      <c r="E247" s="4" t="str">
        <f ca="1">IFERROR(__xludf.DUMMYFUNCTION("""COMPUTED_VALUE"""),"Công ty kiểm toán KTC")</f>
        <v>Công ty kiểm toán KTC</v>
      </c>
      <c r="F247" s="4" t="str">
        <f ca="1">IFERROR(__xludf.DUMMYFUNCTION("""COMPUTED_VALUE"""),"Sau đại học, Chứng chỉ Kiểm toán viên")</f>
        <v>Sau đại học, Chứng chỉ Kiểm toán viên</v>
      </c>
      <c r="G247" s="4" t="str">
        <f ca="1">IFERROR(__xludf.DUMMYFUNCTION("""COMPUTED_VALUE"""),"Trên 20 năm")</f>
        <v>Trên 20 năm</v>
      </c>
      <c r="H247" s="4" t="str">
        <f ca="1">IFERROR(__xludf.DUMMYFUNCTION("""COMPUTED_VALUE"""),"Ban giám đốc")</f>
        <v>Ban giám đốc</v>
      </c>
      <c r="I247" s="4">
        <f ca="1">IFERROR(__xludf.DUMMYFUNCTION("""COMPUTED_VALUE"""),5)</f>
        <v>5</v>
      </c>
      <c r="J247" s="4">
        <f ca="1">IFERROR(__xludf.DUMMYFUNCTION("""COMPUTED_VALUE"""),4)</f>
        <v>4</v>
      </c>
      <c r="K247" s="4">
        <f ca="1">IFERROR(__xludf.DUMMYFUNCTION("""COMPUTED_VALUE"""),5)</f>
        <v>5</v>
      </c>
      <c r="L247" s="4">
        <f ca="1">IFERROR(__xludf.DUMMYFUNCTION("""COMPUTED_VALUE"""),5)</f>
        <v>5</v>
      </c>
      <c r="M247" s="4">
        <f ca="1">IFERROR(__xludf.DUMMYFUNCTION("""COMPUTED_VALUE"""),4)</f>
        <v>4</v>
      </c>
      <c r="N247" s="4">
        <f ca="1">IFERROR(__xludf.DUMMYFUNCTION("""COMPUTED_VALUE"""),2)</f>
        <v>2</v>
      </c>
      <c r="O247" s="4">
        <f ca="1">IFERROR(__xludf.DUMMYFUNCTION("""COMPUTED_VALUE"""),2)</f>
        <v>2</v>
      </c>
      <c r="P247" s="4">
        <f ca="1">IFERROR(__xludf.DUMMYFUNCTION("""COMPUTED_VALUE"""),5)</f>
        <v>5</v>
      </c>
      <c r="Q247" s="4">
        <f ca="1">IFERROR(__xludf.DUMMYFUNCTION("""COMPUTED_VALUE"""),5)</f>
        <v>5</v>
      </c>
      <c r="R247" s="4">
        <f ca="1">IFERROR(__xludf.DUMMYFUNCTION("""COMPUTED_VALUE"""),5)</f>
        <v>5</v>
      </c>
      <c r="S247" s="4">
        <f ca="1">IFERROR(__xludf.DUMMYFUNCTION("""COMPUTED_VALUE"""),5)</f>
        <v>5</v>
      </c>
      <c r="T247" s="4">
        <f ca="1">IFERROR(__xludf.DUMMYFUNCTION("""COMPUTED_VALUE"""),5)</f>
        <v>5</v>
      </c>
      <c r="U247" s="4">
        <f ca="1">IFERROR(__xludf.DUMMYFUNCTION("""COMPUTED_VALUE"""),5)</f>
        <v>5</v>
      </c>
      <c r="V247" s="4">
        <f ca="1">IFERROR(__xludf.DUMMYFUNCTION("""COMPUTED_VALUE"""),5)</f>
        <v>5</v>
      </c>
      <c r="W247" s="4">
        <f ca="1">IFERROR(__xludf.DUMMYFUNCTION("""COMPUTED_VALUE"""),4)</f>
        <v>4</v>
      </c>
      <c r="X247" s="4">
        <f ca="1">IFERROR(__xludf.DUMMYFUNCTION("""COMPUTED_VALUE"""),3)</f>
        <v>3</v>
      </c>
      <c r="Y247" s="4">
        <f ca="1">IFERROR(__xludf.DUMMYFUNCTION("""COMPUTED_VALUE"""),4)</f>
        <v>4</v>
      </c>
      <c r="Z247" s="4">
        <f ca="1">IFERROR(__xludf.DUMMYFUNCTION("""COMPUTED_VALUE"""),5)</f>
        <v>5</v>
      </c>
      <c r="AA247" s="4">
        <f ca="1">IFERROR(__xludf.DUMMYFUNCTION("""COMPUTED_VALUE"""),4)</f>
        <v>4</v>
      </c>
      <c r="AB247" s="4">
        <f ca="1">IFERROR(__xludf.DUMMYFUNCTION("""COMPUTED_VALUE"""),5)</f>
        <v>5</v>
      </c>
      <c r="AC247" s="4">
        <f ca="1">IFERROR(__xludf.DUMMYFUNCTION("""COMPUTED_VALUE"""),4)</f>
        <v>4</v>
      </c>
      <c r="AD247" s="4">
        <f ca="1">IFERROR(__xludf.DUMMYFUNCTION("""COMPUTED_VALUE"""),2)</f>
        <v>2</v>
      </c>
      <c r="AE247" s="4">
        <f ca="1">IFERROR(__xludf.DUMMYFUNCTION("""COMPUTED_VALUE"""),5)</f>
        <v>5</v>
      </c>
      <c r="AF247" s="4">
        <f ca="1">IFERROR(__xludf.DUMMYFUNCTION("""COMPUTED_VALUE"""),5)</f>
        <v>5</v>
      </c>
      <c r="AG247" s="4">
        <f ca="1">IFERROR(__xludf.DUMMYFUNCTION("""COMPUTED_VALUE"""),5)</f>
        <v>5</v>
      </c>
      <c r="AH247" s="4">
        <f ca="1">IFERROR(__xludf.DUMMYFUNCTION("""COMPUTED_VALUE"""),5)</f>
        <v>5</v>
      </c>
      <c r="AI247" s="4">
        <f ca="1">IFERROR(__xludf.DUMMYFUNCTION("""COMPUTED_VALUE"""),5)</f>
        <v>5</v>
      </c>
      <c r="AJ247" s="4">
        <f ca="1">IFERROR(__xludf.DUMMYFUNCTION("""COMPUTED_VALUE"""),5)</f>
        <v>5</v>
      </c>
      <c r="AK247" s="4">
        <f ca="1">IFERROR(__xludf.DUMMYFUNCTION("""COMPUTED_VALUE"""),5)</f>
        <v>5</v>
      </c>
      <c r="AL247" s="4">
        <f ca="1">IFERROR(__xludf.DUMMYFUNCTION("""COMPUTED_VALUE"""),5)</f>
        <v>5</v>
      </c>
      <c r="AM247" s="4">
        <f ca="1">IFERROR(__xludf.DUMMYFUNCTION("""COMPUTED_VALUE"""),5)</f>
        <v>5</v>
      </c>
      <c r="AN247" s="4">
        <f ca="1">IFERROR(__xludf.DUMMYFUNCTION("""COMPUTED_VALUE"""),5)</f>
        <v>5</v>
      </c>
      <c r="AO247" s="4">
        <f ca="1">IFERROR(__xludf.DUMMYFUNCTION("""COMPUTED_VALUE"""),2)</f>
        <v>2</v>
      </c>
      <c r="AP247" s="4">
        <f ca="1">IFERROR(__xludf.DUMMYFUNCTION("""COMPUTED_VALUE"""),2)</f>
        <v>2</v>
      </c>
      <c r="AQ247" s="4">
        <f ca="1">IFERROR(__xludf.DUMMYFUNCTION("""COMPUTED_VALUE"""),3)</f>
        <v>3</v>
      </c>
      <c r="AR247" s="4">
        <f ca="1">IFERROR(__xludf.DUMMYFUNCTION("""COMPUTED_VALUE"""),4)</f>
        <v>4</v>
      </c>
      <c r="AS247" s="4">
        <f ca="1">IFERROR(__xludf.DUMMYFUNCTION("""COMPUTED_VALUE"""),4)</f>
        <v>4</v>
      </c>
      <c r="AT247" s="4">
        <f ca="1">IFERROR(__xludf.DUMMYFUNCTION("""COMPUTED_VALUE"""),4)</f>
        <v>4</v>
      </c>
      <c r="AU247" s="4">
        <f ca="1">IFERROR(__xludf.DUMMYFUNCTION("""COMPUTED_VALUE"""),4)</f>
        <v>4</v>
      </c>
      <c r="AV247" s="4">
        <f ca="1">IFERROR(__xludf.DUMMYFUNCTION("""COMPUTED_VALUE"""),5)</f>
        <v>5</v>
      </c>
      <c r="AW247" s="4">
        <f ca="1">IFERROR(__xludf.DUMMYFUNCTION("""COMPUTED_VALUE"""),5)</f>
        <v>5</v>
      </c>
      <c r="AX247" s="4">
        <f ca="1">IFERROR(__xludf.DUMMYFUNCTION("""COMPUTED_VALUE"""),5)</f>
        <v>5</v>
      </c>
      <c r="AY247" s="4">
        <f ca="1">IFERROR(__xludf.DUMMYFUNCTION("""COMPUTED_VALUE"""),5)</f>
        <v>5</v>
      </c>
      <c r="AZ247" s="4">
        <f ca="1">IFERROR(__xludf.DUMMYFUNCTION("""COMPUTED_VALUE"""),5)</f>
        <v>5</v>
      </c>
      <c r="BA247" s="4">
        <f ca="1">IFERROR(__xludf.DUMMYFUNCTION("""COMPUTED_VALUE"""),5)</f>
        <v>5</v>
      </c>
      <c r="BB247" s="4">
        <f ca="1">IFERROR(__xludf.DUMMYFUNCTION("""COMPUTED_VALUE"""),4)</f>
        <v>4</v>
      </c>
      <c r="BC247" s="4">
        <f ca="1">IFERROR(__xludf.DUMMYFUNCTION("""COMPUTED_VALUE"""),4)</f>
        <v>4</v>
      </c>
      <c r="BD247" s="4">
        <f ca="1">IFERROR(__xludf.DUMMYFUNCTION("""COMPUTED_VALUE"""),4)</f>
        <v>4</v>
      </c>
      <c r="BE247" s="4">
        <f ca="1">IFERROR(__xludf.DUMMYFUNCTION("""COMPUTED_VALUE"""),4)</f>
        <v>4</v>
      </c>
      <c r="BF247" s="4">
        <f ca="1">IFERROR(__xludf.DUMMYFUNCTION("""COMPUTED_VALUE"""),4)</f>
        <v>4</v>
      </c>
      <c r="BG247" s="4">
        <f ca="1">IFERROR(__xludf.DUMMYFUNCTION("""COMPUTED_VALUE"""),4)</f>
        <v>4</v>
      </c>
      <c r="BH247" s="4">
        <f ca="1">IFERROR(__xludf.DUMMYFUNCTION("""COMPUTED_VALUE"""),5)</f>
        <v>5</v>
      </c>
      <c r="BI247" s="4">
        <f ca="1">IFERROR(__xludf.DUMMYFUNCTION("""COMPUTED_VALUE"""),5)</f>
        <v>5</v>
      </c>
      <c r="BJ247" s="4">
        <f ca="1">IFERROR(__xludf.DUMMYFUNCTION("""COMPUTED_VALUE"""),5)</f>
        <v>5</v>
      </c>
      <c r="BK247" s="4">
        <f ca="1">IFERROR(__xludf.DUMMYFUNCTION("""COMPUTED_VALUE"""),4)</f>
        <v>4</v>
      </c>
      <c r="BL247" s="4">
        <f ca="1">IFERROR(__xludf.DUMMYFUNCTION("""COMPUTED_VALUE"""),3)</f>
        <v>3</v>
      </c>
      <c r="BM247" s="4">
        <f ca="1">IFERROR(__xludf.DUMMYFUNCTION("""COMPUTED_VALUE"""),4)</f>
        <v>4</v>
      </c>
      <c r="BN247" s="4">
        <f ca="1">IFERROR(__xludf.DUMMYFUNCTION("""COMPUTED_VALUE"""),5)</f>
        <v>5</v>
      </c>
      <c r="BO247" s="4">
        <f ca="1">IFERROR(__xludf.DUMMYFUNCTION("""COMPUTED_VALUE"""),5)</f>
        <v>5</v>
      </c>
      <c r="BP247" s="4">
        <f ca="1">IFERROR(__xludf.DUMMYFUNCTION("""COMPUTED_VALUE"""),4)</f>
        <v>4</v>
      </c>
    </row>
    <row r="248" spans="1:68" ht="13.2" x14ac:dyDescent="0.25">
      <c r="A248" s="4" t="str">
        <f ca="1">IFERROR(__xludf.DUMMYFUNCTION("""COMPUTED_VALUE"""),"2_ABaOnudfj1_-vIBuMT8jo5HTVljRF1QUq4mjRCc1YkqIAQZgDKinKGPGZuNlQyTvRg")</f>
        <v>2_ABaOnudfj1_-vIBuMT8jo5HTVljRF1QUq4mjRCc1YkqIAQZgDKinKGPGZuNlQyTvRg</v>
      </c>
      <c r="B248" s="5">
        <f ca="1">IFERROR(__xludf.DUMMYFUNCTION("""COMPUTED_VALUE"""),45979.5740664467)</f>
        <v>45979.574066446701</v>
      </c>
      <c r="C248" s="4" t="str">
        <f ca="1">IFERROR(__xludf.DUMMYFUNCTION("""COMPUTED_VALUE"""),"Hoàng Thủy Tiên")</f>
        <v>Hoàng Thủy Tiên</v>
      </c>
      <c r="D248" s="4" t="str">
        <f ca="1">IFERROR(__xludf.DUMMYFUNCTION("""COMPUTED_VALUE"""),"Nữ")</f>
        <v>Nữ</v>
      </c>
      <c r="E248" s="4" t="str">
        <f ca="1">IFERROR(__xludf.DUMMYFUNCTION("""COMPUTED_VALUE"""),"Công ty TNHH Kiểm toán AVN Việt Nam ")</f>
        <v xml:space="preserve">Công ty TNHH Kiểm toán AVN Việt Nam </v>
      </c>
      <c r="F248" s="4" t="str">
        <f ca="1">IFERROR(__xludf.DUMMYFUNCTION("""COMPUTED_VALUE"""),"Đại học")</f>
        <v>Đại học</v>
      </c>
      <c r="G248" s="4" t="str">
        <f ca="1">IFERROR(__xludf.DUMMYFUNCTION("""COMPUTED_VALUE"""),"Từ 3 đến 5 năm")</f>
        <v>Từ 3 đến 5 năm</v>
      </c>
      <c r="H248" s="4" t="str">
        <f ca="1">IFERROR(__xludf.DUMMYFUNCTION("""COMPUTED_VALUE"""),"Trợ lý kiểm toán")</f>
        <v>Trợ lý kiểm toán</v>
      </c>
      <c r="I248" s="4">
        <f ca="1">IFERROR(__xludf.DUMMYFUNCTION("""COMPUTED_VALUE"""),5)</f>
        <v>5</v>
      </c>
      <c r="J248" s="4">
        <f ca="1">IFERROR(__xludf.DUMMYFUNCTION("""COMPUTED_VALUE"""),4)</f>
        <v>4</v>
      </c>
      <c r="K248" s="4">
        <f ca="1">IFERROR(__xludf.DUMMYFUNCTION("""COMPUTED_VALUE"""),5)</f>
        <v>5</v>
      </c>
      <c r="L248" s="4">
        <f ca="1">IFERROR(__xludf.DUMMYFUNCTION("""COMPUTED_VALUE"""),4)</f>
        <v>4</v>
      </c>
      <c r="M248" s="4">
        <f ca="1">IFERROR(__xludf.DUMMYFUNCTION("""COMPUTED_VALUE"""),5)</f>
        <v>5</v>
      </c>
      <c r="N248" s="4">
        <f ca="1">IFERROR(__xludf.DUMMYFUNCTION("""COMPUTED_VALUE"""),4)</f>
        <v>4</v>
      </c>
      <c r="O248" s="4">
        <f ca="1">IFERROR(__xludf.DUMMYFUNCTION("""COMPUTED_VALUE"""),5)</f>
        <v>5</v>
      </c>
      <c r="P248" s="4">
        <f ca="1">IFERROR(__xludf.DUMMYFUNCTION("""COMPUTED_VALUE"""),5)</f>
        <v>5</v>
      </c>
      <c r="Q248" s="4">
        <f ca="1">IFERROR(__xludf.DUMMYFUNCTION("""COMPUTED_VALUE"""),5)</f>
        <v>5</v>
      </c>
      <c r="R248" s="4">
        <f ca="1">IFERROR(__xludf.DUMMYFUNCTION("""COMPUTED_VALUE"""),5)</f>
        <v>5</v>
      </c>
      <c r="S248" s="4">
        <f ca="1">IFERROR(__xludf.DUMMYFUNCTION("""COMPUTED_VALUE"""),5)</f>
        <v>5</v>
      </c>
      <c r="T248" s="4">
        <f ca="1">IFERROR(__xludf.DUMMYFUNCTION("""COMPUTED_VALUE"""),5)</f>
        <v>5</v>
      </c>
      <c r="U248" s="4">
        <f ca="1">IFERROR(__xludf.DUMMYFUNCTION("""COMPUTED_VALUE"""),4)</f>
        <v>4</v>
      </c>
      <c r="V248" s="4">
        <f ca="1">IFERROR(__xludf.DUMMYFUNCTION("""COMPUTED_VALUE"""),5)</f>
        <v>5</v>
      </c>
      <c r="W248" s="4">
        <f ca="1">IFERROR(__xludf.DUMMYFUNCTION("""COMPUTED_VALUE"""),4)</f>
        <v>4</v>
      </c>
      <c r="X248" s="4">
        <f ca="1">IFERROR(__xludf.DUMMYFUNCTION("""COMPUTED_VALUE"""),4)</f>
        <v>4</v>
      </c>
      <c r="Y248" s="4">
        <f ca="1">IFERROR(__xludf.DUMMYFUNCTION("""COMPUTED_VALUE"""),4)</f>
        <v>4</v>
      </c>
      <c r="Z248" s="4">
        <f ca="1">IFERROR(__xludf.DUMMYFUNCTION("""COMPUTED_VALUE"""),3)</f>
        <v>3</v>
      </c>
      <c r="AA248" s="4">
        <f ca="1">IFERROR(__xludf.DUMMYFUNCTION("""COMPUTED_VALUE"""),4)</f>
        <v>4</v>
      </c>
      <c r="AB248" s="4">
        <f ca="1">IFERROR(__xludf.DUMMYFUNCTION("""COMPUTED_VALUE"""),4)</f>
        <v>4</v>
      </c>
      <c r="AC248" s="4">
        <f ca="1">IFERROR(__xludf.DUMMYFUNCTION("""COMPUTED_VALUE"""),3)</f>
        <v>3</v>
      </c>
      <c r="AD248" s="4">
        <f ca="1">IFERROR(__xludf.DUMMYFUNCTION("""COMPUTED_VALUE"""),4)</f>
        <v>4</v>
      </c>
      <c r="AE248" s="4">
        <f ca="1">IFERROR(__xludf.DUMMYFUNCTION("""COMPUTED_VALUE"""),4)</f>
        <v>4</v>
      </c>
      <c r="AF248" s="4">
        <f ca="1">IFERROR(__xludf.DUMMYFUNCTION("""COMPUTED_VALUE"""),4)</f>
        <v>4</v>
      </c>
      <c r="AG248" s="4">
        <f ca="1">IFERROR(__xludf.DUMMYFUNCTION("""COMPUTED_VALUE"""),4)</f>
        <v>4</v>
      </c>
      <c r="AH248" s="4">
        <f ca="1">IFERROR(__xludf.DUMMYFUNCTION("""COMPUTED_VALUE"""),5)</f>
        <v>5</v>
      </c>
      <c r="AI248" s="4">
        <f ca="1">IFERROR(__xludf.DUMMYFUNCTION("""COMPUTED_VALUE"""),4)</f>
        <v>4</v>
      </c>
      <c r="AJ248" s="4">
        <f ca="1">IFERROR(__xludf.DUMMYFUNCTION("""COMPUTED_VALUE"""),3)</f>
        <v>3</v>
      </c>
      <c r="AK248" s="4">
        <f ca="1">IFERROR(__xludf.DUMMYFUNCTION("""COMPUTED_VALUE"""),4)</f>
        <v>4</v>
      </c>
      <c r="AL248" s="4">
        <f ca="1">IFERROR(__xludf.DUMMYFUNCTION("""COMPUTED_VALUE"""),4)</f>
        <v>4</v>
      </c>
      <c r="AM248" s="4">
        <f ca="1">IFERROR(__xludf.DUMMYFUNCTION("""COMPUTED_VALUE"""),5)</f>
        <v>5</v>
      </c>
      <c r="AN248" s="4">
        <f ca="1">IFERROR(__xludf.DUMMYFUNCTION("""COMPUTED_VALUE"""),4)</f>
        <v>4</v>
      </c>
      <c r="AO248" s="4">
        <f ca="1">IFERROR(__xludf.DUMMYFUNCTION("""COMPUTED_VALUE"""),5)</f>
        <v>5</v>
      </c>
      <c r="AP248" s="4">
        <f ca="1">IFERROR(__xludf.DUMMYFUNCTION("""COMPUTED_VALUE"""),4)</f>
        <v>4</v>
      </c>
      <c r="AQ248" s="4">
        <f ca="1">IFERROR(__xludf.DUMMYFUNCTION("""COMPUTED_VALUE"""),4)</f>
        <v>4</v>
      </c>
      <c r="AR248" s="4">
        <f ca="1">IFERROR(__xludf.DUMMYFUNCTION("""COMPUTED_VALUE"""),5)</f>
        <v>5</v>
      </c>
      <c r="AS248" s="4">
        <f ca="1">IFERROR(__xludf.DUMMYFUNCTION("""COMPUTED_VALUE"""),3)</f>
        <v>3</v>
      </c>
      <c r="AT248" s="4">
        <f ca="1">IFERROR(__xludf.DUMMYFUNCTION("""COMPUTED_VALUE"""),4)</f>
        <v>4</v>
      </c>
      <c r="AU248" s="4">
        <f ca="1">IFERROR(__xludf.DUMMYFUNCTION("""COMPUTED_VALUE"""),5)</f>
        <v>5</v>
      </c>
      <c r="AV248" s="4">
        <f ca="1">IFERROR(__xludf.DUMMYFUNCTION("""COMPUTED_VALUE"""),3)</f>
        <v>3</v>
      </c>
      <c r="AW248" s="4">
        <f ca="1">IFERROR(__xludf.DUMMYFUNCTION("""COMPUTED_VALUE"""),4)</f>
        <v>4</v>
      </c>
      <c r="AX248" s="4">
        <f ca="1">IFERROR(__xludf.DUMMYFUNCTION("""COMPUTED_VALUE"""),4)</f>
        <v>4</v>
      </c>
      <c r="AY248" s="4">
        <f ca="1">IFERROR(__xludf.DUMMYFUNCTION("""COMPUTED_VALUE"""),5)</f>
        <v>5</v>
      </c>
      <c r="AZ248" s="4">
        <f ca="1">IFERROR(__xludf.DUMMYFUNCTION("""COMPUTED_VALUE"""),4)</f>
        <v>4</v>
      </c>
      <c r="BA248" s="4">
        <f ca="1">IFERROR(__xludf.DUMMYFUNCTION("""COMPUTED_VALUE"""),4)</f>
        <v>4</v>
      </c>
      <c r="BB248" s="4">
        <f ca="1">IFERROR(__xludf.DUMMYFUNCTION("""COMPUTED_VALUE"""),4)</f>
        <v>4</v>
      </c>
      <c r="BC248" s="4">
        <f ca="1">IFERROR(__xludf.DUMMYFUNCTION("""COMPUTED_VALUE"""),4)</f>
        <v>4</v>
      </c>
      <c r="BD248" s="4">
        <f ca="1">IFERROR(__xludf.DUMMYFUNCTION("""COMPUTED_VALUE"""),4)</f>
        <v>4</v>
      </c>
      <c r="BE248" s="4">
        <f ca="1">IFERROR(__xludf.DUMMYFUNCTION("""COMPUTED_VALUE"""),4)</f>
        <v>4</v>
      </c>
      <c r="BF248" s="4">
        <f ca="1">IFERROR(__xludf.DUMMYFUNCTION("""COMPUTED_VALUE"""),5)</f>
        <v>5</v>
      </c>
      <c r="BG248" s="4">
        <f ca="1">IFERROR(__xludf.DUMMYFUNCTION("""COMPUTED_VALUE"""),3)</f>
        <v>3</v>
      </c>
      <c r="BH248" s="4">
        <f ca="1">IFERROR(__xludf.DUMMYFUNCTION("""COMPUTED_VALUE"""),4)</f>
        <v>4</v>
      </c>
      <c r="BI248" s="4">
        <f ca="1">IFERROR(__xludf.DUMMYFUNCTION("""COMPUTED_VALUE"""),4)</f>
        <v>4</v>
      </c>
      <c r="BJ248" s="4">
        <f ca="1">IFERROR(__xludf.DUMMYFUNCTION("""COMPUTED_VALUE"""),5)</f>
        <v>5</v>
      </c>
      <c r="BK248" s="4">
        <f ca="1">IFERROR(__xludf.DUMMYFUNCTION("""COMPUTED_VALUE"""),4)</f>
        <v>4</v>
      </c>
      <c r="BL248" s="4">
        <f ca="1">IFERROR(__xludf.DUMMYFUNCTION("""COMPUTED_VALUE"""),5)</f>
        <v>5</v>
      </c>
      <c r="BM248" s="4">
        <f ca="1">IFERROR(__xludf.DUMMYFUNCTION("""COMPUTED_VALUE"""),4)</f>
        <v>4</v>
      </c>
      <c r="BN248" s="4">
        <f ca="1">IFERROR(__xludf.DUMMYFUNCTION("""COMPUTED_VALUE"""),4)</f>
        <v>4</v>
      </c>
      <c r="BO248" s="4">
        <f ca="1">IFERROR(__xludf.DUMMYFUNCTION("""COMPUTED_VALUE"""),4)</f>
        <v>4</v>
      </c>
      <c r="BP248" s="4">
        <f ca="1">IFERROR(__xludf.DUMMYFUNCTION("""COMPUTED_VALUE"""),3)</f>
        <v>3</v>
      </c>
    </row>
    <row r="249" spans="1:68" ht="13.2" x14ac:dyDescent="0.25">
      <c r="A249" s="4" t="str">
        <f ca="1">IFERROR(__xludf.DUMMYFUNCTION("""COMPUTED_VALUE"""),"2_ABaOnufQSwHhGgutlCTL1fBbGWuTt0mbTQkosYsxqs5SsqStc75RSoa3SeCpYMLa0Q")</f>
        <v>2_ABaOnufQSwHhGgutlCTL1fBbGWuTt0mbTQkosYsxqs5SsqStc75RSoa3SeCpYMLa0Q</v>
      </c>
      <c r="B249" s="5">
        <f ca="1">IFERROR(__xludf.DUMMYFUNCTION("""COMPUTED_VALUE"""),45979.5756540046)</f>
        <v>45979.575654004599</v>
      </c>
      <c r="C249" s="4" t="str">
        <f ca="1">IFERROR(__xludf.DUMMYFUNCTION("""COMPUTED_VALUE"""),"Trịnh Hồng Cơ")</f>
        <v>Trịnh Hồng Cơ</v>
      </c>
      <c r="D249" s="4" t="str">
        <f ca="1">IFERROR(__xludf.DUMMYFUNCTION("""COMPUTED_VALUE"""),"Nam")</f>
        <v>Nam</v>
      </c>
      <c r="E249" s="4" t="str">
        <f ca="1">IFERROR(__xludf.DUMMYFUNCTION("""COMPUTED_VALUE"""),"Công ty TNHH Kiểm toán AS")</f>
        <v>Công ty TNHH Kiểm toán AS</v>
      </c>
      <c r="F249" s="4" t="str">
        <f ca="1">IFERROR(__xludf.DUMMYFUNCTION("""COMPUTED_VALUE"""),"Đại học, Chứng chỉ Kiểm toán viên")</f>
        <v>Đại học, Chứng chỉ Kiểm toán viên</v>
      </c>
      <c r="G249" s="4" t="str">
        <f ca="1">IFERROR(__xludf.DUMMYFUNCTION("""COMPUTED_VALUE"""),"Trên 5 đến 10 năm")</f>
        <v>Trên 5 đến 10 năm</v>
      </c>
      <c r="H249" s="4" t="str">
        <f ca="1">IFERROR(__xludf.DUMMYFUNCTION("""COMPUTED_VALUE"""),"Kiểm toán viên/Trưởng nhóm")</f>
        <v>Kiểm toán viên/Trưởng nhóm</v>
      </c>
      <c r="I249" s="4">
        <f ca="1">IFERROR(__xludf.DUMMYFUNCTION("""COMPUTED_VALUE"""),5)</f>
        <v>5</v>
      </c>
      <c r="J249" s="4">
        <f ca="1">IFERROR(__xludf.DUMMYFUNCTION("""COMPUTED_VALUE"""),4)</f>
        <v>4</v>
      </c>
      <c r="K249" s="4">
        <f ca="1">IFERROR(__xludf.DUMMYFUNCTION("""COMPUTED_VALUE"""),5)</f>
        <v>5</v>
      </c>
      <c r="L249" s="4">
        <f ca="1">IFERROR(__xludf.DUMMYFUNCTION("""COMPUTED_VALUE"""),5)</f>
        <v>5</v>
      </c>
      <c r="M249" s="4">
        <f ca="1">IFERROR(__xludf.DUMMYFUNCTION("""COMPUTED_VALUE"""),5)</f>
        <v>5</v>
      </c>
      <c r="N249" s="4">
        <f ca="1">IFERROR(__xludf.DUMMYFUNCTION("""COMPUTED_VALUE"""),5)</f>
        <v>5</v>
      </c>
      <c r="O249" s="4">
        <f ca="1">IFERROR(__xludf.DUMMYFUNCTION("""COMPUTED_VALUE"""),5)</f>
        <v>5</v>
      </c>
      <c r="P249" s="4">
        <f ca="1">IFERROR(__xludf.DUMMYFUNCTION("""COMPUTED_VALUE"""),5)</f>
        <v>5</v>
      </c>
      <c r="Q249" s="4">
        <f ca="1">IFERROR(__xludf.DUMMYFUNCTION("""COMPUTED_VALUE"""),5)</f>
        <v>5</v>
      </c>
      <c r="R249" s="4">
        <f ca="1">IFERROR(__xludf.DUMMYFUNCTION("""COMPUTED_VALUE"""),5)</f>
        <v>5</v>
      </c>
      <c r="S249" s="4">
        <f ca="1">IFERROR(__xludf.DUMMYFUNCTION("""COMPUTED_VALUE"""),5)</f>
        <v>5</v>
      </c>
      <c r="T249" s="4">
        <f ca="1">IFERROR(__xludf.DUMMYFUNCTION("""COMPUTED_VALUE"""),5)</f>
        <v>5</v>
      </c>
      <c r="U249" s="4">
        <f ca="1">IFERROR(__xludf.DUMMYFUNCTION("""COMPUTED_VALUE"""),5)</f>
        <v>5</v>
      </c>
      <c r="V249" s="4">
        <f ca="1">IFERROR(__xludf.DUMMYFUNCTION("""COMPUTED_VALUE"""),4)</f>
        <v>4</v>
      </c>
      <c r="W249" s="4">
        <f ca="1">IFERROR(__xludf.DUMMYFUNCTION("""COMPUTED_VALUE"""),5)</f>
        <v>5</v>
      </c>
      <c r="X249" s="4">
        <f ca="1">IFERROR(__xludf.DUMMYFUNCTION("""COMPUTED_VALUE"""),5)</f>
        <v>5</v>
      </c>
      <c r="Y249" s="4">
        <f ca="1">IFERROR(__xludf.DUMMYFUNCTION("""COMPUTED_VALUE"""),5)</f>
        <v>5</v>
      </c>
      <c r="Z249" s="4">
        <f ca="1">IFERROR(__xludf.DUMMYFUNCTION("""COMPUTED_VALUE"""),5)</f>
        <v>5</v>
      </c>
      <c r="AA249" s="4">
        <f ca="1">IFERROR(__xludf.DUMMYFUNCTION("""COMPUTED_VALUE"""),5)</f>
        <v>5</v>
      </c>
      <c r="AB249" s="4">
        <f ca="1">IFERROR(__xludf.DUMMYFUNCTION("""COMPUTED_VALUE"""),5)</f>
        <v>5</v>
      </c>
      <c r="AC249" s="4">
        <f ca="1">IFERROR(__xludf.DUMMYFUNCTION("""COMPUTED_VALUE"""),5)</f>
        <v>5</v>
      </c>
      <c r="AD249" s="4">
        <f ca="1">IFERROR(__xludf.DUMMYFUNCTION("""COMPUTED_VALUE"""),5)</f>
        <v>5</v>
      </c>
      <c r="AE249" s="4">
        <f ca="1">IFERROR(__xludf.DUMMYFUNCTION("""COMPUTED_VALUE"""),5)</f>
        <v>5</v>
      </c>
      <c r="AF249" s="4">
        <f ca="1">IFERROR(__xludf.DUMMYFUNCTION("""COMPUTED_VALUE"""),5)</f>
        <v>5</v>
      </c>
      <c r="AG249" s="4">
        <f ca="1">IFERROR(__xludf.DUMMYFUNCTION("""COMPUTED_VALUE"""),4)</f>
        <v>4</v>
      </c>
      <c r="AH249" s="4">
        <f ca="1">IFERROR(__xludf.DUMMYFUNCTION("""COMPUTED_VALUE"""),4)</f>
        <v>4</v>
      </c>
      <c r="AI249" s="4">
        <f ca="1">IFERROR(__xludf.DUMMYFUNCTION("""COMPUTED_VALUE"""),5)</f>
        <v>5</v>
      </c>
      <c r="AJ249" s="4">
        <f ca="1">IFERROR(__xludf.DUMMYFUNCTION("""COMPUTED_VALUE"""),5)</f>
        <v>5</v>
      </c>
      <c r="AK249" s="4">
        <f ca="1">IFERROR(__xludf.DUMMYFUNCTION("""COMPUTED_VALUE"""),5)</f>
        <v>5</v>
      </c>
      <c r="AL249" s="4">
        <f ca="1">IFERROR(__xludf.DUMMYFUNCTION("""COMPUTED_VALUE"""),5)</f>
        <v>5</v>
      </c>
      <c r="AM249" s="4">
        <f ca="1">IFERROR(__xludf.DUMMYFUNCTION("""COMPUTED_VALUE"""),5)</f>
        <v>5</v>
      </c>
      <c r="AN249" s="4">
        <f ca="1">IFERROR(__xludf.DUMMYFUNCTION("""COMPUTED_VALUE"""),5)</f>
        <v>5</v>
      </c>
      <c r="AO249" s="4">
        <f ca="1">IFERROR(__xludf.DUMMYFUNCTION("""COMPUTED_VALUE"""),5)</f>
        <v>5</v>
      </c>
      <c r="AP249" s="4">
        <f ca="1">IFERROR(__xludf.DUMMYFUNCTION("""COMPUTED_VALUE"""),5)</f>
        <v>5</v>
      </c>
      <c r="AQ249" s="4">
        <f ca="1">IFERROR(__xludf.DUMMYFUNCTION("""COMPUTED_VALUE"""),5)</f>
        <v>5</v>
      </c>
      <c r="AR249" s="4">
        <f ca="1">IFERROR(__xludf.DUMMYFUNCTION("""COMPUTED_VALUE"""),5)</f>
        <v>5</v>
      </c>
      <c r="AS249" s="4">
        <f ca="1">IFERROR(__xludf.DUMMYFUNCTION("""COMPUTED_VALUE"""),5)</f>
        <v>5</v>
      </c>
      <c r="AT249" s="4">
        <f ca="1">IFERROR(__xludf.DUMMYFUNCTION("""COMPUTED_VALUE"""),5)</f>
        <v>5</v>
      </c>
      <c r="AU249" s="4">
        <f ca="1">IFERROR(__xludf.DUMMYFUNCTION("""COMPUTED_VALUE"""),5)</f>
        <v>5</v>
      </c>
      <c r="AV249" s="4">
        <f ca="1">IFERROR(__xludf.DUMMYFUNCTION("""COMPUTED_VALUE"""),5)</f>
        <v>5</v>
      </c>
      <c r="AW249" s="4">
        <f ca="1">IFERROR(__xludf.DUMMYFUNCTION("""COMPUTED_VALUE"""),5)</f>
        <v>5</v>
      </c>
      <c r="AX249" s="4">
        <f ca="1">IFERROR(__xludf.DUMMYFUNCTION("""COMPUTED_VALUE"""),5)</f>
        <v>5</v>
      </c>
      <c r="AY249" s="4">
        <f ca="1">IFERROR(__xludf.DUMMYFUNCTION("""COMPUTED_VALUE"""),5)</f>
        <v>5</v>
      </c>
      <c r="AZ249" s="4">
        <f ca="1">IFERROR(__xludf.DUMMYFUNCTION("""COMPUTED_VALUE"""),5)</f>
        <v>5</v>
      </c>
      <c r="BA249" s="4">
        <f ca="1">IFERROR(__xludf.DUMMYFUNCTION("""COMPUTED_VALUE"""),5)</f>
        <v>5</v>
      </c>
      <c r="BB249" s="4">
        <f ca="1">IFERROR(__xludf.DUMMYFUNCTION("""COMPUTED_VALUE"""),5)</f>
        <v>5</v>
      </c>
      <c r="BC249" s="4">
        <f ca="1">IFERROR(__xludf.DUMMYFUNCTION("""COMPUTED_VALUE"""),5)</f>
        <v>5</v>
      </c>
      <c r="BD249" s="4">
        <f ca="1">IFERROR(__xludf.DUMMYFUNCTION("""COMPUTED_VALUE"""),4)</f>
        <v>4</v>
      </c>
      <c r="BE249" s="4">
        <f ca="1">IFERROR(__xludf.DUMMYFUNCTION("""COMPUTED_VALUE"""),4)</f>
        <v>4</v>
      </c>
      <c r="BF249" s="4">
        <f ca="1">IFERROR(__xludf.DUMMYFUNCTION("""COMPUTED_VALUE"""),4)</f>
        <v>4</v>
      </c>
      <c r="BG249" s="4">
        <f ca="1">IFERROR(__xludf.DUMMYFUNCTION("""COMPUTED_VALUE"""),3)</f>
        <v>3</v>
      </c>
      <c r="BH249" s="4">
        <f ca="1">IFERROR(__xludf.DUMMYFUNCTION("""COMPUTED_VALUE"""),4)</f>
        <v>4</v>
      </c>
      <c r="BI249" s="4">
        <f ca="1">IFERROR(__xludf.DUMMYFUNCTION("""COMPUTED_VALUE"""),4)</f>
        <v>4</v>
      </c>
      <c r="BJ249" s="4">
        <f ca="1">IFERROR(__xludf.DUMMYFUNCTION("""COMPUTED_VALUE"""),4)</f>
        <v>4</v>
      </c>
      <c r="BK249" s="4">
        <f ca="1">IFERROR(__xludf.DUMMYFUNCTION("""COMPUTED_VALUE"""),4)</f>
        <v>4</v>
      </c>
      <c r="BL249" s="4">
        <f ca="1">IFERROR(__xludf.DUMMYFUNCTION("""COMPUTED_VALUE"""),4)</f>
        <v>4</v>
      </c>
      <c r="BM249" s="4">
        <f ca="1">IFERROR(__xludf.DUMMYFUNCTION("""COMPUTED_VALUE"""),4)</f>
        <v>4</v>
      </c>
      <c r="BN249" s="4">
        <f ca="1">IFERROR(__xludf.DUMMYFUNCTION("""COMPUTED_VALUE"""),4)</f>
        <v>4</v>
      </c>
      <c r="BO249" s="4">
        <f ca="1">IFERROR(__xludf.DUMMYFUNCTION("""COMPUTED_VALUE"""),4)</f>
        <v>4</v>
      </c>
      <c r="BP249" s="4">
        <f ca="1">IFERROR(__xludf.DUMMYFUNCTION("""COMPUTED_VALUE"""),4)</f>
        <v>4</v>
      </c>
    </row>
    <row r="250" spans="1:68" ht="13.2" x14ac:dyDescent="0.25">
      <c r="A250" s="4" t="str">
        <f ca="1">IFERROR(__xludf.DUMMYFUNCTION("""COMPUTED_VALUE"""),"2_ABaOnucgsOo2WjbS49zeYT9SlnqI1EjK0F26WcqqpPDofrimuRsrCjQcI59mXGVl1A")</f>
        <v>2_ABaOnucgsOo2WjbS49zeYT9SlnqI1EjK0F26WcqqpPDofrimuRsrCjQcI59mXGVl1A</v>
      </c>
      <c r="B250" s="5">
        <f ca="1">IFERROR(__xludf.DUMMYFUNCTION("""COMPUTED_VALUE"""),45979.5855334722)</f>
        <v>45979.5855334722</v>
      </c>
      <c r="C250" s="4" t="str">
        <f ca="1">IFERROR(__xludf.DUMMYFUNCTION("""COMPUTED_VALUE"""),"Trần Võ Thanh Sang")</f>
        <v>Trần Võ Thanh Sang</v>
      </c>
      <c r="D250" s="4" t="str">
        <f ca="1">IFERROR(__xludf.DUMMYFUNCTION("""COMPUTED_VALUE"""),"Nam")</f>
        <v>Nam</v>
      </c>
      <c r="E250" s="4" t="str">
        <f ca="1">IFERROR(__xludf.DUMMYFUNCTION("""COMPUTED_VALUE"""),"Công ty TNHH Parker Russell Việt Nam")</f>
        <v>Công ty TNHH Parker Russell Việt Nam</v>
      </c>
      <c r="F250" s="4" t="str">
        <f ca="1">IFERROR(__xludf.DUMMYFUNCTION("""COMPUTED_VALUE"""),"Đại học")</f>
        <v>Đại học</v>
      </c>
      <c r="G250" s="4" t="str">
        <f ca="1">IFERROR(__xludf.DUMMYFUNCTION("""COMPUTED_VALUE"""),"Trên 5 đến 10 năm")</f>
        <v>Trên 5 đến 10 năm</v>
      </c>
      <c r="H250" s="4" t="str">
        <f ca="1">IFERROR(__xludf.DUMMYFUNCTION("""COMPUTED_VALUE"""),"Kiểm toán viên/Trưởng nhóm")</f>
        <v>Kiểm toán viên/Trưởng nhóm</v>
      </c>
      <c r="I250" s="4">
        <f ca="1">IFERROR(__xludf.DUMMYFUNCTION("""COMPUTED_VALUE"""),5)</f>
        <v>5</v>
      </c>
      <c r="J250" s="4">
        <f ca="1">IFERROR(__xludf.DUMMYFUNCTION("""COMPUTED_VALUE"""),5)</f>
        <v>5</v>
      </c>
      <c r="K250" s="4">
        <f ca="1">IFERROR(__xludf.DUMMYFUNCTION("""COMPUTED_VALUE"""),5)</f>
        <v>5</v>
      </c>
      <c r="L250" s="4">
        <f ca="1">IFERROR(__xludf.DUMMYFUNCTION("""COMPUTED_VALUE"""),4)</f>
        <v>4</v>
      </c>
      <c r="M250" s="4">
        <f ca="1">IFERROR(__xludf.DUMMYFUNCTION("""COMPUTED_VALUE"""),5)</f>
        <v>5</v>
      </c>
      <c r="N250" s="4">
        <f ca="1">IFERROR(__xludf.DUMMYFUNCTION("""COMPUTED_VALUE"""),5)</f>
        <v>5</v>
      </c>
      <c r="O250" s="4">
        <f ca="1">IFERROR(__xludf.DUMMYFUNCTION("""COMPUTED_VALUE"""),4)</f>
        <v>4</v>
      </c>
      <c r="P250" s="4">
        <f ca="1">IFERROR(__xludf.DUMMYFUNCTION("""COMPUTED_VALUE"""),5)</f>
        <v>5</v>
      </c>
      <c r="Q250" s="4">
        <f ca="1">IFERROR(__xludf.DUMMYFUNCTION("""COMPUTED_VALUE"""),5)</f>
        <v>5</v>
      </c>
      <c r="R250" s="4">
        <f ca="1">IFERROR(__xludf.DUMMYFUNCTION("""COMPUTED_VALUE"""),5)</f>
        <v>5</v>
      </c>
      <c r="S250" s="4">
        <f ca="1">IFERROR(__xludf.DUMMYFUNCTION("""COMPUTED_VALUE"""),5)</f>
        <v>5</v>
      </c>
      <c r="T250" s="4">
        <f ca="1">IFERROR(__xludf.DUMMYFUNCTION("""COMPUTED_VALUE"""),5)</f>
        <v>5</v>
      </c>
      <c r="U250" s="4">
        <f ca="1">IFERROR(__xludf.DUMMYFUNCTION("""COMPUTED_VALUE"""),5)</f>
        <v>5</v>
      </c>
      <c r="V250" s="4">
        <f ca="1">IFERROR(__xludf.DUMMYFUNCTION("""COMPUTED_VALUE"""),5)</f>
        <v>5</v>
      </c>
      <c r="W250" s="4">
        <f ca="1">IFERROR(__xludf.DUMMYFUNCTION("""COMPUTED_VALUE"""),4)</f>
        <v>4</v>
      </c>
      <c r="X250" s="4">
        <f ca="1">IFERROR(__xludf.DUMMYFUNCTION("""COMPUTED_VALUE"""),4)</f>
        <v>4</v>
      </c>
      <c r="Y250" s="4">
        <f ca="1">IFERROR(__xludf.DUMMYFUNCTION("""COMPUTED_VALUE"""),4)</f>
        <v>4</v>
      </c>
      <c r="Z250" s="4">
        <f ca="1">IFERROR(__xludf.DUMMYFUNCTION("""COMPUTED_VALUE"""),3)</f>
        <v>3</v>
      </c>
      <c r="AA250" s="4">
        <f ca="1">IFERROR(__xludf.DUMMYFUNCTION("""COMPUTED_VALUE"""),5)</f>
        <v>5</v>
      </c>
      <c r="AB250" s="4">
        <f ca="1">IFERROR(__xludf.DUMMYFUNCTION("""COMPUTED_VALUE"""),5)</f>
        <v>5</v>
      </c>
      <c r="AC250" s="4">
        <f ca="1">IFERROR(__xludf.DUMMYFUNCTION("""COMPUTED_VALUE"""),4)</f>
        <v>4</v>
      </c>
      <c r="AD250" s="4">
        <f ca="1">IFERROR(__xludf.DUMMYFUNCTION("""COMPUTED_VALUE"""),4)</f>
        <v>4</v>
      </c>
      <c r="AE250" s="4">
        <f ca="1">IFERROR(__xludf.DUMMYFUNCTION("""COMPUTED_VALUE"""),5)</f>
        <v>5</v>
      </c>
      <c r="AF250" s="4">
        <f ca="1">IFERROR(__xludf.DUMMYFUNCTION("""COMPUTED_VALUE"""),4)</f>
        <v>4</v>
      </c>
      <c r="AG250" s="4">
        <f ca="1">IFERROR(__xludf.DUMMYFUNCTION("""COMPUTED_VALUE"""),4)</f>
        <v>4</v>
      </c>
      <c r="AH250" s="4">
        <f ca="1">IFERROR(__xludf.DUMMYFUNCTION("""COMPUTED_VALUE"""),5)</f>
        <v>5</v>
      </c>
      <c r="AI250" s="4">
        <f ca="1">IFERROR(__xludf.DUMMYFUNCTION("""COMPUTED_VALUE"""),4)</f>
        <v>4</v>
      </c>
      <c r="AJ250" s="4">
        <f ca="1">IFERROR(__xludf.DUMMYFUNCTION("""COMPUTED_VALUE"""),5)</f>
        <v>5</v>
      </c>
      <c r="AK250" s="4">
        <f ca="1">IFERROR(__xludf.DUMMYFUNCTION("""COMPUTED_VALUE"""),5)</f>
        <v>5</v>
      </c>
      <c r="AL250" s="4">
        <f ca="1">IFERROR(__xludf.DUMMYFUNCTION("""COMPUTED_VALUE"""),5)</f>
        <v>5</v>
      </c>
      <c r="AM250" s="4">
        <f ca="1">IFERROR(__xludf.DUMMYFUNCTION("""COMPUTED_VALUE"""),5)</f>
        <v>5</v>
      </c>
      <c r="AN250" s="4">
        <f ca="1">IFERROR(__xludf.DUMMYFUNCTION("""COMPUTED_VALUE"""),5)</f>
        <v>5</v>
      </c>
      <c r="AO250" s="4">
        <f ca="1">IFERROR(__xludf.DUMMYFUNCTION("""COMPUTED_VALUE"""),5)</f>
        <v>5</v>
      </c>
      <c r="AP250" s="4">
        <f ca="1">IFERROR(__xludf.DUMMYFUNCTION("""COMPUTED_VALUE"""),4)</f>
        <v>4</v>
      </c>
      <c r="AQ250" s="4">
        <f ca="1">IFERROR(__xludf.DUMMYFUNCTION("""COMPUTED_VALUE"""),4)</f>
        <v>4</v>
      </c>
      <c r="AR250" s="4">
        <f ca="1">IFERROR(__xludf.DUMMYFUNCTION("""COMPUTED_VALUE"""),4)</f>
        <v>4</v>
      </c>
      <c r="AS250" s="4">
        <f ca="1">IFERROR(__xludf.DUMMYFUNCTION("""COMPUTED_VALUE"""),4)</f>
        <v>4</v>
      </c>
      <c r="AT250" s="4">
        <f ca="1">IFERROR(__xludf.DUMMYFUNCTION("""COMPUTED_VALUE"""),4)</f>
        <v>4</v>
      </c>
      <c r="AU250" s="4">
        <f ca="1">IFERROR(__xludf.DUMMYFUNCTION("""COMPUTED_VALUE"""),4)</f>
        <v>4</v>
      </c>
      <c r="AV250" s="4">
        <f ca="1">IFERROR(__xludf.DUMMYFUNCTION("""COMPUTED_VALUE"""),4)</f>
        <v>4</v>
      </c>
      <c r="AW250" s="4">
        <f ca="1">IFERROR(__xludf.DUMMYFUNCTION("""COMPUTED_VALUE"""),4)</f>
        <v>4</v>
      </c>
      <c r="AX250" s="4">
        <f ca="1">IFERROR(__xludf.DUMMYFUNCTION("""COMPUTED_VALUE"""),5)</f>
        <v>5</v>
      </c>
      <c r="AY250" s="4">
        <f ca="1">IFERROR(__xludf.DUMMYFUNCTION("""COMPUTED_VALUE"""),5)</f>
        <v>5</v>
      </c>
      <c r="AZ250" s="4">
        <f ca="1">IFERROR(__xludf.DUMMYFUNCTION("""COMPUTED_VALUE"""),5)</f>
        <v>5</v>
      </c>
      <c r="BA250" s="4">
        <f ca="1">IFERROR(__xludf.DUMMYFUNCTION("""COMPUTED_VALUE"""),5)</f>
        <v>5</v>
      </c>
      <c r="BB250" s="4">
        <f ca="1">IFERROR(__xludf.DUMMYFUNCTION("""COMPUTED_VALUE"""),4)</f>
        <v>4</v>
      </c>
      <c r="BC250" s="4">
        <f ca="1">IFERROR(__xludf.DUMMYFUNCTION("""COMPUTED_VALUE"""),4)</f>
        <v>4</v>
      </c>
      <c r="BD250" s="4">
        <f ca="1">IFERROR(__xludf.DUMMYFUNCTION("""COMPUTED_VALUE"""),4)</f>
        <v>4</v>
      </c>
      <c r="BE250" s="4">
        <f ca="1">IFERROR(__xludf.DUMMYFUNCTION("""COMPUTED_VALUE"""),3)</f>
        <v>3</v>
      </c>
      <c r="BF250" s="4">
        <f ca="1">IFERROR(__xludf.DUMMYFUNCTION("""COMPUTED_VALUE"""),3)</f>
        <v>3</v>
      </c>
      <c r="BG250" s="4">
        <f ca="1">IFERROR(__xludf.DUMMYFUNCTION("""COMPUTED_VALUE"""),3)</f>
        <v>3</v>
      </c>
      <c r="BH250" s="4">
        <f ca="1">IFERROR(__xludf.DUMMYFUNCTION("""COMPUTED_VALUE"""),5)</f>
        <v>5</v>
      </c>
      <c r="BI250" s="4">
        <f ca="1">IFERROR(__xludf.DUMMYFUNCTION("""COMPUTED_VALUE"""),5)</f>
        <v>5</v>
      </c>
      <c r="BJ250" s="4">
        <f ca="1">IFERROR(__xludf.DUMMYFUNCTION("""COMPUTED_VALUE"""),5)</f>
        <v>5</v>
      </c>
      <c r="BK250" s="4">
        <f ca="1">IFERROR(__xludf.DUMMYFUNCTION("""COMPUTED_VALUE"""),5)</f>
        <v>5</v>
      </c>
      <c r="BL250" s="4">
        <f ca="1">IFERROR(__xludf.DUMMYFUNCTION("""COMPUTED_VALUE"""),5)</f>
        <v>5</v>
      </c>
      <c r="BM250" s="4">
        <f ca="1">IFERROR(__xludf.DUMMYFUNCTION("""COMPUTED_VALUE"""),5)</f>
        <v>5</v>
      </c>
      <c r="BN250" s="4">
        <f ca="1">IFERROR(__xludf.DUMMYFUNCTION("""COMPUTED_VALUE"""),5)</f>
        <v>5</v>
      </c>
      <c r="BO250" s="4">
        <f ca="1">IFERROR(__xludf.DUMMYFUNCTION("""COMPUTED_VALUE"""),5)</f>
        <v>5</v>
      </c>
      <c r="BP250" s="4">
        <f ca="1">IFERROR(__xludf.DUMMYFUNCTION("""COMPUTED_VALUE"""),5)</f>
        <v>5</v>
      </c>
    </row>
    <row r="251" spans="1:68" ht="13.2" x14ac:dyDescent="0.25">
      <c r="A251" s="4" t="str">
        <f ca="1">IFERROR(__xludf.DUMMYFUNCTION("""COMPUTED_VALUE"""),"2_ABaOnuf4tgTnzyjSw4y9CUg-V58broQB9XinXXas9xtEKvPpkQrd_LEaeHprnMQTqw")</f>
        <v>2_ABaOnuf4tgTnzyjSw4y9CUg-V58broQB9XinXXas9xtEKvPpkQrd_LEaeHprnMQTqw</v>
      </c>
      <c r="B251" s="5">
        <f ca="1">IFERROR(__xludf.DUMMYFUNCTION("""COMPUTED_VALUE"""),45979.5902786111)</f>
        <v>45979.590278611096</v>
      </c>
      <c r="C251" s="4" t="str">
        <f ca="1">IFERROR(__xludf.DUMMYFUNCTION("""COMPUTED_VALUE"""),"NGUYỄN THANH VŨ")</f>
        <v>NGUYỄN THANH VŨ</v>
      </c>
      <c r="D251" s="4" t="str">
        <f ca="1">IFERROR(__xludf.DUMMYFUNCTION("""COMPUTED_VALUE"""),"Nam")</f>
        <v>Nam</v>
      </c>
      <c r="E251" s="4" t="str">
        <f ca="1">IFERROR(__xludf.DUMMYFUNCTION("""COMPUTED_VALUE"""),"CÔNG TY TNHH KIỂM TOÁN AS")</f>
        <v>CÔNG TY TNHH KIỂM TOÁN AS</v>
      </c>
      <c r="F251" s="4" t="str">
        <f ca="1">IFERROR(__xludf.DUMMYFUNCTION("""COMPUTED_VALUE"""),"Đại học, Chứng chỉ Kiểm toán viên")</f>
        <v>Đại học, Chứng chỉ Kiểm toán viên</v>
      </c>
      <c r="G251" s="4" t="str">
        <f ca="1">IFERROR(__xludf.DUMMYFUNCTION("""COMPUTED_VALUE"""),"Trên 10 đến 15 năm")</f>
        <v>Trên 10 đến 15 năm</v>
      </c>
      <c r="H251" s="4" t="str">
        <f ca="1">IFERROR(__xludf.DUMMYFUNCTION("""COMPUTED_VALUE"""),"Kiểm toán viên/Trưởng nhóm")</f>
        <v>Kiểm toán viên/Trưởng nhóm</v>
      </c>
      <c r="I251" s="4">
        <f ca="1">IFERROR(__xludf.DUMMYFUNCTION("""COMPUTED_VALUE"""),5)</f>
        <v>5</v>
      </c>
      <c r="J251" s="4">
        <f ca="1">IFERROR(__xludf.DUMMYFUNCTION("""COMPUTED_VALUE"""),5)</f>
        <v>5</v>
      </c>
      <c r="K251" s="4">
        <f ca="1">IFERROR(__xludf.DUMMYFUNCTION("""COMPUTED_VALUE"""),5)</f>
        <v>5</v>
      </c>
      <c r="L251" s="4">
        <f ca="1">IFERROR(__xludf.DUMMYFUNCTION("""COMPUTED_VALUE"""),5)</f>
        <v>5</v>
      </c>
      <c r="M251" s="4">
        <f ca="1">IFERROR(__xludf.DUMMYFUNCTION("""COMPUTED_VALUE"""),5)</f>
        <v>5</v>
      </c>
      <c r="N251" s="4">
        <f ca="1">IFERROR(__xludf.DUMMYFUNCTION("""COMPUTED_VALUE"""),3)</f>
        <v>3</v>
      </c>
      <c r="O251" s="4">
        <f ca="1">IFERROR(__xludf.DUMMYFUNCTION("""COMPUTED_VALUE"""),3)</f>
        <v>3</v>
      </c>
      <c r="P251" s="4">
        <f ca="1">IFERROR(__xludf.DUMMYFUNCTION("""COMPUTED_VALUE"""),5)</f>
        <v>5</v>
      </c>
      <c r="Q251" s="4">
        <f ca="1">IFERROR(__xludf.DUMMYFUNCTION("""COMPUTED_VALUE"""),5)</f>
        <v>5</v>
      </c>
      <c r="R251" s="4">
        <f ca="1">IFERROR(__xludf.DUMMYFUNCTION("""COMPUTED_VALUE"""),5)</f>
        <v>5</v>
      </c>
      <c r="S251" s="4">
        <f ca="1">IFERROR(__xludf.DUMMYFUNCTION("""COMPUTED_VALUE"""),5)</f>
        <v>5</v>
      </c>
      <c r="T251" s="4">
        <f ca="1">IFERROR(__xludf.DUMMYFUNCTION("""COMPUTED_VALUE"""),5)</f>
        <v>5</v>
      </c>
      <c r="U251" s="4">
        <f ca="1">IFERROR(__xludf.DUMMYFUNCTION("""COMPUTED_VALUE"""),5)</f>
        <v>5</v>
      </c>
      <c r="V251" s="4">
        <f ca="1">IFERROR(__xludf.DUMMYFUNCTION("""COMPUTED_VALUE"""),5)</f>
        <v>5</v>
      </c>
      <c r="W251" s="4">
        <f ca="1">IFERROR(__xludf.DUMMYFUNCTION("""COMPUTED_VALUE"""),5)</f>
        <v>5</v>
      </c>
      <c r="X251" s="4">
        <f ca="1">IFERROR(__xludf.DUMMYFUNCTION("""COMPUTED_VALUE"""),5)</f>
        <v>5</v>
      </c>
      <c r="Y251" s="4">
        <f ca="1">IFERROR(__xludf.DUMMYFUNCTION("""COMPUTED_VALUE"""),5)</f>
        <v>5</v>
      </c>
      <c r="Z251" s="4">
        <f ca="1">IFERROR(__xludf.DUMMYFUNCTION("""COMPUTED_VALUE"""),5)</f>
        <v>5</v>
      </c>
      <c r="AA251" s="4">
        <f ca="1">IFERROR(__xludf.DUMMYFUNCTION("""COMPUTED_VALUE"""),5)</f>
        <v>5</v>
      </c>
      <c r="AB251" s="4">
        <f ca="1">IFERROR(__xludf.DUMMYFUNCTION("""COMPUTED_VALUE"""),5)</f>
        <v>5</v>
      </c>
      <c r="AC251" s="4">
        <f ca="1">IFERROR(__xludf.DUMMYFUNCTION("""COMPUTED_VALUE"""),5)</f>
        <v>5</v>
      </c>
      <c r="AD251" s="4">
        <f ca="1">IFERROR(__xludf.DUMMYFUNCTION("""COMPUTED_VALUE"""),3)</f>
        <v>3</v>
      </c>
      <c r="AE251" s="4">
        <f ca="1">IFERROR(__xludf.DUMMYFUNCTION("""COMPUTED_VALUE"""),5)</f>
        <v>5</v>
      </c>
      <c r="AF251" s="4">
        <f ca="1">IFERROR(__xludf.DUMMYFUNCTION("""COMPUTED_VALUE"""),5)</f>
        <v>5</v>
      </c>
      <c r="AG251" s="4">
        <f ca="1">IFERROR(__xludf.DUMMYFUNCTION("""COMPUTED_VALUE"""),5)</f>
        <v>5</v>
      </c>
      <c r="AH251" s="4">
        <f ca="1">IFERROR(__xludf.DUMMYFUNCTION("""COMPUTED_VALUE"""),5)</f>
        <v>5</v>
      </c>
      <c r="AI251" s="4">
        <f ca="1">IFERROR(__xludf.DUMMYFUNCTION("""COMPUTED_VALUE"""),5)</f>
        <v>5</v>
      </c>
      <c r="AJ251" s="4">
        <f ca="1">IFERROR(__xludf.DUMMYFUNCTION("""COMPUTED_VALUE"""),5)</f>
        <v>5</v>
      </c>
      <c r="AK251" s="4">
        <f ca="1">IFERROR(__xludf.DUMMYFUNCTION("""COMPUTED_VALUE"""),4)</f>
        <v>4</v>
      </c>
      <c r="AL251" s="4">
        <f ca="1">IFERROR(__xludf.DUMMYFUNCTION("""COMPUTED_VALUE"""),5)</f>
        <v>5</v>
      </c>
      <c r="AM251" s="4">
        <f ca="1">IFERROR(__xludf.DUMMYFUNCTION("""COMPUTED_VALUE"""),4)</f>
        <v>4</v>
      </c>
      <c r="AN251" s="4">
        <f ca="1">IFERROR(__xludf.DUMMYFUNCTION("""COMPUTED_VALUE"""),4)</f>
        <v>4</v>
      </c>
      <c r="AO251" s="4">
        <f ca="1">IFERROR(__xludf.DUMMYFUNCTION("""COMPUTED_VALUE"""),4)</f>
        <v>4</v>
      </c>
      <c r="AP251" s="4">
        <f ca="1">IFERROR(__xludf.DUMMYFUNCTION("""COMPUTED_VALUE"""),4)</f>
        <v>4</v>
      </c>
      <c r="AQ251" s="4">
        <f ca="1">IFERROR(__xludf.DUMMYFUNCTION("""COMPUTED_VALUE"""),4)</f>
        <v>4</v>
      </c>
      <c r="AR251" s="4">
        <f ca="1">IFERROR(__xludf.DUMMYFUNCTION("""COMPUTED_VALUE"""),4)</f>
        <v>4</v>
      </c>
      <c r="AS251" s="4">
        <f ca="1">IFERROR(__xludf.DUMMYFUNCTION("""COMPUTED_VALUE"""),4)</f>
        <v>4</v>
      </c>
      <c r="AT251" s="4">
        <f ca="1">IFERROR(__xludf.DUMMYFUNCTION("""COMPUTED_VALUE"""),4)</f>
        <v>4</v>
      </c>
      <c r="AU251" s="4">
        <f ca="1">IFERROR(__xludf.DUMMYFUNCTION("""COMPUTED_VALUE"""),4)</f>
        <v>4</v>
      </c>
      <c r="AV251" s="4">
        <f ca="1">IFERROR(__xludf.DUMMYFUNCTION("""COMPUTED_VALUE"""),4)</f>
        <v>4</v>
      </c>
      <c r="AW251" s="4">
        <f ca="1">IFERROR(__xludf.DUMMYFUNCTION("""COMPUTED_VALUE"""),4)</f>
        <v>4</v>
      </c>
      <c r="AX251" s="4">
        <f ca="1">IFERROR(__xludf.DUMMYFUNCTION("""COMPUTED_VALUE"""),5)</f>
        <v>5</v>
      </c>
      <c r="AY251" s="4">
        <f ca="1">IFERROR(__xludf.DUMMYFUNCTION("""COMPUTED_VALUE"""),5)</f>
        <v>5</v>
      </c>
      <c r="AZ251" s="4">
        <f ca="1">IFERROR(__xludf.DUMMYFUNCTION("""COMPUTED_VALUE"""),5)</f>
        <v>5</v>
      </c>
      <c r="BA251" s="4">
        <f ca="1">IFERROR(__xludf.DUMMYFUNCTION("""COMPUTED_VALUE"""),5)</f>
        <v>5</v>
      </c>
      <c r="BB251" s="4">
        <f ca="1">IFERROR(__xludf.DUMMYFUNCTION("""COMPUTED_VALUE"""),5)</f>
        <v>5</v>
      </c>
      <c r="BC251" s="4">
        <f ca="1">IFERROR(__xludf.DUMMYFUNCTION("""COMPUTED_VALUE"""),5)</f>
        <v>5</v>
      </c>
      <c r="BD251" s="4">
        <f ca="1">IFERROR(__xludf.DUMMYFUNCTION("""COMPUTED_VALUE"""),5)</f>
        <v>5</v>
      </c>
      <c r="BE251" s="4">
        <f ca="1">IFERROR(__xludf.DUMMYFUNCTION("""COMPUTED_VALUE"""),5)</f>
        <v>5</v>
      </c>
      <c r="BF251" s="4">
        <f ca="1">IFERROR(__xludf.DUMMYFUNCTION("""COMPUTED_VALUE"""),5)</f>
        <v>5</v>
      </c>
      <c r="BG251" s="4">
        <f ca="1">IFERROR(__xludf.DUMMYFUNCTION("""COMPUTED_VALUE"""),5)</f>
        <v>5</v>
      </c>
      <c r="BH251" s="4">
        <f ca="1">IFERROR(__xludf.DUMMYFUNCTION("""COMPUTED_VALUE"""),5)</f>
        <v>5</v>
      </c>
      <c r="BI251" s="4">
        <f ca="1">IFERROR(__xludf.DUMMYFUNCTION("""COMPUTED_VALUE"""),5)</f>
        <v>5</v>
      </c>
      <c r="BJ251" s="4">
        <f ca="1">IFERROR(__xludf.DUMMYFUNCTION("""COMPUTED_VALUE"""),5)</f>
        <v>5</v>
      </c>
      <c r="BK251" s="4">
        <f ca="1">IFERROR(__xludf.DUMMYFUNCTION("""COMPUTED_VALUE"""),5)</f>
        <v>5</v>
      </c>
      <c r="BL251" s="4">
        <f ca="1">IFERROR(__xludf.DUMMYFUNCTION("""COMPUTED_VALUE"""),5)</f>
        <v>5</v>
      </c>
      <c r="BM251" s="4">
        <f ca="1">IFERROR(__xludf.DUMMYFUNCTION("""COMPUTED_VALUE"""),5)</f>
        <v>5</v>
      </c>
      <c r="BN251" s="4">
        <f ca="1">IFERROR(__xludf.DUMMYFUNCTION("""COMPUTED_VALUE"""),5)</f>
        <v>5</v>
      </c>
      <c r="BO251" s="4">
        <f ca="1">IFERROR(__xludf.DUMMYFUNCTION("""COMPUTED_VALUE"""),5)</f>
        <v>5</v>
      </c>
      <c r="BP251" s="4">
        <f ca="1">IFERROR(__xludf.DUMMYFUNCTION("""COMPUTED_VALUE"""),5)</f>
        <v>5</v>
      </c>
    </row>
    <row r="252" spans="1:68" ht="13.2" x14ac:dyDescent="0.25">
      <c r="A252" s="4" t="str">
        <f ca="1">IFERROR(__xludf.DUMMYFUNCTION("""COMPUTED_VALUE"""),"2_ABaOnudh4RDVG1vCpZPa-WqBr76PuIk4nb2Re-zREiEv8xPNQIprzwF8hFgRlVoLPw")</f>
        <v>2_ABaOnudh4RDVG1vCpZPa-WqBr76PuIk4nb2Re-zREiEv8xPNQIprzwF8hFgRlVoLPw</v>
      </c>
      <c r="B252" s="5">
        <f ca="1">IFERROR(__xludf.DUMMYFUNCTION("""COMPUTED_VALUE"""),45979.6298081018)</f>
        <v>45979.629808101803</v>
      </c>
      <c r="C252" s="4" t="str">
        <f ca="1">IFERROR(__xludf.DUMMYFUNCTION("""COMPUTED_VALUE"""),"Trần Lê Kiều Anh")</f>
        <v>Trần Lê Kiều Anh</v>
      </c>
      <c r="D252" s="4" t="str">
        <f ca="1">IFERROR(__xludf.DUMMYFUNCTION("""COMPUTED_VALUE"""),"Nữ")</f>
        <v>Nữ</v>
      </c>
      <c r="E252" s="4" t="str">
        <f ca="1">IFERROR(__xludf.DUMMYFUNCTION("""COMPUTED_VALUE"""),"CÔNG TY TNHH KIỂM TOÁN SG-VN")</f>
        <v>CÔNG TY TNHH KIỂM TOÁN SG-VN</v>
      </c>
      <c r="F252" s="4" t="str">
        <f ca="1">IFERROR(__xludf.DUMMYFUNCTION("""COMPUTED_VALUE"""),"Đại học")</f>
        <v>Đại học</v>
      </c>
      <c r="G252" s="4" t="str">
        <f ca="1">IFERROR(__xludf.DUMMYFUNCTION("""COMPUTED_VALUE"""),"Từ 3 đến 5 năm")</f>
        <v>Từ 3 đến 5 năm</v>
      </c>
      <c r="H252" s="4" t="str">
        <f ca="1">IFERROR(__xludf.DUMMYFUNCTION("""COMPUTED_VALUE"""),"Trợ lý kiểm toán")</f>
        <v>Trợ lý kiểm toán</v>
      </c>
      <c r="I252" s="4">
        <f ca="1">IFERROR(__xludf.DUMMYFUNCTION("""COMPUTED_VALUE"""),5)</f>
        <v>5</v>
      </c>
      <c r="J252" s="4">
        <f ca="1">IFERROR(__xludf.DUMMYFUNCTION("""COMPUTED_VALUE"""),5)</f>
        <v>5</v>
      </c>
      <c r="K252" s="4">
        <f ca="1">IFERROR(__xludf.DUMMYFUNCTION("""COMPUTED_VALUE"""),4)</f>
        <v>4</v>
      </c>
      <c r="L252" s="4">
        <f ca="1">IFERROR(__xludf.DUMMYFUNCTION("""COMPUTED_VALUE"""),3)</f>
        <v>3</v>
      </c>
      <c r="M252" s="4">
        <f ca="1">IFERROR(__xludf.DUMMYFUNCTION("""COMPUTED_VALUE"""),3)</f>
        <v>3</v>
      </c>
      <c r="N252" s="4">
        <f ca="1">IFERROR(__xludf.DUMMYFUNCTION("""COMPUTED_VALUE"""),3)</f>
        <v>3</v>
      </c>
      <c r="O252" s="4">
        <f ca="1">IFERROR(__xludf.DUMMYFUNCTION("""COMPUTED_VALUE"""),3)</f>
        <v>3</v>
      </c>
      <c r="P252" s="4">
        <f ca="1">IFERROR(__xludf.DUMMYFUNCTION("""COMPUTED_VALUE"""),4)</f>
        <v>4</v>
      </c>
      <c r="Q252" s="4">
        <f ca="1">IFERROR(__xludf.DUMMYFUNCTION("""COMPUTED_VALUE"""),4)</f>
        <v>4</v>
      </c>
      <c r="R252" s="4">
        <f ca="1">IFERROR(__xludf.DUMMYFUNCTION("""COMPUTED_VALUE"""),5)</f>
        <v>5</v>
      </c>
      <c r="S252" s="4">
        <f ca="1">IFERROR(__xludf.DUMMYFUNCTION("""COMPUTED_VALUE"""),5)</f>
        <v>5</v>
      </c>
      <c r="T252" s="4">
        <f ca="1">IFERROR(__xludf.DUMMYFUNCTION("""COMPUTED_VALUE"""),5)</f>
        <v>5</v>
      </c>
      <c r="U252" s="4">
        <f ca="1">IFERROR(__xludf.DUMMYFUNCTION("""COMPUTED_VALUE"""),4)</f>
        <v>4</v>
      </c>
      <c r="V252" s="4">
        <f ca="1">IFERROR(__xludf.DUMMYFUNCTION("""COMPUTED_VALUE"""),4)</f>
        <v>4</v>
      </c>
      <c r="W252" s="4">
        <f ca="1">IFERROR(__xludf.DUMMYFUNCTION("""COMPUTED_VALUE"""),4)</f>
        <v>4</v>
      </c>
      <c r="X252" s="4">
        <f ca="1">IFERROR(__xludf.DUMMYFUNCTION("""COMPUTED_VALUE"""),3)</f>
        <v>3</v>
      </c>
      <c r="Y252" s="4">
        <f ca="1">IFERROR(__xludf.DUMMYFUNCTION("""COMPUTED_VALUE"""),3)</f>
        <v>3</v>
      </c>
      <c r="Z252" s="4">
        <f ca="1">IFERROR(__xludf.DUMMYFUNCTION("""COMPUTED_VALUE"""),3)</f>
        <v>3</v>
      </c>
      <c r="AA252" s="4">
        <f ca="1">IFERROR(__xludf.DUMMYFUNCTION("""COMPUTED_VALUE"""),3)</f>
        <v>3</v>
      </c>
      <c r="AB252" s="4">
        <f ca="1">IFERROR(__xludf.DUMMYFUNCTION("""COMPUTED_VALUE"""),5)</f>
        <v>5</v>
      </c>
      <c r="AC252" s="4">
        <f ca="1">IFERROR(__xludf.DUMMYFUNCTION("""COMPUTED_VALUE"""),5)</f>
        <v>5</v>
      </c>
      <c r="AD252" s="4">
        <f ca="1">IFERROR(__xludf.DUMMYFUNCTION("""COMPUTED_VALUE"""),5)</f>
        <v>5</v>
      </c>
      <c r="AE252" s="4">
        <f ca="1">IFERROR(__xludf.DUMMYFUNCTION("""COMPUTED_VALUE"""),5)</f>
        <v>5</v>
      </c>
      <c r="AF252" s="4">
        <f ca="1">IFERROR(__xludf.DUMMYFUNCTION("""COMPUTED_VALUE"""),4)</f>
        <v>4</v>
      </c>
      <c r="AG252" s="4">
        <f ca="1">IFERROR(__xludf.DUMMYFUNCTION("""COMPUTED_VALUE"""),4)</f>
        <v>4</v>
      </c>
      <c r="AH252" s="4">
        <f ca="1">IFERROR(__xludf.DUMMYFUNCTION("""COMPUTED_VALUE"""),4)</f>
        <v>4</v>
      </c>
      <c r="AI252" s="4">
        <f ca="1">IFERROR(__xludf.DUMMYFUNCTION("""COMPUTED_VALUE"""),3)</f>
        <v>3</v>
      </c>
      <c r="AJ252" s="4">
        <f ca="1">IFERROR(__xludf.DUMMYFUNCTION("""COMPUTED_VALUE"""),3)</f>
        <v>3</v>
      </c>
      <c r="AK252" s="4">
        <f ca="1">IFERROR(__xludf.DUMMYFUNCTION("""COMPUTED_VALUE"""),3)</f>
        <v>3</v>
      </c>
      <c r="AL252" s="4">
        <f ca="1">IFERROR(__xludf.DUMMYFUNCTION("""COMPUTED_VALUE"""),4)</f>
        <v>4</v>
      </c>
      <c r="AM252" s="4">
        <f ca="1">IFERROR(__xludf.DUMMYFUNCTION("""COMPUTED_VALUE"""),4)</f>
        <v>4</v>
      </c>
      <c r="AN252" s="4">
        <f ca="1">IFERROR(__xludf.DUMMYFUNCTION("""COMPUTED_VALUE"""),3)</f>
        <v>3</v>
      </c>
      <c r="AO252" s="4">
        <f ca="1">IFERROR(__xludf.DUMMYFUNCTION("""COMPUTED_VALUE"""),4)</f>
        <v>4</v>
      </c>
      <c r="AP252" s="4">
        <f ca="1">IFERROR(__xludf.DUMMYFUNCTION("""COMPUTED_VALUE"""),4)</f>
        <v>4</v>
      </c>
      <c r="AQ252" s="4">
        <f ca="1">IFERROR(__xludf.DUMMYFUNCTION("""COMPUTED_VALUE"""),4)</f>
        <v>4</v>
      </c>
      <c r="AR252" s="4">
        <f ca="1">IFERROR(__xludf.DUMMYFUNCTION("""COMPUTED_VALUE"""),4)</f>
        <v>4</v>
      </c>
      <c r="AS252" s="4">
        <f ca="1">IFERROR(__xludf.DUMMYFUNCTION("""COMPUTED_VALUE"""),4)</f>
        <v>4</v>
      </c>
      <c r="AT252" s="4">
        <f ca="1">IFERROR(__xludf.DUMMYFUNCTION("""COMPUTED_VALUE"""),4)</f>
        <v>4</v>
      </c>
      <c r="AU252" s="4">
        <f ca="1">IFERROR(__xludf.DUMMYFUNCTION("""COMPUTED_VALUE"""),3)</f>
        <v>3</v>
      </c>
      <c r="AV252" s="4">
        <f ca="1">IFERROR(__xludf.DUMMYFUNCTION("""COMPUTED_VALUE"""),3)</f>
        <v>3</v>
      </c>
      <c r="AW252" s="4">
        <f ca="1">IFERROR(__xludf.DUMMYFUNCTION("""COMPUTED_VALUE"""),3)</f>
        <v>3</v>
      </c>
      <c r="AX252" s="4">
        <f ca="1">IFERROR(__xludf.DUMMYFUNCTION("""COMPUTED_VALUE"""),3)</f>
        <v>3</v>
      </c>
      <c r="AY252" s="4">
        <f ca="1">IFERROR(__xludf.DUMMYFUNCTION("""COMPUTED_VALUE"""),4)</f>
        <v>4</v>
      </c>
      <c r="AZ252" s="4">
        <f ca="1">IFERROR(__xludf.DUMMYFUNCTION("""COMPUTED_VALUE"""),3)</f>
        <v>3</v>
      </c>
      <c r="BA252" s="4">
        <f ca="1">IFERROR(__xludf.DUMMYFUNCTION("""COMPUTED_VALUE"""),3)</f>
        <v>3</v>
      </c>
      <c r="BB252" s="4">
        <f ca="1">IFERROR(__xludf.DUMMYFUNCTION("""COMPUTED_VALUE"""),4)</f>
        <v>4</v>
      </c>
      <c r="BC252" s="4">
        <f ca="1">IFERROR(__xludf.DUMMYFUNCTION("""COMPUTED_VALUE"""),4)</f>
        <v>4</v>
      </c>
      <c r="BD252" s="4">
        <f ca="1">IFERROR(__xludf.DUMMYFUNCTION("""COMPUTED_VALUE"""),4)</f>
        <v>4</v>
      </c>
      <c r="BE252" s="4">
        <f ca="1">IFERROR(__xludf.DUMMYFUNCTION("""COMPUTED_VALUE"""),4)</f>
        <v>4</v>
      </c>
      <c r="BF252" s="4">
        <f ca="1">IFERROR(__xludf.DUMMYFUNCTION("""COMPUTED_VALUE"""),4)</f>
        <v>4</v>
      </c>
      <c r="BG252" s="4">
        <f ca="1">IFERROR(__xludf.DUMMYFUNCTION("""COMPUTED_VALUE"""),4)</f>
        <v>4</v>
      </c>
      <c r="BH252" s="4">
        <f ca="1">IFERROR(__xludf.DUMMYFUNCTION("""COMPUTED_VALUE"""),4)</f>
        <v>4</v>
      </c>
      <c r="BI252" s="4">
        <f ca="1">IFERROR(__xludf.DUMMYFUNCTION("""COMPUTED_VALUE"""),4)</f>
        <v>4</v>
      </c>
      <c r="BJ252" s="4">
        <f ca="1">IFERROR(__xludf.DUMMYFUNCTION("""COMPUTED_VALUE"""),4)</f>
        <v>4</v>
      </c>
      <c r="BK252" s="4">
        <f ca="1">IFERROR(__xludf.DUMMYFUNCTION("""COMPUTED_VALUE"""),4)</f>
        <v>4</v>
      </c>
      <c r="BL252" s="4">
        <f ca="1">IFERROR(__xludf.DUMMYFUNCTION("""COMPUTED_VALUE"""),3)</f>
        <v>3</v>
      </c>
      <c r="BM252" s="4">
        <f ca="1">IFERROR(__xludf.DUMMYFUNCTION("""COMPUTED_VALUE"""),4)</f>
        <v>4</v>
      </c>
      <c r="BN252" s="4">
        <f ca="1">IFERROR(__xludf.DUMMYFUNCTION("""COMPUTED_VALUE"""),4)</f>
        <v>4</v>
      </c>
      <c r="BO252" s="4">
        <f ca="1">IFERROR(__xludf.DUMMYFUNCTION("""COMPUTED_VALUE"""),4)</f>
        <v>4</v>
      </c>
      <c r="BP252" s="4">
        <f ca="1">IFERROR(__xludf.DUMMYFUNCTION("""COMPUTED_VALUE"""),3)</f>
        <v>3</v>
      </c>
    </row>
    <row r="253" spans="1:68" ht="13.2" x14ac:dyDescent="0.25">
      <c r="A253" s="4" t="str">
        <f ca="1">IFERROR(__xludf.DUMMYFUNCTION("""COMPUTED_VALUE"""),"2_ABaOnue6OeCXsMeGHJk_FgNaDIkd9Q8BFTfdMf1Ii2xd60VnwJtxR0CE4FYotTUVDg")</f>
        <v>2_ABaOnue6OeCXsMeGHJk_FgNaDIkd9Q8BFTfdMf1Ii2xd60VnwJtxR0CE4FYotTUVDg</v>
      </c>
      <c r="B253" s="5">
        <f ca="1">IFERROR(__xludf.DUMMYFUNCTION("""COMPUTED_VALUE"""),45979.6352097916)</f>
        <v>45979.635209791602</v>
      </c>
      <c r="C253" s="4" t="str">
        <f ca="1">IFERROR(__xludf.DUMMYFUNCTION("""COMPUTED_VALUE"""),"TRẦN VĂN QUÂN")</f>
        <v>TRẦN VĂN QUÂN</v>
      </c>
      <c r="D253" s="4" t="str">
        <f ca="1">IFERROR(__xludf.DUMMYFUNCTION("""COMPUTED_VALUE"""),"Nam")</f>
        <v>Nam</v>
      </c>
      <c r="E253" s="4" t="str">
        <f ca="1">IFERROR(__xludf.DUMMYFUNCTION("""COMPUTED_VALUE"""),"Công ty TNHH Kiểm toán NVA")</f>
        <v>Công ty TNHH Kiểm toán NVA</v>
      </c>
      <c r="F253" s="4" t="str">
        <f ca="1">IFERROR(__xludf.DUMMYFUNCTION("""COMPUTED_VALUE"""),"Đại học")</f>
        <v>Đại học</v>
      </c>
      <c r="G253" s="4" t="str">
        <f ca="1">IFERROR(__xludf.DUMMYFUNCTION("""COMPUTED_VALUE"""),"Từ 3 đến 5 năm")</f>
        <v>Từ 3 đến 5 năm</v>
      </c>
      <c r="H253" s="4" t="str">
        <f ca="1">IFERROR(__xludf.DUMMYFUNCTION("""COMPUTED_VALUE"""),"Kiểm toán viên/Trưởng nhóm")</f>
        <v>Kiểm toán viên/Trưởng nhóm</v>
      </c>
      <c r="I253" s="4">
        <f ca="1">IFERROR(__xludf.DUMMYFUNCTION("""COMPUTED_VALUE"""),4)</f>
        <v>4</v>
      </c>
      <c r="J253" s="4">
        <f ca="1">IFERROR(__xludf.DUMMYFUNCTION("""COMPUTED_VALUE"""),4)</f>
        <v>4</v>
      </c>
      <c r="K253" s="4">
        <f ca="1">IFERROR(__xludf.DUMMYFUNCTION("""COMPUTED_VALUE"""),5)</f>
        <v>5</v>
      </c>
      <c r="L253" s="4">
        <f ca="1">IFERROR(__xludf.DUMMYFUNCTION("""COMPUTED_VALUE"""),5)</f>
        <v>5</v>
      </c>
      <c r="M253" s="4">
        <f ca="1">IFERROR(__xludf.DUMMYFUNCTION("""COMPUTED_VALUE"""),5)</f>
        <v>5</v>
      </c>
      <c r="N253" s="4">
        <f ca="1">IFERROR(__xludf.DUMMYFUNCTION("""COMPUTED_VALUE"""),4)</f>
        <v>4</v>
      </c>
      <c r="O253" s="4">
        <f ca="1">IFERROR(__xludf.DUMMYFUNCTION("""COMPUTED_VALUE"""),5)</f>
        <v>5</v>
      </c>
      <c r="P253" s="4">
        <f ca="1">IFERROR(__xludf.DUMMYFUNCTION("""COMPUTED_VALUE"""),5)</f>
        <v>5</v>
      </c>
      <c r="Q253" s="4">
        <f ca="1">IFERROR(__xludf.DUMMYFUNCTION("""COMPUTED_VALUE"""),5)</f>
        <v>5</v>
      </c>
      <c r="R253" s="4">
        <f ca="1">IFERROR(__xludf.DUMMYFUNCTION("""COMPUTED_VALUE"""),4)</f>
        <v>4</v>
      </c>
      <c r="S253" s="4">
        <f ca="1">IFERROR(__xludf.DUMMYFUNCTION("""COMPUTED_VALUE"""),5)</f>
        <v>5</v>
      </c>
      <c r="T253" s="4">
        <f ca="1">IFERROR(__xludf.DUMMYFUNCTION("""COMPUTED_VALUE"""),5)</f>
        <v>5</v>
      </c>
      <c r="U253" s="4">
        <f ca="1">IFERROR(__xludf.DUMMYFUNCTION("""COMPUTED_VALUE"""),4)</f>
        <v>4</v>
      </c>
      <c r="V253" s="4">
        <f ca="1">IFERROR(__xludf.DUMMYFUNCTION("""COMPUTED_VALUE"""),4)</f>
        <v>4</v>
      </c>
      <c r="W253" s="4">
        <f ca="1">IFERROR(__xludf.DUMMYFUNCTION("""COMPUTED_VALUE"""),4)</f>
        <v>4</v>
      </c>
      <c r="X253" s="4">
        <f ca="1">IFERROR(__xludf.DUMMYFUNCTION("""COMPUTED_VALUE"""),5)</f>
        <v>5</v>
      </c>
      <c r="Y253" s="4">
        <f ca="1">IFERROR(__xludf.DUMMYFUNCTION("""COMPUTED_VALUE"""),5)</f>
        <v>5</v>
      </c>
      <c r="Z253" s="4">
        <f ca="1">IFERROR(__xludf.DUMMYFUNCTION("""COMPUTED_VALUE"""),5)</f>
        <v>5</v>
      </c>
      <c r="AA253" s="4">
        <f ca="1">IFERROR(__xludf.DUMMYFUNCTION("""COMPUTED_VALUE"""),5)</f>
        <v>5</v>
      </c>
      <c r="AB253" s="4">
        <f ca="1">IFERROR(__xludf.DUMMYFUNCTION("""COMPUTED_VALUE"""),4)</f>
        <v>4</v>
      </c>
      <c r="AC253" s="4">
        <f ca="1">IFERROR(__xludf.DUMMYFUNCTION("""COMPUTED_VALUE"""),5)</f>
        <v>5</v>
      </c>
      <c r="AD253" s="4">
        <f ca="1">IFERROR(__xludf.DUMMYFUNCTION("""COMPUTED_VALUE"""),5)</f>
        <v>5</v>
      </c>
      <c r="AE253" s="4">
        <f ca="1">IFERROR(__xludf.DUMMYFUNCTION("""COMPUTED_VALUE"""),5)</f>
        <v>5</v>
      </c>
      <c r="AF253" s="4">
        <f ca="1">IFERROR(__xludf.DUMMYFUNCTION("""COMPUTED_VALUE"""),5)</f>
        <v>5</v>
      </c>
      <c r="AG253" s="4">
        <f ca="1">IFERROR(__xludf.DUMMYFUNCTION("""COMPUTED_VALUE"""),5)</f>
        <v>5</v>
      </c>
      <c r="AH253" s="4">
        <f ca="1">IFERROR(__xludf.DUMMYFUNCTION("""COMPUTED_VALUE"""),4)</f>
        <v>4</v>
      </c>
      <c r="AI253" s="4">
        <f ca="1">IFERROR(__xludf.DUMMYFUNCTION("""COMPUTED_VALUE"""),5)</f>
        <v>5</v>
      </c>
      <c r="AJ253" s="4">
        <f ca="1">IFERROR(__xludf.DUMMYFUNCTION("""COMPUTED_VALUE"""),5)</f>
        <v>5</v>
      </c>
      <c r="AK253" s="4">
        <f ca="1">IFERROR(__xludf.DUMMYFUNCTION("""COMPUTED_VALUE"""),5)</f>
        <v>5</v>
      </c>
      <c r="AL253" s="4">
        <f ca="1">IFERROR(__xludf.DUMMYFUNCTION("""COMPUTED_VALUE"""),4)</f>
        <v>4</v>
      </c>
      <c r="AM253" s="4">
        <f ca="1">IFERROR(__xludf.DUMMYFUNCTION("""COMPUTED_VALUE"""),5)</f>
        <v>5</v>
      </c>
      <c r="AN253" s="4">
        <f ca="1">IFERROR(__xludf.DUMMYFUNCTION("""COMPUTED_VALUE"""),5)</f>
        <v>5</v>
      </c>
      <c r="AO253" s="4">
        <f ca="1">IFERROR(__xludf.DUMMYFUNCTION("""COMPUTED_VALUE"""),5)</f>
        <v>5</v>
      </c>
      <c r="AP253" s="4">
        <f ca="1">IFERROR(__xludf.DUMMYFUNCTION("""COMPUTED_VALUE"""),5)</f>
        <v>5</v>
      </c>
      <c r="AQ253" s="4">
        <f ca="1">IFERROR(__xludf.DUMMYFUNCTION("""COMPUTED_VALUE"""),4)</f>
        <v>4</v>
      </c>
      <c r="AR253" s="4">
        <f ca="1">IFERROR(__xludf.DUMMYFUNCTION("""COMPUTED_VALUE"""),5)</f>
        <v>5</v>
      </c>
      <c r="AS253" s="4">
        <f ca="1">IFERROR(__xludf.DUMMYFUNCTION("""COMPUTED_VALUE"""),4)</f>
        <v>4</v>
      </c>
      <c r="AT253" s="4">
        <f ca="1">IFERROR(__xludf.DUMMYFUNCTION("""COMPUTED_VALUE"""),4)</f>
        <v>4</v>
      </c>
      <c r="AU253" s="4">
        <f ca="1">IFERROR(__xludf.DUMMYFUNCTION("""COMPUTED_VALUE"""),5)</f>
        <v>5</v>
      </c>
      <c r="AV253" s="4">
        <f ca="1">IFERROR(__xludf.DUMMYFUNCTION("""COMPUTED_VALUE"""),5)</f>
        <v>5</v>
      </c>
      <c r="AW253" s="4">
        <f ca="1">IFERROR(__xludf.DUMMYFUNCTION("""COMPUTED_VALUE"""),5)</f>
        <v>5</v>
      </c>
      <c r="AX253" s="4">
        <f ca="1">IFERROR(__xludf.DUMMYFUNCTION("""COMPUTED_VALUE"""),4)</f>
        <v>4</v>
      </c>
      <c r="AY253" s="4">
        <f ca="1">IFERROR(__xludf.DUMMYFUNCTION("""COMPUTED_VALUE"""),4)</f>
        <v>4</v>
      </c>
      <c r="AZ253" s="4">
        <f ca="1">IFERROR(__xludf.DUMMYFUNCTION("""COMPUTED_VALUE"""),4)</f>
        <v>4</v>
      </c>
      <c r="BA253" s="4">
        <f ca="1">IFERROR(__xludf.DUMMYFUNCTION("""COMPUTED_VALUE"""),5)</f>
        <v>5</v>
      </c>
      <c r="BB253" s="4">
        <f ca="1">IFERROR(__xludf.DUMMYFUNCTION("""COMPUTED_VALUE"""),5)</f>
        <v>5</v>
      </c>
      <c r="BC253" s="4">
        <f ca="1">IFERROR(__xludf.DUMMYFUNCTION("""COMPUTED_VALUE"""),5)</f>
        <v>5</v>
      </c>
      <c r="BD253" s="4">
        <f ca="1">IFERROR(__xludf.DUMMYFUNCTION("""COMPUTED_VALUE"""),4)</f>
        <v>4</v>
      </c>
      <c r="BE253" s="4">
        <f ca="1">IFERROR(__xludf.DUMMYFUNCTION("""COMPUTED_VALUE"""),5)</f>
        <v>5</v>
      </c>
      <c r="BF253" s="4">
        <f ca="1">IFERROR(__xludf.DUMMYFUNCTION("""COMPUTED_VALUE"""),5)</f>
        <v>5</v>
      </c>
      <c r="BG253" s="4">
        <f ca="1">IFERROR(__xludf.DUMMYFUNCTION("""COMPUTED_VALUE"""),5)</f>
        <v>5</v>
      </c>
      <c r="BH253" s="4">
        <f ca="1">IFERROR(__xludf.DUMMYFUNCTION("""COMPUTED_VALUE"""),5)</f>
        <v>5</v>
      </c>
      <c r="BI253" s="4">
        <f ca="1">IFERROR(__xludf.DUMMYFUNCTION("""COMPUTED_VALUE"""),5)</f>
        <v>5</v>
      </c>
      <c r="BJ253" s="4">
        <f ca="1">IFERROR(__xludf.DUMMYFUNCTION("""COMPUTED_VALUE"""),4)</f>
        <v>4</v>
      </c>
      <c r="BK253" s="4">
        <f ca="1">IFERROR(__xludf.DUMMYFUNCTION("""COMPUTED_VALUE"""),4)</f>
        <v>4</v>
      </c>
      <c r="BL253" s="4">
        <f ca="1">IFERROR(__xludf.DUMMYFUNCTION("""COMPUTED_VALUE"""),4)</f>
        <v>4</v>
      </c>
      <c r="BM253" s="4">
        <f ca="1">IFERROR(__xludf.DUMMYFUNCTION("""COMPUTED_VALUE"""),5)</f>
        <v>5</v>
      </c>
      <c r="BN253" s="4">
        <f ca="1">IFERROR(__xludf.DUMMYFUNCTION("""COMPUTED_VALUE"""),5)</f>
        <v>5</v>
      </c>
      <c r="BO253" s="4">
        <f ca="1">IFERROR(__xludf.DUMMYFUNCTION("""COMPUTED_VALUE"""),5)</f>
        <v>5</v>
      </c>
      <c r="BP253" s="4">
        <f ca="1">IFERROR(__xludf.DUMMYFUNCTION("""COMPUTED_VALUE"""),5)</f>
        <v>5</v>
      </c>
    </row>
    <row r="254" spans="1:68" ht="13.2" x14ac:dyDescent="0.25">
      <c r="A254" s="4" t="str">
        <f ca="1">IFERROR(__xludf.DUMMYFUNCTION("""COMPUTED_VALUE"""),"2_ABaOnudIZe6f8bQ1XU-jJXyLc02WZh3PO-WnYGX6xsLQAmBnzK3OzE88p_DNnwY5ow")</f>
        <v>2_ABaOnudIZe6f8bQ1XU-jJXyLc02WZh3PO-WnYGX6xsLQAmBnzK3OzE88p_DNnwY5ow</v>
      </c>
      <c r="B254" s="5">
        <f ca="1">IFERROR(__xludf.DUMMYFUNCTION("""COMPUTED_VALUE"""),45979.6452052777)</f>
        <v>45979.645205277702</v>
      </c>
      <c r="C254" s="4" t="str">
        <f ca="1">IFERROR(__xludf.DUMMYFUNCTION("""COMPUTED_VALUE"""),"BÙI DUY PHƯƠNG THANH")</f>
        <v>BÙI DUY PHƯƠNG THANH</v>
      </c>
      <c r="D254" s="4" t="str">
        <f ca="1">IFERROR(__xludf.DUMMYFUNCTION("""COMPUTED_VALUE"""),"Nữ")</f>
        <v>Nữ</v>
      </c>
      <c r="E254" s="4" t="str">
        <f ca="1">IFERROR(__xludf.DUMMYFUNCTION("""COMPUTED_VALUE"""),"Công ty TNHH Kiểm toán NVA")</f>
        <v>Công ty TNHH Kiểm toán NVA</v>
      </c>
      <c r="F254" s="4" t="str">
        <f ca="1">IFERROR(__xludf.DUMMYFUNCTION("""COMPUTED_VALUE"""),"Đại học")</f>
        <v>Đại học</v>
      </c>
      <c r="G254" s="4" t="str">
        <f ca="1">IFERROR(__xludf.DUMMYFUNCTION("""COMPUTED_VALUE"""),"Trên 15 đến 20 năm")</f>
        <v>Trên 15 đến 20 năm</v>
      </c>
      <c r="H254" s="4" t="str">
        <f ca="1">IFERROR(__xludf.DUMMYFUNCTION("""COMPUTED_VALUE"""),"Trưởng phòng")</f>
        <v>Trưởng phòng</v>
      </c>
      <c r="I254" s="4">
        <f ca="1">IFERROR(__xludf.DUMMYFUNCTION("""COMPUTED_VALUE"""),5)</f>
        <v>5</v>
      </c>
      <c r="J254" s="4">
        <f ca="1">IFERROR(__xludf.DUMMYFUNCTION("""COMPUTED_VALUE"""),5)</f>
        <v>5</v>
      </c>
      <c r="K254" s="4">
        <f ca="1">IFERROR(__xludf.DUMMYFUNCTION("""COMPUTED_VALUE"""),5)</f>
        <v>5</v>
      </c>
      <c r="L254" s="4">
        <f ca="1">IFERROR(__xludf.DUMMYFUNCTION("""COMPUTED_VALUE"""),4)</f>
        <v>4</v>
      </c>
      <c r="M254" s="4">
        <f ca="1">IFERROR(__xludf.DUMMYFUNCTION("""COMPUTED_VALUE"""),4)</f>
        <v>4</v>
      </c>
      <c r="N254" s="4">
        <f ca="1">IFERROR(__xludf.DUMMYFUNCTION("""COMPUTED_VALUE"""),5)</f>
        <v>5</v>
      </c>
      <c r="O254" s="4">
        <f ca="1">IFERROR(__xludf.DUMMYFUNCTION("""COMPUTED_VALUE"""),5)</f>
        <v>5</v>
      </c>
      <c r="P254" s="4">
        <f ca="1">IFERROR(__xludf.DUMMYFUNCTION("""COMPUTED_VALUE"""),5)</f>
        <v>5</v>
      </c>
      <c r="Q254" s="4">
        <f ca="1">IFERROR(__xludf.DUMMYFUNCTION("""COMPUTED_VALUE"""),4)</f>
        <v>4</v>
      </c>
      <c r="R254" s="4">
        <f ca="1">IFERROR(__xludf.DUMMYFUNCTION("""COMPUTED_VALUE"""),4)</f>
        <v>4</v>
      </c>
      <c r="S254" s="4">
        <f ca="1">IFERROR(__xludf.DUMMYFUNCTION("""COMPUTED_VALUE"""),4)</f>
        <v>4</v>
      </c>
      <c r="T254" s="4">
        <f ca="1">IFERROR(__xludf.DUMMYFUNCTION("""COMPUTED_VALUE"""),5)</f>
        <v>5</v>
      </c>
      <c r="U254" s="4">
        <f ca="1">IFERROR(__xludf.DUMMYFUNCTION("""COMPUTED_VALUE"""),5)</f>
        <v>5</v>
      </c>
      <c r="V254" s="4">
        <f ca="1">IFERROR(__xludf.DUMMYFUNCTION("""COMPUTED_VALUE"""),5)</f>
        <v>5</v>
      </c>
      <c r="W254" s="4">
        <f ca="1">IFERROR(__xludf.DUMMYFUNCTION("""COMPUTED_VALUE"""),5)</f>
        <v>5</v>
      </c>
      <c r="X254" s="4">
        <f ca="1">IFERROR(__xludf.DUMMYFUNCTION("""COMPUTED_VALUE"""),5)</f>
        <v>5</v>
      </c>
      <c r="Y254" s="4">
        <f ca="1">IFERROR(__xludf.DUMMYFUNCTION("""COMPUTED_VALUE"""),5)</f>
        <v>5</v>
      </c>
      <c r="Z254" s="4">
        <f ca="1">IFERROR(__xludf.DUMMYFUNCTION("""COMPUTED_VALUE"""),4)</f>
        <v>4</v>
      </c>
      <c r="AA254" s="4">
        <f ca="1">IFERROR(__xludf.DUMMYFUNCTION("""COMPUTED_VALUE"""),4)</f>
        <v>4</v>
      </c>
      <c r="AB254" s="4">
        <f ca="1">IFERROR(__xludf.DUMMYFUNCTION("""COMPUTED_VALUE"""),4)</f>
        <v>4</v>
      </c>
      <c r="AC254" s="4">
        <f ca="1">IFERROR(__xludf.DUMMYFUNCTION("""COMPUTED_VALUE"""),5)</f>
        <v>5</v>
      </c>
      <c r="AD254" s="4">
        <f ca="1">IFERROR(__xludf.DUMMYFUNCTION("""COMPUTED_VALUE"""),5)</f>
        <v>5</v>
      </c>
      <c r="AE254" s="4">
        <f ca="1">IFERROR(__xludf.DUMMYFUNCTION("""COMPUTED_VALUE"""),4)</f>
        <v>4</v>
      </c>
      <c r="AF254" s="4">
        <f ca="1">IFERROR(__xludf.DUMMYFUNCTION("""COMPUTED_VALUE"""),4)</f>
        <v>4</v>
      </c>
      <c r="AG254" s="4">
        <f ca="1">IFERROR(__xludf.DUMMYFUNCTION("""COMPUTED_VALUE"""),5)</f>
        <v>5</v>
      </c>
      <c r="AH254" s="4">
        <f ca="1">IFERROR(__xludf.DUMMYFUNCTION("""COMPUTED_VALUE"""),5)</f>
        <v>5</v>
      </c>
      <c r="AI254" s="4">
        <f ca="1">IFERROR(__xludf.DUMMYFUNCTION("""COMPUTED_VALUE"""),5)</f>
        <v>5</v>
      </c>
      <c r="AJ254" s="4">
        <f ca="1">IFERROR(__xludf.DUMMYFUNCTION("""COMPUTED_VALUE"""),5)</f>
        <v>5</v>
      </c>
      <c r="AK254" s="4">
        <f ca="1">IFERROR(__xludf.DUMMYFUNCTION("""COMPUTED_VALUE"""),5)</f>
        <v>5</v>
      </c>
      <c r="AL254" s="4">
        <f ca="1">IFERROR(__xludf.DUMMYFUNCTION("""COMPUTED_VALUE"""),5)</f>
        <v>5</v>
      </c>
      <c r="AM254" s="4">
        <f ca="1">IFERROR(__xludf.DUMMYFUNCTION("""COMPUTED_VALUE"""),5)</f>
        <v>5</v>
      </c>
      <c r="AN254" s="4">
        <f ca="1">IFERROR(__xludf.DUMMYFUNCTION("""COMPUTED_VALUE"""),4)</f>
        <v>4</v>
      </c>
      <c r="AO254" s="4">
        <f ca="1">IFERROR(__xludf.DUMMYFUNCTION("""COMPUTED_VALUE"""),5)</f>
        <v>5</v>
      </c>
      <c r="AP254" s="4">
        <f ca="1">IFERROR(__xludf.DUMMYFUNCTION("""COMPUTED_VALUE"""),5)</f>
        <v>5</v>
      </c>
      <c r="AQ254" s="4">
        <f ca="1">IFERROR(__xludf.DUMMYFUNCTION("""COMPUTED_VALUE"""),4)</f>
        <v>4</v>
      </c>
      <c r="AR254" s="4">
        <f ca="1">IFERROR(__xludf.DUMMYFUNCTION("""COMPUTED_VALUE"""),4)</f>
        <v>4</v>
      </c>
      <c r="AS254" s="4">
        <f ca="1">IFERROR(__xludf.DUMMYFUNCTION("""COMPUTED_VALUE"""),5)</f>
        <v>5</v>
      </c>
      <c r="AT254" s="4">
        <f ca="1">IFERROR(__xludf.DUMMYFUNCTION("""COMPUTED_VALUE"""),5)</f>
        <v>5</v>
      </c>
      <c r="AU254" s="4">
        <f ca="1">IFERROR(__xludf.DUMMYFUNCTION("""COMPUTED_VALUE"""),5)</f>
        <v>5</v>
      </c>
      <c r="AV254" s="4">
        <f ca="1">IFERROR(__xludf.DUMMYFUNCTION("""COMPUTED_VALUE"""),4)</f>
        <v>4</v>
      </c>
      <c r="AW254" s="4">
        <f ca="1">IFERROR(__xludf.DUMMYFUNCTION("""COMPUTED_VALUE"""),5)</f>
        <v>5</v>
      </c>
      <c r="AX254" s="4">
        <f ca="1">IFERROR(__xludf.DUMMYFUNCTION("""COMPUTED_VALUE"""),5)</f>
        <v>5</v>
      </c>
      <c r="AY254" s="4">
        <f ca="1">IFERROR(__xludf.DUMMYFUNCTION("""COMPUTED_VALUE"""),5)</f>
        <v>5</v>
      </c>
      <c r="AZ254" s="4">
        <f ca="1">IFERROR(__xludf.DUMMYFUNCTION("""COMPUTED_VALUE"""),5)</f>
        <v>5</v>
      </c>
      <c r="BA254" s="4">
        <f ca="1">IFERROR(__xludf.DUMMYFUNCTION("""COMPUTED_VALUE"""),4)</f>
        <v>4</v>
      </c>
      <c r="BB254" s="4">
        <f ca="1">IFERROR(__xludf.DUMMYFUNCTION("""COMPUTED_VALUE"""),5)</f>
        <v>5</v>
      </c>
      <c r="BC254" s="4">
        <f ca="1">IFERROR(__xludf.DUMMYFUNCTION("""COMPUTED_VALUE"""),5)</f>
        <v>5</v>
      </c>
      <c r="BD254" s="4">
        <f ca="1">IFERROR(__xludf.DUMMYFUNCTION("""COMPUTED_VALUE"""),4)</f>
        <v>4</v>
      </c>
      <c r="BE254" s="4">
        <f ca="1">IFERROR(__xludf.DUMMYFUNCTION("""COMPUTED_VALUE"""),4)</f>
        <v>4</v>
      </c>
      <c r="BF254" s="4">
        <f ca="1">IFERROR(__xludf.DUMMYFUNCTION("""COMPUTED_VALUE"""),4)</f>
        <v>4</v>
      </c>
      <c r="BG254" s="4">
        <f ca="1">IFERROR(__xludf.DUMMYFUNCTION("""COMPUTED_VALUE"""),5)</f>
        <v>5</v>
      </c>
      <c r="BH254" s="4">
        <f ca="1">IFERROR(__xludf.DUMMYFUNCTION("""COMPUTED_VALUE"""),5)</f>
        <v>5</v>
      </c>
      <c r="BI254" s="4">
        <f ca="1">IFERROR(__xludf.DUMMYFUNCTION("""COMPUTED_VALUE"""),5)</f>
        <v>5</v>
      </c>
      <c r="BJ254" s="4">
        <f ca="1">IFERROR(__xludf.DUMMYFUNCTION("""COMPUTED_VALUE"""),5)</f>
        <v>5</v>
      </c>
      <c r="BK254" s="4">
        <f ca="1">IFERROR(__xludf.DUMMYFUNCTION("""COMPUTED_VALUE"""),5)</f>
        <v>5</v>
      </c>
      <c r="BL254" s="4">
        <f ca="1">IFERROR(__xludf.DUMMYFUNCTION("""COMPUTED_VALUE"""),5)</f>
        <v>5</v>
      </c>
      <c r="BM254" s="4">
        <f ca="1">IFERROR(__xludf.DUMMYFUNCTION("""COMPUTED_VALUE"""),5)</f>
        <v>5</v>
      </c>
      <c r="BN254" s="4">
        <f ca="1">IFERROR(__xludf.DUMMYFUNCTION("""COMPUTED_VALUE"""),4)</f>
        <v>4</v>
      </c>
      <c r="BO254" s="4">
        <f ca="1">IFERROR(__xludf.DUMMYFUNCTION("""COMPUTED_VALUE"""),5)</f>
        <v>5</v>
      </c>
      <c r="BP254" s="4">
        <f ca="1">IFERROR(__xludf.DUMMYFUNCTION("""COMPUTED_VALUE"""),5)</f>
        <v>5</v>
      </c>
    </row>
    <row r="255" spans="1:68" ht="13.2" x14ac:dyDescent="0.25">
      <c r="A255" s="4" t="str">
        <f ca="1">IFERROR(__xludf.DUMMYFUNCTION("""COMPUTED_VALUE"""),"2_ABaOnue2HABtx0WRQtA7xlCXViz1CSUETEmCfnPoW9G25tiWzuwuJp4sRAjUEoyvBg")</f>
        <v>2_ABaOnue2HABtx0WRQtA7xlCXViz1CSUETEmCfnPoW9G25tiWzuwuJp4sRAjUEoyvBg</v>
      </c>
      <c r="B255" s="5">
        <f ca="1">IFERROR(__xludf.DUMMYFUNCTION("""COMPUTED_VALUE"""),45979.6515506828)</f>
        <v>45979.6515506828</v>
      </c>
      <c r="C255" s="4" t="str">
        <f ca="1">IFERROR(__xludf.DUMMYFUNCTION("""COMPUTED_VALUE"""),"Mai Thị Tâm")</f>
        <v>Mai Thị Tâm</v>
      </c>
      <c r="D255" s="4" t="str">
        <f ca="1">IFERROR(__xludf.DUMMYFUNCTION("""COMPUTED_VALUE"""),"Nữ")</f>
        <v>Nữ</v>
      </c>
      <c r="E255" s="4" t="str">
        <f ca="1">IFERROR(__xludf.DUMMYFUNCTION("""COMPUTED_VALUE"""),"Công ty TNHH Kiểm toán NVA")</f>
        <v>Công ty TNHH Kiểm toán NVA</v>
      </c>
      <c r="F255" s="4" t="str">
        <f ca="1">IFERROR(__xludf.DUMMYFUNCTION("""COMPUTED_VALUE"""),"Đại học")</f>
        <v>Đại học</v>
      </c>
      <c r="G255" s="4" t="str">
        <f ca="1">IFERROR(__xludf.DUMMYFUNCTION("""COMPUTED_VALUE"""),"Trên 5 đến 10 năm")</f>
        <v>Trên 5 đến 10 năm</v>
      </c>
      <c r="H255" s="4" t="str">
        <f ca="1">IFERROR(__xludf.DUMMYFUNCTION("""COMPUTED_VALUE"""),"Kiểm toán viên/Trưởng nhóm")</f>
        <v>Kiểm toán viên/Trưởng nhóm</v>
      </c>
      <c r="I255" s="4">
        <f ca="1">IFERROR(__xludf.DUMMYFUNCTION("""COMPUTED_VALUE"""),5)</f>
        <v>5</v>
      </c>
      <c r="J255" s="4">
        <f ca="1">IFERROR(__xludf.DUMMYFUNCTION("""COMPUTED_VALUE"""),4)</f>
        <v>4</v>
      </c>
      <c r="K255" s="4">
        <f ca="1">IFERROR(__xludf.DUMMYFUNCTION("""COMPUTED_VALUE"""),4)</f>
        <v>4</v>
      </c>
      <c r="L255" s="4">
        <f ca="1">IFERROR(__xludf.DUMMYFUNCTION("""COMPUTED_VALUE"""),4)</f>
        <v>4</v>
      </c>
      <c r="M255" s="4">
        <f ca="1">IFERROR(__xludf.DUMMYFUNCTION("""COMPUTED_VALUE"""),4)</f>
        <v>4</v>
      </c>
      <c r="N255" s="4">
        <f ca="1">IFERROR(__xludf.DUMMYFUNCTION("""COMPUTED_VALUE"""),5)</f>
        <v>5</v>
      </c>
      <c r="O255" s="4">
        <f ca="1">IFERROR(__xludf.DUMMYFUNCTION("""COMPUTED_VALUE"""),4)</f>
        <v>4</v>
      </c>
      <c r="P255" s="4">
        <f ca="1">IFERROR(__xludf.DUMMYFUNCTION("""COMPUTED_VALUE"""),4)</f>
        <v>4</v>
      </c>
      <c r="Q255" s="4">
        <f ca="1">IFERROR(__xludf.DUMMYFUNCTION("""COMPUTED_VALUE"""),5)</f>
        <v>5</v>
      </c>
      <c r="R255" s="4">
        <f ca="1">IFERROR(__xludf.DUMMYFUNCTION("""COMPUTED_VALUE"""),5)</f>
        <v>5</v>
      </c>
      <c r="S255" s="4">
        <f ca="1">IFERROR(__xludf.DUMMYFUNCTION("""COMPUTED_VALUE"""),4)</f>
        <v>4</v>
      </c>
      <c r="T255" s="4">
        <f ca="1">IFERROR(__xludf.DUMMYFUNCTION("""COMPUTED_VALUE"""),5)</f>
        <v>5</v>
      </c>
      <c r="U255" s="4">
        <f ca="1">IFERROR(__xludf.DUMMYFUNCTION("""COMPUTED_VALUE"""),5)</f>
        <v>5</v>
      </c>
      <c r="V255" s="4">
        <f ca="1">IFERROR(__xludf.DUMMYFUNCTION("""COMPUTED_VALUE"""),5)</f>
        <v>5</v>
      </c>
      <c r="W255" s="4">
        <f ca="1">IFERROR(__xludf.DUMMYFUNCTION("""COMPUTED_VALUE"""),3)</f>
        <v>3</v>
      </c>
      <c r="X255" s="4">
        <f ca="1">IFERROR(__xludf.DUMMYFUNCTION("""COMPUTED_VALUE"""),4)</f>
        <v>4</v>
      </c>
      <c r="Y255" s="4">
        <f ca="1">IFERROR(__xludf.DUMMYFUNCTION("""COMPUTED_VALUE"""),3)</f>
        <v>3</v>
      </c>
      <c r="Z255" s="4">
        <f ca="1">IFERROR(__xludf.DUMMYFUNCTION("""COMPUTED_VALUE"""),4)</f>
        <v>4</v>
      </c>
      <c r="AA255" s="4">
        <f ca="1">IFERROR(__xludf.DUMMYFUNCTION("""COMPUTED_VALUE"""),2)</f>
        <v>2</v>
      </c>
      <c r="AB255" s="4">
        <f ca="1">IFERROR(__xludf.DUMMYFUNCTION("""COMPUTED_VALUE"""),5)</f>
        <v>5</v>
      </c>
      <c r="AC255" s="4">
        <f ca="1">IFERROR(__xludf.DUMMYFUNCTION("""COMPUTED_VALUE"""),4)</f>
        <v>4</v>
      </c>
      <c r="AD255" s="4">
        <f ca="1">IFERROR(__xludf.DUMMYFUNCTION("""COMPUTED_VALUE"""),2)</f>
        <v>2</v>
      </c>
      <c r="AE255" s="4">
        <f ca="1">IFERROR(__xludf.DUMMYFUNCTION("""COMPUTED_VALUE"""),5)</f>
        <v>5</v>
      </c>
      <c r="AF255" s="4">
        <f ca="1">IFERROR(__xludf.DUMMYFUNCTION("""COMPUTED_VALUE"""),4)</f>
        <v>4</v>
      </c>
      <c r="AG255" s="4">
        <f ca="1">IFERROR(__xludf.DUMMYFUNCTION("""COMPUTED_VALUE"""),4)</f>
        <v>4</v>
      </c>
      <c r="AH255" s="4">
        <f ca="1">IFERROR(__xludf.DUMMYFUNCTION("""COMPUTED_VALUE"""),5)</f>
        <v>5</v>
      </c>
      <c r="AI255" s="4">
        <f ca="1">IFERROR(__xludf.DUMMYFUNCTION("""COMPUTED_VALUE"""),5)</f>
        <v>5</v>
      </c>
      <c r="AJ255" s="4">
        <f ca="1">IFERROR(__xludf.DUMMYFUNCTION("""COMPUTED_VALUE"""),5)</f>
        <v>5</v>
      </c>
      <c r="AK255" s="4">
        <f ca="1">IFERROR(__xludf.DUMMYFUNCTION("""COMPUTED_VALUE"""),3)</f>
        <v>3</v>
      </c>
      <c r="AL255" s="4">
        <f ca="1">IFERROR(__xludf.DUMMYFUNCTION("""COMPUTED_VALUE"""),5)</f>
        <v>5</v>
      </c>
      <c r="AM255" s="4">
        <f ca="1">IFERROR(__xludf.DUMMYFUNCTION("""COMPUTED_VALUE"""),4)</f>
        <v>4</v>
      </c>
      <c r="AN255" s="4">
        <f ca="1">IFERROR(__xludf.DUMMYFUNCTION("""COMPUTED_VALUE"""),5)</f>
        <v>5</v>
      </c>
      <c r="AO255" s="4">
        <f ca="1">IFERROR(__xludf.DUMMYFUNCTION("""COMPUTED_VALUE"""),5)</f>
        <v>5</v>
      </c>
      <c r="AP255" s="4">
        <f ca="1">IFERROR(__xludf.DUMMYFUNCTION("""COMPUTED_VALUE"""),4)</f>
        <v>4</v>
      </c>
      <c r="AQ255" s="4">
        <f ca="1">IFERROR(__xludf.DUMMYFUNCTION("""COMPUTED_VALUE"""),5)</f>
        <v>5</v>
      </c>
      <c r="AR255" s="4">
        <f ca="1">IFERROR(__xludf.DUMMYFUNCTION("""COMPUTED_VALUE"""),4)</f>
        <v>4</v>
      </c>
      <c r="AS255" s="4">
        <f ca="1">IFERROR(__xludf.DUMMYFUNCTION("""COMPUTED_VALUE"""),4)</f>
        <v>4</v>
      </c>
      <c r="AT255" s="4">
        <f ca="1">IFERROR(__xludf.DUMMYFUNCTION("""COMPUTED_VALUE"""),4)</f>
        <v>4</v>
      </c>
      <c r="AU255" s="4">
        <f ca="1">IFERROR(__xludf.DUMMYFUNCTION("""COMPUTED_VALUE"""),5)</f>
        <v>5</v>
      </c>
      <c r="AV255" s="4">
        <f ca="1">IFERROR(__xludf.DUMMYFUNCTION("""COMPUTED_VALUE"""),4)</f>
        <v>4</v>
      </c>
      <c r="AW255" s="4">
        <f ca="1">IFERROR(__xludf.DUMMYFUNCTION("""COMPUTED_VALUE"""),5)</f>
        <v>5</v>
      </c>
      <c r="AX255" s="4">
        <f ca="1">IFERROR(__xludf.DUMMYFUNCTION("""COMPUTED_VALUE"""),5)</f>
        <v>5</v>
      </c>
      <c r="AY255" s="4">
        <f ca="1">IFERROR(__xludf.DUMMYFUNCTION("""COMPUTED_VALUE"""),5)</f>
        <v>5</v>
      </c>
      <c r="AZ255" s="4">
        <f ca="1">IFERROR(__xludf.DUMMYFUNCTION("""COMPUTED_VALUE"""),5)</f>
        <v>5</v>
      </c>
      <c r="BA255" s="4">
        <f ca="1">IFERROR(__xludf.DUMMYFUNCTION("""COMPUTED_VALUE"""),5)</f>
        <v>5</v>
      </c>
      <c r="BB255" s="4">
        <f ca="1">IFERROR(__xludf.DUMMYFUNCTION("""COMPUTED_VALUE"""),4)</f>
        <v>4</v>
      </c>
      <c r="BC255" s="4">
        <f ca="1">IFERROR(__xludf.DUMMYFUNCTION("""COMPUTED_VALUE"""),5)</f>
        <v>5</v>
      </c>
      <c r="BD255" s="4">
        <f ca="1">IFERROR(__xludf.DUMMYFUNCTION("""COMPUTED_VALUE"""),4)</f>
        <v>4</v>
      </c>
      <c r="BE255" s="4">
        <f ca="1">IFERROR(__xludf.DUMMYFUNCTION("""COMPUTED_VALUE"""),5)</f>
        <v>5</v>
      </c>
      <c r="BF255" s="4">
        <f ca="1">IFERROR(__xludf.DUMMYFUNCTION("""COMPUTED_VALUE"""),5)</f>
        <v>5</v>
      </c>
      <c r="BG255" s="4">
        <f ca="1">IFERROR(__xludf.DUMMYFUNCTION("""COMPUTED_VALUE"""),5)</f>
        <v>5</v>
      </c>
      <c r="BH255" s="4">
        <f ca="1">IFERROR(__xludf.DUMMYFUNCTION("""COMPUTED_VALUE"""),5)</f>
        <v>5</v>
      </c>
      <c r="BI255" s="4">
        <f ca="1">IFERROR(__xludf.DUMMYFUNCTION("""COMPUTED_VALUE"""),4)</f>
        <v>4</v>
      </c>
      <c r="BJ255" s="4">
        <f ca="1">IFERROR(__xludf.DUMMYFUNCTION("""COMPUTED_VALUE"""),5)</f>
        <v>5</v>
      </c>
      <c r="BK255" s="4">
        <f ca="1">IFERROR(__xludf.DUMMYFUNCTION("""COMPUTED_VALUE"""),5)</f>
        <v>5</v>
      </c>
      <c r="BL255" s="4">
        <f ca="1">IFERROR(__xludf.DUMMYFUNCTION("""COMPUTED_VALUE"""),5)</f>
        <v>5</v>
      </c>
      <c r="BM255" s="4">
        <f ca="1">IFERROR(__xludf.DUMMYFUNCTION("""COMPUTED_VALUE"""),4)</f>
        <v>4</v>
      </c>
      <c r="BN255" s="4">
        <f ca="1">IFERROR(__xludf.DUMMYFUNCTION("""COMPUTED_VALUE"""),5)</f>
        <v>5</v>
      </c>
      <c r="BO255" s="4">
        <f ca="1">IFERROR(__xludf.DUMMYFUNCTION("""COMPUTED_VALUE"""),5)</f>
        <v>5</v>
      </c>
      <c r="BP255" s="4">
        <f ca="1">IFERROR(__xludf.DUMMYFUNCTION("""COMPUTED_VALUE"""),4)</f>
        <v>4</v>
      </c>
    </row>
    <row r="256" spans="1:68" ht="13.2" x14ac:dyDescent="0.25">
      <c r="A256" s="4" t="str">
        <f ca="1">IFERROR(__xludf.DUMMYFUNCTION("""COMPUTED_VALUE"""),"2_ABaOnud8sXjMTLlvtM42E34qpPXrleR7qiTHoD0hOhMfiCfiRagJ-1xJWWy_lUNrVw")</f>
        <v>2_ABaOnud8sXjMTLlvtM42E34qpPXrleR7qiTHoD0hOhMfiCfiRagJ-1xJWWy_lUNrVw</v>
      </c>
      <c r="B256" s="5">
        <f ca="1">IFERROR(__xludf.DUMMYFUNCTION("""COMPUTED_VALUE"""),45979.6543619791)</f>
        <v>45979.654361979097</v>
      </c>
      <c r="C256" s="4" t="str">
        <f ca="1">IFERROR(__xludf.DUMMYFUNCTION("""COMPUTED_VALUE"""),"Đinh Thị Ngọc Anh")</f>
        <v>Đinh Thị Ngọc Anh</v>
      </c>
      <c r="D256" s="4" t="str">
        <f ca="1">IFERROR(__xludf.DUMMYFUNCTION("""COMPUTED_VALUE"""),"Nữ")</f>
        <v>Nữ</v>
      </c>
      <c r="E256" s="4" t="str">
        <f ca="1">IFERROR(__xludf.DUMMYFUNCTION("""COMPUTED_VALUE"""),"Công ty TNHH Kiểm toán và Định giá Quốc tế")</f>
        <v>Công ty TNHH Kiểm toán và Định giá Quốc tế</v>
      </c>
      <c r="F256" s="4" t="str">
        <f ca="1">IFERROR(__xludf.DUMMYFUNCTION("""COMPUTED_VALUE"""),"Đại học, Chứng chỉ Kiểm toán viên")</f>
        <v>Đại học, Chứng chỉ Kiểm toán viên</v>
      </c>
      <c r="G256" s="4" t="str">
        <f ca="1">IFERROR(__xludf.DUMMYFUNCTION("""COMPUTED_VALUE"""),"Từ 3 đến 5 năm")</f>
        <v>Từ 3 đến 5 năm</v>
      </c>
      <c r="H256" s="4" t="str">
        <f ca="1">IFERROR(__xludf.DUMMYFUNCTION("""COMPUTED_VALUE"""),"Kiểm toán viên/Trưởng nhóm")</f>
        <v>Kiểm toán viên/Trưởng nhóm</v>
      </c>
      <c r="I256" s="4">
        <f ca="1">IFERROR(__xludf.DUMMYFUNCTION("""COMPUTED_VALUE"""),3)</f>
        <v>3</v>
      </c>
      <c r="J256" s="4">
        <f ca="1">IFERROR(__xludf.DUMMYFUNCTION("""COMPUTED_VALUE"""),3)</f>
        <v>3</v>
      </c>
      <c r="K256" s="4">
        <f ca="1">IFERROR(__xludf.DUMMYFUNCTION("""COMPUTED_VALUE"""),4)</f>
        <v>4</v>
      </c>
      <c r="L256" s="4">
        <f ca="1">IFERROR(__xludf.DUMMYFUNCTION("""COMPUTED_VALUE"""),3)</f>
        <v>3</v>
      </c>
      <c r="M256" s="4">
        <f ca="1">IFERROR(__xludf.DUMMYFUNCTION("""COMPUTED_VALUE"""),4)</f>
        <v>4</v>
      </c>
      <c r="N256" s="4">
        <f ca="1">IFERROR(__xludf.DUMMYFUNCTION("""COMPUTED_VALUE"""),3)</f>
        <v>3</v>
      </c>
      <c r="O256" s="4">
        <f ca="1">IFERROR(__xludf.DUMMYFUNCTION("""COMPUTED_VALUE"""),3)</f>
        <v>3</v>
      </c>
      <c r="P256" s="4">
        <f ca="1">IFERROR(__xludf.DUMMYFUNCTION("""COMPUTED_VALUE"""),4)</f>
        <v>4</v>
      </c>
      <c r="Q256" s="4">
        <f ca="1">IFERROR(__xludf.DUMMYFUNCTION("""COMPUTED_VALUE"""),4)</f>
        <v>4</v>
      </c>
      <c r="R256" s="4">
        <f ca="1">IFERROR(__xludf.DUMMYFUNCTION("""COMPUTED_VALUE"""),4)</f>
        <v>4</v>
      </c>
      <c r="S256" s="4">
        <f ca="1">IFERROR(__xludf.DUMMYFUNCTION("""COMPUTED_VALUE"""),4)</f>
        <v>4</v>
      </c>
      <c r="T256" s="4">
        <f ca="1">IFERROR(__xludf.DUMMYFUNCTION("""COMPUTED_VALUE"""),4)</f>
        <v>4</v>
      </c>
      <c r="U256" s="4">
        <f ca="1">IFERROR(__xludf.DUMMYFUNCTION("""COMPUTED_VALUE"""),4)</f>
        <v>4</v>
      </c>
      <c r="V256" s="4">
        <f ca="1">IFERROR(__xludf.DUMMYFUNCTION("""COMPUTED_VALUE"""),4)</f>
        <v>4</v>
      </c>
      <c r="W256" s="4">
        <f ca="1">IFERROR(__xludf.DUMMYFUNCTION("""COMPUTED_VALUE"""),4)</f>
        <v>4</v>
      </c>
      <c r="X256" s="4">
        <f ca="1">IFERROR(__xludf.DUMMYFUNCTION("""COMPUTED_VALUE"""),4)</f>
        <v>4</v>
      </c>
      <c r="Y256" s="4">
        <f ca="1">IFERROR(__xludf.DUMMYFUNCTION("""COMPUTED_VALUE"""),3)</f>
        <v>3</v>
      </c>
      <c r="Z256" s="4">
        <f ca="1">IFERROR(__xludf.DUMMYFUNCTION("""COMPUTED_VALUE"""),4)</f>
        <v>4</v>
      </c>
      <c r="AA256" s="4">
        <f ca="1">IFERROR(__xludf.DUMMYFUNCTION("""COMPUTED_VALUE"""),4)</f>
        <v>4</v>
      </c>
      <c r="AB256" s="4">
        <f ca="1">IFERROR(__xludf.DUMMYFUNCTION("""COMPUTED_VALUE"""),4)</f>
        <v>4</v>
      </c>
      <c r="AC256" s="4">
        <f ca="1">IFERROR(__xludf.DUMMYFUNCTION("""COMPUTED_VALUE"""),4)</f>
        <v>4</v>
      </c>
      <c r="AD256" s="4">
        <f ca="1">IFERROR(__xludf.DUMMYFUNCTION("""COMPUTED_VALUE"""),4)</f>
        <v>4</v>
      </c>
      <c r="AE256" s="4">
        <f ca="1">IFERROR(__xludf.DUMMYFUNCTION("""COMPUTED_VALUE"""),4)</f>
        <v>4</v>
      </c>
      <c r="AF256" s="4">
        <f ca="1">IFERROR(__xludf.DUMMYFUNCTION("""COMPUTED_VALUE"""),3)</f>
        <v>3</v>
      </c>
      <c r="AG256" s="4">
        <f ca="1">IFERROR(__xludf.DUMMYFUNCTION("""COMPUTED_VALUE"""),3)</f>
        <v>3</v>
      </c>
      <c r="AH256" s="4">
        <f ca="1">IFERROR(__xludf.DUMMYFUNCTION("""COMPUTED_VALUE"""),3)</f>
        <v>3</v>
      </c>
      <c r="AI256" s="4">
        <f ca="1">IFERROR(__xludf.DUMMYFUNCTION("""COMPUTED_VALUE"""),3)</f>
        <v>3</v>
      </c>
      <c r="AJ256" s="4">
        <f ca="1">IFERROR(__xludf.DUMMYFUNCTION("""COMPUTED_VALUE"""),4)</f>
        <v>4</v>
      </c>
      <c r="AK256" s="4">
        <f ca="1">IFERROR(__xludf.DUMMYFUNCTION("""COMPUTED_VALUE"""),4)</f>
        <v>4</v>
      </c>
      <c r="AL256" s="4">
        <f ca="1">IFERROR(__xludf.DUMMYFUNCTION("""COMPUTED_VALUE"""),4)</f>
        <v>4</v>
      </c>
      <c r="AM256" s="4">
        <f ca="1">IFERROR(__xludf.DUMMYFUNCTION("""COMPUTED_VALUE"""),4)</f>
        <v>4</v>
      </c>
      <c r="AN256" s="4">
        <f ca="1">IFERROR(__xludf.DUMMYFUNCTION("""COMPUTED_VALUE"""),4)</f>
        <v>4</v>
      </c>
      <c r="AO256" s="4">
        <f ca="1">IFERROR(__xludf.DUMMYFUNCTION("""COMPUTED_VALUE"""),3)</f>
        <v>3</v>
      </c>
      <c r="AP256" s="4">
        <f ca="1">IFERROR(__xludf.DUMMYFUNCTION("""COMPUTED_VALUE"""),3)</f>
        <v>3</v>
      </c>
      <c r="AQ256" s="4">
        <f ca="1">IFERROR(__xludf.DUMMYFUNCTION("""COMPUTED_VALUE"""),3)</f>
        <v>3</v>
      </c>
      <c r="AR256" s="4">
        <f ca="1">IFERROR(__xludf.DUMMYFUNCTION("""COMPUTED_VALUE"""),3)</f>
        <v>3</v>
      </c>
      <c r="AS256" s="4">
        <f ca="1">IFERROR(__xludf.DUMMYFUNCTION("""COMPUTED_VALUE"""),3)</f>
        <v>3</v>
      </c>
      <c r="AT256" s="4">
        <f ca="1">IFERROR(__xludf.DUMMYFUNCTION("""COMPUTED_VALUE"""),3)</f>
        <v>3</v>
      </c>
      <c r="AU256" s="4">
        <f ca="1">IFERROR(__xludf.DUMMYFUNCTION("""COMPUTED_VALUE"""),3)</f>
        <v>3</v>
      </c>
      <c r="AV256" s="4">
        <f ca="1">IFERROR(__xludf.DUMMYFUNCTION("""COMPUTED_VALUE"""),3)</f>
        <v>3</v>
      </c>
      <c r="AW256" s="4">
        <f ca="1">IFERROR(__xludf.DUMMYFUNCTION("""COMPUTED_VALUE"""),3)</f>
        <v>3</v>
      </c>
      <c r="AX256" s="4">
        <f ca="1">IFERROR(__xludf.DUMMYFUNCTION("""COMPUTED_VALUE"""),4)</f>
        <v>4</v>
      </c>
      <c r="AY256" s="4">
        <f ca="1">IFERROR(__xludf.DUMMYFUNCTION("""COMPUTED_VALUE"""),4)</f>
        <v>4</v>
      </c>
      <c r="AZ256" s="4">
        <f ca="1">IFERROR(__xludf.DUMMYFUNCTION("""COMPUTED_VALUE"""),4)</f>
        <v>4</v>
      </c>
      <c r="BA256" s="4">
        <f ca="1">IFERROR(__xludf.DUMMYFUNCTION("""COMPUTED_VALUE"""),4)</f>
        <v>4</v>
      </c>
      <c r="BB256" s="4">
        <f ca="1">IFERROR(__xludf.DUMMYFUNCTION("""COMPUTED_VALUE"""),3)</f>
        <v>3</v>
      </c>
      <c r="BC256" s="4">
        <f ca="1">IFERROR(__xludf.DUMMYFUNCTION("""COMPUTED_VALUE"""),3)</f>
        <v>3</v>
      </c>
      <c r="BD256" s="4">
        <f ca="1">IFERROR(__xludf.DUMMYFUNCTION("""COMPUTED_VALUE"""),3)</f>
        <v>3</v>
      </c>
      <c r="BE256" s="4">
        <f ca="1">IFERROR(__xludf.DUMMYFUNCTION("""COMPUTED_VALUE"""),3)</f>
        <v>3</v>
      </c>
      <c r="BF256" s="4">
        <f ca="1">IFERROR(__xludf.DUMMYFUNCTION("""COMPUTED_VALUE"""),3)</f>
        <v>3</v>
      </c>
      <c r="BG256" s="4">
        <f ca="1">IFERROR(__xludf.DUMMYFUNCTION("""COMPUTED_VALUE"""),3)</f>
        <v>3</v>
      </c>
      <c r="BH256" s="4">
        <f ca="1">IFERROR(__xludf.DUMMYFUNCTION("""COMPUTED_VALUE"""),4)</f>
        <v>4</v>
      </c>
      <c r="BI256" s="4">
        <f ca="1">IFERROR(__xludf.DUMMYFUNCTION("""COMPUTED_VALUE"""),4)</f>
        <v>4</v>
      </c>
      <c r="BJ256" s="4">
        <f ca="1">IFERROR(__xludf.DUMMYFUNCTION("""COMPUTED_VALUE"""),4)</f>
        <v>4</v>
      </c>
      <c r="BK256" s="4">
        <f ca="1">IFERROR(__xludf.DUMMYFUNCTION("""COMPUTED_VALUE"""),3)</f>
        <v>3</v>
      </c>
      <c r="BL256" s="4">
        <f ca="1">IFERROR(__xludf.DUMMYFUNCTION("""COMPUTED_VALUE"""),3)</f>
        <v>3</v>
      </c>
      <c r="BM256" s="4">
        <f ca="1">IFERROR(__xludf.DUMMYFUNCTION("""COMPUTED_VALUE"""),3)</f>
        <v>3</v>
      </c>
      <c r="BN256" s="4">
        <f ca="1">IFERROR(__xludf.DUMMYFUNCTION("""COMPUTED_VALUE"""),4)</f>
        <v>4</v>
      </c>
      <c r="BO256" s="4">
        <f ca="1">IFERROR(__xludf.DUMMYFUNCTION("""COMPUTED_VALUE"""),4)</f>
        <v>4</v>
      </c>
      <c r="BP256" s="4">
        <f ca="1">IFERROR(__xludf.DUMMYFUNCTION("""COMPUTED_VALUE"""),4)</f>
        <v>4</v>
      </c>
    </row>
    <row r="257" spans="1:68" ht="13.2" x14ac:dyDescent="0.25">
      <c r="A257" s="4" t="str">
        <f ca="1">IFERROR(__xludf.DUMMYFUNCTION("""COMPUTED_VALUE"""),"2_ABaOnudbyOXN5MXY5BfuGdeRnlKv8ruZ8arWbk3yWjakKuKPn8fV89G7y_WmncxywQ")</f>
        <v>2_ABaOnudbyOXN5MXY5BfuGdeRnlKv8ruZ8arWbk3yWjakKuKPn8fV89G7y_WmncxywQ</v>
      </c>
      <c r="B257" s="5">
        <f ca="1">IFERROR(__xludf.DUMMYFUNCTION("""COMPUTED_VALUE"""),45979.6545111689)</f>
        <v>45979.654511168897</v>
      </c>
      <c r="C257" s="4" t="str">
        <f ca="1">IFERROR(__xludf.DUMMYFUNCTION("""COMPUTED_VALUE"""),"Lê Anh Tiên")</f>
        <v>Lê Anh Tiên</v>
      </c>
      <c r="D257" s="4" t="str">
        <f ca="1">IFERROR(__xludf.DUMMYFUNCTION("""COMPUTED_VALUE"""),"Nam")</f>
        <v>Nam</v>
      </c>
      <c r="E257" s="4" t="str">
        <f ca="1">IFERROR(__xludf.DUMMYFUNCTION("""COMPUTED_VALUE"""),"Công ty TNHH Kiểm toán và Định giá Quốc tế")</f>
        <v>Công ty TNHH Kiểm toán và Định giá Quốc tế</v>
      </c>
      <c r="F257" s="4" t="str">
        <f ca="1">IFERROR(__xludf.DUMMYFUNCTION("""COMPUTED_VALUE"""),"Chứng chỉ Kiểm toán viên")</f>
        <v>Chứng chỉ Kiểm toán viên</v>
      </c>
      <c r="G257" s="4" t="str">
        <f ca="1">IFERROR(__xludf.DUMMYFUNCTION("""COMPUTED_VALUE"""),"Trên 10 đến 15 năm")</f>
        <v>Trên 10 đến 15 năm</v>
      </c>
      <c r="H257" s="4" t="str">
        <f ca="1">IFERROR(__xludf.DUMMYFUNCTION("""COMPUTED_VALUE"""),"Kiểm toán viên/Trưởng nhóm")</f>
        <v>Kiểm toán viên/Trưởng nhóm</v>
      </c>
      <c r="I257" s="4">
        <f ca="1">IFERROR(__xludf.DUMMYFUNCTION("""COMPUTED_VALUE"""),1)</f>
        <v>1</v>
      </c>
      <c r="J257" s="4">
        <f ca="1">IFERROR(__xludf.DUMMYFUNCTION("""COMPUTED_VALUE"""),1)</f>
        <v>1</v>
      </c>
      <c r="K257" s="4">
        <f ca="1">IFERROR(__xludf.DUMMYFUNCTION("""COMPUTED_VALUE"""),1)</f>
        <v>1</v>
      </c>
      <c r="L257" s="4">
        <f ca="1">IFERROR(__xludf.DUMMYFUNCTION("""COMPUTED_VALUE"""),1)</f>
        <v>1</v>
      </c>
      <c r="M257" s="4">
        <f ca="1">IFERROR(__xludf.DUMMYFUNCTION("""COMPUTED_VALUE"""),4)</f>
        <v>4</v>
      </c>
      <c r="N257" s="4">
        <f ca="1">IFERROR(__xludf.DUMMYFUNCTION("""COMPUTED_VALUE"""),3)</f>
        <v>3</v>
      </c>
      <c r="O257" s="4">
        <f ca="1">IFERROR(__xludf.DUMMYFUNCTION("""COMPUTED_VALUE"""),3)</f>
        <v>3</v>
      </c>
      <c r="P257" s="4">
        <f ca="1">IFERROR(__xludf.DUMMYFUNCTION("""COMPUTED_VALUE"""),3)</f>
        <v>3</v>
      </c>
      <c r="Q257" s="4">
        <f ca="1">IFERROR(__xludf.DUMMYFUNCTION("""COMPUTED_VALUE"""),1)</f>
        <v>1</v>
      </c>
      <c r="R257" s="4">
        <f ca="1">IFERROR(__xludf.DUMMYFUNCTION("""COMPUTED_VALUE"""),1)</f>
        <v>1</v>
      </c>
      <c r="S257" s="4">
        <f ca="1">IFERROR(__xludf.DUMMYFUNCTION("""COMPUTED_VALUE"""),1)</f>
        <v>1</v>
      </c>
      <c r="T257" s="4">
        <f ca="1">IFERROR(__xludf.DUMMYFUNCTION("""COMPUTED_VALUE"""),1)</f>
        <v>1</v>
      </c>
      <c r="U257" s="4">
        <f ca="1">IFERROR(__xludf.DUMMYFUNCTION("""COMPUTED_VALUE"""),1)</f>
        <v>1</v>
      </c>
      <c r="V257" s="4">
        <f ca="1">IFERROR(__xludf.DUMMYFUNCTION("""COMPUTED_VALUE"""),1)</f>
        <v>1</v>
      </c>
      <c r="W257" s="4">
        <f ca="1">IFERROR(__xludf.DUMMYFUNCTION("""COMPUTED_VALUE"""),4)</f>
        <v>4</v>
      </c>
      <c r="X257" s="4">
        <f ca="1">IFERROR(__xludf.DUMMYFUNCTION("""COMPUTED_VALUE"""),4)</f>
        <v>4</v>
      </c>
      <c r="Y257" s="4">
        <f ca="1">IFERROR(__xludf.DUMMYFUNCTION("""COMPUTED_VALUE"""),2)</f>
        <v>2</v>
      </c>
      <c r="Z257" s="4">
        <f ca="1">IFERROR(__xludf.DUMMYFUNCTION("""COMPUTED_VALUE"""),3)</f>
        <v>3</v>
      </c>
      <c r="AA257" s="4">
        <f ca="1">IFERROR(__xludf.DUMMYFUNCTION("""COMPUTED_VALUE"""),3)</f>
        <v>3</v>
      </c>
      <c r="AB257" s="4">
        <f ca="1">IFERROR(__xludf.DUMMYFUNCTION("""COMPUTED_VALUE"""),1)</f>
        <v>1</v>
      </c>
      <c r="AC257" s="4">
        <f ca="1">IFERROR(__xludf.DUMMYFUNCTION("""COMPUTED_VALUE"""),1)</f>
        <v>1</v>
      </c>
      <c r="AD257" s="4">
        <f ca="1">IFERROR(__xludf.DUMMYFUNCTION("""COMPUTED_VALUE"""),4)</f>
        <v>4</v>
      </c>
      <c r="AE257" s="4">
        <f ca="1">IFERROR(__xludf.DUMMYFUNCTION("""COMPUTED_VALUE"""),1)</f>
        <v>1</v>
      </c>
      <c r="AF257" s="4">
        <f ca="1">IFERROR(__xludf.DUMMYFUNCTION("""COMPUTED_VALUE"""),1)</f>
        <v>1</v>
      </c>
      <c r="AG257" s="4">
        <f ca="1">IFERROR(__xludf.DUMMYFUNCTION("""COMPUTED_VALUE"""),1)</f>
        <v>1</v>
      </c>
      <c r="AH257" s="4">
        <f ca="1">IFERROR(__xludf.DUMMYFUNCTION("""COMPUTED_VALUE"""),1)</f>
        <v>1</v>
      </c>
      <c r="AI257" s="4">
        <f ca="1">IFERROR(__xludf.DUMMYFUNCTION("""COMPUTED_VALUE"""),1)</f>
        <v>1</v>
      </c>
      <c r="AJ257" s="4">
        <f ca="1">IFERROR(__xludf.DUMMYFUNCTION("""COMPUTED_VALUE"""),1)</f>
        <v>1</v>
      </c>
      <c r="AK257" s="4">
        <f ca="1">IFERROR(__xludf.DUMMYFUNCTION("""COMPUTED_VALUE"""),1)</f>
        <v>1</v>
      </c>
      <c r="AL257" s="4">
        <f ca="1">IFERROR(__xludf.DUMMYFUNCTION("""COMPUTED_VALUE"""),1)</f>
        <v>1</v>
      </c>
      <c r="AM257" s="4">
        <f ca="1">IFERROR(__xludf.DUMMYFUNCTION("""COMPUTED_VALUE"""),1)</f>
        <v>1</v>
      </c>
      <c r="AN257" s="4">
        <f ca="1">IFERROR(__xludf.DUMMYFUNCTION("""COMPUTED_VALUE"""),4)</f>
        <v>4</v>
      </c>
      <c r="AO257" s="4">
        <f ca="1">IFERROR(__xludf.DUMMYFUNCTION("""COMPUTED_VALUE"""),3)</f>
        <v>3</v>
      </c>
      <c r="AP257" s="4">
        <f ca="1">IFERROR(__xludf.DUMMYFUNCTION("""COMPUTED_VALUE"""),3)</f>
        <v>3</v>
      </c>
      <c r="AQ257" s="4">
        <f ca="1">IFERROR(__xludf.DUMMYFUNCTION("""COMPUTED_VALUE"""),3)</f>
        <v>3</v>
      </c>
      <c r="AR257" s="4">
        <f ca="1">IFERROR(__xludf.DUMMYFUNCTION("""COMPUTED_VALUE"""),1)</f>
        <v>1</v>
      </c>
      <c r="AS257" s="4">
        <f ca="1">IFERROR(__xludf.DUMMYFUNCTION("""COMPUTED_VALUE"""),1)</f>
        <v>1</v>
      </c>
      <c r="AT257" s="4">
        <f ca="1">IFERROR(__xludf.DUMMYFUNCTION("""COMPUTED_VALUE"""),2)</f>
        <v>2</v>
      </c>
      <c r="AU257" s="4">
        <f ca="1">IFERROR(__xludf.DUMMYFUNCTION("""COMPUTED_VALUE"""),3)</f>
        <v>3</v>
      </c>
      <c r="AV257" s="4">
        <f ca="1">IFERROR(__xludf.DUMMYFUNCTION("""COMPUTED_VALUE"""),3)</f>
        <v>3</v>
      </c>
      <c r="AW257" s="4">
        <f ca="1">IFERROR(__xludf.DUMMYFUNCTION("""COMPUTED_VALUE"""),1)</f>
        <v>1</v>
      </c>
      <c r="AX257" s="4">
        <f ca="1">IFERROR(__xludf.DUMMYFUNCTION("""COMPUTED_VALUE"""),1)</f>
        <v>1</v>
      </c>
      <c r="AY257" s="4">
        <f ca="1">IFERROR(__xludf.DUMMYFUNCTION("""COMPUTED_VALUE"""),1)</f>
        <v>1</v>
      </c>
      <c r="AZ257" s="4">
        <f ca="1">IFERROR(__xludf.DUMMYFUNCTION("""COMPUTED_VALUE"""),1)</f>
        <v>1</v>
      </c>
      <c r="BA257" s="4">
        <f ca="1">IFERROR(__xludf.DUMMYFUNCTION("""COMPUTED_VALUE"""),1)</f>
        <v>1</v>
      </c>
      <c r="BB257" s="4">
        <f ca="1">IFERROR(__xludf.DUMMYFUNCTION("""COMPUTED_VALUE"""),1)</f>
        <v>1</v>
      </c>
      <c r="BC257" s="4">
        <f ca="1">IFERROR(__xludf.DUMMYFUNCTION("""COMPUTED_VALUE"""),1)</f>
        <v>1</v>
      </c>
      <c r="BD257" s="4">
        <f ca="1">IFERROR(__xludf.DUMMYFUNCTION("""COMPUTED_VALUE"""),1)</f>
        <v>1</v>
      </c>
      <c r="BE257" s="4">
        <f ca="1">IFERROR(__xludf.DUMMYFUNCTION("""COMPUTED_VALUE"""),1)</f>
        <v>1</v>
      </c>
      <c r="BF257" s="4">
        <f ca="1">IFERROR(__xludf.DUMMYFUNCTION("""COMPUTED_VALUE"""),1)</f>
        <v>1</v>
      </c>
      <c r="BG257" s="4">
        <f ca="1">IFERROR(__xludf.DUMMYFUNCTION("""COMPUTED_VALUE"""),1)</f>
        <v>1</v>
      </c>
      <c r="BH257" s="4">
        <f ca="1">IFERROR(__xludf.DUMMYFUNCTION("""COMPUTED_VALUE"""),1)</f>
        <v>1</v>
      </c>
      <c r="BI257" s="4">
        <f ca="1">IFERROR(__xludf.DUMMYFUNCTION("""COMPUTED_VALUE"""),1)</f>
        <v>1</v>
      </c>
      <c r="BJ257" s="4">
        <f ca="1">IFERROR(__xludf.DUMMYFUNCTION("""COMPUTED_VALUE"""),1)</f>
        <v>1</v>
      </c>
      <c r="BK257" s="4">
        <f ca="1">IFERROR(__xludf.DUMMYFUNCTION("""COMPUTED_VALUE"""),1)</f>
        <v>1</v>
      </c>
      <c r="BL257" s="4">
        <f ca="1">IFERROR(__xludf.DUMMYFUNCTION("""COMPUTED_VALUE"""),1)</f>
        <v>1</v>
      </c>
      <c r="BM257" s="4">
        <f ca="1">IFERROR(__xludf.DUMMYFUNCTION("""COMPUTED_VALUE"""),1)</f>
        <v>1</v>
      </c>
      <c r="BN257" s="4">
        <f ca="1">IFERROR(__xludf.DUMMYFUNCTION("""COMPUTED_VALUE"""),1)</f>
        <v>1</v>
      </c>
      <c r="BO257" s="4">
        <f ca="1">IFERROR(__xludf.DUMMYFUNCTION("""COMPUTED_VALUE"""),1)</f>
        <v>1</v>
      </c>
      <c r="BP257" s="4">
        <f ca="1">IFERROR(__xludf.DUMMYFUNCTION("""COMPUTED_VALUE"""),1)</f>
        <v>1</v>
      </c>
    </row>
    <row r="258" spans="1:68" ht="13.2" x14ac:dyDescent="0.25">
      <c r="A258" s="4" t="str">
        <f ca="1">IFERROR(__xludf.DUMMYFUNCTION("""COMPUTED_VALUE"""),"2_ABaOnud6RTAPF3iMUB4uY0LQsXFZcnXb-Oq-C6BEY4Cl9wS5nM2t87Qgjk5ZLja3iA")</f>
        <v>2_ABaOnud6RTAPF3iMUB4uY0LQsXFZcnXb-Oq-C6BEY4Cl9wS5nM2t87Qgjk5ZLja3iA</v>
      </c>
      <c r="B258" s="5">
        <f ca="1">IFERROR(__xludf.DUMMYFUNCTION("""COMPUTED_VALUE"""),45979.793641655)</f>
        <v>45979.793641655</v>
      </c>
      <c r="C258" s="4" t="str">
        <f ca="1">IFERROR(__xludf.DUMMYFUNCTION("""COMPUTED_VALUE"""),"Trần Duy Dân")</f>
        <v>Trần Duy Dân</v>
      </c>
      <c r="D258" s="4" t="str">
        <f ca="1">IFERROR(__xludf.DUMMYFUNCTION("""COMPUTED_VALUE"""),"Nam")</f>
        <v>Nam</v>
      </c>
      <c r="E258" s="4" t="str">
        <f ca="1">IFERROR(__xludf.DUMMYFUNCTION("""COMPUTED_VALUE"""),"Công ty TNHH Grant Thornton (Việt Nam)")</f>
        <v>Công ty TNHH Grant Thornton (Việt Nam)</v>
      </c>
      <c r="F258" s="4" t="str">
        <f ca="1">IFERROR(__xludf.DUMMYFUNCTION("""COMPUTED_VALUE"""),"Đại học")</f>
        <v>Đại học</v>
      </c>
      <c r="G258" s="4" t="str">
        <f ca="1">IFERROR(__xludf.DUMMYFUNCTION("""COMPUTED_VALUE"""),"Trên 5 đến 10 năm")</f>
        <v>Trên 5 đến 10 năm</v>
      </c>
      <c r="H258" s="4" t="str">
        <f ca="1">IFERROR(__xludf.DUMMYFUNCTION("""COMPUTED_VALUE"""),"Kiểm toán viên/Trưởng nhóm")</f>
        <v>Kiểm toán viên/Trưởng nhóm</v>
      </c>
      <c r="I258" s="4">
        <f ca="1">IFERROR(__xludf.DUMMYFUNCTION("""COMPUTED_VALUE"""),5)</f>
        <v>5</v>
      </c>
      <c r="J258" s="4">
        <f ca="1">IFERROR(__xludf.DUMMYFUNCTION("""COMPUTED_VALUE"""),4)</f>
        <v>4</v>
      </c>
      <c r="K258" s="4">
        <f ca="1">IFERROR(__xludf.DUMMYFUNCTION("""COMPUTED_VALUE"""),4)</f>
        <v>4</v>
      </c>
      <c r="L258" s="4">
        <f ca="1">IFERROR(__xludf.DUMMYFUNCTION("""COMPUTED_VALUE"""),5)</f>
        <v>5</v>
      </c>
      <c r="M258" s="4">
        <f ca="1">IFERROR(__xludf.DUMMYFUNCTION("""COMPUTED_VALUE"""),5)</f>
        <v>5</v>
      </c>
      <c r="N258" s="4">
        <f ca="1">IFERROR(__xludf.DUMMYFUNCTION("""COMPUTED_VALUE"""),4)</f>
        <v>4</v>
      </c>
      <c r="O258" s="4">
        <f ca="1">IFERROR(__xludf.DUMMYFUNCTION("""COMPUTED_VALUE"""),4)</f>
        <v>4</v>
      </c>
      <c r="P258" s="4">
        <f ca="1">IFERROR(__xludf.DUMMYFUNCTION("""COMPUTED_VALUE"""),4)</f>
        <v>4</v>
      </c>
      <c r="Q258" s="4">
        <f ca="1">IFERROR(__xludf.DUMMYFUNCTION("""COMPUTED_VALUE"""),5)</f>
        <v>5</v>
      </c>
      <c r="R258" s="4">
        <f ca="1">IFERROR(__xludf.DUMMYFUNCTION("""COMPUTED_VALUE"""),5)</f>
        <v>5</v>
      </c>
      <c r="S258" s="4">
        <f ca="1">IFERROR(__xludf.DUMMYFUNCTION("""COMPUTED_VALUE"""),5)</f>
        <v>5</v>
      </c>
      <c r="T258" s="4">
        <f ca="1">IFERROR(__xludf.DUMMYFUNCTION("""COMPUTED_VALUE"""),5)</f>
        <v>5</v>
      </c>
      <c r="U258" s="4">
        <f ca="1">IFERROR(__xludf.DUMMYFUNCTION("""COMPUTED_VALUE"""),5)</f>
        <v>5</v>
      </c>
      <c r="V258" s="4">
        <f ca="1">IFERROR(__xludf.DUMMYFUNCTION("""COMPUTED_VALUE"""),5)</f>
        <v>5</v>
      </c>
      <c r="W258" s="4">
        <f ca="1">IFERROR(__xludf.DUMMYFUNCTION("""COMPUTED_VALUE"""),4)</f>
        <v>4</v>
      </c>
      <c r="X258" s="4">
        <f ca="1">IFERROR(__xludf.DUMMYFUNCTION("""COMPUTED_VALUE"""),4)</f>
        <v>4</v>
      </c>
      <c r="Y258" s="4">
        <f ca="1">IFERROR(__xludf.DUMMYFUNCTION("""COMPUTED_VALUE"""),3)</f>
        <v>3</v>
      </c>
      <c r="Z258" s="4">
        <f ca="1">IFERROR(__xludf.DUMMYFUNCTION("""COMPUTED_VALUE"""),4)</f>
        <v>4</v>
      </c>
      <c r="AA258" s="4">
        <f ca="1">IFERROR(__xludf.DUMMYFUNCTION("""COMPUTED_VALUE"""),5)</f>
        <v>5</v>
      </c>
      <c r="AB258" s="4">
        <f ca="1">IFERROR(__xludf.DUMMYFUNCTION("""COMPUTED_VALUE"""),3)</f>
        <v>3</v>
      </c>
      <c r="AC258" s="4">
        <f ca="1">IFERROR(__xludf.DUMMYFUNCTION("""COMPUTED_VALUE"""),4)</f>
        <v>4</v>
      </c>
      <c r="AD258" s="4">
        <f ca="1">IFERROR(__xludf.DUMMYFUNCTION("""COMPUTED_VALUE"""),4)</f>
        <v>4</v>
      </c>
      <c r="AE258" s="4">
        <f ca="1">IFERROR(__xludf.DUMMYFUNCTION("""COMPUTED_VALUE"""),5)</f>
        <v>5</v>
      </c>
      <c r="AF258" s="4">
        <f ca="1">IFERROR(__xludf.DUMMYFUNCTION("""COMPUTED_VALUE"""),4)</f>
        <v>4</v>
      </c>
      <c r="AG258" s="4">
        <f ca="1">IFERROR(__xludf.DUMMYFUNCTION("""COMPUTED_VALUE"""),4)</f>
        <v>4</v>
      </c>
      <c r="AH258" s="4">
        <f ca="1">IFERROR(__xludf.DUMMYFUNCTION("""COMPUTED_VALUE"""),5)</f>
        <v>5</v>
      </c>
      <c r="AI258" s="4">
        <f ca="1">IFERROR(__xludf.DUMMYFUNCTION("""COMPUTED_VALUE"""),4)</f>
        <v>4</v>
      </c>
      <c r="AJ258" s="4">
        <f ca="1">IFERROR(__xludf.DUMMYFUNCTION("""COMPUTED_VALUE"""),5)</f>
        <v>5</v>
      </c>
      <c r="AK258" s="4">
        <f ca="1">IFERROR(__xludf.DUMMYFUNCTION("""COMPUTED_VALUE"""),5)</f>
        <v>5</v>
      </c>
      <c r="AL258" s="4">
        <f ca="1">IFERROR(__xludf.DUMMYFUNCTION("""COMPUTED_VALUE"""),4)</f>
        <v>4</v>
      </c>
      <c r="AM258" s="4">
        <f ca="1">IFERROR(__xludf.DUMMYFUNCTION("""COMPUTED_VALUE"""),4)</f>
        <v>4</v>
      </c>
      <c r="AN258" s="4">
        <f ca="1">IFERROR(__xludf.DUMMYFUNCTION("""COMPUTED_VALUE"""),5)</f>
        <v>5</v>
      </c>
      <c r="AO258" s="4">
        <f ca="1">IFERROR(__xludf.DUMMYFUNCTION("""COMPUTED_VALUE"""),4)</f>
        <v>4</v>
      </c>
      <c r="AP258" s="4">
        <f ca="1">IFERROR(__xludf.DUMMYFUNCTION("""COMPUTED_VALUE"""),4)</f>
        <v>4</v>
      </c>
      <c r="AQ258" s="4">
        <f ca="1">IFERROR(__xludf.DUMMYFUNCTION("""COMPUTED_VALUE"""),4)</f>
        <v>4</v>
      </c>
      <c r="AR258" s="4">
        <f ca="1">IFERROR(__xludf.DUMMYFUNCTION("""COMPUTED_VALUE"""),4)</f>
        <v>4</v>
      </c>
      <c r="AS258" s="4">
        <f ca="1">IFERROR(__xludf.DUMMYFUNCTION("""COMPUTED_VALUE"""),4)</f>
        <v>4</v>
      </c>
      <c r="AT258" s="4">
        <f ca="1">IFERROR(__xludf.DUMMYFUNCTION("""COMPUTED_VALUE"""),3)</f>
        <v>3</v>
      </c>
      <c r="AU258" s="4">
        <f ca="1">IFERROR(__xludf.DUMMYFUNCTION("""COMPUTED_VALUE"""),4)</f>
        <v>4</v>
      </c>
      <c r="AV258" s="4">
        <f ca="1">IFERROR(__xludf.DUMMYFUNCTION("""COMPUTED_VALUE"""),3)</f>
        <v>3</v>
      </c>
      <c r="AW258" s="4">
        <f ca="1">IFERROR(__xludf.DUMMYFUNCTION("""COMPUTED_VALUE"""),4)</f>
        <v>4</v>
      </c>
      <c r="AX258" s="4">
        <f ca="1">IFERROR(__xludf.DUMMYFUNCTION("""COMPUTED_VALUE"""),5)</f>
        <v>5</v>
      </c>
      <c r="AY258" s="4">
        <f ca="1">IFERROR(__xludf.DUMMYFUNCTION("""COMPUTED_VALUE"""),5)</f>
        <v>5</v>
      </c>
      <c r="AZ258" s="4">
        <f ca="1">IFERROR(__xludf.DUMMYFUNCTION("""COMPUTED_VALUE"""),5)</f>
        <v>5</v>
      </c>
      <c r="BA258" s="4">
        <f ca="1">IFERROR(__xludf.DUMMYFUNCTION("""COMPUTED_VALUE"""),5)</f>
        <v>5</v>
      </c>
      <c r="BB258" s="4">
        <f ca="1">IFERROR(__xludf.DUMMYFUNCTION("""COMPUTED_VALUE"""),5)</f>
        <v>5</v>
      </c>
      <c r="BC258" s="4">
        <f ca="1">IFERROR(__xludf.DUMMYFUNCTION("""COMPUTED_VALUE"""),5)</f>
        <v>5</v>
      </c>
      <c r="BD258" s="4">
        <f ca="1">IFERROR(__xludf.DUMMYFUNCTION("""COMPUTED_VALUE"""),4)</f>
        <v>4</v>
      </c>
      <c r="BE258" s="4">
        <f ca="1">IFERROR(__xludf.DUMMYFUNCTION("""COMPUTED_VALUE"""),4)</f>
        <v>4</v>
      </c>
      <c r="BF258" s="4">
        <f ca="1">IFERROR(__xludf.DUMMYFUNCTION("""COMPUTED_VALUE"""),5)</f>
        <v>5</v>
      </c>
      <c r="BG258" s="4">
        <f ca="1">IFERROR(__xludf.DUMMYFUNCTION("""COMPUTED_VALUE"""),4)</f>
        <v>4</v>
      </c>
      <c r="BH258" s="4">
        <f ca="1">IFERROR(__xludf.DUMMYFUNCTION("""COMPUTED_VALUE"""),5)</f>
        <v>5</v>
      </c>
      <c r="BI258" s="4">
        <f ca="1">IFERROR(__xludf.DUMMYFUNCTION("""COMPUTED_VALUE"""),5)</f>
        <v>5</v>
      </c>
      <c r="BJ258" s="4">
        <f ca="1">IFERROR(__xludf.DUMMYFUNCTION("""COMPUTED_VALUE"""),5)</f>
        <v>5</v>
      </c>
      <c r="BK258" s="4">
        <f ca="1">IFERROR(__xludf.DUMMYFUNCTION("""COMPUTED_VALUE"""),5)</f>
        <v>5</v>
      </c>
      <c r="BL258" s="4">
        <f ca="1">IFERROR(__xludf.DUMMYFUNCTION("""COMPUTED_VALUE"""),5)</f>
        <v>5</v>
      </c>
      <c r="BM258" s="4">
        <f ca="1">IFERROR(__xludf.DUMMYFUNCTION("""COMPUTED_VALUE"""),5)</f>
        <v>5</v>
      </c>
      <c r="BN258" s="4">
        <f ca="1">IFERROR(__xludf.DUMMYFUNCTION("""COMPUTED_VALUE"""),5)</f>
        <v>5</v>
      </c>
      <c r="BO258" s="4">
        <f ca="1">IFERROR(__xludf.DUMMYFUNCTION("""COMPUTED_VALUE"""),5)</f>
        <v>5</v>
      </c>
      <c r="BP258" s="4">
        <f ca="1">IFERROR(__xludf.DUMMYFUNCTION("""COMPUTED_VALUE"""),5)</f>
        <v>5</v>
      </c>
    </row>
    <row r="259" spans="1:68" ht="13.2" x14ac:dyDescent="0.25">
      <c r="A259" s="4" t="str">
        <f ca="1">IFERROR(__xludf.DUMMYFUNCTION("""COMPUTED_VALUE"""),"2_ABaOnuc_r0IZg5KiApdS6XT7t6LDBzniozfcLPTOmm-NEzoNiGF-d0UJwmBsXVKJzg")</f>
        <v>2_ABaOnuc_r0IZg5KiApdS6XT7t6LDBzniozfcLPTOmm-NEzoNiGF-d0UJwmBsXVKJzg</v>
      </c>
      <c r="B259" s="5">
        <f ca="1">IFERROR(__xludf.DUMMYFUNCTION("""COMPUTED_VALUE"""),45979.7986666319)</f>
        <v>45979.798666631898</v>
      </c>
      <c r="C259" s="4" t="str">
        <f ca="1">IFERROR(__xludf.DUMMYFUNCTION("""COMPUTED_VALUE"""),"Nguyễn Địch Dũng")</f>
        <v>Nguyễn Địch Dũng</v>
      </c>
      <c r="D259" s="4" t="str">
        <f ca="1">IFERROR(__xludf.DUMMYFUNCTION("""COMPUTED_VALUE"""),"Nam")</f>
        <v>Nam</v>
      </c>
      <c r="E259" s="4" t="str">
        <f ca="1">IFERROR(__xludf.DUMMYFUNCTION("""COMPUTED_VALUE"""),"Grant Thornton Việt Nam")</f>
        <v>Grant Thornton Việt Nam</v>
      </c>
      <c r="F259" s="4" t="str">
        <f ca="1">IFERROR(__xludf.DUMMYFUNCTION("""COMPUTED_VALUE"""),"Chứng chỉ Kiểm toán viên")</f>
        <v>Chứng chỉ Kiểm toán viên</v>
      </c>
      <c r="G259" s="4" t="str">
        <f ca="1">IFERROR(__xludf.DUMMYFUNCTION("""COMPUTED_VALUE"""),"Trên 15 đến 20 năm")</f>
        <v>Trên 15 đến 20 năm</v>
      </c>
      <c r="H259" s="4" t="str">
        <f ca="1">IFERROR(__xludf.DUMMYFUNCTION("""COMPUTED_VALUE"""),"Ban giám đốc")</f>
        <v>Ban giám đốc</v>
      </c>
      <c r="I259" s="4">
        <f ca="1">IFERROR(__xludf.DUMMYFUNCTION("""COMPUTED_VALUE"""),5)</f>
        <v>5</v>
      </c>
      <c r="J259" s="4">
        <f ca="1">IFERROR(__xludf.DUMMYFUNCTION("""COMPUTED_VALUE"""),5)</f>
        <v>5</v>
      </c>
      <c r="K259" s="4">
        <f ca="1">IFERROR(__xludf.DUMMYFUNCTION("""COMPUTED_VALUE"""),5)</f>
        <v>5</v>
      </c>
      <c r="L259" s="4">
        <f ca="1">IFERROR(__xludf.DUMMYFUNCTION("""COMPUTED_VALUE"""),4)</f>
        <v>4</v>
      </c>
      <c r="M259" s="4">
        <f ca="1">IFERROR(__xludf.DUMMYFUNCTION("""COMPUTED_VALUE"""),4)</f>
        <v>4</v>
      </c>
      <c r="N259" s="4">
        <f ca="1">IFERROR(__xludf.DUMMYFUNCTION("""COMPUTED_VALUE"""),4)</f>
        <v>4</v>
      </c>
      <c r="O259" s="4">
        <f ca="1">IFERROR(__xludf.DUMMYFUNCTION("""COMPUTED_VALUE"""),4)</f>
        <v>4</v>
      </c>
      <c r="P259" s="4">
        <f ca="1">IFERROR(__xludf.DUMMYFUNCTION("""COMPUTED_VALUE"""),5)</f>
        <v>5</v>
      </c>
      <c r="Q259" s="4">
        <f ca="1">IFERROR(__xludf.DUMMYFUNCTION("""COMPUTED_VALUE"""),5)</f>
        <v>5</v>
      </c>
      <c r="R259" s="4">
        <f ca="1">IFERROR(__xludf.DUMMYFUNCTION("""COMPUTED_VALUE"""),4)</f>
        <v>4</v>
      </c>
      <c r="S259" s="4">
        <f ca="1">IFERROR(__xludf.DUMMYFUNCTION("""COMPUTED_VALUE"""),5)</f>
        <v>5</v>
      </c>
      <c r="T259" s="4">
        <f ca="1">IFERROR(__xludf.DUMMYFUNCTION("""COMPUTED_VALUE"""),5)</f>
        <v>5</v>
      </c>
      <c r="U259" s="4">
        <f ca="1">IFERROR(__xludf.DUMMYFUNCTION("""COMPUTED_VALUE"""),5)</f>
        <v>5</v>
      </c>
      <c r="V259" s="4">
        <f ca="1">IFERROR(__xludf.DUMMYFUNCTION("""COMPUTED_VALUE"""),5)</f>
        <v>5</v>
      </c>
      <c r="W259" s="4">
        <f ca="1">IFERROR(__xludf.DUMMYFUNCTION("""COMPUTED_VALUE"""),4)</f>
        <v>4</v>
      </c>
      <c r="X259" s="4">
        <f ca="1">IFERROR(__xludf.DUMMYFUNCTION("""COMPUTED_VALUE"""),4)</f>
        <v>4</v>
      </c>
      <c r="Y259" s="4">
        <f ca="1">IFERROR(__xludf.DUMMYFUNCTION("""COMPUTED_VALUE"""),4)</f>
        <v>4</v>
      </c>
      <c r="Z259" s="4">
        <f ca="1">IFERROR(__xludf.DUMMYFUNCTION("""COMPUTED_VALUE"""),4)</f>
        <v>4</v>
      </c>
      <c r="AA259" s="4">
        <f ca="1">IFERROR(__xludf.DUMMYFUNCTION("""COMPUTED_VALUE"""),3)</f>
        <v>3</v>
      </c>
      <c r="AB259" s="4">
        <f ca="1">IFERROR(__xludf.DUMMYFUNCTION("""COMPUTED_VALUE"""),3)</f>
        <v>3</v>
      </c>
      <c r="AC259" s="4">
        <f ca="1">IFERROR(__xludf.DUMMYFUNCTION("""COMPUTED_VALUE"""),3)</f>
        <v>3</v>
      </c>
      <c r="AD259" s="4">
        <f ca="1">IFERROR(__xludf.DUMMYFUNCTION("""COMPUTED_VALUE"""),2)</f>
        <v>2</v>
      </c>
      <c r="AE259" s="4">
        <f ca="1">IFERROR(__xludf.DUMMYFUNCTION("""COMPUTED_VALUE"""),3)</f>
        <v>3</v>
      </c>
      <c r="AF259" s="4">
        <f ca="1">IFERROR(__xludf.DUMMYFUNCTION("""COMPUTED_VALUE"""),3)</f>
        <v>3</v>
      </c>
      <c r="AG259" s="4">
        <f ca="1">IFERROR(__xludf.DUMMYFUNCTION("""COMPUTED_VALUE"""),3)</f>
        <v>3</v>
      </c>
      <c r="AH259" s="4">
        <f ca="1">IFERROR(__xludf.DUMMYFUNCTION("""COMPUTED_VALUE"""),3)</f>
        <v>3</v>
      </c>
      <c r="AI259" s="4">
        <f ca="1">IFERROR(__xludf.DUMMYFUNCTION("""COMPUTED_VALUE"""),3)</f>
        <v>3</v>
      </c>
      <c r="AJ259" s="4">
        <f ca="1">IFERROR(__xludf.DUMMYFUNCTION("""COMPUTED_VALUE"""),4)</f>
        <v>4</v>
      </c>
      <c r="AK259" s="4">
        <f ca="1">IFERROR(__xludf.DUMMYFUNCTION("""COMPUTED_VALUE"""),4)</f>
        <v>4</v>
      </c>
      <c r="AL259" s="4">
        <f ca="1">IFERROR(__xludf.DUMMYFUNCTION("""COMPUTED_VALUE"""),3)</f>
        <v>3</v>
      </c>
      <c r="AM259" s="4">
        <f ca="1">IFERROR(__xludf.DUMMYFUNCTION("""COMPUTED_VALUE"""),3)</f>
        <v>3</v>
      </c>
      <c r="AN259" s="4">
        <f ca="1">IFERROR(__xludf.DUMMYFUNCTION("""COMPUTED_VALUE"""),3)</f>
        <v>3</v>
      </c>
      <c r="AO259" s="4">
        <f ca="1">IFERROR(__xludf.DUMMYFUNCTION("""COMPUTED_VALUE"""),4)</f>
        <v>4</v>
      </c>
      <c r="AP259" s="4">
        <f ca="1">IFERROR(__xludf.DUMMYFUNCTION("""COMPUTED_VALUE"""),4)</f>
        <v>4</v>
      </c>
      <c r="AQ259" s="4">
        <f ca="1">IFERROR(__xludf.DUMMYFUNCTION("""COMPUTED_VALUE"""),4)</f>
        <v>4</v>
      </c>
      <c r="AR259" s="4">
        <f ca="1">IFERROR(__xludf.DUMMYFUNCTION("""COMPUTED_VALUE"""),4)</f>
        <v>4</v>
      </c>
      <c r="AS259" s="4">
        <f ca="1">IFERROR(__xludf.DUMMYFUNCTION("""COMPUTED_VALUE"""),4)</f>
        <v>4</v>
      </c>
      <c r="AT259" s="4">
        <f ca="1">IFERROR(__xludf.DUMMYFUNCTION("""COMPUTED_VALUE"""),3)</f>
        <v>3</v>
      </c>
      <c r="AU259" s="4">
        <f ca="1">IFERROR(__xludf.DUMMYFUNCTION("""COMPUTED_VALUE"""),4)</f>
        <v>4</v>
      </c>
      <c r="AV259" s="4">
        <f ca="1">IFERROR(__xludf.DUMMYFUNCTION("""COMPUTED_VALUE"""),4)</f>
        <v>4</v>
      </c>
      <c r="AW259" s="4">
        <f ca="1">IFERROR(__xludf.DUMMYFUNCTION("""COMPUTED_VALUE"""),4)</f>
        <v>4</v>
      </c>
      <c r="AX259" s="4">
        <f ca="1">IFERROR(__xludf.DUMMYFUNCTION("""COMPUTED_VALUE"""),5)</f>
        <v>5</v>
      </c>
      <c r="AY259" s="4">
        <f ca="1">IFERROR(__xludf.DUMMYFUNCTION("""COMPUTED_VALUE"""),5)</f>
        <v>5</v>
      </c>
      <c r="AZ259" s="4">
        <f ca="1">IFERROR(__xludf.DUMMYFUNCTION("""COMPUTED_VALUE"""),5)</f>
        <v>5</v>
      </c>
      <c r="BA259" s="4">
        <f ca="1">IFERROR(__xludf.DUMMYFUNCTION("""COMPUTED_VALUE"""),4)</f>
        <v>4</v>
      </c>
      <c r="BB259" s="4">
        <f ca="1">IFERROR(__xludf.DUMMYFUNCTION("""COMPUTED_VALUE"""),2)</f>
        <v>2</v>
      </c>
      <c r="BC259" s="4">
        <f ca="1">IFERROR(__xludf.DUMMYFUNCTION("""COMPUTED_VALUE"""),2)</f>
        <v>2</v>
      </c>
      <c r="BD259" s="4">
        <f ca="1">IFERROR(__xludf.DUMMYFUNCTION("""COMPUTED_VALUE"""),2)</f>
        <v>2</v>
      </c>
      <c r="BE259" s="4">
        <f ca="1">IFERROR(__xludf.DUMMYFUNCTION("""COMPUTED_VALUE"""),2)</f>
        <v>2</v>
      </c>
      <c r="BF259" s="4">
        <f ca="1">IFERROR(__xludf.DUMMYFUNCTION("""COMPUTED_VALUE"""),3)</f>
        <v>3</v>
      </c>
      <c r="BG259" s="4">
        <f ca="1">IFERROR(__xludf.DUMMYFUNCTION("""COMPUTED_VALUE"""),2)</f>
        <v>2</v>
      </c>
      <c r="BH259" s="4">
        <f ca="1">IFERROR(__xludf.DUMMYFUNCTION("""COMPUTED_VALUE"""),4)</f>
        <v>4</v>
      </c>
      <c r="BI259" s="4">
        <f ca="1">IFERROR(__xludf.DUMMYFUNCTION("""COMPUTED_VALUE"""),4)</f>
        <v>4</v>
      </c>
      <c r="BJ259" s="4">
        <f ca="1">IFERROR(__xludf.DUMMYFUNCTION("""COMPUTED_VALUE"""),4)</f>
        <v>4</v>
      </c>
      <c r="BK259" s="4">
        <f ca="1">IFERROR(__xludf.DUMMYFUNCTION("""COMPUTED_VALUE"""),4)</f>
        <v>4</v>
      </c>
      <c r="BL259" s="4">
        <f ca="1">IFERROR(__xludf.DUMMYFUNCTION("""COMPUTED_VALUE"""),4)</f>
        <v>4</v>
      </c>
      <c r="BM259" s="4">
        <f ca="1">IFERROR(__xludf.DUMMYFUNCTION("""COMPUTED_VALUE"""),4)</f>
        <v>4</v>
      </c>
      <c r="BN259" s="4">
        <f ca="1">IFERROR(__xludf.DUMMYFUNCTION("""COMPUTED_VALUE"""),5)</f>
        <v>5</v>
      </c>
      <c r="BO259" s="4">
        <f ca="1">IFERROR(__xludf.DUMMYFUNCTION("""COMPUTED_VALUE"""),4)</f>
        <v>4</v>
      </c>
      <c r="BP259" s="4">
        <f ca="1">IFERROR(__xludf.DUMMYFUNCTION("""COMPUTED_VALUE"""),4)</f>
        <v>4</v>
      </c>
    </row>
    <row r="260" spans="1:68" ht="13.2" x14ac:dyDescent="0.25">
      <c r="A260" s="4" t="str">
        <f ca="1">IFERROR(__xludf.DUMMYFUNCTION("""COMPUTED_VALUE"""),"2_ABaOnuclFzlD0bi3qO3re-Zsfq0hYrusmyFiDI2-34xfmN5eBI7kGuoMiYe_jRFriw")</f>
        <v>2_ABaOnuclFzlD0bi3qO3re-Zsfq0hYrusmyFiDI2-34xfmN5eBI7kGuoMiYe_jRFriw</v>
      </c>
      <c r="B260" s="5">
        <f ca="1">IFERROR(__xludf.DUMMYFUNCTION("""COMPUTED_VALUE"""),45980.3689211226)</f>
        <v>45980.368921122601</v>
      </c>
      <c r="C260" s="4" t="str">
        <f ca="1">IFERROR(__xludf.DUMMYFUNCTION("""COMPUTED_VALUE"""),"Nguyễn Văn Tuân")</f>
        <v>Nguyễn Văn Tuân</v>
      </c>
      <c r="D260" s="4" t="str">
        <f ca="1">IFERROR(__xludf.DUMMYFUNCTION("""COMPUTED_VALUE"""),"Nam")</f>
        <v>Nam</v>
      </c>
      <c r="E260" s="4" t="str">
        <f ca="1">IFERROR(__xludf.DUMMYFUNCTION("""COMPUTED_VALUE"""),"Công ty TNHH kiểm toán Crowe Việt Nam")</f>
        <v>Công ty TNHH kiểm toán Crowe Việt Nam</v>
      </c>
      <c r="F260" s="4" t="str">
        <f ca="1">IFERROR(__xludf.DUMMYFUNCTION("""COMPUTED_VALUE"""),"Đại học")</f>
        <v>Đại học</v>
      </c>
      <c r="G260" s="4" t="str">
        <f ca="1">IFERROR(__xludf.DUMMYFUNCTION("""COMPUTED_VALUE"""),"Trên 10 đến 15 năm")</f>
        <v>Trên 10 đến 15 năm</v>
      </c>
      <c r="H260" s="4" t="str">
        <f ca="1">IFERROR(__xludf.DUMMYFUNCTION("""COMPUTED_VALUE"""),"Trưởng phòng")</f>
        <v>Trưởng phòng</v>
      </c>
      <c r="I260" s="4">
        <f ca="1">IFERROR(__xludf.DUMMYFUNCTION("""COMPUTED_VALUE"""),5)</f>
        <v>5</v>
      </c>
      <c r="J260" s="4">
        <f ca="1">IFERROR(__xludf.DUMMYFUNCTION("""COMPUTED_VALUE"""),4)</f>
        <v>4</v>
      </c>
      <c r="K260" s="4">
        <f ca="1">IFERROR(__xludf.DUMMYFUNCTION("""COMPUTED_VALUE"""),5)</f>
        <v>5</v>
      </c>
      <c r="L260" s="4">
        <f ca="1">IFERROR(__xludf.DUMMYFUNCTION("""COMPUTED_VALUE"""),4)</f>
        <v>4</v>
      </c>
      <c r="M260" s="4">
        <f ca="1">IFERROR(__xludf.DUMMYFUNCTION("""COMPUTED_VALUE"""),4)</f>
        <v>4</v>
      </c>
      <c r="N260" s="4">
        <f ca="1">IFERROR(__xludf.DUMMYFUNCTION("""COMPUTED_VALUE"""),3)</f>
        <v>3</v>
      </c>
      <c r="O260" s="4">
        <f ca="1">IFERROR(__xludf.DUMMYFUNCTION("""COMPUTED_VALUE"""),3)</f>
        <v>3</v>
      </c>
      <c r="P260" s="4">
        <f ca="1">IFERROR(__xludf.DUMMYFUNCTION("""COMPUTED_VALUE"""),5)</f>
        <v>5</v>
      </c>
      <c r="Q260" s="4">
        <f ca="1">IFERROR(__xludf.DUMMYFUNCTION("""COMPUTED_VALUE"""),5)</f>
        <v>5</v>
      </c>
      <c r="R260" s="4">
        <f ca="1">IFERROR(__xludf.DUMMYFUNCTION("""COMPUTED_VALUE"""),5)</f>
        <v>5</v>
      </c>
      <c r="S260" s="4">
        <f ca="1">IFERROR(__xludf.DUMMYFUNCTION("""COMPUTED_VALUE"""),5)</f>
        <v>5</v>
      </c>
      <c r="T260" s="4">
        <f ca="1">IFERROR(__xludf.DUMMYFUNCTION("""COMPUTED_VALUE"""),5)</f>
        <v>5</v>
      </c>
      <c r="U260" s="4">
        <f ca="1">IFERROR(__xludf.DUMMYFUNCTION("""COMPUTED_VALUE"""),5)</f>
        <v>5</v>
      </c>
      <c r="V260" s="4">
        <f ca="1">IFERROR(__xludf.DUMMYFUNCTION("""COMPUTED_VALUE"""),5)</f>
        <v>5</v>
      </c>
      <c r="W260" s="4">
        <f ca="1">IFERROR(__xludf.DUMMYFUNCTION("""COMPUTED_VALUE"""),4)</f>
        <v>4</v>
      </c>
      <c r="X260" s="4">
        <f ca="1">IFERROR(__xludf.DUMMYFUNCTION("""COMPUTED_VALUE"""),4)</f>
        <v>4</v>
      </c>
      <c r="Y260" s="4">
        <f ca="1">IFERROR(__xludf.DUMMYFUNCTION("""COMPUTED_VALUE"""),3)</f>
        <v>3</v>
      </c>
      <c r="Z260" s="4">
        <f ca="1">IFERROR(__xludf.DUMMYFUNCTION("""COMPUTED_VALUE"""),3)</f>
        <v>3</v>
      </c>
      <c r="AA260" s="4">
        <f ca="1">IFERROR(__xludf.DUMMYFUNCTION("""COMPUTED_VALUE"""),3)</f>
        <v>3</v>
      </c>
      <c r="AB260" s="4">
        <f ca="1">IFERROR(__xludf.DUMMYFUNCTION("""COMPUTED_VALUE"""),3)</f>
        <v>3</v>
      </c>
      <c r="AC260" s="4">
        <f ca="1">IFERROR(__xludf.DUMMYFUNCTION("""COMPUTED_VALUE"""),2)</f>
        <v>2</v>
      </c>
      <c r="AD260" s="4">
        <f ca="1">IFERROR(__xludf.DUMMYFUNCTION("""COMPUTED_VALUE"""),2)</f>
        <v>2</v>
      </c>
      <c r="AE260" s="4">
        <f ca="1">IFERROR(__xludf.DUMMYFUNCTION("""COMPUTED_VALUE"""),4)</f>
        <v>4</v>
      </c>
      <c r="AF260" s="4">
        <f ca="1">IFERROR(__xludf.DUMMYFUNCTION("""COMPUTED_VALUE"""),4)</f>
        <v>4</v>
      </c>
      <c r="AG260" s="4">
        <f ca="1">IFERROR(__xludf.DUMMYFUNCTION("""COMPUTED_VALUE"""),4)</f>
        <v>4</v>
      </c>
      <c r="AH260" s="4">
        <f ca="1">IFERROR(__xludf.DUMMYFUNCTION("""COMPUTED_VALUE"""),3)</f>
        <v>3</v>
      </c>
      <c r="AI260" s="4">
        <f ca="1">IFERROR(__xludf.DUMMYFUNCTION("""COMPUTED_VALUE"""),3)</f>
        <v>3</v>
      </c>
      <c r="AJ260" s="4">
        <f ca="1">IFERROR(__xludf.DUMMYFUNCTION("""COMPUTED_VALUE"""),3)</f>
        <v>3</v>
      </c>
      <c r="AK260" s="4">
        <f ca="1">IFERROR(__xludf.DUMMYFUNCTION("""COMPUTED_VALUE"""),4)</f>
        <v>4</v>
      </c>
      <c r="AL260" s="4">
        <f ca="1">IFERROR(__xludf.DUMMYFUNCTION("""COMPUTED_VALUE"""),4)</f>
        <v>4</v>
      </c>
      <c r="AM260" s="4">
        <f ca="1">IFERROR(__xludf.DUMMYFUNCTION("""COMPUTED_VALUE"""),4)</f>
        <v>4</v>
      </c>
      <c r="AN260" s="4">
        <f ca="1">IFERROR(__xludf.DUMMYFUNCTION("""COMPUTED_VALUE"""),4)</f>
        <v>4</v>
      </c>
      <c r="AO260" s="4">
        <f ca="1">IFERROR(__xludf.DUMMYFUNCTION("""COMPUTED_VALUE"""),4)</f>
        <v>4</v>
      </c>
      <c r="AP260" s="4">
        <f ca="1">IFERROR(__xludf.DUMMYFUNCTION("""COMPUTED_VALUE"""),4)</f>
        <v>4</v>
      </c>
      <c r="AQ260" s="4">
        <f ca="1">IFERROR(__xludf.DUMMYFUNCTION("""COMPUTED_VALUE"""),4)</f>
        <v>4</v>
      </c>
      <c r="AR260" s="4">
        <f ca="1">IFERROR(__xludf.DUMMYFUNCTION("""COMPUTED_VALUE"""),4)</f>
        <v>4</v>
      </c>
      <c r="AS260" s="4">
        <f ca="1">IFERROR(__xludf.DUMMYFUNCTION("""COMPUTED_VALUE"""),4)</f>
        <v>4</v>
      </c>
      <c r="AT260" s="4">
        <f ca="1">IFERROR(__xludf.DUMMYFUNCTION("""COMPUTED_VALUE"""),4)</f>
        <v>4</v>
      </c>
      <c r="AU260" s="4">
        <f ca="1">IFERROR(__xludf.DUMMYFUNCTION("""COMPUTED_VALUE"""),4)</f>
        <v>4</v>
      </c>
      <c r="AV260" s="4">
        <f ca="1">IFERROR(__xludf.DUMMYFUNCTION("""COMPUTED_VALUE"""),4)</f>
        <v>4</v>
      </c>
      <c r="AW260" s="4">
        <f ca="1">IFERROR(__xludf.DUMMYFUNCTION("""COMPUTED_VALUE"""),4)</f>
        <v>4</v>
      </c>
      <c r="AX260" s="4">
        <f ca="1">IFERROR(__xludf.DUMMYFUNCTION("""COMPUTED_VALUE"""),5)</f>
        <v>5</v>
      </c>
      <c r="AY260" s="4">
        <f ca="1">IFERROR(__xludf.DUMMYFUNCTION("""COMPUTED_VALUE"""),4)</f>
        <v>4</v>
      </c>
      <c r="AZ260" s="4">
        <f ca="1">IFERROR(__xludf.DUMMYFUNCTION("""COMPUTED_VALUE"""),5)</f>
        <v>5</v>
      </c>
      <c r="BA260" s="4">
        <f ca="1">IFERROR(__xludf.DUMMYFUNCTION("""COMPUTED_VALUE"""),5)</f>
        <v>5</v>
      </c>
      <c r="BB260" s="4">
        <f ca="1">IFERROR(__xludf.DUMMYFUNCTION("""COMPUTED_VALUE"""),2)</f>
        <v>2</v>
      </c>
      <c r="BC260" s="4">
        <f ca="1">IFERROR(__xludf.DUMMYFUNCTION("""COMPUTED_VALUE"""),2)</f>
        <v>2</v>
      </c>
      <c r="BD260" s="4">
        <f ca="1">IFERROR(__xludf.DUMMYFUNCTION("""COMPUTED_VALUE"""),3)</f>
        <v>3</v>
      </c>
      <c r="BE260" s="4">
        <f ca="1">IFERROR(__xludf.DUMMYFUNCTION("""COMPUTED_VALUE"""),3)</f>
        <v>3</v>
      </c>
      <c r="BF260" s="4">
        <f ca="1">IFERROR(__xludf.DUMMYFUNCTION("""COMPUTED_VALUE"""),3)</f>
        <v>3</v>
      </c>
      <c r="BG260" s="4">
        <f ca="1">IFERROR(__xludf.DUMMYFUNCTION("""COMPUTED_VALUE"""),3)</f>
        <v>3</v>
      </c>
      <c r="BH260" s="4">
        <f ca="1">IFERROR(__xludf.DUMMYFUNCTION("""COMPUTED_VALUE"""),4)</f>
        <v>4</v>
      </c>
      <c r="BI260" s="4">
        <f ca="1">IFERROR(__xludf.DUMMYFUNCTION("""COMPUTED_VALUE"""),4)</f>
        <v>4</v>
      </c>
      <c r="BJ260" s="4">
        <f ca="1">IFERROR(__xludf.DUMMYFUNCTION("""COMPUTED_VALUE"""),5)</f>
        <v>5</v>
      </c>
      <c r="BK260" s="4">
        <f ca="1">IFERROR(__xludf.DUMMYFUNCTION("""COMPUTED_VALUE"""),4)</f>
        <v>4</v>
      </c>
      <c r="BL260" s="4">
        <f ca="1">IFERROR(__xludf.DUMMYFUNCTION("""COMPUTED_VALUE"""),4)</f>
        <v>4</v>
      </c>
      <c r="BM260" s="4">
        <f ca="1">IFERROR(__xludf.DUMMYFUNCTION("""COMPUTED_VALUE"""),4)</f>
        <v>4</v>
      </c>
      <c r="BN260" s="4">
        <f ca="1">IFERROR(__xludf.DUMMYFUNCTION("""COMPUTED_VALUE"""),4)</f>
        <v>4</v>
      </c>
      <c r="BO260" s="4">
        <f ca="1">IFERROR(__xludf.DUMMYFUNCTION("""COMPUTED_VALUE"""),3)</f>
        <v>3</v>
      </c>
      <c r="BP260" s="4">
        <f ca="1">IFERROR(__xludf.DUMMYFUNCTION("""COMPUTED_VALUE"""),4)</f>
        <v>4</v>
      </c>
    </row>
    <row r="261" spans="1:68" ht="13.2" x14ac:dyDescent="0.25">
      <c r="A261" s="4" t="str">
        <f ca="1">IFERROR(__xludf.DUMMYFUNCTION("""COMPUTED_VALUE"""),"2_ABaOnuesH_uKuzatCs6sIxyFIbgnPAzYiKlMChqGalx5z9MuO60YMWodETgCf2d23Q")</f>
        <v>2_ABaOnuesH_uKuzatCs6sIxyFIbgnPAzYiKlMChqGalx5z9MuO60YMWodETgCf2d23Q</v>
      </c>
      <c r="B261" s="5">
        <f ca="1">IFERROR(__xludf.DUMMYFUNCTION("""COMPUTED_VALUE"""),45980.3757116782)</f>
        <v>45980.3757116782</v>
      </c>
      <c r="C261" s="4" t="str">
        <f ca="1">IFERROR(__xludf.DUMMYFUNCTION("""COMPUTED_VALUE"""),"Nguyễn Trung Đức")</f>
        <v>Nguyễn Trung Đức</v>
      </c>
      <c r="D261" s="4" t="str">
        <f ca="1">IFERROR(__xludf.DUMMYFUNCTION("""COMPUTED_VALUE"""),"Nam")</f>
        <v>Nam</v>
      </c>
      <c r="E261" s="4" t="str">
        <f ca="1">IFERROR(__xludf.DUMMYFUNCTION("""COMPUTED_VALUE"""),"Công ty TNHH Kiểm toán BDO")</f>
        <v>Công ty TNHH Kiểm toán BDO</v>
      </c>
      <c r="F261" s="4" t="str">
        <f ca="1">IFERROR(__xludf.DUMMYFUNCTION("""COMPUTED_VALUE"""),"Đại học")</f>
        <v>Đại học</v>
      </c>
      <c r="G261" s="4" t="str">
        <f ca="1">IFERROR(__xludf.DUMMYFUNCTION("""COMPUTED_VALUE"""),"Từ 3 đến 5 năm")</f>
        <v>Từ 3 đến 5 năm</v>
      </c>
      <c r="H261" s="4" t="str">
        <f ca="1">IFERROR(__xludf.DUMMYFUNCTION("""COMPUTED_VALUE"""),"Trợ lý kiểm toán")</f>
        <v>Trợ lý kiểm toán</v>
      </c>
      <c r="I261" s="4">
        <f ca="1">IFERROR(__xludf.DUMMYFUNCTION("""COMPUTED_VALUE"""),5)</f>
        <v>5</v>
      </c>
      <c r="J261" s="4">
        <f ca="1">IFERROR(__xludf.DUMMYFUNCTION("""COMPUTED_VALUE"""),5)</f>
        <v>5</v>
      </c>
      <c r="K261" s="4">
        <f ca="1">IFERROR(__xludf.DUMMYFUNCTION("""COMPUTED_VALUE"""),5)</f>
        <v>5</v>
      </c>
      <c r="L261" s="4">
        <f ca="1">IFERROR(__xludf.DUMMYFUNCTION("""COMPUTED_VALUE"""),5)</f>
        <v>5</v>
      </c>
      <c r="M261" s="4">
        <f ca="1">IFERROR(__xludf.DUMMYFUNCTION("""COMPUTED_VALUE"""),5)</f>
        <v>5</v>
      </c>
      <c r="N261" s="4">
        <f ca="1">IFERROR(__xludf.DUMMYFUNCTION("""COMPUTED_VALUE"""),5)</f>
        <v>5</v>
      </c>
      <c r="O261" s="4">
        <f ca="1">IFERROR(__xludf.DUMMYFUNCTION("""COMPUTED_VALUE"""),5)</f>
        <v>5</v>
      </c>
      <c r="P261" s="4">
        <f ca="1">IFERROR(__xludf.DUMMYFUNCTION("""COMPUTED_VALUE"""),5)</f>
        <v>5</v>
      </c>
      <c r="Q261" s="4">
        <f ca="1">IFERROR(__xludf.DUMMYFUNCTION("""COMPUTED_VALUE"""),5)</f>
        <v>5</v>
      </c>
      <c r="R261" s="4">
        <f ca="1">IFERROR(__xludf.DUMMYFUNCTION("""COMPUTED_VALUE"""),5)</f>
        <v>5</v>
      </c>
      <c r="S261" s="4">
        <f ca="1">IFERROR(__xludf.DUMMYFUNCTION("""COMPUTED_VALUE"""),5)</f>
        <v>5</v>
      </c>
      <c r="T261" s="4">
        <f ca="1">IFERROR(__xludf.DUMMYFUNCTION("""COMPUTED_VALUE"""),5)</f>
        <v>5</v>
      </c>
      <c r="U261" s="4">
        <f ca="1">IFERROR(__xludf.DUMMYFUNCTION("""COMPUTED_VALUE"""),5)</f>
        <v>5</v>
      </c>
      <c r="V261" s="4">
        <f ca="1">IFERROR(__xludf.DUMMYFUNCTION("""COMPUTED_VALUE"""),5)</f>
        <v>5</v>
      </c>
      <c r="W261" s="4">
        <f ca="1">IFERROR(__xludf.DUMMYFUNCTION("""COMPUTED_VALUE"""),5)</f>
        <v>5</v>
      </c>
      <c r="X261" s="4">
        <f ca="1">IFERROR(__xludf.DUMMYFUNCTION("""COMPUTED_VALUE"""),5)</f>
        <v>5</v>
      </c>
      <c r="Y261" s="4">
        <f ca="1">IFERROR(__xludf.DUMMYFUNCTION("""COMPUTED_VALUE"""),5)</f>
        <v>5</v>
      </c>
      <c r="Z261" s="4">
        <f ca="1">IFERROR(__xludf.DUMMYFUNCTION("""COMPUTED_VALUE"""),5)</f>
        <v>5</v>
      </c>
      <c r="AA261" s="4">
        <f ca="1">IFERROR(__xludf.DUMMYFUNCTION("""COMPUTED_VALUE"""),5)</f>
        <v>5</v>
      </c>
      <c r="AB261" s="4">
        <f ca="1">IFERROR(__xludf.DUMMYFUNCTION("""COMPUTED_VALUE"""),5)</f>
        <v>5</v>
      </c>
      <c r="AC261" s="4">
        <f ca="1">IFERROR(__xludf.DUMMYFUNCTION("""COMPUTED_VALUE"""),5)</f>
        <v>5</v>
      </c>
      <c r="AD261" s="4">
        <f ca="1">IFERROR(__xludf.DUMMYFUNCTION("""COMPUTED_VALUE"""),5)</f>
        <v>5</v>
      </c>
      <c r="AE261" s="4">
        <f ca="1">IFERROR(__xludf.DUMMYFUNCTION("""COMPUTED_VALUE"""),5)</f>
        <v>5</v>
      </c>
      <c r="AF261" s="4">
        <f ca="1">IFERROR(__xludf.DUMMYFUNCTION("""COMPUTED_VALUE"""),5)</f>
        <v>5</v>
      </c>
      <c r="AG261" s="4">
        <f ca="1">IFERROR(__xludf.DUMMYFUNCTION("""COMPUTED_VALUE"""),5)</f>
        <v>5</v>
      </c>
      <c r="AH261" s="4">
        <f ca="1">IFERROR(__xludf.DUMMYFUNCTION("""COMPUTED_VALUE"""),5)</f>
        <v>5</v>
      </c>
      <c r="AI261" s="4">
        <f ca="1">IFERROR(__xludf.DUMMYFUNCTION("""COMPUTED_VALUE"""),5)</f>
        <v>5</v>
      </c>
      <c r="AJ261" s="4">
        <f ca="1">IFERROR(__xludf.DUMMYFUNCTION("""COMPUTED_VALUE"""),5)</f>
        <v>5</v>
      </c>
      <c r="AK261" s="4">
        <f ca="1">IFERROR(__xludf.DUMMYFUNCTION("""COMPUTED_VALUE"""),5)</f>
        <v>5</v>
      </c>
      <c r="AL261" s="4">
        <f ca="1">IFERROR(__xludf.DUMMYFUNCTION("""COMPUTED_VALUE"""),5)</f>
        <v>5</v>
      </c>
      <c r="AM261" s="4">
        <f ca="1">IFERROR(__xludf.DUMMYFUNCTION("""COMPUTED_VALUE"""),5)</f>
        <v>5</v>
      </c>
      <c r="AN261" s="4">
        <f ca="1">IFERROR(__xludf.DUMMYFUNCTION("""COMPUTED_VALUE"""),5)</f>
        <v>5</v>
      </c>
      <c r="AO261" s="4">
        <f ca="1">IFERROR(__xludf.DUMMYFUNCTION("""COMPUTED_VALUE"""),5)</f>
        <v>5</v>
      </c>
      <c r="AP261" s="4">
        <f ca="1">IFERROR(__xludf.DUMMYFUNCTION("""COMPUTED_VALUE"""),5)</f>
        <v>5</v>
      </c>
      <c r="AQ261" s="4">
        <f ca="1">IFERROR(__xludf.DUMMYFUNCTION("""COMPUTED_VALUE"""),5)</f>
        <v>5</v>
      </c>
      <c r="AR261" s="4">
        <f ca="1">IFERROR(__xludf.DUMMYFUNCTION("""COMPUTED_VALUE"""),5)</f>
        <v>5</v>
      </c>
      <c r="AS261" s="4">
        <f ca="1">IFERROR(__xludf.DUMMYFUNCTION("""COMPUTED_VALUE"""),5)</f>
        <v>5</v>
      </c>
      <c r="AT261" s="4">
        <f ca="1">IFERROR(__xludf.DUMMYFUNCTION("""COMPUTED_VALUE"""),5)</f>
        <v>5</v>
      </c>
      <c r="AU261" s="4">
        <f ca="1">IFERROR(__xludf.DUMMYFUNCTION("""COMPUTED_VALUE"""),5)</f>
        <v>5</v>
      </c>
      <c r="AV261" s="4">
        <f ca="1">IFERROR(__xludf.DUMMYFUNCTION("""COMPUTED_VALUE"""),5)</f>
        <v>5</v>
      </c>
      <c r="AW261" s="4">
        <f ca="1">IFERROR(__xludf.DUMMYFUNCTION("""COMPUTED_VALUE"""),5)</f>
        <v>5</v>
      </c>
      <c r="AX261" s="4">
        <f ca="1">IFERROR(__xludf.DUMMYFUNCTION("""COMPUTED_VALUE"""),5)</f>
        <v>5</v>
      </c>
      <c r="AY261" s="4">
        <f ca="1">IFERROR(__xludf.DUMMYFUNCTION("""COMPUTED_VALUE"""),5)</f>
        <v>5</v>
      </c>
      <c r="AZ261" s="4">
        <f ca="1">IFERROR(__xludf.DUMMYFUNCTION("""COMPUTED_VALUE"""),5)</f>
        <v>5</v>
      </c>
      <c r="BA261" s="4">
        <f ca="1">IFERROR(__xludf.DUMMYFUNCTION("""COMPUTED_VALUE"""),5)</f>
        <v>5</v>
      </c>
      <c r="BB261" s="4">
        <f ca="1">IFERROR(__xludf.DUMMYFUNCTION("""COMPUTED_VALUE"""),5)</f>
        <v>5</v>
      </c>
      <c r="BC261" s="4">
        <f ca="1">IFERROR(__xludf.DUMMYFUNCTION("""COMPUTED_VALUE"""),5)</f>
        <v>5</v>
      </c>
      <c r="BD261" s="4">
        <f ca="1">IFERROR(__xludf.DUMMYFUNCTION("""COMPUTED_VALUE"""),5)</f>
        <v>5</v>
      </c>
      <c r="BE261" s="4">
        <f ca="1">IFERROR(__xludf.DUMMYFUNCTION("""COMPUTED_VALUE"""),5)</f>
        <v>5</v>
      </c>
      <c r="BF261" s="4">
        <f ca="1">IFERROR(__xludf.DUMMYFUNCTION("""COMPUTED_VALUE"""),5)</f>
        <v>5</v>
      </c>
      <c r="BG261" s="4">
        <f ca="1">IFERROR(__xludf.DUMMYFUNCTION("""COMPUTED_VALUE"""),5)</f>
        <v>5</v>
      </c>
      <c r="BH261" s="4">
        <f ca="1">IFERROR(__xludf.DUMMYFUNCTION("""COMPUTED_VALUE"""),5)</f>
        <v>5</v>
      </c>
      <c r="BI261" s="4">
        <f ca="1">IFERROR(__xludf.DUMMYFUNCTION("""COMPUTED_VALUE"""),5)</f>
        <v>5</v>
      </c>
      <c r="BJ261" s="4">
        <f ca="1">IFERROR(__xludf.DUMMYFUNCTION("""COMPUTED_VALUE"""),5)</f>
        <v>5</v>
      </c>
      <c r="BK261" s="4">
        <f ca="1">IFERROR(__xludf.DUMMYFUNCTION("""COMPUTED_VALUE"""),5)</f>
        <v>5</v>
      </c>
      <c r="BL261" s="4">
        <f ca="1">IFERROR(__xludf.DUMMYFUNCTION("""COMPUTED_VALUE"""),5)</f>
        <v>5</v>
      </c>
      <c r="BM261" s="4">
        <f ca="1">IFERROR(__xludf.DUMMYFUNCTION("""COMPUTED_VALUE"""),5)</f>
        <v>5</v>
      </c>
      <c r="BN261" s="4">
        <f ca="1">IFERROR(__xludf.DUMMYFUNCTION("""COMPUTED_VALUE"""),5)</f>
        <v>5</v>
      </c>
      <c r="BO261" s="4">
        <f ca="1">IFERROR(__xludf.DUMMYFUNCTION("""COMPUTED_VALUE"""),5)</f>
        <v>5</v>
      </c>
      <c r="BP261" s="4">
        <f ca="1">IFERROR(__xludf.DUMMYFUNCTION("""COMPUTED_VALUE"""),5)</f>
        <v>5</v>
      </c>
    </row>
    <row r="262" spans="1:68" ht="13.2" x14ac:dyDescent="0.25">
      <c r="A262" s="4" t="str">
        <f ca="1">IFERROR(__xludf.DUMMYFUNCTION("""COMPUTED_VALUE"""),"2_ABaOnuefQplRP1WG8nV3Jh1Q0ICu29SPTfAjTWuFY6QDqsPALazHdgyEluBFQ1ijaQ")</f>
        <v>2_ABaOnuefQplRP1WG8nV3Jh1Q0ICu29SPTfAjTWuFY6QDqsPALazHdgyEluBFQ1ijaQ</v>
      </c>
      <c r="B262" s="5">
        <f ca="1">IFERROR(__xludf.DUMMYFUNCTION("""COMPUTED_VALUE"""),45980.4154622916)</f>
        <v>45980.415462291603</v>
      </c>
      <c r="C262" s="4" t="str">
        <f ca="1">IFERROR(__xludf.DUMMYFUNCTION("""COMPUTED_VALUE"""),"Phạm Mạnh Tuấn")</f>
        <v>Phạm Mạnh Tuấn</v>
      </c>
      <c r="D262" s="4" t="str">
        <f ca="1">IFERROR(__xludf.DUMMYFUNCTION("""COMPUTED_VALUE"""),"Nam")</f>
        <v>Nam</v>
      </c>
      <c r="E262" s="4" t="str">
        <f ca="1">IFERROR(__xludf.DUMMYFUNCTION("""COMPUTED_VALUE"""),"Crowe Vietnam")</f>
        <v>Crowe Vietnam</v>
      </c>
      <c r="F262" s="4" t="str">
        <f ca="1">IFERROR(__xludf.DUMMYFUNCTION("""COMPUTED_VALUE"""),"Chứng chỉ Kiểm toán viên")</f>
        <v>Chứng chỉ Kiểm toán viên</v>
      </c>
      <c r="G262" s="4" t="str">
        <f ca="1">IFERROR(__xludf.DUMMYFUNCTION("""COMPUTED_VALUE"""),"Trên 10 đến 15 năm")</f>
        <v>Trên 10 đến 15 năm</v>
      </c>
      <c r="H262" s="4" t="str">
        <f ca="1">IFERROR(__xludf.DUMMYFUNCTION("""COMPUTED_VALUE"""),"Trưởng phòng")</f>
        <v>Trưởng phòng</v>
      </c>
      <c r="I262" s="4">
        <f ca="1">IFERROR(__xludf.DUMMYFUNCTION("""COMPUTED_VALUE"""),5)</f>
        <v>5</v>
      </c>
      <c r="J262" s="4">
        <f ca="1">IFERROR(__xludf.DUMMYFUNCTION("""COMPUTED_VALUE"""),4)</f>
        <v>4</v>
      </c>
      <c r="K262" s="4">
        <f ca="1">IFERROR(__xludf.DUMMYFUNCTION("""COMPUTED_VALUE"""),5)</f>
        <v>5</v>
      </c>
      <c r="L262" s="4">
        <f ca="1">IFERROR(__xludf.DUMMYFUNCTION("""COMPUTED_VALUE"""),4)</f>
        <v>4</v>
      </c>
      <c r="M262" s="4">
        <f ca="1">IFERROR(__xludf.DUMMYFUNCTION("""COMPUTED_VALUE"""),5)</f>
        <v>5</v>
      </c>
      <c r="N262" s="4">
        <f ca="1">IFERROR(__xludf.DUMMYFUNCTION("""COMPUTED_VALUE"""),4)</f>
        <v>4</v>
      </c>
      <c r="O262" s="4">
        <f ca="1">IFERROR(__xludf.DUMMYFUNCTION("""COMPUTED_VALUE"""),4)</f>
        <v>4</v>
      </c>
      <c r="P262" s="4">
        <f ca="1">IFERROR(__xludf.DUMMYFUNCTION("""COMPUTED_VALUE"""),5)</f>
        <v>5</v>
      </c>
      <c r="Q262" s="4">
        <f ca="1">IFERROR(__xludf.DUMMYFUNCTION("""COMPUTED_VALUE"""),5)</f>
        <v>5</v>
      </c>
      <c r="R262" s="4">
        <f ca="1">IFERROR(__xludf.DUMMYFUNCTION("""COMPUTED_VALUE"""),5)</f>
        <v>5</v>
      </c>
      <c r="S262" s="4">
        <f ca="1">IFERROR(__xludf.DUMMYFUNCTION("""COMPUTED_VALUE"""),5)</f>
        <v>5</v>
      </c>
      <c r="T262" s="4">
        <f ca="1">IFERROR(__xludf.DUMMYFUNCTION("""COMPUTED_VALUE"""),5)</f>
        <v>5</v>
      </c>
      <c r="U262" s="4">
        <f ca="1">IFERROR(__xludf.DUMMYFUNCTION("""COMPUTED_VALUE"""),5)</f>
        <v>5</v>
      </c>
      <c r="V262" s="4">
        <f ca="1">IFERROR(__xludf.DUMMYFUNCTION("""COMPUTED_VALUE"""),5)</f>
        <v>5</v>
      </c>
      <c r="W262" s="4">
        <f ca="1">IFERROR(__xludf.DUMMYFUNCTION("""COMPUTED_VALUE"""),5)</f>
        <v>5</v>
      </c>
      <c r="X262" s="4">
        <f ca="1">IFERROR(__xludf.DUMMYFUNCTION("""COMPUTED_VALUE"""),4)</f>
        <v>4</v>
      </c>
      <c r="Y262" s="4">
        <f ca="1">IFERROR(__xludf.DUMMYFUNCTION("""COMPUTED_VALUE"""),3)</f>
        <v>3</v>
      </c>
      <c r="Z262" s="4">
        <f ca="1">IFERROR(__xludf.DUMMYFUNCTION("""COMPUTED_VALUE"""),4)</f>
        <v>4</v>
      </c>
      <c r="AA262" s="4">
        <f ca="1">IFERROR(__xludf.DUMMYFUNCTION("""COMPUTED_VALUE"""),3)</f>
        <v>3</v>
      </c>
      <c r="AB262" s="4">
        <f ca="1">IFERROR(__xludf.DUMMYFUNCTION("""COMPUTED_VALUE"""),5)</f>
        <v>5</v>
      </c>
      <c r="AC262" s="4">
        <f ca="1">IFERROR(__xludf.DUMMYFUNCTION("""COMPUTED_VALUE"""),5)</f>
        <v>5</v>
      </c>
      <c r="AD262" s="4">
        <f ca="1">IFERROR(__xludf.DUMMYFUNCTION("""COMPUTED_VALUE"""),4)</f>
        <v>4</v>
      </c>
      <c r="AE262" s="4">
        <f ca="1">IFERROR(__xludf.DUMMYFUNCTION("""COMPUTED_VALUE"""),5)</f>
        <v>5</v>
      </c>
      <c r="AF262" s="4">
        <f ca="1">IFERROR(__xludf.DUMMYFUNCTION("""COMPUTED_VALUE"""),5)</f>
        <v>5</v>
      </c>
      <c r="AG262" s="4">
        <f ca="1">IFERROR(__xludf.DUMMYFUNCTION("""COMPUTED_VALUE"""),5)</f>
        <v>5</v>
      </c>
      <c r="AH262" s="4">
        <f ca="1">IFERROR(__xludf.DUMMYFUNCTION("""COMPUTED_VALUE"""),5)</f>
        <v>5</v>
      </c>
      <c r="AI262" s="4">
        <f ca="1">IFERROR(__xludf.DUMMYFUNCTION("""COMPUTED_VALUE"""),4)</f>
        <v>4</v>
      </c>
      <c r="AJ262" s="4">
        <f ca="1">IFERROR(__xludf.DUMMYFUNCTION("""COMPUTED_VALUE"""),4)</f>
        <v>4</v>
      </c>
      <c r="AK262" s="4">
        <f ca="1">IFERROR(__xludf.DUMMYFUNCTION("""COMPUTED_VALUE"""),4)</f>
        <v>4</v>
      </c>
      <c r="AL262" s="4">
        <f ca="1">IFERROR(__xludf.DUMMYFUNCTION("""COMPUTED_VALUE"""),4)</f>
        <v>4</v>
      </c>
      <c r="AM262" s="4">
        <f ca="1">IFERROR(__xludf.DUMMYFUNCTION("""COMPUTED_VALUE"""),4)</f>
        <v>4</v>
      </c>
      <c r="AN262" s="4">
        <f ca="1">IFERROR(__xludf.DUMMYFUNCTION("""COMPUTED_VALUE"""),4)</f>
        <v>4</v>
      </c>
      <c r="AO262" s="4">
        <f ca="1">IFERROR(__xludf.DUMMYFUNCTION("""COMPUTED_VALUE"""),4)</f>
        <v>4</v>
      </c>
      <c r="AP262" s="4">
        <f ca="1">IFERROR(__xludf.DUMMYFUNCTION("""COMPUTED_VALUE"""),4)</f>
        <v>4</v>
      </c>
      <c r="AQ262" s="4">
        <f ca="1">IFERROR(__xludf.DUMMYFUNCTION("""COMPUTED_VALUE"""),4)</f>
        <v>4</v>
      </c>
      <c r="AR262" s="4">
        <f ca="1">IFERROR(__xludf.DUMMYFUNCTION("""COMPUTED_VALUE"""),4)</f>
        <v>4</v>
      </c>
      <c r="AS262" s="4">
        <f ca="1">IFERROR(__xludf.DUMMYFUNCTION("""COMPUTED_VALUE"""),4)</f>
        <v>4</v>
      </c>
      <c r="AT262" s="4">
        <f ca="1">IFERROR(__xludf.DUMMYFUNCTION("""COMPUTED_VALUE"""),4)</f>
        <v>4</v>
      </c>
      <c r="AU262" s="4">
        <f ca="1">IFERROR(__xludf.DUMMYFUNCTION("""COMPUTED_VALUE"""),3)</f>
        <v>3</v>
      </c>
      <c r="AV262" s="4">
        <f ca="1">IFERROR(__xludf.DUMMYFUNCTION("""COMPUTED_VALUE"""),3)</f>
        <v>3</v>
      </c>
      <c r="AW262" s="4">
        <f ca="1">IFERROR(__xludf.DUMMYFUNCTION("""COMPUTED_VALUE"""),4)</f>
        <v>4</v>
      </c>
      <c r="AX262" s="4">
        <f ca="1">IFERROR(__xludf.DUMMYFUNCTION("""COMPUTED_VALUE"""),5)</f>
        <v>5</v>
      </c>
      <c r="AY262" s="4">
        <f ca="1">IFERROR(__xludf.DUMMYFUNCTION("""COMPUTED_VALUE"""),5)</f>
        <v>5</v>
      </c>
      <c r="AZ262" s="4">
        <f ca="1">IFERROR(__xludf.DUMMYFUNCTION("""COMPUTED_VALUE"""),5)</f>
        <v>5</v>
      </c>
      <c r="BA262" s="4">
        <f ca="1">IFERROR(__xludf.DUMMYFUNCTION("""COMPUTED_VALUE"""),4)</f>
        <v>4</v>
      </c>
      <c r="BB262" s="4">
        <f ca="1">IFERROR(__xludf.DUMMYFUNCTION("""COMPUTED_VALUE"""),4)</f>
        <v>4</v>
      </c>
      <c r="BC262" s="4">
        <f ca="1">IFERROR(__xludf.DUMMYFUNCTION("""COMPUTED_VALUE"""),5)</f>
        <v>5</v>
      </c>
      <c r="BD262" s="4">
        <f ca="1">IFERROR(__xludf.DUMMYFUNCTION("""COMPUTED_VALUE"""),4)</f>
        <v>4</v>
      </c>
      <c r="BE262" s="4">
        <f ca="1">IFERROR(__xludf.DUMMYFUNCTION("""COMPUTED_VALUE"""),4)</f>
        <v>4</v>
      </c>
      <c r="BF262" s="4">
        <f ca="1">IFERROR(__xludf.DUMMYFUNCTION("""COMPUTED_VALUE"""),4)</f>
        <v>4</v>
      </c>
      <c r="BG262" s="4">
        <f ca="1">IFERROR(__xludf.DUMMYFUNCTION("""COMPUTED_VALUE"""),4)</f>
        <v>4</v>
      </c>
      <c r="BH262" s="4">
        <f ca="1">IFERROR(__xludf.DUMMYFUNCTION("""COMPUTED_VALUE"""),5)</f>
        <v>5</v>
      </c>
      <c r="BI262" s="4">
        <f ca="1">IFERROR(__xludf.DUMMYFUNCTION("""COMPUTED_VALUE"""),4)</f>
        <v>4</v>
      </c>
      <c r="BJ262" s="4">
        <f ca="1">IFERROR(__xludf.DUMMYFUNCTION("""COMPUTED_VALUE"""),5)</f>
        <v>5</v>
      </c>
      <c r="BK262" s="4">
        <f ca="1">IFERROR(__xludf.DUMMYFUNCTION("""COMPUTED_VALUE"""),3)</f>
        <v>3</v>
      </c>
      <c r="BL262" s="4">
        <f ca="1">IFERROR(__xludf.DUMMYFUNCTION("""COMPUTED_VALUE"""),4)</f>
        <v>4</v>
      </c>
      <c r="BM262" s="4">
        <f ca="1">IFERROR(__xludf.DUMMYFUNCTION("""COMPUTED_VALUE"""),3)</f>
        <v>3</v>
      </c>
      <c r="BN262" s="4">
        <f ca="1">IFERROR(__xludf.DUMMYFUNCTION("""COMPUTED_VALUE"""),4)</f>
        <v>4</v>
      </c>
      <c r="BO262" s="4">
        <f ca="1">IFERROR(__xludf.DUMMYFUNCTION("""COMPUTED_VALUE"""),5)</f>
        <v>5</v>
      </c>
      <c r="BP262" s="4">
        <f ca="1">IFERROR(__xludf.DUMMYFUNCTION("""COMPUTED_VALUE"""),4)</f>
        <v>4</v>
      </c>
    </row>
    <row r="263" spans="1:68" ht="13.2" x14ac:dyDescent="0.25">
      <c r="A263" s="4" t="str">
        <f ca="1">IFERROR(__xludf.DUMMYFUNCTION("""COMPUTED_VALUE"""),"2_ABaOnufPee2hWDnGITvr4tLCpNkh1g3MjM33jkkysdHIEQEFq-bM_p-nicv1lqpx8Q")</f>
        <v>2_ABaOnufPee2hWDnGITvr4tLCpNkh1g3MjM33jkkysdHIEQEFq-bM_p-nicv1lqpx8Q</v>
      </c>
      <c r="B263" s="5">
        <f ca="1">IFERROR(__xludf.DUMMYFUNCTION("""COMPUTED_VALUE"""),45980.4304649768)</f>
        <v>45980.430464976802</v>
      </c>
      <c r="C263" s="4" t="str">
        <f ca="1">IFERROR(__xludf.DUMMYFUNCTION("""COMPUTED_VALUE"""),"Nguyễn Trần Minh Uyên ")</f>
        <v xml:space="preserve">Nguyễn Trần Minh Uyên </v>
      </c>
      <c r="D263" s="4" t="str">
        <f ca="1">IFERROR(__xludf.DUMMYFUNCTION("""COMPUTED_VALUE"""),"Nữ")</f>
        <v>Nữ</v>
      </c>
      <c r="E263" s="4" t="str">
        <f ca="1">IFERROR(__xludf.DUMMYFUNCTION("""COMPUTED_VALUE"""),"Công ty TNHH Kiểm toán AVN Việt Nam ")</f>
        <v xml:space="preserve">Công ty TNHH Kiểm toán AVN Việt Nam </v>
      </c>
      <c r="F263" s="4" t="str">
        <f ca="1">IFERROR(__xludf.DUMMYFUNCTION("""COMPUTED_VALUE"""),"Đại học")</f>
        <v>Đại học</v>
      </c>
      <c r="G263" s="4" t="str">
        <f ca="1">IFERROR(__xludf.DUMMYFUNCTION("""COMPUTED_VALUE"""),"Từ 3 đến 5 năm")</f>
        <v>Từ 3 đến 5 năm</v>
      </c>
      <c r="H263" s="4" t="str">
        <f ca="1">IFERROR(__xludf.DUMMYFUNCTION("""COMPUTED_VALUE"""),"Trợ lý kiểm toán")</f>
        <v>Trợ lý kiểm toán</v>
      </c>
      <c r="I263" s="4">
        <f ca="1">IFERROR(__xludf.DUMMYFUNCTION("""COMPUTED_VALUE"""),5)</f>
        <v>5</v>
      </c>
      <c r="J263" s="4">
        <f ca="1">IFERROR(__xludf.DUMMYFUNCTION("""COMPUTED_VALUE"""),5)</f>
        <v>5</v>
      </c>
      <c r="K263" s="4">
        <f ca="1">IFERROR(__xludf.DUMMYFUNCTION("""COMPUTED_VALUE"""),5)</f>
        <v>5</v>
      </c>
      <c r="L263" s="4">
        <f ca="1">IFERROR(__xludf.DUMMYFUNCTION("""COMPUTED_VALUE"""),5)</f>
        <v>5</v>
      </c>
      <c r="M263" s="4">
        <f ca="1">IFERROR(__xludf.DUMMYFUNCTION("""COMPUTED_VALUE"""),5)</f>
        <v>5</v>
      </c>
      <c r="N263" s="4">
        <f ca="1">IFERROR(__xludf.DUMMYFUNCTION("""COMPUTED_VALUE"""),5)</f>
        <v>5</v>
      </c>
      <c r="O263" s="4">
        <f ca="1">IFERROR(__xludf.DUMMYFUNCTION("""COMPUTED_VALUE"""),5)</f>
        <v>5</v>
      </c>
      <c r="P263" s="4">
        <f ca="1">IFERROR(__xludf.DUMMYFUNCTION("""COMPUTED_VALUE"""),5)</f>
        <v>5</v>
      </c>
      <c r="Q263" s="4">
        <f ca="1">IFERROR(__xludf.DUMMYFUNCTION("""COMPUTED_VALUE"""),5)</f>
        <v>5</v>
      </c>
      <c r="R263" s="4">
        <f ca="1">IFERROR(__xludf.DUMMYFUNCTION("""COMPUTED_VALUE"""),5)</f>
        <v>5</v>
      </c>
      <c r="S263" s="4">
        <f ca="1">IFERROR(__xludf.DUMMYFUNCTION("""COMPUTED_VALUE"""),5)</f>
        <v>5</v>
      </c>
      <c r="T263" s="4">
        <f ca="1">IFERROR(__xludf.DUMMYFUNCTION("""COMPUTED_VALUE"""),5)</f>
        <v>5</v>
      </c>
      <c r="U263" s="4">
        <f ca="1">IFERROR(__xludf.DUMMYFUNCTION("""COMPUTED_VALUE"""),5)</f>
        <v>5</v>
      </c>
      <c r="V263" s="4">
        <f ca="1">IFERROR(__xludf.DUMMYFUNCTION("""COMPUTED_VALUE"""),5)</f>
        <v>5</v>
      </c>
      <c r="W263" s="4">
        <f ca="1">IFERROR(__xludf.DUMMYFUNCTION("""COMPUTED_VALUE"""),4)</f>
        <v>4</v>
      </c>
      <c r="X263" s="4">
        <f ca="1">IFERROR(__xludf.DUMMYFUNCTION("""COMPUTED_VALUE"""),4)</f>
        <v>4</v>
      </c>
      <c r="Y263" s="4">
        <f ca="1">IFERROR(__xludf.DUMMYFUNCTION("""COMPUTED_VALUE"""),5)</f>
        <v>5</v>
      </c>
      <c r="Z263" s="4">
        <f ca="1">IFERROR(__xludf.DUMMYFUNCTION("""COMPUTED_VALUE"""),3)</f>
        <v>3</v>
      </c>
      <c r="AA263" s="4">
        <f ca="1">IFERROR(__xludf.DUMMYFUNCTION("""COMPUTED_VALUE"""),3)</f>
        <v>3</v>
      </c>
      <c r="AB263" s="4">
        <f ca="1">IFERROR(__xludf.DUMMYFUNCTION("""COMPUTED_VALUE"""),5)</f>
        <v>5</v>
      </c>
      <c r="AC263" s="4">
        <f ca="1">IFERROR(__xludf.DUMMYFUNCTION("""COMPUTED_VALUE"""),5)</f>
        <v>5</v>
      </c>
      <c r="AD263" s="4">
        <f ca="1">IFERROR(__xludf.DUMMYFUNCTION("""COMPUTED_VALUE"""),5)</f>
        <v>5</v>
      </c>
      <c r="AE263" s="4">
        <f ca="1">IFERROR(__xludf.DUMMYFUNCTION("""COMPUTED_VALUE"""),5)</f>
        <v>5</v>
      </c>
      <c r="AF263" s="4">
        <f ca="1">IFERROR(__xludf.DUMMYFUNCTION("""COMPUTED_VALUE"""),5)</f>
        <v>5</v>
      </c>
      <c r="AG263" s="4">
        <f ca="1">IFERROR(__xludf.DUMMYFUNCTION("""COMPUTED_VALUE"""),5)</f>
        <v>5</v>
      </c>
      <c r="AH263" s="4">
        <f ca="1">IFERROR(__xludf.DUMMYFUNCTION("""COMPUTED_VALUE"""),5)</f>
        <v>5</v>
      </c>
      <c r="AI263" s="4">
        <f ca="1">IFERROR(__xludf.DUMMYFUNCTION("""COMPUTED_VALUE"""),5)</f>
        <v>5</v>
      </c>
      <c r="AJ263" s="4">
        <f ca="1">IFERROR(__xludf.DUMMYFUNCTION("""COMPUTED_VALUE"""),5)</f>
        <v>5</v>
      </c>
      <c r="AK263" s="4">
        <f ca="1">IFERROR(__xludf.DUMMYFUNCTION("""COMPUTED_VALUE"""),5)</f>
        <v>5</v>
      </c>
      <c r="AL263" s="4">
        <f ca="1">IFERROR(__xludf.DUMMYFUNCTION("""COMPUTED_VALUE"""),5)</f>
        <v>5</v>
      </c>
      <c r="AM263" s="4">
        <f ca="1">IFERROR(__xludf.DUMMYFUNCTION("""COMPUTED_VALUE"""),5)</f>
        <v>5</v>
      </c>
      <c r="AN263" s="4">
        <f ca="1">IFERROR(__xludf.DUMMYFUNCTION("""COMPUTED_VALUE"""),5)</f>
        <v>5</v>
      </c>
      <c r="AO263" s="4">
        <f ca="1">IFERROR(__xludf.DUMMYFUNCTION("""COMPUTED_VALUE"""),5)</f>
        <v>5</v>
      </c>
      <c r="AP263" s="4">
        <f ca="1">IFERROR(__xludf.DUMMYFUNCTION("""COMPUTED_VALUE"""),5)</f>
        <v>5</v>
      </c>
      <c r="AQ263" s="4">
        <f ca="1">IFERROR(__xludf.DUMMYFUNCTION("""COMPUTED_VALUE"""),5)</f>
        <v>5</v>
      </c>
      <c r="AR263" s="4">
        <f ca="1">IFERROR(__xludf.DUMMYFUNCTION("""COMPUTED_VALUE"""),5)</f>
        <v>5</v>
      </c>
      <c r="AS263" s="4">
        <f ca="1">IFERROR(__xludf.DUMMYFUNCTION("""COMPUTED_VALUE"""),5)</f>
        <v>5</v>
      </c>
      <c r="AT263" s="4">
        <f ca="1">IFERROR(__xludf.DUMMYFUNCTION("""COMPUTED_VALUE"""),5)</f>
        <v>5</v>
      </c>
      <c r="AU263" s="4">
        <f ca="1">IFERROR(__xludf.DUMMYFUNCTION("""COMPUTED_VALUE"""),5)</f>
        <v>5</v>
      </c>
      <c r="AV263" s="4">
        <f ca="1">IFERROR(__xludf.DUMMYFUNCTION("""COMPUTED_VALUE"""),5)</f>
        <v>5</v>
      </c>
      <c r="AW263" s="4">
        <f ca="1">IFERROR(__xludf.DUMMYFUNCTION("""COMPUTED_VALUE"""),5)</f>
        <v>5</v>
      </c>
      <c r="AX263" s="4">
        <f ca="1">IFERROR(__xludf.DUMMYFUNCTION("""COMPUTED_VALUE"""),5)</f>
        <v>5</v>
      </c>
      <c r="AY263" s="4">
        <f ca="1">IFERROR(__xludf.DUMMYFUNCTION("""COMPUTED_VALUE"""),5)</f>
        <v>5</v>
      </c>
      <c r="AZ263" s="4">
        <f ca="1">IFERROR(__xludf.DUMMYFUNCTION("""COMPUTED_VALUE"""),5)</f>
        <v>5</v>
      </c>
      <c r="BA263" s="4">
        <f ca="1">IFERROR(__xludf.DUMMYFUNCTION("""COMPUTED_VALUE"""),5)</f>
        <v>5</v>
      </c>
      <c r="BB263" s="4">
        <f ca="1">IFERROR(__xludf.DUMMYFUNCTION("""COMPUTED_VALUE"""),3)</f>
        <v>3</v>
      </c>
      <c r="BC263" s="4">
        <f ca="1">IFERROR(__xludf.DUMMYFUNCTION("""COMPUTED_VALUE"""),3)</f>
        <v>3</v>
      </c>
      <c r="BD263" s="4">
        <f ca="1">IFERROR(__xludf.DUMMYFUNCTION("""COMPUTED_VALUE"""),3)</f>
        <v>3</v>
      </c>
      <c r="BE263" s="4">
        <f ca="1">IFERROR(__xludf.DUMMYFUNCTION("""COMPUTED_VALUE"""),3)</f>
        <v>3</v>
      </c>
      <c r="BF263" s="4">
        <f ca="1">IFERROR(__xludf.DUMMYFUNCTION("""COMPUTED_VALUE"""),3)</f>
        <v>3</v>
      </c>
      <c r="BG263" s="4">
        <f ca="1">IFERROR(__xludf.DUMMYFUNCTION("""COMPUTED_VALUE"""),3)</f>
        <v>3</v>
      </c>
      <c r="BH263" s="4">
        <f ca="1">IFERROR(__xludf.DUMMYFUNCTION("""COMPUTED_VALUE"""),5)</f>
        <v>5</v>
      </c>
      <c r="BI263" s="4">
        <f ca="1">IFERROR(__xludf.DUMMYFUNCTION("""COMPUTED_VALUE"""),5)</f>
        <v>5</v>
      </c>
      <c r="BJ263" s="4">
        <f ca="1">IFERROR(__xludf.DUMMYFUNCTION("""COMPUTED_VALUE"""),5)</f>
        <v>5</v>
      </c>
      <c r="BK263" s="4">
        <f ca="1">IFERROR(__xludf.DUMMYFUNCTION("""COMPUTED_VALUE"""),5)</f>
        <v>5</v>
      </c>
      <c r="BL263" s="4">
        <f ca="1">IFERROR(__xludf.DUMMYFUNCTION("""COMPUTED_VALUE"""),5)</f>
        <v>5</v>
      </c>
      <c r="BM263" s="4">
        <f ca="1">IFERROR(__xludf.DUMMYFUNCTION("""COMPUTED_VALUE"""),5)</f>
        <v>5</v>
      </c>
      <c r="BN263" s="4">
        <f ca="1">IFERROR(__xludf.DUMMYFUNCTION("""COMPUTED_VALUE"""),5)</f>
        <v>5</v>
      </c>
      <c r="BO263" s="4">
        <f ca="1">IFERROR(__xludf.DUMMYFUNCTION("""COMPUTED_VALUE"""),5)</f>
        <v>5</v>
      </c>
      <c r="BP263" s="4">
        <f ca="1">IFERROR(__xludf.DUMMYFUNCTION("""COMPUTED_VALUE"""),5)</f>
        <v>5</v>
      </c>
    </row>
    <row r="264" spans="1:68" ht="13.2" x14ac:dyDescent="0.25">
      <c r="A264" s="4" t="str">
        <f ca="1">IFERROR(__xludf.DUMMYFUNCTION("""COMPUTED_VALUE"""),"2_ABaOnufiY9V_a0Y-0oblmAaSnQa0fgZgN1_S9L9ONUvaSFLbYnr5XLVIjQqmZ8hQIA")</f>
        <v>2_ABaOnufiY9V_a0Y-0oblmAaSnQa0fgZgN1_S9L9ONUvaSFLbYnr5XLVIjQqmZ8hQIA</v>
      </c>
      <c r="B264" s="5">
        <f ca="1">IFERROR(__xludf.DUMMYFUNCTION("""COMPUTED_VALUE"""),45980.4615646064)</f>
        <v>45980.461564606398</v>
      </c>
      <c r="C264" s="4" t="str">
        <f ca="1">IFERROR(__xludf.DUMMYFUNCTION("""COMPUTED_VALUE"""),"Nguyễn Thị Hương")</f>
        <v>Nguyễn Thị Hương</v>
      </c>
      <c r="D264" s="4" t="str">
        <f ca="1">IFERROR(__xludf.DUMMYFUNCTION("""COMPUTED_VALUE"""),"Nữ")</f>
        <v>Nữ</v>
      </c>
      <c r="E264" s="4" t="str">
        <f ca="1">IFERROR(__xludf.DUMMYFUNCTION("""COMPUTED_VALUE"""),"Công ty TNHH Grant Thornton (Việt Nam)")</f>
        <v>Công ty TNHH Grant Thornton (Việt Nam)</v>
      </c>
      <c r="F264" s="4" t="str">
        <f ca="1">IFERROR(__xludf.DUMMYFUNCTION("""COMPUTED_VALUE"""),"Chứng chỉ Kiểm toán viên, ACCA")</f>
        <v>Chứng chỉ Kiểm toán viên, ACCA</v>
      </c>
      <c r="G264" s="4" t="str">
        <f ca="1">IFERROR(__xludf.DUMMYFUNCTION("""COMPUTED_VALUE"""),"Trên 15 đến 20 năm")</f>
        <v>Trên 15 đến 20 năm</v>
      </c>
      <c r="H264" s="4" t="str">
        <f ca="1">IFERROR(__xludf.DUMMYFUNCTION("""COMPUTED_VALUE"""),"Trưởng phòng")</f>
        <v>Trưởng phòng</v>
      </c>
      <c r="I264" s="4">
        <f ca="1">IFERROR(__xludf.DUMMYFUNCTION("""COMPUTED_VALUE"""),5)</f>
        <v>5</v>
      </c>
      <c r="J264" s="4">
        <f ca="1">IFERROR(__xludf.DUMMYFUNCTION("""COMPUTED_VALUE"""),5)</f>
        <v>5</v>
      </c>
      <c r="K264" s="4">
        <f ca="1">IFERROR(__xludf.DUMMYFUNCTION("""COMPUTED_VALUE"""),5)</f>
        <v>5</v>
      </c>
      <c r="L264" s="4">
        <f ca="1">IFERROR(__xludf.DUMMYFUNCTION("""COMPUTED_VALUE"""),5)</f>
        <v>5</v>
      </c>
      <c r="M264" s="4">
        <f ca="1">IFERROR(__xludf.DUMMYFUNCTION("""COMPUTED_VALUE"""),5)</f>
        <v>5</v>
      </c>
      <c r="N264" s="4">
        <f ca="1">IFERROR(__xludf.DUMMYFUNCTION("""COMPUTED_VALUE"""),5)</f>
        <v>5</v>
      </c>
      <c r="O264" s="4">
        <f ca="1">IFERROR(__xludf.DUMMYFUNCTION("""COMPUTED_VALUE"""),5)</f>
        <v>5</v>
      </c>
      <c r="P264" s="4">
        <f ca="1">IFERROR(__xludf.DUMMYFUNCTION("""COMPUTED_VALUE"""),5)</f>
        <v>5</v>
      </c>
      <c r="Q264" s="4">
        <f ca="1">IFERROR(__xludf.DUMMYFUNCTION("""COMPUTED_VALUE"""),5)</f>
        <v>5</v>
      </c>
      <c r="R264" s="4">
        <f ca="1">IFERROR(__xludf.DUMMYFUNCTION("""COMPUTED_VALUE"""),5)</f>
        <v>5</v>
      </c>
      <c r="S264" s="4">
        <f ca="1">IFERROR(__xludf.DUMMYFUNCTION("""COMPUTED_VALUE"""),5)</f>
        <v>5</v>
      </c>
      <c r="T264" s="4">
        <f ca="1">IFERROR(__xludf.DUMMYFUNCTION("""COMPUTED_VALUE"""),5)</f>
        <v>5</v>
      </c>
      <c r="U264" s="4">
        <f ca="1">IFERROR(__xludf.DUMMYFUNCTION("""COMPUTED_VALUE"""),5)</f>
        <v>5</v>
      </c>
      <c r="V264" s="4">
        <f ca="1">IFERROR(__xludf.DUMMYFUNCTION("""COMPUTED_VALUE"""),5)</f>
        <v>5</v>
      </c>
      <c r="W264" s="4">
        <f ca="1">IFERROR(__xludf.DUMMYFUNCTION("""COMPUTED_VALUE"""),5)</f>
        <v>5</v>
      </c>
      <c r="X264" s="4">
        <f ca="1">IFERROR(__xludf.DUMMYFUNCTION("""COMPUTED_VALUE"""),5)</f>
        <v>5</v>
      </c>
      <c r="Y264" s="4">
        <f ca="1">IFERROR(__xludf.DUMMYFUNCTION("""COMPUTED_VALUE"""),4)</f>
        <v>4</v>
      </c>
      <c r="Z264" s="4">
        <f ca="1">IFERROR(__xludf.DUMMYFUNCTION("""COMPUTED_VALUE"""),5)</f>
        <v>5</v>
      </c>
      <c r="AA264" s="4">
        <f ca="1">IFERROR(__xludf.DUMMYFUNCTION("""COMPUTED_VALUE"""),4)</f>
        <v>4</v>
      </c>
      <c r="AB264" s="4">
        <f ca="1">IFERROR(__xludf.DUMMYFUNCTION("""COMPUTED_VALUE"""),4)</f>
        <v>4</v>
      </c>
      <c r="AC264" s="4">
        <f ca="1">IFERROR(__xludf.DUMMYFUNCTION("""COMPUTED_VALUE"""),4)</f>
        <v>4</v>
      </c>
      <c r="AD264" s="4">
        <f ca="1">IFERROR(__xludf.DUMMYFUNCTION("""COMPUTED_VALUE"""),4)</f>
        <v>4</v>
      </c>
      <c r="AE264" s="4">
        <f ca="1">IFERROR(__xludf.DUMMYFUNCTION("""COMPUTED_VALUE"""),4)</f>
        <v>4</v>
      </c>
      <c r="AF264" s="4">
        <f ca="1">IFERROR(__xludf.DUMMYFUNCTION("""COMPUTED_VALUE"""),4)</f>
        <v>4</v>
      </c>
      <c r="AG264" s="4">
        <f ca="1">IFERROR(__xludf.DUMMYFUNCTION("""COMPUTED_VALUE"""),4)</f>
        <v>4</v>
      </c>
      <c r="AH264" s="4">
        <f ca="1">IFERROR(__xludf.DUMMYFUNCTION("""COMPUTED_VALUE"""),4)</f>
        <v>4</v>
      </c>
      <c r="AI264" s="4">
        <f ca="1">IFERROR(__xludf.DUMMYFUNCTION("""COMPUTED_VALUE"""),4)</f>
        <v>4</v>
      </c>
      <c r="AJ264" s="4">
        <f ca="1">IFERROR(__xludf.DUMMYFUNCTION("""COMPUTED_VALUE"""),5)</f>
        <v>5</v>
      </c>
      <c r="AK264" s="4">
        <f ca="1">IFERROR(__xludf.DUMMYFUNCTION("""COMPUTED_VALUE"""),5)</f>
        <v>5</v>
      </c>
      <c r="AL264" s="4">
        <f ca="1">IFERROR(__xludf.DUMMYFUNCTION("""COMPUTED_VALUE"""),5)</f>
        <v>5</v>
      </c>
      <c r="AM264" s="4">
        <f ca="1">IFERROR(__xludf.DUMMYFUNCTION("""COMPUTED_VALUE"""),5)</f>
        <v>5</v>
      </c>
      <c r="AN264" s="4">
        <f ca="1">IFERROR(__xludf.DUMMYFUNCTION("""COMPUTED_VALUE"""),5)</f>
        <v>5</v>
      </c>
      <c r="AO264" s="4">
        <f ca="1">IFERROR(__xludf.DUMMYFUNCTION("""COMPUTED_VALUE"""),4)</f>
        <v>4</v>
      </c>
      <c r="AP264" s="4">
        <f ca="1">IFERROR(__xludf.DUMMYFUNCTION("""COMPUTED_VALUE"""),4)</f>
        <v>4</v>
      </c>
      <c r="AQ264" s="4">
        <f ca="1">IFERROR(__xludf.DUMMYFUNCTION("""COMPUTED_VALUE"""),4)</f>
        <v>4</v>
      </c>
      <c r="AR264" s="4">
        <f ca="1">IFERROR(__xludf.DUMMYFUNCTION("""COMPUTED_VALUE"""),4)</f>
        <v>4</v>
      </c>
      <c r="AS264" s="4">
        <f ca="1">IFERROR(__xludf.DUMMYFUNCTION("""COMPUTED_VALUE"""),4)</f>
        <v>4</v>
      </c>
      <c r="AT264" s="4">
        <f ca="1">IFERROR(__xludf.DUMMYFUNCTION("""COMPUTED_VALUE"""),4)</f>
        <v>4</v>
      </c>
      <c r="AU264" s="4">
        <f ca="1">IFERROR(__xludf.DUMMYFUNCTION("""COMPUTED_VALUE"""),4)</f>
        <v>4</v>
      </c>
      <c r="AV264" s="4">
        <f ca="1">IFERROR(__xludf.DUMMYFUNCTION("""COMPUTED_VALUE"""),4)</f>
        <v>4</v>
      </c>
      <c r="AW264" s="4">
        <f ca="1">IFERROR(__xludf.DUMMYFUNCTION("""COMPUTED_VALUE"""),4)</f>
        <v>4</v>
      </c>
      <c r="AX264" s="4">
        <f ca="1">IFERROR(__xludf.DUMMYFUNCTION("""COMPUTED_VALUE"""),5)</f>
        <v>5</v>
      </c>
      <c r="AY264" s="4">
        <f ca="1">IFERROR(__xludf.DUMMYFUNCTION("""COMPUTED_VALUE"""),5)</f>
        <v>5</v>
      </c>
      <c r="AZ264" s="4">
        <f ca="1">IFERROR(__xludf.DUMMYFUNCTION("""COMPUTED_VALUE"""),5)</f>
        <v>5</v>
      </c>
      <c r="BA264" s="4">
        <f ca="1">IFERROR(__xludf.DUMMYFUNCTION("""COMPUTED_VALUE"""),5)</f>
        <v>5</v>
      </c>
      <c r="BB264" s="4">
        <f ca="1">IFERROR(__xludf.DUMMYFUNCTION("""COMPUTED_VALUE"""),4)</f>
        <v>4</v>
      </c>
      <c r="BC264" s="4">
        <f ca="1">IFERROR(__xludf.DUMMYFUNCTION("""COMPUTED_VALUE"""),4)</f>
        <v>4</v>
      </c>
      <c r="BD264" s="4">
        <f ca="1">IFERROR(__xludf.DUMMYFUNCTION("""COMPUTED_VALUE"""),5)</f>
        <v>5</v>
      </c>
      <c r="BE264" s="4">
        <f ca="1">IFERROR(__xludf.DUMMYFUNCTION("""COMPUTED_VALUE"""),4)</f>
        <v>4</v>
      </c>
      <c r="BF264" s="4">
        <f ca="1">IFERROR(__xludf.DUMMYFUNCTION("""COMPUTED_VALUE"""),5)</f>
        <v>5</v>
      </c>
      <c r="BG264" s="4">
        <f ca="1">IFERROR(__xludf.DUMMYFUNCTION("""COMPUTED_VALUE"""),4)</f>
        <v>4</v>
      </c>
      <c r="BH264" s="4">
        <f ca="1">IFERROR(__xludf.DUMMYFUNCTION("""COMPUTED_VALUE"""),5)</f>
        <v>5</v>
      </c>
      <c r="BI264" s="4">
        <f ca="1">IFERROR(__xludf.DUMMYFUNCTION("""COMPUTED_VALUE"""),5)</f>
        <v>5</v>
      </c>
      <c r="BJ264" s="4">
        <f ca="1">IFERROR(__xludf.DUMMYFUNCTION("""COMPUTED_VALUE"""),5)</f>
        <v>5</v>
      </c>
      <c r="BK264" s="4">
        <f ca="1">IFERROR(__xludf.DUMMYFUNCTION("""COMPUTED_VALUE"""),5)</f>
        <v>5</v>
      </c>
      <c r="BL264" s="4">
        <f ca="1">IFERROR(__xludf.DUMMYFUNCTION("""COMPUTED_VALUE"""),5)</f>
        <v>5</v>
      </c>
      <c r="BM264" s="4">
        <f ca="1">IFERROR(__xludf.DUMMYFUNCTION("""COMPUTED_VALUE"""),5)</f>
        <v>5</v>
      </c>
      <c r="BN264" s="4">
        <f ca="1">IFERROR(__xludf.DUMMYFUNCTION("""COMPUTED_VALUE"""),5)</f>
        <v>5</v>
      </c>
      <c r="BO264" s="4">
        <f ca="1">IFERROR(__xludf.DUMMYFUNCTION("""COMPUTED_VALUE"""),5)</f>
        <v>5</v>
      </c>
      <c r="BP264" s="4">
        <f ca="1">IFERROR(__xludf.DUMMYFUNCTION("""COMPUTED_VALUE"""),5)</f>
        <v>5</v>
      </c>
    </row>
    <row r="265" spans="1:68" ht="13.2" x14ac:dyDescent="0.25">
      <c r="A265" s="4" t="str">
        <f ca="1">IFERROR(__xludf.DUMMYFUNCTION("""COMPUTED_VALUE"""),"2_ABaOnueaj9jX9_S4p9Ls6VKwaP557zAJuJ_QwuH4yGeEupfLFMS2CtwhmoSMWOZTWw")</f>
        <v>2_ABaOnueaj9jX9_S4p9Ls6VKwaP557zAJuJ_QwuH4yGeEupfLFMS2CtwhmoSMWOZTWw</v>
      </c>
      <c r="B265" s="5">
        <f ca="1">IFERROR(__xludf.DUMMYFUNCTION("""COMPUTED_VALUE"""),45980.4673318865)</f>
        <v>45980.467331886503</v>
      </c>
      <c r="C265" s="4" t="str">
        <f ca="1">IFERROR(__xludf.DUMMYFUNCTION("""COMPUTED_VALUE"""),"Nguyễn Văn Chương")</f>
        <v>Nguyễn Văn Chương</v>
      </c>
      <c r="D265" s="4" t="str">
        <f ca="1">IFERROR(__xludf.DUMMYFUNCTION("""COMPUTED_VALUE"""),"Nam")</f>
        <v>Nam</v>
      </c>
      <c r="E265" s="4" t="str">
        <f ca="1">IFERROR(__xludf.DUMMYFUNCTION("""COMPUTED_VALUE"""),"Công ty TNHH Grant Thornton (Việt Nam)")</f>
        <v>Công ty TNHH Grant Thornton (Việt Nam)</v>
      </c>
      <c r="F265" s="4" t="str">
        <f ca="1">IFERROR(__xludf.DUMMYFUNCTION("""COMPUTED_VALUE"""),"Chứng chỉ Kiểm toán viên")</f>
        <v>Chứng chỉ Kiểm toán viên</v>
      </c>
      <c r="G265" s="4" t="str">
        <f ca="1">IFERROR(__xludf.DUMMYFUNCTION("""COMPUTED_VALUE"""),"Trên 5 đến 10 năm")</f>
        <v>Trên 5 đến 10 năm</v>
      </c>
      <c r="H265" s="4" t="str">
        <f ca="1">IFERROR(__xludf.DUMMYFUNCTION("""COMPUTED_VALUE"""),"Trưởng phòng")</f>
        <v>Trưởng phòng</v>
      </c>
      <c r="I265" s="4">
        <f ca="1">IFERROR(__xludf.DUMMYFUNCTION("""COMPUTED_VALUE"""),5)</f>
        <v>5</v>
      </c>
      <c r="J265" s="4">
        <f ca="1">IFERROR(__xludf.DUMMYFUNCTION("""COMPUTED_VALUE"""),4)</f>
        <v>4</v>
      </c>
      <c r="K265" s="4">
        <f ca="1">IFERROR(__xludf.DUMMYFUNCTION("""COMPUTED_VALUE"""),5)</f>
        <v>5</v>
      </c>
      <c r="L265" s="4">
        <f ca="1">IFERROR(__xludf.DUMMYFUNCTION("""COMPUTED_VALUE"""),4)</f>
        <v>4</v>
      </c>
      <c r="M265" s="4">
        <f ca="1">IFERROR(__xludf.DUMMYFUNCTION("""COMPUTED_VALUE"""),4)</f>
        <v>4</v>
      </c>
      <c r="N265" s="4">
        <f ca="1">IFERROR(__xludf.DUMMYFUNCTION("""COMPUTED_VALUE"""),5)</f>
        <v>5</v>
      </c>
      <c r="O265" s="4">
        <f ca="1">IFERROR(__xludf.DUMMYFUNCTION("""COMPUTED_VALUE"""),5)</f>
        <v>5</v>
      </c>
      <c r="P265" s="4">
        <f ca="1">IFERROR(__xludf.DUMMYFUNCTION("""COMPUTED_VALUE"""),5)</f>
        <v>5</v>
      </c>
      <c r="Q265" s="4">
        <f ca="1">IFERROR(__xludf.DUMMYFUNCTION("""COMPUTED_VALUE"""),5)</f>
        <v>5</v>
      </c>
      <c r="R265" s="4">
        <f ca="1">IFERROR(__xludf.DUMMYFUNCTION("""COMPUTED_VALUE"""),5)</f>
        <v>5</v>
      </c>
      <c r="S265" s="4">
        <f ca="1">IFERROR(__xludf.DUMMYFUNCTION("""COMPUTED_VALUE"""),5)</f>
        <v>5</v>
      </c>
      <c r="T265" s="4">
        <f ca="1">IFERROR(__xludf.DUMMYFUNCTION("""COMPUTED_VALUE"""),5)</f>
        <v>5</v>
      </c>
      <c r="U265" s="4">
        <f ca="1">IFERROR(__xludf.DUMMYFUNCTION("""COMPUTED_VALUE"""),5)</f>
        <v>5</v>
      </c>
      <c r="V265" s="4">
        <f ca="1">IFERROR(__xludf.DUMMYFUNCTION("""COMPUTED_VALUE"""),5)</f>
        <v>5</v>
      </c>
      <c r="W265" s="4">
        <f ca="1">IFERROR(__xludf.DUMMYFUNCTION("""COMPUTED_VALUE"""),4)</f>
        <v>4</v>
      </c>
      <c r="X265" s="4">
        <f ca="1">IFERROR(__xludf.DUMMYFUNCTION("""COMPUTED_VALUE"""),4)</f>
        <v>4</v>
      </c>
      <c r="Y265" s="4">
        <f ca="1">IFERROR(__xludf.DUMMYFUNCTION("""COMPUTED_VALUE"""),4)</f>
        <v>4</v>
      </c>
      <c r="Z265" s="4">
        <f ca="1">IFERROR(__xludf.DUMMYFUNCTION("""COMPUTED_VALUE"""),4)</f>
        <v>4</v>
      </c>
      <c r="AA265" s="4">
        <f ca="1">IFERROR(__xludf.DUMMYFUNCTION("""COMPUTED_VALUE"""),4)</f>
        <v>4</v>
      </c>
      <c r="AB265" s="4">
        <f ca="1">IFERROR(__xludf.DUMMYFUNCTION("""COMPUTED_VALUE"""),5)</f>
        <v>5</v>
      </c>
      <c r="AC265" s="4">
        <f ca="1">IFERROR(__xludf.DUMMYFUNCTION("""COMPUTED_VALUE"""),4)</f>
        <v>4</v>
      </c>
      <c r="AD265" s="4">
        <f ca="1">IFERROR(__xludf.DUMMYFUNCTION("""COMPUTED_VALUE"""),3)</f>
        <v>3</v>
      </c>
      <c r="AE265" s="4">
        <f ca="1">IFERROR(__xludf.DUMMYFUNCTION("""COMPUTED_VALUE"""),4)</f>
        <v>4</v>
      </c>
      <c r="AF265" s="4">
        <f ca="1">IFERROR(__xludf.DUMMYFUNCTION("""COMPUTED_VALUE"""),5)</f>
        <v>5</v>
      </c>
      <c r="AG265" s="4">
        <f ca="1">IFERROR(__xludf.DUMMYFUNCTION("""COMPUTED_VALUE"""),4)</f>
        <v>4</v>
      </c>
      <c r="AH265" s="4">
        <f ca="1">IFERROR(__xludf.DUMMYFUNCTION("""COMPUTED_VALUE"""),3)</f>
        <v>3</v>
      </c>
      <c r="AI265" s="4">
        <f ca="1">IFERROR(__xludf.DUMMYFUNCTION("""COMPUTED_VALUE"""),3)</f>
        <v>3</v>
      </c>
      <c r="AJ265" s="4">
        <f ca="1">IFERROR(__xludf.DUMMYFUNCTION("""COMPUTED_VALUE"""),5)</f>
        <v>5</v>
      </c>
      <c r="AK265" s="4">
        <f ca="1">IFERROR(__xludf.DUMMYFUNCTION("""COMPUTED_VALUE"""),5)</f>
        <v>5</v>
      </c>
      <c r="AL265" s="4">
        <f ca="1">IFERROR(__xludf.DUMMYFUNCTION("""COMPUTED_VALUE"""),5)</f>
        <v>5</v>
      </c>
      <c r="AM265" s="4">
        <f ca="1">IFERROR(__xludf.DUMMYFUNCTION("""COMPUTED_VALUE"""),5)</f>
        <v>5</v>
      </c>
      <c r="AN265" s="4">
        <f ca="1">IFERROR(__xludf.DUMMYFUNCTION("""COMPUTED_VALUE"""),5)</f>
        <v>5</v>
      </c>
      <c r="AO265" s="4">
        <f ca="1">IFERROR(__xludf.DUMMYFUNCTION("""COMPUTED_VALUE"""),5)</f>
        <v>5</v>
      </c>
      <c r="AP265" s="4">
        <f ca="1">IFERROR(__xludf.DUMMYFUNCTION("""COMPUTED_VALUE"""),5)</f>
        <v>5</v>
      </c>
      <c r="AQ265" s="4">
        <f ca="1">IFERROR(__xludf.DUMMYFUNCTION("""COMPUTED_VALUE"""),5)</f>
        <v>5</v>
      </c>
      <c r="AR265" s="4">
        <f ca="1">IFERROR(__xludf.DUMMYFUNCTION("""COMPUTED_VALUE"""),5)</f>
        <v>5</v>
      </c>
      <c r="AS265" s="4">
        <f ca="1">IFERROR(__xludf.DUMMYFUNCTION("""COMPUTED_VALUE"""),5)</f>
        <v>5</v>
      </c>
      <c r="AT265" s="4">
        <f ca="1">IFERROR(__xludf.DUMMYFUNCTION("""COMPUTED_VALUE"""),5)</f>
        <v>5</v>
      </c>
      <c r="AU265" s="4">
        <f ca="1">IFERROR(__xludf.DUMMYFUNCTION("""COMPUTED_VALUE"""),5)</f>
        <v>5</v>
      </c>
      <c r="AV265" s="4">
        <f ca="1">IFERROR(__xludf.DUMMYFUNCTION("""COMPUTED_VALUE"""),5)</f>
        <v>5</v>
      </c>
      <c r="AW265" s="4">
        <f ca="1">IFERROR(__xludf.DUMMYFUNCTION("""COMPUTED_VALUE"""),5)</f>
        <v>5</v>
      </c>
      <c r="AX265" s="4">
        <f ca="1">IFERROR(__xludf.DUMMYFUNCTION("""COMPUTED_VALUE"""),5)</f>
        <v>5</v>
      </c>
      <c r="AY265" s="4">
        <f ca="1">IFERROR(__xludf.DUMMYFUNCTION("""COMPUTED_VALUE"""),5)</f>
        <v>5</v>
      </c>
      <c r="AZ265" s="4">
        <f ca="1">IFERROR(__xludf.DUMMYFUNCTION("""COMPUTED_VALUE"""),5)</f>
        <v>5</v>
      </c>
      <c r="BA265" s="4">
        <f ca="1">IFERROR(__xludf.DUMMYFUNCTION("""COMPUTED_VALUE"""),5)</f>
        <v>5</v>
      </c>
      <c r="BB265" s="4">
        <f ca="1">IFERROR(__xludf.DUMMYFUNCTION("""COMPUTED_VALUE"""),4)</f>
        <v>4</v>
      </c>
      <c r="BC265" s="4">
        <f ca="1">IFERROR(__xludf.DUMMYFUNCTION("""COMPUTED_VALUE"""),4)</f>
        <v>4</v>
      </c>
      <c r="BD265" s="4">
        <f ca="1">IFERROR(__xludf.DUMMYFUNCTION("""COMPUTED_VALUE"""),4)</f>
        <v>4</v>
      </c>
      <c r="BE265" s="4">
        <f ca="1">IFERROR(__xludf.DUMMYFUNCTION("""COMPUTED_VALUE"""),4)</f>
        <v>4</v>
      </c>
      <c r="BF265" s="4">
        <f ca="1">IFERROR(__xludf.DUMMYFUNCTION("""COMPUTED_VALUE"""),4)</f>
        <v>4</v>
      </c>
      <c r="BG265" s="4">
        <f ca="1">IFERROR(__xludf.DUMMYFUNCTION("""COMPUTED_VALUE"""),4)</f>
        <v>4</v>
      </c>
      <c r="BH265" s="4">
        <f ca="1">IFERROR(__xludf.DUMMYFUNCTION("""COMPUTED_VALUE"""),5)</f>
        <v>5</v>
      </c>
      <c r="BI265" s="4">
        <f ca="1">IFERROR(__xludf.DUMMYFUNCTION("""COMPUTED_VALUE"""),5)</f>
        <v>5</v>
      </c>
      <c r="BJ265" s="4">
        <f ca="1">IFERROR(__xludf.DUMMYFUNCTION("""COMPUTED_VALUE"""),5)</f>
        <v>5</v>
      </c>
      <c r="BK265" s="4">
        <f ca="1">IFERROR(__xludf.DUMMYFUNCTION("""COMPUTED_VALUE"""),5)</f>
        <v>5</v>
      </c>
      <c r="BL265" s="4">
        <f ca="1">IFERROR(__xludf.DUMMYFUNCTION("""COMPUTED_VALUE"""),5)</f>
        <v>5</v>
      </c>
      <c r="BM265" s="4">
        <f ca="1">IFERROR(__xludf.DUMMYFUNCTION("""COMPUTED_VALUE"""),5)</f>
        <v>5</v>
      </c>
      <c r="BN265" s="4">
        <f ca="1">IFERROR(__xludf.DUMMYFUNCTION("""COMPUTED_VALUE"""),5)</f>
        <v>5</v>
      </c>
      <c r="BO265" s="4">
        <f ca="1">IFERROR(__xludf.DUMMYFUNCTION("""COMPUTED_VALUE"""),5)</f>
        <v>5</v>
      </c>
      <c r="BP265" s="4">
        <f ca="1">IFERROR(__xludf.DUMMYFUNCTION("""COMPUTED_VALUE"""),5)</f>
        <v>5</v>
      </c>
    </row>
    <row r="266" spans="1:68" ht="13.2" x14ac:dyDescent="0.25">
      <c r="A266" s="4" t="str">
        <f ca="1">IFERROR(__xludf.DUMMYFUNCTION("""COMPUTED_VALUE"""),"2_ABaOnudkKTdyZTLB1oX0xueY1fsbuzSm-nfxBN9UHlyf1MT6vPZI2b2nawNgB7E7Fg")</f>
        <v>2_ABaOnudkKTdyZTLB1oX0xueY1fsbuzSm-nfxBN9UHlyf1MT6vPZI2b2nawNgB7E7Fg</v>
      </c>
      <c r="B266" s="5">
        <f ca="1">IFERROR(__xludf.DUMMYFUNCTION("""COMPUTED_VALUE"""),45980.623109618)</f>
        <v>45980.623109617998</v>
      </c>
      <c r="C266" s="4" t="str">
        <f ca="1">IFERROR(__xludf.DUMMYFUNCTION("""COMPUTED_VALUE"""),"Lê Tiến Thành")</f>
        <v>Lê Tiến Thành</v>
      </c>
      <c r="D266" s="4" t="str">
        <f ca="1">IFERROR(__xludf.DUMMYFUNCTION("""COMPUTED_VALUE"""),"Nam")</f>
        <v>Nam</v>
      </c>
      <c r="E266" s="4" t="str">
        <f ca="1">IFERROR(__xludf.DUMMYFUNCTION("""COMPUTED_VALUE"""),"Công ty TNHH Kiểm toán Quốc tế PNT")</f>
        <v>Công ty TNHH Kiểm toán Quốc tế PNT</v>
      </c>
      <c r="F266" s="4" t="str">
        <f ca="1">IFERROR(__xludf.DUMMYFUNCTION("""COMPUTED_VALUE"""),"Chứng chỉ Kiểm toán viên")</f>
        <v>Chứng chỉ Kiểm toán viên</v>
      </c>
      <c r="G266" s="4" t="str">
        <f ca="1">IFERROR(__xludf.DUMMYFUNCTION("""COMPUTED_VALUE"""),"Trên 5 đến 10 năm")</f>
        <v>Trên 5 đến 10 năm</v>
      </c>
      <c r="H266" s="4" t="str">
        <f ca="1">IFERROR(__xludf.DUMMYFUNCTION("""COMPUTED_VALUE"""),"Kiểm toán viên/Trưởng nhóm")</f>
        <v>Kiểm toán viên/Trưởng nhóm</v>
      </c>
      <c r="I266" s="4">
        <f ca="1">IFERROR(__xludf.DUMMYFUNCTION("""COMPUTED_VALUE"""),5)</f>
        <v>5</v>
      </c>
      <c r="J266" s="4">
        <f ca="1">IFERROR(__xludf.DUMMYFUNCTION("""COMPUTED_VALUE"""),5)</f>
        <v>5</v>
      </c>
      <c r="K266" s="4">
        <f ca="1">IFERROR(__xludf.DUMMYFUNCTION("""COMPUTED_VALUE"""),5)</f>
        <v>5</v>
      </c>
      <c r="L266" s="4">
        <f ca="1">IFERROR(__xludf.DUMMYFUNCTION("""COMPUTED_VALUE"""),5)</f>
        <v>5</v>
      </c>
      <c r="M266" s="4">
        <f ca="1">IFERROR(__xludf.DUMMYFUNCTION("""COMPUTED_VALUE"""),5)</f>
        <v>5</v>
      </c>
      <c r="N266" s="4">
        <f ca="1">IFERROR(__xludf.DUMMYFUNCTION("""COMPUTED_VALUE"""),3)</f>
        <v>3</v>
      </c>
      <c r="O266" s="4">
        <f ca="1">IFERROR(__xludf.DUMMYFUNCTION("""COMPUTED_VALUE"""),3)</f>
        <v>3</v>
      </c>
      <c r="P266" s="4">
        <f ca="1">IFERROR(__xludf.DUMMYFUNCTION("""COMPUTED_VALUE"""),5)</f>
        <v>5</v>
      </c>
      <c r="Q266" s="4">
        <f ca="1">IFERROR(__xludf.DUMMYFUNCTION("""COMPUTED_VALUE"""),5)</f>
        <v>5</v>
      </c>
      <c r="R266" s="4">
        <f ca="1">IFERROR(__xludf.DUMMYFUNCTION("""COMPUTED_VALUE"""),4)</f>
        <v>4</v>
      </c>
      <c r="S266" s="4">
        <f ca="1">IFERROR(__xludf.DUMMYFUNCTION("""COMPUTED_VALUE"""),5)</f>
        <v>5</v>
      </c>
      <c r="T266" s="4">
        <f ca="1">IFERROR(__xludf.DUMMYFUNCTION("""COMPUTED_VALUE"""),5)</f>
        <v>5</v>
      </c>
      <c r="U266" s="4">
        <f ca="1">IFERROR(__xludf.DUMMYFUNCTION("""COMPUTED_VALUE"""),4)</f>
        <v>4</v>
      </c>
      <c r="V266" s="4">
        <f ca="1">IFERROR(__xludf.DUMMYFUNCTION("""COMPUTED_VALUE"""),5)</f>
        <v>5</v>
      </c>
      <c r="W266" s="4">
        <f ca="1">IFERROR(__xludf.DUMMYFUNCTION("""COMPUTED_VALUE"""),4)</f>
        <v>4</v>
      </c>
      <c r="X266" s="4">
        <f ca="1">IFERROR(__xludf.DUMMYFUNCTION("""COMPUTED_VALUE"""),4)</f>
        <v>4</v>
      </c>
      <c r="Y266" s="4">
        <f ca="1">IFERROR(__xludf.DUMMYFUNCTION("""COMPUTED_VALUE"""),2)</f>
        <v>2</v>
      </c>
      <c r="Z266" s="4">
        <f ca="1">IFERROR(__xludf.DUMMYFUNCTION("""COMPUTED_VALUE"""),5)</f>
        <v>5</v>
      </c>
      <c r="AA266" s="4">
        <f ca="1">IFERROR(__xludf.DUMMYFUNCTION("""COMPUTED_VALUE"""),2)</f>
        <v>2</v>
      </c>
      <c r="AB266" s="4">
        <f ca="1">IFERROR(__xludf.DUMMYFUNCTION("""COMPUTED_VALUE"""),5)</f>
        <v>5</v>
      </c>
      <c r="AC266" s="4">
        <f ca="1">IFERROR(__xludf.DUMMYFUNCTION("""COMPUTED_VALUE"""),4)</f>
        <v>4</v>
      </c>
      <c r="AD266" s="4">
        <f ca="1">IFERROR(__xludf.DUMMYFUNCTION("""COMPUTED_VALUE"""),4)</f>
        <v>4</v>
      </c>
      <c r="AE266" s="4">
        <f ca="1">IFERROR(__xludf.DUMMYFUNCTION("""COMPUTED_VALUE"""),5)</f>
        <v>5</v>
      </c>
      <c r="AF266" s="4">
        <f ca="1">IFERROR(__xludf.DUMMYFUNCTION("""COMPUTED_VALUE"""),5)</f>
        <v>5</v>
      </c>
      <c r="AG266" s="4">
        <f ca="1">IFERROR(__xludf.DUMMYFUNCTION("""COMPUTED_VALUE"""),5)</f>
        <v>5</v>
      </c>
      <c r="AH266" s="4">
        <f ca="1">IFERROR(__xludf.DUMMYFUNCTION("""COMPUTED_VALUE"""),5)</f>
        <v>5</v>
      </c>
      <c r="AI266" s="4">
        <f ca="1">IFERROR(__xludf.DUMMYFUNCTION("""COMPUTED_VALUE"""),3)</f>
        <v>3</v>
      </c>
      <c r="AJ266" s="4">
        <f ca="1">IFERROR(__xludf.DUMMYFUNCTION("""COMPUTED_VALUE"""),5)</f>
        <v>5</v>
      </c>
      <c r="AK266" s="4">
        <f ca="1">IFERROR(__xludf.DUMMYFUNCTION("""COMPUTED_VALUE"""),5)</f>
        <v>5</v>
      </c>
      <c r="AL266" s="4">
        <f ca="1">IFERROR(__xludf.DUMMYFUNCTION("""COMPUTED_VALUE"""),5)</f>
        <v>5</v>
      </c>
      <c r="AM266" s="4">
        <f ca="1">IFERROR(__xludf.DUMMYFUNCTION("""COMPUTED_VALUE"""),5)</f>
        <v>5</v>
      </c>
      <c r="AN266" s="4">
        <f ca="1">IFERROR(__xludf.DUMMYFUNCTION("""COMPUTED_VALUE"""),5)</f>
        <v>5</v>
      </c>
      <c r="AO266" s="4">
        <f ca="1">IFERROR(__xludf.DUMMYFUNCTION("""COMPUTED_VALUE"""),4)</f>
        <v>4</v>
      </c>
      <c r="AP266" s="4">
        <f ca="1">IFERROR(__xludf.DUMMYFUNCTION("""COMPUTED_VALUE"""),3)</f>
        <v>3</v>
      </c>
      <c r="AQ266" s="4">
        <f ca="1">IFERROR(__xludf.DUMMYFUNCTION("""COMPUTED_VALUE"""),4)</f>
        <v>4</v>
      </c>
      <c r="AR266" s="4">
        <f ca="1">IFERROR(__xludf.DUMMYFUNCTION("""COMPUTED_VALUE"""),3)</f>
        <v>3</v>
      </c>
      <c r="AS266" s="4">
        <f ca="1">IFERROR(__xludf.DUMMYFUNCTION("""COMPUTED_VALUE"""),3)</f>
        <v>3</v>
      </c>
      <c r="AT266" s="4">
        <f ca="1">IFERROR(__xludf.DUMMYFUNCTION("""COMPUTED_VALUE"""),2)</f>
        <v>2</v>
      </c>
      <c r="AU266" s="4">
        <f ca="1">IFERROR(__xludf.DUMMYFUNCTION("""COMPUTED_VALUE"""),5)</f>
        <v>5</v>
      </c>
      <c r="AV266" s="4">
        <f ca="1">IFERROR(__xludf.DUMMYFUNCTION("""COMPUTED_VALUE"""),5)</f>
        <v>5</v>
      </c>
      <c r="AW266" s="4">
        <f ca="1">IFERROR(__xludf.DUMMYFUNCTION("""COMPUTED_VALUE"""),5)</f>
        <v>5</v>
      </c>
      <c r="AX266" s="4">
        <f ca="1">IFERROR(__xludf.DUMMYFUNCTION("""COMPUTED_VALUE"""),5)</f>
        <v>5</v>
      </c>
      <c r="AY266" s="4">
        <f ca="1">IFERROR(__xludf.DUMMYFUNCTION("""COMPUTED_VALUE"""),5)</f>
        <v>5</v>
      </c>
      <c r="AZ266" s="4">
        <f ca="1">IFERROR(__xludf.DUMMYFUNCTION("""COMPUTED_VALUE"""),5)</f>
        <v>5</v>
      </c>
      <c r="BA266" s="4">
        <f ca="1">IFERROR(__xludf.DUMMYFUNCTION("""COMPUTED_VALUE"""),5)</f>
        <v>5</v>
      </c>
      <c r="BB266" s="4">
        <f ca="1">IFERROR(__xludf.DUMMYFUNCTION("""COMPUTED_VALUE"""),5)</f>
        <v>5</v>
      </c>
      <c r="BC266" s="4">
        <f ca="1">IFERROR(__xludf.DUMMYFUNCTION("""COMPUTED_VALUE"""),2)</f>
        <v>2</v>
      </c>
      <c r="BD266" s="4">
        <f ca="1">IFERROR(__xludf.DUMMYFUNCTION("""COMPUTED_VALUE"""),4)</f>
        <v>4</v>
      </c>
      <c r="BE266" s="4">
        <f ca="1">IFERROR(__xludf.DUMMYFUNCTION("""COMPUTED_VALUE"""),4)</f>
        <v>4</v>
      </c>
      <c r="BF266" s="4">
        <f ca="1">IFERROR(__xludf.DUMMYFUNCTION("""COMPUTED_VALUE"""),5)</f>
        <v>5</v>
      </c>
      <c r="BG266" s="4">
        <f ca="1">IFERROR(__xludf.DUMMYFUNCTION("""COMPUTED_VALUE"""),2)</f>
        <v>2</v>
      </c>
      <c r="BH266" s="4">
        <f ca="1">IFERROR(__xludf.DUMMYFUNCTION("""COMPUTED_VALUE"""),5)</f>
        <v>5</v>
      </c>
      <c r="BI266" s="4">
        <f ca="1">IFERROR(__xludf.DUMMYFUNCTION("""COMPUTED_VALUE"""),5)</f>
        <v>5</v>
      </c>
      <c r="BJ266" s="4">
        <f ca="1">IFERROR(__xludf.DUMMYFUNCTION("""COMPUTED_VALUE"""),5)</f>
        <v>5</v>
      </c>
      <c r="BK266" s="4">
        <f ca="1">IFERROR(__xludf.DUMMYFUNCTION("""COMPUTED_VALUE"""),5)</f>
        <v>5</v>
      </c>
      <c r="BL266" s="4">
        <f ca="1">IFERROR(__xludf.DUMMYFUNCTION("""COMPUTED_VALUE"""),5)</f>
        <v>5</v>
      </c>
      <c r="BM266" s="4">
        <f ca="1">IFERROR(__xludf.DUMMYFUNCTION("""COMPUTED_VALUE"""),5)</f>
        <v>5</v>
      </c>
      <c r="BN266" s="4">
        <f ca="1">IFERROR(__xludf.DUMMYFUNCTION("""COMPUTED_VALUE"""),5)</f>
        <v>5</v>
      </c>
      <c r="BO266" s="4">
        <f ca="1">IFERROR(__xludf.DUMMYFUNCTION("""COMPUTED_VALUE"""),5)</f>
        <v>5</v>
      </c>
      <c r="BP266" s="4">
        <f ca="1">IFERROR(__xludf.DUMMYFUNCTION("""COMPUTED_VALUE"""),5)</f>
        <v>5</v>
      </c>
    </row>
    <row r="267" spans="1:68" ht="13.2" x14ac:dyDescent="0.25">
      <c r="A267" s="4" t="str">
        <f ca="1">IFERROR(__xludf.DUMMYFUNCTION("""COMPUTED_VALUE"""),"2_ABaOnud6tPRYXHVIOnG01LrPqCweKFfrGTOWRIpNsNv5JEB26hn3sbboEjPZKsSXrQ")</f>
        <v>2_ABaOnud6tPRYXHVIOnG01LrPqCweKFfrGTOWRIpNsNv5JEB26hn3sbboEjPZKsSXrQ</v>
      </c>
      <c r="B267" s="5">
        <f ca="1">IFERROR(__xludf.DUMMYFUNCTION("""COMPUTED_VALUE"""),45980.624975405)</f>
        <v>45980.624975405</v>
      </c>
      <c r="C267" s="4" t="str">
        <f ca="1">IFERROR(__xludf.DUMMYFUNCTION("""COMPUTED_VALUE"""),"Hoàng Khánh Linh")</f>
        <v>Hoàng Khánh Linh</v>
      </c>
      <c r="D267" s="4" t="str">
        <f ca="1">IFERROR(__xludf.DUMMYFUNCTION("""COMPUTED_VALUE"""),"Nữ")</f>
        <v>Nữ</v>
      </c>
      <c r="E267" s="4" t="str">
        <f ca="1">IFERROR(__xludf.DUMMYFUNCTION("""COMPUTED_VALUE"""),"Công ty TNHH Kiểm toán Quốc tế PNT")</f>
        <v>Công ty TNHH Kiểm toán Quốc tế PNT</v>
      </c>
      <c r="F267" s="4" t="str">
        <f ca="1">IFERROR(__xludf.DUMMYFUNCTION("""COMPUTED_VALUE"""),"Đại học")</f>
        <v>Đại học</v>
      </c>
      <c r="G267" s="4" t="str">
        <f ca="1">IFERROR(__xludf.DUMMYFUNCTION("""COMPUTED_VALUE"""),"Từ 3 đến 5 năm")</f>
        <v>Từ 3 đến 5 năm</v>
      </c>
      <c r="H267" s="4" t="str">
        <f ca="1">IFERROR(__xludf.DUMMYFUNCTION("""COMPUTED_VALUE"""),"Trợ lý kiểm toán")</f>
        <v>Trợ lý kiểm toán</v>
      </c>
      <c r="I267" s="4">
        <f ca="1">IFERROR(__xludf.DUMMYFUNCTION("""COMPUTED_VALUE"""),5)</f>
        <v>5</v>
      </c>
      <c r="J267" s="4">
        <f ca="1">IFERROR(__xludf.DUMMYFUNCTION("""COMPUTED_VALUE"""),5)</f>
        <v>5</v>
      </c>
      <c r="K267" s="4">
        <f ca="1">IFERROR(__xludf.DUMMYFUNCTION("""COMPUTED_VALUE"""),5)</f>
        <v>5</v>
      </c>
      <c r="L267" s="4">
        <f ca="1">IFERROR(__xludf.DUMMYFUNCTION("""COMPUTED_VALUE"""),5)</f>
        <v>5</v>
      </c>
      <c r="M267" s="4">
        <f ca="1">IFERROR(__xludf.DUMMYFUNCTION("""COMPUTED_VALUE"""),5)</f>
        <v>5</v>
      </c>
      <c r="N267" s="4">
        <f ca="1">IFERROR(__xludf.DUMMYFUNCTION("""COMPUTED_VALUE"""),5)</f>
        <v>5</v>
      </c>
      <c r="O267" s="4">
        <f ca="1">IFERROR(__xludf.DUMMYFUNCTION("""COMPUTED_VALUE"""),5)</f>
        <v>5</v>
      </c>
      <c r="P267" s="4">
        <f ca="1">IFERROR(__xludf.DUMMYFUNCTION("""COMPUTED_VALUE"""),5)</f>
        <v>5</v>
      </c>
      <c r="Q267" s="4">
        <f ca="1">IFERROR(__xludf.DUMMYFUNCTION("""COMPUTED_VALUE"""),5)</f>
        <v>5</v>
      </c>
      <c r="R267" s="4">
        <f ca="1">IFERROR(__xludf.DUMMYFUNCTION("""COMPUTED_VALUE"""),4)</f>
        <v>4</v>
      </c>
      <c r="S267" s="4">
        <f ca="1">IFERROR(__xludf.DUMMYFUNCTION("""COMPUTED_VALUE"""),4)</f>
        <v>4</v>
      </c>
      <c r="T267" s="4">
        <f ca="1">IFERROR(__xludf.DUMMYFUNCTION("""COMPUTED_VALUE"""),4)</f>
        <v>4</v>
      </c>
      <c r="U267" s="4">
        <f ca="1">IFERROR(__xludf.DUMMYFUNCTION("""COMPUTED_VALUE"""),5)</f>
        <v>5</v>
      </c>
      <c r="V267" s="4">
        <f ca="1">IFERROR(__xludf.DUMMYFUNCTION("""COMPUTED_VALUE"""),5)</f>
        <v>5</v>
      </c>
      <c r="W267" s="4">
        <f ca="1">IFERROR(__xludf.DUMMYFUNCTION("""COMPUTED_VALUE"""),3)</f>
        <v>3</v>
      </c>
      <c r="X267" s="4">
        <f ca="1">IFERROR(__xludf.DUMMYFUNCTION("""COMPUTED_VALUE"""),3)</f>
        <v>3</v>
      </c>
      <c r="Y267" s="4">
        <f ca="1">IFERROR(__xludf.DUMMYFUNCTION("""COMPUTED_VALUE"""),4)</f>
        <v>4</v>
      </c>
      <c r="Z267" s="4">
        <f ca="1">IFERROR(__xludf.DUMMYFUNCTION("""COMPUTED_VALUE"""),3)</f>
        <v>3</v>
      </c>
      <c r="AA267" s="4">
        <f ca="1">IFERROR(__xludf.DUMMYFUNCTION("""COMPUTED_VALUE"""),3)</f>
        <v>3</v>
      </c>
      <c r="AB267" s="4">
        <f ca="1">IFERROR(__xludf.DUMMYFUNCTION("""COMPUTED_VALUE"""),4)</f>
        <v>4</v>
      </c>
      <c r="AC267" s="4">
        <f ca="1">IFERROR(__xludf.DUMMYFUNCTION("""COMPUTED_VALUE"""),4)</f>
        <v>4</v>
      </c>
      <c r="AD267" s="4">
        <f ca="1">IFERROR(__xludf.DUMMYFUNCTION("""COMPUTED_VALUE"""),4)</f>
        <v>4</v>
      </c>
      <c r="AE267" s="4">
        <f ca="1">IFERROR(__xludf.DUMMYFUNCTION("""COMPUTED_VALUE"""),5)</f>
        <v>5</v>
      </c>
      <c r="AF267" s="4">
        <f ca="1">IFERROR(__xludf.DUMMYFUNCTION("""COMPUTED_VALUE"""),4)</f>
        <v>4</v>
      </c>
      <c r="AG267" s="4">
        <f ca="1">IFERROR(__xludf.DUMMYFUNCTION("""COMPUTED_VALUE"""),4)</f>
        <v>4</v>
      </c>
      <c r="AH267" s="4">
        <f ca="1">IFERROR(__xludf.DUMMYFUNCTION("""COMPUTED_VALUE"""),4)</f>
        <v>4</v>
      </c>
      <c r="AI267" s="4">
        <f ca="1">IFERROR(__xludf.DUMMYFUNCTION("""COMPUTED_VALUE"""),4)</f>
        <v>4</v>
      </c>
      <c r="AJ267" s="4">
        <f ca="1">IFERROR(__xludf.DUMMYFUNCTION("""COMPUTED_VALUE"""),4)</f>
        <v>4</v>
      </c>
      <c r="AK267" s="4">
        <f ca="1">IFERROR(__xludf.DUMMYFUNCTION("""COMPUTED_VALUE"""),4)</f>
        <v>4</v>
      </c>
      <c r="AL267" s="4">
        <f ca="1">IFERROR(__xludf.DUMMYFUNCTION("""COMPUTED_VALUE"""),4)</f>
        <v>4</v>
      </c>
      <c r="AM267" s="4">
        <f ca="1">IFERROR(__xludf.DUMMYFUNCTION("""COMPUTED_VALUE"""),3)</f>
        <v>3</v>
      </c>
      <c r="AN267" s="4">
        <f ca="1">IFERROR(__xludf.DUMMYFUNCTION("""COMPUTED_VALUE"""),4)</f>
        <v>4</v>
      </c>
      <c r="AO267" s="4">
        <f ca="1">IFERROR(__xludf.DUMMYFUNCTION("""COMPUTED_VALUE"""),3)</f>
        <v>3</v>
      </c>
      <c r="AP267" s="4">
        <f ca="1">IFERROR(__xludf.DUMMYFUNCTION("""COMPUTED_VALUE"""),4)</f>
        <v>4</v>
      </c>
      <c r="AQ267" s="4">
        <f ca="1">IFERROR(__xludf.DUMMYFUNCTION("""COMPUTED_VALUE"""),4)</f>
        <v>4</v>
      </c>
      <c r="AR267" s="4">
        <f ca="1">IFERROR(__xludf.DUMMYFUNCTION("""COMPUTED_VALUE"""),3)</f>
        <v>3</v>
      </c>
      <c r="AS267" s="4">
        <f ca="1">IFERROR(__xludf.DUMMYFUNCTION("""COMPUTED_VALUE"""),3)</f>
        <v>3</v>
      </c>
      <c r="AT267" s="4">
        <f ca="1">IFERROR(__xludf.DUMMYFUNCTION("""COMPUTED_VALUE"""),3)</f>
        <v>3</v>
      </c>
      <c r="AU267" s="4">
        <f ca="1">IFERROR(__xludf.DUMMYFUNCTION("""COMPUTED_VALUE"""),3)</f>
        <v>3</v>
      </c>
      <c r="AV267" s="4">
        <f ca="1">IFERROR(__xludf.DUMMYFUNCTION("""COMPUTED_VALUE"""),3)</f>
        <v>3</v>
      </c>
      <c r="AW267" s="4">
        <f ca="1">IFERROR(__xludf.DUMMYFUNCTION("""COMPUTED_VALUE"""),3)</f>
        <v>3</v>
      </c>
      <c r="AX267" s="4">
        <f ca="1">IFERROR(__xludf.DUMMYFUNCTION("""COMPUTED_VALUE"""),5)</f>
        <v>5</v>
      </c>
      <c r="AY267" s="4">
        <f ca="1">IFERROR(__xludf.DUMMYFUNCTION("""COMPUTED_VALUE"""),5)</f>
        <v>5</v>
      </c>
      <c r="AZ267" s="4">
        <f ca="1">IFERROR(__xludf.DUMMYFUNCTION("""COMPUTED_VALUE"""),5)</f>
        <v>5</v>
      </c>
      <c r="BA267" s="4">
        <f ca="1">IFERROR(__xludf.DUMMYFUNCTION("""COMPUTED_VALUE"""),5)</f>
        <v>5</v>
      </c>
      <c r="BB267" s="4">
        <f ca="1">IFERROR(__xludf.DUMMYFUNCTION("""COMPUTED_VALUE"""),3)</f>
        <v>3</v>
      </c>
      <c r="BC267" s="4">
        <f ca="1">IFERROR(__xludf.DUMMYFUNCTION("""COMPUTED_VALUE"""),3)</f>
        <v>3</v>
      </c>
      <c r="BD267" s="4">
        <f ca="1">IFERROR(__xludf.DUMMYFUNCTION("""COMPUTED_VALUE"""),3)</f>
        <v>3</v>
      </c>
      <c r="BE267" s="4">
        <f ca="1">IFERROR(__xludf.DUMMYFUNCTION("""COMPUTED_VALUE"""),3)</f>
        <v>3</v>
      </c>
      <c r="BF267" s="4">
        <f ca="1">IFERROR(__xludf.DUMMYFUNCTION("""COMPUTED_VALUE"""),3)</f>
        <v>3</v>
      </c>
      <c r="BG267" s="4">
        <f ca="1">IFERROR(__xludf.DUMMYFUNCTION("""COMPUTED_VALUE"""),3)</f>
        <v>3</v>
      </c>
      <c r="BH267" s="4">
        <f ca="1">IFERROR(__xludf.DUMMYFUNCTION("""COMPUTED_VALUE"""),4)</f>
        <v>4</v>
      </c>
      <c r="BI267" s="4">
        <f ca="1">IFERROR(__xludf.DUMMYFUNCTION("""COMPUTED_VALUE"""),4)</f>
        <v>4</v>
      </c>
      <c r="BJ267" s="4">
        <f ca="1">IFERROR(__xludf.DUMMYFUNCTION("""COMPUTED_VALUE"""),4)</f>
        <v>4</v>
      </c>
      <c r="BK267" s="4">
        <f ca="1">IFERROR(__xludf.DUMMYFUNCTION("""COMPUTED_VALUE"""),3)</f>
        <v>3</v>
      </c>
      <c r="BL267" s="4">
        <f ca="1">IFERROR(__xludf.DUMMYFUNCTION("""COMPUTED_VALUE"""),3)</f>
        <v>3</v>
      </c>
      <c r="BM267" s="4">
        <f ca="1">IFERROR(__xludf.DUMMYFUNCTION("""COMPUTED_VALUE"""),4)</f>
        <v>4</v>
      </c>
      <c r="BN267" s="4">
        <f ca="1">IFERROR(__xludf.DUMMYFUNCTION("""COMPUTED_VALUE"""),4)</f>
        <v>4</v>
      </c>
      <c r="BO267" s="4">
        <f ca="1">IFERROR(__xludf.DUMMYFUNCTION("""COMPUTED_VALUE"""),4)</f>
        <v>4</v>
      </c>
      <c r="BP267" s="4">
        <f ca="1">IFERROR(__xludf.DUMMYFUNCTION("""COMPUTED_VALUE"""),4)</f>
        <v>4</v>
      </c>
    </row>
    <row r="268" spans="1:68" ht="13.2" x14ac:dyDescent="0.25">
      <c r="A268" s="4" t="str">
        <f ca="1">IFERROR(__xludf.DUMMYFUNCTION("""COMPUTED_VALUE"""),"2_ABaOnuctB6MGnfnivUt5PsPuFNqxieJpfPOMrrqK6GfEeQvTpIQ5Bj-VIwBp8OjNgA")</f>
        <v>2_ABaOnuctB6MGnfnivUt5PsPuFNqxieJpfPOMrrqK6GfEeQvTpIQ5Bj-VIwBp8OjNgA</v>
      </c>
      <c r="B268" s="5">
        <f ca="1">IFERROR(__xludf.DUMMYFUNCTION("""COMPUTED_VALUE"""),45980.6290794675)</f>
        <v>45980.629079467501</v>
      </c>
      <c r="C268" s="4" t="str">
        <f ca="1">IFERROR(__xludf.DUMMYFUNCTION("""COMPUTED_VALUE"""),"Phạm Thị Minh Thu")</f>
        <v>Phạm Thị Minh Thu</v>
      </c>
      <c r="D268" s="4" t="str">
        <f ca="1">IFERROR(__xludf.DUMMYFUNCTION("""COMPUTED_VALUE"""),"Nữ")</f>
        <v>Nữ</v>
      </c>
      <c r="E268" s="4" t="str">
        <f ca="1">IFERROR(__xludf.DUMMYFUNCTION("""COMPUTED_VALUE"""),"Công ty TNHH Kiểm toán quốc tế PNT")</f>
        <v>Công ty TNHH Kiểm toán quốc tế PNT</v>
      </c>
      <c r="F268" s="4" t="str">
        <f ca="1">IFERROR(__xludf.DUMMYFUNCTION("""COMPUTED_VALUE"""),"Đại học")</f>
        <v>Đại học</v>
      </c>
      <c r="G268" s="4" t="str">
        <f ca="1">IFERROR(__xludf.DUMMYFUNCTION("""COMPUTED_VALUE"""),"Từ 3 đến 5 năm")</f>
        <v>Từ 3 đến 5 năm</v>
      </c>
      <c r="H268" s="4" t="str">
        <f ca="1">IFERROR(__xludf.DUMMYFUNCTION("""COMPUTED_VALUE"""),"Trợ lý kiểm toán")</f>
        <v>Trợ lý kiểm toán</v>
      </c>
      <c r="I268" s="4">
        <f ca="1">IFERROR(__xludf.DUMMYFUNCTION("""COMPUTED_VALUE"""),5)</f>
        <v>5</v>
      </c>
      <c r="J268" s="4">
        <f ca="1">IFERROR(__xludf.DUMMYFUNCTION("""COMPUTED_VALUE"""),5)</f>
        <v>5</v>
      </c>
      <c r="K268" s="4">
        <f ca="1">IFERROR(__xludf.DUMMYFUNCTION("""COMPUTED_VALUE"""),5)</f>
        <v>5</v>
      </c>
      <c r="L268" s="4">
        <f ca="1">IFERROR(__xludf.DUMMYFUNCTION("""COMPUTED_VALUE"""),3)</f>
        <v>3</v>
      </c>
      <c r="M268" s="4">
        <f ca="1">IFERROR(__xludf.DUMMYFUNCTION("""COMPUTED_VALUE"""),4)</f>
        <v>4</v>
      </c>
      <c r="N268" s="4">
        <f ca="1">IFERROR(__xludf.DUMMYFUNCTION("""COMPUTED_VALUE"""),5)</f>
        <v>5</v>
      </c>
      <c r="O268" s="4">
        <f ca="1">IFERROR(__xludf.DUMMYFUNCTION("""COMPUTED_VALUE"""),5)</f>
        <v>5</v>
      </c>
      <c r="P268" s="4">
        <f ca="1">IFERROR(__xludf.DUMMYFUNCTION("""COMPUTED_VALUE"""),5)</f>
        <v>5</v>
      </c>
      <c r="Q268" s="4">
        <f ca="1">IFERROR(__xludf.DUMMYFUNCTION("""COMPUTED_VALUE"""),5)</f>
        <v>5</v>
      </c>
      <c r="R268" s="4">
        <f ca="1">IFERROR(__xludf.DUMMYFUNCTION("""COMPUTED_VALUE"""),5)</f>
        <v>5</v>
      </c>
      <c r="S268" s="4">
        <f ca="1">IFERROR(__xludf.DUMMYFUNCTION("""COMPUTED_VALUE"""),5)</f>
        <v>5</v>
      </c>
      <c r="T268" s="4">
        <f ca="1">IFERROR(__xludf.DUMMYFUNCTION("""COMPUTED_VALUE"""),5)</f>
        <v>5</v>
      </c>
      <c r="U268" s="4">
        <f ca="1">IFERROR(__xludf.DUMMYFUNCTION("""COMPUTED_VALUE"""),5)</f>
        <v>5</v>
      </c>
      <c r="V268" s="4">
        <f ca="1">IFERROR(__xludf.DUMMYFUNCTION("""COMPUTED_VALUE"""),5)</f>
        <v>5</v>
      </c>
      <c r="W268" s="4">
        <f ca="1">IFERROR(__xludf.DUMMYFUNCTION("""COMPUTED_VALUE"""),3)</f>
        <v>3</v>
      </c>
      <c r="X268" s="4">
        <f ca="1">IFERROR(__xludf.DUMMYFUNCTION("""COMPUTED_VALUE"""),3)</f>
        <v>3</v>
      </c>
      <c r="Y268" s="4">
        <f ca="1">IFERROR(__xludf.DUMMYFUNCTION("""COMPUTED_VALUE"""),3)</f>
        <v>3</v>
      </c>
      <c r="Z268" s="4">
        <f ca="1">IFERROR(__xludf.DUMMYFUNCTION("""COMPUTED_VALUE"""),3)</f>
        <v>3</v>
      </c>
      <c r="AA268" s="4">
        <f ca="1">IFERROR(__xludf.DUMMYFUNCTION("""COMPUTED_VALUE"""),4)</f>
        <v>4</v>
      </c>
      <c r="AB268" s="4">
        <f ca="1">IFERROR(__xludf.DUMMYFUNCTION("""COMPUTED_VALUE"""),4)</f>
        <v>4</v>
      </c>
      <c r="AC268" s="4">
        <f ca="1">IFERROR(__xludf.DUMMYFUNCTION("""COMPUTED_VALUE"""),4)</f>
        <v>4</v>
      </c>
      <c r="AD268" s="4">
        <f ca="1">IFERROR(__xludf.DUMMYFUNCTION("""COMPUTED_VALUE"""),4)</f>
        <v>4</v>
      </c>
      <c r="AE268" s="4">
        <f ca="1">IFERROR(__xludf.DUMMYFUNCTION("""COMPUTED_VALUE"""),5)</f>
        <v>5</v>
      </c>
      <c r="AF268" s="4">
        <f ca="1">IFERROR(__xludf.DUMMYFUNCTION("""COMPUTED_VALUE"""),5)</f>
        <v>5</v>
      </c>
      <c r="AG268" s="4">
        <f ca="1">IFERROR(__xludf.DUMMYFUNCTION("""COMPUTED_VALUE"""),5)</f>
        <v>5</v>
      </c>
      <c r="AH268" s="4">
        <f ca="1">IFERROR(__xludf.DUMMYFUNCTION("""COMPUTED_VALUE"""),5)</f>
        <v>5</v>
      </c>
      <c r="AI268" s="4">
        <f ca="1">IFERROR(__xludf.DUMMYFUNCTION("""COMPUTED_VALUE"""),5)</f>
        <v>5</v>
      </c>
      <c r="AJ268" s="4">
        <f ca="1">IFERROR(__xludf.DUMMYFUNCTION("""COMPUTED_VALUE"""),3)</f>
        <v>3</v>
      </c>
      <c r="AK268" s="4">
        <f ca="1">IFERROR(__xludf.DUMMYFUNCTION("""COMPUTED_VALUE"""),4)</f>
        <v>4</v>
      </c>
      <c r="AL268" s="4">
        <f ca="1">IFERROR(__xludf.DUMMYFUNCTION("""COMPUTED_VALUE"""),5)</f>
        <v>5</v>
      </c>
      <c r="AM268" s="4">
        <f ca="1">IFERROR(__xludf.DUMMYFUNCTION("""COMPUTED_VALUE"""),5)</f>
        <v>5</v>
      </c>
      <c r="AN268" s="4">
        <f ca="1">IFERROR(__xludf.DUMMYFUNCTION("""COMPUTED_VALUE"""),5)</f>
        <v>5</v>
      </c>
      <c r="AO268" s="4">
        <f ca="1">IFERROR(__xludf.DUMMYFUNCTION("""COMPUTED_VALUE"""),4)</f>
        <v>4</v>
      </c>
      <c r="AP268" s="4">
        <f ca="1">IFERROR(__xludf.DUMMYFUNCTION("""COMPUTED_VALUE"""),4)</f>
        <v>4</v>
      </c>
      <c r="AQ268" s="4">
        <f ca="1">IFERROR(__xludf.DUMMYFUNCTION("""COMPUTED_VALUE"""),4)</f>
        <v>4</v>
      </c>
      <c r="AR268" s="4">
        <f ca="1">IFERROR(__xludf.DUMMYFUNCTION("""COMPUTED_VALUE"""),4)</f>
        <v>4</v>
      </c>
      <c r="AS268" s="4">
        <f ca="1">IFERROR(__xludf.DUMMYFUNCTION("""COMPUTED_VALUE"""),4)</f>
        <v>4</v>
      </c>
      <c r="AT268" s="4">
        <f ca="1">IFERROR(__xludf.DUMMYFUNCTION("""COMPUTED_VALUE"""),4)</f>
        <v>4</v>
      </c>
      <c r="AU268" s="4">
        <f ca="1">IFERROR(__xludf.DUMMYFUNCTION("""COMPUTED_VALUE"""),4)</f>
        <v>4</v>
      </c>
      <c r="AV268" s="4">
        <f ca="1">IFERROR(__xludf.DUMMYFUNCTION("""COMPUTED_VALUE"""),4)</f>
        <v>4</v>
      </c>
      <c r="AW268" s="4">
        <f ca="1">IFERROR(__xludf.DUMMYFUNCTION("""COMPUTED_VALUE"""),4)</f>
        <v>4</v>
      </c>
      <c r="AX268" s="4">
        <f ca="1">IFERROR(__xludf.DUMMYFUNCTION("""COMPUTED_VALUE"""),4)</f>
        <v>4</v>
      </c>
      <c r="AY268" s="4">
        <f ca="1">IFERROR(__xludf.DUMMYFUNCTION("""COMPUTED_VALUE"""),4)</f>
        <v>4</v>
      </c>
      <c r="AZ268" s="4">
        <f ca="1">IFERROR(__xludf.DUMMYFUNCTION("""COMPUTED_VALUE"""),4)</f>
        <v>4</v>
      </c>
      <c r="BA268" s="4">
        <f ca="1">IFERROR(__xludf.DUMMYFUNCTION("""COMPUTED_VALUE"""),4)</f>
        <v>4</v>
      </c>
      <c r="BB268" s="4">
        <f ca="1">IFERROR(__xludf.DUMMYFUNCTION("""COMPUTED_VALUE"""),1)</f>
        <v>1</v>
      </c>
      <c r="BC268" s="4">
        <f ca="1">IFERROR(__xludf.DUMMYFUNCTION("""COMPUTED_VALUE"""),1)</f>
        <v>1</v>
      </c>
      <c r="BD268" s="4">
        <f ca="1">IFERROR(__xludf.DUMMYFUNCTION("""COMPUTED_VALUE"""),2)</f>
        <v>2</v>
      </c>
      <c r="BE268" s="4">
        <f ca="1">IFERROR(__xludf.DUMMYFUNCTION("""COMPUTED_VALUE"""),2)</f>
        <v>2</v>
      </c>
      <c r="BF268" s="4">
        <f ca="1">IFERROR(__xludf.DUMMYFUNCTION("""COMPUTED_VALUE"""),2)</f>
        <v>2</v>
      </c>
      <c r="BG268" s="4">
        <f ca="1">IFERROR(__xludf.DUMMYFUNCTION("""COMPUTED_VALUE"""),2)</f>
        <v>2</v>
      </c>
      <c r="BH268" s="4">
        <f ca="1">IFERROR(__xludf.DUMMYFUNCTION("""COMPUTED_VALUE"""),4)</f>
        <v>4</v>
      </c>
      <c r="BI268" s="4">
        <f ca="1">IFERROR(__xludf.DUMMYFUNCTION("""COMPUTED_VALUE"""),4)</f>
        <v>4</v>
      </c>
      <c r="BJ268" s="4">
        <f ca="1">IFERROR(__xludf.DUMMYFUNCTION("""COMPUTED_VALUE"""),5)</f>
        <v>5</v>
      </c>
      <c r="BK268" s="4">
        <f ca="1">IFERROR(__xludf.DUMMYFUNCTION("""COMPUTED_VALUE"""),4)</f>
        <v>4</v>
      </c>
      <c r="BL268" s="4">
        <f ca="1">IFERROR(__xludf.DUMMYFUNCTION("""COMPUTED_VALUE"""),4)</f>
        <v>4</v>
      </c>
      <c r="BM268" s="4">
        <f ca="1">IFERROR(__xludf.DUMMYFUNCTION("""COMPUTED_VALUE"""),4)</f>
        <v>4</v>
      </c>
      <c r="BN268" s="4">
        <f ca="1">IFERROR(__xludf.DUMMYFUNCTION("""COMPUTED_VALUE"""),4)</f>
        <v>4</v>
      </c>
      <c r="BO268" s="4">
        <f ca="1">IFERROR(__xludf.DUMMYFUNCTION("""COMPUTED_VALUE"""),4)</f>
        <v>4</v>
      </c>
      <c r="BP268" s="4">
        <f ca="1">IFERROR(__xludf.DUMMYFUNCTION("""COMPUTED_VALUE"""),4)</f>
        <v>4</v>
      </c>
    </row>
    <row r="269" spans="1:68" ht="13.2" x14ac:dyDescent="0.25">
      <c r="A269" s="4" t="str">
        <f ca="1">IFERROR(__xludf.DUMMYFUNCTION("""COMPUTED_VALUE"""),"2_ABaOnufTb0fNV0ZPji5z61ynmpPE3TPD3ILMAY75w8u55_Fahm3LgT1urtK0bA19eg")</f>
        <v>2_ABaOnufTb0fNV0ZPji5z61ynmpPE3TPD3ILMAY75w8u55_Fahm3LgT1urtK0bA19eg</v>
      </c>
      <c r="B269" s="5">
        <f ca="1">IFERROR(__xludf.DUMMYFUNCTION("""COMPUTED_VALUE"""),45980.6324834375)</f>
        <v>45980.632483437497</v>
      </c>
      <c r="C269" s="4" t="str">
        <f ca="1">IFERROR(__xludf.DUMMYFUNCTION("""COMPUTED_VALUE"""),"Nguyễn Quế Anh")</f>
        <v>Nguyễn Quế Anh</v>
      </c>
      <c r="D269" s="4" t="str">
        <f ca="1">IFERROR(__xludf.DUMMYFUNCTION("""COMPUTED_VALUE"""),"Nữ")</f>
        <v>Nữ</v>
      </c>
      <c r="E269" s="4" t="str">
        <f ca="1">IFERROR(__xludf.DUMMYFUNCTION("""COMPUTED_VALUE"""),"Công ty Kiểm toán PNT")</f>
        <v>Công ty Kiểm toán PNT</v>
      </c>
      <c r="F269" s="4" t="str">
        <f ca="1">IFERROR(__xludf.DUMMYFUNCTION("""COMPUTED_VALUE"""),"Đại học, Chứng chỉ Kiểm toán viên")</f>
        <v>Đại học, Chứng chỉ Kiểm toán viên</v>
      </c>
      <c r="G269" s="4" t="str">
        <f ca="1">IFERROR(__xludf.DUMMYFUNCTION("""COMPUTED_VALUE"""),"Trên 15 đến 20 năm")</f>
        <v>Trên 15 đến 20 năm</v>
      </c>
      <c r="H269" s="4" t="str">
        <f ca="1">IFERROR(__xludf.DUMMYFUNCTION("""COMPUTED_VALUE"""),"Kiểm toán viên/Trưởng nhóm")</f>
        <v>Kiểm toán viên/Trưởng nhóm</v>
      </c>
      <c r="I269" s="4">
        <f ca="1">IFERROR(__xludf.DUMMYFUNCTION("""COMPUTED_VALUE"""),5)</f>
        <v>5</v>
      </c>
      <c r="J269" s="4">
        <f ca="1">IFERROR(__xludf.DUMMYFUNCTION("""COMPUTED_VALUE"""),5)</f>
        <v>5</v>
      </c>
      <c r="K269" s="4">
        <f ca="1">IFERROR(__xludf.DUMMYFUNCTION("""COMPUTED_VALUE"""),5)</f>
        <v>5</v>
      </c>
      <c r="L269" s="4">
        <f ca="1">IFERROR(__xludf.DUMMYFUNCTION("""COMPUTED_VALUE"""),5)</f>
        <v>5</v>
      </c>
      <c r="M269" s="4">
        <f ca="1">IFERROR(__xludf.DUMMYFUNCTION("""COMPUTED_VALUE"""),5)</f>
        <v>5</v>
      </c>
      <c r="N269" s="4">
        <f ca="1">IFERROR(__xludf.DUMMYFUNCTION("""COMPUTED_VALUE"""),5)</f>
        <v>5</v>
      </c>
      <c r="O269" s="4">
        <f ca="1">IFERROR(__xludf.DUMMYFUNCTION("""COMPUTED_VALUE"""),4)</f>
        <v>4</v>
      </c>
      <c r="P269" s="4">
        <f ca="1">IFERROR(__xludf.DUMMYFUNCTION("""COMPUTED_VALUE"""),5)</f>
        <v>5</v>
      </c>
      <c r="Q269" s="4">
        <f ca="1">IFERROR(__xludf.DUMMYFUNCTION("""COMPUTED_VALUE"""),5)</f>
        <v>5</v>
      </c>
      <c r="R269" s="4">
        <f ca="1">IFERROR(__xludf.DUMMYFUNCTION("""COMPUTED_VALUE"""),5)</f>
        <v>5</v>
      </c>
      <c r="S269" s="4">
        <f ca="1">IFERROR(__xludf.DUMMYFUNCTION("""COMPUTED_VALUE"""),5)</f>
        <v>5</v>
      </c>
      <c r="T269" s="4">
        <f ca="1">IFERROR(__xludf.DUMMYFUNCTION("""COMPUTED_VALUE"""),5)</f>
        <v>5</v>
      </c>
      <c r="U269" s="4">
        <f ca="1">IFERROR(__xludf.DUMMYFUNCTION("""COMPUTED_VALUE"""),5)</f>
        <v>5</v>
      </c>
      <c r="V269" s="4">
        <f ca="1">IFERROR(__xludf.DUMMYFUNCTION("""COMPUTED_VALUE"""),5)</f>
        <v>5</v>
      </c>
      <c r="W269" s="4">
        <f ca="1">IFERROR(__xludf.DUMMYFUNCTION("""COMPUTED_VALUE"""),4)</f>
        <v>4</v>
      </c>
      <c r="X269" s="4">
        <f ca="1">IFERROR(__xludf.DUMMYFUNCTION("""COMPUTED_VALUE"""),5)</f>
        <v>5</v>
      </c>
      <c r="Y269" s="4">
        <f ca="1">IFERROR(__xludf.DUMMYFUNCTION("""COMPUTED_VALUE"""),4)</f>
        <v>4</v>
      </c>
      <c r="Z269" s="4">
        <f ca="1">IFERROR(__xludf.DUMMYFUNCTION("""COMPUTED_VALUE"""),5)</f>
        <v>5</v>
      </c>
      <c r="AA269" s="4">
        <f ca="1">IFERROR(__xludf.DUMMYFUNCTION("""COMPUTED_VALUE"""),5)</f>
        <v>5</v>
      </c>
      <c r="AB269" s="4">
        <f ca="1">IFERROR(__xludf.DUMMYFUNCTION("""COMPUTED_VALUE"""),4)</f>
        <v>4</v>
      </c>
      <c r="AC269" s="4">
        <f ca="1">IFERROR(__xludf.DUMMYFUNCTION("""COMPUTED_VALUE"""),4)</f>
        <v>4</v>
      </c>
      <c r="AD269" s="4">
        <f ca="1">IFERROR(__xludf.DUMMYFUNCTION("""COMPUTED_VALUE"""),3)</f>
        <v>3</v>
      </c>
      <c r="AE269" s="4">
        <f ca="1">IFERROR(__xludf.DUMMYFUNCTION("""COMPUTED_VALUE"""),4)</f>
        <v>4</v>
      </c>
      <c r="AF269" s="4">
        <f ca="1">IFERROR(__xludf.DUMMYFUNCTION("""COMPUTED_VALUE"""),4)</f>
        <v>4</v>
      </c>
      <c r="AG269" s="4">
        <f ca="1">IFERROR(__xludf.DUMMYFUNCTION("""COMPUTED_VALUE"""),5)</f>
        <v>5</v>
      </c>
      <c r="AH269" s="4">
        <f ca="1">IFERROR(__xludf.DUMMYFUNCTION("""COMPUTED_VALUE"""),5)</f>
        <v>5</v>
      </c>
      <c r="AI269" s="4">
        <f ca="1">IFERROR(__xludf.DUMMYFUNCTION("""COMPUTED_VALUE"""),5)</f>
        <v>5</v>
      </c>
      <c r="AJ269" s="4">
        <f ca="1">IFERROR(__xludf.DUMMYFUNCTION("""COMPUTED_VALUE"""),5)</f>
        <v>5</v>
      </c>
      <c r="AK269" s="4">
        <f ca="1">IFERROR(__xludf.DUMMYFUNCTION("""COMPUTED_VALUE"""),5)</f>
        <v>5</v>
      </c>
      <c r="AL269" s="4">
        <f ca="1">IFERROR(__xludf.DUMMYFUNCTION("""COMPUTED_VALUE"""),5)</f>
        <v>5</v>
      </c>
      <c r="AM269" s="4">
        <f ca="1">IFERROR(__xludf.DUMMYFUNCTION("""COMPUTED_VALUE"""),5)</f>
        <v>5</v>
      </c>
      <c r="AN269" s="4">
        <f ca="1">IFERROR(__xludf.DUMMYFUNCTION("""COMPUTED_VALUE"""),5)</f>
        <v>5</v>
      </c>
      <c r="AO269" s="4">
        <f ca="1">IFERROR(__xludf.DUMMYFUNCTION("""COMPUTED_VALUE"""),5)</f>
        <v>5</v>
      </c>
      <c r="AP269" s="4">
        <f ca="1">IFERROR(__xludf.DUMMYFUNCTION("""COMPUTED_VALUE"""),5)</f>
        <v>5</v>
      </c>
      <c r="AQ269" s="4">
        <f ca="1">IFERROR(__xludf.DUMMYFUNCTION("""COMPUTED_VALUE"""),5)</f>
        <v>5</v>
      </c>
      <c r="AR269" s="4">
        <f ca="1">IFERROR(__xludf.DUMMYFUNCTION("""COMPUTED_VALUE"""),5)</f>
        <v>5</v>
      </c>
      <c r="AS269" s="4">
        <f ca="1">IFERROR(__xludf.DUMMYFUNCTION("""COMPUTED_VALUE"""),5)</f>
        <v>5</v>
      </c>
      <c r="AT269" s="4">
        <f ca="1">IFERROR(__xludf.DUMMYFUNCTION("""COMPUTED_VALUE"""),3)</f>
        <v>3</v>
      </c>
      <c r="AU269" s="4">
        <f ca="1">IFERROR(__xludf.DUMMYFUNCTION("""COMPUTED_VALUE"""),4)</f>
        <v>4</v>
      </c>
      <c r="AV269" s="4">
        <f ca="1">IFERROR(__xludf.DUMMYFUNCTION("""COMPUTED_VALUE"""),3)</f>
        <v>3</v>
      </c>
      <c r="AW269" s="4">
        <f ca="1">IFERROR(__xludf.DUMMYFUNCTION("""COMPUTED_VALUE"""),5)</f>
        <v>5</v>
      </c>
      <c r="AX269" s="4">
        <f ca="1">IFERROR(__xludf.DUMMYFUNCTION("""COMPUTED_VALUE"""),5)</f>
        <v>5</v>
      </c>
      <c r="AY269" s="4">
        <f ca="1">IFERROR(__xludf.DUMMYFUNCTION("""COMPUTED_VALUE"""),5)</f>
        <v>5</v>
      </c>
      <c r="AZ269" s="4">
        <f ca="1">IFERROR(__xludf.DUMMYFUNCTION("""COMPUTED_VALUE"""),5)</f>
        <v>5</v>
      </c>
      <c r="BA269" s="4">
        <f ca="1">IFERROR(__xludf.DUMMYFUNCTION("""COMPUTED_VALUE"""),5)</f>
        <v>5</v>
      </c>
      <c r="BB269" s="4">
        <f ca="1">IFERROR(__xludf.DUMMYFUNCTION("""COMPUTED_VALUE"""),4)</f>
        <v>4</v>
      </c>
      <c r="BC269" s="4">
        <f ca="1">IFERROR(__xludf.DUMMYFUNCTION("""COMPUTED_VALUE"""),4)</f>
        <v>4</v>
      </c>
      <c r="BD269" s="4">
        <f ca="1">IFERROR(__xludf.DUMMYFUNCTION("""COMPUTED_VALUE"""),4)</f>
        <v>4</v>
      </c>
      <c r="BE269" s="4">
        <f ca="1">IFERROR(__xludf.DUMMYFUNCTION("""COMPUTED_VALUE"""),4)</f>
        <v>4</v>
      </c>
      <c r="BF269" s="4">
        <f ca="1">IFERROR(__xludf.DUMMYFUNCTION("""COMPUTED_VALUE"""),4)</f>
        <v>4</v>
      </c>
      <c r="BG269" s="4">
        <f ca="1">IFERROR(__xludf.DUMMYFUNCTION("""COMPUTED_VALUE"""),4)</f>
        <v>4</v>
      </c>
      <c r="BH269" s="4">
        <f ca="1">IFERROR(__xludf.DUMMYFUNCTION("""COMPUTED_VALUE"""),4)</f>
        <v>4</v>
      </c>
      <c r="BI269" s="4">
        <f ca="1">IFERROR(__xludf.DUMMYFUNCTION("""COMPUTED_VALUE"""),4)</f>
        <v>4</v>
      </c>
      <c r="BJ269" s="4">
        <f ca="1">IFERROR(__xludf.DUMMYFUNCTION("""COMPUTED_VALUE"""),4)</f>
        <v>4</v>
      </c>
      <c r="BK269" s="4">
        <f ca="1">IFERROR(__xludf.DUMMYFUNCTION("""COMPUTED_VALUE"""),4)</f>
        <v>4</v>
      </c>
      <c r="BL269" s="4">
        <f ca="1">IFERROR(__xludf.DUMMYFUNCTION("""COMPUTED_VALUE"""),4)</f>
        <v>4</v>
      </c>
      <c r="BM269" s="4">
        <f ca="1">IFERROR(__xludf.DUMMYFUNCTION("""COMPUTED_VALUE"""),4)</f>
        <v>4</v>
      </c>
      <c r="BN269" s="4">
        <f ca="1">IFERROR(__xludf.DUMMYFUNCTION("""COMPUTED_VALUE"""),4)</f>
        <v>4</v>
      </c>
      <c r="BO269" s="4">
        <f ca="1">IFERROR(__xludf.DUMMYFUNCTION("""COMPUTED_VALUE"""),4)</f>
        <v>4</v>
      </c>
      <c r="BP269" s="4">
        <f ca="1">IFERROR(__xludf.DUMMYFUNCTION("""COMPUTED_VALUE"""),4)</f>
        <v>4</v>
      </c>
    </row>
    <row r="270" spans="1:68" ht="13.2" x14ac:dyDescent="0.25">
      <c r="A270" s="4" t="str">
        <f ca="1">IFERROR(__xludf.DUMMYFUNCTION("""COMPUTED_VALUE"""),"2_ABaOnueaSfiY9135AribLX3QtfFQxEfxvyenXje-Z4AxBoKtMx-SMn8QGaCfb7sTPg")</f>
        <v>2_ABaOnueaSfiY9135AribLX3QtfFQxEfxvyenXje-Z4AxBoKtMx-SMn8QGaCfb7sTPg</v>
      </c>
      <c r="B270" s="5">
        <f ca="1">IFERROR(__xludf.DUMMYFUNCTION("""COMPUTED_VALUE"""),45981.3332699305)</f>
        <v>45981.333269930503</v>
      </c>
      <c r="C270" s="4" t="str">
        <f ca="1">IFERROR(__xludf.DUMMYFUNCTION("""COMPUTED_VALUE"""),"Trần Anh Văn")</f>
        <v>Trần Anh Văn</v>
      </c>
      <c r="D270" s="4" t="str">
        <f ca="1">IFERROR(__xludf.DUMMYFUNCTION("""COMPUTED_VALUE"""),"Nam")</f>
        <v>Nam</v>
      </c>
      <c r="E270" s="4" t="str">
        <f ca="1">IFERROR(__xludf.DUMMYFUNCTION("""COMPUTED_VALUE"""),"Grant Thornton")</f>
        <v>Grant Thornton</v>
      </c>
      <c r="F270" s="4" t="str">
        <f ca="1">IFERROR(__xludf.DUMMYFUNCTION("""COMPUTED_VALUE"""),"Chứng chỉ Kiểm toán viên, ACCA")</f>
        <v>Chứng chỉ Kiểm toán viên, ACCA</v>
      </c>
      <c r="G270" s="4" t="str">
        <f ca="1">IFERROR(__xludf.DUMMYFUNCTION("""COMPUTED_VALUE"""),"Trên 15 đến 20 năm")</f>
        <v>Trên 15 đến 20 năm</v>
      </c>
      <c r="H270" s="4" t="str">
        <f ca="1">IFERROR(__xludf.DUMMYFUNCTION("""COMPUTED_VALUE"""),"Ban giám đốc")</f>
        <v>Ban giám đốc</v>
      </c>
      <c r="I270" s="4">
        <f ca="1">IFERROR(__xludf.DUMMYFUNCTION("""COMPUTED_VALUE"""),5)</f>
        <v>5</v>
      </c>
      <c r="J270" s="4">
        <f ca="1">IFERROR(__xludf.DUMMYFUNCTION("""COMPUTED_VALUE"""),5)</f>
        <v>5</v>
      </c>
      <c r="K270" s="4">
        <f ca="1">IFERROR(__xludf.DUMMYFUNCTION("""COMPUTED_VALUE"""),5)</f>
        <v>5</v>
      </c>
      <c r="L270" s="4">
        <f ca="1">IFERROR(__xludf.DUMMYFUNCTION("""COMPUTED_VALUE"""),5)</f>
        <v>5</v>
      </c>
      <c r="M270" s="4">
        <f ca="1">IFERROR(__xludf.DUMMYFUNCTION("""COMPUTED_VALUE"""),5)</f>
        <v>5</v>
      </c>
      <c r="N270" s="4">
        <f ca="1">IFERROR(__xludf.DUMMYFUNCTION("""COMPUTED_VALUE"""),4)</f>
        <v>4</v>
      </c>
      <c r="O270" s="4">
        <f ca="1">IFERROR(__xludf.DUMMYFUNCTION("""COMPUTED_VALUE"""),4)</f>
        <v>4</v>
      </c>
      <c r="P270" s="4">
        <f ca="1">IFERROR(__xludf.DUMMYFUNCTION("""COMPUTED_VALUE"""),5)</f>
        <v>5</v>
      </c>
      <c r="Q270" s="4">
        <f ca="1">IFERROR(__xludf.DUMMYFUNCTION("""COMPUTED_VALUE"""),5)</f>
        <v>5</v>
      </c>
      <c r="R270" s="4">
        <f ca="1">IFERROR(__xludf.DUMMYFUNCTION("""COMPUTED_VALUE"""),5)</f>
        <v>5</v>
      </c>
      <c r="S270" s="4">
        <f ca="1">IFERROR(__xludf.DUMMYFUNCTION("""COMPUTED_VALUE"""),5)</f>
        <v>5</v>
      </c>
      <c r="T270" s="4">
        <f ca="1">IFERROR(__xludf.DUMMYFUNCTION("""COMPUTED_VALUE"""),5)</f>
        <v>5</v>
      </c>
      <c r="U270" s="4">
        <f ca="1">IFERROR(__xludf.DUMMYFUNCTION("""COMPUTED_VALUE"""),5)</f>
        <v>5</v>
      </c>
      <c r="V270" s="4">
        <f ca="1">IFERROR(__xludf.DUMMYFUNCTION("""COMPUTED_VALUE"""),5)</f>
        <v>5</v>
      </c>
      <c r="W270" s="4">
        <f ca="1">IFERROR(__xludf.DUMMYFUNCTION("""COMPUTED_VALUE"""),5)</f>
        <v>5</v>
      </c>
      <c r="X270" s="4">
        <f ca="1">IFERROR(__xludf.DUMMYFUNCTION("""COMPUTED_VALUE"""),5)</f>
        <v>5</v>
      </c>
      <c r="Y270" s="4">
        <f ca="1">IFERROR(__xludf.DUMMYFUNCTION("""COMPUTED_VALUE"""),4)</f>
        <v>4</v>
      </c>
      <c r="Z270" s="4">
        <f ca="1">IFERROR(__xludf.DUMMYFUNCTION("""COMPUTED_VALUE"""),5)</f>
        <v>5</v>
      </c>
      <c r="AA270" s="4">
        <f ca="1">IFERROR(__xludf.DUMMYFUNCTION("""COMPUTED_VALUE"""),5)</f>
        <v>5</v>
      </c>
      <c r="AB270" s="4">
        <f ca="1">IFERROR(__xludf.DUMMYFUNCTION("""COMPUTED_VALUE"""),5)</f>
        <v>5</v>
      </c>
      <c r="AC270" s="4">
        <f ca="1">IFERROR(__xludf.DUMMYFUNCTION("""COMPUTED_VALUE"""),5)</f>
        <v>5</v>
      </c>
      <c r="AD270" s="4">
        <f ca="1">IFERROR(__xludf.DUMMYFUNCTION("""COMPUTED_VALUE"""),4)</f>
        <v>4</v>
      </c>
      <c r="AE270" s="4">
        <f ca="1">IFERROR(__xludf.DUMMYFUNCTION("""COMPUTED_VALUE"""),5)</f>
        <v>5</v>
      </c>
      <c r="AF270" s="4">
        <f ca="1">IFERROR(__xludf.DUMMYFUNCTION("""COMPUTED_VALUE"""),5)</f>
        <v>5</v>
      </c>
      <c r="AG270" s="4">
        <f ca="1">IFERROR(__xludf.DUMMYFUNCTION("""COMPUTED_VALUE"""),5)</f>
        <v>5</v>
      </c>
      <c r="AH270" s="4">
        <f ca="1">IFERROR(__xludf.DUMMYFUNCTION("""COMPUTED_VALUE"""),5)</f>
        <v>5</v>
      </c>
      <c r="AI270" s="4">
        <f ca="1">IFERROR(__xludf.DUMMYFUNCTION("""COMPUTED_VALUE"""),5)</f>
        <v>5</v>
      </c>
      <c r="AJ270" s="4">
        <f ca="1">IFERROR(__xludf.DUMMYFUNCTION("""COMPUTED_VALUE"""),5)</f>
        <v>5</v>
      </c>
      <c r="AK270" s="4">
        <f ca="1">IFERROR(__xludf.DUMMYFUNCTION("""COMPUTED_VALUE"""),5)</f>
        <v>5</v>
      </c>
      <c r="AL270" s="4">
        <f ca="1">IFERROR(__xludf.DUMMYFUNCTION("""COMPUTED_VALUE"""),5)</f>
        <v>5</v>
      </c>
      <c r="AM270" s="4">
        <f ca="1">IFERROR(__xludf.DUMMYFUNCTION("""COMPUTED_VALUE"""),5)</f>
        <v>5</v>
      </c>
      <c r="AN270" s="4">
        <f ca="1">IFERROR(__xludf.DUMMYFUNCTION("""COMPUTED_VALUE"""),4)</f>
        <v>4</v>
      </c>
      <c r="AO270" s="4">
        <f ca="1">IFERROR(__xludf.DUMMYFUNCTION("""COMPUTED_VALUE"""),5)</f>
        <v>5</v>
      </c>
      <c r="AP270" s="4">
        <f ca="1">IFERROR(__xludf.DUMMYFUNCTION("""COMPUTED_VALUE"""),4)</f>
        <v>4</v>
      </c>
      <c r="AQ270" s="4">
        <f ca="1">IFERROR(__xludf.DUMMYFUNCTION("""COMPUTED_VALUE"""),5)</f>
        <v>5</v>
      </c>
      <c r="AR270" s="4">
        <f ca="1">IFERROR(__xludf.DUMMYFUNCTION("""COMPUTED_VALUE"""),5)</f>
        <v>5</v>
      </c>
      <c r="AS270" s="4">
        <f ca="1">IFERROR(__xludf.DUMMYFUNCTION("""COMPUTED_VALUE"""),5)</f>
        <v>5</v>
      </c>
      <c r="AT270" s="4">
        <f ca="1">IFERROR(__xludf.DUMMYFUNCTION("""COMPUTED_VALUE"""),5)</f>
        <v>5</v>
      </c>
      <c r="AU270" s="4">
        <f ca="1">IFERROR(__xludf.DUMMYFUNCTION("""COMPUTED_VALUE"""),5)</f>
        <v>5</v>
      </c>
      <c r="AV270" s="4">
        <f ca="1">IFERROR(__xludf.DUMMYFUNCTION("""COMPUTED_VALUE"""),5)</f>
        <v>5</v>
      </c>
      <c r="AW270" s="4">
        <f ca="1">IFERROR(__xludf.DUMMYFUNCTION("""COMPUTED_VALUE"""),5)</f>
        <v>5</v>
      </c>
      <c r="AX270" s="4">
        <f ca="1">IFERROR(__xludf.DUMMYFUNCTION("""COMPUTED_VALUE"""),5)</f>
        <v>5</v>
      </c>
      <c r="AY270" s="4">
        <f ca="1">IFERROR(__xludf.DUMMYFUNCTION("""COMPUTED_VALUE"""),5)</f>
        <v>5</v>
      </c>
      <c r="AZ270" s="4">
        <f ca="1">IFERROR(__xludf.DUMMYFUNCTION("""COMPUTED_VALUE"""),5)</f>
        <v>5</v>
      </c>
      <c r="BA270" s="4">
        <f ca="1">IFERROR(__xludf.DUMMYFUNCTION("""COMPUTED_VALUE"""),5)</f>
        <v>5</v>
      </c>
      <c r="BB270" s="4">
        <f ca="1">IFERROR(__xludf.DUMMYFUNCTION("""COMPUTED_VALUE"""),4)</f>
        <v>4</v>
      </c>
      <c r="BC270" s="4">
        <f ca="1">IFERROR(__xludf.DUMMYFUNCTION("""COMPUTED_VALUE"""),4)</f>
        <v>4</v>
      </c>
      <c r="BD270" s="4">
        <f ca="1">IFERROR(__xludf.DUMMYFUNCTION("""COMPUTED_VALUE"""),5)</f>
        <v>5</v>
      </c>
      <c r="BE270" s="4">
        <f ca="1">IFERROR(__xludf.DUMMYFUNCTION("""COMPUTED_VALUE"""),5)</f>
        <v>5</v>
      </c>
      <c r="BF270" s="4">
        <f ca="1">IFERROR(__xludf.DUMMYFUNCTION("""COMPUTED_VALUE"""),5)</f>
        <v>5</v>
      </c>
      <c r="BG270" s="4">
        <f ca="1">IFERROR(__xludf.DUMMYFUNCTION("""COMPUTED_VALUE"""),4)</f>
        <v>4</v>
      </c>
      <c r="BH270" s="4">
        <f ca="1">IFERROR(__xludf.DUMMYFUNCTION("""COMPUTED_VALUE"""),5)</f>
        <v>5</v>
      </c>
      <c r="BI270" s="4">
        <f ca="1">IFERROR(__xludf.DUMMYFUNCTION("""COMPUTED_VALUE"""),4)</f>
        <v>4</v>
      </c>
      <c r="BJ270" s="4">
        <f ca="1">IFERROR(__xludf.DUMMYFUNCTION("""COMPUTED_VALUE"""),5)</f>
        <v>5</v>
      </c>
      <c r="BK270" s="4">
        <f ca="1">IFERROR(__xludf.DUMMYFUNCTION("""COMPUTED_VALUE"""),5)</f>
        <v>5</v>
      </c>
      <c r="BL270" s="4">
        <f ca="1">IFERROR(__xludf.DUMMYFUNCTION("""COMPUTED_VALUE"""),5)</f>
        <v>5</v>
      </c>
      <c r="BM270" s="4">
        <f ca="1">IFERROR(__xludf.DUMMYFUNCTION("""COMPUTED_VALUE"""),5)</f>
        <v>5</v>
      </c>
      <c r="BN270" s="4">
        <f ca="1">IFERROR(__xludf.DUMMYFUNCTION("""COMPUTED_VALUE"""),5)</f>
        <v>5</v>
      </c>
      <c r="BO270" s="4">
        <f ca="1">IFERROR(__xludf.DUMMYFUNCTION("""COMPUTED_VALUE"""),5)</f>
        <v>5</v>
      </c>
      <c r="BP270" s="4">
        <f ca="1">IFERROR(__xludf.DUMMYFUNCTION("""COMPUTED_VALUE"""),5)</f>
        <v>5</v>
      </c>
    </row>
    <row r="271" spans="1:68" ht="13.2" x14ac:dyDescent="0.25">
      <c r="A271" s="4" t="str">
        <f ca="1">IFERROR(__xludf.DUMMYFUNCTION("""COMPUTED_VALUE"""),"2_ABaOnuf8qvbem50f6kku92OgAh17AqnDKnQ8WSEXvpYI7fRQA34vpIdSEzSNcbf4Fg")</f>
        <v>2_ABaOnuf8qvbem50f6kku92OgAh17AqnDKnQ8WSEXvpYI7fRQA34vpIdSEzSNcbf4Fg</v>
      </c>
      <c r="B271" s="5">
        <f ca="1">IFERROR(__xludf.DUMMYFUNCTION("""COMPUTED_VALUE"""),45981.4175606134)</f>
        <v>45981.417560613401</v>
      </c>
      <c r="C271" s="4" t="str">
        <f ca="1">IFERROR(__xludf.DUMMYFUNCTION("""COMPUTED_VALUE"""),"Lê Khắc Toàn")</f>
        <v>Lê Khắc Toàn</v>
      </c>
      <c r="D271" s="4" t="str">
        <f ca="1">IFERROR(__xludf.DUMMYFUNCTION("""COMPUTED_VALUE"""),"Nam")</f>
        <v>Nam</v>
      </c>
      <c r="E271" s="4" t="str">
        <f ca="1">IFERROR(__xludf.DUMMYFUNCTION("""COMPUTED_VALUE"""),"Công ty TNHH Kiểm toán NVA")</f>
        <v>Công ty TNHH Kiểm toán NVA</v>
      </c>
      <c r="F271" s="4" t="str">
        <f ca="1">IFERROR(__xludf.DUMMYFUNCTION("""COMPUTED_VALUE"""),"Đại học")</f>
        <v>Đại học</v>
      </c>
      <c r="G271" s="4" t="str">
        <f ca="1">IFERROR(__xludf.DUMMYFUNCTION("""COMPUTED_VALUE"""),"Từ 3 đến 5 năm")</f>
        <v>Từ 3 đến 5 năm</v>
      </c>
      <c r="H271" s="4" t="str">
        <f ca="1">IFERROR(__xludf.DUMMYFUNCTION("""COMPUTED_VALUE"""),"Trưởng phòng")</f>
        <v>Trưởng phòng</v>
      </c>
      <c r="I271" s="4">
        <f ca="1">IFERROR(__xludf.DUMMYFUNCTION("""COMPUTED_VALUE"""),4)</f>
        <v>4</v>
      </c>
      <c r="J271" s="4">
        <f ca="1">IFERROR(__xludf.DUMMYFUNCTION("""COMPUTED_VALUE"""),5)</f>
        <v>5</v>
      </c>
      <c r="K271" s="4">
        <f ca="1">IFERROR(__xludf.DUMMYFUNCTION("""COMPUTED_VALUE"""),4)</f>
        <v>4</v>
      </c>
      <c r="L271" s="4">
        <f ca="1">IFERROR(__xludf.DUMMYFUNCTION("""COMPUTED_VALUE"""),5)</f>
        <v>5</v>
      </c>
      <c r="M271" s="4">
        <f ca="1">IFERROR(__xludf.DUMMYFUNCTION("""COMPUTED_VALUE"""),4)</f>
        <v>4</v>
      </c>
      <c r="N271" s="4">
        <f ca="1">IFERROR(__xludf.DUMMYFUNCTION("""COMPUTED_VALUE"""),5)</f>
        <v>5</v>
      </c>
      <c r="O271" s="4">
        <f ca="1">IFERROR(__xludf.DUMMYFUNCTION("""COMPUTED_VALUE"""),4)</f>
        <v>4</v>
      </c>
      <c r="P271" s="4">
        <f ca="1">IFERROR(__xludf.DUMMYFUNCTION("""COMPUTED_VALUE"""),5)</f>
        <v>5</v>
      </c>
      <c r="Q271" s="4">
        <f ca="1">IFERROR(__xludf.DUMMYFUNCTION("""COMPUTED_VALUE"""),5)</f>
        <v>5</v>
      </c>
      <c r="R271" s="4">
        <f ca="1">IFERROR(__xludf.DUMMYFUNCTION("""COMPUTED_VALUE"""),5)</f>
        <v>5</v>
      </c>
      <c r="S271" s="4">
        <f ca="1">IFERROR(__xludf.DUMMYFUNCTION("""COMPUTED_VALUE"""),5)</f>
        <v>5</v>
      </c>
      <c r="T271" s="4">
        <f ca="1">IFERROR(__xludf.DUMMYFUNCTION("""COMPUTED_VALUE"""),5)</f>
        <v>5</v>
      </c>
      <c r="U271" s="4">
        <f ca="1">IFERROR(__xludf.DUMMYFUNCTION("""COMPUTED_VALUE"""),5)</f>
        <v>5</v>
      </c>
      <c r="V271" s="4">
        <f ca="1">IFERROR(__xludf.DUMMYFUNCTION("""COMPUTED_VALUE"""),5)</f>
        <v>5</v>
      </c>
      <c r="W271" s="4">
        <f ca="1">IFERROR(__xludf.DUMMYFUNCTION("""COMPUTED_VALUE"""),5)</f>
        <v>5</v>
      </c>
      <c r="X271" s="4">
        <f ca="1">IFERROR(__xludf.DUMMYFUNCTION("""COMPUTED_VALUE"""),5)</f>
        <v>5</v>
      </c>
      <c r="Y271" s="4">
        <f ca="1">IFERROR(__xludf.DUMMYFUNCTION("""COMPUTED_VALUE"""),4)</f>
        <v>4</v>
      </c>
      <c r="Z271" s="4">
        <f ca="1">IFERROR(__xludf.DUMMYFUNCTION("""COMPUTED_VALUE"""),5)</f>
        <v>5</v>
      </c>
      <c r="AA271" s="4">
        <f ca="1">IFERROR(__xludf.DUMMYFUNCTION("""COMPUTED_VALUE"""),4)</f>
        <v>4</v>
      </c>
      <c r="AB271" s="4">
        <f ca="1">IFERROR(__xludf.DUMMYFUNCTION("""COMPUTED_VALUE"""),5)</f>
        <v>5</v>
      </c>
      <c r="AC271" s="4">
        <f ca="1">IFERROR(__xludf.DUMMYFUNCTION("""COMPUTED_VALUE"""),4)</f>
        <v>4</v>
      </c>
      <c r="AD271" s="4">
        <f ca="1">IFERROR(__xludf.DUMMYFUNCTION("""COMPUTED_VALUE"""),5)</f>
        <v>5</v>
      </c>
      <c r="AE271" s="4">
        <f ca="1">IFERROR(__xludf.DUMMYFUNCTION("""COMPUTED_VALUE"""),5)</f>
        <v>5</v>
      </c>
      <c r="AF271" s="4">
        <f ca="1">IFERROR(__xludf.DUMMYFUNCTION("""COMPUTED_VALUE"""),5)</f>
        <v>5</v>
      </c>
      <c r="AG271" s="4">
        <f ca="1">IFERROR(__xludf.DUMMYFUNCTION("""COMPUTED_VALUE"""),4)</f>
        <v>4</v>
      </c>
      <c r="AH271" s="4">
        <f ca="1">IFERROR(__xludf.DUMMYFUNCTION("""COMPUTED_VALUE"""),5)</f>
        <v>5</v>
      </c>
      <c r="AI271" s="4">
        <f ca="1">IFERROR(__xludf.DUMMYFUNCTION("""COMPUTED_VALUE"""),5)</f>
        <v>5</v>
      </c>
      <c r="AJ271" s="4">
        <f ca="1">IFERROR(__xludf.DUMMYFUNCTION("""COMPUTED_VALUE"""),5)</f>
        <v>5</v>
      </c>
      <c r="AK271" s="4">
        <f ca="1">IFERROR(__xludf.DUMMYFUNCTION("""COMPUTED_VALUE"""),5)</f>
        <v>5</v>
      </c>
      <c r="AL271" s="4">
        <f ca="1">IFERROR(__xludf.DUMMYFUNCTION("""COMPUTED_VALUE"""),4)</f>
        <v>4</v>
      </c>
      <c r="AM271" s="4">
        <f ca="1">IFERROR(__xludf.DUMMYFUNCTION("""COMPUTED_VALUE"""),5)</f>
        <v>5</v>
      </c>
      <c r="AN271" s="4">
        <f ca="1">IFERROR(__xludf.DUMMYFUNCTION("""COMPUTED_VALUE"""),5)</f>
        <v>5</v>
      </c>
      <c r="AO271" s="4">
        <f ca="1">IFERROR(__xludf.DUMMYFUNCTION("""COMPUTED_VALUE"""),5)</f>
        <v>5</v>
      </c>
      <c r="AP271" s="4">
        <f ca="1">IFERROR(__xludf.DUMMYFUNCTION("""COMPUTED_VALUE"""),4)</f>
        <v>4</v>
      </c>
      <c r="AQ271" s="4">
        <f ca="1">IFERROR(__xludf.DUMMYFUNCTION("""COMPUTED_VALUE"""),4)</f>
        <v>4</v>
      </c>
      <c r="AR271" s="4">
        <f ca="1">IFERROR(__xludf.DUMMYFUNCTION("""COMPUTED_VALUE"""),4)</f>
        <v>4</v>
      </c>
      <c r="AS271" s="4">
        <f ca="1">IFERROR(__xludf.DUMMYFUNCTION("""COMPUTED_VALUE"""),4)</f>
        <v>4</v>
      </c>
      <c r="AT271" s="4">
        <f ca="1">IFERROR(__xludf.DUMMYFUNCTION("""COMPUTED_VALUE"""),5)</f>
        <v>5</v>
      </c>
      <c r="AU271" s="4">
        <f ca="1">IFERROR(__xludf.DUMMYFUNCTION("""COMPUTED_VALUE"""),5)</f>
        <v>5</v>
      </c>
      <c r="AV271" s="4">
        <f ca="1">IFERROR(__xludf.DUMMYFUNCTION("""COMPUTED_VALUE"""),4)</f>
        <v>4</v>
      </c>
      <c r="AW271" s="4">
        <f ca="1">IFERROR(__xludf.DUMMYFUNCTION("""COMPUTED_VALUE"""),5)</f>
        <v>5</v>
      </c>
      <c r="AX271" s="4">
        <f ca="1">IFERROR(__xludf.DUMMYFUNCTION("""COMPUTED_VALUE"""),5)</f>
        <v>5</v>
      </c>
      <c r="AY271" s="4">
        <f ca="1">IFERROR(__xludf.DUMMYFUNCTION("""COMPUTED_VALUE"""),4)</f>
        <v>4</v>
      </c>
      <c r="AZ271" s="4">
        <f ca="1">IFERROR(__xludf.DUMMYFUNCTION("""COMPUTED_VALUE"""),5)</f>
        <v>5</v>
      </c>
      <c r="BA271" s="4">
        <f ca="1">IFERROR(__xludf.DUMMYFUNCTION("""COMPUTED_VALUE"""),4)</f>
        <v>4</v>
      </c>
      <c r="BB271" s="4">
        <f ca="1">IFERROR(__xludf.DUMMYFUNCTION("""COMPUTED_VALUE"""),5)</f>
        <v>5</v>
      </c>
      <c r="BC271" s="4">
        <f ca="1">IFERROR(__xludf.DUMMYFUNCTION("""COMPUTED_VALUE"""),4)</f>
        <v>4</v>
      </c>
      <c r="BD271" s="4">
        <f ca="1">IFERROR(__xludf.DUMMYFUNCTION("""COMPUTED_VALUE"""),5)</f>
        <v>5</v>
      </c>
      <c r="BE271" s="4">
        <f ca="1">IFERROR(__xludf.DUMMYFUNCTION("""COMPUTED_VALUE"""),5)</f>
        <v>5</v>
      </c>
      <c r="BF271" s="4">
        <f ca="1">IFERROR(__xludf.DUMMYFUNCTION("""COMPUTED_VALUE"""),5)</f>
        <v>5</v>
      </c>
      <c r="BG271" s="4">
        <f ca="1">IFERROR(__xludf.DUMMYFUNCTION("""COMPUTED_VALUE"""),4)</f>
        <v>4</v>
      </c>
      <c r="BH271" s="4">
        <f ca="1">IFERROR(__xludf.DUMMYFUNCTION("""COMPUTED_VALUE"""),5)</f>
        <v>5</v>
      </c>
      <c r="BI271" s="4">
        <f ca="1">IFERROR(__xludf.DUMMYFUNCTION("""COMPUTED_VALUE"""),4)</f>
        <v>4</v>
      </c>
      <c r="BJ271" s="4">
        <f ca="1">IFERROR(__xludf.DUMMYFUNCTION("""COMPUTED_VALUE"""),5)</f>
        <v>5</v>
      </c>
      <c r="BK271" s="4">
        <f ca="1">IFERROR(__xludf.DUMMYFUNCTION("""COMPUTED_VALUE"""),5)</f>
        <v>5</v>
      </c>
      <c r="BL271" s="4">
        <f ca="1">IFERROR(__xludf.DUMMYFUNCTION("""COMPUTED_VALUE"""),2)</f>
        <v>2</v>
      </c>
      <c r="BM271" s="4">
        <f ca="1">IFERROR(__xludf.DUMMYFUNCTION("""COMPUTED_VALUE"""),2)</f>
        <v>2</v>
      </c>
      <c r="BN271" s="4">
        <f ca="1">IFERROR(__xludf.DUMMYFUNCTION("""COMPUTED_VALUE"""),5)</f>
        <v>5</v>
      </c>
      <c r="BO271" s="4">
        <f ca="1">IFERROR(__xludf.DUMMYFUNCTION("""COMPUTED_VALUE"""),1)</f>
        <v>1</v>
      </c>
      <c r="BP271" s="4">
        <f ca="1">IFERROR(__xludf.DUMMYFUNCTION("""COMPUTED_VALUE"""),2)</f>
        <v>2</v>
      </c>
    </row>
    <row r="272" spans="1:68" ht="13.2" x14ac:dyDescent="0.25">
      <c r="A272" s="4" t="str">
        <f ca="1">IFERROR(__xludf.DUMMYFUNCTION("""COMPUTED_VALUE"""),"2_ABaOnudNFkLU2YT34xJXurre5AyhdZAfK-cB0tvZQ4ffgbZkog9lq-pJOjuBB0Hvfw")</f>
        <v>2_ABaOnudNFkLU2YT34xJXurre5AyhdZAfK-cB0tvZQ4ffgbZkog9lq-pJOjuBB0Hvfw</v>
      </c>
      <c r="B272" s="5">
        <f ca="1">IFERROR(__xludf.DUMMYFUNCTION("""COMPUTED_VALUE"""),45981.4186642013)</f>
        <v>45981.418664201301</v>
      </c>
      <c r="C272" s="4" t="str">
        <f ca="1">IFERROR(__xludf.DUMMYFUNCTION("""COMPUTED_VALUE"""),"Cao Thị Hồng Nga")</f>
        <v>Cao Thị Hồng Nga</v>
      </c>
      <c r="D272" s="4" t="str">
        <f ca="1">IFERROR(__xludf.DUMMYFUNCTION("""COMPUTED_VALUE"""),"Nữ")</f>
        <v>Nữ</v>
      </c>
      <c r="E272" s="4" t="str">
        <f ca="1">IFERROR(__xludf.DUMMYFUNCTION("""COMPUTED_VALUE"""),"Kiểm toán NVA")</f>
        <v>Kiểm toán NVA</v>
      </c>
      <c r="F272" s="4" t="str">
        <f ca="1">IFERROR(__xludf.DUMMYFUNCTION("""COMPUTED_VALUE"""),"Sau đại học, Chứng chỉ Kiểm toán viên")</f>
        <v>Sau đại học, Chứng chỉ Kiểm toán viên</v>
      </c>
      <c r="G272" s="4" t="str">
        <f ca="1">IFERROR(__xludf.DUMMYFUNCTION("""COMPUTED_VALUE"""),"Trên 10 đến 15 năm")</f>
        <v>Trên 10 đến 15 năm</v>
      </c>
      <c r="H272" s="4" t="str">
        <f ca="1">IFERROR(__xludf.DUMMYFUNCTION("""COMPUTED_VALUE"""),"Kiểm toán viên/Trưởng nhóm")</f>
        <v>Kiểm toán viên/Trưởng nhóm</v>
      </c>
      <c r="I272" s="4">
        <f ca="1">IFERROR(__xludf.DUMMYFUNCTION("""COMPUTED_VALUE"""),5)</f>
        <v>5</v>
      </c>
      <c r="J272" s="4">
        <f ca="1">IFERROR(__xludf.DUMMYFUNCTION("""COMPUTED_VALUE"""),3)</f>
        <v>3</v>
      </c>
      <c r="K272" s="4">
        <f ca="1">IFERROR(__xludf.DUMMYFUNCTION("""COMPUTED_VALUE"""),5)</f>
        <v>5</v>
      </c>
      <c r="L272" s="4">
        <f ca="1">IFERROR(__xludf.DUMMYFUNCTION("""COMPUTED_VALUE"""),5)</f>
        <v>5</v>
      </c>
      <c r="M272" s="4">
        <f ca="1">IFERROR(__xludf.DUMMYFUNCTION("""COMPUTED_VALUE"""),4)</f>
        <v>4</v>
      </c>
      <c r="N272" s="4">
        <f ca="1">IFERROR(__xludf.DUMMYFUNCTION("""COMPUTED_VALUE"""),3)</f>
        <v>3</v>
      </c>
      <c r="O272" s="4">
        <f ca="1">IFERROR(__xludf.DUMMYFUNCTION("""COMPUTED_VALUE"""),5)</f>
        <v>5</v>
      </c>
      <c r="P272" s="4">
        <f ca="1">IFERROR(__xludf.DUMMYFUNCTION("""COMPUTED_VALUE"""),5)</f>
        <v>5</v>
      </c>
      <c r="Q272" s="4">
        <f ca="1">IFERROR(__xludf.DUMMYFUNCTION("""COMPUTED_VALUE"""),3)</f>
        <v>3</v>
      </c>
      <c r="R272" s="4">
        <f ca="1">IFERROR(__xludf.DUMMYFUNCTION("""COMPUTED_VALUE"""),5)</f>
        <v>5</v>
      </c>
      <c r="S272" s="4">
        <f ca="1">IFERROR(__xludf.DUMMYFUNCTION("""COMPUTED_VALUE"""),5)</f>
        <v>5</v>
      </c>
      <c r="T272" s="4">
        <f ca="1">IFERROR(__xludf.DUMMYFUNCTION("""COMPUTED_VALUE"""),4)</f>
        <v>4</v>
      </c>
      <c r="U272" s="4">
        <f ca="1">IFERROR(__xludf.DUMMYFUNCTION("""COMPUTED_VALUE"""),5)</f>
        <v>5</v>
      </c>
      <c r="V272" s="4">
        <f ca="1">IFERROR(__xludf.DUMMYFUNCTION("""COMPUTED_VALUE"""),5)</f>
        <v>5</v>
      </c>
      <c r="W272" s="4">
        <f ca="1">IFERROR(__xludf.DUMMYFUNCTION("""COMPUTED_VALUE"""),5)</f>
        <v>5</v>
      </c>
      <c r="X272" s="4">
        <f ca="1">IFERROR(__xludf.DUMMYFUNCTION("""COMPUTED_VALUE"""),4)</f>
        <v>4</v>
      </c>
      <c r="Y272" s="4">
        <f ca="1">IFERROR(__xludf.DUMMYFUNCTION("""COMPUTED_VALUE"""),4)</f>
        <v>4</v>
      </c>
      <c r="Z272" s="4">
        <f ca="1">IFERROR(__xludf.DUMMYFUNCTION("""COMPUTED_VALUE"""),4)</f>
        <v>4</v>
      </c>
      <c r="AA272" s="4">
        <f ca="1">IFERROR(__xludf.DUMMYFUNCTION("""COMPUTED_VALUE"""),5)</f>
        <v>5</v>
      </c>
      <c r="AB272" s="4">
        <f ca="1">IFERROR(__xludf.DUMMYFUNCTION("""COMPUTED_VALUE"""),2)</f>
        <v>2</v>
      </c>
      <c r="AC272" s="4">
        <f ca="1">IFERROR(__xludf.DUMMYFUNCTION("""COMPUTED_VALUE"""),5)</f>
        <v>5</v>
      </c>
      <c r="AD272" s="4">
        <f ca="1">IFERROR(__xludf.DUMMYFUNCTION("""COMPUTED_VALUE"""),2)</f>
        <v>2</v>
      </c>
      <c r="AE272" s="4">
        <f ca="1">IFERROR(__xludf.DUMMYFUNCTION("""COMPUTED_VALUE"""),5)</f>
        <v>5</v>
      </c>
      <c r="AF272" s="4">
        <f ca="1">IFERROR(__xludf.DUMMYFUNCTION("""COMPUTED_VALUE"""),5)</f>
        <v>5</v>
      </c>
      <c r="AG272" s="4">
        <f ca="1">IFERROR(__xludf.DUMMYFUNCTION("""COMPUTED_VALUE"""),3)</f>
        <v>3</v>
      </c>
      <c r="AH272" s="4">
        <f ca="1">IFERROR(__xludf.DUMMYFUNCTION("""COMPUTED_VALUE"""),3)</f>
        <v>3</v>
      </c>
      <c r="AI272" s="4">
        <f ca="1">IFERROR(__xludf.DUMMYFUNCTION("""COMPUTED_VALUE"""),3)</f>
        <v>3</v>
      </c>
      <c r="AJ272" s="4">
        <f ca="1">IFERROR(__xludf.DUMMYFUNCTION("""COMPUTED_VALUE"""),5)</f>
        <v>5</v>
      </c>
      <c r="AK272" s="4">
        <f ca="1">IFERROR(__xludf.DUMMYFUNCTION("""COMPUTED_VALUE"""),2)</f>
        <v>2</v>
      </c>
      <c r="AL272" s="4">
        <f ca="1">IFERROR(__xludf.DUMMYFUNCTION("""COMPUTED_VALUE"""),5)</f>
        <v>5</v>
      </c>
      <c r="AM272" s="4">
        <f ca="1">IFERROR(__xludf.DUMMYFUNCTION("""COMPUTED_VALUE"""),3)</f>
        <v>3</v>
      </c>
      <c r="AN272" s="4">
        <f ca="1">IFERROR(__xludf.DUMMYFUNCTION("""COMPUTED_VALUE"""),5)</f>
        <v>5</v>
      </c>
      <c r="AO272" s="4">
        <f ca="1">IFERROR(__xludf.DUMMYFUNCTION("""COMPUTED_VALUE"""),3)</f>
        <v>3</v>
      </c>
      <c r="AP272" s="4">
        <f ca="1">IFERROR(__xludf.DUMMYFUNCTION("""COMPUTED_VALUE"""),5)</f>
        <v>5</v>
      </c>
      <c r="AQ272" s="4">
        <f ca="1">IFERROR(__xludf.DUMMYFUNCTION("""COMPUTED_VALUE"""),3)</f>
        <v>3</v>
      </c>
      <c r="AR272" s="4">
        <f ca="1">IFERROR(__xludf.DUMMYFUNCTION("""COMPUTED_VALUE"""),3)</f>
        <v>3</v>
      </c>
      <c r="AS272" s="4">
        <f ca="1">IFERROR(__xludf.DUMMYFUNCTION("""COMPUTED_VALUE"""),5)</f>
        <v>5</v>
      </c>
      <c r="AT272" s="4">
        <f ca="1">IFERROR(__xludf.DUMMYFUNCTION("""COMPUTED_VALUE"""),3)</f>
        <v>3</v>
      </c>
      <c r="AU272" s="4">
        <f ca="1">IFERROR(__xludf.DUMMYFUNCTION("""COMPUTED_VALUE"""),3)</f>
        <v>3</v>
      </c>
      <c r="AV272" s="4">
        <f ca="1">IFERROR(__xludf.DUMMYFUNCTION("""COMPUTED_VALUE"""),3)</f>
        <v>3</v>
      </c>
      <c r="AW272" s="4">
        <f ca="1">IFERROR(__xludf.DUMMYFUNCTION("""COMPUTED_VALUE"""),5)</f>
        <v>5</v>
      </c>
      <c r="AX272" s="4">
        <f ca="1">IFERROR(__xludf.DUMMYFUNCTION("""COMPUTED_VALUE"""),5)</f>
        <v>5</v>
      </c>
      <c r="AY272" s="4">
        <f ca="1">IFERROR(__xludf.DUMMYFUNCTION("""COMPUTED_VALUE"""),3)</f>
        <v>3</v>
      </c>
      <c r="AZ272" s="4">
        <f ca="1">IFERROR(__xludf.DUMMYFUNCTION("""COMPUTED_VALUE"""),5)</f>
        <v>5</v>
      </c>
      <c r="BA272" s="4">
        <f ca="1">IFERROR(__xludf.DUMMYFUNCTION("""COMPUTED_VALUE"""),5)</f>
        <v>5</v>
      </c>
      <c r="BB272" s="4">
        <f ca="1">IFERROR(__xludf.DUMMYFUNCTION("""COMPUTED_VALUE"""),3)</f>
        <v>3</v>
      </c>
      <c r="BC272" s="4">
        <f ca="1">IFERROR(__xludf.DUMMYFUNCTION("""COMPUTED_VALUE"""),4)</f>
        <v>4</v>
      </c>
      <c r="BD272" s="4">
        <f ca="1">IFERROR(__xludf.DUMMYFUNCTION("""COMPUTED_VALUE"""),4)</f>
        <v>4</v>
      </c>
      <c r="BE272" s="4">
        <f ca="1">IFERROR(__xludf.DUMMYFUNCTION("""COMPUTED_VALUE"""),4)</f>
        <v>4</v>
      </c>
      <c r="BF272" s="4">
        <f ca="1">IFERROR(__xludf.DUMMYFUNCTION("""COMPUTED_VALUE"""),3)</f>
        <v>3</v>
      </c>
      <c r="BG272" s="4">
        <f ca="1">IFERROR(__xludf.DUMMYFUNCTION("""COMPUTED_VALUE"""),5)</f>
        <v>5</v>
      </c>
      <c r="BH272" s="4">
        <f ca="1">IFERROR(__xludf.DUMMYFUNCTION("""COMPUTED_VALUE"""),5)</f>
        <v>5</v>
      </c>
      <c r="BI272" s="4">
        <f ca="1">IFERROR(__xludf.DUMMYFUNCTION("""COMPUTED_VALUE"""),5)</f>
        <v>5</v>
      </c>
      <c r="BJ272" s="4">
        <f ca="1">IFERROR(__xludf.DUMMYFUNCTION("""COMPUTED_VALUE"""),4)</f>
        <v>4</v>
      </c>
      <c r="BK272" s="4">
        <f ca="1">IFERROR(__xludf.DUMMYFUNCTION("""COMPUTED_VALUE"""),5)</f>
        <v>5</v>
      </c>
      <c r="BL272" s="4">
        <f ca="1">IFERROR(__xludf.DUMMYFUNCTION("""COMPUTED_VALUE"""),3)</f>
        <v>3</v>
      </c>
      <c r="BM272" s="4">
        <f ca="1">IFERROR(__xludf.DUMMYFUNCTION("""COMPUTED_VALUE"""),5)</f>
        <v>5</v>
      </c>
      <c r="BN272" s="4">
        <f ca="1">IFERROR(__xludf.DUMMYFUNCTION("""COMPUTED_VALUE"""),4)</f>
        <v>4</v>
      </c>
      <c r="BO272" s="4">
        <f ca="1">IFERROR(__xludf.DUMMYFUNCTION("""COMPUTED_VALUE"""),5)</f>
        <v>5</v>
      </c>
      <c r="BP272" s="4">
        <f ca="1">IFERROR(__xludf.DUMMYFUNCTION("""COMPUTED_VALUE"""),3)</f>
        <v>3</v>
      </c>
    </row>
    <row r="273" spans="1:68" ht="13.2" x14ac:dyDescent="0.25">
      <c r="A273" s="4" t="str">
        <f ca="1">IFERROR(__xludf.DUMMYFUNCTION("""COMPUTED_VALUE"""),"2_ABaOnufCwbzvLV-e_L_G2RE6l4RGx6Q1Yx8hfPAz3zkX5VxaAK-C2O4aw6vu64hRoA")</f>
        <v>2_ABaOnufCwbzvLV-e_L_G2RE6l4RGx6Q1Yx8hfPAz3zkX5VxaAK-C2O4aw6vu64hRoA</v>
      </c>
      <c r="B273" s="5">
        <f ca="1">IFERROR(__xludf.DUMMYFUNCTION("""COMPUTED_VALUE"""),45981.5752324189)</f>
        <v>45981.575232418902</v>
      </c>
      <c r="C273" s="4" t="str">
        <f ca="1">IFERROR(__xludf.DUMMYFUNCTION("""COMPUTED_VALUE"""),"Nguyễn Thị Ngọc Nga")</f>
        <v>Nguyễn Thị Ngọc Nga</v>
      </c>
      <c r="D273" s="4" t="str">
        <f ca="1">IFERROR(__xludf.DUMMYFUNCTION("""COMPUTED_VALUE"""),"Nữ")</f>
        <v>Nữ</v>
      </c>
      <c r="E273" s="4" t="str">
        <f ca="1">IFERROR(__xludf.DUMMYFUNCTION("""COMPUTED_VALUE"""),"Công ty TNHH Kiểm toán CHUẨN VIỆT")</f>
        <v>Công ty TNHH Kiểm toán CHUẨN VIỆT</v>
      </c>
      <c r="F273" s="4" t="str">
        <f ca="1">IFERROR(__xludf.DUMMYFUNCTION("""COMPUTED_VALUE"""),"Đại học, Sau đại học, Chứng chỉ Kiểm toán viên")</f>
        <v>Đại học, Sau đại học, Chứng chỉ Kiểm toán viên</v>
      </c>
      <c r="G273" s="4" t="str">
        <f ca="1">IFERROR(__xludf.DUMMYFUNCTION("""COMPUTED_VALUE"""),"Trên 20 năm")</f>
        <v>Trên 20 năm</v>
      </c>
      <c r="H273" s="4" t="str">
        <f ca="1">IFERROR(__xludf.DUMMYFUNCTION("""COMPUTED_VALUE"""),"Ban giám đốc")</f>
        <v>Ban giám đốc</v>
      </c>
      <c r="I273" s="4">
        <f ca="1">IFERROR(__xludf.DUMMYFUNCTION("""COMPUTED_VALUE"""),5)</f>
        <v>5</v>
      </c>
      <c r="J273" s="4">
        <f ca="1">IFERROR(__xludf.DUMMYFUNCTION("""COMPUTED_VALUE"""),5)</f>
        <v>5</v>
      </c>
      <c r="K273" s="4">
        <f ca="1">IFERROR(__xludf.DUMMYFUNCTION("""COMPUTED_VALUE"""),5)</f>
        <v>5</v>
      </c>
      <c r="L273" s="4">
        <f ca="1">IFERROR(__xludf.DUMMYFUNCTION("""COMPUTED_VALUE"""),5)</f>
        <v>5</v>
      </c>
      <c r="M273" s="4">
        <f ca="1">IFERROR(__xludf.DUMMYFUNCTION("""COMPUTED_VALUE"""),5)</f>
        <v>5</v>
      </c>
      <c r="N273" s="4">
        <f ca="1">IFERROR(__xludf.DUMMYFUNCTION("""COMPUTED_VALUE"""),5)</f>
        <v>5</v>
      </c>
      <c r="O273" s="4">
        <f ca="1">IFERROR(__xludf.DUMMYFUNCTION("""COMPUTED_VALUE"""),5)</f>
        <v>5</v>
      </c>
      <c r="P273" s="4">
        <f ca="1">IFERROR(__xludf.DUMMYFUNCTION("""COMPUTED_VALUE"""),5)</f>
        <v>5</v>
      </c>
      <c r="Q273" s="4">
        <f ca="1">IFERROR(__xludf.DUMMYFUNCTION("""COMPUTED_VALUE"""),5)</f>
        <v>5</v>
      </c>
      <c r="R273" s="4">
        <f ca="1">IFERROR(__xludf.DUMMYFUNCTION("""COMPUTED_VALUE"""),5)</f>
        <v>5</v>
      </c>
      <c r="S273" s="4">
        <f ca="1">IFERROR(__xludf.DUMMYFUNCTION("""COMPUTED_VALUE"""),5)</f>
        <v>5</v>
      </c>
      <c r="T273" s="4">
        <f ca="1">IFERROR(__xludf.DUMMYFUNCTION("""COMPUTED_VALUE"""),5)</f>
        <v>5</v>
      </c>
      <c r="U273" s="4">
        <f ca="1">IFERROR(__xludf.DUMMYFUNCTION("""COMPUTED_VALUE"""),4)</f>
        <v>4</v>
      </c>
      <c r="V273" s="4">
        <f ca="1">IFERROR(__xludf.DUMMYFUNCTION("""COMPUTED_VALUE"""),5)</f>
        <v>5</v>
      </c>
      <c r="W273" s="4">
        <f ca="1">IFERROR(__xludf.DUMMYFUNCTION("""COMPUTED_VALUE"""),5)</f>
        <v>5</v>
      </c>
      <c r="X273" s="4">
        <f ca="1">IFERROR(__xludf.DUMMYFUNCTION("""COMPUTED_VALUE"""),4)</f>
        <v>4</v>
      </c>
      <c r="Y273" s="4">
        <f ca="1">IFERROR(__xludf.DUMMYFUNCTION("""COMPUTED_VALUE"""),5)</f>
        <v>5</v>
      </c>
      <c r="Z273" s="4">
        <f ca="1">IFERROR(__xludf.DUMMYFUNCTION("""COMPUTED_VALUE"""),4)</f>
        <v>4</v>
      </c>
      <c r="AA273" s="4">
        <f ca="1">IFERROR(__xludf.DUMMYFUNCTION("""COMPUTED_VALUE"""),5)</f>
        <v>5</v>
      </c>
      <c r="AB273" s="4">
        <f ca="1">IFERROR(__xludf.DUMMYFUNCTION("""COMPUTED_VALUE"""),4)</f>
        <v>4</v>
      </c>
      <c r="AC273" s="4">
        <f ca="1">IFERROR(__xludf.DUMMYFUNCTION("""COMPUTED_VALUE"""),4)</f>
        <v>4</v>
      </c>
      <c r="AD273" s="4">
        <f ca="1">IFERROR(__xludf.DUMMYFUNCTION("""COMPUTED_VALUE"""),5)</f>
        <v>5</v>
      </c>
      <c r="AE273" s="4">
        <f ca="1">IFERROR(__xludf.DUMMYFUNCTION("""COMPUTED_VALUE"""),5)</f>
        <v>5</v>
      </c>
      <c r="AF273" s="4">
        <f ca="1">IFERROR(__xludf.DUMMYFUNCTION("""COMPUTED_VALUE"""),5)</f>
        <v>5</v>
      </c>
      <c r="AG273" s="4">
        <f ca="1">IFERROR(__xludf.DUMMYFUNCTION("""COMPUTED_VALUE"""),5)</f>
        <v>5</v>
      </c>
      <c r="AH273" s="4">
        <f ca="1">IFERROR(__xludf.DUMMYFUNCTION("""COMPUTED_VALUE"""),4)</f>
        <v>4</v>
      </c>
      <c r="AI273" s="4">
        <f ca="1">IFERROR(__xludf.DUMMYFUNCTION("""COMPUTED_VALUE"""),4)</f>
        <v>4</v>
      </c>
      <c r="AJ273" s="4">
        <f ca="1">IFERROR(__xludf.DUMMYFUNCTION("""COMPUTED_VALUE"""),5)</f>
        <v>5</v>
      </c>
      <c r="AK273" s="4">
        <f ca="1">IFERROR(__xludf.DUMMYFUNCTION("""COMPUTED_VALUE"""),5)</f>
        <v>5</v>
      </c>
      <c r="AL273" s="4">
        <f ca="1">IFERROR(__xludf.DUMMYFUNCTION("""COMPUTED_VALUE"""),5)</f>
        <v>5</v>
      </c>
      <c r="AM273" s="4">
        <f ca="1">IFERROR(__xludf.DUMMYFUNCTION("""COMPUTED_VALUE"""),4)</f>
        <v>4</v>
      </c>
      <c r="AN273" s="4">
        <f ca="1">IFERROR(__xludf.DUMMYFUNCTION("""COMPUTED_VALUE"""),4)</f>
        <v>4</v>
      </c>
      <c r="AO273" s="4">
        <f ca="1">IFERROR(__xludf.DUMMYFUNCTION("""COMPUTED_VALUE"""),4)</f>
        <v>4</v>
      </c>
      <c r="AP273" s="4">
        <f ca="1">IFERROR(__xludf.DUMMYFUNCTION("""COMPUTED_VALUE"""),4)</f>
        <v>4</v>
      </c>
      <c r="AQ273" s="4">
        <f ca="1">IFERROR(__xludf.DUMMYFUNCTION("""COMPUTED_VALUE"""),4)</f>
        <v>4</v>
      </c>
      <c r="AR273" s="4">
        <f ca="1">IFERROR(__xludf.DUMMYFUNCTION("""COMPUTED_VALUE"""),4)</f>
        <v>4</v>
      </c>
      <c r="AS273" s="4">
        <f ca="1">IFERROR(__xludf.DUMMYFUNCTION("""COMPUTED_VALUE"""),4)</f>
        <v>4</v>
      </c>
      <c r="AT273" s="4">
        <f ca="1">IFERROR(__xludf.DUMMYFUNCTION("""COMPUTED_VALUE"""),4)</f>
        <v>4</v>
      </c>
      <c r="AU273" s="4">
        <f ca="1">IFERROR(__xludf.DUMMYFUNCTION("""COMPUTED_VALUE"""),4)</f>
        <v>4</v>
      </c>
      <c r="AV273" s="4">
        <f ca="1">IFERROR(__xludf.DUMMYFUNCTION("""COMPUTED_VALUE"""),5)</f>
        <v>5</v>
      </c>
      <c r="AW273" s="4">
        <f ca="1">IFERROR(__xludf.DUMMYFUNCTION("""COMPUTED_VALUE"""),5)</f>
        <v>5</v>
      </c>
      <c r="AX273" s="4">
        <f ca="1">IFERROR(__xludf.DUMMYFUNCTION("""COMPUTED_VALUE"""),5)</f>
        <v>5</v>
      </c>
      <c r="AY273" s="4">
        <f ca="1">IFERROR(__xludf.DUMMYFUNCTION("""COMPUTED_VALUE"""),5)</f>
        <v>5</v>
      </c>
      <c r="AZ273" s="4">
        <f ca="1">IFERROR(__xludf.DUMMYFUNCTION("""COMPUTED_VALUE"""),5)</f>
        <v>5</v>
      </c>
      <c r="BA273" s="4">
        <f ca="1">IFERROR(__xludf.DUMMYFUNCTION("""COMPUTED_VALUE"""),5)</f>
        <v>5</v>
      </c>
      <c r="BB273" s="4">
        <f ca="1">IFERROR(__xludf.DUMMYFUNCTION("""COMPUTED_VALUE"""),2)</f>
        <v>2</v>
      </c>
      <c r="BC273" s="4">
        <f ca="1">IFERROR(__xludf.DUMMYFUNCTION("""COMPUTED_VALUE"""),3)</f>
        <v>3</v>
      </c>
      <c r="BD273" s="4">
        <f ca="1">IFERROR(__xludf.DUMMYFUNCTION("""COMPUTED_VALUE"""),4)</f>
        <v>4</v>
      </c>
      <c r="BE273" s="4">
        <f ca="1">IFERROR(__xludf.DUMMYFUNCTION("""COMPUTED_VALUE"""),4)</f>
        <v>4</v>
      </c>
      <c r="BF273" s="4">
        <f ca="1">IFERROR(__xludf.DUMMYFUNCTION("""COMPUTED_VALUE"""),4)</f>
        <v>4</v>
      </c>
      <c r="BG273" s="4">
        <f ca="1">IFERROR(__xludf.DUMMYFUNCTION("""COMPUTED_VALUE"""),5)</f>
        <v>5</v>
      </c>
      <c r="BH273" s="4">
        <f ca="1">IFERROR(__xludf.DUMMYFUNCTION("""COMPUTED_VALUE"""),5)</f>
        <v>5</v>
      </c>
      <c r="BI273" s="4">
        <f ca="1">IFERROR(__xludf.DUMMYFUNCTION("""COMPUTED_VALUE"""),5)</f>
        <v>5</v>
      </c>
      <c r="BJ273" s="4">
        <f ca="1">IFERROR(__xludf.DUMMYFUNCTION("""COMPUTED_VALUE"""),4)</f>
        <v>4</v>
      </c>
      <c r="BK273" s="4">
        <f ca="1">IFERROR(__xludf.DUMMYFUNCTION("""COMPUTED_VALUE"""),4)</f>
        <v>4</v>
      </c>
      <c r="BL273" s="4">
        <f ca="1">IFERROR(__xludf.DUMMYFUNCTION("""COMPUTED_VALUE"""),5)</f>
        <v>5</v>
      </c>
      <c r="BM273" s="4">
        <f ca="1">IFERROR(__xludf.DUMMYFUNCTION("""COMPUTED_VALUE"""),5)</f>
        <v>5</v>
      </c>
      <c r="BN273" s="4">
        <f ca="1">IFERROR(__xludf.DUMMYFUNCTION("""COMPUTED_VALUE"""),5)</f>
        <v>5</v>
      </c>
      <c r="BO273" s="4">
        <f ca="1">IFERROR(__xludf.DUMMYFUNCTION("""COMPUTED_VALUE"""),5)</f>
        <v>5</v>
      </c>
      <c r="BP273" s="4">
        <f ca="1">IFERROR(__xludf.DUMMYFUNCTION("""COMPUTED_VALUE"""),4)</f>
        <v>4</v>
      </c>
    </row>
    <row r="274" spans="1:68" ht="13.2" x14ac:dyDescent="0.25">
      <c r="A274" s="4" t="str">
        <f ca="1">IFERROR(__xludf.DUMMYFUNCTION("""COMPUTED_VALUE"""),"2_ABaOnuf5YsaqOjMPA-z8FtZ-Jczon3Lpmdy0tvRGWLj8AVMiohdFT0F-LmudV5-0wg")</f>
        <v>2_ABaOnuf5YsaqOjMPA-z8FtZ-Jczon3Lpmdy0tvRGWLj8AVMiohdFT0F-LmudV5-0wg</v>
      </c>
      <c r="B274" s="5">
        <f ca="1">IFERROR(__xludf.DUMMYFUNCTION("""COMPUTED_VALUE"""),45981.5986179745)</f>
        <v>45981.598617974501</v>
      </c>
      <c r="C274" s="4" t="str">
        <f ca="1">IFERROR(__xludf.DUMMYFUNCTION("""COMPUTED_VALUE"""),"Hoàng Thị Liên")</f>
        <v>Hoàng Thị Liên</v>
      </c>
      <c r="D274" s="4" t="str">
        <f ca="1">IFERROR(__xludf.DUMMYFUNCTION("""COMPUTED_VALUE"""),"Nữ")</f>
        <v>Nữ</v>
      </c>
      <c r="E274" s="4" t="str">
        <f ca="1">IFERROR(__xludf.DUMMYFUNCTION("""COMPUTED_VALUE"""),"Grant Thornton Vietnam")</f>
        <v>Grant Thornton Vietnam</v>
      </c>
      <c r="F274" s="4" t="str">
        <f ca="1">IFERROR(__xludf.DUMMYFUNCTION("""COMPUTED_VALUE"""),"Đại học")</f>
        <v>Đại học</v>
      </c>
      <c r="G274" s="4" t="str">
        <f ca="1">IFERROR(__xludf.DUMMYFUNCTION("""COMPUTED_VALUE"""),"Trên 10 đến 15 năm")</f>
        <v>Trên 10 đến 15 năm</v>
      </c>
      <c r="H274" s="4" t="str">
        <f ca="1">IFERROR(__xludf.DUMMYFUNCTION("""COMPUTED_VALUE"""),"Trưởng phòng")</f>
        <v>Trưởng phòng</v>
      </c>
      <c r="I274" s="4">
        <f ca="1">IFERROR(__xludf.DUMMYFUNCTION("""COMPUTED_VALUE"""),4)</f>
        <v>4</v>
      </c>
      <c r="J274" s="4">
        <f ca="1">IFERROR(__xludf.DUMMYFUNCTION("""COMPUTED_VALUE"""),4)</f>
        <v>4</v>
      </c>
      <c r="K274" s="4">
        <f ca="1">IFERROR(__xludf.DUMMYFUNCTION("""COMPUTED_VALUE"""),5)</f>
        <v>5</v>
      </c>
      <c r="L274" s="4">
        <f ca="1">IFERROR(__xludf.DUMMYFUNCTION("""COMPUTED_VALUE"""),4)</f>
        <v>4</v>
      </c>
      <c r="M274" s="4">
        <f ca="1">IFERROR(__xludf.DUMMYFUNCTION("""COMPUTED_VALUE"""),4)</f>
        <v>4</v>
      </c>
      <c r="N274" s="4">
        <f ca="1">IFERROR(__xludf.DUMMYFUNCTION("""COMPUTED_VALUE"""),4)</f>
        <v>4</v>
      </c>
      <c r="O274" s="4">
        <f ca="1">IFERROR(__xludf.DUMMYFUNCTION("""COMPUTED_VALUE"""),4)</f>
        <v>4</v>
      </c>
      <c r="P274" s="4">
        <f ca="1">IFERROR(__xludf.DUMMYFUNCTION("""COMPUTED_VALUE"""),4)</f>
        <v>4</v>
      </c>
      <c r="Q274" s="4">
        <f ca="1">IFERROR(__xludf.DUMMYFUNCTION("""COMPUTED_VALUE"""),4)</f>
        <v>4</v>
      </c>
      <c r="R274" s="4">
        <f ca="1">IFERROR(__xludf.DUMMYFUNCTION("""COMPUTED_VALUE"""),4)</f>
        <v>4</v>
      </c>
      <c r="S274" s="4">
        <f ca="1">IFERROR(__xludf.DUMMYFUNCTION("""COMPUTED_VALUE"""),5)</f>
        <v>5</v>
      </c>
      <c r="T274" s="4">
        <f ca="1">IFERROR(__xludf.DUMMYFUNCTION("""COMPUTED_VALUE"""),4)</f>
        <v>4</v>
      </c>
      <c r="U274" s="4">
        <f ca="1">IFERROR(__xludf.DUMMYFUNCTION("""COMPUTED_VALUE"""),4)</f>
        <v>4</v>
      </c>
      <c r="V274" s="4">
        <f ca="1">IFERROR(__xludf.DUMMYFUNCTION("""COMPUTED_VALUE"""),4)</f>
        <v>4</v>
      </c>
      <c r="W274" s="4">
        <f ca="1">IFERROR(__xludf.DUMMYFUNCTION("""COMPUTED_VALUE"""),4)</f>
        <v>4</v>
      </c>
      <c r="X274" s="4">
        <f ca="1">IFERROR(__xludf.DUMMYFUNCTION("""COMPUTED_VALUE"""),4)</f>
        <v>4</v>
      </c>
      <c r="Y274" s="4">
        <f ca="1">IFERROR(__xludf.DUMMYFUNCTION("""COMPUTED_VALUE"""),3)</f>
        <v>3</v>
      </c>
      <c r="Z274" s="4">
        <f ca="1">IFERROR(__xludf.DUMMYFUNCTION("""COMPUTED_VALUE"""),4)</f>
        <v>4</v>
      </c>
      <c r="AA274" s="4">
        <f ca="1">IFERROR(__xludf.DUMMYFUNCTION("""COMPUTED_VALUE"""),3)</f>
        <v>3</v>
      </c>
      <c r="AB274" s="4">
        <f ca="1">IFERROR(__xludf.DUMMYFUNCTION("""COMPUTED_VALUE"""),3)</f>
        <v>3</v>
      </c>
      <c r="AC274" s="4">
        <f ca="1">IFERROR(__xludf.DUMMYFUNCTION("""COMPUTED_VALUE"""),3)</f>
        <v>3</v>
      </c>
      <c r="AD274" s="4">
        <f ca="1">IFERROR(__xludf.DUMMYFUNCTION("""COMPUTED_VALUE"""),2)</f>
        <v>2</v>
      </c>
      <c r="AE274" s="4">
        <f ca="1">IFERROR(__xludf.DUMMYFUNCTION("""COMPUTED_VALUE"""),5)</f>
        <v>5</v>
      </c>
      <c r="AF274" s="4">
        <f ca="1">IFERROR(__xludf.DUMMYFUNCTION("""COMPUTED_VALUE"""),4)</f>
        <v>4</v>
      </c>
      <c r="AG274" s="4">
        <f ca="1">IFERROR(__xludf.DUMMYFUNCTION("""COMPUTED_VALUE"""),4)</f>
        <v>4</v>
      </c>
      <c r="AH274" s="4">
        <f ca="1">IFERROR(__xludf.DUMMYFUNCTION("""COMPUTED_VALUE"""),4)</f>
        <v>4</v>
      </c>
      <c r="AI274" s="4">
        <f ca="1">IFERROR(__xludf.DUMMYFUNCTION("""COMPUTED_VALUE"""),4)</f>
        <v>4</v>
      </c>
      <c r="AJ274" s="4">
        <f ca="1">IFERROR(__xludf.DUMMYFUNCTION("""COMPUTED_VALUE"""),5)</f>
        <v>5</v>
      </c>
      <c r="AK274" s="4">
        <f ca="1">IFERROR(__xludf.DUMMYFUNCTION("""COMPUTED_VALUE"""),5)</f>
        <v>5</v>
      </c>
      <c r="AL274" s="4">
        <f ca="1">IFERROR(__xludf.DUMMYFUNCTION("""COMPUTED_VALUE"""),5)</f>
        <v>5</v>
      </c>
      <c r="AM274" s="4">
        <f ca="1">IFERROR(__xludf.DUMMYFUNCTION("""COMPUTED_VALUE"""),5)</f>
        <v>5</v>
      </c>
      <c r="AN274" s="4">
        <f ca="1">IFERROR(__xludf.DUMMYFUNCTION("""COMPUTED_VALUE"""),5)</f>
        <v>5</v>
      </c>
      <c r="AO274" s="4">
        <f ca="1">IFERROR(__xludf.DUMMYFUNCTION("""COMPUTED_VALUE"""),5)</f>
        <v>5</v>
      </c>
      <c r="AP274" s="4">
        <f ca="1">IFERROR(__xludf.DUMMYFUNCTION("""COMPUTED_VALUE"""),5)</f>
        <v>5</v>
      </c>
      <c r="AQ274" s="4">
        <f ca="1">IFERROR(__xludf.DUMMYFUNCTION("""COMPUTED_VALUE"""),5)</f>
        <v>5</v>
      </c>
      <c r="AR274" s="4">
        <f ca="1">IFERROR(__xludf.DUMMYFUNCTION("""COMPUTED_VALUE"""),5)</f>
        <v>5</v>
      </c>
      <c r="AS274" s="4">
        <f ca="1">IFERROR(__xludf.DUMMYFUNCTION("""COMPUTED_VALUE"""),5)</f>
        <v>5</v>
      </c>
      <c r="AT274" s="4">
        <f ca="1">IFERROR(__xludf.DUMMYFUNCTION("""COMPUTED_VALUE"""),5)</f>
        <v>5</v>
      </c>
      <c r="AU274" s="4">
        <f ca="1">IFERROR(__xludf.DUMMYFUNCTION("""COMPUTED_VALUE"""),5)</f>
        <v>5</v>
      </c>
      <c r="AV274" s="4">
        <f ca="1">IFERROR(__xludf.DUMMYFUNCTION("""COMPUTED_VALUE"""),5)</f>
        <v>5</v>
      </c>
      <c r="AW274" s="4">
        <f ca="1">IFERROR(__xludf.DUMMYFUNCTION("""COMPUTED_VALUE"""),5)</f>
        <v>5</v>
      </c>
      <c r="AX274" s="4">
        <f ca="1">IFERROR(__xludf.DUMMYFUNCTION("""COMPUTED_VALUE"""),5)</f>
        <v>5</v>
      </c>
      <c r="AY274" s="4">
        <f ca="1">IFERROR(__xludf.DUMMYFUNCTION("""COMPUTED_VALUE"""),5)</f>
        <v>5</v>
      </c>
      <c r="AZ274" s="4">
        <f ca="1">IFERROR(__xludf.DUMMYFUNCTION("""COMPUTED_VALUE"""),5)</f>
        <v>5</v>
      </c>
      <c r="BA274" s="4">
        <f ca="1">IFERROR(__xludf.DUMMYFUNCTION("""COMPUTED_VALUE"""),5)</f>
        <v>5</v>
      </c>
      <c r="BB274" s="4">
        <f ca="1">IFERROR(__xludf.DUMMYFUNCTION("""COMPUTED_VALUE"""),4)</f>
        <v>4</v>
      </c>
      <c r="BC274" s="4">
        <f ca="1">IFERROR(__xludf.DUMMYFUNCTION("""COMPUTED_VALUE"""),4)</f>
        <v>4</v>
      </c>
      <c r="BD274" s="4">
        <f ca="1">IFERROR(__xludf.DUMMYFUNCTION("""COMPUTED_VALUE"""),4)</f>
        <v>4</v>
      </c>
      <c r="BE274" s="4">
        <f ca="1">IFERROR(__xludf.DUMMYFUNCTION("""COMPUTED_VALUE"""),4)</f>
        <v>4</v>
      </c>
      <c r="BF274" s="4">
        <f ca="1">IFERROR(__xludf.DUMMYFUNCTION("""COMPUTED_VALUE"""),4)</f>
        <v>4</v>
      </c>
      <c r="BG274" s="4">
        <f ca="1">IFERROR(__xludf.DUMMYFUNCTION("""COMPUTED_VALUE"""),4)</f>
        <v>4</v>
      </c>
      <c r="BH274" s="4">
        <f ca="1">IFERROR(__xludf.DUMMYFUNCTION("""COMPUTED_VALUE"""),4)</f>
        <v>4</v>
      </c>
      <c r="BI274" s="4">
        <f ca="1">IFERROR(__xludf.DUMMYFUNCTION("""COMPUTED_VALUE"""),5)</f>
        <v>5</v>
      </c>
      <c r="BJ274" s="4">
        <f ca="1">IFERROR(__xludf.DUMMYFUNCTION("""COMPUTED_VALUE"""),5)</f>
        <v>5</v>
      </c>
      <c r="BK274" s="4">
        <f ca="1">IFERROR(__xludf.DUMMYFUNCTION("""COMPUTED_VALUE"""),4)</f>
        <v>4</v>
      </c>
      <c r="BL274" s="4">
        <f ca="1">IFERROR(__xludf.DUMMYFUNCTION("""COMPUTED_VALUE"""),4)</f>
        <v>4</v>
      </c>
      <c r="BM274" s="4">
        <f ca="1">IFERROR(__xludf.DUMMYFUNCTION("""COMPUTED_VALUE"""),4)</f>
        <v>4</v>
      </c>
      <c r="BN274" s="4">
        <f ca="1">IFERROR(__xludf.DUMMYFUNCTION("""COMPUTED_VALUE"""),4)</f>
        <v>4</v>
      </c>
      <c r="BO274" s="4">
        <f ca="1">IFERROR(__xludf.DUMMYFUNCTION("""COMPUTED_VALUE"""),5)</f>
        <v>5</v>
      </c>
      <c r="BP274" s="4">
        <f ca="1">IFERROR(__xludf.DUMMYFUNCTION("""COMPUTED_VALUE"""),5)</f>
        <v>5</v>
      </c>
    </row>
    <row r="275" spans="1:68" ht="13.2" x14ac:dyDescent="0.25">
      <c r="A275" s="4" t="str">
        <f ca="1">IFERROR(__xludf.DUMMYFUNCTION("""COMPUTED_VALUE"""),"2_ABaOnuf79l40f0TG4q-fWxPivlMnpEe8jcPRnmBSbj_4SgD8fUkKX-2ib06gokzCWg")</f>
        <v>2_ABaOnuf79l40f0TG4q-fWxPivlMnpEe8jcPRnmBSbj_4SgD8fUkKX-2ib06gokzCWg</v>
      </c>
      <c r="B275" s="5">
        <f ca="1">IFERROR(__xludf.DUMMYFUNCTION("""COMPUTED_VALUE"""),45981.703466875)</f>
        <v>45981.703466874998</v>
      </c>
      <c r="C275" s="4" t="str">
        <f ca="1">IFERROR(__xludf.DUMMYFUNCTION("""COMPUTED_VALUE"""),"Lê Quảng Hòa")</f>
        <v>Lê Quảng Hòa</v>
      </c>
      <c r="D275" s="4" t="str">
        <f ca="1">IFERROR(__xludf.DUMMYFUNCTION("""COMPUTED_VALUE"""),"Nam")</f>
        <v>Nam</v>
      </c>
      <c r="E275" s="4" t="str">
        <f ca="1">IFERROR(__xludf.DUMMYFUNCTION("""COMPUTED_VALUE"""),"Grant Thornton Việt Nam")</f>
        <v>Grant Thornton Việt Nam</v>
      </c>
      <c r="F275" s="4" t="str">
        <f ca="1">IFERROR(__xludf.DUMMYFUNCTION("""COMPUTED_VALUE"""),"Đại học, Chứng chỉ Kiểm toán viên")</f>
        <v>Đại học, Chứng chỉ Kiểm toán viên</v>
      </c>
      <c r="G275" s="4" t="str">
        <f ca="1">IFERROR(__xludf.DUMMYFUNCTION("""COMPUTED_VALUE"""),"Trên 15 đến 20 năm")</f>
        <v>Trên 15 đến 20 năm</v>
      </c>
      <c r="H275" s="4" t="str">
        <f ca="1">IFERROR(__xludf.DUMMYFUNCTION("""COMPUTED_VALUE"""),"Trưởng phòng")</f>
        <v>Trưởng phòng</v>
      </c>
      <c r="I275" s="4">
        <f ca="1">IFERROR(__xludf.DUMMYFUNCTION("""COMPUTED_VALUE"""),5)</f>
        <v>5</v>
      </c>
      <c r="J275" s="4">
        <f ca="1">IFERROR(__xludf.DUMMYFUNCTION("""COMPUTED_VALUE"""),5)</f>
        <v>5</v>
      </c>
      <c r="K275" s="4">
        <f ca="1">IFERROR(__xludf.DUMMYFUNCTION("""COMPUTED_VALUE"""),5)</f>
        <v>5</v>
      </c>
      <c r="L275" s="4">
        <f ca="1">IFERROR(__xludf.DUMMYFUNCTION("""COMPUTED_VALUE"""),5)</f>
        <v>5</v>
      </c>
      <c r="M275" s="4">
        <f ca="1">IFERROR(__xludf.DUMMYFUNCTION("""COMPUTED_VALUE"""),5)</f>
        <v>5</v>
      </c>
      <c r="N275" s="4">
        <f ca="1">IFERROR(__xludf.DUMMYFUNCTION("""COMPUTED_VALUE"""),5)</f>
        <v>5</v>
      </c>
      <c r="O275" s="4">
        <f ca="1">IFERROR(__xludf.DUMMYFUNCTION("""COMPUTED_VALUE"""),4)</f>
        <v>4</v>
      </c>
      <c r="P275" s="4">
        <f ca="1">IFERROR(__xludf.DUMMYFUNCTION("""COMPUTED_VALUE"""),5)</f>
        <v>5</v>
      </c>
      <c r="Q275" s="4">
        <f ca="1">IFERROR(__xludf.DUMMYFUNCTION("""COMPUTED_VALUE"""),5)</f>
        <v>5</v>
      </c>
      <c r="R275" s="4">
        <f ca="1">IFERROR(__xludf.DUMMYFUNCTION("""COMPUTED_VALUE"""),5)</f>
        <v>5</v>
      </c>
      <c r="S275" s="4">
        <f ca="1">IFERROR(__xludf.DUMMYFUNCTION("""COMPUTED_VALUE"""),5)</f>
        <v>5</v>
      </c>
      <c r="T275" s="4">
        <f ca="1">IFERROR(__xludf.DUMMYFUNCTION("""COMPUTED_VALUE"""),5)</f>
        <v>5</v>
      </c>
      <c r="U275" s="4">
        <f ca="1">IFERROR(__xludf.DUMMYFUNCTION("""COMPUTED_VALUE"""),5)</f>
        <v>5</v>
      </c>
      <c r="V275" s="4">
        <f ca="1">IFERROR(__xludf.DUMMYFUNCTION("""COMPUTED_VALUE"""),5)</f>
        <v>5</v>
      </c>
      <c r="W275" s="4">
        <f ca="1">IFERROR(__xludf.DUMMYFUNCTION("""COMPUTED_VALUE"""),5)</f>
        <v>5</v>
      </c>
      <c r="X275" s="4">
        <f ca="1">IFERROR(__xludf.DUMMYFUNCTION("""COMPUTED_VALUE"""),5)</f>
        <v>5</v>
      </c>
      <c r="Y275" s="4">
        <f ca="1">IFERROR(__xludf.DUMMYFUNCTION("""COMPUTED_VALUE"""),5)</f>
        <v>5</v>
      </c>
      <c r="Z275" s="4">
        <f ca="1">IFERROR(__xludf.DUMMYFUNCTION("""COMPUTED_VALUE"""),5)</f>
        <v>5</v>
      </c>
      <c r="AA275" s="4">
        <f ca="1">IFERROR(__xludf.DUMMYFUNCTION("""COMPUTED_VALUE"""),5)</f>
        <v>5</v>
      </c>
      <c r="AB275" s="4">
        <f ca="1">IFERROR(__xludf.DUMMYFUNCTION("""COMPUTED_VALUE"""),5)</f>
        <v>5</v>
      </c>
      <c r="AC275" s="4">
        <f ca="1">IFERROR(__xludf.DUMMYFUNCTION("""COMPUTED_VALUE"""),5)</f>
        <v>5</v>
      </c>
      <c r="AD275" s="4">
        <f ca="1">IFERROR(__xludf.DUMMYFUNCTION("""COMPUTED_VALUE"""),4)</f>
        <v>4</v>
      </c>
      <c r="AE275" s="4">
        <f ca="1">IFERROR(__xludf.DUMMYFUNCTION("""COMPUTED_VALUE"""),5)</f>
        <v>5</v>
      </c>
      <c r="AF275" s="4">
        <f ca="1">IFERROR(__xludf.DUMMYFUNCTION("""COMPUTED_VALUE"""),5)</f>
        <v>5</v>
      </c>
      <c r="AG275" s="4">
        <f ca="1">IFERROR(__xludf.DUMMYFUNCTION("""COMPUTED_VALUE"""),5)</f>
        <v>5</v>
      </c>
      <c r="AH275" s="4">
        <f ca="1">IFERROR(__xludf.DUMMYFUNCTION("""COMPUTED_VALUE"""),5)</f>
        <v>5</v>
      </c>
      <c r="AI275" s="4">
        <f ca="1">IFERROR(__xludf.DUMMYFUNCTION("""COMPUTED_VALUE"""),5)</f>
        <v>5</v>
      </c>
      <c r="AJ275" s="4">
        <f ca="1">IFERROR(__xludf.DUMMYFUNCTION("""COMPUTED_VALUE"""),4)</f>
        <v>4</v>
      </c>
      <c r="AK275" s="4">
        <f ca="1">IFERROR(__xludf.DUMMYFUNCTION("""COMPUTED_VALUE"""),5)</f>
        <v>5</v>
      </c>
      <c r="AL275" s="4">
        <f ca="1">IFERROR(__xludf.DUMMYFUNCTION("""COMPUTED_VALUE"""),4)</f>
        <v>4</v>
      </c>
      <c r="AM275" s="4">
        <f ca="1">IFERROR(__xludf.DUMMYFUNCTION("""COMPUTED_VALUE"""),5)</f>
        <v>5</v>
      </c>
      <c r="AN275" s="4">
        <f ca="1">IFERROR(__xludf.DUMMYFUNCTION("""COMPUTED_VALUE"""),4)</f>
        <v>4</v>
      </c>
      <c r="AO275" s="4">
        <f ca="1">IFERROR(__xludf.DUMMYFUNCTION("""COMPUTED_VALUE"""),5)</f>
        <v>5</v>
      </c>
      <c r="AP275" s="4">
        <f ca="1">IFERROR(__xludf.DUMMYFUNCTION("""COMPUTED_VALUE"""),4)</f>
        <v>4</v>
      </c>
      <c r="AQ275" s="4">
        <f ca="1">IFERROR(__xludf.DUMMYFUNCTION("""COMPUTED_VALUE"""),5)</f>
        <v>5</v>
      </c>
      <c r="AR275" s="4">
        <f ca="1">IFERROR(__xludf.DUMMYFUNCTION("""COMPUTED_VALUE"""),5)</f>
        <v>5</v>
      </c>
      <c r="AS275" s="4">
        <f ca="1">IFERROR(__xludf.DUMMYFUNCTION("""COMPUTED_VALUE"""),5)</f>
        <v>5</v>
      </c>
      <c r="AT275" s="4">
        <f ca="1">IFERROR(__xludf.DUMMYFUNCTION("""COMPUTED_VALUE"""),5)</f>
        <v>5</v>
      </c>
      <c r="AU275" s="4">
        <f ca="1">IFERROR(__xludf.DUMMYFUNCTION("""COMPUTED_VALUE"""),5)</f>
        <v>5</v>
      </c>
      <c r="AV275" s="4">
        <f ca="1">IFERROR(__xludf.DUMMYFUNCTION("""COMPUTED_VALUE"""),5)</f>
        <v>5</v>
      </c>
      <c r="AW275" s="4">
        <f ca="1">IFERROR(__xludf.DUMMYFUNCTION("""COMPUTED_VALUE"""),5)</f>
        <v>5</v>
      </c>
      <c r="AX275" s="4">
        <f ca="1">IFERROR(__xludf.DUMMYFUNCTION("""COMPUTED_VALUE"""),5)</f>
        <v>5</v>
      </c>
      <c r="AY275" s="4">
        <f ca="1">IFERROR(__xludf.DUMMYFUNCTION("""COMPUTED_VALUE"""),5)</f>
        <v>5</v>
      </c>
      <c r="AZ275" s="4">
        <f ca="1">IFERROR(__xludf.DUMMYFUNCTION("""COMPUTED_VALUE"""),5)</f>
        <v>5</v>
      </c>
      <c r="BA275" s="4">
        <f ca="1">IFERROR(__xludf.DUMMYFUNCTION("""COMPUTED_VALUE"""),5)</f>
        <v>5</v>
      </c>
      <c r="BB275" s="4">
        <f ca="1">IFERROR(__xludf.DUMMYFUNCTION("""COMPUTED_VALUE"""),4)</f>
        <v>4</v>
      </c>
      <c r="BC275" s="4">
        <f ca="1">IFERROR(__xludf.DUMMYFUNCTION("""COMPUTED_VALUE"""),4)</f>
        <v>4</v>
      </c>
      <c r="BD275" s="4">
        <f ca="1">IFERROR(__xludf.DUMMYFUNCTION("""COMPUTED_VALUE"""),4)</f>
        <v>4</v>
      </c>
      <c r="BE275" s="4">
        <f ca="1">IFERROR(__xludf.DUMMYFUNCTION("""COMPUTED_VALUE"""),5)</f>
        <v>5</v>
      </c>
      <c r="BF275" s="4">
        <f ca="1">IFERROR(__xludf.DUMMYFUNCTION("""COMPUTED_VALUE"""),5)</f>
        <v>5</v>
      </c>
      <c r="BG275" s="4">
        <f ca="1">IFERROR(__xludf.DUMMYFUNCTION("""COMPUTED_VALUE"""),5)</f>
        <v>5</v>
      </c>
      <c r="BH275" s="4">
        <f ca="1">IFERROR(__xludf.DUMMYFUNCTION("""COMPUTED_VALUE"""),5)</f>
        <v>5</v>
      </c>
      <c r="BI275" s="4">
        <f ca="1">IFERROR(__xludf.DUMMYFUNCTION("""COMPUTED_VALUE"""),5)</f>
        <v>5</v>
      </c>
      <c r="BJ275" s="4">
        <f ca="1">IFERROR(__xludf.DUMMYFUNCTION("""COMPUTED_VALUE"""),5)</f>
        <v>5</v>
      </c>
      <c r="BK275" s="4">
        <f ca="1">IFERROR(__xludf.DUMMYFUNCTION("""COMPUTED_VALUE"""),5)</f>
        <v>5</v>
      </c>
      <c r="BL275" s="4">
        <f ca="1">IFERROR(__xludf.DUMMYFUNCTION("""COMPUTED_VALUE"""),5)</f>
        <v>5</v>
      </c>
      <c r="BM275" s="4">
        <f ca="1">IFERROR(__xludf.DUMMYFUNCTION("""COMPUTED_VALUE"""),5)</f>
        <v>5</v>
      </c>
      <c r="BN275" s="4">
        <f ca="1">IFERROR(__xludf.DUMMYFUNCTION("""COMPUTED_VALUE"""),5)</f>
        <v>5</v>
      </c>
      <c r="BO275" s="4">
        <f ca="1">IFERROR(__xludf.DUMMYFUNCTION("""COMPUTED_VALUE"""),5)</f>
        <v>5</v>
      </c>
      <c r="BP275" s="4">
        <f ca="1">IFERROR(__xludf.DUMMYFUNCTION("""COMPUTED_VALUE"""),5)</f>
        <v>5</v>
      </c>
    </row>
    <row r="276" spans="1:68" ht="13.2" x14ac:dyDescent="0.25">
      <c r="A276" s="4" t="str">
        <f ca="1">IFERROR(__xludf.DUMMYFUNCTION("""COMPUTED_VALUE"""),"2_ABaOnufJ-kEyaVWPMlPbUxPW80CG6caJ1B2pVqSm7gwDlx8KsvbB2j-ItkCipq_FLQ")</f>
        <v>2_ABaOnufJ-kEyaVWPMlPbUxPW80CG6caJ1B2pVqSm7gwDlx8KsvbB2j-ItkCipq_FLQ</v>
      </c>
      <c r="B276" s="5">
        <f ca="1">IFERROR(__xludf.DUMMYFUNCTION("""COMPUTED_VALUE"""),45981.7100534143)</f>
        <v>45981.710053414303</v>
      </c>
      <c r="C276" s="4" t="str">
        <f ca="1">IFERROR(__xludf.DUMMYFUNCTION("""COMPUTED_VALUE"""),"Lưu Huy Hoàng")</f>
        <v>Lưu Huy Hoàng</v>
      </c>
      <c r="D276" s="4" t="str">
        <f ca="1">IFERROR(__xludf.DUMMYFUNCTION("""COMPUTED_VALUE"""),"Nam")</f>
        <v>Nam</v>
      </c>
      <c r="E276" s="4" t="str">
        <f ca="1">IFERROR(__xludf.DUMMYFUNCTION("""COMPUTED_VALUE"""),"Công ty TNHH Kiểm toán AVN Việt Nam")</f>
        <v>Công ty TNHH Kiểm toán AVN Việt Nam</v>
      </c>
      <c r="F276" s="4" t="str">
        <f ca="1">IFERROR(__xludf.DUMMYFUNCTION("""COMPUTED_VALUE"""),"Đại học")</f>
        <v>Đại học</v>
      </c>
      <c r="G276" s="4" t="str">
        <f ca="1">IFERROR(__xludf.DUMMYFUNCTION("""COMPUTED_VALUE"""),"Từ 3 đến 5 năm")</f>
        <v>Từ 3 đến 5 năm</v>
      </c>
      <c r="H276" s="4" t="str">
        <f ca="1">IFERROR(__xludf.DUMMYFUNCTION("""COMPUTED_VALUE"""),"Trợ lý kiểm toán")</f>
        <v>Trợ lý kiểm toán</v>
      </c>
      <c r="I276" s="4">
        <f ca="1">IFERROR(__xludf.DUMMYFUNCTION("""COMPUTED_VALUE"""),5)</f>
        <v>5</v>
      </c>
      <c r="J276" s="4">
        <f ca="1">IFERROR(__xludf.DUMMYFUNCTION("""COMPUTED_VALUE"""),4)</f>
        <v>4</v>
      </c>
      <c r="K276" s="4">
        <f ca="1">IFERROR(__xludf.DUMMYFUNCTION("""COMPUTED_VALUE"""),4)</f>
        <v>4</v>
      </c>
      <c r="L276" s="4">
        <f ca="1">IFERROR(__xludf.DUMMYFUNCTION("""COMPUTED_VALUE"""),4)</f>
        <v>4</v>
      </c>
      <c r="M276" s="4">
        <f ca="1">IFERROR(__xludf.DUMMYFUNCTION("""COMPUTED_VALUE"""),4)</f>
        <v>4</v>
      </c>
      <c r="N276" s="4">
        <f ca="1">IFERROR(__xludf.DUMMYFUNCTION("""COMPUTED_VALUE"""),4)</f>
        <v>4</v>
      </c>
      <c r="O276" s="4">
        <f ca="1">IFERROR(__xludf.DUMMYFUNCTION("""COMPUTED_VALUE"""),4)</f>
        <v>4</v>
      </c>
      <c r="P276" s="4">
        <f ca="1">IFERROR(__xludf.DUMMYFUNCTION("""COMPUTED_VALUE"""),4)</f>
        <v>4</v>
      </c>
      <c r="Q276" s="4">
        <f ca="1">IFERROR(__xludf.DUMMYFUNCTION("""COMPUTED_VALUE"""),5)</f>
        <v>5</v>
      </c>
      <c r="R276" s="4">
        <f ca="1">IFERROR(__xludf.DUMMYFUNCTION("""COMPUTED_VALUE"""),4)</f>
        <v>4</v>
      </c>
      <c r="S276" s="4">
        <f ca="1">IFERROR(__xludf.DUMMYFUNCTION("""COMPUTED_VALUE"""),5)</f>
        <v>5</v>
      </c>
      <c r="T276" s="4">
        <f ca="1">IFERROR(__xludf.DUMMYFUNCTION("""COMPUTED_VALUE"""),4)</f>
        <v>4</v>
      </c>
      <c r="U276" s="4">
        <f ca="1">IFERROR(__xludf.DUMMYFUNCTION("""COMPUTED_VALUE"""),4)</f>
        <v>4</v>
      </c>
      <c r="V276" s="4">
        <f ca="1">IFERROR(__xludf.DUMMYFUNCTION("""COMPUTED_VALUE"""),4)</f>
        <v>4</v>
      </c>
      <c r="W276" s="4">
        <f ca="1">IFERROR(__xludf.DUMMYFUNCTION("""COMPUTED_VALUE"""),4)</f>
        <v>4</v>
      </c>
      <c r="X276" s="4">
        <f ca="1">IFERROR(__xludf.DUMMYFUNCTION("""COMPUTED_VALUE"""),4)</f>
        <v>4</v>
      </c>
      <c r="Y276" s="4">
        <f ca="1">IFERROR(__xludf.DUMMYFUNCTION("""COMPUTED_VALUE"""),4)</f>
        <v>4</v>
      </c>
      <c r="Z276" s="4">
        <f ca="1">IFERROR(__xludf.DUMMYFUNCTION("""COMPUTED_VALUE"""),5)</f>
        <v>5</v>
      </c>
      <c r="AA276" s="4">
        <f ca="1">IFERROR(__xludf.DUMMYFUNCTION("""COMPUTED_VALUE"""),5)</f>
        <v>5</v>
      </c>
      <c r="AB276" s="4">
        <f ca="1">IFERROR(__xludf.DUMMYFUNCTION("""COMPUTED_VALUE"""),4)</f>
        <v>4</v>
      </c>
      <c r="AC276" s="4">
        <f ca="1">IFERROR(__xludf.DUMMYFUNCTION("""COMPUTED_VALUE"""),4)</f>
        <v>4</v>
      </c>
      <c r="AD276" s="4">
        <f ca="1">IFERROR(__xludf.DUMMYFUNCTION("""COMPUTED_VALUE"""),4)</f>
        <v>4</v>
      </c>
      <c r="AE276" s="4">
        <f ca="1">IFERROR(__xludf.DUMMYFUNCTION("""COMPUTED_VALUE"""),5)</f>
        <v>5</v>
      </c>
      <c r="AF276" s="4">
        <f ca="1">IFERROR(__xludf.DUMMYFUNCTION("""COMPUTED_VALUE"""),4)</f>
        <v>4</v>
      </c>
      <c r="AG276" s="4">
        <f ca="1">IFERROR(__xludf.DUMMYFUNCTION("""COMPUTED_VALUE"""),4)</f>
        <v>4</v>
      </c>
      <c r="AH276" s="4">
        <f ca="1">IFERROR(__xludf.DUMMYFUNCTION("""COMPUTED_VALUE"""),4)</f>
        <v>4</v>
      </c>
      <c r="AI276" s="4">
        <f ca="1">IFERROR(__xludf.DUMMYFUNCTION("""COMPUTED_VALUE"""),3)</f>
        <v>3</v>
      </c>
      <c r="AJ276" s="4">
        <f ca="1">IFERROR(__xludf.DUMMYFUNCTION("""COMPUTED_VALUE"""),5)</f>
        <v>5</v>
      </c>
      <c r="AK276" s="4">
        <f ca="1">IFERROR(__xludf.DUMMYFUNCTION("""COMPUTED_VALUE"""),4)</f>
        <v>4</v>
      </c>
      <c r="AL276" s="4">
        <f ca="1">IFERROR(__xludf.DUMMYFUNCTION("""COMPUTED_VALUE"""),4)</f>
        <v>4</v>
      </c>
      <c r="AM276" s="4">
        <f ca="1">IFERROR(__xludf.DUMMYFUNCTION("""COMPUTED_VALUE"""),4)</f>
        <v>4</v>
      </c>
      <c r="AN276" s="4">
        <f ca="1">IFERROR(__xludf.DUMMYFUNCTION("""COMPUTED_VALUE"""),5)</f>
        <v>5</v>
      </c>
      <c r="AO276" s="4">
        <f ca="1">IFERROR(__xludf.DUMMYFUNCTION("""COMPUTED_VALUE"""),4)</f>
        <v>4</v>
      </c>
      <c r="AP276" s="4">
        <f ca="1">IFERROR(__xludf.DUMMYFUNCTION("""COMPUTED_VALUE"""),3)</f>
        <v>3</v>
      </c>
      <c r="AQ276" s="4">
        <f ca="1">IFERROR(__xludf.DUMMYFUNCTION("""COMPUTED_VALUE"""),4)</f>
        <v>4</v>
      </c>
      <c r="AR276" s="4">
        <f ca="1">IFERROR(__xludf.DUMMYFUNCTION("""COMPUTED_VALUE"""),5)</f>
        <v>5</v>
      </c>
      <c r="AS276" s="4">
        <f ca="1">IFERROR(__xludf.DUMMYFUNCTION("""COMPUTED_VALUE"""),5)</f>
        <v>5</v>
      </c>
      <c r="AT276" s="4">
        <f ca="1">IFERROR(__xludf.DUMMYFUNCTION("""COMPUTED_VALUE"""),3)</f>
        <v>3</v>
      </c>
      <c r="AU276" s="4">
        <f ca="1">IFERROR(__xludf.DUMMYFUNCTION("""COMPUTED_VALUE"""),3)</f>
        <v>3</v>
      </c>
      <c r="AV276" s="4">
        <f ca="1">IFERROR(__xludf.DUMMYFUNCTION("""COMPUTED_VALUE"""),4)</f>
        <v>4</v>
      </c>
      <c r="AW276" s="4">
        <f ca="1">IFERROR(__xludf.DUMMYFUNCTION("""COMPUTED_VALUE"""),4)</f>
        <v>4</v>
      </c>
      <c r="AX276" s="4">
        <f ca="1">IFERROR(__xludf.DUMMYFUNCTION("""COMPUTED_VALUE"""),5)</f>
        <v>5</v>
      </c>
      <c r="AY276" s="4">
        <f ca="1">IFERROR(__xludf.DUMMYFUNCTION("""COMPUTED_VALUE"""),4)</f>
        <v>4</v>
      </c>
      <c r="AZ276" s="4">
        <f ca="1">IFERROR(__xludf.DUMMYFUNCTION("""COMPUTED_VALUE"""),4)</f>
        <v>4</v>
      </c>
      <c r="BA276" s="4">
        <f ca="1">IFERROR(__xludf.DUMMYFUNCTION("""COMPUTED_VALUE"""),4)</f>
        <v>4</v>
      </c>
      <c r="BB276" s="4">
        <f ca="1">IFERROR(__xludf.DUMMYFUNCTION("""COMPUTED_VALUE"""),4)</f>
        <v>4</v>
      </c>
      <c r="BC276" s="4">
        <f ca="1">IFERROR(__xludf.DUMMYFUNCTION("""COMPUTED_VALUE"""),4)</f>
        <v>4</v>
      </c>
      <c r="BD276" s="4">
        <f ca="1">IFERROR(__xludf.DUMMYFUNCTION("""COMPUTED_VALUE"""),3)</f>
        <v>3</v>
      </c>
      <c r="BE276" s="4">
        <f ca="1">IFERROR(__xludf.DUMMYFUNCTION("""COMPUTED_VALUE"""),4)</f>
        <v>4</v>
      </c>
      <c r="BF276" s="4">
        <f ca="1">IFERROR(__xludf.DUMMYFUNCTION("""COMPUTED_VALUE"""),4)</f>
        <v>4</v>
      </c>
      <c r="BG276" s="4">
        <f ca="1">IFERROR(__xludf.DUMMYFUNCTION("""COMPUTED_VALUE"""),4)</f>
        <v>4</v>
      </c>
      <c r="BH276" s="4">
        <f ca="1">IFERROR(__xludf.DUMMYFUNCTION("""COMPUTED_VALUE"""),4)</f>
        <v>4</v>
      </c>
      <c r="BI276" s="4">
        <f ca="1">IFERROR(__xludf.DUMMYFUNCTION("""COMPUTED_VALUE"""),5)</f>
        <v>5</v>
      </c>
      <c r="BJ276" s="4">
        <f ca="1">IFERROR(__xludf.DUMMYFUNCTION("""COMPUTED_VALUE"""),4)</f>
        <v>4</v>
      </c>
      <c r="BK276" s="4">
        <f ca="1">IFERROR(__xludf.DUMMYFUNCTION("""COMPUTED_VALUE"""),4)</f>
        <v>4</v>
      </c>
      <c r="BL276" s="4">
        <f ca="1">IFERROR(__xludf.DUMMYFUNCTION("""COMPUTED_VALUE"""),4)</f>
        <v>4</v>
      </c>
      <c r="BM276" s="4">
        <f ca="1">IFERROR(__xludf.DUMMYFUNCTION("""COMPUTED_VALUE"""),4)</f>
        <v>4</v>
      </c>
      <c r="BN276" s="4">
        <f ca="1">IFERROR(__xludf.DUMMYFUNCTION("""COMPUTED_VALUE"""),5)</f>
        <v>5</v>
      </c>
      <c r="BO276" s="4">
        <f ca="1">IFERROR(__xludf.DUMMYFUNCTION("""COMPUTED_VALUE"""),4)</f>
        <v>4</v>
      </c>
      <c r="BP276" s="4">
        <f ca="1">IFERROR(__xludf.DUMMYFUNCTION("""COMPUTED_VALUE"""),4)</f>
        <v>4</v>
      </c>
    </row>
    <row r="277" spans="1:68" ht="13.2" x14ac:dyDescent="0.25">
      <c r="A277" s="4" t="str">
        <f ca="1">IFERROR(__xludf.DUMMYFUNCTION("""COMPUTED_VALUE"""),"2_ABaOnudUby3sjEBnd2yM2s8W_HDzB1RVQ06vzQO9h0I4YV00T8vknLCQmjbQXWGTyw")</f>
        <v>2_ABaOnudUby3sjEBnd2yM2s8W_HDzB1RVQ06vzQO9h0I4YV00T8vknLCQmjbQXWGTyw</v>
      </c>
      <c r="B277" s="5">
        <f ca="1">IFERROR(__xludf.DUMMYFUNCTION("""COMPUTED_VALUE"""),45981.7745515046)</f>
        <v>45981.774551504597</v>
      </c>
      <c r="C277" s="4" t="str">
        <f ca="1">IFERROR(__xludf.DUMMYFUNCTION("""COMPUTED_VALUE"""),"Lê Minh Ngọc")</f>
        <v>Lê Minh Ngọc</v>
      </c>
      <c r="D277" s="4" t="str">
        <f ca="1">IFERROR(__xludf.DUMMYFUNCTION("""COMPUTED_VALUE"""),"Nữ")</f>
        <v>Nữ</v>
      </c>
      <c r="E277" s="4" t="str">
        <f ca="1">IFERROR(__xludf.DUMMYFUNCTION("""COMPUTED_VALUE"""),"Crowe Vietnam")</f>
        <v>Crowe Vietnam</v>
      </c>
      <c r="F277" s="4" t="str">
        <f ca="1">IFERROR(__xludf.DUMMYFUNCTION("""COMPUTED_VALUE"""),"Đại học, Chứng chỉ Kiểm toán viên")</f>
        <v>Đại học, Chứng chỉ Kiểm toán viên</v>
      </c>
      <c r="G277" s="4" t="str">
        <f ca="1">IFERROR(__xludf.DUMMYFUNCTION("""COMPUTED_VALUE"""),"Trên 5 đến 10 năm")</f>
        <v>Trên 5 đến 10 năm</v>
      </c>
      <c r="H277" s="4" t="str">
        <f ca="1">IFERROR(__xludf.DUMMYFUNCTION("""COMPUTED_VALUE"""),"Kiểm toán viên/Trưởng nhóm")</f>
        <v>Kiểm toán viên/Trưởng nhóm</v>
      </c>
      <c r="I277" s="4">
        <f ca="1">IFERROR(__xludf.DUMMYFUNCTION("""COMPUTED_VALUE"""),4)</f>
        <v>4</v>
      </c>
      <c r="J277" s="4">
        <f ca="1">IFERROR(__xludf.DUMMYFUNCTION("""COMPUTED_VALUE"""),4)</f>
        <v>4</v>
      </c>
      <c r="K277" s="4">
        <f ca="1">IFERROR(__xludf.DUMMYFUNCTION("""COMPUTED_VALUE"""),4)</f>
        <v>4</v>
      </c>
      <c r="L277" s="4">
        <f ca="1">IFERROR(__xludf.DUMMYFUNCTION("""COMPUTED_VALUE"""),4)</f>
        <v>4</v>
      </c>
      <c r="M277" s="4">
        <f ca="1">IFERROR(__xludf.DUMMYFUNCTION("""COMPUTED_VALUE"""),4)</f>
        <v>4</v>
      </c>
      <c r="N277" s="4">
        <f ca="1">IFERROR(__xludf.DUMMYFUNCTION("""COMPUTED_VALUE"""),4)</f>
        <v>4</v>
      </c>
      <c r="O277" s="4">
        <f ca="1">IFERROR(__xludf.DUMMYFUNCTION("""COMPUTED_VALUE"""),4)</f>
        <v>4</v>
      </c>
      <c r="P277" s="4">
        <f ca="1">IFERROR(__xludf.DUMMYFUNCTION("""COMPUTED_VALUE"""),4)</f>
        <v>4</v>
      </c>
      <c r="Q277" s="4">
        <f ca="1">IFERROR(__xludf.DUMMYFUNCTION("""COMPUTED_VALUE"""),4)</f>
        <v>4</v>
      </c>
      <c r="R277" s="4">
        <f ca="1">IFERROR(__xludf.DUMMYFUNCTION("""COMPUTED_VALUE"""),4)</f>
        <v>4</v>
      </c>
      <c r="S277" s="4">
        <f ca="1">IFERROR(__xludf.DUMMYFUNCTION("""COMPUTED_VALUE"""),4)</f>
        <v>4</v>
      </c>
      <c r="T277" s="4">
        <f ca="1">IFERROR(__xludf.DUMMYFUNCTION("""COMPUTED_VALUE"""),4)</f>
        <v>4</v>
      </c>
      <c r="U277" s="4">
        <f ca="1">IFERROR(__xludf.DUMMYFUNCTION("""COMPUTED_VALUE"""),4)</f>
        <v>4</v>
      </c>
      <c r="V277" s="4">
        <f ca="1">IFERROR(__xludf.DUMMYFUNCTION("""COMPUTED_VALUE"""),4)</f>
        <v>4</v>
      </c>
      <c r="W277" s="4">
        <f ca="1">IFERROR(__xludf.DUMMYFUNCTION("""COMPUTED_VALUE"""),4)</f>
        <v>4</v>
      </c>
      <c r="X277" s="4">
        <f ca="1">IFERROR(__xludf.DUMMYFUNCTION("""COMPUTED_VALUE"""),4)</f>
        <v>4</v>
      </c>
      <c r="Y277" s="4">
        <f ca="1">IFERROR(__xludf.DUMMYFUNCTION("""COMPUTED_VALUE"""),4)</f>
        <v>4</v>
      </c>
      <c r="Z277" s="4">
        <f ca="1">IFERROR(__xludf.DUMMYFUNCTION("""COMPUTED_VALUE"""),4)</f>
        <v>4</v>
      </c>
      <c r="AA277" s="4">
        <f ca="1">IFERROR(__xludf.DUMMYFUNCTION("""COMPUTED_VALUE"""),4)</f>
        <v>4</v>
      </c>
      <c r="AB277" s="4">
        <f ca="1">IFERROR(__xludf.DUMMYFUNCTION("""COMPUTED_VALUE"""),4)</f>
        <v>4</v>
      </c>
      <c r="AC277" s="4">
        <f ca="1">IFERROR(__xludf.DUMMYFUNCTION("""COMPUTED_VALUE"""),4)</f>
        <v>4</v>
      </c>
      <c r="AD277" s="4">
        <f ca="1">IFERROR(__xludf.DUMMYFUNCTION("""COMPUTED_VALUE"""),4)</f>
        <v>4</v>
      </c>
      <c r="AE277" s="4">
        <f ca="1">IFERROR(__xludf.DUMMYFUNCTION("""COMPUTED_VALUE"""),4)</f>
        <v>4</v>
      </c>
      <c r="AF277" s="4">
        <f ca="1">IFERROR(__xludf.DUMMYFUNCTION("""COMPUTED_VALUE"""),4)</f>
        <v>4</v>
      </c>
      <c r="AG277" s="4">
        <f ca="1">IFERROR(__xludf.DUMMYFUNCTION("""COMPUTED_VALUE"""),4)</f>
        <v>4</v>
      </c>
      <c r="AH277" s="4">
        <f ca="1">IFERROR(__xludf.DUMMYFUNCTION("""COMPUTED_VALUE"""),4)</f>
        <v>4</v>
      </c>
      <c r="AI277" s="4">
        <f ca="1">IFERROR(__xludf.DUMMYFUNCTION("""COMPUTED_VALUE"""),4)</f>
        <v>4</v>
      </c>
      <c r="AJ277" s="4">
        <f ca="1">IFERROR(__xludf.DUMMYFUNCTION("""COMPUTED_VALUE"""),4)</f>
        <v>4</v>
      </c>
      <c r="AK277" s="4">
        <f ca="1">IFERROR(__xludf.DUMMYFUNCTION("""COMPUTED_VALUE"""),4)</f>
        <v>4</v>
      </c>
      <c r="AL277" s="4">
        <f ca="1">IFERROR(__xludf.DUMMYFUNCTION("""COMPUTED_VALUE"""),4)</f>
        <v>4</v>
      </c>
      <c r="AM277" s="4">
        <f ca="1">IFERROR(__xludf.DUMMYFUNCTION("""COMPUTED_VALUE"""),4)</f>
        <v>4</v>
      </c>
      <c r="AN277" s="4">
        <f ca="1">IFERROR(__xludf.DUMMYFUNCTION("""COMPUTED_VALUE"""),4)</f>
        <v>4</v>
      </c>
      <c r="AO277" s="4">
        <f ca="1">IFERROR(__xludf.DUMMYFUNCTION("""COMPUTED_VALUE"""),4)</f>
        <v>4</v>
      </c>
      <c r="AP277" s="4">
        <f ca="1">IFERROR(__xludf.DUMMYFUNCTION("""COMPUTED_VALUE"""),4)</f>
        <v>4</v>
      </c>
      <c r="AQ277" s="4">
        <f ca="1">IFERROR(__xludf.DUMMYFUNCTION("""COMPUTED_VALUE"""),4)</f>
        <v>4</v>
      </c>
      <c r="AR277" s="4">
        <f ca="1">IFERROR(__xludf.DUMMYFUNCTION("""COMPUTED_VALUE"""),4)</f>
        <v>4</v>
      </c>
      <c r="AS277" s="4">
        <f ca="1">IFERROR(__xludf.DUMMYFUNCTION("""COMPUTED_VALUE"""),4)</f>
        <v>4</v>
      </c>
      <c r="AT277" s="4">
        <f ca="1">IFERROR(__xludf.DUMMYFUNCTION("""COMPUTED_VALUE"""),4)</f>
        <v>4</v>
      </c>
      <c r="AU277" s="4">
        <f ca="1">IFERROR(__xludf.DUMMYFUNCTION("""COMPUTED_VALUE"""),4)</f>
        <v>4</v>
      </c>
      <c r="AV277" s="4">
        <f ca="1">IFERROR(__xludf.DUMMYFUNCTION("""COMPUTED_VALUE"""),4)</f>
        <v>4</v>
      </c>
      <c r="AW277" s="4">
        <f ca="1">IFERROR(__xludf.DUMMYFUNCTION("""COMPUTED_VALUE"""),4)</f>
        <v>4</v>
      </c>
      <c r="AX277" s="4">
        <f ca="1">IFERROR(__xludf.DUMMYFUNCTION("""COMPUTED_VALUE"""),4)</f>
        <v>4</v>
      </c>
      <c r="AY277" s="4">
        <f ca="1">IFERROR(__xludf.DUMMYFUNCTION("""COMPUTED_VALUE"""),4)</f>
        <v>4</v>
      </c>
      <c r="AZ277" s="4">
        <f ca="1">IFERROR(__xludf.DUMMYFUNCTION("""COMPUTED_VALUE"""),4)</f>
        <v>4</v>
      </c>
      <c r="BA277" s="4">
        <f ca="1">IFERROR(__xludf.DUMMYFUNCTION("""COMPUTED_VALUE"""),4)</f>
        <v>4</v>
      </c>
      <c r="BB277" s="4">
        <f ca="1">IFERROR(__xludf.DUMMYFUNCTION("""COMPUTED_VALUE"""),4)</f>
        <v>4</v>
      </c>
      <c r="BC277" s="4">
        <f ca="1">IFERROR(__xludf.DUMMYFUNCTION("""COMPUTED_VALUE"""),4)</f>
        <v>4</v>
      </c>
      <c r="BD277" s="4">
        <f ca="1">IFERROR(__xludf.DUMMYFUNCTION("""COMPUTED_VALUE"""),4)</f>
        <v>4</v>
      </c>
      <c r="BE277" s="4">
        <f ca="1">IFERROR(__xludf.DUMMYFUNCTION("""COMPUTED_VALUE"""),4)</f>
        <v>4</v>
      </c>
      <c r="BF277" s="4">
        <f ca="1">IFERROR(__xludf.DUMMYFUNCTION("""COMPUTED_VALUE"""),4)</f>
        <v>4</v>
      </c>
      <c r="BG277" s="4">
        <f ca="1">IFERROR(__xludf.DUMMYFUNCTION("""COMPUTED_VALUE"""),4)</f>
        <v>4</v>
      </c>
      <c r="BH277" s="4">
        <f ca="1">IFERROR(__xludf.DUMMYFUNCTION("""COMPUTED_VALUE"""),4)</f>
        <v>4</v>
      </c>
      <c r="BI277" s="4">
        <f ca="1">IFERROR(__xludf.DUMMYFUNCTION("""COMPUTED_VALUE"""),4)</f>
        <v>4</v>
      </c>
      <c r="BJ277" s="4">
        <f ca="1">IFERROR(__xludf.DUMMYFUNCTION("""COMPUTED_VALUE"""),4)</f>
        <v>4</v>
      </c>
      <c r="BK277" s="4">
        <f ca="1">IFERROR(__xludf.DUMMYFUNCTION("""COMPUTED_VALUE"""),4)</f>
        <v>4</v>
      </c>
      <c r="BL277" s="4">
        <f ca="1">IFERROR(__xludf.DUMMYFUNCTION("""COMPUTED_VALUE"""),4)</f>
        <v>4</v>
      </c>
      <c r="BM277" s="4">
        <f ca="1">IFERROR(__xludf.DUMMYFUNCTION("""COMPUTED_VALUE"""),4)</f>
        <v>4</v>
      </c>
      <c r="BN277" s="4">
        <f ca="1">IFERROR(__xludf.DUMMYFUNCTION("""COMPUTED_VALUE"""),4)</f>
        <v>4</v>
      </c>
      <c r="BO277" s="4">
        <f ca="1">IFERROR(__xludf.DUMMYFUNCTION("""COMPUTED_VALUE"""),4)</f>
        <v>4</v>
      </c>
      <c r="BP277" s="4">
        <f ca="1">IFERROR(__xludf.DUMMYFUNCTION("""COMPUTED_VALUE"""),4)</f>
        <v>4</v>
      </c>
    </row>
    <row r="278" spans="1:68" ht="13.2" x14ac:dyDescent="0.25">
      <c r="A278" s="4" t="str">
        <f ca="1">IFERROR(__xludf.DUMMYFUNCTION("""COMPUTED_VALUE"""),"2_ABaOnud_jTSKZML68vcVFtTbnQfk_uFoZKG54JfwElB-TDVqo_Fht4hmX5dBPmNDcg")</f>
        <v>2_ABaOnud_jTSKZML68vcVFtTbnQfk_uFoZKG54JfwElB-TDVqo_Fht4hmX5dBPmNDcg</v>
      </c>
      <c r="B278" s="5">
        <f ca="1">IFERROR(__xludf.DUMMYFUNCTION("""COMPUTED_VALUE"""),45982.6201724189)</f>
        <v>45982.620172418901</v>
      </c>
      <c r="C278" s="4" t="str">
        <f ca="1">IFERROR(__xludf.DUMMYFUNCTION("""COMPUTED_VALUE"""),"Nguyễn Ngọc Hân")</f>
        <v>Nguyễn Ngọc Hân</v>
      </c>
      <c r="D278" s="4" t="str">
        <f ca="1">IFERROR(__xludf.DUMMYFUNCTION("""COMPUTED_VALUE"""),"Nữ")</f>
        <v>Nữ</v>
      </c>
      <c r="E278" s="4" t="str">
        <f ca="1">IFERROR(__xludf.DUMMYFUNCTION("""COMPUTED_VALUE"""),"CÔNG TY TNHH KIỂM TOÁN AACS")</f>
        <v>CÔNG TY TNHH KIỂM TOÁN AACS</v>
      </c>
      <c r="F278" s="4" t="str">
        <f ca="1">IFERROR(__xludf.DUMMYFUNCTION("""COMPUTED_VALUE"""),"Đại học, Chứng chỉ Kiểm toán viên")</f>
        <v>Đại học, Chứng chỉ Kiểm toán viên</v>
      </c>
      <c r="G278" s="4" t="str">
        <f ca="1">IFERROR(__xludf.DUMMYFUNCTION("""COMPUTED_VALUE"""),"Trên 15 đến 20 năm")</f>
        <v>Trên 15 đến 20 năm</v>
      </c>
      <c r="H278" s="4" t="str">
        <f ca="1">IFERROR(__xludf.DUMMYFUNCTION("""COMPUTED_VALUE"""),"Ban giám đốc")</f>
        <v>Ban giám đốc</v>
      </c>
      <c r="I278" s="4">
        <f ca="1">IFERROR(__xludf.DUMMYFUNCTION("""COMPUTED_VALUE"""),5)</f>
        <v>5</v>
      </c>
      <c r="J278" s="4">
        <f ca="1">IFERROR(__xludf.DUMMYFUNCTION("""COMPUTED_VALUE"""),3)</f>
        <v>3</v>
      </c>
      <c r="K278" s="4">
        <f ca="1">IFERROR(__xludf.DUMMYFUNCTION("""COMPUTED_VALUE"""),5)</f>
        <v>5</v>
      </c>
      <c r="L278" s="4">
        <f ca="1">IFERROR(__xludf.DUMMYFUNCTION("""COMPUTED_VALUE"""),4)</f>
        <v>4</v>
      </c>
      <c r="M278" s="4">
        <f ca="1">IFERROR(__xludf.DUMMYFUNCTION("""COMPUTED_VALUE"""),5)</f>
        <v>5</v>
      </c>
      <c r="N278" s="4">
        <f ca="1">IFERROR(__xludf.DUMMYFUNCTION("""COMPUTED_VALUE"""),4)</f>
        <v>4</v>
      </c>
      <c r="O278" s="4">
        <f ca="1">IFERROR(__xludf.DUMMYFUNCTION("""COMPUTED_VALUE"""),3)</f>
        <v>3</v>
      </c>
      <c r="P278" s="4">
        <f ca="1">IFERROR(__xludf.DUMMYFUNCTION("""COMPUTED_VALUE"""),5)</f>
        <v>5</v>
      </c>
      <c r="Q278" s="4">
        <f ca="1">IFERROR(__xludf.DUMMYFUNCTION("""COMPUTED_VALUE"""),5)</f>
        <v>5</v>
      </c>
      <c r="R278" s="4">
        <f ca="1">IFERROR(__xludf.DUMMYFUNCTION("""COMPUTED_VALUE"""),5)</f>
        <v>5</v>
      </c>
      <c r="S278" s="4">
        <f ca="1">IFERROR(__xludf.DUMMYFUNCTION("""COMPUTED_VALUE"""),5)</f>
        <v>5</v>
      </c>
      <c r="T278" s="4">
        <f ca="1">IFERROR(__xludf.DUMMYFUNCTION("""COMPUTED_VALUE"""),5)</f>
        <v>5</v>
      </c>
      <c r="U278" s="4">
        <f ca="1">IFERROR(__xludf.DUMMYFUNCTION("""COMPUTED_VALUE"""),5)</f>
        <v>5</v>
      </c>
      <c r="V278" s="4">
        <f ca="1">IFERROR(__xludf.DUMMYFUNCTION("""COMPUTED_VALUE"""),5)</f>
        <v>5</v>
      </c>
      <c r="W278" s="4">
        <f ca="1">IFERROR(__xludf.DUMMYFUNCTION("""COMPUTED_VALUE"""),4)</f>
        <v>4</v>
      </c>
      <c r="X278" s="4">
        <f ca="1">IFERROR(__xludf.DUMMYFUNCTION("""COMPUTED_VALUE"""),5)</f>
        <v>5</v>
      </c>
      <c r="Y278" s="4">
        <f ca="1">IFERROR(__xludf.DUMMYFUNCTION("""COMPUTED_VALUE"""),4)</f>
        <v>4</v>
      </c>
      <c r="Z278" s="4">
        <f ca="1">IFERROR(__xludf.DUMMYFUNCTION("""COMPUTED_VALUE"""),4)</f>
        <v>4</v>
      </c>
      <c r="AA278" s="4">
        <f ca="1">IFERROR(__xludf.DUMMYFUNCTION("""COMPUTED_VALUE"""),3)</f>
        <v>3</v>
      </c>
      <c r="AB278" s="4">
        <f ca="1">IFERROR(__xludf.DUMMYFUNCTION("""COMPUTED_VALUE"""),5)</f>
        <v>5</v>
      </c>
      <c r="AC278" s="4">
        <f ca="1">IFERROR(__xludf.DUMMYFUNCTION("""COMPUTED_VALUE"""),3)</f>
        <v>3</v>
      </c>
      <c r="AD278" s="4">
        <f ca="1">IFERROR(__xludf.DUMMYFUNCTION("""COMPUTED_VALUE"""),4)</f>
        <v>4</v>
      </c>
      <c r="AE278" s="4">
        <f ca="1">IFERROR(__xludf.DUMMYFUNCTION("""COMPUTED_VALUE"""),5)</f>
        <v>5</v>
      </c>
      <c r="AF278" s="4">
        <f ca="1">IFERROR(__xludf.DUMMYFUNCTION("""COMPUTED_VALUE"""),4)</f>
        <v>4</v>
      </c>
      <c r="AG278" s="4">
        <f ca="1">IFERROR(__xludf.DUMMYFUNCTION("""COMPUTED_VALUE"""),4)</f>
        <v>4</v>
      </c>
      <c r="AH278" s="4">
        <f ca="1">IFERROR(__xludf.DUMMYFUNCTION("""COMPUTED_VALUE"""),3)</f>
        <v>3</v>
      </c>
      <c r="AI278" s="4">
        <f ca="1">IFERROR(__xludf.DUMMYFUNCTION("""COMPUTED_VALUE"""),3)</f>
        <v>3</v>
      </c>
      <c r="AJ278" s="4">
        <f ca="1">IFERROR(__xludf.DUMMYFUNCTION("""COMPUTED_VALUE"""),4)</f>
        <v>4</v>
      </c>
      <c r="AK278" s="4">
        <f ca="1">IFERROR(__xludf.DUMMYFUNCTION("""COMPUTED_VALUE"""),5)</f>
        <v>5</v>
      </c>
      <c r="AL278" s="4">
        <f ca="1">IFERROR(__xludf.DUMMYFUNCTION("""COMPUTED_VALUE"""),4)</f>
        <v>4</v>
      </c>
      <c r="AM278" s="4">
        <f ca="1">IFERROR(__xludf.DUMMYFUNCTION("""COMPUTED_VALUE"""),3)</f>
        <v>3</v>
      </c>
      <c r="AN278" s="4">
        <f ca="1">IFERROR(__xludf.DUMMYFUNCTION("""COMPUTED_VALUE"""),5)</f>
        <v>5</v>
      </c>
      <c r="AO278" s="4">
        <f ca="1">IFERROR(__xludf.DUMMYFUNCTION("""COMPUTED_VALUE"""),3)</f>
        <v>3</v>
      </c>
      <c r="AP278" s="4">
        <f ca="1">IFERROR(__xludf.DUMMYFUNCTION("""COMPUTED_VALUE"""),3)</f>
        <v>3</v>
      </c>
      <c r="AQ278" s="4">
        <f ca="1">IFERROR(__xludf.DUMMYFUNCTION("""COMPUTED_VALUE"""),5)</f>
        <v>5</v>
      </c>
      <c r="AR278" s="4">
        <f ca="1">IFERROR(__xludf.DUMMYFUNCTION("""COMPUTED_VALUE"""),5)</f>
        <v>5</v>
      </c>
      <c r="AS278" s="4">
        <f ca="1">IFERROR(__xludf.DUMMYFUNCTION("""COMPUTED_VALUE"""),4)</f>
        <v>4</v>
      </c>
      <c r="AT278" s="4">
        <f ca="1">IFERROR(__xludf.DUMMYFUNCTION("""COMPUTED_VALUE"""),4)</f>
        <v>4</v>
      </c>
      <c r="AU278" s="4">
        <f ca="1">IFERROR(__xludf.DUMMYFUNCTION("""COMPUTED_VALUE"""),5)</f>
        <v>5</v>
      </c>
      <c r="AV278" s="4">
        <f ca="1">IFERROR(__xludf.DUMMYFUNCTION("""COMPUTED_VALUE"""),4)</f>
        <v>4</v>
      </c>
      <c r="AW278" s="4">
        <f ca="1">IFERROR(__xludf.DUMMYFUNCTION("""COMPUTED_VALUE"""),5)</f>
        <v>5</v>
      </c>
      <c r="AX278" s="4">
        <f ca="1">IFERROR(__xludf.DUMMYFUNCTION("""COMPUTED_VALUE"""),5)</f>
        <v>5</v>
      </c>
      <c r="AY278" s="4">
        <f ca="1">IFERROR(__xludf.DUMMYFUNCTION("""COMPUTED_VALUE"""),5)</f>
        <v>5</v>
      </c>
      <c r="AZ278" s="4">
        <f ca="1">IFERROR(__xludf.DUMMYFUNCTION("""COMPUTED_VALUE"""),5)</f>
        <v>5</v>
      </c>
      <c r="BA278" s="4">
        <f ca="1">IFERROR(__xludf.DUMMYFUNCTION("""COMPUTED_VALUE"""),5)</f>
        <v>5</v>
      </c>
      <c r="BB278" s="4">
        <f ca="1">IFERROR(__xludf.DUMMYFUNCTION("""COMPUTED_VALUE"""),4)</f>
        <v>4</v>
      </c>
      <c r="BC278" s="4">
        <f ca="1">IFERROR(__xludf.DUMMYFUNCTION("""COMPUTED_VALUE"""),3)</f>
        <v>3</v>
      </c>
      <c r="BD278" s="4">
        <f ca="1">IFERROR(__xludf.DUMMYFUNCTION("""COMPUTED_VALUE"""),4)</f>
        <v>4</v>
      </c>
      <c r="BE278" s="4">
        <f ca="1">IFERROR(__xludf.DUMMYFUNCTION("""COMPUTED_VALUE"""),3)</f>
        <v>3</v>
      </c>
      <c r="BF278" s="4">
        <f ca="1">IFERROR(__xludf.DUMMYFUNCTION("""COMPUTED_VALUE"""),4)</f>
        <v>4</v>
      </c>
      <c r="BG278" s="4">
        <f ca="1">IFERROR(__xludf.DUMMYFUNCTION("""COMPUTED_VALUE"""),5)</f>
        <v>5</v>
      </c>
      <c r="BH278" s="4">
        <f ca="1">IFERROR(__xludf.DUMMYFUNCTION("""COMPUTED_VALUE"""),5)</f>
        <v>5</v>
      </c>
      <c r="BI278" s="4">
        <f ca="1">IFERROR(__xludf.DUMMYFUNCTION("""COMPUTED_VALUE"""),5)</f>
        <v>5</v>
      </c>
      <c r="BJ278" s="4">
        <f ca="1">IFERROR(__xludf.DUMMYFUNCTION("""COMPUTED_VALUE"""),5)</f>
        <v>5</v>
      </c>
      <c r="BK278" s="4">
        <f ca="1">IFERROR(__xludf.DUMMYFUNCTION("""COMPUTED_VALUE"""),5)</f>
        <v>5</v>
      </c>
      <c r="BL278" s="4">
        <f ca="1">IFERROR(__xludf.DUMMYFUNCTION("""COMPUTED_VALUE"""),3)</f>
        <v>3</v>
      </c>
      <c r="BM278" s="4">
        <f ca="1">IFERROR(__xludf.DUMMYFUNCTION("""COMPUTED_VALUE"""),5)</f>
        <v>5</v>
      </c>
      <c r="BN278" s="4">
        <f ca="1">IFERROR(__xludf.DUMMYFUNCTION("""COMPUTED_VALUE"""),5)</f>
        <v>5</v>
      </c>
      <c r="BO278" s="4">
        <f ca="1">IFERROR(__xludf.DUMMYFUNCTION("""COMPUTED_VALUE"""),5)</f>
        <v>5</v>
      </c>
      <c r="BP278" s="4">
        <f ca="1">IFERROR(__xludf.DUMMYFUNCTION("""COMPUTED_VALUE"""),4)</f>
        <v>4</v>
      </c>
    </row>
    <row r="279" spans="1:68" ht="13.2" x14ac:dyDescent="0.25">
      <c r="A279" s="4" t="str">
        <f ca="1">IFERROR(__xludf.DUMMYFUNCTION("""COMPUTED_VALUE"""),"2_ABaOnuecps7flrtik3QB928UfB6HhebOGNq4AnQZabQr-AUlDg6KPd61G7FDLenrZQ")</f>
        <v>2_ABaOnuecps7flrtik3QB928UfB6HhebOGNq4AnQZabQr-AUlDg6KPd61G7FDLenrZQ</v>
      </c>
      <c r="B279" s="5">
        <f ca="1">IFERROR(__xludf.DUMMYFUNCTION("""COMPUTED_VALUE"""),45982.6201921527)</f>
        <v>45982.620192152703</v>
      </c>
      <c r="C279" s="4" t="str">
        <f ca="1">IFERROR(__xludf.DUMMYFUNCTION("""COMPUTED_VALUE"""),"Phạm Thị Thu Hà")</f>
        <v>Phạm Thị Thu Hà</v>
      </c>
      <c r="D279" s="4" t="str">
        <f ca="1">IFERROR(__xludf.DUMMYFUNCTION("""COMPUTED_VALUE"""),"Nữ")</f>
        <v>Nữ</v>
      </c>
      <c r="E279" s="4" t="str">
        <f ca="1">IFERROR(__xludf.DUMMYFUNCTION("""COMPUTED_VALUE"""),"Công ty TNHH Kiểm toán AACS")</f>
        <v>Công ty TNHH Kiểm toán AACS</v>
      </c>
      <c r="F279" s="4" t="str">
        <f ca="1">IFERROR(__xludf.DUMMYFUNCTION("""COMPUTED_VALUE"""),"Đại học")</f>
        <v>Đại học</v>
      </c>
      <c r="G279" s="4" t="str">
        <f ca="1">IFERROR(__xludf.DUMMYFUNCTION("""COMPUTED_VALUE"""),"Từ 3 đến 5 năm")</f>
        <v>Từ 3 đến 5 năm</v>
      </c>
      <c r="H279" s="4" t="str">
        <f ca="1">IFERROR(__xludf.DUMMYFUNCTION("""COMPUTED_VALUE"""),"Trợ lý kiểm toán")</f>
        <v>Trợ lý kiểm toán</v>
      </c>
      <c r="I279" s="4">
        <f ca="1">IFERROR(__xludf.DUMMYFUNCTION("""COMPUTED_VALUE"""),5)</f>
        <v>5</v>
      </c>
      <c r="J279" s="4">
        <f ca="1">IFERROR(__xludf.DUMMYFUNCTION("""COMPUTED_VALUE"""),4)</f>
        <v>4</v>
      </c>
      <c r="K279" s="4">
        <f ca="1">IFERROR(__xludf.DUMMYFUNCTION("""COMPUTED_VALUE"""),5)</f>
        <v>5</v>
      </c>
      <c r="L279" s="4">
        <f ca="1">IFERROR(__xludf.DUMMYFUNCTION("""COMPUTED_VALUE"""),2)</f>
        <v>2</v>
      </c>
      <c r="M279" s="4">
        <f ca="1">IFERROR(__xludf.DUMMYFUNCTION("""COMPUTED_VALUE"""),5)</f>
        <v>5</v>
      </c>
      <c r="N279" s="4">
        <f ca="1">IFERROR(__xludf.DUMMYFUNCTION("""COMPUTED_VALUE"""),3)</f>
        <v>3</v>
      </c>
      <c r="O279" s="4">
        <f ca="1">IFERROR(__xludf.DUMMYFUNCTION("""COMPUTED_VALUE"""),5)</f>
        <v>5</v>
      </c>
      <c r="P279" s="4">
        <f ca="1">IFERROR(__xludf.DUMMYFUNCTION("""COMPUTED_VALUE"""),5)</f>
        <v>5</v>
      </c>
      <c r="Q279" s="4">
        <f ca="1">IFERROR(__xludf.DUMMYFUNCTION("""COMPUTED_VALUE"""),5)</f>
        <v>5</v>
      </c>
      <c r="R279" s="4">
        <f ca="1">IFERROR(__xludf.DUMMYFUNCTION("""COMPUTED_VALUE"""),5)</f>
        <v>5</v>
      </c>
      <c r="S279" s="4">
        <f ca="1">IFERROR(__xludf.DUMMYFUNCTION("""COMPUTED_VALUE"""),5)</f>
        <v>5</v>
      </c>
      <c r="T279" s="4">
        <f ca="1">IFERROR(__xludf.DUMMYFUNCTION("""COMPUTED_VALUE"""),5)</f>
        <v>5</v>
      </c>
      <c r="U279" s="4">
        <f ca="1">IFERROR(__xludf.DUMMYFUNCTION("""COMPUTED_VALUE"""),5)</f>
        <v>5</v>
      </c>
      <c r="V279" s="4">
        <f ca="1">IFERROR(__xludf.DUMMYFUNCTION("""COMPUTED_VALUE"""),5)</f>
        <v>5</v>
      </c>
      <c r="W279" s="4">
        <f ca="1">IFERROR(__xludf.DUMMYFUNCTION("""COMPUTED_VALUE"""),4)</f>
        <v>4</v>
      </c>
      <c r="X279" s="4">
        <f ca="1">IFERROR(__xludf.DUMMYFUNCTION("""COMPUTED_VALUE"""),5)</f>
        <v>5</v>
      </c>
      <c r="Y279" s="4">
        <f ca="1">IFERROR(__xludf.DUMMYFUNCTION("""COMPUTED_VALUE"""),2)</f>
        <v>2</v>
      </c>
      <c r="Z279" s="4">
        <f ca="1">IFERROR(__xludf.DUMMYFUNCTION("""COMPUTED_VALUE"""),4)</f>
        <v>4</v>
      </c>
      <c r="AA279" s="4">
        <f ca="1">IFERROR(__xludf.DUMMYFUNCTION("""COMPUTED_VALUE"""),2)</f>
        <v>2</v>
      </c>
      <c r="AB279" s="4">
        <f ca="1">IFERROR(__xludf.DUMMYFUNCTION("""COMPUTED_VALUE"""),5)</f>
        <v>5</v>
      </c>
      <c r="AC279" s="4">
        <f ca="1">IFERROR(__xludf.DUMMYFUNCTION("""COMPUTED_VALUE"""),4)</f>
        <v>4</v>
      </c>
      <c r="AD279" s="4">
        <f ca="1">IFERROR(__xludf.DUMMYFUNCTION("""COMPUTED_VALUE"""),5)</f>
        <v>5</v>
      </c>
      <c r="AE279" s="4">
        <f ca="1">IFERROR(__xludf.DUMMYFUNCTION("""COMPUTED_VALUE"""),5)</f>
        <v>5</v>
      </c>
      <c r="AF279" s="4">
        <f ca="1">IFERROR(__xludf.DUMMYFUNCTION("""COMPUTED_VALUE"""),4)</f>
        <v>4</v>
      </c>
      <c r="AG279" s="4">
        <f ca="1">IFERROR(__xludf.DUMMYFUNCTION("""COMPUTED_VALUE"""),4)</f>
        <v>4</v>
      </c>
      <c r="AH279" s="4">
        <f ca="1">IFERROR(__xludf.DUMMYFUNCTION("""COMPUTED_VALUE"""),3)</f>
        <v>3</v>
      </c>
      <c r="AI279" s="4">
        <f ca="1">IFERROR(__xludf.DUMMYFUNCTION("""COMPUTED_VALUE"""),1)</f>
        <v>1</v>
      </c>
      <c r="AJ279" s="4">
        <f ca="1">IFERROR(__xludf.DUMMYFUNCTION("""COMPUTED_VALUE"""),5)</f>
        <v>5</v>
      </c>
      <c r="AK279" s="4">
        <f ca="1">IFERROR(__xludf.DUMMYFUNCTION("""COMPUTED_VALUE"""),5)</f>
        <v>5</v>
      </c>
      <c r="AL279" s="4">
        <f ca="1">IFERROR(__xludf.DUMMYFUNCTION("""COMPUTED_VALUE"""),5)</f>
        <v>5</v>
      </c>
      <c r="AM279" s="4">
        <f ca="1">IFERROR(__xludf.DUMMYFUNCTION("""COMPUTED_VALUE"""),5)</f>
        <v>5</v>
      </c>
      <c r="AN279" s="4">
        <f ca="1">IFERROR(__xludf.DUMMYFUNCTION("""COMPUTED_VALUE"""),5)</f>
        <v>5</v>
      </c>
      <c r="AO279" s="4">
        <f ca="1">IFERROR(__xludf.DUMMYFUNCTION("""COMPUTED_VALUE"""),4)</f>
        <v>4</v>
      </c>
      <c r="AP279" s="4">
        <f ca="1">IFERROR(__xludf.DUMMYFUNCTION("""COMPUTED_VALUE"""),3)</f>
        <v>3</v>
      </c>
      <c r="AQ279" s="4">
        <f ca="1">IFERROR(__xludf.DUMMYFUNCTION("""COMPUTED_VALUE"""),5)</f>
        <v>5</v>
      </c>
      <c r="AR279" s="4">
        <f ca="1">IFERROR(__xludf.DUMMYFUNCTION("""COMPUTED_VALUE"""),3)</f>
        <v>3</v>
      </c>
      <c r="AS279" s="4">
        <f ca="1">IFERROR(__xludf.DUMMYFUNCTION("""COMPUTED_VALUE"""),5)</f>
        <v>5</v>
      </c>
      <c r="AT279" s="4">
        <f ca="1">IFERROR(__xludf.DUMMYFUNCTION("""COMPUTED_VALUE"""),1)</f>
        <v>1</v>
      </c>
      <c r="AU279" s="4">
        <f ca="1">IFERROR(__xludf.DUMMYFUNCTION("""COMPUTED_VALUE"""),3)</f>
        <v>3</v>
      </c>
      <c r="AV279" s="4">
        <f ca="1">IFERROR(__xludf.DUMMYFUNCTION("""COMPUTED_VALUE"""),3)</f>
        <v>3</v>
      </c>
      <c r="AW279" s="4">
        <f ca="1">IFERROR(__xludf.DUMMYFUNCTION("""COMPUTED_VALUE"""),5)</f>
        <v>5</v>
      </c>
      <c r="AX279" s="4">
        <f ca="1">IFERROR(__xludf.DUMMYFUNCTION("""COMPUTED_VALUE"""),5)</f>
        <v>5</v>
      </c>
      <c r="AY279" s="4">
        <f ca="1">IFERROR(__xludf.DUMMYFUNCTION("""COMPUTED_VALUE"""),5)</f>
        <v>5</v>
      </c>
      <c r="AZ279" s="4">
        <f ca="1">IFERROR(__xludf.DUMMYFUNCTION("""COMPUTED_VALUE"""),5)</f>
        <v>5</v>
      </c>
      <c r="BA279" s="4">
        <f ca="1">IFERROR(__xludf.DUMMYFUNCTION("""COMPUTED_VALUE"""),5)</f>
        <v>5</v>
      </c>
      <c r="BB279" s="4">
        <f ca="1">IFERROR(__xludf.DUMMYFUNCTION("""COMPUTED_VALUE"""),5)</f>
        <v>5</v>
      </c>
      <c r="BC279" s="4">
        <f ca="1">IFERROR(__xludf.DUMMYFUNCTION("""COMPUTED_VALUE"""),4)</f>
        <v>4</v>
      </c>
      <c r="BD279" s="4">
        <f ca="1">IFERROR(__xludf.DUMMYFUNCTION("""COMPUTED_VALUE"""),5)</f>
        <v>5</v>
      </c>
      <c r="BE279" s="4">
        <f ca="1">IFERROR(__xludf.DUMMYFUNCTION("""COMPUTED_VALUE"""),5)</f>
        <v>5</v>
      </c>
      <c r="BF279" s="4">
        <f ca="1">IFERROR(__xludf.DUMMYFUNCTION("""COMPUTED_VALUE"""),5)</f>
        <v>5</v>
      </c>
      <c r="BG279" s="4">
        <f ca="1">IFERROR(__xludf.DUMMYFUNCTION("""COMPUTED_VALUE"""),5)</f>
        <v>5</v>
      </c>
      <c r="BH279" s="4">
        <f ca="1">IFERROR(__xludf.DUMMYFUNCTION("""COMPUTED_VALUE"""),5)</f>
        <v>5</v>
      </c>
      <c r="BI279" s="4">
        <f ca="1">IFERROR(__xludf.DUMMYFUNCTION("""COMPUTED_VALUE"""),5)</f>
        <v>5</v>
      </c>
      <c r="BJ279" s="4">
        <f ca="1">IFERROR(__xludf.DUMMYFUNCTION("""COMPUTED_VALUE"""),5)</f>
        <v>5</v>
      </c>
      <c r="BK279" s="4">
        <f ca="1">IFERROR(__xludf.DUMMYFUNCTION("""COMPUTED_VALUE"""),5)</f>
        <v>5</v>
      </c>
      <c r="BL279" s="4">
        <f ca="1">IFERROR(__xludf.DUMMYFUNCTION("""COMPUTED_VALUE"""),2)</f>
        <v>2</v>
      </c>
      <c r="BM279" s="4">
        <f ca="1">IFERROR(__xludf.DUMMYFUNCTION("""COMPUTED_VALUE"""),5)</f>
        <v>5</v>
      </c>
      <c r="BN279" s="4">
        <f ca="1">IFERROR(__xludf.DUMMYFUNCTION("""COMPUTED_VALUE"""),5)</f>
        <v>5</v>
      </c>
      <c r="BO279" s="4">
        <f ca="1">IFERROR(__xludf.DUMMYFUNCTION("""COMPUTED_VALUE"""),5)</f>
        <v>5</v>
      </c>
      <c r="BP279" s="4">
        <f ca="1">IFERROR(__xludf.DUMMYFUNCTION("""COMPUTED_VALUE"""),2)</f>
        <v>2</v>
      </c>
    </row>
    <row r="280" spans="1:68" ht="13.2" x14ac:dyDescent="0.25">
      <c r="A280" s="4" t="str">
        <f ca="1">IFERROR(__xludf.DUMMYFUNCTION("""COMPUTED_VALUE"""),"2_ABaOnue7CRHZZstcoh9bTqeFyQt6EQFZx5azMTEv0x7sLmcVpbfRW-AVC07SLTxYhA")</f>
        <v>2_ABaOnue7CRHZZstcoh9bTqeFyQt6EQFZx5azMTEv0x7sLmcVpbfRW-AVC07SLTxYhA</v>
      </c>
      <c r="B280" s="5">
        <f ca="1">IFERROR(__xludf.DUMMYFUNCTION("""COMPUTED_VALUE"""),45982.6202769791)</f>
        <v>45982.620276979098</v>
      </c>
      <c r="C280" s="4" t="str">
        <f ca="1">IFERROR(__xludf.DUMMYFUNCTION("""COMPUTED_VALUE"""),"Lữ Thị Trúc Phương")</f>
        <v>Lữ Thị Trúc Phương</v>
      </c>
      <c r="D280" s="4" t="str">
        <f ca="1">IFERROR(__xludf.DUMMYFUNCTION("""COMPUTED_VALUE"""),"Nữ")</f>
        <v>Nữ</v>
      </c>
      <c r="E280" s="4" t="str">
        <f ca="1">IFERROR(__xludf.DUMMYFUNCTION("""COMPUTED_VALUE"""),"Công ty TNHH Kiểm toán AACS")</f>
        <v>Công ty TNHH Kiểm toán AACS</v>
      </c>
      <c r="F280" s="4" t="str">
        <f ca="1">IFERROR(__xludf.DUMMYFUNCTION("""COMPUTED_VALUE"""),"Đại học")</f>
        <v>Đại học</v>
      </c>
      <c r="G280" s="4" t="str">
        <f ca="1">IFERROR(__xludf.DUMMYFUNCTION("""COMPUTED_VALUE"""),"Từ 3 đến 5 năm")</f>
        <v>Từ 3 đến 5 năm</v>
      </c>
      <c r="H280" s="4" t="str">
        <f ca="1">IFERROR(__xludf.DUMMYFUNCTION("""COMPUTED_VALUE"""),"Trợ lý kiểm toán")</f>
        <v>Trợ lý kiểm toán</v>
      </c>
      <c r="I280" s="4">
        <f ca="1">IFERROR(__xludf.DUMMYFUNCTION("""COMPUTED_VALUE"""),4)</f>
        <v>4</v>
      </c>
      <c r="J280" s="4">
        <f ca="1">IFERROR(__xludf.DUMMYFUNCTION("""COMPUTED_VALUE"""),4)</f>
        <v>4</v>
      </c>
      <c r="K280" s="4">
        <f ca="1">IFERROR(__xludf.DUMMYFUNCTION("""COMPUTED_VALUE"""),4)</f>
        <v>4</v>
      </c>
      <c r="L280" s="4">
        <f ca="1">IFERROR(__xludf.DUMMYFUNCTION("""COMPUTED_VALUE"""),4)</f>
        <v>4</v>
      </c>
      <c r="M280" s="4">
        <f ca="1">IFERROR(__xludf.DUMMYFUNCTION("""COMPUTED_VALUE"""),3)</f>
        <v>3</v>
      </c>
      <c r="N280" s="4">
        <f ca="1">IFERROR(__xludf.DUMMYFUNCTION("""COMPUTED_VALUE"""),4)</f>
        <v>4</v>
      </c>
      <c r="O280" s="4">
        <f ca="1">IFERROR(__xludf.DUMMYFUNCTION("""COMPUTED_VALUE"""),5)</f>
        <v>5</v>
      </c>
      <c r="P280" s="4">
        <f ca="1">IFERROR(__xludf.DUMMYFUNCTION("""COMPUTED_VALUE"""),5)</f>
        <v>5</v>
      </c>
      <c r="Q280" s="4">
        <f ca="1">IFERROR(__xludf.DUMMYFUNCTION("""COMPUTED_VALUE"""),5)</f>
        <v>5</v>
      </c>
      <c r="R280" s="4">
        <f ca="1">IFERROR(__xludf.DUMMYFUNCTION("""COMPUTED_VALUE"""),4)</f>
        <v>4</v>
      </c>
      <c r="S280" s="4">
        <f ca="1">IFERROR(__xludf.DUMMYFUNCTION("""COMPUTED_VALUE"""),5)</f>
        <v>5</v>
      </c>
      <c r="T280" s="4">
        <f ca="1">IFERROR(__xludf.DUMMYFUNCTION("""COMPUTED_VALUE"""),4)</f>
        <v>4</v>
      </c>
      <c r="U280" s="4">
        <f ca="1">IFERROR(__xludf.DUMMYFUNCTION("""COMPUTED_VALUE"""),4)</f>
        <v>4</v>
      </c>
      <c r="V280" s="4">
        <f ca="1">IFERROR(__xludf.DUMMYFUNCTION("""COMPUTED_VALUE"""),4)</f>
        <v>4</v>
      </c>
      <c r="W280" s="4">
        <f ca="1">IFERROR(__xludf.DUMMYFUNCTION("""COMPUTED_VALUE"""),3)</f>
        <v>3</v>
      </c>
      <c r="X280" s="4">
        <f ca="1">IFERROR(__xludf.DUMMYFUNCTION("""COMPUTED_VALUE"""),4)</f>
        <v>4</v>
      </c>
      <c r="Y280" s="4">
        <f ca="1">IFERROR(__xludf.DUMMYFUNCTION("""COMPUTED_VALUE"""),3)</f>
        <v>3</v>
      </c>
      <c r="Z280" s="4">
        <f ca="1">IFERROR(__xludf.DUMMYFUNCTION("""COMPUTED_VALUE"""),4)</f>
        <v>4</v>
      </c>
      <c r="AA280" s="4">
        <f ca="1">IFERROR(__xludf.DUMMYFUNCTION("""COMPUTED_VALUE"""),3)</f>
        <v>3</v>
      </c>
      <c r="AB280" s="4">
        <f ca="1">IFERROR(__xludf.DUMMYFUNCTION("""COMPUTED_VALUE"""),5)</f>
        <v>5</v>
      </c>
      <c r="AC280" s="4">
        <f ca="1">IFERROR(__xludf.DUMMYFUNCTION("""COMPUTED_VALUE"""),3)</f>
        <v>3</v>
      </c>
      <c r="AD280" s="4">
        <f ca="1">IFERROR(__xludf.DUMMYFUNCTION("""COMPUTED_VALUE"""),4)</f>
        <v>4</v>
      </c>
      <c r="AE280" s="4">
        <f ca="1">IFERROR(__xludf.DUMMYFUNCTION("""COMPUTED_VALUE"""),5)</f>
        <v>5</v>
      </c>
      <c r="AF280" s="4">
        <f ca="1">IFERROR(__xludf.DUMMYFUNCTION("""COMPUTED_VALUE"""),4)</f>
        <v>4</v>
      </c>
      <c r="AG280" s="4">
        <f ca="1">IFERROR(__xludf.DUMMYFUNCTION("""COMPUTED_VALUE"""),4)</f>
        <v>4</v>
      </c>
      <c r="AH280" s="4">
        <f ca="1">IFERROR(__xludf.DUMMYFUNCTION("""COMPUTED_VALUE"""),3)</f>
        <v>3</v>
      </c>
      <c r="AI280" s="4">
        <f ca="1">IFERROR(__xludf.DUMMYFUNCTION("""COMPUTED_VALUE"""),1)</f>
        <v>1</v>
      </c>
      <c r="AJ280" s="4">
        <f ca="1">IFERROR(__xludf.DUMMYFUNCTION("""COMPUTED_VALUE"""),4)</f>
        <v>4</v>
      </c>
      <c r="AK280" s="4">
        <f ca="1">IFERROR(__xludf.DUMMYFUNCTION("""COMPUTED_VALUE"""),4)</f>
        <v>4</v>
      </c>
      <c r="AL280" s="4">
        <f ca="1">IFERROR(__xludf.DUMMYFUNCTION("""COMPUTED_VALUE"""),5)</f>
        <v>5</v>
      </c>
      <c r="AM280" s="4">
        <f ca="1">IFERROR(__xludf.DUMMYFUNCTION("""COMPUTED_VALUE"""),4)</f>
        <v>4</v>
      </c>
      <c r="AN280" s="4">
        <f ca="1">IFERROR(__xludf.DUMMYFUNCTION("""COMPUTED_VALUE"""),5)</f>
        <v>5</v>
      </c>
      <c r="AO280" s="4">
        <f ca="1">IFERROR(__xludf.DUMMYFUNCTION("""COMPUTED_VALUE"""),4)</f>
        <v>4</v>
      </c>
      <c r="AP280" s="4">
        <f ca="1">IFERROR(__xludf.DUMMYFUNCTION("""COMPUTED_VALUE"""),3)</f>
        <v>3</v>
      </c>
      <c r="AQ280" s="4">
        <f ca="1">IFERROR(__xludf.DUMMYFUNCTION("""COMPUTED_VALUE"""),5)</f>
        <v>5</v>
      </c>
      <c r="AR280" s="4">
        <f ca="1">IFERROR(__xludf.DUMMYFUNCTION("""COMPUTED_VALUE"""),3)</f>
        <v>3</v>
      </c>
      <c r="AS280" s="4">
        <f ca="1">IFERROR(__xludf.DUMMYFUNCTION("""COMPUTED_VALUE"""),2)</f>
        <v>2</v>
      </c>
      <c r="AT280" s="4">
        <f ca="1">IFERROR(__xludf.DUMMYFUNCTION("""COMPUTED_VALUE"""),2)</f>
        <v>2</v>
      </c>
      <c r="AU280" s="4">
        <f ca="1">IFERROR(__xludf.DUMMYFUNCTION("""COMPUTED_VALUE"""),4)</f>
        <v>4</v>
      </c>
      <c r="AV280" s="4">
        <f ca="1">IFERROR(__xludf.DUMMYFUNCTION("""COMPUTED_VALUE"""),3)</f>
        <v>3</v>
      </c>
      <c r="AW280" s="4">
        <f ca="1">IFERROR(__xludf.DUMMYFUNCTION("""COMPUTED_VALUE"""),4)</f>
        <v>4</v>
      </c>
      <c r="AX280" s="4">
        <f ca="1">IFERROR(__xludf.DUMMYFUNCTION("""COMPUTED_VALUE"""),5)</f>
        <v>5</v>
      </c>
      <c r="AY280" s="4">
        <f ca="1">IFERROR(__xludf.DUMMYFUNCTION("""COMPUTED_VALUE"""),5)</f>
        <v>5</v>
      </c>
      <c r="AZ280" s="4">
        <f ca="1">IFERROR(__xludf.DUMMYFUNCTION("""COMPUTED_VALUE"""),5)</f>
        <v>5</v>
      </c>
      <c r="BA280" s="4">
        <f ca="1">IFERROR(__xludf.DUMMYFUNCTION("""COMPUTED_VALUE"""),5)</f>
        <v>5</v>
      </c>
      <c r="BB280" s="4">
        <f ca="1">IFERROR(__xludf.DUMMYFUNCTION("""COMPUTED_VALUE"""),4)</f>
        <v>4</v>
      </c>
      <c r="BC280" s="4">
        <f ca="1">IFERROR(__xludf.DUMMYFUNCTION("""COMPUTED_VALUE"""),3)</f>
        <v>3</v>
      </c>
      <c r="BD280" s="4">
        <f ca="1">IFERROR(__xludf.DUMMYFUNCTION("""COMPUTED_VALUE"""),4)</f>
        <v>4</v>
      </c>
      <c r="BE280" s="4">
        <f ca="1">IFERROR(__xludf.DUMMYFUNCTION("""COMPUTED_VALUE"""),4)</f>
        <v>4</v>
      </c>
      <c r="BF280" s="4">
        <f ca="1">IFERROR(__xludf.DUMMYFUNCTION("""COMPUTED_VALUE"""),4)</f>
        <v>4</v>
      </c>
      <c r="BG280" s="4">
        <f ca="1">IFERROR(__xludf.DUMMYFUNCTION("""COMPUTED_VALUE"""),4)</f>
        <v>4</v>
      </c>
      <c r="BH280" s="4">
        <f ca="1">IFERROR(__xludf.DUMMYFUNCTION("""COMPUTED_VALUE"""),5)</f>
        <v>5</v>
      </c>
      <c r="BI280" s="4">
        <f ca="1">IFERROR(__xludf.DUMMYFUNCTION("""COMPUTED_VALUE"""),5)</f>
        <v>5</v>
      </c>
      <c r="BJ280" s="4">
        <f ca="1">IFERROR(__xludf.DUMMYFUNCTION("""COMPUTED_VALUE"""),5)</f>
        <v>5</v>
      </c>
      <c r="BK280" s="4">
        <f ca="1">IFERROR(__xludf.DUMMYFUNCTION("""COMPUTED_VALUE"""),5)</f>
        <v>5</v>
      </c>
      <c r="BL280" s="4">
        <f ca="1">IFERROR(__xludf.DUMMYFUNCTION("""COMPUTED_VALUE"""),2)</f>
        <v>2</v>
      </c>
      <c r="BM280" s="4">
        <f ca="1">IFERROR(__xludf.DUMMYFUNCTION("""COMPUTED_VALUE"""),5)</f>
        <v>5</v>
      </c>
      <c r="BN280" s="4">
        <f ca="1">IFERROR(__xludf.DUMMYFUNCTION("""COMPUTED_VALUE"""),5)</f>
        <v>5</v>
      </c>
      <c r="BO280" s="4">
        <f ca="1">IFERROR(__xludf.DUMMYFUNCTION("""COMPUTED_VALUE"""),5)</f>
        <v>5</v>
      </c>
      <c r="BP280" s="4">
        <f ca="1">IFERROR(__xludf.DUMMYFUNCTION("""COMPUTED_VALUE"""),5)</f>
        <v>5</v>
      </c>
    </row>
    <row r="281" spans="1:68" ht="13.2" x14ac:dyDescent="0.25">
      <c r="A281" s="4" t="str">
        <f ca="1">IFERROR(__xludf.DUMMYFUNCTION("""COMPUTED_VALUE"""),"2_ABaOnue35h1Oq0NGwk5PrAIA7hwVJhOKCSE-gvDn0_06Z3ip82g-5EisXRr0fiBvZA")</f>
        <v>2_ABaOnue35h1Oq0NGwk5PrAIA7hwVJhOKCSE-gvDn0_06Z3ip82g-5EisXRr0fiBvZA</v>
      </c>
      <c r="B281" s="5">
        <f ca="1">IFERROR(__xludf.DUMMYFUNCTION("""COMPUTED_VALUE"""),45982.6203756365)</f>
        <v>45982.620375636499</v>
      </c>
      <c r="C281" s="4" t="str">
        <f ca="1">IFERROR(__xludf.DUMMYFUNCTION("""COMPUTED_VALUE"""),"Chành Thị Thúy Vy")</f>
        <v>Chành Thị Thúy Vy</v>
      </c>
      <c r="D281" s="4" t="str">
        <f ca="1">IFERROR(__xludf.DUMMYFUNCTION("""COMPUTED_VALUE"""),"Nữ")</f>
        <v>Nữ</v>
      </c>
      <c r="E281" s="4" t="str">
        <f ca="1">IFERROR(__xludf.DUMMYFUNCTION("""COMPUTED_VALUE"""),"Công ty TNHH Kiểm toán AACS")</f>
        <v>Công ty TNHH Kiểm toán AACS</v>
      </c>
      <c r="F281" s="4" t="str">
        <f ca="1">IFERROR(__xludf.DUMMYFUNCTION("""COMPUTED_VALUE"""),"Đại học")</f>
        <v>Đại học</v>
      </c>
      <c r="G281" s="4" t="str">
        <f ca="1">IFERROR(__xludf.DUMMYFUNCTION("""COMPUTED_VALUE"""),"Từ 3 đến 5 năm")</f>
        <v>Từ 3 đến 5 năm</v>
      </c>
      <c r="H281" s="4" t="str">
        <f ca="1">IFERROR(__xludf.DUMMYFUNCTION("""COMPUTED_VALUE"""),"Trợ lý kiểm toán")</f>
        <v>Trợ lý kiểm toán</v>
      </c>
      <c r="I281" s="4">
        <f ca="1">IFERROR(__xludf.DUMMYFUNCTION("""COMPUTED_VALUE"""),4)</f>
        <v>4</v>
      </c>
      <c r="J281" s="4">
        <f ca="1">IFERROR(__xludf.DUMMYFUNCTION("""COMPUTED_VALUE"""),3)</f>
        <v>3</v>
      </c>
      <c r="K281" s="4">
        <f ca="1">IFERROR(__xludf.DUMMYFUNCTION("""COMPUTED_VALUE"""),4)</f>
        <v>4</v>
      </c>
      <c r="L281" s="4">
        <f ca="1">IFERROR(__xludf.DUMMYFUNCTION("""COMPUTED_VALUE"""),4)</f>
        <v>4</v>
      </c>
      <c r="M281" s="4">
        <f ca="1">IFERROR(__xludf.DUMMYFUNCTION("""COMPUTED_VALUE"""),4)</f>
        <v>4</v>
      </c>
      <c r="N281" s="4">
        <f ca="1">IFERROR(__xludf.DUMMYFUNCTION("""COMPUTED_VALUE"""),4)</f>
        <v>4</v>
      </c>
      <c r="O281" s="4">
        <f ca="1">IFERROR(__xludf.DUMMYFUNCTION("""COMPUTED_VALUE"""),4)</f>
        <v>4</v>
      </c>
      <c r="P281" s="4">
        <f ca="1">IFERROR(__xludf.DUMMYFUNCTION("""COMPUTED_VALUE"""),4)</f>
        <v>4</v>
      </c>
      <c r="Q281" s="4">
        <f ca="1">IFERROR(__xludf.DUMMYFUNCTION("""COMPUTED_VALUE"""),4)</f>
        <v>4</v>
      </c>
      <c r="R281" s="4">
        <f ca="1">IFERROR(__xludf.DUMMYFUNCTION("""COMPUTED_VALUE"""),4)</f>
        <v>4</v>
      </c>
      <c r="S281" s="4">
        <f ca="1">IFERROR(__xludf.DUMMYFUNCTION("""COMPUTED_VALUE"""),4)</f>
        <v>4</v>
      </c>
      <c r="T281" s="4">
        <f ca="1">IFERROR(__xludf.DUMMYFUNCTION("""COMPUTED_VALUE"""),4)</f>
        <v>4</v>
      </c>
      <c r="U281" s="4">
        <f ca="1">IFERROR(__xludf.DUMMYFUNCTION("""COMPUTED_VALUE"""),4)</f>
        <v>4</v>
      </c>
      <c r="V281" s="4">
        <f ca="1">IFERROR(__xludf.DUMMYFUNCTION("""COMPUTED_VALUE"""),4)</f>
        <v>4</v>
      </c>
      <c r="W281" s="4">
        <f ca="1">IFERROR(__xludf.DUMMYFUNCTION("""COMPUTED_VALUE"""),4)</f>
        <v>4</v>
      </c>
      <c r="X281" s="4">
        <f ca="1">IFERROR(__xludf.DUMMYFUNCTION("""COMPUTED_VALUE"""),4)</f>
        <v>4</v>
      </c>
      <c r="Y281" s="4">
        <f ca="1">IFERROR(__xludf.DUMMYFUNCTION("""COMPUTED_VALUE"""),3)</f>
        <v>3</v>
      </c>
      <c r="Z281" s="4">
        <f ca="1">IFERROR(__xludf.DUMMYFUNCTION("""COMPUTED_VALUE"""),4)</f>
        <v>4</v>
      </c>
      <c r="AA281" s="4">
        <f ca="1">IFERROR(__xludf.DUMMYFUNCTION("""COMPUTED_VALUE"""),4)</f>
        <v>4</v>
      </c>
      <c r="AB281" s="4">
        <f ca="1">IFERROR(__xludf.DUMMYFUNCTION("""COMPUTED_VALUE"""),5)</f>
        <v>5</v>
      </c>
      <c r="AC281" s="4">
        <f ca="1">IFERROR(__xludf.DUMMYFUNCTION("""COMPUTED_VALUE"""),3)</f>
        <v>3</v>
      </c>
      <c r="AD281" s="4">
        <f ca="1">IFERROR(__xludf.DUMMYFUNCTION("""COMPUTED_VALUE"""),4)</f>
        <v>4</v>
      </c>
      <c r="AE281" s="4">
        <f ca="1">IFERROR(__xludf.DUMMYFUNCTION("""COMPUTED_VALUE"""),5)</f>
        <v>5</v>
      </c>
      <c r="AF281" s="4">
        <f ca="1">IFERROR(__xludf.DUMMYFUNCTION("""COMPUTED_VALUE"""),4)</f>
        <v>4</v>
      </c>
      <c r="AG281" s="4">
        <f ca="1">IFERROR(__xludf.DUMMYFUNCTION("""COMPUTED_VALUE"""),4)</f>
        <v>4</v>
      </c>
      <c r="AH281" s="4">
        <f ca="1">IFERROR(__xludf.DUMMYFUNCTION("""COMPUTED_VALUE"""),3)</f>
        <v>3</v>
      </c>
      <c r="AI281" s="4">
        <f ca="1">IFERROR(__xludf.DUMMYFUNCTION("""COMPUTED_VALUE"""),3)</f>
        <v>3</v>
      </c>
      <c r="AJ281" s="4">
        <f ca="1">IFERROR(__xludf.DUMMYFUNCTION("""COMPUTED_VALUE"""),4)</f>
        <v>4</v>
      </c>
      <c r="AK281" s="4">
        <f ca="1">IFERROR(__xludf.DUMMYFUNCTION("""COMPUTED_VALUE"""),4)</f>
        <v>4</v>
      </c>
      <c r="AL281" s="4">
        <f ca="1">IFERROR(__xludf.DUMMYFUNCTION("""COMPUTED_VALUE"""),4)</f>
        <v>4</v>
      </c>
      <c r="AM281" s="4">
        <f ca="1">IFERROR(__xludf.DUMMYFUNCTION("""COMPUTED_VALUE"""),3)</f>
        <v>3</v>
      </c>
      <c r="AN281" s="4">
        <f ca="1">IFERROR(__xludf.DUMMYFUNCTION("""COMPUTED_VALUE"""),4)</f>
        <v>4</v>
      </c>
      <c r="AO281" s="4">
        <f ca="1">IFERROR(__xludf.DUMMYFUNCTION("""COMPUTED_VALUE"""),3)</f>
        <v>3</v>
      </c>
      <c r="AP281" s="4">
        <f ca="1">IFERROR(__xludf.DUMMYFUNCTION("""COMPUTED_VALUE"""),5)</f>
        <v>5</v>
      </c>
      <c r="AQ281" s="4">
        <f ca="1">IFERROR(__xludf.DUMMYFUNCTION("""COMPUTED_VALUE"""),4)</f>
        <v>4</v>
      </c>
      <c r="AR281" s="4">
        <f ca="1">IFERROR(__xludf.DUMMYFUNCTION("""COMPUTED_VALUE"""),3)</f>
        <v>3</v>
      </c>
      <c r="AS281" s="4">
        <f ca="1">IFERROR(__xludf.DUMMYFUNCTION("""COMPUTED_VALUE"""),4)</f>
        <v>4</v>
      </c>
      <c r="AT281" s="4">
        <f ca="1">IFERROR(__xludf.DUMMYFUNCTION("""COMPUTED_VALUE"""),2)</f>
        <v>2</v>
      </c>
      <c r="AU281" s="4">
        <f ca="1">IFERROR(__xludf.DUMMYFUNCTION("""COMPUTED_VALUE"""),4)</f>
        <v>4</v>
      </c>
      <c r="AV281" s="4">
        <f ca="1">IFERROR(__xludf.DUMMYFUNCTION("""COMPUTED_VALUE"""),4)</f>
        <v>4</v>
      </c>
      <c r="AW281" s="4">
        <f ca="1">IFERROR(__xludf.DUMMYFUNCTION("""COMPUTED_VALUE"""),4)</f>
        <v>4</v>
      </c>
      <c r="AX281" s="4">
        <f ca="1">IFERROR(__xludf.DUMMYFUNCTION("""COMPUTED_VALUE"""),5)</f>
        <v>5</v>
      </c>
      <c r="AY281" s="4">
        <f ca="1">IFERROR(__xludf.DUMMYFUNCTION("""COMPUTED_VALUE"""),5)</f>
        <v>5</v>
      </c>
      <c r="AZ281" s="4">
        <f ca="1">IFERROR(__xludf.DUMMYFUNCTION("""COMPUTED_VALUE"""),5)</f>
        <v>5</v>
      </c>
      <c r="BA281" s="4">
        <f ca="1">IFERROR(__xludf.DUMMYFUNCTION("""COMPUTED_VALUE"""),5)</f>
        <v>5</v>
      </c>
      <c r="BB281" s="4">
        <f ca="1">IFERROR(__xludf.DUMMYFUNCTION("""COMPUTED_VALUE"""),4)</f>
        <v>4</v>
      </c>
      <c r="BC281" s="4">
        <f ca="1">IFERROR(__xludf.DUMMYFUNCTION("""COMPUTED_VALUE"""),3)</f>
        <v>3</v>
      </c>
      <c r="BD281" s="4">
        <f ca="1">IFERROR(__xludf.DUMMYFUNCTION("""COMPUTED_VALUE"""),4)</f>
        <v>4</v>
      </c>
      <c r="BE281" s="4">
        <f ca="1">IFERROR(__xludf.DUMMYFUNCTION("""COMPUTED_VALUE"""),4)</f>
        <v>4</v>
      </c>
      <c r="BF281" s="4">
        <f ca="1">IFERROR(__xludf.DUMMYFUNCTION("""COMPUTED_VALUE"""),4)</f>
        <v>4</v>
      </c>
      <c r="BG281" s="4">
        <f ca="1">IFERROR(__xludf.DUMMYFUNCTION("""COMPUTED_VALUE"""),4)</f>
        <v>4</v>
      </c>
      <c r="BH281" s="4">
        <f ca="1">IFERROR(__xludf.DUMMYFUNCTION("""COMPUTED_VALUE"""),5)</f>
        <v>5</v>
      </c>
      <c r="BI281" s="4">
        <f ca="1">IFERROR(__xludf.DUMMYFUNCTION("""COMPUTED_VALUE"""),5)</f>
        <v>5</v>
      </c>
      <c r="BJ281" s="4">
        <f ca="1">IFERROR(__xludf.DUMMYFUNCTION("""COMPUTED_VALUE"""),5)</f>
        <v>5</v>
      </c>
      <c r="BK281" s="4">
        <f ca="1">IFERROR(__xludf.DUMMYFUNCTION("""COMPUTED_VALUE"""),5)</f>
        <v>5</v>
      </c>
      <c r="BL281" s="4">
        <f ca="1">IFERROR(__xludf.DUMMYFUNCTION("""COMPUTED_VALUE"""),2)</f>
        <v>2</v>
      </c>
      <c r="BM281" s="4">
        <f ca="1">IFERROR(__xludf.DUMMYFUNCTION("""COMPUTED_VALUE"""),5)</f>
        <v>5</v>
      </c>
      <c r="BN281" s="4">
        <f ca="1">IFERROR(__xludf.DUMMYFUNCTION("""COMPUTED_VALUE"""),5)</f>
        <v>5</v>
      </c>
      <c r="BO281" s="4">
        <f ca="1">IFERROR(__xludf.DUMMYFUNCTION("""COMPUTED_VALUE"""),5)</f>
        <v>5</v>
      </c>
      <c r="BP281" s="4">
        <f ca="1">IFERROR(__xludf.DUMMYFUNCTION("""COMPUTED_VALUE"""),3)</f>
        <v>3</v>
      </c>
    </row>
    <row r="282" spans="1:68" ht="13.2" x14ac:dyDescent="0.25">
      <c r="A282" s="4" t="str">
        <f ca="1">IFERROR(__xludf.DUMMYFUNCTION("""COMPUTED_VALUE"""),"2_ABaOnueYyPW8Ju6BVI-vp_vq_-qFTLYk1Gqq4Ndz_SM3OVwWEbThjpWMIQq7zEY1KA")</f>
        <v>2_ABaOnueYyPW8Ju6BVI-vp_vq_-qFTLYk1Gqq4Ndz_SM3OVwWEbThjpWMIQq7zEY1KA</v>
      </c>
      <c r="B282" s="5">
        <f ca="1">IFERROR(__xludf.DUMMYFUNCTION("""COMPUTED_VALUE"""),45983.4426924768)</f>
        <v>45983.442692476798</v>
      </c>
      <c r="C282" s="4" t="str">
        <f ca="1">IFERROR(__xludf.DUMMYFUNCTION("""COMPUTED_VALUE"""),"Trần Nhựt Duy")</f>
        <v>Trần Nhựt Duy</v>
      </c>
      <c r="D282" s="4" t="str">
        <f ca="1">IFERROR(__xludf.DUMMYFUNCTION("""COMPUTED_VALUE"""),"Nam")</f>
        <v>Nam</v>
      </c>
      <c r="E282" s="4" t="str">
        <f ca="1">IFERROR(__xludf.DUMMYFUNCTION("""COMPUTED_VALUE"""),"Công ty TNHH Kiểm toán AFC Việt Nam-CN Cần Thơ")</f>
        <v>Công ty TNHH Kiểm toán AFC Việt Nam-CN Cần Thơ</v>
      </c>
      <c r="F282" s="4" t="str">
        <f ca="1">IFERROR(__xludf.DUMMYFUNCTION("""COMPUTED_VALUE"""),"Đại học")</f>
        <v>Đại học</v>
      </c>
      <c r="G282" s="4" t="str">
        <f ca="1">IFERROR(__xludf.DUMMYFUNCTION("""COMPUTED_VALUE"""),"Từ 3 đến 5 năm")</f>
        <v>Từ 3 đến 5 năm</v>
      </c>
      <c r="H282" s="4" t="str">
        <f ca="1">IFERROR(__xludf.DUMMYFUNCTION("""COMPUTED_VALUE"""),"Trợ lý kiểm toán")</f>
        <v>Trợ lý kiểm toán</v>
      </c>
      <c r="I282" s="4">
        <f ca="1">IFERROR(__xludf.DUMMYFUNCTION("""COMPUTED_VALUE"""),5)</f>
        <v>5</v>
      </c>
      <c r="J282" s="4">
        <f ca="1">IFERROR(__xludf.DUMMYFUNCTION("""COMPUTED_VALUE"""),5)</f>
        <v>5</v>
      </c>
      <c r="K282" s="4">
        <f ca="1">IFERROR(__xludf.DUMMYFUNCTION("""COMPUTED_VALUE"""),5)</f>
        <v>5</v>
      </c>
      <c r="L282" s="4">
        <f ca="1">IFERROR(__xludf.DUMMYFUNCTION("""COMPUTED_VALUE"""),5)</f>
        <v>5</v>
      </c>
      <c r="M282" s="4">
        <f ca="1">IFERROR(__xludf.DUMMYFUNCTION("""COMPUTED_VALUE"""),5)</f>
        <v>5</v>
      </c>
      <c r="N282" s="4">
        <f ca="1">IFERROR(__xludf.DUMMYFUNCTION("""COMPUTED_VALUE"""),5)</f>
        <v>5</v>
      </c>
      <c r="O282" s="4">
        <f ca="1">IFERROR(__xludf.DUMMYFUNCTION("""COMPUTED_VALUE"""),5)</f>
        <v>5</v>
      </c>
      <c r="P282" s="4">
        <f ca="1">IFERROR(__xludf.DUMMYFUNCTION("""COMPUTED_VALUE"""),4)</f>
        <v>4</v>
      </c>
      <c r="Q282" s="4">
        <f ca="1">IFERROR(__xludf.DUMMYFUNCTION("""COMPUTED_VALUE"""),5)</f>
        <v>5</v>
      </c>
      <c r="R282" s="4">
        <f ca="1">IFERROR(__xludf.DUMMYFUNCTION("""COMPUTED_VALUE"""),3)</f>
        <v>3</v>
      </c>
      <c r="S282" s="4">
        <f ca="1">IFERROR(__xludf.DUMMYFUNCTION("""COMPUTED_VALUE"""),4)</f>
        <v>4</v>
      </c>
      <c r="T282" s="4">
        <f ca="1">IFERROR(__xludf.DUMMYFUNCTION("""COMPUTED_VALUE"""),4)</f>
        <v>4</v>
      </c>
      <c r="U282" s="4">
        <f ca="1">IFERROR(__xludf.DUMMYFUNCTION("""COMPUTED_VALUE"""),4)</f>
        <v>4</v>
      </c>
      <c r="V282" s="4">
        <f ca="1">IFERROR(__xludf.DUMMYFUNCTION("""COMPUTED_VALUE"""),3)</f>
        <v>3</v>
      </c>
      <c r="W282" s="4">
        <f ca="1">IFERROR(__xludf.DUMMYFUNCTION("""COMPUTED_VALUE"""),5)</f>
        <v>5</v>
      </c>
      <c r="X282" s="4">
        <f ca="1">IFERROR(__xludf.DUMMYFUNCTION("""COMPUTED_VALUE"""),5)</f>
        <v>5</v>
      </c>
      <c r="Y282" s="4">
        <f ca="1">IFERROR(__xludf.DUMMYFUNCTION("""COMPUTED_VALUE"""),5)</f>
        <v>5</v>
      </c>
      <c r="Z282" s="4">
        <f ca="1">IFERROR(__xludf.DUMMYFUNCTION("""COMPUTED_VALUE"""),5)</f>
        <v>5</v>
      </c>
      <c r="AA282" s="4">
        <f ca="1">IFERROR(__xludf.DUMMYFUNCTION("""COMPUTED_VALUE"""),5)</f>
        <v>5</v>
      </c>
      <c r="AB282" s="4">
        <f ca="1">IFERROR(__xludf.DUMMYFUNCTION("""COMPUTED_VALUE"""),4)</f>
        <v>4</v>
      </c>
      <c r="AC282" s="4">
        <f ca="1">IFERROR(__xludf.DUMMYFUNCTION("""COMPUTED_VALUE"""),4)</f>
        <v>4</v>
      </c>
      <c r="AD282" s="4">
        <f ca="1">IFERROR(__xludf.DUMMYFUNCTION("""COMPUTED_VALUE"""),4)</f>
        <v>4</v>
      </c>
      <c r="AE282" s="4">
        <f ca="1">IFERROR(__xludf.DUMMYFUNCTION("""COMPUTED_VALUE"""),4)</f>
        <v>4</v>
      </c>
      <c r="AF282" s="4">
        <f ca="1">IFERROR(__xludf.DUMMYFUNCTION("""COMPUTED_VALUE"""),5)</f>
        <v>5</v>
      </c>
      <c r="AG282" s="4">
        <f ca="1">IFERROR(__xludf.DUMMYFUNCTION("""COMPUTED_VALUE"""),5)</f>
        <v>5</v>
      </c>
      <c r="AH282" s="4">
        <f ca="1">IFERROR(__xludf.DUMMYFUNCTION("""COMPUTED_VALUE"""),5)</f>
        <v>5</v>
      </c>
      <c r="AI282" s="4">
        <f ca="1">IFERROR(__xludf.DUMMYFUNCTION("""COMPUTED_VALUE"""),5)</f>
        <v>5</v>
      </c>
      <c r="AJ282" s="4">
        <f ca="1">IFERROR(__xludf.DUMMYFUNCTION("""COMPUTED_VALUE"""),5)</f>
        <v>5</v>
      </c>
      <c r="AK282" s="4">
        <f ca="1">IFERROR(__xludf.DUMMYFUNCTION("""COMPUTED_VALUE"""),5)</f>
        <v>5</v>
      </c>
      <c r="AL282" s="4">
        <f ca="1">IFERROR(__xludf.DUMMYFUNCTION("""COMPUTED_VALUE"""),5)</f>
        <v>5</v>
      </c>
      <c r="AM282" s="4">
        <f ca="1">IFERROR(__xludf.DUMMYFUNCTION("""COMPUTED_VALUE"""),5)</f>
        <v>5</v>
      </c>
      <c r="AN282" s="4">
        <f ca="1">IFERROR(__xludf.DUMMYFUNCTION("""COMPUTED_VALUE"""),5)</f>
        <v>5</v>
      </c>
      <c r="AO282" s="4">
        <f ca="1">IFERROR(__xludf.DUMMYFUNCTION("""COMPUTED_VALUE"""),4)</f>
        <v>4</v>
      </c>
      <c r="AP282" s="4">
        <f ca="1">IFERROR(__xludf.DUMMYFUNCTION("""COMPUTED_VALUE"""),4)</f>
        <v>4</v>
      </c>
      <c r="AQ282" s="4">
        <f ca="1">IFERROR(__xludf.DUMMYFUNCTION("""COMPUTED_VALUE"""),5)</f>
        <v>5</v>
      </c>
      <c r="AR282" s="4">
        <f ca="1">IFERROR(__xludf.DUMMYFUNCTION("""COMPUTED_VALUE"""),5)</f>
        <v>5</v>
      </c>
      <c r="AS282" s="4">
        <f ca="1">IFERROR(__xludf.DUMMYFUNCTION("""COMPUTED_VALUE"""),4)</f>
        <v>4</v>
      </c>
      <c r="AT282" s="4">
        <f ca="1">IFERROR(__xludf.DUMMYFUNCTION("""COMPUTED_VALUE"""),4)</f>
        <v>4</v>
      </c>
      <c r="AU282" s="4">
        <f ca="1">IFERROR(__xludf.DUMMYFUNCTION("""COMPUTED_VALUE"""),4)</f>
        <v>4</v>
      </c>
      <c r="AV282" s="4">
        <f ca="1">IFERROR(__xludf.DUMMYFUNCTION("""COMPUTED_VALUE"""),4)</f>
        <v>4</v>
      </c>
      <c r="AW282" s="4">
        <f ca="1">IFERROR(__xludf.DUMMYFUNCTION("""COMPUTED_VALUE"""),5)</f>
        <v>5</v>
      </c>
      <c r="AX282" s="4">
        <f ca="1">IFERROR(__xludf.DUMMYFUNCTION("""COMPUTED_VALUE"""),5)</f>
        <v>5</v>
      </c>
      <c r="AY282" s="4">
        <f ca="1">IFERROR(__xludf.DUMMYFUNCTION("""COMPUTED_VALUE"""),5)</f>
        <v>5</v>
      </c>
      <c r="AZ282" s="4">
        <f ca="1">IFERROR(__xludf.DUMMYFUNCTION("""COMPUTED_VALUE"""),5)</f>
        <v>5</v>
      </c>
      <c r="BA282" s="4">
        <f ca="1">IFERROR(__xludf.DUMMYFUNCTION("""COMPUTED_VALUE"""),5)</f>
        <v>5</v>
      </c>
      <c r="BB282" s="4">
        <f ca="1">IFERROR(__xludf.DUMMYFUNCTION("""COMPUTED_VALUE"""),4)</f>
        <v>4</v>
      </c>
      <c r="BC282" s="4">
        <f ca="1">IFERROR(__xludf.DUMMYFUNCTION("""COMPUTED_VALUE"""),3)</f>
        <v>3</v>
      </c>
      <c r="BD282" s="4">
        <f ca="1">IFERROR(__xludf.DUMMYFUNCTION("""COMPUTED_VALUE"""),3)</f>
        <v>3</v>
      </c>
      <c r="BE282" s="4">
        <f ca="1">IFERROR(__xludf.DUMMYFUNCTION("""COMPUTED_VALUE"""),3)</f>
        <v>3</v>
      </c>
      <c r="BF282" s="4">
        <f ca="1">IFERROR(__xludf.DUMMYFUNCTION("""COMPUTED_VALUE"""),3)</f>
        <v>3</v>
      </c>
      <c r="BG282" s="4">
        <f ca="1">IFERROR(__xludf.DUMMYFUNCTION("""COMPUTED_VALUE"""),3)</f>
        <v>3</v>
      </c>
      <c r="BH282" s="4">
        <f ca="1">IFERROR(__xludf.DUMMYFUNCTION("""COMPUTED_VALUE"""),5)</f>
        <v>5</v>
      </c>
      <c r="BI282" s="4">
        <f ca="1">IFERROR(__xludf.DUMMYFUNCTION("""COMPUTED_VALUE"""),5)</f>
        <v>5</v>
      </c>
      <c r="BJ282" s="4">
        <f ca="1">IFERROR(__xludf.DUMMYFUNCTION("""COMPUTED_VALUE"""),5)</f>
        <v>5</v>
      </c>
      <c r="BK282" s="4">
        <f ca="1">IFERROR(__xludf.DUMMYFUNCTION("""COMPUTED_VALUE"""),5)</f>
        <v>5</v>
      </c>
      <c r="BL282" s="4">
        <f ca="1">IFERROR(__xludf.DUMMYFUNCTION("""COMPUTED_VALUE"""),4)</f>
        <v>4</v>
      </c>
      <c r="BM282" s="4">
        <f ca="1">IFERROR(__xludf.DUMMYFUNCTION("""COMPUTED_VALUE"""),5)</f>
        <v>5</v>
      </c>
      <c r="BN282" s="4">
        <f ca="1">IFERROR(__xludf.DUMMYFUNCTION("""COMPUTED_VALUE"""),5)</f>
        <v>5</v>
      </c>
      <c r="BO282" s="4">
        <f ca="1">IFERROR(__xludf.DUMMYFUNCTION("""COMPUTED_VALUE"""),5)</f>
        <v>5</v>
      </c>
      <c r="BP282" s="4">
        <f ca="1">IFERROR(__xludf.DUMMYFUNCTION("""COMPUTED_VALUE"""),5)</f>
        <v>5</v>
      </c>
    </row>
    <row r="283" spans="1:68" ht="13.2" x14ac:dyDescent="0.25">
      <c r="A283" s="4" t="str">
        <f ca="1">IFERROR(__xludf.DUMMYFUNCTION("""COMPUTED_VALUE"""),"2_ABaOnueRKm3rrs0C05mTN7AP3FPwC5kWNMlXcIDFzBoYaCBr2Tqo-ZuJFxokyK7LXQ")</f>
        <v>2_ABaOnueRKm3rrs0C05mTN7AP3FPwC5kWNMlXcIDFzBoYaCBr2Tqo-ZuJFxokyK7LXQ</v>
      </c>
      <c r="B283" s="5">
        <f ca="1">IFERROR(__xludf.DUMMYFUNCTION("""COMPUTED_VALUE"""),45983.4532324537)</f>
        <v>45983.453232453699</v>
      </c>
      <c r="C283" s="4" t="str">
        <f ca="1">IFERROR(__xludf.DUMMYFUNCTION("""COMPUTED_VALUE"""),"LÂM HOÀI NHÂN")</f>
        <v>LÂM HOÀI NHÂN</v>
      </c>
      <c r="D283" s="4" t="str">
        <f ca="1">IFERROR(__xludf.DUMMYFUNCTION("""COMPUTED_VALUE"""),"Nam")</f>
        <v>Nam</v>
      </c>
      <c r="E283" s="4" t="str">
        <f ca="1">IFERROR(__xludf.DUMMYFUNCTION("""COMPUTED_VALUE"""),"CÔNG TY TNHH KIỂM TOÁN AFC VIỆT NAM - CHI NHÁNH CẦN THƠ")</f>
        <v>CÔNG TY TNHH KIỂM TOÁN AFC VIỆT NAM - CHI NHÁNH CẦN THƠ</v>
      </c>
      <c r="F283" s="4" t="str">
        <f ca="1">IFERROR(__xludf.DUMMYFUNCTION("""COMPUTED_VALUE"""),"Chứng chỉ Kiểm toán viên")</f>
        <v>Chứng chỉ Kiểm toán viên</v>
      </c>
      <c r="G283" s="4" t="str">
        <f ca="1">IFERROR(__xludf.DUMMYFUNCTION("""COMPUTED_VALUE"""),"Trên 5 đến 10 năm")</f>
        <v>Trên 5 đến 10 năm</v>
      </c>
      <c r="H283" s="4" t="str">
        <f ca="1">IFERROR(__xludf.DUMMYFUNCTION("""COMPUTED_VALUE"""),"Kiểm toán viên/Trưởng nhóm")</f>
        <v>Kiểm toán viên/Trưởng nhóm</v>
      </c>
      <c r="I283" s="4">
        <f ca="1">IFERROR(__xludf.DUMMYFUNCTION("""COMPUTED_VALUE"""),5)</f>
        <v>5</v>
      </c>
      <c r="J283" s="4">
        <f ca="1">IFERROR(__xludf.DUMMYFUNCTION("""COMPUTED_VALUE"""),5)</f>
        <v>5</v>
      </c>
      <c r="K283" s="4">
        <f ca="1">IFERROR(__xludf.DUMMYFUNCTION("""COMPUTED_VALUE"""),5)</f>
        <v>5</v>
      </c>
      <c r="L283" s="4">
        <f ca="1">IFERROR(__xludf.DUMMYFUNCTION("""COMPUTED_VALUE"""),5)</f>
        <v>5</v>
      </c>
      <c r="M283" s="4">
        <f ca="1">IFERROR(__xludf.DUMMYFUNCTION("""COMPUTED_VALUE"""),5)</f>
        <v>5</v>
      </c>
      <c r="N283" s="4">
        <f ca="1">IFERROR(__xludf.DUMMYFUNCTION("""COMPUTED_VALUE"""),4)</f>
        <v>4</v>
      </c>
      <c r="O283" s="4">
        <f ca="1">IFERROR(__xludf.DUMMYFUNCTION("""COMPUTED_VALUE"""),4)</f>
        <v>4</v>
      </c>
      <c r="P283" s="4">
        <f ca="1">IFERROR(__xludf.DUMMYFUNCTION("""COMPUTED_VALUE"""),4)</f>
        <v>4</v>
      </c>
      <c r="Q283" s="4">
        <f ca="1">IFERROR(__xludf.DUMMYFUNCTION("""COMPUTED_VALUE"""),5)</f>
        <v>5</v>
      </c>
      <c r="R283" s="4">
        <f ca="1">IFERROR(__xludf.DUMMYFUNCTION("""COMPUTED_VALUE"""),5)</f>
        <v>5</v>
      </c>
      <c r="S283" s="4">
        <f ca="1">IFERROR(__xludf.DUMMYFUNCTION("""COMPUTED_VALUE"""),5)</f>
        <v>5</v>
      </c>
      <c r="T283" s="4">
        <f ca="1">IFERROR(__xludf.DUMMYFUNCTION("""COMPUTED_VALUE"""),5)</f>
        <v>5</v>
      </c>
      <c r="U283" s="4">
        <f ca="1">IFERROR(__xludf.DUMMYFUNCTION("""COMPUTED_VALUE"""),5)</f>
        <v>5</v>
      </c>
      <c r="V283" s="4">
        <f ca="1">IFERROR(__xludf.DUMMYFUNCTION("""COMPUTED_VALUE"""),5)</f>
        <v>5</v>
      </c>
      <c r="W283" s="4">
        <f ca="1">IFERROR(__xludf.DUMMYFUNCTION("""COMPUTED_VALUE"""),4)</f>
        <v>4</v>
      </c>
      <c r="X283" s="4">
        <f ca="1">IFERROR(__xludf.DUMMYFUNCTION("""COMPUTED_VALUE"""),4)</f>
        <v>4</v>
      </c>
      <c r="Y283" s="4">
        <f ca="1">IFERROR(__xludf.DUMMYFUNCTION("""COMPUTED_VALUE"""),4)</f>
        <v>4</v>
      </c>
      <c r="Z283" s="4">
        <f ca="1">IFERROR(__xludf.DUMMYFUNCTION("""COMPUTED_VALUE"""),4)</f>
        <v>4</v>
      </c>
      <c r="AA283" s="4">
        <f ca="1">IFERROR(__xludf.DUMMYFUNCTION("""COMPUTED_VALUE"""),4)</f>
        <v>4</v>
      </c>
      <c r="AB283" s="4">
        <f ca="1">IFERROR(__xludf.DUMMYFUNCTION("""COMPUTED_VALUE"""),4)</f>
        <v>4</v>
      </c>
      <c r="AC283" s="4">
        <f ca="1">IFERROR(__xludf.DUMMYFUNCTION("""COMPUTED_VALUE"""),4)</f>
        <v>4</v>
      </c>
      <c r="AD283" s="4">
        <f ca="1">IFERROR(__xludf.DUMMYFUNCTION("""COMPUTED_VALUE"""),4)</f>
        <v>4</v>
      </c>
      <c r="AE283" s="4">
        <f ca="1">IFERROR(__xludf.DUMMYFUNCTION("""COMPUTED_VALUE"""),4)</f>
        <v>4</v>
      </c>
      <c r="AF283" s="4">
        <f ca="1">IFERROR(__xludf.DUMMYFUNCTION("""COMPUTED_VALUE"""),4)</f>
        <v>4</v>
      </c>
      <c r="AG283" s="4">
        <f ca="1">IFERROR(__xludf.DUMMYFUNCTION("""COMPUTED_VALUE"""),4)</f>
        <v>4</v>
      </c>
      <c r="AH283" s="4">
        <f ca="1">IFERROR(__xludf.DUMMYFUNCTION("""COMPUTED_VALUE"""),4)</f>
        <v>4</v>
      </c>
      <c r="AI283" s="4">
        <f ca="1">IFERROR(__xludf.DUMMYFUNCTION("""COMPUTED_VALUE"""),4)</f>
        <v>4</v>
      </c>
      <c r="AJ283" s="4">
        <f ca="1">IFERROR(__xludf.DUMMYFUNCTION("""COMPUTED_VALUE"""),4)</f>
        <v>4</v>
      </c>
      <c r="AK283" s="4">
        <f ca="1">IFERROR(__xludf.DUMMYFUNCTION("""COMPUTED_VALUE"""),4)</f>
        <v>4</v>
      </c>
      <c r="AL283" s="4">
        <f ca="1">IFERROR(__xludf.DUMMYFUNCTION("""COMPUTED_VALUE"""),4)</f>
        <v>4</v>
      </c>
      <c r="AM283" s="4">
        <f ca="1">IFERROR(__xludf.DUMMYFUNCTION("""COMPUTED_VALUE"""),4)</f>
        <v>4</v>
      </c>
      <c r="AN283" s="4">
        <f ca="1">IFERROR(__xludf.DUMMYFUNCTION("""COMPUTED_VALUE"""),4)</f>
        <v>4</v>
      </c>
      <c r="AO283" s="4">
        <f ca="1">IFERROR(__xludf.DUMMYFUNCTION("""COMPUTED_VALUE"""),4)</f>
        <v>4</v>
      </c>
      <c r="AP283" s="4">
        <f ca="1">IFERROR(__xludf.DUMMYFUNCTION("""COMPUTED_VALUE"""),3)</f>
        <v>3</v>
      </c>
      <c r="AQ283" s="4">
        <f ca="1">IFERROR(__xludf.DUMMYFUNCTION("""COMPUTED_VALUE"""),4)</f>
        <v>4</v>
      </c>
      <c r="AR283" s="4">
        <f ca="1">IFERROR(__xludf.DUMMYFUNCTION("""COMPUTED_VALUE"""),4)</f>
        <v>4</v>
      </c>
      <c r="AS283" s="4">
        <f ca="1">IFERROR(__xludf.DUMMYFUNCTION("""COMPUTED_VALUE"""),4)</f>
        <v>4</v>
      </c>
      <c r="AT283" s="4">
        <f ca="1">IFERROR(__xludf.DUMMYFUNCTION("""COMPUTED_VALUE"""),4)</f>
        <v>4</v>
      </c>
      <c r="AU283" s="4">
        <f ca="1">IFERROR(__xludf.DUMMYFUNCTION("""COMPUTED_VALUE"""),4)</f>
        <v>4</v>
      </c>
      <c r="AV283" s="4">
        <f ca="1">IFERROR(__xludf.DUMMYFUNCTION("""COMPUTED_VALUE"""),4)</f>
        <v>4</v>
      </c>
      <c r="AW283" s="4">
        <f ca="1">IFERROR(__xludf.DUMMYFUNCTION("""COMPUTED_VALUE"""),4)</f>
        <v>4</v>
      </c>
      <c r="AX283" s="4">
        <f ca="1">IFERROR(__xludf.DUMMYFUNCTION("""COMPUTED_VALUE"""),5)</f>
        <v>5</v>
      </c>
      <c r="AY283" s="4">
        <f ca="1">IFERROR(__xludf.DUMMYFUNCTION("""COMPUTED_VALUE"""),5)</f>
        <v>5</v>
      </c>
      <c r="AZ283" s="4">
        <f ca="1">IFERROR(__xludf.DUMMYFUNCTION("""COMPUTED_VALUE"""),4)</f>
        <v>4</v>
      </c>
      <c r="BA283" s="4">
        <f ca="1">IFERROR(__xludf.DUMMYFUNCTION("""COMPUTED_VALUE"""),4)</f>
        <v>4</v>
      </c>
      <c r="BB283" s="4">
        <f ca="1">IFERROR(__xludf.DUMMYFUNCTION("""COMPUTED_VALUE"""),5)</f>
        <v>5</v>
      </c>
      <c r="BC283" s="4">
        <f ca="1">IFERROR(__xludf.DUMMYFUNCTION("""COMPUTED_VALUE"""),5)</f>
        <v>5</v>
      </c>
      <c r="BD283" s="4">
        <f ca="1">IFERROR(__xludf.DUMMYFUNCTION("""COMPUTED_VALUE"""),4)</f>
        <v>4</v>
      </c>
      <c r="BE283" s="4">
        <f ca="1">IFERROR(__xludf.DUMMYFUNCTION("""COMPUTED_VALUE"""),4)</f>
        <v>4</v>
      </c>
      <c r="BF283" s="4">
        <f ca="1">IFERROR(__xludf.DUMMYFUNCTION("""COMPUTED_VALUE"""),5)</f>
        <v>5</v>
      </c>
      <c r="BG283" s="4">
        <f ca="1">IFERROR(__xludf.DUMMYFUNCTION("""COMPUTED_VALUE"""),4)</f>
        <v>4</v>
      </c>
      <c r="BH283" s="4">
        <f ca="1">IFERROR(__xludf.DUMMYFUNCTION("""COMPUTED_VALUE"""),5)</f>
        <v>5</v>
      </c>
      <c r="BI283" s="4">
        <f ca="1">IFERROR(__xludf.DUMMYFUNCTION("""COMPUTED_VALUE"""),5)</f>
        <v>5</v>
      </c>
      <c r="BJ283" s="4">
        <f ca="1">IFERROR(__xludf.DUMMYFUNCTION("""COMPUTED_VALUE"""),5)</f>
        <v>5</v>
      </c>
      <c r="BK283" s="4">
        <f ca="1">IFERROR(__xludf.DUMMYFUNCTION("""COMPUTED_VALUE"""),5)</f>
        <v>5</v>
      </c>
      <c r="BL283" s="4">
        <f ca="1">IFERROR(__xludf.DUMMYFUNCTION("""COMPUTED_VALUE"""),5)</f>
        <v>5</v>
      </c>
      <c r="BM283" s="4">
        <f ca="1">IFERROR(__xludf.DUMMYFUNCTION("""COMPUTED_VALUE"""),5)</f>
        <v>5</v>
      </c>
      <c r="BN283" s="4">
        <f ca="1">IFERROR(__xludf.DUMMYFUNCTION("""COMPUTED_VALUE"""),5)</f>
        <v>5</v>
      </c>
      <c r="BO283" s="4">
        <f ca="1">IFERROR(__xludf.DUMMYFUNCTION("""COMPUTED_VALUE"""),5)</f>
        <v>5</v>
      </c>
      <c r="BP283" s="4">
        <f ca="1">IFERROR(__xludf.DUMMYFUNCTION("""COMPUTED_VALUE"""),5)</f>
        <v>5</v>
      </c>
    </row>
    <row r="284" spans="1:68" ht="13.2" x14ac:dyDescent="0.25">
      <c r="A284" s="4" t="str">
        <f ca="1">IFERROR(__xludf.DUMMYFUNCTION("""COMPUTED_VALUE"""),"2_ABaOnuc6jm_xjaEqBpl6WqyUZSOZ3xaeatzewu1k3JgNf48WfJpFenR4OxnipNsR_w")</f>
        <v>2_ABaOnuc6jm_xjaEqBpl6WqyUZSOZ3xaeatzewu1k3JgNf48WfJpFenR4OxnipNsR_w</v>
      </c>
      <c r="B284" s="5">
        <f ca="1">IFERROR(__xludf.DUMMYFUNCTION("""COMPUTED_VALUE"""),45983.4927217361)</f>
        <v>45983.492721736096</v>
      </c>
      <c r="C284" s="4"/>
      <c r="D284" s="4" t="str">
        <f ca="1">IFERROR(__xludf.DUMMYFUNCTION("""COMPUTED_VALUE"""),"Nữ")</f>
        <v>Nữ</v>
      </c>
      <c r="E284" s="4" t="str">
        <f ca="1">IFERROR(__xludf.DUMMYFUNCTION("""COMPUTED_VALUE"""),"Công ty TNHH Kiểm toán AVN Việt Nam")</f>
        <v>Công ty TNHH Kiểm toán AVN Việt Nam</v>
      </c>
      <c r="F284" s="4" t="str">
        <f ca="1">IFERROR(__xludf.DUMMYFUNCTION("""COMPUTED_VALUE"""),"Đại học, Chứng chỉ Kiểm toán viên")</f>
        <v>Đại học, Chứng chỉ Kiểm toán viên</v>
      </c>
      <c r="G284" s="4" t="str">
        <f ca="1">IFERROR(__xludf.DUMMYFUNCTION("""COMPUTED_VALUE"""),"Trên 15 đến 20 năm")</f>
        <v>Trên 15 đến 20 năm</v>
      </c>
      <c r="H284" s="4" t="str">
        <f ca="1">IFERROR(__xludf.DUMMYFUNCTION("""COMPUTED_VALUE"""),"Ban giám đốc")</f>
        <v>Ban giám đốc</v>
      </c>
      <c r="I284" s="4">
        <f ca="1">IFERROR(__xludf.DUMMYFUNCTION("""COMPUTED_VALUE"""),5)</f>
        <v>5</v>
      </c>
      <c r="J284" s="4">
        <f ca="1">IFERROR(__xludf.DUMMYFUNCTION("""COMPUTED_VALUE"""),5)</f>
        <v>5</v>
      </c>
      <c r="K284" s="4">
        <f ca="1">IFERROR(__xludf.DUMMYFUNCTION("""COMPUTED_VALUE"""),5)</f>
        <v>5</v>
      </c>
      <c r="L284" s="4">
        <f ca="1">IFERROR(__xludf.DUMMYFUNCTION("""COMPUTED_VALUE"""),5)</f>
        <v>5</v>
      </c>
      <c r="M284" s="4">
        <f ca="1">IFERROR(__xludf.DUMMYFUNCTION("""COMPUTED_VALUE"""),5)</f>
        <v>5</v>
      </c>
      <c r="N284" s="4">
        <f ca="1">IFERROR(__xludf.DUMMYFUNCTION("""COMPUTED_VALUE"""),4)</f>
        <v>4</v>
      </c>
      <c r="O284" s="4">
        <f ca="1">IFERROR(__xludf.DUMMYFUNCTION("""COMPUTED_VALUE"""),5)</f>
        <v>5</v>
      </c>
      <c r="P284" s="4">
        <f ca="1">IFERROR(__xludf.DUMMYFUNCTION("""COMPUTED_VALUE"""),5)</f>
        <v>5</v>
      </c>
      <c r="Q284" s="4">
        <f ca="1">IFERROR(__xludf.DUMMYFUNCTION("""COMPUTED_VALUE"""),5)</f>
        <v>5</v>
      </c>
      <c r="R284" s="4">
        <f ca="1">IFERROR(__xludf.DUMMYFUNCTION("""COMPUTED_VALUE"""),5)</f>
        <v>5</v>
      </c>
      <c r="S284" s="4">
        <f ca="1">IFERROR(__xludf.DUMMYFUNCTION("""COMPUTED_VALUE"""),5)</f>
        <v>5</v>
      </c>
      <c r="T284" s="4">
        <f ca="1">IFERROR(__xludf.DUMMYFUNCTION("""COMPUTED_VALUE"""),5)</f>
        <v>5</v>
      </c>
      <c r="U284" s="4">
        <f ca="1">IFERROR(__xludf.DUMMYFUNCTION("""COMPUTED_VALUE"""),5)</f>
        <v>5</v>
      </c>
      <c r="V284" s="4">
        <f ca="1">IFERROR(__xludf.DUMMYFUNCTION("""COMPUTED_VALUE"""),5)</f>
        <v>5</v>
      </c>
      <c r="W284" s="4">
        <f ca="1">IFERROR(__xludf.DUMMYFUNCTION("""COMPUTED_VALUE"""),5)</f>
        <v>5</v>
      </c>
      <c r="X284" s="4">
        <f ca="1">IFERROR(__xludf.DUMMYFUNCTION("""COMPUTED_VALUE"""),5)</f>
        <v>5</v>
      </c>
      <c r="Y284" s="4">
        <f ca="1">IFERROR(__xludf.DUMMYFUNCTION("""COMPUTED_VALUE"""),5)</f>
        <v>5</v>
      </c>
      <c r="Z284" s="4">
        <f ca="1">IFERROR(__xludf.DUMMYFUNCTION("""COMPUTED_VALUE"""),5)</f>
        <v>5</v>
      </c>
      <c r="AA284" s="4">
        <f ca="1">IFERROR(__xludf.DUMMYFUNCTION("""COMPUTED_VALUE"""),5)</f>
        <v>5</v>
      </c>
      <c r="AB284" s="4">
        <f ca="1">IFERROR(__xludf.DUMMYFUNCTION("""COMPUTED_VALUE"""),5)</f>
        <v>5</v>
      </c>
      <c r="AC284" s="4">
        <f ca="1">IFERROR(__xludf.DUMMYFUNCTION("""COMPUTED_VALUE"""),4)</f>
        <v>4</v>
      </c>
      <c r="AD284" s="4">
        <f ca="1">IFERROR(__xludf.DUMMYFUNCTION("""COMPUTED_VALUE"""),5)</f>
        <v>5</v>
      </c>
      <c r="AE284" s="4">
        <f ca="1">IFERROR(__xludf.DUMMYFUNCTION("""COMPUTED_VALUE"""),5)</f>
        <v>5</v>
      </c>
      <c r="AF284" s="4">
        <f ca="1">IFERROR(__xludf.DUMMYFUNCTION("""COMPUTED_VALUE"""),5)</f>
        <v>5</v>
      </c>
      <c r="AG284" s="4">
        <f ca="1">IFERROR(__xludf.DUMMYFUNCTION("""COMPUTED_VALUE"""),5)</f>
        <v>5</v>
      </c>
      <c r="AH284" s="4">
        <f ca="1">IFERROR(__xludf.DUMMYFUNCTION("""COMPUTED_VALUE"""),5)</f>
        <v>5</v>
      </c>
      <c r="AI284" s="4">
        <f ca="1">IFERROR(__xludf.DUMMYFUNCTION("""COMPUTED_VALUE"""),5)</f>
        <v>5</v>
      </c>
      <c r="AJ284" s="4">
        <f ca="1">IFERROR(__xludf.DUMMYFUNCTION("""COMPUTED_VALUE"""),5)</f>
        <v>5</v>
      </c>
      <c r="AK284" s="4">
        <f ca="1">IFERROR(__xludf.DUMMYFUNCTION("""COMPUTED_VALUE"""),5)</f>
        <v>5</v>
      </c>
      <c r="AL284" s="4">
        <f ca="1">IFERROR(__xludf.DUMMYFUNCTION("""COMPUTED_VALUE"""),5)</f>
        <v>5</v>
      </c>
      <c r="AM284" s="4">
        <f ca="1">IFERROR(__xludf.DUMMYFUNCTION("""COMPUTED_VALUE"""),5)</f>
        <v>5</v>
      </c>
      <c r="AN284" s="4">
        <f ca="1">IFERROR(__xludf.DUMMYFUNCTION("""COMPUTED_VALUE"""),5)</f>
        <v>5</v>
      </c>
      <c r="AO284" s="4">
        <f ca="1">IFERROR(__xludf.DUMMYFUNCTION("""COMPUTED_VALUE"""),4)</f>
        <v>4</v>
      </c>
      <c r="AP284" s="4">
        <f ca="1">IFERROR(__xludf.DUMMYFUNCTION("""COMPUTED_VALUE"""),5)</f>
        <v>5</v>
      </c>
      <c r="AQ284" s="4">
        <f ca="1">IFERROR(__xludf.DUMMYFUNCTION("""COMPUTED_VALUE"""),5)</f>
        <v>5</v>
      </c>
      <c r="AR284" s="4">
        <f ca="1">IFERROR(__xludf.DUMMYFUNCTION("""COMPUTED_VALUE"""),5)</f>
        <v>5</v>
      </c>
      <c r="AS284" s="4">
        <f ca="1">IFERROR(__xludf.DUMMYFUNCTION("""COMPUTED_VALUE"""),5)</f>
        <v>5</v>
      </c>
      <c r="AT284" s="4">
        <f ca="1">IFERROR(__xludf.DUMMYFUNCTION("""COMPUTED_VALUE"""),4)</f>
        <v>4</v>
      </c>
      <c r="AU284" s="4">
        <f ca="1">IFERROR(__xludf.DUMMYFUNCTION("""COMPUTED_VALUE"""),5)</f>
        <v>5</v>
      </c>
      <c r="AV284" s="4">
        <f ca="1">IFERROR(__xludf.DUMMYFUNCTION("""COMPUTED_VALUE"""),5)</f>
        <v>5</v>
      </c>
      <c r="AW284" s="4">
        <f ca="1">IFERROR(__xludf.DUMMYFUNCTION("""COMPUTED_VALUE"""),5)</f>
        <v>5</v>
      </c>
      <c r="AX284" s="4">
        <f ca="1">IFERROR(__xludf.DUMMYFUNCTION("""COMPUTED_VALUE"""),5)</f>
        <v>5</v>
      </c>
      <c r="AY284" s="4">
        <f ca="1">IFERROR(__xludf.DUMMYFUNCTION("""COMPUTED_VALUE"""),5)</f>
        <v>5</v>
      </c>
      <c r="AZ284" s="4">
        <f ca="1">IFERROR(__xludf.DUMMYFUNCTION("""COMPUTED_VALUE"""),5)</f>
        <v>5</v>
      </c>
      <c r="BA284" s="4">
        <f ca="1">IFERROR(__xludf.DUMMYFUNCTION("""COMPUTED_VALUE"""),5)</f>
        <v>5</v>
      </c>
      <c r="BB284" s="4">
        <f ca="1">IFERROR(__xludf.DUMMYFUNCTION("""COMPUTED_VALUE"""),5)</f>
        <v>5</v>
      </c>
      <c r="BC284" s="4">
        <f ca="1">IFERROR(__xludf.DUMMYFUNCTION("""COMPUTED_VALUE"""),1)</f>
        <v>1</v>
      </c>
      <c r="BD284" s="4">
        <f ca="1">IFERROR(__xludf.DUMMYFUNCTION("""COMPUTED_VALUE"""),4)</f>
        <v>4</v>
      </c>
      <c r="BE284" s="4">
        <f ca="1">IFERROR(__xludf.DUMMYFUNCTION("""COMPUTED_VALUE"""),5)</f>
        <v>5</v>
      </c>
      <c r="BF284" s="4">
        <f ca="1">IFERROR(__xludf.DUMMYFUNCTION("""COMPUTED_VALUE"""),5)</f>
        <v>5</v>
      </c>
      <c r="BG284" s="4">
        <f ca="1">IFERROR(__xludf.DUMMYFUNCTION("""COMPUTED_VALUE"""),5)</f>
        <v>5</v>
      </c>
      <c r="BH284" s="4">
        <f ca="1">IFERROR(__xludf.DUMMYFUNCTION("""COMPUTED_VALUE"""),5)</f>
        <v>5</v>
      </c>
      <c r="BI284" s="4">
        <f ca="1">IFERROR(__xludf.DUMMYFUNCTION("""COMPUTED_VALUE"""),5)</f>
        <v>5</v>
      </c>
      <c r="BJ284" s="4">
        <f ca="1">IFERROR(__xludf.DUMMYFUNCTION("""COMPUTED_VALUE"""),5)</f>
        <v>5</v>
      </c>
      <c r="BK284" s="4">
        <f ca="1">IFERROR(__xludf.DUMMYFUNCTION("""COMPUTED_VALUE"""),5)</f>
        <v>5</v>
      </c>
      <c r="BL284" s="4">
        <f ca="1">IFERROR(__xludf.DUMMYFUNCTION("""COMPUTED_VALUE"""),5)</f>
        <v>5</v>
      </c>
      <c r="BM284" s="4">
        <f ca="1">IFERROR(__xludf.DUMMYFUNCTION("""COMPUTED_VALUE"""),5)</f>
        <v>5</v>
      </c>
      <c r="BN284" s="4">
        <f ca="1">IFERROR(__xludf.DUMMYFUNCTION("""COMPUTED_VALUE"""),5)</f>
        <v>5</v>
      </c>
      <c r="BO284" s="4">
        <f ca="1">IFERROR(__xludf.DUMMYFUNCTION("""COMPUTED_VALUE"""),5)</f>
        <v>5</v>
      </c>
      <c r="BP284" s="4">
        <f ca="1">IFERROR(__xludf.DUMMYFUNCTION("""COMPUTED_VALUE"""),5)</f>
        <v>5</v>
      </c>
    </row>
    <row r="285" spans="1:68" ht="13.2" x14ac:dyDescent="0.25">
      <c r="A285" s="4" t="str">
        <f ca="1">IFERROR(__xludf.DUMMYFUNCTION("""COMPUTED_VALUE"""),"2_ABaOnucvyKlY3k4ihxwVirzjRJ7H7eoFQT-dx_2ZFqtU7hv62HolSdF5TcIECBzVGQ")</f>
        <v>2_ABaOnucvyKlY3k4ihxwVirzjRJ7H7eoFQT-dx_2ZFqtU7hv62HolSdF5TcIECBzVGQ</v>
      </c>
      <c r="B285" s="5">
        <f ca="1">IFERROR(__xludf.DUMMYFUNCTION("""COMPUTED_VALUE"""),45983.5370129745)</f>
        <v>45983.537012974499</v>
      </c>
      <c r="C285" s="4" t="str">
        <f ca="1">IFERROR(__xludf.DUMMYFUNCTION("""COMPUTED_VALUE"""),"Phan Anh Duy")</f>
        <v>Phan Anh Duy</v>
      </c>
      <c r="D285" s="4" t="str">
        <f ca="1">IFERROR(__xludf.DUMMYFUNCTION("""COMPUTED_VALUE"""),"Nam")</f>
        <v>Nam</v>
      </c>
      <c r="E285" s="4" t="str">
        <f ca="1">IFERROR(__xludf.DUMMYFUNCTION("""COMPUTED_VALUE"""),"Công ty TnHH Kiểm toán AFC Việt Nam-CN Cần Thơ")</f>
        <v>Công ty TnHH Kiểm toán AFC Việt Nam-CN Cần Thơ</v>
      </c>
      <c r="F285" s="4" t="str">
        <f ca="1">IFERROR(__xludf.DUMMYFUNCTION("""COMPUTED_VALUE"""),"Sau đại học")</f>
        <v>Sau đại học</v>
      </c>
      <c r="G285" s="4" t="str">
        <f ca="1">IFERROR(__xludf.DUMMYFUNCTION("""COMPUTED_VALUE"""),"Từ 3 đến 5 năm")</f>
        <v>Từ 3 đến 5 năm</v>
      </c>
      <c r="H285" s="4" t="str">
        <f ca="1">IFERROR(__xludf.DUMMYFUNCTION("""COMPUTED_VALUE"""),"Trợ lý kiểm toán")</f>
        <v>Trợ lý kiểm toán</v>
      </c>
      <c r="I285" s="4">
        <f ca="1">IFERROR(__xludf.DUMMYFUNCTION("""COMPUTED_VALUE"""),5)</f>
        <v>5</v>
      </c>
      <c r="J285" s="4">
        <f ca="1">IFERROR(__xludf.DUMMYFUNCTION("""COMPUTED_VALUE"""),5)</f>
        <v>5</v>
      </c>
      <c r="K285" s="4">
        <f ca="1">IFERROR(__xludf.DUMMYFUNCTION("""COMPUTED_VALUE"""),5)</f>
        <v>5</v>
      </c>
      <c r="L285" s="4">
        <f ca="1">IFERROR(__xludf.DUMMYFUNCTION("""COMPUTED_VALUE"""),4)</f>
        <v>4</v>
      </c>
      <c r="M285" s="4">
        <f ca="1">IFERROR(__xludf.DUMMYFUNCTION("""COMPUTED_VALUE"""),5)</f>
        <v>5</v>
      </c>
      <c r="N285" s="4">
        <f ca="1">IFERROR(__xludf.DUMMYFUNCTION("""COMPUTED_VALUE"""),5)</f>
        <v>5</v>
      </c>
      <c r="O285" s="4">
        <f ca="1">IFERROR(__xludf.DUMMYFUNCTION("""COMPUTED_VALUE"""),5)</f>
        <v>5</v>
      </c>
      <c r="P285" s="4">
        <f ca="1">IFERROR(__xludf.DUMMYFUNCTION("""COMPUTED_VALUE"""),5)</f>
        <v>5</v>
      </c>
      <c r="Q285" s="4">
        <f ca="1">IFERROR(__xludf.DUMMYFUNCTION("""COMPUTED_VALUE"""),5)</f>
        <v>5</v>
      </c>
      <c r="R285" s="4">
        <f ca="1">IFERROR(__xludf.DUMMYFUNCTION("""COMPUTED_VALUE"""),4)</f>
        <v>4</v>
      </c>
      <c r="S285" s="4">
        <f ca="1">IFERROR(__xludf.DUMMYFUNCTION("""COMPUTED_VALUE"""),4)</f>
        <v>4</v>
      </c>
      <c r="T285" s="4">
        <f ca="1">IFERROR(__xludf.DUMMYFUNCTION("""COMPUTED_VALUE"""),4)</f>
        <v>4</v>
      </c>
      <c r="U285" s="4">
        <f ca="1">IFERROR(__xludf.DUMMYFUNCTION("""COMPUTED_VALUE"""),5)</f>
        <v>5</v>
      </c>
      <c r="V285" s="4">
        <f ca="1">IFERROR(__xludf.DUMMYFUNCTION("""COMPUTED_VALUE"""),5)</f>
        <v>5</v>
      </c>
      <c r="W285" s="4">
        <f ca="1">IFERROR(__xludf.DUMMYFUNCTION("""COMPUTED_VALUE"""),5)</f>
        <v>5</v>
      </c>
      <c r="X285" s="4">
        <f ca="1">IFERROR(__xludf.DUMMYFUNCTION("""COMPUTED_VALUE"""),5)</f>
        <v>5</v>
      </c>
      <c r="Y285" s="4">
        <f ca="1">IFERROR(__xludf.DUMMYFUNCTION("""COMPUTED_VALUE"""),5)</f>
        <v>5</v>
      </c>
      <c r="Z285" s="4">
        <f ca="1">IFERROR(__xludf.DUMMYFUNCTION("""COMPUTED_VALUE"""),4)</f>
        <v>4</v>
      </c>
      <c r="AA285" s="4">
        <f ca="1">IFERROR(__xludf.DUMMYFUNCTION("""COMPUTED_VALUE"""),5)</f>
        <v>5</v>
      </c>
      <c r="AB285" s="4">
        <f ca="1">IFERROR(__xludf.DUMMYFUNCTION("""COMPUTED_VALUE"""),4)</f>
        <v>4</v>
      </c>
      <c r="AC285" s="4">
        <f ca="1">IFERROR(__xludf.DUMMYFUNCTION("""COMPUTED_VALUE"""),5)</f>
        <v>5</v>
      </c>
      <c r="AD285" s="4">
        <f ca="1">IFERROR(__xludf.DUMMYFUNCTION("""COMPUTED_VALUE"""),5)</f>
        <v>5</v>
      </c>
      <c r="AE285" s="4">
        <f ca="1">IFERROR(__xludf.DUMMYFUNCTION("""COMPUTED_VALUE"""),4)</f>
        <v>4</v>
      </c>
      <c r="AF285" s="4">
        <f ca="1">IFERROR(__xludf.DUMMYFUNCTION("""COMPUTED_VALUE"""),4)</f>
        <v>4</v>
      </c>
      <c r="AG285" s="4">
        <f ca="1">IFERROR(__xludf.DUMMYFUNCTION("""COMPUTED_VALUE"""),5)</f>
        <v>5</v>
      </c>
      <c r="AH285" s="4">
        <f ca="1">IFERROR(__xludf.DUMMYFUNCTION("""COMPUTED_VALUE"""),4)</f>
        <v>4</v>
      </c>
      <c r="AI285" s="4">
        <f ca="1">IFERROR(__xludf.DUMMYFUNCTION("""COMPUTED_VALUE"""),5)</f>
        <v>5</v>
      </c>
      <c r="AJ285" s="4">
        <f ca="1">IFERROR(__xludf.DUMMYFUNCTION("""COMPUTED_VALUE"""),5)</f>
        <v>5</v>
      </c>
      <c r="AK285" s="4">
        <f ca="1">IFERROR(__xludf.DUMMYFUNCTION("""COMPUTED_VALUE"""),5)</f>
        <v>5</v>
      </c>
      <c r="AL285" s="4">
        <f ca="1">IFERROR(__xludf.DUMMYFUNCTION("""COMPUTED_VALUE"""),5)</f>
        <v>5</v>
      </c>
      <c r="AM285" s="4">
        <f ca="1">IFERROR(__xludf.DUMMYFUNCTION("""COMPUTED_VALUE"""),5)</f>
        <v>5</v>
      </c>
      <c r="AN285" s="4">
        <f ca="1">IFERROR(__xludf.DUMMYFUNCTION("""COMPUTED_VALUE"""),5)</f>
        <v>5</v>
      </c>
      <c r="AO285" s="4">
        <f ca="1">IFERROR(__xludf.DUMMYFUNCTION("""COMPUTED_VALUE"""),5)</f>
        <v>5</v>
      </c>
      <c r="AP285" s="4">
        <f ca="1">IFERROR(__xludf.DUMMYFUNCTION("""COMPUTED_VALUE"""),5)</f>
        <v>5</v>
      </c>
      <c r="AQ285" s="4">
        <f ca="1">IFERROR(__xludf.DUMMYFUNCTION("""COMPUTED_VALUE"""),5)</f>
        <v>5</v>
      </c>
      <c r="AR285" s="4">
        <f ca="1">IFERROR(__xludf.DUMMYFUNCTION("""COMPUTED_VALUE"""),5)</f>
        <v>5</v>
      </c>
      <c r="AS285" s="4">
        <f ca="1">IFERROR(__xludf.DUMMYFUNCTION("""COMPUTED_VALUE"""),5)</f>
        <v>5</v>
      </c>
      <c r="AT285" s="4">
        <f ca="1">IFERROR(__xludf.DUMMYFUNCTION("""COMPUTED_VALUE"""),4)</f>
        <v>4</v>
      </c>
      <c r="AU285" s="4">
        <f ca="1">IFERROR(__xludf.DUMMYFUNCTION("""COMPUTED_VALUE"""),5)</f>
        <v>5</v>
      </c>
      <c r="AV285" s="4">
        <f ca="1">IFERROR(__xludf.DUMMYFUNCTION("""COMPUTED_VALUE"""),5)</f>
        <v>5</v>
      </c>
      <c r="AW285" s="4">
        <f ca="1">IFERROR(__xludf.DUMMYFUNCTION("""COMPUTED_VALUE"""),5)</f>
        <v>5</v>
      </c>
      <c r="AX285" s="4">
        <f ca="1">IFERROR(__xludf.DUMMYFUNCTION("""COMPUTED_VALUE"""),5)</f>
        <v>5</v>
      </c>
      <c r="AY285" s="4">
        <f ca="1">IFERROR(__xludf.DUMMYFUNCTION("""COMPUTED_VALUE"""),5)</f>
        <v>5</v>
      </c>
      <c r="AZ285" s="4">
        <f ca="1">IFERROR(__xludf.DUMMYFUNCTION("""COMPUTED_VALUE"""),5)</f>
        <v>5</v>
      </c>
      <c r="BA285" s="4">
        <f ca="1">IFERROR(__xludf.DUMMYFUNCTION("""COMPUTED_VALUE"""),5)</f>
        <v>5</v>
      </c>
      <c r="BB285" s="4">
        <f ca="1">IFERROR(__xludf.DUMMYFUNCTION("""COMPUTED_VALUE"""),4)</f>
        <v>4</v>
      </c>
      <c r="BC285" s="4">
        <f ca="1">IFERROR(__xludf.DUMMYFUNCTION("""COMPUTED_VALUE"""),4)</f>
        <v>4</v>
      </c>
      <c r="BD285" s="4">
        <f ca="1">IFERROR(__xludf.DUMMYFUNCTION("""COMPUTED_VALUE"""),4)</f>
        <v>4</v>
      </c>
      <c r="BE285" s="4">
        <f ca="1">IFERROR(__xludf.DUMMYFUNCTION("""COMPUTED_VALUE"""),5)</f>
        <v>5</v>
      </c>
      <c r="BF285" s="4">
        <f ca="1">IFERROR(__xludf.DUMMYFUNCTION("""COMPUTED_VALUE"""),4)</f>
        <v>4</v>
      </c>
      <c r="BG285" s="4">
        <f ca="1">IFERROR(__xludf.DUMMYFUNCTION("""COMPUTED_VALUE"""),4)</f>
        <v>4</v>
      </c>
      <c r="BH285" s="4">
        <f ca="1">IFERROR(__xludf.DUMMYFUNCTION("""COMPUTED_VALUE"""),4)</f>
        <v>4</v>
      </c>
      <c r="BI285" s="4">
        <f ca="1">IFERROR(__xludf.DUMMYFUNCTION("""COMPUTED_VALUE"""),4)</f>
        <v>4</v>
      </c>
      <c r="BJ285" s="4">
        <f ca="1">IFERROR(__xludf.DUMMYFUNCTION("""COMPUTED_VALUE"""),4)</f>
        <v>4</v>
      </c>
      <c r="BK285" s="4">
        <f ca="1">IFERROR(__xludf.DUMMYFUNCTION("""COMPUTED_VALUE"""),4)</f>
        <v>4</v>
      </c>
      <c r="BL285" s="4">
        <f ca="1">IFERROR(__xludf.DUMMYFUNCTION("""COMPUTED_VALUE"""),5)</f>
        <v>5</v>
      </c>
      <c r="BM285" s="4">
        <f ca="1">IFERROR(__xludf.DUMMYFUNCTION("""COMPUTED_VALUE"""),5)</f>
        <v>5</v>
      </c>
      <c r="BN285" s="4">
        <f ca="1">IFERROR(__xludf.DUMMYFUNCTION("""COMPUTED_VALUE"""),4)</f>
        <v>4</v>
      </c>
      <c r="BO285" s="4">
        <f ca="1">IFERROR(__xludf.DUMMYFUNCTION("""COMPUTED_VALUE"""),5)</f>
        <v>5</v>
      </c>
      <c r="BP285" s="4">
        <f ca="1">IFERROR(__xludf.DUMMYFUNCTION("""COMPUTED_VALUE"""),4)</f>
        <v>4</v>
      </c>
    </row>
    <row r="286" spans="1:68" ht="13.2" x14ac:dyDescent="0.25">
      <c r="A286" s="4" t="str">
        <f ca="1">IFERROR(__xludf.DUMMYFUNCTION("""COMPUTED_VALUE"""),"2_ABaOnufTKf7GMtPJz-OrAgUepRmoAB-I2MVZNtEb5wWLpjk1t9blBiMLVQ7Loo2Uuw")</f>
        <v>2_ABaOnufTKf7GMtPJz-OrAgUepRmoAB-I2MVZNtEb5wWLpjk1t9blBiMLVQ7Loo2Uuw</v>
      </c>
      <c r="B286" s="5">
        <f ca="1">IFERROR(__xludf.DUMMYFUNCTION("""COMPUTED_VALUE"""),45983.7348469212)</f>
        <v>45983.734846921201</v>
      </c>
      <c r="C286" s="4" t="str">
        <f ca="1">IFERROR(__xludf.DUMMYFUNCTION("""COMPUTED_VALUE"""),"Phạm Kim Ngân")</f>
        <v>Phạm Kim Ngân</v>
      </c>
      <c r="D286" s="4" t="str">
        <f ca="1">IFERROR(__xludf.DUMMYFUNCTION("""COMPUTED_VALUE"""),"Nữ")</f>
        <v>Nữ</v>
      </c>
      <c r="E286" s="4" t="str">
        <f ca="1">IFERROR(__xludf.DUMMYFUNCTION("""COMPUTED_VALUE"""),"Công ty TNHH Kiểm toán AFC Việt Nam")</f>
        <v>Công ty TNHH Kiểm toán AFC Việt Nam</v>
      </c>
      <c r="F286" s="4" t="str">
        <f ca="1">IFERROR(__xludf.DUMMYFUNCTION("""COMPUTED_VALUE"""),"Đại học")</f>
        <v>Đại học</v>
      </c>
      <c r="G286" s="4" t="str">
        <f ca="1">IFERROR(__xludf.DUMMYFUNCTION("""COMPUTED_VALUE"""),"Từ 3 đến 5 năm")</f>
        <v>Từ 3 đến 5 năm</v>
      </c>
      <c r="H286" s="4" t="str">
        <f ca="1">IFERROR(__xludf.DUMMYFUNCTION("""COMPUTED_VALUE"""),"Trợ lý kiểm toán")</f>
        <v>Trợ lý kiểm toán</v>
      </c>
      <c r="I286" s="4">
        <f ca="1">IFERROR(__xludf.DUMMYFUNCTION("""COMPUTED_VALUE"""),5)</f>
        <v>5</v>
      </c>
      <c r="J286" s="4">
        <f ca="1">IFERROR(__xludf.DUMMYFUNCTION("""COMPUTED_VALUE"""),5)</f>
        <v>5</v>
      </c>
      <c r="K286" s="4">
        <f ca="1">IFERROR(__xludf.DUMMYFUNCTION("""COMPUTED_VALUE"""),5)</f>
        <v>5</v>
      </c>
      <c r="L286" s="4">
        <f ca="1">IFERROR(__xludf.DUMMYFUNCTION("""COMPUTED_VALUE"""),5)</f>
        <v>5</v>
      </c>
      <c r="M286" s="4">
        <f ca="1">IFERROR(__xludf.DUMMYFUNCTION("""COMPUTED_VALUE"""),5)</f>
        <v>5</v>
      </c>
      <c r="N286" s="4">
        <f ca="1">IFERROR(__xludf.DUMMYFUNCTION("""COMPUTED_VALUE"""),5)</f>
        <v>5</v>
      </c>
      <c r="O286" s="4">
        <f ca="1">IFERROR(__xludf.DUMMYFUNCTION("""COMPUTED_VALUE"""),5)</f>
        <v>5</v>
      </c>
      <c r="P286" s="4">
        <f ca="1">IFERROR(__xludf.DUMMYFUNCTION("""COMPUTED_VALUE"""),5)</f>
        <v>5</v>
      </c>
      <c r="Q286" s="4">
        <f ca="1">IFERROR(__xludf.DUMMYFUNCTION("""COMPUTED_VALUE"""),5)</f>
        <v>5</v>
      </c>
      <c r="R286" s="4">
        <f ca="1">IFERROR(__xludf.DUMMYFUNCTION("""COMPUTED_VALUE"""),5)</f>
        <v>5</v>
      </c>
      <c r="S286" s="4">
        <f ca="1">IFERROR(__xludf.DUMMYFUNCTION("""COMPUTED_VALUE"""),5)</f>
        <v>5</v>
      </c>
      <c r="T286" s="4">
        <f ca="1">IFERROR(__xludf.DUMMYFUNCTION("""COMPUTED_VALUE"""),5)</f>
        <v>5</v>
      </c>
      <c r="U286" s="4">
        <f ca="1">IFERROR(__xludf.DUMMYFUNCTION("""COMPUTED_VALUE"""),5)</f>
        <v>5</v>
      </c>
      <c r="V286" s="4">
        <f ca="1">IFERROR(__xludf.DUMMYFUNCTION("""COMPUTED_VALUE"""),5)</f>
        <v>5</v>
      </c>
      <c r="W286" s="4">
        <f ca="1">IFERROR(__xludf.DUMMYFUNCTION("""COMPUTED_VALUE"""),4)</f>
        <v>4</v>
      </c>
      <c r="X286" s="4">
        <f ca="1">IFERROR(__xludf.DUMMYFUNCTION("""COMPUTED_VALUE"""),4)</f>
        <v>4</v>
      </c>
      <c r="Y286" s="4">
        <f ca="1">IFERROR(__xludf.DUMMYFUNCTION("""COMPUTED_VALUE"""),4)</f>
        <v>4</v>
      </c>
      <c r="Z286" s="4">
        <f ca="1">IFERROR(__xludf.DUMMYFUNCTION("""COMPUTED_VALUE"""),4)</f>
        <v>4</v>
      </c>
      <c r="AA286" s="4">
        <f ca="1">IFERROR(__xludf.DUMMYFUNCTION("""COMPUTED_VALUE"""),4)</f>
        <v>4</v>
      </c>
      <c r="AB286" s="4">
        <f ca="1">IFERROR(__xludf.DUMMYFUNCTION("""COMPUTED_VALUE"""),5)</f>
        <v>5</v>
      </c>
      <c r="AC286" s="4">
        <f ca="1">IFERROR(__xludf.DUMMYFUNCTION("""COMPUTED_VALUE"""),3)</f>
        <v>3</v>
      </c>
      <c r="AD286" s="4">
        <f ca="1">IFERROR(__xludf.DUMMYFUNCTION("""COMPUTED_VALUE"""),4)</f>
        <v>4</v>
      </c>
      <c r="AE286" s="4">
        <f ca="1">IFERROR(__xludf.DUMMYFUNCTION("""COMPUTED_VALUE"""),5)</f>
        <v>5</v>
      </c>
      <c r="AF286" s="4">
        <f ca="1">IFERROR(__xludf.DUMMYFUNCTION("""COMPUTED_VALUE"""),5)</f>
        <v>5</v>
      </c>
      <c r="AG286" s="4">
        <f ca="1">IFERROR(__xludf.DUMMYFUNCTION("""COMPUTED_VALUE"""),5)</f>
        <v>5</v>
      </c>
      <c r="AH286" s="4">
        <f ca="1">IFERROR(__xludf.DUMMYFUNCTION("""COMPUTED_VALUE"""),5)</f>
        <v>5</v>
      </c>
      <c r="AI286" s="4">
        <f ca="1">IFERROR(__xludf.DUMMYFUNCTION("""COMPUTED_VALUE"""),5)</f>
        <v>5</v>
      </c>
      <c r="AJ286" s="4">
        <f ca="1">IFERROR(__xludf.DUMMYFUNCTION("""COMPUTED_VALUE"""),4)</f>
        <v>4</v>
      </c>
      <c r="AK286" s="4">
        <f ca="1">IFERROR(__xludf.DUMMYFUNCTION("""COMPUTED_VALUE"""),4)</f>
        <v>4</v>
      </c>
      <c r="AL286" s="4">
        <f ca="1">IFERROR(__xludf.DUMMYFUNCTION("""COMPUTED_VALUE"""),4)</f>
        <v>4</v>
      </c>
      <c r="AM286" s="4">
        <f ca="1">IFERROR(__xludf.DUMMYFUNCTION("""COMPUTED_VALUE"""),4)</f>
        <v>4</v>
      </c>
      <c r="AN286" s="4">
        <f ca="1">IFERROR(__xludf.DUMMYFUNCTION("""COMPUTED_VALUE"""),4)</f>
        <v>4</v>
      </c>
      <c r="AO286" s="4">
        <f ca="1">IFERROR(__xludf.DUMMYFUNCTION("""COMPUTED_VALUE"""),3)</f>
        <v>3</v>
      </c>
      <c r="AP286" s="4">
        <f ca="1">IFERROR(__xludf.DUMMYFUNCTION("""COMPUTED_VALUE"""),3)</f>
        <v>3</v>
      </c>
      <c r="AQ286" s="4">
        <f ca="1">IFERROR(__xludf.DUMMYFUNCTION("""COMPUTED_VALUE"""),4)</f>
        <v>4</v>
      </c>
      <c r="AR286" s="4">
        <f ca="1">IFERROR(__xludf.DUMMYFUNCTION("""COMPUTED_VALUE"""),4)</f>
        <v>4</v>
      </c>
      <c r="AS286" s="4">
        <f ca="1">IFERROR(__xludf.DUMMYFUNCTION("""COMPUTED_VALUE"""),4)</f>
        <v>4</v>
      </c>
      <c r="AT286" s="4">
        <f ca="1">IFERROR(__xludf.DUMMYFUNCTION("""COMPUTED_VALUE"""),4)</f>
        <v>4</v>
      </c>
      <c r="AU286" s="4">
        <f ca="1">IFERROR(__xludf.DUMMYFUNCTION("""COMPUTED_VALUE"""),4)</f>
        <v>4</v>
      </c>
      <c r="AV286" s="4">
        <f ca="1">IFERROR(__xludf.DUMMYFUNCTION("""COMPUTED_VALUE"""),4)</f>
        <v>4</v>
      </c>
      <c r="AW286" s="4">
        <f ca="1">IFERROR(__xludf.DUMMYFUNCTION("""COMPUTED_VALUE"""),4)</f>
        <v>4</v>
      </c>
      <c r="AX286" s="4">
        <f ca="1">IFERROR(__xludf.DUMMYFUNCTION("""COMPUTED_VALUE"""),5)</f>
        <v>5</v>
      </c>
      <c r="AY286" s="4">
        <f ca="1">IFERROR(__xludf.DUMMYFUNCTION("""COMPUTED_VALUE"""),5)</f>
        <v>5</v>
      </c>
      <c r="AZ286" s="4">
        <f ca="1">IFERROR(__xludf.DUMMYFUNCTION("""COMPUTED_VALUE"""),5)</f>
        <v>5</v>
      </c>
      <c r="BA286" s="4">
        <f ca="1">IFERROR(__xludf.DUMMYFUNCTION("""COMPUTED_VALUE"""),5)</f>
        <v>5</v>
      </c>
      <c r="BB286" s="4">
        <f ca="1">IFERROR(__xludf.DUMMYFUNCTION("""COMPUTED_VALUE"""),4)</f>
        <v>4</v>
      </c>
      <c r="BC286" s="4">
        <f ca="1">IFERROR(__xludf.DUMMYFUNCTION("""COMPUTED_VALUE"""),4)</f>
        <v>4</v>
      </c>
      <c r="BD286" s="4">
        <f ca="1">IFERROR(__xludf.DUMMYFUNCTION("""COMPUTED_VALUE"""),3)</f>
        <v>3</v>
      </c>
      <c r="BE286" s="4">
        <f ca="1">IFERROR(__xludf.DUMMYFUNCTION("""COMPUTED_VALUE"""),3)</f>
        <v>3</v>
      </c>
      <c r="BF286" s="4">
        <f ca="1">IFERROR(__xludf.DUMMYFUNCTION("""COMPUTED_VALUE"""),3)</f>
        <v>3</v>
      </c>
      <c r="BG286" s="4">
        <f ca="1">IFERROR(__xludf.DUMMYFUNCTION("""COMPUTED_VALUE"""),3)</f>
        <v>3</v>
      </c>
      <c r="BH286" s="4">
        <f ca="1">IFERROR(__xludf.DUMMYFUNCTION("""COMPUTED_VALUE"""),4)</f>
        <v>4</v>
      </c>
      <c r="BI286" s="4">
        <f ca="1">IFERROR(__xludf.DUMMYFUNCTION("""COMPUTED_VALUE"""),5)</f>
        <v>5</v>
      </c>
      <c r="BJ286" s="4">
        <f ca="1">IFERROR(__xludf.DUMMYFUNCTION("""COMPUTED_VALUE"""),5)</f>
        <v>5</v>
      </c>
      <c r="BK286" s="4">
        <f ca="1">IFERROR(__xludf.DUMMYFUNCTION("""COMPUTED_VALUE"""),3)</f>
        <v>3</v>
      </c>
      <c r="BL286" s="4">
        <f ca="1">IFERROR(__xludf.DUMMYFUNCTION("""COMPUTED_VALUE"""),4)</f>
        <v>4</v>
      </c>
      <c r="BM286" s="4">
        <f ca="1">IFERROR(__xludf.DUMMYFUNCTION("""COMPUTED_VALUE"""),3)</f>
        <v>3</v>
      </c>
      <c r="BN286" s="4">
        <f ca="1">IFERROR(__xludf.DUMMYFUNCTION("""COMPUTED_VALUE"""),5)</f>
        <v>5</v>
      </c>
      <c r="BO286" s="4">
        <f ca="1">IFERROR(__xludf.DUMMYFUNCTION("""COMPUTED_VALUE"""),5)</f>
        <v>5</v>
      </c>
      <c r="BP286" s="4">
        <f ca="1">IFERROR(__xludf.DUMMYFUNCTION("""COMPUTED_VALUE"""),5)</f>
        <v>5</v>
      </c>
    </row>
    <row r="287" spans="1:68" ht="13.2" x14ac:dyDescent="0.25">
      <c r="A287" s="4" t="str">
        <f ca="1">IFERROR(__xludf.DUMMYFUNCTION("""COMPUTED_VALUE"""),"2_ABaOnudq0L_Nd91iiAAVXy9aOD8wGuWVrPrOeTLYm-F6fRs9XCdxoD24eCkEqCR6tQ")</f>
        <v>2_ABaOnudq0L_Nd91iiAAVXy9aOD8wGuWVrPrOeTLYm-F6fRs9XCdxoD24eCkEqCR6tQ</v>
      </c>
      <c r="B287" s="5">
        <f ca="1">IFERROR(__xludf.DUMMYFUNCTION("""COMPUTED_VALUE"""),45986.3985699537)</f>
        <v>45986.398569953701</v>
      </c>
      <c r="C287" s="4" t="str">
        <f ca="1">IFERROR(__xludf.DUMMYFUNCTION("""COMPUTED_VALUE"""),"Linh")</f>
        <v>Linh</v>
      </c>
      <c r="D287" s="4" t="str">
        <f ca="1">IFERROR(__xludf.DUMMYFUNCTION("""COMPUTED_VALUE"""),"Nữ")</f>
        <v>Nữ</v>
      </c>
      <c r="E287" s="4" t="str">
        <f ca="1">IFERROR(__xludf.DUMMYFUNCTION("""COMPUTED_VALUE"""),"Công ty TNHH Kiểm toán Quốc Tế - Chi nhánh Sài Gòn")</f>
        <v>Công ty TNHH Kiểm toán Quốc Tế - Chi nhánh Sài Gòn</v>
      </c>
      <c r="F287" s="4" t="str">
        <f ca="1">IFERROR(__xludf.DUMMYFUNCTION("""COMPUTED_VALUE"""),"Đại học")</f>
        <v>Đại học</v>
      </c>
      <c r="G287" s="4" t="str">
        <f ca="1">IFERROR(__xludf.DUMMYFUNCTION("""COMPUTED_VALUE"""),"Trên 15 đến 20 năm")</f>
        <v>Trên 15 đến 20 năm</v>
      </c>
      <c r="H287" s="4" t="str">
        <f ca="1">IFERROR(__xludf.DUMMYFUNCTION("""COMPUTED_VALUE"""),"Trưởng phòng")</f>
        <v>Trưởng phòng</v>
      </c>
      <c r="I287" s="4">
        <f ca="1">IFERROR(__xludf.DUMMYFUNCTION("""COMPUTED_VALUE"""),5)</f>
        <v>5</v>
      </c>
      <c r="J287" s="4">
        <f ca="1">IFERROR(__xludf.DUMMYFUNCTION("""COMPUTED_VALUE"""),4)</f>
        <v>4</v>
      </c>
      <c r="K287" s="4">
        <f ca="1">IFERROR(__xludf.DUMMYFUNCTION("""COMPUTED_VALUE"""),4)</f>
        <v>4</v>
      </c>
      <c r="L287" s="4">
        <f ca="1">IFERROR(__xludf.DUMMYFUNCTION("""COMPUTED_VALUE"""),5)</f>
        <v>5</v>
      </c>
      <c r="M287" s="4">
        <f ca="1">IFERROR(__xludf.DUMMYFUNCTION("""COMPUTED_VALUE"""),5)</f>
        <v>5</v>
      </c>
      <c r="N287" s="4">
        <f ca="1">IFERROR(__xludf.DUMMYFUNCTION("""COMPUTED_VALUE"""),4)</f>
        <v>4</v>
      </c>
      <c r="O287" s="4">
        <f ca="1">IFERROR(__xludf.DUMMYFUNCTION("""COMPUTED_VALUE"""),4)</f>
        <v>4</v>
      </c>
      <c r="P287" s="4">
        <f ca="1">IFERROR(__xludf.DUMMYFUNCTION("""COMPUTED_VALUE"""),4)</f>
        <v>4</v>
      </c>
      <c r="Q287" s="4">
        <f ca="1">IFERROR(__xludf.DUMMYFUNCTION("""COMPUTED_VALUE"""),5)</f>
        <v>5</v>
      </c>
      <c r="R287" s="4">
        <f ca="1">IFERROR(__xludf.DUMMYFUNCTION("""COMPUTED_VALUE"""),5)</f>
        <v>5</v>
      </c>
      <c r="S287" s="4">
        <f ca="1">IFERROR(__xludf.DUMMYFUNCTION("""COMPUTED_VALUE"""),5)</f>
        <v>5</v>
      </c>
      <c r="T287" s="4">
        <f ca="1">IFERROR(__xludf.DUMMYFUNCTION("""COMPUTED_VALUE"""),5)</f>
        <v>5</v>
      </c>
      <c r="U287" s="4">
        <f ca="1">IFERROR(__xludf.DUMMYFUNCTION("""COMPUTED_VALUE"""),5)</f>
        <v>5</v>
      </c>
      <c r="V287" s="4">
        <f ca="1">IFERROR(__xludf.DUMMYFUNCTION("""COMPUTED_VALUE"""),5)</f>
        <v>5</v>
      </c>
      <c r="W287" s="4">
        <f ca="1">IFERROR(__xludf.DUMMYFUNCTION("""COMPUTED_VALUE"""),3)</f>
        <v>3</v>
      </c>
      <c r="X287" s="4">
        <f ca="1">IFERROR(__xludf.DUMMYFUNCTION("""COMPUTED_VALUE"""),3)</f>
        <v>3</v>
      </c>
      <c r="Y287" s="4">
        <f ca="1">IFERROR(__xludf.DUMMYFUNCTION("""COMPUTED_VALUE"""),4)</f>
        <v>4</v>
      </c>
      <c r="Z287" s="4">
        <f ca="1">IFERROR(__xludf.DUMMYFUNCTION("""COMPUTED_VALUE"""),4)</f>
        <v>4</v>
      </c>
      <c r="AA287" s="4">
        <f ca="1">IFERROR(__xludf.DUMMYFUNCTION("""COMPUTED_VALUE"""),3)</f>
        <v>3</v>
      </c>
      <c r="AB287" s="4">
        <f ca="1">IFERROR(__xludf.DUMMYFUNCTION("""COMPUTED_VALUE"""),5)</f>
        <v>5</v>
      </c>
      <c r="AC287" s="4">
        <f ca="1">IFERROR(__xludf.DUMMYFUNCTION("""COMPUTED_VALUE"""),4)</f>
        <v>4</v>
      </c>
      <c r="AD287" s="4">
        <f ca="1">IFERROR(__xludf.DUMMYFUNCTION("""COMPUTED_VALUE"""),4)</f>
        <v>4</v>
      </c>
      <c r="AE287" s="4">
        <f ca="1">IFERROR(__xludf.DUMMYFUNCTION("""COMPUTED_VALUE"""),5)</f>
        <v>5</v>
      </c>
      <c r="AF287" s="4">
        <f ca="1">IFERROR(__xludf.DUMMYFUNCTION("""COMPUTED_VALUE"""),5)</f>
        <v>5</v>
      </c>
      <c r="AG287" s="4">
        <f ca="1">IFERROR(__xludf.DUMMYFUNCTION("""COMPUTED_VALUE"""),5)</f>
        <v>5</v>
      </c>
      <c r="AH287" s="4">
        <f ca="1">IFERROR(__xludf.DUMMYFUNCTION("""COMPUTED_VALUE"""),5)</f>
        <v>5</v>
      </c>
      <c r="AI287" s="4">
        <f ca="1">IFERROR(__xludf.DUMMYFUNCTION("""COMPUTED_VALUE"""),5)</f>
        <v>5</v>
      </c>
      <c r="AJ287" s="4">
        <f ca="1">IFERROR(__xludf.DUMMYFUNCTION("""COMPUTED_VALUE"""),5)</f>
        <v>5</v>
      </c>
      <c r="AK287" s="4">
        <f ca="1">IFERROR(__xludf.DUMMYFUNCTION("""COMPUTED_VALUE"""),5)</f>
        <v>5</v>
      </c>
      <c r="AL287" s="4">
        <f ca="1">IFERROR(__xludf.DUMMYFUNCTION("""COMPUTED_VALUE"""),5)</f>
        <v>5</v>
      </c>
      <c r="AM287" s="4">
        <f ca="1">IFERROR(__xludf.DUMMYFUNCTION("""COMPUTED_VALUE"""),5)</f>
        <v>5</v>
      </c>
      <c r="AN287" s="4">
        <f ca="1">IFERROR(__xludf.DUMMYFUNCTION("""COMPUTED_VALUE"""),5)</f>
        <v>5</v>
      </c>
      <c r="AO287" s="4">
        <f ca="1">IFERROR(__xludf.DUMMYFUNCTION("""COMPUTED_VALUE"""),4)</f>
        <v>4</v>
      </c>
      <c r="AP287" s="4">
        <f ca="1">IFERROR(__xludf.DUMMYFUNCTION("""COMPUTED_VALUE"""),4)</f>
        <v>4</v>
      </c>
      <c r="AQ287" s="4">
        <f ca="1">IFERROR(__xludf.DUMMYFUNCTION("""COMPUTED_VALUE"""),4)</f>
        <v>4</v>
      </c>
      <c r="AR287" s="4">
        <f ca="1">IFERROR(__xludf.DUMMYFUNCTION("""COMPUTED_VALUE"""),5)</f>
        <v>5</v>
      </c>
      <c r="AS287" s="4">
        <f ca="1">IFERROR(__xludf.DUMMYFUNCTION("""COMPUTED_VALUE"""),4)</f>
        <v>4</v>
      </c>
      <c r="AT287" s="4">
        <f ca="1">IFERROR(__xludf.DUMMYFUNCTION("""COMPUTED_VALUE"""),3)</f>
        <v>3</v>
      </c>
      <c r="AU287" s="4">
        <f ca="1">IFERROR(__xludf.DUMMYFUNCTION("""COMPUTED_VALUE"""),2)</f>
        <v>2</v>
      </c>
      <c r="AV287" s="4">
        <f ca="1">IFERROR(__xludf.DUMMYFUNCTION("""COMPUTED_VALUE"""),4)</f>
        <v>4</v>
      </c>
      <c r="AW287" s="4">
        <f ca="1">IFERROR(__xludf.DUMMYFUNCTION("""COMPUTED_VALUE"""),4)</f>
        <v>4</v>
      </c>
      <c r="AX287" s="4">
        <f ca="1">IFERROR(__xludf.DUMMYFUNCTION("""COMPUTED_VALUE"""),5)</f>
        <v>5</v>
      </c>
      <c r="AY287" s="4">
        <f ca="1">IFERROR(__xludf.DUMMYFUNCTION("""COMPUTED_VALUE"""),5)</f>
        <v>5</v>
      </c>
      <c r="AZ287" s="4">
        <f ca="1">IFERROR(__xludf.DUMMYFUNCTION("""COMPUTED_VALUE"""),5)</f>
        <v>5</v>
      </c>
      <c r="BA287" s="4">
        <f ca="1">IFERROR(__xludf.DUMMYFUNCTION("""COMPUTED_VALUE"""),5)</f>
        <v>5</v>
      </c>
      <c r="BB287" s="4">
        <f ca="1">IFERROR(__xludf.DUMMYFUNCTION("""COMPUTED_VALUE"""),4)</f>
        <v>4</v>
      </c>
      <c r="BC287" s="4">
        <f ca="1">IFERROR(__xludf.DUMMYFUNCTION("""COMPUTED_VALUE"""),4)</f>
        <v>4</v>
      </c>
      <c r="BD287" s="4">
        <f ca="1">IFERROR(__xludf.DUMMYFUNCTION("""COMPUTED_VALUE"""),4)</f>
        <v>4</v>
      </c>
      <c r="BE287" s="4">
        <f ca="1">IFERROR(__xludf.DUMMYFUNCTION("""COMPUTED_VALUE"""),4)</f>
        <v>4</v>
      </c>
      <c r="BF287" s="4">
        <f ca="1">IFERROR(__xludf.DUMMYFUNCTION("""COMPUTED_VALUE"""),4)</f>
        <v>4</v>
      </c>
      <c r="BG287" s="4">
        <f ca="1">IFERROR(__xludf.DUMMYFUNCTION("""COMPUTED_VALUE"""),4)</f>
        <v>4</v>
      </c>
      <c r="BH287" s="4">
        <f ca="1">IFERROR(__xludf.DUMMYFUNCTION("""COMPUTED_VALUE"""),5)</f>
        <v>5</v>
      </c>
      <c r="BI287" s="4">
        <f ca="1">IFERROR(__xludf.DUMMYFUNCTION("""COMPUTED_VALUE"""),5)</f>
        <v>5</v>
      </c>
      <c r="BJ287" s="4">
        <f ca="1">IFERROR(__xludf.DUMMYFUNCTION("""COMPUTED_VALUE"""),5)</f>
        <v>5</v>
      </c>
      <c r="BK287" s="4">
        <f ca="1">IFERROR(__xludf.DUMMYFUNCTION("""COMPUTED_VALUE"""),5)</f>
        <v>5</v>
      </c>
      <c r="BL287" s="4">
        <f ca="1">IFERROR(__xludf.DUMMYFUNCTION("""COMPUTED_VALUE"""),5)</f>
        <v>5</v>
      </c>
      <c r="BM287" s="4">
        <f ca="1">IFERROR(__xludf.DUMMYFUNCTION("""COMPUTED_VALUE"""),4)</f>
        <v>4</v>
      </c>
      <c r="BN287" s="4">
        <f ca="1">IFERROR(__xludf.DUMMYFUNCTION("""COMPUTED_VALUE"""),5)</f>
        <v>5</v>
      </c>
      <c r="BO287" s="4">
        <f ca="1">IFERROR(__xludf.DUMMYFUNCTION("""COMPUTED_VALUE"""),5)</f>
        <v>5</v>
      </c>
      <c r="BP287" s="4">
        <f ca="1">IFERROR(__xludf.DUMMYFUNCTION("""COMPUTED_VALUE"""),5)</f>
        <v>5</v>
      </c>
    </row>
    <row r="288" spans="1:68" ht="13.2" x14ac:dyDescent="0.25">
      <c r="A288" s="4" t="str">
        <f ca="1">IFERROR(__xludf.DUMMYFUNCTION("""COMPUTED_VALUE"""),"2_ABaOnucpkhg2HQysTOKpMTOCRpQDPhJYIDuqBaWJbGcVQWAH3U1nrjmH05KzX-mxNA")</f>
        <v>2_ABaOnucpkhg2HQysTOKpMTOCRpQDPhJYIDuqBaWJbGcVQWAH3U1nrjmH05KzX-mxNA</v>
      </c>
      <c r="B288" s="5">
        <f ca="1">IFERROR(__xludf.DUMMYFUNCTION("""COMPUTED_VALUE"""),45986.3991887152)</f>
        <v>45986.399188715201</v>
      </c>
      <c r="C288" s="4" t="str">
        <f ca="1">IFERROR(__xludf.DUMMYFUNCTION("""COMPUTED_VALUE"""),"Đặng Hữu Việt")</f>
        <v>Đặng Hữu Việt</v>
      </c>
      <c r="D288" s="4" t="str">
        <f ca="1">IFERROR(__xludf.DUMMYFUNCTION("""COMPUTED_VALUE"""),"Nam")</f>
        <v>Nam</v>
      </c>
      <c r="E288" s="4" t="str">
        <f ca="1">IFERROR(__xludf.DUMMYFUNCTION("""COMPUTED_VALUE"""),"Công ty TNHH Kiểm Toán Quốc Tế - Chi nhánh Sài Gòn")</f>
        <v>Công ty TNHH Kiểm Toán Quốc Tế - Chi nhánh Sài Gòn</v>
      </c>
      <c r="F288" s="4" t="str">
        <f ca="1">IFERROR(__xludf.DUMMYFUNCTION("""COMPUTED_VALUE"""),"Đại học")</f>
        <v>Đại học</v>
      </c>
      <c r="G288" s="4" t="str">
        <f ca="1">IFERROR(__xludf.DUMMYFUNCTION("""COMPUTED_VALUE"""),"Trên 10 đến 15 năm")</f>
        <v>Trên 10 đến 15 năm</v>
      </c>
      <c r="H288" s="4" t="str">
        <f ca="1">IFERROR(__xludf.DUMMYFUNCTION("""COMPUTED_VALUE"""),"Trưởng phòng")</f>
        <v>Trưởng phòng</v>
      </c>
      <c r="I288" s="4">
        <f ca="1">IFERROR(__xludf.DUMMYFUNCTION("""COMPUTED_VALUE"""),4)</f>
        <v>4</v>
      </c>
      <c r="J288" s="4">
        <f ca="1">IFERROR(__xludf.DUMMYFUNCTION("""COMPUTED_VALUE"""),5)</f>
        <v>5</v>
      </c>
      <c r="K288" s="4">
        <f ca="1">IFERROR(__xludf.DUMMYFUNCTION("""COMPUTED_VALUE"""),4)</f>
        <v>4</v>
      </c>
      <c r="L288" s="4">
        <f ca="1">IFERROR(__xludf.DUMMYFUNCTION("""COMPUTED_VALUE"""),5)</f>
        <v>5</v>
      </c>
      <c r="M288" s="4">
        <f ca="1">IFERROR(__xludf.DUMMYFUNCTION("""COMPUTED_VALUE"""),4)</f>
        <v>4</v>
      </c>
      <c r="N288" s="4">
        <f ca="1">IFERROR(__xludf.DUMMYFUNCTION("""COMPUTED_VALUE"""),5)</f>
        <v>5</v>
      </c>
      <c r="O288" s="4">
        <f ca="1">IFERROR(__xludf.DUMMYFUNCTION("""COMPUTED_VALUE"""),4)</f>
        <v>4</v>
      </c>
      <c r="P288" s="4">
        <f ca="1">IFERROR(__xludf.DUMMYFUNCTION("""COMPUTED_VALUE"""),5)</f>
        <v>5</v>
      </c>
      <c r="Q288" s="4">
        <f ca="1">IFERROR(__xludf.DUMMYFUNCTION("""COMPUTED_VALUE"""),4)</f>
        <v>4</v>
      </c>
      <c r="R288" s="4">
        <f ca="1">IFERROR(__xludf.DUMMYFUNCTION("""COMPUTED_VALUE"""),4)</f>
        <v>4</v>
      </c>
      <c r="S288" s="4">
        <f ca="1">IFERROR(__xludf.DUMMYFUNCTION("""COMPUTED_VALUE"""),5)</f>
        <v>5</v>
      </c>
      <c r="T288" s="4">
        <f ca="1">IFERROR(__xludf.DUMMYFUNCTION("""COMPUTED_VALUE"""),4)</f>
        <v>4</v>
      </c>
      <c r="U288" s="4">
        <f ca="1">IFERROR(__xludf.DUMMYFUNCTION("""COMPUTED_VALUE"""),5)</f>
        <v>5</v>
      </c>
      <c r="V288" s="4">
        <f ca="1">IFERROR(__xludf.DUMMYFUNCTION("""COMPUTED_VALUE"""),4)</f>
        <v>4</v>
      </c>
      <c r="W288" s="4">
        <f ca="1">IFERROR(__xludf.DUMMYFUNCTION("""COMPUTED_VALUE"""),5)</f>
        <v>5</v>
      </c>
      <c r="X288" s="4">
        <f ca="1">IFERROR(__xludf.DUMMYFUNCTION("""COMPUTED_VALUE"""),4)</f>
        <v>4</v>
      </c>
      <c r="Y288" s="4">
        <f ca="1">IFERROR(__xludf.DUMMYFUNCTION("""COMPUTED_VALUE"""),5)</f>
        <v>5</v>
      </c>
      <c r="Z288" s="4">
        <f ca="1">IFERROR(__xludf.DUMMYFUNCTION("""COMPUTED_VALUE"""),4)</f>
        <v>4</v>
      </c>
      <c r="AA288" s="4">
        <f ca="1">IFERROR(__xludf.DUMMYFUNCTION("""COMPUTED_VALUE"""),5)</f>
        <v>5</v>
      </c>
      <c r="AB288" s="4">
        <f ca="1">IFERROR(__xludf.DUMMYFUNCTION("""COMPUTED_VALUE"""),4)</f>
        <v>4</v>
      </c>
      <c r="AC288" s="4">
        <f ca="1">IFERROR(__xludf.DUMMYFUNCTION("""COMPUTED_VALUE"""),5)</f>
        <v>5</v>
      </c>
      <c r="AD288" s="4">
        <f ca="1">IFERROR(__xludf.DUMMYFUNCTION("""COMPUTED_VALUE"""),4)</f>
        <v>4</v>
      </c>
      <c r="AE288" s="4">
        <f ca="1">IFERROR(__xludf.DUMMYFUNCTION("""COMPUTED_VALUE"""),5)</f>
        <v>5</v>
      </c>
      <c r="AF288" s="4">
        <f ca="1">IFERROR(__xludf.DUMMYFUNCTION("""COMPUTED_VALUE"""),4)</f>
        <v>4</v>
      </c>
      <c r="AG288" s="4">
        <f ca="1">IFERROR(__xludf.DUMMYFUNCTION("""COMPUTED_VALUE"""),5)</f>
        <v>5</v>
      </c>
      <c r="AH288" s="4">
        <f ca="1">IFERROR(__xludf.DUMMYFUNCTION("""COMPUTED_VALUE"""),4)</f>
        <v>4</v>
      </c>
      <c r="AI288" s="4">
        <f ca="1">IFERROR(__xludf.DUMMYFUNCTION("""COMPUTED_VALUE"""),5)</f>
        <v>5</v>
      </c>
      <c r="AJ288" s="4">
        <f ca="1">IFERROR(__xludf.DUMMYFUNCTION("""COMPUTED_VALUE"""),5)</f>
        <v>5</v>
      </c>
      <c r="AK288" s="4">
        <f ca="1">IFERROR(__xludf.DUMMYFUNCTION("""COMPUTED_VALUE"""),4)</f>
        <v>4</v>
      </c>
      <c r="AL288" s="4">
        <f ca="1">IFERROR(__xludf.DUMMYFUNCTION("""COMPUTED_VALUE"""),5)</f>
        <v>5</v>
      </c>
      <c r="AM288" s="4">
        <f ca="1">IFERROR(__xludf.DUMMYFUNCTION("""COMPUTED_VALUE"""),4)</f>
        <v>4</v>
      </c>
      <c r="AN288" s="4">
        <f ca="1">IFERROR(__xludf.DUMMYFUNCTION("""COMPUTED_VALUE"""),5)</f>
        <v>5</v>
      </c>
      <c r="AO288" s="4">
        <f ca="1">IFERROR(__xludf.DUMMYFUNCTION("""COMPUTED_VALUE"""),4)</f>
        <v>4</v>
      </c>
      <c r="AP288" s="4">
        <f ca="1">IFERROR(__xludf.DUMMYFUNCTION("""COMPUTED_VALUE"""),5)</f>
        <v>5</v>
      </c>
      <c r="AQ288" s="4">
        <f ca="1">IFERROR(__xludf.DUMMYFUNCTION("""COMPUTED_VALUE"""),4)</f>
        <v>4</v>
      </c>
      <c r="AR288" s="4">
        <f ca="1">IFERROR(__xludf.DUMMYFUNCTION("""COMPUTED_VALUE"""),5)</f>
        <v>5</v>
      </c>
      <c r="AS288" s="4">
        <f ca="1">IFERROR(__xludf.DUMMYFUNCTION("""COMPUTED_VALUE"""),4)</f>
        <v>4</v>
      </c>
      <c r="AT288" s="4">
        <f ca="1">IFERROR(__xludf.DUMMYFUNCTION("""COMPUTED_VALUE"""),5)</f>
        <v>5</v>
      </c>
      <c r="AU288" s="4">
        <f ca="1">IFERROR(__xludf.DUMMYFUNCTION("""COMPUTED_VALUE"""),4)</f>
        <v>4</v>
      </c>
      <c r="AV288" s="4">
        <f ca="1">IFERROR(__xludf.DUMMYFUNCTION("""COMPUTED_VALUE"""),5)</f>
        <v>5</v>
      </c>
      <c r="AW288" s="4">
        <f ca="1">IFERROR(__xludf.DUMMYFUNCTION("""COMPUTED_VALUE"""),4)</f>
        <v>4</v>
      </c>
      <c r="AX288" s="4">
        <f ca="1">IFERROR(__xludf.DUMMYFUNCTION("""COMPUTED_VALUE"""),5)</f>
        <v>5</v>
      </c>
      <c r="AY288" s="4">
        <f ca="1">IFERROR(__xludf.DUMMYFUNCTION("""COMPUTED_VALUE"""),4)</f>
        <v>4</v>
      </c>
      <c r="AZ288" s="4">
        <f ca="1">IFERROR(__xludf.DUMMYFUNCTION("""COMPUTED_VALUE"""),5)</f>
        <v>5</v>
      </c>
      <c r="BA288" s="4">
        <f ca="1">IFERROR(__xludf.DUMMYFUNCTION("""COMPUTED_VALUE"""),4)</f>
        <v>4</v>
      </c>
      <c r="BB288" s="4">
        <f ca="1">IFERROR(__xludf.DUMMYFUNCTION("""COMPUTED_VALUE"""),4)</f>
        <v>4</v>
      </c>
      <c r="BC288" s="4">
        <f ca="1">IFERROR(__xludf.DUMMYFUNCTION("""COMPUTED_VALUE"""),5)</f>
        <v>5</v>
      </c>
      <c r="BD288" s="4">
        <f ca="1">IFERROR(__xludf.DUMMYFUNCTION("""COMPUTED_VALUE"""),4)</f>
        <v>4</v>
      </c>
      <c r="BE288" s="4">
        <f ca="1">IFERROR(__xludf.DUMMYFUNCTION("""COMPUTED_VALUE"""),5)</f>
        <v>5</v>
      </c>
      <c r="BF288" s="4">
        <f ca="1">IFERROR(__xludf.DUMMYFUNCTION("""COMPUTED_VALUE"""),4)</f>
        <v>4</v>
      </c>
      <c r="BG288" s="4">
        <f ca="1">IFERROR(__xludf.DUMMYFUNCTION("""COMPUTED_VALUE"""),5)</f>
        <v>5</v>
      </c>
      <c r="BH288" s="4">
        <f ca="1">IFERROR(__xludf.DUMMYFUNCTION("""COMPUTED_VALUE"""),4)</f>
        <v>4</v>
      </c>
      <c r="BI288" s="4">
        <f ca="1">IFERROR(__xludf.DUMMYFUNCTION("""COMPUTED_VALUE"""),5)</f>
        <v>5</v>
      </c>
      <c r="BJ288" s="4">
        <f ca="1">IFERROR(__xludf.DUMMYFUNCTION("""COMPUTED_VALUE"""),4)</f>
        <v>4</v>
      </c>
      <c r="BK288" s="4">
        <f ca="1">IFERROR(__xludf.DUMMYFUNCTION("""COMPUTED_VALUE"""),4)</f>
        <v>4</v>
      </c>
      <c r="BL288" s="4">
        <f ca="1">IFERROR(__xludf.DUMMYFUNCTION("""COMPUTED_VALUE"""),5)</f>
        <v>5</v>
      </c>
      <c r="BM288" s="4">
        <f ca="1">IFERROR(__xludf.DUMMYFUNCTION("""COMPUTED_VALUE"""),4)</f>
        <v>4</v>
      </c>
      <c r="BN288" s="4">
        <f ca="1">IFERROR(__xludf.DUMMYFUNCTION("""COMPUTED_VALUE"""),5)</f>
        <v>5</v>
      </c>
      <c r="BO288" s="4">
        <f ca="1">IFERROR(__xludf.DUMMYFUNCTION("""COMPUTED_VALUE"""),5)</f>
        <v>5</v>
      </c>
      <c r="BP288" s="4">
        <f ca="1">IFERROR(__xludf.DUMMYFUNCTION("""COMPUTED_VALUE"""),4)</f>
        <v>4</v>
      </c>
    </row>
    <row r="289" spans="1:68" ht="13.2" x14ac:dyDescent="0.25">
      <c r="A289" s="4" t="str">
        <f ca="1">IFERROR(__xludf.DUMMYFUNCTION("""COMPUTED_VALUE"""),"2_ABaOnudBEfL0hTsAruygt-61p35C78821DcLHfC9VvbkKwJjuTBP8fX6KyBCWNkfWw")</f>
        <v>2_ABaOnudBEfL0hTsAruygt-61p35C78821DcLHfC9VvbkKwJjuTBP8fX6KyBCWNkfWw</v>
      </c>
      <c r="B289" s="5">
        <f ca="1">IFERROR(__xludf.DUMMYFUNCTION("""COMPUTED_VALUE"""),45986.4630321643)</f>
        <v>45986.463032164298</v>
      </c>
      <c r="C289" s="4" t="str">
        <f ca="1">IFERROR(__xludf.DUMMYFUNCTION("""COMPUTED_VALUE"""),"Nguyễn Thị Thùy Uyển")</f>
        <v>Nguyễn Thị Thùy Uyển</v>
      </c>
      <c r="D289" s="4" t="str">
        <f ca="1">IFERROR(__xludf.DUMMYFUNCTION("""COMPUTED_VALUE"""),"Nữ")</f>
        <v>Nữ</v>
      </c>
      <c r="E289" s="4" t="str">
        <f ca="1">IFERROR(__xludf.DUMMYFUNCTION("""COMPUTED_VALUE"""),"Công ty TNHH Kiểm toán U&amp;I")</f>
        <v>Công ty TNHH Kiểm toán U&amp;I</v>
      </c>
      <c r="F289" s="4" t="str">
        <f ca="1">IFERROR(__xludf.DUMMYFUNCTION("""COMPUTED_VALUE"""),"Đại học, Chứng chỉ Kiểm toán viên")</f>
        <v>Đại học, Chứng chỉ Kiểm toán viên</v>
      </c>
      <c r="G289" s="4" t="str">
        <f ca="1">IFERROR(__xludf.DUMMYFUNCTION("""COMPUTED_VALUE"""),"Trên 10 đến 15 năm")</f>
        <v>Trên 10 đến 15 năm</v>
      </c>
      <c r="H289" s="4" t="str">
        <f ca="1">IFERROR(__xludf.DUMMYFUNCTION("""COMPUTED_VALUE"""),"Kiểm toán viên/Trưởng nhóm")</f>
        <v>Kiểm toán viên/Trưởng nhóm</v>
      </c>
      <c r="I289" s="4">
        <f ca="1">IFERROR(__xludf.DUMMYFUNCTION("""COMPUTED_VALUE"""),5)</f>
        <v>5</v>
      </c>
      <c r="J289" s="4">
        <f ca="1">IFERROR(__xludf.DUMMYFUNCTION("""COMPUTED_VALUE"""),5)</f>
        <v>5</v>
      </c>
      <c r="K289" s="4">
        <f ca="1">IFERROR(__xludf.DUMMYFUNCTION("""COMPUTED_VALUE"""),5)</f>
        <v>5</v>
      </c>
      <c r="L289" s="4">
        <f ca="1">IFERROR(__xludf.DUMMYFUNCTION("""COMPUTED_VALUE"""),4)</f>
        <v>4</v>
      </c>
      <c r="M289" s="4">
        <f ca="1">IFERROR(__xludf.DUMMYFUNCTION("""COMPUTED_VALUE"""),4)</f>
        <v>4</v>
      </c>
      <c r="N289" s="4">
        <f ca="1">IFERROR(__xludf.DUMMYFUNCTION("""COMPUTED_VALUE"""),4)</f>
        <v>4</v>
      </c>
      <c r="O289" s="4">
        <f ca="1">IFERROR(__xludf.DUMMYFUNCTION("""COMPUTED_VALUE"""),4)</f>
        <v>4</v>
      </c>
      <c r="P289" s="4">
        <f ca="1">IFERROR(__xludf.DUMMYFUNCTION("""COMPUTED_VALUE"""),4)</f>
        <v>4</v>
      </c>
      <c r="Q289" s="4">
        <f ca="1">IFERROR(__xludf.DUMMYFUNCTION("""COMPUTED_VALUE"""),5)</f>
        <v>5</v>
      </c>
      <c r="R289" s="4">
        <f ca="1">IFERROR(__xludf.DUMMYFUNCTION("""COMPUTED_VALUE"""),5)</f>
        <v>5</v>
      </c>
      <c r="S289" s="4">
        <f ca="1">IFERROR(__xludf.DUMMYFUNCTION("""COMPUTED_VALUE"""),5)</f>
        <v>5</v>
      </c>
      <c r="T289" s="4">
        <f ca="1">IFERROR(__xludf.DUMMYFUNCTION("""COMPUTED_VALUE"""),5)</f>
        <v>5</v>
      </c>
      <c r="U289" s="4">
        <f ca="1">IFERROR(__xludf.DUMMYFUNCTION("""COMPUTED_VALUE"""),4)</f>
        <v>4</v>
      </c>
      <c r="V289" s="4">
        <f ca="1">IFERROR(__xludf.DUMMYFUNCTION("""COMPUTED_VALUE"""),5)</f>
        <v>5</v>
      </c>
      <c r="W289" s="4">
        <f ca="1">IFERROR(__xludf.DUMMYFUNCTION("""COMPUTED_VALUE"""),4)</f>
        <v>4</v>
      </c>
      <c r="X289" s="4">
        <f ca="1">IFERROR(__xludf.DUMMYFUNCTION("""COMPUTED_VALUE"""),4)</f>
        <v>4</v>
      </c>
      <c r="Y289" s="4">
        <f ca="1">IFERROR(__xludf.DUMMYFUNCTION("""COMPUTED_VALUE"""),4)</f>
        <v>4</v>
      </c>
      <c r="Z289" s="4">
        <f ca="1">IFERROR(__xludf.DUMMYFUNCTION("""COMPUTED_VALUE"""),4)</f>
        <v>4</v>
      </c>
      <c r="AA289" s="4">
        <f ca="1">IFERROR(__xludf.DUMMYFUNCTION("""COMPUTED_VALUE"""),4)</f>
        <v>4</v>
      </c>
      <c r="AB289" s="4">
        <f ca="1">IFERROR(__xludf.DUMMYFUNCTION("""COMPUTED_VALUE"""),3)</f>
        <v>3</v>
      </c>
      <c r="AC289" s="4">
        <f ca="1">IFERROR(__xludf.DUMMYFUNCTION("""COMPUTED_VALUE"""),2)</f>
        <v>2</v>
      </c>
      <c r="AD289" s="4">
        <f ca="1">IFERROR(__xludf.DUMMYFUNCTION("""COMPUTED_VALUE"""),2)</f>
        <v>2</v>
      </c>
      <c r="AE289" s="4">
        <f ca="1">IFERROR(__xludf.DUMMYFUNCTION("""COMPUTED_VALUE"""),4)</f>
        <v>4</v>
      </c>
      <c r="AF289" s="4">
        <f ca="1">IFERROR(__xludf.DUMMYFUNCTION("""COMPUTED_VALUE"""),5)</f>
        <v>5</v>
      </c>
      <c r="AG289" s="4">
        <f ca="1">IFERROR(__xludf.DUMMYFUNCTION("""COMPUTED_VALUE"""),5)</f>
        <v>5</v>
      </c>
      <c r="AH289" s="4">
        <f ca="1">IFERROR(__xludf.DUMMYFUNCTION("""COMPUTED_VALUE"""),5)</f>
        <v>5</v>
      </c>
      <c r="AI289" s="4">
        <f ca="1">IFERROR(__xludf.DUMMYFUNCTION("""COMPUTED_VALUE"""),5)</f>
        <v>5</v>
      </c>
      <c r="AJ289" s="4">
        <f ca="1">IFERROR(__xludf.DUMMYFUNCTION("""COMPUTED_VALUE"""),5)</f>
        <v>5</v>
      </c>
      <c r="AK289" s="4">
        <f ca="1">IFERROR(__xludf.DUMMYFUNCTION("""COMPUTED_VALUE"""),5)</f>
        <v>5</v>
      </c>
      <c r="AL289" s="4">
        <f ca="1">IFERROR(__xludf.DUMMYFUNCTION("""COMPUTED_VALUE"""),5)</f>
        <v>5</v>
      </c>
      <c r="AM289" s="4">
        <f ca="1">IFERROR(__xludf.DUMMYFUNCTION("""COMPUTED_VALUE"""),5)</f>
        <v>5</v>
      </c>
      <c r="AN289" s="4">
        <f ca="1">IFERROR(__xludf.DUMMYFUNCTION("""COMPUTED_VALUE"""),5)</f>
        <v>5</v>
      </c>
      <c r="AO289" s="4">
        <f ca="1">IFERROR(__xludf.DUMMYFUNCTION("""COMPUTED_VALUE"""),5)</f>
        <v>5</v>
      </c>
      <c r="AP289" s="4">
        <f ca="1">IFERROR(__xludf.DUMMYFUNCTION("""COMPUTED_VALUE"""),5)</f>
        <v>5</v>
      </c>
      <c r="AQ289" s="4">
        <f ca="1">IFERROR(__xludf.DUMMYFUNCTION("""COMPUTED_VALUE"""),5)</f>
        <v>5</v>
      </c>
      <c r="AR289" s="4">
        <f ca="1">IFERROR(__xludf.DUMMYFUNCTION("""COMPUTED_VALUE"""),5)</f>
        <v>5</v>
      </c>
      <c r="AS289" s="4">
        <f ca="1">IFERROR(__xludf.DUMMYFUNCTION("""COMPUTED_VALUE"""),5)</f>
        <v>5</v>
      </c>
      <c r="AT289" s="4">
        <f ca="1">IFERROR(__xludf.DUMMYFUNCTION("""COMPUTED_VALUE"""),5)</f>
        <v>5</v>
      </c>
      <c r="AU289" s="4">
        <f ca="1">IFERROR(__xludf.DUMMYFUNCTION("""COMPUTED_VALUE"""),5)</f>
        <v>5</v>
      </c>
      <c r="AV289" s="4">
        <f ca="1">IFERROR(__xludf.DUMMYFUNCTION("""COMPUTED_VALUE"""),5)</f>
        <v>5</v>
      </c>
      <c r="AW289" s="4">
        <f ca="1">IFERROR(__xludf.DUMMYFUNCTION("""COMPUTED_VALUE"""),5)</f>
        <v>5</v>
      </c>
      <c r="AX289" s="4">
        <f ca="1">IFERROR(__xludf.DUMMYFUNCTION("""COMPUTED_VALUE"""),5)</f>
        <v>5</v>
      </c>
      <c r="AY289" s="4">
        <f ca="1">IFERROR(__xludf.DUMMYFUNCTION("""COMPUTED_VALUE"""),5)</f>
        <v>5</v>
      </c>
      <c r="AZ289" s="4">
        <f ca="1">IFERROR(__xludf.DUMMYFUNCTION("""COMPUTED_VALUE"""),5)</f>
        <v>5</v>
      </c>
      <c r="BA289" s="4">
        <f ca="1">IFERROR(__xludf.DUMMYFUNCTION("""COMPUTED_VALUE"""),5)</f>
        <v>5</v>
      </c>
      <c r="BB289" s="4">
        <f ca="1">IFERROR(__xludf.DUMMYFUNCTION("""COMPUTED_VALUE"""),4)</f>
        <v>4</v>
      </c>
      <c r="BC289" s="4">
        <f ca="1">IFERROR(__xludf.DUMMYFUNCTION("""COMPUTED_VALUE"""),4)</f>
        <v>4</v>
      </c>
      <c r="BD289" s="4">
        <f ca="1">IFERROR(__xludf.DUMMYFUNCTION("""COMPUTED_VALUE"""),4)</f>
        <v>4</v>
      </c>
      <c r="BE289" s="4">
        <f ca="1">IFERROR(__xludf.DUMMYFUNCTION("""COMPUTED_VALUE"""),4)</f>
        <v>4</v>
      </c>
      <c r="BF289" s="4">
        <f ca="1">IFERROR(__xludf.DUMMYFUNCTION("""COMPUTED_VALUE"""),4)</f>
        <v>4</v>
      </c>
      <c r="BG289" s="4">
        <f ca="1">IFERROR(__xludf.DUMMYFUNCTION("""COMPUTED_VALUE"""),4)</f>
        <v>4</v>
      </c>
      <c r="BH289" s="4">
        <f ca="1">IFERROR(__xludf.DUMMYFUNCTION("""COMPUTED_VALUE"""),5)</f>
        <v>5</v>
      </c>
      <c r="BI289" s="4">
        <f ca="1">IFERROR(__xludf.DUMMYFUNCTION("""COMPUTED_VALUE"""),5)</f>
        <v>5</v>
      </c>
      <c r="BJ289" s="4">
        <f ca="1">IFERROR(__xludf.DUMMYFUNCTION("""COMPUTED_VALUE"""),5)</f>
        <v>5</v>
      </c>
      <c r="BK289" s="4">
        <f ca="1">IFERROR(__xludf.DUMMYFUNCTION("""COMPUTED_VALUE"""),5)</f>
        <v>5</v>
      </c>
      <c r="BL289" s="4">
        <f ca="1">IFERROR(__xludf.DUMMYFUNCTION("""COMPUTED_VALUE"""),5)</f>
        <v>5</v>
      </c>
      <c r="BM289" s="4">
        <f ca="1">IFERROR(__xludf.DUMMYFUNCTION("""COMPUTED_VALUE"""),5)</f>
        <v>5</v>
      </c>
      <c r="BN289" s="4">
        <f ca="1">IFERROR(__xludf.DUMMYFUNCTION("""COMPUTED_VALUE"""),5)</f>
        <v>5</v>
      </c>
      <c r="BO289" s="4">
        <f ca="1">IFERROR(__xludf.DUMMYFUNCTION("""COMPUTED_VALUE"""),5)</f>
        <v>5</v>
      </c>
      <c r="BP289" s="4">
        <f ca="1">IFERROR(__xludf.DUMMYFUNCTION("""COMPUTED_VALUE"""),5)</f>
        <v>5</v>
      </c>
    </row>
    <row r="290" spans="1:68" ht="13.2" x14ac:dyDescent="0.25">
      <c r="A290" s="4" t="str">
        <f ca="1">IFERROR(__xludf.DUMMYFUNCTION("""COMPUTED_VALUE"""),"2_ABaOnufvPofGhNLX47_vFOXoX7BmBiuWT7ClWhOlP1KLu6PnBvUx5TsAUX7USRuI1w")</f>
        <v>2_ABaOnufvPofGhNLX47_vFOXoX7BmBiuWT7ClWhOlP1KLu6PnBvUx5TsAUX7USRuI1w</v>
      </c>
      <c r="B290" s="5">
        <f ca="1">IFERROR(__xludf.DUMMYFUNCTION("""COMPUTED_VALUE"""),45986.4648660069)</f>
        <v>45986.4648660069</v>
      </c>
      <c r="C290" s="4" t="str">
        <f ca="1">IFERROR(__xludf.DUMMYFUNCTION("""COMPUTED_VALUE"""),"Phạm thị thanh phước")</f>
        <v>Phạm thị thanh phước</v>
      </c>
      <c r="D290" s="4" t="str">
        <f ca="1">IFERROR(__xludf.DUMMYFUNCTION("""COMPUTED_VALUE"""),"Nữ")</f>
        <v>Nữ</v>
      </c>
      <c r="E290" s="4" t="str">
        <f ca="1">IFERROR(__xludf.DUMMYFUNCTION("""COMPUTED_VALUE"""),"Công ty tnhh kiểm toán CPA")</f>
        <v>Công ty tnhh kiểm toán CPA</v>
      </c>
      <c r="F290" s="4" t="str">
        <f ca="1">IFERROR(__xludf.DUMMYFUNCTION("""COMPUTED_VALUE"""),"Đại học")</f>
        <v>Đại học</v>
      </c>
      <c r="G290" s="4" t="str">
        <f ca="1">IFERROR(__xludf.DUMMYFUNCTION("""COMPUTED_VALUE"""),"Từ 3 đến 5 năm")</f>
        <v>Từ 3 đến 5 năm</v>
      </c>
      <c r="H290" s="4" t="str">
        <f ca="1">IFERROR(__xludf.DUMMYFUNCTION("""COMPUTED_VALUE"""),"Trợ lý kiểm toán")</f>
        <v>Trợ lý kiểm toán</v>
      </c>
      <c r="I290" s="4">
        <f ca="1">IFERROR(__xludf.DUMMYFUNCTION("""COMPUTED_VALUE"""),4)</f>
        <v>4</v>
      </c>
      <c r="J290" s="4">
        <f ca="1">IFERROR(__xludf.DUMMYFUNCTION("""COMPUTED_VALUE"""),4)</f>
        <v>4</v>
      </c>
      <c r="K290" s="4">
        <f ca="1">IFERROR(__xludf.DUMMYFUNCTION("""COMPUTED_VALUE"""),4)</f>
        <v>4</v>
      </c>
      <c r="L290" s="4">
        <f ca="1">IFERROR(__xludf.DUMMYFUNCTION("""COMPUTED_VALUE"""),4)</f>
        <v>4</v>
      </c>
      <c r="M290" s="4">
        <f ca="1">IFERROR(__xludf.DUMMYFUNCTION("""COMPUTED_VALUE"""),4)</f>
        <v>4</v>
      </c>
      <c r="N290" s="4">
        <f ca="1">IFERROR(__xludf.DUMMYFUNCTION("""COMPUTED_VALUE"""),4)</f>
        <v>4</v>
      </c>
      <c r="O290" s="4">
        <f ca="1">IFERROR(__xludf.DUMMYFUNCTION("""COMPUTED_VALUE"""),4)</f>
        <v>4</v>
      </c>
      <c r="P290" s="4">
        <f ca="1">IFERROR(__xludf.DUMMYFUNCTION("""COMPUTED_VALUE"""),4)</f>
        <v>4</v>
      </c>
      <c r="Q290" s="4">
        <f ca="1">IFERROR(__xludf.DUMMYFUNCTION("""COMPUTED_VALUE"""),4)</f>
        <v>4</v>
      </c>
      <c r="R290" s="4">
        <f ca="1">IFERROR(__xludf.DUMMYFUNCTION("""COMPUTED_VALUE"""),4)</f>
        <v>4</v>
      </c>
      <c r="S290" s="4">
        <f ca="1">IFERROR(__xludf.DUMMYFUNCTION("""COMPUTED_VALUE"""),4)</f>
        <v>4</v>
      </c>
      <c r="T290" s="4">
        <f ca="1">IFERROR(__xludf.DUMMYFUNCTION("""COMPUTED_VALUE"""),4)</f>
        <v>4</v>
      </c>
      <c r="U290" s="4">
        <f ca="1">IFERROR(__xludf.DUMMYFUNCTION("""COMPUTED_VALUE"""),4)</f>
        <v>4</v>
      </c>
      <c r="V290" s="4">
        <f ca="1">IFERROR(__xludf.DUMMYFUNCTION("""COMPUTED_VALUE"""),4)</f>
        <v>4</v>
      </c>
      <c r="W290" s="4">
        <f ca="1">IFERROR(__xludf.DUMMYFUNCTION("""COMPUTED_VALUE"""),4)</f>
        <v>4</v>
      </c>
      <c r="X290" s="4">
        <f ca="1">IFERROR(__xludf.DUMMYFUNCTION("""COMPUTED_VALUE"""),4)</f>
        <v>4</v>
      </c>
      <c r="Y290" s="4">
        <f ca="1">IFERROR(__xludf.DUMMYFUNCTION("""COMPUTED_VALUE"""),4)</f>
        <v>4</v>
      </c>
      <c r="Z290" s="4">
        <f ca="1">IFERROR(__xludf.DUMMYFUNCTION("""COMPUTED_VALUE"""),4)</f>
        <v>4</v>
      </c>
      <c r="AA290" s="4">
        <f ca="1">IFERROR(__xludf.DUMMYFUNCTION("""COMPUTED_VALUE"""),4)</f>
        <v>4</v>
      </c>
      <c r="AB290" s="4">
        <f ca="1">IFERROR(__xludf.DUMMYFUNCTION("""COMPUTED_VALUE"""),4)</f>
        <v>4</v>
      </c>
      <c r="AC290" s="4">
        <f ca="1">IFERROR(__xludf.DUMMYFUNCTION("""COMPUTED_VALUE"""),4)</f>
        <v>4</v>
      </c>
      <c r="AD290" s="4">
        <f ca="1">IFERROR(__xludf.DUMMYFUNCTION("""COMPUTED_VALUE"""),4)</f>
        <v>4</v>
      </c>
      <c r="AE290" s="4">
        <f ca="1">IFERROR(__xludf.DUMMYFUNCTION("""COMPUTED_VALUE"""),4)</f>
        <v>4</v>
      </c>
      <c r="AF290" s="4">
        <f ca="1">IFERROR(__xludf.DUMMYFUNCTION("""COMPUTED_VALUE"""),4)</f>
        <v>4</v>
      </c>
      <c r="AG290" s="4">
        <f ca="1">IFERROR(__xludf.DUMMYFUNCTION("""COMPUTED_VALUE"""),4)</f>
        <v>4</v>
      </c>
      <c r="AH290" s="4">
        <f ca="1">IFERROR(__xludf.DUMMYFUNCTION("""COMPUTED_VALUE"""),4)</f>
        <v>4</v>
      </c>
      <c r="AI290" s="4">
        <f ca="1">IFERROR(__xludf.DUMMYFUNCTION("""COMPUTED_VALUE"""),4)</f>
        <v>4</v>
      </c>
      <c r="AJ290" s="4">
        <f ca="1">IFERROR(__xludf.DUMMYFUNCTION("""COMPUTED_VALUE"""),4)</f>
        <v>4</v>
      </c>
      <c r="AK290" s="4">
        <f ca="1">IFERROR(__xludf.DUMMYFUNCTION("""COMPUTED_VALUE"""),4)</f>
        <v>4</v>
      </c>
      <c r="AL290" s="4">
        <f ca="1">IFERROR(__xludf.DUMMYFUNCTION("""COMPUTED_VALUE"""),4)</f>
        <v>4</v>
      </c>
      <c r="AM290" s="4">
        <f ca="1">IFERROR(__xludf.DUMMYFUNCTION("""COMPUTED_VALUE"""),4)</f>
        <v>4</v>
      </c>
      <c r="AN290" s="4">
        <f ca="1">IFERROR(__xludf.DUMMYFUNCTION("""COMPUTED_VALUE"""),4)</f>
        <v>4</v>
      </c>
      <c r="AO290" s="4">
        <f ca="1">IFERROR(__xludf.DUMMYFUNCTION("""COMPUTED_VALUE"""),4)</f>
        <v>4</v>
      </c>
      <c r="AP290" s="4">
        <f ca="1">IFERROR(__xludf.DUMMYFUNCTION("""COMPUTED_VALUE"""),4)</f>
        <v>4</v>
      </c>
      <c r="AQ290" s="4">
        <f ca="1">IFERROR(__xludf.DUMMYFUNCTION("""COMPUTED_VALUE"""),4)</f>
        <v>4</v>
      </c>
      <c r="AR290" s="4">
        <f ca="1">IFERROR(__xludf.DUMMYFUNCTION("""COMPUTED_VALUE"""),4)</f>
        <v>4</v>
      </c>
      <c r="AS290" s="4">
        <f ca="1">IFERROR(__xludf.DUMMYFUNCTION("""COMPUTED_VALUE"""),4)</f>
        <v>4</v>
      </c>
      <c r="AT290" s="4">
        <f ca="1">IFERROR(__xludf.DUMMYFUNCTION("""COMPUTED_VALUE"""),4)</f>
        <v>4</v>
      </c>
      <c r="AU290" s="4">
        <f ca="1">IFERROR(__xludf.DUMMYFUNCTION("""COMPUTED_VALUE"""),4)</f>
        <v>4</v>
      </c>
      <c r="AV290" s="4">
        <f ca="1">IFERROR(__xludf.DUMMYFUNCTION("""COMPUTED_VALUE"""),4)</f>
        <v>4</v>
      </c>
      <c r="AW290" s="4">
        <f ca="1">IFERROR(__xludf.DUMMYFUNCTION("""COMPUTED_VALUE"""),4)</f>
        <v>4</v>
      </c>
      <c r="AX290" s="4">
        <f ca="1">IFERROR(__xludf.DUMMYFUNCTION("""COMPUTED_VALUE"""),4)</f>
        <v>4</v>
      </c>
      <c r="AY290" s="4">
        <f ca="1">IFERROR(__xludf.DUMMYFUNCTION("""COMPUTED_VALUE"""),4)</f>
        <v>4</v>
      </c>
      <c r="AZ290" s="4">
        <f ca="1">IFERROR(__xludf.DUMMYFUNCTION("""COMPUTED_VALUE"""),4)</f>
        <v>4</v>
      </c>
      <c r="BA290" s="4">
        <f ca="1">IFERROR(__xludf.DUMMYFUNCTION("""COMPUTED_VALUE"""),4)</f>
        <v>4</v>
      </c>
      <c r="BB290" s="4">
        <f ca="1">IFERROR(__xludf.DUMMYFUNCTION("""COMPUTED_VALUE"""),4)</f>
        <v>4</v>
      </c>
      <c r="BC290" s="4">
        <f ca="1">IFERROR(__xludf.DUMMYFUNCTION("""COMPUTED_VALUE"""),4)</f>
        <v>4</v>
      </c>
      <c r="BD290" s="4">
        <f ca="1">IFERROR(__xludf.DUMMYFUNCTION("""COMPUTED_VALUE"""),4)</f>
        <v>4</v>
      </c>
      <c r="BE290" s="4">
        <f ca="1">IFERROR(__xludf.DUMMYFUNCTION("""COMPUTED_VALUE"""),4)</f>
        <v>4</v>
      </c>
      <c r="BF290" s="4">
        <f ca="1">IFERROR(__xludf.DUMMYFUNCTION("""COMPUTED_VALUE"""),4)</f>
        <v>4</v>
      </c>
      <c r="BG290" s="4">
        <f ca="1">IFERROR(__xludf.DUMMYFUNCTION("""COMPUTED_VALUE"""),4)</f>
        <v>4</v>
      </c>
      <c r="BH290" s="4">
        <f ca="1">IFERROR(__xludf.DUMMYFUNCTION("""COMPUTED_VALUE"""),4)</f>
        <v>4</v>
      </c>
      <c r="BI290" s="4">
        <f ca="1">IFERROR(__xludf.DUMMYFUNCTION("""COMPUTED_VALUE"""),4)</f>
        <v>4</v>
      </c>
      <c r="BJ290" s="4">
        <f ca="1">IFERROR(__xludf.DUMMYFUNCTION("""COMPUTED_VALUE"""),4)</f>
        <v>4</v>
      </c>
      <c r="BK290" s="4">
        <f ca="1">IFERROR(__xludf.DUMMYFUNCTION("""COMPUTED_VALUE"""),4)</f>
        <v>4</v>
      </c>
      <c r="BL290" s="4">
        <f ca="1">IFERROR(__xludf.DUMMYFUNCTION("""COMPUTED_VALUE"""),4)</f>
        <v>4</v>
      </c>
      <c r="BM290" s="4">
        <f ca="1">IFERROR(__xludf.DUMMYFUNCTION("""COMPUTED_VALUE"""),4)</f>
        <v>4</v>
      </c>
      <c r="BN290" s="4">
        <f ca="1">IFERROR(__xludf.DUMMYFUNCTION("""COMPUTED_VALUE"""),4)</f>
        <v>4</v>
      </c>
      <c r="BO290" s="4">
        <f ca="1">IFERROR(__xludf.DUMMYFUNCTION("""COMPUTED_VALUE"""),4)</f>
        <v>4</v>
      </c>
      <c r="BP290" s="4">
        <f ca="1">IFERROR(__xludf.DUMMYFUNCTION("""COMPUTED_VALUE"""),4)</f>
        <v>4</v>
      </c>
    </row>
    <row r="291" spans="1:68" ht="13.2" x14ac:dyDescent="0.25">
      <c r="A291" s="4" t="str">
        <f ca="1">IFERROR(__xludf.DUMMYFUNCTION("""COMPUTED_VALUE"""),"2_ABaOnufysT3lqf5Lj_ltueig0H7jDGcPS3qWPo1ZAkI1bLTw5OoI5trbFXEeiAgrTQ")</f>
        <v>2_ABaOnufysT3lqf5Lj_ltueig0H7jDGcPS3qWPo1ZAkI1bLTw5OoI5trbFXEeiAgrTQ</v>
      </c>
      <c r="B291" s="5">
        <f ca="1">IFERROR(__xludf.DUMMYFUNCTION("""COMPUTED_VALUE"""),45986.4667875925)</f>
        <v>45986.466787592501</v>
      </c>
      <c r="C291" s="4" t="str">
        <f ca="1">IFERROR(__xludf.DUMMYFUNCTION("""COMPUTED_VALUE"""),"Phạm Thị Mỹ Linh")</f>
        <v>Phạm Thị Mỹ Linh</v>
      </c>
      <c r="D291" s="4" t="str">
        <f ca="1">IFERROR(__xludf.DUMMYFUNCTION("""COMPUTED_VALUE"""),"Nữ")</f>
        <v>Nữ</v>
      </c>
      <c r="E291" s="4" t="str">
        <f ca="1">IFERROR(__xludf.DUMMYFUNCTION("""COMPUTED_VALUE"""),"Công ty TNHH Kiểm toán U&amp;I")</f>
        <v>Công ty TNHH Kiểm toán U&amp;I</v>
      </c>
      <c r="F291" s="4" t="str">
        <f ca="1">IFERROR(__xludf.DUMMYFUNCTION("""COMPUTED_VALUE"""),"Đại học")</f>
        <v>Đại học</v>
      </c>
      <c r="G291" s="4" t="str">
        <f ca="1">IFERROR(__xludf.DUMMYFUNCTION("""COMPUTED_VALUE"""),"Trên 5 đến 10 năm")</f>
        <v>Trên 5 đến 10 năm</v>
      </c>
      <c r="H291" s="4" t="str">
        <f ca="1">IFERROR(__xludf.DUMMYFUNCTION("""COMPUTED_VALUE"""),"Kiểm toán viên/Trưởng nhóm")</f>
        <v>Kiểm toán viên/Trưởng nhóm</v>
      </c>
      <c r="I291" s="4">
        <f ca="1">IFERROR(__xludf.DUMMYFUNCTION("""COMPUTED_VALUE"""),5)</f>
        <v>5</v>
      </c>
      <c r="J291" s="4">
        <f ca="1">IFERROR(__xludf.DUMMYFUNCTION("""COMPUTED_VALUE"""),4)</f>
        <v>4</v>
      </c>
      <c r="K291" s="4">
        <f ca="1">IFERROR(__xludf.DUMMYFUNCTION("""COMPUTED_VALUE"""),4)</f>
        <v>4</v>
      </c>
      <c r="L291" s="4">
        <f ca="1">IFERROR(__xludf.DUMMYFUNCTION("""COMPUTED_VALUE"""),5)</f>
        <v>5</v>
      </c>
      <c r="M291" s="4">
        <f ca="1">IFERROR(__xludf.DUMMYFUNCTION("""COMPUTED_VALUE"""),3)</f>
        <v>3</v>
      </c>
      <c r="N291" s="4">
        <f ca="1">IFERROR(__xludf.DUMMYFUNCTION("""COMPUTED_VALUE"""),5)</f>
        <v>5</v>
      </c>
      <c r="O291" s="4">
        <f ca="1">IFERROR(__xludf.DUMMYFUNCTION("""COMPUTED_VALUE"""),3)</f>
        <v>3</v>
      </c>
      <c r="P291" s="4">
        <f ca="1">IFERROR(__xludf.DUMMYFUNCTION("""COMPUTED_VALUE"""),5)</f>
        <v>5</v>
      </c>
      <c r="Q291" s="4">
        <f ca="1">IFERROR(__xludf.DUMMYFUNCTION("""COMPUTED_VALUE"""),4)</f>
        <v>4</v>
      </c>
      <c r="R291" s="4">
        <f ca="1">IFERROR(__xludf.DUMMYFUNCTION("""COMPUTED_VALUE"""),5)</f>
        <v>5</v>
      </c>
      <c r="S291" s="4">
        <f ca="1">IFERROR(__xludf.DUMMYFUNCTION("""COMPUTED_VALUE"""),5)</f>
        <v>5</v>
      </c>
      <c r="T291" s="4">
        <f ca="1">IFERROR(__xludf.DUMMYFUNCTION("""COMPUTED_VALUE"""),4)</f>
        <v>4</v>
      </c>
      <c r="U291" s="4">
        <f ca="1">IFERROR(__xludf.DUMMYFUNCTION("""COMPUTED_VALUE"""),5)</f>
        <v>5</v>
      </c>
      <c r="V291" s="4">
        <f ca="1">IFERROR(__xludf.DUMMYFUNCTION("""COMPUTED_VALUE"""),5)</f>
        <v>5</v>
      </c>
      <c r="W291" s="4">
        <f ca="1">IFERROR(__xludf.DUMMYFUNCTION("""COMPUTED_VALUE"""),4)</f>
        <v>4</v>
      </c>
      <c r="X291" s="4">
        <f ca="1">IFERROR(__xludf.DUMMYFUNCTION("""COMPUTED_VALUE"""),4)</f>
        <v>4</v>
      </c>
      <c r="Y291" s="4">
        <f ca="1">IFERROR(__xludf.DUMMYFUNCTION("""COMPUTED_VALUE"""),4)</f>
        <v>4</v>
      </c>
      <c r="Z291" s="4">
        <f ca="1">IFERROR(__xludf.DUMMYFUNCTION("""COMPUTED_VALUE"""),4)</f>
        <v>4</v>
      </c>
      <c r="AA291" s="4">
        <f ca="1">IFERROR(__xludf.DUMMYFUNCTION("""COMPUTED_VALUE"""),4)</f>
        <v>4</v>
      </c>
      <c r="AB291" s="4">
        <f ca="1">IFERROR(__xludf.DUMMYFUNCTION("""COMPUTED_VALUE"""),4)</f>
        <v>4</v>
      </c>
      <c r="AC291" s="4">
        <f ca="1">IFERROR(__xludf.DUMMYFUNCTION("""COMPUTED_VALUE"""),3)</f>
        <v>3</v>
      </c>
      <c r="AD291" s="4">
        <f ca="1">IFERROR(__xludf.DUMMYFUNCTION("""COMPUTED_VALUE"""),3)</f>
        <v>3</v>
      </c>
      <c r="AE291" s="4">
        <f ca="1">IFERROR(__xludf.DUMMYFUNCTION("""COMPUTED_VALUE"""),4)</f>
        <v>4</v>
      </c>
      <c r="AF291" s="4">
        <f ca="1">IFERROR(__xludf.DUMMYFUNCTION("""COMPUTED_VALUE"""),4)</f>
        <v>4</v>
      </c>
      <c r="AG291" s="4">
        <f ca="1">IFERROR(__xludf.DUMMYFUNCTION("""COMPUTED_VALUE"""),4)</f>
        <v>4</v>
      </c>
      <c r="AH291" s="4">
        <f ca="1">IFERROR(__xludf.DUMMYFUNCTION("""COMPUTED_VALUE"""),4)</f>
        <v>4</v>
      </c>
      <c r="AI291" s="4">
        <f ca="1">IFERROR(__xludf.DUMMYFUNCTION("""COMPUTED_VALUE"""),3)</f>
        <v>3</v>
      </c>
      <c r="AJ291" s="4">
        <f ca="1">IFERROR(__xludf.DUMMYFUNCTION("""COMPUTED_VALUE"""),5)</f>
        <v>5</v>
      </c>
      <c r="AK291" s="4">
        <f ca="1">IFERROR(__xludf.DUMMYFUNCTION("""COMPUTED_VALUE"""),5)</f>
        <v>5</v>
      </c>
      <c r="AL291" s="4">
        <f ca="1">IFERROR(__xludf.DUMMYFUNCTION("""COMPUTED_VALUE"""),4)</f>
        <v>4</v>
      </c>
      <c r="AM291" s="4">
        <f ca="1">IFERROR(__xludf.DUMMYFUNCTION("""COMPUTED_VALUE"""),4)</f>
        <v>4</v>
      </c>
      <c r="AN291" s="4">
        <f ca="1">IFERROR(__xludf.DUMMYFUNCTION("""COMPUTED_VALUE"""),4)</f>
        <v>4</v>
      </c>
      <c r="AO291" s="4">
        <f ca="1">IFERROR(__xludf.DUMMYFUNCTION("""COMPUTED_VALUE"""),4)</f>
        <v>4</v>
      </c>
      <c r="AP291" s="4">
        <f ca="1">IFERROR(__xludf.DUMMYFUNCTION("""COMPUTED_VALUE"""),4)</f>
        <v>4</v>
      </c>
      <c r="AQ291" s="4">
        <f ca="1">IFERROR(__xludf.DUMMYFUNCTION("""COMPUTED_VALUE"""),4)</f>
        <v>4</v>
      </c>
      <c r="AR291" s="4">
        <f ca="1">IFERROR(__xludf.DUMMYFUNCTION("""COMPUTED_VALUE"""),3)</f>
        <v>3</v>
      </c>
      <c r="AS291" s="4">
        <f ca="1">IFERROR(__xludf.DUMMYFUNCTION("""COMPUTED_VALUE"""),4)</f>
        <v>4</v>
      </c>
      <c r="AT291" s="4">
        <f ca="1">IFERROR(__xludf.DUMMYFUNCTION("""COMPUTED_VALUE"""),4)</f>
        <v>4</v>
      </c>
      <c r="AU291" s="4">
        <f ca="1">IFERROR(__xludf.DUMMYFUNCTION("""COMPUTED_VALUE"""),4)</f>
        <v>4</v>
      </c>
      <c r="AV291" s="4">
        <f ca="1">IFERROR(__xludf.DUMMYFUNCTION("""COMPUTED_VALUE"""),4)</f>
        <v>4</v>
      </c>
      <c r="AW291" s="4">
        <f ca="1">IFERROR(__xludf.DUMMYFUNCTION("""COMPUTED_VALUE"""),4)</f>
        <v>4</v>
      </c>
      <c r="AX291" s="4">
        <f ca="1">IFERROR(__xludf.DUMMYFUNCTION("""COMPUTED_VALUE"""),5)</f>
        <v>5</v>
      </c>
      <c r="AY291" s="4">
        <f ca="1">IFERROR(__xludf.DUMMYFUNCTION("""COMPUTED_VALUE"""),5)</f>
        <v>5</v>
      </c>
      <c r="AZ291" s="4">
        <f ca="1">IFERROR(__xludf.DUMMYFUNCTION("""COMPUTED_VALUE"""),5)</f>
        <v>5</v>
      </c>
      <c r="BA291" s="4">
        <f ca="1">IFERROR(__xludf.DUMMYFUNCTION("""COMPUTED_VALUE"""),5)</f>
        <v>5</v>
      </c>
      <c r="BB291" s="4">
        <f ca="1">IFERROR(__xludf.DUMMYFUNCTION("""COMPUTED_VALUE"""),3)</f>
        <v>3</v>
      </c>
      <c r="BC291" s="4">
        <f ca="1">IFERROR(__xludf.DUMMYFUNCTION("""COMPUTED_VALUE"""),3)</f>
        <v>3</v>
      </c>
      <c r="BD291" s="4">
        <f ca="1">IFERROR(__xludf.DUMMYFUNCTION("""COMPUTED_VALUE"""),3)</f>
        <v>3</v>
      </c>
      <c r="BE291" s="4">
        <f ca="1">IFERROR(__xludf.DUMMYFUNCTION("""COMPUTED_VALUE"""),3)</f>
        <v>3</v>
      </c>
      <c r="BF291" s="4">
        <f ca="1">IFERROR(__xludf.DUMMYFUNCTION("""COMPUTED_VALUE"""),3)</f>
        <v>3</v>
      </c>
      <c r="BG291" s="4">
        <f ca="1">IFERROR(__xludf.DUMMYFUNCTION("""COMPUTED_VALUE"""),3)</f>
        <v>3</v>
      </c>
      <c r="BH291" s="4">
        <f ca="1">IFERROR(__xludf.DUMMYFUNCTION("""COMPUTED_VALUE"""),5)</f>
        <v>5</v>
      </c>
      <c r="BI291" s="4">
        <f ca="1">IFERROR(__xludf.DUMMYFUNCTION("""COMPUTED_VALUE"""),5)</f>
        <v>5</v>
      </c>
      <c r="BJ291" s="4">
        <f ca="1">IFERROR(__xludf.DUMMYFUNCTION("""COMPUTED_VALUE"""),5)</f>
        <v>5</v>
      </c>
      <c r="BK291" s="4">
        <f ca="1">IFERROR(__xludf.DUMMYFUNCTION("""COMPUTED_VALUE"""),4)</f>
        <v>4</v>
      </c>
      <c r="BL291" s="4">
        <f ca="1">IFERROR(__xludf.DUMMYFUNCTION("""COMPUTED_VALUE"""),4)</f>
        <v>4</v>
      </c>
      <c r="BM291" s="4">
        <f ca="1">IFERROR(__xludf.DUMMYFUNCTION("""COMPUTED_VALUE"""),4)</f>
        <v>4</v>
      </c>
      <c r="BN291" s="4">
        <f ca="1">IFERROR(__xludf.DUMMYFUNCTION("""COMPUTED_VALUE"""),4)</f>
        <v>4</v>
      </c>
      <c r="BO291" s="4">
        <f ca="1">IFERROR(__xludf.DUMMYFUNCTION("""COMPUTED_VALUE"""),4)</f>
        <v>4</v>
      </c>
      <c r="BP291" s="4">
        <f ca="1">IFERROR(__xludf.DUMMYFUNCTION("""COMPUTED_VALUE"""),4)</f>
        <v>4</v>
      </c>
    </row>
    <row r="292" spans="1:68" ht="13.2" x14ac:dyDescent="0.25">
      <c r="A292" s="4" t="str">
        <f ca="1">IFERROR(__xludf.DUMMYFUNCTION("""COMPUTED_VALUE"""),"2_ABaOnucNcYNWs4IPPkrkb4qWZSkrna9iCPmaIUMEqMPqcA9j0IJgtBB64WCblYwgCg")</f>
        <v>2_ABaOnucNcYNWs4IPPkrkb4qWZSkrna9iCPmaIUMEqMPqcA9j0IJgtBB64WCblYwgCg</v>
      </c>
      <c r="B292" s="5">
        <f ca="1">IFERROR(__xludf.DUMMYFUNCTION("""COMPUTED_VALUE"""),45986.4691343865)</f>
        <v>45986.469134386498</v>
      </c>
      <c r="C292" s="4" t="str">
        <f ca="1">IFERROR(__xludf.DUMMYFUNCTION("""COMPUTED_VALUE"""),"Bùi Thị Thanh Tuyền")</f>
        <v>Bùi Thị Thanh Tuyền</v>
      </c>
      <c r="D292" s="4" t="str">
        <f ca="1">IFERROR(__xludf.DUMMYFUNCTION("""COMPUTED_VALUE"""),"Nữ")</f>
        <v>Nữ</v>
      </c>
      <c r="E292" s="4" t="str">
        <f ca="1">IFERROR(__xludf.DUMMYFUNCTION("""COMPUTED_VALUE"""),"Công ty TNHH Kiểm toán U&amp;I")</f>
        <v>Công ty TNHH Kiểm toán U&amp;I</v>
      </c>
      <c r="F292" s="4" t="str">
        <f ca="1">IFERROR(__xludf.DUMMYFUNCTION("""COMPUTED_VALUE"""),"Đại học, Sau đại học")</f>
        <v>Đại học, Sau đại học</v>
      </c>
      <c r="G292" s="4" t="str">
        <f ca="1">IFERROR(__xludf.DUMMYFUNCTION("""COMPUTED_VALUE"""),"Trên 5 đến 10 năm")</f>
        <v>Trên 5 đến 10 năm</v>
      </c>
      <c r="H292" s="4" t="str">
        <f ca="1">IFERROR(__xludf.DUMMYFUNCTION("""COMPUTED_VALUE"""),"Kiểm toán viên/Trưởng nhóm")</f>
        <v>Kiểm toán viên/Trưởng nhóm</v>
      </c>
      <c r="I292" s="4">
        <f ca="1">IFERROR(__xludf.DUMMYFUNCTION("""COMPUTED_VALUE"""),5)</f>
        <v>5</v>
      </c>
      <c r="J292" s="4">
        <f ca="1">IFERROR(__xludf.DUMMYFUNCTION("""COMPUTED_VALUE"""),4)</f>
        <v>4</v>
      </c>
      <c r="K292" s="4">
        <f ca="1">IFERROR(__xludf.DUMMYFUNCTION("""COMPUTED_VALUE"""),4)</f>
        <v>4</v>
      </c>
      <c r="L292" s="4">
        <f ca="1">IFERROR(__xludf.DUMMYFUNCTION("""COMPUTED_VALUE"""),3)</f>
        <v>3</v>
      </c>
      <c r="M292" s="4">
        <f ca="1">IFERROR(__xludf.DUMMYFUNCTION("""COMPUTED_VALUE"""),3)</f>
        <v>3</v>
      </c>
      <c r="N292" s="4">
        <f ca="1">IFERROR(__xludf.DUMMYFUNCTION("""COMPUTED_VALUE"""),3)</f>
        <v>3</v>
      </c>
      <c r="O292" s="4">
        <f ca="1">IFERROR(__xludf.DUMMYFUNCTION("""COMPUTED_VALUE"""),3)</f>
        <v>3</v>
      </c>
      <c r="P292" s="4">
        <f ca="1">IFERROR(__xludf.DUMMYFUNCTION("""COMPUTED_VALUE"""),4)</f>
        <v>4</v>
      </c>
      <c r="Q292" s="4">
        <f ca="1">IFERROR(__xludf.DUMMYFUNCTION("""COMPUTED_VALUE"""),4)</f>
        <v>4</v>
      </c>
      <c r="R292" s="4">
        <f ca="1">IFERROR(__xludf.DUMMYFUNCTION("""COMPUTED_VALUE"""),4)</f>
        <v>4</v>
      </c>
      <c r="S292" s="4">
        <f ca="1">IFERROR(__xludf.DUMMYFUNCTION("""COMPUTED_VALUE"""),4)</f>
        <v>4</v>
      </c>
      <c r="T292" s="4">
        <f ca="1">IFERROR(__xludf.DUMMYFUNCTION("""COMPUTED_VALUE"""),4)</f>
        <v>4</v>
      </c>
      <c r="U292" s="4">
        <f ca="1">IFERROR(__xludf.DUMMYFUNCTION("""COMPUTED_VALUE"""),4)</f>
        <v>4</v>
      </c>
      <c r="V292" s="4">
        <f ca="1">IFERROR(__xludf.DUMMYFUNCTION("""COMPUTED_VALUE"""),4)</f>
        <v>4</v>
      </c>
      <c r="W292" s="4">
        <f ca="1">IFERROR(__xludf.DUMMYFUNCTION("""COMPUTED_VALUE"""),3)</f>
        <v>3</v>
      </c>
      <c r="X292" s="4">
        <f ca="1">IFERROR(__xludf.DUMMYFUNCTION("""COMPUTED_VALUE"""),3)</f>
        <v>3</v>
      </c>
      <c r="Y292" s="4">
        <f ca="1">IFERROR(__xludf.DUMMYFUNCTION("""COMPUTED_VALUE"""),3)</f>
        <v>3</v>
      </c>
      <c r="Z292" s="4">
        <f ca="1">IFERROR(__xludf.DUMMYFUNCTION("""COMPUTED_VALUE"""),3)</f>
        <v>3</v>
      </c>
      <c r="AA292" s="4">
        <f ca="1">IFERROR(__xludf.DUMMYFUNCTION("""COMPUTED_VALUE"""),3)</f>
        <v>3</v>
      </c>
      <c r="AB292" s="4">
        <f ca="1">IFERROR(__xludf.DUMMYFUNCTION("""COMPUTED_VALUE"""),3)</f>
        <v>3</v>
      </c>
      <c r="AC292" s="4">
        <f ca="1">IFERROR(__xludf.DUMMYFUNCTION("""COMPUTED_VALUE"""),3)</f>
        <v>3</v>
      </c>
      <c r="AD292" s="4">
        <f ca="1">IFERROR(__xludf.DUMMYFUNCTION("""COMPUTED_VALUE"""),4)</f>
        <v>4</v>
      </c>
      <c r="AE292" s="4">
        <f ca="1">IFERROR(__xludf.DUMMYFUNCTION("""COMPUTED_VALUE"""),4)</f>
        <v>4</v>
      </c>
      <c r="AF292" s="4">
        <f ca="1">IFERROR(__xludf.DUMMYFUNCTION("""COMPUTED_VALUE"""),3)</f>
        <v>3</v>
      </c>
      <c r="AG292" s="4">
        <f ca="1">IFERROR(__xludf.DUMMYFUNCTION("""COMPUTED_VALUE"""),3)</f>
        <v>3</v>
      </c>
      <c r="AH292" s="4">
        <f ca="1">IFERROR(__xludf.DUMMYFUNCTION("""COMPUTED_VALUE"""),3)</f>
        <v>3</v>
      </c>
      <c r="AI292" s="4">
        <f ca="1">IFERROR(__xludf.DUMMYFUNCTION("""COMPUTED_VALUE"""),3)</f>
        <v>3</v>
      </c>
      <c r="AJ292" s="4">
        <f ca="1">IFERROR(__xludf.DUMMYFUNCTION("""COMPUTED_VALUE"""),4)</f>
        <v>4</v>
      </c>
      <c r="AK292" s="4">
        <f ca="1">IFERROR(__xludf.DUMMYFUNCTION("""COMPUTED_VALUE"""),4)</f>
        <v>4</v>
      </c>
      <c r="AL292" s="4">
        <f ca="1">IFERROR(__xludf.DUMMYFUNCTION("""COMPUTED_VALUE"""),4)</f>
        <v>4</v>
      </c>
      <c r="AM292" s="4">
        <f ca="1">IFERROR(__xludf.DUMMYFUNCTION("""COMPUTED_VALUE"""),4)</f>
        <v>4</v>
      </c>
      <c r="AN292" s="4">
        <f ca="1">IFERROR(__xludf.DUMMYFUNCTION("""COMPUTED_VALUE"""),4)</f>
        <v>4</v>
      </c>
      <c r="AO292" s="4">
        <f ca="1">IFERROR(__xludf.DUMMYFUNCTION("""COMPUTED_VALUE"""),3)</f>
        <v>3</v>
      </c>
      <c r="AP292" s="4">
        <f ca="1">IFERROR(__xludf.DUMMYFUNCTION("""COMPUTED_VALUE"""),3)</f>
        <v>3</v>
      </c>
      <c r="AQ292" s="4">
        <f ca="1">IFERROR(__xludf.DUMMYFUNCTION("""COMPUTED_VALUE"""),3)</f>
        <v>3</v>
      </c>
      <c r="AR292" s="4">
        <f ca="1">IFERROR(__xludf.DUMMYFUNCTION("""COMPUTED_VALUE"""),3)</f>
        <v>3</v>
      </c>
      <c r="AS292" s="4">
        <f ca="1">IFERROR(__xludf.DUMMYFUNCTION("""COMPUTED_VALUE"""),3)</f>
        <v>3</v>
      </c>
      <c r="AT292" s="4">
        <f ca="1">IFERROR(__xludf.DUMMYFUNCTION("""COMPUTED_VALUE"""),3)</f>
        <v>3</v>
      </c>
      <c r="AU292" s="4">
        <f ca="1">IFERROR(__xludf.DUMMYFUNCTION("""COMPUTED_VALUE"""),3)</f>
        <v>3</v>
      </c>
      <c r="AV292" s="4">
        <f ca="1">IFERROR(__xludf.DUMMYFUNCTION("""COMPUTED_VALUE"""),3)</f>
        <v>3</v>
      </c>
      <c r="AW292" s="4">
        <f ca="1">IFERROR(__xludf.DUMMYFUNCTION("""COMPUTED_VALUE"""),3)</f>
        <v>3</v>
      </c>
      <c r="AX292" s="4">
        <f ca="1">IFERROR(__xludf.DUMMYFUNCTION("""COMPUTED_VALUE"""),4)</f>
        <v>4</v>
      </c>
      <c r="AY292" s="4">
        <f ca="1">IFERROR(__xludf.DUMMYFUNCTION("""COMPUTED_VALUE"""),4)</f>
        <v>4</v>
      </c>
      <c r="AZ292" s="4">
        <f ca="1">IFERROR(__xludf.DUMMYFUNCTION("""COMPUTED_VALUE"""),4)</f>
        <v>4</v>
      </c>
      <c r="BA292" s="4">
        <f ca="1">IFERROR(__xludf.DUMMYFUNCTION("""COMPUTED_VALUE"""),4)</f>
        <v>4</v>
      </c>
      <c r="BB292" s="4">
        <f ca="1">IFERROR(__xludf.DUMMYFUNCTION("""COMPUTED_VALUE"""),3)</f>
        <v>3</v>
      </c>
      <c r="BC292" s="4">
        <f ca="1">IFERROR(__xludf.DUMMYFUNCTION("""COMPUTED_VALUE"""),3)</f>
        <v>3</v>
      </c>
      <c r="BD292" s="4">
        <f ca="1">IFERROR(__xludf.DUMMYFUNCTION("""COMPUTED_VALUE"""),3)</f>
        <v>3</v>
      </c>
      <c r="BE292" s="4">
        <f ca="1">IFERROR(__xludf.DUMMYFUNCTION("""COMPUTED_VALUE"""),3)</f>
        <v>3</v>
      </c>
      <c r="BF292" s="4">
        <f ca="1">IFERROR(__xludf.DUMMYFUNCTION("""COMPUTED_VALUE"""),3)</f>
        <v>3</v>
      </c>
      <c r="BG292" s="4">
        <f ca="1">IFERROR(__xludf.DUMMYFUNCTION("""COMPUTED_VALUE"""),3)</f>
        <v>3</v>
      </c>
      <c r="BH292" s="4">
        <f ca="1">IFERROR(__xludf.DUMMYFUNCTION("""COMPUTED_VALUE"""),3)</f>
        <v>3</v>
      </c>
      <c r="BI292" s="4">
        <f ca="1">IFERROR(__xludf.DUMMYFUNCTION("""COMPUTED_VALUE"""),4)</f>
        <v>4</v>
      </c>
      <c r="BJ292" s="4">
        <f ca="1">IFERROR(__xludf.DUMMYFUNCTION("""COMPUTED_VALUE"""),4)</f>
        <v>4</v>
      </c>
      <c r="BK292" s="4">
        <f ca="1">IFERROR(__xludf.DUMMYFUNCTION("""COMPUTED_VALUE"""),3)</f>
        <v>3</v>
      </c>
      <c r="BL292" s="4">
        <f ca="1">IFERROR(__xludf.DUMMYFUNCTION("""COMPUTED_VALUE"""),4)</f>
        <v>4</v>
      </c>
      <c r="BM292" s="4">
        <f ca="1">IFERROR(__xludf.DUMMYFUNCTION("""COMPUTED_VALUE"""),4)</f>
        <v>4</v>
      </c>
      <c r="BN292" s="4">
        <f ca="1">IFERROR(__xludf.DUMMYFUNCTION("""COMPUTED_VALUE"""),4)</f>
        <v>4</v>
      </c>
      <c r="BO292" s="4">
        <f ca="1">IFERROR(__xludf.DUMMYFUNCTION("""COMPUTED_VALUE"""),4)</f>
        <v>4</v>
      </c>
      <c r="BP292" s="4">
        <f ca="1">IFERROR(__xludf.DUMMYFUNCTION("""COMPUTED_VALUE"""),4)</f>
        <v>4</v>
      </c>
    </row>
    <row r="293" spans="1:68" ht="13.2" x14ac:dyDescent="0.25">
      <c r="A293" s="4" t="str">
        <f ca="1">IFERROR(__xludf.DUMMYFUNCTION("""COMPUTED_VALUE"""),"2_ABaOnuflnqiAbEsVlajlj3MahuL-H4DAe3pAUcf1s__dgzUFddmPZY7XINNM7JN8Bw")</f>
        <v>2_ABaOnuflnqiAbEsVlajlj3MahuL-H4DAe3pAUcf1s__dgzUFddmPZY7XINNM7JN8Bw</v>
      </c>
      <c r="B293" s="5">
        <f ca="1">IFERROR(__xludf.DUMMYFUNCTION("""COMPUTED_VALUE"""),45986.4694207407)</f>
        <v>45986.469420740701</v>
      </c>
      <c r="C293" s="4" t="str">
        <f ca="1">IFERROR(__xludf.DUMMYFUNCTION("""COMPUTED_VALUE"""),"NGUYỄN THỊ THÙY LINH")</f>
        <v>NGUYỄN THỊ THÙY LINH</v>
      </c>
      <c r="D293" s="4" t="str">
        <f ca="1">IFERROR(__xludf.DUMMYFUNCTION("""COMPUTED_VALUE"""),"Nữ")</f>
        <v>Nữ</v>
      </c>
      <c r="E293" s="4" t="str">
        <f ca="1">IFERROR(__xludf.DUMMYFUNCTION("""COMPUTED_VALUE"""),"CÔNG TY TNHH KIỂM TOÁN U&amp;I")</f>
        <v>CÔNG TY TNHH KIỂM TOÁN U&amp;I</v>
      </c>
      <c r="F293" s="4" t="str">
        <f ca="1">IFERROR(__xludf.DUMMYFUNCTION("""COMPUTED_VALUE"""),"Sau đại học, Chứng chỉ Kiểm toán viên")</f>
        <v>Sau đại học, Chứng chỉ Kiểm toán viên</v>
      </c>
      <c r="G293" s="4" t="str">
        <f ca="1">IFERROR(__xludf.DUMMYFUNCTION("""COMPUTED_VALUE"""),"Trên 10 đến 15 năm")</f>
        <v>Trên 10 đến 15 năm</v>
      </c>
      <c r="H293" s="4" t="str">
        <f ca="1">IFERROR(__xludf.DUMMYFUNCTION("""COMPUTED_VALUE"""),"Trưởng phòng")</f>
        <v>Trưởng phòng</v>
      </c>
      <c r="I293" s="4">
        <f ca="1">IFERROR(__xludf.DUMMYFUNCTION("""COMPUTED_VALUE"""),5)</f>
        <v>5</v>
      </c>
      <c r="J293" s="4">
        <f ca="1">IFERROR(__xludf.DUMMYFUNCTION("""COMPUTED_VALUE"""),5)</f>
        <v>5</v>
      </c>
      <c r="K293" s="4">
        <f ca="1">IFERROR(__xludf.DUMMYFUNCTION("""COMPUTED_VALUE"""),5)</f>
        <v>5</v>
      </c>
      <c r="L293" s="4">
        <f ca="1">IFERROR(__xludf.DUMMYFUNCTION("""COMPUTED_VALUE"""),3)</f>
        <v>3</v>
      </c>
      <c r="M293" s="4">
        <f ca="1">IFERROR(__xludf.DUMMYFUNCTION("""COMPUTED_VALUE"""),5)</f>
        <v>5</v>
      </c>
      <c r="N293" s="4">
        <f ca="1">IFERROR(__xludf.DUMMYFUNCTION("""COMPUTED_VALUE"""),3)</f>
        <v>3</v>
      </c>
      <c r="O293" s="4">
        <f ca="1">IFERROR(__xludf.DUMMYFUNCTION("""COMPUTED_VALUE"""),3)</f>
        <v>3</v>
      </c>
      <c r="P293" s="4">
        <f ca="1">IFERROR(__xludf.DUMMYFUNCTION("""COMPUTED_VALUE"""),5)</f>
        <v>5</v>
      </c>
      <c r="Q293" s="4">
        <f ca="1">IFERROR(__xludf.DUMMYFUNCTION("""COMPUTED_VALUE"""),5)</f>
        <v>5</v>
      </c>
      <c r="R293" s="4">
        <f ca="1">IFERROR(__xludf.DUMMYFUNCTION("""COMPUTED_VALUE"""),5)</f>
        <v>5</v>
      </c>
      <c r="S293" s="4">
        <f ca="1">IFERROR(__xludf.DUMMYFUNCTION("""COMPUTED_VALUE"""),5)</f>
        <v>5</v>
      </c>
      <c r="T293" s="4">
        <f ca="1">IFERROR(__xludf.DUMMYFUNCTION("""COMPUTED_VALUE"""),5)</f>
        <v>5</v>
      </c>
      <c r="U293" s="4">
        <f ca="1">IFERROR(__xludf.DUMMYFUNCTION("""COMPUTED_VALUE"""),5)</f>
        <v>5</v>
      </c>
      <c r="V293" s="4">
        <f ca="1">IFERROR(__xludf.DUMMYFUNCTION("""COMPUTED_VALUE"""),5)</f>
        <v>5</v>
      </c>
      <c r="W293" s="4">
        <f ca="1">IFERROR(__xludf.DUMMYFUNCTION("""COMPUTED_VALUE"""),4)</f>
        <v>4</v>
      </c>
      <c r="X293" s="4">
        <f ca="1">IFERROR(__xludf.DUMMYFUNCTION("""COMPUTED_VALUE"""),4)</f>
        <v>4</v>
      </c>
      <c r="Y293" s="4">
        <f ca="1">IFERROR(__xludf.DUMMYFUNCTION("""COMPUTED_VALUE"""),3)</f>
        <v>3</v>
      </c>
      <c r="Z293" s="4">
        <f ca="1">IFERROR(__xludf.DUMMYFUNCTION("""COMPUTED_VALUE"""),4)</f>
        <v>4</v>
      </c>
      <c r="AA293" s="4">
        <f ca="1">IFERROR(__xludf.DUMMYFUNCTION("""COMPUTED_VALUE"""),5)</f>
        <v>5</v>
      </c>
      <c r="AB293" s="4">
        <f ca="1">IFERROR(__xludf.DUMMYFUNCTION("""COMPUTED_VALUE"""),3)</f>
        <v>3</v>
      </c>
      <c r="AC293" s="4">
        <f ca="1">IFERROR(__xludf.DUMMYFUNCTION("""COMPUTED_VALUE"""),3)</f>
        <v>3</v>
      </c>
      <c r="AD293" s="4">
        <f ca="1">IFERROR(__xludf.DUMMYFUNCTION("""COMPUTED_VALUE"""),1)</f>
        <v>1</v>
      </c>
      <c r="AE293" s="4">
        <f ca="1">IFERROR(__xludf.DUMMYFUNCTION("""COMPUTED_VALUE"""),3)</f>
        <v>3</v>
      </c>
      <c r="AF293" s="4">
        <f ca="1">IFERROR(__xludf.DUMMYFUNCTION("""COMPUTED_VALUE"""),5)</f>
        <v>5</v>
      </c>
      <c r="AG293" s="4">
        <f ca="1">IFERROR(__xludf.DUMMYFUNCTION("""COMPUTED_VALUE"""),5)</f>
        <v>5</v>
      </c>
      <c r="AH293" s="4">
        <f ca="1">IFERROR(__xludf.DUMMYFUNCTION("""COMPUTED_VALUE"""),5)</f>
        <v>5</v>
      </c>
      <c r="AI293" s="4">
        <f ca="1">IFERROR(__xludf.DUMMYFUNCTION("""COMPUTED_VALUE"""),4)</f>
        <v>4</v>
      </c>
      <c r="AJ293" s="4">
        <f ca="1">IFERROR(__xludf.DUMMYFUNCTION("""COMPUTED_VALUE"""),5)</f>
        <v>5</v>
      </c>
      <c r="AK293" s="4">
        <f ca="1">IFERROR(__xludf.DUMMYFUNCTION("""COMPUTED_VALUE"""),5)</f>
        <v>5</v>
      </c>
      <c r="AL293" s="4">
        <f ca="1">IFERROR(__xludf.DUMMYFUNCTION("""COMPUTED_VALUE"""),5)</f>
        <v>5</v>
      </c>
      <c r="AM293" s="4">
        <f ca="1">IFERROR(__xludf.DUMMYFUNCTION("""COMPUTED_VALUE"""),5)</f>
        <v>5</v>
      </c>
      <c r="AN293" s="4">
        <f ca="1">IFERROR(__xludf.DUMMYFUNCTION("""COMPUTED_VALUE"""),5)</f>
        <v>5</v>
      </c>
      <c r="AO293" s="4">
        <f ca="1">IFERROR(__xludf.DUMMYFUNCTION("""COMPUTED_VALUE"""),4)</f>
        <v>4</v>
      </c>
      <c r="AP293" s="4">
        <f ca="1">IFERROR(__xludf.DUMMYFUNCTION("""COMPUTED_VALUE"""),4)</f>
        <v>4</v>
      </c>
      <c r="AQ293" s="4">
        <f ca="1">IFERROR(__xludf.DUMMYFUNCTION("""COMPUTED_VALUE"""),5)</f>
        <v>5</v>
      </c>
      <c r="AR293" s="4">
        <f ca="1">IFERROR(__xludf.DUMMYFUNCTION("""COMPUTED_VALUE"""),5)</f>
        <v>5</v>
      </c>
      <c r="AS293" s="4">
        <f ca="1">IFERROR(__xludf.DUMMYFUNCTION("""COMPUTED_VALUE"""),5)</f>
        <v>5</v>
      </c>
      <c r="AT293" s="4">
        <f ca="1">IFERROR(__xludf.DUMMYFUNCTION("""COMPUTED_VALUE"""),4)</f>
        <v>4</v>
      </c>
      <c r="AU293" s="4">
        <f ca="1">IFERROR(__xludf.DUMMYFUNCTION("""COMPUTED_VALUE"""),5)</f>
        <v>5</v>
      </c>
      <c r="AV293" s="4">
        <f ca="1">IFERROR(__xludf.DUMMYFUNCTION("""COMPUTED_VALUE"""),5)</f>
        <v>5</v>
      </c>
      <c r="AW293" s="4">
        <f ca="1">IFERROR(__xludf.DUMMYFUNCTION("""COMPUTED_VALUE"""),5)</f>
        <v>5</v>
      </c>
      <c r="AX293" s="4">
        <f ca="1">IFERROR(__xludf.DUMMYFUNCTION("""COMPUTED_VALUE"""),5)</f>
        <v>5</v>
      </c>
      <c r="AY293" s="4">
        <f ca="1">IFERROR(__xludf.DUMMYFUNCTION("""COMPUTED_VALUE"""),5)</f>
        <v>5</v>
      </c>
      <c r="AZ293" s="4">
        <f ca="1">IFERROR(__xludf.DUMMYFUNCTION("""COMPUTED_VALUE"""),5)</f>
        <v>5</v>
      </c>
      <c r="BA293" s="4">
        <f ca="1">IFERROR(__xludf.DUMMYFUNCTION("""COMPUTED_VALUE"""),5)</f>
        <v>5</v>
      </c>
      <c r="BB293" s="4">
        <f ca="1">IFERROR(__xludf.DUMMYFUNCTION("""COMPUTED_VALUE"""),3)</f>
        <v>3</v>
      </c>
      <c r="BC293" s="4">
        <f ca="1">IFERROR(__xludf.DUMMYFUNCTION("""COMPUTED_VALUE"""),3)</f>
        <v>3</v>
      </c>
      <c r="BD293" s="4">
        <f ca="1">IFERROR(__xludf.DUMMYFUNCTION("""COMPUTED_VALUE"""),3)</f>
        <v>3</v>
      </c>
      <c r="BE293" s="4">
        <f ca="1">IFERROR(__xludf.DUMMYFUNCTION("""COMPUTED_VALUE"""),3)</f>
        <v>3</v>
      </c>
      <c r="BF293" s="4">
        <f ca="1">IFERROR(__xludf.DUMMYFUNCTION("""COMPUTED_VALUE"""),3)</f>
        <v>3</v>
      </c>
      <c r="BG293" s="4">
        <f ca="1">IFERROR(__xludf.DUMMYFUNCTION("""COMPUTED_VALUE"""),3)</f>
        <v>3</v>
      </c>
      <c r="BH293" s="4">
        <f ca="1">IFERROR(__xludf.DUMMYFUNCTION("""COMPUTED_VALUE"""),5)</f>
        <v>5</v>
      </c>
      <c r="BI293" s="4">
        <f ca="1">IFERROR(__xludf.DUMMYFUNCTION("""COMPUTED_VALUE"""),5)</f>
        <v>5</v>
      </c>
      <c r="BJ293" s="4">
        <f ca="1">IFERROR(__xludf.DUMMYFUNCTION("""COMPUTED_VALUE"""),5)</f>
        <v>5</v>
      </c>
      <c r="BK293" s="4">
        <f ca="1">IFERROR(__xludf.DUMMYFUNCTION("""COMPUTED_VALUE"""),5)</f>
        <v>5</v>
      </c>
      <c r="BL293" s="4">
        <f ca="1">IFERROR(__xludf.DUMMYFUNCTION("""COMPUTED_VALUE"""),5)</f>
        <v>5</v>
      </c>
      <c r="BM293" s="4">
        <f ca="1">IFERROR(__xludf.DUMMYFUNCTION("""COMPUTED_VALUE"""),5)</f>
        <v>5</v>
      </c>
      <c r="BN293" s="4">
        <f ca="1">IFERROR(__xludf.DUMMYFUNCTION("""COMPUTED_VALUE"""),5)</f>
        <v>5</v>
      </c>
      <c r="BO293" s="4">
        <f ca="1">IFERROR(__xludf.DUMMYFUNCTION("""COMPUTED_VALUE"""),5)</f>
        <v>5</v>
      </c>
      <c r="BP293" s="4">
        <f ca="1">IFERROR(__xludf.DUMMYFUNCTION("""COMPUTED_VALUE"""),5)</f>
        <v>5</v>
      </c>
    </row>
    <row r="294" spans="1:68" ht="13.2" x14ac:dyDescent="0.25">
      <c r="A294" s="4" t="str">
        <f ca="1">IFERROR(__xludf.DUMMYFUNCTION("""COMPUTED_VALUE"""),"2_ABaOnudSVDBKCSmnhXN0XzhVD-TDBVYP93DBBa-OMI4HuUMi7mzuZ9IwMxV8tnJIOg")</f>
        <v>2_ABaOnudSVDBKCSmnhXN0XzhVD-TDBVYP93DBBa-OMI4HuUMi7mzuZ9IwMxV8tnJIOg</v>
      </c>
      <c r="B294" s="5">
        <f ca="1">IFERROR(__xludf.DUMMYFUNCTION("""COMPUTED_VALUE"""),45986.4702692361)</f>
        <v>45986.470269236102</v>
      </c>
      <c r="C294" s="4" t="str">
        <f ca="1">IFERROR(__xludf.DUMMYFUNCTION("""COMPUTED_VALUE"""),"Nguyễn Thị Cẩm Tú")</f>
        <v>Nguyễn Thị Cẩm Tú</v>
      </c>
      <c r="D294" s="4" t="str">
        <f ca="1">IFERROR(__xludf.DUMMYFUNCTION("""COMPUTED_VALUE"""),"Nữ")</f>
        <v>Nữ</v>
      </c>
      <c r="E294" s="4" t="str">
        <f ca="1">IFERROR(__xludf.DUMMYFUNCTION("""COMPUTED_VALUE"""),"Công ty TNHH Kiểm toán CPA")</f>
        <v>Công ty TNHH Kiểm toán CPA</v>
      </c>
      <c r="F294" s="4" t="str">
        <f ca="1">IFERROR(__xludf.DUMMYFUNCTION("""COMPUTED_VALUE"""),"Đại học")</f>
        <v>Đại học</v>
      </c>
      <c r="G294" s="4" t="str">
        <f ca="1">IFERROR(__xludf.DUMMYFUNCTION("""COMPUTED_VALUE"""),"Trên 5 đến 10 năm")</f>
        <v>Trên 5 đến 10 năm</v>
      </c>
      <c r="H294" s="4" t="str">
        <f ca="1">IFERROR(__xludf.DUMMYFUNCTION("""COMPUTED_VALUE"""),"Kiểm toán viên/Trưởng nhóm")</f>
        <v>Kiểm toán viên/Trưởng nhóm</v>
      </c>
      <c r="I294" s="4">
        <f ca="1">IFERROR(__xludf.DUMMYFUNCTION("""COMPUTED_VALUE"""),5)</f>
        <v>5</v>
      </c>
      <c r="J294" s="4">
        <f ca="1">IFERROR(__xludf.DUMMYFUNCTION("""COMPUTED_VALUE"""),4)</f>
        <v>4</v>
      </c>
      <c r="K294" s="4">
        <f ca="1">IFERROR(__xludf.DUMMYFUNCTION("""COMPUTED_VALUE"""),5)</f>
        <v>5</v>
      </c>
      <c r="L294" s="4">
        <f ca="1">IFERROR(__xludf.DUMMYFUNCTION("""COMPUTED_VALUE"""),3)</f>
        <v>3</v>
      </c>
      <c r="M294" s="4">
        <f ca="1">IFERROR(__xludf.DUMMYFUNCTION("""COMPUTED_VALUE"""),4)</f>
        <v>4</v>
      </c>
      <c r="N294" s="4">
        <f ca="1">IFERROR(__xludf.DUMMYFUNCTION("""COMPUTED_VALUE"""),3)</f>
        <v>3</v>
      </c>
      <c r="O294" s="4">
        <f ca="1">IFERROR(__xludf.DUMMYFUNCTION("""COMPUTED_VALUE"""),2)</f>
        <v>2</v>
      </c>
      <c r="P294" s="4">
        <f ca="1">IFERROR(__xludf.DUMMYFUNCTION("""COMPUTED_VALUE"""),4)</f>
        <v>4</v>
      </c>
      <c r="Q294" s="4">
        <f ca="1">IFERROR(__xludf.DUMMYFUNCTION("""COMPUTED_VALUE"""),5)</f>
        <v>5</v>
      </c>
      <c r="R294" s="4">
        <f ca="1">IFERROR(__xludf.DUMMYFUNCTION("""COMPUTED_VALUE"""),4)</f>
        <v>4</v>
      </c>
      <c r="S294" s="4">
        <f ca="1">IFERROR(__xludf.DUMMYFUNCTION("""COMPUTED_VALUE"""),4)</f>
        <v>4</v>
      </c>
      <c r="T294" s="4">
        <f ca="1">IFERROR(__xludf.DUMMYFUNCTION("""COMPUTED_VALUE"""),4)</f>
        <v>4</v>
      </c>
      <c r="U294" s="4">
        <f ca="1">IFERROR(__xludf.DUMMYFUNCTION("""COMPUTED_VALUE"""),5)</f>
        <v>5</v>
      </c>
      <c r="V294" s="4">
        <f ca="1">IFERROR(__xludf.DUMMYFUNCTION("""COMPUTED_VALUE"""),5)</f>
        <v>5</v>
      </c>
      <c r="W294" s="4">
        <f ca="1">IFERROR(__xludf.DUMMYFUNCTION("""COMPUTED_VALUE"""),3)</f>
        <v>3</v>
      </c>
      <c r="X294" s="4">
        <f ca="1">IFERROR(__xludf.DUMMYFUNCTION("""COMPUTED_VALUE"""),4)</f>
        <v>4</v>
      </c>
      <c r="Y294" s="4">
        <f ca="1">IFERROR(__xludf.DUMMYFUNCTION("""COMPUTED_VALUE"""),4)</f>
        <v>4</v>
      </c>
      <c r="Z294" s="4">
        <f ca="1">IFERROR(__xludf.DUMMYFUNCTION("""COMPUTED_VALUE"""),5)</f>
        <v>5</v>
      </c>
      <c r="AA294" s="4">
        <f ca="1">IFERROR(__xludf.DUMMYFUNCTION("""COMPUTED_VALUE"""),4)</f>
        <v>4</v>
      </c>
      <c r="AB294" s="4">
        <f ca="1">IFERROR(__xludf.DUMMYFUNCTION("""COMPUTED_VALUE"""),4)</f>
        <v>4</v>
      </c>
      <c r="AC294" s="4">
        <f ca="1">IFERROR(__xludf.DUMMYFUNCTION("""COMPUTED_VALUE"""),4)</f>
        <v>4</v>
      </c>
      <c r="AD294" s="4">
        <f ca="1">IFERROR(__xludf.DUMMYFUNCTION("""COMPUTED_VALUE"""),3)</f>
        <v>3</v>
      </c>
      <c r="AE294" s="4">
        <f ca="1">IFERROR(__xludf.DUMMYFUNCTION("""COMPUTED_VALUE"""),5)</f>
        <v>5</v>
      </c>
      <c r="AF294" s="4">
        <f ca="1">IFERROR(__xludf.DUMMYFUNCTION("""COMPUTED_VALUE"""),4)</f>
        <v>4</v>
      </c>
      <c r="AG294" s="4">
        <f ca="1">IFERROR(__xludf.DUMMYFUNCTION("""COMPUTED_VALUE"""),3)</f>
        <v>3</v>
      </c>
      <c r="AH294" s="4">
        <f ca="1">IFERROR(__xludf.DUMMYFUNCTION("""COMPUTED_VALUE"""),4)</f>
        <v>4</v>
      </c>
      <c r="AI294" s="4">
        <f ca="1">IFERROR(__xludf.DUMMYFUNCTION("""COMPUTED_VALUE"""),4)</f>
        <v>4</v>
      </c>
      <c r="AJ294" s="4">
        <f ca="1">IFERROR(__xludf.DUMMYFUNCTION("""COMPUTED_VALUE"""),4)</f>
        <v>4</v>
      </c>
      <c r="AK294" s="4">
        <f ca="1">IFERROR(__xludf.DUMMYFUNCTION("""COMPUTED_VALUE"""),4)</f>
        <v>4</v>
      </c>
      <c r="AL294" s="4">
        <f ca="1">IFERROR(__xludf.DUMMYFUNCTION("""COMPUTED_VALUE"""),5)</f>
        <v>5</v>
      </c>
      <c r="AM294" s="4">
        <f ca="1">IFERROR(__xludf.DUMMYFUNCTION("""COMPUTED_VALUE"""),4)</f>
        <v>4</v>
      </c>
      <c r="AN294" s="4">
        <f ca="1">IFERROR(__xludf.DUMMYFUNCTION("""COMPUTED_VALUE"""),4)</f>
        <v>4</v>
      </c>
      <c r="AO294" s="4">
        <f ca="1">IFERROR(__xludf.DUMMYFUNCTION("""COMPUTED_VALUE"""),4)</f>
        <v>4</v>
      </c>
      <c r="AP294" s="4">
        <f ca="1">IFERROR(__xludf.DUMMYFUNCTION("""COMPUTED_VALUE"""),3)</f>
        <v>3</v>
      </c>
      <c r="AQ294" s="4">
        <f ca="1">IFERROR(__xludf.DUMMYFUNCTION("""COMPUTED_VALUE"""),4)</f>
        <v>4</v>
      </c>
      <c r="AR294" s="4">
        <f ca="1">IFERROR(__xludf.DUMMYFUNCTION("""COMPUTED_VALUE"""),4)</f>
        <v>4</v>
      </c>
      <c r="AS294" s="4">
        <f ca="1">IFERROR(__xludf.DUMMYFUNCTION("""COMPUTED_VALUE"""),3)</f>
        <v>3</v>
      </c>
      <c r="AT294" s="4">
        <f ca="1">IFERROR(__xludf.DUMMYFUNCTION("""COMPUTED_VALUE"""),3)</f>
        <v>3</v>
      </c>
      <c r="AU294" s="4">
        <f ca="1">IFERROR(__xludf.DUMMYFUNCTION("""COMPUTED_VALUE"""),3)</f>
        <v>3</v>
      </c>
      <c r="AV294" s="4">
        <f ca="1">IFERROR(__xludf.DUMMYFUNCTION("""COMPUTED_VALUE"""),3)</f>
        <v>3</v>
      </c>
      <c r="AW294" s="4">
        <f ca="1">IFERROR(__xludf.DUMMYFUNCTION("""COMPUTED_VALUE"""),4)</f>
        <v>4</v>
      </c>
      <c r="AX294" s="4">
        <f ca="1">IFERROR(__xludf.DUMMYFUNCTION("""COMPUTED_VALUE"""),5)</f>
        <v>5</v>
      </c>
      <c r="AY294" s="4">
        <f ca="1">IFERROR(__xludf.DUMMYFUNCTION("""COMPUTED_VALUE"""),5)</f>
        <v>5</v>
      </c>
      <c r="AZ294" s="4">
        <f ca="1">IFERROR(__xludf.DUMMYFUNCTION("""COMPUTED_VALUE"""),5)</f>
        <v>5</v>
      </c>
      <c r="BA294" s="4">
        <f ca="1">IFERROR(__xludf.DUMMYFUNCTION("""COMPUTED_VALUE"""),5)</f>
        <v>5</v>
      </c>
      <c r="BB294" s="4">
        <f ca="1">IFERROR(__xludf.DUMMYFUNCTION("""COMPUTED_VALUE"""),4)</f>
        <v>4</v>
      </c>
      <c r="BC294" s="4">
        <f ca="1">IFERROR(__xludf.DUMMYFUNCTION("""COMPUTED_VALUE"""),3)</f>
        <v>3</v>
      </c>
      <c r="BD294" s="4">
        <f ca="1">IFERROR(__xludf.DUMMYFUNCTION("""COMPUTED_VALUE"""),3)</f>
        <v>3</v>
      </c>
      <c r="BE294" s="4">
        <f ca="1">IFERROR(__xludf.DUMMYFUNCTION("""COMPUTED_VALUE"""),3)</f>
        <v>3</v>
      </c>
      <c r="BF294" s="4">
        <f ca="1">IFERROR(__xludf.DUMMYFUNCTION("""COMPUTED_VALUE"""),2)</f>
        <v>2</v>
      </c>
      <c r="BG294" s="4">
        <f ca="1">IFERROR(__xludf.DUMMYFUNCTION("""COMPUTED_VALUE"""),2)</f>
        <v>2</v>
      </c>
      <c r="BH294" s="4">
        <f ca="1">IFERROR(__xludf.DUMMYFUNCTION("""COMPUTED_VALUE"""),4)</f>
        <v>4</v>
      </c>
      <c r="BI294" s="4">
        <f ca="1">IFERROR(__xludf.DUMMYFUNCTION("""COMPUTED_VALUE"""),4)</f>
        <v>4</v>
      </c>
      <c r="BJ294" s="4">
        <f ca="1">IFERROR(__xludf.DUMMYFUNCTION("""COMPUTED_VALUE"""),5)</f>
        <v>5</v>
      </c>
      <c r="BK294" s="4">
        <f ca="1">IFERROR(__xludf.DUMMYFUNCTION("""COMPUTED_VALUE"""),5)</f>
        <v>5</v>
      </c>
      <c r="BL294" s="4">
        <f ca="1">IFERROR(__xludf.DUMMYFUNCTION("""COMPUTED_VALUE"""),5)</f>
        <v>5</v>
      </c>
      <c r="BM294" s="4">
        <f ca="1">IFERROR(__xludf.DUMMYFUNCTION("""COMPUTED_VALUE"""),5)</f>
        <v>5</v>
      </c>
      <c r="BN294" s="4">
        <f ca="1">IFERROR(__xludf.DUMMYFUNCTION("""COMPUTED_VALUE"""),5)</f>
        <v>5</v>
      </c>
      <c r="BO294" s="4">
        <f ca="1">IFERROR(__xludf.DUMMYFUNCTION("""COMPUTED_VALUE"""),5)</f>
        <v>5</v>
      </c>
      <c r="BP294" s="4">
        <f ca="1">IFERROR(__xludf.DUMMYFUNCTION("""COMPUTED_VALUE"""),3)</f>
        <v>3</v>
      </c>
    </row>
    <row r="295" spans="1:68" ht="13.2" x14ac:dyDescent="0.25">
      <c r="A295" s="4" t="str">
        <f ca="1">IFERROR(__xludf.DUMMYFUNCTION("""COMPUTED_VALUE"""),"2_ABaOnuffpPbQLTKPaWrTzQYLWNqG-1mouBmH1tVS9x8SS4shmSwDkRwcmHZu4V-_JQ")</f>
        <v>2_ABaOnuffpPbQLTKPaWrTzQYLWNqG-1mouBmH1tVS9x8SS4shmSwDkRwcmHZu4V-_JQ</v>
      </c>
      <c r="B295" s="5">
        <f ca="1">IFERROR(__xludf.DUMMYFUNCTION("""COMPUTED_VALUE"""),45986.4703879398)</f>
        <v>45986.4703879398</v>
      </c>
      <c r="C295" s="4" t="str">
        <f ca="1">IFERROR(__xludf.DUMMYFUNCTION("""COMPUTED_VALUE"""),"Nguyễn Thị Hồng Quyên")</f>
        <v>Nguyễn Thị Hồng Quyên</v>
      </c>
      <c r="D295" s="4" t="str">
        <f ca="1">IFERROR(__xludf.DUMMYFUNCTION("""COMPUTED_VALUE"""),"Nữ")</f>
        <v>Nữ</v>
      </c>
      <c r="E295" s="4" t="str">
        <f ca="1">IFERROR(__xludf.DUMMYFUNCTION("""COMPUTED_VALUE"""),"Công ty TNHH Kiểm toán CPA")</f>
        <v>Công ty TNHH Kiểm toán CPA</v>
      </c>
      <c r="F295" s="4" t="str">
        <f ca="1">IFERROR(__xludf.DUMMYFUNCTION("""COMPUTED_VALUE"""),"Chứng chỉ Kiểm toán viên")</f>
        <v>Chứng chỉ Kiểm toán viên</v>
      </c>
      <c r="G295" s="4" t="str">
        <f ca="1">IFERROR(__xludf.DUMMYFUNCTION("""COMPUTED_VALUE"""),"Trên 5 đến 10 năm")</f>
        <v>Trên 5 đến 10 năm</v>
      </c>
      <c r="H295" s="4" t="str">
        <f ca="1">IFERROR(__xludf.DUMMYFUNCTION("""COMPUTED_VALUE"""),"Kiểm toán viên/Trưởng nhóm")</f>
        <v>Kiểm toán viên/Trưởng nhóm</v>
      </c>
      <c r="I295" s="4">
        <f ca="1">IFERROR(__xludf.DUMMYFUNCTION("""COMPUTED_VALUE"""),5)</f>
        <v>5</v>
      </c>
      <c r="J295" s="4">
        <f ca="1">IFERROR(__xludf.DUMMYFUNCTION("""COMPUTED_VALUE"""),5)</f>
        <v>5</v>
      </c>
      <c r="K295" s="4">
        <f ca="1">IFERROR(__xludf.DUMMYFUNCTION("""COMPUTED_VALUE"""),5)</f>
        <v>5</v>
      </c>
      <c r="L295" s="4">
        <f ca="1">IFERROR(__xludf.DUMMYFUNCTION("""COMPUTED_VALUE"""),3)</f>
        <v>3</v>
      </c>
      <c r="M295" s="4">
        <f ca="1">IFERROR(__xludf.DUMMYFUNCTION("""COMPUTED_VALUE"""),5)</f>
        <v>5</v>
      </c>
      <c r="N295" s="4">
        <f ca="1">IFERROR(__xludf.DUMMYFUNCTION("""COMPUTED_VALUE"""),3)</f>
        <v>3</v>
      </c>
      <c r="O295" s="4">
        <f ca="1">IFERROR(__xludf.DUMMYFUNCTION("""COMPUTED_VALUE"""),3)</f>
        <v>3</v>
      </c>
      <c r="P295" s="4">
        <f ca="1">IFERROR(__xludf.DUMMYFUNCTION("""COMPUTED_VALUE"""),5)</f>
        <v>5</v>
      </c>
      <c r="Q295" s="4">
        <f ca="1">IFERROR(__xludf.DUMMYFUNCTION("""COMPUTED_VALUE"""),4)</f>
        <v>4</v>
      </c>
      <c r="R295" s="4">
        <f ca="1">IFERROR(__xludf.DUMMYFUNCTION("""COMPUTED_VALUE"""),5)</f>
        <v>5</v>
      </c>
      <c r="S295" s="4">
        <f ca="1">IFERROR(__xludf.DUMMYFUNCTION("""COMPUTED_VALUE"""),5)</f>
        <v>5</v>
      </c>
      <c r="T295" s="4">
        <f ca="1">IFERROR(__xludf.DUMMYFUNCTION("""COMPUTED_VALUE"""),5)</f>
        <v>5</v>
      </c>
      <c r="U295" s="4">
        <f ca="1">IFERROR(__xludf.DUMMYFUNCTION("""COMPUTED_VALUE"""),5)</f>
        <v>5</v>
      </c>
      <c r="V295" s="4">
        <f ca="1">IFERROR(__xludf.DUMMYFUNCTION("""COMPUTED_VALUE"""),5)</f>
        <v>5</v>
      </c>
      <c r="W295" s="4">
        <f ca="1">IFERROR(__xludf.DUMMYFUNCTION("""COMPUTED_VALUE"""),4)</f>
        <v>4</v>
      </c>
      <c r="X295" s="4">
        <f ca="1">IFERROR(__xludf.DUMMYFUNCTION("""COMPUTED_VALUE"""),3)</f>
        <v>3</v>
      </c>
      <c r="Y295" s="4">
        <f ca="1">IFERROR(__xludf.DUMMYFUNCTION("""COMPUTED_VALUE"""),4)</f>
        <v>4</v>
      </c>
      <c r="Z295" s="4">
        <f ca="1">IFERROR(__xludf.DUMMYFUNCTION("""COMPUTED_VALUE"""),4)</f>
        <v>4</v>
      </c>
      <c r="AA295" s="4">
        <f ca="1">IFERROR(__xludf.DUMMYFUNCTION("""COMPUTED_VALUE"""),4)</f>
        <v>4</v>
      </c>
      <c r="AB295" s="4">
        <f ca="1">IFERROR(__xludf.DUMMYFUNCTION("""COMPUTED_VALUE"""),5)</f>
        <v>5</v>
      </c>
      <c r="AC295" s="4">
        <f ca="1">IFERROR(__xludf.DUMMYFUNCTION("""COMPUTED_VALUE"""),5)</f>
        <v>5</v>
      </c>
      <c r="AD295" s="4">
        <f ca="1">IFERROR(__xludf.DUMMYFUNCTION("""COMPUTED_VALUE"""),4)</f>
        <v>4</v>
      </c>
      <c r="AE295" s="4">
        <f ca="1">IFERROR(__xludf.DUMMYFUNCTION("""COMPUTED_VALUE"""),5)</f>
        <v>5</v>
      </c>
      <c r="AF295" s="4">
        <f ca="1">IFERROR(__xludf.DUMMYFUNCTION("""COMPUTED_VALUE"""),5)</f>
        <v>5</v>
      </c>
      <c r="AG295" s="4">
        <f ca="1">IFERROR(__xludf.DUMMYFUNCTION("""COMPUTED_VALUE"""),5)</f>
        <v>5</v>
      </c>
      <c r="AH295" s="4">
        <f ca="1">IFERROR(__xludf.DUMMYFUNCTION("""COMPUTED_VALUE"""),5)</f>
        <v>5</v>
      </c>
      <c r="AI295" s="4">
        <f ca="1">IFERROR(__xludf.DUMMYFUNCTION("""COMPUTED_VALUE"""),3)</f>
        <v>3</v>
      </c>
      <c r="AJ295" s="4">
        <f ca="1">IFERROR(__xludf.DUMMYFUNCTION("""COMPUTED_VALUE"""),5)</f>
        <v>5</v>
      </c>
      <c r="AK295" s="4">
        <f ca="1">IFERROR(__xludf.DUMMYFUNCTION("""COMPUTED_VALUE"""),5)</f>
        <v>5</v>
      </c>
      <c r="AL295" s="4">
        <f ca="1">IFERROR(__xludf.DUMMYFUNCTION("""COMPUTED_VALUE"""),5)</f>
        <v>5</v>
      </c>
      <c r="AM295" s="4">
        <f ca="1">IFERROR(__xludf.DUMMYFUNCTION("""COMPUTED_VALUE"""),5)</f>
        <v>5</v>
      </c>
      <c r="AN295" s="4">
        <f ca="1">IFERROR(__xludf.DUMMYFUNCTION("""COMPUTED_VALUE"""),5)</f>
        <v>5</v>
      </c>
      <c r="AO295" s="4">
        <f ca="1">IFERROR(__xludf.DUMMYFUNCTION("""COMPUTED_VALUE"""),4)</f>
        <v>4</v>
      </c>
      <c r="AP295" s="4">
        <f ca="1">IFERROR(__xludf.DUMMYFUNCTION("""COMPUTED_VALUE"""),4)</f>
        <v>4</v>
      </c>
      <c r="AQ295" s="4">
        <f ca="1">IFERROR(__xludf.DUMMYFUNCTION("""COMPUTED_VALUE"""),4)</f>
        <v>4</v>
      </c>
      <c r="AR295" s="4">
        <f ca="1">IFERROR(__xludf.DUMMYFUNCTION("""COMPUTED_VALUE"""),4)</f>
        <v>4</v>
      </c>
      <c r="AS295" s="4">
        <f ca="1">IFERROR(__xludf.DUMMYFUNCTION("""COMPUTED_VALUE"""),4)</f>
        <v>4</v>
      </c>
      <c r="AT295" s="4">
        <f ca="1">IFERROR(__xludf.DUMMYFUNCTION("""COMPUTED_VALUE"""),3)</f>
        <v>3</v>
      </c>
      <c r="AU295" s="4">
        <f ca="1">IFERROR(__xludf.DUMMYFUNCTION("""COMPUTED_VALUE"""),4)</f>
        <v>4</v>
      </c>
      <c r="AV295" s="4">
        <f ca="1">IFERROR(__xludf.DUMMYFUNCTION("""COMPUTED_VALUE"""),4)</f>
        <v>4</v>
      </c>
      <c r="AW295" s="4">
        <f ca="1">IFERROR(__xludf.DUMMYFUNCTION("""COMPUTED_VALUE"""),4)</f>
        <v>4</v>
      </c>
      <c r="AX295" s="4">
        <f ca="1">IFERROR(__xludf.DUMMYFUNCTION("""COMPUTED_VALUE"""),5)</f>
        <v>5</v>
      </c>
      <c r="AY295" s="4">
        <f ca="1">IFERROR(__xludf.DUMMYFUNCTION("""COMPUTED_VALUE"""),5)</f>
        <v>5</v>
      </c>
      <c r="AZ295" s="4">
        <f ca="1">IFERROR(__xludf.DUMMYFUNCTION("""COMPUTED_VALUE"""),5)</f>
        <v>5</v>
      </c>
      <c r="BA295" s="4">
        <f ca="1">IFERROR(__xludf.DUMMYFUNCTION("""COMPUTED_VALUE"""),5)</f>
        <v>5</v>
      </c>
      <c r="BB295" s="4">
        <f ca="1">IFERROR(__xludf.DUMMYFUNCTION("""COMPUTED_VALUE"""),5)</f>
        <v>5</v>
      </c>
      <c r="BC295" s="4">
        <f ca="1">IFERROR(__xludf.DUMMYFUNCTION("""COMPUTED_VALUE"""),5)</f>
        <v>5</v>
      </c>
      <c r="BD295" s="4">
        <f ca="1">IFERROR(__xludf.DUMMYFUNCTION("""COMPUTED_VALUE"""),4)</f>
        <v>4</v>
      </c>
      <c r="BE295" s="4">
        <f ca="1">IFERROR(__xludf.DUMMYFUNCTION("""COMPUTED_VALUE"""),4)</f>
        <v>4</v>
      </c>
      <c r="BF295" s="4">
        <f ca="1">IFERROR(__xludf.DUMMYFUNCTION("""COMPUTED_VALUE"""),4)</f>
        <v>4</v>
      </c>
      <c r="BG295" s="4">
        <f ca="1">IFERROR(__xludf.DUMMYFUNCTION("""COMPUTED_VALUE"""),4)</f>
        <v>4</v>
      </c>
      <c r="BH295" s="4">
        <f ca="1">IFERROR(__xludf.DUMMYFUNCTION("""COMPUTED_VALUE"""),5)</f>
        <v>5</v>
      </c>
      <c r="BI295" s="4">
        <f ca="1">IFERROR(__xludf.DUMMYFUNCTION("""COMPUTED_VALUE"""),5)</f>
        <v>5</v>
      </c>
      <c r="BJ295" s="4">
        <f ca="1">IFERROR(__xludf.DUMMYFUNCTION("""COMPUTED_VALUE"""),5)</f>
        <v>5</v>
      </c>
      <c r="BK295" s="4">
        <f ca="1">IFERROR(__xludf.DUMMYFUNCTION("""COMPUTED_VALUE"""),5)</f>
        <v>5</v>
      </c>
      <c r="BL295" s="4">
        <f ca="1">IFERROR(__xludf.DUMMYFUNCTION("""COMPUTED_VALUE"""),5)</f>
        <v>5</v>
      </c>
      <c r="BM295" s="4">
        <f ca="1">IFERROR(__xludf.DUMMYFUNCTION("""COMPUTED_VALUE"""),5)</f>
        <v>5</v>
      </c>
      <c r="BN295" s="4">
        <f ca="1">IFERROR(__xludf.DUMMYFUNCTION("""COMPUTED_VALUE"""),5)</f>
        <v>5</v>
      </c>
      <c r="BO295" s="4">
        <f ca="1">IFERROR(__xludf.DUMMYFUNCTION("""COMPUTED_VALUE"""),5)</f>
        <v>5</v>
      </c>
      <c r="BP295" s="4">
        <f ca="1">IFERROR(__xludf.DUMMYFUNCTION("""COMPUTED_VALUE"""),4)</f>
        <v>4</v>
      </c>
    </row>
    <row r="296" spans="1:68" ht="13.2" x14ac:dyDescent="0.25">
      <c r="A296" s="4" t="str">
        <f ca="1">IFERROR(__xludf.DUMMYFUNCTION("""COMPUTED_VALUE"""),"2_ABaOnuckC40G_iSdNXlaCng0MY-8g9t4d9NebCtb4EvG0XZP0w0pduD20CR5RHOqqw")</f>
        <v>2_ABaOnuckC40G_iSdNXlaCng0MY-8g9t4d9NebCtb4EvG0XZP0w0pduD20CR5RHOqqw</v>
      </c>
      <c r="B296" s="5">
        <f ca="1">IFERROR(__xludf.DUMMYFUNCTION("""COMPUTED_VALUE"""),45986.4710571759)</f>
        <v>45986.471057175899</v>
      </c>
      <c r="C296" s="4" t="str">
        <f ca="1">IFERROR(__xludf.DUMMYFUNCTION("""COMPUTED_VALUE"""),"Hà Văn Huy")</f>
        <v>Hà Văn Huy</v>
      </c>
      <c r="D296" s="4" t="str">
        <f ca="1">IFERROR(__xludf.DUMMYFUNCTION("""COMPUTED_VALUE"""),"Nam")</f>
        <v>Nam</v>
      </c>
      <c r="E296" s="4" t="str">
        <f ca="1">IFERROR(__xludf.DUMMYFUNCTION("""COMPUTED_VALUE"""),"Công ty TNHH Kiểm toán U&amp;I")</f>
        <v>Công ty TNHH Kiểm toán U&amp;I</v>
      </c>
      <c r="F296" s="4" t="str">
        <f ca="1">IFERROR(__xludf.DUMMYFUNCTION("""COMPUTED_VALUE"""),"Đại học")</f>
        <v>Đại học</v>
      </c>
      <c r="G296" s="4" t="str">
        <f ca="1">IFERROR(__xludf.DUMMYFUNCTION("""COMPUTED_VALUE"""),"Từ 3 đến 5 năm")</f>
        <v>Từ 3 đến 5 năm</v>
      </c>
      <c r="H296" s="4" t="str">
        <f ca="1">IFERROR(__xludf.DUMMYFUNCTION("""COMPUTED_VALUE"""),"Trợ lý kiểm toán")</f>
        <v>Trợ lý kiểm toán</v>
      </c>
      <c r="I296" s="4">
        <f ca="1">IFERROR(__xludf.DUMMYFUNCTION("""COMPUTED_VALUE"""),5)</f>
        <v>5</v>
      </c>
      <c r="J296" s="4">
        <f ca="1">IFERROR(__xludf.DUMMYFUNCTION("""COMPUTED_VALUE"""),5)</f>
        <v>5</v>
      </c>
      <c r="K296" s="4">
        <f ca="1">IFERROR(__xludf.DUMMYFUNCTION("""COMPUTED_VALUE"""),5)</f>
        <v>5</v>
      </c>
      <c r="L296" s="4">
        <f ca="1">IFERROR(__xludf.DUMMYFUNCTION("""COMPUTED_VALUE"""),5)</f>
        <v>5</v>
      </c>
      <c r="M296" s="4">
        <f ca="1">IFERROR(__xludf.DUMMYFUNCTION("""COMPUTED_VALUE"""),5)</f>
        <v>5</v>
      </c>
      <c r="N296" s="4">
        <f ca="1">IFERROR(__xludf.DUMMYFUNCTION("""COMPUTED_VALUE"""),4)</f>
        <v>4</v>
      </c>
      <c r="O296" s="4">
        <f ca="1">IFERROR(__xludf.DUMMYFUNCTION("""COMPUTED_VALUE"""),5)</f>
        <v>5</v>
      </c>
      <c r="P296" s="4">
        <f ca="1">IFERROR(__xludf.DUMMYFUNCTION("""COMPUTED_VALUE"""),4)</f>
        <v>4</v>
      </c>
      <c r="Q296" s="4">
        <f ca="1">IFERROR(__xludf.DUMMYFUNCTION("""COMPUTED_VALUE"""),5)</f>
        <v>5</v>
      </c>
      <c r="R296" s="4">
        <f ca="1">IFERROR(__xludf.DUMMYFUNCTION("""COMPUTED_VALUE"""),4)</f>
        <v>4</v>
      </c>
      <c r="S296" s="4">
        <f ca="1">IFERROR(__xludf.DUMMYFUNCTION("""COMPUTED_VALUE"""),4)</f>
        <v>4</v>
      </c>
      <c r="T296" s="4">
        <f ca="1">IFERROR(__xludf.DUMMYFUNCTION("""COMPUTED_VALUE"""),4)</f>
        <v>4</v>
      </c>
      <c r="U296" s="4">
        <f ca="1">IFERROR(__xludf.DUMMYFUNCTION("""COMPUTED_VALUE"""),4)</f>
        <v>4</v>
      </c>
      <c r="V296" s="4">
        <f ca="1">IFERROR(__xludf.DUMMYFUNCTION("""COMPUTED_VALUE"""),4)</f>
        <v>4</v>
      </c>
      <c r="W296" s="4">
        <f ca="1">IFERROR(__xludf.DUMMYFUNCTION("""COMPUTED_VALUE"""),4)</f>
        <v>4</v>
      </c>
      <c r="X296" s="4">
        <f ca="1">IFERROR(__xludf.DUMMYFUNCTION("""COMPUTED_VALUE"""),4)</f>
        <v>4</v>
      </c>
      <c r="Y296" s="4">
        <f ca="1">IFERROR(__xludf.DUMMYFUNCTION("""COMPUTED_VALUE"""),4)</f>
        <v>4</v>
      </c>
      <c r="Z296" s="4">
        <f ca="1">IFERROR(__xludf.DUMMYFUNCTION("""COMPUTED_VALUE"""),4)</f>
        <v>4</v>
      </c>
      <c r="AA296" s="4">
        <f ca="1">IFERROR(__xludf.DUMMYFUNCTION("""COMPUTED_VALUE"""),4)</f>
        <v>4</v>
      </c>
      <c r="AB296" s="4">
        <f ca="1">IFERROR(__xludf.DUMMYFUNCTION("""COMPUTED_VALUE"""),5)</f>
        <v>5</v>
      </c>
      <c r="AC296" s="4">
        <f ca="1">IFERROR(__xludf.DUMMYFUNCTION("""COMPUTED_VALUE"""),4)</f>
        <v>4</v>
      </c>
      <c r="AD296" s="4">
        <f ca="1">IFERROR(__xludf.DUMMYFUNCTION("""COMPUTED_VALUE"""),4)</f>
        <v>4</v>
      </c>
      <c r="AE296" s="4">
        <f ca="1">IFERROR(__xludf.DUMMYFUNCTION("""COMPUTED_VALUE"""),4)</f>
        <v>4</v>
      </c>
      <c r="AF296" s="4">
        <f ca="1">IFERROR(__xludf.DUMMYFUNCTION("""COMPUTED_VALUE"""),4)</f>
        <v>4</v>
      </c>
      <c r="AG296" s="4">
        <f ca="1">IFERROR(__xludf.DUMMYFUNCTION("""COMPUTED_VALUE"""),4)</f>
        <v>4</v>
      </c>
      <c r="AH296" s="4">
        <f ca="1">IFERROR(__xludf.DUMMYFUNCTION("""COMPUTED_VALUE"""),4)</f>
        <v>4</v>
      </c>
      <c r="AI296" s="4">
        <f ca="1">IFERROR(__xludf.DUMMYFUNCTION("""COMPUTED_VALUE"""),4)</f>
        <v>4</v>
      </c>
      <c r="AJ296" s="4">
        <f ca="1">IFERROR(__xludf.DUMMYFUNCTION("""COMPUTED_VALUE"""),4)</f>
        <v>4</v>
      </c>
      <c r="AK296" s="4">
        <f ca="1">IFERROR(__xludf.DUMMYFUNCTION("""COMPUTED_VALUE"""),4)</f>
        <v>4</v>
      </c>
      <c r="AL296" s="4">
        <f ca="1">IFERROR(__xludf.DUMMYFUNCTION("""COMPUTED_VALUE"""),4)</f>
        <v>4</v>
      </c>
      <c r="AM296" s="4">
        <f ca="1">IFERROR(__xludf.DUMMYFUNCTION("""COMPUTED_VALUE"""),4)</f>
        <v>4</v>
      </c>
      <c r="AN296" s="4">
        <f ca="1">IFERROR(__xludf.DUMMYFUNCTION("""COMPUTED_VALUE"""),4)</f>
        <v>4</v>
      </c>
      <c r="AO296" s="4">
        <f ca="1">IFERROR(__xludf.DUMMYFUNCTION("""COMPUTED_VALUE"""),4)</f>
        <v>4</v>
      </c>
      <c r="AP296" s="4">
        <f ca="1">IFERROR(__xludf.DUMMYFUNCTION("""COMPUTED_VALUE"""),4)</f>
        <v>4</v>
      </c>
      <c r="AQ296" s="4">
        <f ca="1">IFERROR(__xludf.DUMMYFUNCTION("""COMPUTED_VALUE"""),4)</f>
        <v>4</v>
      </c>
      <c r="AR296" s="4">
        <f ca="1">IFERROR(__xludf.DUMMYFUNCTION("""COMPUTED_VALUE"""),4)</f>
        <v>4</v>
      </c>
      <c r="AS296" s="4">
        <f ca="1">IFERROR(__xludf.DUMMYFUNCTION("""COMPUTED_VALUE"""),4)</f>
        <v>4</v>
      </c>
      <c r="AT296" s="4">
        <f ca="1">IFERROR(__xludf.DUMMYFUNCTION("""COMPUTED_VALUE"""),4)</f>
        <v>4</v>
      </c>
      <c r="AU296" s="4">
        <f ca="1">IFERROR(__xludf.DUMMYFUNCTION("""COMPUTED_VALUE"""),4)</f>
        <v>4</v>
      </c>
      <c r="AV296" s="4">
        <f ca="1">IFERROR(__xludf.DUMMYFUNCTION("""COMPUTED_VALUE"""),4)</f>
        <v>4</v>
      </c>
      <c r="AW296" s="4">
        <f ca="1">IFERROR(__xludf.DUMMYFUNCTION("""COMPUTED_VALUE"""),4)</f>
        <v>4</v>
      </c>
      <c r="AX296" s="4">
        <f ca="1">IFERROR(__xludf.DUMMYFUNCTION("""COMPUTED_VALUE"""),4)</f>
        <v>4</v>
      </c>
      <c r="AY296" s="4">
        <f ca="1">IFERROR(__xludf.DUMMYFUNCTION("""COMPUTED_VALUE"""),4)</f>
        <v>4</v>
      </c>
      <c r="AZ296" s="4">
        <f ca="1">IFERROR(__xludf.DUMMYFUNCTION("""COMPUTED_VALUE"""),4)</f>
        <v>4</v>
      </c>
      <c r="BA296" s="4">
        <f ca="1">IFERROR(__xludf.DUMMYFUNCTION("""COMPUTED_VALUE"""),4)</f>
        <v>4</v>
      </c>
      <c r="BB296" s="4">
        <f ca="1">IFERROR(__xludf.DUMMYFUNCTION("""COMPUTED_VALUE"""),4)</f>
        <v>4</v>
      </c>
      <c r="BC296" s="4">
        <f ca="1">IFERROR(__xludf.DUMMYFUNCTION("""COMPUTED_VALUE"""),4)</f>
        <v>4</v>
      </c>
      <c r="BD296" s="4">
        <f ca="1">IFERROR(__xludf.DUMMYFUNCTION("""COMPUTED_VALUE"""),4)</f>
        <v>4</v>
      </c>
      <c r="BE296" s="4">
        <f ca="1">IFERROR(__xludf.DUMMYFUNCTION("""COMPUTED_VALUE"""),4)</f>
        <v>4</v>
      </c>
      <c r="BF296" s="4">
        <f ca="1">IFERROR(__xludf.DUMMYFUNCTION("""COMPUTED_VALUE"""),4)</f>
        <v>4</v>
      </c>
      <c r="BG296" s="4">
        <f ca="1">IFERROR(__xludf.DUMMYFUNCTION("""COMPUTED_VALUE"""),4)</f>
        <v>4</v>
      </c>
      <c r="BH296" s="4">
        <f ca="1">IFERROR(__xludf.DUMMYFUNCTION("""COMPUTED_VALUE"""),4)</f>
        <v>4</v>
      </c>
      <c r="BI296" s="4">
        <f ca="1">IFERROR(__xludf.DUMMYFUNCTION("""COMPUTED_VALUE"""),4)</f>
        <v>4</v>
      </c>
      <c r="BJ296" s="4">
        <f ca="1">IFERROR(__xludf.DUMMYFUNCTION("""COMPUTED_VALUE"""),4)</f>
        <v>4</v>
      </c>
      <c r="BK296" s="4">
        <f ca="1">IFERROR(__xludf.DUMMYFUNCTION("""COMPUTED_VALUE"""),4)</f>
        <v>4</v>
      </c>
      <c r="BL296" s="4">
        <f ca="1">IFERROR(__xludf.DUMMYFUNCTION("""COMPUTED_VALUE"""),4)</f>
        <v>4</v>
      </c>
      <c r="BM296" s="4">
        <f ca="1">IFERROR(__xludf.DUMMYFUNCTION("""COMPUTED_VALUE"""),4)</f>
        <v>4</v>
      </c>
      <c r="BN296" s="4">
        <f ca="1">IFERROR(__xludf.DUMMYFUNCTION("""COMPUTED_VALUE"""),4)</f>
        <v>4</v>
      </c>
      <c r="BO296" s="4">
        <f ca="1">IFERROR(__xludf.DUMMYFUNCTION("""COMPUTED_VALUE"""),4)</f>
        <v>4</v>
      </c>
      <c r="BP296" s="4">
        <f ca="1">IFERROR(__xludf.DUMMYFUNCTION("""COMPUTED_VALUE"""),4)</f>
        <v>4</v>
      </c>
    </row>
    <row r="297" spans="1:68" ht="13.2" x14ac:dyDescent="0.25">
      <c r="A297" s="4" t="str">
        <f ca="1">IFERROR(__xludf.DUMMYFUNCTION("""COMPUTED_VALUE"""),"2_ABaOnuf_HCtJq16zWlqWUGsrc6p5gkFvWOY731rDJPuobu-D9mJuTOEi9hWURf9O5w")</f>
        <v>2_ABaOnuf_HCtJq16zWlqWUGsrc6p5gkFvWOY731rDJPuobu-D9mJuTOEi9hWURf9O5w</v>
      </c>
      <c r="B297" s="5">
        <f ca="1">IFERROR(__xludf.DUMMYFUNCTION("""COMPUTED_VALUE"""),45986.4716537037)</f>
        <v>45986.471653703702</v>
      </c>
      <c r="C297" s="4" t="str">
        <f ca="1">IFERROR(__xludf.DUMMYFUNCTION("""COMPUTED_VALUE"""),"Trương Quỳnh Mai")</f>
        <v>Trương Quỳnh Mai</v>
      </c>
      <c r="D297" s="4" t="str">
        <f ca="1">IFERROR(__xludf.DUMMYFUNCTION("""COMPUTED_VALUE"""),"Nữ")</f>
        <v>Nữ</v>
      </c>
      <c r="E297" s="4" t="str">
        <f ca="1">IFERROR(__xludf.DUMMYFUNCTION("""COMPUTED_VALUE"""),"Công ty TNHH Kiểm Toán CPA")</f>
        <v>Công ty TNHH Kiểm Toán CPA</v>
      </c>
      <c r="F297" s="4" t="str">
        <f ca="1">IFERROR(__xludf.DUMMYFUNCTION("""COMPUTED_VALUE"""),"Đại học")</f>
        <v>Đại học</v>
      </c>
      <c r="G297" s="4" t="str">
        <f ca="1">IFERROR(__xludf.DUMMYFUNCTION("""COMPUTED_VALUE"""),"Từ 3 đến 5 năm")</f>
        <v>Từ 3 đến 5 năm</v>
      </c>
      <c r="H297" s="4" t="str">
        <f ca="1">IFERROR(__xludf.DUMMYFUNCTION("""COMPUTED_VALUE"""),"Trợ lý kiểm toán")</f>
        <v>Trợ lý kiểm toán</v>
      </c>
      <c r="I297" s="4">
        <f ca="1">IFERROR(__xludf.DUMMYFUNCTION("""COMPUTED_VALUE"""),4)</f>
        <v>4</v>
      </c>
      <c r="J297" s="4">
        <f ca="1">IFERROR(__xludf.DUMMYFUNCTION("""COMPUTED_VALUE"""),4)</f>
        <v>4</v>
      </c>
      <c r="K297" s="4">
        <f ca="1">IFERROR(__xludf.DUMMYFUNCTION("""COMPUTED_VALUE"""),4)</f>
        <v>4</v>
      </c>
      <c r="L297" s="4">
        <f ca="1">IFERROR(__xludf.DUMMYFUNCTION("""COMPUTED_VALUE"""),4)</f>
        <v>4</v>
      </c>
      <c r="M297" s="4">
        <f ca="1">IFERROR(__xludf.DUMMYFUNCTION("""COMPUTED_VALUE"""),4)</f>
        <v>4</v>
      </c>
      <c r="N297" s="4">
        <f ca="1">IFERROR(__xludf.DUMMYFUNCTION("""COMPUTED_VALUE"""),4)</f>
        <v>4</v>
      </c>
      <c r="O297" s="4">
        <f ca="1">IFERROR(__xludf.DUMMYFUNCTION("""COMPUTED_VALUE"""),4)</f>
        <v>4</v>
      </c>
      <c r="P297" s="4">
        <f ca="1">IFERROR(__xludf.DUMMYFUNCTION("""COMPUTED_VALUE"""),4)</f>
        <v>4</v>
      </c>
      <c r="Q297" s="4">
        <f ca="1">IFERROR(__xludf.DUMMYFUNCTION("""COMPUTED_VALUE"""),4)</f>
        <v>4</v>
      </c>
      <c r="R297" s="4">
        <f ca="1">IFERROR(__xludf.DUMMYFUNCTION("""COMPUTED_VALUE"""),4)</f>
        <v>4</v>
      </c>
      <c r="S297" s="4">
        <f ca="1">IFERROR(__xludf.DUMMYFUNCTION("""COMPUTED_VALUE"""),4)</f>
        <v>4</v>
      </c>
      <c r="T297" s="4">
        <f ca="1">IFERROR(__xludf.DUMMYFUNCTION("""COMPUTED_VALUE"""),4)</f>
        <v>4</v>
      </c>
      <c r="U297" s="4">
        <f ca="1">IFERROR(__xludf.DUMMYFUNCTION("""COMPUTED_VALUE"""),4)</f>
        <v>4</v>
      </c>
      <c r="V297" s="4">
        <f ca="1">IFERROR(__xludf.DUMMYFUNCTION("""COMPUTED_VALUE"""),4)</f>
        <v>4</v>
      </c>
      <c r="W297" s="4">
        <f ca="1">IFERROR(__xludf.DUMMYFUNCTION("""COMPUTED_VALUE"""),4)</f>
        <v>4</v>
      </c>
      <c r="X297" s="4">
        <f ca="1">IFERROR(__xludf.DUMMYFUNCTION("""COMPUTED_VALUE"""),4)</f>
        <v>4</v>
      </c>
      <c r="Y297" s="4">
        <f ca="1">IFERROR(__xludf.DUMMYFUNCTION("""COMPUTED_VALUE"""),4)</f>
        <v>4</v>
      </c>
      <c r="Z297" s="4">
        <f ca="1">IFERROR(__xludf.DUMMYFUNCTION("""COMPUTED_VALUE"""),4)</f>
        <v>4</v>
      </c>
      <c r="AA297" s="4">
        <f ca="1">IFERROR(__xludf.DUMMYFUNCTION("""COMPUTED_VALUE"""),4)</f>
        <v>4</v>
      </c>
      <c r="AB297" s="4">
        <f ca="1">IFERROR(__xludf.DUMMYFUNCTION("""COMPUTED_VALUE"""),4)</f>
        <v>4</v>
      </c>
      <c r="AC297" s="4">
        <f ca="1">IFERROR(__xludf.DUMMYFUNCTION("""COMPUTED_VALUE"""),4)</f>
        <v>4</v>
      </c>
      <c r="AD297" s="4">
        <f ca="1">IFERROR(__xludf.DUMMYFUNCTION("""COMPUTED_VALUE"""),4)</f>
        <v>4</v>
      </c>
      <c r="AE297" s="4">
        <f ca="1">IFERROR(__xludf.DUMMYFUNCTION("""COMPUTED_VALUE"""),5)</f>
        <v>5</v>
      </c>
      <c r="AF297" s="4">
        <f ca="1">IFERROR(__xludf.DUMMYFUNCTION("""COMPUTED_VALUE"""),5)</f>
        <v>5</v>
      </c>
      <c r="AG297" s="4">
        <f ca="1">IFERROR(__xludf.DUMMYFUNCTION("""COMPUTED_VALUE"""),4)</f>
        <v>4</v>
      </c>
      <c r="AH297" s="4">
        <f ca="1">IFERROR(__xludf.DUMMYFUNCTION("""COMPUTED_VALUE"""),4)</f>
        <v>4</v>
      </c>
      <c r="AI297" s="4">
        <f ca="1">IFERROR(__xludf.DUMMYFUNCTION("""COMPUTED_VALUE"""),4)</f>
        <v>4</v>
      </c>
      <c r="AJ297" s="4">
        <f ca="1">IFERROR(__xludf.DUMMYFUNCTION("""COMPUTED_VALUE"""),4)</f>
        <v>4</v>
      </c>
      <c r="AK297" s="4">
        <f ca="1">IFERROR(__xludf.DUMMYFUNCTION("""COMPUTED_VALUE"""),5)</f>
        <v>5</v>
      </c>
      <c r="AL297" s="4">
        <f ca="1">IFERROR(__xludf.DUMMYFUNCTION("""COMPUTED_VALUE"""),4)</f>
        <v>4</v>
      </c>
      <c r="AM297" s="4">
        <f ca="1">IFERROR(__xludf.DUMMYFUNCTION("""COMPUTED_VALUE"""),5)</f>
        <v>5</v>
      </c>
      <c r="AN297" s="4">
        <f ca="1">IFERROR(__xludf.DUMMYFUNCTION("""COMPUTED_VALUE"""),4)</f>
        <v>4</v>
      </c>
      <c r="AO297" s="4">
        <f ca="1">IFERROR(__xludf.DUMMYFUNCTION("""COMPUTED_VALUE"""),4)</f>
        <v>4</v>
      </c>
      <c r="AP297" s="4">
        <f ca="1">IFERROR(__xludf.DUMMYFUNCTION("""COMPUTED_VALUE"""),4)</f>
        <v>4</v>
      </c>
      <c r="AQ297" s="4">
        <f ca="1">IFERROR(__xludf.DUMMYFUNCTION("""COMPUTED_VALUE"""),4)</f>
        <v>4</v>
      </c>
      <c r="AR297" s="4">
        <f ca="1">IFERROR(__xludf.DUMMYFUNCTION("""COMPUTED_VALUE"""),5)</f>
        <v>5</v>
      </c>
      <c r="AS297" s="4">
        <f ca="1">IFERROR(__xludf.DUMMYFUNCTION("""COMPUTED_VALUE"""),4)</f>
        <v>4</v>
      </c>
      <c r="AT297" s="4">
        <f ca="1">IFERROR(__xludf.DUMMYFUNCTION("""COMPUTED_VALUE"""),4)</f>
        <v>4</v>
      </c>
      <c r="AU297" s="4">
        <f ca="1">IFERROR(__xludf.DUMMYFUNCTION("""COMPUTED_VALUE"""),4)</f>
        <v>4</v>
      </c>
      <c r="AV297" s="4">
        <f ca="1">IFERROR(__xludf.DUMMYFUNCTION("""COMPUTED_VALUE"""),4)</f>
        <v>4</v>
      </c>
      <c r="AW297" s="4">
        <f ca="1">IFERROR(__xludf.DUMMYFUNCTION("""COMPUTED_VALUE"""),4)</f>
        <v>4</v>
      </c>
      <c r="AX297" s="4">
        <f ca="1">IFERROR(__xludf.DUMMYFUNCTION("""COMPUTED_VALUE"""),5)</f>
        <v>5</v>
      </c>
      <c r="AY297" s="4">
        <f ca="1">IFERROR(__xludf.DUMMYFUNCTION("""COMPUTED_VALUE"""),5)</f>
        <v>5</v>
      </c>
      <c r="AZ297" s="4">
        <f ca="1">IFERROR(__xludf.DUMMYFUNCTION("""COMPUTED_VALUE"""),5)</f>
        <v>5</v>
      </c>
      <c r="BA297" s="4">
        <f ca="1">IFERROR(__xludf.DUMMYFUNCTION("""COMPUTED_VALUE"""),5)</f>
        <v>5</v>
      </c>
      <c r="BB297" s="4">
        <f ca="1">IFERROR(__xludf.DUMMYFUNCTION("""COMPUTED_VALUE"""),4)</f>
        <v>4</v>
      </c>
      <c r="BC297" s="4">
        <f ca="1">IFERROR(__xludf.DUMMYFUNCTION("""COMPUTED_VALUE"""),4)</f>
        <v>4</v>
      </c>
      <c r="BD297" s="4">
        <f ca="1">IFERROR(__xludf.DUMMYFUNCTION("""COMPUTED_VALUE"""),5)</f>
        <v>5</v>
      </c>
      <c r="BE297" s="4">
        <f ca="1">IFERROR(__xludf.DUMMYFUNCTION("""COMPUTED_VALUE"""),4)</f>
        <v>4</v>
      </c>
      <c r="BF297" s="4">
        <f ca="1">IFERROR(__xludf.DUMMYFUNCTION("""COMPUTED_VALUE"""),5)</f>
        <v>5</v>
      </c>
      <c r="BG297" s="4">
        <f ca="1">IFERROR(__xludf.DUMMYFUNCTION("""COMPUTED_VALUE"""),4)</f>
        <v>4</v>
      </c>
      <c r="BH297" s="4">
        <f ca="1">IFERROR(__xludf.DUMMYFUNCTION("""COMPUTED_VALUE"""),5)</f>
        <v>5</v>
      </c>
      <c r="BI297" s="4">
        <f ca="1">IFERROR(__xludf.DUMMYFUNCTION("""COMPUTED_VALUE"""),5)</f>
        <v>5</v>
      </c>
      <c r="BJ297" s="4">
        <f ca="1">IFERROR(__xludf.DUMMYFUNCTION("""COMPUTED_VALUE"""),5)</f>
        <v>5</v>
      </c>
      <c r="BK297" s="4">
        <f ca="1">IFERROR(__xludf.DUMMYFUNCTION("""COMPUTED_VALUE"""),5)</f>
        <v>5</v>
      </c>
      <c r="BL297" s="4">
        <f ca="1">IFERROR(__xludf.DUMMYFUNCTION("""COMPUTED_VALUE"""),5)</f>
        <v>5</v>
      </c>
      <c r="BM297" s="4">
        <f ca="1">IFERROR(__xludf.DUMMYFUNCTION("""COMPUTED_VALUE"""),5)</f>
        <v>5</v>
      </c>
      <c r="BN297" s="4">
        <f ca="1">IFERROR(__xludf.DUMMYFUNCTION("""COMPUTED_VALUE"""),5)</f>
        <v>5</v>
      </c>
      <c r="BO297" s="4">
        <f ca="1">IFERROR(__xludf.DUMMYFUNCTION("""COMPUTED_VALUE"""),5)</f>
        <v>5</v>
      </c>
      <c r="BP297" s="4">
        <f ca="1">IFERROR(__xludf.DUMMYFUNCTION("""COMPUTED_VALUE"""),5)</f>
        <v>5</v>
      </c>
    </row>
    <row r="298" spans="1:68" ht="13.2" x14ac:dyDescent="0.25">
      <c r="A298" s="4" t="str">
        <f ca="1">IFERROR(__xludf.DUMMYFUNCTION("""COMPUTED_VALUE"""),"2_ABaOnue6qDfYgD1fVLZ0YpwYl7f0ZN-VPYj1qmLZMPlkTGRN3a4PRAoaAluxdqKchQ")</f>
        <v>2_ABaOnue6qDfYgD1fVLZ0YpwYl7f0ZN-VPYj1qmLZMPlkTGRN3a4PRAoaAluxdqKchQ</v>
      </c>
      <c r="B298" s="5">
        <f ca="1">IFERROR(__xludf.DUMMYFUNCTION("""COMPUTED_VALUE"""),45986.4723068981)</f>
        <v>45986.472306898097</v>
      </c>
      <c r="C298" s="4" t="str">
        <f ca="1">IFERROR(__xludf.DUMMYFUNCTION("""COMPUTED_VALUE"""),"Nguyễn Thị Tuyết Diệu")</f>
        <v>Nguyễn Thị Tuyết Diệu</v>
      </c>
      <c r="D298" s="4" t="str">
        <f ca="1">IFERROR(__xludf.DUMMYFUNCTION("""COMPUTED_VALUE"""),"Nữ")</f>
        <v>Nữ</v>
      </c>
      <c r="E298" s="4" t="str">
        <f ca="1">IFERROR(__xludf.DUMMYFUNCTION("""COMPUTED_VALUE"""),"Công ty TNHH Kiểm Toán CPA")</f>
        <v>Công ty TNHH Kiểm Toán CPA</v>
      </c>
      <c r="F298" s="4" t="str">
        <f ca="1">IFERROR(__xludf.DUMMYFUNCTION("""COMPUTED_VALUE"""),"Chứng chỉ Kiểm toán viên")</f>
        <v>Chứng chỉ Kiểm toán viên</v>
      </c>
      <c r="G298" s="4" t="str">
        <f ca="1">IFERROR(__xludf.DUMMYFUNCTION("""COMPUTED_VALUE"""),"Trên 10 đến 15 năm")</f>
        <v>Trên 10 đến 15 năm</v>
      </c>
      <c r="H298" s="4" t="str">
        <f ca="1">IFERROR(__xludf.DUMMYFUNCTION("""COMPUTED_VALUE"""),"Kiểm toán viên/Trưởng nhóm")</f>
        <v>Kiểm toán viên/Trưởng nhóm</v>
      </c>
      <c r="I298" s="4">
        <f ca="1">IFERROR(__xludf.DUMMYFUNCTION("""COMPUTED_VALUE"""),5)</f>
        <v>5</v>
      </c>
      <c r="J298" s="4">
        <f ca="1">IFERROR(__xludf.DUMMYFUNCTION("""COMPUTED_VALUE"""),5)</f>
        <v>5</v>
      </c>
      <c r="K298" s="4">
        <f ca="1">IFERROR(__xludf.DUMMYFUNCTION("""COMPUTED_VALUE"""),5)</f>
        <v>5</v>
      </c>
      <c r="L298" s="4">
        <f ca="1">IFERROR(__xludf.DUMMYFUNCTION("""COMPUTED_VALUE"""),5)</f>
        <v>5</v>
      </c>
      <c r="M298" s="4">
        <f ca="1">IFERROR(__xludf.DUMMYFUNCTION("""COMPUTED_VALUE"""),5)</f>
        <v>5</v>
      </c>
      <c r="N298" s="4">
        <f ca="1">IFERROR(__xludf.DUMMYFUNCTION("""COMPUTED_VALUE"""),5)</f>
        <v>5</v>
      </c>
      <c r="O298" s="4">
        <f ca="1">IFERROR(__xludf.DUMMYFUNCTION("""COMPUTED_VALUE"""),3)</f>
        <v>3</v>
      </c>
      <c r="P298" s="4">
        <f ca="1">IFERROR(__xludf.DUMMYFUNCTION("""COMPUTED_VALUE"""),5)</f>
        <v>5</v>
      </c>
      <c r="Q298" s="4">
        <f ca="1">IFERROR(__xludf.DUMMYFUNCTION("""COMPUTED_VALUE"""),5)</f>
        <v>5</v>
      </c>
      <c r="R298" s="4">
        <f ca="1">IFERROR(__xludf.DUMMYFUNCTION("""COMPUTED_VALUE"""),5)</f>
        <v>5</v>
      </c>
      <c r="S298" s="4">
        <f ca="1">IFERROR(__xludf.DUMMYFUNCTION("""COMPUTED_VALUE"""),5)</f>
        <v>5</v>
      </c>
      <c r="T298" s="4">
        <f ca="1">IFERROR(__xludf.DUMMYFUNCTION("""COMPUTED_VALUE"""),5)</f>
        <v>5</v>
      </c>
      <c r="U298" s="4">
        <f ca="1">IFERROR(__xludf.DUMMYFUNCTION("""COMPUTED_VALUE"""),5)</f>
        <v>5</v>
      </c>
      <c r="V298" s="4">
        <f ca="1">IFERROR(__xludf.DUMMYFUNCTION("""COMPUTED_VALUE"""),5)</f>
        <v>5</v>
      </c>
      <c r="W298" s="4">
        <f ca="1">IFERROR(__xludf.DUMMYFUNCTION("""COMPUTED_VALUE"""),5)</f>
        <v>5</v>
      </c>
      <c r="X298" s="4">
        <f ca="1">IFERROR(__xludf.DUMMYFUNCTION("""COMPUTED_VALUE"""),4)</f>
        <v>4</v>
      </c>
      <c r="Y298" s="4">
        <f ca="1">IFERROR(__xludf.DUMMYFUNCTION("""COMPUTED_VALUE"""),4)</f>
        <v>4</v>
      </c>
      <c r="Z298" s="4">
        <f ca="1">IFERROR(__xludf.DUMMYFUNCTION("""COMPUTED_VALUE"""),4)</f>
        <v>4</v>
      </c>
      <c r="AA298" s="4">
        <f ca="1">IFERROR(__xludf.DUMMYFUNCTION("""COMPUTED_VALUE"""),4)</f>
        <v>4</v>
      </c>
      <c r="AB298" s="4">
        <f ca="1">IFERROR(__xludf.DUMMYFUNCTION("""COMPUTED_VALUE"""),5)</f>
        <v>5</v>
      </c>
      <c r="AC298" s="4">
        <f ca="1">IFERROR(__xludf.DUMMYFUNCTION("""COMPUTED_VALUE"""),5)</f>
        <v>5</v>
      </c>
      <c r="AD298" s="4">
        <f ca="1">IFERROR(__xludf.DUMMYFUNCTION("""COMPUTED_VALUE"""),5)</f>
        <v>5</v>
      </c>
      <c r="AE298" s="4">
        <f ca="1">IFERROR(__xludf.DUMMYFUNCTION("""COMPUTED_VALUE"""),5)</f>
        <v>5</v>
      </c>
      <c r="AF298" s="4">
        <f ca="1">IFERROR(__xludf.DUMMYFUNCTION("""COMPUTED_VALUE"""),5)</f>
        <v>5</v>
      </c>
      <c r="AG298" s="4">
        <f ca="1">IFERROR(__xludf.DUMMYFUNCTION("""COMPUTED_VALUE"""),5)</f>
        <v>5</v>
      </c>
      <c r="AH298" s="4">
        <f ca="1">IFERROR(__xludf.DUMMYFUNCTION("""COMPUTED_VALUE"""),5)</f>
        <v>5</v>
      </c>
      <c r="AI298" s="4">
        <f ca="1">IFERROR(__xludf.DUMMYFUNCTION("""COMPUTED_VALUE"""),5)</f>
        <v>5</v>
      </c>
      <c r="AJ298" s="4">
        <f ca="1">IFERROR(__xludf.DUMMYFUNCTION("""COMPUTED_VALUE"""),5)</f>
        <v>5</v>
      </c>
      <c r="AK298" s="4">
        <f ca="1">IFERROR(__xludf.DUMMYFUNCTION("""COMPUTED_VALUE"""),5)</f>
        <v>5</v>
      </c>
      <c r="AL298" s="4">
        <f ca="1">IFERROR(__xludf.DUMMYFUNCTION("""COMPUTED_VALUE"""),5)</f>
        <v>5</v>
      </c>
      <c r="AM298" s="4">
        <f ca="1">IFERROR(__xludf.DUMMYFUNCTION("""COMPUTED_VALUE"""),5)</f>
        <v>5</v>
      </c>
      <c r="AN298" s="4">
        <f ca="1">IFERROR(__xludf.DUMMYFUNCTION("""COMPUTED_VALUE"""),5)</f>
        <v>5</v>
      </c>
      <c r="AO298" s="4">
        <f ca="1">IFERROR(__xludf.DUMMYFUNCTION("""COMPUTED_VALUE"""),5)</f>
        <v>5</v>
      </c>
      <c r="AP298" s="4">
        <f ca="1">IFERROR(__xludf.DUMMYFUNCTION("""COMPUTED_VALUE"""),4)</f>
        <v>4</v>
      </c>
      <c r="AQ298" s="4">
        <f ca="1">IFERROR(__xludf.DUMMYFUNCTION("""COMPUTED_VALUE"""),4)</f>
        <v>4</v>
      </c>
      <c r="AR298" s="4">
        <f ca="1">IFERROR(__xludf.DUMMYFUNCTION("""COMPUTED_VALUE"""),5)</f>
        <v>5</v>
      </c>
      <c r="AS298" s="4">
        <f ca="1">IFERROR(__xludf.DUMMYFUNCTION("""COMPUTED_VALUE"""),5)</f>
        <v>5</v>
      </c>
      <c r="AT298" s="4">
        <f ca="1">IFERROR(__xludf.DUMMYFUNCTION("""COMPUTED_VALUE"""),4)</f>
        <v>4</v>
      </c>
      <c r="AU298" s="4">
        <f ca="1">IFERROR(__xludf.DUMMYFUNCTION("""COMPUTED_VALUE"""),4)</f>
        <v>4</v>
      </c>
      <c r="AV298" s="4">
        <f ca="1">IFERROR(__xludf.DUMMYFUNCTION("""COMPUTED_VALUE"""),4)</f>
        <v>4</v>
      </c>
      <c r="AW298" s="4">
        <f ca="1">IFERROR(__xludf.DUMMYFUNCTION("""COMPUTED_VALUE"""),4)</f>
        <v>4</v>
      </c>
      <c r="AX298" s="4">
        <f ca="1">IFERROR(__xludf.DUMMYFUNCTION("""COMPUTED_VALUE"""),5)</f>
        <v>5</v>
      </c>
      <c r="AY298" s="4">
        <f ca="1">IFERROR(__xludf.DUMMYFUNCTION("""COMPUTED_VALUE"""),5)</f>
        <v>5</v>
      </c>
      <c r="AZ298" s="4">
        <f ca="1">IFERROR(__xludf.DUMMYFUNCTION("""COMPUTED_VALUE"""),5)</f>
        <v>5</v>
      </c>
      <c r="BA298" s="4">
        <f ca="1">IFERROR(__xludf.DUMMYFUNCTION("""COMPUTED_VALUE"""),5)</f>
        <v>5</v>
      </c>
      <c r="BB298" s="4">
        <f ca="1">IFERROR(__xludf.DUMMYFUNCTION("""COMPUTED_VALUE"""),5)</f>
        <v>5</v>
      </c>
      <c r="BC298" s="4">
        <f ca="1">IFERROR(__xludf.DUMMYFUNCTION("""COMPUTED_VALUE"""),5)</f>
        <v>5</v>
      </c>
      <c r="BD298" s="4">
        <f ca="1">IFERROR(__xludf.DUMMYFUNCTION("""COMPUTED_VALUE"""),5)</f>
        <v>5</v>
      </c>
      <c r="BE298" s="4">
        <f ca="1">IFERROR(__xludf.DUMMYFUNCTION("""COMPUTED_VALUE"""),4)</f>
        <v>4</v>
      </c>
      <c r="BF298" s="4">
        <f ca="1">IFERROR(__xludf.DUMMYFUNCTION("""COMPUTED_VALUE"""),4)</f>
        <v>4</v>
      </c>
      <c r="BG298" s="4">
        <f ca="1">IFERROR(__xludf.DUMMYFUNCTION("""COMPUTED_VALUE"""),4)</f>
        <v>4</v>
      </c>
      <c r="BH298" s="4">
        <f ca="1">IFERROR(__xludf.DUMMYFUNCTION("""COMPUTED_VALUE"""),4)</f>
        <v>4</v>
      </c>
      <c r="BI298" s="4">
        <f ca="1">IFERROR(__xludf.DUMMYFUNCTION("""COMPUTED_VALUE"""),4)</f>
        <v>4</v>
      </c>
      <c r="BJ298" s="4">
        <f ca="1">IFERROR(__xludf.DUMMYFUNCTION("""COMPUTED_VALUE"""),5)</f>
        <v>5</v>
      </c>
      <c r="BK298" s="4">
        <f ca="1">IFERROR(__xludf.DUMMYFUNCTION("""COMPUTED_VALUE"""),5)</f>
        <v>5</v>
      </c>
      <c r="BL298" s="4">
        <f ca="1">IFERROR(__xludf.DUMMYFUNCTION("""COMPUTED_VALUE"""),5)</f>
        <v>5</v>
      </c>
      <c r="BM298" s="4">
        <f ca="1">IFERROR(__xludf.DUMMYFUNCTION("""COMPUTED_VALUE"""),5)</f>
        <v>5</v>
      </c>
      <c r="BN298" s="4">
        <f ca="1">IFERROR(__xludf.DUMMYFUNCTION("""COMPUTED_VALUE"""),5)</f>
        <v>5</v>
      </c>
      <c r="BO298" s="4">
        <f ca="1">IFERROR(__xludf.DUMMYFUNCTION("""COMPUTED_VALUE"""),4)</f>
        <v>4</v>
      </c>
      <c r="BP298" s="4">
        <f ca="1">IFERROR(__xludf.DUMMYFUNCTION("""COMPUTED_VALUE"""),3)</f>
        <v>3</v>
      </c>
    </row>
    <row r="299" spans="1:68" ht="13.2" x14ac:dyDescent="0.25">
      <c r="A299" s="4" t="str">
        <f ca="1">IFERROR(__xludf.DUMMYFUNCTION("""COMPUTED_VALUE"""),"2_ABaOnucHcHvqjSuWuNXqqBVO87TvuzJQ-OaA90MYhfCJzji2iAsF7w7HgDSM1pUw9Q")</f>
        <v>2_ABaOnucHcHvqjSuWuNXqqBVO87TvuzJQ-OaA90MYhfCJzji2iAsF7w7HgDSM1pUw9Q</v>
      </c>
      <c r="B299" s="5">
        <f ca="1">IFERROR(__xludf.DUMMYFUNCTION("""COMPUTED_VALUE"""),45986.4728397222)</f>
        <v>45986.472839722199</v>
      </c>
      <c r="C299" s="4" t="str">
        <f ca="1">IFERROR(__xludf.DUMMYFUNCTION("""COMPUTED_VALUE"""),"Lê Văn Giáp")</f>
        <v>Lê Văn Giáp</v>
      </c>
      <c r="D299" s="4" t="str">
        <f ca="1">IFERROR(__xludf.DUMMYFUNCTION("""COMPUTED_VALUE"""),"Nam")</f>
        <v>Nam</v>
      </c>
      <c r="E299" s="4" t="str">
        <f ca="1">IFERROR(__xludf.DUMMYFUNCTION("""COMPUTED_VALUE"""),"Công ty TNHH Kiểm toán U&amp;I")</f>
        <v>Công ty TNHH Kiểm toán U&amp;I</v>
      </c>
      <c r="F299" s="4" t="str">
        <f ca="1">IFERROR(__xludf.DUMMYFUNCTION("""COMPUTED_VALUE"""),"Đại học, Chứng chỉ Kiểm toán viên")</f>
        <v>Đại học, Chứng chỉ Kiểm toán viên</v>
      </c>
      <c r="G299" s="4" t="str">
        <f ca="1">IFERROR(__xludf.DUMMYFUNCTION("""COMPUTED_VALUE"""),"Trên 10 đến 15 năm")</f>
        <v>Trên 10 đến 15 năm</v>
      </c>
      <c r="H299" s="4" t="str">
        <f ca="1">IFERROR(__xludf.DUMMYFUNCTION("""COMPUTED_VALUE"""),"Kiểm toán viên/Trưởng nhóm")</f>
        <v>Kiểm toán viên/Trưởng nhóm</v>
      </c>
      <c r="I299" s="4">
        <f ca="1">IFERROR(__xludf.DUMMYFUNCTION("""COMPUTED_VALUE"""),5)</f>
        <v>5</v>
      </c>
      <c r="J299" s="4">
        <f ca="1">IFERROR(__xludf.DUMMYFUNCTION("""COMPUTED_VALUE"""),4)</f>
        <v>4</v>
      </c>
      <c r="K299" s="4">
        <f ca="1">IFERROR(__xludf.DUMMYFUNCTION("""COMPUTED_VALUE"""),4)</f>
        <v>4</v>
      </c>
      <c r="L299" s="4">
        <f ca="1">IFERROR(__xludf.DUMMYFUNCTION("""COMPUTED_VALUE"""),4)</f>
        <v>4</v>
      </c>
      <c r="M299" s="4">
        <f ca="1">IFERROR(__xludf.DUMMYFUNCTION("""COMPUTED_VALUE"""),3)</f>
        <v>3</v>
      </c>
      <c r="N299" s="4">
        <f ca="1">IFERROR(__xludf.DUMMYFUNCTION("""COMPUTED_VALUE"""),3)</f>
        <v>3</v>
      </c>
      <c r="O299" s="4">
        <f ca="1">IFERROR(__xludf.DUMMYFUNCTION("""COMPUTED_VALUE"""),4)</f>
        <v>4</v>
      </c>
      <c r="P299" s="4">
        <f ca="1">IFERROR(__xludf.DUMMYFUNCTION("""COMPUTED_VALUE"""),5)</f>
        <v>5</v>
      </c>
      <c r="Q299" s="4">
        <f ca="1">IFERROR(__xludf.DUMMYFUNCTION("""COMPUTED_VALUE"""),5)</f>
        <v>5</v>
      </c>
      <c r="R299" s="4">
        <f ca="1">IFERROR(__xludf.DUMMYFUNCTION("""COMPUTED_VALUE"""),5)</f>
        <v>5</v>
      </c>
      <c r="S299" s="4">
        <f ca="1">IFERROR(__xludf.DUMMYFUNCTION("""COMPUTED_VALUE"""),5)</f>
        <v>5</v>
      </c>
      <c r="T299" s="4">
        <f ca="1">IFERROR(__xludf.DUMMYFUNCTION("""COMPUTED_VALUE"""),5)</f>
        <v>5</v>
      </c>
      <c r="U299" s="4">
        <f ca="1">IFERROR(__xludf.DUMMYFUNCTION("""COMPUTED_VALUE"""),4)</f>
        <v>4</v>
      </c>
      <c r="V299" s="4">
        <f ca="1">IFERROR(__xludf.DUMMYFUNCTION("""COMPUTED_VALUE"""),4)</f>
        <v>4</v>
      </c>
      <c r="W299" s="4">
        <f ca="1">IFERROR(__xludf.DUMMYFUNCTION("""COMPUTED_VALUE"""),4)</f>
        <v>4</v>
      </c>
      <c r="X299" s="4">
        <f ca="1">IFERROR(__xludf.DUMMYFUNCTION("""COMPUTED_VALUE"""),3)</f>
        <v>3</v>
      </c>
      <c r="Y299" s="4">
        <f ca="1">IFERROR(__xludf.DUMMYFUNCTION("""COMPUTED_VALUE"""),4)</f>
        <v>4</v>
      </c>
      <c r="Z299" s="4">
        <f ca="1">IFERROR(__xludf.DUMMYFUNCTION("""COMPUTED_VALUE"""),4)</f>
        <v>4</v>
      </c>
      <c r="AA299" s="4">
        <f ca="1">IFERROR(__xludf.DUMMYFUNCTION("""COMPUTED_VALUE"""),4)</f>
        <v>4</v>
      </c>
      <c r="AB299" s="4">
        <f ca="1">IFERROR(__xludf.DUMMYFUNCTION("""COMPUTED_VALUE"""),4)</f>
        <v>4</v>
      </c>
      <c r="AC299" s="4">
        <f ca="1">IFERROR(__xludf.DUMMYFUNCTION("""COMPUTED_VALUE"""),4)</f>
        <v>4</v>
      </c>
      <c r="AD299" s="4">
        <f ca="1">IFERROR(__xludf.DUMMYFUNCTION("""COMPUTED_VALUE"""),4)</f>
        <v>4</v>
      </c>
      <c r="AE299" s="4">
        <f ca="1">IFERROR(__xludf.DUMMYFUNCTION("""COMPUTED_VALUE"""),5)</f>
        <v>5</v>
      </c>
      <c r="AF299" s="4">
        <f ca="1">IFERROR(__xludf.DUMMYFUNCTION("""COMPUTED_VALUE"""),5)</f>
        <v>5</v>
      </c>
      <c r="AG299" s="4">
        <f ca="1">IFERROR(__xludf.DUMMYFUNCTION("""COMPUTED_VALUE"""),5)</f>
        <v>5</v>
      </c>
      <c r="AH299" s="4">
        <f ca="1">IFERROR(__xludf.DUMMYFUNCTION("""COMPUTED_VALUE"""),5)</f>
        <v>5</v>
      </c>
      <c r="AI299" s="4">
        <f ca="1">IFERROR(__xludf.DUMMYFUNCTION("""COMPUTED_VALUE"""),4)</f>
        <v>4</v>
      </c>
      <c r="AJ299" s="4">
        <f ca="1">IFERROR(__xludf.DUMMYFUNCTION("""COMPUTED_VALUE"""),4)</f>
        <v>4</v>
      </c>
      <c r="AK299" s="4">
        <f ca="1">IFERROR(__xludf.DUMMYFUNCTION("""COMPUTED_VALUE"""),4)</f>
        <v>4</v>
      </c>
      <c r="AL299" s="4">
        <f ca="1">IFERROR(__xludf.DUMMYFUNCTION("""COMPUTED_VALUE"""),5)</f>
        <v>5</v>
      </c>
      <c r="AM299" s="4">
        <f ca="1">IFERROR(__xludf.DUMMYFUNCTION("""COMPUTED_VALUE"""),4)</f>
        <v>4</v>
      </c>
      <c r="AN299" s="4">
        <f ca="1">IFERROR(__xludf.DUMMYFUNCTION("""COMPUTED_VALUE"""),5)</f>
        <v>5</v>
      </c>
      <c r="AO299" s="4">
        <f ca="1">IFERROR(__xludf.DUMMYFUNCTION("""COMPUTED_VALUE"""),4)</f>
        <v>4</v>
      </c>
      <c r="AP299" s="4">
        <f ca="1">IFERROR(__xludf.DUMMYFUNCTION("""COMPUTED_VALUE"""),4)</f>
        <v>4</v>
      </c>
      <c r="AQ299" s="4">
        <f ca="1">IFERROR(__xludf.DUMMYFUNCTION("""COMPUTED_VALUE"""),4)</f>
        <v>4</v>
      </c>
      <c r="AR299" s="4">
        <f ca="1">IFERROR(__xludf.DUMMYFUNCTION("""COMPUTED_VALUE"""),4)</f>
        <v>4</v>
      </c>
      <c r="AS299" s="4">
        <f ca="1">IFERROR(__xludf.DUMMYFUNCTION("""COMPUTED_VALUE"""),4)</f>
        <v>4</v>
      </c>
      <c r="AT299" s="4">
        <f ca="1">IFERROR(__xludf.DUMMYFUNCTION("""COMPUTED_VALUE"""),4)</f>
        <v>4</v>
      </c>
      <c r="AU299" s="4">
        <f ca="1">IFERROR(__xludf.DUMMYFUNCTION("""COMPUTED_VALUE"""),4)</f>
        <v>4</v>
      </c>
      <c r="AV299" s="4">
        <f ca="1">IFERROR(__xludf.DUMMYFUNCTION("""COMPUTED_VALUE"""),4)</f>
        <v>4</v>
      </c>
      <c r="AW299" s="4">
        <f ca="1">IFERROR(__xludf.DUMMYFUNCTION("""COMPUTED_VALUE"""),4)</f>
        <v>4</v>
      </c>
      <c r="AX299" s="4">
        <f ca="1">IFERROR(__xludf.DUMMYFUNCTION("""COMPUTED_VALUE"""),5)</f>
        <v>5</v>
      </c>
      <c r="AY299" s="4">
        <f ca="1">IFERROR(__xludf.DUMMYFUNCTION("""COMPUTED_VALUE"""),5)</f>
        <v>5</v>
      </c>
      <c r="AZ299" s="4">
        <f ca="1">IFERROR(__xludf.DUMMYFUNCTION("""COMPUTED_VALUE"""),5)</f>
        <v>5</v>
      </c>
      <c r="BA299" s="4">
        <f ca="1">IFERROR(__xludf.DUMMYFUNCTION("""COMPUTED_VALUE"""),5)</f>
        <v>5</v>
      </c>
      <c r="BB299" s="4">
        <f ca="1">IFERROR(__xludf.DUMMYFUNCTION("""COMPUTED_VALUE"""),4)</f>
        <v>4</v>
      </c>
      <c r="BC299" s="4">
        <f ca="1">IFERROR(__xludf.DUMMYFUNCTION("""COMPUTED_VALUE"""),4)</f>
        <v>4</v>
      </c>
      <c r="BD299" s="4">
        <f ca="1">IFERROR(__xludf.DUMMYFUNCTION("""COMPUTED_VALUE"""),4)</f>
        <v>4</v>
      </c>
      <c r="BE299" s="4">
        <f ca="1">IFERROR(__xludf.DUMMYFUNCTION("""COMPUTED_VALUE"""),3)</f>
        <v>3</v>
      </c>
      <c r="BF299" s="4">
        <f ca="1">IFERROR(__xludf.DUMMYFUNCTION("""COMPUTED_VALUE"""),4)</f>
        <v>4</v>
      </c>
      <c r="BG299" s="4">
        <f ca="1">IFERROR(__xludf.DUMMYFUNCTION("""COMPUTED_VALUE"""),4)</f>
        <v>4</v>
      </c>
      <c r="BH299" s="4">
        <f ca="1">IFERROR(__xludf.DUMMYFUNCTION("""COMPUTED_VALUE"""),5)</f>
        <v>5</v>
      </c>
      <c r="BI299" s="4">
        <f ca="1">IFERROR(__xludf.DUMMYFUNCTION("""COMPUTED_VALUE"""),5)</f>
        <v>5</v>
      </c>
      <c r="BJ299" s="4">
        <f ca="1">IFERROR(__xludf.DUMMYFUNCTION("""COMPUTED_VALUE"""),5)</f>
        <v>5</v>
      </c>
      <c r="BK299" s="4">
        <f ca="1">IFERROR(__xludf.DUMMYFUNCTION("""COMPUTED_VALUE"""),5)</f>
        <v>5</v>
      </c>
      <c r="BL299" s="4">
        <f ca="1">IFERROR(__xludf.DUMMYFUNCTION("""COMPUTED_VALUE"""),5)</f>
        <v>5</v>
      </c>
      <c r="BM299" s="4">
        <f ca="1">IFERROR(__xludf.DUMMYFUNCTION("""COMPUTED_VALUE"""),5)</f>
        <v>5</v>
      </c>
      <c r="BN299" s="4">
        <f ca="1">IFERROR(__xludf.DUMMYFUNCTION("""COMPUTED_VALUE"""),5)</f>
        <v>5</v>
      </c>
      <c r="BO299" s="4">
        <f ca="1">IFERROR(__xludf.DUMMYFUNCTION("""COMPUTED_VALUE"""),5)</f>
        <v>5</v>
      </c>
      <c r="BP299" s="4">
        <f ca="1">IFERROR(__xludf.DUMMYFUNCTION("""COMPUTED_VALUE"""),5)</f>
        <v>5</v>
      </c>
    </row>
    <row r="300" spans="1:68" ht="13.2" x14ac:dyDescent="0.25">
      <c r="A300" s="4" t="str">
        <f ca="1">IFERROR(__xludf.DUMMYFUNCTION("""COMPUTED_VALUE"""),"2_ABaOnufFgDeuOcY6GTO_GBI7DJ91AguhXmrMszqT7JVwqQXqLQ6VEgiviuSjNH3hyw")</f>
        <v>2_ABaOnufFgDeuOcY6GTO_GBI7DJ91AguhXmrMszqT7JVwqQXqLQ6VEgiviuSjNH3hyw</v>
      </c>
      <c r="B300" s="5">
        <f ca="1">IFERROR(__xludf.DUMMYFUNCTION("""COMPUTED_VALUE"""),45986.4753255439)</f>
        <v>45986.475325543899</v>
      </c>
      <c r="C300" s="4" t="str">
        <f ca="1">IFERROR(__xludf.DUMMYFUNCTION("""COMPUTED_VALUE"""),"Nguyễn THị Diệu")</f>
        <v>Nguyễn THị Diệu</v>
      </c>
      <c r="D300" s="4" t="str">
        <f ca="1">IFERROR(__xludf.DUMMYFUNCTION("""COMPUTED_VALUE"""),"Nữ")</f>
        <v>Nữ</v>
      </c>
      <c r="E300" s="4" t="str">
        <f ca="1">IFERROR(__xludf.DUMMYFUNCTION("""COMPUTED_VALUE"""),"Công ty TNHH Kiểm toán và Kế toán AAC")</f>
        <v>Công ty TNHH Kiểm toán và Kế toán AAC</v>
      </c>
      <c r="F300" s="4" t="str">
        <f ca="1">IFERROR(__xludf.DUMMYFUNCTION("""COMPUTED_VALUE"""),"Đại học, Chứng chỉ Kiểm toán viên")</f>
        <v>Đại học, Chứng chỉ Kiểm toán viên</v>
      </c>
      <c r="G300" s="4" t="str">
        <f ca="1">IFERROR(__xludf.DUMMYFUNCTION("""COMPUTED_VALUE"""),"Trên 5 đến 10 năm")</f>
        <v>Trên 5 đến 10 năm</v>
      </c>
      <c r="H300" s="4" t="str">
        <f ca="1">IFERROR(__xludf.DUMMYFUNCTION("""COMPUTED_VALUE"""),"Kiểm toán viên/Trưởng nhóm")</f>
        <v>Kiểm toán viên/Trưởng nhóm</v>
      </c>
      <c r="I300" s="4">
        <f ca="1">IFERROR(__xludf.DUMMYFUNCTION("""COMPUTED_VALUE"""),4)</f>
        <v>4</v>
      </c>
      <c r="J300" s="4">
        <f ca="1">IFERROR(__xludf.DUMMYFUNCTION("""COMPUTED_VALUE"""),4)</f>
        <v>4</v>
      </c>
      <c r="K300" s="4">
        <f ca="1">IFERROR(__xludf.DUMMYFUNCTION("""COMPUTED_VALUE"""),4)</f>
        <v>4</v>
      </c>
      <c r="L300" s="4">
        <f ca="1">IFERROR(__xludf.DUMMYFUNCTION("""COMPUTED_VALUE"""),4)</f>
        <v>4</v>
      </c>
      <c r="M300" s="4">
        <f ca="1">IFERROR(__xludf.DUMMYFUNCTION("""COMPUTED_VALUE"""),5)</f>
        <v>5</v>
      </c>
      <c r="N300" s="4">
        <f ca="1">IFERROR(__xludf.DUMMYFUNCTION("""COMPUTED_VALUE"""),5)</f>
        <v>5</v>
      </c>
      <c r="O300" s="4">
        <f ca="1">IFERROR(__xludf.DUMMYFUNCTION("""COMPUTED_VALUE"""),5)</f>
        <v>5</v>
      </c>
      <c r="P300" s="4">
        <f ca="1">IFERROR(__xludf.DUMMYFUNCTION("""COMPUTED_VALUE"""),4)</f>
        <v>4</v>
      </c>
      <c r="Q300" s="4">
        <f ca="1">IFERROR(__xludf.DUMMYFUNCTION("""COMPUTED_VALUE"""),5)</f>
        <v>5</v>
      </c>
      <c r="R300" s="4">
        <f ca="1">IFERROR(__xludf.DUMMYFUNCTION("""COMPUTED_VALUE"""),5)</f>
        <v>5</v>
      </c>
      <c r="S300" s="4">
        <f ca="1">IFERROR(__xludf.DUMMYFUNCTION("""COMPUTED_VALUE"""),5)</f>
        <v>5</v>
      </c>
      <c r="T300" s="4">
        <f ca="1">IFERROR(__xludf.DUMMYFUNCTION("""COMPUTED_VALUE"""),5)</f>
        <v>5</v>
      </c>
      <c r="U300" s="4">
        <f ca="1">IFERROR(__xludf.DUMMYFUNCTION("""COMPUTED_VALUE"""),5)</f>
        <v>5</v>
      </c>
      <c r="V300" s="4">
        <f ca="1">IFERROR(__xludf.DUMMYFUNCTION("""COMPUTED_VALUE"""),5)</f>
        <v>5</v>
      </c>
      <c r="W300" s="4">
        <f ca="1">IFERROR(__xludf.DUMMYFUNCTION("""COMPUTED_VALUE"""),5)</f>
        <v>5</v>
      </c>
      <c r="X300" s="4">
        <f ca="1">IFERROR(__xludf.DUMMYFUNCTION("""COMPUTED_VALUE"""),5)</f>
        <v>5</v>
      </c>
      <c r="Y300" s="4">
        <f ca="1">IFERROR(__xludf.DUMMYFUNCTION("""COMPUTED_VALUE"""),5)</f>
        <v>5</v>
      </c>
      <c r="Z300" s="4">
        <f ca="1">IFERROR(__xludf.DUMMYFUNCTION("""COMPUTED_VALUE"""),5)</f>
        <v>5</v>
      </c>
      <c r="AA300" s="4">
        <f ca="1">IFERROR(__xludf.DUMMYFUNCTION("""COMPUTED_VALUE"""),5)</f>
        <v>5</v>
      </c>
      <c r="AB300" s="4">
        <f ca="1">IFERROR(__xludf.DUMMYFUNCTION("""COMPUTED_VALUE"""),4)</f>
        <v>4</v>
      </c>
      <c r="AC300" s="4">
        <f ca="1">IFERROR(__xludf.DUMMYFUNCTION("""COMPUTED_VALUE"""),4)</f>
        <v>4</v>
      </c>
      <c r="AD300" s="4">
        <f ca="1">IFERROR(__xludf.DUMMYFUNCTION("""COMPUTED_VALUE"""),3)</f>
        <v>3</v>
      </c>
      <c r="AE300" s="4">
        <f ca="1">IFERROR(__xludf.DUMMYFUNCTION("""COMPUTED_VALUE"""),4)</f>
        <v>4</v>
      </c>
      <c r="AF300" s="4">
        <f ca="1">IFERROR(__xludf.DUMMYFUNCTION("""COMPUTED_VALUE"""),4)</f>
        <v>4</v>
      </c>
      <c r="AG300" s="4">
        <f ca="1">IFERROR(__xludf.DUMMYFUNCTION("""COMPUTED_VALUE"""),4)</f>
        <v>4</v>
      </c>
      <c r="AH300" s="4">
        <f ca="1">IFERROR(__xludf.DUMMYFUNCTION("""COMPUTED_VALUE"""),4)</f>
        <v>4</v>
      </c>
      <c r="AI300" s="4">
        <f ca="1">IFERROR(__xludf.DUMMYFUNCTION("""COMPUTED_VALUE"""),4)</f>
        <v>4</v>
      </c>
      <c r="AJ300" s="4">
        <f ca="1">IFERROR(__xludf.DUMMYFUNCTION("""COMPUTED_VALUE"""),4)</f>
        <v>4</v>
      </c>
      <c r="AK300" s="4">
        <f ca="1">IFERROR(__xludf.DUMMYFUNCTION("""COMPUTED_VALUE"""),5)</f>
        <v>5</v>
      </c>
      <c r="AL300" s="4">
        <f ca="1">IFERROR(__xludf.DUMMYFUNCTION("""COMPUTED_VALUE"""),5)</f>
        <v>5</v>
      </c>
      <c r="AM300" s="4">
        <f ca="1">IFERROR(__xludf.DUMMYFUNCTION("""COMPUTED_VALUE"""),5)</f>
        <v>5</v>
      </c>
      <c r="AN300" s="4">
        <f ca="1">IFERROR(__xludf.DUMMYFUNCTION("""COMPUTED_VALUE"""),4)</f>
        <v>4</v>
      </c>
      <c r="AO300" s="4">
        <f ca="1">IFERROR(__xludf.DUMMYFUNCTION("""COMPUTED_VALUE"""),3)</f>
        <v>3</v>
      </c>
      <c r="AP300" s="4">
        <f ca="1">IFERROR(__xludf.DUMMYFUNCTION("""COMPUTED_VALUE"""),4)</f>
        <v>4</v>
      </c>
      <c r="AQ300" s="4">
        <f ca="1">IFERROR(__xludf.DUMMYFUNCTION("""COMPUTED_VALUE"""),4)</f>
        <v>4</v>
      </c>
      <c r="AR300" s="4">
        <f ca="1">IFERROR(__xludf.DUMMYFUNCTION("""COMPUTED_VALUE"""),3)</f>
        <v>3</v>
      </c>
      <c r="AS300" s="4">
        <f ca="1">IFERROR(__xludf.DUMMYFUNCTION("""COMPUTED_VALUE"""),4)</f>
        <v>4</v>
      </c>
      <c r="AT300" s="4">
        <f ca="1">IFERROR(__xludf.DUMMYFUNCTION("""COMPUTED_VALUE"""),2)</f>
        <v>2</v>
      </c>
      <c r="AU300" s="4">
        <f ca="1">IFERROR(__xludf.DUMMYFUNCTION("""COMPUTED_VALUE"""),4)</f>
        <v>4</v>
      </c>
      <c r="AV300" s="4">
        <f ca="1">IFERROR(__xludf.DUMMYFUNCTION("""COMPUTED_VALUE"""),4)</f>
        <v>4</v>
      </c>
      <c r="AW300" s="4">
        <f ca="1">IFERROR(__xludf.DUMMYFUNCTION("""COMPUTED_VALUE"""),4)</f>
        <v>4</v>
      </c>
      <c r="AX300" s="4">
        <f ca="1">IFERROR(__xludf.DUMMYFUNCTION("""COMPUTED_VALUE"""),4)</f>
        <v>4</v>
      </c>
      <c r="AY300" s="4">
        <f ca="1">IFERROR(__xludf.DUMMYFUNCTION("""COMPUTED_VALUE"""),4)</f>
        <v>4</v>
      </c>
      <c r="AZ300" s="4">
        <f ca="1">IFERROR(__xludf.DUMMYFUNCTION("""COMPUTED_VALUE"""),4)</f>
        <v>4</v>
      </c>
      <c r="BA300" s="4">
        <f ca="1">IFERROR(__xludf.DUMMYFUNCTION("""COMPUTED_VALUE"""),4)</f>
        <v>4</v>
      </c>
      <c r="BB300" s="4">
        <f ca="1">IFERROR(__xludf.DUMMYFUNCTION("""COMPUTED_VALUE"""),4)</f>
        <v>4</v>
      </c>
      <c r="BC300" s="4">
        <f ca="1">IFERROR(__xludf.DUMMYFUNCTION("""COMPUTED_VALUE"""),3)</f>
        <v>3</v>
      </c>
      <c r="BD300" s="4">
        <f ca="1">IFERROR(__xludf.DUMMYFUNCTION("""COMPUTED_VALUE"""),2)</f>
        <v>2</v>
      </c>
      <c r="BE300" s="4">
        <f ca="1">IFERROR(__xludf.DUMMYFUNCTION("""COMPUTED_VALUE"""),2)</f>
        <v>2</v>
      </c>
      <c r="BF300" s="4">
        <f ca="1">IFERROR(__xludf.DUMMYFUNCTION("""COMPUTED_VALUE"""),2)</f>
        <v>2</v>
      </c>
      <c r="BG300" s="4">
        <f ca="1">IFERROR(__xludf.DUMMYFUNCTION("""COMPUTED_VALUE"""),2)</f>
        <v>2</v>
      </c>
      <c r="BH300" s="4">
        <f ca="1">IFERROR(__xludf.DUMMYFUNCTION("""COMPUTED_VALUE"""),4)</f>
        <v>4</v>
      </c>
      <c r="BI300" s="4">
        <f ca="1">IFERROR(__xludf.DUMMYFUNCTION("""COMPUTED_VALUE"""),4)</f>
        <v>4</v>
      </c>
      <c r="BJ300" s="4">
        <f ca="1">IFERROR(__xludf.DUMMYFUNCTION("""COMPUTED_VALUE"""),4)</f>
        <v>4</v>
      </c>
      <c r="BK300" s="4">
        <f ca="1">IFERROR(__xludf.DUMMYFUNCTION("""COMPUTED_VALUE"""),4)</f>
        <v>4</v>
      </c>
      <c r="BL300" s="4">
        <f ca="1">IFERROR(__xludf.DUMMYFUNCTION("""COMPUTED_VALUE"""),4)</f>
        <v>4</v>
      </c>
      <c r="BM300" s="4">
        <f ca="1">IFERROR(__xludf.DUMMYFUNCTION("""COMPUTED_VALUE"""),4)</f>
        <v>4</v>
      </c>
      <c r="BN300" s="4">
        <f ca="1">IFERROR(__xludf.DUMMYFUNCTION("""COMPUTED_VALUE"""),4)</f>
        <v>4</v>
      </c>
      <c r="BO300" s="4">
        <f ca="1">IFERROR(__xludf.DUMMYFUNCTION("""COMPUTED_VALUE"""),4)</f>
        <v>4</v>
      </c>
      <c r="BP300" s="4">
        <f ca="1">IFERROR(__xludf.DUMMYFUNCTION("""COMPUTED_VALUE"""),4)</f>
        <v>4</v>
      </c>
    </row>
    <row r="301" spans="1:68" ht="13.2" x14ac:dyDescent="0.25">
      <c r="A301" s="4" t="str">
        <f ca="1">IFERROR(__xludf.DUMMYFUNCTION("""COMPUTED_VALUE"""),"2_ABaOnucDXjCTBqoxc3iLyQ-ZsU56hLkIappDnk8CSwMwXKXB_sdTr0IvyMIuT0egXw")</f>
        <v>2_ABaOnucDXjCTBqoxc3iLyQ-ZsU56hLkIappDnk8CSwMwXKXB_sdTr0IvyMIuT0egXw</v>
      </c>
      <c r="B301" s="5">
        <f ca="1">IFERROR(__xludf.DUMMYFUNCTION("""COMPUTED_VALUE"""),45986.4774290509)</f>
        <v>45986.477429050901</v>
      </c>
      <c r="C301" s="4" t="str">
        <f ca="1">IFERROR(__xludf.DUMMYFUNCTION("""COMPUTED_VALUE"""),"Trương Nguyễn Anh Phương")</f>
        <v>Trương Nguyễn Anh Phương</v>
      </c>
      <c r="D301" s="4" t="str">
        <f ca="1">IFERROR(__xludf.DUMMYFUNCTION("""COMPUTED_VALUE"""),"Nữ")</f>
        <v>Nữ</v>
      </c>
      <c r="E301" s="4" t="str">
        <f ca="1">IFERROR(__xludf.DUMMYFUNCTION("""COMPUTED_VALUE"""),"Kiểm toán UI")</f>
        <v>Kiểm toán UI</v>
      </c>
      <c r="F301" s="4" t="str">
        <f ca="1">IFERROR(__xludf.DUMMYFUNCTION("""COMPUTED_VALUE"""),"Đại học")</f>
        <v>Đại học</v>
      </c>
      <c r="G301" s="4" t="str">
        <f ca="1">IFERROR(__xludf.DUMMYFUNCTION("""COMPUTED_VALUE"""),"Từ 3 đến 5 năm")</f>
        <v>Từ 3 đến 5 năm</v>
      </c>
      <c r="H301" s="4" t="str">
        <f ca="1">IFERROR(__xludf.DUMMYFUNCTION("""COMPUTED_VALUE"""),"Trợ lý kiểm toán")</f>
        <v>Trợ lý kiểm toán</v>
      </c>
      <c r="I301" s="4">
        <f ca="1">IFERROR(__xludf.DUMMYFUNCTION("""COMPUTED_VALUE"""),5)</f>
        <v>5</v>
      </c>
      <c r="J301" s="4">
        <f ca="1">IFERROR(__xludf.DUMMYFUNCTION("""COMPUTED_VALUE"""),5)</f>
        <v>5</v>
      </c>
      <c r="K301" s="4">
        <f ca="1">IFERROR(__xludf.DUMMYFUNCTION("""COMPUTED_VALUE"""),5)</f>
        <v>5</v>
      </c>
      <c r="L301" s="4">
        <f ca="1">IFERROR(__xludf.DUMMYFUNCTION("""COMPUTED_VALUE"""),5)</f>
        <v>5</v>
      </c>
      <c r="M301" s="4">
        <f ca="1">IFERROR(__xludf.DUMMYFUNCTION("""COMPUTED_VALUE"""),5)</f>
        <v>5</v>
      </c>
      <c r="N301" s="4">
        <f ca="1">IFERROR(__xludf.DUMMYFUNCTION("""COMPUTED_VALUE"""),5)</f>
        <v>5</v>
      </c>
      <c r="O301" s="4">
        <f ca="1">IFERROR(__xludf.DUMMYFUNCTION("""COMPUTED_VALUE"""),5)</f>
        <v>5</v>
      </c>
      <c r="P301" s="4">
        <f ca="1">IFERROR(__xludf.DUMMYFUNCTION("""COMPUTED_VALUE"""),5)</f>
        <v>5</v>
      </c>
      <c r="Q301" s="4">
        <f ca="1">IFERROR(__xludf.DUMMYFUNCTION("""COMPUTED_VALUE"""),5)</f>
        <v>5</v>
      </c>
      <c r="R301" s="4">
        <f ca="1">IFERROR(__xludf.DUMMYFUNCTION("""COMPUTED_VALUE"""),5)</f>
        <v>5</v>
      </c>
      <c r="S301" s="4">
        <f ca="1">IFERROR(__xludf.DUMMYFUNCTION("""COMPUTED_VALUE"""),5)</f>
        <v>5</v>
      </c>
      <c r="T301" s="4">
        <f ca="1">IFERROR(__xludf.DUMMYFUNCTION("""COMPUTED_VALUE"""),5)</f>
        <v>5</v>
      </c>
      <c r="U301" s="4">
        <f ca="1">IFERROR(__xludf.DUMMYFUNCTION("""COMPUTED_VALUE"""),5)</f>
        <v>5</v>
      </c>
      <c r="V301" s="4">
        <f ca="1">IFERROR(__xludf.DUMMYFUNCTION("""COMPUTED_VALUE"""),5)</f>
        <v>5</v>
      </c>
      <c r="W301" s="4">
        <f ca="1">IFERROR(__xludf.DUMMYFUNCTION("""COMPUTED_VALUE"""),5)</f>
        <v>5</v>
      </c>
      <c r="X301" s="4">
        <f ca="1">IFERROR(__xludf.DUMMYFUNCTION("""COMPUTED_VALUE"""),5)</f>
        <v>5</v>
      </c>
      <c r="Y301" s="4">
        <f ca="1">IFERROR(__xludf.DUMMYFUNCTION("""COMPUTED_VALUE"""),5)</f>
        <v>5</v>
      </c>
      <c r="Z301" s="4">
        <f ca="1">IFERROR(__xludf.DUMMYFUNCTION("""COMPUTED_VALUE"""),5)</f>
        <v>5</v>
      </c>
      <c r="AA301" s="4">
        <f ca="1">IFERROR(__xludf.DUMMYFUNCTION("""COMPUTED_VALUE"""),5)</f>
        <v>5</v>
      </c>
      <c r="AB301" s="4">
        <f ca="1">IFERROR(__xludf.DUMMYFUNCTION("""COMPUTED_VALUE"""),5)</f>
        <v>5</v>
      </c>
      <c r="AC301" s="4">
        <f ca="1">IFERROR(__xludf.DUMMYFUNCTION("""COMPUTED_VALUE"""),5)</f>
        <v>5</v>
      </c>
      <c r="AD301" s="4">
        <f ca="1">IFERROR(__xludf.DUMMYFUNCTION("""COMPUTED_VALUE"""),5)</f>
        <v>5</v>
      </c>
      <c r="AE301" s="4">
        <f ca="1">IFERROR(__xludf.DUMMYFUNCTION("""COMPUTED_VALUE"""),5)</f>
        <v>5</v>
      </c>
      <c r="AF301" s="4">
        <f ca="1">IFERROR(__xludf.DUMMYFUNCTION("""COMPUTED_VALUE"""),5)</f>
        <v>5</v>
      </c>
      <c r="AG301" s="4">
        <f ca="1">IFERROR(__xludf.DUMMYFUNCTION("""COMPUTED_VALUE"""),5)</f>
        <v>5</v>
      </c>
      <c r="AH301" s="4">
        <f ca="1">IFERROR(__xludf.DUMMYFUNCTION("""COMPUTED_VALUE"""),5)</f>
        <v>5</v>
      </c>
      <c r="AI301" s="4">
        <f ca="1">IFERROR(__xludf.DUMMYFUNCTION("""COMPUTED_VALUE"""),5)</f>
        <v>5</v>
      </c>
      <c r="AJ301" s="4">
        <f ca="1">IFERROR(__xludf.DUMMYFUNCTION("""COMPUTED_VALUE"""),5)</f>
        <v>5</v>
      </c>
      <c r="AK301" s="4">
        <f ca="1">IFERROR(__xludf.DUMMYFUNCTION("""COMPUTED_VALUE"""),5)</f>
        <v>5</v>
      </c>
      <c r="AL301" s="4">
        <f ca="1">IFERROR(__xludf.DUMMYFUNCTION("""COMPUTED_VALUE"""),5)</f>
        <v>5</v>
      </c>
      <c r="AM301" s="4">
        <f ca="1">IFERROR(__xludf.DUMMYFUNCTION("""COMPUTED_VALUE"""),5)</f>
        <v>5</v>
      </c>
      <c r="AN301" s="4">
        <f ca="1">IFERROR(__xludf.DUMMYFUNCTION("""COMPUTED_VALUE"""),5)</f>
        <v>5</v>
      </c>
      <c r="AO301" s="4">
        <f ca="1">IFERROR(__xludf.DUMMYFUNCTION("""COMPUTED_VALUE"""),5)</f>
        <v>5</v>
      </c>
      <c r="AP301" s="4">
        <f ca="1">IFERROR(__xludf.DUMMYFUNCTION("""COMPUTED_VALUE"""),5)</f>
        <v>5</v>
      </c>
      <c r="AQ301" s="4">
        <f ca="1">IFERROR(__xludf.DUMMYFUNCTION("""COMPUTED_VALUE"""),5)</f>
        <v>5</v>
      </c>
      <c r="AR301" s="4">
        <f ca="1">IFERROR(__xludf.DUMMYFUNCTION("""COMPUTED_VALUE"""),5)</f>
        <v>5</v>
      </c>
      <c r="AS301" s="4">
        <f ca="1">IFERROR(__xludf.DUMMYFUNCTION("""COMPUTED_VALUE"""),5)</f>
        <v>5</v>
      </c>
      <c r="AT301" s="4">
        <f ca="1">IFERROR(__xludf.DUMMYFUNCTION("""COMPUTED_VALUE"""),5)</f>
        <v>5</v>
      </c>
      <c r="AU301" s="4">
        <f ca="1">IFERROR(__xludf.DUMMYFUNCTION("""COMPUTED_VALUE"""),5)</f>
        <v>5</v>
      </c>
      <c r="AV301" s="4">
        <f ca="1">IFERROR(__xludf.DUMMYFUNCTION("""COMPUTED_VALUE"""),5)</f>
        <v>5</v>
      </c>
      <c r="AW301" s="4">
        <f ca="1">IFERROR(__xludf.DUMMYFUNCTION("""COMPUTED_VALUE"""),5)</f>
        <v>5</v>
      </c>
      <c r="AX301" s="4">
        <f ca="1">IFERROR(__xludf.DUMMYFUNCTION("""COMPUTED_VALUE"""),5)</f>
        <v>5</v>
      </c>
      <c r="AY301" s="4">
        <f ca="1">IFERROR(__xludf.DUMMYFUNCTION("""COMPUTED_VALUE"""),5)</f>
        <v>5</v>
      </c>
      <c r="AZ301" s="4">
        <f ca="1">IFERROR(__xludf.DUMMYFUNCTION("""COMPUTED_VALUE"""),5)</f>
        <v>5</v>
      </c>
      <c r="BA301" s="4">
        <f ca="1">IFERROR(__xludf.DUMMYFUNCTION("""COMPUTED_VALUE"""),5)</f>
        <v>5</v>
      </c>
      <c r="BB301" s="4">
        <f ca="1">IFERROR(__xludf.DUMMYFUNCTION("""COMPUTED_VALUE"""),5)</f>
        <v>5</v>
      </c>
      <c r="BC301" s="4">
        <f ca="1">IFERROR(__xludf.DUMMYFUNCTION("""COMPUTED_VALUE"""),5)</f>
        <v>5</v>
      </c>
      <c r="BD301" s="4">
        <f ca="1">IFERROR(__xludf.DUMMYFUNCTION("""COMPUTED_VALUE"""),5)</f>
        <v>5</v>
      </c>
      <c r="BE301" s="4">
        <f ca="1">IFERROR(__xludf.DUMMYFUNCTION("""COMPUTED_VALUE"""),5)</f>
        <v>5</v>
      </c>
      <c r="BF301" s="4">
        <f ca="1">IFERROR(__xludf.DUMMYFUNCTION("""COMPUTED_VALUE"""),5)</f>
        <v>5</v>
      </c>
      <c r="BG301" s="4">
        <f ca="1">IFERROR(__xludf.DUMMYFUNCTION("""COMPUTED_VALUE"""),5)</f>
        <v>5</v>
      </c>
      <c r="BH301" s="4">
        <f ca="1">IFERROR(__xludf.DUMMYFUNCTION("""COMPUTED_VALUE"""),5)</f>
        <v>5</v>
      </c>
      <c r="BI301" s="4">
        <f ca="1">IFERROR(__xludf.DUMMYFUNCTION("""COMPUTED_VALUE"""),5)</f>
        <v>5</v>
      </c>
      <c r="BJ301" s="4">
        <f ca="1">IFERROR(__xludf.DUMMYFUNCTION("""COMPUTED_VALUE"""),5)</f>
        <v>5</v>
      </c>
      <c r="BK301" s="4">
        <f ca="1">IFERROR(__xludf.DUMMYFUNCTION("""COMPUTED_VALUE"""),5)</f>
        <v>5</v>
      </c>
      <c r="BL301" s="4">
        <f ca="1">IFERROR(__xludf.DUMMYFUNCTION("""COMPUTED_VALUE"""),5)</f>
        <v>5</v>
      </c>
      <c r="BM301" s="4">
        <f ca="1">IFERROR(__xludf.DUMMYFUNCTION("""COMPUTED_VALUE"""),5)</f>
        <v>5</v>
      </c>
      <c r="BN301" s="4">
        <f ca="1">IFERROR(__xludf.DUMMYFUNCTION("""COMPUTED_VALUE"""),5)</f>
        <v>5</v>
      </c>
      <c r="BO301" s="4">
        <f ca="1">IFERROR(__xludf.DUMMYFUNCTION("""COMPUTED_VALUE"""),5)</f>
        <v>5</v>
      </c>
      <c r="BP301" s="4">
        <f ca="1">IFERROR(__xludf.DUMMYFUNCTION("""COMPUTED_VALUE"""),5)</f>
        <v>5</v>
      </c>
    </row>
    <row r="302" spans="1:68" ht="13.2" x14ac:dyDescent="0.25">
      <c r="A302" s="4" t="str">
        <f ca="1">IFERROR(__xludf.DUMMYFUNCTION("""COMPUTED_VALUE"""),"2_ABaOnudw__1wigM79SiINEzvqfIccZNXypCbVodBDsA705Mxb8Jwg1HKCeB7t4yZbw")</f>
        <v>2_ABaOnudw__1wigM79SiINEzvqfIccZNXypCbVodBDsA705Mxb8Jwg1HKCeB7t4yZbw</v>
      </c>
      <c r="B302" s="5">
        <f ca="1">IFERROR(__xludf.DUMMYFUNCTION("""COMPUTED_VALUE"""),45986.4785957407)</f>
        <v>45986.4785957407</v>
      </c>
      <c r="C302" s="4" t="str">
        <f ca="1">IFERROR(__xludf.DUMMYFUNCTION("""COMPUTED_VALUE"""),"Ngô Lê Đăng Khoa")</f>
        <v>Ngô Lê Đăng Khoa</v>
      </c>
      <c r="D302" s="4" t="str">
        <f ca="1">IFERROR(__xludf.DUMMYFUNCTION("""COMPUTED_VALUE"""),"Nam")</f>
        <v>Nam</v>
      </c>
      <c r="E302" s="4" t="str">
        <f ca="1">IFERROR(__xludf.DUMMYFUNCTION("""COMPUTED_VALUE"""),"Kiểm toán U&amp;I")</f>
        <v>Kiểm toán U&amp;I</v>
      </c>
      <c r="F302" s="4" t="str">
        <f ca="1">IFERROR(__xludf.DUMMYFUNCTION("""COMPUTED_VALUE"""),"Đại học")</f>
        <v>Đại học</v>
      </c>
      <c r="G302" s="4" t="str">
        <f ca="1">IFERROR(__xludf.DUMMYFUNCTION("""COMPUTED_VALUE"""),"Từ 3 đến 5 năm")</f>
        <v>Từ 3 đến 5 năm</v>
      </c>
      <c r="H302" s="4" t="str">
        <f ca="1">IFERROR(__xludf.DUMMYFUNCTION("""COMPUTED_VALUE"""),"Kiểm toán viên/Trưởng nhóm")</f>
        <v>Kiểm toán viên/Trưởng nhóm</v>
      </c>
      <c r="I302" s="4">
        <f ca="1">IFERROR(__xludf.DUMMYFUNCTION("""COMPUTED_VALUE"""),5)</f>
        <v>5</v>
      </c>
      <c r="J302" s="4">
        <f ca="1">IFERROR(__xludf.DUMMYFUNCTION("""COMPUTED_VALUE"""),5)</f>
        <v>5</v>
      </c>
      <c r="K302" s="4">
        <f ca="1">IFERROR(__xludf.DUMMYFUNCTION("""COMPUTED_VALUE"""),4)</f>
        <v>4</v>
      </c>
      <c r="L302" s="4">
        <f ca="1">IFERROR(__xludf.DUMMYFUNCTION("""COMPUTED_VALUE"""),5)</f>
        <v>5</v>
      </c>
      <c r="M302" s="4">
        <f ca="1">IFERROR(__xludf.DUMMYFUNCTION("""COMPUTED_VALUE"""),4)</f>
        <v>4</v>
      </c>
      <c r="N302" s="4">
        <f ca="1">IFERROR(__xludf.DUMMYFUNCTION("""COMPUTED_VALUE"""),4)</f>
        <v>4</v>
      </c>
      <c r="O302" s="4">
        <f ca="1">IFERROR(__xludf.DUMMYFUNCTION("""COMPUTED_VALUE"""),4)</f>
        <v>4</v>
      </c>
      <c r="P302" s="4">
        <f ca="1">IFERROR(__xludf.DUMMYFUNCTION("""COMPUTED_VALUE"""),4)</f>
        <v>4</v>
      </c>
      <c r="Q302" s="4">
        <f ca="1">IFERROR(__xludf.DUMMYFUNCTION("""COMPUTED_VALUE"""),4)</f>
        <v>4</v>
      </c>
      <c r="R302" s="4">
        <f ca="1">IFERROR(__xludf.DUMMYFUNCTION("""COMPUTED_VALUE"""),4)</f>
        <v>4</v>
      </c>
      <c r="S302" s="4">
        <f ca="1">IFERROR(__xludf.DUMMYFUNCTION("""COMPUTED_VALUE"""),4)</f>
        <v>4</v>
      </c>
      <c r="T302" s="4">
        <f ca="1">IFERROR(__xludf.DUMMYFUNCTION("""COMPUTED_VALUE"""),4)</f>
        <v>4</v>
      </c>
      <c r="U302" s="4">
        <f ca="1">IFERROR(__xludf.DUMMYFUNCTION("""COMPUTED_VALUE"""),4)</f>
        <v>4</v>
      </c>
      <c r="V302" s="4">
        <f ca="1">IFERROR(__xludf.DUMMYFUNCTION("""COMPUTED_VALUE"""),4)</f>
        <v>4</v>
      </c>
      <c r="W302" s="4">
        <f ca="1">IFERROR(__xludf.DUMMYFUNCTION("""COMPUTED_VALUE"""),4)</f>
        <v>4</v>
      </c>
      <c r="X302" s="4">
        <f ca="1">IFERROR(__xludf.DUMMYFUNCTION("""COMPUTED_VALUE"""),4)</f>
        <v>4</v>
      </c>
      <c r="Y302" s="4">
        <f ca="1">IFERROR(__xludf.DUMMYFUNCTION("""COMPUTED_VALUE"""),4)</f>
        <v>4</v>
      </c>
      <c r="Z302" s="4">
        <f ca="1">IFERROR(__xludf.DUMMYFUNCTION("""COMPUTED_VALUE"""),4)</f>
        <v>4</v>
      </c>
      <c r="AA302" s="4">
        <f ca="1">IFERROR(__xludf.DUMMYFUNCTION("""COMPUTED_VALUE"""),4)</f>
        <v>4</v>
      </c>
      <c r="AB302" s="4">
        <f ca="1">IFERROR(__xludf.DUMMYFUNCTION("""COMPUTED_VALUE"""),4)</f>
        <v>4</v>
      </c>
      <c r="AC302" s="4">
        <f ca="1">IFERROR(__xludf.DUMMYFUNCTION("""COMPUTED_VALUE"""),4)</f>
        <v>4</v>
      </c>
      <c r="AD302" s="4">
        <f ca="1">IFERROR(__xludf.DUMMYFUNCTION("""COMPUTED_VALUE"""),4)</f>
        <v>4</v>
      </c>
      <c r="AE302" s="4">
        <f ca="1">IFERROR(__xludf.DUMMYFUNCTION("""COMPUTED_VALUE"""),4)</f>
        <v>4</v>
      </c>
      <c r="AF302" s="4">
        <f ca="1">IFERROR(__xludf.DUMMYFUNCTION("""COMPUTED_VALUE"""),3)</f>
        <v>3</v>
      </c>
      <c r="AG302" s="4">
        <f ca="1">IFERROR(__xludf.DUMMYFUNCTION("""COMPUTED_VALUE"""),3)</f>
        <v>3</v>
      </c>
      <c r="AH302" s="4">
        <f ca="1">IFERROR(__xludf.DUMMYFUNCTION("""COMPUTED_VALUE"""),3)</f>
        <v>3</v>
      </c>
      <c r="AI302" s="4">
        <f ca="1">IFERROR(__xludf.DUMMYFUNCTION("""COMPUTED_VALUE"""),3)</f>
        <v>3</v>
      </c>
      <c r="AJ302" s="4">
        <f ca="1">IFERROR(__xludf.DUMMYFUNCTION("""COMPUTED_VALUE"""),4)</f>
        <v>4</v>
      </c>
      <c r="AK302" s="4">
        <f ca="1">IFERROR(__xludf.DUMMYFUNCTION("""COMPUTED_VALUE"""),4)</f>
        <v>4</v>
      </c>
      <c r="AL302" s="4">
        <f ca="1">IFERROR(__xludf.DUMMYFUNCTION("""COMPUTED_VALUE"""),4)</f>
        <v>4</v>
      </c>
      <c r="AM302" s="4">
        <f ca="1">IFERROR(__xludf.DUMMYFUNCTION("""COMPUTED_VALUE"""),4)</f>
        <v>4</v>
      </c>
      <c r="AN302" s="4">
        <f ca="1">IFERROR(__xludf.DUMMYFUNCTION("""COMPUTED_VALUE"""),4)</f>
        <v>4</v>
      </c>
      <c r="AO302" s="4">
        <f ca="1">IFERROR(__xludf.DUMMYFUNCTION("""COMPUTED_VALUE"""),3)</f>
        <v>3</v>
      </c>
      <c r="AP302" s="4">
        <f ca="1">IFERROR(__xludf.DUMMYFUNCTION("""COMPUTED_VALUE"""),3)</f>
        <v>3</v>
      </c>
      <c r="AQ302" s="4">
        <f ca="1">IFERROR(__xludf.DUMMYFUNCTION("""COMPUTED_VALUE"""),4)</f>
        <v>4</v>
      </c>
      <c r="AR302" s="4">
        <f ca="1">IFERROR(__xludf.DUMMYFUNCTION("""COMPUTED_VALUE"""),3)</f>
        <v>3</v>
      </c>
      <c r="AS302" s="4">
        <f ca="1">IFERROR(__xludf.DUMMYFUNCTION("""COMPUTED_VALUE"""),3)</f>
        <v>3</v>
      </c>
      <c r="AT302" s="4">
        <f ca="1">IFERROR(__xludf.DUMMYFUNCTION("""COMPUTED_VALUE"""),3)</f>
        <v>3</v>
      </c>
      <c r="AU302" s="4">
        <f ca="1">IFERROR(__xludf.DUMMYFUNCTION("""COMPUTED_VALUE"""),3)</f>
        <v>3</v>
      </c>
      <c r="AV302" s="4">
        <f ca="1">IFERROR(__xludf.DUMMYFUNCTION("""COMPUTED_VALUE"""),3)</f>
        <v>3</v>
      </c>
      <c r="AW302" s="4">
        <f ca="1">IFERROR(__xludf.DUMMYFUNCTION("""COMPUTED_VALUE"""),3)</f>
        <v>3</v>
      </c>
      <c r="AX302" s="4">
        <f ca="1">IFERROR(__xludf.DUMMYFUNCTION("""COMPUTED_VALUE"""),4)</f>
        <v>4</v>
      </c>
      <c r="AY302" s="4">
        <f ca="1">IFERROR(__xludf.DUMMYFUNCTION("""COMPUTED_VALUE"""),4)</f>
        <v>4</v>
      </c>
      <c r="AZ302" s="4">
        <f ca="1">IFERROR(__xludf.DUMMYFUNCTION("""COMPUTED_VALUE"""),4)</f>
        <v>4</v>
      </c>
      <c r="BA302" s="4">
        <f ca="1">IFERROR(__xludf.DUMMYFUNCTION("""COMPUTED_VALUE"""),4)</f>
        <v>4</v>
      </c>
      <c r="BB302" s="4">
        <f ca="1">IFERROR(__xludf.DUMMYFUNCTION("""COMPUTED_VALUE"""),4)</f>
        <v>4</v>
      </c>
      <c r="BC302" s="4">
        <f ca="1">IFERROR(__xludf.DUMMYFUNCTION("""COMPUTED_VALUE"""),4)</f>
        <v>4</v>
      </c>
      <c r="BD302" s="4">
        <f ca="1">IFERROR(__xludf.DUMMYFUNCTION("""COMPUTED_VALUE"""),4)</f>
        <v>4</v>
      </c>
      <c r="BE302" s="4">
        <f ca="1">IFERROR(__xludf.DUMMYFUNCTION("""COMPUTED_VALUE"""),4)</f>
        <v>4</v>
      </c>
      <c r="BF302" s="4">
        <f ca="1">IFERROR(__xludf.DUMMYFUNCTION("""COMPUTED_VALUE"""),4)</f>
        <v>4</v>
      </c>
      <c r="BG302" s="4">
        <f ca="1">IFERROR(__xludf.DUMMYFUNCTION("""COMPUTED_VALUE"""),4)</f>
        <v>4</v>
      </c>
      <c r="BH302" s="4">
        <f ca="1">IFERROR(__xludf.DUMMYFUNCTION("""COMPUTED_VALUE"""),4)</f>
        <v>4</v>
      </c>
      <c r="BI302" s="4">
        <f ca="1">IFERROR(__xludf.DUMMYFUNCTION("""COMPUTED_VALUE"""),4)</f>
        <v>4</v>
      </c>
      <c r="BJ302" s="4">
        <f ca="1">IFERROR(__xludf.DUMMYFUNCTION("""COMPUTED_VALUE"""),4)</f>
        <v>4</v>
      </c>
      <c r="BK302" s="4">
        <f ca="1">IFERROR(__xludf.DUMMYFUNCTION("""COMPUTED_VALUE"""),4)</f>
        <v>4</v>
      </c>
      <c r="BL302" s="4">
        <f ca="1">IFERROR(__xludf.DUMMYFUNCTION("""COMPUTED_VALUE"""),4)</f>
        <v>4</v>
      </c>
      <c r="BM302" s="4">
        <f ca="1">IFERROR(__xludf.DUMMYFUNCTION("""COMPUTED_VALUE"""),4)</f>
        <v>4</v>
      </c>
      <c r="BN302" s="4">
        <f ca="1">IFERROR(__xludf.DUMMYFUNCTION("""COMPUTED_VALUE"""),4)</f>
        <v>4</v>
      </c>
      <c r="BO302" s="4">
        <f ca="1">IFERROR(__xludf.DUMMYFUNCTION("""COMPUTED_VALUE"""),4)</f>
        <v>4</v>
      </c>
      <c r="BP302" s="4">
        <f ca="1">IFERROR(__xludf.DUMMYFUNCTION("""COMPUTED_VALUE"""),4)</f>
        <v>4</v>
      </c>
    </row>
    <row r="303" spans="1:68" ht="13.2" x14ac:dyDescent="0.25">
      <c r="A303" s="4" t="str">
        <f ca="1">IFERROR(__xludf.DUMMYFUNCTION("""COMPUTED_VALUE"""),"2_ABaOnuecomaMOvFfHS70Q4Api7HoCdYZmw9gp2tDDJV1S7_Cn9evFTXsXNJlFukzlQ")</f>
        <v>2_ABaOnuecomaMOvFfHS70Q4Api7HoCdYZmw9gp2tDDJV1S7_Cn9evFTXsXNJlFukzlQ</v>
      </c>
      <c r="B303" s="5">
        <f ca="1">IFERROR(__xludf.DUMMYFUNCTION("""COMPUTED_VALUE"""),45986.4808299074)</f>
        <v>45986.480829907399</v>
      </c>
      <c r="C303" s="4" t="str">
        <f ca="1">IFERROR(__xludf.DUMMYFUNCTION("""COMPUTED_VALUE"""),"Tạ Thị Minh Hòa")</f>
        <v>Tạ Thị Minh Hòa</v>
      </c>
      <c r="D303" s="4" t="str">
        <f ca="1">IFERROR(__xludf.DUMMYFUNCTION("""COMPUTED_VALUE"""),"Nữ")</f>
        <v>Nữ</v>
      </c>
      <c r="E303" s="4" t="str">
        <f ca="1">IFERROR(__xludf.DUMMYFUNCTION("""COMPUTED_VALUE"""),"Công ty TNHH kiểm toán U&amp;I")</f>
        <v>Công ty TNHH kiểm toán U&amp;I</v>
      </c>
      <c r="F303" s="4" t="str">
        <f ca="1">IFERROR(__xludf.DUMMYFUNCTION("""COMPUTED_VALUE"""),"Đại học")</f>
        <v>Đại học</v>
      </c>
      <c r="G303" s="4" t="str">
        <f ca="1">IFERROR(__xludf.DUMMYFUNCTION("""COMPUTED_VALUE"""),"Trên 10 đến 15 năm")</f>
        <v>Trên 10 đến 15 năm</v>
      </c>
      <c r="H303" s="4" t="str">
        <f ca="1">IFERROR(__xludf.DUMMYFUNCTION("""COMPUTED_VALUE"""),"Kiểm toán viên/Trưởng nhóm")</f>
        <v>Kiểm toán viên/Trưởng nhóm</v>
      </c>
      <c r="I303" s="4">
        <f ca="1">IFERROR(__xludf.DUMMYFUNCTION("""COMPUTED_VALUE"""),4)</f>
        <v>4</v>
      </c>
      <c r="J303" s="4">
        <f ca="1">IFERROR(__xludf.DUMMYFUNCTION("""COMPUTED_VALUE"""),4)</f>
        <v>4</v>
      </c>
      <c r="K303" s="4">
        <f ca="1">IFERROR(__xludf.DUMMYFUNCTION("""COMPUTED_VALUE"""),4)</f>
        <v>4</v>
      </c>
      <c r="L303" s="4">
        <f ca="1">IFERROR(__xludf.DUMMYFUNCTION("""COMPUTED_VALUE"""),4)</f>
        <v>4</v>
      </c>
      <c r="M303" s="4">
        <f ca="1">IFERROR(__xludf.DUMMYFUNCTION("""COMPUTED_VALUE"""),3)</f>
        <v>3</v>
      </c>
      <c r="N303" s="4">
        <f ca="1">IFERROR(__xludf.DUMMYFUNCTION("""COMPUTED_VALUE"""),4)</f>
        <v>4</v>
      </c>
      <c r="O303" s="4">
        <f ca="1">IFERROR(__xludf.DUMMYFUNCTION("""COMPUTED_VALUE"""),4)</f>
        <v>4</v>
      </c>
      <c r="P303" s="4">
        <f ca="1">IFERROR(__xludf.DUMMYFUNCTION("""COMPUTED_VALUE"""),4)</f>
        <v>4</v>
      </c>
      <c r="Q303" s="4">
        <f ca="1">IFERROR(__xludf.DUMMYFUNCTION("""COMPUTED_VALUE"""),4)</f>
        <v>4</v>
      </c>
      <c r="R303" s="4">
        <f ca="1">IFERROR(__xludf.DUMMYFUNCTION("""COMPUTED_VALUE"""),4)</f>
        <v>4</v>
      </c>
      <c r="S303" s="4">
        <f ca="1">IFERROR(__xludf.DUMMYFUNCTION("""COMPUTED_VALUE"""),4)</f>
        <v>4</v>
      </c>
      <c r="T303" s="4">
        <f ca="1">IFERROR(__xludf.DUMMYFUNCTION("""COMPUTED_VALUE"""),4)</f>
        <v>4</v>
      </c>
      <c r="U303" s="4">
        <f ca="1">IFERROR(__xludf.DUMMYFUNCTION("""COMPUTED_VALUE"""),4)</f>
        <v>4</v>
      </c>
      <c r="V303" s="4">
        <f ca="1">IFERROR(__xludf.DUMMYFUNCTION("""COMPUTED_VALUE"""),4)</f>
        <v>4</v>
      </c>
      <c r="W303" s="4">
        <f ca="1">IFERROR(__xludf.DUMMYFUNCTION("""COMPUTED_VALUE"""),4)</f>
        <v>4</v>
      </c>
      <c r="X303" s="4">
        <f ca="1">IFERROR(__xludf.DUMMYFUNCTION("""COMPUTED_VALUE"""),4)</f>
        <v>4</v>
      </c>
      <c r="Y303" s="4">
        <f ca="1">IFERROR(__xludf.DUMMYFUNCTION("""COMPUTED_VALUE"""),4)</f>
        <v>4</v>
      </c>
      <c r="Z303" s="4">
        <f ca="1">IFERROR(__xludf.DUMMYFUNCTION("""COMPUTED_VALUE"""),4)</f>
        <v>4</v>
      </c>
      <c r="AA303" s="4">
        <f ca="1">IFERROR(__xludf.DUMMYFUNCTION("""COMPUTED_VALUE"""),4)</f>
        <v>4</v>
      </c>
      <c r="AB303" s="4">
        <f ca="1">IFERROR(__xludf.DUMMYFUNCTION("""COMPUTED_VALUE"""),5)</f>
        <v>5</v>
      </c>
      <c r="AC303" s="4">
        <f ca="1">IFERROR(__xludf.DUMMYFUNCTION("""COMPUTED_VALUE"""),4)</f>
        <v>4</v>
      </c>
      <c r="AD303" s="4">
        <f ca="1">IFERROR(__xludf.DUMMYFUNCTION("""COMPUTED_VALUE"""),4)</f>
        <v>4</v>
      </c>
      <c r="AE303" s="4">
        <f ca="1">IFERROR(__xludf.DUMMYFUNCTION("""COMPUTED_VALUE"""),5)</f>
        <v>5</v>
      </c>
      <c r="AF303" s="4">
        <f ca="1">IFERROR(__xludf.DUMMYFUNCTION("""COMPUTED_VALUE"""),4)</f>
        <v>4</v>
      </c>
      <c r="AG303" s="4">
        <f ca="1">IFERROR(__xludf.DUMMYFUNCTION("""COMPUTED_VALUE"""),4)</f>
        <v>4</v>
      </c>
      <c r="AH303" s="4">
        <f ca="1">IFERROR(__xludf.DUMMYFUNCTION("""COMPUTED_VALUE"""),4)</f>
        <v>4</v>
      </c>
      <c r="AI303" s="4">
        <f ca="1">IFERROR(__xludf.DUMMYFUNCTION("""COMPUTED_VALUE"""),4)</f>
        <v>4</v>
      </c>
      <c r="AJ303" s="4">
        <f ca="1">IFERROR(__xludf.DUMMYFUNCTION("""COMPUTED_VALUE"""),4)</f>
        <v>4</v>
      </c>
      <c r="AK303" s="4">
        <f ca="1">IFERROR(__xludf.DUMMYFUNCTION("""COMPUTED_VALUE"""),4)</f>
        <v>4</v>
      </c>
      <c r="AL303" s="4">
        <f ca="1">IFERROR(__xludf.DUMMYFUNCTION("""COMPUTED_VALUE"""),5)</f>
        <v>5</v>
      </c>
      <c r="AM303" s="4">
        <f ca="1">IFERROR(__xludf.DUMMYFUNCTION("""COMPUTED_VALUE"""),4)</f>
        <v>4</v>
      </c>
      <c r="AN303" s="4">
        <f ca="1">IFERROR(__xludf.DUMMYFUNCTION("""COMPUTED_VALUE"""),4)</f>
        <v>4</v>
      </c>
      <c r="AO303" s="4">
        <f ca="1">IFERROR(__xludf.DUMMYFUNCTION("""COMPUTED_VALUE"""),3)</f>
        <v>3</v>
      </c>
      <c r="AP303" s="4">
        <f ca="1">IFERROR(__xludf.DUMMYFUNCTION("""COMPUTED_VALUE"""),4)</f>
        <v>4</v>
      </c>
      <c r="AQ303" s="4">
        <f ca="1">IFERROR(__xludf.DUMMYFUNCTION("""COMPUTED_VALUE"""),4)</f>
        <v>4</v>
      </c>
      <c r="AR303" s="4">
        <f ca="1">IFERROR(__xludf.DUMMYFUNCTION("""COMPUTED_VALUE"""),4)</f>
        <v>4</v>
      </c>
      <c r="AS303" s="4">
        <f ca="1">IFERROR(__xludf.DUMMYFUNCTION("""COMPUTED_VALUE"""),4)</f>
        <v>4</v>
      </c>
      <c r="AT303" s="4">
        <f ca="1">IFERROR(__xludf.DUMMYFUNCTION("""COMPUTED_VALUE"""),4)</f>
        <v>4</v>
      </c>
      <c r="AU303" s="4">
        <f ca="1">IFERROR(__xludf.DUMMYFUNCTION("""COMPUTED_VALUE"""),4)</f>
        <v>4</v>
      </c>
      <c r="AV303" s="4">
        <f ca="1">IFERROR(__xludf.DUMMYFUNCTION("""COMPUTED_VALUE"""),4)</f>
        <v>4</v>
      </c>
      <c r="AW303" s="4">
        <f ca="1">IFERROR(__xludf.DUMMYFUNCTION("""COMPUTED_VALUE"""),4)</f>
        <v>4</v>
      </c>
      <c r="AX303" s="4">
        <f ca="1">IFERROR(__xludf.DUMMYFUNCTION("""COMPUTED_VALUE"""),5)</f>
        <v>5</v>
      </c>
      <c r="AY303" s="4">
        <f ca="1">IFERROR(__xludf.DUMMYFUNCTION("""COMPUTED_VALUE"""),5)</f>
        <v>5</v>
      </c>
      <c r="AZ303" s="4">
        <f ca="1">IFERROR(__xludf.DUMMYFUNCTION("""COMPUTED_VALUE"""),5)</f>
        <v>5</v>
      </c>
      <c r="BA303" s="4">
        <f ca="1">IFERROR(__xludf.DUMMYFUNCTION("""COMPUTED_VALUE"""),5)</f>
        <v>5</v>
      </c>
      <c r="BB303" s="4">
        <f ca="1">IFERROR(__xludf.DUMMYFUNCTION("""COMPUTED_VALUE"""),4)</f>
        <v>4</v>
      </c>
      <c r="BC303" s="4">
        <f ca="1">IFERROR(__xludf.DUMMYFUNCTION("""COMPUTED_VALUE"""),3)</f>
        <v>3</v>
      </c>
      <c r="BD303" s="4">
        <f ca="1">IFERROR(__xludf.DUMMYFUNCTION("""COMPUTED_VALUE"""),3)</f>
        <v>3</v>
      </c>
      <c r="BE303" s="4">
        <f ca="1">IFERROR(__xludf.DUMMYFUNCTION("""COMPUTED_VALUE"""),4)</f>
        <v>4</v>
      </c>
      <c r="BF303" s="4">
        <f ca="1">IFERROR(__xludf.DUMMYFUNCTION("""COMPUTED_VALUE"""),4)</f>
        <v>4</v>
      </c>
      <c r="BG303" s="4">
        <f ca="1">IFERROR(__xludf.DUMMYFUNCTION("""COMPUTED_VALUE"""),2)</f>
        <v>2</v>
      </c>
      <c r="BH303" s="4">
        <f ca="1">IFERROR(__xludf.DUMMYFUNCTION("""COMPUTED_VALUE"""),4)</f>
        <v>4</v>
      </c>
      <c r="BI303" s="4">
        <f ca="1">IFERROR(__xludf.DUMMYFUNCTION("""COMPUTED_VALUE"""),4)</f>
        <v>4</v>
      </c>
      <c r="BJ303" s="4">
        <f ca="1">IFERROR(__xludf.DUMMYFUNCTION("""COMPUTED_VALUE"""),4)</f>
        <v>4</v>
      </c>
      <c r="BK303" s="4">
        <f ca="1">IFERROR(__xludf.DUMMYFUNCTION("""COMPUTED_VALUE"""),4)</f>
        <v>4</v>
      </c>
      <c r="BL303" s="4">
        <f ca="1">IFERROR(__xludf.DUMMYFUNCTION("""COMPUTED_VALUE"""),4)</f>
        <v>4</v>
      </c>
      <c r="BM303" s="4">
        <f ca="1">IFERROR(__xludf.DUMMYFUNCTION("""COMPUTED_VALUE"""),5)</f>
        <v>5</v>
      </c>
      <c r="BN303" s="4">
        <f ca="1">IFERROR(__xludf.DUMMYFUNCTION("""COMPUTED_VALUE"""),4)</f>
        <v>4</v>
      </c>
      <c r="BO303" s="4">
        <f ca="1">IFERROR(__xludf.DUMMYFUNCTION("""COMPUTED_VALUE"""),4)</f>
        <v>4</v>
      </c>
      <c r="BP303" s="4">
        <f ca="1">IFERROR(__xludf.DUMMYFUNCTION("""COMPUTED_VALUE"""),4)</f>
        <v>4</v>
      </c>
    </row>
    <row r="304" spans="1:68" ht="13.2" x14ac:dyDescent="0.25">
      <c r="A304" s="4" t="str">
        <f ca="1">IFERROR(__xludf.DUMMYFUNCTION("""COMPUTED_VALUE"""),"2_ABaOnuci1JL6-K-xnl5lEbrBCMWRGsqY6A2N53EGGOPt1mjvUoCIzKWdIrBZCubZvQ")</f>
        <v>2_ABaOnuci1JL6-K-xnl5lEbrBCMWRGsqY6A2N53EGGOPt1mjvUoCIzKWdIrBZCubZvQ</v>
      </c>
      <c r="B304" s="5">
        <f ca="1">IFERROR(__xludf.DUMMYFUNCTION("""COMPUTED_VALUE"""),45986.481733368)</f>
        <v>45986.481733367997</v>
      </c>
      <c r="C304" s="4" t="str">
        <f ca="1">IFERROR(__xludf.DUMMYFUNCTION("""COMPUTED_VALUE"""),"Phạm Minh Tân")</f>
        <v>Phạm Minh Tân</v>
      </c>
      <c r="D304" s="4" t="str">
        <f ca="1">IFERROR(__xludf.DUMMYFUNCTION("""COMPUTED_VALUE"""),"Nam")</f>
        <v>Nam</v>
      </c>
      <c r="E304" s="4" t="str">
        <f ca="1">IFERROR(__xludf.DUMMYFUNCTION("""COMPUTED_VALUE"""),"Công ty TNHH Kiểm toán U&amp;I")</f>
        <v>Công ty TNHH Kiểm toán U&amp;I</v>
      </c>
      <c r="F304" s="4" t="str">
        <f ca="1">IFERROR(__xludf.DUMMYFUNCTION("""COMPUTED_VALUE"""),"Đại học")</f>
        <v>Đại học</v>
      </c>
      <c r="G304" s="4" t="str">
        <f ca="1">IFERROR(__xludf.DUMMYFUNCTION("""COMPUTED_VALUE"""),"Trên 10 đến 15 năm")</f>
        <v>Trên 10 đến 15 năm</v>
      </c>
      <c r="H304" s="4" t="str">
        <f ca="1">IFERROR(__xludf.DUMMYFUNCTION("""COMPUTED_VALUE"""),"Kiểm toán viên/Trưởng nhóm")</f>
        <v>Kiểm toán viên/Trưởng nhóm</v>
      </c>
      <c r="I304" s="4">
        <f ca="1">IFERROR(__xludf.DUMMYFUNCTION("""COMPUTED_VALUE"""),5)</f>
        <v>5</v>
      </c>
      <c r="J304" s="4">
        <f ca="1">IFERROR(__xludf.DUMMYFUNCTION("""COMPUTED_VALUE"""),5)</f>
        <v>5</v>
      </c>
      <c r="K304" s="4">
        <f ca="1">IFERROR(__xludf.DUMMYFUNCTION("""COMPUTED_VALUE"""),5)</f>
        <v>5</v>
      </c>
      <c r="L304" s="4">
        <f ca="1">IFERROR(__xludf.DUMMYFUNCTION("""COMPUTED_VALUE"""),5)</f>
        <v>5</v>
      </c>
      <c r="M304" s="4">
        <f ca="1">IFERROR(__xludf.DUMMYFUNCTION("""COMPUTED_VALUE"""),5)</f>
        <v>5</v>
      </c>
      <c r="N304" s="4">
        <f ca="1">IFERROR(__xludf.DUMMYFUNCTION("""COMPUTED_VALUE"""),4)</f>
        <v>4</v>
      </c>
      <c r="O304" s="4">
        <f ca="1">IFERROR(__xludf.DUMMYFUNCTION("""COMPUTED_VALUE"""),5)</f>
        <v>5</v>
      </c>
      <c r="P304" s="4">
        <f ca="1">IFERROR(__xludf.DUMMYFUNCTION("""COMPUTED_VALUE"""),5)</f>
        <v>5</v>
      </c>
      <c r="Q304" s="4">
        <f ca="1">IFERROR(__xludf.DUMMYFUNCTION("""COMPUTED_VALUE"""),5)</f>
        <v>5</v>
      </c>
      <c r="R304" s="4">
        <f ca="1">IFERROR(__xludf.DUMMYFUNCTION("""COMPUTED_VALUE"""),5)</f>
        <v>5</v>
      </c>
      <c r="S304" s="4">
        <f ca="1">IFERROR(__xludf.DUMMYFUNCTION("""COMPUTED_VALUE"""),5)</f>
        <v>5</v>
      </c>
      <c r="T304" s="4">
        <f ca="1">IFERROR(__xludf.DUMMYFUNCTION("""COMPUTED_VALUE"""),5)</f>
        <v>5</v>
      </c>
      <c r="U304" s="4">
        <f ca="1">IFERROR(__xludf.DUMMYFUNCTION("""COMPUTED_VALUE"""),5)</f>
        <v>5</v>
      </c>
      <c r="V304" s="4">
        <f ca="1">IFERROR(__xludf.DUMMYFUNCTION("""COMPUTED_VALUE"""),5)</f>
        <v>5</v>
      </c>
      <c r="W304" s="4">
        <f ca="1">IFERROR(__xludf.DUMMYFUNCTION("""COMPUTED_VALUE"""),4)</f>
        <v>4</v>
      </c>
      <c r="X304" s="4">
        <f ca="1">IFERROR(__xludf.DUMMYFUNCTION("""COMPUTED_VALUE"""),4)</f>
        <v>4</v>
      </c>
      <c r="Y304" s="4">
        <f ca="1">IFERROR(__xludf.DUMMYFUNCTION("""COMPUTED_VALUE"""),5)</f>
        <v>5</v>
      </c>
      <c r="Z304" s="4">
        <f ca="1">IFERROR(__xludf.DUMMYFUNCTION("""COMPUTED_VALUE"""),5)</f>
        <v>5</v>
      </c>
      <c r="AA304" s="4">
        <f ca="1">IFERROR(__xludf.DUMMYFUNCTION("""COMPUTED_VALUE"""),5)</f>
        <v>5</v>
      </c>
      <c r="AB304" s="4">
        <f ca="1">IFERROR(__xludf.DUMMYFUNCTION("""COMPUTED_VALUE"""),5)</f>
        <v>5</v>
      </c>
      <c r="AC304" s="4">
        <f ca="1">IFERROR(__xludf.DUMMYFUNCTION("""COMPUTED_VALUE"""),5)</f>
        <v>5</v>
      </c>
      <c r="AD304" s="4">
        <f ca="1">IFERROR(__xludf.DUMMYFUNCTION("""COMPUTED_VALUE"""),5)</f>
        <v>5</v>
      </c>
      <c r="AE304" s="4">
        <f ca="1">IFERROR(__xludf.DUMMYFUNCTION("""COMPUTED_VALUE"""),5)</f>
        <v>5</v>
      </c>
      <c r="AF304" s="4">
        <f ca="1">IFERROR(__xludf.DUMMYFUNCTION("""COMPUTED_VALUE"""),5)</f>
        <v>5</v>
      </c>
      <c r="AG304" s="4">
        <f ca="1">IFERROR(__xludf.DUMMYFUNCTION("""COMPUTED_VALUE"""),5)</f>
        <v>5</v>
      </c>
      <c r="AH304" s="4">
        <f ca="1">IFERROR(__xludf.DUMMYFUNCTION("""COMPUTED_VALUE"""),5)</f>
        <v>5</v>
      </c>
      <c r="AI304" s="4">
        <f ca="1">IFERROR(__xludf.DUMMYFUNCTION("""COMPUTED_VALUE"""),5)</f>
        <v>5</v>
      </c>
      <c r="AJ304" s="4">
        <f ca="1">IFERROR(__xludf.DUMMYFUNCTION("""COMPUTED_VALUE"""),5)</f>
        <v>5</v>
      </c>
      <c r="AK304" s="4">
        <f ca="1">IFERROR(__xludf.DUMMYFUNCTION("""COMPUTED_VALUE"""),5)</f>
        <v>5</v>
      </c>
      <c r="AL304" s="4">
        <f ca="1">IFERROR(__xludf.DUMMYFUNCTION("""COMPUTED_VALUE"""),4)</f>
        <v>4</v>
      </c>
      <c r="AM304" s="4">
        <f ca="1">IFERROR(__xludf.DUMMYFUNCTION("""COMPUTED_VALUE"""),4)</f>
        <v>4</v>
      </c>
      <c r="AN304" s="4">
        <f ca="1">IFERROR(__xludf.DUMMYFUNCTION("""COMPUTED_VALUE"""),3)</f>
        <v>3</v>
      </c>
      <c r="AO304" s="4">
        <f ca="1">IFERROR(__xludf.DUMMYFUNCTION("""COMPUTED_VALUE"""),4)</f>
        <v>4</v>
      </c>
      <c r="AP304" s="4">
        <f ca="1">IFERROR(__xludf.DUMMYFUNCTION("""COMPUTED_VALUE"""),4)</f>
        <v>4</v>
      </c>
      <c r="AQ304" s="4">
        <f ca="1">IFERROR(__xludf.DUMMYFUNCTION("""COMPUTED_VALUE"""),5)</f>
        <v>5</v>
      </c>
      <c r="AR304" s="4">
        <f ca="1">IFERROR(__xludf.DUMMYFUNCTION("""COMPUTED_VALUE"""),4)</f>
        <v>4</v>
      </c>
      <c r="AS304" s="4">
        <f ca="1">IFERROR(__xludf.DUMMYFUNCTION("""COMPUTED_VALUE"""),5)</f>
        <v>5</v>
      </c>
      <c r="AT304" s="4">
        <f ca="1">IFERROR(__xludf.DUMMYFUNCTION("""COMPUTED_VALUE"""),5)</f>
        <v>5</v>
      </c>
      <c r="AU304" s="4">
        <f ca="1">IFERROR(__xludf.DUMMYFUNCTION("""COMPUTED_VALUE"""),5)</f>
        <v>5</v>
      </c>
      <c r="AV304" s="4">
        <f ca="1">IFERROR(__xludf.DUMMYFUNCTION("""COMPUTED_VALUE"""),5)</f>
        <v>5</v>
      </c>
      <c r="AW304" s="4">
        <f ca="1">IFERROR(__xludf.DUMMYFUNCTION("""COMPUTED_VALUE"""),5)</f>
        <v>5</v>
      </c>
      <c r="AX304" s="4">
        <f ca="1">IFERROR(__xludf.DUMMYFUNCTION("""COMPUTED_VALUE"""),4)</f>
        <v>4</v>
      </c>
      <c r="AY304" s="4">
        <f ca="1">IFERROR(__xludf.DUMMYFUNCTION("""COMPUTED_VALUE"""),5)</f>
        <v>5</v>
      </c>
      <c r="AZ304" s="4">
        <f ca="1">IFERROR(__xludf.DUMMYFUNCTION("""COMPUTED_VALUE"""),5)</f>
        <v>5</v>
      </c>
      <c r="BA304" s="4">
        <f ca="1">IFERROR(__xludf.DUMMYFUNCTION("""COMPUTED_VALUE"""),5)</f>
        <v>5</v>
      </c>
      <c r="BB304" s="4">
        <f ca="1">IFERROR(__xludf.DUMMYFUNCTION("""COMPUTED_VALUE"""),5)</f>
        <v>5</v>
      </c>
      <c r="BC304" s="4">
        <f ca="1">IFERROR(__xludf.DUMMYFUNCTION("""COMPUTED_VALUE"""),5)</f>
        <v>5</v>
      </c>
      <c r="BD304" s="4">
        <f ca="1">IFERROR(__xludf.DUMMYFUNCTION("""COMPUTED_VALUE"""),5)</f>
        <v>5</v>
      </c>
      <c r="BE304" s="4">
        <f ca="1">IFERROR(__xludf.DUMMYFUNCTION("""COMPUTED_VALUE"""),5)</f>
        <v>5</v>
      </c>
      <c r="BF304" s="4">
        <f ca="1">IFERROR(__xludf.DUMMYFUNCTION("""COMPUTED_VALUE"""),5)</f>
        <v>5</v>
      </c>
      <c r="BG304" s="4">
        <f ca="1">IFERROR(__xludf.DUMMYFUNCTION("""COMPUTED_VALUE"""),5)</f>
        <v>5</v>
      </c>
      <c r="BH304" s="4">
        <f ca="1">IFERROR(__xludf.DUMMYFUNCTION("""COMPUTED_VALUE"""),5)</f>
        <v>5</v>
      </c>
      <c r="BI304" s="4">
        <f ca="1">IFERROR(__xludf.DUMMYFUNCTION("""COMPUTED_VALUE"""),5)</f>
        <v>5</v>
      </c>
      <c r="BJ304" s="4">
        <f ca="1">IFERROR(__xludf.DUMMYFUNCTION("""COMPUTED_VALUE"""),5)</f>
        <v>5</v>
      </c>
      <c r="BK304" s="4">
        <f ca="1">IFERROR(__xludf.DUMMYFUNCTION("""COMPUTED_VALUE"""),5)</f>
        <v>5</v>
      </c>
      <c r="BL304" s="4">
        <f ca="1">IFERROR(__xludf.DUMMYFUNCTION("""COMPUTED_VALUE"""),5)</f>
        <v>5</v>
      </c>
      <c r="BM304" s="4">
        <f ca="1">IFERROR(__xludf.DUMMYFUNCTION("""COMPUTED_VALUE"""),5)</f>
        <v>5</v>
      </c>
      <c r="BN304" s="4">
        <f ca="1">IFERROR(__xludf.DUMMYFUNCTION("""COMPUTED_VALUE"""),5)</f>
        <v>5</v>
      </c>
      <c r="BO304" s="4">
        <f ca="1">IFERROR(__xludf.DUMMYFUNCTION("""COMPUTED_VALUE"""),5)</f>
        <v>5</v>
      </c>
      <c r="BP304" s="4">
        <f ca="1">IFERROR(__xludf.DUMMYFUNCTION("""COMPUTED_VALUE"""),4)</f>
        <v>4</v>
      </c>
    </row>
    <row r="305" spans="1:68" ht="13.2" x14ac:dyDescent="0.25">
      <c r="A305" s="4" t="str">
        <f ca="1">IFERROR(__xludf.DUMMYFUNCTION("""COMPUTED_VALUE"""),"2_ABaOnue9vcYUrMmZcFR2JwFrCzwOwiRY5EcHQM6zZQWKz0wDDtRche3IxSqz8kuQSg")</f>
        <v>2_ABaOnue9vcYUrMmZcFR2JwFrCzwOwiRY5EcHQM6zZQWKz0wDDtRche3IxSqz8kuQSg</v>
      </c>
      <c r="B305" s="5">
        <f ca="1">IFERROR(__xludf.DUMMYFUNCTION("""COMPUTED_VALUE"""),45986.4836769097)</f>
        <v>45986.483676909702</v>
      </c>
      <c r="C305" s="4" t="str">
        <f ca="1">IFERROR(__xludf.DUMMYFUNCTION("""COMPUTED_VALUE"""),"Âu Thùy Linh")</f>
        <v>Âu Thùy Linh</v>
      </c>
      <c r="D305" s="4" t="str">
        <f ca="1">IFERROR(__xludf.DUMMYFUNCTION("""COMPUTED_VALUE"""),"Nữ")</f>
        <v>Nữ</v>
      </c>
      <c r="E305" s="4" t="str">
        <f ca="1">IFERROR(__xludf.DUMMYFUNCTION("""COMPUTED_VALUE"""),"Công ty TNHH Kiểm toán AS")</f>
        <v>Công ty TNHH Kiểm toán AS</v>
      </c>
      <c r="F305" s="4" t="str">
        <f ca="1">IFERROR(__xludf.DUMMYFUNCTION("""COMPUTED_VALUE"""),"Đại học, Chứng chỉ Kiểm toán viên")</f>
        <v>Đại học, Chứng chỉ Kiểm toán viên</v>
      </c>
      <c r="G305" s="4" t="str">
        <f ca="1">IFERROR(__xludf.DUMMYFUNCTION("""COMPUTED_VALUE"""),"Trên 5 đến 10 năm")</f>
        <v>Trên 5 đến 10 năm</v>
      </c>
      <c r="H305" s="4" t="str">
        <f ca="1">IFERROR(__xludf.DUMMYFUNCTION("""COMPUTED_VALUE"""),"Kiểm toán viên/Trưởng nhóm")</f>
        <v>Kiểm toán viên/Trưởng nhóm</v>
      </c>
      <c r="I305" s="4">
        <f ca="1">IFERROR(__xludf.DUMMYFUNCTION("""COMPUTED_VALUE"""),5)</f>
        <v>5</v>
      </c>
      <c r="J305" s="4">
        <f ca="1">IFERROR(__xludf.DUMMYFUNCTION("""COMPUTED_VALUE"""),5)</f>
        <v>5</v>
      </c>
      <c r="K305" s="4">
        <f ca="1">IFERROR(__xludf.DUMMYFUNCTION("""COMPUTED_VALUE"""),5)</f>
        <v>5</v>
      </c>
      <c r="L305" s="4">
        <f ca="1">IFERROR(__xludf.DUMMYFUNCTION("""COMPUTED_VALUE"""),5)</f>
        <v>5</v>
      </c>
      <c r="M305" s="4">
        <f ca="1">IFERROR(__xludf.DUMMYFUNCTION("""COMPUTED_VALUE"""),5)</f>
        <v>5</v>
      </c>
      <c r="N305" s="4">
        <f ca="1">IFERROR(__xludf.DUMMYFUNCTION("""COMPUTED_VALUE"""),5)</f>
        <v>5</v>
      </c>
      <c r="O305" s="4">
        <f ca="1">IFERROR(__xludf.DUMMYFUNCTION("""COMPUTED_VALUE"""),5)</f>
        <v>5</v>
      </c>
      <c r="P305" s="4">
        <f ca="1">IFERROR(__xludf.DUMMYFUNCTION("""COMPUTED_VALUE"""),5)</f>
        <v>5</v>
      </c>
      <c r="Q305" s="4">
        <f ca="1">IFERROR(__xludf.DUMMYFUNCTION("""COMPUTED_VALUE"""),5)</f>
        <v>5</v>
      </c>
      <c r="R305" s="4">
        <f ca="1">IFERROR(__xludf.DUMMYFUNCTION("""COMPUTED_VALUE"""),5)</f>
        <v>5</v>
      </c>
      <c r="S305" s="4">
        <f ca="1">IFERROR(__xludf.DUMMYFUNCTION("""COMPUTED_VALUE"""),5)</f>
        <v>5</v>
      </c>
      <c r="T305" s="4">
        <f ca="1">IFERROR(__xludf.DUMMYFUNCTION("""COMPUTED_VALUE"""),4)</f>
        <v>4</v>
      </c>
      <c r="U305" s="4">
        <f ca="1">IFERROR(__xludf.DUMMYFUNCTION("""COMPUTED_VALUE"""),4)</f>
        <v>4</v>
      </c>
      <c r="V305" s="4">
        <f ca="1">IFERROR(__xludf.DUMMYFUNCTION("""COMPUTED_VALUE"""),4)</f>
        <v>4</v>
      </c>
      <c r="W305" s="4">
        <f ca="1">IFERROR(__xludf.DUMMYFUNCTION("""COMPUTED_VALUE"""),4)</f>
        <v>4</v>
      </c>
      <c r="X305" s="4">
        <f ca="1">IFERROR(__xludf.DUMMYFUNCTION("""COMPUTED_VALUE"""),4)</f>
        <v>4</v>
      </c>
      <c r="Y305" s="4">
        <f ca="1">IFERROR(__xludf.DUMMYFUNCTION("""COMPUTED_VALUE"""),3)</f>
        <v>3</v>
      </c>
      <c r="Z305" s="4">
        <f ca="1">IFERROR(__xludf.DUMMYFUNCTION("""COMPUTED_VALUE"""),3)</f>
        <v>3</v>
      </c>
      <c r="AA305" s="4">
        <f ca="1">IFERROR(__xludf.DUMMYFUNCTION("""COMPUTED_VALUE"""),4)</f>
        <v>4</v>
      </c>
      <c r="AB305" s="4">
        <f ca="1">IFERROR(__xludf.DUMMYFUNCTION("""COMPUTED_VALUE"""),3)</f>
        <v>3</v>
      </c>
      <c r="AC305" s="4">
        <f ca="1">IFERROR(__xludf.DUMMYFUNCTION("""COMPUTED_VALUE"""),2)</f>
        <v>2</v>
      </c>
      <c r="AD305" s="4">
        <f ca="1">IFERROR(__xludf.DUMMYFUNCTION("""COMPUTED_VALUE"""),3)</f>
        <v>3</v>
      </c>
      <c r="AE305" s="4">
        <f ca="1">IFERROR(__xludf.DUMMYFUNCTION("""COMPUTED_VALUE"""),4)</f>
        <v>4</v>
      </c>
      <c r="AF305" s="4">
        <f ca="1">IFERROR(__xludf.DUMMYFUNCTION("""COMPUTED_VALUE"""),5)</f>
        <v>5</v>
      </c>
      <c r="AG305" s="4">
        <f ca="1">IFERROR(__xludf.DUMMYFUNCTION("""COMPUTED_VALUE"""),5)</f>
        <v>5</v>
      </c>
      <c r="AH305" s="4">
        <f ca="1">IFERROR(__xludf.DUMMYFUNCTION("""COMPUTED_VALUE"""),5)</f>
        <v>5</v>
      </c>
      <c r="AI305" s="4">
        <f ca="1">IFERROR(__xludf.DUMMYFUNCTION("""COMPUTED_VALUE"""),4)</f>
        <v>4</v>
      </c>
      <c r="AJ305" s="4">
        <f ca="1">IFERROR(__xludf.DUMMYFUNCTION("""COMPUTED_VALUE"""),4)</f>
        <v>4</v>
      </c>
      <c r="AK305" s="4">
        <f ca="1">IFERROR(__xludf.DUMMYFUNCTION("""COMPUTED_VALUE"""),4)</f>
        <v>4</v>
      </c>
      <c r="AL305" s="4">
        <f ca="1">IFERROR(__xludf.DUMMYFUNCTION("""COMPUTED_VALUE"""),4)</f>
        <v>4</v>
      </c>
      <c r="AM305" s="4">
        <f ca="1">IFERROR(__xludf.DUMMYFUNCTION("""COMPUTED_VALUE"""),4)</f>
        <v>4</v>
      </c>
      <c r="AN305" s="4">
        <f ca="1">IFERROR(__xludf.DUMMYFUNCTION("""COMPUTED_VALUE"""),4)</f>
        <v>4</v>
      </c>
      <c r="AO305" s="4">
        <f ca="1">IFERROR(__xludf.DUMMYFUNCTION("""COMPUTED_VALUE"""),4)</f>
        <v>4</v>
      </c>
      <c r="AP305" s="4">
        <f ca="1">IFERROR(__xludf.DUMMYFUNCTION("""COMPUTED_VALUE"""),4)</f>
        <v>4</v>
      </c>
      <c r="AQ305" s="4">
        <f ca="1">IFERROR(__xludf.DUMMYFUNCTION("""COMPUTED_VALUE"""),4)</f>
        <v>4</v>
      </c>
      <c r="AR305" s="4">
        <f ca="1">IFERROR(__xludf.DUMMYFUNCTION("""COMPUTED_VALUE"""),4)</f>
        <v>4</v>
      </c>
      <c r="AS305" s="4">
        <f ca="1">IFERROR(__xludf.DUMMYFUNCTION("""COMPUTED_VALUE"""),4)</f>
        <v>4</v>
      </c>
      <c r="AT305" s="4">
        <f ca="1">IFERROR(__xludf.DUMMYFUNCTION("""COMPUTED_VALUE"""),4)</f>
        <v>4</v>
      </c>
      <c r="AU305" s="4">
        <f ca="1">IFERROR(__xludf.DUMMYFUNCTION("""COMPUTED_VALUE"""),4)</f>
        <v>4</v>
      </c>
      <c r="AV305" s="4">
        <f ca="1">IFERROR(__xludf.DUMMYFUNCTION("""COMPUTED_VALUE"""),4)</f>
        <v>4</v>
      </c>
      <c r="AW305" s="4">
        <f ca="1">IFERROR(__xludf.DUMMYFUNCTION("""COMPUTED_VALUE"""),4)</f>
        <v>4</v>
      </c>
      <c r="AX305" s="4">
        <f ca="1">IFERROR(__xludf.DUMMYFUNCTION("""COMPUTED_VALUE"""),5)</f>
        <v>5</v>
      </c>
      <c r="AY305" s="4">
        <f ca="1">IFERROR(__xludf.DUMMYFUNCTION("""COMPUTED_VALUE"""),5)</f>
        <v>5</v>
      </c>
      <c r="AZ305" s="4">
        <f ca="1">IFERROR(__xludf.DUMMYFUNCTION("""COMPUTED_VALUE"""),5)</f>
        <v>5</v>
      </c>
      <c r="BA305" s="4">
        <f ca="1">IFERROR(__xludf.DUMMYFUNCTION("""COMPUTED_VALUE"""),5)</f>
        <v>5</v>
      </c>
      <c r="BB305" s="4">
        <f ca="1">IFERROR(__xludf.DUMMYFUNCTION("""COMPUTED_VALUE"""),3)</f>
        <v>3</v>
      </c>
      <c r="BC305" s="4">
        <f ca="1">IFERROR(__xludf.DUMMYFUNCTION("""COMPUTED_VALUE"""),3)</f>
        <v>3</v>
      </c>
      <c r="BD305" s="4">
        <f ca="1">IFERROR(__xludf.DUMMYFUNCTION("""COMPUTED_VALUE"""),3)</f>
        <v>3</v>
      </c>
      <c r="BE305" s="4">
        <f ca="1">IFERROR(__xludf.DUMMYFUNCTION("""COMPUTED_VALUE"""),3)</f>
        <v>3</v>
      </c>
      <c r="BF305" s="4">
        <f ca="1">IFERROR(__xludf.DUMMYFUNCTION("""COMPUTED_VALUE"""),3)</f>
        <v>3</v>
      </c>
      <c r="BG305" s="4">
        <f ca="1">IFERROR(__xludf.DUMMYFUNCTION("""COMPUTED_VALUE"""),3)</f>
        <v>3</v>
      </c>
      <c r="BH305" s="4">
        <f ca="1">IFERROR(__xludf.DUMMYFUNCTION("""COMPUTED_VALUE"""),4)</f>
        <v>4</v>
      </c>
      <c r="BI305" s="4">
        <f ca="1">IFERROR(__xludf.DUMMYFUNCTION("""COMPUTED_VALUE"""),4)</f>
        <v>4</v>
      </c>
      <c r="BJ305" s="4">
        <f ca="1">IFERROR(__xludf.DUMMYFUNCTION("""COMPUTED_VALUE"""),4)</f>
        <v>4</v>
      </c>
      <c r="BK305" s="4">
        <f ca="1">IFERROR(__xludf.DUMMYFUNCTION("""COMPUTED_VALUE"""),5)</f>
        <v>5</v>
      </c>
      <c r="BL305" s="4">
        <f ca="1">IFERROR(__xludf.DUMMYFUNCTION("""COMPUTED_VALUE"""),5)</f>
        <v>5</v>
      </c>
      <c r="BM305" s="4">
        <f ca="1">IFERROR(__xludf.DUMMYFUNCTION("""COMPUTED_VALUE"""),4)</f>
        <v>4</v>
      </c>
      <c r="BN305" s="4">
        <f ca="1">IFERROR(__xludf.DUMMYFUNCTION("""COMPUTED_VALUE"""),5)</f>
        <v>5</v>
      </c>
      <c r="BO305" s="4">
        <f ca="1">IFERROR(__xludf.DUMMYFUNCTION("""COMPUTED_VALUE"""),4)</f>
        <v>4</v>
      </c>
      <c r="BP305" s="4">
        <f ca="1">IFERROR(__xludf.DUMMYFUNCTION("""COMPUTED_VALUE"""),4)</f>
        <v>4</v>
      </c>
    </row>
    <row r="306" spans="1:68" ht="13.2" x14ac:dyDescent="0.25">
      <c r="A306" s="4" t="str">
        <f ca="1">IFERROR(__xludf.DUMMYFUNCTION("""COMPUTED_VALUE"""),"2_ABaOnud_yioWDoZWkVCh99dxDM0y90g3YYAOg7sRqJIsr7BqcuiaP3mLcEnaML-1LQ")</f>
        <v>2_ABaOnud_yioWDoZWkVCh99dxDM0y90g3YYAOg7sRqJIsr7BqcuiaP3mLcEnaML-1LQ</v>
      </c>
      <c r="B306" s="5">
        <f ca="1">IFERROR(__xludf.DUMMYFUNCTION("""COMPUTED_VALUE"""),45986.4946185532)</f>
        <v>45986.494618553203</v>
      </c>
      <c r="C306" s="4" t="str">
        <f ca="1">IFERROR(__xludf.DUMMYFUNCTION("""COMPUTED_VALUE"""),"NGÔ ĐÌNH HUY")</f>
        <v>NGÔ ĐÌNH HUY</v>
      </c>
      <c r="D306" s="4" t="str">
        <f ca="1">IFERROR(__xludf.DUMMYFUNCTION("""COMPUTED_VALUE"""),"Nam")</f>
        <v>Nam</v>
      </c>
      <c r="E306" s="4" t="str">
        <f ca="1">IFERROR(__xludf.DUMMYFUNCTION("""COMPUTED_VALUE"""),"CÔNG TY TNHH KIỂM TOÁN &amp; TƯ VẤN RSM VIỆT NAM")</f>
        <v>CÔNG TY TNHH KIỂM TOÁN &amp; TƯ VẤN RSM VIỆT NAM</v>
      </c>
      <c r="F306" s="4" t="str">
        <f ca="1">IFERROR(__xludf.DUMMYFUNCTION("""COMPUTED_VALUE"""),"Đại học")</f>
        <v>Đại học</v>
      </c>
      <c r="G306" s="4" t="str">
        <f ca="1">IFERROR(__xludf.DUMMYFUNCTION("""COMPUTED_VALUE"""),"Trên 5 đến 10 năm")</f>
        <v>Trên 5 đến 10 năm</v>
      </c>
      <c r="H306" s="4" t="str">
        <f ca="1">IFERROR(__xludf.DUMMYFUNCTION("""COMPUTED_VALUE"""),"Kiểm toán viên/Trưởng nhóm")</f>
        <v>Kiểm toán viên/Trưởng nhóm</v>
      </c>
      <c r="I306" s="4">
        <f ca="1">IFERROR(__xludf.DUMMYFUNCTION("""COMPUTED_VALUE"""),5)</f>
        <v>5</v>
      </c>
      <c r="J306" s="4">
        <f ca="1">IFERROR(__xludf.DUMMYFUNCTION("""COMPUTED_VALUE"""),4)</f>
        <v>4</v>
      </c>
      <c r="K306" s="4">
        <f ca="1">IFERROR(__xludf.DUMMYFUNCTION("""COMPUTED_VALUE"""),4)</f>
        <v>4</v>
      </c>
      <c r="L306" s="4">
        <f ca="1">IFERROR(__xludf.DUMMYFUNCTION("""COMPUTED_VALUE"""),3)</f>
        <v>3</v>
      </c>
      <c r="M306" s="4">
        <f ca="1">IFERROR(__xludf.DUMMYFUNCTION("""COMPUTED_VALUE"""),4)</f>
        <v>4</v>
      </c>
      <c r="N306" s="4">
        <f ca="1">IFERROR(__xludf.DUMMYFUNCTION("""COMPUTED_VALUE"""),3)</f>
        <v>3</v>
      </c>
      <c r="O306" s="4">
        <f ca="1">IFERROR(__xludf.DUMMYFUNCTION("""COMPUTED_VALUE"""),3)</f>
        <v>3</v>
      </c>
      <c r="P306" s="4">
        <f ca="1">IFERROR(__xludf.DUMMYFUNCTION("""COMPUTED_VALUE"""),3)</f>
        <v>3</v>
      </c>
      <c r="Q306" s="4">
        <f ca="1">IFERROR(__xludf.DUMMYFUNCTION("""COMPUTED_VALUE"""),4)</f>
        <v>4</v>
      </c>
      <c r="R306" s="4">
        <f ca="1">IFERROR(__xludf.DUMMYFUNCTION("""COMPUTED_VALUE"""),4)</f>
        <v>4</v>
      </c>
      <c r="S306" s="4">
        <f ca="1">IFERROR(__xludf.DUMMYFUNCTION("""COMPUTED_VALUE"""),3)</f>
        <v>3</v>
      </c>
      <c r="T306" s="4">
        <f ca="1">IFERROR(__xludf.DUMMYFUNCTION("""COMPUTED_VALUE"""),4)</f>
        <v>4</v>
      </c>
      <c r="U306" s="4">
        <f ca="1">IFERROR(__xludf.DUMMYFUNCTION("""COMPUTED_VALUE"""),5)</f>
        <v>5</v>
      </c>
      <c r="V306" s="4">
        <f ca="1">IFERROR(__xludf.DUMMYFUNCTION("""COMPUTED_VALUE"""),4)</f>
        <v>4</v>
      </c>
      <c r="W306" s="4">
        <f ca="1">IFERROR(__xludf.DUMMYFUNCTION("""COMPUTED_VALUE"""),3)</f>
        <v>3</v>
      </c>
      <c r="X306" s="4">
        <f ca="1">IFERROR(__xludf.DUMMYFUNCTION("""COMPUTED_VALUE"""),3)</f>
        <v>3</v>
      </c>
      <c r="Y306" s="4">
        <f ca="1">IFERROR(__xludf.DUMMYFUNCTION("""COMPUTED_VALUE"""),4)</f>
        <v>4</v>
      </c>
      <c r="Z306" s="4">
        <f ca="1">IFERROR(__xludf.DUMMYFUNCTION("""COMPUTED_VALUE"""),4)</f>
        <v>4</v>
      </c>
      <c r="AA306" s="4">
        <f ca="1">IFERROR(__xludf.DUMMYFUNCTION("""COMPUTED_VALUE"""),4)</f>
        <v>4</v>
      </c>
      <c r="AB306" s="4">
        <f ca="1">IFERROR(__xludf.DUMMYFUNCTION("""COMPUTED_VALUE"""),5)</f>
        <v>5</v>
      </c>
      <c r="AC306" s="4">
        <f ca="1">IFERROR(__xludf.DUMMYFUNCTION("""COMPUTED_VALUE"""),4)</f>
        <v>4</v>
      </c>
      <c r="AD306" s="4">
        <f ca="1">IFERROR(__xludf.DUMMYFUNCTION("""COMPUTED_VALUE"""),4)</f>
        <v>4</v>
      </c>
      <c r="AE306" s="4">
        <f ca="1">IFERROR(__xludf.DUMMYFUNCTION("""COMPUTED_VALUE"""),5)</f>
        <v>5</v>
      </c>
      <c r="AF306" s="4">
        <f ca="1">IFERROR(__xludf.DUMMYFUNCTION("""COMPUTED_VALUE"""),3)</f>
        <v>3</v>
      </c>
      <c r="AG306" s="4">
        <f ca="1">IFERROR(__xludf.DUMMYFUNCTION("""COMPUTED_VALUE"""),3)</f>
        <v>3</v>
      </c>
      <c r="AH306" s="4">
        <f ca="1">IFERROR(__xludf.DUMMYFUNCTION("""COMPUTED_VALUE"""),4)</f>
        <v>4</v>
      </c>
      <c r="AI306" s="4">
        <f ca="1">IFERROR(__xludf.DUMMYFUNCTION("""COMPUTED_VALUE"""),3)</f>
        <v>3</v>
      </c>
      <c r="AJ306" s="4">
        <f ca="1">IFERROR(__xludf.DUMMYFUNCTION("""COMPUTED_VALUE"""),4)</f>
        <v>4</v>
      </c>
      <c r="AK306" s="4">
        <f ca="1">IFERROR(__xludf.DUMMYFUNCTION("""COMPUTED_VALUE"""),5)</f>
        <v>5</v>
      </c>
      <c r="AL306" s="4">
        <f ca="1">IFERROR(__xludf.DUMMYFUNCTION("""COMPUTED_VALUE"""),5)</f>
        <v>5</v>
      </c>
      <c r="AM306" s="4">
        <f ca="1">IFERROR(__xludf.DUMMYFUNCTION("""COMPUTED_VALUE"""),4)</f>
        <v>4</v>
      </c>
      <c r="AN306" s="4">
        <f ca="1">IFERROR(__xludf.DUMMYFUNCTION("""COMPUTED_VALUE"""),4)</f>
        <v>4</v>
      </c>
      <c r="AO306" s="4">
        <f ca="1">IFERROR(__xludf.DUMMYFUNCTION("""COMPUTED_VALUE"""),4)</f>
        <v>4</v>
      </c>
      <c r="AP306" s="4">
        <f ca="1">IFERROR(__xludf.DUMMYFUNCTION("""COMPUTED_VALUE"""),4)</f>
        <v>4</v>
      </c>
      <c r="AQ306" s="4">
        <f ca="1">IFERROR(__xludf.DUMMYFUNCTION("""COMPUTED_VALUE"""),3)</f>
        <v>3</v>
      </c>
      <c r="AR306" s="4">
        <f ca="1">IFERROR(__xludf.DUMMYFUNCTION("""COMPUTED_VALUE"""),5)</f>
        <v>5</v>
      </c>
      <c r="AS306" s="4">
        <f ca="1">IFERROR(__xludf.DUMMYFUNCTION("""COMPUTED_VALUE"""),3)</f>
        <v>3</v>
      </c>
      <c r="AT306" s="4">
        <f ca="1">IFERROR(__xludf.DUMMYFUNCTION("""COMPUTED_VALUE"""),3)</f>
        <v>3</v>
      </c>
      <c r="AU306" s="4">
        <f ca="1">IFERROR(__xludf.DUMMYFUNCTION("""COMPUTED_VALUE"""),4)</f>
        <v>4</v>
      </c>
      <c r="AV306" s="4">
        <f ca="1">IFERROR(__xludf.DUMMYFUNCTION("""COMPUTED_VALUE"""),3)</f>
        <v>3</v>
      </c>
      <c r="AW306" s="4">
        <f ca="1">IFERROR(__xludf.DUMMYFUNCTION("""COMPUTED_VALUE"""),3)</f>
        <v>3</v>
      </c>
      <c r="AX306" s="4">
        <f ca="1">IFERROR(__xludf.DUMMYFUNCTION("""COMPUTED_VALUE"""),5)</f>
        <v>5</v>
      </c>
      <c r="AY306" s="4">
        <f ca="1">IFERROR(__xludf.DUMMYFUNCTION("""COMPUTED_VALUE"""),5)</f>
        <v>5</v>
      </c>
      <c r="AZ306" s="4">
        <f ca="1">IFERROR(__xludf.DUMMYFUNCTION("""COMPUTED_VALUE"""),4)</f>
        <v>4</v>
      </c>
      <c r="BA306" s="4">
        <f ca="1">IFERROR(__xludf.DUMMYFUNCTION("""COMPUTED_VALUE"""),4)</f>
        <v>4</v>
      </c>
      <c r="BB306" s="4">
        <f ca="1">IFERROR(__xludf.DUMMYFUNCTION("""COMPUTED_VALUE"""),4)</f>
        <v>4</v>
      </c>
      <c r="BC306" s="4">
        <f ca="1">IFERROR(__xludf.DUMMYFUNCTION("""COMPUTED_VALUE"""),4)</f>
        <v>4</v>
      </c>
      <c r="BD306" s="4">
        <f ca="1">IFERROR(__xludf.DUMMYFUNCTION("""COMPUTED_VALUE"""),3)</f>
        <v>3</v>
      </c>
      <c r="BE306" s="4">
        <f ca="1">IFERROR(__xludf.DUMMYFUNCTION("""COMPUTED_VALUE"""),3)</f>
        <v>3</v>
      </c>
      <c r="BF306" s="4">
        <f ca="1">IFERROR(__xludf.DUMMYFUNCTION("""COMPUTED_VALUE"""),3)</f>
        <v>3</v>
      </c>
      <c r="BG306" s="4">
        <f ca="1">IFERROR(__xludf.DUMMYFUNCTION("""COMPUTED_VALUE"""),3)</f>
        <v>3</v>
      </c>
      <c r="BH306" s="4">
        <f ca="1">IFERROR(__xludf.DUMMYFUNCTION("""COMPUTED_VALUE"""),3)</f>
        <v>3</v>
      </c>
      <c r="BI306" s="4">
        <f ca="1">IFERROR(__xludf.DUMMYFUNCTION("""COMPUTED_VALUE"""),4)</f>
        <v>4</v>
      </c>
      <c r="BJ306" s="4">
        <f ca="1">IFERROR(__xludf.DUMMYFUNCTION("""COMPUTED_VALUE"""),4)</f>
        <v>4</v>
      </c>
      <c r="BK306" s="4">
        <f ca="1">IFERROR(__xludf.DUMMYFUNCTION("""COMPUTED_VALUE"""),5)</f>
        <v>5</v>
      </c>
      <c r="BL306" s="4">
        <f ca="1">IFERROR(__xludf.DUMMYFUNCTION("""COMPUTED_VALUE"""),3)</f>
        <v>3</v>
      </c>
      <c r="BM306" s="4">
        <f ca="1">IFERROR(__xludf.DUMMYFUNCTION("""COMPUTED_VALUE"""),4)</f>
        <v>4</v>
      </c>
      <c r="BN306" s="4">
        <f ca="1">IFERROR(__xludf.DUMMYFUNCTION("""COMPUTED_VALUE"""),4)</f>
        <v>4</v>
      </c>
      <c r="BO306" s="4">
        <f ca="1">IFERROR(__xludf.DUMMYFUNCTION("""COMPUTED_VALUE"""),4)</f>
        <v>4</v>
      </c>
      <c r="BP306" s="4">
        <f ca="1">IFERROR(__xludf.DUMMYFUNCTION("""COMPUTED_VALUE"""),5)</f>
        <v>5</v>
      </c>
    </row>
    <row r="307" spans="1:68" ht="13.2" x14ac:dyDescent="0.25">
      <c r="A307" s="4" t="str">
        <f ca="1">IFERROR(__xludf.DUMMYFUNCTION("""COMPUTED_VALUE"""),"2_ABaOnuebg5yMZjzdEnQpObFvxbWeI3XLxpzYzaVfP35sld6hpT3p-uiQ0QQHeUZDcw")</f>
        <v>2_ABaOnuebg5yMZjzdEnQpObFvxbWeI3XLxpzYzaVfP35sld6hpT3p-uiQ0QQHeUZDcw</v>
      </c>
      <c r="B307" s="5">
        <f ca="1">IFERROR(__xludf.DUMMYFUNCTION("""COMPUTED_VALUE"""),45986.4948203124)</f>
        <v>45986.4948203124</v>
      </c>
      <c r="C307" s="4"/>
      <c r="D307" s="4" t="str">
        <f ca="1">IFERROR(__xludf.DUMMYFUNCTION("""COMPUTED_VALUE"""),"Nam")</f>
        <v>Nam</v>
      </c>
      <c r="E307" s="4" t="str">
        <f ca="1">IFERROR(__xludf.DUMMYFUNCTION("""COMPUTED_VALUE"""),"Cty kiểm toán U&amp;I")</f>
        <v>Cty kiểm toán U&amp;I</v>
      </c>
      <c r="F307" s="4" t="str">
        <f ca="1">IFERROR(__xludf.DUMMYFUNCTION("""COMPUTED_VALUE"""),"Sau đại học, Chứng chỉ Kiểm toán viên")</f>
        <v>Sau đại học, Chứng chỉ Kiểm toán viên</v>
      </c>
      <c r="G307" s="4" t="str">
        <f ca="1">IFERROR(__xludf.DUMMYFUNCTION("""COMPUTED_VALUE"""),"Trên 20 năm")</f>
        <v>Trên 20 năm</v>
      </c>
      <c r="H307" s="4" t="str">
        <f ca="1">IFERROR(__xludf.DUMMYFUNCTION("""COMPUTED_VALUE"""),"Ban giám đốc")</f>
        <v>Ban giám đốc</v>
      </c>
      <c r="I307" s="4">
        <f ca="1">IFERROR(__xludf.DUMMYFUNCTION("""COMPUTED_VALUE"""),4)</f>
        <v>4</v>
      </c>
      <c r="J307" s="4">
        <f ca="1">IFERROR(__xludf.DUMMYFUNCTION("""COMPUTED_VALUE"""),4)</f>
        <v>4</v>
      </c>
      <c r="K307" s="4">
        <f ca="1">IFERROR(__xludf.DUMMYFUNCTION("""COMPUTED_VALUE"""),4)</f>
        <v>4</v>
      </c>
      <c r="L307" s="4">
        <f ca="1">IFERROR(__xludf.DUMMYFUNCTION("""COMPUTED_VALUE"""),5)</f>
        <v>5</v>
      </c>
      <c r="M307" s="4">
        <f ca="1">IFERROR(__xludf.DUMMYFUNCTION("""COMPUTED_VALUE"""),4)</f>
        <v>4</v>
      </c>
      <c r="N307" s="4">
        <f ca="1">IFERROR(__xludf.DUMMYFUNCTION("""COMPUTED_VALUE"""),4)</f>
        <v>4</v>
      </c>
      <c r="O307" s="4">
        <f ca="1">IFERROR(__xludf.DUMMYFUNCTION("""COMPUTED_VALUE"""),4)</f>
        <v>4</v>
      </c>
      <c r="P307" s="4">
        <f ca="1">IFERROR(__xludf.DUMMYFUNCTION("""COMPUTED_VALUE"""),4)</f>
        <v>4</v>
      </c>
      <c r="Q307" s="4">
        <f ca="1">IFERROR(__xludf.DUMMYFUNCTION("""COMPUTED_VALUE"""),5)</f>
        <v>5</v>
      </c>
      <c r="R307" s="4">
        <f ca="1">IFERROR(__xludf.DUMMYFUNCTION("""COMPUTED_VALUE"""),4)</f>
        <v>4</v>
      </c>
      <c r="S307" s="4">
        <f ca="1">IFERROR(__xludf.DUMMYFUNCTION("""COMPUTED_VALUE"""),4)</f>
        <v>4</v>
      </c>
      <c r="T307" s="4">
        <f ca="1">IFERROR(__xludf.DUMMYFUNCTION("""COMPUTED_VALUE"""),4)</f>
        <v>4</v>
      </c>
      <c r="U307" s="4">
        <f ca="1">IFERROR(__xludf.DUMMYFUNCTION("""COMPUTED_VALUE"""),5)</f>
        <v>5</v>
      </c>
      <c r="V307" s="4">
        <f ca="1">IFERROR(__xludf.DUMMYFUNCTION("""COMPUTED_VALUE"""),5)</f>
        <v>5</v>
      </c>
      <c r="W307" s="4">
        <f ca="1">IFERROR(__xludf.DUMMYFUNCTION("""COMPUTED_VALUE"""),5)</f>
        <v>5</v>
      </c>
      <c r="X307" s="4">
        <f ca="1">IFERROR(__xludf.DUMMYFUNCTION("""COMPUTED_VALUE"""),4)</f>
        <v>4</v>
      </c>
      <c r="Y307" s="4">
        <f ca="1">IFERROR(__xludf.DUMMYFUNCTION("""COMPUTED_VALUE"""),4)</f>
        <v>4</v>
      </c>
      <c r="Z307" s="4">
        <f ca="1">IFERROR(__xludf.DUMMYFUNCTION("""COMPUTED_VALUE"""),5)</f>
        <v>5</v>
      </c>
      <c r="AA307" s="4">
        <f ca="1">IFERROR(__xludf.DUMMYFUNCTION("""COMPUTED_VALUE"""),4)</f>
        <v>4</v>
      </c>
      <c r="AB307" s="4">
        <f ca="1">IFERROR(__xludf.DUMMYFUNCTION("""COMPUTED_VALUE"""),4)</f>
        <v>4</v>
      </c>
      <c r="AC307" s="4">
        <f ca="1">IFERROR(__xludf.DUMMYFUNCTION("""COMPUTED_VALUE"""),4)</f>
        <v>4</v>
      </c>
      <c r="AD307" s="4">
        <f ca="1">IFERROR(__xludf.DUMMYFUNCTION("""COMPUTED_VALUE"""),2)</f>
        <v>2</v>
      </c>
      <c r="AE307" s="4">
        <f ca="1">IFERROR(__xludf.DUMMYFUNCTION("""COMPUTED_VALUE"""),4)</f>
        <v>4</v>
      </c>
      <c r="AF307" s="4">
        <f ca="1">IFERROR(__xludf.DUMMYFUNCTION("""COMPUTED_VALUE"""),4)</f>
        <v>4</v>
      </c>
      <c r="AG307" s="4">
        <f ca="1">IFERROR(__xludf.DUMMYFUNCTION("""COMPUTED_VALUE"""),4)</f>
        <v>4</v>
      </c>
      <c r="AH307" s="4">
        <f ca="1">IFERROR(__xludf.DUMMYFUNCTION("""COMPUTED_VALUE"""),4)</f>
        <v>4</v>
      </c>
      <c r="AI307" s="4">
        <f ca="1">IFERROR(__xludf.DUMMYFUNCTION("""COMPUTED_VALUE"""),4)</f>
        <v>4</v>
      </c>
      <c r="AJ307" s="4">
        <f ca="1">IFERROR(__xludf.DUMMYFUNCTION("""COMPUTED_VALUE"""),4)</f>
        <v>4</v>
      </c>
      <c r="AK307" s="4">
        <f ca="1">IFERROR(__xludf.DUMMYFUNCTION("""COMPUTED_VALUE"""),4)</f>
        <v>4</v>
      </c>
      <c r="AL307" s="4">
        <f ca="1">IFERROR(__xludf.DUMMYFUNCTION("""COMPUTED_VALUE"""),4)</f>
        <v>4</v>
      </c>
      <c r="AM307" s="4">
        <f ca="1">IFERROR(__xludf.DUMMYFUNCTION("""COMPUTED_VALUE"""),4)</f>
        <v>4</v>
      </c>
      <c r="AN307" s="4">
        <f ca="1">IFERROR(__xludf.DUMMYFUNCTION("""COMPUTED_VALUE"""),4)</f>
        <v>4</v>
      </c>
      <c r="AO307" s="4">
        <f ca="1">IFERROR(__xludf.DUMMYFUNCTION("""COMPUTED_VALUE"""),3)</f>
        <v>3</v>
      </c>
      <c r="AP307" s="4">
        <f ca="1">IFERROR(__xludf.DUMMYFUNCTION("""COMPUTED_VALUE"""),2)</f>
        <v>2</v>
      </c>
      <c r="AQ307" s="4">
        <f ca="1">IFERROR(__xludf.DUMMYFUNCTION("""COMPUTED_VALUE"""),3)</f>
        <v>3</v>
      </c>
      <c r="AR307" s="4">
        <f ca="1">IFERROR(__xludf.DUMMYFUNCTION("""COMPUTED_VALUE"""),1)</f>
        <v>1</v>
      </c>
      <c r="AS307" s="4">
        <f ca="1">IFERROR(__xludf.DUMMYFUNCTION("""COMPUTED_VALUE"""),3)</f>
        <v>3</v>
      </c>
      <c r="AT307" s="4">
        <f ca="1">IFERROR(__xludf.DUMMYFUNCTION("""COMPUTED_VALUE"""),2)</f>
        <v>2</v>
      </c>
      <c r="AU307" s="4">
        <f ca="1">IFERROR(__xludf.DUMMYFUNCTION("""COMPUTED_VALUE"""),3)</f>
        <v>3</v>
      </c>
      <c r="AV307" s="4">
        <f ca="1">IFERROR(__xludf.DUMMYFUNCTION("""COMPUTED_VALUE"""),3)</f>
        <v>3</v>
      </c>
      <c r="AW307" s="4">
        <f ca="1">IFERROR(__xludf.DUMMYFUNCTION("""COMPUTED_VALUE"""),3)</f>
        <v>3</v>
      </c>
      <c r="AX307" s="4">
        <f ca="1">IFERROR(__xludf.DUMMYFUNCTION("""COMPUTED_VALUE"""),4)</f>
        <v>4</v>
      </c>
      <c r="AY307" s="4">
        <f ca="1">IFERROR(__xludf.DUMMYFUNCTION("""COMPUTED_VALUE"""),4)</f>
        <v>4</v>
      </c>
      <c r="AZ307" s="4">
        <f ca="1">IFERROR(__xludf.DUMMYFUNCTION("""COMPUTED_VALUE"""),4)</f>
        <v>4</v>
      </c>
      <c r="BA307" s="4">
        <f ca="1">IFERROR(__xludf.DUMMYFUNCTION("""COMPUTED_VALUE"""),4)</f>
        <v>4</v>
      </c>
      <c r="BB307" s="4">
        <f ca="1">IFERROR(__xludf.DUMMYFUNCTION("""COMPUTED_VALUE"""),4)</f>
        <v>4</v>
      </c>
      <c r="BC307" s="4">
        <f ca="1">IFERROR(__xludf.DUMMYFUNCTION("""COMPUTED_VALUE"""),4)</f>
        <v>4</v>
      </c>
      <c r="BD307" s="4">
        <f ca="1">IFERROR(__xludf.DUMMYFUNCTION("""COMPUTED_VALUE"""),4)</f>
        <v>4</v>
      </c>
      <c r="BE307" s="4">
        <f ca="1">IFERROR(__xludf.DUMMYFUNCTION("""COMPUTED_VALUE"""),4)</f>
        <v>4</v>
      </c>
      <c r="BF307" s="4">
        <f ca="1">IFERROR(__xludf.DUMMYFUNCTION("""COMPUTED_VALUE"""),4)</f>
        <v>4</v>
      </c>
      <c r="BG307" s="4">
        <f ca="1">IFERROR(__xludf.DUMMYFUNCTION("""COMPUTED_VALUE"""),4)</f>
        <v>4</v>
      </c>
      <c r="BH307" s="4">
        <f ca="1">IFERROR(__xludf.DUMMYFUNCTION("""COMPUTED_VALUE"""),4)</f>
        <v>4</v>
      </c>
      <c r="BI307" s="4">
        <f ca="1">IFERROR(__xludf.DUMMYFUNCTION("""COMPUTED_VALUE"""),4)</f>
        <v>4</v>
      </c>
      <c r="BJ307" s="4">
        <f ca="1">IFERROR(__xludf.DUMMYFUNCTION("""COMPUTED_VALUE"""),5)</f>
        <v>5</v>
      </c>
      <c r="BK307" s="4">
        <f ca="1">IFERROR(__xludf.DUMMYFUNCTION("""COMPUTED_VALUE"""),4)</f>
        <v>4</v>
      </c>
      <c r="BL307" s="4">
        <f ca="1">IFERROR(__xludf.DUMMYFUNCTION("""COMPUTED_VALUE"""),4)</f>
        <v>4</v>
      </c>
      <c r="BM307" s="4">
        <f ca="1">IFERROR(__xludf.DUMMYFUNCTION("""COMPUTED_VALUE"""),4)</f>
        <v>4</v>
      </c>
      <c r="BN307" s="4">
        <f ca="1">IFERROR(__xludf.DUMMYFUNCTION("""COMPUTED_VALUE"""),4)</f>
        <v>4</v>
      </c>
      <c r="BO307" s="4">
        <f ca="1">IFERROR(__xludf.DUMMYFUNCTION("""COMPUTED_VALUE"""),4)</f>
        <v>4</v>
      </c>
      <c r="BP307" s="4">
        <f ca="1">IFERROR(__xludf.DUMMYFUNCTION("""COMPUTED_VALUE"""),2)</f>
        <v>2</v>
      </c>
    </row>
    <row r="308" spans="1:68" ht="13.2" x14ac:dyDescent="0.25">
      <c r="A308" s="4" t="str">
        <f ca="1">IFERROR(__xludf.DUMMYFUNCTION("""COMPUTED_VALUE"""),"2_ABaOnucBOeV4AvywcNhyBiBtuyKDmr2HVm9oCZMouAW71aNYENRisDHNThGuXX5fUg")</f>
        <v>2_ABaOnucBOeV4AvywcNhyBiBtuyKDmr2HVm9oCZMouAW71aNYENRisDHNThGuXX5fUg</v>
      </c>
      <c r="B308" s="5">
        <f ca="1">IFERROR(__xludf.DUMMYFUNCTION("""COMPUTED_VALUE"""),45986.4958093171)</f>
        <v>45986.495809317101</v>
      </c>
      <c r="C308" s="4" t="str">
        <f ca="1">IFERROR(__xludf.DUMMYFUNCTION("""COMPUTED_VALUE"""),"Hồ Mành Cón")</f>
        <v>Hồ Mành Cón</v>
      </c>
      <c r="D308" s="4" t="str">
        <f ca="1">IFERROR(__xludf.DUMMYFUNCTION("""COMPUTED_VALUE"""),"Nam")</f>
        <v>Nam</v>
      </c>
      <c r="E308" s="4" t="str">
        <f ca="1">IFERROR(__xludf.DUMMYFUNCTION("""COMPUTED_VALUE"""),"Công ty TNHH Kiểm toán U&amp;I")</f>
        <v>Công ty TNHH Kiểm toán U&amp;I</v>
      </c>
      <c r="F308" s="4" t="str">
        <f ca="1">IFERROR(__xludf.DUMMYFUNCTION("""COMPUTED_VALUE"""),"Đại học, Chứng chỉ Kiểm toán viên")</f>
        <v>Đại học, Chứng chỉ Kiểm toán viên</v>
      </c>
      <c r="G308" s="4" t="str">
        <f ca="1">IFERROR(__xludf.DUMMYFUNCTION("""COMPUTED_VALUE"""),"Trên 20 năm")</f>
        <v>Trên 20 năm</v>
      </c>
      <c r="H308" s="4" t="str">
        <f ca="1">IFERROR(__xludf.DUMMYFUNCTION("""COMPUTED_VALUE"""),"Trưởng phòng")</f>
        <v>Trưởng phòng</v>
      </c>
      <c r="I308" s="4">
        <f ca="1">IFERROR(__xludf.DUMMYFUNCTION("""COMPUTED_VALUE"""),1)</f>
        <v>1</v>
      </c>
      <c r="J308" s="4">
        <f ca="1">IFERROR(__xludf.DUMMYFUNCTION("""COMPUTED_VALUE"""),1)</f>
        <v>1</v>
      </c>
      <c r="K308" s="4">
        <f ca="1">IFERROR(__xludf.DUMMYFUNCTION("""COMPUTED_VALUE"""),1)</f>
        <v>1</v>
      </c>
      <c r="L308" s="4">
        <f ca="1">IFERROR(__xludf.DUMMYFUNCTION("""COMPUTED_VALUE"""),1)</f>
        <v>1</v>
      </c>
      <c r="M308" s="4">
        <f ca="1">IFERROR(__xludf.DUMMYFUNCTION("""COMPUTED_VALUE"""),1)</f>
        <v>1</v>
      </c>
      <c r="N308" s="4">
        <f ca="1">IFERROR(__xludf.DUMMYFUNCTION("""COMPUTED_VALUE"""),2)</f>
        <v>2</v>
      </c>
      <c r="O308" s="4">
        <f ca="1">IFERROR(__xludf.DUMMYFUNCTION("""COMPUTED_VALUE"""),2)</f>
        <v>2</v>
      </c>
      <c r="P308" s="4">
        <f ca="1">IFERROR(__xludf.DUMMYFUNCTION("""COMPUTED_VALUE"""),1)</f>
        <v>1</v>
      </c>
      <c r="Q308" s="4">
        <f ca="1">IFERROR(__xludf.DUMMYFUNCTION("""COMPUTED_VALUE"""),1)</f>
        <v>1</v>
      </c>
      <c r="R308" s="4">
        <f ca="1">IFERROR(__xludf.DUMMYFUNCTION("""COMPUTED_VALUE"""),1)</f>
        <v>1</v>
      </c>
      <c r="S308" s="4">
        <f ca="1">IFERROR(__xludf.DUMMYFUNCTION("""COMPUTED_VALUE"""),1)</f>
        <v>1</v>
      </c>
      <c r="T308" s="4">
        <f ca="1">IFERROR(__xludf.DUMMYFUNCTION("""COMPUTED_VALUE"""),1)</f>
        <v>1</v>
      </c>
      <c r="U308" s="4">
        <f ca="1">IFERROR(__xludf.DUMMYFUNCTION("""COMPUTED_VALUE"""),1)</f>
        <v>1</v>
      </c>
      <c r="V308" s="4">
        <f ca="1">IFERROR(__xludf.DUMMYFUNCTION("""COMPUTED_VALUE"""),1)</f>
        <v>1</v>
      </c>
      <c r="W308" s="4">
        <f ca="1">IFERROR(__xludf.DUMMYFUNCTION("""COMPUTED_VALUE"""),1)</f>
        <v>1</v>
      </c>
      <c r="X308" s="4">
        <f ca="1">IFERROR(__xludf.DUMMYFUNCTION("""COMPUTED_VALUE"""),1)</f>
        <v>1</v>
      </c>
      <c r="Y308" s="4">
        <f ca="1">IFERROR(__xludf.DUMMYFUNCTION("""COMPUTED_VALUE"""),1)</f>
        <v>1</v>
      </c>
      <c r="Z308" s="4">
        <f ca="1">IFERROR(__xludf.DUMMYFUNCTION("""COMPUTED_VALUE"""),1)</f>
        <v>1</v>
      </c>
      <c r="AA308" s="4">
        <f ca="1">IFERROR(__xludf.DUMMYFUNCTION("""COMPUTED_VALUE"""),2)</f>
        <v>2</v>
      </c>
      <c r="AB308" s="4">
        <f ca="1">IFERROR(__xludf.DUMMYFUNCTION("""COMPUTED_VALUE"""),1)</f>
        <v>1</v>
      </c>
      <c r="AC308" s="4">
        <f ca="1">IFERROR(__xludf.DUMMYFUNCTION("""COMPUTED_VALUE"""),2)</f>
        <v>2</v>
      </c>
      <c r="AD308" s="4">
        <f ca="1">IFERROR(__xludf.DUMMYFUNCTION("""COMPUTED_VALUE"""),2)</f>
        <v>2</v>
      </c>
      <c r="AE308" s="4">
        <f ca="1">IFERROR(__xludf.DUMMYFUNCTION("""COMPUTED_VALUE"""),1)</f>
        <v>1</v>
      </c>
      <c r="AF308" s="4">
        <f ca="1">IFERROR(__xludf.DUMMYFUNCTION("""COMPUTED_VALUE"""),1)</f>
        <v>1</v>
      </c>
      <c r="AG308" s="4">
        <f ca="1">IFERROR(__xludf.DUMMYFUNCTION("""COMPUTED_VALUE"""),1)</f>
        <v>1</v>
      </c>
      <c r="AH308" s="4">
        <f ca="1">IFERROR(__xludf.DUMMYFUNCTION("""COMPUTED_VALUE"""),1)</f>
        <v>1</v>
      </c>
      <c r="AI308" s="4">
        <f ca="1">IFERROR(__xludf.DUMMYFUNCTION("""COMPUTED_VALUE"""),1)</f>
        <v>1</v>
      </c>
      <c r="AJ308" s="4">
        <f ca="1">IFERROR(__xludf.DUMMYFUNCTION("""COMPUTED_VALUE"""),1)</f>
        <v>1</v>
      </c>
      <c r="AK308" s="4">
        <f ca="1">IFERROR(__xludf.DUMMYFUNCTION("""COMPUTED_VALUE"""),1)</f>
        <v>1</v>
      </c>
      <c r="AL308" s="4">
        <f ca="1">IFERROR(__xludf.DUMMYFUNCTION("""COMPUTED_VALUE"""),1)</f>
        <v>1</v>
      </c>
      <c r="AM308" s="4">
        <f ca="1">IFERROR(__xludf.DUMMYFUNCTION("""COMPUTED_VALUE"""),1)</f>
        <v>1</v>
      </c>
      <c r="AN308" s="4">
        <f ca="1">IFERROR(__xludf.DUMMYFUNCTION("""COMPUTED_VALUE"""),1)</f>
        <v>1</v>
      </c>
      <c r="AO308" s="4">
        <f ca="1">IFERROR(__xludf.DUMMYFUNCTION("""COMPUTED_VALUE"""),2)</f>
        <v>2</v>
      </c>
      <c r="AP308" s="4">
        <f ca="1">IFERROR(__xludf.DUMMYFUNCTION("""COMPUTED_VALUE"""),1)</f>
        <v>1</v>
      </c>
      <c r="AQ308" s="4">
        <f ca="1">IFERROR(__xludf.DUMMYFUNCTION("""COMPUTED_VALUE"""),1)</f>
        <v>1</v>
      </c>
      <c r="AR308" s="4">
        <f ca="1">IFERROR(__xludf.DUMMYFUNCTION("""COMPUTED_VALUE"""),1)</f>
        <v>1</v>
      </c>
      <c r="AS308" s="4">
        <f ca="1">IFERROR(__xludf.DUMMYFUNCTION("""COMPUTED_VALUE"""),2)</f>
        <v>2</v>
      </c>
      <c r="AT308" s="4">
        <f ca="1">IFERROR(__xludf.DUMMYFUNCTION("""COMPUTED_VALUE"""),2)</f>
        <v>2</v>
      </c>
      <c r="AU308" s="4">
        <f ca="1">IFERROR(__xludf.DUMMYFUNCTION("""COMPUTED_VALUE"""),1)</f>
        <v>1</v>
      </c>
      <c r="AV308" s="4">
        <f ca="1">IFERROR(__xludf.DUMMYFUNCTION("""COMPUTED_VALUE"""),1)</f>
        <v>1</v>
      </c>
      <c r="AW308" s="4">
        <f ca="1">IFERROR(__xludf.DUMMYFUNCTION("""COMPUTED_VALUE"""),1)</f>
        <v>1</v>
      </c>
      <c r="AX308" s="4">
        <f ca="1">IFERROR(__xludf.DUMMYFUNCTION("""COMPUTED_VALUE"""),1)</f>
        <v>1</v>
      </c>
      <c r="AY308" s="4">
        <f ca="1">IFERROR(__xludf.DUMMYFUNCTION("""COMPUTED_VALUE"""),1)</f>
        <v>1</v>
      </c>
      <c r="AZ308" s="4">
        <f ca="1">IFERROR(__xludf.DUMMYFUNCTION("""COMPUTED_VALUE"""),1)</f>
        <v>1</v>
      </c>
      <c r="BA308" s="4">
        <f ca="1">IFERROR(__xludf.DUMMYFUNCTION("""COMPUTED_VALUE"""),1)</f>
        <v>1</v>
      </c>
      <c r="BB308" s="4">
        <f ca="1">IFERROR(__xludf.DUMMYFUNCTION("""COMPUTED_VALUE"""),1)</f>
        <v>1</v>
      </c>
      <c r="BC308" s="4">
        <f ca="1">IFERROR(__xludf.DUMMYFUNCTION("""COMPUTED_VALUE"""),2)</f>
        <v>2</v>
      </c>
      <c r="BD308" s="4">
        <f ca="1">IFERROR(__xludf.DUMMYFUNCTION("""COMPUTED_VALUE"""),2)</f>
        <v>2</v>
      </c>
      <c r="BE308" s="4">
        <f ca="1">IFERROR(__xludf.DUMMYFUNCTION("""COMPUTED_VALUE"""),3)</f>
        <v>3</v>
      </c>
      <c r="BF308" s="4">
        <f ca="1">IFERROR(__xludf.DUMMYFUNCTION("""COMPUTED_VALUE"""),3)</f>
        <v>3</v>
      </c>
      <c r="BG308" s="4">
        <f ca="1">IFERROR(__xludf.DUMMYFUNCTION("""COMPUTED_VALUE"""),3)</f>
        <v>3</v>
      </c>
      <c r="BH308" s="4">
        <f ca="1">IFERROR(__xludf.DUMMYFUNCTION("""COMPUTED_VALUE"""),1)</f>
        <v>1</v>
      </c>
      <c r="BI308" s="4">
        <f ca="1">IFERROR(__xludf.DUMMYFUNCTION("""COMPUTED_VALUE"""),1)</f>
        <v>1</v>
      </c>
      <c r="BJ308" s="4">
        <f ca="1">IFERROR(__xludf.DUMMYFUNCTION("""COMPUTED_VALUE"""),1)</f>
        <v>1</v>
      </c>
      <c r="BK308" s="4">
        <f ca="1">IFERROR(__xludf.DUMMYFUNCTION("""COMPUTED_VALUE"""),1)</f>
        <v>1</v>
      </c>
      <c r="BL308" s="4">
        <f ca="1">IFERROR(__xludf.DUMMYFUNCTION("""COMPUTED_VALUE"""),1)</f>
        <v>1</v>
      </c>
      <c r="BM308" s="4">
        <f ca="1">IFERROR(__xludf.DUMMYFUNCTION("""COMPUTED_VALUE"""),1)</f>
        <v>1</v>
      </c>
      <c r="BN308" s="4">
        <f ca="1">IFERROR(__xludf.DUMMYFUNCTION("""COMPUTED_VALUE"""),1)</f>
        <v>1</v>
      </c>
      <c r="BO308" s="4">
        <f ca="1">IFERROR(__xludf.DUMMYFUNCTION("""COMPUTED_VALUE"""),1)</f>
        <v>1</v>
      </c>
      <c r="BP308" s="4">
        <f ca="1">IFERROR(__xludf.DUMMYFUNCTION("""COMPUTED_VALUE"""),1)</f>
        <v>1</v>
      </c>
    </row>
    <row r="309" spans="1:68" ht="13.2" x14ac:dyDescent="0.25">
      <c r="A309" s="4" t="str">
        <f ca="1">IFERROR(__xludf.DUMMYFUNCTION("""COMPUTED_VALUE"""),"2_ABaOnufUZjRTVGJhZeA1IrlY5KywAaUxYVytD5t5ienfy6n1GJTUyo700pQoXrbwpw")</f>
        <v>2_ABaOnufUZjRTVGJhZeA1IrlY5KywAaUxYVytD5t5ienfy6n1GJTUyo700pQoXrbwpw</v>
      </c>
      <c r="B309" s="5">
        <f ca="1">IFERROR(__xludf.DUMMYFUNCTION("""COMPUTED_VALUE"""),45986.4967322338)</f>
        <v>45986.496732233798</v>
      </c>
      <c r="C309" s="4" t="str">
        <f ca="1">IFERROR(__xludf.DUMMYFUNCTION("""COMPUTED_VALUE"""),"NGUYỄN QUỐC CƯỜNG")</f>
        <v>NGUYỄN QUỐC CƯỜNG</v>
      </c>
      <c r="D309" s="4" t="str">
        <f ca="1">IFERROR(__xludf.DUMMYFUNCTION("""COMPUTED_VALUE"""),"Nam")</f>
        <v>Nam</v>
      </c>
      <c r="E309" s="4" t="str">
        <f ca="1">IFERROR(__xludf.DUMMYFUNCTION("""COMPUTED_VALUE"""),"RSM VIỆT NAM")</f>
        <v>RSM VIỆT NAM</v>
      </c>
      <c r="F309" s="4" t="str">
        <f ca="1">IFERROR(__xludf.DUMMYFUNCTION("""COMPUTED_VALUE"""),"Đại học, Chứng chỉ Kiểm toán viên")</f>
        <v>Đại học, Chứng chỉ Kiểm toán viên</v>
      </c>
      <c r="G309" s="4" t="str">
        <f ca="1">IFERROR(__xludf.DUMMYFUNCTION("""COMPUTED_VALUE"""),"Trên 10 đến 15 năm")</f>
        <v>Trên 10 đến 15 năm</v>
      </c>
      <c r="H309" s="4" t="str">
        <f ca="1">IFERROR(__xludf.DUMMYFUNCTION("""COMPUTED_VALUE"""),"Trưởng phòng")</f>
        <v>Trưởng phòng</v>
      </c>
      <c r="I309" s="4">
        <f ca="1">IFERROR(__xludf.DUMMYFUNCTION("""COMPUTED_VALUE"""),5)</f>
        <v>5</v>
      </c>
      <c r="J309" s="4">
        <f ca="1">IFERROR(__xludf.DUMMYFUNCTION("""COMPUTED_VALUE"""),3)</f>
        <v>3</v>
      </c>
      <c r="K309" s="4">
        <f ca="1">IFERROR(__xludf.DUMMYFUNCTION("""COMPUTED_VALUE"""),5)</f>
        <v>5</v>
      </c>
      <c r="L309" s="4">
        <f ca="1">IFERROR(__xludf.DUMMYFUNCTION("""COMPUTED_VALUE"""),3)</f>
        <v>3</v>
      </c>
      <c r="M309" s="4">
        <f ca="1">IFERROR(__xludf.DUMMYFUNCTION("""COMPUTED_VALUE"""),5)</f>
        <v>5</v>
      </c>
      <c r="N309" s="4">
        <f ca="1">IFERROR(__xludf.DUMMYFUNCTION("""COMPUTED_VALUE"""),2)</f>
        <v>2</v>
      </c>
      <c r="O309" s="4">
        <f ca="1">IFERROR(__xludf.DUMMYFUNCTION("""COMPUTED_VALUE"""),2)</f>
        <v>2</v>
      </c>
      <c r="P309" s="4">
        <f ca="1">IFERROR(__xludf.DUMMYFUNCTION("""COMPUTED_VALUE"""),2)</f>
        <v>2</v>
      </c>
      <c r="Q309" s="4">
        <f ca="1">IFERROR(__xludf.DUMMYFUNCTION("""COMPUTED_VALUE"""),1)</f>
        <v>1</v>
      </c>
      <c r="R309" s="4">
        <f ca="1">IFERROR(__xludf.DUMMYFUNCTION("""COMPUTED_VALUE"""),3)</f>
        <v>3</v>
      </c>
      <c r="S309" s="4">
        <f ca="1">IFERROR(__xludf.DUMMYFUNCTION("""COMPUTED_VALUE"""),3)</f>
        <v>3</v>
      </c>
      <c r="T309" s="4">
        <f ca="1">IFERROR(__xludf.DUMMYFUNCTION("""COMPUTED_VALUE"""),3)</f>
        <v>3</v>
      </c>
      <c r="U309" s="4">
        <f ca="1">IFERROR(__xludf.DUMMYFUNCTION("""COMPUTED_VALUE"""),3)</f>
        <v>3</v>
      </c>
      <c r="V309" s="4">
        <f ca="1">IFERROR(__xludf.DUMMYFUNCTION("""COMPUTED_VALUE"""),3)</f>
        <v>3</v>
      </c>
      <c r="W309" s="4">
        <f ca="1">IFERROR(__xludf.DUMMYFUNCTION("""COMPUTED_VALUE"""),5)</f>
        <v>5</v>
      </c>
      <c r="X309" s="4">
        <f ca="1">IFERROR(__xludf.DUMMYFUNCTION("""COMPUTED_VALUE"""),5)</f>
        <v>5</v>
      </c>
      <c r="Y309" s="4">
        <f ca="1">IFERROR(__xludf.DUMMYFUNCTION("""COMPUTED_VALUE"""),4)</f>
        <v>4</v>
      </c>
      <c r="Z309" s="4">
        <f ca="1">IFERROR(__xludf.DUMMYFUNCTION("""COMPUTED_VALUE"""),4)</f>
        <v>4</v>
      </c>
      <c r="AA309" s="4">
        <f ca="1">IFERROR(__xludf.DUMMYFUNCTION("""COMPUTED_VALUE"""),4)</f>
        <v>4</v>
      </c>
      <c r="AB309" s="4">
        <f ca="1">IFERROR(__xludf.DUMMYFUNCTION("""COMPUTED_VALUE"""),4)</f>
        <v>4</v>
      </c>
      <c r="AC309" s="4">
        <f ca="1">IFERROR(__xludf.DUMMYFUNCTION("""COMPUTED_VALUE"""),4)</f>
        <v>4</v>
      </c>
      <c r="AD309" s="4">
        <f ca="1">IFERROR(__xludf.DUMMYFUNCTION("""COMPUTED_VALUE"""),4)</f>
        <v>4</v>
      </c>
      <c r="AE309" s="4">
        <f ca="1">IFERROR(__xludf.DUMMYFUNCTION("""COMPUTED_VALUE"""),4)</f>
        <v>4</v>
      </c>
      <c r="AF309" s="4">
        <f ca="1">IFERROR(__xludf.DUMMYFUNCTION("""COMPUTED_VALUE"""),2)</f>
        <v>2</v>
      </c>
      <c r="AG309" s="4">
        <f ca="1">IFERROR(__xludf.DUMMYFUNCTION("""COMPUTED_VALUE"""),2)</f>
        <v>2</v>
      </c>
      <c r="AH309" s="4">
        <f ca="1">IFERROR(__xludf.DUMMYFUNCTION("""COMPUTED_VALUE"""),2)</f>
        <v>2</v>
      </c>
      <c r="AI309" s="4">
        <f ca="1">IFERROR(__xludf.DUMMYFUNCTION("""COMPUTED_VALUE"""),2)</f>
        <v>2</v>
      </c>
      <c r="AJ309" s="4">
        <f ca="1">IFERROR(__xludf.DUMMYFUNCTION("""COMPUTED_VALUE"""),5)</f>
        <v>5</v>
      </c>
      <c r="AK309" s="4">
        <f ca="1">IFERROR(__xludf.DUMMYFUNCTION("""COMPUTED_VALUE"""),5)</f>
        <v>5</v>
      </c>
      <c r="AL309" s="4">
        <f ca="1">IFERROR(__xludf.DUMMYFUNCTION("""COMPUTED_VALUE"""),5)</f>
        <v>5</v>
      </c>
      <c r="AM309" s="4">
        <f ca="1">IFERROR(__xludf.DUMMYFUNCTION("""COMPUTED_VALUE"""),5)</f>
        <v>5</v>
      </c>
      <c r="AN309" s="4">
        <f ca="1">IFERROR(__xludf.DUMMYFUNCTION("""COMPUTED_VALUE"""),5)</f>
        <v>5</v>
      </c>
      <c r="AO309" s="4">
        <f ca="1">IFERROR(__xludf.DUMMYFUNCTION("""COMPUTED_VALUE"""),4)</f>
        <v>4</v>
      </c>
      <c r="AP309" s="4">
        <f ca="1">IFERROR(__xludf.DUMMYFUNCTION("""COMPUTED_VALUE"""),4)</f>
        <v>4</v>
      </c>
      <c r="AQ309" s="4">
        <f ca="1">IFERROR(__xludf.DUMMYFUNCTION("""COMPUTED_VALUE"""),5)</f>
        <v>5</v>
      </c>
      <c r="AR309" s="4">
        <f ca="1">IFERROR(__xludf.DUMMYFUNCTION("""COMPUTED_VALUE"""),4)</f>
        <v>4</v>
      </c>
      <c r="AS309" s="4">
        <f ca="1">IFERROR(__xludf.DUMMYFUNCTION("""COMPUTED_VALUE"""),4)</f>
        <v>4</v>
      </c>
      <c r="AT309" s="4">
        <f ca="1">IFERROR(__xludf.DUMMYFUNCTION("""COMPUTED_VALUE"""),4)</f>
        <v>4</v>
      </c>
      <c r="AU309" s="4">
        <f ca="1">IFERROR(__xludf.DUMMYFUNCTION("""COMPUTED_VALUE"""),4)</f>
        <v>4</v>
      </c>
      <c r="AV309" s="4">
        <f ca="1">IFERROR(__xludf.DUMMYFUNCTION("""COMPUTED_VALUE"""),4)</f>
        <v>4</v>
      </c>
      <c r="AW309" s="4">
        <f ca="1">IFERROR(__xludf.DUMMYFUNCTION("""COMPUTED_VALUE"""),4)</f>
        <v>4</v>
      </c>
      <c r="AX309" s="4">
        <f ca="1">IFERROR(__xludf.DUMMYFUNCTION("""COMPUTED_VALUE"""),5)</f>
        <v>5</v>
      </c>
      <c r="AY309" s="4">
        <f ca="1">IFERROR(__xludf.DUMMYFUNCTION("""COMPUTED_VALUE"""),5)</f>
        <v>5</v>
      </c>
      <c r="AZ309" s="4">
        <f ca="1">IFERROR(__xludf.DUMMYFUNCTION("""COMPUTED_VALUE"""),5)</f>
        <v>5</v>
      </c>
      <c r="BA309" s="4">
        <f ca="1">IFERROR(__xludf.DUMMYFUNCTION("""COMPUTED_VALUE"""),5)</f>
        <v>5</v>
      </c>
      <c r="BB309" s="4">
        <f ca="1">IFERROR(__xludf.DUMMYFUNCTION("""COMPUTED_VALUE"""),4)</f>
        <v>4</v>
      </c>
      <c r="BC309" s="4">
        <f ca="1">IFERROR(__xludf.DUMMYFUNCTION("""COMPUTED_VALUE"""),4)</f>
        <v>4</v>
      </c>
      <c r="BD309" s="4">
        <f ca="1">IFERROR(__xludf.DUMMYFUNCTION("""COMPUTED_VALUE"""),4)</f>
        <v>4</v>
      </c>
      <c r="BE309" s="4">
        <f ca="1">IFERROR(__xludf.DUMMYFUNCTION("""COMPUTED_VALUE"""),4)</f>
        <v>4</v>
      </c>
      <c r="BF309" s="4">
        <f ca="1">IFERROR(__xludf.DUMMYFUNCTION("""COMPUTED_VALUE"""),4)</f>
        <v>4</v>
      </c>
      <c r="BG309" s="4">
        <f ca="1">IFERROR(__xludf.DUMMYFUNCTION("""COMPUTED_VALUE"""),4)</f>
        <v>4</v>
      </c>
      <c r="BH309" s="4">
        <f ca="1">IFERROR(__xludf.DUMMYFUNCTION("""COMPUTED_VALUE"""),4)</f>
        <v>4</v>
      </c>
      <c r="BI309" s="4">
        <f ca="1">IFERROR(__xludf.DUMMYFUNCTION("""COMPUTED_VALUE"""),4)</f>
        <v>4</v>
      </c>
      <c r="BJ309" s="4">
        <f ca="1">IFERROR(__xludf.DUMMYFUNCTION("""COMPUTED_VALUE"""),4)</f>
        <v>4</v>
      </c>
      <c r="BK309" s="4">
        <f ca="1">IFERROR(__xludf.DUMMYFUNCTION("""COMPUTED_VALUE"""),4)</f>
        <v>4</v>
      </c>
      <c r="BL309" s="4">
        <f ca="1">IFERROR(__xludf.DUMMYFUNCTION("""COMPUTED_VALUE"""),4)</f>
        <v>4</v>
      </c>
      <c r="BM309" s="4">
        <f ca="1">IFERROR(__xludf.DUMMYFUNCTION("""COMPUTED_VALUE"""),4)</f>
        <v>4</v>
      </c>
      <c r="BN309" s="4">
        <f ca="1">IFERROR(__xludf.DUMMYFUNCTION("""COMPUTED_VALUE"""),4)</f>
        <v>4</v>
      </c>
      <c r="BO309" s="4">
        <f ca="1">IFERROR(__xludf.DUMMYFUNCTION("""COMPUTED_VALUE"""),4)</f>
        <v>4</v>
      </c>
      <c r="BP309" s="4">
        <f ca="1">IFERROR(__xludf.DUMMYFUNCTION("""COMPUTED_VALUE"""),4)</f>
        <v>4</v>
      </c>
    </row>
    <row r="310" spans="1:68" ht="13.2" x14ac:dyDescent="0.25">
      <c r="A310" s="4" t="str">
        <f ca="1">IFERROR(__xludf.DUMMYFUNCTION("""COMPUTED_VALUE"""),"2_ABaOnucoHSIP4go9E4u2DHmTRymkYsKTs5lgie1ni6REiPKNRySiMHM4IRF9pkbpEw")</f>
        <v>2_ABaOnucoHSIP4go9E4u2DHmTRymkYsKTs5lgie1ni6REiPKNRySiMHM4IRF9pkbpEw</v>
      </c>
      <c r="B310" s="5">
        <f ca="1">IFERROR(__xludf.DUMMYFUNCTION("""COMPUTED_VALUE"""),45986.5222992129)</f>
        <v>45986.522299212898</v>
      </c>
      <c r="C310" s="4" t="str">
        <f ca="1">IFERROR(__xludf.DUMMYFUNCTION("""COMPUTED_VALUE"""),"Lê Đức Anh Dũng")</f>
        <v>Lê Đức Anh Dũng</v>
      </c>
      <c r="D310" s="4" t="str">
        <f ca="1">IFERROR(__xludf.DUMMYFUNCTION("""COMPUTED_VALUE"""),"Nam")</f>
        <v>Nam</v>
      </c>
      <c r="E310" s="4" t="str">
        <f ca="1">IFERROR(__xludf.DUMMYFUNCTION("""COMPUTED_VALUE"""),"Công ty TNHH Kiểm toán - Tư vấn Đất Việt")</f>
        <v>Công ty TNHH Kiểm toán - Tư vấn Đất Việt</v>
      </c>
      <c r="F310" s="4" t="str">
        <f ca="1">IFERROR(__xludf.DUMMYFUNCTION("""COMPUTED_VALUE"""),"Đại học")</f>
        <v>Đại học</v>
      </c>
      <c r="G310" s="4" t="str">
        <f ca="1">IFERROR(__xludf.DUMMYFUNCTION("""COMPUTED_VALUE"""),"Từ 3 đến 5 năm")</f>
        <v>Từ 3 đến 5 năm</v>
      </c>
      <c r="H310" s="4" t="str">
        <f ca="1">IFERROR(__xludf.DUMMYFUNCTION("""COMPUTED_VALUE"""),"Trợ lý kiểm toán")</f>
        <v>Trợ lý kiểm toán</v>
      </c>
      <c r="I310" s="4">
        <f ca="1">IFERROR(__xludf.DUMMYFUNCTION("""COMPUTED_VALUE"""),5)</f>
        <v>5</v>
      </c>
      <c r="J310" s="4">
        <f ca="1">IFERROR(__xludf.DUMMYFUNCTION("""COMPUTED_VALUE"""),5)</f>
        <v>5</v>
      </c>
      <c r="K310" s="4">
        <f ca="1">IFERROR(__xludf.DUMMYFUNCTION("""COMPUTED_VALUE"""),5)</f>
        <v>5</v>
      </c>
      <c r="L310" s="4">
        <f ca="1">IFERROR(__xludf.DUMMYFUNCTION("""COMPUTED_VALUE"""),4)</f>
        <v>4</v>
      </c>
      <c r="M310" s="4">
        <f ca="1">IFERROR(__xludf.DUMMYFUNCTION("""COMPUTED_VALUE"""),5)</f>
        <v>5</v>
      </c>
      <c r="N310" s="4">
        <f ca="1">IFERROR(__xludf.DUMMYFUNCTION("""COMPUTED_VALUE"""),3)</f>
        <v>3</v>
      </c>
      <c r="O310" s="4">
        <f ca="1">IFERROR(__xludf.DUMMYFUNCTION("""COMPUTED_VALUE"""),3)</f>
        <v>3</v>
      </c>
      <c r="P310" s="4">
        <f ca="1">IFERROR(__xludf.DUMMYFUNCTION("""COMPUTED_VALUE"""),4)</f>
        <v>4</v>
      </c>
      <c r="Q310" s="4">
        <f ca="1">IFERROR(__xludf.DUMMYFUNCTION("""COMPUTED_VALUE"""),5)</f>
        <v>5</v>
      </c>
      <c r="R310" s="4">
        <f ca="1">IFERROR(__xludf.DUMMYFUNCTION("""COMPUTED_VALUE"""),5)</f>
        <v>5</v>
      </c>
      <c r="S310" s="4">
        <f ca="1">IFERROR(__xludf.DUMMYFUNCTION("""COMPUTED_VALUE"""),5)</f>
        <v>5</v>
      </c>
      <c r="T310" s="4">
        <f ca="1">IFERROR(__xludf.DUMMYFUNCTION("""COMPUTED_VALUE"""),4)</f>
        <v>4</v>
      </c>
      <c r="U310" s="4">
        <f ca="1">IFERROR(__xludf.DUMMYFUNCTION("""COMPUTED_VALUE"""),5)</f>
        <v>5</v>
      </c>
      <c r="V310" s="4">
        <f ca="1">IFERROR(__xludf.DUMMYFUNCTION("""COMPUTED_VALUE"""),5)</f>
        <v>5</v>
      </c>
      <c r="W310" s="4">
        <f ca="1">IFERROR(__xludf.DUMMYFUNCTION("""COMPUTED_VALUE"""),5)</f>
        <v>5</v>
      </c>
      <c r="X310" s="4">
        <f ca="1">IFERROR(__xludf.DUMMYFUNCTION("""COMPUTED_VALUE"""),4)</f>
        <v>4</v>
      </c>
      <c r="Y310" s="4">
        <f ca="1">IFERROR(__xludf.DUMMYFUNCTION("""COMPUTED_VALUE"""),4)</f>
        <v>4</v>
      </c>
      <c r="Z310" s="4">
        <f ca="1">IFERROR(__xludf.DUMMYFUNCTION("""COMPUTED_VALUE"""),3)</f>
        <v>3</v>
      </c>
      <c r="AA310" s="4">
        <f ca="1">IFERROR(__xludf.DUMMYFUNCTION("""COMPUTED_VALUE"""),5)</f>
        <v>5</v>
      </c>
      <c r="AB310" s="4">
        <f ca="1">IFERROR(__xludf.DUMMYFUNCTION("""COMPUTED_VALUE"""),5)</f>
        <v>5</v>
      </c>
      <c r="AC310" s="4">
        <f ca="1">IFERROR(__xludf.DUMMYFUNCTION("""COMPUTED_VALUE"""),5)</f>
        <v>5</v>
      </c>
      <c r="AD310" s="4">
        <f ca="1">IFERROR(__xludf.DUMMYFUNCTION("""COMPUTED_VALUE"""),2)</f>
        <v>2</v>
      </c>
      <c r="AE310" s="4">
        <f ca="1">IFERROR(__xludf.DUMMYFUNCTION("""COMPUTED_VALUE"""),5)</f>
        <v>5</v>
      </c>
      <c r="AF310" s="4">
        <f ca="1">IFERROR(__xludf.DUMMYFUNCTION("""COMPUTED_VALUE"""),5)</f>
        <v>5</v>
      </c>
      <c r="AG310" s="4">
        <f ca="1">IFERROR(__xludf.DUMMYFUNCTION("""COMPUTED_VALUE"""),5)</f>
        <v>5</v>
      </c>
      <c r="AH310" s="4">
        <f ca="1">IFERROR(__xludf.DUMMYFUNCTION("""COMPUTED_VALUE"""),5)</f>
        <v>5</v>
      </c>
      <c r="AI310" s="4">
        <f ca="1">IFERROR(__xludf.DUMMYFUNCTION("""COMPUTED_VALUE"""),5)</f>
        <v>5</v>
      </c>
      <c r="AJ310" s="4">
        <f ca="1">IFERROR(__xludf.DUMMYFUNCTION("""COMPUTED_VALUE"""),3)</f>
        <v>3</v>
      </c>
      <c r="AK310" s="4">
        <f ca="1">IFERROR(__xludf.DUMMYFUNCTION("""COMPUTED_VALUE"""),4)</f>
        <v>4</v>
      </c>
      <c r="AL310" s="4">
        <f ca="1">IFERROR(__xludf.DUMMYFUNCTION("""COMPUTED_VALUE"""),4)</f>
        <v>4</v>
      </c>
      <c r="AM310" s="4">
        <f ca="1">IFERROR(__xludf.DUMMYFUNCTION("""COMPUTED_VALUE"""),4)</f>
        <v>4</v>
      </c>
      <c r="AN310" s="4">
        <f ca="1">IFERROR(__xludf.DUMMYFUNCTION("""COMPUTED_VALUE"""),3)</f>
        <v>3</v>
      </c>
      <c r="AO310" s="4">
        <f ca="1">IFERROR(__xludf.DUMMYFUNCTION("""COMPUTED_VALUE"""),4)</f>
        <v>4</v>
      </c>
      <c r="AP310" s="4">
        <f ca="1">IFERROR(__xludf.DUMMYFUNCTION("""COMPUTED_VALUE"""),2)</f>
        <v>2</v>
      </c>
      <c r="AQ310" s="4">
        <f ca="1">IFERROR(__xludf.DUMMYFUNCTION("""COMPUTED_VALUE"""),5)</f>
        <v>5</v>
      </c>
      <c r="AR310" s="4">
        <f ca="1">IFERROR(__xludf.DUMMYFUNCTION("""COMPUTED_VALUE"""),3)</f>
        <v>3</v>
      </c>
      <c r="AS310" s="4">
        <f ca="1">IFERROR(__xludf.DUMMYFUNCTION("""COMPUTED_VALUE"""),3)</f>
        <v>3</v>
      </c>
      <c r="AT310" s="4">
        <f ca="1">IFERROR(__xludf.DUMMYFUNCTION("""COMPUTED_VALUE"""),3)</f>
        <v>3</v>
      </c>
      <c r="AU310" s="4">
        <f ca="1">IFERROR(__xludf.DUMMYFUNCTION("""COMPUTED_VALUE"""),4)</f>
        <v>4</v>
      </c>
      <c r="AV310" s="4">
        <f ca="1">IFERROR(__xludf.DUMMYFUNCTION("""COMPUTED_VALUE"""),5)</f>
        <v>5</v>
      </c>
      <c r="AW310" s="4">
        <f ca="1">IFERROR(__xludf.DUMMYFUNCTION("""COMPUTED_VALUE"""),5)</f>
        <v>5</v>
      </c>
      <c r="AX310" s="4">
        <f ca="1">IFERROR(__xludf.DUMMYFUNCTION("""COMPUTED_VALUE"""),5)</f>
        <v>5</v>
      </c>
      <c r="AY310" s="4">
        <f ca="1">IFERROR(__xludf.DUMMYFUNCTION("""COMPUTED_VALUE"""),5)</f>
        <v>5</v>
      </c>
      <c r="AZ310" s="4">
        <f ca="1">IFERROR(__xludf.DUMMYFUNCTION("""COMPUTED_VALUE"""),5)</f>
        <v>5</v>
      </c>
      <c r="BA310" s="4">
        <f ca="1">IFERROR(__xludf.DUMMYFUNCTION("""COMPUTED_VALUE"""),5)</f>
        <v>5</v>
      </c>
      <c r="BB310" s="4">
        <f ca="1">IFERROR(__xludf.DUMMYFUNCTION("""COMPUTED_VALUE"""),4)</f>
        <v>4</v>
      </c>
      <c r="BC310" s="4">
        <f ca="1">IFERROR(__xludf.DUMMYFUNCTION("""COMPUTED_VALUE"""),5)</f>
        <v>5</v>
      </c>
      <c r="BD310" s="4">
        <f ca="1">IFERROR(__xludf.DUMMYFUNCTION("""COMPUTED_VALUE"""),4)</f>
        <v>4</v>
      </c>
      <c r="BE310" s="4">
        <f ca="1">IFERROR(__xludf.DUMMYFUNCTION("""COMPUTED_VALUE"""),4)</f>
        <v>4</v>
      </c>
      <c r="BF310" s="4">
        <f ca="1">IFERROR(__xludf.DUMMYFUNCTION("""COMPUTED_VALUE"""),5)</f>
        <v>5</v>
      </c>
      <c r="BG310" s="4">
        <f ca="1">IFERROR(__xludf.DUMMYFUNCTION("""COMPUTED_VALUE"""),5)</f>
        <v>5</v>
      </c>
      <c r="BH310" s="4">
        <f ca="1">IFERROR(__xludf.DUMMYFUNCTION("""COMPUTED_VALUE"""),5)</f>
        <v>5</v>
      </c>
      <c r="BI310" s="4">
        <f ca="1">IFERROR(__xludf.DUMMYFUNCTION("""COMPUTED_VALUE"""),5)</f>
        <v>5</v>
      </c>
      <c r="BJ310" s="4">
        <f ca="1">IFERROR(__xludf.DUMMYFUNCTION("""COMPUTED_VALUE"""),5)</f>
        <v>5</v>
      </c>
      <c r="BK310" s="4">
        <f ca="1">IFERROR(__xludf.DUMMYFUNCTION("""COMPUTED_VALUE"""),5)</f>
        <v>5</v>
      </c>
      <c r="BL310" s="4">
        <f ca="1">IFERROR(__xludf.DUMMYFUNCTION("""COMPUTED_VALUE"""),4)</f>
        <v>4</v>
      </c>
      <c r="BM310" s="4">
        <f ca="1">IFERROR(__xludf.DUMMYFUNCTION("""COMPUTED_VALUE"""),4)</f>
        <v>4</v>
      </c>
      <c r="BN310" s="4">
        <f ca="1">IFERROR(__xludf.DUMMYFUNCTION("""COMPUTED_VALUE"""),5)</f>
        <v>5</v>
      </c>
      <c r="BO310" s="4">
        <f ca="1">IFERROR(__xludf.DUMMYFUNCTION("""COMPUTED_VALUE"""),5)</f>
        <v>5</v>
      </c>
      <c r="BP310" s="4">
        <f ca="1">IFERROR(__xludf.DUMMYFUNCTION("""COMPUTED_VALUE"""),5)</f>
        <v>5</v>
      </c>
    </row>
    <row r="311" spans="1:68" ht="13.2" x14ac:dyDescent="0.25">
      <c r="A311" s="4" t="str">
        <f ca="1">IFERROR(__xludf.DUMMYFUNCTION("""COMPUTED_VALUE"""),"2_ABaOnufDYc2sANdj4Re2BeT2uYjbckWHpqijC-9epoCl65qYJS10ebgpQ4FLOm20PQ")</f>
        <v>2_ABaOnufDYc2sANdj4Re2BeT2uYjbckWHpqijC-9epoCl65qYJS10ebgpQ4FLOm20PQ</v>
      </c>
      <c r="B311" s="5">
        <f ca="1">IFERROR(__xludf.DUMMYFUNCTION("""COMPUTED_VALUE"""),45986.5238767013)</f>
        <v>45986.5238767013</v>
      </c>
      <c r="C311" s="4" t="str">
        <f ca="1">IFERROR(__xludf.DUMMYFUNCTION("""COMPUTED_VALUE"""),"Nguyễn Lê Hồng Phương")</f>
        <v>Nguyễn Lê Hồng Phương</v>
      </c>
      <c r="D311" s="4" t="str">
        <f ca="1">IFERROR(__xludf.DUMMYFUNCTION("""COMPUTED_VALUE"""),"Nữ")</f>
        <v>Nữ</v>
      </c>
      <c r="E311" s="4" t="str">
        <f ca="1">IFERROR(__xludf.DUMMYFUNCTION("""COMPUTED_VALUE"""),"Công ty TNHH Kiểm toán - Tư vấn Đất Việt")</f>
        <v>Công ty TNHH Kiểm toán - Tư vấn Đất Việt</v>
      </c>
      <c r="F311" s="4" t="str">
        <f ca="1">IFERROR(__xludf.DUMMYFUNCTION("""COMPUTED_VALUE"""),"Đại học")</f>
        <v>Đại học</v>
      </c>
      <c r="G311" s="4" t="str">
        <f ca="1">IFERROR(__xludf.DUMMYFUNCTION("""COMPUTED_VALUE"""),"Từ 3 đến 5 năm")</f>
        <v>Từ 3 đến 5 năm</v>
      </c>
      <c r="H311" s="4" t="str">
        <f ca="1">IFERROR(__xludf.DUMMYFUNCTION("""COMPUTED_VALUE"""),"Trợ lý kiểm toán")</f>
        <v>Trợ lý kiểm toán</v>
      </c>
      <c r="I311" s="4">
        <f ca="1">IFERROR(__xludf.DUMMYFUNCTION("""COMPUTED_VALUE"""),5)</f>
        <v>5</v>
      </c>
      <c r="J311" s="4">
        <f ca="1">IFERROR(__xludf.DUMMYFUNCTION("""COMPUTED_VALUE"""),5)</f>
        <v>5</v>
      </c>
      <c r="K311" s="4">
        <f ca="1">IFERROR(__xludf.DUMMYFUNCTION("""COMPUTED_VALUE"""),5)</f>
        <v>5</v>
      </c>
      <c r="L311" s="4">
        <f ca="1">IFERROR(__xludf.DUMMYFUNCTION("""COMPUTED_VALUE"""),5)</f>
        <v>5</v>
      </c>
      <c r="M311" s="4">
        <f ca="1">IFERROR(__xludf.DUMMYFUNCTION("""COMPUTED_VALUE"""),5)</f>
        <v>5</v>
      </c>
      <c r="N311" s="4">
        <f ca="1">IFERROR(__xludf.DUMMYFUNCTION("""COMPUTED_VALUE"""),5)</f>
        <v>5</v>
      </c>
      <c r="O311" s="4">
        <f ca="1">IFERROR(__xludf.DUMMYFUNCTION("""COMPUTED_VALUE"""),5)</f>
        <v>5</v>
      </c>
      <c r="P311" s="4">
        <f ca="1">IFERROR(__xludf.DUMMYFUNCTION("""COMPUTED_VALUE"""),5)</f>
        <v>5</v>
      </c>
      <c r="Q311" s="4">
        <f ca="1">IFERROR(__xludf.DUMMYFUNCTION("""COMPUTED_VALUE"""),5)</f>
        <v>5</v>
      </c>
      <c r="R311" s="4">
        <f ca="1">IFERROR(__xludf.DUMMYFUNCTION("""COMPUTED_VALUE"""),5)</f>
        <v>5</v>
      </c>
      <c r="S311" s="4">
        <f ca="1">IFERROR(__xludf.DUMMYFUNCTION("""COMPUTED_VALUE"""),5)</f>
        <v>5</v>
      </c>
      <c r="T311" s="4">
        <f ca="1">IFERROR(__xludf.DUMMYFUNCTION("""COMPUTED_VALUE"""),5)</f>
        <v>5</v>
      </c>
      <c r="U311" s="4">
        <f ca="1">IFERROR(__xludf.DUMMYFUNCTION("""COMPUTED_VALUE"""),5)</f>
        <v>5</v>
      </c>
      <c r="V311" s="4">
        <f ca="1">IFERROR(__xludf.DUMMYFUNCTION("""COMPUTED_VALUE"""),5)</f>
        <v>5</v>
      </c>
      <c r="W311" s="4">
        <f ca="1">IFERROR(__xludf.DUMMYFUNCTION("""COMPUTED_VALUE"""),4)</f>
        <v>4</v>
      </c>
      <c r="X311" s="4">
        <f ca="1">IFERROR(__xludf.DUMMYFUNCTION("""COMPUTED_VALUE"""),4)</f>
        <v>4</v>
      </c>
      <c r="Y311" s="4">
        <f ca="1">IFERROR(__xludf.DUMMYFUNCTION("""COMPUTED_VALUE"""),5)</f>
        <v>5</v>
      </c>
      <c r="Z311" s="4">
        <f ca="1">IFERROR(__xludf.DUMMYFUNCTION("""COMPUTED_VALUE"""),5)</f>
        <v>5</v>
      </c>
      <c r="AA311" s="4">
        <f ca="1">IFERROR(__xludf.DUMMYFUNCTION("""COMPUTED_VALUE"""),3)</f>
        <v>3</v>
      </c>
      <c r="AB311" s="4">
        <f ca="1">IFERROR(__xludf.DUMMYFUNCTION("""COMPUTED_VALUE"""),2)</f>
        <v>2</v>
      </c>
      <c r="AC311" s="4">
        <f ca="1">IFERROR(__xludf.DUMMYFUNCTION("""COMPUTED_VALUE"""),3)</f>
        <v>3</v>
      </c>
      <c r="AD311" s="4">
        <f ca="1">IFERROR(__xludf.DUMMYFUNCTION("""COMPUTED_VALUE"""),3)</f>
        <v>3</v>
      </c>
      <c r="AE311" s="4">
        <f ca="1">IFERROR(__xludf.DUMMYFUNCTION("""COMPUTED_VALUE"""),4)</f>
        <v>4</v>
      </c>
      <c r="AF311" s="4">
        <f ca="1">IFERROR(__xludf.DUMMYFUNCTION("""COMPUTED_VALUE"""),4)</f>
        <v>4</v>
      </c>
      <c r="AG311" s="4">
        <f ca="1">IFERROR(__xludf.DUMMYFUNCTION("""COMPUTED_VALUE"""),4)</f>
        <v>4</v>
      </c>
      <c r="AH311" s="4">
        <f ca="1">IFERROR(__xludf.DUMMYFUNCTION("""COMPUTED_VALUE"""),4)</f>
        <v>4</v>
      </c>
      <c r="AI311" s="4">
        <f ca="1">IFERROR(__xludf.DUMMYFUNCTION("""COMPUTED_VALUE"""),4)</f>
        <v>4</v>
      </c>
      <c r="AJ311" s="4">
        <f ca="1">IFERROR(__xludf.DUMMYFUNCTION("""COMPUTED_VALUE"""),5)</f>
        <v>5</v>
      </c>
      <c r="AK311" s="4">
        <f ca="1">IFERROR(__xludf.DUMMYFUNCTION("""COMPUTED_VALUE"""),5)</f>
        <v>5</v>
      </c>
      <c r="AL311" s="4">
        <f ca="1">IFERROR(__xludf.DUMMYFUNCTION("""COMPUTED_VALUE"""),5)</f>
        <v>5</v>
      </c>
      <c r="AM311" s="4">
        <f ca="1">IFERROR(__xludf.DUMMYFUNCTION("""COMPUTED_VALUE"""),5)</f>
        <v>5</v>
      </c>
      <c r="AN311" s="4">
        <f ca="1">IFERROR(__xludf.DUMMYFUNCTION("""COMPUTED_VALUE"""),5)</f>
        <v>5</v>
      </c>
      <c r="AO311" s="4">
        <f ca="1">IFERROR(__xludf.DUMMYFUNCTION("""COMPUTED_VALUE"""),5)</f>
        <v>5</v>
      </c>
      <c r="AP311" s="4">
        <f ca="1">IFERROR(__xludf.DUMMYFUNCTION("""COMPUTED_VALUE"""),5)</f>
        <v>5</v>
      </c>
      <c r="AQ311" s="4">
        <f ca="1">IFERROR(__xludf.DUMMYFUNCTION("""COMPUTED_VALUE"""),5)</f>
        <v>5</v>
      </c>
      <c r="AR311" s="4">
        <f ca="1">IFERROR(__xludf.DUMMYFUNCTION("""COMPUTED_VALUE"""),5)</f>
        <v>5</v>
      </c>
      <c r="AS311" s="4">
        <f ca="1">IFERROR(__xludf.DUMMYFUNCTION("""COMPUTED_VALUE"""),5)</f>
        <v>5</v>
      </c>
      <c r="AT311" s="4">
        <f ca="1">IFERROR(__xludf.DUMMYFUNCTION("""COMPUTED_VALUE"""),4)</f>
        <v>4</v>
      </c>
      <c r="AU311" s="4">
        <f ca="1">IFERROR(__xludf.DUMMYFUNCTION("""COMPUTED_VALUE"""),4)</f>
        <v>4</v>
      </c>
      <c r="AV311" s="4">
        <f ca="1">IFERROR(__xludf.DUMMYFUNCTION("""COMPUTED_VALUE"""),5)</f>
        <v>5</v>
      </c>
      <c r="AW311" s="4">
        <f ca="1">IFERROR(__xludf.DUMMYFUNCTION("""COMPUTED_VALUE"""),5)</f>
        <v>5</v>
      </c>
      <c r="AX311" s="4">
        <f ca="1">IFERROR(__xludf.DUMMYFUNCTION("""COMPUTED_VALUE"""),5)</f>
        <v>5</v>
      </c>
      <c r="AY311" s="4">
        <f ca="1">IFERROR(__xludf.DUMMYFUNCTION("""COMPUTED_VALUE"""),5)</f>
        <v>5</v>
      </c>
      <c r="AZ311" s="4">
        <f ca="1">IFERROR(__xludf.DUMMYFUNCTION("""COMPUTED_VALUE"""),5)</f>
        <v>5</v>
      </c>
      <c r="BA311" s="4">
        <f ca="1">IFERROR(__xludf.DUMMYFUNCTION("""COMPUTED_VALUE"""),5)</f>
        <v>5</v>
      </c>
      <c r="BB311" s="4">
        <f ca="1">IFERROR(__xludf.DUMMYFUNCTION("""COMPUTED_VALUE"""),4)</f>
        <v>4</v>
      </c>
      <c r="BC311" s="4">
        <f ca="1">IFERROR(__xludf.DUMMYFUNCTION("""COMPUTED_VALUE"""),4)</f>
        <v>4</v>
      </c>
      <c r="BD311" s="4">
        <f ca="1">IFERROR(__xludf.DUMMYFUNCTION("""COMPUTED_VALUE"""),4)</f>
        <v>4</v>
      </c>
      <c r="BE311" s="4">
        <f ca="1">IFERROR(__xludf.DUMMYFUNCTION("""COMPUTED_VALUE"""),4)</f>
        <v>4</v>
      </c>
      <c r="BF311" s="4">
        <f ca="1">IFERROR(__xludf.DUMMYFUNCTION("""COMPUTED_VALUE"""),4)</f>
        <v>4</v>
      </c>
      <c r="BG311" s="4">
        <f ca="1">IFERROR(__xludf.DUMMYFUNCTION("""COMPUTED_VALUE"""),4)</f>
        <v>4</v>
      </c>
      <c r="BH311" s="4">
        <f ca="1">IFERROR(__xludf.DUMMYFUNCTION("""COMPUTED_VALUE"""),5)</f>
        <v>5</v>
      </c>
      <c r="BI311" s="4">
        <f ca="1">IFERROR(__xludf.DUMMYFUNCTION("""COMPUTED_VALUE"""),5)</f>
        <v>5</v>
      </c>
      <c r="BJ311" s="4">
        <f ca="1">IFERROR(__xludf.DUMMYFUNCTION("""COMPUTED_VALUE"""),5)</f>
        <v>5</v>
      </c>
      <c r="BK311" s="4">
        <f ca="1">IFERROR(__xludf.DUMMYFUNCTION("""COMPUTED_VALUE"""),5)</f>
        <v>5</v>
      </c>
      <c r="BL311" s="4">
        <f ca="1">IFERROR(__xludf.DUMMYFUNCTION("""COMPUTED_VALUE"""),5)</f>
        <v>5</v>
      </c>
      <c r="BM311" s="4">
        <f ca="1">IFERROR(__xludf.DUMMYFUNCTION("""COMPUTED_VALUE"""),5)</f>
        <v>5</v>
      </c>
      <c r="BN311" s="4">
        <f ca="1">IFERROR(__xludf.DUMMYFUNCTION("""COMPUTED_VALUE"""),5)</f>
        <v>5</v>
      </c>
      <c r="BO311" s="4">
        <f ca="1">IFERROR(__xludf.DUMMYFUNCTION("""COMPUTED_VALUE"""),5)</f>
        <v>5</v>
      </c>
      <c r="BP311" s="4">
        <f ca="1">IFERROR(__xludf.DUMMYFUNCTION("""COMPUTED_VALUE"""),5)</f>
        <v>5</v>
      </c>
    </row>
    <row r="312" spans="1:68" ht="13.2" x14ac:dyDescent="0.25">
      <c r="A312" s="4" t="str">
        <f ca="1">IFERROR(__xludf.DUMMYFUNCTION("""COMPUTED_VALUE"""),"2_ABaOnudeE8zE_fG6m3Ito0GmxMTyHWBcNTzZju7FSx5T_K2mMtsmChV9uP1Dv9YZQg")</f>
        <v>2_ABaOnudeE8zE_fG6m3Ito0GmxMTyHWBcNTzZju7FSx5T_K2mMtsmChV9uP1Dv9YZQg</v>
      </c>
      <c r="B312" s="5">
        <f ca="1">IFERROR(__xludf.DUMMYFUNCTION("""COMPUTED_VALUE"""),45986.525831331)</f>
        <v>45986.525831330997</v>
      </c>
      <c r="C312" s="4" t="str">
        <f ca="1">IFERROR(__xludf.DUMMYFUNCTION("""COMPUTED_VALUE"""),"Nguyễn Thị Thơm")</f>
        <v>Nguyễn Thị Thơm</v>
      </c>
      <c r="D312" s="4" t="str">
        <f ca="1">IFERROR(__xludf.DUMMYFUNCTION("""COMPUTED_VALUE"""),"Nữ")</f>
        <v>Nữ</v>
      </c>
      <c r="E312" s="4" t="str">
        <f ca="1">IFERROR(__xludf.DUMMYFUNCTION("""COMPUTED_VALUE"""),"Công ty tnhh Kiểm toán - Tư vấn Đất Việt")</f>
        <v>Công ty tnhh Kiểm toán - Tư vấn Đất Việt</v>
      </c>
      <c r="F312" s="4" t="str">
        <f ca="1">IFERROR(__xludf.DUMMYFUNCTION("""COMPUTED_VALUE"""),"Đại học, Chứng chỉ Kiểm toán viên")</f>
        <v>Đại học, Chứng chỉ Kiểm toán viên</v>
      </c>
      <c r="G312" s="4" t="str">
        <f ca="1">IFERROR(__xludf.DUMMYFUNCTION("""COMPUTED_VALUE"""),"Trên 20 năm")</f>
        <v>Trên 20 năm</v>
      </c>
      <c r="H312" s="4" t="str">
        <f ca="1">IFERROR(__xludf.DUMMYFUNCTION("""COMPUTED_VALUE"""),"Ban giám đốc")</f>
        <v>Ban giám đốc</v>
      </c>
      <c r="I312" s="4">
        <f ca="1">IFERROR(__xludf.DUMMYFUNCTION("""COMPUTED_VALUE"""),5)</f>
        <v>5</v>
      </c>
      <c r="J312" s="4">
        <f ca="1">IFERROR(__xludf.DUMMYFUNCTION("""COMPUTED_VALUE"""),5)</f>
        <v>5</v>
      </c>
      <c r="K312" s="4">
        <f ca="1">IFERROR(__xludf.DUMMYFUNCTION("""COMPUTED_VALUE"""),5)</f>
        <v>5</v>
      </c>
      <c r="L312" s="4">
        <f ca="1">IFERROR(__xludf.DUMMYFUNCTION("""COMPUTED_VALUE"""),5)</f>
        <v>5</v>
      </c>
      <c r="M312" s="4">
        <f ca="1">IFERROR(__xludf.DUMMYFUNCTION("""COMPUTED_VALUE"""),5)</f>
        <v>5</v>
      </c>
      <c r="N312" s="4">
        <f ca="1">IFERROR(__xludf.DUMMYFUNCTION("""COMPUTED_VALUE"""),5)</f>
        <v>5</v>
      </c>
      <c r="O312" s="4">
        <f ca="1">IFERROR(__xludf.DUMMYFUNCTION("""COMPUTED_VALUE"""),5)</f>
        <v>5</v>
      </c>
      <c r="P312" s="4">
        <f ca="1">IFERROR(__xludf.DUMMYFUNCTION("""COMPUTED_VALUE"""),5)</f>
        <v>5</v>
      </c>
      <c r="Q312" s="4">
        <f ca="1">IFERROR(__xludf.DUMMYFUNCTION("""COMPUTED_VALUE"""),5)</f>
        <v>5</v>
      </c>
      <c r="R312" s="4">
        <f ca="1">IFERROR(__xludf.DUMMYFUNCTION("""COMPUTED_VALUE"""),5)</f>
        <v>5</v>
      </c>
      <c r="S312" s="4">
        <f ca="1">IFERROR(__xludf.DUMMYFUNCTION("""COMPUTED_VALUE"""),5)</f>
        <v>5</v>
      </c>
      <c r="T312" s="4">
        <f ca="1">IFERROR(__xludf.DUMMYFUNCTION("""COMPUTED_VALUE"""),5)</f>
        <v>5</v>
      </c>
      <c r="U312" s="4">
        <f ca="1">IFERROR(__xludf.DUMMYFUNCTION("""COMPUTED_VALUE"""),5)</f>
        <v>5</v>
      </c>
      <c r="V312" s="4">
        <f ca="1">IFERROR(__xludf.DUMMYFUNCTION("""COMPUTED_VALUE"""),5)</f>
        <v>5</v>
      </c>
      <c r="W312" s="4">
        <f ca="1">IFERROR(__xludf.DUMMYFUNCTION("""COMPUTED_VALUE"""),5)</f>
        <v>5</v>
      </c>
      <c r="X312" s="4">
        <f ca="1">IFERROR(__xludf.DUMMYFUNCTION("""COMPUTED_VALUE"""),5)</f>
        <v>5</v>
      </c>
      <c r="Y312" s="4">
        <f ca="1">IFERROR(__xludf.DUMMYFUNCTION("""COMPUTED_VALUE"""),5)</f>
        <v>5</v>
      </c>
      <c r="Z312" s="4">
        <f ca="1">IFERROR(__xludf.DUMMYFUNCTION("""COMPUTED_VALUE"""),5)</f>
        <v>5</v>
      </c>
      <c r="AA312" s="4">
        <f ca="1">IFERROR(__xludf.DUMMYFUNCTION("""COMPUTED_VALUE"""),5)</f>
        <v>5</v>
      </c>
      <c r="AB312" s="4">
        <f ca="1">IFERROR(__xludf.DUMMYFUNCTION("""COMPUTED_VALUE"""),5)</f>
        <v>5</v>
      </c>
      <c r="AC312" s="4">
        <f ca="1">IFERROR(__xludf.DUMMYFUNCTION("""COMPUTED_VALUE"""),5)</f>
        <v>5</v>
      </c>
      <c r="AD312" s="4">
        <f ca="1">IFERROR(__xludf.DUMMYFUNCTION("""COMPUTED_VALUE"""),5)</f>
        <v>5</v>
      </c>
      <c r="AE312" s="4">
        <f ca="1">IFERROR(__xludf.DUMMYFUNCTION("""COMPUTED_VALUE"""),5)</f>
        <v>5</v>
      </c>
      <c r="AF312" s="4">
        <f ca="1">IFERROR(__xludf.DUMMYFUNCTION("""COMPUTED_VALUE"""),5)</f>
        <v>5</v>
      </c>
      <c r="AG312" s="4">
        <f ca="1">IFERROR(__xludf.DUMMYFUNCTION("""COMPUTED_VALUE"""),5)</f>
        <v>5</v>
      </c>
      <c r="AH312" s="4">
        <f ca="1">IFERROR(__xludf.DUMMYFUNCTION("""COMPUTED_VALUE"""),5)</f>
        <v>5</v>
      </c>
      <c r="AI312" s="4">
        <f ca="1">IFERROR(__xludf.DUMMYFUNCTION("""COMPUTED_VALUE"""),5)</f>
        <v>5</v>
      </c>
      <c r="AJ312" s="4">
        <f ca="1">IFERROR(__xludf.DUMMYFUNCTION("""COMPUTED_VALUE"""),5)</f>
        <v>5</v>
      </c>
      <c r="AK312" s="4">
        <f ca="1">IFERROR(__xludf.DUMMYFUNCTION("""COMPUTED_VALUE"""),5)</f>
        <v>5</v>
      </c>
      <c r="AL312" s="4">
        <f ca="1">IFERROR(__xludf.DUMMYFUNCTION("""COMPUTED_VALUE"""),5)</f>
        <v>5</v>
      </c>
      <c r="AM312" s="4">
        <f ca="1">IFERROR(__xludf.DUMMYFUNCTION("""COMPUTED_VALUE"""),5)</f>
        <v>5</v>
      </c>
      <c r="AN312" s="4">
        <f ca="1">IFERROR(__xludf.DUMMYFUNCTION("""COMPUTED_VALUE"""),5)</f>
        <v>5</v>
      </c>
      <c r="AO312" s="4">
        <f ca="1">IFERROR(__xludf.DUMMYFUNCTION("""COMPUTED_VALUE"""),4)</f>
        <v>4</v>
      </c>
      <c r="AP312" s="4">
        <f ca="1">IFERROR(__xludf.DUMMYFUNCTION("""COMPUTED_VALUE"""),4)</f>
        <v>4</v>
      </c>
      <c r="AQ312" s="4">
        <f ca="1">IFERROR(__xludf.DUMMYFUNCTION("""COMPUTED_VALUE"""),4)</f>
        <v>4</v>
      </c>
      <c r="AR312" s="4">
        <f ca="1">IFERROR(__xludf.DUMMYFUNCTION("""COMPUTED_VALUE"""),4)</f>
        <v>4</v>
      </c>
      <c r="AS312" s="4">
        <f ca="1">IFERROR(__xludf.DUMMYFUNCTION("""COMPUTED_VALUE"""),4)</f>
        <v>4</v>
      </c>
      <c r="AT312" s="4">
        <f ca="1">IFERROR(__xludf.DUMMYFUNCTION("""COMPUTED_VALUE"""),4)</f>
        <v>4</v>
      </c>
      <c r="AU312" s="4">
        <f ca="1">IFERROR(__xludf.DUMMYFUNCTION("""COMPUTED_VALUE"""),4)</f>
        <v>4</v>
      </c>
      <c r="AV312" s="4">
        <f ca="1">IFERROR(__xludf.DUMMYFUNCTION("""COMPUTED_VALUE"""),4)</f>
        <v>4</v>
      </c>
      <c r="AW312" s="4">
        <f ca="1">IFERROR(__xludf.DUMMYFUNCTION("""COMPUTED_VALUE"""),4)</f>
        <v>4</v>
      </c>
      <c r="AX312" s="4">
        <f ca="1">IFERROR(__xludf.DUMMYFUNCTION("""COMPUTED_VALUE"""),5)</f>
        <v>5</v>
      </c>
      <c r="AY312" s="4">
        <f ca="1">IFERROR(__xludf.DUMMYFUNCTION("""COMPUTED_VALUE"""),5)</f>
        <v>5</v>
      </c>
      <c r="AZ312" s="4">
        <f ca="1">IFERROR(__xludf.DUMMYFUNCTION("""COMPUTED_VALUE"""),5)</f>
        <v>5</v>
      </c>
      <c r="BA312" s="4">
        <f ca="1">IFERROR(__xludf.DUMMYFUNCTION("""COMPUTED_VALUE"""),5)</f>
        <v>5</v>
      </c>
      <c r="BB312" s="4">
        <f ca="1">IFERROR(__xludf.DUMMYFUNCTION("""COMPUTED_VALUE"""),5)</f>
        <v>5</v>
      </c>
      <c r="BC312" s="4">
        <f ca="1">IFERROR(__xludf.DUMMYFUNCTION("""COMPUTED_VALUE"""),5)</f>
        <v>5</v>
      </c>
      <c r="BD312" s="4">
        <f ca="1">IFERROR(__xludf.DUMMYFUNCTION("""COMPUTED_VALUE"""),5)</f>
        <v>5</v>
      </c>
      <c r="BE312" s="4">
        <f ca="1">IFERROR(__xludf.DUMMYFUNCTION("""COMPUTED_VALUE"""),5)</f>
        <v>5</v>
      </c>
      <c r="BF312" s="4">
        <f ca="1">IFERROR(__xludf.DUMMYFUNCTION("""COMPUTED_VALUE"""),5)</f>
        <v>5</v>
      </c>
      <c r="BG312" s="4">
        <f ca="1">IFERROR(__xludf.DUMMYFUNCTION("""COMPUTED_VALUE"""),5)</f>
        <v>5</v>
      </c>
      <c r="BH312" s="4">
        <f ca="1">IFERROR(__xludf.DUMMYFUNCTION("""COMPUTED_VALUE"""),5)</f>
        <v>5</v>
      </c>
      <c r="BI312" s="4">
        <f ca="1">IFERROR(__xludf.DUMMYFUNCTION("""COMPUTED_VALUE"""),5)</f>
        <v>5</v>
      </c>
      <c r="BJ312" s="4">
        <f ca="1">IFERROR(__xludf.DUMMYFUNCTION("""COMPUTED_VALUE"""),5)</f>
        <v>5</v>
      </c>
      <c r="BK312" s="4">
        <f ca="1">IFERROR(__xludf.DUMMYFUNCTION("""COMPUTED_VALUE"""),5)</f>
        <v>5</v>
      </c>
      <c r="BL312" s="4">
        <f ca="1">IFERROR(__xludf.DUMMYFUNCTION("""COMPUTED_VALUE"""),5)</f>
        <v>5</v>
      </c>
      <c r="BM312" s="4">
        <f ca="1">IFERROR(__xludf.DUMMYFUNCTION("""COMPUTED_VALUE"""),5)</f>
        <v>5</v>
      </c>
      <c r="BN312" s="4">
        <f ca="1">IFERROR(__xludf.DUMMYFUNCTION("""COMPUTED_VALUE"""),5)</f>
        <v>5</v>
      </c>
      <c r="BO312" s="4">
        <f ca="1">IFERROR(__xludf.DUMMYFUNCTION("""COMPUTED_VALUE"""),5)</f>
        <v>5</v>
      </c>
      <c r="BP312" s="4">
        <f ca="1">IFERROR(__xludf.DUMMYFUNCTION("""COMPUTED_VALUE"""),5)</f>
        <v>5</v>
      </c>
    </row>
    <row r="313" spans="1:68" ht="13.2" x14ac:dyDescent="0.25">
      <c r="A313" s="4" t="str">
        <f ca="1">IFERROR(__xludf.DUMMYFUNCTION("""COMPUTED_VALUE"""),"2_ABaOnuej__WEYTq6X3aFkPBYskeEX2bjd77oZWngA_W57p5ywpov7moi7h0JUMr59w")</f>
        <v>2_ABaOnuej__WEYTq6X3aFkPBYskeEX2bjd77oZWngA_W57p5ywpov7moi7h0JUMr59w</v>
      </c>
      <c r="B313" s="5">
        <f ca="1">IFERROR(__xludf.DUMMYFUNCTION("""COMPUTED_VALUE"""),45986.529790868)</f>
        <v>45986.529790868</v>
      </c>
      <c r="C313" s="4" t="str">
        <f ca="1">IFERROR(__xludf.DUMMYFUNCTION("""COMPUTED_VALUE"""),"LÊ ANH TUẤN")</f>
        <v>LÊ ANH TUẤN</v>
      </c>
      <c r="D313" s="4" t="str">
        <f ca="1">IFERROR(__xludf.DUMMYFUNCTION("""COMPUTED_VALUE"""),"Nam")</f>
        <v>Nam</v>
      </c>
      <c r="E313" s="4" t="str">
        <f ca="1">IFERROR(__xludf.DUMMYFUNCTION("""COMPUTED_VALUE"""),"Công ty TNHH Kiểm toán U&amp;I")</f>
        <v>Công ty TNHH Kiểm toán U&amp;I</v>
      </c>
      <c r="F313" s="4" t="str">
        <f ca="1">IFERROR(__xludf.DUMMYFUNCTION("""COMPUTED_VALUE"""),"Đại học, Chứng chỉ Kiểm toán viên")</f>
        <v>Đại học, Chứng chỉ Kiểm toán viên</v>
      </c>
      <c r="G313" s="4" t="str">
        <f ca="1">IFERROR(__xludf.DUMMYFUNCTION("""COMPUTED_VALUE"""),"Trên 10 đến 15 năm")</f>
        <v>Trên 10 đến 15 năm</v>
      </c>
      <c r="H313" s="4" t="str">
        <f ca="1">IFERROR(__xludf.DUMMYFUNCTION("""COMPUTED_VALUE"""),"Kiểm toán viên/Trưởng nhóm")</f>
        <v>Kiểm toán viên/Trưởng nhóm</v>
      </c>
      <c r="I313" s="4">
        <f ca="1">IFERROR(__xludf.DUMMYFUNCTION("""COMPUTED_VALUE"""),4)</f>
        <v>4</v>
      </c>
      <c r="J313" s="4">
        <f ca="1">IFERROR(__xludf.DUMMYFUNCTION("""COMPUTED_VALUE"""),4)</f>
        <v>4</v>
      </c>
      <c r="K313" s="4">
        <f ca="1">IFERROR(__xludf.DUMMYFUNCTION("""COMPUTED_VALUE"""),5)</f>
        <v>5</v>
      </c>
      <c r="L313" s="4">
        <f ca="1">IFERROR(__xludf.DUMMYFUNCTION("""COMPUTED_VALUE"""),3)</f>
        <v>3</v>
      </c>
      <c r="M313" s="4">
        <f ca="1">IFERROR(__xludf.DUMMYFUNCTION("""COMPUTED_VALUE"""),3)</f>
        <v>3</v>
      </c>
      <c r="N313" s="4">
        <f ca="1">IFERROR(__xludf.DUMMYFUNCTION("""COMPUTED_VALUE"""),3)</f>
        <v>3</v>
      </c>
      <c r="O313" s="4">
        <f ca="1">IFERROR(__xludf.DUMMYFUNCTION("""COMPUTED_VALUE"""),3)</f>
        <v>3</v>
      </c>
      <c r="P313" s="4">
        <f ca="1">IFERROR(__xludf.DUMMYFUNCTION("""COMPUTED_VALUE"""),4)</f>
        <v>4</v>
      </c>
      <c r="Q313" s="4">
        <f ca="1">IFERROR(__xludf.DUMMYFUNCTION("""COMPUTED_VALUE"""),5)</f>
        <v>5</v>
      </c>
      <c r="R313" s="4">
        <f ca="1">IFERROR(__xludf.DUMMYFUNCTION("""COMPUTED_VALUE"""),4)</f>
        <v>4</v>
      </c>
      <c r="S313" s="4">
        <f ca="1">IFERROR(__xludf.DUMMYFUNCTION("""COMPUTED_VALUE"""),3)</f>
        <v>3</v>
      </c>
      <c r="T313" s="4">
        <f ca="1">IFERROR(__xludf.DUMMYFUNCTION("""COMPUTED_VALUE"""),4)</f>
        <v>4</v>
      </c>
      <c r="U313" s="4">
        <f ca="1">IFERROR(__xludf.DUMMYFUNCTION("""COMPUTED_VALUE"""),4)</f>
        <v>4</v>
      </c>
      <c r="V313" s="4">
        <f ca="1">IFERROR(__xludf.DUMMYFUNCTION("""COMPUTED_VALUE"""),4)</f>
        <v>4</v>
      </c>
      <c r="W313" s="4">
        <f ca="1">IFERROR(__xludf.DUMMYFUNCTION("""COMPUTED_VALUE"""),5)</f>
        <v>5</v>
      </c>
      <c r="X313" s="4">
        <f ca="1">IFERROR(__xludf.DUMMYFUNCTION("""COMPUTED_VALUE"""),4)</f>
        <v>4</v>
      </c>
      <c r="Y313" s="4">
        <f ca="1">IFERROR(__xludf.DUMMYFUNCTION("""COMPUTED_VALUE"""),2)</f>
        <v>2</v>
      </c>
      <c r="Z313" s="4">
        <f ca="1">IFERROR(__xludf.DUMMYFUNCTION("""COMPUTED_VALUE"""),2)</f>
        <v>2</v>
      </c>
      <c r="AA313" s="4">
        <f ca="1">IFERROR(__xludf.DUMMYFUNCTION("""COMPUTED_VALUE"""),4)</f>
        <v>4</v>
      </c>
      <c r="AB313" s="4">
        <f ca="1">IFERROR(__xludf.DUMMYFUNCTION("""COMPUTED_VALUE"""),4)</f>
        <v>4</v>
      </c>
      <c r="AC313" s="4">
        <f ca="1">IFERROR(__xludf.DUMMYFUNCTION("""COMPUTED_VALUE"""),4)</f>
        <v>4</v>
      </c>
      <c r="AD313" s="4">
        <f ca="1">IFERROR(__xludf.DUMMYFUNCTION("""COMPUTED_VALUE"""),2)</f>
        <v>2</v>
      </c>
      <c r="AE313" s="4">
        <f ca="1">IFERROR(__xludf.DUMMYFUNCTION("""COMPUTED_VALUE"""),4)</f>
        <v>4</v>
      </c>
      <c r="AF313" s="4">
        <f ca="1">IFERROR(__xludf.DUMMYFUNCTION("""COMPUTED_VALUE"""),4)</f>
        <v>4</v>
      </c>
      <c r="AG313" s="4">
        <f ca="1">IFERROR(__xludf.DUMMYFUNCTION("""COMPUTED_VALUE"""),5)</f>
        <v>5</v>
      </c>
      <c r="AH313" s="4">
        <f ca="1">IFERROR(__xludf.DUMMYFUNCTION("""COMPUTED_VALUE"""),5)</f>
        <v>5</v>
      </c>
      <c r="AI313" s="4">
        <f ca="1">IFERROR(__xludf.DUMMYFUNCTION("""COMPUTED_VALUE"""),5)</f>
        <v>5</v>
      </c>
      <c r="AJ313" s="4">
        <f ca="1">IFERROR(__xludf.DUMMYFUNCTION("""COMPUTED_VALUE"""),5)</f>
        <v>5</v>
      </c>
      <c r="AK313" s="4">
        <f ca="1">IFERROR(__xludf.DUMMYFUNCTION("""COMPUTED_VALUE"""),5)</f>
        <v>5</v>
      </c>
      <c r="AL313" s="4">
        <f ca="1">IFERROR(__xludf.DUMMYFUNCTION("""COMPUTED_VALUE"""),5)</f>
        <v>5</v>
      </c>
      <c r="AM313" s="4">
        <f ca="1">IFERROR(__xludf.DUMMYFUNCTION("""COMPUTED_VALUE"""),4)</f>
        <v>4</v>
      </c>
      <c r="AN313" s="4">
        <f ca="1">IFERROR(__xludf.DUMMYFUNCTION("""COMPUTED_VALUE"""),4)</f>
        <v>4</v>
      </c>
      <c r="AO313" s="4">
        <f ca="1">IFERROR(__xludf.DUMMYFUNCTION("""COMPUTED_VALUE"""),4)</f>
        <v>4</v>
      </c>
      <c r="AP313" s="4">
        <f ca="1">IFERROR(__xludf.DUMMYFUNCTION("""COMPUTED_VALUE"""),4)</f>
        <v>4</v>
      </c>
      <c r="AQ313" s="4">
        <f ca="1">IFERROR(__xludf.DUMMYFUNCTION("""COMPUTED_VALUE"""),4)</f>
        <v>4</v>
      </c>
      <c r="AR313" s="4">
        <f ca="1">IFERROR(__xludf.DUMMYFUNCTION("""COMPUTED_VALUE"""),4)</f>
        <v>4</v>
      </c>
      <c r="AS313" s="4">
        <f ca="1">IFERROR(__xludf.DUMMYFUNCTION("""COMPUTED_VALUE"""),4)</f>
        <v>4</v>
      </c>
      <c r="AT313" s="4">
        <f ca="1">IFERROR(__xludf.DUMMYFUNCTION("""COMPUTED_VALUE"""),4)</f>
        <v>4</v>
      </c>
      <c r="AU313" s="4">
        <f ca="1">IFERROR(__xludf.DUMMYFUNCTION("""COMPUTED_VALUE"""),4)</f>
        <v>4</v>
      </c>
      <c r="AV313" s="4">
        <f ca="1">IFERROR(__xludf.DUMMYFUNCTION("""COMPUTED_VALUE"""),4)</f>
        <v>4</v>
      </c>
      <c r="AW313" s="4">
        <f ca="1">IFERROR(__xludf.DUMMYFUNCTION("""COMPUTED_VALUE"""),4)</f>
        <v>4</v>
      </c>
      <c r="AX313" s="4">
        <f ca="1">IFERROR(__xludf.DUMMYFUNCTION("""COMPUTED_VALUE"""),5)</f>
        <v>5</v>
      </c>
      <c r="AY313" s="4">
        <f ca="1">IFERROR(__xludf.DUMMYFUNCTION("""COMPUTED_VALUE"""),5)</f>
        <v>5</v>
      </c>
      <c r="AZ313" s="4">
        <f ca="1">IFERROR(__xludf.DUMMYFUNCTION("""COMPUTED_VALUE"""),5)</f>
        <v>5</v>
      </c>
      <c r="BA313" s="4">
        <f ca="1">IFERROR(__xludf.DUMMYFUNCTION("""COMPUTED_VALUE"""),5)</f>
        <v>5</v>
      </c>
      <c r="BB313" s="4">
        <f ca="1">IFERROR(__xludf.DUMMYFUNCTION("""COMPUTED_VALUE"""),4)</f>
        <v>4</v>
      </c>
      <c r="BC313" s="4">
        <f ca="1">IFERROR(__xludf.DUMMYFUNCTION("""COMPUTED_VALUE"""),2)</f>
        <v>2</v>
      </c>
      <c r="BD313" s="4">
        <f ca="1">IFERROR(__xludf.DUMMYFUNCTION("""COMPUTED_VALUE"""),2)</f>
        <v>2</v>
      </c>
      <c r="BE313" s="4">
        <f ca="1">IFERROR(__xludf.DUMMYFUNCTION("""COMPUTED_VALUE"""),2)</f>
        <v>2</v>
      </c>
      <c r="BF313" s="4">
        <f ca="1">IFERROR(__xludf.DUMMYFUNCTION("""COMPUTED_VALUE"""),2)</f>
        <v>2</v>
      </c>
      <c r="BG313" s="4">
        <f ca="1">IFERROR(__xludf.DUMMYFUNCTION("""COMPUTED_VALUE"""),2)</f>
        <v>2</v>
      </c>
      <c r="BH313" s="4">
        <f ca="1">IFERROR(__xludf.DUMMYFUNCTION("""COMPUTED_VALUE"""),4)</f>
        <v>4</v>
      </c>
      <c r="BI313" s="4">
        <f ca="1">IFERROR(__xludf.DUMMYFUNCTION("""COMPUTED_VALUE"""),4)</f>
        <v>4</v>
      </c>
      <c r="BJ313" s="4">
        <f ca="1">IFERROR(__xludf.DUMMYFUNCTION("""COMPUTED_VALUE"""),5)</f>
        <v>5</v>
      </c>
      <c r="BK313" s="4">
        <f ca="1">IFERROR(__xludf.DUMMYFUNCTION("""COMPUTED_VALUE"""),4)</f>
        <v>4</v>
      </c>
      <c r="BL313" s="4">
        <f ca="1">IFERROR(__xludf.DUMMYFUNCTION("""COMPUTED_VALUE"""),4)</f>
        <v>4</v>
      </c>
      <c r="BM313" s="4">
        <f ca="1">IFERROR(__xludf.DUMMYFUNCTION("""COMPUTED_VALUE"""),4)</f>
        <v>4</v>
      </c>
      <c r="BN313" s="4">
        <f ca="1">IFERROR(__xludf.DUMMYFUNCTION("""COMPUTED_VALUE"""),4)</f>
        <v>4</v>
      </c>
      <c r="BO313" s="4">
        <f ca="1">IFERROR(__xludf.DUMMYFUNCTION("""COMPUTED_VALUE"""),4)</f>
        <v>4</v>
      </c>
      <c r="BP313" s="4">
        <f ca="1">IFERROR(__xludf.DUMMYFUNCTION("""COMPUTED_VALUE"""),3)</f>
        <v>3</v>
      </c>
    </row>
    <row r="314" spans="1:68" ht="13.2" x14ac:dyDescent="0.25">
      <c r="A314" s="4" t="str">
        <f ca="1">IFERROR(__xludf.DUMMYFUNCTION("""COMPUTED_VALUE"""),"2_ABaOnudoWzG9mvAdY-NpMGraQx3ujzc_f12oQD6R7Km6XGNKB6MeHCi6kxY79IpG7A")</f>
        <v>2_ABaOnudoWzG9mvAdY-NpMGraQx3ujzc_f12oQD6R7Km6XGNKB6MeHCi6kxY79IpG7A</v>
      </c>
      <c r="B314" s="5">
        <f ca="1">IFERROR(__xludf.DUMMYFUNCTION("""COMPUTED_VALUE"""),45986.5532794791)</f>
        <v>45986.5532794791</v>
      </c>
      <c r="C314" s="4" t="str">
        <f ca="1">IFERROR(__xludf.DUMMYFUNCTION("""COMPUTED_VALUE"""),"Kim Ngân")</f>
        <v>Kim Ngân</v>
      </c>
      <c r="D314" s="4" t="str">
        <f ca="1">IFERROR(__xludf.DUMMYFUNCTION("""COMPUTED_VALUE"""),"Nữ")</f>
        <v>Nữ</v>
      </c>
      <c r="E314" s="4" t="str">
        <f ca="1">IFERROR(__xludf.DUMMYFUNCTION("""COMPUTED_VALUE"""),"Công ty TNHH Kiểm toán Tư vấn - Đất Việt")</f>
        <v>Công ty TNHH Kiểm toán Tư vấn - Đất Việt</v>
      </c>
      <c r="F314" s="4" t="str">
        <f ca="1">IFERROR(__xludf.DUMMYFUNCTION("""COMPUTED_VALUE"""),"Đại học")</f>
        <v>Đại học</v>
      </c>
      <c r="G314" s="4" t="str">
        <f ca="1">IFERROR(__xludf.DUMMYFUNCTION("""COMPUTED_VALUE"""),"Từ 3 đến 5 năm")</f>
        <v>Từ 3 đến 5 năm</v>
      </c>
      <c r="H314" s="4" t="str">
        <f ca="1">IFERROR(__xludf.DUMMYFUNCTION("""COMPUTED_VALUE"""),"Trợ lý kiểm toán")</f>
        <v>Trợ lý kiểm toán</v>
      </c>
      <c r="I314" s="4">
        <f ca="1">IFERROR(__xludf.DUMMYFUNCTION("""COMPUTED_VALUE"""),4)</f>
        <v>4</v>
      </c>
      <c r="J314" s="4">
        <f ca="1">IFERROR(__xludf.DUMMYFUNCTION("""COMPUTED_VALUE"""),4)</f>
        <v>4</v>
      </c>
      <c r="K314" s="4">
        <f ca="1">IFERROR(__xludf.DUMMYFUNCTION("""COMPUTED_VALUE"""),4)</f>
        <v>4</v>
      </c>
      <c r="L314" s="4">
        <f ca="1">IFERROR(__xludf.DUMMYFUNCTION("""COMPUTED_VALUE"""),5)</f>
        <v>5</v>
      </c>
      <c r="M314" s="4">
        <f ca="1">IFERROR(__xludf.DUMMYFUNCTION("""COMPUTED_VALUE"""),4)</f>
        <v>4</v>
      </c>
      <c r="N314" s="4">
        <f ca="1">IFERROR(__xludf.DUMMYFUNCTION("""COMPUTED_VALUE"""),4)</f>
        <v>4</v>
      </c>
      <c r="O314" s="4">
        <f ca="1">IFERROR(__xludf.DUMMYFUNCTION("""COMPUTED_VALUE"""),5)</f>
        <v>5</v>
      </c>
      <c r="P314" s="4">
        <f ca="1">IFERROR(__xludf.DUMMYFUNCTION("""COMPUTED_VALUE"""),5)</f>
        <v>5</v>
      </c>
      <c r="Q314" s="4">
        <f ca="1">IFERROR(__xludf.DUMMYFUNCTION("""COMPUTED_VALUE"""),5)</f>
        <v>5</v>
      </c>
      <c r="R314" s="4">
        <f ca="1">IFERROR(__xludf.DUMMYFUNCTION("""COMPUTED_VALUE"""),5)</f>
        <v>5</v>
      </c>
      <c r="S314" s="4">
        <f ca="1">IFERROR(__xludf.DUMMYFUNCTION("""COMPUTED_VALUE"""),5)</f>
        <v>5</v>
      </c>
      <c r="T314" s="4">
        <f ca="1">IFERROR(__xludf.DUMMYFUNCTION("""COMPUTED_VALUE"""),5)</f>
        <v>5</v>
      </c>
      <c r="U314" s="4">
        <f ca="1">IFERROR(__xludf.DUMMYFUNCTION("""COMPUTED_VALUE"""),4)</f>
        <v>4</v>
      </c>
      <c r="V314" s="4">
        <f ca="1">IFERROR(__xludf.DUMMYFUNCTION("""COMPUTED_VALUE"""),3)</f>
        <v>3</v>
      </c>
      <c r="W314" s="4">
        <f ca="1">IFERROR(__xludf.DUMMYFUNCTION("""COMPUTED_VALUE"""),5)</f>
        <v>5</v>
      </c>
      <c r="X314" s="4">
        <f ca="1">IFERROR(__xludf.DUMMYFUNCTION("""COMPUTED_VALUE"""),5)</f>
        <v>5</v>
      </c>
      <c r="Y314" s="4">
        <f ca="1">IFERROR(__xludf.DUMMYFUNCTION("""COMPUTED_VALUE"""),3)</f>
        <v>3</v>
      </c>
      <c r="Z314" s="4">
        <f ca="1">IFERROR(__xludf.DUMMYFUNCTION("""COMPUTED_VALUE"""),1)</f>
        <v>1</v>
      </c>
      <c r="AA314" s="4">
        <f ca="1">IFERROR(__xludf.DUMMYFUNCTION("""COMPUTED_VALUE"""),5)</f>
        <v>5</v>
      </c>
      <c r="AB314" s="4">
        <f ca="1">IFERROR(__xludf.DUMMYFUNCTION("""COMPUTED_VALUE"""),3)</f>
        <v>3</v>
      </c>
      <c r="AC314" s="4">
        <f ca="1">IFERROR(__xludf.DUMMYFUNCTION("""COMPUTED_VALUE"""),2)</f>
        <v>2</v>
      </c>
      <c r="AD314" s="4">
        <f ca="1">IFERROR(__xludf.DUMMYFUNCTION("""COMPUTED_VALUE"""),1)</f>
        <v>1</v>
      </c>
      <c r="AE314" s="4">
        <f ca="1">IFERROR(__xludf.DUMMYFUNCTION("""COMPUTED_VALUE"""),5)</f>
        <v>5</v>
      </c>
      <c r="AF314" s="4">
        <f ca="1">IFERROR(__xludf.DUMMYFUNCTION("""COMPUTED_VALUE"""),4)</f>
        <v>4</v>
      </c>
      <c r="AG314" s="4">
        <f ca="1">IFERROR(__xludf.DUMMYFUNCTION("""COMPUTED_VALUE"""),3)</f>
        <v>3</v>
      </c>
      <c r="AH314" s="4">
        <f ca="1">IFERROR(__xludf.DUMMYFUNCTION("""COMPUTED_VALUE"""),2)</f>
        <v>2</v>
      </c>
      <c r="AI314" s="4">
        <f ca="1">IFERROR(__xludf.DUMMYFUNCTION("""COMPUTED_VALUE"""),2)</f>
        <v>2</v>
      </c>
      <c r="AJ314" s="4">
        <f ca="1">IFERROR(__xludf.DUMMYFUNCTION("""COMPUTED_VALUE"""),5)</f>
        <v>5</v>
      </c>
      <c r="AK314" s="4">
        <f ca="1">IFERROR(__xludf.DUMMYFUNCTION("""COMPUTED_VALUE"""),5)</f>
        <v>5</v>
      </c>
      <c r="AL314" s="4">
        <f ca="1">IFERROR(__xludf.DUMMYFUNCTION("""COMPUTED_VALUE"""),5)</f>
        <v>5</v>
      </c>
      <c r="AM314" s="4">
        <f ca="1">IFERROR(__xludf.DUMMYFUNCTION("""COMPUTED_VALUE"""),5)</f>
        <v>5</v>
      </c>
      <c r="AN314" s="4">
        <f ca="1">IFERROR(__xludf.DUMMYFUNCTION("""COMPUTED_VALUE"""),5)</f>
        <v>5</v>
      </c>
      <c r="AO314" s="4">
        <f ca="1">IFERROR(__xludf.DUMMYFUNCTION("""COMPUTED_VALUE"""),5)</f>
        <v>5</v>
      </c>
      <c r="AP314" s="4">
        <f ca="1">IFERROR(__xludf.DUMMYFUNCTION("""COMPUTED_VALUE"""),5)</f>
        <v>5</v>
      </c>
      <c r="AQ314" s="4">
        <f ca="1">IFERROR(__xludf.DUMMYFUNCTION("""COMPUTED_VALUE"""),5)</f>
        <v>5</v>
      </c>
      <c r="AR314" s="4">
        <f ca="1">IFERROR(__xludf.DUMMYFUNCTION("""COMPUTED_VALUE"""),5)</f>
        <v>5</v>
      </c>
      <c r="AS314" s="4">
        <f ca="1">IFERROR(__xludf.DUMMYFUNCTION("""COMPUTED_VALUE"""),5)</f>
        <v>5</v>
      </c>
      <c r="AT314" s="4">
        <f ca="1">IFERROR(__xludf.DUMMYFUNCTION("""COMPUTED_VALUE"""),5)</f>
        <v>5</v>
      </c>
      <c r="AU314" s="4">
        <f ca="1">IFERROR(__xludf.DUMMYFUNCTION("""COMPUTED_VALUE"""),5)</f>
        <v>5</v>
      </c>
      <c r="AV314" s="4">
        <f ca="1">IFERROR(__xludf.DUMMYFUNCTION("""COMPUTED_VALUE"""),5)</f>
        <v>5</v>
      </c>
      <c r="AW314" s="4">
        <f ca="1">IFERROR(__xludf.DUMMYFUNCTION("""COMPUTED_VALUE"""),5)</f>
        <v>5</v>
      </c>
      <c r="AX314" s="4">
        <f ca="1">IFERROR(__xludf.DUMMYFUNCTION("""COMPUTED_VALUE"""),5)</f>
        <v>5</v>
      </c>
      <c r="AY314" s="4">
        <f ca="1">IFERROR(__xludf.DUMMYFUNCTION("""COMPUTED_VALUE"""),5)</f>
        <v>5</v>
      </c>
      <c r="AZ314" s="4">
        <f ca="1">IFERROR(__xludf.DUMMYFUNCTION("""COMPUTED_VALUE"""),5)</f>
        <v>5</v>
      </c>
      <c r="BA314" s="4">
        <f ca="1">IFERROR(__xludf.DUMMYFUNCTION("""COMPUTED_VALUE"""),5)</f>
        <v>5</v>
      </c>
      <c r="BB314" s="4">
        <f ca="1">IFERROR(__xludf.DUMMYFUNCTION("""COMPUTED_VALUE"""),3)</f>
        <v>3</v>
      </c>
      <c r="BC314" s="4">
        <f ca="1">IFERROR(__xludf.DUMMYFUNCTION("""COMPUTED_VALUE"""),3)</f>
        <v>3</v>
      </c>
      <c r="BD314" s="4">
        <f ca="1">IFERROR(__xludf.DUMMYFUNCTION("""COMPUTED_VALUE"""),4)</f>
        <v>4</v>
      </c>
      <c r="BE314" s="4">
        <f ca="1">IFERROR(__xludf.DUMMYFUNCTION("""COMPUTED_VALUE"""),4)</f>
        <v>4</v>
      </c>
      <c r="BF314" s="4">
        <f ca="1">IFERROR(__xludf.DUMMYFUNCTION("""COMPUTED_VALUE"""),4)</f>
        <v>4</v>
      </c>
      <c r="BG314" s="4">
        <f ca="1">IFERROR(__xludf.DUMMYFUNCTION("""COMPUTED_VALUE"""),4)</f>
        <v>4</v>
      </c>
      <c r="BH314" s="4">
        <f ca="1">IFERROR(__xludf.DUMMYFUNCTION("""COMPUTED_VALUE"""),5)</f>
        <v>5</v>
      </c>
      <c r="BI314" s="4">
        <f ca="1">IFERROR(__xludf.DUMMYFUNCTION("""COMPUTED_VALUE"""),5)</f>
        <v>5</v>
      </c>
      <c r="BJ314" s="4">
        <f ca="1">IFERROR(__xludf.DUMMYFUNCTION("""COMPUTED_VALUE"""),5)</f>
        <v>5</v>
      </c>
      <c r="BK314" s="4">
        <f ca="1">IFERROR(__xludf.DUMMYFUNCTION("""COMPUTED_VALUE"""),5)</f>
        <v>5</v>
      </c>
      <c r="BL314" s="4">
        <f ca="1">IFERROR(__xludf.DUMMYFUNCTION("""COMPUTED_VALUE"""),5)</f>
        <v>5</v>
      </c>
      <c r="BM314" s="4">
        <f ca="1">IFERROR(__xludf.DUMMYFUNCTION("""COMPUTED_VALUE"""),5)</f>
        <v>5</v>
      </c>
      <c r="BN314" s="4">
        <f ca="1">IFERROR(__xludf.DUMMYFUNCTION("""COMPUTED_VALUE"""),5)</f>
        <v>5</v>
      </c>
      <c r="BO314" s="4">
        <f ca="1">IFERROR(__xludf.DUMMYFUNCTION("""COMPUTED_VALUE"""),5)</f>
        <v>5</v>
      </c>
      <c r="BP314" s="4">
        <f ca="1">IFERROR(__xludf.DUMMYFUNCTION("""COMPUTED_VALUE"""),5)</f>
        <v>5</v>
      </c>
    </row>
    <row r="315" spans="1:68" ht="13.2" x14ac:dyDescent="0.25">
      <c r="A315" s="4" t="str">
        <f ca="1">IFERROR(__xludf.DUMMYFUNCTION("""COMPUTED_VALUE"""),"2_ABaOnucg9jZ80v_phyVMVyDmO3CI5NOFIsgu24-5q7YCTjdAEs10HkoYzsKmLqzdMw")</f>
        <v>2_ABaOnucg9jZ80v_phyVMVyDmO3CI5NOFIsgu24-5q7YCTjdAEs10HkoYzsKmLqzdMw</v>
      </c>
      <c r="B315" s="5">
        <f ca="1">IFERROR(__xludf.DUMMYFUNCTION("""COMPUTED_VALUE"""),45986.5556068055)</f>
        <v>45986.555606805501</v>
      </c>
      <c r="C315" s="4" t="str">
        <f ca="1">IFERROR(__xludf.DUMMYFUNCTION("""COMPUTED_VALUE"""),"Nguyễn Nam Anh")</f>
        <v>Nguyễn Nam Anh</v>
      </c>
      <c r="D315" s="4" t="str">
        <f ca="1">IFERROR(__xludf.DUMMYFUNCTION("""COMPUTED_VALUE"""),"Nam")</f>
        <v>Nam</v>
      </c>
      <c r="E315" s="4" t="str">
        <f ca="1">IFERROR(__xludf.DUMMYFUNCTION("""COMPUTED_VALUE"""),"Công ty TNHH Kiểm toán - Tư vấn Đất Việt")</f>
        <v>Công ty TNHH Kiểm toán - Tư vấn Đất Việt</v>
      </c>
      <c r="F315" s="4" t="str">
        <f ca="1">IFERROR(__xludf.DUMMYFUNCTION("""COMPUTED_VALUE"""),"Đại học, Chứng chỉ Kiểm toán viên")</f>
        <v>Đại học, Chứng chỉ Kiểm toán viên</v>
      </c>
      <c r="G315" s="4" t="str">
        <f ca="1">IFERROR(__xludf.DUMMYFUNCTION("""COMPUTED_VALUE"""),"Trên 10 đến 15 năm")</f>
        <v>Trên 10 đến 15 năm</v>
      </c>
      <c r="H315" s="4" t="str">
        <f ca="1">IFERROR(__xludf.DUMMYFUNCTION("""COMPUTED_VALUE"""),"Kiểm toán viên/Trưởng nhóm")</f>
        <v>Kiểm toán viên/Trưởng nhóm</v>
      </c>
      <c r="I315" s="4">
        <f ca="1">IFERROR(__xludf.DUMMYFUNCTION("""COMPUTED_VALUE"""),5)</f>
        <v>5</v>
      </c>
      <c r="J315" s="4">
        <f ca="1">IFERROR(__xludf.DUMMYFUNCTION("""COMPUTED_VALUE"""),5)</f>
        <v>5</v>
      </c>
      <c r="K315" s="4">
        <f ca="1">IFERROR(__xludf.DUMMYFUNCTION("""COMPUTED_VALUE"""),5)</f>
        <v>5</v>
      </c>
      <c r="L315" s="4">
        <f ca="1">IFERROR(__xludf.DUMMYFUNCTION("""COMPUTED_VALUE"""),4)</f>
        <v>4</v>
      </c>
      <c r="M315" s="4">
        <f ca="1">IFERROR(__xludf.DUMMYFUNCTION("""COMPUTED_VALUE"""),5)</f>
        <v>5</v>
      </c>
      <c r="N315" s="4">
        <f ca="1">IFERROR(__xludf.DUMMYFUNCTION("""COMPUTED_VALUE"""),2)</f>
        <v>2</v>
      </c>
      <c r="O315" s="4">
        <f ca="1">IFERROR(__xludf.DUMMYFUNCTION("""COMPUTED_VALUE"""),4)</f>
        <v>4</v>
      </c>
      <c r="P315" s="4">
        <f ca="1">IFERROR(__xludf.DUMMYFUNCTION("""COMPUTED_VALUE"""),3)</f>
        <v>3</v>
      </c>
      <c r="Q315" s="4">
        <f ca="1">IFERROR(__xludf.DUMMYFUNCTION("""COMPUTED_VALUE"""),5)</f>
        <v>5</v>
      </c>
      <c r="R315" s="4">
        <f ca="1">IFERROR(__xludf.DUMMYFUNCTION("""COMPUTED_VALUE"""),5)</f>
        <v>5</v>
      </c>
      <c r="S315" s="4">
        <f ca="1">IFERROR(__xludf.DUMMYFUNCTION("""COMPUTED_VALUE"""),5)</f>
        <v>5</v>
      </c>
      <c r="T315" s="4">
        <f ca="1">IFERROR(__xludf.DUMMYFUNCTION("""COMPUTED_VALUE"""),5)</f>
        <v>5</v>
      </c>
      <c r="U315" s="4">
        <f ca="1">IFERROR(__xludf.DUMMYFUNCTION("""COMPUTED_VALUE"""),5)</f>
        <v>5</v>
      </c>
      <c r="V315" s="4">
        <f ca="1">IFERROR(__xludf.DUMMYFUNCTION("""COMPUTED_VALUE"""),5)</f>
        <v>5</v>
      </c>
      <c r="W315" s="4">
        <f ca="1">IFERROR(__xludf.DUMMYFUNCTION("""COMPUTED_VALUE"""),4)</f>
        <v>4</v>
      </c>
      <c r="X315" s="4">
        <f ca="1">IFERROR(__xludf.DUMMYFUNCTION("""COMPUTED_VALUE"""),4)</f>
        <v>4</v>
      </c>
      <c r="Y315" s="4">
        <f ca="1">IFERROR(__xludf.DUMMYFUNCTION("""COMPUTED_VALUE"""),4)</f>
        <v>4</v>
      </c>
      <c r="Z315" s="4">
        <f ca="1">IFERROR(__xludf.DUMMYFUNCTION("""COMPUTED_VALUE"""),4)</f>
        <v>4</v>
      </c>
      <c r="AA315" s="4">
        <f ca="1">IFERROR(__xludf.DUMMYFUNCTION("""COMPUTED_VALUE"""),4)</f>
        <v>4</v>
      </c>
      <c r="AB315" s="4">
        <f ca="1">IFERROR(__xludf.DUMMYFUNCTION("""COMPUTED_VALUE"""),4)</f>
        <v>4</v>
      </c>
      <c r="AC315" s="4">
        <f ca="1">IFERROR(__xludf.DUMMYFUNCTION("""COMPUTED_VALUE"""),4)</f>
        <v>4</v>
      </c>
      <c r="AD315" s="4">
        <f ca="1">IFERROR(__xludf.DUMMYFUNCTION("""COMPUTED_VALUE"""),3)</f>
        <v>3</v>
      </c>
      <c r="AE315" s="4">
        <f ca="1">IFERROR(__xludf.DUMMYFUNCTION("""COMPUTED_VALUE"""),5)</f>
        <v>5</v>
      </c>
      <c r="AF315" s="4">
        <f ca="1">IFERROR(__xludf.DUMMYFUNCTION("""COMPUTED_VALUE"""),3)</f>
        <v>3</v>
      </c>
      <c r="AG315" s="4">
        <f ca="1">IFERROR(__xludf.DUMMYFUNCTION("""COMPUTED_VALUE"""),4)</f>
        <v>4</v>
      </c>
      <c r="AH315" s="4">
        <f ca="1">IFERROR(__xludf.DUMMYFUNCTION("""COMPUTED_VALUE"""),4)</f>
        <v>4</v>
      </c>
      <c r="AI315" s="4">
        <f ca="1">IFERROR(__xludf.DUMMYFUNCTION("""COMPUTED_VALUE"""),3)</f>
        <v>3</v>
      </c>
      <c r="AJ315" s="4">
        <f ca="1">IFERROR(__xludf.DUMMYFUNCTION("""COMPUTED_VALUE"""),5)</f>
        <v>5</v>
      </c>
      <c r="AK315" s="4">
        <f ca="1">IFERROR(__xludf.DUMMYFUNCTION("""COMPUTED_VALUE"""),5)</f>
        <v>5</v>
      </c>
      <c r="AL315" s="4">
        <f ca="1">IFERROR(__xludf.DUMMYFUNCTION("""COMPUTED_VALUE"""),5)</f>
        <v>5</v>
      </c>
      <c r="AM315" s="4">
        <f ca="1">IFERROR(__xludf.DUMMYFUNCTION("""COMPUTED_VALUE"""),5)</f>
        <v>5</v>
      </c>
      <c r="AN315" s="4">
        <f ca="1">IFERROR(__xludf.DUMMYFUNCTION("""COMPUTED_VALUE"""),5)</f>
        <v>5</v>
      </c>
      <c r="AO315" s="4">
        <f ca="1">IFERROR(__xludf.DUMMYFUNCTION("""COMPUTED_VALUE"""),4)</f>
        <v>4</v>
      </c>
      <c r="AP315" s="4">
        <f ca="1">IFERROR(__xludf.DUMMYFUNCTION("""COMPUTED_VALUE"""),4)</f>
        <v>4</v>
      </c>
      <c r="AQ315" s="4">
        <f ca="1">IFERROR(__xludf.DUMMYFUNCTION("""COMPUTED_VALUE"""),4)</f>
        <v>4</v>
      </c>
      <c r="AR315" s="4">
        <f ca="1">IFERROR(__xludf.DUMMYFUNCTION("""COMPUTED_VALUE"""),4)</f>
        <v>4</v>
      </c>
      <c r="AS315" s="4">
        <f ca="1">IFERROR(__xludf.DUMMYFUNCTION("""COMPUTED_VALUE"""),4)</f>
        <v>4</v>
      </c>
      <c r="AT315" s="4">
        <f ca="1">IFERROR(__xludf.DUMMYFUNCTION("""COMPUTED_VALUE"""),4)</f>
        <v>4</v>
      </c>
      <c r="AU315" s="4">
        <f ca="1">IFERROR(__xludf.DUMMYFUNCTION("""COMPUTED_VALUE"""),4)</f>
        <v>4</v>
      </c>
      <c r="AV315" s="4">
        <f ca="1">IFERROR(__xludf.DUMMYFUNCTION("""COMPUTED_VALUE"""),4)</f>
        <v>4</v>
      </c>
      <c r="AW315" s="4">
        <f ca="1">IFERROR(__xludf.DUMMYFUNCTION("""COMPUTED_VALUE"""),4)</f>
        <v>4</v>
      </c>
      <c r="AX315" s="4">
        <f ca="1">IFERROR(__xludf.DUMMYFUNCTION("""COMPUTED_VALUE"""),5)</f>
        <v>5</v>
      </c>
      <c r="AY315" s="4">
        <f ca="1">IFERROR(__xludf.DUMMYFUNCTION("""COMPUTED_VALUE"""),5)</f>
        <v>5</v>
      </c>
      <c r="AZ315" s="4">
        <f ca="1">IFERROR(__xludf.DUMMYFUNCTION("""COMPUTED_VALUE"""),5)</f>
        <v>5</v>
      </c>
      <c r="BA315" s="4">
        <f ca="1">IFERROR(__xludf.DUMMYFUNCTION("""COMPUTED_VALUE"""),5)</f>
        <v>5</v>
      </c>
      <c r="BB315" s="4">
        <f ca="1">IFERROR(__xludf.DUMMYFUNCTION("""COMPUTED_VALUE"""),4)</f>
        <v>4</v>
      </c>
      <c r="BC315" s="4">
        <f ca="1">IFERROR(__xludf.DUMMYFUNCTION("""COMPUTED_VALUE"""),4)</f>
        <v>4</v>
      </c>
      <c r="BD315" s="4">
        <f ca="1">IFERROR(__xludf.DUMMYFUNCTION("""COMPUTED_VALUE"""),3)</f>
        <v>3</v>
      </c>
      <c r="BE315" s="4">
        <f ca="1">IFERROR(__xludf.DUMMYFUNCTION("""COMPUTED_VALUE"""),4)</f>
        <v>4</v>
      </c>
      <c r="BF315" s="4">
        <f ca="1">IFERROR(__xludf.DUMMYFUNCTION("""COMPUTED_VALUE"""),4)</f>
        <v>4</v>
      </c>
      <c r="BG315" s="4">
        <f ca="1">IFERROR(__xludf.DUMMYFUNCTION("""COMPUTED_VALUE"""),4)</f>
        <v>4</v>
      </c>
      <c r="BH315" s="4">
        <f ca="1">IFERROR(__xludf.DUMMYFUNCTION("""COMPUTED_VALUE"""),4)</f>
        <v>4</v>
      </c>
      <c r="BI315" s="4">
        <f ca="1">IFERROR(__xludf.DUMMYFUNCTION("""COMPUTED_VALUE"""),4)</f>
        <v>4</v>
      </c>
      <c r="BJ315" s="4">
        <f ca="1">IFERROR(__xludf.DUMMYFUNCTION("""COMPUTED_VALUE"""),4)</f>
        <v>4</v>
      </c>
      <c r="BK315" s="4">
        <f ca="1">IFERROR(__xludf.DUMMYFUNCTION("""COMPUTED_VALUE"""),5)</f>
        <v>5</v>
      </c>
      <c r="BL315" s="4">
        <f ca="1">IFERROR(__xludf.DUMMYFUNCTION("""COMPUTED_VALUE"""),5)</f>
        <v>5</v>
      </c>
      <c r="BM315" s="4">
        <f ca="1">IFERROR(__xludf.DUMMYFUNCTION("""COMPUTED_VALUE"""),5)</f>
        <v>5</v>
      </c>
      <c r="BN315" s="4">
        <f ca="1">IFERROR(__xludf.DUMMYFUNCTION("""COMPUTED_VALUE"""),5)</f>
        <v>5</v>
      </c>
      <c r="BO315" s="4">
        <f ca="1">IFERROR(__xludf.DUMMYFUNCTION("""COMPUTED_VALUE"""),5)</f>
        <v>5</v>
      </c>
      <c r="BP315" s="4">
        <f ca="1">IFERROR(__xludf.DUMMYFUNCTION("""COMPUTED_VALUE"""),5)</f>
        <v>5</v>
      </c>
    </row>
    <row r="316" spans="1:68" ht="13.2" x14ac:dyDescent="0.25">
      <c r="A316" s="4" t="str">
        <f ca="1">IFERROR(__xludf.DUMMYFUNCTION("""COMPUTED_VALUE"""),"2_ABaOnucZELGJePmkYzAg6u6jBV7jgq5acu9xnS1D0DJ2vwrWPd80C9QuCrJPGa6LsQ")</f>
        <v>2_ABaOnucZELGJePmkYzAg6u6jBV7jgq5acu9xnS1D0DJ2vwrWPd80C9QuCrJPGa6LsQ</v>
      </c>
      <c r="B316" s="5">
        <f ca="1">IFERROR(__xludf.DUMMYFUNCTION("""COMPUTED_VALUE"""),45986.5558587962)</f>
        <v>45986.5558587962</v>
      </c>
      <c r="C316" s="4" t="str">
        <f ca="1">IFERROR(__xludf.DUMMYFUNCTION("""COMPUTED_VALUE"""),"LÊ THỊ BÍCH NGỌC")</f>
        <v>LÊ THỊ BÍCH NGỌC</v>
      </c>
      <c r="D316" s="4" t="str">
        <f ca="1">IFERROR(__xludf.DUMMYFUNCTION("""COMPUTED_VALUE"""),"Nữ")</f>
        <v>Nữ</v>
      </c>
      <c r="E316" s="4" t="str">
        <f ca="1">IFERROR(__xludf.DUMMYFUNCTION("""COMPUTED_VALUE"""),"CÔNG TY TNHH KIỂM TOÁN - TƯ VẤN ĐẤT VIỆT")</f>
        <v>CÔNG TY TNHH KIỂM TOÁN - TƯ VẤN ĐẤT VIỆT</v>
      </c>
      <c r="F316" s="4" t="str">
        <f ca="1">IFERROR(__xludf.DUMMYFUNCTION("""COMPUTED_VALUE"""),"Đại học, Chứng chỉ Kiểm toán viên")</f>
        <v>Đại học, Chứng chỉ Kiểm toán viên</v>
      </c>
      <c r="G316" s="4" t="str">
        <f ca="1">IFERROR(__xludf.DUMMYFUNCTION("""COMPUTED_VALUE"""),"Trên 20 năm")</f>
        <v>Trên 20 năm</v>
      </c>
      <c r="H316" s="4" t="str">
        <f ca="1">IFERROR(__xludf.DUMMYFUNCTION("""COMPUTED_VALUE"""),"Kiểm toán viên/Trưởng nhóm")</f>
        <v>Kiểm toán viên/Trưởng nhóm</v>
      </c>
      <c r="I316" s="4">
        <f ca="1">IFERROR(__xludf.DUMMYFUNCTION("""COMPUTED_VALUE"""),5)</f>
        <v>5</v>
      </c>
      <c r="J316" s="4">
        <f ca="1">IFERROR(__xludf.DUMMYFUNCTION("""COMPUTED_VALUE"""),5)</f>
        <v>5</v>
      </c>
      <c r="K316" s="4">
        <f ca="1">IFERROR(__xludf.DUMMYFUNCTION("""COMPUTED_VALUE"""),5)</f>
        <v>5</v>
      </c>
      <c r="L316" s="4">
        <f ca="1">IFERROR(__xludf.DUMMYFUNCTION("""COMPUTED_VALUE"""),5)</f>
        <v>5</v>
      </c>
      <c r="M316" s="4">
        <f ca="1">IFERROR(__xludf.DUMMYFUNCTION("""COMPUTED_VALUE"""),5)</f>
        <v>5</v>
      </c>
      <c r="N316" s="4">
        <f ca="1">IFERROR(__xludf.DUMMYFUNCTION("""COMPUTED_VALUE"""),3)</f>
        <v>3</v>
      </c>
      <c r="O316" s="4">
        <f ca="1">IFERROR(__xludf.DUMMYFUNCTION("""COMPUTED_VALUE"""),3)</f>
        <v>3</v>
      </c>
      <c r="P316" s="4">
        <f ca="1">IFERROR(__xludf.DUMMYFUNCTION("""COMPUTED_VALUE"""),5)</f>
        <v>5</v>
      </c>
      <c r="Q316" s="4">
        <f ca="1">IFERROR(__xludf.DUMMYFUNCTION("""COMPUTED_VALUE"""),5)</f>
        <v>5</v>
      </c>
      <c r="R316" s="4">
        <f ca="1">IFERROR(__xludf.DUMMYFUNCTION("""COMPUTED_VALUE"""),5)</f>
        <v>5</v>
      </c>
      <c r="S316" s="4">
        <f ca="1">IFERROR(__xludf.DUMMYFUNCTION("""COMPUTED_VALUE"""),5)</f>
        <v>5</v>
      </c>
      <c r="T316" s="4">
        <f ca="1">IFERROR(__xludf.DUMMYFUNCTION("""COMPUTED_VALUE"""),5)</f>
        <v>5</v>
      </c>
      <c r="U316" s="4">
        <f ca="1">IFERROR(__xludf.DUMMYFUNCTION("""COMPUTED_VALUE"""),5)</f>
        <v>5</v>
      </c>
      <c r="V316" s="4">
        <f ca="1">IFERROR(__xludf.DUMMYFUNCTION("""COMPUTED_VALUE"""),5)</f>
        <v>5</v>
      </c>
      <c r="W316" s="4">
        <f ca="1">IFERROR(__xludf.DUMMYFUNCTION("""COMPUTED_VALUE"""),3)</f>
        <v>3</v>
      </c>
      <c r="X316" s="4">
        <f ca="1">IFERROR(__xludf.DUMMYFUNCTION("""COMPUTED_VALUE"""),3)</f>
        <v>3</v>
      </c>
      <c r="Y316" s="4">
        <f ca="1">IFERROR(__xludf.DUMMYFUNCTION("""COMPUTED_VALUE"""),5)</f>
        <v>5</v>
      </c>
      <c r="Z316" s="4">
        <f ca="1">IFERROR(__xludf.DUMMYFUNCTION("""COMPUTED_VALUE"""),5)</f>
        <v>5</v>
      </c>
      <c r="AA316" s="4">
        <f ca="1">IFERROR(__xludf.DUMMYFUNCTION("""COMPUTED_VALUE"""),5)</f>
        <v>5</v>
      </c>
      <c r="AB316" s="4">
        <f ca="1">IFERROR(__xludf.DUMMYFUNCTION("""COMPUTED_VALUE"""),5)</f>
        <v>5</v>
      </c>
      <c r="AC316" s="4">
        <f ca="1">IFERROR(__xludf.DUMMYFUNCTION("""COMPUTED_VALUE"""),5)</f>
        <v>5</v>
      </c>
      <c r="AD316" s="4">
        <f ca="1">IFERROR(__xludf.DUMMYFUNCTION("""COMPUTED_VALUE"""),3)</f>
        <v>3</v>
      </c>
      <c r="AE316" s="4">
        <f ca="1">IFERROR(__xludf.DUMMYFUNCTION("""COMPUTED_VALUE"""),5)</f>
        <v>5</v>
      </c>
      <c r="AF316" s="4">
        <f ca="1">IFERROR(__xludf.DUMMYFUNCTION("""COMPUTED_VALUE"""),5)</f>
        <v>5</v>
      </c>
      <c r="AG316" s="4">
        <f ca="1">IFERROR(__xludf.DUMMYFUNCTION("""COMPUTED_VALUE"""),5)</f>
        <v>5</v>
      </c>
      <c r="AH316" s="4">
        <f ca="1">IFERROR(__xludf.DUMMYFUNCTION("""COMPUTED_VALUE"""),5)</f>
        <v>5</v>
      </c>
      <c r="AI316" s="4">
        <f ca="1">IFERROR(__xludf.DUMMYFUNCTION("""COMPUTED_VALUE"""),5)</f>
        <v>5</v>
      </c>
      <c r="AJ316" s="4">
        <f ca="1">IFERROR(__xludf.DUMMYFUNCTION("""COMPUTED_VALUE"""),3)</f>
        <v>3</v>
      </c>
      <c r="AK316" s="4">
        <f ca="1">IFERROR(__xludf.DUMMYFUNCTION("""COMPUTED_VALUE"""),5)</f>
        <v>5</v>
      </c>
      <c r="AL316" s="4">
        <f ca="1">IFERROR(__xludf.DUMMYFUNCTION("""COMPUTED_VALUE"""),5)</f>
        <v>5</v>
      </c>
      <c r="AM316" s="4">
        <f ca="1">IFERROR(__xludf.DUMMYFUNCTION("""COMPUTED_VALUE"""),5)</f>
        <v>5</v>
      </c>
      <c r="AN316" s="4">
        <f ca="1">IFERROR(__xludf.DUMMYFUNCTION("""COMPUTED_VALUE"""),3)</f>
        <v>3</v>
      </c>
      <c r="AO316" s="4">
        <f ca="1">IFERROR(__xludf.DUMMYFUNCTION("""COMPUTED_VALUE"""),3)</f>
        <v>3</v>
      </c>
      <c r="AP316" s="4">
        <f ca="1">IFERROR(__xludf.DUMMYFUNCTION("""COMPUTED_VALUE"""),3)</f>
        <v>3</v>
      </c>
      <c r="AQ316" s="4">
        <f ca="1">IFERROR(__xludf.DUMMYFUNCTION("""COMPUTED_VALUE"""),4)</f>
        <v>4</v>
      </c>
      <c r="AR316" s="4">
        <f ca="1">IFERROR(__xludf.DUMMYFUNCTION("""COMPUTED_VALUE"""),5)</f>
        <v>5</v>
      </c>
      <c r="AS316" s="4">
        <f ca="1">IFERROR(__xludf.DUMMYFUNCTION("""COMPUTED_VALUE"""),5)</f>
        <v>5</v>
      </c>
      <c r="AT316" s="4">
        <f ca="1">IFERROR(__xludf.DUMMYFUNCTION("""COMPUTED_VALUE"""),5)</f>
        <v>5</v>
      </c>
      <c r="AU316" s="4">
        <f ca="1">IFERROR(__xludf.DUMMYFUNCTION("""COMPUTED_VALUE"""),5)</f>
        <v>5</v>
      </c>
      <c r="AV316" s="4">
        <f ca="1">IFERROR(__xludf.DUMMYFUNCTION("""COMPUTED_VALUE"""),5)</f>
        <v>5</v>
      </c>
      <c r="AW316" s="4">
        <f ca="1">IFERROR(__xludf.DUMMYFUNCTION("""COMPUTED_VALUE"""),5)</f>
        <v>5</v>
      </c>
      <c r="AX316" s="4">
        <f ca="1">IFERROR(__xludf.DUMMYFUNCTION("""COMPUTED_VALUE"""),5)</f>
        <v>5</v>
      </c>
      <c r="AY316" s="4">
        <f ca="1">IFERROR(__xludf.DUMMYFUNCTION("""COMPUTED_VALUE"""),5)</f>
        <v>5</v>
      </c>
      <c r="AZ316" s="4">
        <f ca="1">IFERROR(__xludf.DUMMYFUNCTION("""COMPUTED_VALUE"""),5)</f>
        <v>5</v>
      </c>
      <c r="BA316" s="4">
        <f ca="1">IFERROR(__xludf.DUMMYFUNCTION("""COMPUTED_VALUE"""),5)</f>
        <v>5</v>
      </c>
      <c r="BB316" s="4">
        <f ca="1">IFERROR(__xludf.DUMMYFUNCTION("""COMPUTED_VALUE"""),5)</f>
        <v>5</v>
      </c>
      <c r="BC316" s="4">
        <f ca="1">IFERROR(__xludf.DUMMYFUNCTION("""COMPUTED_VALUE"""),5)</f>
        <v>5</v>
      </c>
      <c r="BD316" s="4">
        <f ca="1">IFERROR(__xludf.DUMMYFUNCTION("""COMPUTED_VALUE"""),5)</f>
        <v>5</v>
      </c>
      <c r="BE316" s="4">
        <f ca="1">IFERROR(__xludf.DUMMYFUNCTION("""COMPUTED_VALUE"""),4)</f>
        <v>4</v>
      </c>
      <c r="BF316" s="4">
        <f ca="1">IFERROR(__xludf.DUMMYFUNCTION("""COMPUTED_VALUE"""),3)</f>
        <v>3</v>
      </c>
      <c r="BG316" s="4">
        <f ca="1">IFERROR(__xludf.DUMMYFUNCTION("""COMPUTED_VALUE"""),3)</f>
        <v>3</v>
      </c>
      <c r="BH316" s="4">
        <f ca="1">IFERROR(__xludf.DUMMYFUNCTION("""COMPUTED_VALUE"""),5)</f>
        <v>5</v>
      </c>
      <c r="BI316" s="4">
        <f ca="1">IFERROR(__xludf.DUMMYFUNCTION("""COMPUTED_VALUE"""),5)</f>
        <v>5</v>
      </c>
      <c r="BJ316" s="4">
        <f ca="1">IFERROR(__xludf.DUMMYFUNCTION("""COMPUTED_VALUE"""),5)</f>
        <v>5</v>
      </c>
      <c r="BK316" s="4">
        <f ca="1">IFERROR(__xludf.DUMMYFUNCTION("""COMPUTED_VALUE"""),5)</f>
        <v>5</v>
      </c>
      <c r="BL316" s="4">
        <f ca="1">IFERROR(__xludf.DUMMYFUNCTION("""COMPUTED_VALUE"""),5)</f>
        <v>5</v>
      </c>
      <c r="BM316" s="4">
        <f ca="1">IFERROR(__xludf.DUMMYFUNCTION("""COMPUTED_VALUE"""),5)</f>
        <v>5</v>
      </c>
      <c r="BN316" s="4">
        <f ca="1">IFERROR(__xludf.DUMMYFUNCTION("""COMPUTED_VALUE"""),5)</f>
        <v>5</v>
      </c>
      <c r="BO316" s="4">
        <f ca="1">IFERROR(__xludf.DUMMYFUNCTION("""COMPUTED_VALUE"""),5)</f>
        <v>5</v>
      </c>
      <c r="BP316" s="4">
        <f ca="1">IFERROR(__xludf.DUMMYFUNCTION("""COMPUTED_VALUE"""),5)</f>
        <v>5</v>
      </c>
    </row>
    <row r="317" spans="1:68" ht="13.2" x14ac:dyDescent="0.25">
      <c r="A317" s="4" t="str">
        <f ca="1">IFERROR(__xludf.DUMMYFUNCTION("""COMPUTED_VALUE"""),"2_ABaOnueFiPfp85S9OlAkhbT4CTj33u8aj8r1SaHOrOqZ0IGJUhY0Nb-eEP7dLJvzkw")</f>
        <v>2_ABaOnueFiPfp85S9OlAkhbT4CTj33u8aj8r1SaHOrOqZ0IGJUhY0Nb-eEP7dLJvzkw</v>
      </c>
      <c r="B317" s="5">
        <f ca="1">IFERROR(__xludf.DUMMYFUNCTION("""COMPUTED_VALUE"""),45986.5616986805)</f>
        <v>45986.561698680503</v>
      </c>
      <c r="C317" s="4" t="str">
        <f ca="1">IFERROR(__xludf.DUMMYFUNCTION("""COMPUTED_VALUE"""),"Phạm Hà Vy")</f>
        <v>Phạm Hà Vy</v>
      </c>
      <c r="D317" s="4" t="str">
        <f ca="1">IFERROR(__xludf.DUMMYFUNCTION("""COMPUTED_VALUE"""),"Nữ")</f>
        <v>Nữ</v>
      </c>
      <c r="E317" s="4" t="str">
        <f ca="1">IFERROR(__xludf.DUMMYFUNCTION("""COMPUTED_VALUE"""),"Công ty TNHH Kiểm toán U&amp;I")</f>
        <v>Công ty TNHH Kiểm toán U&amp;I</v>
      </c>
      <c r="F317" s="4" t="str">
        <f ca="1">IFERROR(__xludf.DUMMYFUNCTION("""COMPUTED_VALUE"""),"Đại học")</f>
        <v>Đại học</v>
      </c>
      <c r="G317" s="4" t="str">
        <f ca="1">IFERROR(__xludf.DUMMYFUNCTION("""COMPUTED_VALUE"""),"Từ 3 đến 5 năm")</f>
        <v>Từ 3 đến 5 năm</v>
      </c>
      <c r="H317" s="4" t="str">
        <f ca="1">IFERROR(__xludf.DUMMYFUNCTION("""COMPUTED_VALUE"""),"Trợ lý kiểm toán")</f>
        <v>Trợ lý kiểm toán</v>
      </c>
      <c r="I317" s="4">
        <f ca="1">IFERROR(__xludf.DUMMYFUNCTION("""COMPUTED_VALUE"""),5)</f>
        <v>5</v>
      </c>
      <c r="J317" s="4">
        <f ca="1">IFERROR(__xludf.DUMMYFUNCTION("""COMPUTED_VALUE"""),4)</f>
        <v>4</v>
      </c>
      <c r="K317" s="4">
        <f ca="1">IFERROR(__xludf.DUMMYFUNCTION("""COMPUTED_VALUE"""),4)</f>
        <v>4</v>
      </c>
      <c r="L317" s="4">
        <f ca="1">IFERROR(__xludf.DUMMYFUNCTION("""COMPUTED_VALUE"""),5)</f>
        <v>5</v>
      </c>
      <c r="M317" s="4">
        <f ca="1">IFERROR(__xludf.DUMMYFUNCTION("""COMPUTED_VALUE"""),4)</f>
        <v>4</v>
      </c>
      <c r="N317" s="4">
        <f ca="1">IFERROR(__xludf.DUMMYFUNCTION("""COMPUTED_VALUE"""),4)</f>
        <v>4</v>
      </c>
      <c r="O317" s="4">
        <f ca="1">IFERROR(__xludf.DUMMYFUNCTION("""COMPUTED_VALUE"""),4)</f>
        <v>4</v>
      </c>
      <c r="P317" s="4">
        <f ca="1">IFERROR(__xludf.DUMMYFUNCTION("""COMPUTED_VALUE"""),5)</f>
        <v>5</v>
      </c>
      <c r="Q317" s="4">
        <f ca="1">IFERROR(__xludf.DUMMYFUNCTION("""COMPUTED_VALUE"""),4)</f>
        <v>4</v>
      </c>
      <c r="R317" s="4">
        <f ca="1">IFERROR(__xludf.DUMMYFUNCTION("""COMPUTED_VALUE"""),4)</f>
        <v>4</v>
      </c>
      <c r="S317" s="4">
        <f ca="1">IFERROR(__xludf.DUMMYFUNCTION("""COMPUTED_VALUE"""),5)</f>
        <v>5</v>
      </c>
      <c r="T317" s="4">
        <f ca="1">IFERROR(__xludf.DUMMYFUNCTION("""COMPUTED_VALUE"""),5)</f>
        <v>5</v>
      </c>
      <c r="U317" s="4">
        <f ca="1">IFERROR(__xludf.DUMMYFUNCTION("""COMPUTED_VALUE"""),4)</f>
        <v>4</v>
      </c>
      <c r="V317" s="4">
        <f ca="1">IFERROR(__xludf.DUMMYFUNCTION("""COMPUTED_VALUE"""),5)</f>
        <v>5</v>
      </c>
      <c r="W317" s="4">
        <f ca="1">IFERROR(__xludf.DUMMYFUNCTION("""COMPUTED_VALUE"""),4)</f>
        <v>4</v>
      </c>
      <c r="X317" s="4">
        <f ca="1">IFERROR(__xludf.DUMMYFUNCTION("""COMPUTED_VALUE"""),5)</f>
        <v>5</v>
      </c>
      <c r="Y317" s="4">
        <f ca="1">IFERROR(__xludf.DUMMYFUNCTION("""COMPUTED_VALUE"""),4)</f>
        <v>4</v>
      </c>
      <c r="Z317" s="4">
        <f ca="1">IFERROR(__xludf.DUMMYFUNCTION("""COMPUTED_VALUE"""),4)</f>
        <v>4</v>
      </c>
      <c r="AA317" s="4">
        <f ca="1">IFERROR(__xludf.DUMMYFUNCTION("""COMPUTED_VALUE"""),4)</f>
        <v>4</v>
      </c>
      <c r="AB317" s="4">
        <f ca="1">IFERROR(__xludf.DUMMYFUNCTION("""COMPUTED_VALUE"""),4)</f>
        <v>4</v>
      </c>
      <c r="AC317" s="4">
        <f ca="1">IFERROR(__xludf.DUMMYFUNCTION("""COMPUTED_VALUE"""),4)</f>
        <v>4</v>
      </c>
      <c r="AD317" s="4">
        <f ca="1">IFERROR(__xludf.DUMMYFUNCTION("""COMPUTED_VALUE"""),4)</f>
        <v>4</v>
      </c>
      <c r="AE317" s="4">
        <f ca="1">IFERROR(__xludf.DUMMYFUNCTION("""COMPUTED_VALUE"""),5)</f>
        <v>5</v>
      </c>
      <c r="AF317" s="4">
        <f ca="1">IFERROR(__xludf.DUMMYFUNCTION("""COMPUTED_VALUE"""),4)</f>
        <v>4</v>
      </c>
      <c r="AG317" s="4">
        <f ca="1">IFERROR(__xludf.DUMMYFUNCTION("""COMPUTED_VALUE"""),5)</f>
        <v>5</v>
      </c>
      <c r="AH317" s="4">
        <f ca="1">IFERROR(__xludf.DUMMYFUNCTION("""COMPUTED_VALUE"""),5)</f>
        <v>5</v>
      </c>
      <c r="AI317" s="4">
        <f ca="1">IFERROR(__xludf.DUMMYFUNCTION("""COMPUTED_VALUE"""),4)</f>
        <v>4</v>
      </c>
      <c r="AJ317" s="4">
        <f ca="1">IFERROR(__xludf.DUMMYFUNCTION("""COMPUTED_VALUE"""),4)</f>
        <v>4</v>
      </c>
      <c r="AK317" s="4">
        <f ca="1">IFERROR(__xludf.DUMMYFUNCTION("""COMPUTED_VALUE"""),5)</f>
        <v>5</v>
      </c>
      <c r="AL317" s="4">
        <f ca="1">IFERROR(__xludf.DUMMYFUNCTION("""COMPUTED_VALUE"""),5)</f>
        <v>5</v>
      </c>
      <c r="AM317" s="4">
        <f ca="1">IFERROR(__xludf.DUMMYFUNCTION("""COMPUTED_VALUE"""),5)</f>
        <v>5</v>
      </c>
      <c r="AN317" s="4">
        <f ca="1">IFERROR(__xludf.DUMMYFUNCTION("""COMPUTED_VALUE"""),5)</f>
        <v>5</v>
      </c>
      <c r="AO317" s="4">
        <f ca="1">IFERROR(__xludf.DUMMYFUNCTION("""COMPUTED_VALUE"""),4)</f>
        <v>4</v>
      </c>
      <c r="AP317" s="4">
        <f ca="1">IFERROR(__xludf.DUMMYFUNCTION("""COMPUTED_VALUE"""),4)</f>
        <v>4</v>
      </c>
      <c r="AQ317" s="4">
        <f ca="1">IFERROR(__xludf.DUMMYFUNCTION("""COMPUTED_VALUE"""),5)</f>
        <v>5</v>
      </c>
      <c r="AR317" s="4">
        <f ca="1">IFERROR(__xludf.DUMMYFUNCTION("""COMPUTED_VALUE"""),4)</f>
        <v>4</v>
      </c>
      <c r="AS317" s="4">
        <f ca="1">IFERROR(__xludf.DUMMYFUNCTION("""COMPUTED_VALUE"""),4)</f>
        <v>4</v>
      </c>
      <c r="AT317" s="4">
        <f ca="1">IFERROR(__xludf.DUMMYFUNCTION("""COMPUTED_VALUE"""),4)</f>
        <v>4</v>
      </c>
      <c r="AU317" s="4">
        <f ca="1">IFERROR(__xludf.DUMMYFUNCTION("""COMPUTED_VALUE"""),5)</f>
        <v>5</v>
      </c>
      <c r="AV317" s="4">
        <f ca="1">IFERROR(__xludf.DUMMYFUNCTION("""COMPUTED_VALUE"""),5)</f>
        <v>5</v>
      </c>
      <c r="AW317" s="4">
        <f ca="1">IFERROR(__xludf.DUMMYFUNCTION("""COMPUTED_VALUE"""),4)</f>
        <v>4</v>
      </c>
      <c r="AX317" s="4">
        <f ca="1">IFERROR(__xludf.DUMMYFUNCTION("""COMPUTED_VALUE"""),5)</f>
        <v>5</v>
      </c>
      <c r="AY317" s="4">
        <f ca="1">IFERROR(__xludf.DUMMYFUNCTION("""COMPUTED_VALUE"""),5)</f>
        <v>5</v>
      </c>
      <c r="AZ317" s="4">
        <f ca="1">IFERROR(__xludf.DUMMYFUNCTION("""COMPUTED_VALUE"""),5)</f>
        <v>5</v>
      </c>
      <c r="BA317" s="4">
        <f ca="1">IFERROR(__xludf.DUMMYFUNCTION("""COMPUTED_VALUE"""),5)</f>
        <v>5</v>
      </c>
      <c r="BB317" s="4">
        <f ca="1">IFERROR(__xludf.DUMMYFUNCTION("""COMPUTED_VALUE"""),4)</f>
        <v>4</v>
      </c>
      <c r="BC317" s="4">
        <f ca="1">IFERROR(__xludf.DUMMYFUNCTION("""COMPUTED_VALUE"""),4)</f>
        <v>4</v>
      </c>
      <c r="BD317" s="4">
        <f ca="1">IFERROR(__xludf.DUMMYFUNCTION("""COMPUTED_VALUE"""),5)</f>
        <v>5</v>
      </c>
      <c r="BE317" s="4">
        <f ca="1">IFERROR(__xludf.DUMMYFUNCTION("""COMPUTED_VALUE"""),5)</f>
        <v>5</v>
      </c>
      <c r="BF317" s="4">
        <f ca="1">IFERROR(__xludf.DUMMYFUNCTION("""COMPUTED_VALUE"""),4)</f>
        <v>4</v>
      </c>
      <c r="BG317" s="4">
        <f ca="1">IFERROR(__xludf.DUMMYFUNCTION("""COMPUTED_VALUE"""),5)</f>
        <v>5</v>
      </c>
      <c r="BH317" s="4">
        <f ca="1">IFERROR(__xludf.DUMMYFUNCTION("""COMPUTED_VALUE"""),4)</f>
        <v>4</v>
      </c>
      <c r="BI317" s="4">
        <f ca="1">IFERROR(__xludf.DUMMYFUNCTION("""COMPUTED_VALUE"""),5)</f>
        <v>5</v>
      </c>
      <c r="BJ317" s="4">
        <f ca="1">IFERROR(__xludf.DUMMYFUNCTION("""COMPUTED_VALUE"""),5)</f>
        <v>5</v>
      </c>
      <c r="BK317" s="4">
        <f ca="1">IFERROR(__xludf.DUMMYFUNCTION("""COMPUTED_VALUE"""),4)</f>
        <v>4</v>
      </c>
      <c r="BL317" s="4">
        <f ca="1">IFERROR(__xludf.DUMMYFUNCTION("""COMPUTED_VALUE"""),4)</f>
        <v>4</v>
      </c>
      <c r="BM317" s="4">
        <f ca="1">IFERROR(__xludf.DUMMYFUNCTION("""COMPUTED_VALUE"""),4)</f>
        <v>4</v>
      </c>
      <c r="BN317" s="4">
        <f ca="1">IFERROR(__xludf.DUMMYFUNCTION("""COMPUTED_VALUE"""),5)</f>
        <v>5</v>
      </c>
      <c r="BO317" s="4">
        <f ca="1">IFERROR(__xludf.DUMMYFUNCTION("""COMPUTED_VALUE"""),5)</f>
        <v>5</v>
      </c>
      <c r="BP317" s="4">
        <f ca="1">IFERROR(__xludf.DUMMYFUNCTION("""COMPUTED_VALUE"""),4)</f>
        <v>4</v>
      </c>
    </row>
    <row r="318" spans="1:68" ht="13.2" x14ac:dyDescent="0.25">
      <c r="A318" s="4" t="str">
        <f ca="1">IFERROR(__xludf.DUMMYFUNCTION("""COMPUTED_VALUE"""),"2_ABaOnueSWC-TMxg5CfqFtNJiZZEiXgfBs7wtSN6-ELiAy5S5xi251BXwru19KyJkWg")</f>
        <v>2_ABaOnueSWC-TMxg5CfqFtNJiZZEiXgfBs7wtSN6-ELiAy5S5xi251BXwru19KyJkWg</v>
      </c>
      <c r="B318" s="5">
        <f ca="1">IFERROR(__xludf.DUMMYFUNCTION("""COMPUTED_VALUE"""),45986.5624210185)</f>
        <v>45986.562421018498</v>
      </c>
      <c r="C318" s="4" t="str">
        <f ca="1">IFERROR(__xludf.DUMMYFUNCTION("""COMPUTED_VALUE"""),"Võ Phan Sử")</f>
        <v>Võ Phan Sử</v>
      </c>
      <c r="D318" s="4" t="str">
        <f ca="1">IFERROR(__xludf.DUMMYFUNCTION("""COMPUTED_VALUE"""),"Nam")</f>
        <v>Nam</v>
      </c>
      <c r="E318" s="4" t="str">
        <f ca="1">IFERROR(__xludf.DUMMYFUNCTION("""COMPUTED_VALUE"""),"Công ty TNHH KIểm toán AS")</f>
        <v>Công ty TNHH KIểm toán AS</v>
      </c>
      <c r="F318" s="4" t="str">
        <f ca="1">IFERROR(__xludf.DUMMYFUNCTION("""COMPUTED_VALUE"""),"Đại học, Chứng chỉ Kiểm toán viên")</f>
        <v>Đại học, Chứng chỉ Kiểm toán viên</v>
      </c>
      <c r="G318" s="4" t="str">
        <f ca="1">IFERROR(__xludf.DUMMYFUNCTION("""COMPUTED_VALUE"""),"Trên 20 năm")</f>
        <v>Trên 20 năm</v>
      </c>
      <c r="H318" s="4" t="str">
        <f ca="1">IFERROR(__xludf.DUMMYFUNCTION("""COMPUTED_VALUE"""),"Ban giám đốc")</f>
        <v>Ban giám đốc</v>
      </c>
      <c r="I318" s="4">
        <f ca="1">IFERROR(__xludf.DUMMYFUNCTION("""COMPUTED_VALUE"""),5)</f>
        <v>5</v>
      </c>
      <c r="J318" s="4">
        <f ca="1">IFERROR(__xludf.DUMMYFUNCTION("""COMPUTED_VALUE"""),5)</f>
        <v>5</v>
      </c>
      <c r="K318" s="4">
        <f ca="1">IFERROR(__xludf.DUMMYFUNCTION("""COMPUTED_VALUE"""),5)</f>
        <v>5</v>
      </c>
      <c r="L318" s="4">
        <f ca="1">IFERROR(__xludf.DUMMYFUNCTION("""COMPUTED_VALUE"""),5)</f>
        <v>5</v>
      </c>
      <c r="M318" s="4">
        <f ca="1">IFERROR(__xludf.DUMMYFUNCTION("""COMPUTED_VALUE"""),5)</f>
        <v>5</v>
      </c>
      <c r="N318" s="4">
        <f ca="1">IFERROR(__xludf.DUMMYFUNCTION("""COMPUTED_VALUE"""),4)</f>
        <v>4</v>
      </c>
      <c r="O318" s="4">
        <f ca="1">IFERROR(__xludf.DUMMYFUNCTION("""COMPUTED_VALUE"""),5)</f>
        <v>5</v>
      </c>
      <c r="P318" s="4">
        <f ca="1">IFERROR(__xludf.DUMMYFUNCTION("""COMPUTED_VALUE"""),4)</f>
        <v>4</v>
      </c>
      <c r="Q318" s="4">
        <f ca="1">IFERROR(__xludf.DUMMYFUNCTION("""COMPUTED_VALUE"""),5)</f>
        <v>5</v>
      </c>
      <c r="R318" s="4">
        <f ca="1">IFERROR(__xludf.DUMMYFUNCTION("""COMPUTED_VALUE"""),5)</f>
        <v>5</v>
      </c>
      <c r="S318" s="4">
        <f ca="1">IFERROR(__xludf.DUMMYFUNCTION("""COMPUTED_VALUE"""),5)</f>
        <v>5</v>
      </c>
      <c r="T318" s="4">
        <f ca="1">IFERROR(__xludf.DUMMYFUNCTION("""COMPUTED_VALUE"""),5)</f>
        <v>5</v>
      </c>
      <c r="U318" s="4">
        <f ca="1">IFERROR(__xludf.DUMMYFUNCTION("""COMPUTED_VALUE"""),4)</f>
        <v>4</v>
      </c>
      <c r="V318" s="4">
        <f ca="1">IFERROR(__xludf.DUMMYFUNCTION("""COMPUTED_VALUE"""),4)</f>
        <v>4</v>
      </c>
      <c r="W318" s="4">
        <f ca="1">IFERROR(__xludf.DUMMYFUNCTION("""COMPUTED_VALUE"""),4)</f>
        <v>4</v>
      </c>
      <c r="X318" s="4">
        <f ca="1">IFERROR(__xludf.DUMMYFUNCTION("""COMPUTED_VALUE"""),5)</f>
        <v>5</v>
      </c>
      <c r="Y318" s="4">
        <f ca="1">IFERROR(__xludf.DUMMYFUNCTION("""COMPUTED_VALUE"""),4)</f>
        <v>4</v>
      </c>
      <c r="Z318" s="4">
        <f ca="1">IFERROR(__xludf.DUMMYFUNCTION("""COMPUTED_VALUE"""),5)</f>
        <v>5</v>
      </c>
      <c r="AA318" s="4">
        <f ca="1">IFERROR(__xludf.DUMMYFUNCTION("""COMPUTED_VALUE"""),4)</f>
        <v>4</v>
      </c>
      <c r="AB318" s="4">
        <f ca="1">IFERROR(__xludf.DUMMYFUNCTION("""COMPUTED_VALUE"""),5)</f>
        <v>5</v>
      </c>
      <c r="AC318" s="4">
        <f ca="1">IFERROR(__xludf.DUMMYFUNCTION("""COMPUTED_VALUE"""),4)</f>
        <v>4</v>
      </c>
      <c r="AD318" s="4">
        <f ca="1">IFERROR(__xludf.DUMMYFUNCTION("""COMPUTED_VALUE"""),4)</f>
        <v>4</v>
      </c>
      <c r="AE318" s="4">
        <f ca="1">IFERROR(__xludf.DUMMYFUNCTION("""COMPUTED_VALUE"""),5)</f>
        <v>5</v>
      </c>
      <c r="AF318" s="4">
        <f ca="1">IFERROR(__xludf.DUMMYFUNCTION("""COMPUTED_VALUE"""),5)</f>
        <v>5</v>
      </c>
      <c r="AG318" s="4">
        <f ca="1">IFERROR(__xludf.DUMMYFUNCTION("""COMPUTED_VALUE"""),5)</f>
        <v>5</v>
      </c>
      <c r="AH318" s="4">
        <f ca="1">IFERROR(__xludf.DUMMYFUNCTION("""COMPUTED_VALUE"""),5)</f>
        <v>5</v>
      </c>
      <c r="AI318" s="4">
        <f ca="1">IFERROR(__xludf.DUMMYFUNCTION("""COMPUTED_VALUE"""),5)</f>
        <v>5</v>
      </c>
      <c r="AJ318" s="4">
        <f ca="1">IFERROR(__xludf.DUMMYFUNCTION("""COMPUTED_VALUE"""),5)</f>
        <v>5</v>
      </c>
      <c r="AK318" s="4">
        <f ca="1">IFERROR(__xludf.DUMMYFUNCTION("""COMPUTED_VALUE"""),5)</f>
        <v>5</v>
      </c>
      <c r="AL318" s="4">
        <f ca="1">IFERROR(__xludf.DUMMYFUNCTION("""COMPUTED_VALUE"""),5)</f>
        <v>5</v>
      </c>
      <c r="AM318" s="4">
        <f ca="1">IFERROR(__xludf.DUMMYFUNCTION("""COMPUTED_VALUE"""),5)</f>
        <v>5</v>
      </c>
      <c r="AN318" s="4">
        <f ca="1">IFERROR(__xludf.DUMMYFUNCTION("""COMPUTED_VALUE"""),5)</f>
        <v>5</v>
      </c>
      <c r="AO318" s="4">
        <f ca="1">IFERROR(__xludf.DUMMYFUNCTION("""COMPUTED_VALUE"""),4)</f>
        <v>4</v>
      </c>
      <c r="AP318" s="4">
        <f ca="1">IFERROR(__xludf.DUMMYFUNCTION("""COMPUTED_VALUE"""),4)</f>
        <v>4</v>
      </c>
      <c r="AQ318" s="4">
        <f ca="1">IFERROR(__xludf.DUMMYFUNCTION("""COMPUTED_VALUE"""),4)</f>
        <v>4</v>
      </c>
      <c r="AR318" s="4">
        <f ca="1">IFERROR(__xludf.DUMMYFUNCTION("""COMPUTED_VALUE"""),4)</f>
        <v>4</v>
      </c>
      <c r="AS318" s="4">
        <f ca="1">IFERROR(__xludf.DUMMYFUNCTION("""COMPUTED_VALUE"""),4)</f>
        <v>4</v>
      </c>
      <c r="AT318" s="4">
        <f ca="1">IFERROR(__xludf.DUMMYFUNCTION("""COMPUTED_VALUE"""),3)</f>
        <v>3</v>
      </c>
      <c r="AU318" s="4">
        <f ca="1">IFERROR(__xludf.DUMMYFUNCTION("""COMPUTED_VALUE"""),5)</f>
        <v>5</v>
      </c>
      <c r="AV318" s="4">
        <f ca="1">IFERROR(__xludf.DUMMYFUNCTION("""COMPUTED_VALUE"""),5)</f>
        <v>5</v>
      </c>
      <c r="AW318" s="4">
        <f ca="1">IFERROR(__xludf.DUMMYFUNCTION("""COMPUTED_VALUE"""),5)</f>
        <v>5</v>
      </c>
      <c r="AX318" s="4">
        <f ca="1">IFERROR(__xludf.DUMMYFUNCTION("""COMPUTED_VALUE"""),5)</f>
        <v>5</v>
      </c>
      <c r="AY318" s="4">
        <f ca="1">IFERROR(__xludf.DUMMYFUNCTION("""COMPUTED_VALUE"""),5)</f>
        <v>5</v>
      </c>
      <c r="AZ318" s="4">
        <f ca="1">IFERROR(__xludf.DUMMYFUNCTION("""COMPUTED_VALUE"""),5)</f>
        <v>5</v>
      </c>
      <c r="BA318" s="4">
        <f ca="1">IFERROR(__xludf.DUMMYFUNCTION("""COMPUTED_VALUE"""),5)</f>
        <v>5</v>
      </c>
      <c r="BB318" s="4">
        <f ca="1">IFERROR(__xludf.DUMMYFUNCTION("""COMPUTED_VALUE"""),4)</f>
        <v>4</v>
      </c>
      <c r="BC318" s="4">
        <f ca="1">IFERROR(__xludf.DUMMYFUNCTION("""COMPUTED_VALUE"""),5)</f>
        <v>5</v>
      </c>
      <c r="BD318" s="4">
        <f ca="1">IFERROR(__xludf.DUMMYFUNCTION("""COMPUTED_VALUE"""),4)</f>
        <v>4</v>
      </c>
      <c r="BE318" s="4">
        <f ca="1">IFERROR(__xludf.DUMMYFUNCTION("""COMPUTED_VALUE"""),4)</f>
        <v>4</v>
      </c>
      <c r="BF318" s="4">
        <f ca="1">IFERROR(__xludf.DUMMYFUNCTION("""COMPUTED_VALUE"""),5)</f>
        <v>5</v>
      </c>
      <c r="BG318" s="4">
        <f ca="1">IFERROR(__xludf.DUMMYFUNCTION("""COMPUTED_VALUE"""),4)</f>
        <v>4</v>
      </c>
      <c r="BH318" s="4">
        <f ca="1">IFERROR(__xludf.DUMMYFUNCTION("""COMPUTED_VALUE"""),4)</f>
        <v>4</v>
      </c>
      <c r="BI318" s="4">
        <f ca="1">IFERROR(__xludf.DUMMYFUNCTION("""COMPUTED_VALUE"""),4)</f>
        <v>4</v>
      </c>
      <c r="BJ318" s="4">
        <f ca="1">IFERROR(__xludf.DUMMYFUNCTION("""COMPUTED_VALUE"""),4)</f>
        <v>4</v>
      </c>
      <c r="BK318" s="4">
        <f ca="1">IFERROR(__xludf.DUMMYFUNCTION("""COMPUTED_VALUE"""),5)</f>
        <v>5</v>
      </c>
      <c r="BL318" s="4">
        <f ca="1">IFERROR(__xludf.DUMMYFUNCTION("""COMPUTED_VALUE"""),5)</f>
        <v>5</v>
      </c>
      <c r="BM318" s="4">
        <f ca="1">IFERROR(__xludf.DUMMYFUNCTION("""COMPUTED_VALUE"""),5)</f>
        <v>5</v>
      </c>
      <c r="BN318" s="4">
        <f ca="1">IFERROR(__xludf.DUMMYFUNCTION("""COMPUTED_VALUE"""),5)</f>
        <v>5</v>
      </c>
      <c r="BO318" s="4">
        <f ca="1">IFERROR(__xludf.DUMMYFUNCTION("""COMPUTED_VALUE"""),5)</f>
        <v>5</v>
      </c>
      <c r="BP318" s="4">
        <f ca="1">IFERROR(__xludf.DUMMYFUNCTION("""COMPUTED_VALUE"""),5)</f>
        <v>5</v>
      </c>
    </row>
    <row r="319" spans="1:68" ht="13.2" x14ac:dyDescent="0.25">
      <c r="A319" s="4" t="str">
        <f ca="1">IFERROR(__xludf.DUMMYFUNCTION("""COMPUTED_VALUE"""),"2_ABaOnud4AAJk3AcULkGmRy9-5HMA0M3v76fKj8Hrel6kPY7jFwdx_yndciBVAB0ipg")</f>
        <v>2_ABaOnud4AAJk3AcULkGmRy9-5HMA0M3v76fKj8Hrel6kPY7jFwdx_yndciBVAB0ipg</v>
      </c>
      <c r="B319" s="5">
        <f ca="1">IFERROR(__xludf.DUMMYFUNCTION("""COMPUTED_VALUE"""),45986.5664118634)</f>
        <v>45986.566411863401</v>
      </c>
      <c r="C319" s="4" t="str">
        <f ca="1">IFERROR(__xludf.DUMMYFUNCTION("""COMPUTED_VALUE"""),"Trần Thị Thu Hằng")</f>
        <v>Trần Thị Thu Hằng</v>
      </c>
      <c r="D319" s="4" t="str">
        <f ca="1">IFERROR(__xludf.DUMMYFUNCTION("""COMPUTED_VALUE"""),"Nữ")</f>
        <v>Nữ</v>
      </c>
      <c r="E319" s="4" t="str">
        <f ca="1">IFERROR(__xludf.DUMMYFUNCTION("""COMPUTED_VALUE"""),"Công ty TNHH Kiểm toán U&amp;I")</f>
        <v>Công ty TNHH Kiểm toán U&amp;I</v>
      </c>
      <c r="F319" s="4" t="str">
        <f ca="1">IFERROR(__xludf.DUMMYFUNCTION("""COMPUTED_VALUE"""),"Đại học")</f>
        <v>Đại học</v>
      </c>
      <c r="G319" s="4" t="str">
        <f ca="1">IFERROR(__xludf.DUMMYFUNCTION("""COMPUTED_VALUE"""),"Từ 3 đến 5 năm")</f>
        <v>Từ 3 đến 5 năm</v>
      </c>
      <c r="H319" s="4" t="str">
        <f ca="1">IFERROR(__xludf.DUMMYFUNCTION("""COMPUTED_VALUE"""),"Trợ lý kiểm toán")</f>
        <v>Trợ lý kiểm toán</v>
      </c>
      <c r="I319" s="4">
        <f ca="1">IFERROR(__xludf.DUMMYFUNCTION("""COMPUTED_VALUE"""),4)</f>
        <v>4</v>
      </c>
      <c r="J319" s="4">
        <f ca="1">IFERROR(__xludf.DUMMYFUNCTION("""COMPUTED_VALUE"""),4)</f>
        <v>4</v>
      </c>
      <c r="K319" s="4">
        <f ca="1">IFERROR(__xludf.DUMMYFUNCTION("""COMPUTED_VALUE"""),4)</f>
        <v>4</v>
      </c>
      <c r="L319" s="4">
        <f ca="1">IFERROR(__xludf.DUMMYFUNCTION("""COMPUTED_VALUE"""),4)</f>
        <v>4</v>
      </c>
      <c r="M319" s="4">
        <f ca="1">IFERROR(__xludf.DUMMYFUNCTION("""COMPUTED_VALUE"""),4)</f>
        <v>4</v>
      </c>
      <c r="N319" s="4">
        <f ca="1">IFERROR(__xludf.DUMMYFUNCTION("""COMPUTED_VALUE"""),4)</f>
        <v>4</v>
      </c>
      <c r="O319" s="4">
        <f ca="1">IFERROR(__xludf.DUMMYFUNCTION("""COMPUTED_VALUE"""),4)</f>
        <v>4</v>
      </c>
      <c r="P319" s="4">
        <f ca="1">IFERROR(__xludf.DUMMYFUNCTION("""COMPUTED_VALUE"""),4)</f>
        <v>4</v>
      </c>
      <c r="Q319" s="4">
        <f ca="1">IFERROR(__xludf.DUMMYFUNCTION("""COMPUTED_VALUE"""),4)</f>
        <v>4</v>
      </c>
      <c r="R319" s="4">
        <f ca="1">IFERROR(__xludf.DUMMYFUNCTION("""COMPUTED_VALUE"""),4)</f>
        <v>4</v>
      </c>
      <c r="S319" s="4">
        <f ca="1">IFERROR(__xludf.DUMMYFUNCTION("""COMPUTED_VALUE"""),4)</f>
        <v>4</v>
      </c>
      <c r="T319" s="4">
        <f ca="1">IFERROR(__xludf.DUMMYFUNCTION("""COMPUTED_VALUE"""),4)</f>
        <v>4</v>
      </c>
      <c r="U319" s="4">
        <f ca="1">IFERROR(__xludf.DUMMYFUNCTION("""COMPUTED_VALUE"""),4)</f>
        <v>4</v>
      </c>
      <c r="V319" s="4">
        <f ca="1">IFERROR(__xludf.DUMMYFUNCTION("""COMPUTED_VALUE"""),4)</f>
        <v>4</v>
      </c>
      <c r="W319" s="4">
        <f ca="1">IFERROR(__xludf.DUMMYFUNCTION("""COMPUTED_VALUE"""),4)</f>
        <v>4</v>
      </c>
      <c r="X319" s="4">
        <f ca="1">IFERROR(__xludf.DUMMYFUNCTION("""COMPUTED_VALUE"""),4)</f>
        <v>4</v>
      </c>
      <c r="Y319" s="4">
        <f ca="1">IFERROR(__xludf.DUMMYFUNCTION("""COMPUTED_VALUE"""),4)</f>
        <v>4</v>
      </c>
      <c r="Z319" s="4">
        <f ca="1">IFERROR(__xludf.DUMMYFUNCTION("""COMPUTED_VALUE"""),4)</f>
        <v>4</v>
      </c>
      <c r="AA319" s="4">
        <f ca="1">IFERROR(__xludf.DUMMYFUNCTION("""COMPUTED_VALUE"""),4)</f>
        <v>4</v>
      </c>
      <c r="AB319" s="4">
        <f ca="1">IFERROR(__xludf.DUMMYFUNCTION("""COMPUTED_VALUE"""),4)</f>
        <v>4</v>
      </c>
      <c r="AC319" s="4">
        <f ca="1">IFERROR(__xludf.DUMMYFUNCTION("""COMPUTED_VALUE"""),4)</f>
        <v>4</v>
      </c>
      <c r="AD319" s="4">
        <f ca="1">IFERROR(__xludf.DUMMYFUNCTION("""COMPUTED_VALUE"""),4)</f>
        <v>4</v>
      </c>
      <c r="AE319" s="4">
        <f ca="1">IFERROR(__xludf.DUMMYFUNCTION("""COMPUTED_VALUE"""),4)</f>
        <v>4</v>
      </c>
      <c r="AF319" s="4">
        <f ca="1">IFERROR(__xludf.DUMMYFUNCTION("""COMPUTED_VALUE"""),4)</f>
        <v>4</v>
      </c>
      <c r="AG319" s="4">
        <f ca="1">IFERROR(__xludf.DUMMYFUNCTION("""COMPUTED_VALUE"""),4)</f>
        <v>4</v>
      </c>
      <c r="AH319" s="4">
        <f ca="1">IFERROR(__xludf.DUMMYFUNCTION("""COMPUTED_VALUE"""),4)</f>
        <v>4</v>
      </c>
      <c r="AI319" s="4">
        <f ca="1">IFERROR(__xludf.DUMMYFUNCTION("""COMPUTED_VALUE"""),4)</f>
        <v>4</v>
      </c>
      <c r="AJ319" s="4">
        <f ca="1">IFERROR(__xludf.DUMMYFUNCTION("""COMPUTED_VALUE"""),4)</f>
        <v>4</v>
      </c>
      <c r="AK319" s="4">
        <f ca="1">IFERROR(__xludf.DUMMYFUNCTION("""COMPUTED_VALUE"""),4)</f>
        <v>4</v>
      </c>
      <c r="AL319" s="4">
        <f ca="1">IFERROR(__xludf.DUMMYFUNCTION("""COMPUTED_VALUE"""),4)</f>
        <v>4</v>
      </c>
      <c r="AM319" s="4">
        <f ca="1">IFERROR(__xludf.DUMMYFUNCTION("""COMPUTED_VALUE"""),4)</f>
        <v>4</v>
      </c>
      <c r="AN319" s="4">
        <f ca="1">IFERROR(__xludf.DUMMYFUNCTION("""COMPUTED_VALUE"""),4)</f>
        <v>4</v>
      </c>
      <c r="AO319" s="4">
        <f ca="1">IFERROR(__xludf.DUMMYFUNCTION("""COMPUTED_VALUE"""),4)</f>
        <v>4</v>
      </c>
      <c r="AP319" s="4">
        <f ca="1">IFERROR(__xludf.DUMMYFUNCTION("""COMPUTED_VALUE"""),4)</f>
        <v>4</v>
      </c>
      <c r="AQ319" s="4">
        <f ca="1">IFERROR(__xludf.DUMMYFUNCTION("""COMPUTED_VALUE"""),4)</f>
        <v>4</v>
      </c>
      <c r="AR319" s="4">
        <f ca="1">IFERROR(__xludf.DUMMYFUNCTION("""COMPUTED_VALUE"""),4)</f>
        <v>4</v>
      </c>
      <c r="AS319" s="4">
        <f ca="1">IFERROR(__xludf.DUMMYFUNCTION("""COMPUTED_VALUE"""),4)</f>
        <v>4</v>
      </c>
      <c r="AT319" s="4">
        <f ca="1">IFERROR(__xludf.DUMMYFUNCTION("""COMPUTED_VALUE"""),4)</f>
        <v>4</v>
      </c>
      <c r="AU319" s="4">
        <f ca="1">IFERROR(__xludf.DUMMYFUNCTION("""COMPUTED_VALUE"""),4)</f>
        <v>4</v>
      </c>
      <c r="AV319" s="4">
        <f ca="1">IFERROR(__xludf.DUMMYFUNCTION("""COMPUTED_VALUE"""),4)</f>
        <v>4</v>
      </c>
      <c r="AW319" s="4">
        <f ca="1">IFERROR(__xludf.DUMMYFUNCTION("""COMPUTED_VALUE"""),4)</f>
        <v>4</v>
      </c>
      <c r="AX319" s="4">
        <f ca="1">IFERROR(__xludf.DUMMYFUNCTION("""COMPUTED_VALUE"""),4)</f>
        <v>4</v>
      </c>
      <c r="AY319" s="4">
        <f ca="1">IFERROR(__xludf.DUMMYFUNCTION("""COMPUTED_VALUE"""),4)</f>
        <v>4</v>
      </c>
      <c r="AZ319" s="4">
        <f ca="1">IFERROR(__xludf.DUMMYFUNCTION("""COMPUTED_VALUE"""),4)</f>
        <v>4</v>
      </c>
      <c r="BA319" s="4">
        <f ca="1">IFERROR(__xludf.DUMMYFUNCTION("""COMPUTED_VALUE"""),4)</f>
        <v>4</v>
      </c>
      <c r="BB319" s="4">
        <f ca="1">IFERROR(__xludf.DUMMYFUNCTION("""COMPUTED_VALUE"""),4)</f>
        <v>4</v>
      </c>
      <c r="BC319" s="4">
        <f ca="1">IFERROR(__xludf.DUMMYFUNCTION("""COMPUTED_VALUE"""),4)</f>
        <v>4</v>
      </c>
      <c r="BD319" s="4">
        <f ca="1">IFERROR(__xludf.DUMMYFUNCTION("""COMPUTED_VALUE"""),4)</f>
        <v>4</v>
      </c>
      <c r="BE319" s="4">
        <f ca="1">IFERROR(__xludf.DUMMYFUNCTION("""COMPUTED_VALUE"""),4)</f>
        <v>4</v>
      </c>
      <c r="BF319" s="4">
        <f ca="1">IFERROR(__xludf.DUMMYFUNCTION("""COMPUTED_VALUE"""),4)</f>
        <v>4</v>
      </c>
      <c r="BG319" s="4">
        <f ca="1">IFERROR(__xludf.DUMMYFUNCTION("""COMPUTED_VALUE"""),4)</f>
        <v>4</v>
      </c>
      <c r="BH319" s="4">
        <f ca="1">IFERROR(__xludf.DUMMYFUNCTION("""COMPUTED_VALUE"""),4)</f>
        <v>4</v>
      </c>
      <c r="BI319" s="4">
        <f ca="1">IFERROR(__xludf.DUMMYFUNCTION("""COMPUTED_VALUE"""),4)</f>
        <v>4</v>
      </c>
      <c r="BJ319" s="4">
        <f ca="1">IFERROR(__xludf.DUMMYFUNCTION("""COMPUTED_VALUE"""),4)</f>
        <v>4</v>
      </c>
      <c r="BK319" s="4">
        <f ca="1">IFERROR(__xludf.DUMMYFUNCTION("""COMPUTED_VALUE"""),4)</f>
        <v>4</v>
      </c>
      <c r="BL319" s="4">
        <f ca="1">IFERROR(__xludf.DUMMYFUNCTION("""COMPUTED_VALUE"""),4)</f>
        <v>4</v>
      </c>
      <c r="BM319" s="4">
        <f ca="1">IFERROR(__xludf.DUMMYFUNCTION("""COMPUTED_VALUE"""),4)</f>
        <v>4</v>
      </c>
      <c r="BN319" s="4">
        <f ca="1">IFERROR(__xludf.DUMMYFUNCTION("""COMPUTED_VALUE"""),4)</f>
        <v>4</v>
      </c>
      <c r="BO319" s="4">
        <f ca="1">IFERROR(__xludf.DUMMYFUNCTION("""COMPUTED_VALUE"""),4)</f>
        <v>4</v>
      </c>
      <c r="BP319" s="4">
        <f ca="1">IFERROR(__xludf.DUMMYFUNCTION("""COMPUTED_VALUE"""),4)</f>
        <v>4</v>
      </c>
    </row>
    <row r="320" spans="1:68" ht="13.2" x14ac:dyDescent="0.25">
      <c r="A320" s="4" t="str">
        <f ca="1">IFERROR(__xludf.DUMMYFUNCTION("""COMPUTED_VALUE"""),"2_ABaOnueIrOuq0aSCK-32nLumgZtYhF-uKRsk0VYaDBsmgESoSzH0U8LksPU8Ae1eaQ")</f>
        <v>2_ABaOnueIrOuq0aSCK-32nLumgZtYhF-uKRsk0VYaDBsmgESoSzH0U8LksPU8Ae1eaQ</v>
      </c>
      <c r="B320" s="5">
        <f ca="1">IFERROR(__xludf.DUMMYFUNCTION("""COMPUTED_VALUE"""),45986.6117926504)</f>
        <v>45986.611792650401</v>
      </c>
      <c r="C320" s="4" t="str">
        <f ca="1">IFERROR(__xludf.DUMMYFUNCTION("""COMPUTED_VALUE"""),"Nguyễn Đoàn Phương Uyên")</f>
        <v>Nguyễn Đoàn Phương Uyên</v>
      </c>
      <c r="D320" s="4" t="str">
        <f ca="1">IFERROR(__xludf.DUMMYFUNCTION("""COMPUTED_VALUE"""),"Nữ")</f>
        <v>Nữ</v>
      </c>
      <c r="E320" s="4" t="str">
        <f ca="1">IFERROR(__xludf.DUMMYFUNCTION("""COMPUTED_VALUE"""),"Công ty TNHH Kiểm toán Nhân Tâm Việt")</f>
        <v>Công ty TNHH Kiểm toán Nhân Tâm Việt</v>
      </c>
      <c r="F320" s="4" t="str">
        <f ca="1">IFERROR(__xludf.DUMMYFUNCTION("""COMPUTED_VALUE"""),"Đại học")</f>
        <v>Đại học</v>
      </c>
      <c r="G320" s="4" t="str">
        <f ca="1">IFERROR(__xludf.DUMMYFUNCTION("""COMPUTED_VALUE"""),"Từ 3 đến 5 năm")</f>
        <v>Từ 3 đến 5 năm</v>
      </c>
      <c r="H320" s="4" t="str">
        <f ca="1">IFERROR(__xludf.DUMMYFUNCTION("""COMPUTED_VALUE"""),"Trợ lý kiểm toán")</f>
        <v>Trợ lý kiểm toán</v>
      </c>
      <c r="I320" s="4">
        <f ca="1">IFERROR(__xludf.DUMMYFUNCTION("""COMPUTED_VALUE"""),5)</f>
        <v>5</v>
      </c>
      <c r="J320" s="4">
        <f ca="1">IFERROR(__xludf.DUMMYFUNCTION("""COMPUTED_VALUE"""),5)</f>
        <v>5</v>
      </c>
      <c r="K320" s="4">
        <f ca="1">IFERROR(__xludf.DUMMYFUNCTION("""COMPUTED_VALUE"""),5)</f>
        <v>5</v>
      </c>
      <c r="L320" s="4">
        <f ca="1">IFERROR(__xludf.DUMMYFUNCTION("""COMPUTED_VALUE"""),4)</f>
        <v>4</v>
      </c>
      <c r="M320" s="4">
        <f ca="1">IFERROR(__xludf.DUMMYFUNCTION("""COMPUTED_VALUE"""),5)</f>
        <v>5</v>
      </c>
      <c r="N320" s="4">
        <f ca="1">IFERROR(__xludf.DUMMYFUNCTION("""COMPUTED_VALUE"""),4)</f>
        <v>4</v>
      </c>
      <c r="O320" s="4">
        <f ca="1">IFERROR(__xludf.DUMMYFUNCTION("""COMPUTED_VALUE"""),4)</f>
        <v>4</v>
      </c>
      <c r="P320" s="4">
        <f ca="1">IFERROR(__xludf.DUMMYFUNCTION("""COMPUTED_VALUE"""),5)</f>
        <v>5</v>
      </c>
      <c r="Q320" s="4">
        <f ca="1">IFERROR(__xludf.DUMMYFUNCTION("""COMPUTED_VALUE"""),5)</f>
        <v>5</v>
      </c>
      <c r="R320" s="4">
        <f ca="1">IFERROR(__xludf.DUMMYFUNCTION("""COMPUTED_VALUE"""),5)</f>
        <v>5</v>
      </c>
      <c r="S320" s="4">
        <f ca="1">IFERROR(__xludf.DUMMYFUNCTION("""COMPUTED_VALUE"""),5)</f>
        <v>5</v>
      </c>
      <c r="T320" s="4">
        <f ca="1">IFERROR(__xludf.DUMMYFUNCTION("""COMPUTED_VALUE"""),5)</f>
        <v>5</v>
      </c>
      <c r="U320" s="4">
        <f ca="1">IFERROR(__xludf.DUMMYFUNCTION("""COMPUTED_VALUE"""),5)</f>
        <v>5</v>
      </c>
      <c r="V320" s="4">
        <f ca="1">IFERROR(__xludf.DUMMYFUNCTION("""COMPUTED_VALUE"""),5)</f>
        <v>5</v>
      </c>
      <c r="W320" s="4">
        <f ca="1">IFERROR(__xludf.DUMMYFUNCTION("""COMPUTED_VALUE"""),5)</f>
        <v>5</v>
      </c>
      <c r="X320" s="4">
        <f ca="1">IFERROR(__xludf.DUMMYFUNCTION("""COMPUTED_VALUE"""),5)</f>
        <v>5</v>
      </c>
      <c r="Y320" s="4">
        <f ca="1">IFERROR(__xludf.DUMMYFUNCTION("""COMPUTED_VALUE"""),5)</f>
        <v>5</v>
      </c>
      <c r="Z320" s="4">
        <f ca="1">IFERROR(__xludf.DUMMYFUNCTION("""COMPUTED_VALUE"""),5)</f>
        <v>5</v>
      </c>
      <c r="AA320" s="4">
        <f ca="1">IFERROR(__xludf.DUMMYFUNCTION("""COMPUTED_VALUE"""),4)</f>
        <v>4</v>
      </c>
      <c r="AB320" s="4">
        <f ca="1">IFERROR(__xludf.DUMMYFUNCTION("""COMPUTED_VALUE"""),5)</f>
        <v>5</v>
      </c>
      <c r="AC320" s="4">
        <f ca="1">IFERROR(__xludf.DUMMYFUNCTION("""COMPUTED_VALUE"""),4)</f>
        <v>4</v>
      </c>
      <c r="AD320" s="4">
        <f ca="1">IFERROR(__xludf.DUMMYFUNCTION("""COMPUTED_VALUE"""),4)</f>
        <v>4</v>
      </c>
      <c r="AE320" s="4">
        <f ca="1">IFERROR(__xludf.DUMMYFUNCTION("""COMPUTED_VALUE"""),5)</f>
        <v>5</v>
      </c>
      <c r="AF320" s="4">
        <f ca="1">IFERROR(__xludf.DUMMYFUNCTION("""COMPUTED_VALUE"""),5)</f>
        <v>5</v>
      </c>
      <c r="AG320" s="4">
        <f ca="1">IFERROR(__xludf.DUMMYFUNCTION("""COMPUTED_VALUE"""),5)</f>
        <v>5</v>
      </c>
      <c r="AH320" s="4">
        <f ca="1">IFERROR(__xludf.DUMMYFUNCTION("""COMPUTED_VALUE"""),5)</f>
        <v>5</v>
      </c>
      <c r="AI320" s="4">
        <f ca="1">IFERROR(__xludf.DUMMYFUNCTION("""COMPUTED_VALUE"""),5)</f>
        <v>5</v>
      </c>
      <c r="AJ320" s="4">
        <f ca="1">IFERROR(__xludf.DUMMYFUNCTION("""COMPUTED_VALUE"""),5)</f>
        <v>5</v>
      </c>
      <c r="AK320" s="4">
        <f ca="1">IFERROR(__xludf.DUMMYFUNCTION("""COMPUTED_VALUE"""),5)</f>
        <v>5</v>
      </c>
      <c r="AL320" s="4">
        <f ca="1">IFERROR(__xludf.DUMMYFUNCTION("""COMPUTED_VALUE"""),5)</f>
        <v>5</v>
      </c>
      <c r="AM320" s="4">
        <f ca="1">IFERROR(__xludf.DUMMYFUNCTION("""COMPUTED_VALUE"""),5)</f>
        <v>5</v>
      </c>
      <c r="AN320" s="4">
        <f ca="1">IFERROR(__xludf.DUMMYFUNCTION("""COMPUTED_VALUE"""),5)</f>
        <v>5</v>
      </c>
      <c r="AO320" s="4">
        <f ca="1">IFERROR(__xludf.DUMMYFUNCTION("""COMPUTED_VALUE"""),5)</f>
        <v>5</v>
      </c>
      <c r="AP320" s="4">
        <f ca="1">IFERROR(__xludf.DUMMYFUNCTION("""COMPUTED_VALUE"""),5)</f>
        <v>5</v>
      </c>
      <c r="AQ320" s="4">
        <f ca="1">IFERROR(__xludf.DUMMYFUNCTION("""COMPUTED_VALUE"""),5)</f>
        <v>5</v>
      </c>
      <c r="AR320" s="4">
        <f ca="1">IFERROR(__xludf.DUMMYFUNCTION("""COMPUTED_VALUE"""),5)</f>
        <v>5</v>
      </c>
      <c r="AS320" s="4">
        <f ca="1">IFERROR(__xludf.DUMMYFUNCTION("""COMPUTED_VALUE"""),5)</f>
        <v>5</v>
      </c>
      <c r="AT320" s="4">
        <f ca="1">IFERROR(__xludf.DUMMYFUNCTION("""COMPUTED_VALUE"""),5)</f>
        <v>5</v>
      </c>
      <c r="AU320" s="4">
        <f ca="1">IFERROR(__xludf.DUMMYFUNCTION("""COMPUTED_VALUE"""),5)</f>
        <v>5</v>
      </c>
      <c r="AV320" s="4">
        <f ca="1">IFERROR(__xludf.DUMMYFUNCTION("""COMPUTED_VALUE"""),5)</f>
        <v>5</v>
      </c>
      <c r="AW320" s="4">
        <f ca="1">IFERROR(__xludf.DUMMYFUNCTION("""COMPUTED_VALUE"""),5)</f>
        <v>5</v>
      </c>
      <c r="AX320" s="4">
        <f ca="1">IFERROR(__xludf.DUMMYFUNCTION("""COMPUTED_VALUE"""),5)</f>
        <v>5</v>
      </c>
      <c r="AY320" s="4">
        <f ca="1">IFERROR(__xludf.DUMMYFUNCTION("""COMPUTED_VALUE"""),5)</f>
        <v>5</v>
      </c>
      <c r="AZ320" s="4">
        <f ca="1">IFERROR(__xludf.DUMMYFUNCTION("""COMPUTED_VALUE"""),5)</f>
        <v>5</v>
      </c>
      <c r="BA320" s="4">
        <f ca="1">IFERROR(__xludf.DUMMYFUNCTION("""COMPUTED_VALUE"""),5)</f>
        <v>5</v>
      </c>
      <c r="BB320" s="4">
        <f ca="1">IFERROR(__xludf.DUMMYFUNCTION("""COMPUTED_VALUE"""),3)</f>
        <v>3</v>
      </c>
      <c r="BC320" s="4">
        <f ca="1">IFERROR(__xludf.DUMMYFUNCTION("""COMPUTED_VALUE"""),3)</f>
        <v>3</v>
      </c>
      <c r="BD320" s="4">
        <f ca="1">IFERROR(__xludf.DUMMYFUNCTION("""COMPUTED_VALUE"""),3)</f>
        <v>3</v>
      </c>
      <c r="BE320" s="4">
        <f ca="1">IFERROR(__xludf.DUMMYFUNCTION("""COMPUTED_VALUE"""),3)</f>
        <v>3</v>
      </c>
      <c r="BF320" s="4">
        <f ca="1">IFERROR(__xludf.DUMMYFUNCTION("""COMPUTED_VALUE"""),3)</f>
        <v>3</v>
      </c>
      <c r="BG320" s="4">
        <f ca="1">IFERROR(__xludf.DUMMYFUNCTION("""COMPUTED_VALUE"""),3)</f>
        <v>3</v>
      </c>
      <c r="BH320" s="4">
        <f ca="1">IFERROR(__xludf.DUMMYFUNCTION("""COMPUTED_VALUE"""),4)</f>
        <v>4</v>
      </c>
      <c r="BI320" s="4">
        <f ca="1">IFERROR(__xludf.DUMMYFUNCTION("""COMPUTED_VALUE"""),5)</f>
        <v>5</v>
      </c>
      <c r="BJ320" s="4">
        <f ca="1">IFERROR(__xludf.DUMMYFUNCTION("""COMPUTED_VALUE"""),5)</f>
        <v>5</v>
      </c>
      <c r="BK320" s="4">
        <f ca="1">IFERROR(__xludf.DUMMYFUNCTION("""COMPUTED_VALUE"""),5)</f>
        <v>5</v>
      </c>
      <c r="BL320" s="4">
        <f ca="1">IFERROR(__xludf.DUMMYFUNCTION("""COMPUTED_VALUE"""),5)</f>
        <v>5</v>
      </c>
      <c r="BM320" s="4">
        <f ca="1">IFERROR(__xludf.DUMMYFUNCTION("""COMPUTED_VALUE"""),5)</f>
        <v>5</v>
      </c>
      <c r="BN320" s="4">
        <f ca="1">IFERROR(__xludf.DUMMYFUNCTION("""COMPUTED_VALUE"""),5)</f>
        <v>5</v>
      </c>
      <c r="BO320" s="4">
        <f ca="1">IFERROR(__xludf.DUMMYFUNCTION("""COMPUTED_VALUE"""),5)</f>
        <v>5</v>
      </c>
      <c r="BP320" s="4">
        <f ca="1">IFERROR(__xludf.DUMMYFUNCTION("""COMPUTED_VALUE"""),5)</f>
        <v>5</v>
      </c>
    </row>
    <row r="321" spans="1:68" ht="13.2" x14ac:dyDescent="0.25">
      <c r="A321" s="4" t="str">
        <f ca="1">IFERROR(__xludf.DUMMYFUNCTION("""COMPUTED_VALUE"""),"2_ABaOnud_N6aWpZKfHf6Ac85a9FIjTRxzl0JC2biSR54f0t0cSE_CSyERPa2nMo515Q")</f>
        <v>2_ABaOnud_N6aWpZKfHf6Ac85a9FIjTRxzl0JC2biSR54f0t0cSE_CSyERPa2nMo515Q</v>
      </c>
      <c r="B321" s="5">
        <f ca="1">IFERROR(__xludf.DUMMYFUNCTION("""COMPUTED_VALUE"""),45986.6151193287)</f>
        <v>45986.615119328701</v>
      </c>
      <c r="C321" s="4" t="str">
        <f ca="1">IFERROR(__xludf.DUMMYFUNCTION("""COMPUTED_VALUE"""),"Trịnh Thanh Sang ")</f>
        <v xml:space="preserve">Trịnh Thanh Sang </v>
      </c>
      <c r="D321" s="4" t="str">
        <f ca="1">IFERROR(__xludf.DUMMYFUNCTION("""COMPUTED_VALUE"""),"Nam")</f>
        <v>Nam</v>
      </c>
      <c r="E321" s="4" t="str">
        <f ca="1">IFERROR(__xludf.DUMMYFUNCTION("""COMPUTED_VALUE"""),"Công ty TNHH Kiểm toán Nhân Tâm Việt - Chi Nhánh tại tp HCM")</f>
        <v>Công ty TNHH Kiểm toán Nhân Tâm Việt - Chi Nhánh tại tp HCM</v>
      </c>
      <c r="F321" s="4" t="str">
        <f ca="1">IFERROR(__xludf.DUMMYFUNCTION("""COMPUTED_VALUE"""),"Đại học")</f>
        <v>Đại học</v>
      </c>
      <c r="G321" s="4" t="str">
        <f ca="1">IFERROR(__xludf.DUMMYFUNCTION("""COMPUTED_VALUE"""),"Trên 5 đến 10 năm")</f>
        <v>Trên 5 đến 10 năm</v>
      </c>
      <c r="H321" s="4" t="str">
        <f ca="1">IFERROR(__xludf.DUMMYFUNCTION("""COMPUTED_VALUE"""),"Kiểm toán viên/Trưởng nhóm")</f>
        <v>Kiểm toán viên/Trưởng nhóm</v>
      </c>
      <c r="I321" s="4">
        <f ca="1">IFERROR(__xludf.DUMMYFUNCTION("""COMPUTED_VALUE"""),5)</f>
        <v>5</v>
      </c>
      <c r="J321" s="4">
        <f ca="1">IFERROR(__xludf.DUMMYFUNCTION("""COMPUTED_VALUE"""),5)</f>
        <v>5</v>
      </c>
      <c r="K321" s="4">
        <f ca="1">IFERROR(__xludf.DUMMYFUNCTION("""COMPUTED_VALUE"""),4)</f>
        <v>4</v>
      </c>
      <c r="L321" s="4">
        <f ca="1">IFERROR(__xludf.DUMMYFUNCTION("""COMPUTED_VALUE"""),4)</f>
        <v>4</v>
      </c>
      <c r="M321" s="4">
        <f ca="1">IFERROR(__xludf.DUMMYFUNCTION("""COMPUTED_VALUE"""),5)</f>
        <v>5</v>
      </c>
      <c r="N321" s="4">
        <f ca="1">IFERROR(__xludf.DUMMYFUNCTION("""COMPUTED_VALUE"""),4)</f>
        <v>4</v>
      </c>
      <c r="O321" s="4">
        <f ca="1">IFERROR(__xludf.DUMMYFUNCTION("""COMPUTED_VALUE"""),4)</f>
        <v>4</v>
      </c>
      <c r="P321" s="4">
        <f ca="1">IFERROR(__xludf.DUMMYFUNCTION("""COMPUTED_VALUE"""),5)</f>
        <v>5</v>
      </c>
      <c r="Q321" s="4">
        <f ca="1">IFERROR(__xludf.DUMMYFUNCTION("""COMPUTED_VALUE"""),5)</f>
        <v>5</v>
      </c>
      <c r="R321" s="4">
        <f ca="1">IFERROR(__xludf.DUMMYFUNCTION("""COMPUTED_VALUE"""),5)</f>
        <v>5</v>
      </c>
      <c r="S321" s="4">
        <f ca="1">IFERROR(__xludf.DUMMYFUNCTION("""COMPUTED_VALUE"""),4)</f>
        <v>4</v>
      </c>
      <c r="T321" s="4">
        <f ca="1">IFERROR(__xludf.DUMMYFUNCTION("""COMPUTED_VALUE"""),5)</f>
        <v>5</v>
      </c>
      <c r="U321" s="4">
        <f ca="1">IFERROR(__xludf.DUMMYFUNCTION("""COMPUTED_VALUE"""),4)</f>
        <v>4</v>
      </c>
      <c r="V321" s="4">
        <f ca="1">IFERROR(__xludf.DUMMYFUNCTION("""COMPUTED_VALUE"""),4)</f>
        <v>4</v>
      </c>
      <c r="W321" s="4">
        <f ca="1">IFERROR(__xludf.DUMMYFUNCTION("""COMPUTED_VALUE"""),4)</f>
        <v>4</v>
      </c>
      <c r="X321" s="4">
        <f ca="1">IFERROR(__xludf.DUMMYFUNCTION("""COMPUTED_VALUE"""),4)</f>
        <v>4</v>
      </c>
      <c r="Y321" s="4">
        <f ca="1">IFERROR(__xludf.DUMMYFUNCTION("""COMPUTED_VALUE"""),4)</f>
        <v>4</v>
      </c>
      <c r="Z321" s="4">
        <f ca="1">IFERROR(__xludf.DUMMYFUNCTION("""COMPUTED_VALUE"""),4)</f>
        <v>4</v>
      </c>
      <c r="AA321" s="4">
        <f ca="1">IFERROR(__xludf.DUMMYFUNCTION("""COMPUTED_VALUE"""),3)</f>
        <v>3</v>
      </c>
      <c r="AB321" s="4">
        <f ca="1">IFERROR(__xludf.DUMMYFUNCTION("""COMPUTED_VALUE"""),4)</f>
        <v>4</v>
      </c>
      <c r="AC321" s="4">
        <f ca="1">IFERROR(__xludf.DUMMYFUNCTION("""COMPUTED_VALUE"""),4)</f>
        <v>4</v>
      </c>
      <c r="AD321" s="4">
        <f ca="1">IFERROR(__xludf.DUMMYFUNCTION("""COMPUTED_VALUE"""),4)</f>
        <v>4</v>
      </c>
      <c r="AE321" s="4">
        <f ca="1">IFERROR(__xludf.DUMMYFUNCTION("""COMPUTED_VALUE"""),5)</f>
        <v>5</v>
      </c>
      <c r="AF321" s="4">
        <f ca="1">IFERROR(__xludf.DUMMYFUNCTION("""COMPUTED_VALUE"""),5)</f>
        <v>5</v>
      </c>
      <c r="AG321" s="4">
        <f ca="1">IFERROR(__xludf.DUMMYFUNCTION("""COMPUTED_VALUE"""),5)</f>
        <v>5</v>
      </c>
      <c r="AH321" s="4">
        <f ca="1">IFERROR(__xludf.DUMMYFUNCTION("""COMPUTED_VALUE"""),4)</f>
        <v>4</v>
      </c>
      <c r="AI321" s="4">
        <f ca="1">IFERROR(__xludf.DUMMYFUNCTION("""COMPUTED_VALUE"""),4)</f>
        <v>4</v>
      </c>
      <c r="AJ321" s="4">
        <f ca="1">IFERROR(__xludf.DUMMYFUNCTION("""COMPUTED_VALUE"""),5)</f>
        <v>5</v>
      </c>
      <c r="AK321" s="4">
        <f ca="1">IFERROR(__xludf.DUMMYFUNCTION("""COMPUTED_VALUE"""),5)</f>
        <v>5</v>
      </c>
      <c r="AL321" s="4">
        <f ca="1">IFERROR(__xludf.DUMMYFUNCTION("""COMPUTED_VALUE"""),5)</f>
        <v>5</v>
      </c>
      <c r="AM321" s="4">
        <f ca="1">IFERROR(__xludf.DUMMYFUNCTION("""COMPUTED_VALUE"""),4)</f>
        <v>4</v>
      </c>
      <c r="AN321" s="4">
        <f ca="1">IFERROR(__xludf.DUMMYFUNCTION("""COMPUTED_VALUE"""),5)</f>
        <v>5</v>
      </c>
      <c r="AO321" s="4">
        <f ca="1">IFERROR(__xludf.DUMMYFUNCTION("""COMPUTED_VALUE"""),4)</f>
        <v>4</v>
      </c>
      <c r="AP321" s="4">
        <f ca="1">IFERROR(__xludf.DUMMYFUNCTION("""COMPUTED_VALUE"""),3)</f>
        <v>3</v>
      </c>
      <c r="AQ321" s="4">
        <f ca="1">IFERROR(__xludf.DUMMYFUNCTION("""COMPUTED_VALUE"""),4)</f>
        <v>4</v>
      </c>
      <c r="AR321" s="4">
        <f ca="1">IFERROR(__xludf.DUMMYFUNCTION("""COMPUTED_VALUE"""),4)</f>
        <v>4</v>
      </c>
      <c r="AS321" s="4">
        <f ca="1">IFERROR(__xludf.DUMMYFUNCTION("""COMPUTED_VALUE"""),1)</f>
        <v>1</v>
      </c>
      <c r="AT321" s="4">
        <f ca="1">IFERROR(__xludf.DUMMYFUNCTION("""COMPUTED_VALUE"""),1)</f>
        <v>1</v>
      </c>
      <c r="AU321" s="4">
        <f ca="1">IFERROR(__xludf.DUMMYFUNCTION("""COMPUTED_VALUE"""),4)</f>
        <v>4</v>
      </c>
      <c r="AV321" s="4">
        <f ca="1">IFERROR(__xludf.DUMMYFUNCTION("""COMPUTED_VALUE"""),4)</f>
        <v>4</v>
      </c>
      <c r="AW321" s="4">
        <f ca="1">IFERROR(__xludf.DUMMYFUNCTION("""COMPUTED_VALUE"""),4)</f>
        <v>4</v>
      </c>
      <c r="AX321" s="4">
        <f ca="1">IFERROR(__xludf.DUMMYFUNCTION("""COMPUTED_VALUE"""),5)</f>
        <v>5</v>
      </c>
      <c r="AY321" s="4">
        <f ca="1">IFERROR(__xludf.DUMMYFUNCTION("""COMPUTED_VALUE"""),5)</f>
        <v>5</v>
      </c>
      <c r="AZ321" s="4">
        <f ca="1">IFERROR(__xludf.DUMMYFUNCTION("""COMPUTED_VALUE"""),5)</f>
        <v>5</v>
      </c>
      <c r="BA321" s="4">
        <f ca="1">IFERROR(__xludf.DUMMYFUNCTION("""COMPUTED_VALUE"""),5)</f>
        <v>5</v>
      </c>
      <c r="BB321" s="4">
        <f ca="1">IFERROR(__xludf.DUMMYFUNCTION("""COMPUTED_VALUE"""),5)</f>
        <v>5</v>
      </c>
      <c r="BC321" s="4">
        <f ca="1">IFERROR(__xludf.DUMMYFUNCTION("""COMPUTED_VALUE"""),4)</f>
        <v>4</v>
      </c>
      <c r="BD321" s="4">
        <f ca="1">IFERROR(__xludf.DUMMYFUNCTION("""COMPUTED_VALUE"""),4)</f>
        <v>4</v>
      </c>
      <c r="BE321" s="4">
        <f ca="1">IFERROR(__xludf.DUMMYFUNCTION("""COMPUTED_VALUE"""),1)</f>
        <v>1</v>
      </c>
      <c r="BF321" s="4">
        <f ca="1">IFERROR(__xludf.DUMMYFUNCTION("""COMPUTED_VALUE"""),1)</f>
        <v>1</v>
      </c>
      <c r="BG321" s="4">
        <f ca="1">IFERROR(__xludf.DUMMYFUNCTION("""COMPUTED_VALUE"""),1)</f>
        <v>1</v>
      </c>
      <c r="BH321" s="4">
        <f ca="1">IFERROR(__xludf.DUMMYFUNCTION("""COMPUTED_VALUE"""),5)</f>
        <v>5</v>
      </c>
      <c r="BI321" s="4">
        <f ca="1">IFERROR(__xludf.DUMMYFUNCTION("""COMPUTED_VALUE"""),5)</f>
        <v>5</v>
      </c>
      <c r="BJ321" s="4">
        <f ca="1">IFERROR(__xludf.DUMMYFUNCTION("""COMPUTED_VALUE"""),5)</f>
        <v>5</v>
      </c>
      <c r="BK321" s="4">
        <f ca="1">IFERROR(__xludf.DUMMYFUNCTION("""COMPUTED_VALUE"""),4)</f>
        <v>4</v>
      </c>
      <c r="BL321" s="4">
        <f ca="1">IFERROR(__xludf.DUMMYFUNCTION("""COMPUTED_VALUE"""),4)</f>
        <v>4</v>
      </c>
      <c r="BM321" s="4">
        <f ca="1">IFERROR(__xludf.DUMMYFUNCTION("""COMPUTED_VALUE"""),5)</f>
        <v>5</v>
      </c>
      <c r="BN321" s="4">
        <f ca="1">IFERROR(__xludf.DUMMYFUNCTION("""COMPUTED_VALUE"""),5)</f>
        <v>5</v>
      </c>
      <c r="BO321" s="4">
        <f ca="1">IFERROR(__xludf.DUMMYFUNCTION("""COMPUTED_VALUE"""),5)</f>
        <v>5</v>
      </c>
      <c r="BP321" s="4">
        <f ca="1">IFERROR(__xludf.DUMMYFUNCTION("""COMPUTED_VALUE"""),4)</f>
        <v>4</v>
      </c>
    </row>
    <row r="322" spans="1:68" ht="13.2" x14ac:dyDescent="0.25">
      <c r="A322" s="4" t="str">
        <f ca="1">IFERROR(__xludf.DUMMYFUNCTION("""COMPUTED_VALUE"""),"2_ABaOnud22sBYK8AyF2Ay87Isrwnc6PTtcYr3i1w9-w7sAaj0OlmFTiSrQuz0sAzqvQ")</f>
        <v>2_ABaOnud22sBYK8AyF2Ay87Isrwnc6PTtcYr3i1w9-w7sAaj0OlmFTiSrQuz0sAzqvQ</v>
      </c>
      <c r="B322" s="5">
        <f ca="1">IFERROR(__xludf.DUMMYFUNCTION("""COMPUTED_VALUE"""),45986.6189061226)</f>
        <v>45986.618906122603</v>
      </c>
      <c r="C322" s="4"/>
      <c r="D322" s="4" t="str">
        <f ca="1">IFERROR(__xludf.DUMMYFUNCTION("""COMPUTED_VALUE"""),"Nam")</f>
        <v>Nam</v>
      </c>
      <c r="E322" s="4" t="str">
        <f ca="1">IFERROR(__xludf.DUMMYFUNCTION("""COMPUTED_VALUE"""),"Công ty TNHH Kiểm toán Bắc Đẩu")</f>
        <v>Công ty TNHH Kiểm toán Bắc Đẩu</v>
      </c>
      <c r="F322" s="4" t="str">
        <f ca="1">IFERROR(__xludf.DUMMYFUNCTION("""COMPUTED_VALUE"""),"Chứng chỉ Kiểm toán viên")</f>
        <v>Chứng chỉ Kiểm toán viên</v>
      </c>
      <c r="G322" s="4" t="str">
        <f ca="1">IFERROR(__xludf.DUMMYFUNCTION("""COMPUTED_VALUE"""),"Trên 20 năm")</f>
        <v>Trên 20 năm</v>
      </c>
      <c r="H322" s="4" t="str">
        <f ca="1">IFERROR(__xludf.DUMMYFUNCTION("""COMPUTED_VALUE"""),"Ban giám đốc")</f>
        <v>Ban giám đốc</v>
      </c>
      <c r="I322" s="4">
        <f ca="1">IFERROR(__xludf.DUMMYFUNCTION("""COMPUTED_VALUE"""),5)</f>
        <v>5</v>
      </c>
      <c r="J322" s="4">
        <f ca="1">IFERROR(__xludf.DUMMYFUNCTION("""COMPUTED_VALUE"""),5)</f>
        <v>5</v>
      </c>
      <c r="K322" s="4">
        <f ca="1">IFERROR(__xludf.DUMMYFUNCTION("""COMPUTED_VALUE"""),4)</f>
        <v>4</v>
      </c>
      <c r="L322" s="4">
        <f ca="1">IFERROR(__xludf.DUMMYFUNCTION("""COMPUTED_VALUE"""),4)</f>
        <v>4</v>
      </c>
      <c r="M322" s="4">
        <f ca="1">IFERROR(__xludf.DUMMYFUNCTION("""COMPUTED_VALUE"""),4)</f>
        <v>4</v>
      </c>
      <c r="N322" s="4">
        <f ca="1">IFERROR(__xludf.DUMMYFUNCTION("""COMPUTED_VALUE"""),4)</f>
        <v>4</v>
      </c>
      <c r="O322" s="4">
        <f ca="1">IFERROR(__xludf.DUMMYFUNCTION("""COMPUTED_VALUE"""),4)</f>
        <v>4</v>
      </c>
      <c r="P322" s="4">
        <f ca="1">IFERROR(__xludf.DUMMYFUNCTION("""COMPUTED_VALUE"""),4)</f>
        <v>4</v>
      </c>
      <c r="Q322" s="4">
        <f ca="1">IFERROR(__xludf.DUMMYFUNCTION("""COMPUTED_VALUE"""),4)</f>
        <v>4</v>
      </c>
      <c r="R322" s="4">
        <f ca="1">IFERROR(__xludf.DUMMYFUNCTION("""COMPUTED_VALUE"""),4)</f>
        <v>4</v>
      </c>
      <c r="S322" s="4">
        <f ca="1">IFERROR(__xludf.DUMMYFUNCTION("""COMPUTED_VALUE"""),3)</f>
        <v>3</v>
      </c>
      <c r="T322" s="4">
        <f ca="1">IFERROR(__xludf.DUMMYFUNCTION("""COMPUTED_VALUE"""),4)</f>
        <v>4</v>
      </c>
      <c r="U322" s="4">
        <f ca="1">IFERROR(__xludf.DUMMYFUNCTION("""COMPUTED_VALUE"""),3)</f>
        <v>3</v>
      </c>
      <c r="V322" s="4">
        <f ca="1">IFERROR(__xludf.DUMMYFUNCTION("""COMPUTED_VALUE"""),4)</f>
        <v>4</v>
      </c>
      <c r="W322" s="4">
        <f ca="1">IFERROR(__xludf.DUMMYFUNCTION("""COMPUTED_VALUE"""),4)</f>
        <v>4</v>
      </c>
      <c r="X322" s="4">
        <f ca="1">IFERROR(__xludf.DUMMYFUNCTION("""COMPUTED_VALUE"""),4)</f>
        <v>4</v>
      </c>
      <c r="Y322" s="4">
        <f ca="1">IFERROR(__xludf.DUMMYFUNCTION("""COMPUTED_VALUE"""),3)</f>
        <v>3</v>
      </c>
      <c r="Z322" s="4">
        <f ca="1">IFERROR(__xludf.DUMMYFUNCTION("""COMPUTED_VALUE"""),4)</f>
        <v>4</v>
      </c>
      <c r="AA322" s="4">
        <f ca="1">IFERROR(__xludf.DUMMYFUNCTION("""COMPUTED_VALUE"""),3)</f>
        <v>3</v>
      </c>
      <c r="AB322" s="4">
        <f ca="1">IFERROR(__xludf.DUMMYFUNCTION("""COMPUTED_VALUE"""),4)</f>
        <v>4</v>
      </c>
      <c r="AC322" s="4">
        <f ca="1">IFERROR(__xludf.DUMMYFUNCTION("""COMPUTED_VALUE"""),4)</f>
        <v>4</v>
      </c>
      <c r="AD322" s="4">
        <f ca="1">IFERROR(__xludf.DUMMYFUNCTION("""COMPUTED_VALUE"""),4)</f>
        <v>4</v>
      </c>
      <c r="AE322" s="4">
        <f ca="1">IFERROR(__xludf.DUMMYFUNCTION("""COMPUTED_VALUE"""),4)</f>
        <v>4</v>
      </c>
      <c r="AF322" s="4">
        <f ca="1">IFERROR(__xludf.DUMMYFUNCTION("""COMPUTED_VALUE"""),4)</f>
        <v>4</v>
      </c>
      <c r="AG322" s="4">
        <f ca="1">IFERROR(__xludf.DUMMYFUNCTION("""COMPUTED_VALUE"""),4)</f>
        <v>4</v>
      </c>
      <c r="AH322" s="4">
        <f ca="1">IFERROR(__xludf.DUMMYFUNCTION("""COMPUTED_VALUE"""),4)</f>
        <v>4</v>
      </c>
      <c r="AI322" s="4">
        <f ca="1">IFERROR(__xludf.DUMMYFUNCTION("""COMPUTED_VALUE"""),3)</f>
        <v>3</v>
      </c>
      <c r="AJ322" s="4">
        <f ca="1">IFERROR(__xludf.DUMMYFUNCTION("""COMPUTED_VALUE"""),4)</f>
        <v>4</v>
      </c>
      <c r="AK322" s="4">
        <f ca="1">IFERROR(__xludf.DUMMYFUNCTION("""COMPUTED_VALUE"""),4)</f>
        <v>4</v>
      </c>
      <c r="AL322" s="4">
        <f ca="1">IFERROR(__xludf.DUMMYFUNCTION("""COMPUTED_VALUE"""),4)</f>
        <v>4</v>
      </c>
      <c r="AM322" s="4">
        <f ca="1">IFERROR(__xludf.DUMMYFUNCTION("""COMPUTED_VALUE"""),3)</f>
        <v>3</v>
      </c>
      <c r="AN322" s="4">
        <f ca="1">IFERROR(__xludf.DUMMYFUNCTION("""COMPUTED_VALUE"""),4)</f>
        <v>4</v>
      </c>
      <c r="AO322" s="4">
        <f ca="1">IFERROR(__xludf.DUMMYFUNCTION("""COMPUTED_VALUE"""),4)</f>
        <v>4</v>
      </c>
      <c r="AP322" s="4">
        <f ca="1">IFERROR(__xludf.DUMMYFUNCTION("""COMPUTED_VALUE"""),4)</f>
        <v>4</v>
      </c>
      <c r="AQ322" s="4">
        <f ca="1">IFERROR(__xludf.DUMMYFUNCTION("""COMPUTED_VALUE"""),4)</f>
        <v>4</v>
      </c>
      <c r="AR322" s="4">
        <f ca="1">IFERROR(__xludf.DUMMYFUNCTION("""COMPUTED_VALUE"""),4)</f>
        <v>4</v>
      </c>
      <c r="AS322" s="4">
        <f ca="1">IFERROR(__xludf.DUMMYFUNCTION("""COMPUTED_VALUE"""),3)</f>
        <v>3</v>
      </c>
      <c r="AT322" s="4">
        <f ca="1">IFERROR(__xludf.DUMMYFUNCTION("""COMPUTED_VALUE"""),3)</f>
        <v>3</v>
      </c>
      <c r="AU322" s="4">
        <f ca="1">IFERROR(__xludf.DUMMYFUNCTION("""COMPUTED_VALUE"""),4)</f>
        <v>4</v>
      </c>
      <c r="AV322" s="4">
        <f ca="1">IFERROR(__xludf.DUMMYFUNCTION("""COMPUTED_VALUE"""),4)</f>
        <v>4</v>
      </c>
      <c r="AW322" s="4">
        <f ca="1">IFERROR(__xludf.DUMMYFUNCTION("""COMPUTED_VALUE"""),4)</f>
        <v>4</v>
      </c>
      <c r="AX322" s="4">
        <f ca="1">IFERROR(__xludf.DUMMYFUNCTION("""COMPUTED_VALUE"""),4)</f>
        <v>4</v>
      </c>
      <c r="AY322" s="4">
        <f ca="1">IFERROR(__xludf.DUMMYFUNCTION("""COMPUTED_VALUE"""),4)</f>
        <v>4</v>
      </c>
      <c r="AZ322" s="4">
        <f ca="1">IFERROR(__xludf.DUMMYFUNCTION("""COMPUTED_VALUE"""),4)</f>
        <v>4</v>
      </c>
      <c r="BA322" s="4">
        <f ca="1">IFERROR(__xludf.DUMMYFUNCTION("""COMPUTED_VALUE"""),4)</f>
        <v>4</v>
      </c>
      <c r="BB322" s="4">
        <f ca="1">IFERROR(__xludf.DUMMYFUNCTION("""COMPUTED_VALUE"""),4)</f>
        <v>4</v>
      </c>
      <c r="BC322" s="4">
        <f ca="1">IFERROR(__xludf.DUMMYFUNCTION("""COMPUTED_VALUE"""),3)</f>
        <v>3</v>
      </c>
      <c r="BD322" s="4">
        <f ca="1">IFERROR(__xludf.DUMMYFUNCTION("""COMPUTED_VALUE"""),4)</f>
        <v>4</v>
      </c>
      <c r="BE322" s="4">
        <f ca="1">IFERROR(__xludf.DUMMYFUNCTION("""COMPUTED_VALUE"""),4)</f>
        <v>4</v>
      </c>
      <c r="BF322" s="4">
        <f ca="1">IFERROR(__xludf.DUMMYFUNCTION("""COMPUTED_VALUE"""),4)</f>
        <v>4</v>
      </c>
      <c r="BG322" s="4">
        <f ca="1">IFERROR(__xludf.DUMMYFUNCTION("""COMPUTED_VALUE"""),4)</f>
        <v>4</v>
      </c>
      <c r="BH322" s="4">
        <f ca="1">IFERROR(__xludf.DUMMYFUNCTION("""COMPUTED_VALUE"""),4)</f>
        <v>4</v>
      </c>
      <c r="BI322" s="4">
        <f ca="1">IFERROR(__xludf.DUMMYFUNCTION("""COMPUTED_VALUE"""),4)</f>
        <v>4</v>
      </c>
      <c r="BJ322" s="4">
        <f ca="1">IFERROR(__xludf.DUMMYFUNCTION("""COMPUTED_VALUE"""),4)</f>
        <v>4</v>
      </c>
      <c r="BK322" s="4">
        <f ca="1">IFERROR(__xludf.DUMMYFUNCTION("""COMPUTED_VALUE"""),4)</f>
        <v>4</v>
      </c>
      <c r="BL322" s="4">
        <f ca="1">IFERROR(__xludf.DUMMYFUNCTION("""COMPUTED_VALUE"""),4)</f>
        <v>4</v>
      </c>
      <c r="BM322" s="4">
        <f ca="1">IFERROR(__xludf.DUMMYFUNCTION("""COMPUTED_VALUE"""),4)</f>
        <v>4</v>
      </c>
      <c r="BN322" s="4">
        <f ca="1">IFERROR(__xludf.DUMMYFUNCTION("""COMPUTED_VALUE"""),4)</f>
        <v>4</v>
      </c>
      <c r="BO322" s="4">
        <f ca="1">IFERROR(__xludf.DUMMYFUNCTION("""COMPUTED_VALUE"""),4)</f>
        <v>4</v>
      </c>
      <c r="BP322" s="4">
        <f ca="1">IFERROR(__xludf.DUMMYFUNCTION("""COMPUTED_VALUE"""),3)</f>
        <v>3</v>
      </c>
    </row>
    <row r="323" spans="1:68" ht="13.2" x14ac:dyDescent="0.25">
      <c r="A323" s="4" t="str">
        <f ca="1">IFERROR(__xludf.DUMMYFUNCTION("""COMPUTED_VALUE"""),"2_ABaOnueKfogQOHIPAtQdnMQogkpt7IKfP6lV1x7PYl2-XUhteKPRE0cl0igZ188h_w")</f>
        <v>2_ABaOnueKfogQOHIPAtQdnMQogkpt7IKfP6lV1x7PYl2-XUhteKPRE0cl0igZ188h_w</v>
      </c>
      <c r="B323" s="5">
        <f ca="1">IFERROR(__xludf.DUMMYFUNCTION("""COMPUTED_VALUE"""),45986.6207365046)</f>
        <v>45986.620736504599</v>
      </c>
      <c r="C323" s="4" t="str">
        <f ca="1">IFERROR(__xludf.DUMMYFUNCTION("""COMPUTED_VALUE"""),"Nguyễn Thị Huyền Trang")</f>
        <v>Nguyễn Thị Huyền Trang</v>
      </c>
      <c r="D323" s="4" t="str">
        <f ca="1">IFERROR(__xludf.DUMMYFUNCTION("""COMPUTED_VALUE"""),"Nữ")</f>
        <v>Nữ</v>
      </c>
      <c r="E323" s="4" t="str">
        <f ca="1">IFERROR(__xludf.DUMMYFUNCTION("""COMPUTED_VALUE"""),"Công ty TNHH Kiểm toán Nhân Tâm Việt - Chi nhánh tại Thành phố Hồ Chí Minh")</f>
        <v>Công ty TNHH Kiểm toán Nhân Tâm Việt - Chi nhánh tại Thành phố Hồ Chí Minh</v>
      </c>
      <c r="F323" s="4" t="str">
        <f ca="1">IFERROR(__xludf.DUMMYFUNCTION("""COMPUTED_VALUE"""),"Đại học, Chứng chỉ Kiểm toán viên")</f>
        <v>Đại học, Chứng chỉ Kiểm toán viên</v>
      </c>
      <c r="G323" s="4" t="str">
        <f ca="1">IFERROR(__xludf.DUMMYFUNCTION("""COMPUTED_VALUE"""),"Trên 5 đến 10 năm")</f>
        <v>Trên 5 đến 10 năm</v>
      </c>
      <c r="H323" s="4" t="str">
        <f ca="1">IFERROR(__xludf.DUMMYFUNCTION("""COMPUTED_VALUE"""),"Kiểm toán viên/Trưởng nhóm")</f>
        <v>Kiểm toán viên/Trưởng nhóm</v>
      </c>
      <c r="I323" s="4">
        <f ca="1">IFERROR(__xludf.DUMMYFUNCTION("""COMPUTED_VALUE"""),5)</f>
        <v>5</v>
      </c>
      <c r="J323" s="4">
        <f ca="1">IFERROR(__xludf.DUMMYFUNCTION("""COMPUTED_VALUE"""),5)</f>
        <v>5</v>
      </c>
      <c r="K323" s="4">
        <f ca="1">IFERROR(__xludf.DUMMYFUNCTION("""COMPUTED_VALUE"""),5)</f>
        <v>5</v>
      </c>
      <c r="L323" s="4">
        <f ca="1">IFERROR(__xludf.DUMMYFUNCTION("""COMPUTED_VALUE"""),5)</f>
        <v>5</v>
      </c>
      <c r="M323" s="4">
        <f ca="1">IFERROR(__xludf.DUMMYFUNCTION("""COMPUTED_VALUE"""),5)</f>
        <v>5</v>
      </c>
      <c r="N323" s="4">
        <f ca="1">IFERROR(__xludf.DUMMYFUNCTION("""COMPUTED_VALUE"""),5)</f>
        <v>5</v>
      </c>
      <c r="O323" s="4">
        <f ca="1">IFERROR(__xludf.DUMMYFUNCTION("""COMPUTED_VALUE"""),5)</f>
        <v>5</v>
      </c>
      <c r="P323" s="4">
        <f ca="1">IFERROR(__xludf.DUMMYFUNCTION("""COMPUTED_VALUE"""),5)</f>
        <v>5</v>
      </c>
      <c r="Q323" s="4">
        <f ca="1">IFERROR(__xludf.DUMMYFUNCTION("""COMPUTED_VALUE"""),5)</f>
        <v>5</v>
      </c>
      <c r="R323" s="4">
        <f ca="1">IFERROR(__xludf.DUMMYFUNCTION("""COMPUTED_VALUE"""),5)</f>
        <v>5</v>
      </c>
      <c r="S323" s="4">
        <f ca="1">IFERROR(__xludf.DUMMYFUNCTION("""COMPUTED_VALUE"""),5)</f>
        <v>5</v>
      </c>
      <c r="T323" s="4">
        <f ca="1">IFERROR(__xludf.DUMMYFUNCTION("""COMPUTED_VALUE"""),5)</f>
        <v>5</v>
      </c>
      <c r="U323" s="4">
        <f ca="1">IFERROR(__xludf.DUMMYFUNCTION("""COMPUTED_VALUE"""),5)</f>
        <v>5</v>
      </c>
      <c r="V323" s="4">
        <f ca="1">IFERROR(__xludf.DUMMYFUNCTION("""COMPUTED_VALUE"""),5)</f>
        <v>5</v>
      </c>
      <c r="W323" s="4">
        <f ca="1">IFERROR(__xludf.DUMMYFUNCTION("""COMPUTED_VALUE"""),4)</f>
        <v>4</v>
      </c>
      <c r="X323" s="4">
        <f ca="1">IFERROR(__xludf.DUMMYFUNCTION("""COMPUTED_VALUE"""),4)</f>
        <v>4</v>
      </c>
      <c r="Y323" s="4">
        <f ca="1">IFERROR(__xludf.DUMMYFUNCTION("""COMPUTED_VALUE"""),4)</f>
        <v>4</v>
      </c>
      <c r="Z323" s="4">
        <f ca="1">IFERROR(__xludf.DUMMYFUNCTION("""COMPUTED_VALUE"""),4)</f>
        <v>4</v>
      </c>
      <c r="AA323" s="4">
        <f ca="1">IFERROR(__xludf.DUMMYFUNCTION("""COMPUTED_VALUE"""),4)</f>
        <v>4</v>
      </c>
      <c r="AB323" s="4">
        <f ca="1">IFERROR(__xludf.DUMMYFUNCTION("""COMPUTED_VALUE"""),4)</f>
        <v>4</v>
      </c>
      <c r="AC323" s="4">
        <f ca="1">IFERROR(__xludf.DUMMYFUNCTION("""COMPUTED_VALUE"""),3)</f>
        <v>3</v>
      </c>
      <c r="AD323" s="4">
        <f ca="1">IFERROR(__xludf.DUMMYFUNCTION("""COMPUTED_VALUE"""),3)</f>
        <v>3</v>
      </c>
      <c r="AE323" s="4">
        <f ca="1">IFERROR(__xludf.DUMMYFUNCTION("""COMPUTED_VALUE"""),5)</f>
        <v>5</v>
      </c>
      <c r="AF323" s="4">
        <f ca="1">IFERROR(__xludf.DUMMYFUNCTION("""COMPUTED_VALUE"""),5)</f>
        <v>5</v>
      </c>
      <c r="AG323" s="4">
        <f ca="1">IFERROR(__xludf.DUMMYFUNCTION("""COMPUTED_VALUE"""),5)</f>
        <v>5</v>
      </c>
      <c r="AH323" s="4">
        <f ca="1">IFERROR(__xludf.DUMMYFUNCTION("""COMPUTED_VALUE"""),5)</f>
        <v>5</v>
      </c>
      <c r="AI323" s="4">
        <f ca="1">IFERROR(__xludf.DUMMYFUNCTION("""COMPUTED_VALUE"""),5)</f>
        <v>5</v>
      </c>
      <c r="AJ323" s="4">
        <f ca="1">IFERROR(__xludf.DUMMYFUNCTION("""COMPUTED_VALUE"""),4)</f>
        <v>4</v>
      </c>
      <c r="AK323" s="4">
        <f ca="1">IFERROR(__xludf.DUMMYFUNCTION("""COMPUTED_VALUE"""),4)</f>
        <v>4</v>
      </c>
      <c r="AL323" s="4">
        <f ca="1">IFERROR(__xludf.DUMMYFUNCTION("""COMPUTED_VALUE"""),4)</f>
        <v>4</v>
      </c>
      <c r="AM323" s="4">
        <f ca="1">IFERROR(__xludf.DUMMYFUNCTION("""COMPUTED_VALUE"""),4)</f>
        <v>4</v>
      </c>
      <c r="AN323" s="4">
        <f ca="1">IFERROR(__xludf.DUMMYFUNCTION("""COMPUTED_VALUE"""),4)</f>
        <v>4</v>
      </c>
      <c r="AO323" s="4">
        <f ca="1">IFERROR(__xludf.DUMMYFUNCTION("""COMPUTED_VALUE"""),3)</f>
        <v>3</v>
      </c>
      <c r="AP323" s="4">
        <f ca="1">IFERROR(__xludf.DUMMYFUNCTION("""COMPUTED_VALUE"""),4)</f>
        <v>4</v>
      </c>
      <c r="AQ323" s="4">
        <f ca="1">IFERROR(__xludf.DUMMYFUNCTION("""COMPUTED_VALUE"""),4)</f>
        <v>4</v>
      </c>
      <c r="AR323" s="4">
        <f ca="1">IFERROR(__xludf.DUMMYFUNCTION("""COMPUTED_VALUE"""),3)</f>
        <v>3</v>
      </c>
      <c r="AS323" s="4">
        <f ca="1">IFERROR(__xludf.DUMMYFUNCTION("""COMPUTED_VALUE"""),4)</f>
        <v>4</v>
      </c>
      <c r="AT323" s="4">
        <f ca="1">IFERROR(__xludf.DUMMYFUNCTION("""COMPUTED_VALUE"""),4)</f>
        <v>4</v>
      </c>
      <c r="AU323" s="4">
        <f ca="1">IFERROR(__xludf.DUMMYFUNCTION("""COMPUTED_VALUE"""),4)</f>
        <v>4</v>
      </c>
      <c r="AV323" s="4">
        <f ca="1">IFERROR(__xludf.DUMMYFUNCTION("""COMPUTED_VALUE"""),4)</f>
        <v>4</v>
      </c>
      <c r="AW323" s="4">
        <f ca="1">IFERROR(__xludf.DUMMYFUNCTION("""COMPUTED_VALUE"""),4)</f>
        <v>4</v>
      </c>
      <c r="AX323" s="4">
        <f ca="1">IFERROR(__xludf.DUMMYFUNCTION("""COMPUTED_VALUE"""),4)</f>
        <v>4</v>
      </c>
      <c r="AY323" s="4">
        <f ca="1">IFERROR(__xludf.DUMMYFUNCTION("""COMPUTED_VALUE"""),4)</f>
        <v>4</v>
      </c>
      <c r="AZ323" s="4">
        <f ca="1">IFERROR(__xludf.DUMMYFUNCTION("""COMPUTED_VALUE"""),4)</f>
        <v>4</v>
      </c>
      <c r="BA323" s="4">
        <f ca="1">IFERROR(__xludf.DUMMYFUNCTION("""COMPUTED_VALUE"""),4)</f>
        <v>4</v>
      </c>
      <c r="BB323" s="4">
        <f ca="1">IFERROR(__xludf.DUMMYFUNCTION("""COMPUTED_VALUE"""),3)</f>
        <v>3</v>
      </c>
      <c r="BC323" s="4">
        <f ca="1">IFERROR(__xludf.DUMMYFUNCTION("""COMPUTED_VALUE"""),2)</f>
        <v>2</v>
      </c>
      <c r="BD323" s="4">
        <f ca="1">IFERROR(__xludf.DUMMYFUNCTION("""COMPUTED_VALUE"""),4)</f>
        <v>4</v>
      </c>
      <c r="BE323" s="4">
        <f ca="1">IFERROR(__xludf.DUMMYFUNCTION("""COMPUTED_VALUE"""),3)</f>
        <v>3</v>
      </c>
      <c r="BF323" s="4">
        <f ca="1">IFERROR(__xludf.DUMMYFUNCTION("""COMPUTED_VALUE"""),3)</f>
        <v>3</v>
      </c>
      <c r="BG323" s="4">
        <f ca="1">IFERROR(__xludf.DUMMYFUNCTION("""COMPUTED_VALUE"""),3)</f>
        <v>3</v>
      </c>
      <c r="BH323" s="4">
        <f ca="1">IFERROR(__xludf.DUMMYFUNCTION("""COMPUTED_VALUE"""),5)</f>
        <v>5</v>
      </c>
      <c r="BI323" s="4">
        <f ca="1">IFERROR(__xludf.DUMMYFUNCTION("""COMPUTED_VALUE"""),5)</f>
        <v>5</v>
      </c>
      <c r="BJ323" s="4">
        <f ca="1">IFERROR(__xludf.DUMMYFUNCTION("""COMPUTED_VALUE"""),5)</f>
        <v>5</v>
      </c>
      <c r="BK323" s="4">
        <f ca="1">IFERROR(__xludf.DUMMYFUNCTION("""COMPUTED_VALUE"""),4)</f>
        <v>4</v>
      </c>
      <c r="BL323" s="4">
        <f ca="1">IFERROR(__xludf.DUMMYFUNCTION("""COMPUTED_VALUE"""),4)</f>
        <v>4</v>
      </c>
      <c r="BM323" s="4">
        <f ca="1">IFERROR(__xludf.DUMMYFUNCTION("""COMPUTED_VALUE"""),4)</f>
        <v>4</v>
      </c>
      <c r="BN323" s="4">
        <f ca="1">IFERROR(__xludf.DUMMYFUNCTION("""COMPUTED_VALUE"""),4)</f>
        <v>4</v>
      </c>
      <c r="BO323" s="4">
        <f ca="1">IFERROR(__xludf.DUMMYFUNCTION("""COMPUTED_VALUE"""),4)</f>
        <v>4</v>
      </c>
      <c r="BP323" s="4">
        <f ca="1">IFERROR(__xludf.DUMMYFUNCTION("""COMPUTED_VALUE"""),4)</f>
        <v>4</v>
      </c>
    </row>
    <row r="324" spans="1:68" ht="13.2" x14ac:dyDescent="0.25">
      <c r="A324" s="4" t="str">
        <f ca="1">IFERROR(__xludf.DUMMYFUNCTION("""COMPUTED_VALUE"""),"2_ABaOnueG5VHL9rb8yg0lH8vXnUf5GnJz6KxyjgYbF874iHI3cW_VtQSHCKJ8MvG_jA")</f>
        <v>2_ABaOnueG5VHL9rb8yg0lH8vXnUf5GnJz6KxyjgYbF874iHI3cW_VtQSHCKJ8MvG_jA</v>
      </c>
      <c r="B324" s="5">
        <f ca="1">IFERROR(__xludf.DUMMYFUNCTION("""COMPUTED_VALUE"""),45986.6256920949)</f>
        <v>45986.625692094902</v>
      </c>
      <c r="C324" s="4" t="str">
        <f ca="1">IFERROR(__xludf.DUMMYFUNCTION("""COMPUTED_VALUE"""),"Trịnh Mỹ Linh")</f>
        <v>Trịnh Mỹ Linh</v>
      </c>
      <c r="D324" s="4" t="str">
        <f ca="1">IFERROR(__xludf.DUMMYFUNCTION("""COMPUTED_VALUE"""),"Nữ")</f>
        <v>Nữ</v>
      </c>
      <c r="E324" s="4" t="str">
        <f ca="1">IFERROR(__xludf.DUMMYFUNCTION("""COMPUTED_VALUE"""),"Công ty TNHH Kiểm toán và Tư vấn Tâm An")</f>
        <v>Công ty TNHH Kiểm toán và Tư vấn Tâm An</v>
      </c>
      <c r="F324" s="4" t="str">
        <f ca="1">IFERROR(__xludf.DUMMYFUNCTION("""COMPUTED_VALUE"""),"Sau đại học")</f>
        <v>Sau đại học</v>
      </c>
      <c r="G324" s="4" t="str">
        <f ca="1">IFERROR(__xludf.DUMMYFUNCTION("""COMPUTED_VALUE"""),"Từ 3 đến 5 năm")</f>
        <v>Từ 3 đến 5 năm</v>
      </c>
      <c r="H324" s="4" t="str">
        <f ca="1">IFERROR(__xludf.DUMMYFUNCTION("""COMPUTED_VALUE"""),"Trợ lý kiểm toán")</f>
        <v>Trợ lý kiểm toán</v>
      </c>
      <c r="I324" s="4">
        <f ca="1">IFERROR(__xludf.DUMMYFUNCTION("""COMPUTED_VALUE"""),1)</f>
        <v>1</v>
      </c>
      <c r="J324" s="4">
        <f ca="1">IFERROR(__xludf.DUMMYFUNCTION("""COMPUTED_VALUE"""),1)</f>
        <v>1</v>
      </c>
      <c r="K324" s="4">
        <f ca="1">IFERROR(__xludf.DUMMYFUNCTION("""COMPUTED_VALUE"""),1)</f>
        <v>1</v>
      </c>
      <c r="L324" s="4">
        <f ca="1">IFERROR(__xludf.DUMMYFUNCTION("""COMPUTED_VALUE"""),1)</f>
        <v>1</v>
      </c>
      <c r="M324" s="4">
        <f ca="1">IFERROR(__xludf.DUMMYFUNCTION("""COMPUTED_VALUE"""),1)</f>
        <v>1</v>
      </c>
      <c r="N324" s="4">
        <f ca="1">IFERROR(__xludf.DUMMYFUNCTION("""COMPUTED_VALUE"""),1)</f>
        <v>1</v>
      </c>
      <c r="O324" s="4">
        <f ca="1">IFERROR(__xludf.DUMMYFUNCTION("""COMPUTED_VALUE"""),1)</f>
        <v>1</v>
      </c>
      <c r="P324" s="4">
        <f ca="1">IFERROR(__xludf.DUMMYFUNCTION("""COMPUTED_VALUE"""),1)</f>
        <v>1</v>
      </c>
      <c r="Q324" s="4">
        <f ca="1">IFERROR(__xludf.DUMMYFUNCTION("""COMPUTED_VALUE"""),1)</f>
        <v>1</v>
      </c>
      <c r="R324" s="4">
        <f ca="1">IFERROR(__xludf.DUMMYFUNCTION("""COMPUTED_VALUE"""),1)</f>
        <v>1</v>
      </c>
      <c r="S324" s="4">
        <f ca="1">IFERROR(__xludf.DUMMYFUNCTION("""COMPUTED_VALUE"""),1)</f>
        <v>1</v>
      </c>
      <c r="T324" s="4">
        <f ca="1">IFERROR(__xludf.DUMMYFUNCTION("""COMPUTED_VALUE"""),1)</f>
        <v>1</v>
      </c>
      <c r="U324" s="4">
        <f ca="1">IFERROR(__xludf.DUMMYFUNCTION("""COMPUTED_VALUE"""),1)</f>
        <v>1</v>
      </c>
      <c r="V324" s="4">
        <f ca="1">IFERROR(__xludf.DUMMYFUNCTION("""COMPUTED_VALUE"""),1)</f>
        <v>1</v>
      </c>
      <c r="W324" s="4">
        <f ca="1">IFERROR(__xludf.DUMMYFUNCTION("""COMPUTED_VALUE"""),1)</f>
        <v>1</v>
      </c>
      <c r="X324" s="4">
        <f ca="1">IFERROR(__xludf.DUMMYFUNCTION("""COMPUTED_VALUE"""),1)</f>
        <v>1</v>
      </c>
      <c r="Y324" s="4">
        <f ca="1">IFERROR(__xludf.DUMMYFUNCTION("""COMPUTED_VALUE"""),1)</f>
        <v>1</v>
      </c>
      <c r="Z324" s="4">
        <f ca="1">IFERROR(__xludf.DUMMYFUNCTION("""COMPUTED_VALUE"""),1)</f>
        <v>1</v>
      </c>
      <c r="AA324" s="4">
        <f ca="1">IFERROR(__xludf.DUMMYFUNCTION("""COMPUTED_VALUE"""),1)</f>
        <v>1</v>
      </c>
      <c r="AB324" s="4">
        <f ca="1">IFERROR(__xludf.DUMMYFUNCTION("""COMPUTED_VALUE"""),3)</f>
        <v>3</v>
      </c>
      <c r="AC324" s="4">
        <f ca="1">IFERROR(__xludf.DUMMYFUNCTION("""COMPUTED_VALUE"""),1)</f>
        <v>1</v>
      </c>
      <c r="AD324" s="4">
        <f ca="1">IFERROR(__xludf.DUMMYFUNCTION("""COMPUTED_VALUE"""),3)</f>
        <v>3</v>
      </c>
      <c r="AE324" s="4">
        <f ca="1">IFERROR(__xludf.DUMMYFUNCTION("""COMPUTED_VALUE"""),3)</f>
        <v>3</v>
      </c>
      <c r="AF324" s="4">
        <f ca="1">IFERROR(__xludf.DUMMYFUNCTION("""COMPUTED_VALUE"""),1)</f>
        <v>1</v>
      </c>
      <c r="AG324" s="4">
        <f ca="1">IFERROR(__xludf.DUMMYFUNCTION("""COMPUTED_VALUE"""),1)</f>
        <v>1</v>
      </c>
      <c r="AH324" s="4">
        <f ca="1">IFERROR(__xludf.DUMMYFUNCTION("""COMPUTED_VALUE"""),1)</f>
        <v>1</v>
      </c>
      <c r="AI324" s="4">
        <f ca="1">IFERROR(__xludf.DUMMYFUNCTION("""COMPUTED_VALUE"""),1)</f>
        <v>1</v>
      </c>
      <c r="AJ324" s="4">
        <f ca="1">IFERROR(__xludf.DUMMYFUNCTION("""COMPUTED_VALUE"""),1)</f>
        <v>1</v>
      </c>
      <c r="AK324" s="4">
        <f ca="1">IFERROR(__xludf.DUMMYFUNCTION("""COMPUTED_VALUE"""),1)</f>
        <v>1</v>
      </c>
      <c r="AL324" s="4">
        <f ca="1">IFERROR(__xludf.DUMMYFUNCTION("""COMPUTED_VALUE"""),1)</f>
        <v>1</v>
      </c>
      <c r="AM324" s="4">
        <f ca="1">IFERROR(__xludf.DUMMYFUNCTION("""COMPUTED_VALUE"""),1)</f>
        <v>1</v>
      </c>
      <c r="AN324" s="4">
        <f ca="1">IFERROR(__xludf.DUMMYFUNCTION("""COMPUTED_VALUE"""),1)</f>
        <v>1</v>
      </c>
      <c r="AO324" s="4">
        <f ca="1">IFERROR(__xludf.DUMMYFUNCTION("""COMPUTED_VALUE"""),1)</f>
        <v>1</v>
      </c>
      <c r="AP324" s="4">
        <f ca="1">IFERROR(__xludf.DUMMYFUNCTION("""COMPUTED_VALUE"""),1)</f>
        <v>1</v>
      </c>
      <c r="AQ324" s="4">
        <f ca="1">IFERROR(__xludf.DUMMYFUNCTION("""COMPUTED_VALUE"""),1)</f>
        <v>1</v>
      </c>
      <c r="AR324" s="4">
        <f ca="1">IFERROR(__xludf.DUMMYFUNCTION("""COMPUTED_VALUE"""),1)</f>
        <v>1</v>
      </c>
      <c r="AS324" s="4">
        <f ca="1">IFERROR(__xludf.DUMMYFUNCTION("""COMPUTED_VALUE"""),1)</f>
        <v>1</v>
      </c>
      <c r="AT324" s="4">
        <f ca="1">IFERROR(__xludf.DUMMYFUNCTION("""COMPUTED_VALUE"""),1)</f>
        <v>1</v>
      </c>
      <c r="AU324" s="4">
        <f ca="1">IFERROR(__xludf.DUMMYFUNCTION("""COMPUTED_VALUE"""),1)</f>
        <v>1</v>
      </c>
      <c r="AV324" s="4">
        <f ca="1">IFERROR(__xludf.DUMMYFUNCTION("""COMPUTED_VALUE"""),1)</f>
        <v>1</v>
      </c>
      <c r="AW324" s="4">
        <f ca="1">IFERROR(__xludf.DUMMYFUNCTION("""COMPUTED_VALUE"""),1)</f>
        <v>1</v>
      </c>
      <c r="AX324" s="4">
        <f ca="1">IFERROR(__xludf.DUMMYFUNCTION("""COMPUTED_VALUE"""),1)</f>
        <v>1</v>
      </c>
      <c r="AY324" s="4">
        <f ca="1">IFERROR(__xludf.DUMMYFUNCTION("""COMPUTED_VALUE"""),1)</f>
        <v>1</v>
      </c>
      <c r="AZ324" s="4">
        <f ca="1">IFERROR(__xludf.DUMMYFUNCTION("""COMPUTED_VALUE"""),1)</f>
        <v>1</v>
      </c>
      <c r="BA324" s="4">
        <f ca="1">IFERROR(__xludf.DUMMYFUNCTION("""COMPUTED_VALUE"""),1)</f>
        <v>1</v>
      </c>
      <c r="BB324" s="4">
        <f ca="1">IFERROR(__xludf.DUMMYFUNCTION("""COMPUTED_VALUE"""),1)</f>
        <v>1</v>
      </c>
      <c r="BC324" s="4">
        <f ca="1">IFERROR(__xludf.DUMMYFUNCTION("""COMPUTED_VALUE"""),1)</f>
        <v>1</v>
      </c>
      <c r="BD324" s="4">
        <f ca="1">IFERROR(__xludf.DUMMYFUNCTION("""COMPUTED_VALUE"""),1)</f>
        <v>1</v>
      </c>
      <c r="BE324" s="4">
        <f ca="1">IFERROR(__xludf.DUMMYFUNCTION("""COMPUTED_VALUE"""),1)</f>
        <v>1</v>
      </c>
      <c r="BF324" s="4">
        <f ca="1">IFERROR(__xludf.DUMMYFUNCTION("""COMPUTED_VALUE"""),1)</f>
        <v>1</v>
      </c>
      <c r="BG324" s="4">
        <f ca="1">IFERROR(__xludf.DUMMYFUNCTION("""COMPUTED_VALUE"""),1)</f>
        <v>1</v>
      </c>
      <c r="BH324" s="4">
        <f ca="1">IFERROR(__xludf.DUMMYFUNCTION("""COMPUTED_VALUE"""),1)</f>
        <v>1</v>
      </c>
      <c r="BI324" s="4">
        <f ca="1">IFERROR(__xludf.DUMMYFUNCTION("""COMPUTED_VALUE"""),1)</f>
        <v>1</v>
      </c>
      <c r="BJ324" s="4">
        <f ca="1">IFERROR(__xludf.DUMMYFUNCTION("""COMPUTED_VALUE"""),1)</f>
        <v>1</v>
      </c>
      <c r="BK324" s="4">
        <f ca="1">IFERROR(__xludf.DUMMYFUNCTION("""COMPUTED_VALUE"""),1)</f>
        <v>1</v>
      </c>
      <c r="BL324" s="4">
        <f ca="1">IFERROR(__xludf.DUMMYFUNCTION("""COMPUTED_VALUE"""),1)</f>
        <v>1</v>
      </c>
      <c r="BM324" s="4">
        <f ca="1">IFERROR(__xludf.DUMMYFUNCTION("""COMPUTED_VALUE"""),1)</f>
        <v>1</v>
      </c>
      <c r="BN324" s="4">
        <f ca="1">IFERROR(__xludf.DUMMYFUNCTION("""COMPUTED_VALUE"""),1)</f>
        <v>1</v>
      </c>
      <c r="BO324" s="4">
        <f ca="1">IFERROR(__xludf.DUMMYFUNCTION("""COMPUTED_VALUE"""),1)</f>
        <v>1</v>
      </c>
      <c r="BP324" s="4">
        <f ca="1">IFERROR(__xludf.DUMMYFUNCTION("""COMPUTED_VALUE"""),1)</f>
        <v>1</v>
      </c>
    </row>
    <row r="325" spans="1:68" ht="13.2" x14ac:dyDescent="0.25">
      <c r="A325" s="4" t="str">
        <f ca="1">IFERROR(__xludf.DUMMYFUNCTION("""COMPUTED_VALUE"""),"2_ABaOnudOFcrQZSkuzXfeWJunmXGFwxs71a7uwmBHxfaO96u8Ox-l1ZQaX-s9gl4Fdg")</f>
        <v>2_ABaOnudOFcrQZSkuzXfeWJunmXGFwxs71a7uwmBHxfaO96u8Ox-l1ZQaX-s9gl4Fdg</v>
      </c>
      <c r="B325" s="5">
        <f ca="1">IFERROR(__xludf.DUMMYFUNCTION("""COMPUTED_VALUE"""),45986.6265637268)</f>
        <v>45986.626563726801</v>
      </c>
      <c r="C325" s="4" t="str">
        <f ca="1">IFERROR(__xludf.DUMMYFUNCTION("""COMPUTED_VALUE"""),"Nguyễn Minh Hoành")</f>
        <v>Nguyễn Minh Hoành</v>
      </c>
      <c r="D325" s="4" t="str">
        <f ca="1">IFERROR(__xludf.DUMMYFUNCTION("""COMPUTED_VALUE"""),"Nam")</f>
        <v>Nam</v>
      </c>
      <c r="E325" s="4" t="str">
        <f ca="1">IFERROR(__xludf.DUMMYFUNCTION("""COMPUTED_VALUE"""),"Công ty TNHH Kểm toán và Tư Vấn Tâm An")</f>
        <v>Công ty TNHH Kểm toán và Tư Vấn Tâm An</v>
      </c>
      <c r="F325" s="4" t="str">
        <f ca="1">IFERROR(__xludf.DUMMYFUNCTION("""COMPUTED_VALUE"""),"Đại học")</f>
        <v>Đại học</v>
      </c>
      <c r="G325" s="4" t="str">
        <f ca="1">IFERROR(__xludf.DUMMYFUNCTION("""COMPUTED_VALUE"""),"Trên 5 đến 10 năm")</f>
        <v>Trên 5 đến 10 năm</v>
      </c>
      <c r="H325" s="4" t="str">
        <f ca="1">IFERROR(__xludf.DUMMYFUNCTION("""COMPUTED_VALUE"""),"Trưởng phòng")</f>
        <v>Trưởng phòng</v>
      </c>
      <c r="I325" s="4">
        <f ca="1">IFERROR(__xludf.DUMMYFUNCTION("""COMPUTED_VALUE"""),5)</f>
        <v>5</v>
      </c>
      <c r="J325" s="4">
        <f ca="1">IFERROR(__xludf.DUMMYFUNCTION("""COMPUTED_VALUE"""),5)</f>
        <v>5</v>
      </c>
      <c r="K325" s="4">
        <f ca="1">IFERROR(__xludf.DUMMYFUNCTION("""COMPUTED_VALUE"""),5)</f>
        <v>5</v>
      </c>
      <c r="L325" s="4">
        <f ca="1">IFERROR(__xludf.DUMMYFUNCTION("""COMPUTED_VALUE"""),5)</f>
        <v>5</v>
      </c>
      <c r="M325" s="4">
        <f ca="1">IFERROR(__xludf.DUMMYFUNCTION("""COMPUTED_VALUE"""),5)</f>
        <v>5</v>
      </c>
      <c r="N325" s="4">
        <f ca="1">IFERROR(__xludf.DUMMYFUNCTION("""COMPUTED_VALUE"""),5)</f>
        <v>5</v>
      </c>
      <c r="O325" s="4">
        <f ca="1">IFERROR(__xludf.DUMMYFUNCTION("""COMPUTED_VALUE"""),5)</f>
        <v>5</v>
      </c>
      <c r="P325" s="4">
        <f ca="1">IFERROR(__xludf.DUMMYFUNCTION("""COMPUTED_VALUE"""),5)</f>
        <v>5</v>
      </c>
      <c r="Q325" s="4">
        <f ca="1">IFERROR(__xludf.DUMMYFUNCTION("""COMPUTED_VALUE"""),5)</f>
        <v>5</v>
      </c>
      <c r="R325" s="4">
        <f ca="1">IFERROR(__xludf.DUMMYFUNCTION("""COMPUTED_VALUE"""),5)</f>
        <v>5</v>
      </c>
      <c r="S325" s="4">
        <f ca="1">IFERROR(__xludf.DUMMYFUNCTION("""COMPUTED_VALUE"""),5)</f>
        <v>5</v>
      </c>
      <c r="T325" s="4">
        <f ca="1">IFERROR(__xludf.DUMMYFUNCTION("""COMPUTED_VALUE"""),5)</f>
        <v>5</v>
      </c>
      <c r="U325" s="4">
        <f ca="1">IFERROR(__xludf.DUMMYFUNCTION("""COMPUTED_VALUE"""),5)</f>
        <v>5</v>
      </c>
      <c r="V325" s="4">
        <f ca="1">IFERROR(__xludf.DUMMYFUNCTION("""COMPUTED_VALUE"""),5)</f>
        <v>5</v>
      </c>
      <c r="W325" s="4">
        <f ca="1">IFERROR(__xludf.DUMMYFUNCTION("""COMPUTED_VALUE"""),4)</f>
        <v>4</v>
      </c>
      <c r="X325" s="4">
        <f ca="1">IFERROR(__xludf.DUMMYFUNCTION("""COMPUTED_VALUE"""),5)</f>
        <v>5</v>
      </c>
      <c r="Y325" s="4">
        <f ca="1">IFERROR(__xludf.DUMMYFUNCTION("""COMPUTED_VALUE"""),5)</f>
        <v>5</v>
      </c>
      <c r="Z325" s="4">
        <f ca="1">IFERROR(__xludf.DUMMYFUNCTION("""COMPUTED_VALUE"""),5)</f>
        <v>5</v>
      </c>
      <c r="AA325" s="4">
        <f ca="1">IFERROR(__xludf.DUMMYFUNCTION("""COMPUTED_VALUE"""),5)</f>
        <v>5</v>
      </c>
      <c r="AB325" s="4">
        <f ca="1">IFERROR(__xludf.DUMMYFUNCTION("""COMPUTED_VALUE"""),5)</f>
        <v>5</v>
      </c>
      <c r="AC325" s="4">
        <f ca="1">IFERROR(__xludf.DUMMYFUNCTION("""COMPUTED_VALUE"""),3)</f>
        <v>3</v>
      </c>
      <c r="AD325" s="4">
        <f ca="1">IFERROR(__xludf.DUMMYFUNCTION("""COMPUTED_VALUE"""),3)</f>
        <v>3</v>
      </c>
      <c r="AE325" s="4">
        <f ca="1">IFERROR(__xludf.DUMMYFUNCTION("""COMPUTED_VALUE"""),4)</f>
        <v>4</v>
      </c>
      <c r="AF325" s="4">
        <f ca="1">IFERROR(__xludf.DUMMYFUNCTION("""COMPUTED_VALUE"""),5)</f>
        <v>5</v>
      </c>
      <c r="AG325" s="4">
        <f ca="1">IFERROR(__xludf.DUMMYFUNCTION("""COMPUTED_VALUE"""),5)</f>
        <v>5</v>
      </c>
      <c r="AH325" s="4">
        <f ca="1">IFERROR(__xludf.DUMMYFUNCTION("""COMPUTED_VALUE"""),5)</f>
        <v>5</v>
      </c>
      <c r="AI325" s="4">
        <f ca="1">IFERROR(__xludf.DUMMYFUNCTION("""COMPUTED_VALUE"""),5)</f>
        <v>5</v>
      </c>
      <c r="AJ325" s="4">
        <f ca="1">IFERROR(__xludf.DUMMYFUNCTION("""COMPUTED_VALUE"""),5)</f>
        <v>5</v>
      </c>
      <c r="AK325" s="4">
        <f ca="1">IFERROR(__xludf.DUMMYFUNCTION("""COMPUTED_VALUE"""),5)</f>
        <v>5</v>
      </c>
      <c r="AL325" s="4">
        <f ca="1">IFERROR(__xludf.DUMMYFUNCTION("""COMPUTED_VALUE"""),5)</f>
        <v>5</v>
      </c>
      <c r="AM325" s="4">
        <f ca="1">IFERROR(__xludf.DUMMYFUNCTION("""COMPUTED_VALUE"""),5)</f>
        <v>5</v>
      </c>
      <c r="AN325" s="4">
        <f ca="1">IFERROR(__xludf.DUMMYFUNCTION("""COMPUTED_VALUE"""),5)</f>
        <v>5</v>
      </c>
      <c r="AO325" s="4">
        <f ca="1">IFERROR(__xludf.DUMMYFUNCTION("""COMPUTED_VALUE"""),5)</f>
        <v>5</v>
      </c>
      <c r="AP325" s="4">
        <f ca="1">IFERROR(__xludf.DUMMYFUNCTION("""COMPUTED_VALUE"""),5)</f>
        <v>5</v>
      </c>
      <c r="AQ325" s="4">
        <f ca="1">IFERROR(__xludf.DUMMYFUNCTION("""COMPUTED_VALUE"""),5)</f>
        <v>5</v>
      </c>
      <c r="AR325" s="4">
        <f ca="1">IFERROR(__xludf.DUMMYFUNCTION("""COMPUTED_VALUE"""),5)</f>
        <v>5</v>
      </c>
      <c r="AS325" s="4">
        <f ca="1">IFERROR(__xludf.DUMMYFUNCTION("""COMPUTED_VALUE"""),5)</f>
        <v>5</v>
      </c>
      <c r="AT325" s="4">
        <f ca="1">IFERROR(__xludf.DUMMYFUNCTION("""COMPUTED_VALUE"""),2)</f>
        <v>2</v>
      </c>
      <c r="AU325" s="4">
        <f ca="1">IFERROR(__xludf.DUMMYFUNCTION("""COMPUTED_VALUE"""),5)</f>
        <v>5</v>
      </c>
      <c r="AV325" s="4">
        <f ca="1">IFERROR(__xludf.DUMMYFUNCTION("""COMPUTED_VALUE"""),5)</f>
        <v>5</v>
      </c>
      <c r="AW325" s="4">
        <f ca="1">IFERROR(__xludf.DUMMYFUNCTION("""COMPUTED_VALUE"""),5)</f>
        <v>5</v>
      </c>
      <c r="AX325" s="4">
        <f ca="1">IFERROR(__xludf.DUMMYFUNCTION("""COMPUTED_VALUE"""),5)</f>
        <v>5</v>
      </c>
      <c r="AY325" s="4">
        <f ca="1">IFERROR(__xludf.DUMMYFUNCTION("""COMPUTED_VALUE"""),5)</f>
        <v>5</v>
      </c>
      <c r="AZ325" s="4">
        <f ca="1">IFERROR(__xludf.DUMMYFUNCTION("""COMPUTED_VALUE"""),5)</f>
        <v>5</v>
      </c>
      <c r="BA325" s="4">
        <f ca="1">IFERROR(__xludf.DUMMYFUNCTION("""COMPUTED_VALUE"""),5)</f>
        <v>5</v>
      </c>
      <c r="BB325" s="4">
        <f ca="1">IFERROR(__xludf.DUMMYFUNCTION("""COMPUTED_VALUE"""),5)</f>
        <v>5</v>
      </c>
      <c r="BC325" s="4">
        <f ca="1">IFERROR(__xludf.DUMMYFUNCTION("""COMPUTED_VALUE"""),5)</f>
        <v>5</v>
      </c>
      <c r="BD325" s="4">
        <f ca="1">IFERROR(__xludf.DUMMYFUNCTION("""COMPUTED_VALUE"""),5)</f>
        <v>5</v>
      </c>
      <c r="BE325" s="4">
        <f ca="1">IFERROR(__xludf.DUMMYFUNCTION("""COMPUTED_VALUE"""),4)</f>
        <v>4</v>
      </c>
      <c r="BF325" s="4">
        <f ca="1">IFERROR(__xludf.DUMMYFUNCTION("""COMPUTED_VALUE"""),3)</f>
        <v>3</v>
      </c>
      <c r="BG325" s="4">
        <f ca="1">IFERROR(__xludf.DUMMYFUNCTION("""COMPUTED_VALUE"""),3)</f>
        <v>3</v>
      </c>
      <c r="BH325" s="4">
        <f ca="1">IFERROR(__xludf.DUMMYFUNCTION("""COMPUTED_VALUE"""),5)</f>
        <v>5</v>
      </c>
      <c r="BI325" s="4">
        <f ca="1">IFERROR(__xludf.DUMMYFUNCTION("""COMPUTED_VALUE"""),5)</f>
        <v>5</v>
      </c>
      <c r="BJ325" s="4">
        <f ca="1">IFERROR(__xludf.DUMMYFUNCTION("""COMPUTED_VALUE"""),5)</f>
        <v>5</v>
      </c>
      <c r="BK325" s="4">
        <f ca="1">IFERROR(__xludf.DUMMYFUNCTION("""COMPUTED_VALUE"""),5)</f>
        <v>5</v>
      </c>
      <c r="BL325" s="4">
        <f ca="1">IFERROR(__xludf.DUMMYFUNCTION("""COMPUTED_VALUE"""),5)</f>
        <v>5</v>
      </c>
      <c r="BM325" s="4">
        <f ca="1">IFERROR(__xludf.DUMMYFUNCTION("""COMPUTED_VALUE"""),5)</f>
        <v>5</v>
      </c>
      <c r="BN325" s="4">
        <f ca="1">IFERROR(__xludf.DUMMYFUNCTION("""COMPUTED_VALUE"""),5)</f>
        <v>5</v>
      </c>
      <c r="BO325" s="4">
        <f ca="1">IFERROR(__xludf.DUMMYFUNCTION("""COMPUTED_VALUE"""),4)</f>
        <v>4</v>
      </c>
      <c r="BP325" s="4">
        <f ca="1">IFERROR(__xludf.DUMMYFUNCTION("""COMPUTED_VALUE"""),5)</f>
        <v>5</v>
      </c>
    </row>
    <row r="326" spans="1:68" ht="13.2" x14ac:dyDescent="0.25">
      <c r="A326" s="4" t="str">
        <f ca="1">IFERROR(__xludf.DUMMYFUNCTION("""COMPUTED_VALUE"""),"2_ABaOnucpxf5OmfC2HXwLK4T5cYVHjfq9NYB9FaaJXsiQTgv20PRHNdZkicMMJzlQ5w")</f>
        <v>2_ABaOnucpxf5OmfC2HXwLK4T5cYVHjfq9NYB9FaaJXsiQTgv20PRHNdZkicMMJzlQ5w</v>
      </c>
      <c r="B326" s="5">
        <f ca="1">IFERROR(__xludf.DUMMYFUNCTION("""COMPUTED_VALUE"""),45986.6273751851)</f>
        <v>45986.627375185097</v>
      </c>
      <c r="C326" s="4" t="str">
        <f ca="1">IFERROR(__xludf.DUMMYFUNCTION("""COMPUTED_VALUE"""),"Hoàng Thị Khánh Vân")</f>
        <v>Hoàng Thị Khánh Vân</v>
      </c>
      <c r="D326" s="4" t="str">
        <f ca="1">IFERROR(__xludf.DUMMYFUNCTION("""COMPUTED_VALUE"""),"Nữ")</f>
        <v>Nữ</v>
      </c>
      <c r="E326" s="4" t="str">
        <f ca="1">IFERROR(__xludf.DUMMYFUNCTION("""COMPUTED_VALUE"""),"Công ty Kiểm toán Tâm An")</f>
        <v>Công ty Kiểm toán Tâm An</v>
      </c>
      <c r="F326" s="4" t="str">
        <f ca="1">IFERROR(__xludf.DUMMYFUNCTION("""COMPUTED_VALUE"""),"Đại học, Chứng chỉ Kiểm toán viên")</f>
        <v>Đại học, Chứng chỉ Kiểm toán viên</v>
      </c>
      <c r="G326" s="4" t="str">
        <f ca="1">IFERROR(__xludf.DUMMYFUNCTION("""COMPUTED_VALUE"""),"Trên 15 đến 20 năm")</f>
        <v>Trên 15 đến 20 năm</v>
      </c>
      <c r="H326" s="4" t="str">
        <f ca="1">IFERROR(__xludf.DUMMYFUNCTION("""COMPUTED_VALUE"""),"Ban giám đốc")</f>
        <v>Ban giám đốc</v>
      </c>
      <c r="I326" s="4">
        <f ca="1">IFERROR(__xludf.DUMMYFUNCTION("""COMPUTED_VALUE"""),4)</f>
        <v>4</v>
      </c>
      <c r="J326" s="4">
        <f ca="1">IFERROR(__xludf.DUMMYFUNCTION("""COMPUTED_VALUE"""),4)</f>
        <v>4</v>
      </c>
      <c r="K326" s="4">
        <f ca="1">IFERROR(__xludf.DUMMYFUNCTION("""COMPUTED_VALUE"""),4)</f>
        <v>4</v>
      </c>
      <c r="L326" s="4">
        <f ca="1">IFERROR(__xludf.DUMMYFUNCTION("""COMPUTED_VALUE"""),3)</f>
        <v>3</v>
      </c>
      <c r="M326" s="4">
        <f ca="1">IFERROR(__xludf.DUMMYFUNCTION("""COMPUTED_VALUE"""),4)</f>
        <v>4</v>
      </c>
      <c r="N326" s="4">
        <f ca="1">IFERROR(__xludf.DUMMYFUNCTION("""COMPUTED_VALUE"""),2)</f>
        <v>2</v>
      </c>
      <c r="O326" s="4">
        <f ca="1">IFERROR(__xludf.DUMMYFUNCTION("""COMPUTED_VALUE"""),2)</f>
        <v>2</v>
      </c>
      <c r="P326" s="4">
        <f ca="1">IFERROR(__xludf.DUMMYFUNCTION("""COMPUTED_VALUE"""),4)</f>
        <v>4</v>
      </c>
      <c r="Q326" s="4">
        <f ca="1">IFERROR(__xludf.DUMMYFUNCTION("""COMPUTED_VALUE"""),4)</f>
        <v>4</v>
      </c>
      <c r="R326" s="4">
        <f ca="1">IFERROR(__xludf.DUMMYFUNCTION("""COMPUTED_VALUE"""),4)</f>
        <v>4</v>
      </c>
      <c r="S326" s="4">
        <f ca="1">IFERROR(__xludf.DUMMYFUNCTION("""COMPUTED_VALUE"""),4)</f>
        <v>4</v>
      </c>
      <c r="T326" s="4">
        <f ca="1">IFERROR(__xludf.DUMMYFUNCTION("""COMPUTED_VALUE"""),5)</f>
        <v>5</v>
      </c>
      <c r="U326" s="4">
        <f ca="1">IFERROR(__xludf.DUMMYFUNCTION("""COMPUTED_VALUE"""),4)</f>
        <v>4</v>
      </c>
      <c r="V326" s="4">
        <f ca="1">IFERROR(__xludf.DUMMYFUNCTION("""COMPUTED_VALUE"""),5)</f>
        <v>5</v>
      </c>
      <c r="W326" s="4">
        <f ca="1">IFERROR(__xludf.DUMMYFUNCTION("""COMPUTED_VALUE"""),5)</f>
        <v>5</v>
      </c>
      <c r="X326" s="4">
        <f ca="1">IFERROR(__xludf.DUMMYFUNCTION("""COMPUTED_VALUE"""),4)</f>
        <v>4</v>
      </c>
      <c r="Y326" s="4">
        <f ca="1">IFERROR(__xludf.DUMMYFUNCTION("""COMPUTED_VALUE"""),3)</f>
        <v>3</v>
      </c>
      <c r="Z326" s="4">
        <f ca="1">IFERROR(__xludf.DUMMYFUNCTION("""COMPUTED_VALUE"""),3)</f>
        <v>3</v>
      </c>
      <c r="AA326" s="4">
        <f ca="1">IFERROR(__xludf.DUMMYFUNCTION("""COMPUTED_VALUE"""),3)</f>
        <v>3</v>
      </c>
      <c r="AB326" s="4">
        <f ca="1">IFERROR(__xludf.DUMMYFUNCTION("""COMPUTED_VALUE"""),2)</f>
        <v>2</v>
      </c>
      <c r="AC326" s="4">
        <f ca="1">IFERROR(__xludf.DUMMYFUNCTION("""COMPUTED_VALUE"""),2)</f>
        <v>2</v>
      </c>
      <c r="AD326" s="4">
        <f ca="1">IFERROR(__xludf.DUMMYFUNCTION("""COMPUTED_VALUE"""),3)</f>
        <v>3</v>
      </c>
      <c r="AE326" s="4">
        <f ca="1">IFERROR(__xludf.DUMMYFUNCTION("""COMPUTED_VALUE"""),4)</f>
        <v>4</v>
      </c>
      <c r="AF326" s="4">
        <f ca="1">IFERROR(__xludf.DUMMYFUNCTION("""COMPUTED_VALUE"""),4)</f>
        <v>4</v>
      </c>
      <c r="AG326" s="4">
        <f ca="1">IFERROR(__xludf.DUMMYFUNCTION("""COMPUTED_VALUE"""),4)</f>
        <v>4</v>
      </c>
      <c r="AH326" s="4">
        <f ca="1">IFERROR(__xludf.DUMMYFUNCTION("""COMPUTED_VALUE"""),4)</f>
        <v>4</v>
      </c>
      <c r="AI326" s="4">
        <f ca="1">IFERROR(__xludf.DUMMYFUNCTION("""COMPUTED_VALUE"""),4)</f>
        <v>4</v>
      </c>
      <c r="AJ326" s="4">
        <f ca="1">IFERROR(__xludf.DUMMYFUNCTION("""COMPUTED_VALUE"""),4)</f>
        <v>4</v>
      </c>
      <c r="AK326" s="4">
        <f ca="1">IFERROR(__xludf.DUMMYFUNCTION("""COMPUTED_VALUE"""),4)</f>
        <v>4</v>
      </c>
      <c r="AL326" s="4">
        <f ca="1">IFERROR(__xludf.DUMMYFUNCTION("""COMPUTED_VALUE"""),4)</f>
        <v>4</v>
      </c>
      <c r="AM326" s="4">
        <f ca="1">IFERROR(__xludf.DUMMYFUNCTION("""COMPUTED_VALUE"""),4)</f>
        <v>4</v>
      </c>
      <c r="AN326" s="4">
        <f ca="1">IFERROR(__xludf.DUMMYFUNCTION("""COMPUTED_VALUE"""),4)</f>
        <v>4</v>
      </c>
      <c r="AO326" s="4">
        <f ca="1">IFERROR(__xludf.DUMMYFUNCTION("""COMPUTED_VALUE"""),2)</f>
        <v>2</v>
      </c>
      <c r="AP326" s="4">
        <f ca="1">IFERROR(__xludf.DUMMYFUNCTION("""COMPUTED_VALUE"""),4)</f>
        <v>4</v>
      </c>
      <c r="AQ326" s="4">
        <f ca="1">IFERROR(__xludf.DUMMYFUNCTION("""COMPUTED_VALUE"""),4)</f>
        <v>4</v>
      </c>
      <c r="AR326" s="4">
        <f ca="1">IFERROR(__xludf.DUMMYFUNCTION("""COMPUTED_VALUE"""),4)</f>
        <v>4</v>
      </c>
      <c r="AS326" s="4">
        <f ca="1">IFERROR(__xludf.DUMMYFUNCTION("""COMPUTED_VALUE"""),4)</f>
        <v>4</v>
      </c>
      <c r="AT326" s="4">
        <f ca="1">IFERROR(__xludf.DUMMYFUNCTION("""COMPUTED_VALUE"""),3)</f>
        <v>3</v>
      </c>
      <c r="AU326" s="4">
        <f ca="1">IFERROR(__xludf.DUMMYFUNCTION("""COMPUTED_VALUE"""),4)</f>
        <v>4</v>
      </c>
      <c r="AV326" s="4">
        <f ca="1">IFERROR(__xludf.DUMMYFUNCTION("""COMPUTED_VALUE"""),3)</f>
        <v>3</v>
      </c>
      <c r="AW326" s="4">
        <f ca="1">IFERROR(__xludf.DUMMYFUNCTION("""COMPUTED_VALUE"""),3)</f>
        <v>3</v>
      </c>
      <c r="AX326" s="4">
        <f ca="1">IFERROR(__xludf.DUMMYFUNCTION("""COMPUTED_VALUE"""),4)</f>
        <v>4</v>
      </c>
      <c r="AY326" s="4">
        <f ca="1">IFERROR(__xludf.DUMMYFUNCTION("""COMPUTED_VALUE"""),4)</f>
        <v>4</v>
      </c>
      <c r="AZ326" s="4">
        <f ca="1">IFERROR(__xludf.DUMMYFUNCTION("""COMPUTED_VALUE"""),3)</f>
        <v>3</v>
      </c>
      <c r="BA326" s="4">
        <f ca="1">IFERROR(__xludf.DUMMYFUNCTION("""COMPUTED_VALUE"""),3)</f>
        <v>3</v>
      </c>
      <c r="BB326" s="4">
        <f ca="1">IFERROR(__xludf.DUMMYFUNCTION("""COMPUTED_VALUE"""),2)</f>
        <v>2</v>
      </c>
      <c r="BC326" s="4">
        <f ca="1">IFERROR(__xludf.DUMMYFUNCTION("""COMPUTED_VALUE"""),2)</f>
        <v>2</v>
      </c>
      <c r="BD326" s="4">
        <f ca="1">IFERROR(__xludf.DUMMYFUNCTION("""COMPUTED_VALUE"""),4)</f>
        <v>4</v>
      </c>
      <c r="BE326" s="4">
        <f ca="1">IFERROR(__xludf.DUMMYFUNCTION("""COMPUTED_VALUE"""),2)</f>
        <v>2</v>
      </c>
      <c r="BF326" s="4">
        <f ca="1">IFERROR(__xludf.DUMMYFUNCTION("""COMPUTED_VALUE"""),2)</f>
        <v>2</v>
      </c>
      <c r="BG326" s="4">
        <f ca="1">IFERROR(__xludf.DUMMYFUNCTION("""COMPUTED_VALUE"""),2)</f>
        <v>2</v>
      </c>
      <c r="BH326" s="4">
        <f ca="1">IFERROR(__xludf.DUMMYFUNCTION("""COMPUTED_VALUE"""),4)</f>
        <v>4</v>
      </c>
      <c r="BI326" s="4">
        <f ca="1">IFERROR(__xludf.DUMMYFUNCTION("""COMPUTED_VALUE"""),4)</f>
        <v>4</v>
      </c>
      <c r="BJ326" s="4">
        <f ca="1">IFERROR(__xludf.DUMMYFUNCTION("""COMPUTED_VALUE"""),4)</f>
        <v>4</v>
      </c>
      <c r="BK326" s="4">
        <f ca="1">IFERROR(__xludf.DUMMYFUNCTION("""COMPUTED_VALUE"""),4)</f>
        <v>4</v>
      </c>
      <c r="BL326" s="4">
        <f ca="1">IFERROR(__xludf.DUMMYFUNCTION("""COMPUTED_VALUE"""),4)</f>
        <v>4</v>
      </c>
      <c r="BM326" s="4">
        <f ca="1">IFERROR(__xludf.DUMMYFUNCTION("""COMPUTED_VALUE"""),4)</f>
        <v>4</v>
      </c>
      <c r="BN326" s="4">
        <f ca="1">IFERROR(__xludf.DUMMYFUNCTION("""COMPUTED_VALUE"""),4)</f>
        <v>4</v>
      </c>
      <c r="BO326" s="4">
        <f ca="1">IFERROR(__xludf.DUMMYFUNCTION("""COMPUTED_VALUE"""),4)</f>
        <v>4</v>
      </c>
      <c r="BP326" s="4">
        <f ca="1">IFERROR(__xludf.DUMMYFUNCTION("""COMPUTED_VALUE"""),3)</f>
        <v>3</v>
      </c>
    </row>
    <row r="327" spans="1:68" ht="13.2" x14ac:dyDescent="0.25">
      <c r="A327" s="4" t="str">
        <f ca="1">IFERROR(__xludf.DUMMYFUNCTION("""COMPUTED_VALUE"""),"2_ABaOnudDPU_ZXVCLOt_cKMNL_Q2-CJFKS2ISd8IqMqYaC3l7uzwVhI5yQ6YQb4aYUQ")</f>
        <v>2_ABaOnudDPU_ZXVCLOt_cKMNL_Q2-CJFKS2ISd8IqMqYaC3l7uzwVhI5yQ6YQb4aYUQ</v>
      </c>
      <c r="B327" s="5">
        <f ca="1">IFERROR(__xludf.DUMMYFUNCTION("""COMPUTED_VALUE"""),45986.6292997685)</f>
        <v>45986.629299768501</v>
      </c>
      <c r="C327" s="4" t="str">
        <f ca="1">IFERROR(__xludf.DUMMYFUNCTION("""COMPUTED_VALUE"""),"Lê Ẩn Thoa")</f>
        <v>Lê Ẩn Thoa</v>
      </c>
      <c r="D327" s="4" t="str">
        <f ca="1">IFERROR(__xludf.DUMMYFUNCTION("""COMPUTED_VALUE"""),"Nữ")</f>
        <v>Nữ</v>
      </c>
      <c r="E327" s="4" t="str">
        <f ca="1">IFERROR(__xludf.DUMMYFUNCTION("""COMPUTED_VALUE"""),"Công ty Kiểm toán Nhân Tâm Việt")</f>
        <v>Công ty Kiểm toán Nhân Tâm Việt</v>
      </c>
      <c r="F327" s="4" t="str">
        <f ca="1">IFERROR(__xludf.DUMMYFUNCTION("""COMPUTED_VALUE"""),"Đại học, Chứng chỉ Kiểm toán viên")</f>
        <v>Đại học, Chứng chỉ Kiểm toán viên</v>
      </c>
      <c r="G327" s="4" t="str">
        <f ca="1">IFERROR(__xludf.DUMMYFUNCTION("""COMPUTED_VALUE"""),"Trên 5 đến 10 năm")</f>
        <v>Trên 5 đến 10 năm</v>
      </c>
      <c r="H327" s="4" t="str">
        <f ca="1">IFERROR(__xludf.DUMMYFUNCTION("""COMPUTED_VALUE"""),"Kiểm toán viên/Trưởng nhóm")</f>
        <v>Kiểm toán viên/Trưởng nhóm</v>
      </c>
      <c r="I327" s="4">
        <f ca="1">IFERROR(__xludf.DUMMYFUNCTION("""COMPUTED_VALUE"""),5)</f>
        <v>5</v>
      </c>
      <c r="J327" s="4">
        <f ca="1">IFERROR(__xludf.DUMMYFUNCTION("""COMPUTED_VALUE"""),5)</f>
        <v>5</v>
      </c>
      <c r="K327" s="4">
        <f ca="1">IFERROR(__xludf.DUMMYFUNCTION("""COMPUTED_VALUE"""),4)</f>
        <v>4</v>
      </c>
      <c r="L327" s="4">
        <f ca="1">IFERROR(__xludf.DUMMYFUNCTION("""COMPUTED_VALUE"""),5)</f>
        <v>5</v>
      </c>
      <c r="M327" s="4">
        <f ca="1">IFERROR(__xludf.DUMMYFUNCTION("""COMPUTED_VALUE"""),5)</f>
        <v>5</v>
      </c>
      <c r="N327" s="4">
        <f ca="1">IFERROR(__xludf.DUMMYFUNCTION("""COMPUTED_VALUE"""),3)</f>
        <v>3</v>
      </c>
      <c r="O327" s="4">
        <f ca="1">IFERROR(__xludf.DUMMYFUNCTION("""COMPUTED_VALUE"""),3)</f>
        <v>3</v>
      </c>
      <c r="P327" s="4">
        <f ca="1">IFERROR(__xludf.DUMMYFUNCTION("""COMPUTED_VALUE"""),4)</f>
        <v>4</v>
      </c>
      <c r="Q327" s="4">
        <f ca="1">IFERROR(__xludf.DUMMYFUNCTION("""COMPUTED_VALUE"""),5)</f>
        <v>5</v>
      </c>
      <c r="R327" s="4">
        <f ca="1">IFERROR(__xludf.DUMMYFUNCTION("""COMPUTED_VALUE"""),5)</f>
        <v>5</v>
      </c>
      <c r="S327" s="4">
        <f ca="1">IFERROR(__xludf.DUMMYFUNCTION("""COMPUTED_VALUE"""),5)</f>
        <v>5</v>
      </c>
      <c r="T327" s="4">
        <f ca="1">IFERROR(__xludf.DUMMYFUNCTION("""COMPUTED_VALUE"""),4)</f>
        <v>4</v>
      </c>
      <c r="U327" s="4">
        <f ca="1">IFERROR(__xludf.DUMMYFUNCTION("""COMPUTED_VALUE"""),4)</f>
        <v>4</v>
      </c>
      <c r="V327" s="4">
        <f ca="1">IFERROR(__xludf.DUMMYFUNCTION("""COMPUTED_VALUE"""),4)</f>
        <v>4</v>
      </c>
      <c r="W327" s="4">
        <f ca="1">IFERROR(__xludf.DUMMYFUNCTION("""COMPUTED_VALUE"""),3)</f>
        <v>3</v>
      </c>
      <c r="X327" s="4">
        <f ca="1">IFERROR(__xludf.DUMMYFUNCTION("""COMPUTED_VALUE"""),4)</f>
        <v>4</v>
      </c>
      <c r="Y327" s="4">
        <f ca="1">IFERROR(__xludf.DUMMYFUNCTION("""COMPUTED_VALUE"""),4)</f>
        <v>4</v>
      </c>
      <c r="Z327" s="4">
        <f ca="1">IFERROR(__xludf.DUMMYFUNCTION("""COMPUTED_VALUE"""),3)</f>
        <v>3</v>
      </c>
      <c r="AA327" s="4">
        <f ca="1">IFERROR(__xludf.DUMMYFUNCTION("""COMPUTED_VALUE"""),4)</f>
        <v>4</v>
      </c>
      <c r="AB327" s="4">
        <f ca="1">IFERROR(__xludf.DUMMYFUNCTION("""COMPUTED_VALUE"""),5)</f>
        <v>5</v>
      </c>
      <c r="AC327" s="4">
        <f ca="1">IFERROR(__xludf.DUMMYFUNCTION("""COMPUTED_VALUE"""),5)</f>
        <v>5</v>
      </c>
      <c r="AD327" s="4">
        <f ca="1">IFERROR(__xludf.DUMMYFUNCTION("""COMPUTED_VALUE"""),5)</f>
        <v>5</v>
      </c>
      <c r="AE327" s="4">
        <f ca="1">IFERROR(__xludf.DUMMYFUNCTION("""COMPUTED_VALUE"""),5)</f>
        <v>5</v>
      </c>
      <c r="AF327" s="4">
        <f ca="1">IFERROR(__xludf.DUMMYFUNCTION("""COMPUTED_VALUE"""),5)</f>
        <v>5</v>
      </c>
      <c r="AG327" s="4">
        <f ca="1">IFERROR(__xludf.DUMMYFUNCTION("""COMPUTED_VALUE"""),5)</f>
        <v>5</v>
      </c>
      <c r="AH327" s="4">
        <f ca="1">IFERROR(__xludf.DUMMYFUNCTION("""COMPUTED_VALUE"""),4)</f>
        <v>4</v>
      </c>
      <c r="AI327" s="4">
        <f ca="1">IFERROR(__xludf.DUMMYFUNCTION("""COMPUTED_VALUE"""),4)</f>
        <v>4</v>
      </c>
      <c r="AJ327" s="4">
        <f ca="1">IFERROR(__xludf.DUMMYFUNCTION("""COMPUTED_VALUE"""),4)</f>
        <v>4</v>
      </c>
      <c r="AK327" s="4">
        <f ca="1">IFERROR(__xludf.DUMMYFUNCTION("""COMPUTED_VALUE"""),4)</f>
        <v>4</v>
      </c>
      <c r="AL327" s="4">
        <f ca="1">IFERROR(__xludf.DUMMYFUNCTION("""COMPUTED_VALUE"""),4)</f>
        <v>4</v>
      </c>
      <c r="AM327" s="4">
        <f ca="1">IFERROR(__xludf.DUMMYFUNCTION("""COMPUTED_VALUE"""),3)</f>
        <v>3</v>
      </c>
      <c r="AN327" s="4">
        <f ca="1">IFERROR(__xludf.DUMMYFUNCTION("""COMPUTED_VALUE"""),4)</f>
        <v>4</v>
      </c>
      <c r="AO327" s="4">
        <f ca="1">IFERROR(__xludf.DUMMYFUNCTION("""COMPUTED_VALUE"""),4)</f>
        <v>4</v>
      </c>
      <c r="AP327" s="4">
        <f ca="1">IFERROR(__xludf.DUMMYFUNCTION("""COMPUTED_VALUE"""),4)</f>
        <v>4</v>
      </c>
      <c r="AQ327" s="4">
        <f ca="1">IFERROR(__xludf.DUMMYFUNCTION("""COMPUTED_VALUE"""),4)</f>
        <v>4</v>
      </c>
      <c r="AR327" s="4">
        <f ca="1">IFERROR(__xludf.DUMMYFUNCTION("""COMPUTED_VALUE"""),4)</f>
        <v>4</v>
      </c>
      <c r="AS327" s="4">
        <f ca="1">IFERROR(__xludf.DUMMYFUNCTION("""COMPUTED_VALUE"""),4)</f>
        <v>4</v>
      </c>
      <c r="AT327" s="4">
        <f ca="1">IFERROR(__xludf.DUMMYFUNCTION("""COMPUTED_VALUE"""),3)</f>
        <v>3</v>
      </c>
      <c r="AU327" s="4">
        <f ca="1">IFERROR(__xludf.DUMMYFUNCTION("""COMPUTED_VALUE"""),4)</f>
        <v>4</v>
      </c>
      <c r="AV327" s="4">
        <f ca="1">IFERROR(__xludf.DUMMYFUNCTION("""COMPUTED_VALUE"""),4)</f>
        <v>4</v>
      </c>
      <c r="AW327" s="4">
        <f ca="1">IFERROR(__xludf.DUMMYFUNCTION("""COMPUTED_VALUE"""),4)</f>
        <v>4</v>
      </c>
      <c r="AX327" s="4">
        <f ca="1">IFERROR(__xludf.DUMMYFUNCTION("""COMPUTED_VALUE"""),4)</f>
        <v>4</v>
      </c>
      <c r="AY327" s="4">
        <f ca="1">IFERROR(__xludf.DUMMYFUNCTION("""COMPUTED_VALUE"""),4)</f>
        <v>4</v>
      </c>
      <c r="AZ327" s="4">
        <f ca="1">IFERROR(__xludf.DUMMYFUNCTION("""COMPUTED_VALUE"""),4)</f>
        <v>4</v>
      </c>
      <c r="BA327" s="4">
        <f ca="1">IFERROR(__xludf.DUMMYFUNCTION("""COMPUTED_VALUE"""),4)</f>
        <v>4</v>
      </c>
      <c r="BB327" s="4">
        <f ca="1">IFERROR(__xludf.DUMMYFUNCTION("""COMPUTED_VALUE"""),4)</f>
        <v>4</v>
      </c>
      <c r="BC327" s="4">
        <f ca="1">IFERROR(__xludf.DUMMYFUNCTION("""COMPUTED_VALUE"""),3)</f>
        <v>3</v>
      </c>
      <c r="BD327" s="4">
        <f ca="1">IFERROR(__xludf.DUMMYFUNCTION("""COMPUTED_VALUE"""),4)</f>
        <v>4</v>
      </c>
      <c r="BE327" s="4">
        <f ca="1">IFERROR(__xludf.DUMMYFUNCTION("""COMPUTED_VALUE"""),4)</f>
        <v>4</v>
      </c>
      <c r="BF327" s="4">
        <f ca="1">IFERROR(__xludf.DUMMYFUNCTION("""COMPUTED_VALUE"""),4)</f>
        <v>4</v>
      </c>
      <c r="BG327" s="4">
        <f ca="1">IFERROR(__xludf.DUMMYFUNCTION("""COMPUTED_VALUE"""),4)</f>
        <v>4</v>
      </c>
      <c r="BH327" s="4">
        <f ca="1">IFERROR(__xludf.DUMMYFUNCTION("""COMPUTED_VALUE"""),5)</f>
        <v>5</v>
      </c>
      <c r="BI327" s="4">
        <f ca="1">IFERROR(__xludf.DUMMYFUNCTION("""COMPUTED_VALUE"""),5)</f>
        <v>5</v>
      </c>
      <c r="BJ327" s="4">
        <f ca="1">IFERROR(__xludf.DUMMYFUNCTION("""COMPUTED_VALUE"""),4)</f>
        <v>4</v>
      </c>
      <c r="BK327" s="4">
        <f ca="1">IFERROR(__xludf.DUMMYFUNCTION("""COMPUTED_VALUE"""),4)</f>
        <v>4</v>
      </c>
      <c r="BL327" s="4">
        <f ca="1">IFERROR(__xludf.DUMMYFUNCTION("""COMPUTED_VALUE"""),5)</f>
        <v>5</v>
      </c>
      <c r="BM327" s="4">
        <f ca="1">IFERROR(__xludf.DUMMYFUNCTION("""COMPUTED_VALUE"""),4)</f>
        <v>4</v>
      </c>
      <c r="BN327" s="4">
        <f ca="1">IFERROR(__xludf.DUMMYFUNCTION("""COMPUTED_VALUE"""),5)</f>
        <v>5</v>
      </c>
      <c r="BO327" s="4">
        <f ca="1">IFERROR(__xludf.DUMMYFUNCTION("""COMPUTED_VALUE"""),5)</f>
        <v>5</v>
      </c>
      <c r="BP327" s="4">
        <f ca="1">IFERROR(__xludf.DUMMYFUNCTION("""COMPUTED_VALUE"""),4)</f>
        <v>4</v>
      </c>
    </row>
    <row r="328" spans="1:68" ht="13.2" x14ac:dyDescent="0.25">
      <c r="A328" s="4" t="str">
        <f ca="1">IFERROR(__xludf.DUMMYFUNCTION("""COMPUTED_VALUE"""),"2_ABaOnucPVco0tds1s-4ahGy9x5Gl2eYIF0GI03VyjHPtsrMoYcUKKS-Coyom3YvwMw")</f>
        <v>2_ABaOnucPVco0tds1s-4ahGy9x5Gl2eYIF0GI03VyjHPtsrMoYcUKKS-Coyom3YvwMw</v>
      </c>
      <c r="B328" s="5">
        <f ca="1">IFERROR(__xludf.DUMMYFUNCTION("""COMPUTED_VALUE"""),45986.6302414699)</f>
        <v>45986.630241469902</v>
      </c>
      <c r="C328" s="4" t="str">
        <f ca="1">IFERROR(__xludf.DUMMYFUNCTION("""COMPUTED_VALUE"""),"Trần Diệp Yến Nhi")</f>
        <v>Trần Diệp Yến Nhi</v>
      </c>
      <c r="D328" s="4" t="str">
        <f ca="1">IFERROR(__xludf.DUMMYFUNCTION("""COMPUTED_VALUE"""),"Nữ")</f>
        <v>Nữ</v>
      </c>
      <c r="E328" s="4" t="str">
        <f ca="1">IFERROR(__xludf.DUMMYFUNCTION("""COMPUTED_VALUE"""),"Công ty TNHH Kiểm toán AFC Việt Nam - chi nhánh Cần Thơ")</f>
        <v>Công ty TNHH Kiểm toán AFC Việt Nam - chi nhánh Cần Thơ</v>
      </c>
      <c r="F328" s="4" t="str">
        <f ca="1">IFERROR(__xludf.DUMMYFUNCTION("""COMPUTED_VALUE"""),"Đại học")</f>
        <v>Đại học</v>
      </c>
      <c r="G328" s="4" t="str">
        <f ca="1">IFERROR(__xludf.DUMMYFUNCTION("""COMPUTED_VALUE"""),"Từ 3 đến 5 năm")</f>
        <v>Từ 3 đến 5 năm</v>
      </c>
      <c r="H328" s="4" t="str">
        <f ca="1">IFERROR(__xludf.DUMMYFUNCTION("""COMPUTED_VALUE"""),"Trợ lý kiểm toán")</f>
        <v>Trợ lý kiểm toán</v>
      </c>
      <c r="I328" s="4">
        <f ca="1">IFERROR(__xludf.DUMMYFUNCTION("""COMPUTED_VALUE"""),5)</f>
        <v>5</v>
      </c>
      <c r="J328" s="4">
        <f ca="1">IFERROR(__xludf.DUMMYFUNCTION("""COMPUTED_VALUE"""),5)</f>
        <v>5</v>
      </c>
      <c r="K328" s="4">
        <f ca="1">IFERROR(__xludf.DUMMYFUNCTION("""COMPUTED_VALUE"""),5)</f>
        <v>5</v>
      </c>
      <c r="L328" s="4">
        <f ca="1">IFERROR(__xludf.DUMMYFUNCTION("""COMPUTED_VALUE"""),5)</f>
        <v>5</v>
      </c>
      <c r="M328" s="4">
        <f ca="1">IFERROR(__xludf.DUMMYFUNCTION("""COMPUTED_VALUE"""),5)</f>
        <v>5</v>
      </c>
      <c r="N328" s="4">
        <f ca="1">IFERROR(__xludf.DUMMYFUNCTION("""COMPUTED_VALUE"""),5)</f>
        <v>5</v>
      </c>
      <c r="O328" s="4">
        <f ca="1">IFERROR(__xludf.DUMMYFUNCTION("""COMPUTED_VALUE"""),5)</f>
        <v>5</v>
      </c>
      <c r="P328" s="4">
        <f ca="1">IFERROR(__xludf.DUMMYFUNCTION("""COMPUTED_VALUE"""),5)</f>
        <v>5</v>
      </c>
      <c r="Q328" s="4">
        <f ca="1">IFERROR(__xludf.DUMMYFUNCTION("""COMPUTED_VALUE"""),5)</f>
        <v>5</v>
      </c>
      <c r="R328" s="4">
        <f ca="1">IFERROR(__xludf.DUMMYFUNCTION("""COMPUTED_VALUE"""),5)</f>
        <v>5</v>
      </c>
      <c r="S328" s="4">
        <f ca="1">IFERROR(__xludf.DUMMYFUNCTION("""COMPUTED_VALUE"""),5)</f>
        <v>5</v>
      </c>
      <c r="T328" s="4">
        <f ca="1">IFERROR(__xludf.DUMMYFUNCTION("""COMPUTED_VALUE"""),5)</f>
        <v>5</v>
      </c>
      <c r="U328" s="4">
        <f ca="1">IFERROR(__xludf.DUMMYFUNCTION("""COMPUTED_VALUE"""),5)</f>
        <v>5</v>
      </c>
      <c r="V328" s="4">
        <f ca="1">IFERROR(__xludf.DUMMYFUNCTION("""COMPUTED_VALUE"""),5)</f>
        <v>5</v>
      </c>
      <c r="W328" s="4">
        <f ca="1">IFERROR(__xludf.DUMMYFUNCTION("""COMPUTED_VALUE"""),5)</f>
        <v>5</v>
      </c>
      <c r="X328" s="4">
        <f ca="1">IFERROR(__xludf.DUMMYFUNCTION("""COMPUTED_VALUE"""),5)</f>
        <v>5</v>
      </c>
      <c r="Y328" s="4">
        <f ca="1">IFERROR(__xludf.DUMMYFUNCTION("""COMPUTED_VALUE"""),4)</f>
        <v>4</v>
      </c>
      <c r="Z328" s="4">
        <f ca="1">IFERROR(__xludf.DUMMYFUNCTION("""COMPUTED_VALUE"""),4)</f>
        <v>4</v>
      </c>
      <c r="AA328" s="4">
        <f ca="1">IFERROR(__xludf.DUMMYFUNCTION("""COMPUTED_VALUE"""),4)</f>
        <v>4</v>
      </c>
      <c r="AB328" s="4">
        <f ca="1">IFERROR(__xludf.DUMMYFUNCTION("""COMPUTED_VALUE"""),4)</f>
        <v>4</v>
      </c>
      <c r="AC328" s="4">
        <f ca="1">IFERROR(__xludf.DUMMYFUNCTION("""COMPUTED_VALUE"""),4)</f>
        <v>4</v>
      </c>
      <c r="AD328" s="4">
        <f ca="1">IFERROR(__xludf.DUMMYFUNCTION("""COMPUTED_VALUE"""),5)</f>
        <v>5</v>
      </c>
      <c r="AE328" s="4">
        <f ca="1">IFERROR(__xludf.DUMMYFUNCTION("""COMPUTED_VALUE"""),5)</f>
        <v>5</v>
      </c>
      <c r="AF328" s="4">
        <f ca="1">IFERROR(__xludf.DUMMYFUNCTION("""COMPUTED_VALUE"""),5)</f>
        <v>5</v>
      </c>
      <c r="AG328" s="4">
        <f ca="1">IFERROR(__xludf.DUMMYFUNCTION("""COMPUTED_VALUE"""),5)</f>
        <v>5</v>
      </c>
      <c r="AH328" s="4">
        <f ca="1">IFERROR(__xludf.DUMMYFUNCTION("""COMPUTED_VALUE"""),5)</f>
        <v>5</v>
      </c>
      <c r="AI328" s="4">
        <f ca="1">IFERROR(__xludf.DUMMYFUNCTION("""COMPUTED_VALUE"""),5)</f>
        <v>5</v>
      </c>
      <c r="AJ328" s="4">
        <f ca="1">IFERROR(__xludf.DUMMYFUNCTION("""COMPUTED_VALUE"""),5)</f>
        <v>5</v>
      </c>
      <c r="AK328" s="4">
        <f ca="1">IFERROR(__xludf.DUMMYFUNCTION("""COMPUTED_VALUE"""),5)</f>
        <v>5</v>
      </c>
      <c r="AL328" s="4">
        <f ca="1">IFERROR(__xludf.DUMMYFUNCTION("""COMPUTED_VALUE"""),5)</f>
        <v>5</v>
      </c>
      <c r="AM328" s="4">
        <f ca="1">IFERROR(__xludf.DUMMYFUNCTION("""COMPUTED_VALUE"""),5)</f>
        <v>5</v>
      </c>
      <c r="AN328" s="4">
        <f ca="1">IFERROR(__xludf.DUMMYFUNCTION("""COMPUTED_VALUE"""),5)</f>
        <v>5</v>
      </c>
      <c r="AO328" s="4">
        <f ca="1">IFERROR(__xludf.DUMMYFUNCTION("""COMPUTED_VALUE"""),5)</f>
        <v>5</v>
      </c>
      <c r="AP328" s="4">
        <f ca="1">IFERROR(__xludf.DUMMYFUNCTION("""COMPUTED_VALUE"""),5)</f>
        <v>5</v>
      </c>
      <c r="AQ328" s="4">
        <f ca="1">IFERROR(__xludf.DUMMYFUNCTION("""COMPUTED_VALUE"""),5)</f>
        <v>5</v>
      </c>
      <c r="AR328" s="4">
        <f ca="1">IFERROR(__xludf.DUMMYFUNCTION("""COMPUTED_VALUE"""),5)</f>
        <v>5</v>
      </c>
      <c r="AS328" s="4">
        <f ca="1">IFERROR(__xludf.DUMMYFUNCTION("""COMPUTED_VALUE"""),5)</f>
        <v>5</v>
      </c>
      <c r="AT328" s="4">
        <f ca="1">IFERROR(__xludf.DUMMYFUNCTION("""COMPUTED_VALUE"""),5)</f>
        <v>5</v>
      </c>
      <c r="AU328" s="4">
        <f ca="1">IFERROR(__xludf.DUMMYFUNCTION("""COMPUTED_VALUE"""),5)</f>
        <v>5</v>
      </c>
      <c r="AV328" s="4">
        <f ca="1">IFERROR(__xludf.DUMMYFUNCTION("""COMPUTED_VALUE"""),5)</f>
        <v>5</v>
      </c>
      <c r="AW328" s="4">
        <f ca="1">IFERROR(__xludf.DUMMYFUNCTION("""COMPUTED_VALUE"""),5)</f>
        <v>5</v>
      </c>
      <c r="AX328" s="4">
        <f ca="1">IFERROR(__xludf.DUMMYFUNCTION("""COMPUTED_VALUE"""),5)</f>
        <v>5</v>
      </c>
      <c r="AY328" s="4">
        <f ca="1">IFERROR(__xludf.DUMMYFUNCTION("""COMPUTED_VALUE"""),5)</f>
        <v>5</v>
      </c>
      <c r="AZ328" s="4">
        <f ca="1">IFERROR(__xludf.DUMMYFUNCTION("""COMPUTED_VALUE"""),5)</f>
        <v>5</v>
      </c>
      <c r="BA328" s="4">
        <f ca="1">IFERROR(__xludf.DUMMYFUNCTION("""COMPUTED_VALUE"""),5)</f>
        <v>5</v>
      </c>
      <c r="BB328" s="4">
        <f ca="1">IFERROR(__xludf.DUMMYFUNCTION("""COMPUTED_VALUE"""),5)</f>
        <v>5</v>
      </c>
      <c r="BC328" s="4">
        <f ca="1">IFERROR(__xludf.DUMMYFUNCTION("""COMPUTED_VALUE"""),5)</f>
        <v>5</v>
      </c>
      <c r="BD328" s="4">
        <f ca="1">IFERROR(__xludf.DUMMYFUNCTION("""COMPUTED_VALUE"""),5)</f>
        <v>5</v>
      </c>
      <c r="BE328" s="4">
        <f ca="1">IFERROR(__xludf.DUMMYFUNCTION("""COMPUTED_VALUE"""),5)</f>
        <v>5</v>
      </c>
      <c r="BF328" s="4">
        <f ca="1">IFERROR(__xludf.DUMMYFUNCTION("""COMPUTED_VALUE"""),5)</f>
        <v>5</v>
      </c>
      <c r="BG328" s="4">
        <f ca="1">IFERROR(__xludf.DUMMYFUNCTION("""COMPUTED_VALUE"""),5)</f>
        <v>5</v>
      </c>
      <c r="BH328" s="4">
        <f ca="1">IFERROR(__xludf.DUMMYFUNCTION("""COMPUTED_VALUE"""),5)</f>
        <v>5</v>
      </c>
      <c r="BI328" s="4">
        <f ca="1">IFERROR(__xludf.DUMMYFUNCTION("""COMPUTED_VALUE"""),5)</f>
        <v>5</v>
      </c>
      <c r="BJ328" s="4">
        <f ca="1">IFERROR(__xludf.DUMMYFUNCTION("""COMPUTED_VALUE"""),5)</f>
        <v>5</v>
      </c>
      <c r="BK328" s="4">
        <f ca="1">IFERROR(__xludf.DUMMYFUNCTION("""COMPUTED_VALUE"""),5)</f>
        <v>5</v>
      </c>
      <c r="BL328" s="4">
        <f ca="1">IFERROR(__xludf.DUMMYFUNCTION("""COMPUTED_VALUE"""),5)</f>
        <v>5</v>
      </c>
      <c r="BM328" s="4">
        <f ca="1">IFERROR(__xludf.DUMMYFUNCTION("""COMPUTED_VALUE"""),5)</f>
        <v>5</v>
      </c>
      <c r="BN328" s="4">
        <f ca="1">IFERROR(__xludf.DUMMYFUNCTION("""COMPUTED_VALUE"""),5)</f>
        <v>5</v>
      </c>
      <c r="BO328" s="4">
        <f ca="1">IFERROR(__xludf.DUMMYFUNCTION("""COMPUTED_VALUE"""),5)</f>
        <v>5</v>
      </c>
      <c r="BP328" s="4">
        <f ca="1">IFERROR(__xludf.DUMMYFUNCTION("""COMPUTED_VALUE"""),5)</f>
        <v>5</v>
      </c>
    </row>
    <row r="329" spans="1:68" ht="13.2" x14ac:dyDescent="0.25">
      <c r="A329" s="4" t="str">
        <f ca="1">IFERROR(__xludf.DUMMYFUNCTION("""COMPUTED_VALUE"""),"2_ABaOnue4lUCc-SKU7ApguLITE3VoNpxgvfFv4XU6WVUT4iEa4roX6aV6wMpl7vlnrw")</f>
        <v>2_ABaOnue4lUCc-SKU7ApguLITE3VoNpxgvfFv4XU6WVUT4iEa4roX6aV6wMpl7vlnrw</v>
      </c>
      <c r="B329" s="5">
        <f ca="1">IFERROR(__xludf.DUMMYFUNCTION("""COMPUTED_VALUE"""),45986.630299699)</f>
        <v>45986.630299698998</v>
      </c>
      <c r="C329" s="4"/>
      <c r="D329" s="4" t="str">
        <f ca="1">IFERROR(__xludf.DUMMYFUNCTION("""COMPUTED_VALUE"""),"Nữ")</f>
        <v>Nữ</v>
      </c>
      <c r="E329" s="4" t="str">
        <f ca="1">IFERROR(__xludf.DUMMYFUNCTION("""COMPUTED_VALUE"""),"Công ty TNHH Kiểm toán AFC Việt Nam")</f>
        <v>Công ty TNHH Kiểm toán AFC Việt Nam</v>
      </c>
      <c r="F329" s="4" t="str">
        <f ca="1">IFERROR(__xludf.DUMMYFUNCTION("""COMPUTED_VALUE"""),"Đại học")</f>
        <v>Đại học</v>
      </c>
      <c r="G329" s="4" t="str">
        <f ca="1">IFERROR(__xludf.DUMMYFUNCTION("""COMPUTED_VALUE"""),"Từ 3 đến 5 năm")</f>
        <v>Từ 3 đến 5 năm</v>
      </c>
      <c r="H329" s="4" t="str">
        <f ca="1">IFERROR(__xludf.DUMMYFUNCTION("""COMPUTED_VALUE"""),"Trợ lý kiểm toán")</f>
        <v>Trợ lý kiểm toán</v>
      </c>
      <c r="I329" s="4">
        <f ca="1">IFERROR(__xludf.DUMMYFUNCTION("""COMPUTED_VALUE"""),5)</f>
        <v>5</v>
      </c>
      <c r="J329" s="4">
        <f ca="1">IFERROR(__xludf.DUMMYFUNCTION("""COMPUTED_VALUE"""),5)</f>
        <v>5</v>
      </c>
      <c r="K329" s="4">
        <f ca="1">IFERROR(__xludf.DUMMYFUNCTION("""COMPUTED_VALUE"""),5)</f>
        <v>5</v>
      </c>
      <c r="L329" s="4">
        <f ca="1">IFERROR(__xludf.DUMMYFUNCTION("""COMPUTED_VALUE"""),5)</f>
        <v>5</v>
      </c>
      <c r="M329" s="4">
        <f ca="1">IFERROR(__xludf.DUMMYFUNCTION("""COMPUTED_VALUE"""),4)</f>
        <v>4</v>
      </c>
      <c r="N329" s="4">
        <f ca="1">IFERROR(__xludf.DUMMYFUNCTION("""COMPUTED_VALUE"""),5)</f>
        <v>5</v>
      </c>
      <c r="O329" s="4">
        <f ca="1">IFERROR(__xludf.DUMMYFUNCTION("""COMPUTED_VALUE"""),5)</f>
        <v>5</v>
      </c>
      <c r="P329" s="4">
        <f ca="1">IFERROR(__xludf.DUMMYFUNCTION("""COMPUTED_VALUE"""),5)</f>
        <v>5</v>
      </c>
      <c r="Q329" s="4">
        <f ca="1">IFERROR(__xludf.DUMMYFUNCTION("""COMPUTED_VALUE"""),5)</f>
        <v>5</v>
      </c>
      <c r="R329" s="4">
        <f ca="1">IFERROR(__xludf.DUMMYFUNCTION("""COMPUTED_VALUE"""),5)</f>
        <v>5</v>
      </c>
      <c r="S329" s="4">
        <f ca="1">IFERROR(__xludf.DUMMYFUNCTION("""COMPUTED_VALUE"""),4)</f>
        <v>4</v>
      </c>
      <c r="T329" s="4">
        <f ca="1">IFERROR(__xludf.DUMMYFUNCTION("""COMPUTED_VALUE"""),4)</f>
        <v>4</v>
      </c>
      <c r="U329" s="4">
        <f ca="1">IFERROR(__xludf.DUMMYFUNCTION("""COMPUTED_VALUE"""),5)</f>
        <v>5</v>
      </c>
      <c r="V329" s="4">
        <f ca="1">IFERROR(__xludf.DUMMYFUNCTION("""COMPUTED_VALUE"""),4)</f>
        <v>4</v>
      </c>
      <c r="W329" s="4">
        <f ca="1">IFERROR(__xludf.DUMMYFUNCTION("""COMPUTED_VALUE"""),5)</f>
        <v>5</v>
      </c>
      <c r="X329" s="4">
        <f ca="1">IFERROR(__xludf.DUMMYFUNCTION("""COMPUTED_VALUE"""),4)</f>
        <v>4</v>
      </c>
      <c r="Y329" s="4">
        <f ca="1">IFERROR(__xludf.DUMMYFUNCTION("""COMPUTED_VALUE"""),4)</f>
        <v>4</v>
      </c>
      <c r="Z329" s="4">
        <f ca="1">IFERROR(__xludf.DUMMYFUNCTION("""COMPUTED_VALUE"""),4)</f>
        <v>4</v>
      </c>
      <c r="AA329" s="4">
        <f ca="1">IFERROR(__xludf.DUMMYFUNCTION("""COMPUTED_VALUE"""),4)</f>
        <v>4</v>
      </c>
      <c r="AB329" s="4">
        <f ca="1">IFERROR(__xludf.DUMMYFUNCTION("""COMPUTED_VALUE"""),5)</f>
        <v>5</v>
      </c>
      <c r="AC329" s="4">
        <f ca="1">IFERROR(__xludf.DUMMYFUNCTION("""COMPUTED_VALUE"""),5)</f>
        <v>5</v>
      </c>
      <c r="AD329" s="4">
        <f ca="1">IFERROR(__xludf.DUMMYFUNCTION("""COMPUTED_VALUE"""),5)</f>
        <v>5</v>
      </c>
      <c r="AE329" s="4">
        <f ca="1">IFERROR(__xludf.DUMMYFUNCTION("""COMPUTED_VALUE"""),5)</f>
        <v>5</v>
      </c>
      <c r="AF329" s="4">
        <f ca="1">IFERROR(__xludf.DUMMYFUNCTION("""COMPUTED_VALUE"""),5)</f>
        <v>5</v>
      </c>
      <c r="AG329" s="4">
        <f ca="1">IFERROR(__xludf.DUMMYFUNCTION("""COMPUTED_VALUE"""),5)</f>
        <v>5</v>
      </c>
      <c r="AH329" s="4">
        <f ca="1">IFERROR(__xludf.DUMMYFUNCTION("""COMPUTED_VALUE"""),4)</f>
        <v>4</v>
      </c>
      <c r="AI329" s="4">
        <f ca="1">IFERROR(__xludf.DUMMYFUNCTION("""COMPUTED_VALUE"""),5)</f>
        <v>5</v>
      </c>
      <c r="AJ329" s="4">
        <f ca="1">IFERROR(__xludf.DUMMYFUNCTION("""COMPUTED_VALUE"""),5)</f>
        <v>5</v>
      </c>
      <c r="AK329" s="4">
        <f ca="1">IFERROR(__xludf.DUMMYFUNCTION("""COMPUTED_VALUE"""),5)</f>
        <v>5</v>
      </c>
      <c r="AL329" s="4">
        <f ca="1">IFERROR(__xludf.DUMMYFUNCTION("""COMPUTED_VALUE"""),4)</f>
        <v>4</v>
      </c>
      <c r="AM329" s="4">
        <f ca="1">IFERROR(__xludf.DUMMYFUNCTION("""COMPUTED_VALUE"""),5)</f>
        <v>5</v>
      </c>
      <c r="AN329" s="4">
        <f ca="1">IFERROR(__xludf.DUMMYFUNCTION("""COMPUTED_VALUE"""),5)</f>
        <v>5</v>
      </c>
      <c r="AO329" s="4">
        <f ca="1">IFERROR(__xludf.DUMMYFUNCTION("""COMPUTED_VALUE"""),4)</f>
        <v>4</v>
      </c>
      <c r="AP329" s="4">
        <f ca="1">IFERROR(__xludf.DUMMYFUNCTION("""COMPUTED_VALUE"""),4)</f>
        <v>4</v>
      </c>
      <c r="AQ329" s="4">
        <f ca="1">IFERROR(__xludf.DUMMYFUNCTION("""COMPUTED_VALUE"""),4)</f>
        <v>4</v>
      </c>
      <c r="AR329" s="4">
        <f ca="1">IFERROR(__xludf.DUMMYFUNCTION("""COMPUTED_VALUE"""),4)</f>
        <v>4</v>
      </c>
      <c r="AS329" s="4">
        <f ca="1">IFERROR(__xludf.DUMMYFUNCTION("""COMPUTED_VALUE"""),5)</f>
        <v>5</v>
      </c>
      <c r="AT329" s="4">
        <f ca="1">IFERROR(__xludf.DUMMYFUNCTION("""COMPUTED_VALUE"""),4)</f>
        <v>4</v>
      </c>
      <c r="AU329" s="4">
        <f ca="1">IFERROR(__xludf.DUMMYFUNCTION("""COMPUTED_VALUE"""),4)</f>
        <v>4</v>
      </c>
      <c r="AV329" s="4">
        <f ca="1">IFERROR(__xludf.DUMMYFUNCTION("""COMPUTED_VALUE"""),5)</f>
        <v>5</v>
      </c>
      <c r="AW329" s="4">
        <f ca="1">IFERROR(__xludf.DUMMYFUNCTION("""COMPUTED_VALUE"""),5)</f>
        <v>5</v>
      </c>
      <c r="AX329" s="4">
        <f ca="1">IFERROR(__xludf.DUMMYFUNCTION("""COMPUTED_VALUE"""),4)</f>
        <v>4</v>
      </c>
      <c r="AY329" s="4">
        <f ca="1">IFERROR(__xludf.DUMMYFUNCTION("""COMPUTED_VALUE"""),4)</f>
        <v>4</v>
      </c>
      <c r="AZ329" s="4">
        <f ca="1">IFERROR(__xludf.DUMMYFUNCTION("""COMPUTED_VALUE"""),4)</f>
        <v>4</v>
      </c>
      <c r="BA329" s="4">
        <f ca="1">IFERROR(__xludf.DUMMYFUNCTION("""COMPUTED_VALUE"""),5)</f>
        <v>5</v>
      </c>
      <c r="BB329" s="4">
        <f ca="1">IFERROR(__xludf.DUMMYFUNCTION("""COMPUTED_VALUE"""),4)</f>
        <v>4</v>
      </c>
      <c r="BC329" s="4">
        <f ca="1">IFERROR(__xludf.DUMMYFUNCTION("""COMPUTED_VALUE"""),5)</f>
        <v>5</v>
      </c>
      <c r="BD329" s="4">
        <f ca="1">IFERROR(__xludf.DUMMYFUNCTION("""COMPUTED_VALUE"""),4)</f>
        <v>4</v>
      </c>
      <c r="BE329" s="4">
        <f ca="1">IFERROR(__xludf.DUMMYFUNCTION("""COMPUTED_VALUE"""),4)</f>
        <v>4</v>
      </c>
      <c r="BF329" s="4">
        <f ca="1">IFERROR(__xludf.DUMMYFUNCTION("""COMPUTED_VALUE"""),4)</f>
        <v>4</v>
      </c>
      <c r="BG329" s="4">
        <f ca="1">IFERROR(__xludf.DUMMYFUNCTION("""COMPUTED_VALUE"""),5)</f>
        <v>5</v>
      </c>
      <c r="BH329" s="4">
        <f ca="1">IFERROR(__xludf.DUMMYFUNCTION("""COMPUTED_VALUE"""),4)</f>
        <v>4</v>
      </c>
      <c r="BI329" s="4">
        <f ca="1">IFERROR(__xludf.DUMMYFUNCTION("""COMPUTED_VALUE"""),5)</f>
        <v>5</v>
      </c>
      <c r="BJ329" s="4">
        <f ca="1">IFERROR(__xludf.DUMMYFUNCTION("""COMPUTED_VALUE"""),4)</f>
        <v>4</v>
      </c>
      <c r="BK329" s="4">
        <f ca="1">IFERROR(__xludf.DUMMYFUNCTION("""COMPUTED_VALUE"""),5)</f>
        <v>5</v>
      </c>
      <c r="BL329" s="4">
        <f ca="1">IFERROR(__xludf.DUMMYFUNCTION("""COMPUTED_VALUE"""),4)</f>
        <v>4</v>
      </c>
      <c r="BM329" s="4">
        <f ca="1">IFERROR(__xludf.DUMMYFUNCTION("""COMPUTED_VALUE"""),5)</f>
        <v>5</v>
      </c>
      <c r="BN329" s="4">
        <f ca="1">IFERROR(__xludf.DUMMYFUNCTION("""COMPUTED_VALUE"""),4)</f>
        <v>4</v>
      </c>
      <c r="BO329" s="4">
        <f ca="1">IFERROR(__xludf.DUMMYFUNCTION("""COMPUTED_VALUE"""),4)</f>
        <v>4</v>
      </c>
      <c r="BP329" s="4">
        <f ca="1">IFERROR(__xludf.DUMMYFUNCTION("""COMPUTED_VALUE"""),4)</f>
        <v>4</v>
      </c>
    </row>
    <row r="330" spans="1:68" ht="13.2" x14ac:dyDescent="0.25">
      <c r="A330" s="4" t="str">
        <f ca="1">IFERROR(__xludf.DUMMYFUNCTION("""COMPUTED_VALUE"""),"2_ABaOnueFyqfMj3Wll0KnlMas7fIwxVNNJnDNykGwbxsM_mqs-OR9h-jjPn0uJkpIgA")</f>
        <v>2_ABaOnueFyqfMj3Wll0KnlMas7fIwxVNNJnDNykGwbxsM_mqs-OR9h-jjPn0uJkpIgA</v>
      </c>
      <c r="B330" s="5">
        <f ca="1">IFERROR(__xludf.DUMMYFUNCTION("""COMPUTED_VALUE"""),45986.6305704861)</f>
        <v>45986.630570486101</v>
      </c>
      <c r="C330" s="4" t="str">
        <f ca="1">IFERROR(__xludf.DUMMYFUNCTION("""COMPUTED_VALUE"""),"Đinh Quang Tuyến")</f>
        <v>Đinh Quang Tuyến</v>
      </c>
      <c r="D330" s="4" t="str">
        <f ca="1">IFERROR(__xludf.DUMMYFUNCTION("""COMPUTED_VALUE"""),"Nam")</f>
        <v>Nam</v>
      </c>
      <c r="E330" s="4" t="str">
        <f ca="1">IFERROR(__xludf.DUMMYFUNCTION("""COMPUTED_VALUE"""),"Công ty TNHH Kiểm toán và Tư vấn Tâm An")</f>
        <v>Công ty TNHH Kiểm toán và Tư vấn Tâm An</v>
      </c>
      <c r="F330" s="4" t="str">
        <f ca="1">IFERROR(__xludf.DUMMYFUNCTION("""COMPUTED_VALUE"""),"Đại học")</f>
        <v>Đại học</v>
      </c>
      <c r="G330" s="4" t="str">
        <f ca="1">IFERROR(__xludf.DUMMYFUNCTION("""COMPUTED_VALUE"""),"Trên 5 đến 10 năm")</f>
        <v>Trên 5 đến 10 năm</v>
      </c>
      <c r="H330" s="4" t="str">
        <f ca="1">IFERROR(__xludf.DUMMYFUNCTION("""COMPUTED_VALUE"""),"Trợ lý kiểm toán")</f>
        <v>Trợ lý kiểm toán</v>
      </c>
      <c r="I330" s="4">
        <f ca="1">IFERROR(__xludf.DUMMYFUNCTION("""COMPUTED_VALUE"""),5)</f>
        <v>5</v>
      </c>
      <c r="J330" s="4">
        <f ca="1">IFERROR(__xludf.DUMMYFUNCTION("""COMPUTED_VALUE"""),5)</f>
        <v>5</v>
      </c>
      <c r="K330" s="4">
        <f ca="1">IFERROR(__xludf.DUMMYFUNCTION("""COMPUTED_VALUE"""),5)</f>
        <v>5</v>
      </c>
      <c r="L330" s="4">
        <f ca="1">IFERROR(__xludf.DUMMYFUNCTION("""COMPUTED_VALUE"""),5)</f>
        <v>5</v>
      </c>
      <c r="M330" s="4">
        <f ca="1">IFERROR(__xludf.DUMMYFUNCTION("""COMPUTED_VALUE"""),5)</f>
        <v>5</v>
      </c>
      <c r="N330" s="4">
        <f ca="1">IFERROR(__xludf.DUMMYFUNCTION("""COMPUTED_VALUE"""),4)</f>
        <v>4</v>
      </c>
      <c r="O330" s="4">
        <f ca="1">IFERROR(__xludf.DUMMYFUNCTION("""COMPUTED_VALUE"""),4)</f>
        <v>4</v>
      </c>
      <c r="P330" s="4">
        <f ca="1">IFERROR(__xludf.DUMMYFUNCTION("""COMPUTED_VALUE"""),5)</f>
        <v>5</v>
      </c>
      <c r="Q330" s="4">
        <f ca="1">IFERROR(__xludf.DUMMYFUNCTION("""COMPUTED_VALUE"""),5)</f>
        <v>5</v>
      </c>
      <c r="R330" s="4">
        <f ca="1">IFERROR(__xludf.DUMMYFUNCTION("""COMPUTED_VALUE"""),5)</f>
        <v>5</v>
      </c>
      <c r="S330" s="4">
        <f ca="1">IFERROR(__xludf.DUMMYFUNCTION("""COMPUTED_VALUE"""),5)</f>
        <v>5</v>
      </c>
      <c r="T330" s="4">
        <f ca="1">IFERROR(__xludf.DUMMYFUNCTION("""COMPUTED_VALUE"""),5)</f>
        <v>5</v>
      </c>
      <c r="U330" s="4">
        <f ca="1">IFERROR(__xludf.DUMMYFUNCTION("""COMPUTED_VALUE"""),5)</f>
        <v>5</v>
      </c>
      <c r="V330" s="4">
        <f ca="1">IFERROR(__xludf.DUMMYFUNCTION("""COMPUTED_VALUE"""),5)</f>
        <v>5</v>
      </c>
      <c r="W330" s="4">
        <f ca="1">IFERROR(__xludf.DUMMYFUNCTION("""COMPUTED_VALUE"""),5)</f>
        <v>5</v>
      </c>
      <c r="X330" s="4">
        <f ca="1">IFERROR(__xludf.DUMMYFUNCTION("""COMPUTED_VALUE"""),5)</f>
        <v>5</v>
      </c>
      <c r="Y330" s="4">
        <f ca="1">IFERROR(__xludf.DUMMYFUNCTION("""COMPUTED_VALUE"""),4)</f>
        <v>4</v>
      </c>
      <c r="Z330" s="4">
        <f ca="1">IFERROR(__xludf.DUMMYFUNCTION("""COMPUTED_VALUE"""),4)</f>
        <v>4</v>
      </c>
      <c r="AA330" s="4">
        <f ca="1">IFERROR(__xludf.DUMMYFUNCTION("""COMPUTED_VALUE"""),4)</f>
        <v>4</v>
      </c>
      <c r="AB330" s="4">
        <f ca="1">IFERROR(__xludf.DUMMYFUNCTION("""COMPUTED_VALUE"""),5)</f>
        <v>5</v>
      </c>
      <c r="AC330" s="4">
        <f ca="1">IFERROR(__xludf.DUMMYFUNCTION("""COMPUTED_VALUE"""),5)</f>
        <v>5</v>
      </c>
      <c r="AD330" s="4">
        <f ca="1">IFERROR(__xludf.DUMMYFUNCTION("""COMPUTED_VALUE"""),3)</f>
        <v>3</v>
      </c>
      <c r="AE330" s="4">
        <f ca="1">IFERROR(__xludf.DUMMYFUNCTION("""COMPUTED_VALUE"""),5)</f>
        <v>5</v>
      </c>
      <c r="AF330" s="4">
        <f ca="1">IFERROR(__xludf.DUMMYFUNCTION("""COMPUTED_VALUE"""),5)</f>
        <v>5</v>
      </c>
      <c r="AG330" s="4">
        <f ca="1">IFERROR(__xludf.DUMMYFUNCTION("""COMPUTED_VALUE"""),5)</f>
        <v>5</v>
      </c>
      <c r="AH330" s="4">
        <f ca="1">IFERROR(__xludf.DUMMYFUNCTION("""COMPUTED_VALUE"""),5)</f>
        <v>5</v>
      </c>
      <c r="AI330" s="4">
        <f ca="1">IFERROR(__xludf.DUMMYFUNCTION("""COMPUTED_VALUE"""),5)</f>
        <v>5</v>
      </c>
      <c r="AJ330" s="4">
        <f ca="1">IFERROR(__xludf.DUMMYFUNCTION("""COMPUTED_VALUE"""),5)</f>
        <v>5</v>
      </c>
      <c r="AK330" s="4">
        <f ca="1">IFERROR(__xludf.DUMMYFUNCTION("""COMPUTED_VALUE"""),5)</f>
        <v>5</v>
      </c>
      <c r="AL330" s="4">
        <f ca="1">IFERROR(__xludf.DUMMYFUNCTION("""COMPUTED_VALUE"""),5)</f>
        <v>5</v>
      </c>
      <c r="AM330" s="4">
        <f ca="1">IFERROR(__xludf.DUMMYFUNCTION("""COMPUTED_VALUE"""),5)</f>
        <v>5</v>
      </c>
      <c r="AN330" s="4">
        <f ca="1">IFERROR(__xludf.DUMMYFUNCTION("""COMPUTED_VALUE"""),5)</f>
        <v>5</v>
      </c>
      <c r="AO330" s="4">
        <f ca="1">IFERROR(__xludf.DUMMYFUNCTION("""COMPUTED_VALUE"""),5)</f>
        <v>5</v>
      </c>
      <c r="AP330" s="4">
        <f ca="1">IFERROR(__xludf.DUMMYFUNCTION("""COMPUTED_VALUE"""),5)</f>
        <v>5</v>
      </c>
      <c r="AQ330" s="4">
        <f ca="1">IFERROR(__xludf.DUMMYFUNCTION("""COMPUTED_VALUE"""),5)</f>
        <v>5</v>
      </c>
      <c r="AR330" s="4">
        <f ca="1">IFERROR(__xludf.DUMMYFUNCTION("""COMPUTED_VALUE"""),5)</f>
        <v>5</v>
      </c>
      <c r="AS330" s="4">
        <f ca="1">IFERROR(__xludf.DUMMYFUNCTION("""COMPUTED_VALUE"""),5)</f>
        <v>5</v>
      </c>
      <c r="AT330" s="4">
        <f ca="1">IFERROR(__xludf.DUMMYFUNCTION("""COMPUTED_VALUE"""),4)</f>
        <v>4</v>
      </c>
      <c r="AU330" s="4">
        <f ca="1">IFERROR(__xludf.DUMMYFUNCTION("""COMPUTED_VALUE"""),5)</f>
        <v>5</v>
      </c>
      <c r="AV330" s="4">
        <f ca="1">IFERROR(__xludf.DUMMYFUNCTION("""COMPUTED_VALUE"""),5)</f>
        <v>5</v>
      </c>
      <c r="AW330" s="4">
        <f ca="1">IFERROR(__xludf.DUMMYFUNCTION("""COMPUTED_VALUE"""),5)</f>
        <v>5</v>
      </c>
      <c r="AX330" s="4">
        <f ca="1">IFERROR(__xludf.DUMMYFUNCTION("""COMPUTED_VALUE"""),5)</f>
        <v>5</v>
      </c>
      <c r="AY330" s="4">
        <f ca="1">IFERROR(__xludf.DUMMYFUNCTION("""COMPUTED_VALUE"""),5)</f>
        <v>5</v>
      </c>
      <c r="AZ330" s="4">
        <f ca="1">IFERROR(__xludf.DUMMYFUNCTION("""COMPUTED_VALUE"""),5)</f>
        <v>5</v>
      </c>
      <c r="BA330" s="4">
        <f ca="1">IFERROR(__xludf.DUMMYFUNCTION("""COMPUTED_VALUE"""),5)</f>
        <v>5</v>
      </c>
      <c r="BB330" s="4">
        <f ca="1">IFERROR(__xludf.DUMMYFUNCTION("""COMPUTED_VALUE"""),4)</f>
        <v>4</v>
      </c>
      <c r="BC330" s="4">
        <f ca="1">IFERROR(__xludf.DUMMYFUNCTION("""COMPUTED_VALUE"""),4)</f>
        <v>4</v>
      </c>
      <c r="BD330" s="4">
        <f ca="1">IFERROR(__xludf.DUMMYFUNCTION("""COMPUTED_VALUE"""),5)</f>
        <v>5</v>
      </c>
      <c r="BE330" s="4">
        <f ca="1">IFERROR(__xludf.DUMMYFUNCTION("""COMPUTED_VALUE"""),5)</f>
        <v>5</v>
      </c>
      <c r="BF330" s="4">
        <f ca="1">IFERROR(__xludf.DUMMYFUNCTION("""COMPUTED_VALUE"""),4)</f>
        <v>4</v>
      </c>
      <c r="BG330" s="4">
        <f ca="1">IFERROR(__xludf.DUMMYFUNCTION("""COMPUTED_VALUE"""),5)</f>
        <v>5</v>
      </c>
      <c r="BH330" s="4">
        <f ca="1">IFERROR(__xludf.DUMMYFUNCTION("""COMPUTED_VALUE"""),5)</f>
        <v>5</v>
      </c>
      <c r="BI330" s="4">
        <f ca="1">IFERROR(__xludf.DUMMYFUNCTION("""COMPUTED_VALUE"""),5)</f>
        <v>5</v>
      </c>
      <c r="BJ330" s="4">
        <f ca="1">IFERROR(__xludf.DUMMYFUNCTION("""COMPUTED_VALUE"""),5)</f>
        <v>5</v>
      </c>
      <c r="BK330" s="4">
        <f ca="1">IFERROR(__xludf.DUMMYFUNCTION("""COMPUTED_VALUE"""),5)</f>
        <v>5</v>
      </c>
      <c r="BL330" s="4">
        <f ca="1">IFERROR(__xludf.DUMMYFUNCTION("""COMPUTED_VALUE"""),5)</f>
        <v>5</v>
      </c>
      <c r="BM330" s="4">
        <f ca="1">IFERROR(__xludf.DUMMYFUNCTION("""COMPUTED_VALUE"""),5)</f>
        <v>5</v>
      </c>
      <c r="BN330" s="4">
        <f ca="1">IFERROR(__xludf.DUMMYFUNCTION("""COMPUTED_VALUE"""),5)</f>
        <v>5</v>
      </c>
      <c r="BO330" s="4">
        <f ca="1">IFERROR(__xludf.DUMMYFUNCTION("""COMPUTED_VALUE"""),5)</f>
        <v>5</v>
      </c>
      <c r="BP330" s="4">
        <f ca="1">IFERROR(__xludf.DUMMYFUNCTION("""COMPUTED_VALUE"""),5)</f>
        <v>5</v>
      </c>
    </row>
    <row r="331" spans="1:68" ht="13.2" x14ac:dyDescent="0.25">
      <c r="A331" s="4" t="str">
        <f ca="1">IFERROR(__xludf.DUMMYFUNCTION("""COMPUTED_VALUE"""),"2_ABaOnucMgKw54L21THfrUb4MDt6d7QjyJ_iNiOoq_-fjEgA2ovBfe6xHte4AosUoHA")</f>
        <v>2_ABaOnucMgKw54L21THfrUb4MDt6d7QjyJ_iNiOoq_-fjEgA2ovBfe6xHte4AosUoHA</v>
      </c>
      <c r="B331" s="5">
        <f ca="1">IFERROR(__xludf.DUMMYFUNCTION("""COMPUTED_VALUE"""),45986.6321553587)</f>
        <v>45986.632155358697</v>
      </c>
      <c r="C331" s="4" t="str">
        <f ca="1">IFERROR(__xludf.DUMMYFUNCTION("""COMPUTED_VALUE"""),"Trương Tấn Đạt")</f>
        <v>Trương Tấn Đạt</v>
      </c>
      <c r="D331" s="4" t="str">
        <f ca="1">IFERROR(__xludf.DUMMYFUNCTION("""COMPUTED_VALUE"""),"Nam")</f>
        <v>Nam</v>
      </c>
      <c r="E331" s="4" t="str">
        <f ca="1">IFERROR(__xludf.DUMMYFUNCTION("""COMPUTED_VALUE"""),"Công ty TNHH Kiểm Toán AFC Việt Nam")</f>
        <v>Công ty TNHH Kiểm Toán AFC Việt Nam</v>
      </c>
      <c r="F331" s="4" t="str">
        <f ca="1">IFERROR(__xludf.DUMMYFUNCTION("""COMPUTED_VALUE"""),"Đại học")</f>
        <v>Đại học</v>
      </c>
      <c r="G331" s="4" t="str">
        <f ca="1">IFERROR(__xludf.DUMMYFUNCTION("""COMPUTED_VALUE"""),"Từ 3 đến 5 năm")</f>
        <v>Từ 3 đến 5 năm</v>
      </c>
      <c r="H331" s="4" t="str">
        <f ca="1">IFERROR(__xludf.DUMMYFUNCTION("""COMPUTED_VALUE"""),"Trợ lý kiểm toán")</f>
        <v>Trợ lý kiểm toán</v>
      </c>
      <c r="I331" s="4">
        <f ca="1">IFERROR(__xludf.DUMMYFUNCTION("""COMPUTED_VALUE"""),5)</f>
        <v>5</v>
      </c>
      <c r="J331" s="4">
        <f ca="1">IFERROR(__xludf.DUMMYFUNCTION("""COMPUTED_VALUE"""),4)</f>
        <v>4</v>
      </c>
      <c r="K331" s="4">
        <f ca="1">IFERROR(__xludf.DUMMYFUNCTION("""COMPUTED_VALUE"""),5)</f>
        <v>5</v>
      </c>
      <c r="L331" s="4">
        <f ca="1">IFERROR(__xludf.DUMMYFUNCTION("""COMPUTED_VALUE"""),5)</f>
        <v>5</v>
      </c>
      <c r="M331" s="4">
        <f ca="1">IFERROR(__xludf.DUMMYFUNCTION("""COMPUTED_VALUE"""),4)</f>
        <v>4</v>
      </c>
      <c r="N331" s="4">
        <f ca="1">IFERROR(__xludf.DUMMYFUNCTION("""COMPUTED_VALUE"""),3)</f>
        <v>3</v>
      </c>
      <c r="O331" s="4">
        <f ca="1">IFERROR(__xludf.DUMMYFUNCTION("""COMPUTED_VALUE"""),3)</f>
        <v>3</v>
      </c>
      <c r="P331" s="4">
        <f ca="1">IFERROR(__xludf.DUMMYFUNCTION("""COMPUTED_VALUE"""),5)</f>
        <v>5</v>
      </c>
      <c r="Q331" s="4">
        <f ca="1">IFERROR(__xludf.DUMMYFUNCTION("""COMPUTED_VALUE"""),5)</f>
        <v>5</v>
      </c>
      <c r="R331" s="4">
        <f ca="1">IFERROR(__xludf.DUMMYFUNCTION("""COMPUTED_VALUE"""),5)</f>
        <v>5</v>
      </c>
      <c r="S331" s="4">
        <f ca="1">IFERROR(__xludf.DUMMYFUNCTION("""COMPUTED_VALUE"""),3)</f>
        <v>3</v>
      </c>
      <c r="T331" s="4">
        <f ca="1">IFERROR(__xludf.DUMMYFUNCTION("""COMPUTED_VALUE"""),5)</f>
        <v>5</v>
      </c>
      <c r="U331" s="4">
        <f ca="1">IFERROR(__xludf.DUMMYFUNCTION("""COMPUTED_VALUE"""),5)</f>
        <v>5</v>
      </c>
      <c r="V331" s="4">
        <f ca="1">IFERROR(__xludf.DUMMYFUNCTION("""COMPUTED_VALUE"""),5)</f>
        <v>5</v>
      </c>
      <c r="W331" s="4">
        <f ca="1">IFERROR(__xludf.DUMMYFUNCTION("""COMPUTED_VALUE"""),5)</f>
        <v>5</v>
      </c>
      <c r="X331" s="4">
        <f ca="1">IFERROR(__xludf.DUMMYFUNCTION("""COMPUTED_VALUE"""),5)</f>
        <v>5</v>
      </c>
      <c r="Y331" s="4">
        <f ca="1">IFERROR(__xludf.DUMMYFUNCTION("""COMPUTED_VALUE"""),4)</f>
        <v>4</v>
      </c>
      <c r="Z331" s="4">
        <f ca="1">IFERROR(__xludf.DUMMYFUNCTION("""COMPUTED_VALUE"""),4)</f>
        <v>4</v>
      </c>
      <c r="AA331" s="4">
        <f ca="1">IFERROR(__xludf.DUMMYFUNCTION("""COMPUTED_VALUE"""),3)</f>
        <v>3</v>
      </c>
      <c r="AB331" s="4">
        <f ca="1">IFERROR(__xludf.DUMMYFUNCTION("""COMPUTED_VALUE"""),4)</f>
        <v>4</v>
      </c>
      <c r="AC331" s="4">
        <f ca="1">IFERROR(__xludf.DUMMYFUNCTION("""COMPUTED_VALUE"""),3)</f>
        <v>3</v>
      </c>
      <c r="AD331" s="4">
        <f ca="1">IFERROR(__xludf.DUMMYFUNCTION("""COMPUTED_VALUE"""),4)</f>
        <v>4</v>
      </c>
      <c r="AE331" s="4">
        <f ca="1">IFERROR(__xludf.DUMMYFUNCTION("""COMPUTED_VALUE"""),5)</f>
        <v>5</v>
      </c>
      <c r="AF331" s="4">
        <f ca="1">IFERROR(__xludf.DUMMYFUNCTION("""COMPUTED_VALUE"""),4)</f>
        <v>4</v>
      </c>
      <c r="AG331" s="4">
        <f ca="1">IFERROR(__xludf.DUMMYFUNCTION("""COMPUTED_VALUE"""),4)</f>
        <v>4</v>
      </c>
      <c r="AH331" s="4">
        <f ca="1">IFERROR(__xludf.DUMMYFUNCTION("""COMPUTED_VALUE"""),5)</f>
        <v>5</v>
      </c>
      <c r="AI331" s="4">
        <f ca="1">IFERROR(__xludf.DUMMYFUNCTION("""COMPUTED_VALUE"""),4)</f>
        <v>4</v>
      </c>
      <c r="AJ331" s="4">
        <f ca="1">IFERROR(__xludf.DUMMYFUNCTION("""COMPUTED_VALUE"""),5)</f>
        <v>5</v>
      </c>
      <c r="AK331" s="4">
        <f ca="1">IFERROR(__xludf.DUMMYFUNCTION("""COMPUTED_VALUE"""),5)</f>
        <v>5</v>
      </c>
      <c r="AL331" s="4">
        <f ca="1">IFERROR(__xludf.DUMMYFUNCTION("""COMPUTED_VALUE"""),5)</f>
        <v>5</v>
      </c>
      <c r="AM331" s="4">
        <f ca="1">IFERROR(__xludf.DUMMYFUNCTION("""COMPUTED_VALUE"""),5)</f>
        <v>5</v>
      </c>
      <c r="AN331" s="4">
        <f ca="1">IFERROR(__xludf.DUMMYFUNCTION("""COMPUTED_VALUE"""),5)</f>
        <v>5</v>
      </c>
      <c r="AO331" s="4">
        <f ca="1">IFERROR(__xludf.DUMMYFUNCTION("""COMPUTED_VALUE"""),5)</f>
        <v>5</v>
      </c>
      <c r="AP331" s="4">
        <f ca="1">IFERROR(__xludf.DUMMYFUNCTION("""COMPUTED_VALUE"""),4)</f>
        <v>4</v>
      </c>
      <c r="AQ331" s="4">
        <f ca="1">IFERROR(__xludf.DUMMYFUNCTION("""COMPUTED_VALUE"""),4)</f>
        <v>4</v>
      </c>
      <c r="AR331" s="4">
        <f ca="1">IFERROR(__xludf.DUMMYFUNCTION("""COMPUTED_VALUE"""),5)</f>
        <v>5</v>
      </c>
      <c r="AS331" s="4">
        <f ca="1">IFERROR(__xludf.DUMMYFUNCTION("""COMPUTED_VALUE"""),4)</f>
        <v>4</v>
      </c>
      <c r="AT331" s="4">
        <f ca="1">IFERROR(__xludf.DUMMYFUNCTION("""COMPUTED_VALUE"""),3)</f>
        <v>3</v>
      </c>
      <c r="AU331" s="4">
        <f ca="1">IFERROR(__xludf.DUMMYFUNCTION("""COMPUTED_VALUE"""),4)</f>
        <v>4</v>
      </c>
      <c r="AV331" s="4">
        <f ca="1">IFERROR(__xludf.DUMMYFUNCTION("""COMPUTED_VALUE"""),4)</f>
        <v>4</v>
      </c>
      <c r="AW331" s="4">
        <f ca="1">IFERROR(__xludf.DUMMYFUNCTION("""COMPUTED_VALUE"""),4)</f>
        <v>4</v>
      </c>
      <c r="AX331" s="4">
        <f ca="1">IFERROR(__xludf.DUMMYFUNCTION("""COMPUTED_VALUE"""),5)</f>
        <v>5</v>
      </c>
      <c r="AY331" s="4">
        <f ca="1">IFERROR(__xludf.DUMMYFUNCTION("""COMPUTED_VALUE"""),5)</f>
        <v>5</v>
      </c>
      <c r="AZ331" s="4">
        <f ca="1">IFERROR(__xludf.DUMMYFUNCTION("""COMPUTED_VALUE"""),5)</f>
        <v>5</v>
      </c>
      <c r="BA331" s="4">
        <f ca="1">IFERROR(__xludf.DUMMYFUNCTION("""COMPUTED_VALUE"""),5)</f>
        <v>5</v>
      </c>
      <c r="BB331" s="4">
        <f ca="1">IFERROR(__xludf.DUMMYFUNCTION("""COMPUTED_VALUE"""),5)</f>
        <v>5</v>
      </c>
      <c r="BC331" s="4">
        <f ca="1">IFERROR(__xludf.DUMMYFUNCTION("""COMPUTED_VALUE"""),5)</f>
        <v>5</v>
      </c>
      <c r="BD331" s="4">
        <f ca="1">IFERROR(__xludf.DUMMYFUNCTION("""COMPUTED_VALUE"""),4)</f>
        <v>4</v>
      </c>
      <c r="BE331" s="4">
        <f ca="1">IFERROR(__xludf.DUMMYFUNCTION("""COMPUTED_VALUE"""),5)</f>
        <v>5</v>
      </c>
      <c r="BF331" s="4">
        <f ca="1">IFERROR(__xludf.DUMMYFUNCTION("""COMPUTED_VALUE"""),5)</f>
        <v>5</v>
      </c>
      <c r="BG331" s="4">
        <f ca="1">IFERROR(__xludf.DUMMYFUNCTION("""COMPUTED_VALUE"""),5)</f>
        <v>5</v>
      </c>
      <c r="BH331" s="4">
        <f ca="1">IFERROR(__xludf.DUMMYFUNCTION("""COMPUTED_VALUE"""),4)</f>
        <v>4</v>
      </c>
      <c r="BI331" s="4">
        <f ca="1">IFERROR(__xludf.DUMMYFUNCTION("""COMPUTED_VALUE"""),5)</f>
        <v>5</v>
      </c>
      <c r="BJ331" s="4">
        <f ca="1">IFERROR(__xludf.DUMMYFUNCTION("""COMPUTED_VALUE"""),5)</f>
        <v>5</v>
      </c>
      <c r="BK331" s="4">
        <f ca="1">IFERROR(__xludf.DUMMYFUNCTION("""COMPUTED_VALUE"""),5)</f>
        <v>5</v>
      </c>
      <c r="BL331" s="4">
        <f ca="1">IFERROR(__xludf.DUMMYFUNCTION("""COMPUTED_VALUE"""),5)</f>
        <v>5</v>
      </c>
      <c r="BM331" s="4">
        <f ca="1">IFERROR(__xludf.DUMMYFUNCTION("""COMPUTED_VALUE"""),5)</f>
        <v>5</v>
      </c>
      <c r="BN331" s="4">
        <f ca="1">IFERROR(__xludf.DUMMYFUNCTION("""COMPUTED_VALUE"""),5)</f>
        <v>5</v>
      </c>
      <c r="BO331" s="4">
        <f ca="1">IFERROR(__xludf.DUMMYFUNCTION("""COMPUTED_VALUE"""),5)</f>
        <v>5</v>
      </c>
      <c r="BP331" s="4">
        <f ca="1">IFERROR(__xludf.DUMMYFUNCTION("""COMPUTED_VALUE"""),5)</f>
        <v>5</v>
      </c>
    </row>
    <row r="332" spans="1:68" ht="13.2" x14ac:dyDescent="0.25">
      <c r="A332" s="4" t="str">
        <f ca="1">IFERROR(__xludf.DUMMYFUNCTION("""COMPUTED_VALUE"""),"2_ABaOnufAUSi9hSkzcMbuQ0nNb9dEFlMIRB7qqWRregRMdgrLA9UbpcyXbNdOV3vOjg")</f>
        <v>2_ABaOnufAUSi9hSkzcMbuQ0nNb9dEFlMIRB7qqWRregRMdgrLA9UbpcyXbNdOV3vOjg</v>
      </c>
      <c r="B332" s="5">
        <f ca="1">IFERROR(__xludf.DUMMYFUNCTION("""COMPUTED_VALUE"""),45986.6333468171)</f>
        <v>45986.6333468171</v>
      </c>
      <c r="C332" s="4" t="str">
        <f ca="1">IFERROR(__xludf.DUMMYFUNCTION("""COMPUTED_VALUE"""),"Mai Hoàng Sang")</f>
        <v>Mai Hoàng Sang</v>
      </c>
      <c r="D332" s="4" t="str">
        <f ca="1">IFERROR(__xludf.DUMMYFUNCTION("""COMPUTED_VALUE"""),"Nam")</f>
        <v>Nam</v>
      </c>
      <c r="E332" s="4" t="str">
        <f ca="1">IFERROR(__xludf.DUMMYFUNCTION("""COMPUTED_VALUE"""),"CÔNG TY TNHH KIỂM TOÁN AFC VIỆT NAM - CHI NHÁNH CẦN THƠ")</f>
        <v>CÔNG TY TNHH KIỂM TOÁN AFC VIỆT NAM - CHI NHÁNH CẦN THƠ</v>
      </c>
      <c r="F332" s="4" t="str">
        <f ca="1">IFERROR(__xludf.DUMMYFUNCTION("""COMPUTED_VALUE"""),"Đại học")</f>
        <v>Đại học</v>
      </c>
      <c r="G332" s="4" t="str">
        <f ca="1">IFERROR(__xludf.DUMMYFUNCTION("""COMPUTED_VALUE"""),"Từ 3 đến 5 năm")</f>
        <v>Từ 3 đến 5 năm</v>
      </c>
      <c r="H332" s="4" t="str">
        <f ca="1">IFERROR(__xludf.DUMMYFUNCTION("""COMPUTED_VALUE"""),"Trợ lý kiểm toán")</f>
        <v>Trợ lý kiểm toán</v>
      </c>
      <c r="I332" s="4">
        <f ca="1">IFERROR(__xludf.DUMMYFUNCTION("""COMPUTED_VALUE"""),5)</f>
        <v>5</v>
      </c>
      <c r="J332" s="4">
        <f ca="1">IFERROR(__xludf.DUMMYFUNCTION("""COMPUTED_VALUE"""),5)</f>
        <v>5</v>
      </c>
      <c r="K332" s="4">
        <f ca="1">IFERROR(__xludf.DUMMYFUNCTION("""COMPUTED_VALUE"""),5)</f>
        <v>5</v>
      </c>
      <c r="L332" s="4">
        <f ca="1">IFERROR(__xludf.DUMMYFUNCTION("""COMPUTED_VALUE"""),3)</f>
        <v>3</v>
      </c>
      <c r="M332" s="4">
        <f ca="1">IFERROR(__xludf.DUMMYFUNCTION("""COMPUTED_VALUE"""),5)</f>
        <v>5</v>
      </c>
      <c r="N332" s="4">
        <f ca="1">IFERROR(__xludf.DUMMYFUNCTION("""COMPUTED_VALUE"""),3)</f>
        <v>3</v>
      </c>
      <c r="O332" s="4">
        <f ca="1">IFERROR(__xludf.DUMMYFUNCTION("""COMPUTED_VALUE"""),5)</f>
        <v>5</v>
      </c>
      <c r="P332" s="4">
        <f ca="1">IFERROR(__xludf.DUMMYFUNCTION("""COMPUTED_VALUE"""),4)</f>
        <v>4</v>
      </c>
      <c r="Q332" s="4">
        <f ca="1">IFERROR(__xludf.DUMMYFUNCTION("""COMPUTED_VALUE"""),4)</f>
        <v>4</v>
      </c>
      <c r="R332" s="4">
        <f ca="1">IFERROR(__xludf.DUMMYFUNCTION("""COMPUTED_VALUE"""),4)</f>
        <v>4</v>
      </c>
      <c r="S332" s="4">
        <f ca="1">IFERROR(__xludf.DUMMYFUNCTION("""COMPUTED_VALUE"""),5)</f>
        <v>5</v>
      </c>
      <c r="T332" s="4">
        <f ca="1">IFERROR(__xludf.DUMMYFUNCTION("""COMPUTED_VALUE"""),5)</f>
        <v>5</v>
      </c>
      <c r="U332" s="4">
        <f ca="1">IFERROR(__xludf.DUMMYFUNCTION("""COMPUTED_VALUE"""),5)</f>
        <v>5</v>
      </c>
      <c r="V332" s="4">
        <f ca="1">IFERROR(__xludf.DUMMYFUNCTION("""COMPUTED_VALUE"""),5)</f>
        <v>5</v>
      </c>
      <c r="W332" s="4">
        <f ca="1">IFERROR(__xludf.DUMMYFUNCTION("""COMPUTED_VALUE"""),5)</f>
        <v>5</v>
      </c>
      <c r="X332" s="4">
        <f ca="1">IFERROR(__xludf.DUMMYFUNCTION("""COMPUTED_VALUE"""),5)</f>
        <v>5</v>
      </c>
      <c r="Y332" s="4">
        <f ca="1">IFERROR(__xludf.DUMMYFUNCTION("""COMPUTED_VALUE"""),4)</f>
        <v>4</v>
      </c>
      <c r="Z332" s="4">
        <f ca="1">IFERROR(__xludf.DUMMYFUNCTION("""COMPUTED_VALUE"""),5)</f>
        <v>5</v>
      </c>
      <c r="AA332" s="4">
        <f ca="1">IFERROR(__xludf.DUMMYFUNCTION("""COMPUTED_VALUE"""),5)</f>
        <v>5</v>
      </c>
      <c r="AB332" s="4">
        <f ca="1">IFERROR(__xludf.DUMMYFUNCTION("""COMPUTED_VALUE"""),3)</f>
        <v>3</v>
      </c>
      <c r="AC332" s="4">
        <f ca="1">IFERROR(__xludf.DUMMYFUNCTION("""COMPUTED_VALUE"""),3)</f>
        <v>3</v>
      </c>
      <c r="AD332" s="4">
        <f ca="1">IFERROR(__xludf.DUMMYFUNCTION("""COMPUTED_VALUE"""),3)</f>
        <v>3</v>
      </c>
      <c r="AE332" s="4">
        <f ca="1">IFERROR(__xludf.DUMMYFUNCTION("""COMPUTED_VALUE"""),3)</f>
        <v>3</v>
      </c>
      <c r="AF332" s="4">
        <f ca="1">IFERROR(__xludf.DUMMYFUNCTION("""COMPUTED_VALUE"""),5)</f>
        <v>5</v>
      </c>
      <c r="AG332" s="4">
        <f ca="1">IFERROR(__xludf.DUMMYFUNCTION("""COMPUTED_VALUE"""),5)</f>
        <v>5</v>
      </c>
      <c r="AH332" s="4">
        <f ca="1">IFERROR(__xludf.DUMMYFUNCTION("""COMPUTED_VALUE"""),5)</f>
        <v>5</v>
      </c>
      <c r="AI332" s="4">
        <f ca="1">IFERROR(__xludf.DUMMYFUNCTION("""COMPUTED_VALUE"""),5)</f>
        <v>5</v>
      </c>
      <c r="AJ332" s="4">
        <f ca="1">IFERROR(__xludf.DUMMYFUNCTION("""COMPUTED_VALUE"""),5)</f>
        <v>5</v>
      </c>
      <c r="AK332" s="4">
        <f ca="1">IFERROR(__xludf.DUMMYFUNCTION("""COMPUTED_VALUE"""),4)</f>
        <v>4</v>
      </c>
      <c r="AL332" s="4">
        <f ca="1">IFERROR(__xludf.DUMMYFUNCTION("""COMPUTED_VALUE"""),5)</f>
        <v>5</v>
      </c>
      <c r="AM332" s="4">
        <f ca="1">IFERROR(__xludf.DUMMYFUNCTION("""COMPUTED_VALUE"""),5)</f>
        <v>5</v>
      </c>
      <c r="AN332" s="4">
        <f ca="1">IFERROR(__xludf.DUMMYFUNCTION("""COMPUTED_VALUE"""),3)</f>
        <v>3</v>
      </c>
      <c r="AO332" s="4">
        <f ca="1">IFERROR(__xludf.DUMMYFUNCTION("""COMPUTED_VALUE"""),3)</f>
        <v>3</v>
      </c>
      <c r="AP332" s="4">
        <f ca="1">IFERROR(__xludf.DUMMYFUNCTION("""COMPUTED_VALUE"""),5)</f>
        <v>5</v>
      </c>
      <c r="AQ332" s="4">
        <f ca="1">IFERROR(__xludf.DUMMYFUNCTION("""COMPUTED_VALUE"""),4)</f>
        <v>4</v>
      </c>
      <c r="AR332" s="4">
        <f ca="1">IFERROR(__xludf.DUMMYFUNCTION("""COMPUTED_VALUE"""),5)</f>
        <v>5</v>
      </c>
      <c r="AS332" s="4">
        <f ca="1">IFERROR(__xludf.DUMMYFUNCTION("""COMPUTED_VALUE"""),5)</f>
        <v>5</v>
      </c>
      <c r="AT332" s="4">
        <f ca="1">IFERROR(__xludf.DUMMYFUNCTION("""COMPUTED_VALUE"""),5)</f>
        <v>5</v>
      </c>
      <c r="AU332" s="4">
        <f ca="1">IFERROR(__xludf.DUMMYFUNCTION("""COMPUTED_VALUE"""),5)</f>
        <v>5</v>
      </c>
      <c r="AV332" s="4">
        <f ca="1">IFERROR(__xludf.DUMMYFUNCTION("""COMPUTED_VALUE"""),4)</f>
        <v>4</v>
      </c>
      <c r="AW332" s="4">
        <f ca="1">IFERROR(__xludf.DUMMYFUNCTION("""COMPUTED_VALUE"""),5)</f>
        <v>5</v>
      </c>
      <c r="AX332" s="4">
        <f ca="1">IFERROR(__xludf.DUMMYFUNCTION("""COMPUTED_VALUE"""),4)</f>
        <v>4</v>
      </c>
      <c r="AY332" s="4">
        <f ca="1">IFERROR(__xludf.DUMMYFUNCTION("""COMPUTED_VALUE"""),5)</f>
        <v>5</v>
      </c>
      <c r="AZ332" s="4">
        <f ca="1">IFERROR(__xludf.DUMMYFUNCTION("""COMPUTED_VALUE"""),4)</f>
        <v>4</v>
      </c>
      <c r="BA332" s="4">
        <f ca="1">IFERROR(__xludf.DUMMYFUNCTION("""COMPUTED_VALUE"""),4)</f>
        <v>4</v>
      </c>
      <c r="BB332" s="4">
        <f ca="1">IFERROR(__xludf.DUMMYFUNCTION("""COMPUTED_VALUE"""),5)</f>
        <v>5</v>
      </c>
      <c r="BC332" s="4">
        <f ca="1">IFERROR(__xludf.DUMMYFUNCTION("""COMPUTED_VALUE"""),4)</f>
        <v>4</v>
      </c>
      <c r="BD332" s="4">
        <f ca="1">IFERROR(__xludf.DUMMYFUNCTION("""COMPUTED_VALUE"""),5)</f>
        <v>5</v>
      </c>
      <c r="BE332" s="4">
        <f ca="1">IFERROR(__xludf.DUMMYFUNCTION("""COMPUTED_VALUE"""),5)</f>
        <v>5</v>
      </c>
      <c r="BF332" s="4">
        <f ca="1">IFERROR(__xludf.DUMMYFUNCTION("""COMPUTED_VALUE"""),5)</f>
        <v>5</v>
      </c>
      <c r="BG332" s="4">
        <f ca="1">IFERROR(__xludf.DUMMYFUNCTION("""COMPUTED_VALUE"""),4)</f>
        <v>4</v>
      </c>
      <c r="BH332" s="4">
        <f ca="1">IFERROR(__xludf.DUMMYFUNCTION("""COMPUTED_VALUE"""),4)</f>
        <v>4</v>
      </c>
      <c r="BI332" s="4">
        <f ca="1">IFERROR(__xludf.DUMMYFUNCTION("""COMPUTED_VALUE"""),5)</f>
        <v>5</v>
      </c>
      <c r="BJ332" s="4">
        <f ca="1">IFERROR(__xludf.DUMMYFUNCTION("""COMPUTED_VALUE"""),5)</f>
        <v>5</v>
      </c>
      <c r="BK332" s="4">
        <f ca="1">IFERROR(__xludf.DUMMYFUNCTION("""COMPUTED_VALUE"""),5)</f>
        <v>5</v>
      </c>
      <c r="BL332" s="4">
        <f ca="1">IFERROR(__xludf.DUMMYFUNCTION("""COMPUTED_VALUE"""),4)</f>
        <v>4</v>
      </c>
      <c r="BM332" s="4">
        <f ca="1">IFERROR(__xludf.DUMMYFUNCTION("""COMPUTED_VALUE"""),4)</f>
        <v>4</v>
      </c>
      <c r="BN332" s="4">
        <f ca="1">IFERROR(__xludf.DUMMYFUNCTION("""COMPUTED_VALUE"""),4)</f>
        <v>4</v>
      </c>
      <c r="BO332" s="4">
        <f ca="1">IFERROR(__xludf.DUMMYFUNCTION("""COMPUTED_VALUE"""),5)</f>
        <v>5</v>
      </c>
      <c r="BP332" s="4">
        <f ca="1">IFERROR(__xludf.DUMMYFUNCTION("""COMPUTED_VALUE"""),5)</f>
        <v>5</v>
      </c>
    </row>
    <row r="333" spans="1:68" ht="13.2" x14ac:dyDescent="0.25">
      <c r="A333" s="4" t="str">
        <f ca="1">IFERROR(__xludf.DUMMYFUNCTION("""COMPUTED_VALUE"""),"2_ABaOnufFqJ5m4pf7Jd0KD4DvulUTkM_ZXHvrzsZwHo0R543W7rA1Q5JMoTlKBwo96A")</f>
        <v>2_ABaOnufFqJ5m4pf7Jd0KD4DvulUTkM_ZXHvrzsZwHo0R543W7rA1Q5JMoTlKBwo96A</v>
      </c>
      <c r="B333" s="5">
        <f ca="1">IFERROR(__xludf.DUMMYFUNCTION("""COMPUTED_VALUE"""),45986.6336524074)</f>
        <v>45986.633652407399</v>
      </c>
      <c r="C333" s="4" t="str">
        <f ca="1">IFERROR(__xludf.DUMMYFUNCTION("""COMPUTED_VALUE"""),"Phạm Thành Sơn Tây")</f>
        <v>Phạm Thành Sơn Tây</v>
      </c>
      <c r="D333" s="4" t="str">
        <f ca="1">IFERROR(__xludf.DUMMYFUNCTION("""COMPUTED_VALUE"""),"Nam")</f>
        <v>Nam</v>
      </c>
      <c r="E333" s="4" t="str">
        <f ca="1">IFERROR(__xludf.DUMMYFUNCTION("""COMPUTED_VALUE"""),"Công ty TNHH Kiểm toán AFC Việt Nam - chi nhánh Cần Thơ")</f>
        <v>Công ty TNHH Kiểm toán AFC Việt Nam - chi nhánh Cần Thơ</v>
      </c>
      <c r="F333" s="4" t="str">
        <f ca="1">IFERROR(__xludf.DUMMYFUNCTION("""COMPUTED_VALUE"""),"Đại học")</f>
        <v>Đại học</v>
      </c>
      <c r="G333" s="4" t="str">
        <f ca="1">IFERROR(__xludf.DUMMYFUNCTION("""COMPUTED_VALUE"""),"Từ 3 đến 5 năm")</f>
        <v>Từ 3 đến 5 năm</v>
      </c>
      <c r="H333" s="4" t="str">
        <f ca="1">IFERROR(__xludf.DUMMYFUNCTION("""COMPUTED_VALUE"""),"Trợ lý kiểm toán")</f>
        <v>Trợ lý kiểm toán</v>
      </c>
      <c r="I333" s="4">
        <f ca="1">IFERROR(__xludf.DUMMYFUNCTION("""COMPUTED_VALUE"""),4)</f>
        <v>4</v>
      </c>
      <c r="J333" s="4">
        <f ca="1">IFERROR(__xludf.DUMMYFUNCTION("""COMPUTED_VALUE"""),4)</f>
        <v>4</v>
      </c>
      <c r="K333" s="4">
        <f ca="1">IFERROR(__xludf.DUMMYFUNCTION("""COMPUTED_VALUE"""),4)</f>
        <v>4</v>
      </c>
      <c r="L333" s="4">
        <f ca="1">IFERROR(__xludf.DUMMYFUNCTION("""COMPUTED_VALUE"""),4)</f>
        <v>4</v>
      </c>
      <c r="M333" s="4">
        <f ca="1">IFERROR(__xludf.DUMMYFUNCTION("""COMPUTED_VALUE"""),4)</f>
        <v>4</v>
      </c>
      <c r="N333" s="4">
        <f ca="1">IFERROR(__xludf.DUMMYFUNCTION("""COMPUTED_VALUE"""),3)</f>
        <v>3</v>
      </c>
      <c r="O333" s="4">
        <f ca="1">IFERROR(__xludf.DUMMYFUNCTION("""COMPUTED_VALUE"""),3)</f>
        <v>3</v>
      </c>
      <c r="P333" s="4">
        <f ca="1">IFERROR(__xludf.DUMMYFUNCTION("""COMPUTED_VALUE"""),4)</f>
        <v>4</v>
      </c>
      <c r="Q333" s="4">
        <f ca="1">IFERROR(__xludf.DUMMYFUNCTION("""COMPUTED_VALUE"""),4)</f>
        <v>4</v>
      </c>
      <c r="R333" s="4">
        <f ca="1">IFERROR(__xludf.DUMMYFUNCTION("""COMPUTED_VALUE"""),4)</f>
        <v>4</v>
      </c>
      <c r="S333" s="4">
        <f ca="1">IFERROR(__xludf.DUMMYFUNCTION("""COMPUTED_VALUE"""),4)</f>
        <v>4</v>
      </c>
      <c r="T333" s="4">
        <f ca="1">IFERROR(__xludf.DUMMYFUNCTION("""COMPUTED_VALUE"""),4)</f>
        <v>4</v>
      </c>
      <c r="U333" s="4">
        <f ca="1">IFERROR(__xludf.DUMMYFUNCTION("""COMPUTED_VALUE"""),4)</f>
        <v>4</v>
      </c>
      <c r="V333" s="4">
        <f ca="1">IFERROR(__xludf.DUMMYFUNCTION("""COMPUTED_VALUE"""),4)</f>
        <v>4</v>
      </c>
      <c r="W333" s="4">
        <f ca="1">IFERROR(__xludf.DUMMYFUNCTION("""COMPUTED_VALUE"""),4)</f>
        <v>4</v>
      </c>
      <c r="X333" s="4">
        <f ca="1">IFERROR(__xludf.DUMMYFUNCTION("""COMPUTED_VALUE"""),3)</f>
        <v>3</v>
      </c>
      <c r="Y333" s="4">
        <f ca="1">IFERROR(__xludf.DUMMYFUNCTION("""COMPUTED_VALUE"""),4)</f>
        <v>4</v>
      </c>
      <c r="Z333" s="4">
        <f ca="1">IFERROR(__xludf.DUMMYFUNCTION("""COMPUTED_VALUE"""),3)</f>
        <v>3</v>
      </c>
      <c r="AA333" s="4">
        <f ca="1">IFERROR(__xludf.DUMMYFUNCTION("""COMPUTED_VALUE"""),4)</f>
        <v>4</v>
      </c>
      <c r="AB333" s="4">
        <f ca="1">IFERROR(__xludf.DUMMYFUNCTION("""COMPUTED_VALUE"""),3)</f>
        <v>3</v>
      </c>
      <c r="AC333" s="4">
        <f ca="1">IFERROR(__xludf.DUMMYFUNCTION("""COMPUTED_VALUE"""),3)</f>
        <v>3</v>
      </c>
      <c r="AD333" s="4">
        <f ca="1">IFERROR(__xludf.DUMMYFUNCTION("""COMPUTED_VALUE"""),4)</f>
        <v>4</v>
      </c>
      <c r="AE333" s="4">
        <f ca="1">IFERROR(__xludf.DUMMYFUNCTION("""COMPUTED_VALUE"""),4)</f>
        <v>4</v>
      </c>
      <c r="AF333" s="4">
        <f ca="1">IFERROR(__xludf.DUMMYFUNCTION("""COMPUTED_VALUE"""),4)</f>
        <v>4</v>
      </c>
      <c r="AG333" s="4">
        <f ca="1">IFERROR(__xludf.DUMMYFUNCTION("""COMPUTED_VALUE"""),4)</f>
        <v>4</v>
      </c>
      <c r="AH333" s="4">
        <f ca="1">IFERROR(__xludf.DUMMYFUNCTION("""COMPUTED_VALUE"""),4)</f>
        <v>4</v>
      </c>
      <c r="AI333" s="4">
        <f ca="1">IFERROR(__xludf.DUMMYFUNCTION("""COMPUTED_VALUE"""),3)</f>
        <v>3</v>
      </c>
      <c r="AJ333" s="4">
        <f ca="1">IFERROR(__xludf.DUMMYFUNCTION("""COMPUTED_VALUE"""),3)</f>
        <v>3</v>
      </c>
      <c r="AK333" s="4">
        <f ca="1">IFERROR(__xludf.DUMMYFUNCTION("""COMPUTED_VALUE"""),3)</f>
        <v>3</v>
      </c>
      <c r="AL333" s="4">
        <f ca="1">IFERROR(__xludf.DUMMYFUNCTION("""COMPUTED_VALUE"""),4)</f>
        <v>4</v>
      </c>
      <c r="AM333" s="4">
        <f ca="1">IFERROR(__xludf.DUMMYFUNCTION("""COMPUTED_VALUE"""),4)</f>
        <v>4</v>
      </c>
      <c r="AN333" s="4">
        <f ca="1">IFERROR(__xludf.DUMMYFUNCTION("""COMPUTED_VALUE"""),3)</f>
        <v>3</v>
      </c>
      <c r="AO333" s="4">
        <f ca="1">IFERROR(__xludf.DUMMYFUNCTION("""COMPUTED_VALUE"""),4)</f>
        <v>4</v>
      </c>
      <c r="AP333" s="4">
        <f ca="1">IFERROR(__xludf.DUMMYFUNCTION("""COMPUTED_VALUE"""),3)</f>
        <v>3</v>
      </c>
      <c r="AQ333" s="4">
        <f ca="1">IFERROR(__xludf.DUMMYFUNCTION("""COMPUTED_VALUE"""),4)</f>
        <v>4</v>
      </c>
      <c r="AR333" s="4">
        <f ca="1">IFERROR(__xludf.DUMMYFUNCTION("""COMPUTED_VALUE"""),3)</f>
        <v>3</v>
      </c>
      <c r="AS333" s="4">
        <f ca="1">IFERROR(__xludf.DUMMYFUNCTION("""COMPUTED_VALUE"""),3)</f>
        <v>3</v>
      </c>
      <c r="AT333" s="4">
        <f ca="1">IFERROR(__xludf.DUMMYFUNCTION("""COMPUTED_VALUE"""),3)</f>
        <v>3</v>
      </c>
      <c r="AU333" s="4">
        <f ca="1">IFERROR(__xludf.DUMMYFUNCTION("""COMPUTED_VALUE"""),3)</f>
        <v>3</v>
      </c>
      <c r="AV333" s="4">
        <f ca="1">IFERROR(__xludf.DUMMYFUNCTION("""COMPUTED_VALUE"""),4)</f>
        <v>4</v>
      </c>
      <c r="AW333" s="4">
        <f ca="1">IFERROR(__xludf.DUMMYFUNCTION("""COMPUTED_VALUE"""),4)</f>
        <v>4</v>
      </c>
      <c r="AX333" s="4">
        <f ca="1">IFERROR(__xludf.DUMMYFUNCTION("""COMPUTED_VALUE"""),4)</f>
        <v>4</v>
      </c>
      <c r="AY333" s="4">
        <f ca="1">IFERROR(__xludf.DUMMYFUNCTION("""COMPUTED_VALUE"""),4)</f>
        <v>4</v>
      </c>
      <c r="AZ333" s="4">
        <f ca="1">IFERROR(__xludf.DUMMYFUNCTION("""COMPUTED_VALUE"""),4)</f>
        <v>4</v>
      </c>
      <c r="BA333" s="4">
        <f ca="1">IFERROR(__xludf.DUMMYFUNCTION("""COMPUTED_VALUE"""),3)</f>
        <v>3</v>
      </c>
      <c r="BB333" s="4">
        <f ca="1">IFERROR(__xludf.DUMMYFUNCTION("""COMPUTED_VALUE"""),3)</f>
        <v>3</v>
      </c>
      <c r="BC333" s="4">
        <f ca="1">IFERROR(__xludf.DUMMYFUNCTION("""COMPUTED_VALUE"""),4)</f>
        <v>4</v>
      </c>
      <c r="BD333" s="4">
        <f ca="1">IFERROR(__xludf.DUMMYFUNCTION("""COMPUTED_VALUE"""),4)</f>
        <v>4</v>
      </c>
      <c r="BE333" s="4">
        <f ca="1">IFERROR(__xludf.DUMMYFUNCTION("""COMPUTED_VALUE"""),4)</f>
        <v>4</v>
      </c>
      <c r="BF333" s="4">
        <f ca="1">IFERROR(__xludf.DUMMYFUNCTION("""COMPUTED_VALUE"""),4)</f>
        <v>4</v>
      </c>
      <c r="BG333" s="4">
        <f ca="1">IFERROR(__xludf.DUMMYFUNCTION("""COMPUTED_VALUE"""),3)</f>
        <v>3</v>
      </c>
      <c r="BH333" s="4">
        <f ca="1">IFERROR(__xludf.DUMMYFUNCTION("""COMPUTED_VALUE"""),4)</f>
        <v>4</v>
      </c>
      <c r="BI333" s="4">
        <f ca="1">IFERROR(__xludf.DUMMYFUNCTION("""COMPUTED_VALUE"""),4)</f>
        <v>4</v>
      </c>
      <c r="BJ333" s="4">
        <f ca="1">IFERROR(__xludf.DUMMYFUNCTION("""COMPUTED_VALUE"""),4)</f>
        <v>4</v>
      </c>
      <c r="BK333" s="4">
        <f ca="1">IFERROR(__xludf.DUMMYFUNCTION("""COMPUTED_VALUE"""),4)</f>
        <v>4</v>
      </c>
      <c r="BL333" s="4">
        <f ca="1">IFERROR(__xludf.DUMMYFUNCTION("""COMPUTED_VALUE"""),4)</f>
        <v>4</v>
      </c>
      <c r="BM333" s="4">
        <f ca="1">IFERROR(__xludf.DUMMYFUNCTION("""COMPUTED_VALUE"""),4)</f>
        <v>4</v>
      </c>
      <c r="BN333" s="4">
        <f ca="1">IFERROR(__xludf.DUMMYFUNCTION("""COMPUTED_VALUE"""),4)</f>
        <v>4</v>
      </c>
      <c r="BO333" s="4">
        <f ca="1">IFERROR(__xludf.DUMMYFUNCTION("""COMPUTED_VALUE"""),4)</f>
        <v>4</v>
      </c>
      <c r="BP333" s="4">
        <f ca="1">IFERROR(__xludf.DUMMYFUNCTION("""COMPUTED_VALUE"""),4)</f>
        <v>4</v>
      </c>
    </row>
    <row r="334" spans="1:68" ht="13.2" x14ac:dyDescent="0.25">
      <c r="A334" s="4" t="str">
        <f ca="1">IFERROR(__xludf.DUMMYFUNCTION("""COMPUTED_VALUE"""),"2_ABaOnufE2VmLsCRbL1rU-YkhC-3Q3mPMVIsH3kSYNvvNo4FVUcTFFvJhSFtBevfJww")</f>
        <v>2_ABaOnufE2VmLsCRbL1rU-YkhC-3Q3mPMVIsH3kSYNvvNo4FVUcTFFvJhSFtBevfJww</v>
      </c>
      <c r="B334" s="5">
        <f ca="1">IFERROR(__xludf.DUMMYFUNCTION("""COMPUTED_VALUE"""),45986.6338259027)</f>
        <v>45986.633825902703</v>
      </c>
      <c r="C334" s="4" t="str">
        <f ca="1">IFERROR(__xludf.DUMMYFUNCTION("""COMPUTED_VALUE"""),"Nguyễn Quý Đức")</f>
        <v>Nguyễn Quý Đức</v>
      </c>
      <c r="D334" s="4" t="str">
        <f ca="1">IFERROR(__xludf.DUMMYFUNCTION("""COMPUTED_VALUE"""),"Nam")</f>
        <v>Nam</v>
      </c>
      <c r="E334" s="4" t="str">
        <f ca="1">IFERROR(__xludf.DUMMYFUNCTION("""COMPUTED_VALUE"""),"Công ty TNHH Kiểm toán Nhân Tâm Việt")</f>
        <v>Công ty TNHH Kiểm toán Nhân Tâm Việt</v>
      </c>
      <c r="F334" s="4" t="str">
        <f ca="1">IFERROR(__xludf.DUMMYFUNCTION("""COMPUTED_VALUE"""),"Đại học")</f>
        <v>Đại học</v>
      </c>
      <c r="G334" s="4" t="str">
        <f ca="1">IFERROR(__xludf.DUMMYFUNCTION("""COMPUTED_VALUE"""),"Từ 3 đến 5 năm")</f>
        <v>Từ 3 đến 5 năm</v>
      </c>
      <c r="H334" s="4" t="str">
        <f ca="1">IFERROR(__xludf.DUMMYFUNCTION("""COMPUTED_VALUE"""),"Trợ lý kiểm toán")</f>
        <v>Trợ lý kiểm toán</v>
      </c>
      <c r="I334" s="4">
        <f ca="1">IFERROR(__xludf.DUMMYFUNCTION("""COMPUTED_VALUE"""),5)</f>
        <v>5</v>
      </c>
      <c r="J334" s="4">
        <f ca="1">IFERROR(__xludf.DUMMYFUNCTION("""COMPUTED_VALUE"""),5)</f>
        <v>5</v>
      </c>
      <c r="K334" s="4">
        <f ca="1">IFERROR(__xludf.DUMMYFUNCTION("""COMPUTED_VALUE"""),5)</f>
        <v>5</v>
      </c>
      <c r="L334" s="4">
        <f ca="1">IFERROR(__xludf.DUMMYFUNCTION("""COMPUTED_VALUE"""),5)</f>
        <v>5</v>
      </c>
      <c r="M334" s="4">
        <f ca="1">IFERROR(__xludf.DUMMYFUNCTION("""COMPUTED_VALUE"""),5)</f>
        <v>5</v>
      </c>
      <c r="N334" s="4">
        <f ca="1">IFERROR(__xludf.DUMMYFUNCTION("""COMPUTED_VALUE"""),5)</f>
        <v>5</v>
      </c>
      <c r="O334" s="4">
        <f ca="1">IFERROR(__xludf.DUMMYFUNCTION("""COMPUTED_VALUE"""),5)</f>
        <v>5</v>
      </c>
      <c r="P334" s="4">
        <f ca="1">IFERROR(__xludf.DUMMYFUNCTION("""COMPUTED_VALUE"""),5)</f>
        <v>5</v>
      </c>
      <c r="Q334" s="4">
        <f ca="1">IFERROR(__xludf.DUMMYFUNCTION("""COMPUTED_VALUE"""),5)</f>
        <v>5</v>
      </c>
      <c r="R334" s="4">
        <f ca="1">IFERROR(__xludf.DUMMYFUNCTION("""COMPUTED_VALUE"""),5)</f>
        <v>5</v>
      </c>
      <c r="S334" s="4">
        <f ca="1">IFERROR(__xludf.DUMMYFUNCTION("""COMPUTED_VALUE"""),5)</f>
        <v>5</v>
      </c>
      <c r="T334" s="4">
        <f ca="1">IFERROR(__xludf.DUMMYFUNCTION("""COMPUTED_VALUE"""),5)</f>
        <v>5</v>
      </c>
      <c r="U334" s="4">
        <f ca="1">IFERROR(__xludf.DUMMYFUNCTION("""COMPUTED_VALUE"""),5)</f>
        <v>5</v>
      </c>
      <c r="V334" s="4">
        <f ca="1">IFERROR(__xludf.DUMMYFUNCTION("""COMPUTED_VALUE"""),5)</f>
        <v>5</v>
      </c>
      <c r="W334" s="4">
        <f ca="1">IFERROR(__xludf.DUMMYFUNCTION("""COMPUTED_VALUE"""),5)</f>
        <v>5</v>
      </c>
      <c r="X334" s="4">
        <f ca="1">IFERROR(__xludf.DUMMYFUNCTION("""COMPUTED_VALUE"""),5)</f>
        <v>5</v>
      </c>
      <c r="Y334" s="4">
        <f ca="1">IFERROR(__xludf.DUMMYFUNCTION("""COMPUTED_VALUE"""),4)</f>
        <v>4</v>
      </c>
      <c r="Z334" s="4">
        <f ca="1">IFERROR(__xludf.DUMMYFUNCTION("""COMPUTED_VALUE"""),5)</f>
        <v>5</v>
      </c>
      <c r="AA334" s="4">
        <f ca="1">IFERROR(__xludf.DUMMYFUNCTION("""COMPUTED_VALUE"""),5)</f>
        <v>5</v>
      </c>
      <c r="AB334" s="4">
        <f ca="1">IFERROR(__xludf.DUMMYFUNCTION("""COMPUTED_VALUE"""),5)</f>
        <v>5</v>
      </c>
      <c r="AC334" s="4">
        <f ca="1">IFERROR(__xludf.DUMMYFUNCTION("""COMPUTED_VALUE"""),4)</f>
        <v>4</v>
      </c>
      <c r="AD334" s="4">
        <f ca="1">IFERROR(__xludf.DUMMYFUNCTION("""COMPUTED_VALUE"""),5)</f>
        <v>5</v>
      </c>
      <c r="AE334" s="4">
        <f ca="1">IFERROR(__xludf.DUMMYFUNCTION("""COMPUTED_VALUE"""),5)</f>
        <v>5</v>
      </c>
      <c r="AF334" s="4">
        <f ca="1">IFERROR(__xludf.DUMMYFUNCTION("""COMPUTED_VALUE"""),5)</f>
        <v>5</v>
      </c>
      <c r="AG334" s="4">
        <f ca="1">IFERROR(__xludf.DUMMYFUNCTION("""COMPUTED_VALUE"""),5)</f>
        <v>5</v>
      </c>
      <c r="AH334" s="4">
        <f ca="1">IFERROR(__xludf.DUMMYFUNCTION("""COMPUTED_VALUE"""),5)</f>
        <v>5</v>
      </c>
      <c r="AI334" s="4">
        <f ca="1">IFERROR(__xludf.DUMMYFUNCTION("""COMPUTED_VALUE"""),5)</f>
        <v>5</v>
      </c>
      <c r="AJ334" s="4">
        <f ca="1">IFERROR(__xludf.DUMMYFUNCTION("""COMPUTED_VALUE"""),5)</f>
        <v>5</v>
      </c>
      <c r="AK334" s="4">
        <f ca="1">IFERROR(__xludf.DUMMYFUNCTION("""COMPUTED_VALUE"""),5)</f>
        <v>5</v>
      </c>
      <c r="AL334" s="4">
        <f ca="1">IFERROR(__xludf.DUMMYFUNCTION("""COMPUTED_VALUE"""),5)</f>
        <v>5</v>
      </c>
      <c r="AM334" s="4">
        <f ca="1">IFERROR(__xludf.DUMMYFUNCTION("""COMPUTED_VALUE"""),5)</f>
        <v>5</v>
      </c>
      <c r="AN334" s="4">
        <f ca="1">IFERROR(__xludf.DUMMYFUNCTION("""COMPUTED_VALUE"""),5)</f>
        <v>5</v>
      </c>
      <c r="AO334" s="4">
        <f ca="1">IFERROR(__xludf.DUMMYFUNCTION("""COMPUTED_VALUE"""),5)</f>
        <v>5</v>
      </c>
      <c r="AP334" s="4">
        <f ca="1">IFERROR(__xludf.DUMMYFUNCTION("""COMPUTED_VALUE"""),5)</f>
        <v>5</v>
      </c>
      <c r="AQ334" s="4">
        <f ca="1">IFERROR(__xludf.DUMMYFUNCTION("""COMPUTED_VALUE"""),5)</f>
        <v>5</v>
      </c>
      <c r="AR334" s="4">
        <f ca="1">IFERROR(__xludf.DUMMYFUNCTION("""COMPUTED_VALUE"""),5)</f>
        <v>5</v>
      </c>
      <c r="AS334" s="4">
        <f ca="1">IFERROR(__xludf.DUMMYFUNCTION("""COMPUTED_VALUE"""),5)</f>
        <v>5</v>
      </c>
      <c r="AT334" s="4">
        <f ca="1">IFERROR(__xludf.DUMMYFUNCTION("""COMPUTED_VALUE"""),5)</f>
        <v>5</v>
      </c>
      <c r="AU334" s="4">
        <f ca="1">IFERROR(__xludf.DUMMYFUNCTION("""COMPUTED_VALUE"""),5)</f>
        <v>5</v>
      </c>
      <c r="AV334" s="4">
        <f ca="1">IFERROR(__xludf.DUMMYFUNCTION("""COMPUTED_VALUE"""),5)</f>
        <v>5</v>
      </c>
      <c r="AW334" s="4">
        <f ca="1">IFERROR(__xludf.DUMMYFUNCTION("""COMPUTED_VALUE"""),5)</f>
        <v>5</v>
      </c>
      <c r="AX334" s="4">
        <f ca="1">IFERROR(__xludf.DUMMYFUNCTION("""COMPUTED_VALUE"""),5)</f>
        <v>5</v>
      </c>
      <c r="AY334" s="4">
        <f ca="1">IFERROR(__xludf.DUMMYFUNCTION("""COMPUTED_VALUE"""),5)</f>
        <v>5</v>
      </c>
      <c r="AZ334" s="4">
        <f ca="1">IFERROR(__xludf.DUMMYFUNCTION("""COMPUTED_VALUE"""),5)</f>
        <v>5</v>
      </c>
      <c r="BA334" s="4">
        <f ca="1">IFERROR(__xludf.DUMMYFUNCTION("""COMPUTED_VALUE"""),5)</f>
        <v>5</v>
      </c>
      <c r="BB334" s="4">
        <f ca="1">IFERROR(__xludf.DUMMYFUNCTION("""COMPUTED_VALUE"""),5)</f>
        <v>5</v>
      </c>
      <c r="BC334" s="4">
        <f ca="1">IFERROR(__xludf.DUMMYFUNCTION("""COMPUTED_VALUE"""),5)</f>
        <v>5</v>
      </c>
      <c r="BD334" s="4">
        <f ca="1">IFERROR(__xludf.DUMMYFUNCTION("""COMPUTED_VALUE"""),5)</f>
        <v>5</v>
      </c>
      <c r="BE334" s="4">
        <f ca="1">IFERROR(__xludf.DUMMYFUNCTION("""COMPUTED_VALUE"""),5)</f>
        <v>5</v>
      </c>
      <c r="BF334" s="4">
        <f ca="1">IFERROR(__xludf.DUMMYFUNCTION("""COMPUTED_VALUE"""),5)</f>
        <v>5</v>
      </c>
      <c r="BG334" s="4">
        <f ca="1">IFERROR(__xludf.DUMMYFUNCTION("""COMPUTED_VALUE"""),5)</f>
        <v>5</v>
      </c>
      <c r="BH334" s="4">
        <f ca="1">IFERROR(__xludf.DUMMYFUNCTION("""COMPUTED_VALUE"""),5)</f>
        <v>5</v>
      </c>
      <c r="BI334" s="4">
        <f ca="1">IFERROR(__xludf.DUMMYFUNCTION("""COMPUTED_VALUE"""),5)</f>
        <v>5</v>
      </c>
      <c r="BJ334" s="4">
        <f ca="1">IFERROR(__xludf.DUMMYFUNCTION("""COMPUTED_VALUE"""),5)</f>
        <v>5</v>
      </c>
      <c r="BK334" s="4">
        <f ca="1">IFERROR(__xludf.DUMMYFUNCTION("""COMPUTED_VALUE"""),5)</f>
        <v>5</v>
      </c>
      <c r="BL334" s="4">
        <f ca="1">IFERROR(__xludf.DUMMYFUNCTION("""COMPUTED_VALUE"""),5)</f>
        <v>5</v>
      </c>
      <c r="BM334" s="4">
        <f ca="1">IFERROR(__xludf.DUMMYFUNCTION("""COMPUTED_VALUE"""),5)</f>
        <v>5</v>
      </c>
      <c r="BN334" s="4">
        <f ca="1">IFERROR(__xludf.DUMMYFUNCTION("""COMPUTED_VALUE"""),5)</f>
        <v>5</v>
      </c>
      <c r="BO334" s="4">
        <f ca="1">IFERROR(__xludf.DUMMYFUNCTION("""COMPUTED_VALUE"""),5)</f>
        <v>5</v>
      </c>
      <c r="BP334" s="4">
        <f ca="1">IFERROR(__xludf.DUMMYFUNCTION("""COMPUTED_VALUE"""),5)</f>
        <v>5</v>
      </c>
    </row>
    <row r="335" spans="1:68" ht="13.2" x14ac:dyDescent="0.25">
      <c r="A335" s="4" t="str">
        <f ca="1">IFERROR(__xludf.DUMMYFUNCTION("""COMPUTED_VALUE"""),"2_ABaOnufX357BkiS16G9tRQpMtlYED2Z_4wzqb226alUrjtghCUwMFyJliMj-304OLg")</f>
        <v>2_ABaOnufX357BkiS16G9tRQpMtlYED2Z_4wzqb226alUrjtghCUwMFyJliMj-304OLg</v>
      </c>
      <c r="B335" s="5">
        <f ca="1">IFERROR(__xludf.DUMMYFUNCTION("""COMPUTED_VALUE"""),45986.6341328703)</f>
        <v>45986.634132870298</v>
      </c>
      <c r="C335" s="4"/>
      <c r="D335" s="4" t="str">
        <f ca="1">IFERROR(__xludf.DUMMYFUNCTION("""COMPUTED_VALUE"""),"Nam")</f>
        <v>Nam</v>
      </c>
      <c r="E335" s="4" t="str">
        <f ca="1">IFERROR(__xludf.DUMMYFUNCTION("""COMPUTED_VALUE"""),"CÔNG TY TNHH KIỂM TOÁN AFC VIỆT NAM")</f>
        <v>CÔNG TY TNHH KIỂM TOÁN AFC VIỆT NAM</v>
      </c>
      <c r="F335" s="4" t="str">
        <f ca="1">IFERROR(__xludf.DUMMYFUNCTION("""COMPUTED_VALUE"""),"Đại học")</f>
        <v>Đại học</v>
      </c>
      <c r="G335" s="4" t="str">
        <f ca="1">IFERROR(__xludf.DUMMYFUNCTION("""COMPUTED_VALUE"""),"Trên 10 đến 15 năm")</f>
        <v>Trên 10 đến 15 năm</v>
      </c>
      <c r="H335" s="4" t="str">
        <f ca="1">IFERROR(__xludf.DUMMYFUNCTION("""COMPUTED_VALUE"""),"Kiểm toán viên/Trưởng nhóm")</f>
        <v>Kiểm toán viên/Trưởng nhóm</v>
      </c>
      <c r="I335" s="4">
        <f ca="1">IFERROR(__xludf.DUMMYFUNCTION("""COMPUTED_VALUE"""),5)</f>
        <v>5</v>
      </c>
      <c r="J335" s="4">
        <f ca="1">IFERROR(__xludf.DUMMYFUNCTION("""COMPUTED_VALUE"""),5)</f>
        <v>5</v>
      </c>
      <c r="K335" s="4">
        <f ca="1">IFERROR(__xludf.DUMMYFUNCTION("""COMPUTED_VALUE"""),5)</f>
        <v>5</v>
      </c>
      <c r="L335" s="4">
        <f ca="1">IFERROR(__xludf.DUMMYFUNCTION("""COMPUTED_VALUE"""),4)</f>
        <v>4</v>
      </c>
      <c r="M335" s="4">
        <f ca="1">IFERROR(__xludf.DUMMYFUNCTION("""COMPUTED_VALUE"""),5)</f>
        <v>5</v>
      </c>
      <c r="N335" s="4">
        <f ca="1">IFERROR(__xludf.DUMMYFUNCTION("""COMPUTED_VALUE"""),5)</f>
        <v>5</v>
      </c>
      <c r="O335" s="4">
        <f ca="1">IFERROR(__xludf.DUMMYFUNCTION("""COMPUTED_VALUE"""),5)</f>
        <v>5</v>
      </c>
      <c r="P335" s="4">
        <f ca="1">IFERROR(__xludf.DUMMYFUNCTION("""COMPUTED_VALUE"""),5)</f>
        <v>5</v>
      </c>
      <c r="Q335" s="4">
        <f ca="1">IFERROR(__xludf.DUMMYFUNCTION("""COMPUTED_VALUE"""),5)</f>
        <v>5</v>
      </c>
      <c r="R335" s="4">
        <f ca="1">IFERROR(__xludf.DUMMYFUNCTION("""COMPUTED_VALUE"""),5)</f>
        <v>5</v>
      </c>
      <c r="S335" s="4">
        <f ca="1">IFERROR(__xludf.DUMMYFUNCTION("""COMPUTED_VALUE"""),5)</f>
        <v>5</v>
      </c>
      <c r="T335" s="4">
        <f ca="1">IFERROR(__xludf.DUMMYFUNCTION("""COMPUTED_VALUE"""),5)</f>
        <v>5</v>
      </c>
      <c r="U335" s="4">
        <f ca="1">IFERROR(__xludf.DUMMYFUNCTION("""COMPUTED_VALUE"""),5)</f>
        <v>5</v>
      </c>
      <c r="V335" s="4">
        <f ca="1">IFERROR(__xludf.DUMMYFUNCTION("""COMPUTED_VALUE"""),5)</f>
        <v>5</v>
      </c>
      <c r="W335" s="4">
        <f ca="1">IFERROR(__xludf.DUMMYFUNCTION("""COMPUTED_VALUE"""),4)</f>
        <v>4</v>
      </c>
      <c r="X335" s="4">
        <f ca="1">IFERROR(__xludf.DUMMYFUNCTION("""COMPUTED_VALUE"""),4)</f>
        <v>4</v>
      </c>
      <c r="Y335" s="4">
        <f ca="1">IFERROR(__xludf.DUMMYFUNCTION("""COMPUTED_VALUE"""),4)</f>
        <v>4</v>
      </c>
      <c r="Z335" s="4">
        <f ca="1">IFERROR(__xludf.DUMMYFUNCTION("""COMPUTED_VALUE"""),4)</f>
        <v>4</v>
      </c>
      <c r="AA335" s="4">
        <f ca="1">IFERROR(__xludf.DUMMYFUNCTION("""COMPUTED_VALUE"""),4)</f>
        <v>4</v>
      </c>
      <c r="AB335" s="4">
        <f ca="1">IFERROR(__xludf.DUMMYFUNCTION("""COMPUTED_VALUE"""),5)</f>
        <v>5</v>
      </c>
      <c r="AC335" s="4">
        <f ca="1">IFERROR(__xludf.DUMMYFUNCTION("""COMPUTED_VALUE"""),4)</f>
        <v>4</v>
      </c>
      <c r="AD335" s="4">
        <f ca="1">IFERROR(__xludf.DUMMYFUNCTION("""COMPUTED_VALUE"""),4)</f>
        <v>4</v>
      </c>
      <c r="AE335" s="4">
        <f ca="1">IFERROR(__xludf.DUMMYFUNCTION("""COMPUTED_VALUE"""),5)</f>
        <v>5</v>
      </c>
      <c r="AF335" s="4">
        <f ca="1">IFERROR(__xludf.DUMMYFUNCTION("""COMPUTED_VALUE"""),5)</f>
        <v>5</v>
      </c>
      <c r="AG335" s="4">
        <f ca="1">IFERROR(__xludf.DUMMYFUNCTION("""COMPUTED_VALUE"""),5)</f>
        <v>5</v>
      </c>
      <c r="AH335" s="4">
        <f ca="1">IFERROR(__xludf.DUMMYFUNCTION("""COMPUTED_VALUE"""),5)</f>
        <v>5</v>
      </c>
      <c r="AI335" s="4">
        <f ca="1">IFERROR(__xludf.DUMMYFUNCTION("""COMPUTED_VALUE"""),5)</f>
        <v>5</v>
      </c>
      <c r="AJ335" s="4">
        <f ca="1">IFERROR(__xludf.DUMMYFUNCTION("""COMPUTED_VALUE"""),5)</f>
        <v>5</v>
      </c>
      <c r="AK335" s="4">
        <f ca="1">IFERROR(__xludf.DUMMYFUNCTION("""COMPUTED_VALUE"""),5)</f>
        <v>5</v>
      </c>
      <c r="AL335" s="4">
        <f ca="1">IFERROR(__xludf.DUMMYFUNCTION("""COMPUTED_VALUE"""),5)</f>
        <v>5</v>
      </c>
      <c r="AM335" s="4">
        <f ca="1">IFERROR(__xludf.DUMMYFUNCTION("""COMPUTED_VALUE"""),5)</f>
        <v>5</v>
      </c>
      <c r="AN335" s="4">
        <f ca="1">IFERROR(__xludf.DUMMYFUNCTION("""COMPUTED_VALUE"""),5)</f>
        <v>5</v>
      </c>
      <c r="AO335" s="4">
        <f ca="1">IFERROR(__xludf.DUMMYFUNCTION("""COMPUTED_VALUE"""),5)</f>
        <v>5</v>
      </c>
      <c r="AP335" s="4">
        <f ca="1">IFERROR(__xludf.DUMMYFUNCTION("""COMPUTED_VALUE"""),5)</f>
        <v>5</v>
      </c>
      <c r="AQ335" s="4">
        <f ca="1">IFERROR(__xludf.DUMMYFUNCTION("""COMPUTED_VALUE"""),5)</f>
        <v>5</v>
      </c>
      <c r="AR335" s="4">
        <f ca="1">IFERROR(__xludf.DUMMYFUNCTION("""COMPUTED_VALUE"""),5)</f>
        <v>5</v>
      </c>
      <c r="AS335" s="4">
        <f ca="1">IFERROR(__xludf.DUMMYFUNCTION("""COMPUTED_VALUE"""),5)</f>
        <v>5</v>
      </c>
      <c r="AT335" s="4">
        <f ca="1">IFERROR(__xludf.DUMMYFUNCTION("""COMPUTED_VALUE"""),2)</f>
        <v>2</v>
      </c>
      <c r="AU335" s="4">
        <f ca="1">IFERROR(__xludf.DUMMYFUNCTION("""COMPUTED_VALUE"""),5)</f>
        <v>5</v>
      </c>
      <c r="AV335" s="4">
        <f ca="1">IFERROR(__xludf.DUMMYFUNCTION("""COMPUTED_VALUE"""),5)</f>
        <v>5</v>
      </c>
      <c r="AW335" s="4">
        <f ca="1">IFERROR(__xludf.DUMMYFUNCTION("""COMPUTED_VALUE"""),5)</f>
        <v>5</v>
      </c>
      <c r="AX335" s="4">
        <f ca="1">IFERROR(__xludf.DUMMYFUNCTION("""COMPUTED_VALUE"""),5)</f>
        <v>5</v>
      </c>
      <c r="AY335" s="4">
        <f ca="1">IFERROR(__xludf.DUMMYFUNCTION("""COMPUTED_VALUE"""),5)</f>
        <v>5</v>
      </c>
      <c r="AZ335" s="4">
        <f ca="1">IFERROR(__xludf.DUMMYFUNCTION("""COMPUTED_VALUE"""),5)</f>
        <v>5</v>
      </c>
      <c r="BA335" s="4">
        <f ca="1">IFERROR(__xludf.DUMMYFUNCTION("""COMPUTED_VALUE"""),5)</f>
        <v>5</v>
      </c>
      <c r="BB335" s="4">
        <f ca="1">IFERROR(__xludf.DUMMYFUNCTION("""COMPUTED_VALUE"""),5)</f>
        <v>5</v>
      </c>
      <c r="BC335" s="4">
        <f ca="1">IFERROR(__xludf.DUMMYFUNCTION("""COMPUTED_VALUE"""),3)</f>
        <v>3</v>
      </c>
      <c r="BD335" s="4">
        <f ca="1">IFERROR(__xludf.DUMMYFUNCTION("""COMPUTED_VALUE"""),2)</f>
        <v>2</v>
      </c>
      <c r="BE335" s="4">
        <f ca="1">IFERROR(__xludf.DUMMYFUNCTION("""COMPUTED_VALUE"""),2)</f>
        <v>2</v>
      </c>
      <c r="BF335" s="4">
        <f ca="1">IFERROR(__xludf.DUMMYFUNCTION("""COMPUTED_VALUE"""),2)</f>
        <v>2</v>
      </c>
      <c r="BG335" s="4">
        <f ca="1">IFERROR(__xludf.DUMMYFUNCTION("""COMPUTED_VALUE"""),2)</f>
        <v>2</v>
      </c>
      <c r="BH335" s="4">
        <f ca="1">IFERROR(__xludf.DUMMYFUNCTION("""COMPUTED_VALUE"""),5)</f>
        <v>5</v>
      </c>
      <c r="BI335" s="4">
        <f ca="1">IFERROR(__xludf.DUMMYFUNCTION("""COMPUTED_VALUE"""),5)</f>
        <v>5</v>
      </c>
      <c r="BJ335" s="4">
        <f ca="1">IFERROR(__xludf.DUMMYFUNCTION("""COMPUTED_VALUE"""),5)</f>
        <v>5</v>
      </c>
      <c r="BK335" s="4">
        <f ca="1">IFERROR(__xludf.DUMMYFUNCTION("""COMPUTED_VALUE"""),5)</f>
        <v>5</v>
      </c>
      <c r="BL335" s="4">
        <f ca="1">IFERROR(__xludf.DUMMYFUNCTION("""COMPUTED_VALUE"""),5)</f>
        <v>5</v>
      </c>
      <c r="BM335" s="4">
        <f ca="1">IFERROR(__xludf.DUMMYFUNCTION("""COMPUTED_VALUE"""),5)</f>
        <v>5</v>
      </c>
      <c r="BN335" s="4">
        <f ca="1">IFERROR(__xludf.DUMMYFUNCTION("""COMPUTED_VALUE"""),5)</f>
        <v>5</v>
      </c>
      <c r="BO335" s="4">
        <f ca="1">IFERROR(__xludf.DUMMYFUNCTION("""COMPUTED_VALUE"""),5)</f>
        <v>5</v>
      </c>
      <c r="BP335" s="4">
        <f ca="1">IFERROR(__xludf.DUMMYFUNCTION("""COMPUTED_VALUE"""),4)</f>
        <v>4</v>
      </c>
    </row>
    <row r="336" spans="1:68" ht="13.2" x14ac:dyDescent="0.25">
      <c r="A336" s="4" t="str">
        <f ca="1">IFERROR(__xludf.DUMMYFUNCTION("""COMPUTED_VALUE"""),"2_ABaOnudoK_H8JtG-4Er3CreW9XzlzA02gch3IragytjjURgnTxrZaEUpY3phk8dOvg")</f>
        <v>2_ABaOnudoK_H8JtG-4Er3CreW9XzlzA02gch3IragytjjURgnTxrZaEUpY3phk8dOvg</v>
      </c>
      <c r="B336" s="5">
        <f ca="1">IFERROR(__xludf.DUMMYFUNCTION("""COMPUTED_VALUE"""),45986.6342981712)</f>
        <v>45986.6342981712</v>
      </c>
      <c r="C336" s="4" t="str">
        <f ca="1">IFERROR(__xludf.DUMMYFUNCTION("""COMPUTED_VALUE"""),"Trần Thị Hạnh")</f>
        <v>Trần Thị Hạnh</v>
      </c>
      <c r="D336" s="4" t="str">
        <f ca="1">IFERROR(__xludf.DUMMYFUNCTION("""COMPUTED_VALUE"""),"Nữ")</f>
        <v>Nữ</v>
      </c>
      <c r="E336" s="4" t="str">
        <f ca="1">IFERROR(__xludf.DUMMYFUNCTION("""COMPUTED_VALUE"""),"Công ty kiểm toán Tâm An")</f>
        <v>Công ty kiểm toán Tâm An</v>
      </c>
      <c r="F336" s="4" t="str">
        <f ca="1">IFERROR(__xludf.DUMMYFUNCTION("""COMPUTED_VALUE"""),"Sau đại học")</f>
        <v>Sau đại học</v>
      </c>
      <c r="G336" s="4" t="str">
        <f ca="1">IFERROR(__xludf.DUMMYFUNCTION("""COMPUTED_VALUE"""),"Trên 15 đến 20 năm")</f>
        <v>Trên 15 đến 20 năm</v>
      </c>
      <c r="H336" s="4" t="str">
        <f ca="1">IFERROR(__xludf.DUMMYFUNCTION("""COMPUTED_VALUE"""),"Kiểm toán viên/Trưởng nhóm")</f>
        <v>Kiểm toán viên/Trưởng nhóm</v>
      </c>
      <c r="I336" s="4">
        <f ca="1">IFERROR(__xludf.DUMMYFUNCTION("""COMPUTED_VALUE"""),5)</f>
        <v>5</v>
      </c>
      <c r="J336" s="4">
        <f ca="1">IFERROR(__xludf.DUMMYFUNCTION("""COMPUTED_VALUE"""),5)</f>
        <v>5</v>
      </c>
      <c r="K336" s="4">
        <f ca="1">IFERROR(__xludf.DUMMYFUNCTION("""COMPUTED_VALUE"""),5)</f>
        <v>5</v>
      </c>
      <c r="L336" s="4">
        <f ca="1">IFERROR(__xludf.DUMMYFUNCTION("""COMPUTED_VALUE"""),5)</f>
        <v>5</v>
      </c>
      <c r="M336" s="4">
        <f ca="1">IFERROR(__xludf.DUMMYFUNCTION("""COMPUTED_VALUE"""),5)</f>
        <v>5</v>
      </c>
      <c r="N336" s="4">
        <f ca="1">IFERROR(__xludf.DUMMYFUNCTION("""COMPUTED_VALUE"""),5)</f>
        <v>5</v>
      </c>
      <c r="O336" s="4">
        <f ca="1">IFERROR(__xludf.DUMMYFUNCTION("""COMPUTED_VALUE"""),4)</f>
        <v>4</v>
      </c>
      <c r="P336" s="4">
        <f ca="1">IFERROR(__xludf.DUMMYFUNCTION("""COMPUTED_VALUE"""),5)</f>
        <v>5</v>
      </c>
      <c r="Q336" s="4">
        <f ca="1">IFERROR(__xludf.DUMMYFUNCTION("""COMPUTED_VALUE"""),5)</f>
        <v>5</v>
      </c>
      <c r="R336" s="4">
        <f ca="1">IFERROR(__xludf.DUMMYFUNCTION("""COMPUTED_VALUE"""),5)</f>
        <v>5</v>
      </c>
      <c r="S336" s="4">
        <f ca="1">IFERROR(__xludf.DUMMYFUNCTION("""COMPUTED_VALUE"""),5)</f>
        <v>5</v>
      </c>
      <c r="T336" s="4">
        <f ca="1">IFERROR(__xludf.DUMMYFUNCTION("""COMPUTED_VALUE"""),5)</f>
        <v>5</v>
      </c>
      <c r="U336" s="4">
        <f ca="1">IFERROR(__xludf.DUMMYFUNCTION("""COMPUTED_VALUE"""),5)</f>
        <v>5</v>
      </c>
      <c r="V336" s="4">
        <f ca="1">IFERROR(__xludf.DUMMYFUNCTION("""COMPUTED_VALUE"""),5)</f>
        <v>5</v>
      </c>
      <c r="W336" s="4">
        <f ca="1">IFERROR(__xludf.DUMMYFUNCTION("""COMPUTED_VALUE"""),4)</f>
        <v>4</v>
      </c>
      <c r="X336" s="4">
        <f ca="1">IFERROR(__xludf.DUMMYFUNCTION("""COMPUTED_VALUE"""),4)</f>
        <v>4</v>
      </c>
      <c r="Y336" s="4">
        <f ca="1">IFERROR(__xludf.DUMMYFUNCTION("""COMPUTED_VALUE"""),4)</f>
        <v>4</v>
      </c>
      <c r="Z336" s="4">
        <f ca="1">IFERROR(__xludf.DUMMYFUNCTION("""COMPUTED_VALUE"""),4)</f>
        <v>4</v>
      </c>
      <c r="AA336" s="4">
        <f ca="1">IFERROR(__xludf.DUMMYFUNCTION("""COMPUTED_VALUE"""),4)</f>
        <v>4</v>
      </c>
      <c r="AB336" s="4">
        <f ca="1">IFERROR(__xludf.DUMMYFUNCTION("""COMPUTED_VALUE"""),2)</f>
        <v>2</v>
      </c>
      <c r="AC336" s="4">
        <f ca="1">IFERROR(__xludf.DUMMYFUNCTION("""COMPUTED_VALUE"""),2)</f>
        <v>2</v>
      </c>
      <c r="AD336" s="4">
        <f ca="1">IFERROR(__xludf.DUMMYFUNCTION("""COMPUTED_VALUE"""),2)</f>
        <v>2</v>
      </c>
      <c r="AE336" s="4">
        <f ca="1">IFERROR(__xludf.DUMMYFUNCTION("""COMPUTED_VALUE"""),2)</f>
        <v>2</v>
      </c>
      <c r="AF336" s="4">
        <f ca="1">IFERROR(__xludf.DUMMYFUNCTION("""COMPUTED_VALUE"""),5)</f>
        <v>5</v>
      </c>
      <c r="AG336" s="4">
        <f ca="1">IFERROR(__xludf.DUMMYFUNCTION("""COMPUTED_VALUE"""),5)</f>
        <v>5</v>
      </c>
      <c r="AH336" s="4">
        <f ca="1">IFERROR(__xludf.DUMMYFUNCTION("""COMPUTED_VALUE"""),5)</f>
        <v>5</v>
      </c>
      <c r="AI336" s="4">
        <f ca="1">IFERROR(__xludf.DUMMYFUNCTION("""COMPUTED_VALUE"""),5)</f>
        <v>5</v>
      </c>
      <c r="AJ336" s="4">
        <f ca="1">IFERROR(__xludf.DUMMYFUNCTION("""COMPUTED_VALUE"""),5)</f>
        <v>5</v>
      </c>
      <c r="AK336" s="4">
        <f ca="1">IFERROR(__xludf.DUMMYFUNCTION("""COMPUTED_VALUE"""),5)</f>
        <v>5</v>
      </c>
      <c r="AL336" s="4">
        <f ca="1">IFERROR(__xludf.DUMMYFUNCTION("""COMPUTED_VALUE"""),5)</f>
        <v>5</v>
      </c>
      <c r="AM336" s="4">
        <f ca="1">IFERROR(__xludf.DUMMYFUNCTION("""COMPUTED_VALUE"""),5)</f>
        <v>5</v>
      </c>
      <c r="AN336" s="4">
        <f ca="1">IFERROR(__xludf.DUMMYFUNCTION("""COMPUTED_VALUE"""),5)</f>
        <v>5</v>
      </c>
      <c r="AO336" s="4">
        <f ca="1">IFERROR(__xludf.DUMMYFUNCTION("""COMPUTED_VALUE"""),5)</f>
        <v>5</v>
      </c>
      <c r="AP336" s="4">
        <f ca="1">IFERROR(__xludf.DUMMYFUNCTION("""COMPUTED_VALUE"""),5)</f>
        <v>5</v>
      </c>
      <c r="AQ336" s="4">
        <f ca="1">IFERROR(__xludf.DUMMYFUNCTION("""COMPUTED_VALUE"""),5)</f>
        <v>5</v>
      </c>
      <c r="AR336" s="4">
        <f ca="1">IFERROR(__xludf.DUMMYFUNCTION("""COMPUTED_VALUE"""),5)</f>
        <v>5</v>
      </c>
      <c r="AS336" s="4">
        <f ca="1">IFERROR(__xludf.DUMMYFUNCTION("""COMPUTED_VALUE"""),5)</f>
        <v>5</v>
      </c>
      <c r="AT336" s="4">
        <f ca="1">IFERROR(__xludf.DUMMYFUNCTION("""COMPUTED_VALUE"""),3)</f>
        <v>3</v>
      </c>
      <c r="AU336" s="4">
        <f ca="1">IFERROR(__xludf.DUMMYFUNCTION("""COMPUTED_VALUE"""),3)</f>
        <v>3</v>
      </c>
      <c r="AV336" s="4">
        <f ca="1">IFERROR(__xludf.DUMMYFUNCTION("""COMPUTED_VALUE"""),4)</f>
        <v>4</v>
      </c>
      <c r="AW336" s="4">
        <f ca="1">IFERROR(__xludf.DUMMYFUNCTION("""COMPUTED_VALUE"""),4)</f>
        <v>4</v>
      </c>
      <c r="AX336" s="4">
        <f ca="1">IFERROR(__xludf.DUMMYFUNCTION("""COMPUTED_VALUE"""),5)</f>
        <v>5</v>
      </c>
      <c r="AY336" s="4">
        <f ca="1">IFERROR(__xludf.DUMMYFUNCTION("""COMPUTED_VALUE"""),5)</f>
        <v>5</v>
      </c>
      <c r="AZ336" s="4">
        <f ca="1">IFERROR(__xludf.DUMMYFUNCTION("""COMPUTED_VALUE"""),5)</f>
        <v>5</v>
      </c>
      <c r="BA336" s="4">
        <f ca="1">IFERROR(__xludf.DUMMYFUNCTION("""COMPUTED_VALUE"""),5)</f>
        <v>5</v>
      </c>
      <c r="BB336" s="4">
        <f ca="1">IFERROR(__xludf.DUMMYFUNCTION("""COMPUTED_VALUE"""),2)</f>
        <v>2</v>
      </c>
      <c r="BC336" s="4">
        <f ca="1">IFERROR(__xludf.DUMMYFUNCTION("""COMPUTED_VALUE"""),2)</f>
        <v>2</v>
      </c>
      <c r="BD336" s="4">
        <f ca="1">IFERROR(__xludf.DUMMYFUNCTION("""COMPUTED_VALUE"""),2)</f>
        <v>2</v>
      </c>
      <c r="BE336" s="4">
        <f ca="1">IFERROR(__xludf.DUMMYFUNCTION("""COMPUTED_VALUE"""),2)</f>
        <v>2</v>
      </c>
      <c r="BF336" s="4">
        <f ca="1">IFERROR(__xludf.DUMMYFUNCTION("""COMPUTED_VALUE"""),2)</f>
        <v>2</v>
      </c>
      <c r="BG336" s="4">
        <f ca="1">IFERROR(__xludf.DUMMYFUNCTION("""COMPUTED_VALUE"""),2)</f>
        <v>2</v>
      </c>
      <c r="BH336" s="4">
        <f ca="1">IFERROR(__xludf.DUMMYFUNCTION("""COMPUTED_VALUE"""),4)</f>
        <v>4</v>
      </c>
      <c r="BI336" s="4">
        <f ca="1">IFERROR(__xludf.DUMMYFUNCTION("""COMPUTED_VALUE"""),4)</f>
        <v>4</v>
      </c>
      <c r="BJ336" s="4">
        <f ca="1">IFERROR(__xludf.DUMMYFUNCTION("""COMPUTED_VALUE"""),4)</f>
        <v>4</v>
      </c>
      <c r="BK336" s="4">
        <f ca="1">IFERROR(__xludf.DUMMYFUNCTION("""COMPUTED_VALUE"""),5)</f>
        <v>5</v>
      </c>
      <c r="BL336" s="4">
        <f ca="1">IFERROR(__xludf.DUMMYFUNCTION("""COMPUTED_VALUE"""),5)</f>
        <v>5</v>
      </c>
      <c r="BM336" s="4">
        <f ca="1">IFERROR(__xludf.DUMMYFUNCTION("""COMPUTED_VALUE"""),5)</f>
        <v>5</v>
      </c>
      <c r="BN336" s="4">
        <f ca="1">IFERROR(__xludf.DUMMYFUNCTION("""COMPUTED_VALUE"""),5)</f>
        <v>5</v>
      </c>
      <c r="BO336" s="4">
        <f ca="1">IFERROR(__xludf.DUMMYFUNCTION("""COMPUTED_VALUE"""),5)</f>
        <v>5</v>
      </c>
      <c r="BP336" s="4">
        <f ca="1">IFERROR(__xludf.DUMMYFUNCTION("""COMPUTED_VALUE"""),5)</f>
        <v>5</v>
      </c>
    </row>
    <row r="337" spans="1:68" ht="13.2" x14ac:dyDescent="0.25">
      <c r="A337" s="4" t="str">
        <f ca="1">IFERROR(__xludf.DUMMYFUNCTION("""COMPUTED_VALUE"""),"2_ABaOnudoC9R42iHKecmHBD6xvdex1YndsYFx8qYtUpZocWTGzLHGd2rwKBlEWlJi0w")</f>
        <v>2_ABaOnudoC9R42iHKecmHBD6xvdex1YndsYFx8qYtUpZocWTGzLHGd2rwKBlEWlJi0w</v>
      </c>
      <c r="B337" s="5">
        <f ca="1">IFERROR(__xludf.DUMMYFUNCTION("""COMPUTED_VALUE"""),45986.6356346412)</f>
        <v>45986.635634641199</v>
      </c>
      <c r="C337" s="4" t="str">
        <f ca="1">IFERROR(__xludf.DUMMYFUNCTION("""COMPUTED_VALUE"""),"Lê Phương Anh")</f>
        <v>Lê Phương Anh</v>
      </c>
      <c r="D337" s="4" t="str">
        <f ca="1">IFERROR(__xludf.DUMMYFUNCTION("""COMPUTED_VALUE"""),"Nữ")</f>
        <v>Nữ</v>
      </c>
      <c r="E337" s="4" t="str">
        <f ca="1">IFERROR(__xludf.DUMMYFUNCTION("""COMPUTED_VALUE"""),"Công ty TNHH KIểm toán và Tư vấn Tâm An")</f>
        <v>Công ty TNHH KIểm toán và Tư vấn Tâm An</v>
      </c>
      <c r="F337" s="4" t="str">
        <f ca="1">IFERROR(__xludf.DUMMYFUNCTION("""COMPUTED_VALUE"""),"Đại học, Chứng chỉ Kiểm toán viên")</f>
        <v>Đại học, Chứng chỉ Kiểm toán viên</v>
      </c>
      <c r="G337" s="4" t="str">
        <f ca="1">IFERROR(__xludf.DUMMYFUNCTION("""COMPUTED_VALUE"""),"Trên 20 năm")</f>
        <v>Trên 20 năm</v>
      </c>
      <c r="H337" s="4" t="str">
        <f ca="1">IFERROR(__xludf.DUMMYFUNCTION("""COMPUTED_VALUE"""),"Ban giám đốc")</f>
        <v>Ban giám đốc</v>
      </c>
      <c r="I337" s="4">
        <f ca="1">IFERROR(__xludf.DUMMYFUNCTION("""COMPUTED_VALUE"""),5)</f>
        <v>5</v>
      </c>
      <c r="J337" s="4">
        <f ca="1">IFERROR(__xludf.DUMMYFUNCTION("""COMPUTED_VALUE"""),5)</f>
        <v>5</v>
      </c>
      <c r="K337" s="4">
        <f ca="1">IFERROR(__xludf.DUMMYFUNCTION("""COMPUTED_VALUE"""),5)</f>
        <v>5</v>
      </c>
      <c r="L337" s="4">
        <f ca="1">IFERROR(__xludf.DUMMYFUNCTION("""COMPUTED_VALUE"""),4)</f>
        <v>4</v>
      </c>
      <c r="M337" s="4">
        <f ca="1">IFERROR(__xludf.DUMMYFUNCTION("""COMPUTED_VALUE"""),5)</f>
        <v>5</v>
      </c>
      <c r="N337" s="4">
        <f ca="1">IFERROR(__xludf.DUMMYFUNCTION("""COMPUTED_VALUE"""),4)</f>
        <v>4</v>
      </c>
      <c r="O337" s="4">
        <f ca="1">IFERROR(__xludf.DUMMYFUNCTION("""COMPUTED_VALUE"""),4)</f>
        <v>4</v>
      </c>
      <c r="P337" s="4">
        <f ca="1">IFERROR(__xludf.DUMMYFUNCTION("""COMPUTED_VALUE"""),4)</f>
        <v>4</v>
      </c>
      <c r="Q337" s="4">
        <f ca="1">IFERROR(__xludf.DUMMYFUNCTION("""COMPUTED_VALUE"""),4)</f>
        <v>4</v>
      </c>
      <c r="R337" s="4">
        <f ca="1">IFERROR(__xludf.DUMMYFUNCTION("""COMPUTED_VALUE"""),4)</f>
        <v>4</v>
      </c>
      <c r="S337" s="4">
        <f ca="1">IFERROR(__xludf.DUMMYFUNCTION("""COMPUTED_VALUE"""),4)</f>
        <v>4</v>
      </c>
      <c r="T337" s="4">
        <f ca="1">IFERROR(__xludf.DUMMYFUNCTION("""COMPUTED_VALUE"""),4)</f>
        <v>4</v>
      </c>
      <c r="U337" s="4">
        <f ca="1">IFERROR(__xludf.DUMMYFUNCTION("""COMPUTED_VALUE"""),4)</f>
        <v>4</v>
      </c>
      <c r="V337" s="4">
        <f ca="1">IFERROR(__xludf.DUMMYFUNCTION("""COMPUTED_VALUE"""),4)</f>
        <v>4</v>
      </c>
      <c r="W337" s="4">
        <f ca="1">IFERROR(__xludf.DUMMYFUNCTION("""COMPUTED_VALUE"""),4)</f>
        <v>4</v>
      </c>
      <c r="X337" s="4">
        <f ca="1">IFERROR(__xludf.DUMMYFUNCTION("""COMPUTED_VALUE"""),4)</f>
        <v>4</v>
      </c>
      <c r="Y337" s="4">
        <f ca="1">IFERROR(__xludf.DUMMYFUNCTION("""COMPUTED_VALUE"""),4)</f>
        <v>4</v>
      </c>
      <c r="Z337" s="4">
        <f ca="1">IFERROR(__xludf.DUMMYFUNCTION("""COMPUTED_VALUE"""),4)</f>
        <v>4</v>
      </c>
      <c r="AA337" s="4">
        <f ca="1">IFERROR(__xludf.DUMMYFUNCTION("""COMPUTED_VALUE"""),4)</f>
        <v>4</v>
      </c>
      <c r="AB337" s="4">
        <f ca="1">IFERROR(__xludf.DUMMYFUNCTION("""COMPUTED_VALUE"""),3)</f>
        <v>3</v>
      </c>
      <c r="AC337" s="4">
        <f ca="1">IFERROR(__xludf.DUMMYFUNCTION("""COMPUTED_VALUE"""),3)</f>
        <v>3</v>
      </c>
      <c r="AD337" s="4">
        <f ca="1">IFERROR(__xludf.DUMMYFUNCTION("""COMPUTED_VALUE"""),3)</f>
        <v>3</v>
      </c>
      <c r="AE337" s="4">
        <f ca="1">IFERROR(__xludf.DUMMYFUNCTION("""COMPUTED_VALUE"""),4)</f>
        <v>4</v>
      </c>
      <c r="AF337" s="4">
        <f ca="1">IFERROR(__xludf.DUMMYFUNCTION("""COMPUTED_VALUE"""),4)</f>
        <v>4</v>
      </c>
      <c r="AG337" s="4">
        <f ca="1">IFERROR(__xludf.DUMMYFUNCTION("""COMPUTED_VALUE"""),4)</f>
        <v>4</v>
      </c>
      <c r="AH337" s="4">
        <f ca="1">IFERROR(__xludf.DUMMYFUNCTION("""COMPUTED_VALUE"""),4)</f>
        <v>4</v>
      </c>
      <c r="AI337" s="4">
        <f ca="1">IFERROR(__xludf.DUMMYFUNCTION("""COMPUTED_VALUE"""),4)</f>
        <v>4</v>
      </c>
      <c r="AJ337" s="4">
        <f ca="1">IFERROR(__xludf.DUMMYFUNCTION("""COMPUTED_VALUE"""),4)</f>
        <v>4</v>
      </c>
      <c r="AK337" s="4">
        <f ca="1">IFERROR(__xludf.DUMMYFUNCTION("""COMPUTED_VALUE"""),4)</f>
        <v>4</v>
      </c>
      <c r="AL337" s="4">
        <f ca="1">IFERROR(__xludf.DUMMYFUNCTION("""COMPUTED_VALUE"""),4)</f>
        <v>4</v>
      </c>
      <c r="AM337" s="4">
        <f ca="1">IFERROR(__xludf.DUMMYFUNCTION("""COMPUTED_VALUE"""),4)</f>
        <v>4</v>
      </c>
      <c r="AN337" s="4">
        <f ca="1">IFERROR(__xludf.DUMMYFUNCTION("""COMPUTED_VALUE"""),4)</f>
        <v>4</v>
      </c>
      <c r="AO337" s="4">
        <f ca="1">IFERROR(__xludf.DUMMYFUNCTION("""COMPUTED_VALUE"""),4)</f>
        <v>4</v>
      </c>
      <c r="AP337" s="4">
        <f ca="1">IFERROR(__xludf.DUMMYFUNCTION("""COMPUTED_VALUE"""),4)</f>
        <v>4</v>
      </c>
      <c r="AQ337" s="4">
        <f ca="1">IFERROR(__xludf.DUMMYFUNCTION("""COMPUTED_VALUE"""),4)</f>
        <v>4</v>
      </c>
      <c r="AR337" s="4">
        <f ca="1">IFERROR(__xludf.DUMMYFUNCTION("""COMPUTED_VALUE"""),4)</f>
        <v>4</v>
      </c>
      <c r="AS337" s="4">
        <f ca="1">IFERROR(__xludf.DUMMYFUNCTION("""COMPUTED_VALUE"""),4)</f>
        <v>4</v>
      </c>
      <c r="AT337" s="4">
        <f ca="1">IFERROR(__xludf.DUMMYFUNCTION("""COMPUTED_VALUE"""),3)</f>
        <v>3</v>
      </c>
      <c r="AU337" s="4">
        <f ca="1">IFERROR(__xludf.DUMMYFUNCTION("""COMPUTED_VALUE"""),3)</f>
        <v>3</v>
      </c>
      <c r="AV337" s="4">
        <f ca="1">IFERROR(__xludf.DUMMYFUNCTION("""COMPUTED_VALUE"""),3)</f>
        <v>3</v>
      </c>
      <c r="AW337" s="4">
        <f ca="1">IFERROR(__xludf.DUMMYFUNCTION("""COMPUTED_VALUE"""),4)</f>
        <v>4</v>
      </c>
      <c r="AX337" s="4">
        <f ca="1">IFERROR(__xludf.DUMMYFUNCTION("""COMPUTED_VALUE"""),4)</f>
        <v>4</v>
      </c>
      <c r="AY337" s="4">
        <f ca="1">IFERROR(__xludf.DUMMYFUNCTION("""COMPUTED_VALUE"""),5)</f>
        <v>5</v>
      </c>
      <c r="AZ337" s="4">
        <f ca="1">IFERROR(__xludf.DUMMYFUNCTION("""COMPUTED_VALUE"""),5)</f>
        <v>5</v>
      </c>
      <c r="BA337" s="4">
        <f ca="1">IFERROR(__xludf.DUMMYFUNCTION("""COMPUTED_VALUE"""),4)</f>
        <v>4</v>
      </c>
      <c r="BB337" s="4">
        <f ca="1">IFERROR(__xludf.DUMMYFUNCTION("""COMPUTED_VALUE"""),4)</f>
        <v>4</v>
      </c>
      <c r="BC337" s="4">
        <f ca="1">IFERROR(__xludf.DUMMYFUNCTION("""COMPUTED_VALUE"""),4)</f>
        <v>4</v>
      </c>
      <c r="BD337" s="4">
        <f ca="1">IFERROR(__xludf.DUMMYFUNCTION("""COMPUTED_VALUE"""),3)</f>
        <v>3</v>
      </c>
      <c r="BE337" s="4">
        <f ca="1">IFERROR(__xludf.DUMMYFUNCTION("""COMPUTED_VALUE"""),3)</f>
        <v>3</v>
      </c>
      <c r="BF337" s="4">
        <f ca="1">IFERROR(__xludf.DUMMYFUNCTION("""COMPUTED_VALUE"""),3)</f>
        <v>3</v>
      </c>
      <c r="BG337" s="4">
        <f ca="1">IFERROR(__xludf.DUMMYFUNCTION("""COMPUTED_VALUE"""),3)</f>
        <v>3</v>
      </c>
      <c r="BH337" s="4">
        <f ca="1">IFERROR(__xludf.DUMMYFUNCTION("""COMPUTED_VALUE"""),4)</f>
        <v>4</v>
      </c>
      <c r="BI337" s="4">
        <f ca="1">IFERROR(__xludf.DUMMYFUNCTION("""COMPUTED_VALUE"""),4)</f>
        <v>4</v>
      </c>
      <c r="BJ337" s="4">
        <f ca="1">IFERROR(__xludf.DUMMYFUNCTION("""COMPUTED_VALUE"""),4)</f>
        <v>4</v>
      </c>
      <c r="BK337" s="4">
        <f ca="1">IFERROR(__xludf.DUMMYFUNCTION("""COMPUTED_VALUE"""),4)</f>
        <v>4</v>
      </c>
      <c r="BL337" s="4">
        <f ca="1">IFERROR(__xludf.DUMMYFUNCTION("""COMPUTED_VALUE"""),4)</f>
        <v>4</v>
      </c>
      <c r="BM337" s="4">
        <f ca="1">IFERROR(__xludf.DUMMYFUNCTION("""COMPUTED_VALUE"""),4)</f>
        <v>4</v>
      </c>
      <c r="BN337" s="4">
        <f ca="1">IFERROR(__xludf.DUMMYFUNCTION("""COMPUTED_VALUE"""),4)</f>
        <v>4</v>
      </c>
      <c r="BO337" s="4">
        <f ca="1">IFERROR(__xludf.DUMMYFUNCTION("""COMPUTED_VALUE"""),4)</f>
        <v>4</v>
      </c>
      <c r="BP337" s="4">
        <f ca="1">IFERROR(__xludf.DUMMYFUNCTION("""COMPUTED_VALUE"""),4)</f>
        <v>4</v>
      </c>
    </row>
    <row r="338" spans="1:68" ht="13.2" x14ac:dyDescent="0.25">
      <c r="A338" s="4" t="str">
        <f ca="1">IFERROR(__xludf.DUMMYFUNCTION("""COMPUTED_VALUE"""),"2_ABaOnuek74IvFzkpRkAdk4WMZxAviIcUxwa30GmrPSDAoXjCYQdy2BXVsLRcn-ZMgQ")</f>
        <v>2_ABaOnuek74IvFzkpRkAdk4WMZxAviIcUxwa30GmrPSDAoXjCYQdy2BXVsLRcn-ZMgQ</v>
      </c>
      <c r="B338" s="5">
        <f ca="1">IFERROR(__xludf.DUMMYFUNCTION("""COMPUTED_VALUE"""),45986.6357356597)</f>
        <v>45986.6357356597</v>
      </c>
      <c r="C338" s="4" t="str">
        <f ca="1">IFERROR(__xludf.DUMMYFUNCTION("""COMPUTED_VALUE"""),"Phạm Thị Thanh Minh")</f>
        <v>Phạm Thị Thanh Minh</v>
      </c>
      <c r="D338" s="4" t="str">
        <f ca="1">IFERROR(__xludf.DUMMYFUNCTION("""COMPUTED_VALUE"""),"Nữ")</f>
        <v>Nữ</v>
      </c>
      <c r="E338" s="4" t="str">
        <f ca="1">IFERROR(__xludf.DUMMYFUNCTION("""COMPUTED_VALUE"""),"Công ty TNHH Kiểm toán An Việt")</f>
        <v>Công ty TNHH Kiểm toán An Việt</v>
      </c>
      <c r="F338" s="4" t="str">
        <f ca="1">IFERROR(__xludf.DUMMYFUNCTION("""COMPUTED_VALUE"""),"Chứng chỉ Kiểm toán viên")</f>
        <v>Chứng chỉ Kiểm toán viên</v>
      </c>
      <c r="G338" s="4" t="str">
        <f ca="1">IFERROR(__xludf.DUMMYFUNCTION("""COMPUTED_VALUE"""),"Trên 15 đến 20 năm")</f>
        <v>Trên 15 đến 20 năm</v>
      </c>
      <c r="H338" s="4" t="str">
        <f ca="1">IFERROR(__xludf.DUMMYFUNCTION("""COMPUTED_VALUE"""),"Trưởng phòng")</f>
        <v>Trưởng phòng</v>
      </c>
      <c r="I338" s="4">
        <f ca="1">IFERROR(__xludf.DUMMYFUNCTION("""COMPUTED_VALUE"""),4)</f>
        <v>4</v>
      </c>
      <c r="J338" s="4">
        <f ca="1">IFERROR(__xludf.DUMMYFUNCTION("""COMPUTED_VALUE"""),4)</f>
        <v>4</v>
      </c>
      <c r="K338" s="4">
        <f ca="1">IFERROR(__xludf.DUMMYFUNCTION("""COMPUTED_VALUE"""),4)</f>
        <v>4</v>
      </c>
      <c r="L338" s="4">
        <f ca="1">IFERROR(__xludf.DUMMYFUNCTION("""COMPUTED_VALUE"""),4)</f>
        <v>4</v>
      </c>
      <c r="M338" s="4">
        <f ca="1">IFERROR(__xludf.DUMMYFUNCTION("""COMPUTED_VALUE"""),4)</f>
        <v>4</v>
      </c>
      <c r="N338" s="4">
        <f ca="1">IFERROR(__xludf.DUMMYFUNCTION("""COMPUTED_VALUE"""),4)</f>
        <v>4</v>
      </c>
      <c r="O338" s="4">
        <f ca="1">IFERROR(__xludf.DUMMYFUNCTION("""COMPUTED_VALUE"""),4)</f>
        <v>4</v>
      </c>
      <c r="P338" s="4">
        <f ca="1">IFERROR(__xludf.DUMMYFUNCTION("""COMPUTED_VALUE"""),4)</f>
        <v>4</v>
      </c>
      <c r="Q338" s="4">
        <f ca="1">IFERROR(__xludf.DUMMYFUNCTION("""COMPUTED_VALUE"""),4)</f>
        <v>4</v>
      </c>
      <c r="R338" s="4">
        <f ca="1">IFERROR(__xludf.DUMMYFUNCTION("""COMPUTED_VALUE"""),4)</f>
        <v>4</v>
      </c>
      <c r="S338" s="4">
        <f ca="1">IFERROR(__xludf.DUMMYFUNCTION("""COMPUTED_VALUE"""),4)</f>
        <v>4</v>
      </c>
      <c r="T338" s="4">
        <f ca="1">IFERROR(__xludf.DUMMYFUNCTION("""COMPUTED_VALUE"""),4)</f>
        <v>4</v>
      </c>
      <c r="U338" s="4">
        <f ca="1">IFERROR(__xludf.DUMMYFUNCTION("""COMPUTED_VALUE"""),4)</f>
        <v>4</v>
      </c>
      <c r="V338" s="4">
        <f ca="1">IFERROR(__xludf.DUMMYFUNCTION("""COMPUTED_VALUE"""),4)</f>
        <v>4</v>
      </c>
      <c r="W338" s="4">
        <f ca="1">IFERROR(__xludf.DUMMYFUNCTION("""COMPUTED_VALUE"""),4)</f>
        <v>4</v>
      </c>
      <c r="X338" s="4">
        <f ca="1">IFERROR(__xludf.DUMMYFUNCTION("""COMPUTED_VALUE"""),3)</f>
        <v>3</v>
      </c>
      <c r="Y338" s="4">
        <f ca="1">IFERROR(__xludf.DUMMYFUNCTION("""COMPUTED_VALUE"""),4)</f>
        <v>4</v>
      </c>
      <c r="Z338" s="4">
        <f ca="1">IFERROR(__xludf.DUMMYFUNCTION("""COMPUTED_VALUE"""),3)</f>
        <v>3</v>
      </c>
      <c r="AA338" s="4">
        <f ca="1">IFERROR(__xludf.DUMMYFUNCTION("""COMPUTED_VALUE"""),3)</f>
        <v>3</v>
      </c>
      <c r="AB338" s="4">
        <f ca="1">IFERROR(__xludf.DUMMYFUNCTION("""COMPUTED_VALUE"""),3)</f>
        <v>3</v>
      </c>
      <c r="AC338" s="4">
        <f ca="1">IFERROR(__xludf.DUMMYFUNCTION("""COMPUTED_VALUE"""),4)</f>
        <v>4</v>
      </c>
      <c r="AD338" s="4">
        <f ca="1">IFERROR(__xludf.DUMMYFUNCTION("""COMPUTED_VALUE"""),2)</f>
        <v>2</v>
      </c>
      <c r="AE338" s="4">
        <f ca="1">IFERROR(__xludf.DUMMYFUNCTION("""COMPUTED_VALUE"""),4)</f>
        <v>4</v>
      </c>
      <c r="AF338" s="4">
        <f ca="1">IFERROR(__xludf.DUMMYFUNCTION("""COMPUTED_VALUE"""),4)</f>
        <v>4</v>
      </c>
      <c r="AG338" s="4">
        <f ca="1">IFERROR(__xludf.DUMMYFUNCTION("""COMPUTED_VALUE"""),4)</f>
        <v>4</v>
      </c>
      <c r="AH338" s="4">
        <f ca="1">IFERROR(__xludf.DUMMYFUNCTION("""COMPUTED_VALUE"""),4)</f>
        <v>4</v>
      </c>
      <c r="AI338" s="4">
        <f ca="1">IFERROR(__xludf.DUMMYFUNCTION("""COMPUTED_VALUE"""),4)</f>
        <v>4</v>
      </c>
      <c r="AJ338" s="4">
        <f ca="1">IFERROR(__xludf.DUMMYFUNCTION("""COMPUTED_VALUE"""),4)</f>
        <v>4</v>
      </c>
      <c r="AK338" s="4">
        <f ca="1">IFERROR(__xludf.DUMMYFUNCTION("""COMPUTED_VALUE"""),4)</f>
        <v>4</v>
      </c>
      <c r="AL338" s="4">
        <f ca="1">IFERROR(__xludf.DUMMYFUNCTION("""COMPUTED_VALUE"""),4)</f>
        <v>4</v>
      </c>
      <c r="AM338" s="4">
        <f ca="1">IFERROR(__xludf.DUMMYFUNCTION("""COMPUTED_VALUE"""),4)</f>
        <v>4</v>
      </c>
      <c r="AN338" s="4">
        <f ca="1">IFERROR(__xludf.DUMMYFUNCTION("""COMPUTED_VALUE"""),3)</f>
        <v>3</v>
      </c>
      <c r="AO338" s="4">
        <f ca="1">IFERROR(__xludf.DUMMYFUNCTION("""COMPUTED_VALUE"""),4)</f>
        <v>4</v>
      </c>
      <c r="AP338" s="4">
        <f ca="1">IFERROR(__xludf.DUMMYFUNCTION("""COMPUTED_VALUE"""),4)</f>
        <v>4</v>
      </c>
      <c r="AQ338" s="4">
        <f ca="1">IFERROR(__xludf.DUMMYFUNCTION("""COMPUTED_VALUE"""),4)</f>
        <v>4</v>
      </c>
      <c r="AR338" s="4">
        <f ca="1">IFERROR(__xludf.DUMMYFUNCTION("""COMPUTED_VALUE"""),4)</f>
        <v>4</v>
      </c>
      <c r="AS338" s="4">
        <f ca="1">IFERROR(__xludf.DUMMYFUNCTION("""COMPUTED_VALUE"""),4)</f>
        <v>4</v>
      </c>
      <c r="AT338" s="4">
        <f ca="1">IFERROR(__xludf.DUMMYFUNCTION("""COMPUTED_VALUE"""),3)</f>
        <v>3</v>
      </c>
      <c r="AU338" s="4">
        <f ca="1">IFERROR(__xludf.DUMMYFUNCTION("""COMPUTED_VALUE"""),3)</f>
        <v>3</v>
      </c>
      <c r="AV338" s="4">
        <f ca="1">IFERROR(__xludf.DUMMYFUNCTION("""COMPUTED_VALUE"""),4)</f>
        <v>4</v>
      </c>
      <c r="AW338" s="4">
        <f ca="1">IFERROR(__xludf.DUMMYFUNCTION("""COMPUTED_VALUE"""),4)</f>
        <v>4</v>
      </c>
      <c r="AX338" s="4">
        <f ca="1">IFERROR(__xludf.DUMMYFUNCTION("""COMPUTED_VALUE"""),4)</f>
        <v>4</v>
      </c>
      <c r="AY338" s="4">
        <f ca="1">IFERROR(__xludf.DUMMYFUNCTION("""COMPUTED_VALUE"""),4)</f>
        <v>4</v>
      </c>
      <c r="AZ338" s="4">
        <f ca="1">IFERROR(__xludf.DUMMYFUNCTION("""COMPUTED_VALUE"""),4)</f>
        <v>4</v>
      </c>
      <c r="BA338" s="4">
        <f ca="1">IFERROR(__xludf.DUMMYFUNCTION("""COMPUTED_VALUE"""),4)</f>
        <v>4</v>
      </c>
      <c r="BB338" s="4">
        <f ca="1">IFERROR(__xludf.DUMMYFUNCTION("""COMPUTED_VALUE"""),3)</f>
        <v>3</v>
      </c>
      <c r="BC338" s="4">
        <f ca="1">IFERROR(__xludf.DUMMYFUNCTION("""COMPUTED_VALUE"""),3)</f>
        <v>3</v>
      </c>
      <c r="BD338" s="4">
        <f ca="1">IFERROR(__xludf.DUMMYFUNCTION("""COMPUTED_VALUE"""),3)</f>
        <v>3</v>
      </c>
      <c r="BE338" s="4">
        <f ca="1">IFERROR(__xludf.DUMMYFUNCTION("""COMPUTED_VALUE"""),3)</f>
        <v>3</v>
      </c>
      <c r="BF338" s="4">
        <f ca="1">IFERROR(__xludf.DUMMYFUNCTION("""COMPUTED_VALUE"""),3)</f>
        <v>3</v>
      </c>
      <c r="BG338" s="4">
        <f ca="1">IFERROR(__xludf.DUMMYFUNCTION("""COMPUTED_VALUE"""),3)</f>
        <v>3</v>
      </c>
      <c r="BH338" s="4">
        <f ca="1">IFERROR(__xludf.DUMMYFUNCTION("""COMPUTED_VALUE"""),4)</f>
        <v>4</v>
      </c>
      <c r="BI338" s="4">
        <f ca="1">IFERROR(__xludf.DUMMYFUNCTION("""COMPUTED_VALUE"""),4)</f>
        <v>4</v>
      </c>
      <c r="BJ338" s="4">
        <f ca="1">IFERROR(__xludf.DUMMYFUNCTION("""COMPUTED_VALUE"""),4)</f>
        <v>4</v>
      </c>
      <c r="BK338" s="4">
        <f ca="1">IFERROR(__xludf.DUMMYFUNCTION("""COMPUTED_VALUE"""),4)</f>
        <v>4</v>
      </c>
      <c r="BL338" s="4">
        <f ca="1">IFERROR(__xludf.DUMMYFUNCTION("""COMPUTED_VALUE"""),4)</f>
        <v>4</v>
      </c>
      <c r="BM338" s="4">
        <f ca="1">IFERROR(__xludf.DUMMYFUNCTION("""COMPUTED_VALUE"""),4)</f>
        <v>4</v>
      </c>
      <c r="BN338" s="4">
        <f ca="1">IFERROR(__xludf.DUMMYFUNCTION("""COMPUTED_VALUE"""),4)</f>
        <v>4</v>
      </c>
      <c r="BO338" s="4">
        <f ca="1">IFERROR(__xludf.DUMMYFUNCTION("""COMPUTED_VALUE"""),4)</f>
        <v>4</v>
      </c>
      <c r="BP338" s="4">
        <f ca="1">IFERROR(__xludf.DUMMYFUNCTION("""COMPUTED_VALUE"""),4)</f>
        <v>4</v>
      </c>
    </row>
    <row r="339" spans="1:68" ht="13.2" x14ac:dyDescent="0.25">
      <c r="A339" s="4" t="str">
        <f ca="1">IFERROR(__xludf.DUMMYFUNCTION("""COMPUTED_VALUE"""),"2_ABaOnuclt8Nv5IuYDVfx3o5fI2MlZv7JWKUUKbLt-A6083uLDPlKDw1-rTCuBUaTmA")</f>
        <v>2_ABaOnuclt8Nv5IuYDVfx3o5fI2MlZv7JWKUUKbLt-A6083uLDPlKDw1-rTCuBUaTmA</v>
      </c>
      <c r="B339" s="5">
        <f ca="1">IFERROR(__xludf.DUMMYFUNCTION("""COMPUTED_VALUE"""),45986.6361773958)</f>
        <v>45986.636177395798</v>
      </c>
      <c r="C339" s="4" t="str">
        <f ca="1">IFERROR(__xludf.DUMMYFUNCTION("""COMPUTED_VALUE"""),"Võ Anh Thư")</f>
        <v>Võ Anh Thư</v>
      </c>
      <c r="D339" s="4" t="str">
        <f ca="1">IFERROR(__xludf.DUMMYFUNCTION("""COMPUTED_VALUE"""),"Nữ")</f>
        <v>Nữ</v>
      </c>
      <c r="E339" s="4" t="str">
        <f ca="1">IFERROR(__xludf.DUMMYFUNCTION("""COMPUTED_VALUE"""),"Công ty TNHH Kiểm toán AFC Việt Nam")</f>
        <v>Công ty TNHH Kiểm toán AFC Việt Nam</v>
      </c>
      <c r="F339" s="4" t="str">
        <f ca="1">IFERROR(__xludf.DUMMYFUNCTION("""COMPUTED_VALUE"""),"Đại học")</f>
        <v>Đại học</v>
      </c>
      <c r="G339" s="4" t="str">
        <f ca="1">IFERROR(__xludf.DUMMYFUNCTION("""COMPUTED_VALUE"""),"Từ 3 đến 5 năm")</f>
        <v>Từ 3 đến 5 năm</v>
      </c>
      <c r="H339" s="4" t="str">
        <f ca="1">IFERROR(__xludf.DUMMYFUNCTION("""COMPUTED_VALUE"""),"Trợ lý kiểm toán")</f>
        <v>Trợ lý kiểm toán</v>
      </c>
      <c r="I339" s="4">
        <f ca="1">IFERROR(__xludf.DUMMYFUNCTION("""COMPUTED_VALUE"""),5)</f>
        <v>5</v>
      </c>
      <c r="J339" s="4">
        <f ca="1">IFERROR(__xludf.DUMMYFUNCTION("""COMPUTED_VALUE"""),5)</f>
        <v>5</v>
      </c>
      <c r="K339" s="4">
        <f ca="1">IFERROR(__xludf.DUMMYFUNCTION("""COMPUTED_VALUE"""),5)</f>
        <v>5</v>
      </c>
      <c r="L339" s="4">
        <f ca="1">IFERROR(__xludf.DUMMYFUNCTION("""COMPUTED_VALUE"""),5)</f>
        <v>5</v>
      </c>
      <c r="M339" s="4">
        <f ca="1">IFERROR(__xludf.DUMMYFUNCTION("""COMPUTED_VALUE"""),5)</f>
        <v>5</v>
      </c>
      <c r="N339" s="4">
        <f ca="1">IFERROR(__xludf.DUMMYFUNCTION("""COMPUTED_VALUE"""),5)</f>
        <v>5</v>
      </c>
      <c r="O339" s="4">
        <f ca="1">IFERROR(__xludf.DUMMYFUNCTION("""COMPUTED_VALUE"""),5)</f>
        <v>5</v>
      </c>
      <c r="P339" s="4">
        <f ca="1">IFERROR(__xludf.DUMMYFUNCTION("""COMPUTED_VALUE"""),5)</f>
        <v>5</v>
      </c>
      <c r="Q339" s="4">
        <f ca="1">IFERROR(__xludf.DUMMYFUNCTION("""COMPUTED_VALUE"""),5)</f>
        <v>5</v>
      </c>
      <c r="R339" s="4">
        <f ca="1">IFERROR(__xludf.DUMMYFUNCTION("""COMPUTED_VALUE"""),5)</f>
        <v>5</v>
      </c>
      <c r="S339" s="4">
        <f ca="1">IFERROR(__xludf.DUMMYFUNCTION("""COMPUTED_VALUE"""),5)</f>
        <v>5</v>
      </c>
      <c r="T339" s="4">
        <f ca="1">IFERROR(__xludf.DUMMYFUNCTION("""COMPUTED_VALUE"""),5)</f>
        <v>5</v>
      </c>
      <c r="U339" s="4">
        <f ca="1">IFERROR(__xludf.DUMMYFUNCTION("""COMPUTED_VALUE"""),5)</f>
        <v>5</v>
      </c>
      <c r="V339" s="4">
        <f ca="1">IFERROR(__xludf.DUMMYFUNCTION("""COMPUTED_VALUE"""),5)</f>
        <v>5</v>
      </c>
      <c r="W339" s="4">
        <f ca="1">IFERROR(__xludf.DUMMYFUNCTION("""COMPUTED_VALUE"""),5)</f>
        <v>5</v>
      </c>
      <c r="X339" s="4">
        <f ca="1">IFERROR(__xludf.DUMMYFUNCTION("""COMPUTED_VALUE"""),5)</f>
        <v>5</v>
      </c>
      <c r="Y339" s="4">
        <f ca="1">IFERROR(__xludf.DUMMYFUNCTION("""COMPUTED_VALUE"""),3)</f>
        <v>3</v>
      </c>
      <c r="Z339" s="4">
        <f ca="1">IFERROR(__xludf.DUMMYFUNCTION("""COMPUTED_VALUE"""),5)</f>
        <v>5</v>
      </c>
      <c r="AA339" s="4">
        <f ca="1">IFERROR(__xludf.DUMMYFUNCTION("""COMPUTED_VALUE"""),4)</f>
        <v>4</v>
      </c>
      <c r="AB339" s="4">
        <f ca="1">IFERROR(__xludf.DUMMYFUNCTION("""COMPUTED_VALUE"""),3)</f>
        <v>3</v>
      </c>
      <c r="AC339" s="4">
        <f ca="1">IFERROR(__xludf.DUMMYFUNCTION("""COMPUTED_VALUE"""),2)</f>
        <v>2</v>
      </c>
      <c r="AD339" s="4">
        <f ca="1">IFERROR(__xludf.DUMMYFUNCTION("""COMPUTED_VALUE"""),3)</f>
        <v>3</v>
      </c>
      <c r="AE339" s="4">
        <f ca="1">IFERROR(__xludf.DUMMYFUNCTION("""COMPUTED_VALUE"""),4)</f>
        <v>4</v>
      </c>
      <c r="AF339" s="4">
        <f ca="1">IFERROR(__xludf.DUMMYFUNCTION("""COMPUTED_VALUE"""),4)</f>
        <v>4</v>
      </c>
      <c r="AG339" s="4">
        <f ca="1">IFERROR(__xludf.DUMMYFUNCTION("""COMPUTED_VALUE"""),4)</f>
        <v>4</v>
      </c>
      <c r="AH339" s="4">
        <f ca="1">IFERROR(__xludf.DUMMYFUNCTION("""COMPUTED_VALUE"""),4)</f>
        <v>4</v>
      </c>
      <c r="AI339" s="4">
        <f ca="1">IFERROR(__xludf.DUMMYFUNCTION("""COMPUTED_VALUE"""),3)</f>
        <v>3</v>
      </c>
      <c r="AJ339" s="4">
        <f ca="1">IFERROR(__xludf.DUMMYFUNCTION("""COMPUTED_VALUE"""),3)</f>
        <v>3</v>
      </c>
      <c r="AK339" s="4">
        <f ca="1">IFERROR(__xludf.DUMMYFUNCTION("""COMPUTED_VALUE"""),3)</f>
        <v>3</v>
      </c>
      <c r="AL339" s="4">
        <f ca="1">IFERROR(__xludf.DUMMYFUNCTION("""COMPUTED_VALUE"""),4)</f>
        <v>4</v>
      </c>
      <c r="AM339" s="4">
        <f ca="1">IFERROR(__xludf.DUMMYFUNCTION("""COMPUTED_VALUE"""),4)</f>
        <v>4</v>
      </c>
      <c r="AN339" s="4">
        <f ca="1">IFERROR(__xludf.DUMMYFUNCTION("""COMPUTED_VALUE"""),4)</f>
        <v>4</v>
      </c>
      <c r="AO339" s="4">
        <f ca="1">IFERROR(__xludf.DUMMYFUNCTION("""COMPUTED_VALUE"""),4)</f>
        <v>4</v>
      </c>
      <c r="AP339" s="4">
        <f ca="1">IFERROR(__xludf.DUMMYFUNCTION("""COMPUTED_VALUE"""),4)</f>
        <v>4</v>
      </c>
      <c r="AQ339" s="4">
        <f ca="1">IFERROR(__xludf.DUMMYFUNCTION("""COMPUTED_VALUE"""),4)</f>
        <v>4</v>
      </c>
      <c r="AR339" s="4">
        <f ca="1">IFERROR(__xludf.DUMMYFUNCTION("""COMPUTED_VALUE"""),4)</f>
        <v>4</v>
      </c>
      <c r="AS339" s="4">
        <f ca="1">IFERROR(__xludf.DUMMYFUNCTION("""COMPUTED_VALUE"""),4)</f>
        <v>4</v>
      </c>
      <c r="AT339" s="4">
        <f ca="1">IFERROR(__xludf.DUMMYFUNCTION("""COMPUTED_VALUE"""),3)</f>
        <v>3</v>
      </c>
      <c r="AU339" s="4">
        <f ca="1">IFERROR(__xludf.DUMMYFUNCTION("""COMPUTED_VALUE"""),4)</f>
        <v>4</v>
      </c>
      <c r="AV339" s="4">
        <f ca="1">IFERROR(__xludf.DUMMYFUNCTION("""COMPUTED_VALUE"""),4)</f>
        <v>4</v>
      </c>
      <c r="AW339" s="4">
        <f ca="1">IFERROR(__xludf.DUMMYFUNCTION("""COMPUTED_VALUE"""),4)</f>
        <v>4</v>
      </c>
      <c r="AX339" s="4">
        <f ca="1">IFERROR(__xludf.DUMMYFUNCTION("""COMPUTED_VALUE"""),4)</f>
        <v>4</v>
      </c>
      <c r="AY339" s="4">
        <f ca="1">IFERROR(__xludf.DUMMYFUNCTION("""COMPUTED_VALUE"""),4)</f>
        <v>4</v>
      </c>
      <c r="AZ339" s="4">
        <f ca="1">IFERROR(__xludf.DUMMYFUNCTION("""COMPUTED_VALUE"""),4)</f>
        <v>4</v>
      </c>
      <c r="BA339" s="4">
        <f ca="1">IFERROR(__xludf.DUMMYFUNCTION("""COMPUTED_VALUE"""),5)</f>
        <v>5</v>
      </c>
      <c r="BB339" s="4">
        <f ca="1">IFERROR(__xludf.DUMMYFUNCTION("""COMPUTED_VALUE"""),3)</f>
        <v>3</v>
      </c>
      <c r="BC339" s="4">
        <f ca="1">IFERROR(__xludf.DUMMYFUNCTION("""COMPUTED_VALUE"""),3)</f>
        <v>3</v>
      </c>
      <c r="BD339" s="4">
        <f ca="1">IFERROR(__xludf.DUMMYFUNCTION("""COMPUTED_VALUE"""),3)</f>
        <v>3</v>
      </c>
      <c r="BE339" s="4">
        <f ca="1">IFERROR(__xludf.DUMMYFUNCTION("""COMPUTED_VALUE"""),3)</f>
        <v>3</v>
      </c>
      <c r="BF339" s="4">
        <f ca="1">IFERROR(__xludf.DUMMYFUNCTION("""COMPUTED_VALUE"""),3)</f>
        <v>3</v>
      </c>
      <c r="BG339" s="4">
        <f ca="1">IFERROR(__xludf.DUMMYFUNCTION("""COMPUTED_VALUE"""),3)</f>
        <v>3</v>
      </c>
      <c r="BH339" s="4">
        <f ca="1">IFERROR(__xludf.DUMMYFUNCTION("""COMPUTED_VALUE"""),4)</f>
        <v>4</v>
      </c>
      <c r="BI339" s="4">
        <f ca="1">IFERROR(__xludf.DUMMYFUNCTION("""COMPUTED_VALUE"""),4)</f>
        <v>4</v>
      </c>
      <c r="BJ339" s="4">
        <f ca="1">IFERROR(__xludf.DUMMYFUNCTION("""COMPUTED_VALUE"""),4)</f>
        <v>4</v>
      </c>
      <c r="BK339" s="4">
        <f ca="1">IFERROR(__xludf.DUMMYFUNCTION("""COMPUTED_VALUE"""),4)</f>
        <v>4</v>
      </c>
      <c r="BL339" s="4">
        <f ca="1">IFERROR(__xludf.DUMMYFUNCTION("""COMPUTED_VALUE"""),4)</f>
        <v>4</v>
      </c>
      <c r="BM339" s="4">
        <f ca="1">IFERROR(__xludf.DUMMYFUNCTION("""COMPUTED_VALUE"""),4)</f>
        <v>4</v>
      </c>
      <c r="BN339" s="4">
        <f ca="1">IFERROR(__xludf.DUMMYFUNCTION("""COMPUTED_VALUE"""),4)</f>
        <v>4</v>
      </c>
      <c r="BO339" s="4">
        <f ca="1">IFERROR(__xludf.DUMMYFUNCTION("""COMPUTED_VALUE"""),5)</f>
        <v>5</v>
      </c>
      <c r="BP339" s="4">
        <f ca="1">IFERROR(__xludf.DUMMYFUNCTION("""COMPUTED_VALUE"""),4)</f>
        <v>4</v>
      </c>
    </row>
    <row r="340" spans="1:68" ht="13.2" x14ac:dyDescent="0.25">
      <c r="A340" s="4" t="str">
        <f ca="1">IFERROR(__xludf.DUMMYFUNCTION("""COMPUTED_VALUE"""),"2_ABaOnud7_JNrqISxbZ5Zd-gXYgJJljD8q9HmAdko7XgiefrELoshj3QrHTvJP1IRnA")</f>
        <v>2_ABaOnud7_JNrqISxbZ5Zd-gXYgJJljD8q9HmAdko7XgiefrELoshj3QrHTvJP1IRnA</v>
      </c>
      <c r="B340" s="5">
        <f ca="1">IFERROR(__xludf.DUMMYFUNCTION("""COMPUTED_VALUE"""),45986.6383201851)</f>
        <v>45986.638320185099</v>
      </c>
      <c r="C340" s="4" t="str">
        <f ca="1">IFERROR(__xludf.DUMMYFUNCTION("""COMPUTED_VALUE"""),"Nguyễn Thị Thúy")</f>
        <v>Nguyễn Thị Thúy</v>
      </c>
      <c r="D340" s="4" t="str">
        <f ca="1">IFERROR(__xludf.DUMMYFUNCTION("""COMPUTED_VALUE"""),"Nữ")</f>
        <v>Nữ</v>
      </c>
      <c r="E340" s="4" t="str">
        <f ca="1">IFERROR(__xludf.DUMMYFUNCTION("""COMPUTED_VALUE"""),"Công ty TNHH Kiểm toán An Việt")</f>
        <v>Công ty TNHH Kiểm toán An Việt</v>
      </c>
      <c r="F340" s="4" t="str">
        <f ca="1">IFERROR(__xludf.DUMMYFUNCTION("""COMPUTED_VALUE"""),"Chứng chỉ Kiểm toán viên")</f>
        <v>Chứng chỉ Kiểm toán viên</v>
      </c>
      <c r="G340" s="4" t="str">
        <f ca="1">IFERROR(__xludf.DUMMYFUNCTION("""COMPUTED_VALUE"""),"Trên 5 đến 10 năm")</f>
        <v>Trên 5 đến 10 năm</v>
      </c>
      <c r="H340" s="4" t="str">
        <f ca="1">IFERROR(__xludf.DUMMYFUNCTION("""COMPUTED_VALUE"""),"Kiểm toán viên/Trưởng nhóm")</f>
        <v>Kiểm toán viên/Trưởng nhóm</v>
      </c>
      <c r="I340" s="4">
        <f ca="1">IFERROR(__xludf.DUMMYFUNCTION("""COMPUTED_VALUE"""),5)</f>
        <v>5</v>
      </c>
      <c r="J340" s="4">
        <f ca="1">IFERROR(__xludf.DUMMYFUNCTION("""COMPUTED_VALUE"""),5)</f>
        <v>5</v>
      </c>
      <c r="K340" s="4">
        <f ca="1">IFERROR(__xludf.DUMMYFUNCTION("""COMPUTED_VALUE"""),4)</f>
        <v>4</v>
      </c>
      <c r="L340" s="4">
        <f ca="1">IFERROR(__xludf.DUMMYFUNCTION("""COMPUTED_VALUE"""),4)</f>
        <v>4</v>
      </c>
      <c r="M340" s="4">
        <f ca="1">IFERROR(__xludf.DUMMYFUNCTION("""COMPUTED_VALUE"""),4)</f>
        <v>4</v>
      </c>
      <c r="N340" s="4">
        <f ca="1">IFERROR(__xludf.DUMMYFUNCTION("""COMPUTED_VALUE"""),4)</f>
        <v>4</v>
      </c>
      <c r="O340" s="4">
        <f ca="1">IFERROR(__xludf.DUMMYFUNCTION("""COMPUTED_VALUE"""),4)</f>
        <v>4</v>
      </c>
      <c r="P340" s="4">
        <f ca="1">IFERROR(__xludf.DUMMYFUNCTION("""COMPUTED_VALUE"""),5)</f>
        <v>5</v>
      </c>
      <c r="Q340" s="4">
        <f ca="1">IFERROR(__xludf.DUMMYFUNCTION("""COMPUTED_VALUE"""),5)</f>
        <v>5</v>
      </c>
      <c r="R340" s="4">
        <f ca="1">IFERROR(__xludf.DUMMYFUNCTION("""COMPUTED_VALUE"""),5)</f>
        <v>5</v>
      </c>
      <c r="S340" s="4">
        <f ca="1">IFERROR(__xludf.DUMMYFUNCTION("""COMPUTED_VALUE"""),5)</f>
        <v>5</v>
      </c>
      <c r="T340" s="4">
        <f ca="1">IFERROR(__xludf.DUMMYFUNCTION("""COMPUTED_VALUE"""),4)</f>
        <v>4</v>
      </c>
      <c r="U340" s="4">
        <f ca="1">IFERROR(__xludf.DUMMYFUNCTION("""COMPUTED_VALUE"""),4)</f>
        <v>4</v>
      </c>
      <c r="V340" s="4">
        <f ca="1">IFERROR(__xludf.DUMMYFUNCTION("""COMPUTED_VALUE"""),4)</f>
        <v>4</v>
      </c>
      <c r="W340" s="4">
        <f ca="1">IFERROR(__xludf.DUMMYFUNCTION("""COMPUTED_VALUE"""),3)</f>
        <v>3</v>
      </c>
      <c r="X340" s="4">
        <f ca="1">IFERROR(__xludf.DUMMYFUNCTION("""COMPUTED_VALUE"""),4)</f>
        <v>4</v>
      </c>
      <c r="Y340" s="4">
        <f ca="1">IFERROR(__xludf.DUMMYFUNCTION("""COMPUTED_VALUE"""),4)</f>
        <v>4</v>
      </c>
      <c r="Z340" s="4">
        <f ca="1">IFERROR(__xludf.DUMMYFUNCTION("""COMPUTED_VALUE"""),4)</f>
        <v>4</v>
      </c>
      <c r="AA340" s="4">
        <f ca="1">IFERROR(__xludf.DUMMYFUNCTION("""COMPUTED_VALUE"""),4)</f>
        <v>4</v>
      </c>
      <c r="AB340" s="4">
        <f ca="1">IFERROR(__xludf.DUMMYFUNCTION("""COMPUTED_VALUE"""),4)</f>
        <v>4</v>
      </c>
      <c r="AC340" s="4">
        <f ca="1">IFERROR(__xludf.DUMMYFUNCTION("""COMPUTED_VALUE"""),4)</f>
        <v>4</v>
      </c>
      <c r="AD340" s="4">
        <f ca="1">IFERROR(__xludf.DUMMYFUNCTION("""COMPUTED_VALUE"""),3)</f>
        <v>3</v>
      </c>
      <c r="AE340" s="4">
        <f ca="1">IFERROR(__xludf.DUMMYFUNCTION("""COMPUTED_VALUE"""),4)</f>
        <v>4</v>
      </c>
      <c r="AF340" s="4">
        <f ca="1">IFERROR(__xludf.DUMMYFUNCTION("""COMPUTED_VALUE"""),4)</f>
        <v>4</v>
      </c>
      <c r="AG340" s="4">
        <f ca="1">IFERROR(__xludf.DUMMYFUNCTION("""COMPUTED_VALUE"""),4)</f>
        <v>4</v>
      </c>
      <c r="AH340" s="4">
        <f ca="1">IFERROR(__xludf.DUMMYFUNCTION("""COMPUTED_VALUE"""),4)</f>
        <v>4</v>
      </c>
      <c r="AI340" s="4">
        <f ca="1">IFERROR(__xludf.DUMMYFUNCTION("""COMPUTED_VALUE"""),4)</f>
        <v>4</v>
      </c>
      <c r="AJ340" s="4">
        <f ca="1">IFERROR(__xludf.DUMMYFUNCTION("""COMPUTED_VALUE"""),5)</f>
        <v>5</v>
      </c>
      <c r="AK340" s="4">
        <f ca="1">IFERROR(__xludf.DUMMYFUNCTION("""COMPUTED_VALUE"""),4)</f>
        <v>4</v>
      </c>
      <c r="AL340" s="4">
        <f ca="1">IFERROR(__xludf.DUMMYFUNCTION("""COMPUTED_VALUE"""),5)</f>
        <v>5</v>
      </c>
      <c r="AM340" s="4">
        <f ca="1">IFERROR(__xludf.DUMMYFUNCTION("""COMPUTED_VALUE"""),4)</f>
        <v>4</v>
      </c>
      <c r="AN340" s="4">
        <f ca="1">IFERROR(__xludf.DUMMYFUNCTION("""COMPUTED_VALUE"""),4)</f>
        <v>4</v>
      </c>
      <c r="AO340" s="4">
        <f ca="1">IFERROR(__xludf.DUMMYFUNCTION("""COMPUTED_VALUE"""),4)</f>
        <v>4</v>
      </c>
      <c r="AP340" s="4">
        <f ca="1">IFERROR(__xludf.DUMMYFUNCTION("""COMPUTED_VALUE"""),5)</f>
        <v>5</v>
      </c>
      <c r="AQ340" s="4">
        <f ca="1">IFERROR(__xludf.DUMMYFUNCTION("""COMPUTED_VALUE"""),4)</f>
        <v>4</v>
      </c>
      <c r="AR340" s="4">
        <f ca="1">IFERROR(__xludf.DUMMYFUNCTION("""COMPUTED_VALUE"""),5)</f>
        <v>5</v>
      </c>
      <c r="AS340" s="4">
        <f ca="1">IFERROR(__xludf.DUMMYFUNCTION("""COMPUTED_VALUE"""),5)</f>
        <v>5</v>
      </c>
      <c r="AT340" s="4">
        <f ca="1">IFERROR(__xludf.DUMMYFUNCTION("""COMPUTED_VALUE"""),5)</f>
        <v>5</v>
      </c>
      <c r="AU340" s="4">
        <f ca="1">IFERROR(__xludf.DUMMYFUNCTION("""COMPUTED_VALUE"""),4)</f>
        <v>4</v>
      </c>
      <c r="AV340" s="4">
        <f ca="1">IFERROR(__xludf.DUMMYFUNCTION("""COMPUTED_VALUE"""),4)</f>
        <v>4</v>
      </c>
      <c r="AW340" s="4">
        <f ca="1">IFERROR(__xludf.DUMMYFUNCTION("""COMPUTED_VALUE"""),4)</f>
        <v>4</v>
      </c>
      <c r="AX340" s="4">
        <f ca="1">IFERROR(__xludf.DUMMYFUNCTION("""COMPUTED_VALUE"""),5)</f>
        <v>5</v>
      </c>
      <c r="AY340" s="4">
        <f ca="1">IFERROR(__xludf.DUMMYFUNCTION("""COMPUTED_VALUE"""),4)</f>
        <v>4</v>
      </c>
      <c r="AZ340" s="4">
        <f ca="1">IFERROR(__xludf.DUMMYFUNCTION("""COMPUTED_VALUE"""),4)</f>
        <v>4</v>
      </c>
      <c r="BA340" s="4">
        <f ca="1">IFERROR(__xludf.DUMMYFUNCTION("""COMPUTED_VALUE"""),4)</f>
        <v>4</v>
      </c>
      <c r="BB340" s="4">
        <f ca="1">IFERROR(__xludf.DUMMYFUNCTION("""COMPUTED_VALUE"""),5)</f>
        <v>5</v>
      </c>
      <c r="BC340" s="4">
        <f ca="1">IFERROR(__xludf.DUMMYFUNCTION("""COMPUTED_VALUE"""),4)</f>
        <v>4</v>
      </c>
      <c r="BD340" s="4">
        <f ca="1">IFERROR(__xludf.DUMMYFUNCTION("""COMPUTED_VALUE"""),4)</f>
        <v>4</v>
      </c>
      <c r="BE340" s="4">
        <f ca="1">IFERROR(__xludf.DUMMYFUNCTION("""COMPUTED_VALUE"""),4)</f>
        <v>4</v>
      </c>
      <c r="BF340" s="4">
        <f ca="1">IFERROR(__xludf.DUMMYFUNCTION("""COMPUTED_VALUE"""),4)</f>
        <v>4</v>
      </c>
      <c r="BG340" s="4">
        <f ca="1">IFERROR(__xludf.DUMMYFUNCTION("""COMPUTED_VALUE"""),5)</f>
        <v>5</v>
      </c>
      <c r="BH340" s="4">
        <f ca="1">IFERROR(__xludf.DUMMYFUNCTION("""COMPUTED_VALUE"""),5)</f>
        <v>5</v>
      </c>
      <c r="BI340" s="4">
        <f ca="1">IFERROR(__xludf.DUMMYFUNCTION("""COMPUTED_VALUE"""),4)</f>
        <v>4</v>
      </c>
      <c r="BJ340" s="4">
        <f ca="1">IFERROR(__xludf.DUMMYFUNCTION("""COMPUTED_VALUE"""),4)</f>
        <v>4</v>
      </c>
      <c r="BK340" s="4">
        <f ca="1">IFERROR(__xludf.DUMMYFUNCTION("""COMPUTED_VALUE"""),4)</f>
        <v>4</v>
      </c>
      <c r="BL340" s="4">
        <f ca="1">IFERROR(__xludf.DUMMYFUNCTION("""COMPUTED_VALUE"""),4)</f>
        <v>4</v>
      </c>
      <c r="BM340" s="4">
        <f ca="1">IFERROR(__xludf.DUMMYFUNCTION("""COMPUTED_VALUE"""),5)</f>
        <v>5</v>
      </c>
      <c r="BN340" s="4">
        <f ca="1">IFERROR(__xludf.DUMMYFUNCTION("""COMPUTED_VALUE"""),4)</f>
        <v>4</v>
      </c>
      <c r="BO340" s="4">
        <f ca="1">IFERROR(__xludf.DUMMYFUNCTION("""COMPUTED_VALUE"""),5)</f>
        <v>5</v>
      </c>
      <c r="BP340" s="4">
        <f ca="1">IFERROR(__xludf.DUMMYFUNCTION("""COMPUTED_VALUE"""),5)</f>
        <v>5</v>
      </c>
    </row>
    <row r="341" spans="1:68" ht="13.2" x14ac:dyDescent="0.25">
      <c r="A341" s="4" t="str">
        <f ca="1">IFERROR(__xludf.DUMMYFUNCTION("""COMPUTED_VALUE"""),"2_ABaOnudtetm6WAgp2qqGmb57dVgAU4zxGUBxGNioQ9ET0-f-7ojTfneBy5VIXP3-RQ")</f>
        <v>2_ABaOnudtetm6WAgp2qqGmb57dVgAU4zxGUBxGNioQ9ET0-f-7ojTfneBy5VIXP3-RQ</v>
      </c>
      <c r="B341" s="5">
        <f ca="1">IFERROR(__xludf.DUMMYFUNCTION("""COMPUTED_VALUE"""),45986.6383380671)</f>
        <v>45986.638338067103</v>
      </c>
      <c r="C341" s="4" t="str">
        <f ca="1">IFERROR(__xludf.DUMMYFUNCTION("""COMPUTED_VALUE"""),"Hồ Ngọc Mỹ Tuyền")</f>
        <v>Hồ Ngọc Mỹ Tuyền</v>
      </c>
      <c r="D341" s="4" t="str">
        <f ca="1">IFERROR(__xludf.DUMMYFUNCTION("""COMPUTED_VALUE"""),"Nữ")</f>
        <v>Nữ</v>
      </c>
      <c r="E341" s="4" t="str">
        <f ca="1">IFERROR(__xludf.DUMMYFUNCTION("""COMPUTED_VALUE"""),"Công ty TNHH Kiểm toán và Tư vấn Tài chính Toàn Cầu (GAFC)")</f>
        <v>Công ty TNHH Kiểm toán và Tư vấn Tài chính Toàn Cầu (GAFC)</v>
      </c>
      <c r="F341" s="4" t="str">
        <f ca="1">IFERROR(__xludf.DUMMYFUNCTION("""COMPUTED_VALUE"""),"Đại học")</f>
        <v>Đại học</v>
      </c>
      <c r="G341" s="4" t="str">
        <f ca="1">IFERROR(__xludf.DUMMYFUNCTION("""COMPUTED_VALUE"""),"Từ 3 đến 5 năm")</f>
        <v>Từ 3 đến 5 năm</v>
      </c>
      <c r="H341" s="4" t="str">
        <f ca="1">IFERROR(__xludf.DUMMYFUNCTION("""COMPUTED_VALUE"""),"Trợ lý kiểm toán")</f>
        <v>Trợ lý kiểm toán</v>
      </c>
      <c r="I341" s="4">
        <f ca="1">IFERROR(__xludf.DUMMYFUNCTION("""COMPUTED_VALUE"""),4)</f>
        <v>4</v>
      </c>
      <c r="J341" s="4">
        <f ca="1">IFERROR(__xludf.DUMMYFUNCTION("""COMPUTED_VALUE"""),3)</f>
        <v>3</v>
      </c>
      <c r="K341" s="4">
        <f ca="1">IFERROR(__xludf.DUMMYFUNCTION("""COMPUTED_VALUE"""),3)</f>
        <v>3</v>
      </c>
      <c r="L341" s="4">
        <f ca="1">IFERROR(__xludf.DUMMYFUNCTION("""COMPUTED_VALUE"""),4)</f>
        <v>4</v>
      </c>
      <c r="M341" s="4">
        <f ca="1">IFERROR(__xludf.DUMMYFUNCTION("""COMPUTED_VALUE"""),4)</f>
        <v>4</v>
      </c>
      <c r="N341" s="4">
        <f ca="1">IFERROR(__xludf.DUMMYFUNCTION("""COMPUTED_VALUE"""),3)</f>
        <v>3</v>
      </c>
      <c r="O341" s="4">
        <f ca="1">IFERROR(__xludf.DUMMYFUNCTION("""COMPUTED_VALUE"""),3)</f>
        <v>3</v>
      </c>
      <c r="P341" s="4">
        <f ca="1">IFERROR(__xludf.DUMMYFUNCTION("""COMPUTED_VALUE"""),4)</f>
        <v>4</v>
      </c>
      <c r="Q341" s="4">
        <f ca="1">IFERROR(__xludf.DUMMYFUNCTION("""COMPUTED_VALUE"""),3)</f>
        <v>3</v>
      </c>
      <c r="R341" s="4">
        <f ca="1">IFERROR(__xludf.DUMMYFUNCTION("""COMPUTED_VALUE"""),4)</f>
        <v>4</v>
      </c>
      <c r="S341" s="4">
        <f ca="1">IFERROR(__xludf.DUMMYFUNCTION("""COMPUTED_VALUE"""),3)</f>
        <v>3</v>
      </c>
      <c r="T341" s="4">
        <f ca="1">IFERROR(__xludf.DUMMYFUNCTION("""COMPUTED_VALUE"""),4)</f>
        <v>4</v>
      </c>
      <c r="U341" s="4">
        <f ca="1">IFERROR(__xludf.DUMMYFUNCTION("""COMPUTED_VALUE"""),4)</f>
        <v>4</v>
      </c>
      <c r="V341" s="4">
        <f ca="1">IFERROR(__xludf.DUMMYFUNCTION("""COMPUTED_VALUE"""),3)</f>
        <v>3</v>
      </c>
      <c r="W341" s="4">
        <f ca="1">IFERROR(__xludf.DUMMYFUNCTION("""COMPUTED_VALUE"""),3)</f>
        <v>3</v>
      </c>
      <c r="X341" s="4">
        <f ca="1">IFERROR(__xludf.DUMMYFUNCTION("""COMPUTED_VALUE"""),4)</f>
        <v>4</v>
      </c>
      <c r="Y341" s="4">
        <f ca="1">IFERROR(__xludf.DUMMYFUNCTION("""COMPUTED_VALUE"""),4)</f>
        <v>4</v>
      </c>
      <c r="Z341" s="4">
        <f ca="1">IFERROR(__xludf.DUMMYFUNCTION("""COMPUTED_VALUE"""),3)</f>
        <v>3</v>
      </c>
      <c r="AA341" s="4">
        <f ca="1">IFERROR(__xludf.DUMMYFUNCTION("""COMPUTED_VALUE"""),4)</f>
        <v>4</v>
      </c>
      <c r="AB341" s="4">
        <f ca="1">IFERROR(__xludf.DUMMYFUNCTION("""COMPUTED_VALUE"""),3)</f>
        <v>3</v>
      </c>
      <c r="AC341" s="4">
        <f ca="1">IFERROR(__xludf.DUMMYFUNCTION("""COMPUTED_VALUE"""),3)</f>
        <v>3</v>
      </c>
      <c r="AD341" s="4">
        <f ca="1">IFERROR(__xludf.DUMMYFUNCTION("""COMPUTED_VALUE"""),4)</f>
        <v>4</v>
      </c>
      <c r="AE341" s="4">
        <f ca="1">IFERROR(__xludf.DUMMYFUNCTION("""COMPUTED_VALUE"""),3)</f>
        <v>3</v>
      </c>
      <c r="AF341" s="4">
        <f ca="1">IFERROR(__xludf.DUMMYFUNCTION("""COMPUTED_VALUE"""),3)</f>
        <v>3</v>
      </c>
      <c r="AG341" s="4">
        <f ca="1">IFERROR(__xludf.DUMMYFUNCTION("""COMPUTED_VALUE"""),3)</f>
        <v>3</v>
      </c>
      <c r="AH341" s="4">
        <f ca="1">IFERROR(__xludf.DUMMYFUNCTION("""COMPUTED_VALUE"""),4)</f>
        <v>4</v>
      </c>
      <c r="AI341" s="4">
        <f ca="1">IFERROR(__xludf.DUMMYFUNCTION("""COMPUTED_VALUE"""),3)</f>
        <v>3</v>
      </c>
      <c r="AJ341" s="4">
        <f ca="1">IFERROR(__xludf.DUMMYFUNCTION("""COMPUTED_VALUE"""),4)</f>
        <v>4</v>
      </c>
      <c r="AK341" s="4">
        <f ca="1">IFERROR(__xludf.DUMMYFUNCTION("""COMPUTED_VALUE"""),3)</f>
        <v>3</v>
      </c>
      <c r="AL341" s="4">
        <f ca="1">IFERROR(__xludf.DUMMYFUNCTION("""COMPUTED_VALUE"""),4)</f>
        <v>4</v>
      </c>
      <c r="AM341" s="4">
        <f ca="1">IFERROR(__xludf.DUMMYFUNCTION("""COMPUTED_VALUE"""),4)</f>
        <v>4</v>
      </c>
      <c r="AN341" s="4">
        <f ca="1">IFERROR(__xludf.DUMMYFUNCTION("""COMPUTED_VALUE"""),3)</f>
        <v>3</v>
      </c>
      <c r="AO341" s="4">
        <f ca="1">IFERROR(__xludf.DUMMYFUNCTION("""COMPUTED_VALUE"""),3)</f>
        <v>3</v>
      </c>
      <c r="AP341" s="4">
        <f ca="1">IFERROR(__xludf.DUMMYFUNCTION("""COMPUTED_VALUE"""),3)</f>
        <v>3</v>
      </c>
      <c r="AQ341" s="4">
        <f ca="1">IFERROR(__xludf.DUMMYFUNCTION("""COMPUTED_VALUE"""),4)</f>
        <v>4</v>
      </c>
      <c r="AR341" s="4">
        <f ca="1">IFERROR(__xludf.DUMMYFUNCTION("""COMPUTED_VALUE"""),3)</f>
        <v>3</v>
      </c>
      <c r="AS341" s="4">
        <f ca="1">IFERROR(__xludf.DUMMYFUNCTION("""COMPUTED_VALUE"""),3)</f>
        <v>3</v>
      </c>
      <c r="AT341" s="4">
        <f ca="1">IFERROR(__xludf.DUMMYFUNCTION("""COMPUTED_VALUE"""),4)</f>
        <v>4</v>
      </c>
      <c r="AU341" s="4">
        <f ca="1">IFERROR(__xludf.DUMMYFUNCTION("""COMPUTED_VALUE"""),3)</f>
        <v>3</v>
      </c>
      <c r="AV341" s="4">
        <f ca="1">IFERROR(__xludf.DUMMYFUNCTION("""COMPUTED_VALUE"""),3)</f>
        <v>3</v>
      </c>
      <c r="AW341" s="4">
        <f ca="1">IFERROR(__xludf.DUMMYFUNCTION("""COMPUTED_VALUE"""),3)</f>
        <v>3</v>
      </c>
      <c r="AX341" s="4">
        <f ca="1">IFERROR(__xludf.DUMMYFUNCTION("""COMPUTED_VALUE"""),4)</f>
        <v>4</v>
      </c>
      <c r="AY341" s="4">
        <f ca="1">IFERROR(__xludf.DUMMYFUNCTION("""COMPUTED_VALUE"""),3)</f>
        <v>3</v>
      </c>
      <c r="AZ341" s="4">
        <f ca="1">IFERROR(__xludf.DUMMYFUNCTION("""COMPUTED_VALUE"""),4)</f>
        <v>4</v>
      </c>
      <c r="BA341" s="4">
        <f ca="1">IFERROR(__xludf.DUMMYFUNCTION("""COMPUTED_VALUE"""),4)</f>
        <v>4</v>
      </c>
      <c r="BB341" s="4">
        <f ca="1">IFERROR(__xludf.DUMMYFUNCTION("""COMPUTED_VALUE"""),3)</f>
        <v>3</v>
      </c>
      <c r="BC341" s="4">
        <f ca="1">IFERROR(__xludf.DUMMYFUNCTION("""COMPUTED_VALUE"""),4)</f>
        <v>4</v>
      </c>
      <c r="BD341" s="4">
        <f ca="1">IFERROR(__xludf.DUMMYFUNCTION("""COMPUTED_VALUE"""),3)</f>
        <v>3</v>
      </c>
      <c r="BE341" s="4">
        <f ca="1">IFERROR(__xludf.DUMMYFUNCTION("""COMPUTED_VALUE"""),4)</f>
        <v>4</v>
      </c>
      <c r="BF341" s="4">
        <f ca="1">IFERROR(__xludf.DUMMYFUNCTION("""COMPUTED_VALUE"""),3)</f>
        <v>3</v>
      </c>
      <c r="BG341" s="4">
        <f ca="1">IFERROR(__xludf.DUMMYFUNCTION("""COMPUTED_VALUE"""),4)</f>
        <v>4</v>
      </c>
      <c r="BH341" s="4">
        <f ca="1">IFERROR(__xludf.DUMMYFUNCTION("""COMPUTED_VALUE"""),3)</f>
        <v>3</v>
      </c>
      <c r="BI341" s="4">
        <f ca="1">IFERROR(__xludf.DUMMYFUNCTION("""COMPUTED_VALUE"""),4)</f>
        <v>4</v>
      </c>
      <c r="BJ341" s="4">
        <f ca="1">IFERROR(__xludf.DUMMYFUNCTION("""COMPUTED_VALUE"""),4)</f>
        <v>4</v>
      </c>
      <c r="BK341" s="4">
        <f ca="1">IFERROR(__xludf.DUMMYFUNCTION("""COMPUTED_VALUE"""),3)</f>
        <v>3</v>
      </c>
      <c r="BL341" s="4">
        <f ca="1">IFERROR(__xludf.DUMMYFUNCTION("""COMPUTED_VALUE"""),4)</f>
        <v>4</v>
      </c>
      <c r="BM341" s="4">
        <f ca="1">IFERROR(__xludf.DUMMYFUNCTION("""COMPUTED_VALUE"""),4)</f>
        <v>4</v>
      </c>
      <c r="BN341" s="4">
        <f ca="1">IFERROR(__xludf.DUMMYFUNCTION("""COMPUTED_VALUE"""),4)</f>
        <v>4</v>
      </c>
      <c r="BO341" s="4">
        <f ca="1">IFERROR(__xludf.DUMMYFUNCTION("""COMPUTED_VALUE"""),3)</f>
        <v>3</v>
      </c>
      <c r="BP341" s="4">
        <f ca="1">IFERROR(__xludf.DUMMYFUNCTION("""COMPUTED_VALUE"""),4)</f>
        <v>4</v>
      </c>
    </row>
    <row r="342" spans="1:68" ht="13.2" x14ac:dyDescent="0.25">
      <c r="A342" s="4" t="str">
        <f ca="1">IFERROR(__xludf.DUMMYFUNCTION("""COMPUTED_VALUE"""),"2_ABaOnueyDYixaLOYemKFne1WBgGqlRSdblGJXcf4LiocZ4MwKYIICbimrI44U8FNZQ")</f>
        <v>2_ABaOnueyDYixaLOYemKFne1WBgGqlRSdblGJXcf4LiocZ4MwKYIICbimrI44U8FNZQ</v>
      </c>
      <c r="B342" s="5">
        <f ca="1">IFERROR(__xludf.DUMMYFUNCTION("""COMPUTED_VALUE"""),45986.6400693171)</f>
        <v>45986.640069317102</v>
      </c>
      <c r="C342" s="4" t="str">
        <f ca="1">IFERROR(__xludf.DUMMYFUNCTION("""COMPUTED_VALUE"""),"Đỗ Phan Ánh Uyên ")</f>
        <v xml:space="preserve">Đỗ Phan Ánh Uyên </v>
      </c>
      <c r="D342" s="4" t="str">
        <f ca="1">IFERROR(__xludf.DUMMYFUNCTION("""COMPUTED_VALUE"""),"Nữ")</f>
        <v>Nữ</v>
      </c>
      <c r="E342" s="4" t="str">
        <f ca="1">IFERROR(__xludf.DUMMYFUNCTION("""COMPUTED_VALUE"""),"Công Ty TNHH Kiểm Toán AFC Việt Nam")</f>
        <v>Công Ty TNHH Kiểm Toán AFC Việt Nam</v>
      </c>
      <c r="F342" s="4" t="str">
        <f ca="1">IFERROR(__xludf.DUMMYFUNCTION("""COMPUTED_VALUE"""),"Đại học")</f>
        <v>Đại học</v>
      </c>
      <c r="G342" s="4" t="str">
        <f ca="1">IFERROR(__xludf.DUMMYFUNCTION("""COMPUTED_VALUE"""),"Từ 3 đến 5 năm")</f>
        <v>Từ 3 đến 5 năm</v>
      </c>
      <c r="H342" s="4" t="str">
        <f ca="1">IFERROR(__xludf.DUMMYFUNCTION("""COMPUTED_VALUE"""),"Trợ lý kiểm toán")</f>
        <v>Trợ lý kiểm toán</v>
      </c>
      <c r="I342" s="4">
        <f ca="1">IFERROR(__xludf.DUMMYFUNCTION("""COMPUTED_VALUE"""),5)</f>
        <v>5</v>
      </c>
      <c r="J342" s="4">
        <f ca="1">IFERROR(__xludf.DUMMYFUNCTION("""COMPUTED_VALUE"""),5)</f>
        <v>5</v>
      </c>
      <c r="K342" s="4">
        <f ca="1">IFERROR(__xludf.DUMMYFUNCTION("""COMPUTED_VALUE"""),5)</f>
        <v>5</v>
      </c>
      <c r="L342" s="4">
        <f ca="1">IFERROR(__xludf.DUMMYFUNCTION("""COMPUTED_VALUE"""),5)</f>
        <v>5</v>
      </c>
      <c r="M342" s="4">
        <f ca="1">IFERROR(__xludf.DUMMYFUNCTION("""COMPUTED_VALUE"""),5)</f>
        <v>5</v>
      </c>
      <c r="N342" s="4">
        <f ca="1">IFERROR(__xludf.DUMMYFUNCTION("""COMPUTED_VALUE"""),3)</f>
        <v>3</v>
      </c>
      <c r="O342" s="4">
        <f ca="1">IFERROR(__xludf.DUMMYFUNCTION("""COMPUTED_VALUE"""),4)</f>
        <v>4</v>
      </c>
      <c r="P342" s="4">
        <f ca="1">IFERROR(__xludf.DUMMYFUNCTION("""COMPUTED_VALUE"""),5)</f>
        <v>5</v>
      </c>
      <c r="Q342" s="4">
        <f ca="1">IFERROR(__xludf.DUMMYFUNCTION("""COMPUTED_VALUE"""),5)</f>
        <v>5</v>
      </c>
      <c r="R342" s="4">
        <f ca="1">IFERROR(__xludf.DUMMYFUNCTION("""COMPUTED_VALUE"""),4)</f>
        <v>4</v>
      </c>
      <c r="S342" s="4">
        <f ca="1">IFERROR(__xludf.DUMMYFUNCTION("""COMPUTED_VALUE"""),4)</f>
        <v>4</v>
      </c>
      <c r="T342" s="4">
        <f ca="1">IFERROR(__xludf.DUMMYFUNCTION("""COMPUTED_VALUE"""),5)</f>
        <v>5</v>
      </c>
      <c r="U342" s="4">
        <f ca="1">IFERROR(__xludf.DUMMYFUNCTION("""COMPUTED_VALUE"""),5)</f>
        <v>5</v>
      </c>
      <c r="V342" s="4">
        <f ca="1">IFERROR(__xludf.DUMMYFUNCTION("""COMPUTED_VALUE"""),5)</f>
        <v>5</v>
      </c>
      <c r="W342" s="4">
        <f ca="1">IFERROR(__xludf.DUMMYFUNCTION("""COMPUTED_VALUE"""),3)</f>
        <v>3</v>
      </c>
      <c r="X342" s="4">
        <f ca="1">IFERROR(__xludf.DUMMYFUNCTION("""COMPUTED_VALUE"""),3)</f>
        <v>3</v>
      </c>
      <c r="Y342" s="4">
        <f ca="1">IFERROR(__xludf.DUMMYFUNCTION("""COMPUTED_VALUE"""),3)</f>
        <v>3</v>
      </c>
      <c r="Z342" s="4">
        <f ca="1">IFERROR(__xludf.DUMMYFUNCTION("""COMPUTED_VALUE"""),3)</f>
        <v>3</v>
      </c>
      <c r="AA342" s="4">
        <f ca="1">IFERROR(__xludf.DUMMYFUNCTION("""COMPUTED_VALUE"""),3)</f>
        <v>3</v>
      </c>
      <c r="AB342" s="4">
        <f ca="1">IFERROR(__xludf.DUMMYFUNCTION("""COMPUTED_VALUE"""),4)</f>
        <v>4</v>
      </c>
      <c r="AC342" s="4">
        <f ca="1">IFERROR(__xludf.DUMMYFUNCTION("""COMPUTED_VALUE"""),3)</f>
        <v>3</v>
      </c>
      <c r="AD342" s="4">
        <f ca="1">IFERROR(__xludf.DUMMYFUNCTION("""COMPUTED_VALUE"""),4)</f>
        <v>4</v>
      </c>
      <c r="AE342" s="4">
        <f ca="1">IFERROR(__xludf.DUMMYFUNCTION("""COMPUTED_VALUE"""),4)</f>
        <v>4</v>
      </c>
      <c r="AF342" s="4">
        <f ca="1">IFERROR(__xludf.DUMMYFUNCTION("""COMPUTED_VALUE"""),4)</f>
        <v>4</v>
      </c>
      <c r="AG342" s="4">
        <f ca="1">IFERROR(__xludf.DUMMYFUNCTION("""COMPUTED_VALUE"""),4)</f>
        <v>4</v>
      </c>
      <c r="AH342" s="4">
        <f ca="1">IFERROR(__xludf.DUMMYFUNCTION("""COMPUTED_VALUE"""),4)</f>
        <v>4</v>
      </c>
      <c r="AI342" s="4">
        <f ca="1">IFERROR(__xludf.DUMMYFUNCTION("""COMPUTED_VALUE"""),4)</f>
        <v>4</v>
      </c>
      <c r="AJ342" s="4">
        <f ca="1">IFERROR(__xludf.DUMMYFUNCTION("""COMPUTED_VALUE"""),4)</f>
        <v>4</v>
      </c>
      <c r="AK342" s="4">
        <f ca="1">IFERROR(__xludf.DUMMYFUNCTION("""COMPUTED_VALUE"""),4)</f>
        <v>4</v>
      </c>
      <c r="AL342" s="4">
        <f ca="1">IFERROR(__xludf.DUMMYFUNCTION("""COMPUTED_VALUE"""),3)</f>
        <v>3</v>
      </c>
      <c r="AM342" s="4">
        <f ca="1">IFERROR(__xludf.DUMMYFUNCTION("""COMPUTED_VALUE"""),3)</f>
        <v>3</v>
      </c>
      <c r="AN342" s="4">
        <f ca="1">IFERROR(__xludf.DUMMYFUNCTION("""COMPUTED_VALUE"""),4)</f>
        <v>4</v>
      </c>
      <c r="AO342" s="4">
        <f ca="1">IFERROR(__xludf.DUMMYFUNCTION("""COMPUTED_VALUE"""),4)</f>
        <v>4</v>
      </c>
      <c r="AP342" s="4">
        <f ca="1">IFERROR(__xludf.DUMMYFUNCTION("""COMPUTED_VALUE"""),4)</f>
        <v>4</v>
      </c>
      <c r="AQ342" s="4">
        <f ca="1">IFERROR(__xludf.DUMMYFUNCTION("""COMPUTED_VALUE"""),5)</f>
        <v>5</v>
      </c>
      <c r="AR342" s="4">
        <f ca="1">IFERROR(__xludf.DUMMYFUNCTION("""COMPUTED_VALUE"""),4)</f>
        <v>4</v>
      </c>
      <c r="AS342" s="4">
        <f ca="1">IFERROR(__xludf.DUMMYFUNCTION("""COMPUTED_VALUE"""),4)</f>
        <v>4</v>
      </c>
      <c r="AT342" s="4">
        <f ca="1">IFERROR(__xludf.DUMMYFUNCTION("""COMPUTED_VALUE"""),4)</f>
        <v>4</v>
      </c>
      <c r="AU342" s="4">
        <f ca="1">IFERROR(__xludf.DUMMYFUNCTION("""COMPUTED_VALUE"""),4)</f>
        <v>4</v>
      </c>
      <c r="AV342" s="4">
        <f ca="1">IFERROR(__xludf.DUMMYFUNCTION("""COMPUTED_VALUE"""),4)</f>
        <v>4</v>
      </c>
      <c r="AW342" s="4">
        <f ca="1">IFERROR(__xludf.DUMMYFUNCTION("""COMPUTED_VALUE"""),4)</f>
        <v>4</v>
      </c>
      <c r="AX342" s="4">
        <f ca="1">IFERROR(__xludf.DUMMYFUNCTION("""COMPUTED_VALUE"""),4)</f>
        <v>4</v>
      </c>
      <c r="AY342" s="4">
        <f ca="1">IFERROR(__xludf.DUMMYFUNCTION("""COMPUTED_VALUE"""),4)</f>
        <v>4</v>
      </c>
      <c r="AZ342" s="4">
        <f ca="1">IFERROR(__xludf.DUMMYFUNCTION("""COMPUTED_VALUE"""),4)</f>
        <v>4</v>
      </c>
      <c r="BA342" s="4">
        <f ca="1">IFERROR(__xludf.DUMMYFUNCTION("""COMPUTED_VALUE"""),4)</f>
        <v>4</v>
      </c>
      <c r="BB342" s="4">
        <f ca="1">IFERROR(__xludf.DUMMYFUNCTION("""COMPUTED_VALUE"""),3)</f>
        <v>3</v>
      </c>
      <c r="BC342" s="4">
        <f ca="1">IFERROR(__xludf.DUMMYFUNCTION("""COMPUTED_VALUE"""),3)</f>
        <v>3</v>
      </c>
      <c r="BD342" s="4">
        <f ca="1">IFERROR(__xludf.DUMMYFUNCTION("""COMPUTED_VALUE"""),3)</f>
        <v>3</v>
      </c>
      <c r="BE342" s="4">
        <f ca="1">IFERROR(__xludf.DUMMYFUNCTION("""COMPUTED_VALUE"""),3)</f>
        <v>3</v>
      </c>
      <c r="BF342" s="4">
        <f ca="1">IFERROR(__xludf.DUMMYFUNCTION("""COMPUTED_VALUE"""),3)</f>
        <v>3</v>
      </c>
      <c r="BG342" s="4">
        <f ca="1">IFERROR(__xludf.DUMMYFUNCTION("""COMPUTED_VALUE"""),3)</f>
        <v>3</v>
      </c>
      <c r="BH342" s="4">
        <f ca="1">IFERROR(__xludf.DUMMYFUNCTION("""COMPUTED_VALUE"""),4)</f>
        <v>4</v>
      </c>
      <c r="BI342" s="4">
        <f ca="1">IFERROR(__xludf.DUMMYFUNCTION("""COMPUTED_VALUE"""),5)</f>
        <v>5</v>
      </c>
      <c r="BJ342" s="4">
        <f ca="1">IFERROR(__xludf.DUMMYFUNCTION("""COMPUTED_VALUE"""),5)</f>
        <v>5</v>
      </c>
      <c r="BK342" s="4">
        <f ca="1">IFERROR(__xludf.DUMMYFUNCTION("""COMPUTED_VALUE"""),4)</f>
        <v>4</v>
      </c>
      <c r="BL342" s="4">
        <f ca="1">IFERROR(__xludf.DUMMYFUNCTION("""COMPUTED_VALUE"""),4)</f>
        <v>4</v>
      </c>
      <c r="BM342" s="4">
        <f ca="1">IFERROR(__xludf.DUMMYFUNCTION("""COMPUTED_VALUE"""),4)</f>
        <v>4</v>
      </c>
      <c r="BN342" s="4">
        <f ca="1">IFERROR(__xludf.DUMMYFUNCTION("""COMPUTED_VALUE"""),4)</f>
        <v>4</v>
      </c>
      <c r="BO342" s="4">
        <f ca="1">IFERROR(__xludf.DUMMYFUNCTION("""COMPUTED_VALUE"""),4)</f>
        <v>4</v>
      </c>
      <c r="BP342" s="4">
        <f ca="1">IFERROR(__xludf.DUMMYFUNCTION("""COMPUTED_VALUE"""),4)</f>
        <v>4</v>
      </c>
    </row>
    <row r="343" spans="1:68" ht="13.2" x14ac:dyDescent="0.25">
      <c r="A343" s="4" t="str">
        <f ca="1">IFERROR(__xludf.DUMMYFUNCTION("""COMPUTED_VALUE"""),"2_ABaOnufmCMo2zDjK41YPf0KsBUlA9DU6XEp7NMIDVPDt3oI5vIVZ_OR4qVthmf3Ypg")</f>
        <v>2_ABaOnufmCMo2zDjK41YPf0KsBUlA9DU6XEp7NMIDVPDt3oI5vIVZ_OR4qVthmf3Ypg</v>
      </c>
      <c r="B343" s="5">
        <f ca="1">IFERROR(__xludf.DUMMYFUNCTION("""COMPUTED_VALUE"""),45986.6416910069)</f>
        <v>45986.641691006902</v>
      </c>
      <c r="C343" s="4" t="str">
        <f ca="1">IFERROR(__xludf.DUMMYFUNCTION("""COMPUTED_VALUE"""),"Trương Quỳnh Hương")</f>
        <v>Trương Quỳnh Hương</v>
      </c>
      <c r="D343" s="4" t="str">
        <f ca="1">IFERROR(__xludf.DUMMYFUNCTION("""COMPUTED_VALUE"""),"Nữ")</f>
        <v>Nữ</v>
      </c>
      <c r="E343" s="4" t="str">
        <f ca="1">IFERROR(__xludf.DUMMYFUNCTION("""COMPUTED_VALUE"""),"Công ty TNHH kiểm toán và Tư vấn Tài chính Toàn Cầu")</f>
        <v>Công ty TNHH kiểm toán và Tư vấn Tài chính Toàn Cầu</v>
      </c>
      <c r="F343" s="4" t="str">
        <f ca="1">IFERROR(__xludf.DUMMYFUNCTION("""COMPUTED_VALUE"""),"Đại học, Chứng chỉ Kiểm toán viên")</f>
        <v>Đại học, Chứng chỉ Kiểm toán viên</v>
      </c>
      <c r="G343" s="4" t="str">
        <f ca="1">IFERROR(__xludf.DUMMYFUNCTION("""COMPUTED_VALUE"""),"Trên 5 đến 10 năm")</f>
        <v>Trên 5 đến 10 năm</v>
      </c>
      <c r="H343" s="4" t="str">
        <f ca="1">IFERROR(__xludf.DUMMYFUNCTION("""COMPUTED_VALUE"""),"Kiểm toán viên/Trưởng nhóm")</f>
        <v>Kiểm toán viên/Trưởng nhóm</v>
      </c>
      <c r="I343" s="4">
        <f ca="1">IFERROR(__xludf.DUMMYFUNCTION("""COMPUTED_VALUE"""),5)</f>
        <v>5</v>
      </c>
      <c r="J343" s="4">
        <f ca="1">IFERROR(__xludf.DUMMYFUNCTION("""COMPUTED_VALUE"""),5)</f>
        <v>5</v>
      </c>
      <c r="K343" s="4">
        <f ca="1">IFERROR(__xludf.DUMMYFUNCTION("""COMPUTED_VALUE"""),5)</f>
        <v>5</v>
      </c>
      <c r="L343" s="4">
        <f ca="1">IFERROR(__xludf.DUMMYFUNCTION("""COMPUTED_VALUE"""),4)</f>
        <v>4</v>
      </c>
      <c r="M343" s="4">
        <f ca="1">IFERROR(__xludf.DUMMYFUNCTION("""COMPUTED_VALUE"""),4)</f>
        <v>4</v>
      </c>
      <c r="N343" s="4">
        <f ca="1">IFERROR(__xludf.DUMMYFUNCTION("""COMPUTED_VALUE"""),3)</f>
        <v>3</v>
      </c>
      <c r="O343" s="4">
        <f ca="1">IFERROR(__xludf.DUMMYFUNCTION("""COMPUTED_VALUE"""),3)</f>
        <v>3</v>
      </c>
      <c r="P343" s="4">
        <f ca="1">IFERROR(__xludf.DUMMYFUNCTION("""COMPUTED_VALUE"""),3)</f>
        <v>3</v>
      </c>
      <c r="Q343" s="4">
        <f ca="1">IFERROR(__xludf.DUMMYFUNCTION("""COMPUTED_VALUE"""),3)</f>
        <v>3</v>
      </c>
      <c r="R343" s="4">
        <f ca="1">IFERROR(__xludf.DUMMYFUNCTION("""COMPUTED_VALUE"""),5)</f>
        <v>5</v>
      </c>
      <c r="S343" s="4">
        <f ca="1">IFERROR(__xludf.DUMMYFUNCTION("""COMPUTED_VALUE"""),5)</f>
        <v>5</v>
      </c>
      <c r="T343" s="4">
        <f ca="1">IFERROR(__xludf.DUMMYFUNCTION("""COMPUTED_VALUE"""),5)</f>
        <v>5</v>
      </c>
      <c r="U343" s="4">
        <f ca="1">IFERROR(__xludf.DUMMYFUNCTION("""COMPUTED_VALUE"""),4)</f>
        <v>4</v>
      </c>
      <c r="V343" s="4">
        <f ca="1">IFERROR(__xludf.DUMMYFUNCTION("""COMPUTED_VALUE"""),3)</f>
        <v>3</v>
      </c>
      <c r="W343" s="4">
        <f ca="1">IFERROR(__xludf.DUMMYFUNCTION("""COMPUTED_VALUE"""),5)</f>
        <v>5</v>
      </c>
      <c r="X343" s="4">
        <f ca="1">IFERROR(__xludf.DUMMYFUNCTION("""COMPUTED_VALUE"""),3)</f>
        <v>3</v>
      </c>
      <c r="Y343" s="4">
        <f ca="1">IFERROR(__xludf.DUMMYFUNCTION("""COMPUTED_VALUE"""),3)</f>
        <v>3</v>
      </c>
      <c r="Z343" s="4">
        <f ca="1">IFERROR(__xludf.DUMMYFUNCTION("""COMPUTED_VALUE"""),5)</f>
        <v>5</v>
      </c>
      <c r="AA343" s="4">
        <f ca="1">IFERROR(__xludf.DUMMYFUNCTION("""COMPUTED_VALUE"""),4)</f>
        <v>4</v>
      </c>
      <c r="AB343" s="4">
        <f ca="1">IFERROR(__xludf.DUMMYFUNCTION("""COMPUTED_VALUE"""),5)</f>
        <v>5</v>
      </c>
      <c r="AC343" s="4">
        <f ca="1">IFERROR(__xludf.DUMMYFUNCTION("""COMPUTED_VALUE"""),5)</f>
        <v>5</v>
      </c>
      <c r="AD343" s="4">
        <f ca="1">IFERROR(__xludf.DUMMYFUNCTION("""COMPUTED_VALUE"""),5)</f>
        <v>5</v>
      </c>
      <c r="AE343" s="4">
        <f ca="1">IFERROR(__xludf.DUMMYFUNCTION("""COMPUTED_VALUE"""),5)</f>
        <v>5</v>
      </c>
      <c r="AF343" s="4">
        <f ca="1">IFERROR(__xludf.DUMMYFUNCTION("""COMPUTED_VALUE"""),5)</f>
        <v>5</v>
      </c>
      <c r="AG343" s="4">
        <f ca="1">IFERROR(__xludf.DUMMYFUNCTION("""COMPUTED_VALUE"""),5)</f>
        <v>5</v>
      </c>
      <c r="AH343" s="4">
        <f ca="1">IFERROR(__xludf.DUMMYFUNCTION("""COMPUTED_VALUE"""),5)</f>
        <v>5</v>
      </c>
      <c r="AI343" s="4">
        <f ca="1">IFERROR(__xludf.DUMMYFUNCTION("""COMPUTED_VALUE"""),5)</f>
        <v>5</v>
      </c>
      <c r="AJ343" s="4">
        <f ca="1">IFERROR(__xludf.DUMMYFUNCTION("""COMPUTED_VALUE"""),5)</f>
        <v>5</v>
      </c>
      <c r="AK343" s="4">
        <f ca="1">IFERROR(__xludf.DUMMYFUNCTION("""COMPUTED_VALUE"""),5)</f>
        <v>5</v>
      </c>
      <c r="AL343" s="4">
        <f ca="1">IFERROR(__xludf.DUMMYFUNCTION("""COMPUTED_VALUE"""),5)</f>
        <v>5</v>
      </c>
      <c r="AM343" s="4">
        <f ca="1">IFERROR(__xludf.DUMMYFUNCTION("""COMPUTED_VALUE"""),5)</f>
        <v>5</v>
      </c>
      <c r="AN343" s="4">
        <f ca="1">IFERROR(__xludf.DUMMYFUNCTION("""COMPUTED_VALUE"""),5)</f>
        <v>5</v>
      </c>
      <c r="AO343" s="4">
        <f ca="1">IFERROR(__xludf.DUMMYFUNCTION("""COMPUTED_VALUE"""),5)</f>
        <v>5</v>
      </c>
      <c r="AP343" s="4">
        <f ca="1">IFERROR(__xludf.DUMMYFUNCTION("""COMPUTED_VALUE"""),5)</f>
        <v>5</v>
      </c>
      <c r="AQ343" s="4">
        <f ca="1">IFERROR(__xludf.DUMMYFUNCTION("""COMPUTED_VALUE"""),5)</f>
        <v>5</v>
      </c>
      <c r="AR343" s="4">
        <f ca="1">IFERROR(__xludf.DUMMYFUNCTION("""COMPUTED_VALUE"""),5)</f>
        <v>5</v>
      </c>
      <c r="AS343" s="4">
        <f ca="1">IFERROR(__xludf.DUMMYFUNCTION("""COMPUTED_VALUE"""),5)</f>
        <v>5</v>
      </c>
      <c r="AT343" s="4">
        <f ca="1">IFERROR(__xludf.DUMMYFUNCTION("""COMPUTED_VALUE"""),5)</f>
        <v>5</v>
      </c>
      <c r="AU343" s="4">
        <f ca="1">IFERROR(__xludf.DUMMYFUNCTION("""COMPUTED_VALUE"""),5)</f>
        <v>5</v>
      </c>
      <c r="AV343" s="4">
        <f ca="1">IFERROR(__xludf.DUMMYFUNCTION("""COMPUTED_VALUE"""),5)</f>
        <v>5</v>
      </c>
      <c r="AW343" s="4">
        <f ca="1">IFERROR(__xludf.DUMMYFUNCTION("""COMPUTED_VALUE"""),5)</f>
        <v>5</v>
      </c>
      <c r="AX343" s="4">
        <f ca="1">IFERROR(__xludf.DUMMYFUNCTION("""COMPUTED_VALUE"""),5)</f>
        <v>5</v>
      </c>
      <c r="AY343" s="4">
        <f ca="1">IFERROR(__xludf.DUMMYFUNCTION("""COMPUTED_VALUE"""),5)</f>
        <v>5</v>
      </c>
      <c r="AZ343" s="4">
        <f ca="1">IFERROR(__xludf.DUMMYFUNCTION("""COMPUTED_VALUE"""),5)</f>
        <v>5</v>
      </c>
      <c r="BA343" s="4">
        <f ca="1">IFERROR(__xludf.DUMMYFUNCTION("""COMPUTED_VALUE"""),5)</f>
        <v>5</v>
      </c>
      <c r="BB343" s="4">
        <f ca="1">IFERROR(__xludf.DUMMYFUNCTION("""COMPUTED_VALUE"""),5)</f>
        <v>5</v>
      </c>
      <c r="BC343" s="4">
        <f ca="1">IFERROR(__xludf.DUMMYFUNCTION("""COMPUTED_VALUE"""),5)</f>
        <v>5</v>
      </c>
      <c r="BD343" s="4">
        <f ca="1">IFERROR(__xludf.DUMMYFUNCTION("""COMPUTED_VALUE"""),5)</f>
        <v>5</v>
      </c>
      <c r="BE343" s="4">
        <f ca="1">IFERROR(__xludf.DUMMYFUNCTION("""COMPUTED_VALUE"""),3)</f>
        <v>3</v>
      </c>
      <c r="BF343" s="4">
        <f ca="1">IFERROR(__xludf.DUMMYFUNCTION("""COMPUTED_VALUE"""),3)</f>
        <v>3</v>
      </c>
      <c r="BG343" s="4">
        <f ca="1">IFERROR(__xludf.DUMMYFUNCTION("""COMPUTED_VALUE"""),3)</f>
        <v>3</v>
      </c>
      <c r="BH343" s="4">
        <f ca="1">IFERROR(__xludf.DUMMYFUNCTION("""COMPUTED_VALUE"""),5)</f>
        <v>5</v>
      </c>
      <c r="BI343" s="4">
        <f ca="1">IFERROR(__xludf.DUMMYFUNCTION("""COMPUTED_VALUE"""),5)</f>
        <v>5</v>
      </c>
      <c r="BJ343" s="4">
        <f ca="1">IFERROR(__xludf.DUMMYFUNCTION("""COMPUTED_VALUE"""),5)</f>
        <v>5</v>
      </c>
      <c r="BK343" s="4">
        <f ca="1">IFERROR(__xludf.DUMMYFUNCTION("""COMPUTED_VALUE"""),5)</f>
        <v>5</v>
      </c>
      <c r="BL343" s="4">
        <f ca="1">IFERROR(__xludf.DUMMYFUNCTION("""COMPUTED_VALUE"""),5)</f>
        <v>5</v>
      </c>
      <c r="BM343" s="4">
        <f ca="1">IFERROR(__xludf.DUMMYFUNCTION("""COMPUTED_VALUE"""),5)</f>
        <v>5</v>
      </c>
      <c r="BN343" s="4">
        <f ca="1">IFERROR(__xludf.DUMMYFUNCTION("""COMPUTED_VALUE"""),5)</f>
        <v>5</v>
      </c>
      <c r="BO343" s="4">
        <f ca="1">IFERROR(__xludf.DUMMYFUNCTION("""COMPUTED_VALUE"""),5)</f>
        <v>5</v>
      </c>
      <c r="BP343" s="4">
        <f ca="1">IFERROR(__xludf.DUMMYFUNCTION("""COMPUTED_VALUE"""),5)</f>
        <v>5</v>
      </c>
    </row>
    <row r="344" spans="1:68" ht="13.2" x14ac:dyDescent="0.25">
      <c r="A344" s="4" t="str">
        <f ca="1">IFERROR(__xludf.DUMMYFUNCTION("""COMPUTED_VALUE"""),"2_ABaOnucBr02U_Vd5udq5coz3rWWGfVuX6Asfmdjy34IF3d01xF_iCbn6Q5yT2Sz_SQ")</f>
        <v>2_ABaOnucBr02U_Vd5udq5coz3rWWGfVuX6Asfmdjy34IF3d01xF_iCbn6Q5yT2Sz_SQ</v>
      </c>
      <c r="B344" s="5">
        <f ca="1">IFERROR(__xludf.DUMMYFUNCTION("""COMPUTED_VALUE"""),45986.6418035879)</f>
        <v>45986.641803587903</v>
      </c>
      <c r="C344" s="4" t="str">
        <f ca="1">IFERROR(__xludf.DUMMYFUNCTION("""COMPUTED_VALUE"""),"Nguyễn Ngọc Tuấn")</f>
        <v>Nguyễn Ngọc Tuấn</v>
      </c>
      <c r="D344" s="4" t="str">
        <f ca="1">IFERROR(__xludf.DUMMYFUNCTION("""COMPUTED_VALUE"""),"Nam")</f>
        <v>Nam</v>
      </c>
      <c r="E344" s="4" t="str">
        <f ca="1">IFERROR(__xludf.DUMMYFUNCTION("""COMPUTED_VALUE"""),"Công ty TNHH Kiểm toán NVA")</f>
        <v>Công ty TNHH Kiểm toán NVA</v>
      </c>
      <c r="F344" s="4" t="str">
        <f ca="1">IFERROR(__xludf.DUMMYFUNCTION("""COMPUTED_VALUE"""),"Đại học, Chứng chỉ Kiểm toán viên")</f>
        <v>Đại học, Chứng chỉ Kiểm toán viên</v>
      </c>
      <c r="G344" s="4" t="str">
        <f ca="1">IFERROR(__xludf.DUMMYFUNCTION("""COMPUTED_VALUE"""),"Trên 15 đến 20 năm")</f>
        <v>Trên 15 đến 20 năm</v>
      </c>
      <c r="H344" s="4" t="str">
        <f ca="1">IFERROR(__xludf.DUMMYFUNCTION("""COMPUTED_VALUE"""),"Ban giám đốc")</f>
        <v>Ban giám đốc</v>
      </c>
      <c r="I344" s="4">
        <f ca="1">IFERROR(__xludf.DUMMYFUNCTION("""COMPUTED_VALUE"""),5)</f>
        <v>5</v>
      </c>
      <c r="J344" s="4">
        <f ca="1">IFERROR(__xludf.DUMMYFUNCTION("""COMPUTED_VALUE"""),5)</f>
        <v>5</v>
      </c>
      <c r="K344" s="4">
        <f ca="1">IFERROR(__xludf.DUMMYFUNCTION("""COMPUTED_VALUE"""),4)</f>
        <v>4</v>
      </c>
      <c r="L344" s="4">
        <f ca="1">IFERROR(__xludf.DUMMYFUNCTION("""COMPUTED_VALUE"""),5)</f>
        <v>5</v>
      </c>
      <c r="M344" s="4">
        <f ca="1">IFERROR(__xludf.DUMMYFUNCTION("""COMPUTED_VALUE"""),5)</f>
        <v>5</v>
      </c>
      <c r="N344" s="4">
        <f ca="1">IFERROR(__xludf.DUMMYFUNCTION("""COMPUTED_VALUE"""),4)</f>
        <v>4</v>
      </c>
      <c r="O344" s="4">
        <f ca="1">IFERROR(__xludf.DUMMYFUNCTION("""COMPUTED_VALUE"""),5)</f>
        <v>5</v>
      </c>
      <c r="P344" s="4">
        <f ca="1">IFERROR(__xludf.DUMMYFUNCTION("""COMPUTED_VALUE"""),5)</f>
        <v>5</v>
      </c>
      <c r="Q344" s="4">
        <f ca="1">IFERROR(__xludf.DUMMYFUNCTION("""COMPUTED_VALUE"""),4)</f>
        <v>4</v>
      </c>
      <c r="R344" s="4">
        <f ca="1">IFERROR(__xludf.DUMMYFUNCTION("""COMPUTED_VALUE"""),4)</f>
        <v>4</v>
      </c>
      <c r="S344" s="4">
        <f ca="1">IFERROR(__xludf.DUMMYFUNCTION("""COMPUTED_VALUE"""),5)</f>
        <v>5</v>
      </c>
      <c r="T344" s="4">
        <f ca="1">IFERROR(__xludf.DUMMYFUNCTION("""COMPUTED_VALUE"""),5)</f>
        <v>5</v>
      </c>
      <c r="U344" s="4">
        <f ca="1">IFERROR(__xludf.DUMMYFUNCTION("""COMPUTED_VALUE"""),5)</f>
        <v>5</v>
      </c>
      <c r="V344" s="4">
        <f ca="1">IFERROR(__xludf.DUMMYFUNCTION("""COMPUTED_VALUE"""),4)</f>
        <v>4</v>
      </c>
      <c r="W344" s="4">
        <f ca="1">IFERROR(__xludf.DUMMYFUNCTION("""COMPUTED_VALUE"""),4)</f>
        <v>4</v>
      </c>
      <c r="X344" s="4">
        <f ca="1">IFERROR(__xludf.DUMMYFUNCTION("""COMPUTED_VALUE"""),4)</f>
        <v>4</v>
      </c>
      <c r="Y344" s="4">
        <f ca="1">IFERROR(__xludf.DUMMYFUNCTION("""COMPUTED_VALUE"""),3)</f>
        <v>3</v>
      </c>
      <c r="Z344" s="4">
        <f ca="1">IFERROR(__xludf.DUMMYFUNCTION("""COMPUTED_VALUE"""),4)</f>
        <v>4</v>
      </c>
      <c r="AA344" s="4">
        <f ca="1">IFERROR(__xludf.DUMMYFUNCTION("""COMPUTED_VALUE"""),4)</f>
        <v>4</v>
      </c>
      <c r="AB344" s="4">
        <f ca="1">IFERROR(__xludf.DUMMYFUNCTION("""COMPUTED_VALUE"""),4)</f>
        <v>4</v>
      </c>
      <c r="AC344" s="4">
        <f ca="1">IFERROR(__xludf.DUMMYFUNCTION("""COMPUTED_VALUE"""),2)</f>
        <v>2</v>
      </c>
      <c r="AD344" s="4">
        <f ca="1">IFERROR(__xludf.DUMMYFUNCTION("""COMPUTED_VALUE"""),2)</f>
        <v>2</v>
      </c>
      <c r="AE344" s="4">
        <f ca="1">IFERROR(__xludf.DUMMYFUNCTION("""COMPUTED_VALUE"""),4)</f>
        <v>4</v>
      </c>
      <c r="AF344" s="4">
        <f ca="1">IFERROR(__xludf.DUMMYFUNCTION("""COMPUTED_VALUE"""),4)</f>
        <v>4</v>
      </c>
      <c r="AG344" s="4">
        <f ca="1">IFERROR(__xludf.DUMMYFUNCTION("""COMPUTED_VALUE"""),4)</f>
        <v>4</v>
      </c>
      <c r="AH344" s="4">
        <f ca="1">IFERROR(__xludf.DUMMYFUNCTION("""COMPUTED_VALUE"""),4)</f>
        <v>4</v>
      </c>
      <c r="AI344" s="4">
        <f ca="1">IFERROR(__xludf.DUMMYFUNCTION("""COMPUTED_VALUE"""),4)</f>
        <v>4</v>
      </c>
      <c r="AJ344" s="4">
        <f ca="1">IFERROR(__xludf.DUMMYFUNCTION("""COMPUTED_VALUE"""),5)</f>
        <v>5</v>
      </c>
      <c r="AK344" s="4">
        <f ca="1">IFERROR(__xludf.DUMMYFUNCTION("""COMPUTED_VALUE"""),5)</f>
        <v>5</v>
      </c>
      <c r="AL344" s="4">
        <f ca="1">IFERROR(__xludf.DUMMYFUNCTION("""COMPUTED_VALUE"""),4)</f>
        <v>4</v>
      </c>
      <c r="AM344" s="4">
        <f ca="1">IFERROR(__xludf.DUMMYFUNCTION("""COMPUTED_VALUE"""),4)</f>
        <v>4</v>
      </c>
      <c r="AN344" s="4">
        <f ca="1">IFERROR(__xludf.DUMMYFUNCTION("""COMPUTED_VALUE"""),5)</f>
        <v>5</v>
      </c>
      <c r="AO344" s="4">
        <f ca="1">IFERROR(__xludf.DUMMYFUNCTION("""COMPUTED_VALUE"""),4)</f>
        <v>4</v>
      </c>
      <c r="AP344" s="4">
        <f ca="1">IFERROR(__xludf.DUMMYFUNCTION("""COMPUTED_VALUE"""),3)</f>
        <v>3</v>
      </c>
      <c r="AQ344" s="4">
        <f ca="1">IFERROR(__xludf.DUMMYFUNCTION("""COMPUTED_VALUE"""),4)</f>
        <v>4</v>
      </c>
      <c r="AR344" s="4">
        <f ca="1">IFERROR(__xludf.DUMMYFUNCTION("""COMPUTED_VALUE"""),5)</f>
        <v>5</v>
      </c>
      <c r="AS344" s="4">
        <f ca="1">IFERROR(__xludf.DUMMYFUNCTION("""COMPUTED_VALUE"""),5)</f>
        <v>5</v>
      </c>
      <c r="AT344" s="4">
        <f ca="1">IFERROR(__xludf.DUMMYFUNCTION("""COMPUTED_VALUE"""),3)</f>
        <v>3</v>
      </c>
      <c r="AU344" s="4">
        <f ca="1">IFERROR(__xludf.DUMMYFUNCTION("""COMPUTED_VALUE"""),4)</f>
        <v>4</v>
      </c>
      <c r="AV344" s="4">
        <f ca="1">IFERROR(__xludf.DUMMYFUNCTION("""COMPUTED_VALUE"""),4)</f>
        <v>4</v>
      </c>
      <c r="AW344" s="4">
        <f ca="1">IFERROR(__xludf.DUMMYFUNCTION("""COMPUTED_VALUE"""),5)</f>
        <v>5</v>
      </c>
      <c r="AX344" s="4">
        <f ca="1">IFERROR(__xludf.DUMMYFUNCTION("""COMPUTED_VALUE"""),5)</f>
        <v>5</v>
      </c>
      <c r="AY344" s="4">
        <f ca="1">IFERROR(__xludf.DUMMYFUNCTION("""COMPUTED_VALUE"""),5)</f>
        <v>5</v>
      </c>
      <c r="AZ344" s="4">
        <f ca="1">IFERROR(__xludf.DUMMYFUNCTION("""COMPUTED_VALUE"""),5)</f>
        <v>5</v>
      </c>
      <c r="BA344" s="4">
        <f ca="1">IFERROR(__xludf.DUMMYFUNCTION("""COMPUTED_VALUE"""),5)</f>
        <v>5</v>
      </c>
      <c r="BB344" s="4">
        <f ca="1">IFERROR(__xludf.DUMMYFUNCTION("""COMPUTED_VALUE"""),3)</f>
        <v>3</v>
      </c>
      <c r="BC344" s="4">
        <f ca="1">IFERROR(__xludf.DUMMYFUNCTION("""COMPUTED_VALUE"""),3)</f>
        <v>3</v>
      </c>
      <c r="BD344" s="4">
        <f ca="1">IFERROR(__xludf.DUMMYFUNCTION("""COMPUTED_VALUE"""),2)</f>
        <v>2</v>
      </c>
      <c r="BE344" s="4">
        <f ca="1">IFERROR(__xludf.DUMMYFUNCTION("""COMPUTED_VALUE"""),2)</f>
        <v>2</v>
      </c>
      <c r="BF344" s="4">
        <f ca="1">IFERROR(__xludf.DUMMYFUNCTION("""COMPUTED_VALUE"""),1)</f>
        <v>1</v>
      </c>
      <c r="BG344" s="4">
        <f ca="1">IFERROR(__xludf.DUMMYFUNCTION("""COMPUTED_VALUE"""),1)</f>
        <v>1</v>
      </c>
      <c r="BH344" s="4">
        <f ca="1">IFERROR(__xludf.DUMMYFUNCTION("""COMPUTED_VALUE"""),4)</f>
        <v>4</v>
      </c>
      <c r="BI344" s="4">
        <f ca="1">IFERROR(__xludf.DUMMYFUNCTION("""COMPUTED_VALUE"""),5)</f>
        <v>5</v>
      </c>
      <c r="BJ344" s="4">
        <f ca="1">IFERROR(__xludf.DUMMYFUNCTION("""COMPUTED_VALUE"""),4)</f>
        <v>4</v>
      </c>
      <c r="BK344" s="4">
        <f ca="1">IFERROR(__xludf.DUMMYFUNCTION("""COMPUTED_VALUE"""),5)</f>
        <v>5</v>
      </c>
      <c r="BL344" s="4">
        <f ca="1">IFERROR(__xludf.DUMMYFUNCTION("""COMPUTED_VALUE"""),4)</f>
        <v>4</v>
      </c>
      <c r="BM344" s="4">
        <f ca="1">IFERROR(__xludf.DUMMYFUNCTION("""COMPUTED_VALUE"""),3)</f>
        <v>3</v>
      </c>
      <c r="BN344" s="4">
        <f ca="1">IFERROR(__xludf.DUMMYFUNCTION("""COMPUTED_VALUE"""),5)</f>
        <v>5</v>
      </c>
      <c r="BO344" s="4">
        <f ca="1">IFERROR(__xludf.DUMMYFUNCTION("""COMPUTED_VALUE"""),5)</f>
        <v>5</v>
      </c>
      <c r="BP344" s="4">
        <f ca="1">IFERROR(__xludf.DUMMYFUNCTION("""COMPUTED_VALUE"""),4)</f>
        <v>4</v>
      </c>
    </row>
    <row r="345" spans="1:68" ht="13.2" x14ac:dyDescent="0.25">
      <c r="A345" s="4" t="str">
        <f ca="1">IFERROR(__xludf.DUMMYFUNCTION("""COMPUTED_VALUE"""),"2_ABaOnudJbERJtPcppNeETO8GP15KbdNY4p6v5uqMk1ySBq312cHJzmmHaHuh4QKbjQ")</f>
        <v>2_ABaOnudJbERJtPcppNeETO8GP15KbdNY4p6v5uqMk1ySBq312cHJzmmHaHuh4QKbjQ</v>
      </c>
      <c r="B345" s="5">
        <f ca="1">IFERROR(__xludf.DUMMYFUNCTION("""COMPUTED_VALUE"""),45986.6437143865)</f>
        <v>45986.643714386497</v>
      </c>
      <c r="C345" s="4" t="str">
        <f ca="1">IFERROR(__xludf.DUMMYFUNCTION("""COMPUTED_VALUE"""),"Nguyễn Anh Duy")</f>
        <v>Nguyễn Anh Duy</v>
      </c>
      <c r="D345" s="4" t="str">
        <f ca="1">IFERROR(__xludf.DUMMYFUNCTION("""COMPUTED_VALUE"""),"Nam")</f>
        <v>Nam</v>
      </c>
      <c r="E345" s="4" t="str">
        <f ca="1">IFERROR(__xludf.DUMMYFUNCTION("""COMPUTED_VALUE"""),"Công ty Kiểm toán NVA")</f>
        <v>Công ty Kiểm toán NVA</v>
      </c>
      <c r="F345" s="4" t="str">
        <f ca="1">IFERROR(__xludf.DUMMYFUNCTION("""COMPUTED_VALUE"""),"Đại học")</f>
        <v>Đại học</v>
      </c>
      <c r="G345" s="4" t="str">
        <f ca="1">IFERROR(__xludf.DUMMYFUNCTION("""COMPUTED_VALUE"""),"Từ 3 đến 5 năm")</f>
        <v>Từ 3 đến 5 năm</v>
      </c>
      <c r="H345" s="4" t="str">
        <f ca="1">IFERROR(__xludf.DUMMYFUNCTION("""COMPUTED_VALUE"""),"Trợ lý kiểm toán")</f>
        <v>Trợ lý kiểm toán</v>
      </c>
      <c r="I345" s="4">
        <f ca="1">IFERROR(__xludf.DUMMYFUNCTION("""COMPUTED_VALUE"""),5)</f>
        <v>5</v>
      </c>
      <c r="J345" s="4">
        <f ca="1">IFERROR(__xludf.DUMMYFUNCTION("""COMPUTED_VALUE"""),5)</f>
        <v>5</v>
      </c>
      <c r="K345" s="4">
        <f ca="1">IFERROR(__xludf.DUMMYFUNCTION("""COMPUTED_VALUE"""),4)</f>
        <v>4</v>
      </c>
      <c r="L345" s="4">
        <f ca="1">IFERROR(__xludf.DUMMYFUNCTION("""COMPUTED_VALUE"""),5)</f>
        <v>5</v>
      </c>
      <c r="M345" s="4">
        <f ca="1">IFERROR(__xludf.DUMMYFUNCTION("""COMPUTED_VALUE"""),5)</f>
        <v>5</v>
      </c>
      <c r="N345" s="4">
        <f ca="1">IFERROR(__xludf.DUMMYFUNCTION("""COMPUTED_VALUE"""),4)</f>
        <v>4</v>
      </c>
      <c r="O345" s="4">
        <f ca="1">IFERROR(__xludf.DUMMYFUNCTION("""COMPUTED_VALUE"""),5)</f>
        <v>5</v>
      </c>
      <c r="P345" s="4">
        <f ca="1">IFERROR(__xludf.DUMMYFUNCTION("""COMPUTED_VALUE"""),5)</f>
        <v>5</v>
      </c>
      <c r="Q345" s="4">
        <f ca="1">IFERROR(__xludf.DUMMYFUNCTION("""COMPUTED_VALUE"""),5)</f>
        <v>5</v>
      </c>
      <c r="R345" s="4">
        <f ca="1">IFERROR(__xludf.DUMMYFUNCTION("""COMPUTED_VALUE"""),4)</f>
        <v>4</v>
      </c>
      <c r="S345" s="4">
        <f ca="1">IFERROR(__xludf.DUMMYFUNCTION("""COMPUTED_VALUE"""),5)</f>
        <v>5</v>
      </c>
      <c r="T345" s="4">
        <f ca="1">IFERROR(__xludf.DUMMYFUNCTION("""COMPUTED_VALUE"""),5)</f>
        <v>5</v>
      </c>
      <c r="U345" s="4">
        <f ca="1">IFERROR(__xludf.DUMMYFUNCTION("""COMPUTED_VALUE"""),5)</f>
        <v>5</v>
      </c>
      <c r="V345" s="4">
        <f ca="1">IFERROR(__xludf.DUMMYFUNCTION("""COMPUTED_VALUE"""),5)</f>
        <v>5</v>
      </c>
      <c r="W345" s="4">
        <f ca="1">IFERROR(__xludf.DUMMYFUNCTION("""COMPUTED_VALUE"""),4)</f>
        <v>4</v>
      </c>
      <c r="X345" s="4">
        <f ca="1">IFERROR(__xludf.DUMMYFUNCTION("""COMPUTED_VALUE"""),5)</f>
        <v>5</v>
      </c>
      <c r="Y345" s="4">
        <f ca="1">IFERROR(__xludf.DUMMYFUNCTION("""COMPUTED_VALUE"""),4)</f>
        <v>4</v>
      </c>
      <c r="Z345" s="4">
        <f ca="1">IFERROR(__xludf.DUMMYFUNCTION("""COMPUTED_VALUE"""),4)</f>
        <v>4</v>
      </c>
      <c r="AA345" s="4">
        <f ca="1">IFERROR(__xludf.DUMMYFUNCTION("""COMPUTED_VALUE"""),5)</f>
        <v>5</v>
      </c>
      <c r="AB345" s="4">
        <f ca="1">IFERROR(__xludf.DUMMYFUNCTION("""COMPUTED_VALUE"""),5)</f>
        <v>5</v>
      </c>
      <c r="AC345" s="4">
        <f ca="1">IFERROR(__xludf.DUMMYFUNCTION("""COMPUTED_VALUE"""),3)</f>
        <v>3</v>
      </c>
      <c r="AD345" s="4">
        <f ca="1">IFERROR(__xludf.DUMMYFUNCTION("""COMPUTED_VALUE"""),2)</f>
        <v>2</v>
      </c>
      <c r="AE345" s="4">
        <f ca="1">IFERROR(__xludf.DUMMYFUNCTION("""COMPUTED_VALUE"""),5)</f>
        <v>5</v>
      </c>
      <c r="AF345" s="4">
        <f ca="1">IFERROR(__xludf.DUMMYFUNCTION("""COMPUTED_VALUE"""),5)</f>
        <v>5</v>
      </c>
      <c r="AG345" s="4">
        <f ca="1">IFERROR(__xludf.DUMMYFUNCTION("""COMPUTED_VALUE"""),5)</f>
        <v>5</v>
      </c>
      <c r="AH345" s="4">
        <f ca="1">IFERROR(__xludf.DUMMYFUNCTION("""COMPUTED_VALUE"""),5)</f>
        <v>5</v>
      </c>
      <c r="AI345" s="4">
        <f ca="1">IFERROR(__xludf.DUMMYFUNCTION("""COMPUTED_VALUE"""),4)</f>
        <v>4</v>
      </c>
      <c r="AJ345" s="4">
        <f ca="1">IFERROR(__xludf.DUMMYFUNCTION("""COMPUTED_VALUE"""),4)</f>
        <v>4</v>
      </c>
      <c r="AK345" s="4">
        <f ca="1">IFERROR(__xludf.DUMMYFUNCTION("""COMPUTED_VALUE"""),5)</f>
        <v>5</v>
      </c>
      <c r="AL345" s="4">
        <f ca="1">IFERROR(__xludf.DUMMYFUNCTION("""COMPUTED_VALUE"""),5)</f>
        <v>5</v>
      </c>
      <c r="AM345" s="4">
        <f ca="1">IFERROR(__xludf.DUMMYFUNCTION("""COMPUTED_VALUE"""),5)</f>
        <v>5</v>
      </c>
      <c r="AN345" s="4">
        <f ca="1">IFERROR(__xludf.DUMMYFUNCTION("""COMPUTED_VALUE"""),5)</f>
        <v>5</v>
      </c>
      <c r="AO345" s="4">
        <f ca="1">IFERROR(__xludf.DUMMYFUNCTION("""COMPUTED_VALUE"""),5)</f>
        <v>5</v>
      </c>
      <c r="AP345" s="4">
        <f ca="1">IFERROR(__xludf.DUMMYFUNCTION("""COMPUTED_VALUE"""),5)</f>
        <v>5</v>
      </c>
      <c r="AQ345" s="4">
        <f ca="1">IFERROR(__xludf.DUMMYFUNCTION("""COMPUTED_VALUE"""),3)</f>
        <v>3</v>
      </c>
      <c r="AR345" s="4">
        <f ca="1">IFERROR(__xludf.DUMMYFUNCTION("""COMPUTED_VALUE"""),5)</f>
        <v>5</v>
      </c>
      <c r="AS345" s="4">
        <f ca="1">IFERROR(__xludf.DUMMYFUNCTION("""COMPUTED_VALUE"""),5)</f>
        <v>5</v>
      </c>
      <c r="AT345" s="4">
        <f ca="1">IFERROR(__xludf.DUMMYFUNCTION("""COMPUTED_VALUE"""),3)</f>
        <v>3</v>
      </c>
      <c r="AU345" s="4">
        <f ca="1">IFERROR(__xludf.DUMMYFUNCTION("""COMPUTED_VALUE"""),5)</f>
        <v>5</v>
      </c>
      <c r="AV345" s="4">
        <f ca="1">IFERROR(__xludf.DUMMYFUNCTION("""COMPUTED_VALUE"""),5)</f>
        <v>5</v>
      </c>
      <c r="AW345" s="4">
        <f ca="1">IFERROR(__xludf.DUMMYFUNCTION("""COMPUTED_VALUE"""),5)</f>
        <v>5</v>
      </c>
      <c r="AX345" s="4">
        <f ca="1">IFERROR(__xludf.DUMMYFUNCTION("""COMPUTED_VALUE"""),5)</f>
        <v>5</v>
      </c>
      <c r="AY345" s="4">
        <f ca="1">IFERROR(__xludf.DUMMYFUNCTION("""COMPUTED_VALUE"""),5)</f>
        <v>5</v>
      </c>
      <c r="AZ345" s="4">
        <f ca="1">IFERROR(__xludf.DUMMYFUNCTION("""COMPUTED_VALUE"""),5)</f>
        <v>5</v>
      </c>
      <c r="BA345" s="4">
        <f ca="1">IFERROR(__xludf.DUMMYFUNCTION("""COMPUTED_VALUE"""),5)</f>
        <v>5</v>
      </c>
      <c r="BB345" s="4">
        <f ca="1">IFERROR(__xludf.DUMMYFUNCTION("""COMPUTED_VALUE"""),5)</f>
        <v>5</v>
      </c>
      <c r="BC345" s="4">
        <f ca="1">IFERROR(__xludf.DUMMYFUNCTION("""COMPUTED_VALUE"""),4)</f>
        <v>4</v>
      </c>
      <c r="BD345" s="4">
        <f ca="1">IFERROR(__xludf.DUMMYFUNCTION("""COMPUTED_VALUE"""),4)</f>
        <v>4</v>
      </c>
      <c r="BE345" s="4">
        <f ca="1">IFERROR(__xludf.DUMMYFUNCTION("""COMPUTED_VALUE"""),5)</f>
        <v>5</v>
      </c>
      <c r="BF345" s="4">
        <f ca="1">IFERROR(__xludf.DUMMYFUNCTION("""COMPUTED_VALUE"""),4)</f>
        <v>4</v>
      </c>
      <c r="BG345" s="4">
        <f ca="1">IFERROR(__xludf.DUMMYFUNCTION("""COMPUTED_VALUE"""),3)</f>
        <v>3</v>
      </c>
      <c r="BH345" s="4">
        <f ca="1">IFERROR(__xludf.DUMMYFUNCTION("""COMPUTED_VALUE"""),5)</f>
        <v>5</v>
      </c>
      <c r="BI345" s="4">
        <f ca="1">IFERROR(__xludf.DUMMYFUNCTION("""COMPUTED_VALUE"""),5)</f>
        <v>5</v>
      </c>
      <c r="BJ345" s="4">
        <f ca="1">IFERROR(__xludf.DUMMYFUNCTION("""COMPUTED_VALUE"""),5)</f>
        <v>5</v>
      </c>
      <c r="BK345" s="4">
        <f ca="1">IFERROR(__xludf.DUMMYFUNCTION("""COMPUTED_VALUE"""),5)</f>
        <v>5</v>
      </c>
      <c r="BL345" s="4">
        <f ca="1">IFERROR(__xludf.DUMMYFUNCTION("""COMPUTED_VALUE"""),5)</f>
        <v>5</v>
      </c>
      <c r="BM345" s="4">
        <f ca="1">IFERROR(__xludf.DUMMYFUNCTION("""COMPUTED_VALUE"""),5)</f>
        <v>5</v>
      </c>
      <c r="BN345" s="4">
        <f ca="1">IFERROR(__xludf.DUMMYFUNCTION("""COMPUTED_VALUE"""),5)</f>
        <v>5</v>
      </c>
      <c r="BO345" s="4">
        <f ca="1">IFERROR(__xludf.DUMMYFUNCTION("""COMPUTED_VALUE"""),5)</f>
        <v>5</v>
      </c>
      <c r="BP345" s="4">
        <f ca="1">IFERROR(__xludf.DUMMYFUNCTION("""COMPUTED_VALUE"""),3)</f>
        <v>3</v>
      </c>
    </row>
    <row r="346" spans="1:68" ht="13.2" x14ac:dyDescent="0.25">
      <c r="A346" s="4" t="str">
        <f ca="1">IFERROR(__xludf.DUMMYFUNCTION("""COMPUTED_VALUE"""),"2_ABaOnucCT-Y3K3NzFiccQYfQ5PhBCw2ebva2tUuq7304nis96ZI9_RXYmJvJFN7SCA")</f>
        <v>2_ABaOnucCT-Y3K3NzFiccQYfQ5PhBCw2ebva2tUuq7304nis96ZI9_RXYmJvJFN7SCA</v>
      </c>
      <c r="B346" s="5">
        <f ca="1">IFERROR(__xludf.DUMMYFUNCTION("""COMPUTED_VALUE"""),45986.6466373726)</f>
        <v>45986.6466373726</v>
      </c>
      <c r="C346" s="4" t="str">
        <f ca="1">IFERROR(__xludf.DUMMYFUNCTION("""COMPUTED_VALUE"""),"Dương Văn Hưng")</f>
        <v>Dương Văn Hưng</v>
      </c>
      <c r="D346" s="4" t="str">
        <f ca="1">IFERROR(__xludf.DUMMYFUNCTION("""COMPUTED_VALUE"""),"Nam")</f>
        <v>Nam</v>
      </c>
      <c r="E346" s="4" t="str">
        <f ca="1">IFERROR(__xludf.DUMMYFUNCTION("""COMPUTED_VALUE"""),"Công ty TNHH Kiểm toán NVA")</f>
        <v>Công ty TNHH Kiểm toán NVA</v>
      </c>
      <c r="F346" s="4" t="str">
        <f ca="1">IFERROR(__xludf.DUMMYFUNCTION("""COMPUTED_VALUE"""),"Đại học")</f>
        <v>Đại học</v>
      </c>
      <c r="G346" s="4" t="str">
        <f ca="1">IFERROR(__xludf.DUMMYFUNCTION("""COMPUTED_VALUE"""),"Trên 15 đến 20 năm")</f>
        <v>Trên 15 đến 20 năm</v>
      </c>
      <c r="H346" s="4" t="str">
        <f ca="1">IFERROR(__xludf.DUMMYFUNCTION("""COMPUTED_VALUE"""),"Trợ lý kiểm toán")</f>
        <v>Trợ lý kiểm toán</v>
      </c>
      <c r="I346" s="4">
        <f ca="1">IFERROR(__xludf.DUMMYFUNCTION("""COMPUTED_VALUE"""),5)</f>
        <v>5</v>
      </c>
      <c r="J346" s="4">
        <f ca="1">IFERROR(__xludf.DUMMYFUNCTION("""COMPUTED_VALUE"""),4)</f>
        <v>4</v>
      </c>
      <c r="K346" s="4">
        <f ca="1">IFERROR(__xludf.DUMMYFUNCTION("""COMPUTED_VALUE"""),3)</f>
        <v>3</v>
      </c>
      <c r="L346" s="4">
        <f ca="1">IFERROR(__xludf.DUMMYFUNCTION("""COMPUTED_VALUE"""),4)</f>
        <v>4</v>
      </c>
      <c r="M346" s="4">
        <f ca="1">IFERROR(__xludf.DUMMYFUNCTION("""COMPUTED_VALUE"""),4)</f>
        <v>4</v>
      </c>
      <c r="N346" s="4">
        <f ca="1">IFERROR(__xludf.DUMMYFUNCTION("""COMPUTED_VALUE"""),4)</f>
        <v>4</v>
      </c>
      <c r="O346" s="4">
        <f ca="1">IFERROR(__xludf.DUMMYFUNCTION("""COMPUTED_VALUE"""),4)</f>
        <v>4</v>
      </c>
      <c r="P346" s="4">
        <f ca="1">IFERROR(__xludf.DUMMYFUNCTION("""COMPUTED_VALUE"""),4)</f>
        <v>4</v>
      </c>
      <c r="Q346" s="4">
        <f ca="1">IFERROR(__xludf.DUMMYFUNCTION("""COMPUTED_VALUE"""),5)</f>
        <v>5</v>
      </c>
      <c r="R346" s="4">
        <f ca="1">IFERROR(__xludf.DUMMYFUNCTION("""COMPUTED_VALUE"""),5)</f>
        <v>5</v>
      </c>
      <c r="S346" s="4">
        <f ca="1">IFERROR(__xludf.DUMMYFUNCTION("""COMPUTED_VALUE"""),5)</f>
        <v>5</v>
      </c>
      <c r="T346" s="4">
        <f ca="1">IFERROR(__xludf.DUMMYFUNCTION("""COMPUTED_VALUE"""),5)</f>
        <v>5</v>
      </c>
      <c r="U346" s="4">
        <f ca="1">IFERROR(__xludf.DUMMYFUNCTION("""COMPUTED_VALUE"""),5)</f>
        <v>5</v>
      </c>
      <c r="V346" s="4">
        <f ca="1">IFERROR(__xludf.DUMMYFUNCTION("""COMPUTED_VALUE"""),5)</f>
        <v>5</v>
      </c>
      <c r="W346" s="4">
        <f ca="1">IFERROR(__xludf.DUMMYFUNCTION("""COMPUTED_VALUE"""),4)</f>
        <v>4</v>
      </c>
      <c r="X346" s="4">
        <f ca="1">IFERROR(__xludf.DUMMYFUNCTION("""COMPUTED_VALUE"""),4)</f>
        <v>4</v>
      </c>
      <c r="Y346" s="4">
        <f ca="1">IFERROR(__xludf.DUMMYFUNCTION("""COMPUTED_VALUE"""),4)</f>
        <v>4</v>
      </c>
      <c r="Z346" s="4">
        <f ca="1">IFERROR(__xludf.DUMMYFUNCTION("""COMPUTED_VALUE"""),4)</f>
        <v>4</v>
      </c>
      <c r="AA346" s="4">
        <f ca="1">IFERROR(__xludf.DUMMYFUNCTION("""COMPUTED_VALUE"""),4)</f>
        <v>4</v>
      </c>
      <c r="AB346" s="4">
        <f ca="1">IFERROR(__xludf.DUMMYFUNCTION("""COMPUTED_VALUE"""),4)</f>
        <v>4</v>
      </c>
      <c r="AC346" s="4">
        <f ca="1">IFERROR(__xludf.DUMMYFUNCTION("""COMPUTED_VALUE"""),4)</f>
        <v>4</v>
      </c>
      <c r="AD346" s="4">
        <f ca="1">IFERROR(__xludf.DUMMYFUNCTION("""COMPUTED_VALUE"""),3)</f>
        <v>3</v>
      </c>
      <c r="AE346" s="4">
        <f ca="1">IFERROR(__xludf.DUMMYFUNCTION("""COMPUTED_VALUE"""),5)</f>
        <v>5</v>
      </c>
      <c r="AF346" s="4">
        <f ca="1">IFERROR(__xludf.DUMMYFUNCTION("""COMPUTED_VALUE"""),5)</f>
        <v>5</v>
      </c>
      <c r="AG346" s="4">
        <f ca="1">IFERROR(__xludf.DUMMYFUNCTION("""COMPUTED_VALUE"""),4)</f>
        <v>4</v>
      </c>
      <c r="AH346" s="4">
        <f ca="1">IFERROR(__xludf.DUMMYFUNCTION("""COMPUTED_VALUE"""),4)</f>
        <v>4</v>
      </c>
      <c r="AI346" s="4">
        <f ca="1">IFERROR(__xludf.DUMMYFUNCTION("""COMPUTED_VALUE"""),4)</f>
        <v>4</v>
      </c>
      <c r="AJ346" s="4">
        <f ca="1">IFERROR(__xludf.DUMMYFUNCTION("""COMPUTED_VALUE"""),4)</f>
        <v>4</v>
      </c>
      <c r="AK346" s="4">
        <f ca="1">IFERROR(__xludf.DUMMYFUNCTION("""COMPUTED_VALUE"""),5)</f>
        <v>5</v>
      </c>
      <c r="AL346" s="4">
        <f ca="1">IFERROR(__xludf.DUMMYFUNCTION("""COMPUTED_VALUE"""),4)</f>
        <v>4</v>
      </c>
      <c r="AM346" s="4">
        <f ca="1">IFERROR(__xludf.DUMMYFUNCTION("""COMPUTED_VALUE"""),4)</f>
        <v>4</v>
      </c>
      <c r="AN346" s="4">
        <f ca="1">IFERROR(__xludf.DUMMYFUNCTION("""COMPUTED_VALUE"""),4)</f>
        <v>4</v>
      </c>
      <c r="AO346" s="4">
        <f ca="1">IFERROR(__xludf.DUMMYFUNCTION("""COMPUTED_VALUE"""),3)</f>
        <v>3</v>
      </c>
      <c r="AP346" s="4">
        <f ca="1">IFERROR(__xludf.DUMMYFUNCTION("""COMPUTED_VALUE"""),3)</f>
        <v>3</v>
      </c>
      <c r="AQ346" s="4">
        <f ca="1">IFERROR(__xludf.DUMMYFUNCTION("""COMPUTED_VALUE"""),3)</f>
        <v>3</v>
      </c>
      <c r="AR346" s="4">
        <f ca="1">IFERROR(__xludf.DUMMYFUNCTION("""COMPUTED_VALUE"""),3)</f>
        <v>3</v>
      </c>
      <c r="AS346" s="4">
        <f ca="1">IFERROR(__xludf.DUMMYFUNCTION("""COMPUTED_VALUE"""),3)</f>
        <v>3</v>
      </c>
      <c r="AT346" s="4">
        <f ca="1">IFERROR(__xludf.DUMMYFUNCTION("""COMPUTED_VALUE"""),3)</f>
        <v>3</v>
      </c>
      <c r="AU346" s="4">
        <f ca="1">IFERROR(__xludf.DUMMYFUNCTION("""COMPUTED_VALUE"""),4)</f>
        <v>4</v>
      </c>
      <c r="AV346" s="4">
        <f ca="1">IFERROR(__xludf.DUMMYFUNCTION("""COMPUTED_VALUE"""),4)</f>
        <v>4</v>
      </c>
      <c r="AW346" s="4">
        <f ca="1">IFERROR(__xludf.DUMMYFUNCTION("""COMPUTED_VALUE"""),4)</f>
        <v>4</v>
      </c>
      <c r="AX346" s="4">
        <f ca="1">IFERROR(__xludf.DUMMYFUNCTION("""COMPUTED_VALUE"""),5)</f>
        <v>5</v>
      </c>
      <c r="AY346" s="4">
        <f ca="1">IFERROR(__xludf.DUMMYFUNCTION("""COMPUTED_VALUE"""),3)</f>
        <v>3</v>
      </c>
      <c r="AZ346" s="4">
        <f ca="1">IFERROR(__xludf.DUMMYFUNCTION("""COMPUTED_VALUE"""),4)</f>
        <v>4</v>
      </c>
      <c r="BA346" s="4">
        <f ca="1">IFERROR(__xludf.DUMMYFUNCTION("""COMPUTED_VALUE"""),5)</f>
        <v>5</v>
      </c>
      <c r="BB346" s="4">
        <f ca="1">IFERROR(__xludf.DUMMYFUNCTION("""COMPUTED_VALUE"""),3)</f>
        <v>3</v>
      </c>
      <c r="BC346" s="4">
        <f ca="1">IFERROR(__xludf.DUMMYFUNCTION("""COMPUTED_VALUE"""),4)</f>
        <v>4</v>
      </c>
      <c r="BD346" s="4">
        <f ca="1">IFERROR(__xludf.DUMMYFUNCTION("""COMPUTED_VALUE"""),4)</f>
        <v>4</v>
      </c>
      <c r="BE346" s="4">
        <f ca="1">IFERROR(__xludf.DUMMYFUNCTION("""COMPUTED_VALUE"""),3)</f>
        <v>3</v>
      </c>
      <c r="BF346" s="4">
        <f ca="1">IFERROR(__xludf.DUMMYFUNCTION("""COMPUTED_VALUE"""),3)</f>
        <v>3</v>
      </c>
      <c r="BG346" s="4">
        <f ca="1">IFERROR(__xludf.DUMMYFUNCTION("""COMPUTED_VALUE"""),3)</f>
        <v>3</v>
      </c>
      <c r="BH346" s="4">
        <f ca="1">IFERROR(__xludf.DUMMYFUNCTION("""COMPUTED_VALUE"""),4)</f>
        <v>4</v>
      </c>
      <c r="BI346" s="4">
        <f ca="1">IFERROR(__xludf.DUMMYFUNCTION("""COMPUTED_VALUE"""),4)</f>
        <v>4</v>
      </c>
      <c r="BJ346" s="4">
        <f ca="1">IFERROR(__xludf.DUMMYFUNCTION("""COMPUTED_VALUE"""),4)</f>
        <v>4</v>
      </c>
      <c r="BK346" s="4">
        <f ca="1">IFERROR(__xludf.DUMMYFUNCTION("""COMPUTED_VALUE"""),4)</f>
        <v>4</v>
      </c>
      <c r="BL346" s="4">
        <f ca="1">IFERROR(__xludf.DUMMYFUNCTION("""COMPUTED_VALUE"""),4)</f>
        <v>4</v>
      </c>
      <c r="BM346" s="4">
        <f ca="1">IFERROR(__xludf.DUMMYFUNCTION("""COMPUTED_VALUE"""),4)</f>
        <v>4</v>
      </c>
      <c r="BN346" s="4">
        <f ca="1">IFERROR(__xludf.DUMMYFUNCTION("""COMPUTED_VALUE"""),4)</f>
        <v>4</v>
      </c>
      <c r="BO346" s="4">
        <f ca="1">IFERROR(__xludf.DUMMYFUNCTION("""COMPUTED_VALUE"""),5)</f>
        <v>5</v>
      </c>
      <c r="BP346" s="4">
        <f ca="1">IFERROR(__xludf.DUMMYFUNCTION("""COMPUTED_VALUE"""),3)</f>
        <v>3</v>
      </c>
    </row>
    <row r="347" spans="1:68" ht="13.2" x14ac:dyDescent="0.25">
      <c r="A347" s="4" t="str">
        <f ca="1">IFERROR(__xludf.DUMMYFUNCTION("""COMPUTED_VALUE"""),"2_ABaOnufsLYnGyDc-avkLmhuMw-pB7ErK6Obi3-fhUef98HtACWqwpRzTXtnam_cgtQ")</f>
        <v>2_ABaOnufsLYnGyDc-avkLmhuMw-pB7ErK6Obi3-fhUef98HtACWqwpRzTXtnam_cgtQ</v>
      </c>
      <c r="B347" s="5">
        <f ca="1">IFERROR(__xludf.DUMMYFUNCTION("""COMPUTED_VALUE"""),45986.6572776041)</f>
        <v>45986.657277604099</v>
      </c>
      <c r="C347" s="4" t="str">
        <f ca="1">IFERROR(__xludf.DUMMYFUNCTION("""COMPUTED_VALUE"""),"Huỳnh Quế Trâm")</f>
        <v>Huỳnh Quế Trâm</v>
      </c>
      <c r="D347" s="4" t="str">
        <f ca="1">IFERROR(__xludf.DUMMYFUNCTION("""COMPUTED_VALUE"""),"Nữ")</f>
        <v>Nữ</v>
      </c>
      <c r="E347" s="4" t="str">
        <f ca="1">IFERROR(__xludf.DUMMYFUNCTION("""COMPUTED_VALUE"""),"Công ty TNHH Kiểm toán AFC Việt Nam - Chi nhánh Cần Thơ")</f>
        <v>Công ty TNHH Kiểm toán AFC Việt Nam - Chi nhánh Cần Thơ</v>
      </c>
      <c r="F347" s="4" t="str">
        <f ca="1">IFERROR(__xludf.DUMMYFUNCTION("""COMPUTED_VALUE"""),"Đại học")</f>
        <v>Đại học</v>
      </c>
      <c r="G347" s="4" t="str">
        <f ca="1">IFERROR(__xludf.DUMMYFUNCTION("""COMPUTED_VALUE"""),"Từ 3 đến 5 năm")</f>
        <v>Từ 3 đến 5 năm</v>
      </c>
      <c r="H347" s="4" t="str">
        <f ca="1">IFERROR(__xludf.DUMMYFUNCTION("""COMPUTED_VALUE"""),"Trợ lý kiểm toán")</f>
        <v>Trợ lý kiểm toán</v>
      </c>
      <c r="I347" s="4">
        <f ca="1">IFERROR(__xludf.DUMMYFUNCTION("""COMPUTED_VALUE"""),5)</f>
        <v>5</v>
      </c>
      <c r="J347" s="4">
        <f ca="1">IFERROR(__xludf.DUMMYFUNCTION("""COMPUTED_VALUE"""),5)</f>
        <v>5</v>
      </c>
      <c r="K347" s="4">
        <f ca="1">IFERROR(__xludf.DUMMYFUNCTION("""COMPUTED_VALUE"""),5)</f>
        <v>5</v>
      </c>
      <c r="L347" s="4">
        <f ca="1">IFERROR(__xludf.DUMMYFUNCTION("""COMPUTED_VALUE"""),4)</f>
        <v>4</v>
      </c>
      <c r="M347" s="4">
        <f ca="1">IFERROR(__xludf.DUMMYFUNCTION("""COMPUTED_VALUE"""),5)</f>
        <v>5</v>
      </c>
      <c r="N347" s="4">
        <f ca="1">IFERROR(__xludf.DUMMYFUNCTION("""COMPUTED_VALUE"""),4)</f>
        <v>4</v>
      </c>
      <c r="O347" s="4">
        <f ca="1">IFERROR(__xludf.DUMMYFUNCTION("""COMPUTED_VALUE"""),5)</f>
        <v>5</v>
      </c>
      <c r="P347" s="4">
        <f ca="1">IFERROR(__xludf.DUMMYFUNCTION("""COMPUTED_VALUE"""),4)</f>
        <v>4</v>
      </c>
      <c r="Q347" s="4">
        <f ca="1">IFERROR(__xludf.DUMMYFUNCTION("""COMPUTED_VALUE"""),5)</f>
        <v>5</v>
      </c>
      <c r="R347" s="4">
        <f ca="1">IFERROR(__xludf.DUMMYFUNCTION("""COMPUTED_VALUE"""),4)</f>
        <v>4</v>
      </c>
      <c r="S347" s="4">
        <f ca="1">IFERROR(__xludf.DUMMYFUNCTION("""COMPUTED_VALUE"""),5)</f>
        <v>5</v>
      </c>
      <c r="T347" s="4">
        <f ca="1">IFERROR(__xludf.DUMMYFUNCTION("""COMPUTED_VALUE"""),4)</f>
        <v>4</v>
      </c>
      <c r="U347" s="4">
        <f ca="1">IFERROR(__xludf.DUMMYFUNCTION("""COMPUTED_VALUE"""),5)</f>
        <v>5</v>
      </c>
      <c r="V347" s="4">
        <f ca="1">IFERROR(__xludf.DUMMYFUNCTION("""COMPUTED_VALUE"""),4)</f>
        <v>4</v>
      </c>
      <c r="W347" s="4">
        <f ca="1">IFERROR(__xludf.DUMMYFUNCTION("""COMPUTED_VALUE"""),4)</f>
        <v>4</v>
      </c>
      <c r="X347" s="4">
        <f ca="1">IFERROR(__xludf.DUMMYFUNCTION("""COMPUTED_VALUE"""),4)</f>
        <v>4</v>
      </c>
      <c r="Y347" s="4">
        <f ca="1">IFERROR(__xludf.DUMMYFUNCTION("""COMPUTED_VALUE"""),4)</f>
        <v>4</v>
      </c>
      <c r="Z347" s="4">
        <f ca="1">IFERROR(__xludf.DUMMYFUNCTION("""COMPUTED_VALUE"""),4)</f>
        <v>4</v>
      </c>
      <c r="AA347" s="4">
        <f ca="1">IFERROR(__xludf.DUMMYFUNCTION("""COMPUTED_VALUE"""),5)</f>
        <v>5</v>
      </c>
      <c r="AB347" s="4">
        <f ca="1">IFERROR(__xludf.DUMMYFUNCTION("""COMPUTED_VALUE"""),4)</f>
        <v>4</v>
      </c>
      <c r="AC347" s="4">
        <f ca="1">IFERROR(__xludf.DUMMYFUNCTION("""COMPUTED_VALUE"""),5)</f>
        <v>5</v>
      </c>
      <c r="AD347" s="4">
        <f ca="1">IFERROR(__xludf.DUMMYFUNCTION("""COMPUTED_VALUE"""),4)</f>
        <v>4</v>
      </c>
      <c r="AE347" s="4">
        <f ca="1">IFERROR(__xludf.DUMMYFUNCTION("""COMPUTED_VALUE"""),5)</f>
        <v>5</v>
      </c>
      <c r="AF347" s="4">
        <f ca="1">IFERROR(__xludf.DUMMYFUNCTION("""COMPUTED_VALUE"""),5)</f>
        <v>5</v>
      </c>
      <c r="AG347" s="4">
        <f ca="1">IFERROR(__xludf.DUMMYFUNCTION("""COMPUTED_VALUE"""),4)</f>
        <v>4</v>
      </c>
      <c r="AH347" s="4">
        <f ca="1">IFERROR(__xludf.DUMMYFUNCTION("""COMPUTED_VALUE"""),5)</f>
        <v>5</v>
      </c>
      <c r="AI347" s="4">
        <f ca="1">IFERROR(__xludf.DUMMYFUNCTION("""COMPUTED_VALUE"""),4)</f>
        <v>4</v>
      </c>
      <c r="AJ347" s="4">
        <f ca="1">IFERROR(__xludf.DUMMYFUNCTION("""COMPUTED_VALUE"""),4)</f>
        <v>4</v>
      </c>
      <c r="AK347" s="4">
        <f ca="1">IFERROR(__xludf.DUMMYFUNCTION("""COMPUTED_VALUE"""),5)</f>
        <v>5</v>
      </c>
      <c r="AL347" s="4">
        <f ca="1">IFERROR(__xludf.DUMMYFUNCTION("""COMPUTED_VALUE"""),4)</f>
        <v>4</v>
      </c>
      <c r="AM347" s="4">
        <f ca="1">IFERROR(__xludf.DUMMYFUNCTION("""COMPUTED_VALUE"""),5)</f>
        <v>5</v>
      </c>
      <c r="AN347" s="4">
        <f ca="1">IFERROR(__xludf.DUMMYFUNCTION("""COMPUTED_VALUE"""),5)</f>
        <v>5</v>
      </c>
      <c r="AO347" s="4">
        <f ca="1">IFERROR(__xludf.DUMMYFUNCTION("""COMPUTED_VALUE"""),4)</f>
        <v>4</v>
      </c>
      <c r="AP347" s="4">
        <f ca="1">IFERROR(__xludf.DUMMYFUNCTION("""COMPUTED_VALUE"""),5)</f>
        <v>5</v>
      </c>
      <c r="AQ347" s="4">
        <f ca="1">IFERROR(__xludf.DUMMYFUNCTION("""COMPUTED_VALUE"""),5)</f>
        <v>5</v>
      </c>
      <c r="AR347" s="4">
        <f ca="1">IFERROR(__xludf.DUMMYFUNCTION("""COMPUTED_VALUE"""),4)</f>
        <v>4</v>
      </c>
      <c r="AS347" s="4">
        <f ca="1">IFERROR(__xludf.DUMMYFUNCTION("""COMPUTED_VALUE"""),4)</f>
        <v>4</v>
      </c>
      <c r="AT347" s="4">
        <f ca="1">IFERROR(__xludf.DUMMYFUNCTION("""COMPUTED_VALUE"""),5)</f>
        <v>5</v>
      </c>
      <c r="AU347" s="4">
        <f ca="1">IFERROR(__xludf.DUMMYFUNCTION("""COMPUTED_VALUE"""),4)</f>
        <v>4</v>
      </c>
      <c r="AV347" s="4">
        <f ca="1">IFERROR(__xludf.DUMMYFUNCTION("""COMPUTED_VALUE"""),5)</f>
        <v>5</v>
      </c>
      <c r="AW347" s="4">
        <f ca="1">IFERROR(__xludf.DUMMYFUNCTION("""COMPUTED_VALUE"""),4)</f>
        <v>4</v>
      </c>
      <c r="AX347" s="4">
        <f ca="1">IFERROR(__xludf.DUMMYFUNCTION("""COMPUTED_VALUE"""),4)</f>
        <v>4</v>
      </c>
      <c r="AY347" s="4">
        <f ca="1">IFERROR(__xludf.DUMMYFUNCTION("""COMPUTED_VALUE"""),5)</f>
        <v>5</v>
      </c>
      <c r="AZ347" s="4">
        <f ca="1">IFERROR(__xludf.DUMMYFUNCTION("""COMPUTED_VALUE"""),4)</f>
        <v>4</v>
      </c>
      <c r="BA347" s="4">
        <f ca="1">IFERROR(__xludf.DUMMYFUNCTION("""COMPUTED_VALUE"""),5)</f>
        <v>5</v>
      </c>
      <c r="BB347" s="4">
        <f ca="1">IFERROR(__xludf.DUMMYFUNCTION("""COMPUTED_VALUE"""),5)</f>
        <v>5</v>
      </c>
      <c r="BC347" s="4">
        <f ca="1">IFERROR(__xludf.DUMMYFUNCTION("""COMPUTED_VALUE"""),4)</f>
        <v>4</v>
      </c>
      <c r="BD347" s="4">
        <f ca="1">IFERROR(__xludf.DUMMYFUNCTION("""COMPUTED_VALUE"""),5)</f>
        <v>5</v>
      </c>
      <c r="BE347" s="4">
        <f ca="1">IFERROR(__xludf.DUMMYFUNCTION("""COMPUTED_VALUE"""),4)</f>
        <v>4</v>
      </c>
      <c r="BF347" s="4">
        <f ca="1">IFERROR(__xludf.DUMMYFUNCTION("""COMPUTED_VALUE"""),5)</f>
        <v>5</v>
      </c>
      <c r="BG347" s="4">
        <f ca="1">IFERROR(__xludf.DUMMYFUNCTION("""COMPUTED_VALUE"""),5)</f>
        <v>5</v>
      </c>
      <c r="BH347" s="4">
        <f ca="1">IFERROR(__xludf.DUMMYFUNCTION("""COMPUTED_VALUE"""),5)</f>
        <v>5</v>
      </c>
      <c r="BI347" s="4">
        <f ca="1">IFERROR(__xludf.DUMMYFUNCTION("""COMPUTED_VALUE"""),4)</f>
        <v>4</v>
      </c>
      <c r="BJ347" s="4">
        <f ca="1">IFERROR(__xludf.DUMMYFUNCTION("""COMPUTED_VALUE"""),5)</f>
        <v>5</v>
      </c>
      <c r="BK347" s="4">
        <f ca="1">IFERROR(__xludf.DUMMYFUNCTION("""COMPUTED_VALUE"""),4)</f>
        <v>4</v>
      </c>
      <c r="BL347" s="4">
        <f ca="1">IFERROR(__xludf.DUMMYFUNCTION("""COMPUTED_VALUE"""),5)</f>
        <v>5</v>
      </c>
      <c r="BM347" s="4">
        <f ca="1">IFERROR(__xludf.DUMMYFUNCTION("""COMPUTED_VALUE"""),5)</f>
        <v>5</v>
      </c>
      <c r="BN347" s="4">
        <f ca="1">IFERROR(__xludf.DUMMYFUNCTION("""COMPUTED_VALUE"""),5)</f>
        <v>5</v>
      </c>
      <c r="BO347" s="4">
        <f ca="1">IFERROR(__xludf.DUMMYFUNCTION("""COMPUTED_VALUE"""),4)</f>
        <v>4</v>
      </c>
      <c r="BP347" s="4">
        <f ca="1">IFERROR(__xludf.DUMMYFUNCTION("""COMPUTED_VALUE"""),4)</f>
        <v>4</v>
      </c>
    </row>
    <row r="348" spans="1:68" ht="13.2" x14ac:dyDescent="0.25">
      <c r="A348" s="4" t="str">
        <f ca="1">IFERROR(__xludf.DUMMYFUNCTION("""COMPUTED_VALUE"""),"2_ABaOnufQrCx3Mdjy8dgmL-9go9_OUcULgi4TJG8VFJ4xjNa0VtraUT9_4ZNlPCGZ9A")</f>
        <v>2_ABaOnufQrCx3Mdjy8dgmL-9go9_OUcULgi4TJG8VFJ4xjNa0VtraUT9_4ZNlPCGZ9A</v>
      </c>
      <c r="B348" s="5">
        <f ca="1">IFERROR(__xludf.DUMMYFUNCTION("""COMPUTED_VALUE"""),45986.6625024537)</f>
        <v>45986.662502453699</v>
      </c>
      <c r="C348" s="4" t="str">
        <f ca="1">IFERROR(__xludf.DUMMYFUNCTION("""COMPUTED_VALUE"""),"Nguyễn Văn Tình")</f>
        <v>Nguyễn Văn Tình</v>
      </c>
      <c r="D348" s="4" t="str">
        <f ca="1">IFERROR(__xludf.DUMMYFUNCTION("""COMPUTED_VALUE"""),"Nam")</f>
        <v>Nam</v>
      </c>
      <c r="E348" s="4" t="str">
        <f ca="1">IFERROR(__xludf.DUMMYFUNCTION("""COMPUTED_VALUE"""),"Công ty TNHH Kiểm toán NVA")</f>
        <v>Công ty TNHH Kiểm toán NVA</v>
      </c>
      <c r="F348" s="4" t="str">
        <f ca="1">IFERROR(__xludf.DUMMYFUNCTION("""COMPUTED_VALUE"""),"Đại học, Chứng chỉ Kiểm toán viên")</f>
        <v>Đại học, Chứng chỉ Kiểm toán viên</v>
      </c>
      <c r="G348" s="4" t="str">
        <f ca="1">IFERROR(__xludf.DUMMYFUNCTION("""COMPUTED_VALUE"""),"Trên 10 đến 15 năm")</f>
        <v>Trên 10 đến 15 năm</v>
      </c>
      <c r="H348" s="4" t="str">
        <f ca="1">IFERROR(__xludf.DUMMYFUNCTION("""COMPUTED_VALUE"""),"Ban giám đốc")</f>
        <v>Ban giám đốc</v>
      </c>
      <c r="I348" s="4">
        <f ca="1">IFERROR(__xludf.DUMMYFUNCTION("""COMPUTED_VALUE"""),5)</f>
        <v>5</v>
      </c>
      <c r="J348" s="4">
        <f ca="1">IFERROR(__xludf.DUMMYFUNCTION("""COMPUTED_VALUE"""),5)</f>
        <v>5</v>
      </c>
      <c r="K348" s="4">
        <f ca="1">IFERROR(__xludf.DUMMYFUNCTION("""COMPUTED_VALUE"""),5)</f>
        <v>5</v>
      </c>
      <c r="L348" s="4">
        <f ca="1">IFERROR(__xludf.DUMMYFUNCTION("""COMPUTED_VALUE"""),5)</f>
        <v>5</v>
      </c>
      <c r="M348" s="4">
        <f ca="1">IFERROR(__xludf.DUMMYFUNCTION("""COMPUTED_VALUE"""),5)</f>
        <v>5</v>
      </c>
      <c r="N348" s="4">
        <f ca="1">IFERROR(__xludf.DUMMYFUNCTION("""COMPUTED_VALUE"""),3)</f>
        <v>3</v>
      </c>
      <c r="O348" s="4">
        <f ca="1">IFERROR(__xludf.DUMMYFUNCTION("""COMPUTED_VALUE"""),4)</f>
        <v>4</v>
      </c>
      <c r="P348" s="4">
        <f ca="1">IFERROR(__xludf.DUMMYFUNCTION("""COMPUTED_VALUE"""),5)</f>
        <v>5</v>
      </c>
      <c r="Q348" s="4">
        <f ca="1">IFERROR(__xludf.DUMMYFUNCTION("""COMPUTED_VALUE"""),5)</f>
        <v>5</v>
      </c>
      <c r="R348" s="4">
        <f ca="1">IFERROR(__xludf.DUMMYFUNCTION("""COMPUTED_VALUE"""),5)</f>
        <v>5</v>
      </c>
      <c r="S348" s="4">
        <f ca="1">IFERROR(__xludf.DUMMYFUNCTION("""COMPUTED_VALUE"""),5)</f>
        <v>5</v>
      </c>
      <c r="T348" s="4">
        <f ca="1">IFERROR(__xludf.DUMMYFUNCTION("""COMPUTED_VALUE"""),5)</f>
        <v>5</v>
      </c>
      <c r="U348" s="4">
        <f ca="1">IFERROR(__xludf.DUMMYFUNCTION("""COMPUTED_VALUE"""),5)</f>
        <v>5</v>
      </c>
      <c r="V348" s="4">
        <f ca="1">IFERROR(__xludf.DUMMYFUNCTION("""COMPUTED_VALUE"""),5)</f>
        <v>5</v>
      </c>
      <c r="W348" s="4">
        <f ca="1">IFERROR(__xludf.DUMMYFUNCTION("""COMPUTED_VALUE"""),5)</f>
        <v>5</v>
      </c>
      <c r="X348" s="4">
        <f ca="1">IFERROR(__xludf.DUMMYFUNCTION("""COMPUTED_VALUE"""),5)</f>
        <v>5</v>
      </c>
      <c r="Y348" s="4">
        <f ca="1">IFERROR(__xludf.DUMMYFUNCTION("""COMPUTED_VALUE"""),5)</f>
        <v>5</v>
      </c>
      <c r="Z348" s="4">
        <f ca="1">IFERROR(__xludf.DUMMYFUNCTION("""COMPUTED_VALUE"""),4)</f>
        <v>4</v>
      </c>
      <c r="AA348" s="4">
        <f ca="1">IFERROR(__xludf.DUMMYFUNCTION("""COMPUTED_VALUE"""),5)</f>
        <v>5</v>
      </c>
      <c r="AB348" s="4">
        <f ca="1">IFERROR(__xludf.DUMMYFUNCTION("""COMPUTED_VALUE"""),5)</f>
        <v>5</v>
      </c>
      <c r="AC348" s="4">
        <f ca="1">IFERROR(__xludf.DUMMYFUNCTION("""COMPUTED_VALUE"""),3)</f>
        <v>3</v>
      </c>
      <c r="AD348" s="4">
        <f ca="1">IFERROR(__xludf.DUMMYFUNCTION("""COMPUTED_VALUE"""),2)</f>
        <v>2</v>
      </c>
      <c r="AE348" s="4">
        <f ca="1">IFERROR(__xludf.DUMMYFUNCTION("""COMPUTED_VALUE"""),5)</f>
        <v>5</v>
      </c>
      <c r="AF348" s="4">
        <f ca="1">IFERROR(__xludf.DUMMYFUNCTION("""COMPUTED_VALUE"""),4)</f>
        <v>4</v>
      </c>
      <c r="AG348" s="4">
        <f ca="1">IFERROR(__xludf.DUMMYFUNCTION("""COMPUTED_VALUE"""),4)</f>
        <v>4</v>
      </c>
      <c r="AH348" s="4">
        <f ca="1">IFERROR(__xludf.DUMMYFUNCTION("""COMPUTED_VALUE"""),4)</f>
        <v>4</v>
      </c>
      <c r="AI348" s="4">
        <f ca="1">IFERROR(__xludf.DUMMYFUNCTION("""COMPUTED_VALUE"""),3)</f>
        <v>3</v>
      </c>
      <c r="AJ348" s="4">
        <f ca="1">IFERROR(__xludf.DUMMYFUNCTION("""COMPUTED_VALUE"""),5)</f>
        <v>5</v>
      </c>
      <c r="AK348" s="4">
        <f ca="1">IFERROR(__xludf.DUMMYFUNCTION("""COMPUTED_VALUE"""),5)</f>
        <v>5</v>
      </c>
      <c r="AL348" s="4">
        <f ca="1">IFERROR(__xludf.DUMMYFUNCTION("""COMPUTED_VALUE"""),5)</f>
        <v>5</v>
      </c>
      <c r="AM348" s="4">
        <f ca="1">IFERROR(__xludf.DUMMYFUNCTION("""COMPUTED_VALUE"""),5)</f>
        <v>5</v>
      </c>
      <c r="AN348" s="4">
        <f ca="1">IFERROR(__xludf.DUMMYFUNCTION("""COMPUTED_VALUE"""),5)</f>
        <v>5</v>
      </c>
      <c r="AO348" s="4">
        <f ca="1">IFERROR(__xludf.DUMMYFUNCTION("""COMPUTED_VALUE"""),4)</f>
        <v>4</v>
      </c>
      <c r="AP348" s="4">
        <f ca="1">IFERROR(__xludf.DUMMYFUNCTION("""COMPUTED_VALUE"""),4)</f>
        <v>4</v>
      </c>
      <c r="AQ348" s="4">
        <f ca="1">IFERROR(__xludf.DUMMYFUNCTION("""COMPUTED_VALUE"""),4)</f>
        <v>4</v>
      </c>
      <c r="AR348" s="4">
        <f ca="1">IFERROR(__xludf.DUMMYFUNCTION("""COMPUTED_VALUE"""),5)</f>
        <v>5</v>
      </c>
      <c r="AS348" s="4">
        <f ca="1">IFERROR(__xludf.DUMMYFUNCTION("""COMPUTED_VALUE"""),5)</f>
        <v>5</v>
      </c>
      <c r="AT348" s="4">
        <f ca="1">IFERROR(__xludf.DUMMYFUNCTION("""COMPUTED_VALUE"""),2)</f>
        <v>2</v>
      </c>
      <c r="AU348" s="4">
        <f ca="1">IFERROR(__xludf.DUMMYFUNCTION("""COMPUTED_VALUE"""),5)</f>
        <v>5</v>
      </c>
      <c r="AV348" s="4">
        <f ca="1">IFERROR(__xludf.DUMMYFUNCTION("""COMPUTED_VALUE"""),5)</f>
        <v>5</v>
      </c>
      <c r="AW348" s="4">
        <f ca="1">IFERROR(__xludf.DUMMYFUNCTION("""COMPUTED_VALUE"""),5)</f>
        <v>5</v>
      </c>
      <c r="AX348" s="4">
        <f ca="1">IFERROR(__xludf.DUMMYFUNCTION("""COMPUTED_VALUE"""),5)</f>
        <v>5</v>
      </c>
      <c r="AY348" s="4">
        <f ca="1">IFERROR(__xludf.DUMMYFUNCTION("""COMPUTED_VALUE"""),5)</f>
        <v>5</v>
      </c>
      <c r="AZ348" s="4">
        <f ca="1">IFERROR(__xludf.DUMMYFUNCTION("""COMPUTED_VALUE"""),5)</f>
        <v>5</v>
      </c>
      <c r="BA348" s="4">
        <f ca="1">IFERROR(__xludf.DUMMYFUNCTION("""COMPUTED_VALUE"""),5)</f>
        <v>5</v>
      </c>
      <c r="BB348" s="4">
        <f ca="1">IFERROR(__xludf.DUMMYFUNCTION("""COMPUTED_VALUE"""),5)</f>
        <v>5</v>
      </c>
      <c r="BC348" s="4">
        <f ca="1">IFERROR(__xludf.DUMMYFUNCTION("""COMPUTED_VALUE"""),4)</f>
        <v>4</v>
      </c>
      <c r="BD348" s="4">
        <f ca="1">IFERROR(__xludf.DUMMYFUNCTION("""COMPUTED_VALUE"""),5)</f>
        <v>5</v>
      </c>
      <c r="BE348" s="4">
        <f ca="1">IFERROR(__xludf.DUMMYFUNCTION("""COMPUTED_VALUE"""),4)</f>
        <v>4</v>
      </c>
      <c r="BF348" s="4">
        <f ca="1">IFERROR(__xludf.DUMMYFUNCTION("""COMPUTED_VALUE"""),4)</f>
        <v>4</v>
      </c>
      <c r="BG348" s="4">
        <f ca="1">IFERROR(__xludf.DUMMYFUNCTION("""COMPUTED_VALUE"""),4)</f>
        <v>4</v>
      </c>
      <c r="BH348" s="4">
        <f ca="1">IFERROR(__xludf.DUMMYFUNCTION("""COMPUTED_VALUE"""),5)</f>
        <v>5</v>
      </c>
      <c r="BI348" s="4">
        <f ca="1">IFERROR(__xludf.DUMMYFUNCTION("""COMPUTED_VALUE"""),5)</f>
        <v>5</v>
      </c>
      <c r="BJ348" s="4">
        <f ca="1">IFERROR(__xludf.DUMMYFUNCTION("""COMPUTED_VALUE"""),5)</f>
        <v>5</v>
      </c>
      <c r="BK348" s="4">
        <f ca="1">IFERROR(__xludf.DUMMYFUNCTION("""COMPUTED_VALUE"""),5)</f>
        <v>5</v>
      </c>
      <c r="BL348" s="4">
        <f ca="1">IFERROR(__xludf.DUMMYFUNCTION("""COMPUTED_VALUE"""),5)</f>
        <v>5</v>
      </c>
      <c r="BM348" s="4">
        <f ca="1">IFERROR(__xludf.DUMMYFUNCTION("""COMPUTED_VALUE"""),5)</f>
        <v>5</v>
      </c>
      <c r="BN348" s="4">
        <f ca="1">IFERROR(__xludf.DUMMYFUNCTION("""COMPUTED_VALUE"""),5)</f>
        <v>5</v>
      </c>
      <c r="BO348" s="4">
        <f ca="1">IFERROR(__xludf.DUMMYFUNCTION("""COMPUTED_VALUE"""),5)</f>
        <v>5</v>
      </c>
      <c r="BP348" s="4">
        <f ca="1">IFERROR(__xludf.DUMMYFUNCTION("""COMPUTED_VALUE"""),5)</f>
        <v>5</v>
      </c>
    </row>
    <row r="349" spans="1:68" ht="13.2" x14ac:dyDescent="0.25">
      <c r="A349" s="4" t="str">
        <f ca="1">IFERROR(__xludf.DUMMYFUNCTION("""COMPUTED_VALUE"""),"2_ABaOnueKScmk2gGLafZxJ_lstyiZcabWjIMc5JOmWLoeNY1lhnkwPpCymneunfyHUw")</f>
        <v>2_ABaOnueKScmk2gGLafZxJ_lstyiZcabWjIMc5JOmWLoeNY1lhnkwPpCymneunfyHUw</v>
      </c>
      <c r="B349" s="5">
        <f ca="1">IFERROR(__xludf.DUMMYFUNCTION("""COMPUTED_VALUE"""),45986.662765324)</f>
        <v>45986.662765323999</v>
      </c>
      <c r="C349" s="4" t="str">
        <f ca="1">IFERROR(__xludf.DUMMYFUNCTION("""COMPUTED_VALUE"""),"Lê Mậu Phương")</f>
        <v>Lê Mậu Phương</v>
      </c>
      <c r="D349" s="4" t="str">
        <f ca="1">IFERROR(__xludf.DUMMYFUNCTION("""COMPUTED_VALUE"""),"Nam")</f>
        <v>Nam</v>
      </c>
      <c r="E349" s="4" t="str">
        <f ca="1">IFERROR(__xludf.DUMMYFUNCTION("""COMPUTED_VALUE"""),"Công ty kiểm toán")</f>
        <v>Công ty kiểm toán</v>
      </c>
      <c r="F349" s="4" t="str">
        <f ca="1">IFERROR(__xludf.DUMMYFUNCTION("""COMPUTED_VALUE"""),"Đại học, Chứng chỉ Kiểm toán viên")</f>
        <v>Đại học, Chứng chỉ Kiểm toán viên</v>
      </c>
      <c r="G349" s="4" t="str">
        <f ca="1">IFERROR(__xludf.DUMMYFUNCTION("""COMPUTED_VALUE"""),"Trên 10 đến 15 năm")</f>
        <v>Trên 10 đến 15 năm</v>
      </c>
      <c r="H349" s="4" t="str">
        <f ca="1">IFERROR(__xludf.DUMMYFUNCTION("""COMPUTED_VALUE"""),"Kiểm toán viên/Trưởng nhóm")</f>
        <v>Kiểm toán viên/Trưởng nhóm</v>
      </c>
      <c r="I349" s="4">
        <f ca="1">IFERROR(__xludf.DUMMYFUNCTION("""COMPUTED_VALUE"""),4)</f>
        <v>4</v>
      </c>
      <c r="J349" s="4">
        <f ca="1">IFERROR(__xludf.DUMMYFUNCTION("""COMPUTED_VALUE"""),4)</f>
        <v>4</v>
      </c>
      <c r="K349" s="4">
        <f ca="1">IFERROR(__xludf.DUMMYFUNCTION("""COMPUTED_VALUE"""),3)</f>
        <v>3</v>
      </c>
      <c r="L349" s="4">
        <f ca="1">IFERROR(__xludf.DUMMYFUNCTION("""COMPUTED_VALUE"""),3)</f>
        <v>3</v>
      </c>
      <c r="M349" s="4">
        <f ca="1">IFERROR(__xludf.DUMMYFUNCTION("""COMPUTED_VALUE"""),4)</f>
        <v>4</v>
      </c>
      <c r="N349" s="4">
        <f ca="1">IFERROR(__xludf.DUMMYFUNCTION("""COMPUTED_VALUE"""),4)</f>
        <v>4</v>
      </c>
      <c r="O349" s="4">
        <f ca="1">IFERROR(__xludf.DUMMYFUNCTION("""COMPUTED_VALUE"""),3)</f>
        <v>3</v>
      </c>
      <c r="P349" s="4">
        <f ca="1">IFERROR(__xludf.DUMMYFUNCTION("""COMPUTED_VALUE"""),3)</f>
        <v>3</v>
      </c>
      <c r="Q349" s="4">
        <f ca="1">IFERROR(__xludf.DUMMYFUNCTION("""COMPUTED_VALUE"""),4)</f>
        <v>4</v>
      </c>
      <c r="R349" s="4">
        <f ca="1">IFERROR(__xludf.DUMMYFUNCTION("""COMPUTED_VALUE"""),3)</f>
        <v>3</v>
      </c>
      <c r="S349" s="4">
        <f ca="1">IFERROR(__xludf.DUMMYFUNCTION("""COMPUTED_VALUE"""),4)</f>
        <v>4</v>
      </c>
      <c r="T349" s="4">
        <f ca="1">IFERROR(__xludf.DUMMYFUNCTION("""COMPUTED_VALUE"""),4)</f>
        <v>4</v>
      </c>
      <c r="U349" s="4">
        <f ca="1">IFERROR(__xludf.DUMMYFUNCTION("""COMPUTED_VALUE"""),4)</f>
        <v>4</v>
      </c>
      <c r="V349" s="4">
        <f ca="1">IFERROR(__xludf.DUMMYFUNCTION("""COMPUTED_VALUE"""),4)</f>
        <v>4</v>
      </c>
      <c r="W349" s="4">
        <f ca="1">IFERROR(__xludf.DUMMYFUNCTION("""COMPUTED_VALUE"""),3)</f>
        <v>3</v>
      </c>
      <c r="X349" s="4">
        <f ca="1">IFERROR(__xludf.DUMMYFUNCTION("""COMPUTED_VALUE"""),3)</f>
        <v>3</v>
      </c>
      <c r="Y349" s="4">
        <f ca="1">IFERROR(__xludf.DUMMYFUNCTION("""COMPUTED_VALUE"""),3)</f>
        <v>3</v>
      </c>
      <c r="Z349" s="4">
        <f ca="1">IFERROR(__xludf.DUMMYFUNCTION("""COMPUTED_VALUE"""),3)</f>
        <v>3</v>
      </c>
      <c r="AA349" s="4">
        <f ca="1">IFERROR(__xludf.DUMMYFUNCTION("""COMPUTED_VALUE"""),4)</f>
        <v>4</v>
      </c>
      <c r="AB349" s="4">
        <f ca="1">IFERROR(__xludf.DUMMYFUNCTION("""COMPUTED_VALUE"""),4)</f>
        <v>4</v>
      </c>
      <c r="AC349" s="4">
        <f ca="1">IFERROR(__xludf.DUMMYFUNCTION("""COMPUTED_VALUE"""),4)</f>
        <v>4</v>
      </c>
      <c r="AD349" s="4">
        <f ca="1">IFERROR(__xludf.DUMMYFUNCTION("""COMPUTED_VALUE"""),4)</f>
        <v>4</v>
      </c>
      <c r="AE349" s="4">
        <f ca="1">IFERROR(__xludf.DUMMYFUNCTION("""COMPUTED_VALUE"""),4)</f>
        <v>4</v>
      </c>
      <c r="AF349" s="4">
        <f ca="1">IFERROR(__xludf.DUMMYFUNCTION("""COMPUTED_VALUE"""),4)</f>
        <v>4</v>
      </c>
      <c r="AG349" s="4">
        <f ca="1">IFERROR(__xludf.DUMMYFUNCTION("""COMPUTED_VALUE"""),4)</f>
        <v>4</v>
      </c>
      <c r="AH349" s="4">
        <f ca="1">IFERROR(__xludf.DUMMYFUNCTION("""COMPUTED_VALUE"""),4)</f>
        <v>4</v>
      </c>
      <c r="AI349" s="4">
        <f ca="1">IFERROR(__xludf.DUMMYFUNCTION("""COMPUTED_VALUE"""),4)</f>
        <v>4</v>
      </c>
      <c r="AJ349" s="4">
        <f ca="1">IFERROR(__xludf.DUMMYFUNCTION("""COMPUTED_VALUE"""),4)</f>
        <v>4</v>
      </c>
      <c r="AK349" s="4">
        <f ca="1">IFERROR(__xludf.DUMMYFUNCTION("""COMPUTED_VALUE"""),4)</f>
        <v>4</v>
      </c>
      <c r="AL349" s="4">
        <f ca="1">IFERROR(__xludf.DUMMYFUNCTION("""COMPUTED_VALUE"""),4)</f>
        <v>4</v>
      </c>
      <c r="AM349" s="4">
        <f ca="1">IFERROR(__xludf.DUMMYFUNCTION("""COMPUTED_VALUE"""),4)</f>
        <v>4</v>
      </c>
      <c r="AN349" s="4">
        <f ca="1">IFERROR(__xludf.DUMMYFUNCTION("""COMPUTED_VALUE"""),4)</f>
        <v>4</v>
      </c>
      <c r="AO349" s="4">
        <f ca="1">IFERROR(__xludf.DUMMYFUNCTION("""COMPUTED_VALUE"""),3)</f>
        <v>3</v>
      </c>
      <c r="AP349" s="4">
        <f ca="1">IFERROR(__xludf.DUMMYFUNCTION("""COMPUTED_VALUE"""),4)</f>
        <v>4</v>
      </c>
      <c r="AQ349" s="4">
        <f ca="1">IFERROR(__xludf.DUMMYFUNCTION("""COMPUTED_VALUE"""),4)</f>
        <v>4</v>
      </c>
      <c r="AR349" s="4">
        <f ca="1">IFERROR(__xludf.DUMMYFUNCTION("""COMPUTED_VALUE"""),3)</f>
        <v>3</v>
      </c>
      <c r="AS349" s="4">
        <f ca="1">IFERROR(__xludf.DUMMYFUNCTION("""COMPUTED_VALUE"""),3)</f>
        <v>3</v>
      </c>
      <c r="AT349" s="4">
        <f ca="1">IFERROR(__xludf.DUMMYFUNCTION("""COMPUTED_VALUE"""),3)</f>
        <v>3</v>
      </c>
      <c r="AU349" s="4">
        <f ca="1">IFERROR(__xludf.DUMMYFUNCTION("""COMPUTED_VALUE"""),3)</f>
        <v>3</v>
      </c>
      <c r="AV349" s="4">
        <f ca="1">IFERROR(__xludf.DUMMYFUNCTION("""COMPUTED_VALUE"""),3)</f>
        <v>3</v>
      </c>
      <c r="AW349" s="4">
        <f ca="1">IFERROR(__xludf.DUMMYFUNCTION("""COMPUTED_VALUE"""),3)</f>
        <v>3</v>
      </c>
      <c r="AX349" s="4">
        <f ca="1">IFERROR(__xludf.DUMMYFUNCTION("""COMPUTED_VALUE"""),4)</f>
        <v>4</v>
      </c>
      <c r="AY349" s="4">
        <f ca="1">IFERROR(__xludf.DUMMYFUNCTION("""COMPUTED_VALUE"""),4)</f>
        <v>4</v>
      </c>
      <c r="AZ349" s="4">
        <f ca="1">IFERROR(__xludf.DUMMYFUNCTION("""COMPUTED_VALUE"""),4)</f>
        <v>4</v>
      </c>
      <c r="BA349" s="4">
        <f ca="1">IFERROR(__xludf.DUMMYFUNCTION("""COMPUTED_VALUE"""),4)</f>
        <v>4</v>
      </c>
      <c r="BB349" s="4">
        <f ca="1">IFERROR(__xludf.DUMMYFUNCTION("""COMPUTED_VALUE"""),4)</f>
        <v>4</v>
      </c>
      <c r="BC349" s="4">
        <f ca="1">IFERROR(__xludf.DUMMYFUNCTION("""COMPUTED_VALUE"""),4)</f>
        <v>4</v>
      </c>
      <c r="BD349" s="4">
        <f ca="1">IFERROR(__xludf.DUMMYFUNCTION("""COMPUTED_VALUE"""),3)</f>
        <v>3</v>
      </c>
      <c r="BE349" s="4">
        <f ca="1">IFERROR(__xludf.DUMMYFUNCTION("""COMPUTED_VALUE"""),3)</f>
        <v>3</v>
      </c>
      <c r="BF349" s="4">
        <f ca="1">IFERROR(__xludf.DUMMYFUNCTION("""COMPUTED_VALUE"""),3)</f>
        <v>3</v>
      </c>
      <c r="BG349" s="4">
        <f ca="1">IFERROR(__xludf.DUMMYFUNCTION("""COMPUTED_VALUE"""),3)</f>
        <v>3</v>
      </c>
      <c r="BH349" s="4">
        <f ca="1">IFERROR(__xludf.DUMMYFUNCTION("""COMPUTED_VALUE"""),4)</f>
        <v>4</v>
      </c>
      <c r="BI349" s="4">
        <f ca="1">IFERROR(__xludf.DUMMYFUNCTION("""COMPUTED_VALUE"""),4)</f>
        <v>4</v>
      </c>
      <c r="BJ349" s="4">
        <f ca="1">IFERROR(__xludf.DUMMYFUNCTION("""COMPUTED_VALUE"""),4)</f>
        <v>4</v>
      </c>
      <c r="BK349" s="4">
        <f ca="1">IFERROR(__xludf.DUMMYFUNCTION("""COMPUTED_VALUE"""),4)</f>
        <v>4</v>
      </c>
      <c r="BL349" s="4">
        <f ca="1">IFERROR(__xludf.DUMMYFUNCTION("""COMPUTED_VALUE"""),4)</f>
        <v>4</v>
      </c>
      <c r="BM349" s="4">
        <f ca="1">IFERROR(__xludf.DUMMYFUNCTION("""COMPUTED_VALUE"""),4)</f>
        <v>4</v>
      </c>
      <c r="BN349" s="4">
        <f ca="1">IFERROR(__xludf.DUMMYFUNCTION("""COMPUTED_VALUE"""),4)</f>
        <v>4</v>
      </c>
      <c r="BO349" s="4">
        <f ca="1">IFERROR(__xludf.DUMMYFUNCTION("""COMPUTED_VALUE"""),4)</f>
        <v>4</v>
      </c>
      <c r="BP349" s="4">
        <f ca="1">IFERROR(__xludf.DUMMYFUNCTION("""COMPUTED_VALUE"""),4)</f>
        <v>4</v>
      </c>
    </row>
    <row r="350" spans="1:68" ht="13.2" x14ac:dyDescent="0.25">
      <c r="A350" s="4" t="str">
        <f ca="1">IFERROR(__xludf.DUMMYFUNCTION("""COMPUTED_VALUE"""),"2_ABaOnufOqWsQGQmxcFW_U-lY3EZ8aAnzFqmsFbbt1GvgJOLcmIbOzmdLEA3DC5B_dA")</f>
        <v>2_ABaOnufOqWsQGQmxcFW_U-lY3EZ8aAnzFqmsFbbt1GvgJOLcmIbOzmdLEA3DC5B_dA</v>
      </c>
      <c r="B350" s="5">
        <f ca="1">IFERROR(__xludf.DUMMYFUNCTION("""COMPUTED_VALUE"""),45986.6730699537)</f>
        <v>45986.6730699537</v>
      </c>
      <c r="C350" s="4" t="str">
        <f ca="1">IFERROR(__xludf.DUMMYFUNCTION("""COMPUTED_VALUE"""),"Hồ Luận Ngữ")</f>
        <v>Hồ Luận Ngữ</v>
      </c>
      <c r="D350" s="4" t="str">
        <f ca="1">IFERROR(__xludf.DUMMYFUNCTION("""COMPUTED_VALUE"""),"Nam")</f>
        <v>Nam</v>
      </c>
      <c r="E350" s="4" t="str">
        <f ca="1">IFERROR(__xludf.DUMMYFUNCTION("""COMPUTED_VALUE"""),"Công ty kiểm toán Bắc Đẩu")</f>
        <v>Công ty kiểm toán Bắc Đẩu</v>
      </c>
      <c r="F350" s="4" t="str">
        <f ca="1">IFERROR(__xludf.DUMMYFUNCTION("""COMPUTED_VALUE"""),"Đại học")</f>
        <v>Đại học</v>
      </c>
      <c r="G350" s="4" t="str">
        <f ca="1">IFERROR(__xludf.DUMMYFUNCTION("""COMPUTED_VALUE"""),"Trên 15 đến 20 năm")</f>
        <v>Trên 15 đến 20 năm</v>
      </c>
      <c r="H350" s="4" t="str">
        <f ca="1">IFERROR(__xludf.DUMMYFUNCTION("""COMPUTED_VALUE"""),"Kiểm toán viên/Trưởng nhóm")</f>
        <v>Kiểm toán viên/Trưởng nhóm</v>
      </c>
      <c r="I350" s="4">
        <f ca="1">IFERROR(__xludf.DUMMYFUNCTION("""COMPUTED_VALUE"""),5)</f>
        <v>5</v>
      </c>
      <c r="J350" s="4">
        <f ca="1">IFERROR(__xludf.DUMMYFUNCTION("""COMPUTED_VALUE"""),5)</f>
        <v>5</v>
      </c>
      <c r="K350" s="4">
        <f ca="1">IFERROR(__xludf.DUMMYFUNCTION("""COMPUTED_VALUE"""),5)</f>
        <v>5</v>
      </c>
      <c r="L350" s="4">
        <f ca="1">IFERROR(__xludf.DUMMYFUNCTION("""COMPUTED_VALUE"""),4)</f>
        <v>4</v>
      </c>
      <c r="M350" s="4">
        <f ca="1">IFERROR(__xludf.DUMMYFUNCTION("""COMPUTED_VALUE"""),5)</f>
        <v>5</v>
      </c>
      <c r="N350" s="4">
        <f ca="1">IFERROR(__xludf.DUMMYFUNCTION("""COMPUTED_VALUE"""),5)</f>
        <v>5</v>
      </c>
      <c r="O350" s="4">
        <f ca="1">IFERROR(__xludf.DUMMYFUNCTION("""COMPUTED_VALUE"""),4)</f>
        <v>4</v>
      </c>
      <c r="P350" s="4">
        <f ca="1">IFERROR(__xludf.DUMMYFUNCTION("""COMPUTED_VALUE"""),5)</f>
        <v>5</v>
      </c>
      <c r="Q350" s="4">
        <f ca="1">IFERROR(__xludf.DUMMYFUNCTION("""COMPUTED_VALUE"""),5)</f>
        <v>5</v>
      </c>
      <c r="R350" s="4">
        <f ca="1">IFERROR(__xludf.DUMMYFUNCTION("""COMPUTED_VALUE"""),5)</f>
        <v>5</v>
      </c>
      <c r="S350" s="4">
        <f ca="1">IFERROR(__xludf.DUMMYFUNCTION("""COMPUTED_VALUE"""),5)</f>
        <v>5</v>
      </c>
      <c r="T350" s="4">
        <f ca="1">IFERROR(__xludf.DUMMYFUNCTION("""COMPUTED_VALUE"""),5)</f>
        <v>5</v>
      </c>
      <c r="U350" s="4">
        <f ca="1">IFERROR(__xludf.DUMMYFUNCTION("""COMPUTED_VALUE"""),5)</f>
        <v>5</v>
      </c>
      <c r="V350" s="4">
        <f ca="1">IFERROR(__xludf.DUMMYFUNCTION("""COMPUTED_VALUE"""),5)</f>
        <v>5</v>
      </c>
      <c r="W350" s="4">
        <f ca="1">IFERROR(__xludf.DUMMYFUNCTION("""COMPUTED_VALUE"""),4)</f>
        <v>4</v>
      </c>
      <c r="X350" s="4">
        <f ca="1">IFERROR(__xludf.DUMMYFUNCTION("""COMPUTED_VALUE"""),4)</f>
        <v>4</v>
      </c>
      <c r="Y350" s="4">
        <f ca="1">IFERROR(__xludf.DUMMYFUNCTION("""COMPUTED_VALUE"""),3)</f>
        <v>3</v>
      </c>
      <c r="Z350" s="4">
        <f ca="1">IFERROR(__xludf.DUMMYFUNCTION("""COMPUTED_VALUE"""),4)</f>
        <v>4</v>
      </c>
      <c r="AA350" s="4">
        <f ca="1">IFERROR(__xludf.DUMMYFUNCTION("""COMPUTED_VALUE"""),5)</f>
        <v>5</v>
      </c>
      <c r="AB350" s="4">
        <f ca="1">IFERROR(__xludf.DUMMYFUNCTION("""COMPUTED_VALUE"""),4)</f>
        <v>4</v>
      </c>
      <c r="AC350" s="4">
        <f ca="1">IFERROR(__xludf.DUMMYFUNCTION("""COMPUTED_VALUE"""),4)</f>
        <v>4</v>
      </c>
      <c r="AD350" s="4">
        <f ca="1">IFERROR(__xludf.DUMMYFUNCTION("""COMPUTED_VALUE"""),2)</f>
        <v>2</v>
      </c>
      <c r="AE350" s="4">
        <f ca="1">IFERROR(__xludf.DUMMYFUNCTION("""COMPUTED_VALUE"""),4)</f>
        <v>4</v>
      </c>
      <c r="AF350" s="4">
        <f ca="1">IFERROR(__xludf.DUMMYFUNCTION("""COMPUTED_VALUE"""),4)</f>
        <v>4</v>
      </c>
      <c r="AG350" s="4">
        <f ca="1">IFERROR(__xludf.DUMMYFUNCTION("""COMPUTED_VALUE"""),4)</f>
        <v>4</v>
      </c>
      <c r="AH350" s="4">
        <f ca="1">IFERROR(__xludf.DUMMYFUNCTION("""COMPUTED_VALUE"""),4)</f>
        <v>4</v>
      </c>
      <c r="AI350" s="4">
        <f ca="1">IFERROR(__xludf.DUMMYFUNCTION("""COMPUTED_VALUE"""),3)</f>
        <v>3</v>
      </c>
      <c r="AJ350" s="4">
        <f ca="1">IFERROR(__xludf.DUMMYFUNCTION("""COMPUTED_VALUE"""),5)</f>
        <v>5</v>
      </c>
      <c r="AK350" s="4">
        <f ca="1">IFERROR(__xludf.DUMMYFUNCTION("""COMPUTED_VALUE"""),4)</f>
        <v>4</v>
      </c>
      <c r="AL350" s="4">
        <f ca="1">IFERROR(__xludf.DUMMYFUNCTION("""COMPUTED_VALUE"""),4)</f>
        <v>4</v>
      </c>
      <c r="AM350" s="4">
        <f ca="1">IFERROR(__xludf.DUMMYFUNCTION("""COMPUTED_VALUE"""),4)</f>
        <v>4</v>
      </c>
      <c r="AN350" s="4">
        <f ca="1">IFERROR(__xludf.DUMMYFUNCTION("""COMPUTED_VALUE"""),4)</f>
        <v>4</v>
      </c>
      <c r="AO350" s="4">
        <f ca="1">IFERROR(__xludf.DUMMYFUNCTION("""COMPUTED_VALUE"""),3)</f>
        <v>3</v>
      </c>
      <c r="AP350" s="4">
        <f ca="1">IFERROR(__xludf.DUMMYFUNCTION("""COMPUTED_VALUE"""),4)</f>
        <v>4</v>
      </c>
      <c r="AQ350" s="4">
        <f ca="1">IFERROR(__xludf.DUMMYFUNCTION("""COMPUTED_VALUE"""),4)</f>
        <v>4</v>
      </c>
      <c r="AR350" s="4">
        <f ca="1">IFERROR(__xludf.DUMMYFUNCTION("""COMPUTED_VALUE"""),3)</f>
        <v>3</v>
      </c>
      <c r="AS350" s="4">
        <f ca="1">IFERROR(__xludf.DUMMYFUNCTION("""COMPUTED_VALUE"""),3)</f>
        <v>3</v>
      </c>
      <c r="AT350" s="4">
        <f ca="1">IFERROR(__xludf.DUMMYFUNCTION("""COMPUTED_VALUE"""),2)</f>
        <v>2</v>
      </c>
      <c r="AU350" s="4">
        <f ca="1">IFERROR(__xludf.DUMMYFUNCTION("""COMPUTED_VALUE"""),3)</f>
        <v>3</v>
      </c>
      <c r="AV350" s="4">
        <f ca="1">IFERROR(__xludf.DUMMYFUNCTION("""COMPUTED_VALUE"""),4)</f>
        <v>4</v>
      </c>
      <c r="AW350" s="4">
        <f ca="1">IFERROR(__xludf.DUMMYFUNCTION("""COMPUTED_VALUE"""),4)</f>
        <v>4</v>
      </c>
      <c r="AX350" s="4">
        <f ca="1">IFERROR(__xludf.DUMMYFUNCTION("""COMPUTED_VALUE"""),5)</f>
        <v>5</v>
      </c>
      <c r="AY350" s="4">
        <f ca="1">IFERROR(__xludf.DUMMYFUNCTION("""COMPUTED_VALUE"""),5)</f>
        <v>5</v>
      </c>
      <c r="AZ350" s="4">
        <f ca="1">IFERROR(__xludf.DUMMYFUNCTION("""COMPUTED_VALUE"""),4)</f>
        <v>4</v>
      </c>
      <c r="BA350" s="4">
        <f ca="1">IFERROR(__xludf.DUMMYFUNCTION("""COMPUTED_VALUE"""),5)</f>
        <v>5</v>
      </c>
      <c r="BB350" s="4">
        <f ca="1">IFERROR(__xludf.DUMMYFUNCTION("""COMPUTED_VALUE"""),4)</f>
        <v>4</v>
      </c>
      <c r="BC350" s="4">
        <f ca="1">IFERROR(__xludf.DUMMYFUNCTION("""COMPUTED_VALUE"""),4)</f>
        <v>4</v>
      </c>
      <c r="BD350" s="4">
        <f ca="1">IFERROR(__xludf.DUMMYFUNCTION("""COMPUTED_VALUE"""),4)</f>
        <v>4</v>
      </c>
      <c r="BE350" s="4">
        <f ca="1">IFERROR(__xludf.DUMMYFUNCTION("""COMPUTED_VALUE"""),4)</f>
        <v>4</v>
      </c>
      <c r="BF350" s="4">
        <f ca="1">IFERROR(__xludf.DUMMYFUNCTION("""COMPUTED_VALUE"""),4)</f>
        <v>4</v>
      </c>
      <c r="BG350" s="4">
        <f ca="1">IFERROR(__xludf.DUMMYFUNCTION("""COMPUTED_VALUE"""),4)</f>
        <v>4</v>
      </c>
      <c r="BH350" s="4">
        <f ca="1">IFERROR(__xludf.DUMMYFUNCTION("""COMPUTED_VALUE"""),4)</f>
        <v>4</v>
      </c>
      <c r="BI350" s="4">
        <f ca="1">IFERROR(__xludf.DUMMYFUNCTION("""COMPUTED_VALUE"""),4)</f>
        <v>4</v>
      </c>
      <c r="BJ350" s="4">
        <f ca="1">IFERROR(__xludf.DUMMYFUNCTION("""COMPUTED_VALUE"""),4)</f>
        <v>4</v>
      </c>
      <c r="BK350" s="4">
        <f ca="1">IFERROR(__xludf.DUMMYFUNCTION("""COMPUTED_VALUE"""),4)</f>
        <v>4</v>
      </c>
      <c r="BL350" s="4">
        <f ca="1">IFERROR(__xludf.DUMMYFUNCTION("""COMPUTED_VALUE"""),4)</f>
        <v>4</v>
      </c>
      <c r="BM350" s="4">
        <f ca="1">IFERROR(__xludf.DUMMYFUNCTION("""COMPUTED_VALUE"""),4)</f>
        <v>4</v>
      </c>
      <c r="BN350" s="4">
        <f ca="1">IFERROR(__xludf.DUMMYFUNCTION("""COMPUTED_VALUE"""),4)</f>
        <v>4</v>
      </c>
      <c r="BO350" s="4">
        <f ca="1">IFERROR(__xludf.DUMMYFUNCTION("""COMPUTED_VALUE"""),4)</f>
        <v>4</v>
      </c>
      <c r="BP350" s="4">
        <f ca="1">IFERROR(__xludf.DUMMYFUNCTION("""COMPUTED_VALUE"""),4)</f>
        <v>4</v>
      </c>
    </row>
    <row r="351" spans="1:68" ht="13.2" x14ac:dyDescent="0.25">
      <c r="A351" s="4" t="str">
        <f ca="1">IFERROR(__xludf.DUMMYFUNCTION("""COMPUTED_VALUE"""),"2_ABaOnucG-vCTufKPb8JIEPFemA2A6FXhBGay1c6tPBaFo4NQlhmKTe-2Dq_xYy6fDA")</f>
        <v>2_ABaOnucG-vCTufKPb8JIEPFemA2A6FXhBGay1c6tPBaFo4NQlhmKTe-2Dq_xYy6fDA</v>
      </c>
      <c r="B351" s="5">
        <f ca="1">IFERROR(__xludf.DUMMYFUNCTION("""COMPUTED_VALUE"""),45986.6798475578)</f>
        <v>45986.679847557803</v>
      </c>
      <c r="C351" s="4" t="str">
        <f ca="1">IFERROR(__xludf.DUMMYFUNCTION("""COMPUTED_VALUE"""),"Nguyễn Hoàng Oanh")</f>
        <v>Nguyễn Hoàng Oanh</v>
      </c>
      <c r="D351" s="4" t="str">
        <f ca="1">IFERROR(__xludf.DUMMYFUNCTION("""COMPUTED_VALUE"""),"Nữ")</f>
        <v>Nữ</v>
      </c>
      <c r="E351" s="4" t="str">
        <f ca="1">IFERROR(__xludf.DUMMYFUNCTION("""COMPUTED_VALUE"""),"Công ty TNHH kiểm toán AFC Việt Nam - chi nhánh Cần Thơ")</f>
        <v>Công ty TNHH kiểm toán AFC Việt Nam - chi nhánh Cần Thơ</v>
      </c>
      <c r="F351" s="4" t="str">
        <f ca="1">IFERROR(__xludf.DUMMYFUNCTION("""COMPUTED_VALUE"""),"Đại học")</f>
        <v>Đại học</v>
      </c>
      <c r="G351" s="4" t="str">
        <f ca="1">IFERROR(__xludf.DUMMYFUNCTION("""COMPUTED_VALUE"""),"Trên 5 đến 10 năm")</f>
        <v>Trên 5 đến 10 năm</v>
      </c>
      <c r="H351" s="4" t="str">
        <f ca="1">IFERROR(__xludf.DUMMYFUNCTION("""COMPUTED_VALUE"""),"Trợ lý kiểm toán")</f>
        <v>Trợ lý kiểm toán</v>
      </c>
      <c r="I351" s="4">
        <f ca="1">IFERROR(__xludf.DUMMYFUNCTION("""COMPUTED_VALUE"""),4)</f>
        <v>4</v>
      </c>
      <c r="J351" s="4">
        <f ca="1">IFERROR(__xludf.DUMMYFUNCTION("""COMPUTED_VALUE"""),3)</f>
        <v>3</v>
      </c>
      <c r="K351" s="4">
        <f ca="1">IFERROR(__xludf.DUMMYFUNCTION("""COMPUTED_VALUE"""),3)</f>
        <v>3</v>
      </c>
      <c r="L351" s="4">
        <f ca="1">IFERROR(__xludf.DUMMYFUNCTION("""COMPUTED_VALUE"""),4)</f>
        <v>4</v>
      </c>
      <c r="M351" s="4">
        <f ca="1">IFERROR(__xludf.DUMMYFUNCTION("""COMPUTED_VALUE"""),4)</f>
        <v>4</v>
      </c>
      <c r="N351" s="4">
        <f ca="1">IFERROR(__xludf.DUMMYFUNCTION("""COMPUTED_VALUE"""),2)</f>
        <v>2</v>
      </c>
      <c r="O351" s="4">
        <f ca="1">IFERROR(__xludf.DUMMYFUNCTION("""COMPUTED_VALUE"""),3)</f>
        <v>3</v>
      </c>
      <c r="P351" s="4">
        <f ca="1">IFERROR(__xludf.DUMMYFUNCTION("""COMPUTED_VALUE"""),4)</f>
        <v>4</v>
      </c>
      <c r="Q351" s="4">
        <f ca="1">IFERROR(__xludf.DUMMYFUNCTION("""COMPUTED_VALUE"""),4)</f>
        <v>4</v>
      </c>
      <c r="R351" s="4">
        <f ca="1">IFERROR(__xludf.DUMMYFUNCTION("""COMPUTED_VALUE"""),4)</f>
        <v>4</v>
      </c>
      <c r="S351" s="4">
        <f ca="1">IFERROR(__xludf.DUMMYFUNCTION("""COMPUTED_VALUE"""),3)</f>
        <v>3</v>
      </c>
      <c r="T351" s="4">
        <f ca="1">IFERROR(__xludf.DUMMYFUNCTION("""COMPUTED_VALUE"""),4)</f>
        <v>4</v>
      </c>
      <c r="U351" s="4">
        <f ca="1">IFERROR(__xludf.DUMMYFUNCTION("""COMPUTED_VALUE"""),3)</f>
        <v>3</v>
      </c>
      <c r="V351" s="4">
        <f ca="1">IFERROR(__xludf.DUMMYFUNCTION("""COMPUTED_VALUE"""),3)</f>
        <v>3</v>
      </c>
      <c r="W351" s="4">
        <f ca="1">IFERROR(__xludf.DUMMYFUNCTION("""COMPUTED_VALUE"""),4)</f>
        <v>4</v>
      </c>
      <c r="X351" s="4">
        <f ca="1">IFERROR(__xludf.DUMMYFUNCTION("""COMPUTED_VALUE"""),4)</f>
        <v>4</v>
      </c>
      <c r="Y351" s="4">
        <f ca="1">IFERROR(__xludf.DUMMYFUNCTION("""COMPUTED_VALUE"""),2)</f>
        <v>2</v>
      </c>
      <c r="Z351" s="4">
        <f ca="1">IFERROR(__xludf.DUMMYFUNCTION("""COMPUTED_VALUE"""),3)</f>
        <v>3</v>
      </c>
      <c r="AA351" s="4">
        <f ca="1">IFERROR(__xludf.DUMMYFUNCTION("""COMPUTED_VALUE"""),4)</f>
        <v>4</v>
      </c>
      <c r="AB351" s="4">
        <f ca="1">IFERROR(__xludf.DUMMYFUNCTION("""COMPUTED_VALUE"""),2)</f>
        <v>2</v>
      </c>
      <c r="AC351" s="4">
        <f ca="1">IFERROR(__xludf.DUMMYFUNCTION("""COMPUTED_VALUE"""),3)</f>
        <v>3</v>
      </c>
      <c r="AD351" s="4">
        <f ca="1">IFERROR(__xludf.DUMMYFUNCTION("""COMPUTED_VALUE"""),2)</f>
        <v>2</v>
      </c>
      <c r="AE351" s="4">
        <f ca="1">IFERROR(__xludf.DUMMYFUNCTION("""COMPUTED_VALUE"""),4)</f>
        <v>4</v>
      </c>
      <c r="AF351" s="4">
        <f ca="1">IFERROR(__xludf.DUMMYFUNCTION("""COMPUTED_VALUE"""),4)</f>
        <v>4</v>
      </c>
      <c r="AG351" s="4">
        <f ca="1">IFERROR(__xludf.DUMMYFUNCTION("""COMPUTED_VALUE"""),3)</f>
        <v>3</v>
      </c>
      <c r="AH351" s="4">
        <f ca="1">IFERROR(__xludf.DUMMYFUNCTION("""COMPUTED_VALUE"""),4)</f>
        <v>4</v>
      </c>
      <c r="AI351" s="4">
        <f ca="1">IFERROR(__xludf.DUMMYFUNCTION("""COMPUTED_VALUE"""),4)</f>
        <v>4</v>
      </c>
      <c r="AJ351" s="4">
        <f ca="1">IFERROR(__xludf.DUMMYFUNCTION("""COMPUTED_VALUE"""),5)</f>
        <v>5</v>
      </c>
      <c r="AK351" s="4">
        <f ca="1">IFERROR(__xludf.DUMMYFUNCTION("""COMPUTED_VALUE"""),5)</f>
        <v>5</v>
      </c>
      <c r="AL351" s="4">
        <f ca="1">IFERROR(__xludf.DUMMYFUNCTION("""COMPUTED_VALUE"""),5)</f>
        <v>5</v>
      </c>
      <c r="AM351" s="4">
        <f ca="1">IFERROR(__xludf.DUMMYFUNCTION("""COMPUTED_VALUE"""),5)</f>
        <v>5</v>
      </c>
      <c r="AN351" s="4">
        <f ca="1">IFERROR(__xludf.DUMMYFUNCTION("""COMPUTED_VALUE"""),5)</f>
        <v>5</v>
      </c>
      <c r="AO351" s="4">
        <f ca="1">IFERROR(__xludf.DUMMYFUNCTION("""COMPUTED_VALUE"""),5)</f>
        <v>5</v>
      </c>
      <c r="AP351" s="4">
        <f ca="1">IFERROR(__xludf.DUMMYFUNCTION("""COMPUTED_VALUE"""),5)</f>
        <v>5</v>
      </c>
      <c r="AQ351" s="4">
        <f ca="1">IFERROR(__xludf.DUMMYFUNCTION("""COMPUTED_VALUE"""),5)</f>
        <v>5</v>
      </c>
      <c r="AR351" s="4">
        <f ca="1">IFERROR(__xludf.DUMMYFUNCTION("""COMPUTED_VALUE"""),4)</f>
        <v>4</v>
      </c>
      <c r="AS351" s="4">
        <f ca="1">IFERROR(__xludf.DUMMYFUNCTION("""COMPUTED_VALUE"""),5)</f>
        <v>5</v>
      </c>
      <c r="AT351" s="4">
        <f ca="1">IFERROR(__xludf.DUMMYFUNCTION("""COMPUTED_VALUE"""),5)</f>
        <v>5</v>
      </c>
      <c r="AU351" s="4">
        <f ca="1">IFERROR(__xludf.DUMMYFUNCTION("""COMPUTED_VALUE"""),5)</f>
        <v>5</v>
      </c>
      <c r="AV351" s="4">
        <f ca="1">IFERROR(__xludf.DUMMYFUNCTION("""COMPUTED_VALUE"""),5)</f>
        <v>5</v>
      </c>
      <c r="AW351" s="4">
        <f ca="1">IFERROR(__xludf.DUMMYFUNCTION("""COMPUTED_VALUE"""),5)</f>
        <v>5</v>
      </c>
      <c r="AX351" s="4">
        <f ca="1">IFERROR(__xludf.DUMMYFUNCTION("""COMPUTED_VALUE"""),4)</f>
        <v>4</v>
      </c>
      <c r="AY351" s="4">
        <f ca="1">IFERROR(__xludf.DUMMYFUNCTION("""COMPUTED_VALUE"""),4)</f>
        <v>4</v>
      </c>
      <c r="AZ351" s="4">
        <f ca="1">IFERROR(__xludf.DUMMYFUNCTION("""COMPUTED_VALUE"""),4)</f>
        <v>4</v>
      </c>
      <c r="BA351" s="4">
        <f ca="1">IFERROR(__xludf.DUMMYFUNCTION("""COMPUTED_VALUE"""),4)</f>
        <v>4</v>
      </c>
      <c r="BB351" s="4">
        <f ca="1">IFERROR(__xludf.DUMMYFUNCTION("""COMPUTED_VALUE"""),4)</f>
        <v>4</v>
      </c>
      <c r="BC351" s="4">
        <f ca="1">IFERROR(__xludf.DUMMYFUNCTION("""COMPUTED_VALUE"""),3)</f>
        <v>3</v>
      </c>
      <c r="BD351" s="4">
        <f ca="1">IFERROR(__xludf.DUMMYFUNCTION("""COMPUTED_VALUE"""),4)</f>
        <v>4</v>
      </c>
      <c r="BE351" s="4">
        <f ca="1">IFERROR(__xludf.DUMMYFUNCTION("""COMPUTED_VALUE"""),4)</f>
        <v>4</v>
      </c>
      <c r="BF351" s="4">
        <f ca="1">IFERROR(__xludf.DUMMYFUNCTION("""COMPUTED_VALUE"""),3)</f>
        <v>3</v>
      </c>
      <c r="BG351" s="4">
        <f ca="1">IFERROR(__xludf.DUMMYFUNCTION("""COMPUTED_VALUE"""),4)</f>
        <v>4</v>
      </c>
      <c r="BH351" s="4">
        <f ca="1">IFERROR(__xludf.DUMMYFUNCTION("""COMPUTED_VALUE"""),4)</f>
        <v>4</v>
      </c>
      <c r="BI351" s="4">
        <f ca="1">IFERROR(__xludf.DUMMYFUNCTION("""COMPUTED_VALUE"""),4)</f>
        <v>4</v>
      </c>
      <c r="BJ351" s="4">
        <f ca="1">IFERROR(__xludf.DUMMYFUNCTION("""COMPUTED_VALUE"""),3)</f>
        <v>3</v>
      </c>
      <c r="BK351" s="4">
        <f ca="1">IFERROR(__xludf.DUMMYFUNCTION("""COMPUTED_VALUE"""),4)</f>
        <v>4</v>
      </c>
      <c r="BL351" s="4">
        <f ca="1">IFERROR(__xludf.DUMMYFUNCTION("""COMPUTED_VALUE"""),4)</f>
        <v>4</v>
      </c>
      <c r="BM351" s="4">
        <f ca="1">IFERROR(__xludf.DUMMYFUNCTION("""COMPUTED_VALUE"""),4)</f>
        <v>4</v>
      </c>
      <c r="BN351" s="4">
        <f ca="1">IFERROR(__xludf.DUMMYFUNCTION("""COMPUTED_VALUE"""),4)</f>
        <v>4</v>
      </c>
      <c r="BO351" s="4">
        <f ca="1">IFERROR(__xludf.DUMMYFUNCTION("""COMPUTED_VALUE"""),3)</f>
        <v>3</v>
      </c>
      <c r="BP351" s="4">
        <f ca="1">IFERROR(__xludf.DUMMYFUNCTION("""COMPUTED_VALUE"""),4)</f>
        <v>4</v>
      </c>
    </row>
    <row r="352" spans="1:68" ht="13.2" x14ac:dyDescent="0.25">
      <c r="A352" s="4" t="str">
        <f ca="1">IFERROR(__xludf.DUMMYFUNCTION("""COMPUTED_VALUE"""),"2_ABaOnudDmtmf4rUtjjofWsf4BJEH-dV6tQevU7oEvXDONg1LA_Pmz3x7v-D7gQ3TLg")</f>
        <v>2_ABaOnudDmtmf4rUtjjofWsf4BJEH-dV6tQevU7oEvXDONg1LA_Pmz3x7v-D7gQ3TLg</v>
      </c>
      <c r="B352" s="5">
        <f ca="1">IFERROR(__xludf.DUMMYFUNCTION("""COMPUTED_VALUE"""),45986.68456875)</f>
        <v>45986.684568750003</v>
      </c>
      <c r="C352" s="4" t="str">
        <f ca="1">IFERROR(__xludf.DUMMYFUNCTION("""COMPUTED_VALUE"""),"Phan Đình Âu")</f>
        <v>Phan Đình Âu</v>
      </c>
      <c r="D352" s="4" t="str">
        <f ca="1">IFERROR(__xludf.DUMMYFUNCTION("""COMPUTED_VALUE"""),"Nam")</f>
        <v>Nam</v>
      </c>
      <c r="E352" s="4" t="str">
        <f ca="1">IFERROR(__xludf.DUMMYFUNCTION("""COMPUTED_VALUE"""),"Công ty TNHH Kiểm toán NVA")</f>
        <v>Công ty TNHH Kiểm toán NVA</v>
      </c>
      <c r="F352" s="4" t="str">
        <f ca="1">IFERROR(__xludf.DUMMYFUNCTION("""COMPUTED_VALUE"""),"Đại học")</f>
        <v>Đại học</v>
      </c>
      <c r="G352" s="4" t="str">
        <f ca="1">IFERROR(__xludf.DUMMYFUNCTION("""COMPUTED_VALUE"""),"Trên 5 đến 10 năm")</f>
        <v>Trên 5 đến 10 năm</v>
      </c>
      <c r="H352" s="4" t="str">
        <f ca="1">IFERROR(__xludf.DUMMYFUNCTION("""COMPUTED_VALUE"""),"Trợ lý kiểm toán")</f>
        <v>Trợ lý kiểm toán</v>
      </c>
      <c r="I352" s="4">
        <f ca="1">IFERROR(__xludf.DUMMYFUNCTION("""COMPUTED_VALUE"""),4)</f>
        <v>4</v>
      </c>
      <c r="J352" s="4">
        <f ca="1">IFERROR(__xludf.DUMMYFUNCTION("""COMPUTED_VALUE"""),4)</f>
        <v>4</v>
      </c>
      <c r="K352" s="4">
        <f ca="1">IFERROR(__xludf.DUMMYFUNCTION("""COMPUTED_VALUE"""),5)</f>
        <v>5</v>
      </c>
      <c r="L352" s="4">
        <f ca="1">IFERROR(__xludf.DUMMYFUNCTION("""COMPUTED_VALUE"""),4)</f>
        <v>4</v>
      </c>
      <c r="M352" s="4">
        <f ca="1">IFERROR(__xludf.DUMMYFUNCTION("""COMPUTED_VALUE"""),4)</f>
        <v>4</v>
      </c>
      <c r="N352" s="4">
        <f ca="1">IFERROR(__xludf.DUMMYFUNCTION("""COMPUTED_VALUE"""),4)</f>
        <v>4</v>
      </c>
      <c r="O352" s="4">
        <f ca="1">IFERROR(__xludf.DUMMYFUNCTION("""COMPUTED_VALUE"""),4)</f>
        <v>4</v>
      </c>
      <c r="P352" s="4">
        <f ca="1">IFERROR(__xludf.DUMMYFUNCTION("""COMPUTED_VALUE"""),5)</f>
        <v>5</v>
      </c>
      <c r="Q352" s="4">
        <f ca="1">IFERROR(__xludf.DUMMYFUNCTION("""COMPUTED_VALUE"""),5)</f>
        <v>5</v>
      </c>
      <c r="R352" s="4">
        <f ca="1">IFERROR(__xludf.DUMMYFUNCTION("""COMPUTED_VALUE"""),4)</f>
        <v>4</v>
      </c>
      <c r="S352" s="4">
        <f ca="1">IFERROR(__xludf.DUMMYFUNCTION("""COMPUTED_VALUE"""),4)</f>
        <v>4</v>
      </c>
      <c r="T352" s="4">
        <f ca="1">IFERROR(__xludf.DUMMYFUNCTION("""COMPUTED_VALUE"""),4)</f>
        <v>4</v>
      </c>
      <c r="U352" s="4">
        <f ca="1">IFERROR(__xludf.DUMMYFUNCTION("""COMPUTED_VALUE"""),5)</f>
        <v>5</v>
      </c>
      <c r="V352" s="4">
        <f ca="1">IFERROR(__xludf.DUMMYFUNCTION("""COMPUTED_VALUE"""),4)</f>
        <v>4</v>
      </c>
      <c r="W352" s="4">
        <f ca="1">IFERROR(__xludf.DUMMYFUNCTION("""COMPUTED_VALUE"""),4)</f>
        <v>4</v>
      </c>
      <c r="X352" s="4">
        <f ca="1">IFERROR(__xludf.DUMMYFUNCTION("""COMPUTED_VALUE"""),5)</f>
        <v>5</v>
      </c>
      <c r="Y352" s="4">
        <f ca="1">IFERROR(__xludf.DUMMYFUNCTION("""COMPUTED_VALUE"""),4)</f>
        <v>4</v>
      </c>
      <c r="Z352" s="4">
        <f ca="1">IFERROR(__xludf.DUMMYFUNCTION("""COMPUTED_VALUE"""),4)</f>
        <v>4</v>
      </c>
      <c r="AA352" s="4">
        <f ca="1">IFERROR(__xludf.DUMMYFUNCTION("""COMPUTED_VALUE"""),4)</f>
        <v>4</v>
      </c>
      <c r="AB352" s="4">
        <f ca="1">IFERROR(__xludf.DUMMYFUNCTION("""COMPUTED_VALUE"""),4)</f>
        <v>4</v>
      </c>
      <c r="AC352" s="4">
        <f ca="1">IFERROR(__xludf.DUMMYFUNCTION("""COMPUTED_VALUE"""),5)</f>
        <v>5</v>
      </c>
      <c r="AD352" s="4">
        <f ca="1">IFERROR(__xludf.DUMMYFUNCTION("""COMPUTED_VALUE"""),4)</f>
        <v>4</v>
      </c>
      <c r="AE352" s="4">
        <f ca="1">IFERROR(__xludf.DUMMYFUNCTION("""COMPUTED_VALUE"""),4)</f>
        <v>4</v>
      </c>
      <c r="AF352" s="4">
        <f ca="1">IFERROR(__xludf.DUMMYFUNCTION("""COMPUTED_VALUE"""),4)</f>
        <v>4</v>
      </c>
      <c r="AG352" s="4">
        <f ca="1">IFERROR(__xludf.DUMMYFUNCTION("""COMPUTED_VALUE"""),5)</f>
        <v>5</v>
      </c>
      <c r="AH352" s="4">
        <f ca="1">IFERROR(__xludf.DUMMYFUNCTION("""COMPUTED_VALUE"""),5)</f>
        <v>5</v>
      </c>
      <c r="AI352" s="4">
        <f ca="1">IFERROR(__xludf.DUMMYFUNCTION("""COMPUTED_VALUE"""),5)</f>
        <v>5</v>
      </c>
      <c r="AJ352" s="4">
        <f ca="1">IFERROR(__xludf.DUMMYFUNCTION("""COMPUTED_VALUE"""),5)</f>
        <v>5</v>
      </c>
      <c r="AK352" s="4">
        <f ca="1">IFERROR(__xludf.DUMMYFUNCTION("""COMPUTED_VALUE"""),5)</f>
        <v>5</v>
      </c>
      <c r="AL352" s="4">
        <f ca="1">IFERROR(__xludf.DUMMYFUNCTION("""COMPUTED_VALUE"""),5)</f>
        <v>5</v>
      </c>
      <c r="AM352" s="4">
        <f ca="1">IFERROR(__xludf.DUMMYFUNCTION("""COMPUTED_VALUE"""),4)</f>
        <v>4</v>
      </c>
      <c r="AN352" s="4">
        <f ca="1">IFERROR(__xludf.DUMMYFUNCTION("""COMPUTED_VALUE"""),5)</f>
        <v>5</v>
      </c>
      <c r="AO352" s="4">
        <f ca="1">IFERROR(__xludf.DUMMYFUNCTION("""COMPUTED_VALUE"""),4)</f>
        <v>4</v>
      </c>
      <c r="AP352" s="4">
        <f ca="1">IFERROR(__xludf.DUMMYFUNCTION("""COMPUTED_VALUE"""),4)</f>
        <v>4</v>
      </c>
      <c r="AQ352" s="4">
        <f ca="1">IFERROR(__xludf.DUMMYFUNCTION("""COMPUTED_VALUE"""),4)</f>
        <v>4</v>
      </c>
      <c r="AR352" s="4">
        <f ca="1">IFERROR(__xludf.DUMMYFUNCTION("""COMPUTED_VALUE"""),4)</f>
        <v>4</v>
      </c>
      <c r="AS352" s="4">
        <f ca="1">IFERROR(__xludf.DUMMYFUNCTION("""COMPUTED_VALUE"""),4)</f>
        <v>4</v>
      </c>
      <c r="AT352" s="4">
        <f ca="1">IFERROR(__xludf.DUMMYFUNCTION("""COMPUTED_VALUE"""),4)</f>
        <v>4</v>
      </c>
      <c r="AU352" s="4">
        <f ca="1">IFERROR(__xludf.DUMMYFUNCTION("""COMPUTED_VALUE"""),5)</f>
        <v>5</v>
      </c>
      <c r="AV352" s="4">
        <f ca="1">IFERROR(__xludf.DUMMYFUNCTION("""COMPUTED_VALUE"""),4)</f>
        <v>4</v>
      </c>
      <c r="AW352" s="4">
        <f ca="1">IFERROR(__xludf.DUMMYFUNCTION("""COMPUTED_VALUE"""),5)</f>
        <v>5</v>
      </c>
      <c r="AX352" s="4">
        <f ca="1">IFERROR(__xludf.DUMMYFUNCTION("""COMPUTED_VALUE"""),5)</f>
        <v>5</v>
      </c>
      <c r="AY352" s="4">
        <f ca="1">IFERROR(__xludf.DUMMYFUNCTION("""COMPUTED_VALUE"""),5)</f>
        <v>5</v>
      </c>
      <c r="AZ352" s="4">
        <f ca="1">IFERROR(__xludf.DUMMYFUNCTION("""COMPUTED_VALUE"""),5)</f>
        <v>5</v>
      </c>
      <c r="BA352" s="4">
        <f ca="1">IFERROR(__xludf.DUMMYFUNCTION("""COMPUTED_VALUE"""),5)</f>
        <v>5</v>
      </c>
      <c r="BB352" s="4">
        <f ca="1">IFERROR(__xludf.DUMMYFUNCTION("""COMPUTED_VALUE"""),4)</f>
        <v>4</v>
      </c>
      <c r="BC352" s="4">
        <f ca="1">IFERROR(__xludf.DUMMYFUNCTION("""COMPUTED_VALUE"""),4)</f>
        <v>4</v>
      </c>
      <c r="BD352" s="4">
        <f ca="1">IFERROR(__xludf.DUMMYFUNCTION("""COMPUTED_VALUE"""),4)</f>
        <v>4</v>
      </c>
      <c r="BE352" s="4">
        <f ca="1">IFERROR(__xludf.DUMMYFUNCTION("""COMPUTED_VALUE"""),4)</f>
        <v>4</v>
      </c>
      <c r="BF352" s="4">
        <f ca="1">IFERROR(__xludf.DUMMYFUNCTION("""COMPUTED_VALUE"""),4)</f>
        <v>4</v>
      </c>
      <c r="BG352" s="4">
        <f ca="1">IFERROR(__xludf.DUMMYFUNCTION("""COMPUTED_VALUE"""),4)</f>
        <v>4</v>
      </c>
      <c r="BH352" s="4">
        <f ca="1">IFERROR(__xludf.DUMMYFUNCTION("""COMPUTED_VALUE"""),4)</f>
        <v>4</v>
      </c>
      <c r="BI352" s="4">
        <f ca="1">IFERROR(__xludf.DUMMYFUNCTION("""COMPUTED_VALUE"""),4)</f>
        <v>4</v>
      </c>
      <c r="BJ352" s="4">
        <f ca="1">IFERROR(__xludf.DUMMYFUNCTION("""COMPUTED_VALUE"""),4)</f>
        <v>4</v>
      </c>
      <c r="BK352" s="4">
        <f ca="1">IFERROR(__xludf.DUMMYFUNCTION("""COMPUTED_VALUE"""),4)</f>
        <v>4</v>
      </c>
      <c r="BL352" s="4">
        <f ca="1">IFERROR(__xludf.DUMMYFUNCTION("""COMPUTED_VALUE"""),5)</f>
        <v>5</v>
      </c>
      <c r="BM352" s="4">
        <f ca="1">IFERROR(__xludf.DUMMYFUNCTION("""COMPUTED_VALUE"""),4)</f>
        <v>4</v>
      </c>
      <c r="BN352" s="4">
        <f ca="1">IFERROR(__xludf.DUMMYFUNCTION("""COMPUTED_VALUE"""),5)</f>
        <v>5</v>
      </c>
      <c r="BO352" s="4">
        <f ca="1">IFERROR(__xludf.DUMMYFUNCTION("""COMPUTED_VALUE"""),5)</f>
        <v>5</v>
      </c>
      <c r="BP352" s="4">
        <f ca="1">IFERROR(__xludf.DUMMYFUNCTION("""COMPUTED_VALUE"""),5)</f>
        <v>5</v>
      </c>
    </row>
    <row r="353" spans="1:68" ht="13.2" x14ac:dyDescent="0.25">
      <c r="A353" s="4" t="str">
        <f ca="1">IFERROR(__xludf.DUMMYFUNCTION("""COMPUTED_VALUE"""),"2_ABaOnucPlE4Fo45oRZuFPeCoq-qRnwVMtRFoD7UxONZaIO0a6LbhMZJ4t_GYncHvzA")</f>
        <v>2_ABaOnucPlE4Fo45oRZuFPeCoq-qRnwVMtRFoD7UxONZaIO0a6LbhMZJ4t_GYncHvzA</v>
      </c>
      <c r="B353" s="5">
        <f ca="1">IFERROR(__xludf.DUMMYFUNCTION("""COMPUTED_VALUE"""),45986.6891948842)</f>
        <v>45986.689194884202</v>
      </c>
      <c r="C353" s="4" t="str">
        <f ca="1">IFERROR(__xludf.DUMMYFUNCTION("""COMPUTED_VALUE"""),"Vòng Kỳ Yến")</f>
        <v>Vòng Kỳ Yến</v>
      </c>
      <c r="D353" s="4" t="str">
        <f ca="1">IFERROR(__xludf.DUMMYFUNCTION("""COMPUTED_VALUE"""),"Nữ")</f>
        <v>Nữ</v>
      </c>
      <c r="E353" s="4" t="str">
        <f ca="1">IFERROR(__xludf.DUMMYFUNCTION("""COMPUTED_VALUE"""),"CÔNG TY TNHH DỊCH VỤ KIỂM TOÁN VÀ TƯ VẤN KẾ TOÁN BẮC ĐẨU")</f>
        <v>CÔNG TY TNHH DỊCH VỤ KIỂM TOÁN VÀ TƯ VẤN KẾ TOÁN BẮC ĐẨU</v>
      </c>
      <c r="F353" s="4" t="str">
        <f ca="1">IFERROR(__xludf.DUMMYFUNCTION("""COMPUTED_VALUE"""),"Chứng chỉ Kiểm toán viên")</f>
        <v>Chứng chỉ Kiểm toán viên</v>
      </c>
      <c r="G353" s="4" t="str">
        <f ca="1">IFERROR(__xludf.DUMMYFUNCTION("""COMPUTED_VALUE"""),"Trên 10 đến 15 năm")</f>
        <v>Trên 10 đến 15 năm</v>
      </c>
      <c r="H353" s="4" t="str">
        <f ca="1">IFERROR(__xludf.DUMMYFUNCTION("""COMPUTED_VALUE"""),"Kiểm toán viên/Trưởng nhóm")</f>
        <v>Kiểm toán viên/Trưởng nhóm</v>
      </c>
      <c r="I353" s="4">
        <f ca="1">IFERROR(__xludf.DUMMYFUNCTION("""COMPUTED_VALUE"""),5)</f>
        <v>5</v>
      </c>
      <c r="J353" s="4">
        <f ca="1">IFERROR(__xludf.DUMMYFUNCTION("""COMPUTED_VALUE"""),4)</f>
        <v>4</v>
      </c>
      <c r="K353" s="4">
        <f ca="1">IFERROR(__xludf.DUMMYFUNCTION("""COMPUTED_VALUE"""),4)</f>
        <v>4</v>
      </c>
      <c r="L353" s="4">
        <f ca="1">IFERROR(__xludf.DUMMYFUNCTION("""COMPUTED_VALUE"""),4)</f>
        <v>4</v>
      </c>
      <c r="M353" s="4">
        <f ca="1">IFERROR(__xludf.DUMMYFUNCTION("""COMPUTED_VALUE"""),4)</f>
        <v>4</v>
      </c>
      <c r="N353" s="4">
        <f ca="1">IFERROR(__xludf.DUMMYFUNCTION("""COMPUTED_VALUE"""),5)</f>
        <v>5</v>
      </c>
      <c r="O353" s="4">
        <f ca="1">IFERROR(__xludf.DUMMYFUNCTION("""COMPUTED_VALUE"""),5)</f>
        <v>5</v>
      </c>
      <c r="P353" s="4">
        <f ca="1">IFERROR(__xludf.DUMMYFUNCTION("""COMPUTED_VALUE"""),5)</f>
        <v>5</v>
      </c>
      <c r="Q353" s="4">
        <f ca="1">IFERROR(__xludf.DUMMYFUNCTION("""COMPUTED_VALUE"""),5)</f>
        <v>5</v>
      </c>
      <c r="R353" s="4">
        <f ca="1">IFERROR(__xludf.DUMMYFUNCTION("""COMPUTED_VALUE"""),4)</f>
        <v>4</v>
      </c>
      <c r="S353" s="4">
        <f ca="1">IFERROR(__xludf.DUMMYFUNCTION("""COMPUTED_VALUE"""),4)</f>
        <v>4</v>
      </c>
      <c r="T353" s="4">
        <f ca="1">IFERROR(__xludf.DUMMYFUNCTION("""COMPUTED_VALUE"""),4)</f>
        <v>4</v>
      </c>
      <c r="U353" s="4">
        <f ca="1">IFERROR(__xludf.DUMMYFUNCTION("""COMPUTED_VALUE"""),5)</f>
        <v>5</v>
      </c>
      <c r="V353" s="4">
        <f ca="1">IFERROR(__xludf.DUMMYFUNCTION("""COMPUTED_VALUE"""),5)</f>
        <v>5</v>
      </c>
      <c r="W353" s="4">
        <f ca="1">IFERROR(__xludf.DUMMYFUNCTION("""COMPUTED_VALUE"""),4)</f>
        <v>4</v>
      </c>
      <c r="X353" s="4">
        <f ca="1">IFERROR(__xludf.DUMMYFUNCTION("""COMPUTED_VALUE"""),4)</f>
        <v>4</v>
      </c>
      <c r="Y353" s="4">
        <f ca="1">IFERROR(__xludf.DUMMYFUNCTION("""COMPUTED_VALUE"""),4)</f>
        <v>4</v>
      </c>
      <c r="Z353" s="4">
        <f ca="1">IFERROR(__xludf.DUMMYFUNCTION("""COMPUTED_VALUE"""),4)</f>
        <v>4</v>
      </c>
      <c r="AA353" s="4">
        <f ca="1">IFERROR(__xludf.DUMMYFUNCTION("""COMPUTED_VALUE"""),5)</f>
        <v>5</v>
      </c>
      <c r="AB353" s="4">
        <f ca="1">IFERROR(__xludf.DUMMYFUNCTION("""COMPUTED_VALUE"""),4)</f>
        <v>4</v>
      </c>
      <c r="AC353" s="4">
        <f ca="1">IFERROR(__xludf.DUMMYFUNCTION("""COMPUTED_VALUE"""),4)</f>
        <v>4</v>
      </c>
      <c r="AD353" s="4">
        <f ca="1">IFERROR(__xludf.DUMMYFUNCTION("""COMPUTED_VALUE"""),2)</f>
        <v>2</v>
      </c>
      <c r="AE353" s="4">
        <f ca="1">IFERROR(__xludf.DUMMYFUNCTION("""COMPUTED_VALUE"""),4)</f>
        <v>4</v>
      </c>
      <c r="AF353" s="4">
        <f ca="1">IFERROR(__xludf.DUMMYFUNCTION("""COMPUTED_VALUE"""),5)</f>
        <v>5</v>
      </c>
      <c r="AG353" s="4">
        <f ca="1">IFERROR(__xludf.DUMMYFUNCTION("""COMPUTED_VALUE"""),5)</f>
        <v>5</v>
      </c>
      <c r="AH353" s="4">
        <f ca="1">IFERROR(__xludf.DUMMYFUNCTION("""COMPUTED_VALUE"""),5)</f>
        <v>5</v>
      </c>
      <c r="AI353" s="4">
        <f ca="1">IFERROR(__xludf.DUMMYFUNCTION("""COMPUTED_VALUE"""),4)</f>
        <v>4</v>
      </c>
      <c r="AJ353" s="4">
        <f ca="1">IFERROR(__xludf.DUMMYFUNCTION("""COMPUTED_VALUE"""),4)</f>
        <v>4</v>
      </c>
      <c r="AK353" s="4">
        <f ca="1">IFERROR(__xludf.DUMMYFUNCTION("""COMPUTED_VALUE"""),4)</f>
        <v>4</v>
      </c>
      <c r="AL353" s="4">
        <f ca="1">IFERROR(__xludf.DUMMYFUNCTION("""COMPUTED_VALUE"""),4)</f>
        <v>4</v>
      </c>
      <c r="AM353" s="4">
        <f ca="1">IFERROR(__xludf.DUMMYFUNCTION("""COMPUTED_VALUE"""),4)</f>
        <v>4</v>
      </c>
      <c r="AN353" s="4">
        <f ca="1">IFERROR(__xludf.DUMMYFUNCTION("""COMPUTED_VALUE"""),4)</f>
        <v>4</v>
      </c>
      <c r="AO353" s="4">
        <f ca="1">IFERROR(__xludf.DUMMYFUNCTION("""COMPUTED_VALUE"""),3)</f>
        <v>3</v>
      </c>
      <c r="AP353" s="4">
        <f ca="1">IFERROR(__xludf.DUMMYFUNCTION("""COMPUTED_VALUE"""),4)</f>
        <v>4</v>
      </c>
      <c r="AQ353" s="4">
        <f ca="1">IFERROR(__xludf.DUMMYFUNCTION("""COMPUTED_VALUE"""),4)</f>
        <v>4</v>
      </c>
      <c r="AR353" s="4">
        <f ca="1">IFERROR(__xludf.DUMMYFUNCTION("""COMPUTED_VALUE"""),3)</f>
        <v>3</v>
      </c>
      <c r="AS353" s="4">
        <f ca="1">IFERROR(__xludf.DUMMYFUNCTION("""COMPUTED_VALUE"""),3)</f>
        <v>3</v>
      </c>
      <c r="AT353" s="4">
        <f ca="1">IFERROR(__xludf.DUMMYFUNCTION("""COMPUTED_VALUE"""),2)</f>
        <v>2</v>
      </c>
      <c r="AU353" s="4">
        <f ca="1">IFERROR(__xludf.DUMMYFUNCTION("""COMPUTED_VALUE"""),4)</f>
        <v>4</v>
      </c>
      <c r="AV353" s="4">
        <f ca="1">IFERROR(__xludf.DUMMYFUNCTION("""COMPUTED_VALUE"""),4)</f>
        <v>4</v>
      </c>
      <c r="AW353" s="4">
        <f ca="1">IFERROR(__xludf.DUMMYFUNCTION("""COMPUTED_VALUE"""),4)</f>
        <v>4</v>
      </c>
      <c r="AX353" s="4">
        <f ca="1">IFERROR(__xludf.DUMMYFUNCTION("""COMPUTED_VALUE"""),4)</f>
        <v>4</v>
      </c>
      <c r="AY353" s="4">
        <f ca="1">IFERROR(__xludf.DUMMYFUNCTION("""COMPUTED_VALUE"""),5)</f>
        <v>5</v>
      </c>
      <c r="AZ353" s="4">
        <f ca="1">IFERROR(__xludf.DUMMYFUNCTION("""COMPUTED_VALUE"""),5)</f>
        <v>5</v>
      </c>
      <c r="BA353" s="4">
        <f ca="1">IFERROR(__xludf.DUMMYFUNCTION("""COMPUTED_VALUE"""),5)</f>
        <v>5</v>
      </c>
      <c r="BB353" s="4">
        <f ca="1">IFERROR(__xludf.DUMMYFUNCTION("""COMPUTED_VALUE"""),4)</f>
        <v>4</v>
      </c>
      <c r="BC353" s="4">
        <f ca="1">IFERROR(__xludf.DUMMYFUNCTION("""COMPUTED_VALUE"""),4)</f>
        <v>4</v>
      </c>
      <c r="BD353" s="4">
        <f ca="1">IFERROR(__xludf.DUMMYFUNCTION("""COMPUTED_VALUE"""),4)</f>
        <v>4</v>
      </c>
      <c r="BE353" s="4">
        <f ca="1">IFERROR(__xludf.DUMMYFUNCTION("""COMPUTED_VALUE"""),4)</f>
        <v>4</v>
      </c>
      <c r="BF353" s="4">
        <f ca="1">IFERROR(__xludf.DUMMYFUNCTION("""COMPUTED_VALUE"""),4)</f>
        <v>4</v>
      </c>
      <c r="BG353" s="4">
        <f ca="1">IFERROR(__xludf.DUMMYFUNCTION("""COMPUTED_VALUE"""),3)</f>
        <v>3</v>
      </c>
      <c r="BH353" s="4">
        <f ca="1">IFERROR(__xludf.DUMMYFUNCTION("""COMPUTED_VALUE"""),4)</f>
        <v>4</v>
      </c>
      <c r="BI353" s="4">
        <f ca="1">IFERROR(__xludf.DUMMYFUNCTION("""COMPUTED_VALUE"""),5)</f>
        <v>5</v>
      </c>
      <c r="BJ353" s="4">
        <f ca="1">IFERROR(__xludf.DUMMYFUNCTION("""COMPUTED_VALUE"""),5)</f>
        <v>5</v>
      </c>
      <c r="BK353" s="4">
        <f ca="1">IFERROR(__xludf.DUMMYFUNCTION("""COMPUTED_VALUE"""),5)</f>
        <v>5</v>
      </c>
      <c r="BL353" s="4">
        <f ca="1">IFERROR(__xludf.DUMMYFUNCTION("""COMPUTED_VALUE"""),5)</f>
        <v>5</v>
      </c>
      <c r="BM353" s="4">
        <f ca="1">IFERROR(__xludf.DUMMYFUNCTION("""COMPUTED_VALUE"""),5)</f>
        <v>5</v>
      </c>
      <c r="BN353" s="4">
        <f ca="1">IFERROR(__xludf.DUMMYFUNCTION("""COMPUTED_VALUE"""),5)</f>
        <v>5</v>
      </c>
      <c r="BO353" s="4">
        <f ca="1">IFERROR(__xludf.DUMMYFUNCTION("""COMPUTED_VALUE"""),5)</f>
        <v>5</v>
      </c>
      <c r="BP353" s="4">
        <f ca="1">IFERROR(__xludf.DUMMYFUNCTION("""COMPUTED_VALUE"""),4)</f>
        <v>4</v>
      </c>
    </row>
    <row r="354" spans="1:68" ht="13.2" x14ac:dyDescent="0.25">
      <c r="A354" s="4" t="str">
        <f ca="1">IFERROR(__xludf.DUMMYFUNCTION("""COMPUTED_VALUE"""),"2_ABaOnuf2jlIDXBMKMH-8brXWU65TiexmEd640HCrVy3Rn6mk6D-cWaS26e_ASrD-Kw")</f>
        <v>2_ABaOnuf2jlIDXBMKMH-8brXWU65TiexmEd640HCrVy3Rn6mk6D-cWaS26e_ASrD-Kw</v>
      </c>
      <c r="B354" s="5">
        <f ca="1">IFERROR(__xludf.DUMMYFUNCTION("""COMPUTED_VALUE"""),45986.7021137152)</f>
        <v>45986.702113715197</v>
      </c>
      <c r="C354" s="4" t="str">
        <f ca="1">IFERROR(__xludf.DUMMYFUNCTION("""COMPUTED_VALUE"""),"Huỳnh Tuấn Anh")</f>
        <v>Huỳnh Tuấn Anh</v>
      </c>
      <c r="D354" s="4" t="str">
        <f ca="1">IFERROR(__xludf.DUMMYFUNCTION("""COMPUTED_VALUE"""),"Nam")</f>
        <v>Nam</v>
      </c>
      <c r="E354" s="4" t="str">
        <f ca="1">IFERROR(__xludf.DUMMYFUNCTION("""COMPUTED_VALUE"""),"Công ty TNHH Kiểm toán NVA")</f>
        <v>Công ty TNHH Kiểm toán NVA</v>
      </c>
      <c r="F354" s="4" t="str">
        <f ca="1">IFERROR(__xludf.DUMMYFUNCTION("""COMPUTED_VALUE"""),"Sau đại học")</f>
        <v>Sau đại học</v>
      </c>
      <c r="G354" s="4" t="str">
        <f ca="1">IFERROR(__xludf.DUMMYFUNCTION("""COMPUTED_VALUE"""),"Từ 3 đến 5 năm")</f>
        <v>Từ 3 đến 5 năm</v>
      </c>
      <c r="H354" s="4" t="str">
        <f ca="1">IFERROR(__xludf.DUMMYFUNCTION("""COMPUTED_VALUE"""),"Trợ lý kiểm toán")</f>
        <v>Trợ lý kiểm toán</v>
      </c>
      <c r="I354" s="4">
        <f ca="1">IFERROR(__xludf.DUMMYFUNCTION("""COMPUTED_VALUE"""),5)</f>
        <v>5</v>
      </c>
      <c r="J354" s="4">
        <f ca="1">IFERROR(__xludf.DUMMYFUNCTION("""COMPUTED_VALUE"""),5)</f>
        <v>5</v>
      </c>
      <c r="K354" s="4">
        <f ca="1">IFERROR(__xludf.DUMMYFUNCTION("""COMPUTED_VALUE"""),3)</f>
        <v>3</v>
      </c>
      <c r="L354" s="4">
        <f ca="1">IFERROR(__xludf.DUMMYFUNCTION("""COMPUTED_VALUE"""),4)</f>
        <v>4</v>
      </c>
      <c r="M354" s="4">
        <f ca="1">IFERROR(__xludf.DUMMYFUNCTION("""COMPUTED_VALUE"""),4)</f>
        <v>4</v>
      </c>
      <c r="N354" s="4">
        <f ca="1">IFERROR(__xludf.DUMMYFUNCTION("""COMPUTED_VALUE"""),5)</f>
        <v>5</v>
      </c>
      <c r="O354" s="4">
        <f ca="1">IFERROR(__xludf.DUMMYFUNCTION("""COMPUTED_VALUE"""),2)</f>
        <v>2</v>
      </c>
      <c r="P354" s="4">
        <f ca="1">IFERROR(__xludf.DUMMYFUNCTION("""COMPUTED_VALUE"""),4)</f>
        <v>4</v>
      </c>
      <c r="Q354" s="4">
        <f ca="1">IFERROR(__xludf.DUMMYFUNCTION("""COMPUTED_VALUE"""),3)</f>
        <v>3</v>
      </c>
      <c r="R354" s="4">
        <f ca="1">IFERROR(__xludf.DUMMYFUNCTION("""COMPUTED_VALUE"""),5)</f>
        <v>5</v>
      </c>
      <c r="S354" s="4">
        <f ca="1">IFERROR(__xludf.DUMMYFUNCTION("""COMPUTED_VALUE"""),4)</f>
        <v>4</v>
      </c>
      <c r="T354" s="4">
        <f ca="1">IFERROR(__xludf.DUMMYFUNCTION("""COMPUTED_VALUE"""),4)</f>
        <v>4</v>
      </c>
      <c r="U354" s="4">
        <f ca="1">IFERROR(__xludf.DUMMYFUNCTION("""COMPUTED_VALUE"""),5)</f>
        <v>5</v>
      </c>
      <c r="V354" s="4">
        <f ca="1">IFERROR(__xludf.DUMMYFUNCTION("""COMPUTED_VALUE"""),3)</f>
        <v>3</v>
      </c>
      <c r="W354" s="4">
        <f ca="1">IFERROR(__xludf.DUMMYFUNCTION("""COMPUTED_VALUE"""),4)</f>
        <v>4</v>
      </c>
      <c r="X354" s="4">
        <f ca="1">IFERROR(__xludf.DUMMYFUNCTION("""COMPUTED_VALUE"""),2)</f>
        <v>2</v>
      </c>
      <c r="Y354" s="4">
        <f ca="1">IFERROR(__xludf.DUMMYFUNCTION("""COMPUTED_VALUE"""),5)</f>
        <v>5</v>
      </c>
      <c r="Z354" s="4">
        <f ca="1">IFERROR(__xludf.DUMMYFUNCTION("""COMPUTED_VALUE"""),3)</f>
        <v>3</v>
      </c>
      <c r="AA354" s="4">
        <f ca="1">IFERROR(__xludf.DUMMYFUNCTION("""COMPUTED_VALUE"""),3)</f>
        <v>3</v>
      </c>
      <c r="AB354" s="4">
        <f ca="1">IFERROR(__xludf.DUMMYFUNCTION("""COMPUTED_VALUE"""),4)</f>
        <v>4</v>
      </c>
      <c r="AC354" s="4">
        <f ca="1">IFERROR(__xludf.DUMMYFUNCTION("""COMPUTED_VALUE"""),5)</f>
        <v>5</v>
      </c>
      <c r="AD354" s="4">
        <f ca="1">IFERROR(__xludf.DUMMYFUNCTION("""COMPUTED_VALUE"""),2)</f>
        <v>2</v>
      </c>
      <c r="AE354" s="4">
        <f ca="1">IFERROR(__xludf.DUMMYFUNCTION("""COMPUTED_VALUE"""),3)</f>
        <v>3</v>
      </c>
      <c r="AF354" s="4">
        <f ca="1">IFERROR(__xludf.DUMMYFUNCTION("""COMPUTED_VALUE"""),5)</f>
        <v>5</v>
      </c>
      <c r="AG354" s="4">
        <f ca="1">IFERROR(__xludf.DUMMYFUNCTION("""COMPUTED_VALUE"""),4)</f>
        <v>4</v>
      </c>
      <c r="AH354" s="4">
        <f ca="1">IFERROR(__xludf.DUMMYFUNCTION("""COMPUTED_VALUE"""),3)</f>
        <v>3</v>
      </c>
      <c r="AI354" s="4">
        <f ca="1">IFERROR(__xludf.DUMMYFUNCTION("""COMPUTED_VALUE"""),3)</f>
        <v>3</v>
      </c>
      <c r="AJ354" s="4">
        <f ca="1">IFERROR(__xludf.DUMMYFUNCTION("""COMPUTED_VALUE"""),4)</f>
        <v>4</v>
      </c>
      <c r="AK354" s="4">
        <f ca="1">IFERROR(__xludf.DUMMYFUNCTION("""COMPUTED_VALUE"""),4)</f>
        <v>4</v>
      </c>
      <c r="AL354" s="4">
        <f ca="1">IFERROR(__xludf.DUMMYFUNCTION("""COMPUTED_VALUE"""),4)</f>
        <v>4</v>
      </c>
      <c r="AM354" s="4">
        <f ca="1">IFERROR(__xludf.DUMMYFUNCTION("""COMPUTED_VALUE"""),3)</f>
        <v>3</v>
      </c>
      <c r="AN354" s="4">
        <f ca="1">IFERROR(__xludf.DUMMYFUNCTION("""COMPUTED_VALUE"""),3)</f>
        <v>3</v>
      </c>
      <c r="AO354" s="4">
        <f ca="1">IFERROR(__xludf.DUMMYFUNCTION("""COMPUTED_VALUE"""),4)</f>
        <v>4</v>
      </c>
      <c r="AP354" s="4">
        <f ca="1">IFERROR(__xludf.DUMMYFUNCTION("""COMPUTED_VALUE"""),3)</f>
        <v>3</v>
      </c>
      <c r="AQ354" s="4">
        <f ca="1">IFERROR(__xludf.DUMMYFUNCTION("""COMPUTED_VALUE"""),3)</f>
        <v>3</v>
      </c>
      <c r="AR354" s="4">
        <f ca="1">IFERROR(__xludf.DUMMYFUNCTION("""COMPUTED_VALUE"""),4)</f>
        <v>4</v>
      </c>
      <c r="AS354" s="4">
        <f ca="1">IFERROR(__xludf.DUMMYFUNCTION("""COMPUTED_VALUE"""),3)</f>
        <v>3</v>
      </c>
      <c r="AT354" s="4">
        <f ca="1">IFERROR(__xludf.DUMMYFUNCTION("""COMPUTED_VALUE"""),3)</f>
        <v>3</v>
      </c>
      <c r="AU354" s="4">
        <f ca="1">IFERROR(__xludf.DUMMYFUNCTION("""COMPUTED_VALUE"""),3)</f>
        <v>3</v>
      </c>
      <c r="AV354" s="4">
        <f ca="1">IFERROR(__xludf.DUMMYFUNCTION("""COMPUTED_VALUE"""),3)</f>
        <v>3</v>
      </c>
      <c r="AW354" s="4">
        <f ca="1">IFERROR(__xludf.DUMMYFUNCTION("""COMPUTED_VALUE"""),3)</f>
        <v>3</v>
      </c>
      <c r="AX354" s="4">
        <f ca="1">IFERROR(__xludf.DUMMYFUNCTION("""COMPUTED_VALUE"""),5)</f>
        <v>5</v>
      </c>
      <c r="AY354" s="4">
        <f ca="1">IFERROR(__xludf.DUMMYFUNCTION("""COMPUTED_VALUE"""),4)</f>
        <v>4</v>
      </c>
      <c r="AZ354" s="4">
        <f ca="1">IFERROR(__xludf.DUMMYFUNCTION("""COMPUTED_VALUE"""),3)</f>
        <v>3</v>
      </c>
      <c r="BA354" s="4">
        <f ca="1">IFERROR(__xludf.DUMMYFUNCTION("""COMPUTED_VALUE"""),4)</f>
        <v>4</v>
      </c>
      <c r="BB354" s="4">
        <f ca="1">IFERROR(__xludf.DUMMYFUNCTION("""COMPUTED_VALUE"""),3)</f>
        <v>3</v>
      </c>
      <c r="BC354" s="4">
        <f ca="1">IFERROR(__xludf.DUMMYFUNCTION("""COMPUTED_VALUE"""),3)</f>
        <v>3</v>
      </c>
      <c r="BD354" s="4">
        <f ca="1">IFERROR(__xludf.DUMMYFUNCTION("""COMPUTED_VALUE"""),3)</f>
        <v>3</v>
      </c>
      <c r="BE354" s="4">
        <f ca="1">IFERROR(__xludf.DUMMYFUNCTION("""COMPUTED_VALUE"""),3)</f>
        <v>3</v>
      </c>
      <c r="BF354" s="4">
        <f ca="1">IFERROR(__xludf.DUMMYFUNCTION("""COMPUTED_VALUE"""),3)</f>
        <v>3</v>
      </c>
      <c r="BG354" s="4">
        <f ca="1">IFERROR(__xludf.DUMMYFUNCTION("""COMPUTED_VALUE"""),3)</f>
        <v>3</v>
      </c>
      <c r="BH354" s="4">
        <f ca="1">IFERROR(__xludf.DUMMYFUNCTION("""COMPUTED_VALUE"""),3)</f>
        <v>3</v>
      </c>
      <c r="BI354" s="4">
        <f ca="1">IFERROR(__xludf.DUMMYFUNCTION("""COMPUTED_VALUE"""),4)</f>
        <v>4</v>
      </c>
      <c r="BJ354" s="4">
        <f ca="1">IFERROR(__xludf.DUMMYFUNCTION("""COMPUTED_VALUE"""),4)</f>
        <v>4</v>
      </c>
      <c r="BK354" s="4">
        <f ca="1">IFERROR(__xludf.DUMMYFUNCTION("""COMPUTED_VALUE"""),5)</f>
        <v>5</v>
      </c>
      <c r="BL354" s="4">
        <f ca="1">IFERROR(__xludf.DUMMYFUNCTION("""COMPUTED_VALUE"""),3)</f>
        <v>3</v>
      </c>
      <c r="BM354" s="4">
        <f ca="1">IFERROR(__xludf.DUMMYFUNCTION("""COMPUTED_VALUE"""),3)</f>
        <v>3</v>
      </c>
      <c r="BN354" s="4">
        <f ca="1">IFERROR(__xludf.DUMMYFUNCTION("""COMPUTED_VALUE"""),4)</f>
        <v>4</v>
      </c>
      <c r="BO354" s="4">
        <f ca="1">IFERROR(__xludf.DUMMYFUNCTION("""COMPUTED_VALUE"""),3)</f>
        <v>3</v>
      </c>
      <c r="BP354" s="4">
        <f ca="1">IFERROR(__xludf.DUMMYFUNCTION("""COMPUTED_VALUE"""),4)</f>
        <v>4</v>
      </c>
    </row>
    <row r="355" spans="1:68" ht="13.2" x14ac:dyDescent="0.25">
      <c r="A355" s="4" t="str">
        <f ca="1">IFERROR(__xludf.DUMMYFUNCTION("""COMPUTED_VALUE"""),"2_ABaOnueQ-9IMiO_EHTuy6LzSX41RjJOFeh1BK9GUKIZ2KyRfsLQe8TTX6XiGeAc39g")</f>
        <v>2_ABaOnueQ-9IMiO_EHTuy6LzSX41RjJOFeh1BK9GUKIZ2KyRfsLQe8TTX6XiGeAc39g</v>
      </c>
      <c r="B355" s="5">
        <f ca="1">IFERROR(__xludf.DUMMYFUNCTION("""COMPUTED_VALUE"""),45986.7440701736)</f>
        <v>45986.744070173598</v>
      </c>
      <c r="C355" s="4" t="str">
        <f ca="1">IFERROR(__xludf.DUMMYFUNCTION("""COMPUTED_VALUE"""),"NGUYỄN VĂN TUYÊN")</f>
        <v>NGUYỄN VĂN TUYÊN</v>
      </c>
      <c r="D355" s="4" t="str">
        <f ca="1">IFERROR(__xludf.DUMMYFUNCTION("""COMPUTED_VALUE"""),"Nam")</f>
        <v>Nam</v>
      </c>
      <c r="E355" s="4" t="str">
        <f ca="1">IFERROR(__xludf.DUMMYFUNCTION("""COMPUTED_VALUE"""),"Công ty TNHH Kiểm toán NVA")</f>
        <v>Công ty TNHH Kiểm toán NVA</v>
      </c>
      <c r="F355" s="4" t="str">
        <f ca="1">IFERROR(__xludf.DUMMYFUNCTION("""COMPUTED_VALUE"""),"Đại học")</f>
        <v>Đại học</v>
      </c>
      <c r="G355" s="4" t="str">
        <f ca="1">IFERROR(__xludf.DUMMYFUNCTION("""COMPUTED_VALUE"""),"Trên 15 đến 20 năm")</f>
        <v>Trên 15 đến 20 năm</v>
      </c>
      <c r="H355" s="4" t="str">
        <f ca="1">IFERROR(__xludf.DUMMYFUNCTION("""COMPUTED_VALUE"""),"Trưởng phòng")</f>
        <v>Trưởng phòng</v>
      </c>
      <c r="I355" s="4">
        <f ca="1">IFERROR(__xludf.DUMMYFUNCTION("""COMPUTED_VALUE"""),5)</f>
        <v>5</v>
      </c>
      <c r="J355" s="4">
        <f ca="1">IFERROR(__xludf.DUMMYFUNCTION("""COMPUTED_VALUE"""),4)</f>
        <v>4</v>
      </c>
      <c r="K355" s="4">
        <f ca="1">IFERROR(__xludf.DUMMYFUNCTION("""COMPUTED_VALUE"""),4)</f>
        <v>4</v>
      </c>
      <c r="L355" s="4">
        <f ca="1">IFERROR(__xludf.DUMMYFUNCTION("""COMPUTED_VALUE"""),5)</f>
        <v>5</v>
      </c>
      <c r="M355" s="4">
        <f ca="1">IFERROR(__xludf.DUMMYFUNCTION("""COMPUTED_VALUE"""),4)</f>
        <v>4</v>
      </c>
      <c r="N355" s="4">
        <f ca="1">IFERROR(__xludf.DUMMYFUNCTION("""COMPUTED_VALUE"""),4)</f>
        <v>4</v>
      </c>
      <c r="O355" s="4">
        <f ca="1">IFERROR(__xludf.DUMMYFUNCTION("""COMPUTED_VALUE"""),4)</f>
        <v>4</v>
      </c>
      <c r="P355" s="4">
        <f ca="1">IFERROR(__xludf.DUMMYFUNCTION("""COMPUTED_VALUE"""),4)</f>
        <v>4</v>
      </c>
      <c r="Q355" s="4">
        <f ca="1">IFERROR(__xludf.DUMMYFUNCTION("""COMPUTED_VALUE"""),5)</f>
        <v>5</v>
      </c>
      <c r="R355" s="4">
        <f ca="1">IFERROR(__xludf.DUMMYFUNCTION("""COMPUTED_VALUE"""),4)</f>
        <v>4</v>
      </c>
      <c r="S355" s="4">
        <f ca="1">IFERROR(__xludf.DUMMYFUNCTION("""COMPUTED_VALUE"""),4)</f>
        <v>4</v>
      </c>
      <c r="T355" s="4">
        <f ca="1">IFERROR(__xludf.DUMMYFUNCTION("""COMPUTED_VALUE"""),5)</f>
        <v>5</v>
      </c>
      <c r="U355" s="4">
        <f ca="1">IFERROR(__xludf.DUMMYFUNCTION("""COMPUTED_VALUE"""),4)</f>
        <v>4</v>
      </c>
      <c r="V355" s="4">
        <f ca="1">IFERROR(__xludf.DUMMYFUNCTION("""COMPUTED_VALUE"""),4)</f>
        <v>4</v>
      </c>
      <c r="W355" s="4">
        <f ca="1">IFERROR(__xludf.DUMMYFUNCTION("""COMPUTED_VALUE"""),4)</f>
        <v>4</v>
      </c>
      <c r="X355" s="4">
        <f ca="1">IFERROR(__xludf.DUMMYFUNCTION("""COMPUTED_VALUE"""),4)</f>
        <v>4</v>
      </c>
      <c r="Y355" s="4">
        <f ca="1">IFERROR(__xludf.DUMMYFUNCTION("""COMPUTED_VALUE"""),4)</f>
        <v>4</v>
      </c>
      <c r="Z355" s="4">
        <f ca="1">IFERROR(__xludf.DUMMYFUNCTION("""COMPUTED_VALUE"""),5)</f>
        <v>5</v>
      </c>
      <c r="AA355" s="4">
        <f ca="1">IFERROR(__xludf.DUMMYFUNCTION("""COMPUTED_VALUE"""),4)</f>
        <v>4</v>
      </c>
      <c r="AB355" s="4">
        <f ca="1">IFERROR(__xludf.DUMMYFUNCTION("""COMPUTED_VALUE"""),4)</f>
        <v>4</v>
      </c>
      <c r="AC355" s="4">
        <f ca="1">IFERROR(__xludf.DUMMYFUNCTION("""COMPUTED_VALUE"""),4)</f>
        <v>4</v>
      </c>
      <c r="AD355" s="4">
        <f ca="1">IFERROR(__xludf.DUMMYFUNCTION("""COMPUTED_VALUE"""),5)</f>
        <v>5</v>
      </c>
      <c r="AE355" s="4">
        <f ca="1">IFERROR(__xludf.DUMMYFUNCTION("""COMPUTED_VALUE"""),5)</f>
        <v>5</v>
      </c>
      <c r="AF355" s="4">
        <f ca="1">IFERROR(__xludf.DUMMYFUNCTION("""COMPUTED_VALUE"""),4)</f>
        <v>4</v>
      </c>
      <c r="AG355" s="4">
        <f ca="1">IFERROR(__xludf.DUMMYFUNCTION("""COMPUTED_VALUE"""),4)</f>
        <v>4</v>
      </c>
      <c r="AH355" s="4">
        <f ca="1">IFERROR(__xludf.DUMMYFUNCTION("""COMPUTED_VALUE"""),5)</f>
        <v>5</v>
      </c>
      <c r="AI355" s="4">
        <f ca="1">IFERROR(__xludf.DUMMYFUNCTION("""COMPUTED_VALUE"""),4)</f>
        <v>4</v>
      </c>
      <c r="AJ355" s="4">
        <f ca="1">IFERROR(__xludf.DUMMYFUNCTION("""COMPUTED_VALUE"""),4)</f>
        <v>4</v>
      </c>
      <c r="AK355" s="4">
        <f ca="1">IFERROR(__xludf.DUMMYFUNCTION("""COMPUTED_VALUE"""),5)</f>
        <v>5</v>
      </c>
      <c r="AL355" s="4">
        <f ca="1">IFERROR(__xludf.DUMMYFUNCTION("""COMPUTED_VALUE"""),5)</f>
        <v>5</v>
      </c>
      <c r="AM355" s="4">
        <f ca="1">IFERROR(__xludf.DUMMYFUNCTION("""COMPUTED_VALUE"""),5)</f>
        <v>5</v>
      </c>
      <c r="AN355" s="4">
        <f ca="1">IFERROR(__xludf.DUMMYFUNCTION("""COMPUTED_VALUE"""),4)</f>
        <v>4</v>
      </c>
      <c r="AO355" s="4">
        <f ca="1">IFERROR(__xludf.DUMMYFUNCTION("""COMPUTED_VALUE"""),4)</f>
        <v>4</v>
      </c>
      <c r="AP355" s="4">
        <f ca="1">IFERROR(__xludf.DUMMYFUNCTION("""COMPUTED_VALUE"""),4)</f>
        <v>4</v>
      </c>
      <c r="AQ355" s="4">
        <f ca="1">IFERROR(__xludf.DUMMYFUNCTION("""COMPUTED_VALUE"""),4)</f>
        <v>4</v>
      </c>
      <c r="AR355" s="4">
        <f ca="1">IFERROR(__xludf.DUMMYFUNCTION("""COMPUTED_VALUE"""),4)</f>
        <v>4</v>
      </c>
      <c r="AS355" s="4">
        <f ca="1">IFERROR(__xludf.DUMMYFUNCTION("""COMPUTED_VALUE"""),4)</f>
        <v>4</v>
      </c>
      <c r="AT355" s="4">
        <f ca="1">IFERROR(__xludf.DUMMYFUNCTION("""COMPUTED_VALUE"""),5)</f>
        <v>5</v>
      </c>
      <c r="AU355" s="4">
        <f ca="1">IFERROR(__xludf.DUMMYFUNCTION("""COMPUTED_VALUE"""),4)</f>
        <v>4</v>
      </c>
      <c r="AV355" s="4">
        <f ca="1">IFERROR(__xludf.DUMMYFUNCTION("""COMPUTED_VALUE"""),4)</f>
        <v>4</v>
      </c>
      <c r="AW355" s="4">
        <f ca="1">IFERROR(__xludf.DUMMYFUNCTION("""COMPUTED_VALUE"""),4)</f>
        <v>4</v>
      </c>
      <c r="AX355" s="4">
        <f ca="1">IFERROR(__xludf.DUMMYFUNCTION("""COMPUTED_VALUE"""),5)</f>
        <v>5</v>
      </c>
      <c r="AY355" s="4">
        <f ca="1">IFERROR(__xludf.DUMMYFUNCTION("""COMPUTED_VALUE"""),4)</f>
        <v>4</v>
      </c>
      <c r="AZ355" s="4">
        <f ca="1">IFERROR(__xludf.DUMMYFUNCTION("""COMPUTED_VALUE"""),4)</f>
        <v>4</v>
      </c>
      <c r="BA355" s="4">
        <f ca="1">IFERROR(__xludf.DUMMYFUNCTION("""COMPUTED_VALUE"""),4)</f>
        <v>4</v>
      </c>
      <c r="BB355" s="4">
        <f ca="1">IFERROR(__xludf.DUMMYFUNCTION("""COMPUTED_VALUE"""),4)</f>
        <v>4</v>
      </c>
      <c r="BC355" s="4">
        <f ca="1">IFERROR(__xludf.DUMMYFUNCTION("""COMPUTED_VALUE"""),4)</f>
        <v>4</v>
      </c>
      <c r="BD355" s="4">
        <f ca="1">IFERROR(__xludf.DUMMYFUNCTION("""COMPUTED_VALUE"""),4)</f>
        <v>4</v>
      </c>
      <c r="BE355" s="4">
        <f ca="1">IFERROR(__xludf.DUMMYFUNCTION("""COMPUTED_VALUE"""),5)</f>
        <v>5</v>
      </c>
      <c r="BF355" s="4">
        <f ca="1">IFERROR(__xludf.DUMMYFUNCTION("""COMPUTED_VALUE"""),4)</f>
        <v>4</v>
      </c>
      <c r="BG355" s="4">
        <f ca="1">IFERROR(__xludf.DUMMYFUNCTION("""COMPUTED_VALUE"""),4)</f>
        <v>4</v>
      </c>
      <c r="BH355" s="4">
        <f ca="1">IFERROR(__xludf.DUMMYFUNCTION("""COMPUTED_VALUE"""),5)</f>
        <v>5</v>
      </c>
      <c r="BI355" s="4">
        <f ca="1">IFERROR(__xludf.DUMMYFUNCTION("""COMPUTED_VALUE"""),5)</f>
        <v>5</v>
      </c>
      <c r="BJ355" s="4">
        <f ca="1">IFERROR(__xludf.DUMMYFUNCTION("""COMPUTED_VALUE"""),5)</f>
        <v>5</v>
      </c>
      <c r="BK355" s="4">
        <f ca="1">IFERROR(__xludf.DUMMYFUNCTION("""COMPUTED_VALUE"""),5)</f>
        <v>5</v>
      </c>
      <c r="BL355" s="4">
        <f ca="1">IFERROR(__xludf.DUMMYFUNCTION("""COMPUTED_VALUE"""),5)</f>
        <v>5</v>
      </c>
      <c r="BM355" s="4">
        <f ca="1">IFERROR(__xludf.DUMMYFUNCTION("""COMPUTED_VALUE"""),4)</f>
        <v>4</v>
      </c>
      <c r="BN355" s="4">
        <f ca="1">IFERROR(__xludf.DUMMYFUNCTION("""COMPUTED_VALUE"""),4)</f>
        <v>4</v>
      </c>
      <c r="BO355" s="4">
        <f ca="1">IFERROR(__xludf.DUMMYFUNCTION("""COMPUTED_VALUE"""),4)</f>
        <v>4</v>
      </c>
      <c r="BP355" s="4">
        <f ca="1">IFERROR(__xludf.DUMMYFUNCTION("""COMPUTED_VALUE"""),4)</f>
        <v>4</v>
      </c>
    </row>
    <row r="356" spans="1:68" ht="13.2" x14ac:dyDescent="0.25">
      <c r="A356" s="4" t="str">
        <f ca="1">IFERROR(__xludf.DUMMYFUNCTION("""COMPUTED_VALUE"""),"2_ABaOnuc5AbAQRdh-CEmLLicbbVtC9JbXIEqk_1a8iyo7EEFxkBt4R98w36k51gf3yw")</f>
        <v>2_ABaOnuc5AbAQRdh-CEmLLicbbVtC9JbXIEqk_1a8iyo7EEFxkBt4R98w36k51gf3yw</v>
      </c>
      <c r="B356" s="5">
        <f ca="1">IFERROR(__xludf.DUMMYFUNCTION("""COMPUTED_VALUE"""),45986.8403049421)</f>
        <v>45986.840304942103</v>
      </c>
      <c r="C356" s="4" t="str">
        <f ca="1">IFERROR(__xludf.DUMMYFUNCTION("""COMPUTED_VALUE"""),"Hoàng Tiến Đạt")</f>
        <v>Hoàng Tiến Đạt</v>
      </c>
      <c r="D356" s="4" t="str">
        <f ca="1">IFERROR(__xludf.DUMMYFUNCTION("""COMPUTED_VALUE"""),"Nam")</f>
        <v>Nam</v>
      </c>
      <c r="E356" s="4" t="str">
        <f ca="1">IFERROR(__xludf.DUMMYFUNCTION("""COMPUTED_VALUE"""),"Công ty TNHH Kiểm toán An Việt")</f>
        <v>Công ty TNHH Kiểm toán An Việt</v>
      </c>
      <c r="F356" s="4" t="str">
        <f ca="1">IFERROR(__xludf.DUMMYFUNCTION("""COMPUTED_VALUE"""),"Chứng chỉ Kiểm toán viên")</f>
        <v>Chứng chỉ Kiểm toán viên</v>
      </c>
      <c r="G356" s="4" t="str">
        <f ca="1">IFERROR(__xludf.DUMMYFUNCTION("""COMPUTED_VALUE"""),"Trên 15 đến 20 năm")</f>
        <v>Trên 15 đến 20 năm</v>
      </c>
      <c r="H356" s="4" t="str">
        <f ca="1">IFERROR(__xludf.DUMMYFUNCTION("""COMPUTED_VALUE"""),"Kiểm toán viên/Trưởng nhóm")</f>
        <v>Kiểm toán viên/Trưởng nhóm</v>
      </c>
      <c r="I356" s="4">
        <f ca="1">IFERROR(__xludf.DUMMYFUNCTION("""COMPUTED_VALUE"""),4)</f>
        <v>4</v>
      </c>
      <c r="J356" s="4">
        <f ca="1">IFERROR(__xludf.DUMMYFUNCTION("""COMPUTED_VALUE"""),5)</f>
        <v>5</v>
      </c>
      <c r="K356" s="4">
        <f ca="1">IFERROR(__xludf.DUMMYFUNCTION("""COMPUTED_VALUE"""),4)</f>
        <v>4</v>
      </c>
      <c r="L356" s="4">
        <f ca="1">IFERROR(__xludf.DUMMYFUNCTION("""COMPUTED_VALUE"""),4)</f>
        <v>4</v>
      </c>
      <c r="M356" s="4">
        <f ca="1">IFERROR(__xludf.DUMMYFUNCTION("""COMPUTED_VALUE"""),3)</f>
        <v>3</v>
      </c>
      <c r="N356" s="4">
        <f ca="1">IFERROR(__xludf.DUMMYFUNCTION("""COMPUTED_VALUE"""),3)</f>
        <v>3</v>
      </c>
      <c r="O356" s="4">
        <f ca="1">IFERROR(__xludf.DUMMYFUNCTION("""COMPUTED_VALUE"""),4)</f>
        <v>4</v>
      </c>
      <c r="P356" s="4">
        <f ca="1">IFERROR(__xludf.DUMMYFUNCTION("""COMPUTED_VALUE"""),4)</f>
        <v>4</v>
      </c>
      <c r="Q356" s="4">
        <f ca="1">IFERROR(__xludf.DUMMYFUNCTION("""COMPUTED_VALUE"""),4)</f>
        <v>4</v>
      </c>
      <c r="R356" s="4">
        <f ca="1">IFERROR(__xludf.DUMMYFUNCTION("""COMPUTED_VALUE"""),4)</f>
        <v>4</v>
      </c>
      <c r="S356" s="4">
        <f ca="1">IFERROR(__xludf.DUMMYFUNCTION("""COMPUTED_VALUE"""),5)</f>
        <v>5</v>
      </c>
      <c r="T356" s="4">
        <f ca="1">IFERROR(__xludf.DUMMYFUNCTION("""COMPUTED_VALUE"""),5)</f>
        <v>5</v>
      </c>
      <c r="U356" s="4">
        <f ca="1">IFERROR(__xludf.DUMMYFUNCTION("""COMPUTED_VALUE"""),4)</f>
        <v>4</v>
      </c>
      <c r="V356" s="4">
        <f ca="1">IFERROR(__xludf.DUMMYFUNCTION("""COMPUTED_VALUE"""),5)</f>
        <v>5</v>
      </c>
      <c r="W356" s="4">
        <f ca="1">IFERROR(__xludf.DUMMYFUNCTION("""COMPUTED_VALUE"""),3)</f>
        <v>3</v>
      </c>
      <c r="X356" s="4">
        <f ca="1">IFERROR(__xludf.DUMMYFUNCTION("""COMPUTED_VALUE"""),4)</f>
        <v>4</v>
      </c>
      <c r="Y356" s="4">
        <f ca="1">IFERROR(__xludf.DUMMYFUNCTION("""COMPUTED_VALUE"""),4)</f>
        <v>4</v>
      </c>
      <c r="Z356" s="4">
        <f ca="1">IFERROR(__xludf.DUMMYFUNCTION("""COMPUTED_VALUE"""),3)</f>
        <v>3</v>
      </c>
      <c r="AA356" s="4">
        <f ca="1">IFERROR(__xludf.DUMMYFUNCTION("""COMPUTED_VALUE"""),4)</f>
        <v>4</v>
      </c>
      <c r="AB356" s="4">
        <f ca="1">IFERROR(__xludf.DUMMYFUNCTION("""COMPUTED_VALUE"""),4)</f>
        <v>4</v>
      </c>
      <c r="AC356" s="4">
        <f ca="1">IFERROR(__xludf.DUMMYFUNCTION("""COMPUTED_VALUE"""),4)</f>
        <v>4</v>
      </c>
      <c r="AD356" s="4">
        <f ca="1">IFERROR(__xludf.DUMMYFUNCTION("""COMPUTED_VALUE"""),5)</f>
        <v>5</v>
      </c>
      <c r="AE356" s="4">
        <f ca="1">IFERROR(__xludf.DUMMYFUNCTION("""COMPUTED_VALUE"""),4)</f>
        <v>4</v>
      </c>
      <c r="AF356" s="4">
        <f ca="1">IFERROR(__xludf.DUMMYFUNCTION("""COMPUTED_VALUE"""),4)</f>
        <v>4</v>
      </c>
      <c r="AG356" s="4">
        <f ca="1">IFERROR(__xludf.DUMMYFUNCTION("""COMPUTED_VALUE"""),4)</f>
        <v>4</v>
      </c>
      <c r="AH356" s="4">
        <f ca="1">IFERROR(__xludf.DUMMYFUNCTION("""COMPUTED_VALUE"""),5)</f>
        <v>5</v>
      </c>
      <c r="AI356" s="4">
        <f ca="1">IFERROR(__xludf.DUMMYFUNCTION("""COMPUTED_VALUE"""),3)</f>
        <v>3</v>
      </c>
      <c r="AJ356" s="4">
        <f ca="1">IFERROR(__xludf.DUMMYFUNCTION("""COMPUTED_VALUE"""),4)</f>
        <v>4</v>
      </c>
      <c r="AK356" s="4">
        <f ca="1">IFERROR(__xludf.DUMMYFUNCTION("""COMPUTED_VALUE"""),4)</f>
        <v>4</v>
      </c>
      <c r="AL356" s="4">
        <f ca="1">IFERROR(__xludf.DUMMYFUNCTION("""COMPUTED_VALUE"""),4)</f>
        <v>4</v>
      </c>
      <c r="AM356" s="4">
        <f ca="1">IFERROR(__xludf.DUMMYFUNCTION("""COMPUTED_VALUE"""),4)</f>
        <v>4</v>
      </c>
      <c r="AN356" s="4">
        <f ca="1">IFERROR(__xludf.DUMMYFUNCTION("""COMPUTED_VALUE"""),3)</f>
        <v>3</v>
      </c>
      <c r="AO356" s="4">
        <f ca="1">IFERROR(__xludf.DUMMYFUNCTION("""COMPUTED_VALUE"""),3)</f>
        <v>3</v>
      </c>
      <c r="AP356" s="4">
        <f ca="1">IFERROR(__xludf.DUMMYFUNCTION("""COMPUTED_VALUE"""),3)</f>
        <v>3</v>
      </c>
      <c r="AQ356" s="4">
        <f ca="1">IFERROR(__xludf.DUMMYFUNCTION("""COMPUTED_VALUE"""),4)</f>
        <v>4</v>
      </c>
      <c r="AR356" s="4">
        <f ca="1">IFERROR(__xludf.DUMMYFUNCTION("""COMPUTED_VALUE"""),4)</f>
        <v>4</v>
      </c>
      <c r="AS356" s="4">
        <f ca="1">IFERROR(__xludf.DUMMYFUNCTION("""COMPUTED_VALUE"""),4)</f>
        <v>4</v>
      </c>
      <c r="AT356" s="4">
        <f ca="1">IFERROR(__xludf.DUMMYFUNCTION("""COMPUTED_VALUE"""),4)</f>
        <v>4</v>
      </c>
      <c r="AU356" s="4">
        <f ca="1">IFERROR(__xludf.DUMMYFUNCTION("""COMPUTED_VALUE"""),4)</f>
        <v>4</v>
      </c>
      <c r="AV356" s="4">
        <f ca="1">IFERROR(__xludf.DUMMYFUNCTION("""COMPUTED_VALUE"""),4)</f>
        <v>4</v>
      </c>
      <c r="AW356" s="4">
        <f ca="1">IFERROR(__xludf.DUMMYFUNCTION("""COMPUTED_VALUE"""),3)</f>
        <v>3</v>
      </c>
      <c r="AX356" s="4">
        <f ca="1">IFERROR(__xludf.DUMMYFUNCTION("""COMPUTED_VALUE"""),5)</f>
        <v>5</v>
      </c>
      <c r="AY356" s="4">
        <f ca="1">IFERROR(__xludf.DUMMYFUNCTION("""COMPUTED_VALUE"""),5)</f>
        <v>5</v>
      </c>
      <c r="AZ356" s="4">
        <f ca="1">IFERROR(__xludf.DUMMYFUNCTION("""COMPUTED_VALUE"""),4)</f>
        <v>4</v>
      </c>
      <c r="BA356" s="4">
        <f ca="1">IFERROR(__xludf.DUMMYFUNCTION("""COMPUTED_VALUE"""),4)</f>
        <v>4</v>
      </c>
      <c r="BB356" s="4">
        <f ca="1">IFERROR(__xludf.DUMMYFUNCTION("""COMPUTED_VALUE"""),4)</f>
        <v>4</v>
      </c>
      <c r="BC356" s="4">
        <f ca="1">IFERROR(__xludf.DUMMYFUNCTION("""COMPUTED_VALUE"""),4)</f>
        <v>4</v>
      </c>
      <c r="BD356" s="4">
        <f ca="1">IFERROR(__xludf.DUMMYFUNCTION("""COMPUTED_VALUE"""),5)</f>
        <v>5</v>
      </c>
      <c r="BE356" s="4">
        <f ca="1">IFERROR(__xludf.DUMMYFUNCTION("""COMPUTED_VALUE"""),4)</f>
        <v>4</v>
      </c>
      <c r="BF356" s="4">
        <f ca="1">IFERROR(__xludf.DUMMYFUNCTION("""COMPUTED_VALUE"""),4)</f>
        <v>4</v>
      </c>
      <c r="BG356" s="4">
        <f ca="1">IFERROR(__xludf.DUMMYFUNCTION("""COMPUTED_VALUE"""),4)</f>
        <v>4</v>
      </c>
      <c r="BH356" s="4">
        <f ca="1">IFERROR(__xludf.DUMMYFUNCTION("""COMPUTED_VALUE"""),4)</f>
        <v>4</v>
      </c>
      <c r="BI356" s="4">
        <f ca="1">IFERROR(__xludf.DUMMYFUNCTION("""COMPUTED_VALUE"""),5)</f>
        <v>5</v>
      </c>
      <c r="BJ356" s="4">
        <f ca="1">IFERROR(__xludf.DUMMYFUNCTION("""COMPUTED_VALUE"""),4)</f>
        <v>4</v>
      </c>
      <c r="BK356" s="4">
        <f ca="1">IFERROR(__xludf.DUMMYFUNCTION("""COMPUTED_VALUE"""),5)</f>
        <v>5</v>
      </c>
      <c r="BL356" s="4">
        <f ca="1">IFERROR(__xludf.DUMMYFUNCTION("""COMPUTED_VALUE"""),4)</f>
        <v>4</v>
      </c>
      <c r="BM356" s="4">
        <f ca="1">IFERROR(__xludf.DUMMYFUNCTION("""COMPUTED_VALUE"""),4)</f>
        <v>4</v>
      </c>
      <c r="BN356" s="4">
        <f ca="1">IFERROR(__xludf.DUMMYFUNCTION("""COMPUTED_VALUE"""),4)</f>
        <v>4</v>
      </c>
      <c r="BO356" s="4">
        <f ca="1">IFERROR(__xludf.DUMMYFUNCTION("""COMPUTED_VALUE"""),4)</f>
        <v>4</v>
      </c>
      <c r="BP356" s="4">
        <f ca="1">IFERROR(__xludf.DUMMYFUNCTION("""COMPUTED_VALUE"""),4)</f>
        <v>4</v>
      </c>
    </row>
    <row r="357" spans="1:68" ht="13.2" x14ac:dyDescent="0.25">
      <c r="A357" s="4" t="str">
        <f ca="1">IFERROR(__xludf.DUMMYFUNCTION("""COMPUTED_VALUE"""),"2_ABaOnucLCnzmBUTFhMMk55iemSEzHomR4dLz7lw2JNzHXPk1tXhMc2UyhyCy_6NdOw")</f>
        <v>2_ABaOnucLCnzmBUTFhMMk55iemSEzHomR4dLz7lw2JNzHXPk1tXhMc2UyhyCy_6NdOw</v>
      </c>
      <c r="B357" s="5">
        <f ca="1">IFERROR(__xludf.DUMMYFUNCTION("""COMPUTED_VALUE"""),45987.3523026504)</f>
        <v>45987.352302650397</v>
      </c>
      <c r="C357" s="4" t="str">
        <f ca="1">IFERROR(__xludf.DUMMYFUNCTION("""COMPUTED_VALUE"""),"NGUYỄN DƯƠNG HOÀNG ANH KHOA")</f>
        <v>NGUYỄN DƯƠNG HOÀNG ANH KHOA</v>
      </c>
      <c r="D357" s="4" t="str">
        <f ca="1">IFERROR(__xludf.DUMMYFUNCTION("""COMPUTED_VALUE"""),"Nam")</f>
        <v>Nam</v>
      </c>
      <c r="E357" s="4" t="str">
        <f ca="1">IFERROR(__xludf.DUMMYFUNCTION("""COMPUTED_VALUE"""),"CÔNG TY KIỂM TOÁN NVA")</f>
        <v>CÔNG TY KIỂM TOÁN NVA</v>
      </c>
      <c r="F357" s="4" t="str">
        <f ca="1">IFERROR(__xludf.DUMMYFUNCTION("""COMPUTED_VALUE"""),"Sau đại học, Chứng chỉ Kiểm toán viên")</f>
        <v>Sau đại học, Chứng chỉ Kiểm toán viên</v>
      </c>
      <c r="G357" s="4" t="str">
        <f ca="1">IFERROR(__xludf.DUMMYFUNCTION("""COMPUTED_VALUE"""),"Trên 15 đến 20 năm")</f>
        <v>Trên 15 đến 20 năm</v>
      </c>
      <c r="H357" s="4" t="str">
        <f ca="1">IFERROR(__xludf.DUMMYFUNCTION("""COMPUTED_VALUE"""),"Trưởng phòng")</f>
        <v>Trưởng phòng</v>
      </c>
      <c r="I357" s="4">
        <f ca="1">IFERROR(__xludf.DUMMYFUNCTION("""COMPUTED_VALUE"""),4)</f>
        <v>4</v>
      </c>
      <c r="J357" s="4">
        <f ca="1">IFERROR(__xludf.DUMMYFUNCTION("""COMPUTED_VALUE"""),4)</f>
        <v>4</v>
      </c>
      <c r="K357" s="4">
        <f ca="1">IFERROR(__xludf.DUMMYFUNCTION("""COMPUTED_VALUE"""),4)</f>
        <v>4</v>
      </c>
      <c r="L357" s="4">
        <f ca="1">IFERROR(__xludf.DUMMYFUNCTION("""COMPUTED_VALUE"""),2)</f>
        <v>2</v>
      </c>
      <c r="M357" s="4">
        <f ca="1">IFERROR(__xludf.DUMMYFUNCTION("""COMPUTED_VALUE"""),4)</f>
        <v>4</v>
      </c>
      <c r="N357" s="4">
        <f ca="1">IFERROR(__xludf.DUMMYFUNCTION("""COMPUTED_VALUE"""),2)</f>
        <v>2</v>
      </c>
      <c r="O357" s="4">
        <f ca="1">IFERROR(__xludf.DUMMYFUNCTION("""COMPUTED_VALUE"""),4)</f>
        <v>4</v>
      </c>
      <c r="P357" s="4">
        <f ca="1">IFERROR(__xludf.DUMMYFUNCTION("""COMPUTED_VALUE"""),5)</f>
        <v>5</v>
      </c>
      <c r="Q357" s="4">
        <f ca="1">IFERROR(__xludf.DUMMYFUNCTION("""COMPUTED_VALUE"""),5)</f>
        <v>5</v>
      </c>
      <c r="R357" s="4">
        <f ca="1">IFERROR(__xludf.DUMMYFUNCTION("""COMPUTED_VALUE"""),5)</f>
        <v>5</v>
      </c>
      <c r="S357" s="4">
        <f ca="1">IFERROR(__xludf.DUMMYFUNCTION("""COMPUTED_VALUE"""),4)</f>
        <v>4</v>
      </c>
      <c r="T357" s="4">
        <f ca="1">IFERROR(__xludf.DUMMYFUNCTION("""COMPUTED_VALUE"""),5)</f>
        <v>5</v>
      </c>
      <c r="U357" s="4">
        <f ca="1">IFERROR(__xludf.DUMMYFUNCTION("""COMPUTED_VALUE"""),5)</f>
        <v>5</v>
      </c>
      <c r="V357" s="4">
        <f ca="1">IFERROR(__xludf.DUMMYFUNCTION("""COMPUTED_VALUE"""),5)</f>
        <v>5</v>
      </c>
      <c r="W357" s="4">
        <f ca="1">IFERROR(__xludf.DUMMYFUNCTION("""COMPUTED_VALUE"""),3)</f>
        <v>3</v>
      </c>
      <c r="X357" s="4">
        <f ca="1">IFERROR(__xludf.DUMMYFUNCTION("""COMPUTED_VALUE"""),3)</f>
        <v>3</v>
      </c>
      <c r="Y357" s="4">
        <f ca="1">IFERROR(__xludf.DUMMYFUNCTION("""COMPUTED_VALUE"""),4)</f>
        <v>4</v>
      </c>
      <c r="Z357" s="4">
        <f ca="1">IFERROR(__xludf.DUMMYFUNCTION("""COMPUTED_VALUE"""),4)</f>
        <v>4</v>
      </c>
      <c r="AA357" s="4">
        <f ca="1">IFERROR(__xludf.DUMMYFUNCTION("""COMPUTED_VALUE"""),3)</f>
        <v>3</v>
      </c>
      <c r="AB357" s="4">
        <f ca="1">IFERROR(__xludf.DUMMYFUNCTION("""COMPUTED_VALUE"""),4)</f>
        <v>4</v>
      </c>
      <c r="AC357" s="4">
        <f ca="1">IFERROR(__xludf.DUMMYFUNCTION("""COMPUTED_VALUE"""),4)</f>
        <v>4</v>
      </c>
      <c r="AD357" s="4">
        <f ca="1">IFERROR(__xludf.DUMMYFUNCTION("""COMPUTED_VALUE"""),5)</f>
        <v>5</v>
      </c>
      <c r="AE357" s="4">
        <f ca="1">IFERROR(__xludf.DUMMYFUNCTION("""COMPUTED_VALUE"""),5)</f>
        <v>5</v>
      </c>
      <c r="AF357" s="4">
        <f ca="1">IFERROR(__xludf.DUMMYFUNCTION("""COMPUTED_VALUE"""),5)</f>
        <v>5</v>
      </c>
      <c r="AG357" s="4">
        <f ca="1">IFERROR(__xludf.DUMMYFUNCTION("""COMPUTED_VALUE"""),5)</f>
        <v>5</v>
      </c>
      <c r="AH357" s="4">
        <f ca="1">IFERROR(__xludf.DUMMYFUNCTION("""COMPUTED_VALUE"""),5)</f>
        <v>5</v>
      </c>
      <c r="AI357" s="4">
        <f ca="1">IFERROR(__xludf.DUMMYFUNCTION("""COMPUTED_VALUE"""),4)</f>
        <v>4</v>
      </c>
      <c r="AJ357" s="4">
        <f ca="1">IFERROR(__xludf.DUMMYFUNCTION("""COMPUTED_VALUE"""),3)</f>
        <v>3</v>
      </c>
      <c r="AK357" s="4">
        <f ca="1">IFERROR(__xludf.DUMMYFUNCTION("""COMPUTED_VALUE"""),3)</f>
        <v>3</v>
      </c>
      <c r="AL357" s="4">
        <f ca="1">IFERROR(__xludf.DUMMYFUNCTION("""COMPUTED_VALUE"""),4)</f>
        <v>4</v>
      </c>
      <c r="AM357" s="4">
        <f ca="1">IFERROR(__xludf.DUMMYFUNCTION("""COMPUTED_VALUE"""),5)</f>
        <v>5</v>
      </c>
      <c r="AN357" s="4">
        <f ca="1">IFERROR(__xludf.DUMMYFUNCTION("""COMPUTED_VALUE"""),5)</f>
        <v>5</v>
      </c>
      <c r="AO357" s="4">
        <f ca="1">IFERROR(__xludf.DUMMYFUNCTION("""COMPUTED_VALUE"""),2)</f>
        <v>2</v>
      </c>
      <c r="AP357" s="4">
        <f ca="1">IFERROR(__xludf.DUMMYFUNCTION("""COMPUTED_VALUE"""),4)</f>
        <v>4</v>
      </c>
      <c r="AQ357" s="4">
        <f ca="1">IFERROR(__xludf.DUMMYFUNCTION("""COMPUTED_VALUE"""),4)</f>
        <v>4</v>
      </c>
      <c r="AR357" s="4">
        <f ca="1">IFERROR(__xludf.DUMMYFUNCTION("""COMPUTED_VALUE"""),5)</f>
        <v>5</v>
      </c>
      <c r="AS357" s="4">
        <f ca="1">IFERROR(__xludf.DUMMYFUNCTION("""COMPUTED_VALUE"""),2)</f>
        <v>2</v>
      </c>
      <c r="AT357" s="4">
        <f ca="1">IFERROR(__xludf.DUMMYFUNCTION("""COMPUTED_VALUE"""),5)</f>
        <v>5</v>
      </c>
      <c r="AU357" s="4">
        <f ca="1">IFERROR(__xludf.DUMMYFUNCTION("""COMPUTED_VALUE"""),3)</f>
        <v>3</v>
      </c>
      <c r="AV357" s="4">
        <f ca="1">IFERROR(__xludf.DUMMYFUNCTION("""COMPUTED_VALUE"""),5)</f>
        <v>5</v>
      </c>
      <c r="AW357" s="4">
        <f ca="1">IFERROR(__xludf.DUMMYFUNCTION("""COMPUTED_VALUE"""),5)</f>
        <v>5</v>
      </c>
      <c r="AX357" s="4">
        <f ca="1">IFERROR(__xludf.DUMMYFUNCTION("""COMPUTED_VALUE"""),5)</f>
        <v>5</v>
      </c>
      <c r="AY357" s="4">
        <f ca="1">IFERROR(__xludf.DUMMYFUNCTION("""COMPUTED_VALUE"""),5)</f>
        <v>5</v>
      </c>
      <c r="AZ357" s="4">
        <f ca="1">IFERROR(__xludf.DUMMYFUNCTION("""COMPUTED_VALUE"""),5)</f>
        <v>5</v>
      </c>
      <c r="BA357" s="4">
        <f ca="1">IFERROR(__xludf.DUMMYFUNCTION("""COMPUTED_VALUE"""),5)</f>
        <v>5</v>
      </c>
      <c r="BB357" s="4">
        <f ca="1">IFERROR(__xludf.DUMMYFUNCTION("""COMPUTED_VALUE"""),3)</f>
        <v>3</v>
      </c>
      <c r="BC357" s="4">
        <f ca="1">IFERROR(__xludf.DUMMYFUNCTION("""COMPUTED_VALUE"""),4)</f>
        <v>4</v>
      </c>
      <c r="BD357" s="4">
        <f ca="1">IFERROR(__xludf.DUMMYFUNCTION("""COMPUTED_VALUE"""),5)</f>
        <v>5</v>
      </c>
      <c r="BE357" s="4">
        <f ca="1">IFERROR(__xludf.DUMMYFUNCTION("""COMPUTED_VALUE"""),4)</f>
        <v>4</v>
      </c>
      <c r="BF357" s="4">
        <f ca="1">IFERROR(__xludf.DUMMYFUNCTION("""COMPUTED_VALUE"""),5)</f>
        <v>5</v>
      </c>
      <c r="BG357" s="4">
        <f ca="1">IFERROR(__xludf.DUMMYFUNCTION("""COMPUTED_VALUE"""),5)</f>
        <v>5</v>
      </c>
      <c r="BH357" s="4">
        <f ca="1">IFERROR(__xludf.DUMMYFUNCTION("""COMPUTED_VALUE"""),4)</f>
        <v>4</v>
      </c>
      <c r="BI357" s="4">
        <f ca="1">IFERROR(__xludf.DUMMYFUNCTION("""COMPUTED_VALUE"""),4)</f>
        <v>4</v>
      </c>
      <c r="BJ357" s="4">
        <f ca="1">IFERROR(__xludf.DUMMYFUNCTION("""COMPUTED_VALUE"""),4)</f>
        <v>4</v>
      </c>
      <c r="BK357" s="4">
        <f ca="1">IFERROR(__xludf.DUMMYFUNCTION("""COMPUTED_VALUE"""),2)</f>
        <v>2</v>
      </c>
      <c r="BL357" s="4">
        <f ca="1">IFERROR(__xludf.DUMMYFUNCTION("""COMPUTED_VALUE"""),4)</f>
        <v>4</v>
      </c>
      <c r="BM357" s="4">
        <f ca="1">IFERROR(__xludf.DUMMYFUNCTION("""COMPUTED_VALUE"""),2)</f>
        <v>2</v>
      </c>
      <c r="BN357" s="4">
        <f ca="1">IFERROR(__xludf.DUMMYFUNCTION("""COMPUTED_VALUE"""),4)</f>
        <v>4</v>
      </c>
      <c r="BO357" s="4">
        <f ca="1">IFERROR(__xludf.DUMMYFUNCTION("""COMPUTED_VALUE"""),5)</f>
        <v>5</v>
      </c>
      <c r="BP357" s="4">
        <f ca="1">IFERROR(__xludf.DUMMYFUNCTION("""COMPUTED_VALUE"""),4)</f>
        <v>4</v>
      </c>
    </row>
    <row r="358" spans="1:68" ht="13.2" x14ac:dyDescent="0.25">
      <c r="A358" s="4" t="str">
        <f ca="1">IFERROR(__xludf.DUMMYFUNCTION("""COMPUTED_VALUE"""),"2_ABaOnucCLWWkfAZ1dxY4Alqc4hg90zV9B8i6OxISmskr8zprwfp2WyX3tt0WhzQLdA")</f>
        <v>2_ABaOnucCLWWkfAZ1dxY4Alqc4hg90zV9B8i6OxISmskr8zprwfp2WyX3tt0WhzQLdA</v>
      </c>
      <c r="B358" s="5">
        <f ca="1">IFERROR(__xludf.DUMMYFUNCTION("""COMPUTED_VALUE"""),45987.3557422338)</f>
        <v>45987.355742233798</v>
      </c>
      <c r="C358" s="4" t="str">
        <f ca="1">IFERROR(__xludf.DUMMYFUNCTION("""COMPUTED_VALUE"""),"Nguyễn Minh Hoàng")</f>
        <v>Nguyễn Minh Hoàng</v>
      </c>
      <c r="D358" s="4" t="str">
        <f ca="1">IFERROR(__xludf.DUMMYFUNCTION("""COMPUTED_VALUE"""),"Nam")</f>
        <v>Nam</v>
      </c>
      <c r="E358" s="4" t="str">
        <f ca="1">IFERROR(__xludf.DUMMYFUNCTION("""COMPUTED_VALUE"""),"Công ty TNHH Kiểm toán CPA")</f>
        <v>Công ty TNHH Kiểm toán CPA</v>
      </c>
      <c r="F358" s="4" t="str">
        <f ca="1">IFERROR(__xludf.DUMMYFUNCTION("""COMPUTED_VALUE"""),"Đại học")</f>
        <v>Đại học</v>
      </c>
      <c r="G358" s="4" t="str">
        <f ca="1">IFERROR(__xludf.DUMMYFUNCTION("""COMPUTED_VALUE"""),"Từ 3 đến 5 năm")</f>
        <v>Từ 3 đến 5 năm</v>
      </c>
      <c r="H358" s="4" t="str">
        <f ca="1">IFERROR(__xludf.DUMMYFUNCTION("""COMPUTED_VALUE"""),"Trợ lý kiểm toán")</f>
        <v>Trợ lý kiểm toán</v>
      </c>
      <c r="I358" s="4">
        <f ca="1">IFERROR(__xludf.DUMMYFUNCTION("""COMPUTED_VALUE"""),5)</f>
        <v>5</v>
      </c>
      <c r="J358" s="4">
        <f ca="1">IFERROR(__xludf.DUMMYFUNCTION("""COMPUTED_VALUE"""),5)</f>
        <v>5</v>
      </c>
      <c r="K358" s="4">
        <f ca="1">IFERROR(__xludf.DUMMYFUNCTION("""COMPUTED_VALUE"""),5)</f>
        <v>5</v>
      </c>
      <c r="L358" s="4">
        <f ca="1">IFERROR(__xludf.DUMMYFUNCTION("""COMPUTED_VALUE"""),5)</f>
        <v>5</v>
      </c>
      <c r="M358" s="4">
        <f ca="1">IFERROR(__xludf.DUMMYFUNCTION("""COMPUTED_VALUE"""),5)</f>
        <v>5</v>
      </c>
      <c r="N358" s="4">
        <f ca="1">IFERROR(__xludf.DUMMYFUNCTION("""COMPUTED_VALUE"""),5)</f>
        <v>5</v>
      </c>
      <c r="O358" s="4">
        <f ca="1">IFERROR(__xludf.DUMMYFUNCTION("""COMPUTED_VALUE"""),5)</f>
        <v>5</v>
      </c>
      <c r="P358" s="4">
        <f ca="1">IFERROR(__xludf.DUMMYFUNCTION("""COMPUTED_VALUE"""),5)</f>
        <v>5</v>
      </c>
      <c r="Q358" s="4">
        <f ca="1">IFERROR(__xludf.DUMMYFUNCTION("""COMPUTED_VALUE"""),5)</f>
        <v>5</v>
      </c>
      <c r="R358" s="4">
        <f ca="1">IFERROR(__xludf.DUMMYFUNCTION("""COMPUTED_VALUE"""),5)</f>
        <v>5</v>
      </c>
      <c r="S358" s="4">
        <f ca="1">IFERROR(__xludf.DUMMYFUNCTION("""COMPUTED_VALUE"""),5)</f>
        <v>5</v>
      </c>
      <c r="T358" s="4">
        <f ca="1">IFERROR(__xludf.DUMMYFUNCTION("""COMPUTED_VALUE"""),5)</f>
        <v>5</v>
      </c>
      <c r="U358" s="4">
        <f ca="1">IFERROR(__xludf.DUMMYFUNCTION("""COMPUTED_VALUE"""),5)</f>
        <v>5</v>
      </c>
      <c r="V358" s="4">
        <f ca="1">IFERROR(__xludf.DUMMYFUNCTION("""COMPUTED_VALUE"""),5)</f>
        <v>5</v>
      </c>
      <c r="W358" s="4">
        <f ca="1">IFERROR(__xludf.DUMMYFUNCTION("""COMPUTED_VALUE"""),4)</f>
        <v>4</v>
      </c>
      <c r="X358" s="4">
        <f ca="1">IFERROR(__xludf.DUMMYFUNCTION("""COMPUTED_VALUE"""),3)</f>
        <v>3</v>
      </c>
      <c r="Y358" s="4">
        <f ca="1">IFERROR(__xludf.DUMMYFUNCTION("""COMPUTED_VALUE"""),4)</f>
        <v>4</v>
      </c>
      <c r="Z358" s="4">
        <f ca="1">IFERROR(__xludf.DUMMYFUNCTION("""COMPUTED_VALUE"""),4)</f>
        <v>4</v>
      </c>
      <c r="AA358" s="4">
        <f ca="1">IFERROR(__xludf.DUMMYFUNCTION("""COMPUTED_VALUE"""),4)</f>
        <v>4</v>
      </c>
      <c r="AB358" s="4">
        <f ca="1">IFERROR(__xludf.DUMMYFUNCTION("""COMPUTED_VALUE"""),5)</f>
        <v>5</v>
      </c>
      <c r="AC358" s="4">
        <f ca="1">IFERROR(__xludf.DUMMYFUNCTION("""COMPUTED_VALUE"""),5)</f>
        <v>5</v>
      </c>
      <c r="AD358" s="4">
        <f ca="1">IFERROR(__xludf.DUMMYFUNCTION("""COMPUTED_VALUE"""),3)</f>
        <v>3</v>
      </c>
      <c r="AE358" s="4">
        <f ca="1">IFERROR(__xludf.DUMMYFUNCTION("""COMPUTED_VALUE"""),4)</f>
        <v>4</v>
      </c>
      <c r="AF358" s="4">
        <f ca="1">IFERROR(__xludf.DUMMYFUNCTION("""COMPUTED_VALUE"""),4)</f>
        <v>4</v>
      </c>
      <c r="AG358" s="4">
        <f ca="1">IFERROR(__xludf.DUMMYFUNCTION("""COMPUTED_VALUE"""),4)</f>
        <v>4</v>
      </c>
      <c r="AH358" s="4">
        <f ca="1">IFERROR(__xludf.DUMMYFUNCTION("""COMPUTED_VALUE"""),4)</f>
        <v>4</v>
      </c>
      <c r="AI358" s="4">
        <f ca="1">IFERROR(__xludf.DUMMYFUNCTION("""COMPUTED_VALUE"""),3)</f>
        <v>3</v>
      </c>
      <c r="AJ358" s="4">
        <f ca="1">IFERROR(__xludf.DUMMYFUNCTION("""COMPUTED_VALUE"""),4)</f>
        <v>4</v>
      </c>
      <c r="AK358" s="4">
        <f ca="1">IFERROR(__xludf.DUMMYFUNCTION("""COMPUTED_VALUE"""),4)</f>
        <v>4</v>
      </c>
      <c r="AL358" s="4">
        <f ca="1">IFERROR(__xludf.DUMMYFUNCTION("""COMPUTED_VALUE"""),5)</f>
        <v>5</v>
      </c>
      <c r="AM358" s="4">
        <f ca="1">IFERROR(__xludf.DUMMYFUNCTION("""COMPUTED_VALUE"""),4)</f>
        <v>4</v>
      </c>
      <c r="AN358" s="4">
        <f ca="1">IFERROR(__xludf.DUMMYFUNCTION("""COMPUTED_VALUE"""),4)</f>
        <v>4</v>
      </c>
      <c r="AO358" s="4">
        <f ca="1">IFERROR(__xludf.DUMMYFUNCTION("""COMPUTED_VALUE"""),3)</f>
        <v>3</v>
      </c>
      <c r="AP358" s="4">
        <f ca="1">IFERROR(__xludf.DUMMYFUNCTION("""COMPUTED_VALUE"""),3)</f>
        <v>3</v>
      </c>
      <c r="AQ358" s="4">
        <f ca="1">IFERROR(__xludf.DUMMYFUNCTION("""COMPUTED_VALUE"""),3)</f>
        <v>3</v>
      </c>
      <c r="AR358" s="4">
        <f ca="1">IFERROR(__xludf.DUMMYFUNCTION("""COMPUTED_VALUE"""),3)</f>
        <v>3</v>
      </c>
      <c r="AS358" s="4">
        <f ca="1">IFERROR(__xludf.DUMMYFUNCTION("""COMPUTED_VALUE"""),3)</f>
        <v>3</v>
      </c>
      <c r="AT358" s="4">
        <f ca="1">IFERROR(__xludf.DUMMYFUNCTION("""COMPUTED_VALUE"""),3)</f>
        <v>3</v>
      </c>
      <c r="AU358" s="4">
        <f ca="1">IFERROR(__xludf.DUMMYFUNCTION("""COMPUTED_VALUE"""),3)</f>
        <v>3</v>
      </c>
      <c r="AV358" s="4">
        <f ca="1">IFERROR(__xludf.DUMMYFUNCTION("""COMPUTED_VALUE"""),3)</f>
        <v>3</v>
      </c>
      <c r="AW358" s="4">
        <f ca="1">IFERROR(__xludf.DUMMYFUNCTION("""COMPUTED_VALUE"""),3)</f>
        <v>3</v>
      </c>
      <c r="AX358" s="4">
        <f ca="1">IFERROR(__xludf.DUMMYFUNCTION("""COMPUTED_VALUE"""),5)</f>
        <v>5</v>
      </c>
      <c r="AY358" s="4">
        <f ca="1">IFERROR(__xludf.DUMMYFUNCTION("""COMPUTED_VALUE"""),5)</f>
        <v>5</v>
      </c>
      <c r="AZ358" s="4">
        <f ca="1">IFERROR(__xludf.DUMMYFUNCTION("""COMPUTED_VALUE"""),5)</f>
        <v>5</v>
      </c>
      <c r="BA358" s="4">
        <f ca="1">IFERROR(__xludf.DUMMYFUNCTION("""COMPUTED_VALUE"""),5)</f>
        <v>5</v>
      </c>
      <c r="BB358" s="4">
        <f ca="1">IFERROR(__xludf.DUMMYFUNCTION("""COMPUTED_VALUE"""),3)</f>
        <v>3</v>
      </c>
      <c r="BC358" s="4">
        <f ca="1">IFERROR(__xludf.DUMMYFUNCTION("""COMPUTED_VALUE"""),3)</f>
        <v>3</v>
      </c>
      <c r="BD358" s="4">
        <f ca="1">IFERROR(__xludf.DUMMYFUNCTION("""COMPUTED_VALUE"""),3)</f>
        <v>3</v>
      </c>
      <c r="BE358" s="4">
        <f ca="1">IFERROR(__xludf.DUMMYFUNCTION("""COMPUTED_VALUE"""),3)</f>
        <v>3</v>
      </c>
      <c r="BF358" s="4">
        <f ca="1">IFERROR(__xludf.DUMMYFUNCTION("""COMPUTED_VALUE"""),3)</f>
        <v>3</v>
      </c>
      <c r="BG358" s="4">
        <f ca="1">IFERROR(__xludf.DUMMYFUNCTION("""COMPUTED_VALUE"""),3)</f>
        <v>3</v>
      </c>
      <c r="BH358" s="4">
        <f ca="1">IFERROR(__xludf.DUMMYFUNCTION("""COMPUTED_VALUE"""),4)</f>
        <v>4</v>
      </c>
      <c r="BI358" s="4">
        <f ca="1">IFERROR(__xludf.DUMMYFUNCTION("""COMPUTED_VALUE"""),4)</f>
        <v>4</v>
      </c>
      <c r="BJ358" s="4">
        <f ca="1">IFERROR(__xludf.DUMMYFUNCTION("""COMPUTED_VALUE"""),4)</f>
        <v>4</v>
      </c>
      <c r="BK358" s="4">
        <f ca="1">IFERROR(__xludf.DUMMYFUNCTION("""COMPUTED_VALUE"""),4)</f>
        <v>4</v>
      </c>
      <c r="BL358" s="4">
        <f ca="1">IFERROR(__xludf.DUMMYFUNCTION("""COMPUTED_VALUE"""),5)</f>
        <v>5</v>
      </c>
      <c r="BM358" s="4">
        <f ca="1">IFERROR(__xludf.DUMMYFUNCTION("""COMPUTED_VALUE"""),5)</f>
        <v>5</v>
      </c>
      <c r="BN358" s="4">
        <f ca="1">IFERROR(__xludf.DUMMYFUNCTION("""COMPUTED_VALUE"""),3)</f>
        <v>3</v>
      </c>
      <c r="BO358" s="4">
        <f ca="1">IFERROR(__xludf.DUMMYFUNCTION("""COMPUTED_VALUE"""),4)</f>
        <v>4</v>
      </c>
      <c r="BP358" s="4">
        <f ca="1">IFERROR(__xludf.DUMMYFUNCTION("""COMPUTED_VALUE"""),4)</f>
        <v>4</v>
      </c>
    </row>
    <row r="359" spans="1:68" ht="13.2" x14ac:dyDescent="0.25">
      <c r="A359" s="4" t="str">
        <f ca="1">IFERROR(__xludf.DUMMYFUNCTION("""COMPUTED_VALUE"""),"2_ABaOnufyIxjF_fQIkse1s3ORYRvj0v5MwK2kcLfmJzr3gfh8R_E1mia-9BWU29Afvw")</f>
        <v>2_ABaOnufyIxjF_fQIkse1s3ORYRvj0v5MwK2kcLfmJzr3gfh8R_E1mia-9BWU29Afvw</v>
      </c>
      <c r="B359" s="5">
        <f ca="1">IFERROR(__xludf.DUMMYFUNCTION("""COMPUTED_VALUE"""),45987.4498810763)</f>
        <v>45987.449881076303</v>
      </c>
      <c r="C359" s="4" t="str">
        <f ca="1">IFERROR(__xludf.DUMMYFUNCTION("""COMPUTED_VALUE"""),"Nguyễn Thị Tường Vi")</f>
        <v>Nguyễn Thị Tường Vi</v>
      </c>
      <c r="D359" s="4" t="str">
        <f ca="1">IFERROR(__xludf.DUMMYFUNCTION("""COMPUTED_VALUE"""),"Nữ")</f>
        <v>Nữ</v>
      </c>
      <c r="E359" s="4" t="str">
        <f ca="1">IFERROR(__xludf.DUMMYFUNCTION("""COMPUTED_VALUE"""),"Công ty Kiểm toán Com.pt")</f>
        <v>Công ty Kiểm toán Com.pt</v>
      </c>
      <c r="F359" s="4" t="str">
        <f ca="1">IFERROR(__xludf.DUMMYFUNCTION("""COMPUTED_VALUE"""),"Đại học")</f>
        <v>Đại học</v>
      </c>
      <c r="G359" s="4" t="str">
        <f ca="1">IFERROR(__xludf.DUMMYFUNCTION("""COMPUTED_VALUE"""),"Trên 10 đến 15 năm")</f>
        <v>Trên 10 đến 15 năm</v>
      </c>
      <c r="H359" s="4" t="str">
        <f ca="1">IFERROR(__xludf.DUMMYFUNCTION("""COMPUTED_VALUE"""),"Kiểm toán viên/Trưởng nhóm")</f>
        <v>Kiểm toán viên/Trưởng nhóm</v>
      </c>
      <c r="I359" s="4">
        <f ca="1">IFERROR(__xludf.DUMMYFUNCTION("""COMPUTED_VALUE"""),5)</f>
        <v>5</v>
      </c>
      <c r="J359" s="4">
        <f ca="1">IFERROR(__xludf.DUMMYFUNCTION("""COMPUTED_VALUE"""),5)</f>
        <v>5</v>
      </c>
      <c r="K359" s="4">
        <f ca="1">IFERROR(__xludf.DUMMYFUNCTION("""COMPUTED_VALUE"""),5)</f>
        <v>5</v>
      </c>
      <c r="L359" s="4">
        <f ca="1">IFERROR(__xludf.DUMMYFUNCTION("""COMPUTED_VALUE"""),4)</f>
        <v>4</v>
      </c>
      <c r="M359" s="4">
        <f ca="1">IFERROR(__xludf.DUMMYFUNCTION("""COMPUTED_VALUE"""),5)</f>
        <v>5</v>
      </c>
      <c r="N359" s="4">
        <f ca="1">IFERROR(__xludf.DUMMYFUNCTION("""COMPUTED_VALUE"""),4)</f>
        <v>4</v>
      </c>
      <c r="O359" s="4">
        <f ca="1">IFERROR(__xludf.DUMMYFUNCTION("""COMPUTED_VALUE"""),4)</f>
        <v>4</v>
      </c>
      <c r="P359" s="4">
        <f ca="1">IFERROR(__xludf.DUMMYFUNCTION("""COMPUTED_VALUE"""),4)</f>
        <v>4</v>
      </c>
      <c r="Q359" s="4">
        <f ca="1">IFERROR(__xludf.DUMMYFUNCTION("""COMPUTED_VALUE"""),5)</f>
        <v>5</v>
      </c>
      <c r="R359" s="4">
        <f ca="1">IFERROR(__xludf.DUMMYFUNCTION("""COMPUTED_VALUE"""),4)</f>
        <v>4</v>
      </c>
      <c r="S359" s="4">
        <f ca="1">IFERROR(__xludf.DUMMYFUNCTION("""COMPUTED_VALUE"""),5)</f>
        <v>5</v>
      </c>
      <c r="T359" s="4">
        <f ca="1">IFERROR(__xludf.DUMMYFUNCTION("""COMPUTED_VALUE"""),4)</f>
        <v>4</v>
      </c>
      <c r="U359" s="4">
        <f ca="1">IFERROR(__xludf.DUMMYFUNCTION("""COMPUTED_VALUE"""),4)</f>
        <v>4</v>
      </c>
      <c r="V359" s="4">
        <f ca="1">IFERROR(__xludf.DUMMYFUNCTION("""COMPUTED_VALUE"""),4)</f>
        <v>4</v>
      </c>
      <c r="W359" s="4">
        <f ca="1">IFERROR(__xludf.DUMMYFUNCTION("""COMPUTED_VALUE"""),4)</f>
        <v>4</v>
      </c>
      <c r="X359" s="4">
        <f ca="1">IFERROR(__xludf.DUMMYFUNCTION("""COMPUTED_VALUE"""),4)</f>
        <v>4</v>
      </c>
      <c r="Y359" s="4">
        <f ca="1">IFERROR(__xludf.DUMMYFUNCTION("""COMPUTED_VALUE"""),3)</f>
        <v>3</v>
      </c>
      <c r="Z359" s="4">
        <f ca="1">IFERROR(__xludf.DUMMYFUNCTION("""COMPUTED_VALUE"""),3)</f>
        <v>3</v>
      </c>
      <c r="AA359" s="4">
        <f ca="1">IFERROR(__xludf.DUMMYFUNCTION("""COMPUTED_VALUE"""),2)</f>
        <v>2</v>
      </c>
      <c r="AB359" s="4">
        <f ca="1">IFERROR(__xludf.DUMMYFUNCTION("""COMPUTED_VALUE"""),4)</f>
        <v>4</v>
      </c>
      <c r="AC359" s="4">
        <f ca="1">IFERROR(__xludf.DUMMYFUNCTION("""COMPUTED_VALUE"""),4)</f>
        <v>4</v>
      </c>
      <c r="AD359" s="4">
        <f ca="1">IFERROR(__xludf.DUMMYFUNCTION("""COMPUTED_VALUE"""),3)</f>
        <v>3</v>
      </c>
      <c r="AE359" s="4">
        <f ca="1">IFERROR(__xludf.DUMMYFUNCTION("""COMPUTED_VALUE"""),5)</f>
        <v>5</v>
      </c>
      <c r="AF359" s="4">
        <f ca="1">IFERROR(__xludf.DUMMYFUNCTION("""COMPUTED_VALUE"""),5)</f>
        <v>5</v>
      </c>
      <c r="AG359" s="4">
        <f ca="1">IFERROR(__xludf.DUMMYFUNCTION("""COMPUTED_VALUE"""),5)</f>
        <v>5</v>
      </c>
      <c r="AH359" s="4">
        <f ca="1">IFERROR(__xludf.DUMMYFUNCTION("""COMPUTED_VALUE"""),5)</f>
        <v>5</v>
      </c>
      <c r="AI359" s="4">
        <f ca="1">IFERROR(__xludf.DUMMYFUNCTION("""COMPUTED_VALUE"""),4)</f>
        <v>4</v>
      </c>
      <c r="AJ359" s="4">
        <f ca="1">IFERROR(__xludf.DUMMYFUNCTION("""COMPUTED_VALUE"""),4)</f>
        <v>4</v>
      </c>
      <c r="AK359" s="4">
        <f ca="1">IFERROR(__xludf.DUMMYFUNCTION("""COMPUTED_VALUE"""),4)</f>
        <v>4</v>
      </c>
      <c r="AL359" s="4">
        <f ca="1">IFERROR(__xludf.DUMMYFUNCTION("""COMPUTED_VALUE"""),4)</f>
        <v>4</v>
      </c>
      <c r="AM359" s="4">
        <f ca="1">IFERROR(__xludf.DUMMYFUNCTION("""COMPUTED_VALUE"""),4)</f>
        <v>4</v>
      </c>
      <c r="AN359" s="4">
        <f ca="1">IFERROR(__xludf.DUMMYFUNCTION("""COMPUTED_VALUE"""),4)</f>
        <v>4</v>
      </c>
      <c r="AO359" s="4">
        <f ca="1">IFERROR(__xludf.DUMMYFUNCTION("""COMPUTED_VALUE"""),3)</f>
        <v>3</v>
      </c>
      <c r="AP359" s="4">
        <f ca="1">IFERROR(__xludf.DUMMYFUNCTION("""COMPUTED_VALUE"""),4)</f>
        <v>4</v>
      </c>
      <c r="AQ359" s="4">
        <f ca="1">IFERROR(__xludf.DUMMYFUNCTION("""COMPUTED_VALUE"""),4)</f>
        <v>4</v>
      </c>
      <c r="AR359" s="4">
        <f ca="1">IFERROR(__xludf.DUMMYFUNCTION("""COMPUTED_VALUE"""),4)</f>
        <v>4</v>
      </c>
      <c r="AS359" s="4">
        <f ca="1">IFERROR(__xludf.DUMMYFUNCTION("""COMPUTED_VALUE"""),4)</f>
        <v>4</v>
      </c>
      <c r="AT359" s="4">
        <f ca="1">IFERROR(__xludf.DUMMYFUNCTION("""COMPUTED_VALUE"""),4)</f>
        <v>4</v>
      </c>
      <c r="AU359" s="4">
        <f ca="1">IFERROR(__xludf.DUMMYFUNCTION("""COMPUTED_VALUE"""),4)</f>
        <v>4</v>
      </c>
      <c r="AV359" s="4">
        <f ca="1">IFERROR(__xludf.DUMMYFUNCTION("""COMPUTED_VALUE"""),4)</f>
        <v>4</v>
      </c>
      <c r="AW359" s="4">
        <f ca="1">IFERROR(__xludf.DUMMYFUNCTION("""COMPUTED_VALUE"""),4)</f>
        <v>4</v>
      </c>
      <c r="AX359" s="4">
        <f ca="1">IFERROR(__xludf.DUMMYFUNCTION("""COMPUTED_VALUE"""),5)</f>
        <v>5</v>
      </c>
      <c r="AY359" s="4">
        <f ca="1">IFERROR(__xludf.DUMMYFUNCTION("""COMPUTED_VALUE"""),5)</f>
        <v>5</v>
      </c>
      <c r="AZ359" s="4">
        <f ca="1">IFERROR(__xludf.DUMMYFUNCTION("""COMPUTED_VALUE"""),5)</f>
        <v>5</v>
      </c>
      <c r="BA359" s="4">
        <f ca="1">IFERROR(__xludf.DUMMYFUNCTION("""COMPUTED_VALUE"""),5)</f>
        <v>5</v>
      </c>
      <c r="BB359" s="4">
        <f ca="1">IFERROR(__xludf.DUMMYFUNCTION("""COMPUTED_VALUE"""),2)</f>
        <v>2</v>
      </c>
      <c r="BC359" s="4">
        <f ca="1">IFERROR(__xludf.DUMMYFUNCTION("""COMPUTED_VALUE"""),2)</f>
        <v>2</v>
      </c>
      <c r="BD359" s="4">
        <f ca="1">IFERROR(__xludf.DUMMYFUNCTION("""COMPUTED_VALUE"""),2)</f>
        <v>2</v>
      </c>
      <c r="BE359" s="4">
        <f ca="1">IFERROR(__xludf.DUMMYFUNCTION("""COMPUTED_VALUE"""),2)</f>
        <v>2</v>
      </c>
      <c r="BF359" s="4">
        <f ca="1">IFERROR(__xludf.DUMMYFUNCTION("""COMPUTED_VALUE"""),2)</f>
        <v>2</v>
      </c>
      <c r="BG359" s="4">
        <f ca="1">IFERROR(__xludf.DUMMYFUNCTION("""COMPUTED_VALUE"""),2)</f>
        <v>2</v>
      </c>
      <c r="BH359" s="4">
        <f ca="1">IFERROR(__xludf.DUMMYFUNCTION("""COMPUTED_VALUE"""),4)</f>
        <v>4</v>
      </c>
      <c r="BI359" s="4">
        <f ca="1">IFERROR(__xludf.DUMMYFUNCTION("""COMPUTED_VALUE"""),4)</f>
        <v>4</v>
      </c>
      <c r="BJ359" s="4">
        <f ca="1">IFERROR(__xludf.DUMMYFUNCTION("""COMPUTED_VALUE"""),4)</f>
        <v>4</v>
      </c>
      <c r="BK359" s="4">
        <f ca="1">IFERROR(__xludf.DUMMYFUNCTION("""COMPUTED_VALUE"""),4)</f>
        <v>4</v>
      </c>
      <c r="BL359" s="4">
        <f ca="1">IFERROR(__xludf.DUMMYFUNCTION("""COMPUTED_VALUE"""),4)</f>
        <v>4</v>
      </c>
      <c r="BM359" s="4">
        <f ca="1">IFERROR(__xludf.DUMMYFUNCTION("""COMPUTED_VALUE"""),4)</f>
        <v>4</v>
      </c>
      <c r="BN359" s="4">
        <f ca="1">IFERROR(__xludf.DUMMYFUNCTION("""COMPUTED_VALUE"""),4)</f>
        <v>4</v>
      </c>
      <c r="BO359" s="4">
        <f ca="1">IFERROR(__xludf.DUMMYFUNCTION("""COMPUTED_VALUE"""),5)</f>
        <v>5</v>
      </c>
      <c r="BP359" s="4">
        <f ca="1">IFERROR(__xludf.DUMMYFUNCTION("""COMPUTED_VALUE"""),3)</f>
        <v>3</v>
      </c>
    </row>
    <row r="360" spans="1:68" ht="13.2" x14ac:dyDescent="0.25">
      <c r="A360" s="4" t="str">
        <f ca="1">IFERROR(__xludf.DUMMYFUNCTION("""COMPUTED_VALUE"""),"2_ABaOnudL7bJWKnYF_Ilp2ZNtbJjmkYLJpHvYGAf7eY0ftT0uLxN62YQuozwU8pedhQ")</f>
        <v>2_ABaOnudL7bJWKnYF_Ilp2ZNtbJjmkYLJpHvYGAf7eY0ftT0uLxN62YQuozwU8pedhQ</v>
      </c>
      <c r="B360" s="5">
        <f ca="1">IFERROR(__xludf.DUMMYFUNCTION("""COMPUTED_VALUE"""),45987.4558934838)</f>
        <v>45987.455893483799</v>
      </c>
      <c r="C360" s="4" t="str">
        <f ca="1">IFERROR(__xludf.DUMMYFUNCTION("""COMPUTED_VALUE"""),"Nguyễn Thị Yén Xuân ")</f>
        <v xml:space="preserve">Nguyễn Thị Yén Xuân </v>
      </c>
      <c r="D360" s="4" t="str">
        <f ca="1">IFERROR(__xludf.DUMMYFUNCTION("""COMPUTED_VALUE"""),"Nữ")</f>
        <v>Nữ</v>
      </c>
      <c r="E360" s="4" t="str">
        <f ca="1">IFERROR(__xludf.DUMMYFUNCTION("""COMPUTED_VALUE"""),"Công ty THHH Kiểm toán &amp; Tư vấn Đất Việt")</f>
        <v>Công ty THHH Kiểm toán &amp; Tư vấn Đất Việt</v>
      </c>
      <c r="F360" s="4" t="str">
        <f ca="1">IFERROR(__xludf.DUMMYFUNCTION("""COMPUTED_VALUE"""),"Đại học")</f>
        <v>Đại học</v>
      </c>
      <c r="G360" s="4" t="str">
        <f ca="1">IFERROR(__xludf.DUMMYFUNCTION("""COMPUTED_VALUE"""),"Trên 5 đến 10 năm")</f>
        <v>Trên 5 đến 10 năm</v>
      </c>
      <c r="H360" s="4" t="str">
        <f ca="1">IFERROR(__xludf.DUMMYFUNCTION("""COMPUTED_VALUE"""),"Trợ lý kiểm toán")</f>
        <v>Trợ lý kiểm toán</v>
      </c>
      <c r="I360" s="4">
        <f ca="1">IFERROR(__xludf.DUMMYFUNCTION("""COMPUTED_VALUE"""),4)</f>
        <v>4</v>
      </c>
      <c r="J360" s="4">
        <f ca="1">IFERROR(__xludf.DUMMYFUNCTION("""COMPUTED_VALUE"""),3)</f>
        <v>3</v>
      </c>
      <c r="K360" s="4">
        <f ca="1">IFERROR(__xludf.DUMMYFUNCTION("""COMPUTED_VALUE"""),3)</f>
        <v>3</v>
      </c>
      <c r="L360" s="4">
        <f ca="1">IFERROR(__xludf.DUMMYFUNCTION("""COMPUTED_VALUE"""),4)</f>
        <v>4</v>
      </c>
      <c r="M360" s="4">
        <f ca="1">IFERROR(__xludf.DUMMYFUNCTION("""COMPUTED_VALUE"""),3)</f>
        <v>3</v>
      </c>
      <c r="N360" s="4">
        <f ca="1">IFERROR(__xludf.DUMMYFUNCTION("""COMPUTED_VALUE"""),3)</f>
        <v>3</v>
      </c>
      <c r="O360" s="4">
        <f ca="1">IFERROR(__xludf.DUMMYFUNCTION("""COMPUTED_VALUE"""),4)</f>
        <v>4</v>
      </c>
      <c r="P360" s="4">
        <f ca="1">IFERROR(__xludf.DUMMYFUNCTION("""COMPUTED_VALUE"""),4)</f>
        <v>4</v>
      </c>
      <c r="Q360" s="4">
        <f ca="1">IFERROR(__xludf.DUMMYFUNCTION("""COMPUTED_VALUE"""),5)</f>
        <v>5</v>
      </c>
      <c r="R360" s="4">
        <f ca="1">IFERROR(__xludf.DUMMYFUNCTION("""COMPUTED_VALUE"""),3)</f>
        <v>3</v>
      </c>
      <c r="S360" s="4">
        <f ca="1">IFERROR(__xludf.DUMMYFUNCTION("""COMPUTED_VALUE"""),3)</f>
        <v>3</v>
      </c>
      <c r="T360" s="4">
        <f ca="1">IFERROR(__xludf.DUMMYFUNCTION("""COMPUTED_VALUE"""),3)</f>
        <v>3</v>
      </c>
      <c r="U360" s="4">
        <f ca="1">IFERROR(__xludf.DUMMYFUNCTION("""COMPUTED_VALUE"""),4)</f>
        <v>4</v>
      </c>
      <c r="V360" s="4">
        <f ca="1">IFERROR(__xludf.DUMMYFUNCTION("""COMPUTED_VALUE"""),4)</f>
        <v>4</v>
      </c>
      <c r="W360" s="4">
        <f ca="1">IFERROR(__xludf.DUMMYFUNCTION("""COMPUTED_VALUE"""),3)</f>
        <v>3</v>
      </c>
      <c r="X360" s="4">
        <f ca="1">IFERROR(__xludf.DUMMYFUNCTION("""COMPUTED_VALUE"""),3)</f>
        <v>3</v>
      </c>
      <c r="Y360" s="4">
        <f ca="1">IFERROR(__xludf.DUMMYFUNCTION("""COMPUTED_VALUE"""),4)</f>
        <v>4</v>
      </c>
      <c r="Z360" s="4">
        <f ca="1">IFERROR(__xludf.DUMMYFUNCTION("""COMPUTED_VALUE"""),4)</f>
        <v>4</v>
      </c>
      <c r="AA360" s="4">
        <f ca="1">IFERROR(__xludf.DUMMYFUNCTION("""COMPUTED_VALUE"""),4)</f>
        <v>4</v>
      </c>
      <c r="AB360" s="4">
        <f ca="1">IFERROR(__xludf.DUMMYFUNCTION("""COMPUTED_VALUE"""),4)</f>
        <v>4</v>
      </c>
      <c r="AC360" s="4">
        <f ca="1">IFERROR(__xludf.DUMMYFUNCTION("""COMPUTED_VALUE"""),4)</f>
        <v>4</v>
      </c>
      <c r="AD360" s="4">
        <f ca="1">IFERROR(__xludf.DUMMYFUNCTION("""COMPUTED_VALUE"""),4)</f>
        <v>4</v>
      </c>
      <c r="AE360" s="4">
        <f ca="1">IFERROR(__xludf.DUMMYFUNCTION("""COMPUTED_VALUE"""),4)</f>
        <v>4</v>
      </c>
      <c r="AF360" s="4">
        <f ca="1">IFERROR(__xludf.DUMMYFUNCTION("""COMPUTED_VALUE"""),4)</f>
        <v>4</v>
      </c>
      <c r="AG360" s="4">
        <f ca="1">IFERROR(__xludf.DUMMYFUNCTION("""COMPUTED_VALUE"""),4)</f>
        <v>4</v>
      </c>
      <c r="AH360" s="4">
        <f ca="1">IFERROR(__xludf.DUMMYFUNCTION("""COMPUTED_VALUE"""),4)</f>
        <v>4</v>
      </c>
      <c r="AI360" s="4">
        <f ca="1">IFERROR(__xludf.DUMMYFUNCTION("""COMPUTED_VALUE"""),4)</f>
        <v>4</v>
      </c>
      <c r="AJ360" s="4">
        <f ca="1">IFERROR(__xludf.DUMMYFUNCTION("""COMPUTED_VALUE"""),4)</f>
        <v>4</v>
      </c>
      <c r="AK360" s="4">
        <f ca="1">IFERROR(__xludf.DUMMYFUNCTION("""COMPUTED_VALUE"""),4)</f>
        <v>4</v>
      </c>
      <c r="AL360" s="4">
        <f ca="1">IFERROR(__xludf.DUMMYFUNCTION("""COMPUTED_VALUE"""),4)</f>
        <v>4</v>
      </c>
      <c r="AM360" s="4">
        <f ca="1">IFERROR(__xludf.DUMMYFUNCTION("""COMPUTED_VALUE"""),3)</f>
        <v>3</v>
      </c>
      <c r="AN360" s="4">
        <f ca="1">IFERROR(__xludf.DUMMYFUNCTION("""COMPUTED_VALUE"""),3)</f>
        <v>3</v>
      </c>
      <c r="AO360" s="4">
        <f ca="1">IFERROR(__xludf.DUMMYFUNCTION("""COMPUTED_VALUE"""),4)</f>
        <v>4</v>
      </c>
      <c r="AP360" s="4">
        <f ca="1">IFERROR(__xludf.DUMMYFUNCTION("""COMPUTED_VALUE"""),4)</f>
        <v>4</v>
      </c>
      <c r="AQ360" s="4">
        <f ca="1">IFERROR(__xludf.DUMMYFUNCTION("""COMPUTED_VALUE"""),4)</f>
        <v>4</v>
      </c>
      <c r="AR360" s="4">
        <f ca="1">IFERROR(__xludf.DUMMYFUNCTION("""COMPUTED_VALUE"""),4)</f>
        <v>4</v>
      </c>
      <c r="AS360" s="4">
        <f ca="1">IFERROR(__xludf.DUMMYFUNCTION("""COMPUTED_VALUE"""),4)</f>
        <v>4</v>
      </c>
      <c r="AT360" s="4">
        <f ca="1">IFERROR(__xludf.DUMMYFUNCTION("""COMPUTED_VALUE"""),4)</f>
        <v>4</v>
      </c>
      <c r="AU360" s="4">
        <f ca="1">IFERROR(__xludf.DUMMYFUNCTION("""COMPUTED_VALUE"""),4)</f>
        <v>4</v>
      </c>
      <c r="AV360" s="4">
        <f ca="1">IFERROR(__xludf.DUMMYFUNCTION("""COMPUTED_VALUE"""),4)</f>
        <v>4</v>
      </c>
      <c r="AW360" s="4">
        <f ca="1">IFERROR(__xludf.DUMMYFUNCTION("""COMPUTED_VALUE"""),4)</f>
        <v>4</v>
      </c>
      <c r="AX360" s="4">
        <f ca="1">IFERROR(__xludf.DUMMYFUNCTION("""COMPUTED_VALUE"""),4)</f>
        <v>4</v>
      </c>
      <c r="AY360" s="4">
        <f ca="1">IFERROR(__xludf.DUMMYFUNCTION("""COMPUTED_VALUE"""),4)</f>
        <v>4</v>
      </c>
      <c r="AZ360" s="4">
        <f ca="1">IFERROR(__xludf.DUMMYFUNCTION("""COMPUTED_VALUE"""),4)</f>
        <v>4</v>
      </c>
      <c r="BA360" s="4">
        <f ca="1">IFERROR(__xludf.DUMMYFUNCTION("""COMPUTED_VALUE"""),4)</f>
        <v>4</v>
      </c>
      <c r="BB360" s="4">
        <f ca="1">IFERROR(__xludf.DUMMYFUNCTION("""COMPUTED_VALUE"""),4)</f>
        <v>4</v>
      </c>
      <c r="BC360" s="4">
        <f ca="1">IFERROR(__xludf.DUMMYFUNCTION("""COMPUTED_VALUE"""),4)</f>
        <v>4</v>
      </c>
      <c r="BD360" s="4">
        <f ca="1">IFERROR(__xludf.DUMMYFUNCTION("""COMPUTED_VALUE"""),4)</f>
        <v>4</v>
      </c>
      <c r="BE360" s="4">
        <f ca="1">IFERROR(__xludf.DUMMYFUNCTION("""COMPUTED_VALUE"""),4)</f>
        <v>4</v>
      </c>
      <c r="BF360" s="4">
        <f ca="1">IFERROR(__xludf.DUMMYFUNCTION("""COMPUTED_VALUE"""),4)</f>
        <v>4</v>
      </c>
      <c r="BG360" s="4">
        <f ca="1">IFERROR(__xludf.DUMMYFUNCTION("""COMPUTED_VALUE"""),4)</f>
        <v>4</v>
      </c>
      <c r="BH360" s="4">
        <f ca="1">IFERROR(__xludf.DUMMYFUNCTION("""COMPUTED_VALUE"""),4)</f>
        <v>4</v>
      </c>
      <c r="BI360" s="4">
        <f ca="1">IFERROR(__xludf.DUMMYFUNCTION("""COMPUTED_VALUE"""),4)</f>
        <v>4</v>
      </c>
      <c r="BJ360" s="4">
        <f ca="1">IFERROR(__xludf.DUMMYFUNCTION("""COMPUTED_VALUE"""),4)</f>
        <v>4</v>
      </c>
      <c r="BK360" s="4">
        <f ca="1">IFERROR(__xludf.DUMMYFUNCTION("""COMPUTED_VALUE"""),4)</f>
        <v>4</v>
      </c>
      <c r="BL360" s="4">
        <f ca="1">IFERROR(__xludf.DUMMYFUNCTION("""COMPUTED_VALUE"""),4)</f>
        <v>4</v>
      </c>
      <c r="BM360" s="4">
        <f ca="1">IFERROR(__xludf.DUMMYFUNCTION("""COMPUTED_VALUE"""),4)</f>
        <v>4</v>
      </c>
      <c r="BN360" s="4">
        <f ca="1">IFERROR(__xludf.DUMMYFUNCTION("""COMPUTED_VALUE"""),4)</f>
        <v>4</v>
      </c>
      <c r="BO360" s="4">
        <f ca="1">IFERROR(__xludf.DUMMYFUNCTION("""COMPUTED_VALUE"""),4)</f>
        <v>4</v>
      </c>
      <c r="BP360" s="4">
        <f ca="1">IFERROR(__xludf.DUMMYFUNCTION("""COMPUTED_VALUE"""),4)</f>
        <v>4</v>
      </c>
    </row>
    <row r="361" spans="1:68" ht="13.2" x14ac:dyDescent="0.25">
      <c r="A361" s="4" t="str">
        <f ca="1">IFERROR(__xludf.DUMMYFUNCTION("""COMPUTED_VALUE"""),"2_ABaOnufZgAlxlkXRBKHMZCD2LfcQtMgmjQO6EmZR31BUEvwV16lGm8iuhToF1MG3Ig")</f>
        <v>2_ABaOnufZgAlxlkXRBKHMZCD2LfcQtMgmjQO6EmZR31BUEvwV16lGm8iuhToF1MG3Ig</v>
      </c>
      <c r="B361" s="5">
        <f ca="1">IFERROR(__xludf.DUMMYFUNCTION("""COMPUTED_VALUE"""),45987.5017334838)</f>
        <v>45987.501733483798</v>
      </c>
      <c r="C361" s="4" t="str">
        <f ca="1">IFERROR(__xludf.DUMMYFUNCTION("""COMPUTED_VALUE"""),"Lê Thị Quỳnh Như")</f>
        <v>Lê Thị Quỳnh Như</v>
      </c>
      <c r="D361" s="4" t="str">
        <f ca="1">IFERROR(__xludf.DUMMYFUNCTION("""COMPUTED_VALUE"""),"Nữ")</f>
        <v>Nữ</v>
      </c>
      <c r="E361" s="4" t="str">
        <f ca="1">IFERROR(__xludf.DUMMYFUNCTION("""COMPUTED_VALUE"""),"Công Ty TNHH DFK Việt Nam")</f>
        <v>Công Ty TNHH DFK Việt Nam</v>
      </c>
      <c r="F361" s="4" t="str">
        <f ca="1">IFERROR(__xludf.DUMMYFUNCTION("""COMPUTED_VALUE"""),"Đại học")</f>
        <v>Đại học</v>
      </c>
      <c r="G361" s="4" t="str">
        <f ca="1">IFERROR(__xludf.DUMMYFUNCTION("""COMPUTED_VALUE"""),"Từ 3 đến 5 năm")</f>
        <v>Từ 3 đến 5 năm</v>
      </c>
      <c r="H361" s="4" t="str">
        <f ca="1">IFERROR(__xludf.DUMMYFUNCTION("""COMPUTED_VALUE"""),"Trợ lý kiểm toán")</f>
        <v>Trợ lý kiểm toán</v>
      </c>
      <c r="I361" s="4">
        <f ca="1">IFERROR(__xludf.DUMMYFUNCTION("""COMPUTED_VALUE"""),5)</f>
        <v>5</v>
      </c>
      <c r="J361" s="4">
        <f ca="1">IFERROR(__xludf.DUMMYFUNCTION("""COMPUTED_VALUE"""),3)</f>
        <v>3</v>
      </c>
      <c r="K361" s="4">
        <f ca="1">IFERROR(__xludf.DUMMYFUNCTION("""COMPUTED_VALUE"""),4)</f>
        <v>4</v>
      </c>
      <c r="L361" s="4">
        <f ca="1">IFERROR(__xludf.DUMMYFUNCTION("""COMPUTED_VALUE"""),2)</f>
        <v>2</v>
      </c>
      <c r="M361" s="4">
        <f ca="1">IFERROR(__xludf.DUMMYFUNCTION("""COMPUTED_VALUE"""),4)</f>
        <v>4</v>
      </c>
      <c r="N361" s="4">
        <f ca="1">IFERROR(__xludf.DUMMYFUNCTION("""COMPUTED_VALUE"""),3)</f>
        <v>3</v>
      </c>
      <c r="O361" s="4">
        <f ca="1">IFERROR(__xludf.DUMMYFUNCTION("""COMPUTED_VALUE"""),4)</f>
        <v>4</v>
      </c>
      <c r="P361" s="4">
        <f ca="1">IFERROR(__xludf.DUMMYFUNCTION("""COMPUTED_VALUE"""),5)</f>
        <v>5</v>
      </c>
      <c r="Q361" s="4">
        <f ca="1">IFERROR(__xludf.DUMMYFUNCTION("""COMPUTED_VALUE"""),5)</f>
        <v>5</v>
      </c>
      <c r="R361" s="4">
        <f ca="1">IFERROR(__xludf.DUMMYFUNCTION("""COMPUTED_VALUE"""),2)</f>
        <v>2</v>
      </c>
      <c r="S361" s="4">
        <f ca="1">IFERROR(__xludf.DUMMYFUNCTION("""COMPUTED_VALUE"""),4)</f>
        <v>4</v>
      </c>
      <c r="T361" s="4">
        <f ca="1">IFERROR(__xludf.DUMMYFUNCTION("""COMPUTED_VALUE"""),5)</f>
        <v>5</v>
      </c>
      <c r="U361" s="4">
        <f ca="1">IFERROR(__xludf.DUMMYFUNCTION("""COMPUTED_VALUE"""),5)</f>
        <v>5</v>
      </c>
      <c r="V361" s="4">
        <f ca="1">IFERROR(__xludf.DUMMYFUNCTION("""COMPUTED_VALUE"""),4)</f>
        <v>4</v>
      </c>
      <c r="W361" s="4">
        <f ca="1">IFERROR(__xludf.DUMMYFUNCTION("""COMPUTED_VALUE"""),4)</f>
        <v>4</v>
      </c>
      <c r="X361" s="4">
        <f ca="1">IFERROR(__xludf.DUMMYFUNCTION("""COMPUTED_VALUE"""),5)</f>
        <v>5</v>
      </c>
      <c r="Y361" s="4">
        <f ca="1">IFERROR(__xludf.DUMMYFUNCTION("""COMPUTED_VALUE"""),4)</f>
        <v>4</v>
      </c>
      <c r="Z361" s="4">
        <f ca="1">IFERROR(__xludf.DUMMYFUNCTION("""COMPUTED_VALUE"""),3)</f>
        <v>3</v>
      </c>
      <c r="AA361" s="4">
        <f ca="1">IFERROR(__xludf.DUMMYFUNCTION("""COMPUTED_VALUE"""),3)</f>
        <v>3</v>
      </c>
      <c r="AB361" s="4">
        <f ca="1">IFERROR(__xludf.DUMMYFUNCTION("""COMPUTED_VALUE"""),5)</f>
        <v>5</v>
      </c>
      <c r="AC361" s="4">
        <f ca="1">IFERROR(__xludf.DUMMYFUNCTION("""COMPUTED_VALUE"""),5)</f>
        <v>5</v>
      </c>
      <c r="AD361" s="4">
        <f ca="1">IFERROR(__xludf.DUMMYFUNCTION("""COMPUTED_VALUE"""),5)</f>
        <v>5</v>
      </c>
      <c r="AE361" s="4">
        <f ca="1">IFERROR(__xludf.DUMMYFUNCTION("""COMPUTED_VALUE"""),5)</f>
        <v>5</v>
      </c>
      <c r="AF361" s="4">
        <f ca="1">IFERROR(__xludf.DUMMYFUNCTION("""COMPUTED_VALUE"""),4)</f>
        <v>4</v>
      </c>
      <c r="AG361" s="4">
        <f ca="1">IFERROR(__xludf.DUMMYFUNCTION("""COMPUTED_VALUE"""),4)</f>
        <v>4</v>
      </c>
      <c r="AH361" s="4">
        <f ca="1">IFERROR(__xludf.DUMMYFUNCTION("""COMPUTED_VALUE"""),5)</f>
        <v>5</v>
      </c>
      <c r="AI361" s="4">
        <f ca="1">IFERROR(__xludf.DUMMYFUNCTION("""COMPUTED_VALUE"""),3)</f>
        <v>3</v>
      </c>
      <c r="AJ361" s="4">
        <f ca="1">IFERROR(__xludf.DUMMYFUNCTION("""COMPUTED_VALUE"""),3)</f>
        <v>3</v>
      </c>
      <c r="AK361" s="4">
        <f ca="1">IFERROR(__xludf.DUMMYFUNCTION("""COMPUTED_VALUE"""),5)</f>
        <v>5</v>
      </c>
      <c r="AL361" s="4">
        <f ca="1">IFERROR(__xludf.DUMMYFUNCTION("""COMPUTED_VALUE"""),3)</f>
        <v>3</v>
      </c>
      <c r="AM361" s="4">
        <f ca="1">IFERROR(__xludf.DUMMYFUNCTION("""COMPUTED_VALUE"""),4)</f>
        <v>4</v>
      </c>
      <c r="AN361" s="4">
        <f ca="1">IFERROR(__xludf.DUMMYFUNCTION("""COMPUTED_VALUE"""),4)</f>
        <v>4</v>
      </c>
      <c r="AO361" s="4">
        <f ca="1">IFERROR(__xludf.DUMMYFUNCTION("""COMPUTED_VALUE"""),3)</f>
        <v>3</v>
      </c>
      <c r="AP361" s="4">
        <f ca="1">IFERROR(__xludf.DUMMYFUNCTION("""COMPUTED_VALUE"""),4)</f>
        <v>4</v>
      </c>
      <c r="AQ361" s="4">
        <f ca="1">IFERROR(__xludf.DUMMYFUNCTION("""COMPUTED_VALUE"""),4)</f>
        <v>4</v>
      </c>
      <c r="AR361" s="4">
        <f ca="1">IFERROR(__xludf.DUMMYFUNCTION("""COMPUTED_VALUE"""),5)</f>
        <v>5</v>
      </c>
      <c r="AS361" s="4">
        <f ca="1">IFERROR(__xludf.DUMMYFUNCTION("""COMPUTED_VALUE"""),4)</f>
        <v>4</v>
      </c>
      <c r="AT361" s="4">
        <f ca="1">IFERROR(__xludf.DUMMYFUNCTION("""COMPUTED_VALUE"""),3)</f>
        <v>3</v>
      </c>
      <c r="AU361" s="4">
        <f ca="1">IFERROR(__xludf.DUMMYFUNCTION("""COMPUTED_VALUE"""),4)</f>
        <v>4</v>
      </c>
      <c r="AV361" s="4">
        <f ca="1">IFERROR(__xludf.DUMMYFUNCTION("""COMPUTED_VALUE"""),3)</f>
        <v>3</v>
      </c>
      <c r="AW361" s="4">
        <f ca="1">IFERROR(__xludf.DUMMYFUNCTION("""COMPUTED_VALUE"""),5)</f>
        <v>5</v>
      </c>
      <c r="AX361" s="4">
        <f ca="1">IFERROR(__xludf.DUMMYFUNCTION("""COMPUTED_VALUE"""),4)</f>
        <v>4</v>
      </c>
      <c r="AY361" s="4">
        <f ca="1">IFERROR(__xludf.DUMMYFUNCTION("""COMPUTED_VALUE"""),5)</f>
        <v>5</v>
      </c>
      <c r="AZ361" s="4">
        <f ca="1">IFERROR(__xludf.DUMMYFUNCTION("""COMPUTED_VALUE"""),5)</f>
        <v>5</v>
      </c>
      <c r="BA361" s="4">
        <f ca="1">IFERROR(__xludf.DUMMYFUNCTION("""COMPUTED_VALUE"""),5)</f>
        <v>5</v>
      </c>
      <c r="BB361" s="4">
        <f ca="1">IFERROR(__xludf.DUMMYFUNCTION("""COMPUTED_VALUE"""),4)</f>
        <v>4</v>
      </c>
      <c r="BC361" s="4">
        <f ca="1">IFERROR(__xludf.DUMMYFUNCTION("""COMPUTED_VALUE"""),4)</f>
        <v>4</v>
      </c>
      <c r="BD361" s="4">
        <f ca="1">IFERROR(__xludf.DUMMYFUNCTION("""COMPUTED_VALUE"""),3)</f>
        <v>3</v>
      </c>
      <c r="BE361" s="4">
        <f ca="1">IFERROR(__xludf.DUMMYFUNCTION("""COMPUTED_VALUE"""),4)</f>
        <v>4</v>
      </c>
      <c r="BF361" s="4">
        <f ca="1">IFERROR(__xludf.DUMMYFUNCTION("""COMPUTED_VALUE"""),3)</f>
        <v>3</v>
      </c>
      <c r="BG361" s="4">
        <f ca="1">IFERROR(__xludf.DUMMYFUNCTION("""COMPUTED_VALUE"""),5)</f>
        <v>5</v>
      </c>
      <c r="BH361" s="4">
        <f ca="1">IFERROR(__xludf.DUMMYFUNCTION("""COMPUTED_VALUE"""),4)</f>
        <v>4</v>
      </c>
      <c r="BI361" s="4">
        <f ca="1">IFERROR(__xludf.DUMMYFUNCTION("""COMPUTED_VALUE"""),5)</f>
        <v>5</v>
      </c>
      <c r="BJ361" s="4">
        <f ca="1">IFERROR(__xludf.DUMMYFUNCTION("""COMPUTED_VALUE"""),5)</f>
        <v>5</v>
      </c>
      <c r="BK361" s="4">
        <f ca="1">IFERROR(__xludf.DUMMYFUNCTION("""COMPUTED_VALUE"""),5)</f>
        <v>5</v>
      </c>
      <c r="BL361" s="4">
        <f ca="1">IFERROR(__xludf.DUMMYFUNCTION("""COMPUTED_VALUE"""),5)</f>
        <v>5</v>
      </c>
      <c r="BM361" s="4">
        <f ca="1">IFERROR(__xludf.DUMMYFUNCTION("""COMPUTED_VALUE"""),3)</f>
        <v>3</v>
      </c>
      <c r="BN361" s="4">
        <f ca="1">IFERROR(__xludf.DUMMYFUNCTION("""COMPUTED_VALUE"""),5)</f>
        <v>5</v>
      </c>
      <c r="BO361" s="4">
        <f ca="1">IFERROR(__xludf.DUMMYFUNCTION("""COMPUTED_VALUE"""),4)</f>
        <v>4</v>
      </c>
      <c r="BP361" s="4">
        <f ca="1">IFERROR(__xludf.DUMMYFUNCTION("""COMPUTED_VALUE"""),3)</f>
        <v>3</v>
      </c>
    </row>
    <row r="362" spans="1:68" ht="13.2" x14ac:dyDescent="0.25">
      <c r="A362" s="4" t="str">
        <f ca="1">IFERROR(__xludf.DUMMYFUNCTION("""COMPUTED_VALUE"""),"2_ABaOnufBmzV-mn7YcEy4qKRRESuYqw_bq22T-KB5R0CKxo70_UwePpADldBA2ZUkRQ")</f>
        <v>2_ABaOnufBmzV-mn7YcEy4qKRRESuYqw_bq22T-KB5R0CKxo70_UwePpADldBA2ZUkRQ</v>
      </c>
      <c r="B362" s="5">
        <f ca="1">IFERROR(__xludf.DUMMYFUNCTION("""COMPUTED_VALUE"""),45987.5134632754)</f>
        <v>45987.513463275398</v>
      </c>
      <c r="C362" s="4" t="str">
        <f ca="1">IFERROR(__xludf.DUMMYFUNCTION("""COMPUTED_VALUE"""),"Phạm Anh Duy")</f>
        <v>Phạm Anh Duy</v>
      </c>
      <c r="D362" s="4" t="str">
        <f ca="1">IFERROR(__xludf.DUMMYFUNCTION("""COMPUTED_VALUE"""),"Nam")</f>
        <v>Nam</v>
      </c>
      <c r="E362" s="4" t="str">
        <f ca="1">IFERROR(__xludf.DUMMYFUNCTION("""COMPUTED_VALUE"""),"kiểm toán CPA Vietnam")</f>
        <v>kiểm toán CPA Vietnam</v>
      </c>
      <c r="F362" s="4" t="str">
        <f ca="1">IFERROR(__xludf.DUMMYFUNCTION("""COMPUTED_VALUE"""),"Đại học")</f>
        <v>Đại học</v>
      </c>
      <c r="G362" s="4" t="str">
        <f ca="1">IFERROR(__xludf.DUMMYFUNCTION("""COMPUTED_VALUE"""),"Trên 5 đến 10 năm")</f>
        <v>Trên 5 đến 10 năm</v>
      </c>
      <c r="H362" s="4" t="str">
        <f ca="1">IFERROR(__xludf.DUMMYFUNCTION("""COMPUTED_VALUE"""),"Trợ lý kiểm toán")</f>
        <v>Trợ lý kiểm toán</v>
      </c>
      <c r="I362" s="4">
        <f ca="1">IFERROR(__xludf.DUMMYFUNCTION("""COMPUTED_VALUE"""),5)</f>
        <v>5</v>
      </c>
      <c r="J362" s="4">
        <f ca="1">IFERROR(__xludf.DUMMYFUNCTION("""COMPUTED_VALUE"""),4)</f>
        <v>4</v>
      </c>
      <c r="K362" s="4">
        <f ca="1">IFERROR(__xludf.DUMMYFUNCTION("""COMPUTED_VALUE"""),4)</f>
        <v>4</v>
      </c>
      <c r="L362" s="4">
        <f ca="1">IFERROR(__xludf.DUMMYFUNCTION("""COMPUTED_VALUE"""),4)</f>
        <v>4</v>
      </c>
      <c r="M362" s="4">
        <f ca="1">IFERROR(__xludf.DUMMYFUNCTION("""COMPUTED_VALUE"""),3)</f>
        <v>3</v>
      </c>
      <c r="N362" s="4">
        <f ca="1">IFERROR(__xludf.DUMMYFUNCTION("""COMPUTED_VALUE"""),2)</f>
        <v>2</v>
      </c>
      <c r="O362" s="4">
        <f ca="1">IFERROR(__xludf.DUMMYFUNCTION("""COMPUTED_VALUE"""),2)</f>
        <v>2</v>
      </c>
      <c r="P362" s="4">
        <f ca="1">IFERROR(__xludf.DUMMYFUNCTION("""COMPUTED_VALUE"""),4)</f>
        <v>4</v>
      </c>
      <c r="Q362" s="4">
        <f ca="1">IFERROR(__xludf.DUMMYFUNCTION("""COMPUTED_VALUE"""),5)</f>
        <v>5</v>
      </c>
      <c r="R362" s="4">
        <f ca="1">IFERROR(__xludf.DUMMYFUNCTION("""COMPUTED_VALUE"""),4)</f>
        <v>4</v>
      </c>
      <c r="S362" s="4">
        <f ca="1">IFERROR(__xludf.DUMMYFUNCTION("""COMPUTED_VALUE"""),4)</f>
        <v>4</v>
      </c>
      <c r="T362" s="4">
        <f ca="1">IFERROR(__xludf.DUMMYFUNCTION("""COMPUTED_VALUE"""),4)</f>
        <v>4</v>
      </c>
      <c r="U362" s="4">
        <f ca="1">IFERROR(__xludf.DUMMYFUNCTION("""COMPUTED_VALUE"""),4)</f>
        <v>4</v>
      </c>
      <c r="V362" s="4">
        <f ca="1">IFERROR(__xludf.DUMMYFUNCTION("""COMPUTED_VALUE"""),4)</f>
        <v>4</v>
      </c>
      <c r="W362" s="4">
        <f ca="1">IFERROR(__xludf.DUMMYFUNCTION("""COMPUTED_VALUE"""),4)</f>
        <v>4</v>
      </c>
      <c r="X362" s="4">
        <f ca="1">IFERROR(__xludf.DUMMYFUNCTION("""COMPUTED_VALUE"""),4)</f>
        <v>4</v>
      </c>
      <c r="Y362" s="4">
        <f ca="1">IFERROR(__xludf.DUMMYFUNCTION("""COMPUTED_VALUE"""),3)</f>
        <v>3</v>
      </c>
      <c r="Z362" s="4">
        <f ca="1">IFERROR(__xludf.DUMMYFUNCTION("""COMPUTED_VALUE"""),4)</f>
        <v>4</v>
      </c>
      <c r="AA362" s="4">
        <f ca="1">IFERROR(__xludf.DUMMYFUNCTION("""COMPUTED_VALUE"""),4)</f>
        <v>4</v>
      </c>
      <c r="AB362" s="4">
        <f ca="1">IFERROR(__xludf.DUMMYFUNCTION("""COMPUTED_VALUE"""),4)</f>
        <v>4</v>
      </c>
      <c r="AC362" s="4">
        <f ca="1">IFERROR(__xludf.DUMMYFUNCTION("""COMPUTED_VALUE"""),4)</f>
        <v>4</v>
      </c>
      <c r="AD362" s="4">
        <f ca="1">IFERROR(__xludf.DUMMYFUNCTION("""COMPUTED_VALUE"""),5)</f>
        <v>5</v>
      </c>
      <c r="AE362" s="4">
        <f ca="1">IFERROR(__xludf.DUMMYFUNCTION("""COMPUTED_VALUE"""),5)</f>
        <v>5</v>
      </c>
      <c r="AF362" s="4">
        <f ca="1">IFERROR(__xludf.DUMMYFUNCTION("""COMPUTED_VALUE"""),4)</f>
        <v>4</v>
      </c>
      <c r="AG362" s="4">
        <f ca="1">IFERROR(__xludf.DUMMYFUNCTION("""COMPUTED_VALUE"""),4)</f>
        <v>4</v>
      </c>
      <c r="AH362" s="4">
        <f ca="1">IFERROR(__xludf.DUMMYFUNCTION("""COMPUTED_VALUE"""),3)</f>
        <v>3</v>
      </c>
      <c r="AI362" s="4">
        <f ca="1">IFERROR(__xludf.DUMMYFUNCTION("""COMPUTED_VALUE"""),3)</f>
        <v>3</v>
      </c>
      <c r="AJ362" s="4">
        <f ca="1">IFERROR(__xludf.DUMMYFUNCTION("""COMPUTED_VALUE"""),4)</f>
        <v>4</v>
      </c>
      <c r="AK362" s="4">
        <f ca="1">IFERROR(__xludf.DUMMYFUNCTION("""COMPUTED_VALUE"""),3)</f>
        <v>3</v>
      </c>
      <c r="AL362" s="4">
        <f ca="1">IFERROR(__xludf.DUMMYFUNCTION("""COMPUTED_VALUE"""),3)</f>
        <v>3</v>
      </c>
      <c r="AM362" s="4">
        <f ca="1">IFERROR(__xludf.DUMMYFUNCTION("""COMPUTED_VALUE"""),3)</f>
        <v>3</v>
      </c>
      <c r="AN362" s="4">
        <f ca="1">IFERROR(__xludf.DUMMYFUNCTION("""COMPUTED_VALUE"""),3)</f>
        <v>3</v>
      </c>
      <c r="AO362" s="4">
        <f ca="1">IFERROR(__xludf.DUMMYFUNCTION("""COMPUTED_VALUE"""),4)</f>
        <v>4</v>
      </c>
      <c r="AP362" s="4">
        <f ca="1">IFERROR(__xludf.DUMMYFUNCTION("""COMPUTED_VALUE"""),4)</f>
        <v>4</v>
      </c>
      <c r="AQ362" s="4">
        <f ca="1">IFERROR(__xludf.DUMMYFUNCTION("""COMPUTED_VALUE"""),4)</f>
        <v>4</v>
      </c>
      <c r="AR362" s="4">
        <f ca="1">IFERROR(__xludf.DUMMYFUNCTION("""COMPUTED_VALUE"""),4)</f>
        <v>4</v>
      </c>
      <c r="AS362" s="4">
        <f ca="1">IFERROR(__xludf.DUMMYFUNCTION("""COMPUTED_VALUE"""),4)</f>
        <v>4</v>
      </c>
      <c r="AT362" s="4">
        <f ca="1">IFERROR(__xludf.DUMMYFUNCTION("""COMPUTED_VALUE"""),3)</f>
        <v>3</v>
      </c>
      <c r="AU362" s="4">
        <f ca="1">IFERROR(__xludf.DUMMYFUNCTION("""COMPUTED_VALUE"""),4)</f>
        <v>4</v>
      </c>
      <c r="AV362" s="4">
        <f ca="1">IFERROR(__xludf.DUMMYFUNCTION("""COMPUTED_VALUE"""),4)</f>
        <v>4</v>
      </c>
      <c r="AW362" s="4">
        <f ca="1">IFERROR(__xludf.DUMMYFUNCTION("""COMPUTED_VALUE"""),4)</f>
        <v>4</v>
      </c>
      <c r="AX362" s="4">
        <f ca="1">IFERROR(__xludf.DUMMYFUNCTION("""COMPUTED_VALUE"""),5)</f>
        <v>5</v>
      </c>
      <c r="AY362" s="4">
        <f ca="1">IFERROR(__xludf.DUMMYFUNCTION("""COMPUTED_VALUE"""),5)</f>
        <v>5</v>
      </c>
      <c r="AZ362" s="4">
        <f ca="1">IFERROR(__xludf.DUMMYFUNCTION("""COMPUTED_VALUE"""),5)</f>
        <v>5</v>
      </c>
      <c r="BA362" s="4">
        <f ca="1">IFERROR(__xludf.DUMMYFUNCTION("""COMPUTED_VALUE"""),5)</f>
        <v>5</v>
      </c>
      <c r="BB362" s="4">
        <f ca="1">IFERROR(__xludf.DUMMYFUNCTION("""COMPUTED_VALUE"""),4)</f>
        <v>4</v>
      </c>
      <c r="BC362" s="4">
        <f ca="1">IFERROR(__xludf.DUMMYFUNCTION("""COMPUTED_VALUE"""),4)</f>
        <v>4</v>
      </c>
      <c r="BD362" s="4">
        <f ca="1">IFERROR(__xludf.DUMMYFUNCTION("""COMPUTED_VALUE"""),4)</f>
        <v>4</v>
      </c>
      <c r="BE362" s="4">
        <f ca="1">IFERROR(__xludf.DUMMYFUNCTION("""COMPUTED_VALUE"""),4)</f>
        <v>4</v>
      </c>
      <c r="BF362" s="4">
        <f ca="1">IFERROR(__xludf.DUMMYFUNCTION("""COMPUTED_VALUE"""),4)</f>
        <v>4</v>
      </c>
      <c r="BG362" s="4">
        <f ca="1">IFERROR(__xludf.DUMMYFUNCTION("""COMPUTED_VALUE"""),4)</f>
        <v>4</v>
      </c>
      <c r="BH362" s="4">
        <f ca="1">IFERROR(__xludf.DUMMYFUNCTION("""COMPUTED_VALUE"""),4)</f>
        <v>4</v>
      </c>
      <c r="BI362" s="4">
        <f ca="1">IFERROR(__xludf.DUMMYFUNCTION("""COMPUTED_VALUE"""),5)</f>
        <v>5</v>
      </c>
      <c r="BJ362" s="4">
        <f ca="1">IFERROR(__xludf.DUMMYFUNCTION("""COMPUTED_VALUE"""),5)</f>
        <v>5</v>
      </c>
      <c r="BK362" s="4">
        <f ca="1">IFERROR(__xludf.DUMMYFUNCTION("""COMPUTED_VALUE"""),4)</f>
        <v>4</v>
      </c>
      <c r="BL362" s="4">
        <f ca="1">IFERROR(__xludf.DUMMYFUNCTION("""COMPUTED_VALUE"""),4)</f>
        <v>4</v>
      </c>
      <c r="BM362" s="4">
        <f ca="1">IFERROR(__xludf.DUMMYFUNCTION("""COMPUTED_VALUE"""),4)</f>
        <v>4</v>
      </c>
      <c r="BN362" s="4">
        <f ca="1">IFERROR(__xludf.DUMMYFUNCTION("""COMPUTED_VALUE"""),4)</f>
        <v>4</v>
      </c>
      <c r="BO362" s="4">
        <f ca="1">IFERROR(__xludf.DUMMYFUNCTION("""COMPUTED_VALUE"""),5)</f>
        <v>5</v>
      </c>
      <c r="BP362" s="4">
        <f ca="1">IFERROR(__xludf.DUMMYFUNCTION("""COMPUTED_VALUE"""),3)</f>
        <v>3</v>
      </c>
    </row>
    <row r="363" spans="1:68" ht="13.2" x14ac:dyDescent="0.25">
      <c r="A363" s="4" t="str">
        <f ca="1">IFERROR(__xludf.DUMMYFUNCTION("""COMPUTED_VALUE"""),"2_ABaOnudWN1SN3y7bUfwM83n4sv3K5VH7q4lapd0qOI_RhJLpn8NaU_lL61z54QVdsg")</f>
        <v>2_ABaOnudWN1SN3y7bUfwM83n4sv3K5VH7q4lapd0qOI_RhJLpn8NaU_lL61z54QVdsg</v>
      </c>
      <c r="B363" s="5">
        <f ca="1">IFERROR(__xludf.DUMMYFUNCTION("""COMPUTED_VALUE"""),45987.5536267939)</f>
        <v>45987.553626793902</v>
      </c>
      <c r="C363" s="4" t="str">
        <f ca="1">IFERROR(__xludf.DUMMYFUNCTION("""COMPUTED_VALUE"""),"Nguyễn Thị Mai Linh")</f>
        <v>Nguyễn Thị Mai Linh</v>
      </c>
      <c r="D363" s="4" t="str">
        <f ca="1">IFERROR(__xludf.DUMMYFUNCTION("""COMPUTED_VALUE"""),"Nữ")</f>
        <v>Nữ</v>
      </c>
      <c r="E363" s="4" t="str">
        <f ca="1">IFERROR(__xludf.DUMMYFUNCTION("""COMPUTED_VALUE"""),"Công ty TNHH Kiểm toán và Kế toán Biên Hòa")</f>
        <v>Công ty TNHH Kiểm toán và Kế toán Biên Hòa</v>
      </c>
      <c r="F363" s="4" t="str">
        <f ca="1">IFERROR(__xludf.DUMMYFUNCTION("""COMPUTED_VALUE"""),"Sau đại học")</f>
        <v>Sau đại học</v>
      </c>
      <c r="G363" s="4" t="str">
        <f ca="1">IFERROR(__xludf.DUMMYFUNCTION("""COMPUTED_VALUE"""),"Từ 3 đến 5 năm")</f>
        <v>Từ 3 đến 5 năm</v>
      </c>
      <c r="H363" s="4" t="str">
        <f ca="1">IFERROR(__xludf.DUMMYFUNCTION("""COMPUTED_VALUE"""),"Trợ lý kiểm toán")</f>
        <v>Trợ lý kiểm toán</v>
      </c>
      <c r="I363" s="4">
        <f ca="1">IFERROR(__xludf.DUMMYFUNCTION("""COMPUTED_VALUE"""),5)</f>
        <v>5</v>
      </c>
      <c r="J363" s="4">
        <f ca="1">IFERROR(__xludf.DUMMYFUNCTION("""COMPUTED_VALUE"""),3)</f>
        <v>3</v>
      </c>
      <c r="K363" s="4">
        <f ca="1">IFERROR(__xludf.DUMMYFUNCTION("""COMPUTED_VALUE"""),4)</f>
        <v>4</v>
      </c>
      <c r="L363" s="4">
        <f ca="1">IFERROR(__xludf.DUMMYFUNCTION("""COMPUTED_VALUE"""),3)</f>
        <v>3</v>
      </c>
      <c r="M363" s="4">
        <f ca="1">IFERROR(__xludf.DUMMYFUNCTION("""COMPUTED_VALUE"""),4)</f>
        <v>4</v>
      </c>
      <c r="N363" s="4">
        <f ca="1">IFERROR(__xludf.DUMMYFUNCTION("""COMPUTED_VALUE"""),3)</f>
        <v>3</v>
      </c>
      <c r="O363" s="4">
        <f ca="1">IFERROR(__xludf.DUMMYFUNCTION("""COMPUTED_VALUE"""),3)</f>
        <v>3</v>
      </c>
      <c r="P363" s="4">
        <f ca="1">IFERROR(__xludf.DUMMYFUNCTION("""COMPUTED_VALUE"""),5)</f>
        <v>5</v>
      </c>
      <c r="Q363" s="4">
        <f ca="1">IFERROR(__xludf.DUMMYFUNCTION("""COMPUTED_VALUE"""),5)</f>
        <v>5</v>
      </c>
      <c r="R363" s="4">
        <f ca="1">IFERROR(__xludf.DUMMYFUNCTION("""COMPUTED_VALUE"""),4)</f>
        <v>4</v>
      </c>
      <c r="S363" s="4">
        <f ca="1">IFERROR(__xludf.DUMMYFUNCTION("""COMPUTED_VALUE"""),4)</f>
        <v>4</v>
      </c>
      <c r="T363" s="4">
        <f ca="1">IFERROR(__xludf.DUMMYFUNCTION("""COMPUTED_VALUE"""),5)</f>
        <v>5</v>
      </c>
      <c r="U363" s="4">
        <f ca="1">IFERROR(__xludf.DUMMYFUNCTION("""COMPUTED_VALUE"""),5)</f>
        <v>5</v>
      </c>
      <c r="V363" s="4">
        <f ca="1">IFERROR(__xludf.DUMMYFUNCTION("""COMPUTED_VALUE"""),5)</f>
        <v>5</v>
      </c>
      <c r="W363" s="4">
        <f ca="1">IFERROR(__xludf.DUMMYFUNCTION("""COMPUTED_VALUE"""),4)</f>
        <v>4</v>
      </c>
      <c r="X363" s="4">
        <f ca="1">IFERROR(__xludf.DUMMYFUNCTION("""COMPUTED_VALUE"""),3)</f>
        <v>3</v>
      </c>
      <c r="Y363" s="4">
        <f ca="1">IFERROR(__xludf.DUMMYFUNCTION("""COMPUTED_VALUE"""),4)</f>
        <v>4</v>
      </c>
      <c r="Z363" s="4">
        <f ca="1">IFERROR(__xludf.DUMMYFUNCTION("""COMPUTED_VALUE"""),3)</f>
        <v>3</v>
      </c>
      <c r="AA363" s="4">
        <f ca="1">IFERROR(__xludf.DUMMYFUNCTION("""COMPUTED_VALUE"""),3)</f>
        <v>3</v>
      </c>
      <c r="AB363" s="4">
        <f ca="1">IFERROR(__xludf.DUMMYFUNCTION("""COMPUTED_VALUE"""),4)</f>
        <v>4</v>
      </c>
      <c r="AC363" s="4">
        <f ca="1">IFERROR(__xludf.DUMMYFUNCTION("""COMPUTED_VALUE"""),3)</f>
        <v>3</v>
      </c>
      <c r="AD363" s="4">
        <f ca="1">IFERROR(__xludf.DUMMYFUNCTION("""COMPUTED_VALUE"""),4)</f>
        <v>4</v>
      </c>
      <c r="AE363" s="4">
        <f ca="1">IFERROR(__xludf.DUMMYFUNCTION("""COMPUTED_VALUE"""),3)</f>
        <v>3</v>
      </c>
      <c r="AF363" s="4">
        <f ca="1">IFERROR(__xludf.DUMMYFUNCTION("""COMPUTED_VALUE"""),4)</f>
        <v>4</v>
      </c>
      <c r="AG363" s="4">
        <f ca="1">IFERROR(__xludf.DUMMYFUNCTION("""COMPUTED_VALUE"""),4)</f>
        <v>4</v>
      </c>
      <c r="AH363" s="4">
        <f ca="1">IFERROR(__xludf.DUMMYFUNCTION("""COMPUTED_VALUE"""),4)</f>
        <v>4</v>
      </c>
      <c r="AI363" s="4">
        <f ca="1">IFERROR(__xludf.DUMMYFUNCTION("""COMPUTED_VALUE"""),4)</f>
        <v>4</v>
      </c>
      <c r="AJ363" s="4">
        <f ca="1">IFERROR(__xludf.DUMMYFUNCTION("""COMPUTED_VALUE"""),4)</f>
        <v>4</v>
      </c>
      <c r="AK363" s="4">
        <f ca="1">IFERROR(__xludf.DUMMYFUNCTION("""COMPUTED_VALUE"""),4)</f>
        <v>4</v>
      </c>
      <c r="AL363" s="4">
        <f ca="1">IFERROR(__xludf.DUMMYFUNCTION("""COMPUTED_VALUE"""),4)</f>
        <v>4</v>
      </c>
      <c r="AM363" s="4">
        <f ca="1">IFERROR(__xludf.DUMMYFUNCTION("""COMPUTED_VALUE"""),4)</f>
        <v>4</v>
      </c>
      <c r="AN363" s="4">
        <f ca="1">IFERROR(__xludf.DUMMYFUNCTION("""COMPUTED_VALUE"""),3)</f>
        <v>3</v>
      </c>
      <c r="AO363" s="4">
        <f ca="1">IFERROR(__xludf.DUMMYFUNCTION("""COMPUTED_VALUE"""),3)</f>
        <v>3</v>
      </c>
      <c r="AP363" s="4">
        <f ca="1">IFERROR(__xludf.DUMMYFUNCTION("""COMPUTED_VALUE"""),4)</f>
        <v>4</v>
      </c>
      <c r="AQ363" s="4">
        <f ca="1">IFERROR(__xludf.DUMMYFUNCTION("""COMPUTED_VALUE"""),4)</f>
        <v>4</v>
      </c>
      <c r="AR363" s="4">
        <f ca="1">IFERROR(__xludf.DUMMYFUNCTION("""COMPUTED_VALUE"""),4)</f>
        <v>4</v>
      </c>
      <c r="AS363" s="4">
        <f ca="1">IFERROR(__xludf.DUMMYFUNCTION("""COMPUTED_VALUE"""),3)</f>
        <v>3</v>
      </c>
      <c r="AT363" s="4">
        <f ca="1">IFERROR(__xludf.DUMMYFUNCTION("""COMPUTED_VALUE"""),3)</f>
        <v>3</v>
      </c>
      <c r="AU363" s="4">
        <f ca="1">IFERROR(__xludf.DUMMYFUNCTION("""COMPUTED_VALUE"""),4)</f>
        <v>4</v>
      </c>
      <c r="AV363" s="4">
        <f ca="1">IFERROR(__xludf.DUMMYFUNCTION("""COMPUTED_VALUE"""),3)</f>
        <v>3</v>
      </c>
      <c r="AW363" s="4">
        <f ca="1">IFERROR(__xludf.DUMMYFUNCTION("""COMPUTED_VALUE"""),4)</f>
        <v>4</v>
      </c>
      <c r="AX363" s="4">
        <f ca="1">IFERROR(__xludf.DUMMYFUNCTION("""COMPUTED_VALUE"""),4)</f>
        <v>4</v>
      </c>
      <c r="AY363" s="4">
        <f ca="1">IFERROR(__xludf.DUMMYFUNCTION("""COMPUTED_VALUE"""),4)</f>
        <v>4</v>
      </c>
      <c r="AZ363" s="4">
        <f ca="1">IFERROR(__xludf.DUMMYFUNCTION("""COMPUTED_VALUE"""),5)</f>
        <v>5</v>
      </c>
      <c r="BA363" s="4">
        <f ca="1">IFERROR(__xludf.DUMMYFUNCTION("""COMPUTED_VALUE"""),4)</f>
        <v>4</v>
      </c>
      <c r="BB363" s="4">
        <f ca="1">IFERROR(__xludf.DUMMYFUNCTION("""COMPUTED_VALUE"""),4)</f>
        <v>4</v>
      </c>
      <c r="BC363" s="4">
        <f ca="1">IFERROR(__xludf.DUMMYFUNCTION("""COMPUTED_VALUE"""),4)</f>
        <v>4</v>
      </c>
      <c r="BD363" s="4">
        <f ca="1">IFERROR(__xludf.DUMMYFUNCTION("""COMPUTED_VALUE"""),3)</f>
        <v>3</v>
      </c>
      <c r="BE363" s="4">
        <f ca="1">IFERROR(__xludf.DUMMYFUNCTION("""COMPUTED_VALUE"""),4)</f>
        <v>4</v>
      </c>
      <c r="BF363" s="4">
        <f ca="1">IFERROR(__xludf.DUMMYFUNCTION("""COMPUTED_VALUE"""),4)</f>
        <v>4</v>
      </c>
      <c r="BG363" s="4">
        <f ca="1">IFERROR(__xludf.DUMMYFUNCTION("""COMPUTED_VALUE"""),3)</f>
        <v>3</v>
      </c>
      <c r="BH363" s="4">
        <f ca="1">IFERROR(__xludf.DUMMYFUNCTION("""COMPUTED_VALUE"""),4)</f>
        <v>4</v>
      </c>
      <c r="BI363" s="4">
        <f ca="1">IFERROR(__xludf.DUMMYFUNCTION("""COMPUTED_VALUE"""),4)</f>
        <v>4</v>
      </c>
      <c r="BJ363" s="4">
        <f ca="1">IFERROR(__xludf.DUMMYFUNCTION("""COMPUTED_VALUE"""),5)</f>
        <v>5</v>
      </c>
      <c r="BK363" s="4">
        <f ca="1">IFERROR(__xludf.DUMMYFUNCTION("""COMPUTED_VALUE"""),3)</f>
        <v>3</v>
      </c>
      <c r="BL363" s="4">
        <f ca="1">IFERROR(__xludf.DUMMYFUNCTION("""COMPUTED_VALUE"""),5)</f>
        <v>5</v>
      </c>
      <c r="BM363" s="4">
        <f ca="1">IFERROR(__xludf.DUMMYFUNCTION("""COMPUTED_VALUE"""),4)</f>
        <v>4</v>
      </c>
      <c r="BN363" s="4">
        <f ca="1">IFERROR(__xludf.DUMMYFUNCTION("""COMPUTED_VALUE"""),5)</f>
        <v>5</v>
      </c>
      <c r="BO363" s="4">
        <f ca="1">IFERROR(__xludf.DUMMYFUNCTION("""COMPUTED_VALUE"""),5)</f>
        <v>5</v>
      </c>
      <c r="BP363" s="4">
        <f ca="1">IFERROR(__xludf.DUMMYFUNCTION("""COMPUTED_VALUE"""),3)</f>
        <v>3</v>
      </c>
    </row>
    <row r="364" spans="1:68" ht="13.2" x14ac:dyDescent="0.25">
      <c r="A364" s="4" t="str">
        <f ca="1">IFERROR(__xludf.DUMMYFUNCTION("""COMPUTED_VALUE"""),"2_ABaOnufuXpeFK9t7_oxCNg34Ctr4HFU7-0uODJREg4OO-GQI-ZbfhcmOmLo-kvscVA")</f>
        <v>2_ABaOnufuXpeFK9t7_oxCNg34Ctr4HFU7-0uODJREg4OO-GQI-ZbfhcmOmLo-kvscVA</v>
      </c>
      <c r="B364" s="5">
        <f ca="1">IFERROR(__xludf.DUMMYFUNCTION("""COMPUTED_VALUE"""),45987.5896699768)</f>
        <v>45987.589669976798</v>
      </c>
      <c r="C364" s="4" t="str">
        <f ca="1">IFERROR(__xludf.DUMMYFUNCTION("""COMPUTED_VALUE"""),"NGUYỄN VÕ HƯNG THỊNH")</f>
        <v>NGUYỄN VÕ HƯNG THỊNH</v>
      </c>
      <c r="D364" s="4" t="str">
        <f ca="1">IFERROR(__xludf.DUMMYFUNCTION("""COMPUTED_VALUE"""),"Nam")</f>
        <v>Nam</v>
      </c>
      <c r="E364" s="4" t="str">
        <f ca="1">IFERROR(__xludf.DUMMYFUNCTION("""COMPUTED_VALUE"""),"Công ty TNHH Kiểm Toán và Định Giá Thăng Long - TDK")</f>
        <v>Công ty TNHH Kiểm Toán và Định Giá Thăng Long - TDK</v>
      </c>
      <c r="F364" s="4" t="str">
        <f ca="1">IFERROR(__xludf.DUMMYFUNCTION("""COMPUTED_VALUE"""),"Đại học, Chứng chỉ Kiểm toán viên")</f>
        <v>Đại học, Chứng chỉ Kiểm toán viên</v>
      </c>
      <c r="G364" s="4" t="str">
        <f ca="1">IFERROR(__xludf.DUMMYFUNCTION("""COMPUTED_VALUE"""),"Trên 15 đến 20 năm")</f>
        <v>Trên 15 đến 20 năm</v>
      </c>
      <c r="H364" s="4" t="str">
        <f ca="1">IFERROR(__xludf.DUMMYFUNCTION("""COMPUTED_VALUE"""),"Trưởng phòng")</f>
        <v>Trưởng phòng</v>
      </c>
      <c r="I364" s="4">
        <f ca="1">IFERROR(__xludf.DUMMYFUNCTION("""COMPUTED_VALUE"""),5)</f>
        <v>5</v>
      </c>
      <c r="J364" s="4">
        <f ca="1">IFERROR(__xludf.DUMMYFUNCTION("""COMPUTED_VALUE"""),5)</f>
        <v>5</v>
      </c>
      <c r="K364" s="4">
        <f ca="1">IFERROR(__xludf.DUMMYFUNCTION("""COMPUTED_VALUE"""),4)</f>
        <v>4</v>
      </c>
      <c r="L364" s="4">
        <f ca="1">IFERROR(__xludf.DUMMYFUNCTION("""COMPUTED_VALUE"""),4)</f>
        <v>4</v>
      </c>
      <c r="M364" s="4">
        <f ca="1">IFERROR(__xludf.DUMMYFUNCTION("""COMPUTED_VALUE"""),5)</f>
        <v>5</v>
      </c>
      <c r="N364" s="4">
        <f ca="1">IFERROR(__xludf.DUMMYFUNCTION("""COMPUTED_VALUE"""),3)</f>
        <v>3</v>
      </c>
      <c r="O364" s="4">
        <f ca="1">IFERROR(__xludf.DUMMYFUNCTION("""COMPUTED_VALUE"""),3)</f>
        <v>3</v>
      </c>
      <c r="P364" s="4">
        <f ca="1">IFERROR(__xludf.DUMMYFUNCTION("""COMPUTED_VALUE"""),4)</f>
        <v>4</v>
      </c>
      <c r="Q364" s="4">
        <f ca="1">IFERROR(__xludf.DUMMYFUNCTION("""COMPUTED_VALUE"""),5)</f>
        <v>5</v>
      </c>
      <c r="R364" s="4">
        <f ca="1">IFERROR(__xludf.DUMMYFUNCTION("""COMPUTED_VALUE"""),5)</f>
        <v>5</v>
      </c>
      <c r="S364" s="4">
        <f ca="1">IFERROR(__xludf.DUMMYFUNCTION("""COMPUTED_VALUE"""),5)</f>
        <v>5</v>
      </c>
      <c r="T364" s="4">
        <f ca="1">IFERROR(__xludf.DUMMYFUNCTION("""COMPUTED_VALUE"""),5)</f>
        <v>5</v>
      </c>
      <c r="U364" s="4">
        <f ca="1">IFERROR(__xludf.DUMMYFUNCTION("""COMPUTED_VALUE"""),5)</f>
        <v>5</v>
      </c>
      <c r="V364" s="4">
        <f ca="1">IFERROR(__xludf.DUMMYFUNCTION("""COMPUTED_VALUE"""),5)</f>
        <v>5</v>
      </c>
      <c r="W364" s="4">
        <f ca="1">IFERROR(__xludf.DUMMYFUNCTION("""COMPUTED_VALUE"""),3)</f>
        <v>3</v>
      </c>
      <c r="X364" s="4">
        <f ca="1">IFERROR(__xludf.DUMMYFUNCTION("""COMPUTED_VALUE"""),3)</f>
        <v>3</v>
      </c>
      <c r="Y364" s="4">
        <f ca="1">IFERROR(__xludf.DUMMYFUNCTION("""COMPUTED_VALUE"""),3)</f>
        <v>3</v>
      </c>
      <c r="Z364" s="4">
        <f ca="1">IFERROR(__xludf.DUMMYFUNCTION("""COMPUTED_VALUE"""),3)</f>
        <v>3</v>
      </c>
      <c r="AA364" s="4">
        <f ca="1">IFERROR(__xludf.DUMMYFUNCTION("""COMPUTED_VALUE"""),3)</f>
        <v>3</v>
      </c>
      <c r="AB364" s="4">
        <f ca="1">IFERROR(__xludf.DUMMYFUNCTION("""COMPUTED_VALUE"""),4)</f>
        <v>4</v>
      </c>
      <c r="AC364" s="4">
        <f ca="1">IFERROR(__xludf.DUMMYFUNCTION("""COMPUTED_VALUE"""),4)</f>
        <v>4</v>
      </c>
      <c r="AD364" s="4">
        <f ca="1">IFERROR(__xludf.DUMMYFUNCTION("""COMPUTED_VALUE"""),4)</f>
        <v>4</v>
      </c>
      <c r="AE364" s="4">
        <f ca="1">IFERROR(__xludf.DUMMYFUNCTION("""COMPUTED_VALUE"""),4)</f>
        <v>4</v>
      </c>
      <c r="AF364" s="4">
        <f ca="1">IFERROR(__xludf.DUMMYFUNCTION("""COMPUTED_VALUE"""),5)</f>
        <v>5</v>
      </c>
      <c r="AG364" s="4">
        <f ca="1">IFERROR(__xludf.DUMMYFUNCTION("""COMPUTED_VALUE"""),5)</f>
        <v>5</v>
      </c>
      <c r="AH364" s="4">
        <f ca="1">IFERROR(__xludf.DUMMYFUNCTION("""COMPUTED_VALUE"""),5)</f>
        <v>5</v>
      </c>
      <c r="AI364" s="4">
        <f ca="1">IFERROR(__xludf.DUMMYFUNCTION("""COMPUTED_VALUE"""),5)</f>
        <v>5</v>
      </c>
      <c r="AJ364" s="4">
        <f ca="1">IFERROR(__xludf.DUMMYFUNCTION("""COMPUTED_VALUE"""),5)</f>
        <v>5</v>
      </c>
      <c r="AK364" s="4">
        <f ca="1">IFERROR(__xludf.DUMMYFUNCTION("""COMPUTED_VALUE"""),5)</f>
        <v>5</v>
      </c>
      <c r="AL364" s="4">
        <f ca="1">IFERROR(__xludf.DUMMYFUNCTION("""COMPUTED_VALUE"""),5)</f>
        <v>5</v>
      </c>
      <c r="AM364" s="4">
        <f ca="1">IFERROR(__xludf.DUMMYFUNCTION("""COMPUTED_VALUE"""),5)</f>
        <v>5</v>
      </c>
      <c r="AN364" s="4">
        <f ca="1">IFERROR(__xludf.DUMMYFUNCTION("""COMPUTED_VALUE"""),5)</f>
        <v>5</v>
      </c>
      <c r="AO364" s="4">
        <f ca="1">IFERROR(__xludf.DUMMYFUNCTION("""COMPUTED_VALUE"""),3)</f>
        <v>3</v>
      </c>
      <c r="AP364" s="4">
        <f ca="1">IFERROR(__xludf.DUMMYFUNCTION("""COMPUTED_VALUE"""),4)</f>
        <v>4</v>
      </c>
      <c r="AQ364" s="4">
        <f ca="1">IFERROR(__xludf.DUMMYFUNCTION("""COMPUTED_VALUE"""),5)</f>
        <v>5</v>
      </c>
      <c r="AR364" s="4">
        <f ca="1">IFERROR(__xludf.DUMMYFUNCTION("""COMPUTED_VALUE"""),3)</f>
        <v>3</v>
      </c>
      <c r="AS364" s="4">
        <f ca="1">IFERROR(__xludf.DUMMYFUNCTION("""COMPUTED_VALUE"""),3)</f>
        <v>3</v>
      </c>
      <c r="AT364" s="4">
        <f ca="1">IFERROR(__xludf.DUMMYFUNCTION("""COMPUTED_VALUE"""),3)</f>
        <v>3</v>
      </c>
      <c r="AU364" s="4">
        <f ca="1">IFERROR(__xludf.DUMMYFUNCTION("""COMPUTED_VALUE"""),4)</f>
        <v>4</v>
      </c>
      <c r="AV364" s="4">
        <f ca="1">IFERROR(__xludf.DUMMYFUNCTION("""COMPUTED_VALUE"""),4)</f>
        <v>4</v>
      </c>
      <c r="AW364" s="4">
        <f ca="1">IFERROR(__xludf.DUMMYFUNCTION("""COMPUTED_VALUE"""),4)</f>
        <v>4</v>
      </c>
      <c r="AX364" s="4">
        <f ca="1">IFERROR(__xludf.DUMMYFUNCTION("""COMPUTED_VALUE"""),5)</f>
        <v>5</v>
      </c>
      <c r="AY364" s="4">
        <f ca="1">IFERROR(__xludf.DUMMYFUNCTION("""COMPUTED_VALUE"""),5)</f>
        <v>5</v>
      </c>
      <c r="AZ364" s="4">
        <f ca="1">IFERROR(__xludf.DUMMYFUNCTION("""COMPUTED_VALUE"""),5)</f>
        <v>5</v>
      </c>
      <c r="BA364" s="4">
        <f ca="1">IFERROR(__xludf.DUMMYFUNCTION("""COMPUTED_VALUE"""),5)</f>
        <v>5</v>
      </c>
      <c r="BB364" s="4">
        <f ca="1">IFERROR(__xludf.DUMMYFUNCTION("""COMPUTED_VALUE"""),4)</f>
        <v>4</v>
      </c>
      <c r="BC364" s="4">
        <f ca="1">IFERROR(__xludf.DUMMYFUNCTION("""COMPUTED_VALUE"""),4)</f>
        <v>4</v>
      </c>
      <c r="BD364" s="4">
        <f ca="1">IFERROR(__xludf.DUMMYFUNCTION("""COMPUTED_VALUE"""),5)</f>
        <v>5</v>
      </c>
      <c r="BE364" s="4">
        <f ca="1">IFERROR(__xludf.DUMMYFUNCTION("""COMPUTED_VALUE"""),4)</f>
        <v>4</v>
      </c>
      <c r="BF364" s="4">
        <f ca="1">IFERROR(__xludf.DUMMYFUNCTION("""COMPUTED_VALUE"""),4)</f>
        <v>4</v>
      </c>
      <c r="BG364" s="4">
        <f ca="1">IFERROR(__xludf.DUMMYFUNCTION("""COMPUTED_VALUE"""),5)</f>
        <v>5</v>
      </c>
      <c r="BH364" s="4">
        <f ca="1">IFERROR(__xludf.DUMMYFUNCTION("""COMPUTED_VALUE"""),5)</f>
        <v>5</v>
      </c>
      <c r="BI364" s="4">
        <f ca="1">IFERROR(__xludf.DUMMYFUNCTION("""COMPUTED_VALUE"""),5)</f>
        <v>5</v>
      </c>
      <c r="BJ364" s="4">
        <f ca="1">IFERROR(__xludf.DUMMYFUNCTION("""COMPUTED_VALUE"""),5)</f>
        <v>5</v>
      </c>
      <c r="BK364" s="4">
        <f ca="1">IFERROR(__xludf.DUMMYFUNCTION("""COMPUTED_VALUE"""),5)</f>
        <v>5</v>
      </c>
      <c r="BL364" s="4">
        <f ca="1">IFERROR(__xludf.DUMMYFUNCTION("""COMPUTED_VALUE"""),5)</f>
        <v>5</v>
      </c>
      <c r="BM364" s="4">
        <f ca="1">IFERROR(__xludf.DUMMYFUNCTION("""COMPUTED_VALUE"""),5)</f>
        <v>5</v>
      </c>
      <c r="BN364" s="4">
        <f ca="1">IFERROR(__xludf.DUMMYFUNCTION("""COMPUTED_VALUE"""),5)</f>
        <v>5</v>
      </c>
      <c r="BO364" s="4">
        <f ca="1">IFERROR(__xludf.DUMMYFUNCTION("""COMPUTED_VALUE"""),5)</f>
        <v>5</v>
      </c>
      <c r="BP364" s="4">
        <f ca="1">IFERROR(__xludf.DUMMYFUNCTION("""COMPUTED_VALUE"""),5)</f>
        <v>5</v>
      </c>
    </row>
    <row r="365" spans="1:68" ht="13.2" x14ac:dyDescent="0.25">
      <c r="A365" s="4" t="str">
        <f ca="1">IFERROR(__xludf.DUMMYFUNCTION("""COMPUTED_VALUE"""),"2_ABaOnudRmOmZjfTau4Jnh_JBiGvsw0UPNztTEldlHSAvjLCGqXHw_9os_wxZNXi9Kg")</f>
        <v>2_ABaOnudRmOmZjfTau4Jnh_JBiGvsw0UPNztTEldlHSAvjLCGqXHw_9os_wxZNXi9Kg</v>
      </c>
      <c r="B365" s="5">
        <f ca="1">IFERROR(__xludf.DUMMYFUNCTION("""COMPUTED_VALUE"""),45987.593266956)</f>
        <v>45987.593266955999</v>
      </c>
      <c r="C365" s="4" t="str">
        <f ca="1">IFERROR(__xludf.DUMMYFUNCTION("""COMPUTED_VALUE"""),"Nguyễn Thùy Dung")</f>
        <v>Nguyễn Thùy Dung</v>
      </c>
      <c r="D365" s="4" t="str">
        <f ca="1">IFERROR(__xludf.DUMMYFUNCTION("""COMPUTED_VALUE"""),"Nữ")</f>
        <v>Nữ</v>
      </c>
      <c r="E365" s="4" t="str">
        <f ca="1">IFERROR(__xludf.DUMMYFUNCTION("""COMPUTED_VALUE"""),"Công Ty TNHH Kiểm Toán Và Định Gía Thăng Long TDK- Chi Nhánh Miền Nam")</f>
        <v>Công Ty TNHH Kiểm Toán Và Định Gía Thăng Long TDK- Chi Nhánh Miền Nam</v>
      </c>
      <c r="F365" s="4" t="str">
        <f ca="1">IFERROR(__xludf.DUMMYFUNCTION("""COMPUTED_VALUE"""),"Đại học")</f>
        <v>Đại học</v>
      </c>
      <c r="G365" s="4" t="str">
        <f ca="1">IFERROR(__xludf.DUMMYFUNCTION("""COMPUTED_VALUE"""),"Từ 3 đến 5 năm")</f>
        <v>Từ 3 đến 5 năm</v>
      </c>
      <c r="H365" s="4" t="str">
        <f ca="1">IFERROR(__xludf.DUMMYFUNCTION("""COMPUTED_VALUE"""),"Trợ lý kiểm toán")</f>
        <v>Trợ lý kiểm toán</v>
      </c>
      <c r="I365" s="4">
        <f ca="1">IFERROR(__xludf.DUMMYFUNCTION("""COMPUTED_VALUE"""),4)</f>
        <v>4</v>
      </c>
      <c r="J365" s="4">
        <f ca="1">IFERROR(__xludf.DUMMYFUNCTION("""COMPUTED_VALUE"""),4)</f>
        <v>4</v>
      </c>
      <c r="K365" s="4">
        <f ca="1">IFERROR(__xludf.DUMMYFUNCTION("""COMPUTED_VALUE"""),4)</f>
        <v>4</v>
      </c>
      <c r="L365" s="4">
        <f ca="1">IFERROR(__xludf.DUMMYFUNCTION("""COMPUTED_VALUE"""),4)</f>
        <v>4</v>
      </c>
      <c r="M365" s="4">
        <f ca="1">IFERROR(__xludf.DUMMYFUNCTION("""COMPUTED_VALUE"""),4)</f>
        <v>4</v>
      </c>
      <c r="N365" s="4">
        <f ca="1">IFERROR(__xludf.DUMMYFUNCTION("""COMPUTED_VALUE"""),4)</f>
        <v>4</v>
      </c>
      <c r="O365" s="4">
        <f ca="1">IFERROR(__xludf.DUMMYFUNCTION("""COMPUTED_VALUE"""),4)</f>
        <v>4</v>
      </c>
      <c r="P365" s="4">
        <f ca="1">IFERROR(__xludf.DUMMYFUNCTION("""COMPUTED_VALUE"""),4)</f>
        <v>4</v>
      </c>
      <c r="Q365" s="4">
        <f ca="1">IFERROR(__xludf.DUMMYFUNCTION("""COMPUTED_VALUE"""),4)</f>
        <v>4</v>
      </c>
      <c r="R365" s="4">
        <f ca="1">IFERROR(__xludf.DUMMYFUNCTION("""COMPUTED_VALUE"""),4)</f>
        <v>4</v>
      </c>
      <c r="S365" s="4">
        <f ca="1">IFERROR(__xludf.DUMMYFUNCTION("""COMPUTED_VALUE"""),4)</f>
        <v>4</v>
      </c>
      <c r="T365" s="4">
        <f ca="1">IFERROR(__xludf.DUMMYFUNCTION("""COMPUTED_VALUE"""),4)</f>
        <v>4</v>
      </c>
      <c r="U365" s="4">
        <f ca="1">IFERROR(__xludf.DUMMYFUNCTION("""COMPUTED_VALUE"""),4)</f>
        <v>4</v>
      </c>
      <c r="V365" s="4">
        <f ca="1">IFERROR(__xludf.DUMMYFUNCTION("""COMPUTED_VALUE"""),4)</f>
        <v>4</v>
      </c>
      <c r="W365" s="4">
        <f ca="1">IFERROR(__xludf.DUMMYFUNCTION("""COMPUTED_VALUE"""),4)</f>
        <v>4</v>
      </c>
      <c r="X365" s="4">
        <f ca="1">IFERROR(__xludf.DUMMYFUNCTION("""COMPUTED_VALUE"""),4)</f>
        <v>4</v>
      </c>
      <c r="Y365" s="4">
        <f ca="1">IFERROR(__xludf.DUMMYFUNCTION("""COMPUTED_VALUE"""),4)</f>
        <v>4</v>
      </c>
      <c r="Z365" s="4">
        <f ca="1">IFERROR(__xludf.DUMMYFUNCTION("""COMPUTED_VALUE"""),4)</f>
        <v>4</v>
      </c>
      <c r="AA365" s="4">
        <f ca="1">IFERROR(__xludf.DUMMYFUNCTION("""COMPUTED_VALUE"""),4)</f>
        <v>4</v>
      </c>
      <c r="AB365" s="4">
        <f ca="1">IFERROR(__xludf.DUMMYFUNCTION("""COMPUTED_VALUE"""),4)</f>
        <v>4</v>
      </c>
      <c r="AC365" s="4">
        <f ca="1">IFERROR(__xludf.DUMMYFUNCTION("""COMPUTED_VALUE"""),4)</f>
        <v>4</v>
      </c>
      <c r="AD365" s="4">
        <f ca="1">IFERROR(__xludf.DUMMYFUNCTION("""COMPUTED_VALUE"""),4)</f>
        <v>4</v>
      </c>
      <c r="AE365" s="4">
        <f ca="1">IFERROR(__xludf.DUMMYFUNCTION("""COMPUTED_VALUE"""),4)</f>
        <v>4</v>
      </c>
      <c r="AF365" s="4">
        <f ca="1">IFERROR(__xludf.DUMMYFUNCTION("""COMPUTED_VALUE"""),4)</f>
        <v>4</v>
      </c>
      <c r="AG365" s="4">
        <f ca="1">IFERROR(__xludf.DUMMYFUNCTION("""COMPUTED_VALUE"""),4)</f>
        <v>4</v>
      </c>
      <c r="AH365" s="4">
        <f ca="1">IFERROR(__xludf.DUMMYFUNCTION("""COMPUTED_VALUE"""),4)</f>
        <v>4</v>
      </c>
      <c r="AI365" s="4">
        <f ca="1">IFERROR(__xludf.DUMMYFUNCTION("""COMPUTED_VALUE"""),4)</f>
        <v>4</v>
      </c>
      <c r="AJ365" s="4">
        <f ca="1">IFERROR(__xludf.DUMMYFUNCTION("""COMPUTED_VALUE"""),4)</f>
        <v>4</v>
      </c>
      <c r="AK365" s="4">
        <f ca="1">IFERROR(__xludf.DUMMYFUNCTION("""COMPUTED_VALUE"""),4)</f>
        <v>4</v>
      </c>
      <c r="AL365" s="4">
        <f ca="1">IFERROR(__xludf.DUMMYFUNCTION("""COMPUTED_VALUE"""),4)</f>
        <v>4</v>
      </c>
      <c r="AM365" s="4">
        <f ca="1">IFERROR(__xludf.DUMMYFUNCTION("""COMPUTED_VALUE"""),4)</f>
        <v>4</v>
      </c>
      <c r="AN365" s="4">
        <f ca="1">IFERROR(__xludf.DUMMYFUNCTION("""COMPUTED_VALUE"""),4)</f>
        <v>4</v>
      </c>
      <c r="AO365" s="4">
        <f ca="1">IFERROR(__xludf.DUMMYFUNCTION("""COMPUTED_VALUE"""),4)</f>
        <v>4</v>
      </c>
      <c r="AP365" s="4">
        <f ca="1">IFERROR(__xludf.DUMMYFUNCTION("""COMPUTED_VALUE"""),4)</f>
        <v>4</v>
      </c>
      <c r="AQ365" s="4">
        <f ca="1">IFERROR(__xludf.DUMMYFUNCTION("""COMPUTED_VALUE"""),4)</f>
        <v>4</v>
      </c>
      <c r="AR365" s="4">
        <f ca="1">IFERROR(__xludf.DUMMYFUNCTION("""COMPUTED_VALUE"""),4)</f>
        <v>4</v>
      </c>
      <c r="AS365" s="4">
        <f ca="1">IFERROR(__xludf.DUMMYFUNCTION("""COMPUTED_VALUE"""),4)</f>
        <v>4</v>
      </c>
      <c r="AT365" s="4">
        <f ca="1">IFERROR(__xludf.DUMMYFUNCTION("""COMPUTED_VALUE"""),4)</f>
        <v>4</v>
      </c>
      <c r="AU365" s="4">
        <f ca="1">IFERROR(__xludf.DUMMYFUNCTION("""COMPUTED_VALUE"""),4)</f>
        <v>4</v>
      </c>
      <c r="AV365" s="4">
        <f ca="1">IFERROR(__xludf.DUMMYFUNCTION("""COMPUTED_VALUE"""),4)</f>
        <v>4</v>
      </c>
      <c r="AW365" s="4">
        <f ca="1">IFERROR(__xludf.DUMMYFUNCTION("""COMPUTED_VALUE"""),4)</f>
        <v>4</v>
      </c>
      <c r="AX365" s="4">
        <f ca="1">IFERROR(__xludf.DUMMYFUNCTION("""COMPUTED_VALUE"""),4)</f>
        <v>4</v>
      </c>
      <c r="AY365" s="4">
        <f ca="1">IFERROR(__xludf.DUMMYFUNCTION("""COMPUTED_VALUE"""),4)</f>
        <v>4</v>
      </c>
      <c r="AZ365" s="4">
        <f ca="1">IFERROR(__xludf.DUMMYFUNCTION("""COMPUTED_VALUE"""),4)</f>
        <v>4</v>
      </c>
      <c r="BA365" s="4">
        <f ca="1">IFERROR(__xludf.DUMMYFUNCTION("""COMPUTED_VALUE"""),4)</f>
        <v>4</v>
      </c>
      <c r="BB365" s="4">
        <f ca="1">IFERROR(__xludf.DUMMYFUNCTION("""COMPUTED_VALUE"""),4)</f>
        <v>4</v>
      </c>
      <c r="BC365" s="4">
        <f ca="1">IFERROR(__xludf.DUMMYFUNCTION("""COMPUTED_VALUE"""),4)</f>
        <v>4</v>
      </c>
      <c r="BD365" s="4">
        <f ca="1">IFERROR(__xludf.DUMMYFUNCTION("""COMPUTED_VALUE"""),4)</f>
        <v>4</v>
      </c>
      <c r="BE365" s="4">
        <f ca="1">IFERROR(__xludf.DUMMYFUNCTION("""COMPUTED_VALUE"""),4)</f>
        <v>4</v>
      </c>
      <c r="BF365" s="4">
        <f ca="1">IFERROR(__xludf.DUMMYFUNCTION("""COMPUTED_VALUE"""),4)</f>
        <v>4</v>
      </c>
      <c r="BG365" s="4">
        <f ca="1">IFERROR(__xludf.DUMMYFUNCTION("""COMPUTED_VALUE"""),4)</f>
        <v>4</v>
      </c>
      <c r="BH365" s="4">
        <f ca="1">IFERROR(__xludf.DUMMYFUNCTION("""COMPUTED_VALUE"""),4)</f>
        <v>4</v>
      </c>
      <c r="BI365" s="4">
        <f ca="1">IFERROR(__xludf.DUMMYFUNCTION("""COMPUTED_VALUE"""),4)</f>
        <v>4</v>
      </c>
      <c r="BJ365" s="4">
        <f ca="1">IFERROR(__xludf.DUMMYFUNCTION("""COMPUTED_VALUE"""),4)</f>
        <v>4</v>
      </c>
      <c r="BK365" s="4">
        <f ca="1">IFERROR(__xludf.DUMMYFUNCTION("""COMPUTED_VALUE"""),4)</f>
        <v>4</v>
      </c>
      <c r="BL365" s="4">
        <f ca="1">IFERROR(__xludf.DUMMYFUNCTION("""COMPUTED_VALUE"""),4)</f>
        <v>4</v>
      </c>
      <c r="BM365" s="4">
        <f ca="1">IFERROR(__xludf.DUMMYFUNCTION("""COMPUTED_VALUE"""),4)</f>
        <v>4</v>
      </c>
      <c r="BN365" s="4">
        <f ca="1">IFERROR(__xludf.DUMMYFUNCTION("""COMPUTED_VALUE"""),4)</f>
        <v>4</v>
      </c>
      <c r="BO365" s="4">
        <f ca="1">IFERROR(__xludf.DUMMYFUNCTION("""COMPUTED_VALUE"""),4)</f>
        <v>4</v>
      </c>
      <c r="BP365" s="4">
        <f ca="1">IFERROR(__xludf.DUMMYFUNCTION("""COMPUTED_VALUE"""),4)</f>
        <v>4</v>
      </c>
    </row>
    <row r="366" spans="1:68" ht="13.2" x14ac:dyDescent="0.25">
      <c r="A366" s="4" t="str">
        <f ca="1">IFERROR(__xludf.DUMMYFUNCTION("""COMPUTED_VALUE"""),"2_ABaOnue8hXEU_a_AuGl4l6AiOPpqu1-3M76dyezoDDDy2THQyXkDBmAr1Ik8IEWBSQ")</f>
        <v>2_ABaOnue8hXEU_a_AuGl4l6AiOPpqu1-3M76dyezoDDDy2THQyXkDBmAr1Ik8IEWBSQ</v>
      </c>
      <c r="B366" s="5">
        <f ca="1">IFERROR(__xludf.DUMMYFUNCTION("""COMPUTED_VALUE"""),45987.5995236342)</f>
        <v>45987.599523634199</v>
      </c>
      <c r="C366" s="4" t="str">
        <f ca="1">IFERROR(__xludf.DUMMYFUNCTION("""COMPUTED_VALUE"""),"Lê Ánh Như Mai")</f>
        <v>Lê Ánh Như Mai</v>
      </c>
      <c r="D366" s="4" t="str">
        <f ca="1">IFERROR(__xludf.DUMMYFUNCTION("""COMPUTED_VALUE"""),"Nữ")</f>
        <v>Nữ</v>
      </c>
      <c r="E366" s="4" t="str">
        <f ca="1">IFERROR(__xludf.DUMMYFUNCTION("""COMPUTED_VALUE"""),"CNMN Công ty TNHH Kiểm toán &amp; Định giá Thăng Long - T.D.K")</f>
        <v>CNMN Công ty TNHH Kiểm toán &amp; Định giá Thăng Long - T.D.K</v>
      </c>
      <c r="F366" s="4" t="str">
        <f ca="1">IFERROR(__xludf.DUMMYFUNCTION("""COMPUTED_VALUE"""),"Đại học")</f>
        <v>Đại học</v>
      </c>
      <c r="G366" s="4" t="str">
        <f ca="1">IFERROR(__xludf.DUMMYFUNCTION("""COMPUTED_VALUE"""),"Từ 3 đến 5 năm")</f>
        <v>Từ 3 đến 5 năm</v>
      </c>
      <c r="H366" s="4" t="str">
        <f ca="1">IFERROR(__xludf.DUMMYFUNCTION("""COMPUTED_VALUE"""),"Trợ lý kiểm toán")</f>
        <v>Trợ lý kiểm toán</v>
      </c>
      <c r="I366" s="4">
        <f ca="1">IFERROR(__xludf.DUMMYFUNCTION("""COMPUTED_VALUE"""),3)</f>
        <v>3</v>
      </c>
      <c r="J366" s="4">
        <f ca="1">IFERROR(__xludf.DUMMYFUNCTION("""COMPUTED_VALUE"""),3)</f>
        <v>3</v>
      </c>
      <c r="K366" s="4">
        <f ca="1">IFERROR(__xludf.DUMMYFUNCTION("""COMPUTED_VALUE"""),3)</f>
        <v>3</v>
      </c>
      <c r="L366" s="4">
        <f ca="1">IFERROR(__xludf.DUMMYFUNCTION("""COMPUTED_VALUE"""),3)</f>
        <v>3</v>
      </c>
      <c r="M366" s="4">
        <f ca="1">IFERROR(__xludf.DUMMYFUNCTION("""COMPUTED_VALUE"""),3)</f>
        <v>3</v>
      </c>
      <c r="N366" s="4">
        <f ca="1">IFERROR(__xludf.DUMMYFUNCTION("""COMPUTED_VALUE"""),3)</f>
        <v>3</v>
      </c>
      <c r="O366" s="4">
        <f ca="1">IFERROR(__xludf.DUMMYFUNCTION("""COMPUTED_VALUE"""),4)</f>
        <v>4</v>
      </c>
      <c r="P366" s="4">
        <f ca="1">IFERROR(__xludf.DUMMYFUNCTION("""COMPUTED_VALUE"""),3)</f>
        <v>3</v>
      </c>
      <c r="Q366" s="4">
        <f ca="1">IFERROR(__xludf.DUMMYFUNCTION("""COMPUTED_VALUE"""),3)</f>
        <v>3</v>
      </c>
      <c r="R366" s="4">
        <f ca="1">IFERROR(__xludf.DUMMYFUNCTION("""COMPUTED_VALUE"""),4)</f>
        <v>4</v>
      </c>
      <c r="S366" s="4">
        <f ca="1">IFERROR(__xludf.DUMMYFUNCTION("""COMPUTED_VALUE"""),4)</f>
        <v>4</v>
      </c>
      <c r="T366" s="4">
        <f ca="1">IFERROR(__xludf.DUMMYFUNCTION("""COMPUTED_VALUE"""),4)</f>
        <v>4</v>
      </c>
      <c r="U366" s="4">
        <f ca="1">IFERROR(__xludf.DUMMYFUNCTION("""COMPUTED_VALUE"""),3)</f>
        <v>3</v>
      </c>
      <c r="V366" s="4">
        <f ca="1">IFERROR(__xludf.DUMMYFUNCTION("""COMPUTED_VALUE"""),3)</f>
        <v>3</v>
      </c>
      <c r="W366" s="4">
        <f ca="1">IFERROR(__xludf.DUMMYFUNCTION("""COMPUTED_VALUE"""),3)</f>
        <v>3</v>
      </c>
      <c r="X366" s="4">
        <f ca="1">IFERROR(__xludf.DUMMYFUNCTION("""COMPUTED_VALUE"""),3)</f>
        <v>3</v>
      </c>
      <c r="Y366" s="4">
        <f ca="1">IFERROR(__xludf.DUMMYFUNCTION("""COMPUTED_VALUE"""),4)</f>
        <v>4</v>
      </c>
      <c r="Z366" s="4">
        <f ca="1">IFERROR(__xludf.DUMMYFUNCTION("""COMPUTED_VALUE"""),4)</f>
        <v>4</v>
      </c>
      <c r="AA366" s="4">
        <f ca="1">IFERROR(__xludf.DUMMYFUNCTION("""COMPUTED_VALUE"""),3)</f>
        <v>3</v>
      </c>
      <c r="AB366" s="4">
        <f ca="1">IFERROR(__xludf.DUMMYFUNCTION("""COMPUTED_VALUE"""),3)</f>
        <v>3</v>
      </c>
      <c r="AC366" s="4">
        <f ca="1">IFERROR(__xludf.DUMMYFUNCTION("""COMPUTED_VALUE"""),3)</f>
        <v>3</v>
      </c>
      <c r="AD366" s="4">
        <f ca="1">IFERROR(__xludf.DUMMYFUNCTION("""COMPUTED_VALUE"""),3)</f>
        <v>3</v>
      </c>
      <c r="AE366" s="4">
        <f ca="1">IFERROR(__xludf.DUMMYFUNCTION("""COMPUTED_VALUE"""),3)</f>
        <v>3</v>
      </c>
      <c r="AF366" s="4">
        <f ca="1">IFERROR(__xludf.DUMMYFUNCTION("""COMPUTED_VALUE"""),3)</f>
        <v>3</v>
      </c>
      <c r="AG366" s="4">
        <f ca="1">IFERROR(__xludf.DUMMYFUNCTION("""COMPUTED_VALUE"""),3)</f>
        <v>3</v>
      </c>
      <c r="AH366" s="4">
        <f ca="1">IFERROR(__xludf.DUMMYFUNCTION("""COMPUTED_VALUE"""),3)</f>
        <v>3</v>
      </c>
      <c r="AI366" s="4">
        <f ca="1">IFERROR(__xludf.DUMMYFUNCTION("""COMPUTED_VALUE"""),3)</f>
        <v>3</v>
      </c>
      <c r="AJ366" s="4">
        <f ca="1">IFERROR(__xludf.DUMMYFUNCTION("""COMPUTED_VALUE"""),4)</f>
        <v>4</v>
      </c>
      <c r="AK366" s="4">
        <f ca="1">IFERROR(__xludf.DUMMYFUNCTION("""COMPUTED_VALUE"""),4)</f>
        <v>4</v>
      </c>
      <c r="AL366" s="4">
        <f ca="1">IFERROR(__xludf.DUMMYFUNCTION("""COMPUTED_VALUE"""),4)</f>
        <v>4</v>
      </c>
      <c r="AM366" s="4">
        <f ca="1">IFERROR(__xludf.DUMMYFUNCTION("""COMPUTED_VALUE"""),4)</f>
        <v>4</v>
      </c>
      <c r="AN366" s="4">
        <f ca="1">IFERROR(__xludf.DUMMYFUNCTION("""COMPUTED_VALUE"""),4)</f>
        <v>4</v>
      </c>
      <c r="AO366" s="4">
        <f ca="1">IFERROR(__xludf.DUMMYFUNCTION("""COMPUTED_VALUE"""),3)</f>
        <v>3</v>
      </c>
      <c r="AP366" s="4">
        <f ca="1">IFERROR(__xludf.DUMMYFUNCTION("""COMPUTED_VALUE"""),3)</f>
        <v>3</v>
      </c>
      <c r="AQ366" s="4">
        <f ca="1">IFERROR(__xludf.DUMMYFUNCTION("""COMPUTED_VALUE"""),3)</f>
        <v>3</v>
      </c>
      <c r="AR366" s="4">
        <f ca="1">IFERROR(__xludf.DUMMYFUNCTION("""COMPUTED_VALUE"""),3)</f>
        <v>3</v>
      </c>
      <c r="AS366" s="4">
        <f ca="1">IFERROR(__xludf.DUMMYFUNCTION("""COMPUTED_VALUE"""),3)</f>
        <v>3</v>
      </c>
      <c r="AT366" s="4">
        <f ca="1">IFERROR(__xludf.DUMMYFUNCTION("""COMPUTED_VALUE"""),3)</f>
        <v>3</v>
      </c>
      <c r="AU366" s="4">
        <f ca="1">IFERROR(__xludf.DUMMYFUNCTION("""COMPUTED_VALUE"""),3)</f>
        <v>3</v>
      </c>
      <c r="AV366" s="4">
        <f ca="1">IFERROR(__xludf.DUMMYFUNCTION("""COMPUTED_VALUE"""),3)</f>
        <v>3</v>
      </c>
      <c r="AW366" s="4">
        <f ca="1">IFERROR(__xludf.DUMMYFUNCTION("""COMPUTED_VALUE"""),3)</f>
        <v>3</v>
      </c>
      <c r="AX366" s="4">
        <f ca="1">IFERROR(__xludf.DUMMYFUNCTION("""COMPUTED_VALUE"""),3)</f>
        <v>3</v>
      </c>
      <c r="AY366" s="4">
        <f ca="1">IFERROR(__xludf.DUMMYFUNCTION("""COMPUTED_VALUE"""),3)</f>
        <v>3</v>
      </c>
      <c r="AZ366" s="4">
        <f ca="1">IFERROR(__xludf.DUMMYFUNCTION("""COMPUTED_VALUE"""),3)</f>
        <v>3</v>
      </c>
      <c r="BA366" s="4">
        <f ca="1">IFERROR(__xludf.DUMMYFUNCTION("""COMPUTED_VALUE"""),3)</f>
        <v>3</v>
      </c>
      <c r="BB366" s="4">
        <f ca="1">IFERROR(__xludf.DUMMYFUNCTION("""COMPUTED_VALUE"""),4)</f>
        <v>4</v>
      </c>
      <c r="BC366" s="4">
        <f ca="1">IFERROR(__xludf.DUMMYFUNCTION("""COMPUTED_VALUE"""),3)</f>
        <v>3</v>
      </c>
      <c r="BD366" s="4">
        <f ca="1">IFERROR(__xludf.DUMMYFUNCTION("""COMPUTED_VALUE"""),3)</f>
        <v>3</v>
      </c>
      <c r="BE366" s="4">
        <f ca="1">IFERROR(__xludf.DUMMYFUNCTION("""COMPUTED_VALUE"""),3)</f>
        <v>3</v>
      </c>
      <c r="BF366" s="4">
        <f ca="1">IFERROR(__xludf.DUMMYFUNCTION("""COMPUTED_VALUE"""),4)</f>
        <v>4</v>
      </c>
      <c r="BG366" s="4">
        <f ca="1">IFERROR(__xludf.DUMMYFUNCTION("""COMPUTED_VALUE"""),3)</f>
        <v>3</v>
      </c>
      <c r="BH366" s="4">
        <f ca="1">IFERROR(__xludf.DUMMYFUNCTION("""COMPUTED_VALUE"""),3)</f>
        <v>3</v>
      </c>
      <c r="BI366" s="4">
        <f ca="1">IFERROR(__xludf.DUMMYFUNCTION("""COMPUTED_VALUE"""),3)</f>
        <v>3</v>
      </c>
      <c r="BJ366" s="4">
        <f ca="1">IFERROR(__xludf.DUMMYFUNCTION("""COMPUTED_VALUE"""),3)</f>
        <v>3</v>
      </c>
      <c r="BK366" s="4">
        <f ca="1">IFERROR(__xludf.DUMMYFUNCTION("""COMPUTED_VALUE"""),3)</f>
        <v>3</v>
      </c>
      <c r="BL366" s="4">
        <f ca="1">IFERROR(__xludf.DUMMYFUNCTION("""COMPUTED_VALUE"""),3)</f>
        <v>3</v>
      </c>
      <c r="BM366" s="4">
        <f ca="1">IFERROR(__xludf.DUMMYFUNCTION("""COMPUTED_VALUE"""),4)</f>
        <v>4</v>
      </c>
      <c r="BN366" s="4">
        <f ca="1">IFERROR(__xludf.DUMMYFUNCTION("""COMPUTED_VALUE"""),3)</f>
        <v>3</v>
      </c>
      <c r="BO366" s="4">
        <f ca="1">IFERROR(__xludf.DUMMYFUNCTION("""COMPUTED_VALUE"""),3)</f>
        <v>3</v>
      </c>
      <c r="BP366" s="4">
        <f ca="1">IFERROR(__xludf.DUMMYFUNCTION("""COMPUTED_VALUE"""),3)</f>
        <v>3</v>
      </c>
    </row>
    <row r="367" spans="1:68" ht="13.2" x14ac:dyDescent="0.25">
      <c r="A367" s="4" t="str">
        <f ca="1">IFERROR(__xludf.DUMMYFUNCTION("""COMPUTED_VALUE"""),"2_ABaOnufyiOiS4asgWlB29aHSCPu_ZYRatqFHQzw2SnNryF09PWmea9NOXWPklBoupA")</f>
        <v>2_ABaOnufyiOiS4asgWlB29aHSCPu_ZYRatqFHQzw2SnNryF09PWmea9NOXWPklBoupA</v>
      </c>
      <c r="B367" s="5">
        <f ca="1">IFERROR(__xludf.DUMMYFUNCTION("""COMPUTED_VALUE"""),45987.6076998842)</f>
        <v>45987.607699884204</v>
      </c>
      <c r="C367" s="4" t="str">
        <f ca="1">IFERROR(__xludf.DUMMYFUNCTION("""COMPUTED_VALUE"""),"Phạm Thị Ánh Dương")</f>
        <v>Phạm Thị Ánh Dương</v>
      </c>
      <c r="D367" s="4" t="str">
        <f ca="1">IFERROR(__xludf.DUMMYFUNCTION("""COMPUTED_VALUE"""),"Nữ")</f>
        <v>Nữ</v>
      </c>
      <c r="E367" s="4" t="str">
        <f ca="1">IFERROR(__xludf.DUMMYFUNCTION("""COMPUTED_VALUE"""),"Công ty TNHH Kiểm toán Tư vấn Đất Việt")</f>
        <v>Công ty TNHH Kiểm toán Tư vấn Đất Việt</v>
      </c>
      <c r="F367" s="4" t="str">
        <f ca="1">IFERROR(__xludf.DUMMYFUNCTION("""COMPUTED_VALUE"""),"Đại học")</f>
        <v>Đại học</v>
      </c>
      <c r="G367" s="4" t="str">
        <f ca="1">IFERROR(__xludf.DUMMYFUNCTION("""COMPUTED_VALUE"""),"Trên 15 đến 20 năm")</f>
        <v>Trên 15 đến 20 năm</v>
      </c>
      <c r="H367" s="4" t="str">
        <f ca="1">IFERROR(__xludf.DUMMYFUNCTION("""COMPUTED_VALUE"""),"Trưởng phòng")</f>
        <v>Trưởng phòng</v>
      </c>
      <c r="I367" s="4">
        <f ca="1">IFERROR(__xludf.DUMMYFUNCTION("""COMPUTED_VALUE"""),5)</f>
        <v>5</v>
      </c>
      <c r="J367" s="4">
        <f ca="1">IFERROR(__xludf.DUMMYFUNCTION("""COMPUTED_VALUE"""),5)</f>
        <v>5</v>
      </c>
      <c r="K367" s="4">
        <f ca="1">IFERROR(__xludf.DUMMYFUNCTION("""COMPUTED_VALUE"""),5)</f>
        <v>5</v>
      </c>
      <c r="L367" s="4">
        <f ca="1">IFERROR(__xludf.DUMMYFUNCTION("""COMPUTED_VALUE"""),4)</f>
        <v>4</v>
      </c>
      <c r="M367" s="4">
        <f ca="1">IFERROR(__xludf.DUMMYFUNCTION("""COMPUTED_VALUE"""),5)</f>
        <v>5</v>
      </c>
      <c r="N367" s="4">
        <f ca="1">IFERROR(__xludf.DUMMYFUNCTION("""COMPUTED_VALUE"""),4)</f>
        <v>4</v>
      </c>
      <c r="O367" s="4">
        <f ca="1">IFERROR(__xludf.DUMMYFUNCTION("""COMPUTED_VALUE"""),4)</f>
        <v>4</v>
      </c>
      <c r="P367" s="4">
        <f ca="1">IFERROR(__xludf.DUMMYFUNCTION("""COMPUTED_VALUE"""),5)</f>
        <v>5</v>
      </c>
      <c r="Q367" s="4">
        <f ca="1">IFERROR(__xludf.DUMMYFUNCTION("""COMPUTED_VALUE"""),5)</f>
        <v>5</v>
      </c>
      <c r="R367" s="4">
        <f ca="1">IFERROR(__xludf.DUMMYFUNCTION("""COMPUTED_VALUE"""),4)</f>
        <v>4</v>
      </c>
      <c r="S367" s="4">
        <f ca="1">IFERROR(__xludf.DUMMYFUNCTION("""COMPUTED_VALUE"""),4)</f>
        <v>4</v>
      </c>
      <c r="T367" s="4">
        <f ca="1">IFERROR(__xludf.DUMMYFUNCTION("""COMPUTED_VALUE"""),5)</f>
        <v>5</v>
      </c>
      <c r="U367" s="4">
        <f ca="1">IFERROR(__xludf.DUMMYFUNCTION("""COMPUTED_VALUE"""),5)</f>
        <v>5</v>
      </c>
      <c r="V367" s="4">
        <f ca="1">IFERROR(__xludf.DUMMYFUNCTION("""COMPUTED_VALUE"""),5)</f>
        <v>5</v>
      </c>
      <c r="W367" s="4">
        <f ca="1">IFERROR(__xludf.DUMMYFUNCTION("""COMPUTED_VALUE"""),4)</f>
        <v>4</v>
      </c>
      <c r="X367" s="4">
        <f ca="1">IFERROR(__xludf.DUMMYFUNCTION("""COMPUTED_VALUE"""),4)</f>
        <v>4</v>
      </c>
      <c r="Y367" s="4">
        <f ca="1">IFERROR(__xludf.DUMMYFUNCTION("""COMPUTED_VALUE"""),4)</f>
        <v>4</v>
      </c>
      <c r="Z367" s="4">
        <f ca="1">IFERROR(__xludf.DUMMYFUNCTION("""COMPUTED_VALUE"""),4)</f>
        <v>4</v>
      </c>
      <c r="AA367" s="4">
        <f ca="1">IFERROR(__xludf.DUMMYFUNCTION("""COMPUTED_VALUE"""),4)</f>
        <v>4</v>
      </c>
      <c r="AB367" s="4">
        <f ca="1">IFERROR(__xludf.DUMMYFUNCTION("""COMPUTED_VALUE"""),5)</f>
        <v>5</v>
      </c>
      <c r="AC367" s="4">
        <f ca="1">IFERROR(__xludf.DUMMYFUNCTION("""COMPUTED_VALUE"""),5)</f>
        <v>5</v>
      </c>
      <c r="AD367" s="4">
        <f ca="1">IFERROR(__xludf.DUMMYFUNCTION("""COMPUTED_VALUE"""),4)</f>
        <v>4</v>
      </c>
      <c r="AE367" s="4">
        <f ca="1">IFERROR(__xludf.DUMMYFUNCTION("""COMPUTED_VALUE"""),5)</f>
        <v>5</v>
      </c>
      <c r="AF367" s="4">
        <f ca="1">IFERROR(__xludf.DUMMYFUNCTION("""COMPUTED_VALUE"""),5)</f>
        <v>5</v>
      </c>
      <c r="AG367" s="4">
        <f ca="1">IFERROR(__xludf.DUMMYFUNCTION("""COMPUTED_VALUE"""),4)</f>
        <v>4</v>
      </c>
      <c r="AH367" s="4">
        <f ca="1">IFERROR(__xludf.DUMMYFUNCTION("""COMPUTED_VALUE"""),4)</f>
        <v>4</v>
      </c>
      <c r="AI367" s="4">
        <f ca="1">IFERROR(__xludf.DUMMYFUNCTION("""COMPUTED_VALUE"""),4)</f>
        <v>4</v>
      </c>
      <c r="AJ367" s="4">
        <f ca="1">IFERROR(__xludf.DUMMYFUNCTION("""COMPUTED_VALUE"""),4)</f>
        <v>4</v>
      </c>
      <c r="AK367" s="4">
        <f ca="1">IFERROR(__xludf.DUMMYFUNCTION("""COMPUTED_VALUE"""),4)</f>
        <v>4</v>
      </c>
      <c r="AL367" s="4">
        <f ca="1">IFERROR(__xludf.DUMMYFUNCTION("""COMPUTED_VALUE"""),5)</f>
        <v>5</v>
      </c>
      <c r="AM367" s="4">
        <f ca="1">IFERROR(__xludf.DUMMYFUNCTION("""COMPUTED_VALUE"""),5)</f>
        <v>5</v>
      </c>
      <c r="AN367" s="4">
        <f ca="1">IFERROR(__xludf.DUMMYFUNCTION("""COMPUTED_VALUE"""),4)</f>
        <v>4</v>
      </c>
      <c r="AO367" s="4">
        <f ca="1">IFERROR(__xludf.DUMMYFUNCTION("""COMPUTED_VALUE"""),4)</f>
        <v>4</v>
      </c>
      <c r="AP367" s="4">
        <f ca="1">IFERROR(__xludf.DUMMYFUNCTION("""COMPUTED_VALUE"""),4)</f>
        <v>4</v>
      </c>
      <c r="AQ367" s="4">
        <f ca="1">IFERROR(__xludf.DUMMYFUNCTION("""COMPUTED_VALUE"""),4)</f>
        <v>4</v>
      </c>
      <c r="AR367" s="4">
        <f ca="1">IFERROR(__xludf.DUMMYFUNCTION("""COMPUTED_VALUE"""),4)</f>
        <v>4</v>
      </c>
      <c r="AS367" s="4">
        <f ca="1">IFERROR(__xludf.DUMMYFUNCTION("""COMPUTED_VALUE"""),4)</f>
        <v>4</v>
      </c>
      <c r="AT367" s="4">
        <f ca="1">IFERROR(__xludf.DUMMYFUNCTION("""COMPUTED_VALUE"""),4)</f>
        <v>4</v>
      </c>
      <c r="AU367" s="4">
        <f ca="1">IFERROR(__xludf.DUMMYFUNCTION("""COMPUTED_VALUE"""),4)</f>
        <v>4</v>
      </c>
      <c r="AV367" s="4">
        <f ca="1">IFERROR(__xludf.DUMMYFUNCTION("""COMPUTED_VALUE"""),4)</f>
        <v>4</v>
      </c>
      <c r="AW367" s="4">
        <f ca="1">IFERROR(__xludf.DUMMYFUNCTION("""COMPUTED_VALUE"""),4)</f>
        <v>4</v>
      </c>
      <c r="AX367" s="4">
        <f ca="1">IFERROR(__xludf.DUMMYFUNCTION("""COMPUTED_VALUE"""),5)</f>
        <v>5</v>
      </c>
      <c r="AY367" s="4">
        <f ca="1">IFERROR(__xludf.DUMMYFUNCTION("""COMPUTED_VALUE"""),5)</f>
        <v>5</v>
      </c>
      <c r="AZ367" s="4">
        <f ca="1">IFERROR(__xludf.DUMMYFUNCTION("""COMPUTED_VALUE"""),5)</f>
        <v>5</v>
      </c>
      <c r="BA367" s="4">
        <f ca="1">IFERROR(__xludf.DUMMYFUNCTION("""COMPUTED_VALUE"""),5)</f>
        <v>5</v>
      </c>
      <c r="BB367" s="4">
        <f ca="1">IFERROR(__xludf.DUMMYFUNCTION("""COMPUTED_VALUE"""),5)</f>
        <v>5</v>
      </c>
      <c r="BC367" s="4">
        <f ca="1">IFERROR(__xludf.DUMMYFUNCTION("""COMPUTED_VALUE"""),4)</f>
        <v>4</v>
      </c>
      <c r="BD367" s="4">
        <f ca="1">IFERROR(__xludf.DUMMYFUNCTION("""COMPUTED_VALUE"""),4)</f>
        <v>4</v>
      </c>
      <c r="BE367" s="4">
        <f ca="1">IFERROR(__xludf.DUMMYFUNCTION("""COMPUTED_VALUE"""),4)</f>
        <v>4</v>
      </c>
      <c r="BF367" s="4">
        <f ca="1">IFERROR(__xludf.DUMMYFUNCTION("""COMPUTED_VALUE"""),4)</f>
        <v>4</v>
      </c>
      <c r="BG367" s="4">
        <f ca="1">IFERROR(__xludf.DUMMYFUNCTION("""COMPUTED_VALUE"""),3)</f>
        <v>3</v>
      </c>
      <c r="BH367" s="4">
        <f ca="1">IFERROR(__xludf.DUMMYFUNCTION("""COMPUTED_VALUE"""),5)</f>
        <v>5</v>
      </c>
      <c r="BI367" s="4">
        <f ca="1">IFERROR(__xludf.DUMMYFUNCTION("""COMPUTED_VALUE"""),5)</f>
        <v>5</v>
      </c>
      <c r="BJ367" s="4">
        <f ca="1">IFERROR(__xludf.DUMMYFUNCTION("""COMPUTED_VALUE"""),5)</f>
        <v>5</v>
      </c>
      <c r="BK367" s="4">
        <f ca="1">IFERROR(__xludf.DUMMYFUNCTION("""COMPUTED_VALUE"""),5)</f>
        <v>5</v>
      </c>
      <c r="BL367" s="4">
        <f ca="1">IFERROR(__xludf.DUMMYFUNCTION("""COMPUTED_VALUE"""),5)</f>
        <v>5</v>
      </c>
      <c r="BM367" s="4">
        <f ca="1">IFERROR(__xludf.DUMMYFUNCTION("""COMPUTED_VALUE"""),5)</f>
        <v>5</v>
      </c>
      <c r="BN367" s="4">
        <f ca="1">IFERROR(__xludf.DUMMYFUNCTION("""COMPUTED_VALUE"""),4)</f>
        <v>4</v>
      </c>
      <c r="BO367" s="4">
        <f ca="1">IFERROR(__xludf.DUMMYFUNCTION("""COMPUTED_VALUE"""),5)</f>
        <v>5</v>
      </c>
      <c r="BP367" s="4">
        <f ca="1">IFERROR(__xludf.DUMMYFUNCTION("""COMPUTED_VALUE"""),4)</f>
        <v>4</v>
      </c>
    </row>
    <row r="368" spans="1:68" ht="13.2" x14ac:dyDescent="0.25">
      <c r="A368" s="4" t="str">
        <f ca="1">IFERROR(__xludf.DUMMYFUNCTION("""COMPUTED_VALUE"""),"2_ABaOnucqdNEnni7-6s9URouV29NA8i3x__qYzZmfk1gXwnjzGJegMqIaXo2Pm9W7Qg")</f>
        <v>2_ABaOnucqdNEnni7-6s9URouV29NA8i3x__qYzZmfk1gXwnjzGJegMqIaXo2Pm9W7Qg</v>
      </c>
      <c r="B368" s="5">
        <f ca="1">IFERROR(__xludf.DUMMYFUNCTION("""COMPUTED_VALUE"""),45987.6079247337)</f>
        <v>45987.607924733697</v>
      </c>
      <c r="C368" s="4" t="str">
        <f ca="1">IFERROR(__xludf.DUMMYFUNCTION("""COMPUTED_VALUE"""),"Tạ Thị Thu Thúy")</f>
        <v>Tạ Thị Thu Thúy</v>
      </c>
      <c r="D368" s="4" t="str">
        <f ca="1">IFERROR(__xludf.DUMMYFUNCTION("""COMPUTED_VALUE"""),"Nữ")</f>
        <v>Nữ</v>
      </c>
      <c r="E368" s="4" t="str">
        <f ca="1">IFERROR(__xludf.DUMMYFUNCTION("""COMPUTED_VALUE"""),"CNMN Công ty TNHH Kiểm Toán và Định Giá Thăng Long - T.D.K")</f>
        <v>CNMN Công ty TNHH Kiểm Toán và Định Giá Thăng Long - T.D.K</v>
      </c>
      <c r="F368" s="4" t="str">
        <f ca="1">IFERROR(__xludf.DUMMYFUNCTION("""COMPUTED_VALUE"""),"Đại học")</f>
        <v>Đại học</v>
      </c>
      <c r="G368" s="4" t="str">
        <f ca="1">IFERROR(__xludf.DUMMYFUNCTION("""COMPUTED_VALUE"""),"Trên 15 đến 20 năm")</f>
        <v>Trên 15 đến 20 năm</v>
      </c>
      <c r="H368" s="4" t="str">
        <f ca="1">IFERROR(__xludf.DUMMYFUNCTION("""COMPUTED_VALUE"""),"Trợ lý kiểm toán")</f>
        <v>Trợ lý kiểm toán</v>
      </c>
      <c r="I368" s="4">
        <f ca="1">IFERROR(__xludf.DUMMYFUNCTION("""COMPUTED_VALUE"""),4)</f>
        <v>4</v>
      </c>
      <c r="J368" s="4">
        <f ca="1">IFERROR(__xludf.DUMMYFUNCTION("""COMPUTED_VALUE"""),4)</f>
        <v>4</v>
      </c>
      <c r="K368" s="4">
        <f ca="1">IFERROR(__xludf.DUMMYFUNCTION("""COMPUTED_VALUE"""),3)</f>
        <v>3</v>
      </c>
      <c r="L368" s="4">
        <f ca="1">IFERROR(__xludf.DUMMYFUNCTION("""COMPUTED_VALUE"""),3)</f>
        <v>3</v>
      </c>
      <c r="M368" s="4">
        <f ca="1">IFERROR(__xludf.DUMMYFUNCTION("""COMPUTED_VALUE"""),4)</f>
        <v>4</v>
      </c>
      <c r="N368" s="4">
        <f ca="1">IFERROR(__xludf.DUMMYFUNCTION("""COMPUTED_VALUE"""),4)</f>
        <v>4</v>
      </c>
      <c r="O368" s="4">
        <f ca="1">IFERROR(__xludf.DUMMYFUNCTION("""COMPUTED_VALUE"""),3)</f>
        <v>3</v>
      </c>
      <c r="P368" s="4">
        <f ca="1">IFERROR(__xludf.DUMMYFUNCTION("""COMPUTED_VALUE"""),3)</f>
        <v>3</v>
      </c>
      <c r="Q368" s="4">
        <f ca="1">IFERROR(__xludf.DUMMYFUNCTION("""COMPUTED_VALUE"""),3)</f>
        <v>3</v>
      </c>
      <c r="R368" s="4">
        <f ca="1">IFERROR(__xludf.DUMMYFUNCTION("""COMPUTED_VALUE"""),4)</f>
        <v>4</v>
      </c>
      <c r="S368" s="4">
        <f ca="1">IFERROR(__xludf.DUMMYFUNCTION("""COMPUTED_VALUE"""),4)</f>
        <v>4</v>
      </c>
      <c r="T368" s="4">
        <f ca="1">IFERROR(__xludf.DUMMYFUNCTION("""COMPUTED_VALUE"""),4)</f>
        <v>4</v>
      </c>
      <c r="U368" s="4">
        <f ca="1">IFERROR(__xludf.DUMMYFUNCTION("""COMPUTED_VALUE"""),3)</f>
        <v>3</v>
      </c>
      <c r="V368" s="4">
        <f ca="1">IFERROR(__xludf.DUMMYFUNCTION("""COMPUTED_VALUE"""),4)</f>
        <v>4</v>
      </c>
      <c r="W368" s="4">
        <f ca="1">IFERROR(__xludf.DUMMYFUNCTION("""COMPUTED_VALUE"""),3)</f>
        <v>3</v>
      </c>
      <c r="X368" s="4">
        <f ca="1">IFERROR(__xludf.DUMMYFUNCTION("""COMPUTED_VALUE"""),3)</f>
        <v>3</v>
      </c>
      <c r="Y368" s="4">
        <f ca="1">IFERROR(__xludf.DUMMYFUNCTION("""COMPUTED_VALUE"""),4)</f>
        <v>4</v>
      </c>
      <c r="Z368" s="4">
        <f ca="1">IFERROR(__xludf.DUMMYFUNCTION("""COMPUTED_VALUE"""),4)</f>
        <v>4</v>
      </c>
      <c r="AA368" s="4">
        <f ca="1">IFERROR(__xludf.DUMMYFUNCTION("""COMPUTED_VALUE"""),5)</f>
        <v>5</v>
      </c>
      <c r="AB368" s="4">
        <f ca="1">IFERROR(__xludf.DUMMYFUNCTION("""COMPUTED_VALUE"""),4)</f>
        <v>4</v>
      </c>
      <c r="AC368" s="4">
        <f ca="1">IFERROR(__xludf.DUMMYFUNCTION("""COMPUTED_VALUE"""),4)</f>
        <v>4</v>
      </c>
      <c r="AD368" s="4">
        <f ca="1">IFERROR(__xludf.DUMMYFUNCTION("""COMPUTED_VALUE"""),4)</f>
        <v>4</v>
      </c>
      <c r="AE368" s="4">
        <f ca="1">IFERROR(__xludf.DUMMYFUNCTION("""COMPUTED_VALUE"""),5)</f>
        <v>5</v>
      </c>
      <c r="AF368" s="4">
        <f ca="1">IFERROR(__xludf.DUMMYFUNCTION("""COMPUTED_VALUE"""),5)</f>
        <v>5</v>
      </c>
      <c r="AG368" s="4">
        <f ca="1">IFERROR(__xludf.DUMMYFUNCTION("""COMPUTED_VALUE"""),5)</f>
        <v>5</v>
      </c>
      <c r="AH368" s="4">
        <f ca="1">IFERROR(__xludf.DUMMYFUNCTION("""COMPUTED_VALUE"""),4)</f>
        <v>4</v>
      </c>
      <c r="AI368" s="4">
        <f ca="1">IFERROR(__xludf.DUMMYFUNCTION("""COMPUTED_VALUE"""),3)</f>
        <v>3</v>
      </c>
      <c r="AJ368" s="4">
        <f ca="1">IFERROR(__xludf.DUMMYFUNCTION("""COMPUTED_VALUE"""),4)</f>
        <v>4</v>
      </c>
      <c r="AK368" s="4">
        <f ca="1">IFERROR(__xludf.DUMMYFUNCTION("""COMPUTED_VALUE"""),4)</f>
        <v>4</v>
      </c>
      <c r="AL368" s="4">
        <f ca="1">IFERROR(__xludf.DUMMYFUNCTION("""COMPUTED_VALUE"""),4)</f>
        <v>4</v>
      </c>
      <c r="AM368" s="4">
        <f ca="1">IFERROR(__xludf.DUMMYFUNCTION("""COMPUTED_VALUE"""),4)</f>
        <v>4</v>
      </c>
      <c r="AN368" s="4">
        <f ca="1">IFERROR(__xludf.DUMMYFUNCTION("""COMPUTED_VALUE"""),4)</f>
        <v>4</v>
      </c>
      <c r="AO368" s="4">
        <f ca="1">IFERROR(__xludf.DUMMYFUNCTION("""COMPUTED_VALUE"""),3)</f>
        <v>3</v>
      </c>
      <c r="AP368" s="4">
        <f ca="1">IFERROR(__xludf.DUMMYFUNCTION("""COMPUTED_VALUE"""),3)</f>
        <v>3</v>
      </c>
      <c r="AQ368" s="4">
        <f ca="1">IFERROR(__xludf.DUMMYFUNCTION("""COMPUTED_VALUE"""),3)</f>
        <v>3</v>
      </c>
      <c r="AR368" s="4">
        <f ca="1">IFERROR(__xludf.DUMMYFUNCTION("""COMPUTED_VALUE"""),3)</f>
        <v>3</v>
      </c>
      <c r="AS368" s="4">
        <f ca="1">IFERROR(__xludf.DUMMYFUNCTION("""COMPUTED_VALUE"""),3)</f>
        <v>3</v>
      </c>
      <c r="AT368" s="4">
        <f ca="1">IFERROR(__xludf.DUMMYFUNCTION("""COMPUTED_VALUE"""),3)</f>
        <v>3</v>
      </c>
      <c r="AU368" s="4">
        <f ca="1">IFERROR(__xludf.DUMMYFUNCTION("""COMPUTED_VALUE"""),4)</f>
        <v>4</v>
      </c>
      <c r="AV368" s="4">
        <f ca="1">IFERROR(__xludf.DUMMYFUNCTION("""COMPUTED_VALUE"""),4)</f>
        <v>4</v>
      </c>
      <c r="AW368" s="4">
        <f ca="1">IFERROR(__xludf.DUMMYFUNCTION("""COMPUTED_VALUE"""),4)</f>
        <v>4</v>
      </c>
      <c r="AX368" s="4">
        <f ca="1">IFERROR(__xludf.DUMMYFUNCTION("""COMPUTED_VALUE"""),5)</f>
        <v>5</v>
      </c>
      <c r="AY368" s="4">
        <f ca="1">IFERROR(__xludf.DUMMYFUNCTION("""COMPUTED_VALUE"""),5)</f>
        <v>5</v>
      </c>
      <c r="AZ368" s="4">
        <f ca="1">IFERROR(__xludf.DUMMYFUNCTION("""COMPUTED_VALUE"""),5)</f>
        <v>5</v>
      </c>
      <c r="BA368" s="4">
        <f ca="1">IFERROR(__xludf.DUMMYFUNCTION("""COMPUTED_VALUE"""),4)</f>
        <v>4</v>
      </c>
      <c r="BB368" s="4">
        <f ca="1">IFERROR(__xludf.DUMMYFUNCTION("""COMPUTED_VALUE"""),3)</f>
        <v>3</v>
      </c>
      <c r="BC368" s="4">
        <f ca="1">IFERROR(__xludf.DUMMYFUNCTION("""COMPUTED_VALUE"""),4)</f>
        <v>4</v>
      </c>
      <c r="BD368" s="4">
        <f ca="1">IFERROR(__xludf.DUMMYFUNCTION("""COMPUTED_VALUE"""),4)</f>
        <v>4</v>
      </c>
      <c r="BE368" s="4">
        <f ca="1">IFERROR(__xludf.DUMMYFUNCTION("""COMPUTED_VALUE"""),4)</f>
        <v>4</v>
      </c>
      <c r="BF368" s="4">
        <f ca="1">IFERROR(__xludf.DUMMYFUNCTION("""COMPUTED_VALUE"""),4)</f>
        <v>4</v>
      </c>
      <c r="BG368" s="4">
        <f ca="1">IFERROR(__xludf.DUMMYFUNCTION("""COMPUTED_VALUE"""),4)</f>
        <v>4</v>
      </c>
      <c r="BH368" s="4">
        <f ca="1">IFERROR(__xludf.DUMMYFUNCTION("""COMPUTED_VALUE"""),4)</f>
        <v>4</v>
      </c>
      <c r="BI368" s="4">
        <f ca="1">IFERROR(__xludf.DUMMYFUNCTION("""COMPUTED_VALUE"""),4)</f>
        <v>4</v>
      </c>
      <c r="BJ368" s="4">
        <f ca="1">IFERROR(__xludf.DUMMYFUNCTION("""COMPUTED_VALUE"""),4)</f>
        <v>4</v>
      </c>
      <c r="BK368" s="4">
        <f ca="1">IFERROR(__xludf.DUMMYFUNCTION("""COMPUTED_VALUE"""),4)</f>
        <v>4</v>
      </c>
      <c r="BL368" s="4">
        <f ca="1">IFERROR(__xludf.DUMMYFUNCTION("""COMPUTED_VALUE"""),4)</f>
        <v>4</v>
      </c>
      <c r="BM368" s="4">
        <f ca="1">IFERROR(__xludf.DUMMYFUNCTION("""COMPUTED_VALUE"""),4)</f>
        <v>4</v>
      </c>
      <c r="BN368" s="4">
        <f ca="1">IFERROR(__xludf.DUMMYFUNCTION("""COMPUTED_VALUE"""),4)</f>
        <v>4</v>
      </c>
      <c r="BO368" s="4">
        <f ca="1">IFERROR(__xludf.DUMMYFUNCTION("""COMPUTED_VALUE"""),4)</f>
        <v>4</v>
      </c>
      <c r="BP368" s="4">
        <f ca="1">IFERROR(__xludf.DUMMYFUNCTION("""COMPUTED_VALUE"""),4)</f>
        <v>4</v>
      </c>
    </row>
    <row r="369" spans="1:68" ht="13.2" x14ac:dyDescent="0.25">
      <c r="A369" s="4" t="str">
        <f ca="1">IFERROR(__xludf.DUMMYFUNCTION("""COMPUTED_VALUE"""),"2_ABaOnuf8P_qfFKgyGlTXCCnI5RUVuxOJzWOIvxGfbpbPCrO9UURyQQdNqbGrwKxv-A")</f>
        <v>2_ABaOnuf8P_qfFKgyGlTXCCnI5RUVuxOJzWOIvxGfbpbPCrO9UURyQQdNqbGrwKxv-A</v>
      </c>
      <c r="B369" s="5">
        <f ca="1">IFERROR(__xludf.DUMMYFUNCTION("""COMPUTED_VALUE"""),45987.6171448263)</f>
        <v>45987.617144826298</v>
      </c>
      <c r="C369" s="4" t="str">
        <f ca="1">IFERROR(__xludf.DUMMYFUNCTION("""COMPUTED_VALUE"""),"Nguyễn Thị Thu Thảo")</f>
        <v>Nguyễn Thị Thu Thảo</v>
      </c>
      <c r="D369" s="4" t="str">
        <f ca="1">IFERROR(__xludf.DUMMYFUNCTION("""COMPUTED_VALUE"""),"Nữ")</f>
        <v>Nữ</v>
      </c>
      <c r="E369" s="4" t="str">
        <f ca="1">IFERROR(__xludf.DUMMYFUNCTION("""COMPUTED_VALUE"""),"Công ty TNHH Kiểm toán &amp; Định giá Thăng Long T.D.K")</f>
        <v>Công ty TNHH Kiểm toán &amp; Định giá Thăng Long T.D.K</v>
      </c>
      <c r="F369" s="4" t="str">
        <f ca="1">IFERROR(__xludf.DUMMYFUNCTION("""COMPUTED_VALUE"""),"Đại học")</f>
        <v>Đại học</v>
      </c>
      <c r="G369" s="4" t="str">
        <f ca="1">IFERROR(__xludf.DUMMYFUNCTION("""COMPUTED_VALUE"""),"Từ 3 đến 5 năm")</f>
        <v>Từ 3 đến 5 năm</v>
      </c>
      <c r="H369" s="4" t="str">
        <f ca="1">IFERROR(__xludf.DUMMYFUNCTION("""COMPUTED_VALUE"""),"Trợ lý kiểm toán")</f>
        <v>Trợ lý kiểm toán</v>
      </c>
      <c r="I369" s="4">
        <f ca="1">IFERROR(__xludf.DUMMYFUNCTION("""COMPUTED_VALUE"""),4)</f>
        <v>4</v>
      </c>
      <c r="J369" s="4">
        <f ca="1">IFERROR(__xludf.DUMMYFUNCTION("""COMPUTED_VALUE"""),4)</f>
        <v>4</v>
      </c>
      <c r="K369" s="4">
        <f ca="1">IFERROR(__xludf.DUMMYFUNCTION("""COMPUTED_VALUE"""),4)</f>
        <v>4</v>
      </c>
      <c r="L369" s="4">
        <f ca="1">IFERROR(__xludf.DUMMYFUNCTION("""COMPUTED_VALUE"""),4)</f>
        <v>4</v>
      </c>
      <c r="M369" s="4">
        <f ca="1">IFERROR(__xludf.DUMMYFUNCTION("""COMPUTED_VALUE"""),4)</f>
        <v>4</v>
      </c>
      <c r="N369" s="4">
        <f ca="1">IFERROR(__xludf.DUMMYFUNCTION("""COMPUTED_VALUE"""),4)</f>
        <v>4</v>
      </c>
      <c r="O369" s="4">
        <f ca="1">IFERROR(__xludf.DUMMYFUNCTION("""COMPUTED_VALUE"""),4)</f>
        <v>4</v>
      </c>
      <c r="P369" s="4">
        <f ca="1">IFERROR(__xludf.DUMMYFUNCTION("""COMPUTED_VALUE"""),4)</f>
        <v>4</v>
      </c>
      <c r="Q369" s="4">
        <f ca="1">IFERROR(__xludf.DUMMYFUNCTION("""COMPUTED_VALUE"""),4)</f>
        <v>4</v>
      </c>
      <c r="R369" s="4">
        <f ca="1">IFERROR(__xludf.DUMMYFUNCTION("""COMPUTED_VALUE"""),3)</f>
        <v>3</v>
      </c>
      <c r="S369" s="4">
        <f ca="1">IFERROR(__xludf.DUMMYFUNCTION("""COMPUTED_VALUE"""),4)</f>
        <v>4</v>
      </c>
      <c r="T369" s="4">
        <f ca="1">IFERROR(__xludf.DUMMYFUNCTION("""COMPUTED_VALUE"""),4)</f>
        <v>4</v>
      </c>
      <c r="U369" s="4">
        <f ca="1">IFERROR(__xludf.DUMMYFUNCTION("""COMPUTED_VALUE"""),3)</f>
        <v>3</v>
      </c>
      <c r="V369" s="4">
        <f ca="1">IFERROR(__xludf.DUMMYFUNCTION("""COMPUTED_VALUE"""),4)</f>
        <v>4</v>
      </c>
      <c r="W369" s="4">
        <f ca="1">IFERROR(__xludf.DUMMYFUNCTION("""COMPUTED_VALUE"""),4)</f>
        <v>4</v>
      </c>
      <c r="X369" s="4">
        <f ca="1">IFERROR(__xludf.DUMMYFUNCTION("""COMPUTED_VALUE"""),4)</f>
        <v>4</v>
      </c>
      <c r="Y369" s="4">
        <f ca="1">IFERROR(__xludf.DUMMYFUNCTION("""COMPUTED_VALUE"""),4)</f>
        <v>4</v>
      </c>
      <c r="Z369" s="4">
        <f ca="1">IFERROR(__xludf.DUMMYFUNCTION("""COMPUTED_VALUE"""),3)</f>
        <v>3</v>
      </c>
      <c r="AA369" s="4">
        <f ca="1">IFERROR(__xludf.DUMMYFUNCTION("""COMPUTED_VALUE"""),4)</f>
        <v>4</v>
      </c>
      <c r="AB369" s="4">
        <f ca="1">IFERROR(__xludf.DUMMYFUNCTION("""COMPUTED_VALUE"""),3)</f>
        <v>3</v>
      </c>
      <c r="AC369" s="4">
        <f ca="1">IFERROR(__xludf.DUMMYFUNCTION("""COMPUTED_VALUE"""),3)</f>
        <v>3</v>
      </c>
      <c r="AD369" s="4">
        <f ca="1">IFERROR(__xludf.DUMMYFUNCTION("""COMPUTED_VALUE"""),4)</f>
        <v>4</v>
      </c>
      <c r="AE369" s="4">
        <f ca="1">IFERROR(__xludf.DUMMYFUNCTION("""COMPUTED_VALUE"""),4)</f>
        <v>4</v>
      </c>
      <c r="AF369" s="4">
        <f ca="1">IFERROR(__xludf.DUMMYFUNCTION("""COMPUTED_VALUE"""),4)</f>
        <v>4</v>
      </c>
      <c r="AG369" s="4">
        <f ca="1">IFERROR(__xludf.DUMMYFUNCTION("""COMPUTED_VALUE"""),4)</f>
        <v>4</v>
      </c>
      <c r="AH369" s="4">
        <f ca="1">IFERROR(__xludf.DUMMYFUNCTION("""COMPUTED_VALUE"""),4)</f>
        <v>4</v>
      </c>
      <c r="AI369" s="4">
        <f ca="1">IFERROR(__xludf.DUMMYFUNCTION("""COMPUTED_VALUE"""),4)</f>
        <v>4</v>
      </c>
      <c r="AJ369" s="4">
        <f ca="1">IFERROR(__xludf.DUMMYFUNCTION("""COMPUTED_VALUE"""),4)</f>
        <v>4</v>
      </c>
      <c r="AK369" s="4">
        <f ca="1">IFERROR(__xludf.DUMMYFUNCTION("""COMPUTED_VALUE"""),3)</f>
        <v>3</v>
      </c>
      <c r="AL369" s="4">
        <f ca="1">IFERROR(__xludf.DUMMYFUNCTION("""COMPUTED_VALUE"""),4)</f>
        <v>4</v>
      </c>
      <c r="AM369" s="4">
        <f ca="1">IFERROR(__xludf.DUMMYFUNCTION("""COMPUTED_VALUE"""),4)</f>
        <v>4</v>
      </c>
      <c r="AN369" s="4">
        <f ca="1">IFERROR(__xludf.DUMMYFUNCTION("""COMPUTED_VALUE"""),4)</f>
        <v>4</v>
      </c>
      <c r="AO369" s="4">
        <f ca="1">IFERROR(__xludf.DUMMYFUNCTION("""COMPUTED_VALUE"""),4)</f>
        <v>4</v>
      </c>
      <c r="AP369" s="4">
        <f ca="1">IFERROR(__xludf.DUMMYFUNCTION("""COMPUTED_VALUE"""),4)</f>
        <v>4</v>
      </c>
      <c r="AQ369" s="4">
        <f ca="1">IFERROR(__xludf.DUMMYFUNCTION("""COMPUTED_VALUE"""),4)</f>
        <v>4</v>
      </c>
      <c r="AR369" s="4">
        <f ca="1">IFERROR(__xludf.DUMMYFUNCTION("""COMPUTED_VALUE"""),3)</f>
        <v>3</v>
      </c>
      <c r="AS369" s="4">
        <f ca="1">IFERROR(__xludf.DUMMYFUNCTION("""COMPUTED_VALUE"""),4)</f>
        <v>4</v>
      </c>
      <c r="AT369" s="4">
        <f ca="1">IFERROR(__xludf.DUMMYFUNCTION("""COMPUTED_VALUE"""),4)</f>
        <v>4</v>
      </c>
      <c r="AU369" s="4">
        <f ca="1">IFERROR(__xludf.DUMMYFUNCTION("""COMPUTED_VALUE"""),4)</f>
        <v>4</v>
      </c>
      <c r="AV369" s="4">
        <f ca="1">IFERROR(__xludf.DUMMYFUNCTION("""COMPUTED_VALUE"""),4)</f>
        <v>4</v>
      </c>
      <c r="AW369" s="4">
        <f ca="1">IFERROR(__xludf.DUMMYFUNCTION("""COMPUTED_VALUE"""),4)</f>
        <v>4</v>
      </c>
      <c r="AX369" s="4">
        <f ca="1">IFERROR(__xludf.DUMMYFUNCTION("""COMPUTED_VALUE"""),4)</f>
        <v>4</v>
      </c>
      <c r="AY369" s="4">
        <f ca="1">IFERROR(__xludf.DUMMYFUNCTION("""COMPUTED_VALUE"""),4)</f>
        <v>4</v>
      </c>
      <c r="AZ369" s="4">
        <f ca="1">IFERROR(__xludf.DUMMYFUNCTION("""COMPUTED_VALUE"""),4)</f>
        <v>4</v>
      </c>
      <c r="BA369" s="4">
        <f ca="1">IFERROR(__xludf.DUMMYFUNCTION("""COMPUTED_VALUE"""),4)</f>
        <v>4</v>
      </c>
      <c r="BB369" s="4">
        <f ca="1">IFERROR(__xludf.DUMMYFUNCTION("""COMPUTED_VALUE"""),4)</f>
        <v>4</v>
      </c>
      <c r="BC369" s="4">
        <f ca="1">IFERROR(__xludf.DUMMYFUNCTION("""COMPUTED_VALUE"""),4)</f>
        <v>4</v>
      </c>
      <c r="BD369" s="4">
        <f ca="1">IFERROR(__xludf.DUMMYFUNCTION("""COMPUTED_VALUE"""),4)</f>
        <v>4</v>
      </c>
      <c r="BE369" s="4">
        <f ca="1">IFERROR(__xludf.DUMMYFUNCTION("""COMPUTED_VALUE"""),4)</f>
        <v>4</v>
      </c>
      <c r="BF369" s="4">
        <f ca="1">IFERROR(__xludf.DUMMYFUNCTION("""COMPUTED_VALUE"""),4)</f>
        <v>4</v>
      </c>
      <c r="BG369" s="4">
        <f ca="1">IFERROR(__xludf.DUMMYFUNCTION("""COMPUTED_VALUE"""),4)</f>
        <v>4</v>
      </c>
      <c r="BH369" s="4">
        <f ca="1">IFERROR(__xludf.DUMMYFUNCTION("""COMPUTED_VALUE"""),4)</f>
        <v>4</v>
      </c>
      <c r="BI369" s="4">
        <f ca="1">IFERROR(__xludf.DUMMYFUNCTION("""COMPUTED_VALUE"""),3)</f>
        <v>3</v>
      </c>
      <c r="BJ369" s="4">
        <f ca="1">IFERROR(__xludf.DUMMYFUNCTION("""COMPUTED_VALUE"""),3)</f>
        <v>3</v>
      </c>
      <c r="BK369" s="4">
        <f ca="1">IFERROR(__xludf.DUMMYFUNCTION("""COMPUTED_VALUE"""),4)</f>
        <v>4</v>
      </c>
      <c r="BL369" s="4">
        <f ca="1">IFERROR(__xludf.DUMMYFUNCTION("""COMPUTED_VALUE"""),4)</f>
        <v>4</v>
      </c>
      <c r="BM369" s="4">
        <f ca="1">IFERROR(__xludf.DUMMYFUNCTION("""COMPUTED_VALUE"""),4)</f>
        <v>4</v>
      </c>
      <c r="BN369" s="4">
        <f ca="1">IFERROR(__xludf.DUMMYFUNCTION("""COMPUTED_VALUE"""),4)</f>
        <v>4</v>
      </c>
      <c r="BO369" s="4">
        <f ca="1">IFERROR(__xludf.DUMMYFUNCTION("""COMPUTED_VALUE"""),4)</f>
        <v>4</v>
      </c>
      <c r="BP369" s="4">
        <f ca="1">IFERROR(__xludf.DUMMYFUNCTION("""COMPUTED_VALUE"""),4)</f>
        <v>4</v>
      </c>
    </row>
    <row r="370" spans="1:68" ht="13.2" x14ac:dyDescent="0.25">
      <c r="A370" s="4" t="str">
        <f ca="1">IFERROR(__xludf.DUMMYFUNCTION("""COMPUTED_VALUE"""),"2_ABaOnuccyZKmZhKVKjHaYT69MdBxb493pnj6fmojFPPtowSp5YQF9ZInOmgrjC4wpg")</f>
        <v>2_ABaOnuccyZKmZhKVKjHaYT69MdBxb493pnj6fmojFPPtowSp5YQF9ZInOmgrjC4wpg</v>
      </c>
      <c r="B370" s="5">
        <f ca="1">IFERROR(__xludf.DUMMYFUNCTION("""COMPUTED_VALUE"""),45987.6186895833)</f>
        <v>45987.618689583302</v>
      </c>
      <c r="C370" s="4" t="str">
        <f ca="1">IFERROR(__xludf.DUMMYFUNCTION("""COMPUTED_VALUE"""),"Đào Thị Linh Nguyên")</f>
        <v>Đào Thị Linh Nguyên</v>
      </c>
      <c r="D370" s="4" t="str">
        <f ca="1">IFERROR(__xludf.DUMMYFUNCTION("""COMPUTED_VALUE"""),"Nữ")</f>
        <v>Nữ</v>
      </c>
      <c r="E370" s="4" t="str">
        <f ca="1">IFERROR(__xludf.DUMMYFUNCTION("""COMPUTED_VALUE"""),"CNMN Công ty TNHH Kiểm toán và Định Giá Thăng Long - T.D.K")</f>
        <v>CNMN Công ty TNHH Kiểm toán và Định Giá Thăng Long - T.D.K</v>
      </c>
      <c r="F370" s="4" t="str">
        <f ca="1">IFERROR(__xludf.DUMMYFUNCTION("""COMPUTED_VALUE"""),"Đại học, Chứng chỉ Kiểm toán viên")</f>
        <v>Đại học, Chứng chỉ Kiểm toán viên</v>
      </c>
      <c r="G370" s="4" t="str">
        <f ca="1">IFERROR(__xludf.DUMMYFUNCTION("""COMPUTED_VALUE"""),"Trên 10 đến 15 năm")</f>
        <v>Trên 10 đến 15 năm</v>
      </c>
      <c r="H370" s="4" t="str">
        <f ca="1">IFERROR(__xludf.DUMMYFUNCTION("""COMPUTED_VALUE"""),"Kiểm toán viên/Trưởng nhóm")</f>
        <v>Kiểm toán viên/Trưởng nhóm</v>
      </c>
      <c r="I370" s="4">
        <f ca="1">IFERROR(__xludf.DUMMYFUNCTION("""COMPUTED_VALUE"""),4)</f>
        <v>4</v>
      </c>
      <c r="J370" s="4">
        <f ca="1">IFERROR(__xludf.DUMMYFUNCTION("""COMPUTED_VALUE"""),4)</f>
        <v>4</v>
      </c>
      <c r="K370" s="4">
        <f ca="1">IFERROR(__xludf.DUMMYFUNCTION("""COMPUTED_VALUE"""),4)</f>
        <v>4</v>
      </c>
      <c r="L370" s="4">
        <f ca="1">IFERROR(__xludf.DUMMYFUNCTION("""COMPUTED_VALUE"""),4)</f>
        <v>4</v>
      </c>
      <c r="M370" s="4">
        <f ca="1">IFERROR(__xludf.DUMMYFUNCTION("""COMPUTED_VALUE"""),4)</f>
        <v>4</v>
      </c>
      <c r="N370" s="4">
        <f ca="1">IFERROR(__xludf.DUMMYFUNCTION("""COMPUTED_VALUE"""),4)</f>
        <v>4</v>
      </c>
      <c r="O370" s="4">
        <f ca="1">IFERROR(__xludf.DUMMYFUNCTION("""COMPUTED_VALUE"""),4)</f>
        <v>4</v>
      </c>
      <c r="P370" s="4">
        <f ca="1">IFERROR(__xludf.DUMMYFUNCTION("""COMPUTED_VALUE"""),4)</f>
        <v>4</v>
      </c>
      <c r="Q370" s="4">
        <f ca="1">IFERROR(__xludf.DUMMYFUNCTION("""COMPUTED_VALUE"""),4)</f>
        <v>4</v>
      </c>
      <c r="R370" s="4">
        <f ca="1">IFERROR(__xludf.DUMMYFUNCTION("""COMPUTED_VALUE"""),4)</f>
        <v>4</v>
      </c>
      <c r="S370" s="4">
        <f ca="1">IFERROR(__xludf.DUMMYFUNCTION("""COMPUTED_VALUE"""),4)</f>
        <v>4</v>
      </c>
      <c r="T370" s="4">
        <f ca="1">IFERROR(__xludf.DUMMYFUNCTION("""COMPUTED_VALUE"""),4)</f>
        <v>4</v>
      </c>
      <c r="U370" s="4">
        <f ca="1">IFERROR(__xludf.DUMMYFUNCTION("""COMPUTED_VALUE"""),4)</f>
        <v>4</v>
      </c>
      <c r="V370" s="4">
        <f ca="1">IFERROR(__xludf.DUMMYFUNCTION("""COMPUTED_VALUE"""),4)</f>
        <v>4</v>
      </c>
      <c r="W370" s="4">
        <f ca="1">IFERROR(__xludf.DUMMYFUNCTION("""COMPUTED_VALUE"""),4)</f>
        <v>4</v>
      </c>
      <c r="X370" s="4">
        <f ca="1">IFERROR(__xludf.DUMMYFUNCTION("""COMPUTED_VALUE"""),4)</f>
        <v>4</v>
      </c>
      <c r="Y370" s="4">
        <f ca="1">IFERROR(__xludf.DUMMYFUNCTION("""COMPUTED_VALUE"""),4)</f>
        <v>4</v>
      </c>
      <c r="Z370" s="4">
        <f ca="1">IFERROR(__xludf.DUMMYFUNCTION("""COMPUTED_VALUE"""),4)</f>
        <v>4</v>
      </c>
      <c r="AA370" s="4">
        <f ca="1">IFERROR(__xludf.DUMMYFUNCTION("""COMPUTED_VALUE"""),4)</f>
        <v>4</v>
      </c>
      <c r="AB370" s="4">
        <f ca="1">IFERROR(__xludf.DUMMYFUNCTION("""COMPUTED_VALUE"""),4)</f>
        <v>4</v>
      </c>
      <c r="AC370" s="4">
        <f ca="1">IFERROR(__xludf.DUMMYFUNCTION("""COMPUTED_VALUE"""),4)</f>
        <v>4</v>
      </c>
      <c r="AD370" s="4">
        <f ca="1">IFERROR(__xludf.DUMMYFUNCTION("""COMPUTED_VALUE"""),4)</f>
        <v>4</v>
      </c>
      <c r="AE370" s="4">
        <f ca="1">IFERROR(__xludf.DUMMYFUNCTION("""COMPUTED_VALUE"""),4)</f>
        <v>4</v>
      </c>
      <c r="AF370" s="4">
        <f ca="1">IFERROR(__xludf.DUMMYFUNCTION("""COMPUTED_VALUE"""),4)</f>
        <v>4</v>
      </c>
      <c r="AG370" s="4">
        <f ca="1">IFERROR(__xludf.DUMMYFUNCTION("""COMPUTED_VALUE"""),4)</f>
        <v>4</v>
      </c>
      <c r="AH370" s="4">
        <f ca="1">IFERROR(__xludf.DUMMYFUNCTION("""COMPUTED_VALUE"""),4)</f>
        <v>4</v>
      </c>
      <c r="AI370" s="4">
        <f ca="1">IFERROR(__xludf.DUMMYFUNCTION("""COMPUTED_VALUE"""),4)</f>
        <v>4</v>
      </c>
      <c r="AJ370" s="4">
        <f ca="1">IFERROR(__xludf.DUMMYFUNCTION("""COMPUTED_VALUE"""),4)</f>
        <v>4</v>
      </c>
      <c r="AK370" s="4">
        <f ca="1">IFERROR(__xludf.DUMMYFUNCTION("""COMPUTED_VALUE"""),4)</f>
        <v>4</v>
      </c>
      <c r="AL370" s="4">
        <f ca="1">IFERROR(__xludf.DUMMYFUNCTION("""COMPUTED_VALUE"""),4)</f>
        <v>4</v>
      </c>
      <c r="AM370" s="4">
        <f ca="1">IFERROR(__xludf.DUMMYFUNCTION("""COMPUTED_VALUE"""),4)</f>
        <v>4</v>
      </c>
      <c r="AN370" s="4">
        <f ca="1">IFERROR(__xludf.DUMMYFUNCTION("""COMPUTED_VALUE"""),4)</f>
        <v>4</v>
      </c>
      <c r="AO370" s="4">
        <f ca="1">IFERROR(__xludf.DUMMYFUNCTION("""COMPUTED_VALUE"""),4)</f>
        <v>4</v>
      </c>
      <c r="AP370" s="4">
        <f ca="1">IFERROR(__xludf.DUMMYFUNCTION("""COMPUTED_VALUE"""),4)</f>
        <v>4</v>
      </c>
      <c r="AQ370" s="4">
        <f ca="1">IFERROR(__xludf.DUMMYFUNCTION("""COMPUTED_VALUE"""),4)</f>
        <v>4</v>
      </c>
      <c r="AR370" s="4">
        <f ca="1">IFERROR(__xludf.DUMMYFUNCTION("""COMPUTED_VALUE"""),4)</f>
        <v>4</v>
      </c>
      <c r="AS370" s="4">
        <f ca="1">IFERROR(__xludf.DUMMYFUNCTION("""COMPUTED_VALUE"""),4)</f>
        <v>4</v>
      </c>
      <c r="AT370" s="4">
        <f ca="1">IFERROR(__xludf.DUMMYFUNCTION("""COMPUTED_VALUE"""),4)</f>
        <v>4</v>
      </c>
      <c r="AU370" s="4">
        <f ca="1">IFERROR(__xludf.DUMMYFUNCTION("""COMPUTED_VALUE"""),4)</f>
        <v>4</v>
      </c>
      <c r="AV370" s="4">
        <f ca="1">IFERROR(__xludf.DUMMYFUNCTION("""COMPUTED_VALUE"""),4)</f>
        <v>4</v>
      </c>
      <c r="AW370" s="4">
        <f ca="1">IFERROR(__xludf.DUMMYFUNCTION("""COMPUTED_VALUE"""),4)</f>
        <v>4</v>
      </c>
      <c r="AX370" s="4">
        <f ca="1">IFERROR(__xludf.DUMMYFUNCTION("""COMPUTED_VALUE"""),4)</f>
        <v>4</v>
      </c>
      <c r="AY370" s="4">
        <f ca="1">IFERROR(__xludf.DUMMYFUNCTION("""COMPUTED_VALUE"""),4)</f>
        <v>4</v>
      </c>
      <c r="AZ370" s="4">
        <f ca="1">IFERROR(__xludf.DUMMYFUNCTION("""COMPUTED_VALUE"""),4)</f>
        <v>4</v>
      </c>
      <c r="BA370" s="4">
        <f ca="1">IFERROR(__xludf.DUMMYFUNCTION("""COMPUTED_VALUE"""),4)</f>
        <v>4</v>
      </c>
      <c r="BB370" s="4">
        <f ca="1">IFERROR(__xludf.DUMMYFUNCTION("""COMPUTED_VALUE"""),4)</f>
        <v>4</v>
      </c>
      <c r="BC370" s="4">
        <f ca="1">IFERROR(__xludf.DUMMYFUNCTION("""COMPUTED_VALUE"""),4)</f>
        <v>4</v>
      </c>
      <c r="BD370" s="4">
        <f ca="1">IFERROR(__xludf.DUMMYFUNCTION("""COMPUTED_VALUE"""),4)</f>
        <v>4</v>
      </c>
      <c r="BE370" s="4">
        <f ca="1">IFERROR(__xludf.DUMMYFUNCTION("""COMPUTED_VALUE"""),4)</f>
        <v>4</v>
      </c>
      <c r="BF370" s="4">
        <f ca="1">IFERROR(__xludf.DUMMYFUNCTION("""COMPUTED_VALUE"""),4)</f>
        <v>4</v>
      </c>
      <c r="BG370" s="4">
        <f ca="1">IFERROR(__xludf.DUMMYFUNCTION("""COMPUTED_VALUE"""),4)</f>
        <v>4</v>
      </c>
      <c r="BH370" s="4">
        <f ca="1">IFERROR(__xludf.DUMMYFUNCTION("""COMPUTED_VALUE"""),4)</f>
        <v>4</v>
      </c>
      <c r="BI370" s="4">
        <f ca="1">IFERROR(__xludf.DUMMYFUNCTION("""COMPUTED_VALUE"""),4)</f>
        <v>4</v>
      </c>
      <c r="BJ370" s="4">
        <f ca="1">IFERROR(__xludf.DUMMYFUNCTION("""COMPUTED_VALUE"""),4)</f>
        <v>4</v>
      </c>
      <c r="BK370" s="4">
        <f ca="1">IFERROR(__xludf.DUMMYFUNCTION("""COMPUTED_VALUE"""),4)</f>
        <v>4</v>
      </c>
      <c r="BL370" s="4">
        <f ca="1">IFERROR(__xludf.DUMMYFUNCTION("""COMPUTED_VALUE"""),4)</f>
        <v>4</v>
      </c>
      <c r="BM370" s="4">
        <f ca="1">IFERROR(__xludf.DUMMYFUNCTION("""COMPUTED_VALUE"""),4)</f>
        <v>4</v>
      </c>
      <c r="BN370" s="4">
        <f ca="1">IFERROR(__xludf.DUMMYFUNCTION("""COMPUTED_VALUE"""),4)</f>
        <v>4</v>
      </c>
      <c r="BO370" s="4">
        <f ca="1">IFERROR(__xludf.DUMMYFUNCTION("""COMPUTED_VALUE"""),4)</f>
        <v>4</v>
      </c>
      <c r="BP370" s="4">
        <f ca="1">IFERROR(__xludf.DUMMYFUNCTION("""COMPUTED_VALUE"""),4)</f>
        <v>4</v>
      </c>
    </row>
    <row r="371" spans="1:68" ht="13.2" x14ac:dyDescent="0.25">
      <c r="A371" s="4" t="str">
        <f ca="1">IFERROR(__xludf.DUMMYFUNCTION("""COMPUTED_VALUE"""),"2_ABaOnueg37T0BNf0SctjrA1FcopBKURMmt6pL3OsH6x-OCIYt6ogL2sFHHW_BzP_QA")</f>
        <v>2_ABaOnueg37T0BNf0SctjrA1FcopBKURMmt6pL3OsH6x-OCIYt6ogL2sFHHW_BzP_QA</v>
      </c>
      <c r="B371" s="5">
        <f ca="1">IFERROR(__xludf.DUMMYFUNCTION("""COMPUTED_VALUE"""),45987.6189066319)</f>
        <v>45987.618906631898</v>
      </c>
      <c r="C371" s="4"/>
      <c r="D371" s="4" t="str">
        <f ca="1">IFERROR(__xludf.DUMMYFUNCTION("""COMPUTED_VALUE"""),"Nữ")</f>
        <v>Nữ</v>
      </c>
      <c r="E371" s="4" t="str">
        <f ca="1">IFERROR(__xludf.DUMMYFUNCTION("""COMPUTED_VALUE"""),"CNMN Công ty TNHH Kiểm Toán và Địnb Giá Thăng Long - T.D.K")</f>
        <v>CNMN Công ty TNHH Kiểm Toán và Địnb Giá Thăng Long - T.D.K</v>
      </c>
      <c r="F371" s="4" t="str">
        <f ca="1">IFERROR(__xludf.DUMMYFUNCTION("""COMPUTED_VALUE"""),"Đại học")</f>
        <v>Đại học</v>
      </c>
      <c r="G371" s="4" t="str">
        <f ca="1">IFERROR(__xludf.DUMMYFUNCTION("""COMPUTED_VALUE"""),"Trên 5 đến 10 năm")</f>
        <v>Trên 5 đến 10 năm</v>
      </c>
      <c r="H371" s="4" t="str">
        <f ca="1">IFERROR(__xludf.DUMMYFUNCTION("""COMPUTED_VALUE"""),"Trợ lý kiểm toán")</f>
        <v>Trợ lý kiểm toán</v>
      </c>
      <c r="I371" s="4">
        <f ca="1">IFERROR(__xludf.DUMMYFUNCTION("""COMPUTED_VALUE"""),3)</f>
        <v>3</v>
      </c>
      <c r="J371" s="4">
        <f ca="1">IFERROR(__xludf.DUMMYFUNCTION("""COMPUTED_VALUE"""),3)</f>
        <v>3</v>
      </c>
      <c r="K371" s="4">
        <f ca="1">IFERROR(__xludf.DUMMYFUNCTION("""COMPUTED_VALUE"""),3)</f>
        <v>3</v>
      </c>
      <c r="L371" s="4">
        <f ca="1">IFERROR(__xludf.DUMMYFUNCTION("""COMPUTED_VALUE"""),3)</f>
        <v>3</v>
      </c>
      <c r="M371" s="4">
        <f ca="1">IFERROR(__xludf.DUMMYFUNCTION("""COMPUTED_VALUE"""),3)</f>
        <v>3</v>
      </c>
      <c r="N371" s="4">
        <f ca="1">IFERROR(__xludf.DUMMYFUNCTION("""COMPUTED_VALUE"""),3)</f>
        <v>3</v>
      </c>
      <c r="O371" s="4">
        <f ca="1">IFERROR(__xludf.DUMMYFUNCTION("""COMPUTED_VALUE"""),3)</f>
        <v>3</v>
      </c>
      <c r="P371" s="4">
        <f ca="1">IFERROR(__xludf.DUMMYFUNCTION("""COMPUTED_VALUE"""),3)</f>
        <v>3</v>
      </c>
      <c r="Q371" s="4">
        <f ca="1">IFERROR(__xludf.DUMMYFUNCTION("""COMPUTED_VALUE"""),3)</f>
        <v>3</v>
      </c>
      <c r="R371" s="4">
        <f ca="1">IFERROR(__xludf.DUMMYFUNCTION("""COMPUTED_VALUE"""),3)</f>
        <v>3</v>
      </c>
      <c r="S371" s="4">
        <f ca="1">IFERROR(__xludf.DUMMYFUNCTION("""COMPUTED_VALUE"""),3)</f>
        <v>3</v>
      </c>
      <c r="T371" s="4">
        <f ca="1">IFERROR(__xludf.DUMMYFUNCTION("""COMPUTED_VALUE"""),3)</f>
        <v>3</v>
      </c>
      <c r="U371" s="4">
        <f ca="1">IFERROR(__xludf.DUMMYFUNCTION("""COMPUTED_VALUE"""),3)</f>
        <v>3</v>
      </c>
      <c r="V371" s="4">
        <f ca="1">IFERROR(__xludf.DUMMYFUNCTION("""COMPUTED_VALUE"""),3)</f>
        <v>3</v>
      </c>
      <c r="W371" s="4">
        <f ca="1">IFERROR(__xludf.DUMMYFUNCTION("""COMPUTED_VALUE"""),3)</f>
        <v>3</v>
      </c>
      <c r="X371" s="4">
        <f ca="1">IFERROR(__xludf.DUMMYFUNCTION("""COMPUTED_VALUE"""),3)</f>
        <v>3</v>
      </c>
      <c r="Y371" s="4">
        <f ca="1">IFERROR(__xludf.DUMMYFUNCTION("""COMPUTED_VALUE"""),3)</f>
        <v>3</v>
      </c>
      <c r="Z371" s="4">
        <f ca="1">IFERROR(__xludf.DUMMYFUNCTION("""COMPUTED_VALUE"""),3)</f>
        <v>3</v>
      </c>
      <c r="AA371" s="4">
        <f ca="1">IFERROR(__xludf.DUMMYFUNCTION("""COMPUTED_VALUE"""),3)</f>
        <v>3</v>
      </c>
      <c r="AB371" s="4">
        <f ca="1">IFERROR(__xludf.DUMMYFUNCTION("""COMPUTED_VALUE"""),3)</f>
        <v>3</v>
      </c>
      <c r="AC371" s="4">
        <f ca="1">IFERROR(__xludf.DUMMYFUNCTION("""COMPUTED_VALUE"""),3)</f>
        <v>3</v>
      </c>
      <c r="AD371" s="4">
        <f ca="1">IFERROR(__xludf.DUMMYFUNCTION("""COMPUTED_VALUE"""),3)</f>
        <v>3</v>
      </c>
      <c r="AE371" s="4">
        <f ca="1">IFERROR(__xludf.DUMMYFUNCTION("""COMPUTED_VALUE"""),3)</f>
        <v>3</v>
      </c>
      <c r="AF371" s="4">
        <f ca="1">IFERROR(__xludf.DUMMYFUNCTION("""COMPUTED_VALUE"""),3)</f>
        <v>3</v>
      </c>
      <c r="AG371" s="4">
        <f ca="1">IFERROR(__xludf.DUMMYFUNCTION("""COMPUTED_VALUE"""),3)</f>
        <v>3</v>
      </c>
      <c r="AH371" s="4">
        <f ca="1">IFERROR(__xludf.DUMMYFUNCTION("""COMPUTED_VALUE"""),3)</f>
        <v>3</v>
      </c>
      <c r="AI371" s="4">
        <f ca="1">IFERROR(__xludf.DUMMYFUNCTION("""COMPUTED_VALUE"""),3)</f>
        <v>3</v>
      </c>
      <c r="AJ371" s="4">
        <f ca="1">IFERROR(__xludf.DUMMYFUNCTION("""COMPUTED_VALUE"""),3)</f>
        <v>3</v>
      </c>
      <c r="AK371" s="4">
        <f ca="1">IFERROR(__xludf.DUMMYFUNCTION("""COMPUTED_VALUE"""),3)</f>
        <v>3</v>
      </c>
      <c r="AL371" s="4">
        <f ca="1">IFERROR(__xludf.DUMMYFUNCTION("""COMPUTED_VALUE"""),3)</f>
        <v>3</v>
      </c>
      <c r="AM371" s="4">
        <f ca="1">IFERROR(__xludf.DUMMYFUNCTION("""COMPUTED_VALUE"""),3)</f>
        <v>3</v>
      </c>
      <c r="AN371" s="4">
        <f ca="1">IFERROR(__xludf.DUMMYFUNCTION("""COMPUTED_VALUE"""),3)</f>
        <v>3</v>
      </c>
      <c r="AO371" s="4">
        <f ca="1">IFERROR(__xludf.DUMMYFUNCTION("""COMPUTED_VALUE"""),3)</f>
        <v>3</v>
      </c>
      <c r="AP371" s="4">
        <f ca="1">IFERROR(__xludf.DUMMYFUNCTION("""COMPUTED_VALUE"""),3)</f>
        <v>3</v>
      </c>
      <c r="AQ371" s="4">
        <f ca="1">IFERROR(__xludf.DUMMYFUNCTION("""COMPUTED_VALUE"""),3)</f>
        <v>3</v>
      </c>
      <c r="AR371" s="4">
        <f ca="1">IFERROR(__xludf.DUMMYFUNCTION("""COMPUTED_VALUE"""),3)</f>
        <v>3</v>
      </c>
      <c r="AS371" s="4">
        <f ca="1">IFERROR(__xludf.DUMMYFUNCTION("""COMPUTED_VALUE"""),3)</f>
        <v>3</v>
      </c>
      <c r="AT371" s="4">
        <f ca="1">IFERROR(__xludf.DUMMYFUNCTION("""COMPUTED_VALUE"""),3)</f>
        <v>3</v>
      </c>
      <c r="AU371" s="4">
        <f ca="1">IFERROR(__xludf.DUMMYFUNCTION("""COMPUTED_VALUE"""),2)</f>
        <v>2</v>
      </c>
      <c r="AV371" s="4">
        <f ca="1">IFERROR(__xludf.DUMMYFUNCTION("""COMPUTED_VALUE"""),3)</f>
        <v>3</v>
      </c>
      <c r="AW371" s="4">
        <f ca="1">IFERROR(__xludf.DUMMYFUNCTION("""COMPUTED_VALUE"""),3)</f>
        <v>3</v>
      </c>
      <c r="AX371" s="4">
        <f ca="1">IFERROR(__xludf.DUMMYFUNCTION("""COMPUTED_VALUE"""),3)</f>
        <v>3</v>
      </c>
      <c r="AY371" s="4">
        <f ca="1">IFERROR(__xludf.DUMMYFUNCTION("""COMPUTED_VALUE"""),3)</f>
        <v>3</v>
      </c>
      <c r="AZ371" s="4">
        <f ca="1">IFERROR(__xludf.DUMMYFUNCTION("""COMPUTED_VALUE"""),3)</f>
        <v>3</v>
      </c>
      <c r="BA371" s="4">
        <f ca="1">IFERROR(__xludf.DUMMYFUNCTION("""COMPUTED_VALUE"""),3)</f>
        <v>3</v>
      </c>
      <c r="BB371" s="4">
        <f ca="1">IFERROR(__xludf.DUMMYFUNCTION("""COMPUTED_VALUE"""),3)</f>
        <v>3</v>
      </c>
      <c r="BC371" s="4">
        <f ca="1">IFERROR(__xludf.DUMMYFUNCTION("""COMPUTED_VALUE"""),3)</f>
        <v>3</v>
      </c>
      <c r="BD371" s="4">
        <f ca="1">IFERROR(__xludf.DUMMYFUNCTION("""COMPUTED_VALUE"""),3)</f>
        <v>3</v>
      </c>
      <c r="BE371" s="4">
        <f ca="1">IFERROR(__xludf.DUMMYFUNCTION("""COMPUTED_VALUE"""),3)</f>
        <v>3</v>
      </c>
      <c r="BF371" s="4">
        <f ca="1">IFERROR(__xludf.DUMMYFUNCTION("""COMPUTED_VALUE"""),3)</f>
        <v>3</v>
      </c>
      <c r="BG371" s="4">
        <f ca="1">IFERROR(__xludf.DUMMYFUNCTION("""COMPUTED_VALUE"""),3)</f>
        <v>3</v>
      </c>
      <c r="BH371" s="4">
        <f ca="1">IFERROR(__xludf.DUMMYFUNCTION("""COMPUTED_VALUE"""),3)</f>
        <v>3</v>
      </c>
      <c r="BI371" s="4">
        <f ca="1">IFERROR(__xludf.DUMMYFUNCTION("""COMPUTED_VALUE"""),3)</f>
        <v>3</v>
      </c>
      <c r="BJ371" s="4">
        <f ca="1">IFERROR(__xludf.DUMMYFUNCTION("""COMPUTED_VALUE"""),3)</f>
        <v>3</v>
      </c>
      <c r="BK371" s="4">
        <f ca="1">IFERROR(__xludf.DUMMYFUNCTION("""COMPUTED_VALUE"""),3)</f>
        <v>3</v>
      </c>
      <c r="BL371" s="4">
        <f ca="1">IFERROR(__xludf.DUMMYFUNCTION("""COMPUTED_VALUE"""),3)</f>
        <v>3</v>
      </c>
      <c r="BM371" s="4">
        <f ca="1">IFERROR(__xludf.DUMMYFUNCTION("""COMPUTED_VALUE"""),3)</f>
        <v>3</v>
      </c>
      <c r="BN371" s="4">
        <f ca="1">IFERROR(__xludf.DUMMYFUNCTION("""COMPUTED_VALUE"""),3)</f>
        <v>3</v>
      </c>
      <c r="BO371" s="4">
        <f ca="1">IFERROR(__xludf.DUMMYFUNCTION("""COMPUTED_VALUE"""),3)</f>
        <v>3</v>
      </c>
      <c r="BP371" s="4">
        <f ca="1">IFERROR(__xludf.DUMMYFUNCTION("""COMPUTED_VALUE"""),3)</f>
        <v>3</v>
      </c>
    </row>
    <row r="372" spans="1:68" ht="13.2" x14ac:dyDescent="0.25">
      <c r="A372" s="4" t="str">
        <f ca="1">IFERROR(__xludf.DUMMYFUNCTION("""COMPUTED_VALUE"""),"2_ABaOnucbcPcNF1dSoLPnr738eUdFrWNykWtceCfv5riG7HIJEYuXbU3Slw1-3KSmLw")</f>
        <v>2_ABaOnucbcPcNF1dSoLPnr738eUdFrWNykWtceCfv5riG7HIJEYuXbU3Slw1-3KSmLw</v>
      </c>
      <c r="B372" s="5">
        <f ca="1">IFERROR(__xludf.DUMMYFUNCTION("""COMPUTED_VALUE"""),45987.6256785069)</f>
        <v>45987.625678506898</v>
      </c>
      <c r="C372" s="4" t="str">
        <f ca="1">IFERROR(__xludf.DUMMYFUNCTION("""COMPUTED_VALUE"""),"Tran Thi Van")</f>
        <v>Tran Thi Van</v>
      </c>
      <c r="D372" s="4" t="str">
        <f ca="1">IFERROR(__xludf.DUMMYFUNCTION("""COMPUTED_VALUE"""),"Nữ")</f>
        <v>Nữ</v>
      </c>
      <c r="E372" s="4" t="str">
        <f ca="1">IFERROR(__xludf.DUMMYFUNCTION("""COMPUTED_VALUE"""),"Công ty TNHH Kiểm Toán và Định Giá Thăng Long TDK (CN Miền Nam)")</f>
        <v>Công ty TNHH Kiểm Toán và Định Giá Thăng Long TDK (CN Miền Nam)</v>
      </c>
      <c r="F372" s="4" t="str">
        <f ca="1">IFERROR(__xludf.DUMMYFUNCTION("""COMPUTED_VALUE"""),"Đại học")</f>
        <v>Đại học</v>
      </c>
      <c r="G372" s="4" t="str">
        <f ca="1">IFERROR(__xludf.DUMMYFUNCTION("""COMPUTED_VALUE"""),"Trên 15 đến 20 năm")</f>
        <v>Trên 15 đến 20 năm</v>
      </c>
      <c r="H372" s="4" t="str">
        <f ca="1">IFERROR(__xludf.DUMMYFUNCTION("""COMPUTED_VALUE"""),"Trợ lý kiểm toán")</f>
        <v>Trợ lý kiểm toán</v>
      </c>
      <c r="I372" s="4">
        <f ca="1">IFERROR(__xludf.DUMMYFUNCTION("""COMPUTED_VALUE"""),4)</f>
        <v>4</v>
      </c>
      <c r="J372" s="4">
        <f ca="1">IFERROR(__xludf.DUMMYFUNCTION("""COMPUTED_VALUE"""),4)</f>
        <v>4</v>
      </c>
      <c r="K372" s="4">
        <f ca="1">IFERROR(__xludf.DUMMYFUNCTION("""COMPUTED_VALUE"""),3)</f>
        <v>3</v>
      </c>
      <c r="L372" s="4">
        <f ca="1">IFERROR(__xludf.DUMMYFUNCTION("""COMPUTED_VALUE"""),4)</f>
        <v>4</v>
      </c>
      <c r="M372" s="4">
        <f ca="1">IFERROR(__xludf.DUMMYFUNCTION("""COMPUTED_VALUE"""),4)</f>
        <v>4</v>
      </c>
      <c r="N372" s="4">
        <f ca="1">IFERROR(__xludf.DUMMYFUNCTION("""COMPUTED_VALUE"""),4)</f>
        <v>4</v>
      </c>
      <c r="O372" s="4">
        <f ca="1">IFERROR(__xludf.DUMMYFUNCTION("""COMPUTED_VALUE"""),4)</f>
        <v>4</v>
      </c>
      <c r="P372" s="4">
        <f ca="1">IFERROR(__xludf.DUMMYFUNCTION("""COMPUTED_VALUE"""),4)</f>
        <v>4</v>
      </c>
      <c r="Q372" s="4">
        <f ca="1">IFERROR(__xludf.DUMMYFUNCTION("""COMPUTED_VALUE"""),4)</f>
        <v>4</v>
      </c>
      <c r="R372" s="4">
        <f ca="1">IFERROR(__xludf.DUMMYFUNCTION("""COMPUTED_VALUE"""),4)</f>
        <v>4</v>
      </c>
      <c r="S372" s="4">
        <f ca="1">IFERROR(__xludf.DUMMYFUNCTION("""COMPUTED_VALUE"""),3)</f>
        <v>3</v>
      </c>
      <c r="T372" s="4">
        <f ca="1">IFERROR(__xludf.DUMMYFUNCTION("""COMPUTED_VALUE"""),4)</f>
        <v>4</v>
      </c>
      <c r="U372" s="4">
        <f ca="1">IFERROR(__xludf.DUMMYFUNCTION("""COMPUTED_VALUE"""),4)</f>
        <v>4</v>
      </c>
      <c r="V372" s="4">
        <f ca="1">IFERROR(__xludf.DUMMYFUNCTION("""COMPUTED_VALUE"""),4)</f>
        <v>4</v>
      </c>
      <c r="W372" s="4">
        <f ca="1">IFERROR(__xludf.DUMMYFUNCTION("""COMPUTED_VALUE"""),5)</f>
        <v>5</v>
      </c>
      <c r="X372" s="4">
        <f ca="1">IFERROR(__xludf.DUMMYFUNCTION("""COMPUTED_VALUE"""),3)</f>
        <v>3</v>
      </c>
      <c r="Y372" s="4">
        <f ca="1">IFERROR(__xludf.DUMMYFUNCTION("""COMPUTED_VALUE"""),3)</f>
        <v>3</v>
      </c>
      <c r="Z372" s="4">
        <f ca="1">IFERROR(__xludf.DUMMYFUNCTION("""COMPUTED_VALUE"""),5)</f>
        <v>5</v>
      </c>
      <c r="AA372" s="4">
        <f ca="1">IFERROR(__xludf.DUMMYFUNCTION("""COMPUTED_VALUE"""),5)</f>
        <v>5</v>
      </c>
      <c r="AB372" s="4">
        <f ca="1">IFERROR(__xludf.DUMMYFUNCTION("""COMPUTED_VALUE"""),5)</f>
        <v>5</v>
      </c>
      <c r="AC372" s="4">
        <f ca="1">IFERROR(__xludf.DUMMYFUNCTION("""COMPUTED_VALUE"""),4)</f>
        <v>4</v>
      </c>
      <c r="AD372" s="4">
        <f ca="1">IFERROR(__xludf.DUMMYFUNCTION("""COMPUTED_VALUE"""),4)</f>
        <v>4</v>
      </c>
      <c r="AE372" s="4">
        <f ca="1">IFERROR(__xludf.DUMMYFUNCTION("""COMPUTED_VALUE"""),5)</f>
        <v>5</v>
      </c>
      <c r="AF372" s="4">
        <f ca="1">IFERROR(__xludf.DUMMYFUNCTION("""COMPUTED_VALUE"""),4)</f>
        <v>4</v>
      </c>
      <c r="AG372" s="4">
        <f ca="1">IFERROR(__xludf.DUMMYFUNCTION("""COMPUTED_VALUE"""),4)</f>
        <v>4</v>
      </c>
      <c r="AH372" s="4">
        <f ca="1">IFERROR(__xludf.DUMMYFUNCTION("""COMPUTED_VALUE"""),4)</f>
        <v>4</v>
      </c>
      <c r="AI372" s="4">
        <f ca="1">IFERROR(__xludf.DUMMYFUNCTION("""COMPUTED_VALUE"""),3)</f>
        <v>3</v>
      </c>
      <c r="AJ372" s="4">
        <f ca="1">IFERROR(__xludf.DUMMYFUNCTION("""COMPUTED_VALUE"""),4)</f>
        <v>4</v>
      </c>
      <c r="AK372" s="4">
        <f ca="1">IFERROR(__xludf.DUMMYFUNCTION("""COMPUTED_VALUE"""),5)</f>
        <v>5</v>
      </c>
      <c r="AL372" s="4">
        <f ca="1">IFERROR(__xludf.DUMMYFUNCTION("""COMPUTED_VALUE"""),5)</f>
        <v>5</v>
      </c>
      <c r="AM372" s="4">
        <f ca="1">IFERROR(__xludf.DUMMYFUNCTION("""COMPUTED_VALUE"""),5)</f>
        <v>5</v>
      </c>
      <c r="AN372" s="4">
        <f ca="1">IFERROR(__xludf.DUMMYFUNCTION("""COMPUTED_VALUE"""),4)</f>
        <v>4</v>
      </c>
      <c r="AO372" s="4">
        <f ca="1">IFERROR(__xludf.DUMMYFUNCTION("""COMPUTED_VALUE"""),3)</f>
        <v>3</v>
      </c>
      <c r="AP372" s="4">
        <f ca="1">IFERROR(__xludf.DUMMYFUNCTION("""COMPUTED_VALUE"""),3)</f>
        <v>3</v>
      </c>
      <c r="AQ372" s="4">
        <f ca="1">IFERROR(__xludf.DUMMYFUNCTION("""COMPUTED_VALUE"""),3)</f>
        <v>3</v>
      </c>
      <c r="AR372" s="4">
        <f ca="1">IFERROR(__xludf.DUMMYFUNCTION("""COMPUTED_VALUE"""),3)</f>
        <v>3</v>
      </c>
      <c r="AS372" s="4">
        <f ca="1">IFERROR(__xludf.DUMMYFUNCTION("""COMPUTED_VALUE"""),3)</f>
        <v>3</v>
      </c>
      <c r="AT372" s="4">
        <f ca="1">IFERROR(__xludf.DUMMYFUNCTION("""COMPUTED_VALUE"""),3)</f>
        <v>3</v>
      </c>
      <c r="AU372" s="4">
        <f ca="1">IFERROR(__xludf.DUMMYFUNCTION("""COMPUTED_VALUE"""),4)</f>
        <v>4</v>
      </c>
      <c r="AV372" s="4">
        <f ca="1">IFERROR(__xludf.DUMMYFUNCTION("""COMPUTED_VALUE"""),3)</f>
        <v>3</v>
      </c>
      <c r="AW372" s="4">
        <f ca="1">IFERROR(__xludf.DUMMYFUNCTION("""COMPUTED_VALUE"""),4)</f>
        <v>4</v>
      </c>
      <c r="AX372" s="4">
        <f ca="1">IFERROR(__xludf.DUMMYFUNCTION("""COMPUTED_VALUE"""),4)</f>
        <v>4</v>
      </c>
      <c r="AY372" s="4">
        <f ca="1">IFERROR(__xludf.DUMMYFUNCTION("""COMPUTED_VALUE"""),5)</f>
        <v>5</v>
      </c>
      <c r="AZ372" s="4">
        <f ca="1">IFERROR(__xludf.DUMMYFUNCTION("""COMPUTED_VALUE"""),5)</f>
        <v>5</v>
      </c>
      <c r="BA372" s="4">
        <f ca="1">IFERROR(__xludf.DUMMYFUNCTION("""COMPUTED_VALUE"""),5)</f>
        <v>5</v>
      </c>
      <c r="BB372" s="4">
        <f ca="1">IFERROR(__xludf.DUMMYFUNCTION("""COMPUTED_VALUE"""),4)</f>
        <v>4</v>
      </c>
      <c r="BC372" s="4">
        <f ca="1">IFERROR(__xludf.DUMMYFUNCTION("""COMPUTED_VALUE"""),3)</f>
        <v>3</v>
      </c>
      <c r="BD372" s="4">
        <f ca="1">IFERROR(__xludf.DUMMYFUNCTION("""COMPUTED_VALUE"""),3)</f>
        <v>3</v>
      </c>
      <c r="BE372" s="4">
        <f ca="1">IFERROR(__xludf.DUMMYFUNCTION("""COMPUTED_VALUE"""),3)</f>
        <v>3</v>
      </c>
      <c r="BF372" s="4">
        <f ca="1">IFERROR(__xludf.DUMMYFUNCTION("""COMPUTED_VALUE"""),3)</f>
        <v>3</v>
      </c>
      <c r="BG372" s="4">
        <f ca="1">IFERROR(__xludf.DUMMYFUNCTION("""COMPUTED_VALUE"""),3)</f>
        <v>3</v>
      </c>
      <c r="BH372" s="4">
        <f ca="1">IFERROR(__xludf.DUMMYFUNCTION("""COMPUTED_VALUE"""),4)</f>
        <v>4</v>
      </c>
      <c r="BI372" s="4">
        <f ca="1">IFERROR(__xludf.DUMMYFUNCTION("""COMPUTED_VALUE"""),4)</f>
        <v>4</v>
      </c>
      <c r="BJ372" s="4">
        <f ca="1">IFERROR(__xludf.DUMMYFUNCTION("""COMPUTED_VALUE"""),4)</f>
        <v>4</v>
      </c>
      <c r="BK372" s="4">
        <f ca="1">IFERROR(__xludf.DUMMYFUNCTION("""COMPUTED_VALUE"""),4)</f>
        <v>4</v>
      </c>
      <c r="BL372" s="4">
        <f ca="1">IFERROR(__xludf.DUMMYFUNCTION("""COMPUTED_VALUE"""),3)</f>
        <v>3</v>
      </c>
      <c r="BM372" s="4">
        <f ca="1">IFERROR(__xludf.DUMMYFUNCTION("""COMPUTED_VALUE"""),4)</f>
        <v>4</v>
      </c>
      <c r="BN372" s="4">
        <f ca="1">IFERROR(__xludf.DUMMYFUNCTION("""COMPUTED_VALUE"""),4)</f>
        <v>4</v>
      </c>
      <c r="BO372" s="4">
        <f ca="1">IFERROR(__xludf.DUMMYFUNCTION("""COMPUTED_VALUE"""),5)</f>
        <v>5</v>
      </c>
      <c r="BP372" s="4">
        <f ca="1">IFERROR(__xludf.DUMMYFUNCTION("""COMPUTED_VALUE"""),4)</f>
        <v>4</v>
      </c>
    </row>
    <row r="373" spans="1:68" ht="13.2" x14ac:dyDescent="0.25">
      <c r="A373" s="4" t="str">
        <f ca="1">IFERROR(__xludf.DUMMYFUNCTION("""COMPUTED_VALUE"""),"2_ABaOnufAY9hXgQYr8xhvuNf0eSUKYrPdmcfHiwizpErkCpdNQq6g1zN31qoy73xFnw")</f>
        <v>2_ABaOnufAY9hXgQYr8xhvuNf0eSUKYrPdmcfHiwizpErkCpdNQq6g1zN31qoy73xFnw</v>
      </c>
      <c r="B373" s="5">
        <f ca="1">IFERROR(__xludf.DUMMYFUNCTION("""COMPUTED_VALUE"""),45987.6295048495)</f>
        <v>45987.629504849501</v>
      </c>
      <c r="C373" s="4" t="str">
        <f ca="1">IFERROR(__xludf.DUMMYFUNCTION("""COMPUTED_VALUE"""),"Nguyễn Thị Quỳnh Hương")</f>
        <v>Nguyễn Thị Quỳnh Hương</v>
      </c>
      <c r="D373" s="4" t="str">
        <f ca="1">IFERROR(__xludf.DUMMYFUNCTION("""COMPUTED_VALUE"""),"Nữ")</f>
        <v>Nữ</v>
      </c>
      <c r="E373" s="4" t="str">
        <f ca="1">IFERROR(__xludf.DUMMYFUNCTION("""COMPUTED_VALUE"""),"069 - Công ty TNHH Tư vấn Đầu tư, Tài chính, Kế toán, Thuế = Kiểm toán Com.pt")</f>
        <v>069 - Công ty TNHH Tư vấn Đầu tư, Tài chính, Kế toán, Thuế = Kiểm toán Com.pt</v>
      </c>
      <c r="F373" s="4" t="str">
        <f ca="1">IFERROR(__xludf.DUMMYFUNCTION("""COMPUTED_VALUE"""),"Sau đại học, Chứng chỉ Kiểm toán viên")</f>
        <v>Sau đại học, Chứng chỉ Kiểm toán viên</v>
      </c>
      <c r="G373" s="4" t="str">
        <f ca="1">IFERROR(__xludf.DUMMYFUNCTION("""COMPUTED_VALUE"""),"Trên 20 năm")</f>
        <v>Trên 20 năm</v>
      </c>
      <c r="H373" s="4" t="str">
        <f ca="1">IFERROR(__xludf.DUMMYFUNCTION("""COMPUTED_VALUE"""),"Ban giám đốc")</f>
        <v>Ban giám đốc</v>
      </c>
      <c r="I373" s="4">
        <f ca="1">IFERROR(__xludf.DUMMYFUNCTION("""COMPUTED_VALUE"""),5)</f>
        <v>5</v>
      </c>
      <c r="J373" s="4">
        <f ca="1">IFERROR(__xludf.DUMMYFUNCTION("""COMPUTED_VALUE"""),5)</f>
        <v>5</v>
      </c>
      <c r="K373" s="4">
        <f ca="1">IFERROR(__xludf.DUMMYFUNCTION("""COMPUTED_VALUE"""),5)</f>
        <v>5</v>
      </c>
      <c r="L373" s="4">
        <f ca="1">IFERROR(__xludf.DUMMYFUNCTION("""COMPUTED_VALUE"""),5)</f>
        <v>5</v>
      </c>
      <c r="M373" s="4">
        <f ca="1">IFERROR(__xludf.DUMMYFUNCTION("""COMPUTED_VALUE"""),5)</f>
        <v>5</v>
      </c>
      <c r="N373" s="4">
        <f ca="1">IFERROR(__xludf.DUMMYFUNCTION("""COMPUTED_VALUE"""),4)</f>
        <v>4</v>
      </c>
      <c r="O373" s="4">
        <f ca="1">IFERROR(__xludf.DUMMYFUNCTION("""COMPUTED_VALUE"""),5)</f>
        <v>5</v>
      </c>
      <c r="P373" s="4">
        <f ca="1">IFERROR(__xludf.DUMMYFUNCTION("""COMPUTED_VALUE"""),5)</f>
        <v>5</v>
      </c>
      <c r="Q373" s="4">
        <f ca="1">IFERROR(__xludf.DUMMYFUNCTION("""COMPUTED_VALUE"""),5)</f>
        <v>5</v>
      </c>
      <c r="R373" s="4">
        <f ca="1">IFERROR(__xludf.DUMMYFUNCTION("""COMPUTED_VALUE"""),5)</f>
        <v>5</v>
      </c>
      <c r="S373" s="4">
        <f ca="1">IFERROR(__xludf.DUMMYFUNCTION("""COMPUTED_VALUE"""),5)</f>
        <v>5</v>
      </c>
      <c r="T373" s="4">
        <f ca="1">IFERROR(__xludf.DUMMYFUNCTION("""COMPUTED_VALUE"""),5)</f>
        <v>5</v>
      </c>
      <c r="U373" s="4">
        <f ca="1">IFERROR(__xludf.DUMMYFUNCTION("""COMPUTED_VALUE"""),5)</f>
        <v>5</v>
      </c>
      <c r="V373" s="4">
        <f ca="1">IFERROR(__xludf.DUMMYFUNCTION("""COMPUTED_VALUE"""),5)</f>
        <v>5</v>
      </c>
      <c r="W373" s="4">
        <f ca="1">IFERROR(__xludf.DUMMYFUNCTION("""COMPUTED_VALUE"""),5)</f>
        <v>5</v>
      </c>
      <c r="X373" s="4">
        <f ca="1">IFERROR(__xludf.DUMMYFUNCTION("""COMPUTED_VALUE"""),5)</f>
        <v>5</v>
      </c>
      <c r="Y373" s="4">
        <f ca="1">IFERROR(__xludf.DUMMYFUNCTION("""COMPUTED_VALUE"""),5)</f>
        <v>5</v>
      </c>
      <c r="Z373" s="4">
        <f ca="1">IFERROR(__xludf.DUMMYFUNCTION("""COMPUTED_VALUE"""),5)</f>
        <v>5</v>
      </c>
      <c r="AA373" s="4">
        <f ca="1">IFERROR(__xludf.DUMMYFUNCTION("""COMPUTED_VALUE"""),4)</f>
        <v>4</v>
      </c>
      <c r="AB373" s="4">
        <f ca="1">IFERROR(__xludf.DUMMYFUNCTION("""COMPUTED_VALUE"""),5)</f>
        <v>5</v>
      </c>
      <c r="AC373" s="4">
        <f ca="1">IFERROR(__xludf.DUMMYFUNCTION("""COMPUTED_VALUE"""),4)</f>
        <v>4</v>
      </c>
      <c r="AD373" s="4">
        <f ca="1">IFERROR(__xludf.DUMMYFUNCTION("""COMPUTED_VALUE"""),4)</f>
        <v>4</v>
      </c>
      <c r="AE373" s="4">
        <f ca="1">IFERROR(__xludf.DUMMYFUNCTION("""COMPUTED_VALUE"""),5)</f>
        <v>5</v>
      </c>
      <c r="AF373" s="4">
        <f ca="1">IFERROR(__xludf.DUMMYFUNCTION("""COMPUTED_VALUE"""),5)</f>
        <v>5</v>
      </c>
      <c r="AG373" s="4">
        <f ca="1">IFERROR(__xludf.DUMMYFUNCTION("""COMPUTED_VALUE"""),5)</f>
        <v>5</v>
      </c>
      <c r="AH373" s="4">
        <f ca="1">IFERROR(__xludf.DUMMYFUNCTION("""COMPUTED_VALUE"""),5)</f>
        <v>5</v>
      </c>
      <c r="AI373" s="4">
        <f ca="1">IFERROR(__xludf.DUMMYFUNCTION("""COMPUTED_VALUE"""),5)</f>
        <v>5</v>
      </c>
      <c r="AJ373" s="4">
        <f ca="1">IFERROR(__xludf.DUMMYFUNCTION("""COMPUTED_VALUE"""),5)</f>
        <v>5</v>
      </c>
      <c r="AK373" s="4">
        <f ca="1">IFERROR(__xludf.DUMMYFUNCTION("""COMPUTED_VALUE"""),4)</f>
        <v>4</v>
      </c>
      <c r="AL373" s="4">
        <f ca="1">IFERROR(__xludf.DUMMYFUNCTION("""COMPUTED_VALUE"""),5)</f>
        <v>5</v>
      </c>
      <c r="AM373" s="4">
        <f ca="1">IFERROR(__xludf.DUMMYFUNCTION("""COMPUTED_VALUE"""),4)</f>
        <v>4</v>
      </c>
      <c r="AN373" s="4">
        <f ca="1">IFERROR(__xludf.DUMMYFUNCTION("""COMPUTED_VALUE"""),5)</f>
        <v>5</v>
      </c>
      <c r="AO373" s="4">
        <f ca="1">IFERROR(__xludf.DUMMYFUNCTION("""COMPUTED_VALUE"""),5)</f>
        <v>5</v>
      </c>
      <c r="AP373" s="4">
        <f ca="1">IFERROR(__xludf.DUMMYFUNCTION("""COMPUTED_VALUE"""),5)</f>
        <v>5</v>
      </c>
      <c r="AQ373" s="4">
        <f ca="1">IFERROR(__xludf.DUMMYFUNCTION("""COMPUTED_VALUE"""),5)</f>
        <v>5</v>
      </c>
      <c r="AR373" s="4">
        <f ca="1">IFERROR(__xludf.DUMMYFUNCTION("""COMPUTED_VALUE"""),4)</f>
        <v>4</v>
      </c>
      <c r="AS373" s="4">
        <f ca="1">IFERROR(__xludf.DUMMYFUNCTION("""COMPUTED_VALUE"""),5)</f>
        <v>5</v>
      </c>
      <c r="AT373" s="4">
        <f ca="1">IFERROR(__xludf.DUMMYFUNCTION("""COMPUTED_VALUE"""),2)</f>
        <v>2</v>
      </c>
      <c r="AU373" s="4">
        <f ca="1">IFERROR(__xludf.DUMMYFUNCTION("""COMPUTED_VALUE"""),5)</f>
        <v>5</v>
      </c>
      <c r="AV373" s="4">
        <f ca="1">IFERROR(__xludf.DUMMYFUNCTION("""COMPUTED_VALUE"""),5)</f>
        <v>5</v>
      </c>
      <c r="AW373" s="4">
        <f ca="1">IFERROR(__xludf.DUMMYFUNCTION("""COMPUTED_VALUE"""),5)</f>
        <v>5</v>
      </c>
      <c r="AX373" s="4">
        <f ca="1">IFERROR(__xludf.DUMMYFUNCTION("""COMPUTED_VALUE"""),5)</f>
        <v>5</v>
      </c>
      <c r="AY373" s="4">
        <f ca="1">IFERROR(__xludf.DUMMYFUNCTION("""COMPUTED_VALUE"""),5)</f>
        <v>5</v>
      </c>
      <c r="AZ373" s="4">
        <f ca="1">IFERROR(__xludf.DUMMYFUNCTION("""COMPUTED_VALUE"""),5)</f>
        <v>5</v>
      </c>
      <c r="BA373" s="4">
        <f ca="1">IFERROR(__xludf.DUMMYFUNCTION("""COMPUTED_VALUE"""),5)</f>
        <v>5</v>
      </c>
      <c r="BB373" s="4">
        <f ca="1">IFERROR(__xludf.DUMMYFUNCTION("""COMPUTED_VALUE"""),5)</f>
        <v>5</v>
      </c>
      <c r="BC373" s="4">
        <f ca="1">IFERROR(__xludf.DUMMYFUNCTION("""COMPUTED_VALUE"""),5)</f>
        <v>5</v>
      </c>
      <c r="BD373" s="4">
        <f ca="1">IFERROR(__xludf.DUMMYFUNCTION("""COMPUTED_VALUE"""),5)</f>
        <v>5</v>
      </c>
      <c r="BE373" s="4">
        <f ca="1">IFERROR(__xludf.DUMMYFUNCTION("""COMPUTED_VALUE"""),4)</f>
        <v>4</v>
      </c>
      <c r="BF373" s="4">
        <f ca="1">IFERROR(__xludf.DUMMYFUNCTION("""COMPUTED_VALUE"""),4)</f>
        <v>4</v>
      </c>
      <c r="BG373" s="4">
        <f ca="1">IFERROR(__xludf.DUMMYFUNCTION("""COMPUTED_VALUE"""),4)</f>
        <v>4</v>
      </c>
      <c r="BH373" s="4">
        <f ca="1">IFERROR(__xludf.DUMMYFUNCTION("""COMPUTED_VALUE"""),5)</f>
        <v>5</v>
      </c>
      <c r="BI373" s="4">
        <f ca="1">IFERROR(__xludf.DUMMYFUNCTION("""COMPUTED_VALUE"""),5)</f>
        <v>5</v>
      </c>
      <c r="BJ373" s="4">
        <f ca="1">IFERROR(__xludf.DUMMYFUNCTION("""COMPUTED_VALUE"""),5)</f>
        <v>5</v>
      </c>
      <c r="BK373" s="4">
        <f ca="1">IFERROR(__xludf.DUMMYFUNCTION("""COMPUTED_VALUE"""),5)</f>
        <v>5</v>
      </c>
      <c r="BL373" s="4">
        <f ca="1">IFERROR(__xludf.DUMMYFUNCTION("""COMPUTED_VALUE"""),5)</f>
        <v>5</v>
      </c>
      <c r="BM373" s="4">
        <f ca="1">IFERROR(__xludf.DUMMYFUNCTION("""COMPUTED_VALUE"""),5)</f>
        <v>5</v>
      </c>
      <c r="BN373" s="4">
        <f ca="1">IFERROR(__xludf.DUMMYFUNCTION("""COMPUTED_VALUE"""),5)</f>
        <v>5</v>
      </c>
      <c r="BO373" s="4">
        <f ca="1">IFERROR(__xludf.DUMMYFUNCTION("""COMPUTED_VALUE"""),5)</f>
        <v>5</v>
      </c>
      <c r="BP373" s="4">
        <f ca="1">IFERROR(__xludf.DUMMYFUNCTION("""COMPUTED_VALUE"""),5)</f>
        <v>5</v>
      </c>
    </row>
    <row r="374" spans="1:68" ht="13.2" x14ac:dyDescent="0.25">
      <c r="A374" s="4" t="str">
        <f ca="1">IFERROR(__xludf.DUMMYFUNCTION("""COMPUTED_VALUE"""),"2_ABaOnufpaMypZWNLwUNtrsdG9wOwfX_e8Ryksjqfn_40nq5sUoVBzTH4odYzLMFEPQ")</f>
        <v>2_ABaOnufpaMypZWNLwUNtrsdG9wOwfX_e8Ryksjqfn_40nq5sUoVBzTH4odYzLMFEPQ</v>
      </c>
      <c r="B374" s="5">
        <f ca="1">IFERROR(__xludf.DUMMYFUNCTION("""COMPUTED_VALUE"""),45987.6563577777)</f>
        <v>45987.656357777698</v>
      </c>
      <c r="C374" s="4" t="str">
        <f ca="1">IFERROR(__xludf.DUMMYFUNCTION("""COMPUTED_VALUE"""),"Trần Khắc Đại")</f>
        <v>Trần Khắc Đại</v>
      </c>
      <c r="D374" s="4" t="str">
        <f ca="1">IFERROR(__xludf.DUMMYFUNCTION("""COMPUTED_VALUE"""),"Nam")</f>
        <v>Nam</v>
      </c>
      <c r="E374" s="4" t="str">
        <f ca="1">IFERROR(__xludf.DUMMYFUNCTION("""COMPUTED_VALUE"""),"Công ty TNHH Hãng Kiểm toán MBA")</f>
        <v>Công ty TNHH Hãng Kiểm toán MBA</v>
      </c>
      <c r="F374" s="4" t="str">
        <f ca="1">IFERROR(__xludf.DUMMYFUNCTION("""COMPUTED_VALUE"""),"Đại học, Chứng chỉ Kiểm toán viên")</f>
        <v>Đại học, Chứng chỉ Kiểm toán viên</v>
      </c>
      <c r="G374" s="4" t="str">
        <f ca="1">IFERROR(__xludf.DUMMYFUNCTION("""COMPUTED_VALUE"""),"Trên 15 đến 20 năm")</f>
        <v>Trên 15 đến 20 năm</v>
      </c>
      <c r="H374" s="4" t="str">
        <f ca="1">IFERROR(__xludf.DUMMYFUNCTION("""COMPUTED_VALUE"""),"Ban giám đốc")</f>
        <v>Ban giám đốc</v>
      </c>
      <c r="I374" s="4">
        <f ca="1">IFERROR(__xludf.DUMMYFUNCTION("""COMPUTED_VALUE"""),5)</f>
        <v>5</v>
      </c>
      <c r="J374" s="4">
        <f ca="1">IFERROR(__xludf.DUMMYFUNCTION("""COMPUTED_VALUE"""),5)</f>
        <v>5</v>
      </c>
      <c r="K374" s="4">
        <f ca="1">IFERROR(__xludf.DUMMYFUNCTION("""COMPUTED_VALUE"""),5)</f>
        <v>5</v>
      </c>
      <c r="L374" s="4">
        <f ca="1">IFERROR(__xludf.DUMMYFUNCTION("""COMPUTED_VALUE"""),5)</f>
        <v>5</v>
      </c>
      <c r="M374" s="4">
        <f ca="1">IFERROR(__xludf.DUMMYFUNCTION("""COMPUTED_VALUE"""),5)</f>
        <v>5</v>
      </c>
      <c r="N374" s="4">
        <f ca="1">IFERROR(__xludf.DUMMYFUNCTION("""COMPUTED_VALUE"""),5)</f>
        <v>5</v>
      </c>
      <c r="O374" s="4">
        <f ca="1">IFERROR(__xludf.DUMMYFUNCTION("""COMPUTED_VALUE"""),5)</f>
        <v>5</v>
      </c>
      <c r="P374" s="4">
        <f ca="1">IFERROR(__xludf.DUMMYFUNCTION("""COMPUTED_VALUE"""),5)</f>
        <v>5</v>
      </c>
      <c r="Q374" s="4">
        <f ca="1">IFERROR(__xludf.DUMMYFUNCTION("""COMPUTED_VALUE"""),5)</f>
        <v>5</v>
      </c>
      <c r="R374" s="4">
        <f ca="1">IFERROR(__xludf.DUMMYFUNCTION("""COMPUTED_VALUE"""),5)</f>
        <v>5</v>
      </c>
      <c r="S374" s="4">
        <f ca="1">IFERROR(__xludf.DUMMYFUNCTION("""COMPUTED_VALUE"""),5)</f>
        <v>5</v>
      </c>
      <c r="T374" s="4">
        <f ca="1">IFERROR(__xludf.DUMMYFUNCTION("""COMPUTED_VALUE"""),5)</f>
        <v>5</v>
      </c>
      <c r="U374" s="4">
        <f ca="1">IFERROR(__xludf.DUMMYFUNCTION("""COMPUTED_VALUE"""),5)</f>
        <v>5</v>
      </c>
      <c r="V374" s="4">
        <f ca="1">IFERROR(__xludf.DUMMYFUNCTION("""COMPUTED_VALUE"""),5)</f>
        <v>5</v>
      </c>
      <c r="W374" s="4">
        <f ca="1">IFERROR(__xludf.DUMMYFUNCTION("""COMPUTED_VALUE"""),5)</f>
        <v>5</v>
      </c>
      <c r="X374" s="4">
        <f ca="1">IFERROR(__xludf.DUMMYFUNCTION("""COMPUTED_VALUE"""),5)</f>
        <v>5</v>
      </c>
      <c r="Y374" s="4">
        <f ca="1">IFERROR(__xludf.DUMMYFUNCTION("""COMPUTED_VALUE"""),5)</f>
        <v>5</v>
      </c>
      <c r="Z374" s="4">
        <f ca="1">IFERROR(__xludf.DUMMYFUNCTION("""COMPUTED_VALUE"""),5)</f>
        <v>5</v>
      </c>
      <c r="AA374" s="4">
        <f ca="1">IFERROR(__xludf.DUMMYFUNCTION("""COMPUTED_VALUE"""),5)</f>
        <v>5</v>
      </c>
      <c r="AB374" s="4">
        <f ca="1">IFERROR(__xludf.DUMMYFUNCTION("""COMPUTED_VALUE"""),1)</f>
        <v>1</v>
      </c>
      <c r="AC374" s="4">
        <f ca="1">IFERROR(__xludf.DUMMYFUNCTION("""COMPUTED_VALUE"""),1)</f>
        <v>1</v>
      </c>
      <c r="AD374" s="4">
        <f ca="1">IFERROR(__xludf.DUMMYFUNCTION("""COMPUTED_VALUE"""),1)</f>
        <v>1</v>
      </c>
      <c r="AE374" s="4">
        <f ca="1">IFERROR(__xludf.DUMMYFUNCTION("""COMPUTED_VALUE"""),4)</f>
        <v>4</v>
      </c>
      <c r="AF374" s="4">
        <f ca="1">IFERROR(__xludf.DUMMYFUNCTION("""COMPUTED_VALUE"""),5)</f>
        <v>5</v>
      </c>
      <c r="AG374" s="4">
        <f ca="1">IFERROR(__xludf.DUMMYFUNCTION("""COMPUTED_VALUE"""),5)</f>
        <v>5</v>
      </c>
      <c r="AH374" s="4">
        <f ca="1">IFERROR(__xludf.DUMMYFUNCTION("""COMPUTED_VALUE"""),5)</f>
        <v>5</v>
      </c>
      <c r="AI374" s="4">
        <f ca="1">IFERROR(__xludf.DUMMYFUNCTION("""COMPUTED_VALUE"""),5)</f>
        <v>5</v>
      </c>
      <c r="AJ374" s="4">
        <f ca="1">IFERROR(__xludf.DUMMYFUNCTION("""COMPUTED_VALUE"""),5)</f>
        <v>5</v>
      </c>
      <c r="AK374" s="4">
        <f ca="1">IFERROR(__xludf.DUMMYFUNCTION("""COMPUTED_VALUE"""),5)</f>
        <v>5</v>
      </c>
      <c r="AL374" s="4">
        <f ca="1">IFERROR(__xludf.DUMMYFUNCTION("""COMPUTED_VALUE"""),5)</f>
        <v>5</v>
      </c>
      <c r="AM374" s="4">
        <f ca="1">IFERROR(__xludf.DUMMYFUNCTION("""COMPUTED_VALUE"""),5)</f>
        <v>5</v>
      </c>
      <c r="AN374" s="4">
        <f ca="1">IFERROR(__xludf.DUMMYFUNCTION("""COMPUTED_VALUE"""),5)</f>
        <v>5</v>
      </c>
      <c r="AO374" s="4">
        <f ca="1">IFERROR(__xludf.DUMMYFUNCTION("""COMPUTED_VALUE"""),5)</f>
        <v>5</v>
      </c>
      <c r="AP374" s="4">
        <f ca="1">IFERROR(__xludf.DUMMYFUNCTION("""COMPUTED_VALUE"""),5)</f>
        <v>5</v>
      </c>
      <c r="AQ374" s="4">
        <f ca="1">IFERROR(__xludf.DUMMYFUNCTION("""COMPUTED_VALUE"""),5)</f>
        <v>5</v>
      </c>
      <c r="AR374" s="4">
        <f ca="1">IFERROR(__xludf.DUMMYFUNCTION("""COMPUTED_VALUE"""),3)</f>
        <v>3</v>
      </c>
      <c r="AS374" s="4">
        <f ca="1">IFERROR(__xludf.DUMMYFUNCTION("""COMPUTED_VALUE"""),3)</f>
        <v>3</v>
      </c>
      <c r="AT374" s="4">
        <f ca="1">IFERROR(__xludf.DUMMYFUNCTION("""COMPUTED_VALUE"""),3)</f>
        <v>3</v>
      </c>
      <c r="AU374" s="4">
        <f ca="1">IFERROR(__xludf.DUMMYFUNCTION("""COMPUTED_VALUE"""),4)</f>
        <v>4</v>
      </c>
      <c r="AV374" s="4">
        <f ca="1">IFERROR(__xludf.DUMMYFUNCTION("""COMPUTED_VALUE"""),5)</f>
        <v>5</v>
      </c>
      <c r="AW374" s="4">
        <f ca="1">IFERROR(__xludf.DUMMYFUNCTION("""COMPUTED_VALUE"""),5)</f>
        <v>5</v>
      </c>
      <c r="AX374" s="4">
        <f ca="1">IFERROR(__xludf.DUMMYFUNCTION("""COMPUTED_VALUE"""),5)</f>
        <v>5</v>
      </c>
      <c r="AY374" s="4">
        <f ca="1">IFERROR(__xludf.DUMMYFUNCTION("""COMPUTED_VALUE"""),5)</f>
        <v>5</v>
      </c>
      <c r="AZ374" s="4">
        <f ca="1">IFERROR(__xludf.DUMMYFUNCTION("""COMPUTED_VALUE"""),5)</f>
        <v>5</v>
      </c>
      <c r="BA374" s="4">
        <f ca="1">IFERROR(__xludf.DUMMYFUNCTION("""COMPUTED_VALUE"""),5)</f>
        <v>5</v>
      </c>
      <c r="BB374" s="4">
        <f ca="1">IFERROR(__xludf.DUMMYFUNCTION("""COMPUTED_VALUE"""),5)</f>
        <v>5</v>
      </c>
      <c r="BC374" s="4">
        <f ca="1">IFERROR(__xludf.DUMMYFUNCTION("""COMPUTED_VALUE"""),1)</f>
        <v>1</v>
      </c>
      <c r="BD374" s="4">
        <f ca="1">IFERROR(__xludf.DUMMYFUNCTION("""COMPUTED_VALUE"""),3)</f>
        <v>3</v>
      </c>
      <c r="BE374" s="4">
        <f ca="1">IFERROR(__xludf.DUMMYFUNCTION("""COMPUTED_VALUE"""),3)</f>
        <v>3</v>
      </c>
      <c r="BF374" s="4">
        <f ca="1">IFERROR(__xludf.DUMMYFUNCTION("""COMPUTED_VALUE"""),3)</f>
        <v>3</v>
      </c>
      <c r="BG374" s="4">
        <f ca="1">IFERROR(__xludf.DUMMYFUNCTION("""COMPUTED_VALUE"""),3)</f>
        <v>3</v>
      </c>
      <c r="BH374" s="4">
        <f ca="1">IFERROR(__xludf.DUMMYFUNCTION("""COMPUTED_VALUE"""),5)</f>
        <v>5</v>
      </c>
      <c r="BI374" s="4">
        <f ca="1">IFERROR(__xludf.DUMMYFUNCTION("""COMPUTED_VALUE"""),5)</f>
        <v>5</v>
      </c>
      <c r="BJ374" s="4">
        <f ca="1">IFERROR(__xludf.DUMMYFUNCTION("""COMPUTED_VALUE"""),5)</f>
        <v>5</v>
      </c>
      <c r="BK374" s="4">
        <f ca="1">IFERROR(__xludf.DUMMYFUNCTION("""COMPUTED_VALUE"""),5)</f>
        <v>5</v>
      </c>
      <c r="BL374" s="4">
        <f ca="1">IFERROR(__xludf.DUMMYFUNCTION("""COMPUTED_VALUE"""),5)</f>
        <v>5</v>
      </c>
      <c r="BM374" s="4">
        <f ca="1">IFERROR(__xludf.DUMMYFUNCTION("""COMPUTED_VALUE"""),5)</f>
        <v>5</v>
      </c>
      <c r="BN374" s="4">
        <f ca="1">IFERROR(__xludf.DUMMYFUNCTION("""COMPUTED_VALUE"""),5)</f>
        <v>5</v>
      </c>
      <c r="BO374" s="4">
        <f ca="1">IFERROR(__xludf.DUMMYFUNCTION("""COMPUTED_VALUE"""),5)</f>
        <v>5</v>
      </c>
      <c r="BP374" s="4">
        <f ca="1">IFERROR(__xludf.DUMMYFUNCTION("""COMPUTED_VALUE"""),3)</f>
        <v>3</v>
      </c>
    </row>
    <row r="375" spans="1:68" ht="13.2" x14ac:dyDescent="0.25">
      <c r="A375" s="4" t="str">
        <f ca="1">IFERROR(__xludf.DUMMYFUNCTION("""COMPUTED_VALUE"""),"2_ABaOnudkJ_HODyOVLE8j21aWbRu8bM88KVGXhVLew4WgkyAYycePZ-cjoxEvRjnBhA")</f>
        <v>2_ABaOnudkJ_HODyOVLE8j21aWbRu8bM88KVGXhVLew4WgkyAYycePZ-cjoxEvRjnBhA</v>
      </c>
      <c r="B375" s="5">
        <f ca="1">IFERROR(__xludf.DUMMYFUNCTION("""COMPUTED_VALUE"""),45987.6689678125)</f>
        <v>45987.668967812497</v>
      </c>
      <c r="C375" s="4" t="str">
        <f ca="1">IFERROR(__xludf.DUMMYFUNCTION("""COMPUTED_VALUE"""),"Hồ Minh Nhật")</f>
        <v>Hồ Minh Nhật</v>
      </c>
      <c r="D375" s="4" t="str">
        <f ca="1">IFERROR(__xludf.DUMMYFUNCTION("""COMPUTED_VALUE"""),"Nam")</f>
        <v>Nam</v>
      </c>
      <c r="E375" s="4" t="str">
        <f ca="1">IFERROR(__xludf.DUMMYFUNCTION("""COMPUTED_VALUE"""),"CNMN CÔNG TY TNHH KIỂM TOÁN VÀ ĐỊNH GIÁ THĂNG LONG - T.D.K")</f>
        <v>CNMN CÔNG TY TNHH KIỂM TOÁN VÀ ĐỊNH GIÁ THĂNG LONG - T.D.K</v>
      </c>
      <c r="F375" s="4" t="str">
        <f ca="1">IFERROR(__xludf.DUMMYFUNCTION("""COMPUTED_VALUE"""),"Đại học")</f>
        <v>Đại học</v>
      </c>
      <c r="G375" s="4" t="str">
        <f ca="1">IFERROR(__xludf.DUMMYFUNCTION("""COMPUTED_VALUE"""),"Trên 10 đến 15 năm")</f>
        <v>Trên 10 đến 15 năm</v>
      </c>
      <c r="H375" s="4" t="str">
        <f ca="1">IFERROR(__xludf.DUMMYFUNCTION("""COMPUTED_VALUE"""),"Trợ lý kiểm toán")</f>
        <v>Trợ lý kiểm toán</v>
      </c>
      <c r="I375" s="4">
        <f ca="1">IFERROR(__xludf.DUMMYFUNCTION("""COMPUTED_VALUE"""),4)</f>
        <v>4</v>
      </c>
      <c r="J375" s="4">
        <f ca="1">IFERROR(__xludf.DUMMYFUNCTION("""COMPUTED_VALUE"""),3)</f>
        <v>3</v>
      </c>
      <c r="K375" s="4">
        <f ca="1">IFERROR(__xludf.DUMMYFUNCTION("""COMPUTED_VALUE"""),4)</f>
        <v>4</v>
      </c>
      <c r="L375" s="4">
        <f ca="1">IFERROR(__xludf.DUMMYFUNCTION("""COMPUTED_VALUE"""),4)</f>
        <v>4</v>
      </c>
      <c r="M375" s="4">
        <f ca="1">IFERROR(__xludf.DUMMYFUNCTION("""COMPUTED_VALUE"""),3)</f>
        <v>3</v>
      </c>
      <c r="N375" s="4">
        <f ca="1">IFERROR(__xludf.DUMMYFUNCTION("""COMPUTED_VALUE"""),3)</f>
        <v>3</v>
      </c>
      <c r="O375" s="4">
        <f ca="1">IFERROR(__xludf.DUMMYFUNCTION("""COMPUTED_VALUE"""),3)</f>
        <v>3</v>
      </c>
      <c r="P375" s="4">
        <f ca="1">IFERROR(__xludf.DUMMYFUNCTION("""COMPUTED_VALUE"""),4)</f>
        <v>4</v>
      </c>
      <c r="Q375" s="4">
        <f ca="1">IFERROR(__xludf.DUMMYFUNCTION("""COMPUTED_VALUE"""),4)</f>
        <v>4</v>
      </c>
      <c r="R375" s="4">
        <f ca="1">IFERROR(__xludf.DUMMYFUNCTION("""COMPUTED_VALUE"""),4)</f>
        <v>4</v>
      </c>
      <c r="S375" s="4">
        <f ca="1">IFERROR(__xludf.DUMMYFUNCTION("""COMPUTED_VALUE"""),3)</f>
        <v>3</v>
      </c>
      <c r="T375" s="4">
        <f ca="1">IFERROR(__xludf.DUMMYFUNCTION("""COMPUTED_VALUE"""),3)</f>
        <v>3</v>
      </c>
      <c r="U375" s="4">
        <f ca="1">IFERROR(__xludf.DUMMYFUNCTION("""COMPUTED_VALUE"""),4)</f>
        <v>4</v>
      </c>
      <c r="V375" s="4">
        <f ca="1">IFERROR(__xludf.DUMMYFUNCTION("""COMPUTED_VALUE"""),3)</f>
        <v>3</v>
      </c>
      <c r="W375" s="4">
        <f ca="1">IFERROR(__xludf.DUMMYFUNCTION("""COMPUTED_VALUE"""),3)</f>
        <v>3</v>
      </c>
      <c r="X375" s="4">
        <f ca="1">IFERROR(__xludf.DUMMYFUNCTION("""COMPUTED_VALUE"""),3)</f>
        <v>3</v>
      </c>
      <c r="Y375" s="4">
        <f ca="1">IFERROR(__xludf.DUMMYFUNCTION("""COMPUTED_VALUE"""),3)</f>
        <v>3</v>
      </c>
      <c r="Z375" s="4">
        <f ca="1">IFERROR(__xludf.DUMMYFUNCTION("""COMPUTED_VALUE"""),2)</f>
        <v>2</v>
      </c>
      <c r="AA375" s="4">
        <f ca="1">IFERROR(__xludf.DUMMYFUNCTION("""COMPUTED_VALUE"""),3)</f>
        <v>3</v>
      </c>
      <c r="AB375" s="4">
        <f ca="1">IFERROR(__xludf.DUMMYFUNCTION("""COMPUTED_VALUE"""),4)</f>
        <v>4</v>
      </c>
      <c r="AC375" s="4">
        <f ca="1">IFERROR(__xludf.DUMMYFUNCTION("""COMPUTED_VALUE"""),4)</f>
        <v>4</v>
      </c>
      <c r="AD375" s="4">
        <f ca="1">IFERROR(__xludf.DUMMYFUNCTION("""COMPUTED_VALUE"""),3)</f>
        <v>3</v>
      </c>
      <c r="AE375" s="4">
        <f ca="1">IFERROR(__xludf.DUMMYFUNCTION("""COMPUTED_VALUE"""),4)</f>
        <v>4</v>
      </c>
      <c r="AF375" s="4">
        <f ca="1">IFERROR(__xludf.DUMMYFUNCTION("""COMPUTED_VALUE"""),3)</f>
        <v>3</v>
      </c>
      <c r="AG375" s="4">
        <f ca="1">IFERROR(__xludf.DUMMYFUNCTION("""COMPUTED_VALUE"""),4)</f>
        <v>4</v>
      </c>
      <c r="AH375" s="4">
        <f ca="1">IFERROR(__xludf.DUMMYFUNCTION("""COMPUTED_VALUE"""),4)</f>
        <v>4</v>
      </c>
      <c r="AI375" s="4">
        <f ca="1">IFERROR(__xludf.DUMMYFUNCTION("""COMPUTED_VALUE"""),3)</f>
        <v>3</v>
      </c>
      <c r="AJ375" s="4">
        <f ca="1">IFERROR(__xludf.DUMMYFUNCTION("""COMPUTED_VALUE"""),3)</f>
        <v>3</v>
      </c>
      <c r="AK375" s="4">
        <f ca="1">IFERROR(__xludf.DUMMYFUNCTION("""COMPUTED_VALUE"""),3)</f>
        <v>3</v>
      </c>
      <c r="AL375" s="4">
        <f ca="1">IFERROR(__xludf.DUMMYFUNCTION("""COMPUTED_VALUE"""),4)</f>
        <v>4</v>
      </c>
      <c r="AM375" s="4">
        <f ca="1">IFERROR(__xludf.DUMMYFUNCTION("""COMPUTED_VALUE"""),3)</f>
        <v>3</v>
      </c>
      <c r="AN375" s="4">
        <f ca="1">IFERROR(__xludf.DUMMYFUNCTION("""COMPUTED_VALUE"""),4)</f>
        <v>4</v>
      </c>
      <c r="AO375" s="4">
        <f ca="1">IFERROR(__xludf.DUMMYFUNCTION("""COMPUTED_VALUE"""),3)</f>
        <v>3</v>
      </c>
      <c r="AP375" s="4">
        <f ca="1">IFERROR(__xludf.DUMMYFUNCTION("""COMPUTED_VALUE"""),3)</f>
        <v>3</v>
      </c>
      <c r="AQ375" s="4">
        <f ca="1">IFERROR(__xludf.DUMMYFUNCTION("""COMPUTED_VALUE"""),4)</f>
        <v>4</v>
      </c>
      <c r="AR375" s="4">
        <f ca="1">IFERROR(__xludf.DUMMYFUNCTION("""COMPUTED_VALUE"""),3)</f>
        <v>3</v>
      </c>
      <c r="AS375" s="4">
        <f ca="1">IFERROR(__xludf.DUMMYFUNCTION("""COMPUTED_VALUE"""),3)</f>
        <v>3</v>
      </c>
      <c r="AT375" s="4">
        <f ca="1">IFERROR(__xludf.DUMMYFUNCTION("""COMPUTED_VALUE"""),3)</f>
        <v>3</v>
      </c>
      <c r="AU375" s="4">
        <f ca="1">IFERROR(__xludf.DUMMYFUNCTION("""COMPUTED_VALUE"""),3)</f>
        <v>3</v>
      </c>
      <c r="AV375" s="4">
        <f ca="1">IFERROR(__xludf.DUMMYFUNCTION("""COMPUTED_VALUE"""),4)</f>
        <v>4</v>
      </c>
      <c r="AW375" s="4">
        <f ca="1">IFERROR(__xludf.DUMMYFUNCTION("""COMPUTED_VALUE"""),4)</f>
        <v>4</v>
      </c>
      <c r="AX375" s="4">
        <f ca="1">IFERROR(__xludf.DUMMYFUNCTION("""COMPUTED_VALUE"""),4)</f>
        <v>4</v>
      </c>
      <c r="AY375" s="4">
        <f ca="1">IFERROR(__xludf.DUMMYFUNCTION("""COMPUTED_VALUE"""),3)</f>
        <v>3</v>
      </c>
      <c r="AZ375" s="4">
        <f ca="1">IFERROR(__xludf.DUMMYFUNCTION("""COMPUTED_VALUE"""),3)</f>
        <v>3</v>
      </c>
      <c r="BA375" s="4">
        <f ca="1">IFERROR(__xludf.DUMMYFUNCTION("""COMPUTED_VALUE"""),4)</f>
        <v>4</v>
      </c>
      <c r="BB375" s="4">
        <f ca="1">IFERROR(__xludf.DUMMYFUNCTION("""COMPUTED_VALUE"""),3)</f>
        <v>3</v>
      </c>
      <c r="BC375" s="4">
        <f ca="1">IFERROR(__xludf.DUMMYFUNCTION("""COMPUTED_VALUE"""),4)</f>
        <v>4</v>
      </c>
      <c r="BD375" s="4">
        <f ca="1">IFERROR(__xludf.DUMMYFUNCTION("""COMPUTED_VALUE"""),3)</f>
        <v>3</v>
      </c>
      <c r="BE375" s="4">
        <f ca="1">IFERROR(__xludf.DUMMYFUNCTION("""COMPUTED_VALUE"""),4)</f>
        <v>4</v>
      </c>
      <c r="BF375" s="4">
        <f ca="1">IFERROR(__xludf.DUMMYFUNCTION("""COMPUTED_VALUE"""),3)</f>
        <v>3</v>
      </c>
      <c r="BG375" s="4">
        <f ca="1">IFERROR(__xludf.DUMMYFUNCTION("""COMPUTED_VALUE"""),3)</f>
        <v>3</v>
      </c>
      <c r="BH375" s="4">
        <f ca="1">IFERROR(__xludf.DUMMYFUNCTION("""COMPUTED_VALUE"""),3)</f>
        <v>3</v>
      </c>
      <c r="BI375" s="4">
        <f ca="1">IFERROR(__xludf.DUMMYFUNCTION("""COMPUTED_VALUE"""),3)</f>
        <v>3</v>
      </c>
      <c r="BJ375" s="4">
        <f ca="1">IFERROR(__xludf.DUMMYFUNCTION("""COMPUTED_VALUE"""),4)</f>
        <v>4</v>
      </c>
      <c r="BK375" s="4">
        <f ca="1">IFERROR(__xludf.DUMMYFUNCTION("""COMPUTED_VALUE"""),4)</f>
        <v>4</v>
      </c>
      <c r="BL375" s="4">
        <f ca="1">IFERROR(__xludf.DUMMYFUNCTION("""COMPUTED_VALUE"""),3)</f>
        <v>3</v>
      </c>
      <c r="BM375" s="4">
        <f ca="1">IFERROR(__xludf.DUMMYFUNCTION("""COMPUTED_VALUE"""),3)</f>
        <v>3</v>
      </c>
      <c r="BN375" s="4">
        <f ca="1">IFERROR(__xludf.DUMMYFUNCTION("""COMPUTED_VALUE"""),4)</f>
        <v>4</v>
      </c>
      <c r="BO375" s="4">
        <f ca="1">IFERROR(__xludf.DUMMYFUNCTION("""COMPUTED_VALUE"""),3)</f>
        <v>3</v>
      </c>
      <c r="BP375" s="4">
        <f ca="1">IFERROR(__xludf.DUMMYFUNCTION("""COMPUTED_VALUE"""),3)</f>
        <v>3</v>
      </c>
    </row>
    <row r="376" spans="1:68" ht="13.2" x14ac:dyDescent="0.25">
      <c r="A376" s="4" t="str">
        <f ca="1">IFERROR(__xludf.DUMMYFUNCTION("""COMPUTED_VALUE"""),"2_ABaOnuccOcbT15nSrZK9wSYm3-Xnw52-zIK0o6Jn-P7nwS8tj70N8m-3PLgq_1VOJQ")</f>
        <v>2_ABaOnuccOcbT15nSrZK9wSYm3-Xnw52-zIK0o6Jn-P7nwS8tj70N8m-3PLgq_1VOJQ</v>
      </c>
      <c r="B376" s="5">
        <f ca="1">IFERROR(__xludf.DUMMYFUNCTION("""COMPUTED_VALUE"""),45987.6699895949)</f>
        <v>45987.669989594899</v>
      </c>
      <c r="C376" s="4" t="str">
        <f ca="1">IFERROR(__xludf.DUMMYFUNCTION("""COMPUTED_VALUE"""),"Nguyễn Dũng")</f>
        <v>Nguyễn Dũng</v>
      </c>
      <c r="D376" s="4" t="str">
        <f ca="1">IFERROR(__xludf.DUMMYFUNCTION("""COMPUTED_VALUE"""),"Nam")</f>
        <v>Nam</v>
      </c>
      <c r="E376" s="4" t="str">
        <f ca="1">IFERROR(__xludf.DUMMYFUNCTION("""COMPUTED_VALUE"""),"Công ty TNHH Kiểm toán Sao Việt ")</f>
        <v xml:space="preserve">Công ty TNHH Kiểm toán Sao Việt </v>
      </c>
      <c r="F376" s="4" t="str">
        <f ca="1">IFERROR(__xludf.DUMMYFUNCTION("""COMPUTED_VALUE"""),"Đại học")</f>
        <v>Đại học</v>
      </c>
      <c r="G376" s="4" t="str">
        <f ca="1">IFERROR(__xludf.DUMMYFUNCTION("""COMPUTED_VALUE"""),"Từ 3 đến 5 năm")</f>
        <v>Từ 3 đến 5 năm</v>
      </c>
      <c r="H376" s="4" t="str">
        <f ca="1">IFERROR(__xludf.DUMMYFUNCTION("""COMPUTED_VALUE"""),"Trợ lý kiểm toán")</f>
        <v>Trợ lý kiểm toán</v>
      </c>
      <c r="I376" s="4">
        <f ca="1">IFERROR(__xludf.DUMMYFUNCTION("""COMPUTED_VALUE"""),4)</f>
        <v>4</v>
      </c>
      <c r="J376" s="4">
        <f ca="1">IFERROR(__xludf.DUMMYFUNCTION("""COMPUTED_VALUE"""),4)</f>
        <v>4</v>
      </c>
      <c r="K376" s="4">
        <f ca="1">IFERROR(__xludf.DUMMYFUNCTION("""COMPUTED_VALUE"""),4)</f>
        <v>4</v>
      </c>
      <c r="L376" s="4">
        <f ca="1">IFERROR(__xludf.DUMMYFUNCTION("""COMPUTED_VALUE"""),3)</f>
        <v>3</v>
      </c>
      <c r="M376" s="4">
        <f ca="1">IFERROR(__xludf.DUMMYFUNCTION("""COMPUTED_VALUE"""),5)</f>
        <v>5</v>
      </c>
      <c r="N376" s="4">
        <f ca="1">IFERROR(__xludf.DUMMYFUNCTION("""COMPUTED_VALUE"""),5)</f>
        <v>5</v>
      </c>
      <c r="O376" s="4">
        <f ca="1">IFERROR(__xludf.DUMMYFUNCTION("""COMPUTED_VALUE"""),5)</f>
        <v>5</v>
      </c>
      <c r="P376" s="4">
        <f ca="1">IFERROR(__xludf.DUMMYFUNCTION("""COMPUTED_VALUE"""),4)</f>
        <v>4</v>
      </c>
      <c r="Q376" s="4">
        <f ca="1">IFERROR(__xludf.DUMMYFUNCTION("""COMPUTED_VALUE"""),4)</f>
        <v>4</v>
      </c>
      <c r="R376" s="4">
        <f ca="1">IFERROR(__xludf.DUMMYFUNCTION("""COMPUTED_VALUE"""),3)</f>
        <v>3</v>
      </c>
      <c r="S376" s="4">
        <f ca="1">IFERROR(__xludf.DUMMYFUNCTION("""COMPUTED_VALUE"""),5)</f>
        <v>5</v>
      </c>
      <c r="T376" s="4">
        <f ca="1">IFERROR(__xludf.DUMMYFUNCTION("""COMPUTED_VALUE"""),4)</f>
        <v>4</v>
      </c>
      <c r="U376" s="4">
        <f ca="1">IFERROR(__xludf.DUMMYFUNCTION("""COMPUTED_VALUE"""),4)</f>
        <v>4</v>
      </c>
      <c r="V376" s="4">
        <f ca="1">IFERROR(__xludf.DUMMYFUNCTION("""COMPUTED_VALUE"""),5)</f>
        <v>5</v>
      </c>
      <c r="W376" s="4">
        <f ca="1">IFERROR(__xludf.DUMMYFUNCTION("""COMPUTED_VALUE"""),3)</f>
        <v>3</v>
      </c>
      <c r="X376" s="4">
        <f ca="1">IFERROR(__xludf.DUMMYFUNCTION("""COMPUTED_VALUE"""),3)</f>
        <v>3</v>
      </c>
      <c r="Y376" s="4">
        <f ca="1">IFERROR(__xludf.DUMMYFUNCTION("""COMPUTED_VALUE"""),3)</f>
        <v>3</v>
      </c>
      <c r="Z376" s="4">
        <f ca="1">IFERROR(__xludf.DUMMYFUNCTION("""COMPUTED_VALUE"""),4)</f>
        <v>4</v>
      </c>
      <c r="AA376" s="4">
        <f ca="1">IFERROR(__xludf.DUMMYFUNCTION("""COMPUTED_VALUE"""),5)</f>
        <v>5</v>
      </c>
      <c r="AB376" s="4">
        <f ca="1">IFERROR(__xludf.DUMMYFUNCTION("""COMPUTED_VALUE"""),4)</f>
        <v>4</v>
      </c>
      <c r="AC376" s="4">
        <f ca="1">IFERROR(__xludf.DUMMYFUNCTION("""COMPUTED_VALUE"""),4)</f>
        <v>4</v>
      </c>
      <c r="AD376" s="4">
        <f ca="1">IFERROR(__xludf.DUMMYFUNCTION("""COMPUTED_VALUE"""),4)</f>
        <v>4</v>
      </c>
      <c r="AE376" s="4">
        <f ca="1">IFERROR(__xludf.DUMMYFUNCTION("""COMPUTED_VALUE"""),4)</f>
        <v>4</v>
      </c>
      <c r="AF376" s="4">
        <f ca="1">IFERROR(__xludf.DUMMYFUNCTION("""COMPUTED_VALUE"""),4)</f>
        <v>4</v>
      </c>
      <c r="AG376" s="4">
        <f ca="1">IFERROR(__xludf.DUMMYFUNCTION("""COMPUTED_VALUE"""),4)</f>
        <v>4</v>
      </c>
      <c r="AH376" s="4">
        <f ca="1">IFERROR(__xludf.DUMMYFUNCTION("""COMPUTED_VALUE"""),4)</f>
        <v>4</v>
      </c>
      <c r="AI376" s="4">
        <f ca="1">IFERROR(__xludf.DUMMYFUNCTION("""COMPUTED_VALUE"""),4)</f>
        <v>4</v>
      </c>
      <c r="AJ376" s="4">
        <f ca="1">IFERROR(__xludf.DUMMYFUNCTION("""COMPUTED_VALUE"""),4)</f>
        <v>4</v>
      </c>
      <c r="AK376" s="4">
        <f ca="1">IFERROR(__xludf.DUMMYFUNCTION("""COMPUTED_VALUE"""),4)</f>
        <v>4</v>
      </c>
      <c r="AL376" s="4">
        <f ca="1">IFERROR(__xludf.DUMMYFUNCTION("""COMPUTED_VALUE"""),4)</f>
        <v>4</v>
      </c>
      <c r="AM376" s="4">
        <f ca="1">IFERROR(__xludf.DUMMYFUNCTION("""COMPUTED_VALUE"""),4)</f>
        <v>4</v>
      </c>
      <c r="AN376" s="4">
        <f ca="1">IFERROR(__xludf.DUMMYFUNCTION("""COMPUTED_VALUE"""),4)</f>
        <v>4</v>
      </c>
      <c r="AO376" s="4">
        <f ca="1">IFERROR(__xludf.DUMMYFUNCTION("""COMPUTED_VALUE"""),4)</f>
        <v>4</v>
      </c>
      <c r="AP376" s="4">
        <f ca="1">IFERROR(__xludf.DUMMYFUNCTION("""COMPUTED_VALUE"""),4)</f>
        <v>4</v>
      </c>
      <c r="AQ376" s="4">
        <f ca="1">IFERROR(__xludf.DUMMYFUNCTION("""COMPUTED_VALUE"""),4)</f>
        <v>4</v>
      </c>
      <c r="AR376" s="4">
        <f ca="1">IFERROR(__xludf.DUMMYFUNCTION("""COMPUTED_VALUE"""),4)</f>
        <v>4</v>
      </c>
      <c r="AS376" s="4">
        <f ca="1">IFERROR(__xludf.DUMMYFUNCTION("""COMPUTED_VALUE"""),4)</f>
        <v>4</v>
      </c>
      <c r="AT376" s="4">
        <f ca="1">IFERROR(__xludf.DUMMYFUNCTION("""COMPUTED_VALUE"""),4)</f>
        <v>4</v>
      </c>
      <c r="AU376" s="4">
        <f ca="1">IFERROR(__xludf.DUMMYFUNCTION("""COMPUTED_VALUE"""),4)</f>
        <v>4</v>
      </c>
      <c r="AV376" s="4">
        <f ca="1">IFERROR(__xludf.DUMMYFUNCTION("""COMPUTED_VALUE"""),4)</f>
        <v>4</v>
      </c>
      <c r="AW376" s="4">
        <f ca="1">IFERROR(__xludf.DUMMYFUNCTION("""COMPUTED_VALUE"""),4)</f>
        <v>4</v>
      </c>
      <c r="AX376" s="4">
        <f ca="1">IFERROR(__xludf.DUMMYFUNCTION("""COMPUTED_VALUE"""),4)</f>
        <v>4</v>
      </c>
      <c r="AY376" s="4">
        <f ca="1">IFERROR(__xludf.DUMMYFUNCTION("""COMPUTED_VALUE"""),4)</f>
        <v>4</v>
      </c>
      <c r="AZ376" s="4">
        <f ca="1">IFERROR(__xludf.DUMMYFUNCTION("""COMPUTED_VALUE"""),4)</f>
        <v>4</v>
      </c>
      <c r="BA376" s="4">
        <f ca="1">IFERROR(__xludf.DUMMYFUNCTION("""COMPUTED_VALUE"""),4)</f>
        <v>4</v>
      </c>
      <c r="BB376" s="4">
        <f ca="1">IFERROR(__xludf.DUMMYFUNCTION("""COMPUTED_VALUE"""),4)</f>
        <v>4</v>
      </c>
      <c r="BC376" s="4">
        <f ca="1">IFERROR(__xludf.DUMMYFUNCTION("""COMPUTED_VALUE"""),4)</f>
        <v>4</v>
      </c>
      <c r="BD376" s="4">
        <f ca="1">IFERROR(__xludf.DUMMYFUNCTION("""COMPUTED_VALUE"""),4)</f>
        <v>4</v>
      </c>
      <c r="BE376" s="4">
        <f ca="1">IFERROR(__xludf.DUMMYFUNCTION("""COMPUTED_VALUE"""),4)</f>
        <v>4</v>
      </c>
      <c r="BF376" s="4">
        <f ca="1">IFERROR(__xludf.DUMMYFUNCTION("""COMPUTED_VALUE"""),4)</f>
        <v>4</v>
      </c>
      <c r="BG376" s="4">
        <f ca="1">IFERROR(__xludf.DUMMYFUNCTION("""COMPUTED_VALUE"""),4)</f>
        <v>4</v>
      </c>
      <c r="BH376" s="4">
        <f ca="1">IFERROR(__xludf.DUMMYFUNCTION("""COMPUTED_VALUE"""),4)</f>
        <v>4</v>
      </c>
      <c r="BI376" s="4">
        <f ca="1">IFERROR(__xludf.DUMMYFUNCTION("""COMPUTED_VALUE"""),4)</f>
        <v>4</v>
      </c>
      <c r="BJ376" s="4">
        <f ca="1">IFERROR(__xludf.DUMMYFUNCTION("""COMPUTED_VALUE"""),4)</f>
        <v>4</v>
      </c>
      <c r="BK376" s="4">
        <f ca="1">IFERROR(__xludf.DUMMYFUNCTION("""COMPUTED_VALUE"""),4)</f>
        <v>4</v>
      </c>
      <c r="BL376" s="4">
        <f ca="1">IFERROR(__xludf.DUMMYFUNCTION("""COMPUTED_VALUE"""),4)</f>
        <v>4</v>
      </c>
      <c r="BM376" s="4">
        <f ca="1">IFERROR(__xludf.DUMMYFUNCTION("""COMPUTED_VALUE"""),4)</f>
        <v>4</v>
      </c>
      <c r="BN376" s="4">
        <f ca="1">IFERROR(__xludf.DUMMYFUNCTION("""COMPUTED_VALUE"""),4)</f>
        <v>4</v>
      </c>
      <c r="BO376" s="4">
        <f ca="1">IFERROR(__xludf.DUMMYFUNCTION("""COMPUTED_VALUE"""),4)</f>
        <v>4</v>
      </c>
      <c r="BP376" s="4">
        <f ca="1">IFERROR(__xludf.DUMMYFUNCTION("""COMPUTED_VALUE"""),4)</f>
        <v>4</v>
      </c>
    </row>
    <row r="377" spans="1:68" ht="13.2" x14ac:dyDescent="0.25">
      <c r="A377" s="4" t="str">
        <f ca="1">IFERROR(__xludf.DUMMYFUNCTION("""COMPUTED_VALUE"""),"2_ABaOnue6Y2P65uS6BHGJKRdRTX7dYvoTjA0haTb9pFuAGGU5zmoyiGVdQMtdVsywvw")</f>
        <v>2_ABaOnue6Y2P65uS6BHGJKRdRTX7dYvoTjA0haTb9pFuAGGU5zmoyiGVdQMtdVsywvw</v>
      </c>
      <c r="B377" s="5">
        <f ca="1">IFERROR(__xludf.DUMMYFUNCTION("""COMPUTED_VALUE"""),45987.670087905)</f>
        <v>45987.670087904997</v>
      </c>
      <c r="C377" s="4" t="str">
        <f ca="1">IFERROR(__xludf.DUMMYFUNCTION("""COMPUTED_VALUE"""),"Lê VĨnh Phú")</f>
        <v>Lê VĨnh Phú</v>
      </c>
      <c r="D377" s="4" t="str">
        <f ca="1">IFERROR(__xludf.DUMMYFUNCTION("""COMPUTED_VALUE"""),"Nam")</f>
        <v>Nam</v>
      </c>
      <c r="E377" s="4" t="str">
        <f ca="1">IFERROR(__xludf.DUMMYFUNCTION("""COMPUTED_VALUE"""),"CÔng ty TNHH Kiểm toán và Thẩm định giá Miền trung")</f>
        <v>CÔng ty TNHH Kiểm toán và Thẩm định giá Miền trung</v>
      </c>
      <c r="F377" s="4" t="str">
        <f ca="1">IFERROR(__xludf.DUMMYFUNCTION("""COMPUTED_VALUE"""),"Đại học, Chứng chỉ Kiểm toán viên")</f>
        <v>Đại học, Chứng chỉ Kiểm toán viên</v>
      </c>
      <c r="G377" s="4" t="str">
        <f ca="1">IFERROR(__xludf.DUMMYFUNCTION("""COMPUTED_VALUE"""),"Trên 15 đến 20 năm")</f>
        <v>Trên 15 đến 20 năm</v>
      </c>
      <c r="H377" s="4" t="str">
        <f ca="1">IFERROR(__xludf.DUMMYFUNCTION("""COMPUTED_VALUE"""),"Ban giám đốc")</f>
        <v>Ban giám đốc</v>
      </c>
      <c r="I377" s="4">
        <f ca="1">IFERROR(__xludf.DUMMYFUNCTION("""COMPUTED_VALUE"""),5)</f>
        <v>5</v>
      </c>
      <c r="J377" s="4">
        <f ca="1">IFERROR(__xludf.DUMMYFUNCTION("""COMPUTED_VALUE"""),5)</f>
        <v>5</v>
      </c>
      <c r="K377" s="4">
        <f ca="1">IFERROR(__xludf.DUMMYFUNCTION("""COMPUTED_VALUE"""),5)</f>
        <v>5</v>
      </c>
      <c r="L377" s="4">
        <f ca="1">IFERROR(__xludf.DUMMYFUNCTION("""COMPUTED_VALUE"""),5)</f>
        <v>5</v>
      </c>
      <c r="M377" s="4">
        <f ca="1">IFERROR(__xludf.DUMMYFUNCTION("""COMPUTED_VALUE"""),5)</f>
        <v>5</v>
      </c>
      <c r="N377" s="4">
        <f ca="1">IFERROR(__xludf.DUMMYFUNCTION("""COMPUTED_VALUE"""),5)</f>
        <v>5</v>
      </c>
      <c r="O377" s="4">
        <f ca="1">IFERROR(__xludf.DUMMYFUNCTION("""COMPUTED_VALUE"""),5)</f>
        <v>5</v>
      </c>
      <c r="P377" s="4">
        <f ca="1">IFERROR(__xludf.DUMMYFUNCTION("""COMPUTED_VALUE"""),5)</f>
        <v>5</v>
      </c>
      <c r="Q377" s="4">
        <f ca="1">IFERROR(__xludf.DUMMYFUNCTION("""COMPUTED_VALUE"""),5)</f>
        <v>5</v>
      </c>
      <c r="R377" s="4">
        <f ca="1">IFERROR(__xludf.DUMMYFUNCTION("""COMPUTED_VALUE"""),4)</f>
        <v>4</v>
      </c>
      <c r="S377" s="4">
        <f ca="1">IFERROR(__xludf.DUMMYFUNCTION("""COMPUTED_VALUE"""),4)</f>
        <v>4</v>
      </c>
      <c r="T377" s="4">
        <f ca="1">IFERROR(__xludf.DUMMYFUNCTION("""COMPUTED_VALUE"""),4)</f>
        <v>4</v>
      </c>
      <c r="U377" s="4">
        <f ca="1">IFERROR(__xludf.DUMMYFUNCTION("""COMPUTED_VALUE"""),5)</f>
        <v>5</v>
      </c>
      <c r="V377" s="4">
        <f ca="1">IFERROR(__xludf.DUMMYFUNCTION("""COMPUTED_VALUE"""),5)</f>
        <v>5</v>
      </c>
      <c r="W377" s="4">
        <f ca="1">IFERROR(__xludf.DUMMYFUNCTION("""COMPUTED_VALUE"""),3)</f>
        <v>3</v>
      </c>
      <c r="X377" s="4">
        <f ca="1">IFERROR(__xludf.DUMMYFUNCTION("""COMPUTED_VALUE"""),3)</f>
        <v>3</v>
      </c>
      <c r="Y377" s="4">
        <f ca="1">IFERROR(__xludf.DUMMYFUNCTION("""COMPUTED_VALUE"""),3)</f>
        <v>3</v>
      </c>
      <c r="Z377" s="4">
        <f ca="1">IFERROR(__xludf.DUMMYFUNCTION("""COMPUTED_VALUE"""),3)</f>
        <v>3</v>
      </c>
      <c r="AA377" s="4">
        <f ca="1">IFERROR(__xludf.DUMMYFUNCTION("""COMPUTED_VALUE"""),3)</f>
        <v>3</v>
      </c>
      <c r="AB377" s="4">
        <f ca="1">IFERROR(__xludf.DUMMYFUNCTION("""COMPUTED_VALUE"""),3)</f>
        <v>3</v>
      </c>
      <c r="AC377" s="4">
        <f ca="1">IFERROR(__xludf.DUMMYFUNCTION("""COMPUTED_VALUE"""),3)</f>
        <v>3</v>
      </c>
      <c r="AD377" s="4">
        <f ca="1">IFERROR(__xludf.DUMMYFUNCTION("""COMPUTED_VALUE"""),3)</f>
        <v>3</v>
      </c>
      <c r="AE377" s="4">
        <f ca="1">IFERROR(__xludf.DUMMYFUNCTION("""COMPUTED_VALUE"""),3)</f>
        <v>3</v>
      </c>
      <c r="AF377" s="4">
        <f ca="1">IFERROR(__xludf.DUMMYFUNCTION("""COMPUTED_VALUE"""),3)</f>
        <v>3</v>
      </c>
      <c r="AG377" s="4">
        <f ca="1">IFERROR(__xludf.DUMMYFUNCTION("""COMPUTED_VALUE"""),3)</f>
        <v>3</v>
      </c>
      <c r="AH377" s="4">
        <f ca="1">IFERROR(__xludf.DUMMYFUNCTION("""COMPUTED_VALUE"""),3)</f>
        <v>3</v>
      </c>
      <c r="AI377" s="4">
        <f ca="1">IFERROR(__xludf.DUMMYFUNCTION("""COMPUTED_VALUE"""),3)</f>
        <v>3</v>
      </c>
      <c r="AJ377" s="4">
        <f ca="1">IFERROR(__xludf.DUMMYFUNCTION("""COMPUTED_VALUE"""),3)</f>
        <v>3</v>
      </c>
      <c r="AK377" s="4">
        <f ca="1">IFERROR(__xludf.DUMMYFUNCTION("""COMPUTED_VALUE"""),3)</f>
        <v>3</v>
      </c>
      <c r="AL377" s="4">
        <f ca="1">IFERROR(__xludf.DUMMYFUNCTION("""COMPUTED_VALUE"""),3)</f>
        <v>3</v>
      </c>
      <c r="AM377" s="4">
        <f ca="1">IFERROR(__xludf.DUMMYFUNCTION("""COMPUTED_VALUE"""),3)</f>
        <v>3</v>
      </c>
      <c r="AN377" s="4">
        <f ca="1">IFERROR(__xludf.DUMMYFUNCTION("""COMPUTED_VALUE"""),3)</f>
        <v>3</v>
      </c>
      <c r="AO377" s="4">
        <f ca="1">IFERROR(__xludf.DUMMYFUNCTION("""COMPUTED_VALUE"""),3)</f>
        <v>3</v>
      </c>
      <c r="AP377" s="4">
        <f ca="1">IFERROR(__xludf.DUMMYFUNCTION("""COMPUTED_VALUE"""),3)</f>
        <v>3</v>
      </c>
      <c r="AQ377" s="4">
        <f ca="1">IFERROR(__xludf.DUMMYFUNCTION("""COMPUTED_VALUE"""),3)</f>
        <v>3</v>
      </c>
      <c r="AR377" s="4">
        <f ca="1">IFERROR(__xludf.DUMMYFUNCTION("""COMPUTED_VALUE"""),3)</f>
        <v>3</v>
      </c>
      <c r="AS377" s="4">
        <f ca="1">IFERROR(__xludf.DUMMYFUNCTION("""COMPUTED_VALUE"""),3)</f>
        <v>3</v>
      </c>
      <c r="AT377" s="4">
        <f ca="1">IFERROR(__xludf.DUMMYFUNCTION("""COMPUTED_VALUE"""),3)</f>
        <v>3</v>
      </c>
      <c r="AU377" s="4">
        <f ca="1">IFERROR(__xludf.DUMMYFUNCTION("""COMPUTED_VALUE"""),3)</f>
        <v>3</v>
      </c>
      <c r="AV377" s="4">
        <f ca="1">IFERROR(__xludf.DUMMYFUNCTION("""COMPUTED_VALUE"""),3)</f>
        <v>3</v>
      </c>
      <c r="AW377" s="4">
        <f ca="1">IFERROR(__xludf.DUMMYFUNCTION("""COMPUTED_VALUE"""),3)</f>
        <v>3</v>
      </c>
      <c r="AX377" s="4">
        <f ca="1">IFERROR(__xludf.DUMMYFUNCTION("""COMPUTED_VALUE"""),4)</f>
        <v>4</v>
      </c>
      <c r="AY377" s="4">
        <f ca="1">IFERROR(__xludf.DUMMYFUNCTION("""COMPUTED_VALUE"""),4)</f>
        <v>4</v>
      </c>
      <c r="AZ377" s="4">
        <f ca="1">IFERROR(__xludf.DUMMYFUNCTION("""COMPUTED_VALUE"""),4)</f>
        <v>4</v>
      </c>
      <c r="BA377" s="4">
        <f ca="1">IFERROR(__xludf.DUMMYFUNCTION("""COMPUTED_VALUE"""),5)</f>
        <v>5</v>
      </c>
      <c r="BB377" s="4">
        <f ca="1">IFERROR(__xludf.DUMMYFUNCTION("""COMPUTED_VALUE"""),4)</f>
        <v>4</v>
      </c>
      <c r="BC377" s="4">
        <f ca="1">IFERROR(__xludf.DUMMYFUNCTION("""COMPUTED_VALUE"""),4)</f>
        <v>4</v>
      </c>
      <c r="BD377" s="4">
        <f ca="1">IFERROR(__xludf.DUMMYFUNCTION("""COMPUTED_VALUE"""),4)</f>
        <v>4</v>
      </c>
      <c r="BE377" s="4">
        <f ca="1">IFERROR(__xludf.DUMMYFUNCTION("""COMPUTED_VALUE"""),4)</f>
        <v>4</v>
      </c>
      <c r="BF377" s="4">
        <f ca="1">IFERROR(__xludf.DUMMYFUNCTION("""COMPUTED_VALUE"""),4)</f>
        <v>4</v>
      </c>
      <c r="BG377" s="4">
        <f ca="1">IFERROR(__xludf.DUMMYFUNCTION("""COMPUTED_VALUE"""),5)</f>
        <v>5</v>
      </c>
      <c r="BH377" s="4">
        <f ca="1">IFERROR(__xludf.DUMMYFUNCTION("""COMPUTED_VALUE"""),5)</f>
        <v>5</v>
      </c>
      <c r="BI377" s="4">
        <f ca="1">IFERROR(__xludf.DUMMYFUNCTION("""COMPUTED_VALUE"""),5)</f>
        <v>5</v>
      </c>
      <c r="BJ377" s="4">
        <f ca="1">IFERROR(__xludf.DUMMYFUNCTION("""COMPUTED_VALUE"""),5)</f>
        <v>5</v>
      </c>
      <c r="BK377" s="4">
        <f ca="1">IFERROR(__xludf.DUMMYFUNCTION("""COMPUTED_VALUE"""),5)</f>
        <v>5</v>
      </c>
      <c r="BL377" s="4">
        <f ca="1">IFERROR(__xludf.DUMMYFUNCTION("""COMPUTED_VALUE"""),5)</f>
        <v>5</v>
      </c>
      <c r="BM377" s="4">
        <f ca="1">IFERROR(__xludf.DUMMYFUNCTION("""COMPUTED_VALUE"""),5)</f>
        <v>5</v>
      </c>
      <c r="BN377" s="4">
        <f ca="1">IFERROR(__xludf.DUMMYFUNCTION("""COMPUTED_VALUE"""),5)</f>
        <v>5</v>
      </c>
      <c r="BO377" s="4">
        <f ca="1">IFERROR(__xludf.DUMMYFUNCTION("""COMPUTED_VALUE"""),5)</f>
        <v>5</v>
      </c>
      <c r="BP377" s="4">
        <f ca="1">IFERROR(__xludf.DUMMYFUNCTION("""COMPUTED_VALUE"""),5)</f>
        <v>5</v>
      </c>
    </row>
    <row r="378" spans="1:68" ht="13.2" x14ac:dyDescent="0.25">
      <c r="A378" s="4" t="str">
        <f ca="1">IFERROR(__xludf.DUMMYFUNCTION("""COMPUTED_VALUE"""),"2_ABaOnudwvaAiKShBfMiFhCTXXum2w89Yo9FgZqjhtLgDdbcJ8TTj57MP5q0p2QFEaw")</f>
        <v>2_ABaOnudwvaAiKShBfMiFhCTXXum2w89Yo9FgZqjhtLgDdbcJ8TTj57MP5q0p2QFEaw</v>
      </c>
      <c r="B378" s="5">
        <f ca="1">IFERROR(__xludf.DUMMYFUNCTION("""COMPUTED_VALUE"""),45987.6706961574)</f>
        <v>45987.670696157402</v>
      </c>
      <c r="C378" s="4" t="str">
        <f ca="1">IFERROR(__xludf.DUMMYFUNCTION("""COMPUTED_VALUE"""),"Nguyễn Hữu Ngân Uyên")</f>
        <v>Nguyễn Hữu Ngân Uyên</v>
      </c>
      <c r="D378" s="4" t="str">
        <f ca="1">IFERROR(__xludf.DUMMYFUNCTION("""COMPUTED_VALUE"""),"Nữ")</f>
        <v>Nữ</v>
      </c>
      <c r="E378" s="4" t="str">
        <f ca="1">IFERROR(__xludf.DUMMYFUNCTION("""COMPUTED_VALUE"""),"Công ty TNHH Kiểm toán Sao Việt")</f>
        <v>Công ty TNHH Kiểm toán Sao Việt</v>
      </c>
      <c r="F378" s="4" t="str">
        <f ca="1">IFERROR(__xludf.DUMMYFUNCTION("""COMPUTED_VALUE"""),"Đại học")</f>
        <v>Đại học</v>
      </c>
      <c r="G378" s="4" t="str">
        <f ca="1">IFERROR(__xludf.DUMMYFUNCTION("""COMPUTED_VALUE"""),"Từ 3 đến 5 năm")</f>
        <v>Từ 3 đến 5 năm</v>
      </c>
      <c r="H378" s="4" t="str">
        <f ca="1">IFERROR(__xludf.DUMMYFUNCTION("""COMPUTED_VALUE"""),"Trợ lý kiểm toán")</f>
        <v>Trợ lý kiểm toán</v>
      </c>
      <c r="I378" s="4">
        <f ca="1">IFERROR(__xludf.DUMMYFUNCTION("""COMPUTED_VALUE"""),5)</f>
        <v>5</v>
      </c>
      <c r="J378" s="4">
        <f ca="1">IFERROR(__xludf.DUMMYFUNCTION("""COMPUTED_VALUE"""),5)</f>
        <v>5</v>
      </c>
      <c r="K378" s="4">
        <f ca="1">IFERROR(__xludf.DUMMYFUNCTION("""COMPUTED_VALUE"""),4)</f>
        <v>4</v>
      </c>
      <c r="L378" s="4">
        <f ca="1">IFERROR(__xludf.DUMMYFUNCTION("""COMPUTED_VALUE"""),5)</f>
        <v>5</v>
      </c>
      <c r="M378" s="4">
        <f ca="1">IFERROR(__xludf.DUMMYFUNCTION("""COMPUTED_VALUE"""),4)</f>
        <v>4</v>
      </c>
      <c r="N378" s="4">
        <f ca="1">IFERROR(__xludf.DUMMYFUNCTION("""COMPUTED_VALUE"""),3)</f>
        <v>3</v>
      </c>
      <c r="O378" s="4">
        <f ca="1">IFERROR(__xludf.DUMMYFUNCTION("""COMPUTED_VALUE"""),3)</f>
        <v>3</v>
      </c>
      <c r="P378" s="4">
        <f ca="1">IFERROR(__xludf.DUMMYFUNCTION("""COMPUTED_VALUE"""),4)</f>
        <v>4</v>
      </c>
      <c r="Q378" s="4">
        <f ca="1">IFERROR(__xludf.DUMMYFUNCTION("""COMPUTED_VALUE"""),5)</f>
        <v>5</v>
      </c>
      <c r="R378" s="4">
        <f ca="1">IFERROR(__xludf.DUMMYFUNCTION("""COMPUTED_VALUE"""),5)</f>
        <v>5</v>
      </c>
      <c r="S378" s="4">
        <f ca="1">IFERROR(__xludf.DUMMYFUNCTION("""COMPUTED_VALUE"""),5)</f>
        <v>5</v>
      </c>
      <c r="T378" s="4">
        <f ca="1">IFERROR(__xludf.DUMMYFUNCTION("""COMPUTED_VALUE"""),5)</f>
        <v>5</v>
      </c>
      <c r="U378" s="4">
        <f ca="1">IFERROR(__xludf.DUMMYFUNCTION("""COMPUTED_VALUE"""),5)</f>
        <v>5</v>
      </c>
      <c r="V378" s="4">
        <f ca="1">IFERROR(__xludf.DUMMYFUNCTION("""COMPUTED_VALUE"""),5)</f>
        <v>5</v>
      </c>
      <c r="W378" s="4">
        <f ca="1">IFERROR(__xludf.DUMMYFUNCTION("""COMPUTED_VALUE"""),3)</f>
        <v>3</v>
      </c>
      <c r="X378" s="4">
        <f ca="1">IFERROR(__xludf.DUMMYFUNCTION("""COMPUTED_VALUE"""),4)</f>
        <v>4</v>
      </c>
      <c r="Y378" s="4">
        <f ca="1">IFERROR(__xludf.DUMMYFUNCTION("""COMPUTED_VALUE"""),3)</f>
        <v>3</v>
      </c>
      <c r="Z378" s="4">
        <f ca="1">IFERROR(__xludf.DUMMYFUNCTION("""COMPUTED_VALUE"""),4)</f>
        <v>4</v>
      </c>
      <c r="AA378" s="4">
        <f ca="1">IFERROR(__xludf.DUMMYFUNCTION("""COMPUTED_VALUE"""),5)</f>
        <v>5</v>
      </c>
      <c r="AB378" s="4">
        <f ca="1">IFERROR(__xludf.DUMMYFUNCTION("""COMPUTED_VALUE"""),5)</f>
        <v>5</v>
      </c>
      <c r="AC378" s="4">
        <f ca="1">IFERROR(__xludf.DUMMYFUNCTION("""COMPUTED_VALUE"""),5)</f>
        <v>5</v>
      </c>
      <c r="AD378" s="4">
        <f ca="1">IFERROR(__xludf.DUMMYFUNCTION("""COMPUTED_VALUE"""),3)</f>
        <v>3</v>
      </c>
      <c r="AE378" s="4">
        <f ca="1">IFERROR(__xludf.DUMMYFUNCTION("""COMPUTED_VALUE"""),5)</f>
        <v>5</v>
      </c>
      <c r="AF378" s="4">
        <f ca="1">IFERROR(__xludf.DUMMYFUNCTION("""COMPUTED_VALUE"""),5)</f>
        <v>5</v>
      </c>
      <c r="AG378" s="4">
        <f ca="1">IFERROR(__xludf.DUMMYFUNCTION("""COMPUTED_VALUE"""),5)</f>
        <v>5</v>
      </c>
      <c r="AH378" s="4">
        <f ca="1">IFERROR(__xludf.DUMMYFUNCTION("""COMPUTED_VALUE"""),5)</f>
        <v>5</v>
      </c>
      <c r="AI378" s="4">
        <f ca="1">IFERROR(__xludf.DUMMYFUNCTION("""COMPUTED_VALUE"""),4)</f>
        <v>4</v>
      </c>
      <c r="AJ378" s="4">
        <f ca="1">IFERROR(__xludf.DUMMYFUNCTION("""COMPUTED_VALUE"""),5)</f>
        <v>5</v>
      </c>
      <c r="AK378" s="4">
        <f ca="1">IFERROR(__xludf.DUMMYFUNCTION("""COMPUTED_VALUE"""),5)</f>
        <v>5</v>
      </c>
      <c r="AL378" s="4">
        <f ca="1">IFERROR(__xludf.DUMMYFUNCTION("""COMPUTED_VALUE"""),5)</f>
        <v>5</v>
      </c>
      <c r="AM378" s="4">
        <f ca="1">IFERROR(__xludf.DUMMYFUNCTION("""COMPUTED_VALUE"""),5)</f>
        <v>5</v>
      </c>
      <c r="AN378" s="4">
        <f ca="1">IFERROR(__xludf.DUMMYFUNCTION("""COMPUTED_VALUE"""),5)</f>
        <v>5</v>
      </c>
      <c r="AO378" s="4">
        <f ca="1">IFERROR(__xludf.DUMMYFUNCTION("""COMPUTED_VALUE"""),4)</f>
        <v>4</v>
      </c>
      <c r="AP378" s="4">
        <f ca="1">IFERROR(__xludf.DUMMYFUNCTION("""COMPUTED_VALUE"""),4)</f>
        <v>4</v>
      </c>
      <c r="AQ378" s="4">
        <f ca="1">IFERROR(__xludf.DUMMYFUNCTION("""COMPUTED_VALUE"""),5)</f>
        <v>5</v>
      </c>
      <c r="AR378" s="4">
        <f ca="1">IFERROR(__xludf.DUMMYFUNCTION("""COMPUTED_VALUE"""),4)</f>
        <v>4</v>
      </c>
      <c r="AS378" s="4">
        <f ca="1">IFERROR(__xludf.DUMMYFUNCTION("""COMPUTED_VALUE"""),5)</f>
        <v>5</v>
      </c>
      <c r="AT378" s="4">
        <f ca="1">IFERROR(__xludf.DUMMYFUNCTION("""COMPUTED_VALUE"""),3)</f>
        <v>3</v>
      </c>
      <c r="AU378" s="4">
        <f ca="1">IFERROR(__xludf.DUMMYFUNCTION("""COMPUTED_VALUE"""),3)</f>
        <v>3</v>
      </c>
      <c r="AV378" s="4">
        <f ca="1">IFERROR(__xludf.DUMMYFUNCTION("""COMPUTED_VALUE"""),4)</f>
        <v>4</v>
      </c>
      <c r="AW378" s="4">
        <f ca="1">IFERROR(__xludf.DUMMYFUNCTION("""COMPUTED_VALUE"""),4)</f>
        <v>4</v>
      </c>
      <c r="AX378" s="4">
        <f ca="1">IFERROR(__xludf.DUMMYFUNCTION("""COMPUTED_VALUE"""),5)</f>
        <v>5</v>
      </c>
      <c r="AY378" s="4">
        <f ca="1">IFERROR(__xludf.DUMMYFUNCTION("""COMPUTED_VALUE"""),5)</f>
        <v>5</v>
      </c>
      <c r="AZ378" s="4">
        <f ca="1">IFERROR(__xludf.DUMMYFUNCTION("""COMPUTED_VALUE"""),5)</f>
        <v>5</v>
      </c>
      <c r="BA378" s="4">
        <f ca="1">IFERROR(__xludf.DUMMYFUNCTION("""COMPUTED_VALUE"""),5)</f>
        <v>5</v>
      </c>
      <c r="BB378" s="4">
        <f ca="1">IFERROR(__xludf.DUMMYFUNCTION("""COMPUTED_VALUE"""),5)</f>
        <v>5</v>
      </c>
      <c r="BC378" s="4">
        <f ca="1">IFERROR(__xludf.DUMMYFUNCTION("""COMPUTED_VALUE"""),4)</f>
        <v>4</v>
      </c>
      <c r="BD378" s="4">
        <f ca="1">IFERROR(__xludf.DUMMYFUNCTION("""COMPUTED_VALUE"""),3)</f>
        <v>3</v>
      </c>
      <c r="BE378" s="4">
        <f ca="1">IFERROR(__xludf.DUMMYFUNCTION("""COMPUTED_VALUE"""),4)</f>
        <v>4</v>
      </c>
      <c r="BF378" s="4">
        <f ca="1">IFERROR(__xludf.DUMMYFUNCTION("""COMPUTED_VALUE"""),4)</f>
        <v>4</v>
      </c>
      <c r="BG378" s="4">
        <f ca="1">IFERROR(__xludf.DUMMYFUNCTION("""COMPUTED_VALUE"""),4)</f>
        <v>4</v>
      </c>
      <c r="BH378" s="4">
        <f ca="1">IFERROR(__xludf.DUMMYFUNCTION("""COMPUTED_VALUE"""),4)</f>
        <v>4</v>
      </c>
      <c r="BI378" s="4">
        <f ca="1">IFERROR(__xludf.DUMMYFUNCTION("""COMPUTED_VALUE"""),4)</f>
        <v>4</v>
      </c>
      <c r="BJ378" s="4">
        <f ca="1">IFERROR(__xludf.DUMMYFUNCTION("""COMPUTED_VALUE"""),5)</f>
        <v>5</v>
      </c>
      <c r="BK378" s="4">
        <f ca="1">IFERROR(__xludf.DUMMYFUNCTION("""COMPUTED_VALUE"""),4)</f>
        <v>4</v>
      </c>
      <c r="BL378" s="4">
        <f ca="1">IFERROR(__xludf.DUMMYFUNCTION("""COMPUTED_VALUE"""),5)</f>
        <v>5</v>
      </c>
      <c r="BM378" s="4">
        <f ca="1">IFERROR(__xludf.DUMMYFUNCTION("""COMPUTED_VALUE"""),5)</f>
        <v>5</v>
      </c>
      <c r="BN378" s="4">
        <f ca="1">IFERROR(__xludf.DUMMYFUNCTION("""COMPUTED_VALUE"""),5)</f>
        <v>5</v>
      </c>
      <c r="BO378" s="4">
        <f ca="1">IFERROR(__xludf.DUMMYFUNCTION("""COMPUTED_VALUE"""),5)</f>
        <v>5</v>
      </c>
      <c r="BP378" s="4">
        <f ca="1">IFERROR(__xludf.DUMMYFUNCTION("""COMPUTED_VALUE"""),5)</f>
        <v>5</v>
      </c>
    </row>
    <row r="379" spans="1:68" ht="13.2" x14ac:dyDescent="0.25">
      <c r="A379" s="4" t="str">
        <f ca="1">IFERROR(__xludf.DUMMYFUNCTION("""COMPUTED_VALUE"""),"2_ABaOnudpHMHZx2hQqFFuf85APU0QppZZu6uw3IxB_b_l3TvmI6spk_p2hM4GmTE7YA")</f>
        <v>2_ABaOnudpHMHZx2hQqFFuf85APU0QppZZu6uw3IxB_b_l3TvmI6spk_p2hM4GmTE7YA</v>
      </c>
      <c r="B379" s="5">
        <f ca="1">IFERROR(__xludf.DUMMYFUNCTION("""COMPUTED_VALUE"""),45987.6720364004)</f>
        <v>45987.6720364004</v>
      </c>
      <c r="C379" s="4" t="str">
        <f ca="1">IFERROR(__xludf.DUMMYFUNCTION("""COMPUTED_VALUE"""),"Vũ Xuân Hùng")</f>
        <v>Vũ Xuân Hùng</v>
      </c>
      <c r="D379" s="4" t="str">
        <f ca="1">IFERROR(__xludf.DUMMYFUNCTION("""COMPUTED_VALUE"""),"Nam")</f>
        <v>Nam</v>
      </c>
      <c r="E379" s="4" t="str">
        <f ca="1">IFERROR(__xludf.DUMMYFUNCTION("""COMPUTED_VALUE"""),"Công ty TNHH Kiểm toán CPA VIETNAM")</f>
        <v>Công ty TNHH Kiểm toán CPA VIETNAM</v>
      </c>
      <c r="F379" s="4" t="str">
        <f ca="1">IFERROR(__xludf.DUMMYFUNCTION("""COMPUTED_VALUE"""),"Sau đại học, Chứng chỉ Kiểm toán viên")</f>
        <v>Sau đại học, Chứng chỉ Kiểm toán viên</v>
      </c>
      <c r="G379" s="4" t="str">
        <f ca="1">IFERROR(__xludf.DUMMYFUNCTION("""COMPUTED_VALUE"""),"Trên 10 đến 15 năm")</f>
        <v>Trên 10 đến 15 năm</v>
      </c>
      <c r="H379" s="4" t="str">
        <f ca="1">IFERROR(__xludf.DUMMYFUNCTION("""COMPUTED_VALUE"""),"Kiểm toán viên/Trưởng nhóm")</f>
        <v>Kiểm toán viên/Trưởng nhóm</v>
      </c>
      <c r="I379" s="4">
        <f ca="1">IFERROR(__xludf.DUMMYFUNCTION("""COMPUTED_VALUE"""),5)</f>
        <v>5</v>
      </c>
      <c r="J379" s="4">
        <f ca="1">IFERROR(__xludf.DUMMYFUNCTION("""COMPUTED_VALUE"""),5)</f>
        <v>5</v>
      </c>
      <c r="K379" s="4">
        <f ca="1">IFERROR(__xludf.DUMMYFUNCTION("""COMPUTED_VALUE"""),5)</f>
        <v>5</v>
      </c>
      <c r="L379" s="4">
        <f ca="1">IFERROR(__xludf.DUMMYFUNCTION("""COMPUTED_VALUE"""),5)</f>
        <v>5</v>
      </c>
      <c r="M379" s="4">
        <f ca="1">IFERROR(__xludf.DUMMYFUNCTION("""COMPUTED_VALUE"""),5)</f>
        <v>5</v>
      </c>
      <c r="N379" s="4">
        <f ca="1">IFERROR(__xludf.DUMMYFUNCTION("""COMPUTED_VALUE"""),5)</f>
        <v>5</v>
      </c>
      <c r="O379" s="4">
        <f ca="1">IFERROR(__xludf.DUMMYFUNCTION("""COMPUTED_VALUE"""),3)</f>
        <v>3</v>
      </c>
      <c r="P379" s="4">
        <f ca="1">IFERROR(__xludf.DUMMYFUNCTION("""COMPUTED_VALUE"""),5)</f>
        <v>5</v>
      </c>
      <c r="Q379" s="4">
        <f ca="1">IFERROR(__xludf.DUMMYFUNCTION("""COMPUTED_VALUE"""),5)</f>
        <v>5</v>
      </c>
      <c r="R379" s="4">
        <f ca="1">IFERROR(__xludf.DUMMYFUNCTION("""COMPUTED_VALUE"""),4)</f>
        <v>4</v>
      </c>
      <c r="S379" s="4">
        <f ca="1">IFERROR(__xludf.DUMMYFUNCTION("""COMPUTED_VALUE"""),5)</f>
        <v>5</v>
      </c>
      <c r="T379" s="4">
        <f ca="1">IFERROR(__xludf.DUMMYFUNCTION("""COMPUTED_VALUE"""),5)</f>
        <v>5</v>
      </c>
      <c r="U379" s="4">
        <f ca="1">IFERROR(__xludf.DUMMYFUNCTION("""COMPUTED_VALUE"""),4)</f>
        <v>4</v>
      </c>
      <c r="V379" s="4">
        <f ca="1">IFERROR(__xludf.DUMMYFUNCTION("""COMPUTED_VALUE"""),4)</f>
        <v>4</v>
      </c>
      <c r="W379" s="4">
        <f ca="1">IFERROR(__xludf.DUMMYFUNCTION("""COMPUTED_VALUE"""),5)</f>
        <v>5</v>
      </c>
      <c r="X379" s="4">
        <f ca="1">IFERROR(__xludf.DUMMYFUNCTION("""COMPUTED_VALUE"""),5)</f>
        <v>5</v>
      </c>
      <c r="Y379" s="4">
        <f ca="1">IFERROR(__xludf.DUMMYFUNCTION("""COMPUTED_VALUE"""),5)</f>
        <v>5</v>
      </c>
      <c r="Z379" s="4">
        <f ca="1">IFERROR(__xludf.DUMMYFUNCTION("""COMPUTED_VALUE"""),5)</f>
        <v>5</v>
      </c>
      <c r="AA379" s="4">
        <f ca="1">IFERROR(__xludf.DUMMYFUNCTION("""COMPUTED_VALUE"""),5)</f>
        <v>5</v>
      </c>
      <c r="AB379" s="4">
        <f ca="1">IFERROR(__xludf.DUMMYFUNCTION("""COMPUTED_VALUE"""),4)</f>
        <v>4</v>
      </c>
      <c r="AC379" s="4">
        <f ca="1">IFERROR(__xludf.DUMMYFUNCTION("""COMPUTED_VALUE"""),5)</f>
        <v>5</v>
      </c>
      <c r="AD379" s="4">
        <f ca="1">IFERROR(__xludf.DUMMYFUNCTION("""COMPUTED_VALUE"""),4)</f>
        <v>4</v>
      </c>
      <c r="AE379" s="4">
        <f ca="1">IFERROR(__xludf.DUMMYFUNCTION("""COMPUTED_VALUE"""),4)</f>
        <v>4</v>
      </c>
      <c r="AF379" s="4">
        <f ca="1">IFERROR(__xludf.DUMMYFUNCTION("""COMPUTED_VALUE"""),4)</f>
        <v>4</v>
      </c>
      <c r="AG379" s="4">
        <f ca="1">IFERROR(__xludf.DUMMYFUNCTION("""COMPUTED_VALUE"""),4)</f>
        <v>4</v>
      </c>
      <c r="AH379" s="4">
        <f ca="1">IFERROR(__xludf.DUMMYFUNCTION("""COMPUTED_VALUE"""),4)</f>
        <v>4</v>
      </c>
      <c r="AI379" s="4">
        <f ca="1">IFERROR(__xludf.DUMMYFUNCTION("""COMPUTED_VALUE"""),4)</f>
        <v>4</v>
      </c>
      <c r="AJ379" s="4">
        <f ca="1">IFERROR(__xludf.DUMMYFUNCTION("""COMPUTED_VALUE"""),5)</f>
        <v>5</v>
      </c>
      <c r="AK379" s="4">
        <f ca="1">IFERROR(__xludf.DUMMYFUNCTION("""COMPUTED_VALUE"""),5)</f>
        <v>5</v>
      </c>
      <c r="AL379" s="4">
        <f ca="1">IFERROR(__xludf.DUMMYFUNCTION("""COMPUTED_VALUE"""),5)</f>
        <v>5</v>
      </c>
      <c r="AM379" s="4">
        <f ca="1">IFERROR(__xludf.DUMMYFUNCTION("""COMPUTED_VALUE"""),5)</f>
        <v>5</v>
      </c>
      <c r="AN379" s="4">
        <f ca="1">IFERROR(__xludf.DUMMYFUNCTION("""COMPUTED_VALUE"""),5)</f>
        <v>5</v>
      </c>
      <c r="AO379" s="4">
        <f ca="1">IFERROR(__xludf.DUMMYFUNCTION("""COMPUTED_VALUE"""),4)</f>
        <v>4</v>
      </c>
      <c r="AP379" s="4">
        <f ca="1">IFERROR(__xludf.DUMMYFUNCTION("""COMPUTED_VALUE"""),4)</f>
        <v>4</v>
      </c>
      <c r="AQ379" s="4">
        <f ca="1">IFERROR(__xludf.DUMMYFUNCTION("""COMPUTED_VALUE"""),4)</f>
        <v>4</v>
      </c>
      <c r="AR379" s="4">
        <f ca="1">IFERROR(__xludf.DUMMYFUNCTION("""COMPUTED_VALUE"""),5)</f>
        <v>5</v>
      </c>
      <c r="AS379" s="4">
        <f ca="1">IFERROR(__xludf.DUMMYFUNCTION("""COMPUTED_VALUE"""),5)</f>
        <v>5</v>
      </c>
      <c r="AT379" s="4">
        <f ca="1">IFERROR(__xludf.DUMMYFUNCTION("""COMPUTED_VALUE"""),5)</f>
        <v>5</v>
      </c>
      <c r="AU379" s="4">
        <f ca="1">IFERROR(__xludf.DUMMYFUNCTION("""COMPUTED_VALUE"""),4)</f>
        <v>4</v>
      </c>
      <c r="AV379" s="4">
        <f ca="1">IFERROR(__xludf.DUMMYFUNCTION("""COMPUTED_VALUE"""),4)</f>
        <v>4</v>
      </c>
      <c r="AW379" s="4">
        <f ca="1">IFERROR(__xludf.DUMMYFUNCTION("""COMPUTED_VALUE"""),5)</f>
        <v>5</v>
      </c>
      <c r="AX379" s="4">
        <f ca="1">IFERROR(__xludf.DUMMYFUNCTION("""COMPUTED_VALUE"""),5)</f>
        <v>5</v>
      </c>
      <c r="AY379" s="4">
        <f ca="1">IFERROR(__xludf.DUMMYFUNCTION("""COMPUTED_VALUE"""),5)</f>
        <v>5</v>
      </c>
      <c r="AZ379" s="4">
        <f ca="1">IFERROR(__xludf.DUMMYFUNCTION("""COMPUTED_VALUE"""),5)</f>
        <v>5</v>
      </c>
      <c r="BA379" s="4">
        <f ca="1">IFERROR(__xludf.DUMMYFUNCTION("""COMPUTED_VALUE"""),5)</f>
        <v>5</v>
      </c>
      <c r="BB379" s="4">
        <f ca="1">IFERROR(__xludf.DUMMYFUNCTION("""COMPUTED_VALUE"""),5)</f>
        <v>5</v>
      </c>
      <c r="BC379" s="4">
        <f ca="1">IFERROR(__xludf.DUMMYFUNCTION("""COMPUTED_VALUE"""),5)</f>
        <v>5</v>
      </c>
      <c r="BD379" s="4">
        <f ca="1">IFERROR(__xludf.DUMMYFUNCTION("""COMPUTED_VALUE"""),5)</f>
        <v>5</v>
      </c>
      <c r="BE379" s="4">
        <f ca="1">IFERROR(__xludf.DUMMYFUNCTION("""COMPUTED_VALUE"""),5)</f>
        <v>5</v>
      </c>
      <c r="BF379" s="4">
        <f ca="1">IFERROR(__xludf.DUMMYFUNCTION("""COMPUTED_VALUE"""),5)</f>
        <v>5</v>
      </c>
      <c r="BG379" s="4">
        <f ca="1">IFERROR(__xludf.DUMMYFUNCTION("""COMPUTED_VALUE"""),5)</f>
        <v>5</v>
      </c>
      <c r="BH379" s="4">
        <f ca="1">IFERROR(__xludf.DUMMYFUNCTION("""COMPUTED_VALUE"""),5)</f>
        <v>5</v>
      </c>
      <c r="BI379" s="4">
        <f ca="1">IFERROR(__xludf.DUMMYFUNCTION("""COMPUTED_VALUE"""),5)</f>
        <v>5</v>
      </c>
      <c r="BJ379" s="4">
        <f ca="1">IFERROR(__xludf.DUMMYFUNCTION("""COMPUTED_VALUE"""),5)</f>
        <v>5</v>
      </c>
      <c r="BK379" s="4">
        <f ca="1">IFERROR(__xludf.DUMMYFUNCTION("""COMPUTED_VALUE"""),5)</f>
        <v>5</v>
      </c>
      <c r="BL379" s="4">
        <f ca="1">IFERROR(__xludf.DUMMYFUNCTION("""COMPUTED_VALUE"""),5)</f>
        <v>5</v>
      </c>
      <c r="BM379" s="4">
        <f ca="1">IFERROR(__xludf.DUMMYFUNCTION("""COMPUTED_VALUE"""),5)</f>
        <v>5</v>
      </c>
      <c r="BN379" s="4">
        <f ca="1">IFERROR(__xludf.DUMMYFUNCTION("""COMPUTED_VALUE"""),5)</f>
        <v>5</v>
      </c>
      <c r="BO379" s="4">
        <f ca="1">IFERROR(__xludf.DUMMYFUNCTION("""COMPUTED_VALUE"""),5)</f>
        <v>5</v>
      </c>
      <c r="BP379" s="4">
        <f ca="1">IFERROR(__xludf.DUMMYFUNCTION("""COMPUTED_VALUE"""),5)</f>
        <v>5</v>
      </c>
    </row>
    <row r="380" spans="1:68" ht="13.2" x14ac:dyDescent="0.25">
      <c r="A380" s="4" t="str">
        <f ca="1">IFERROR(__xludf.DUMMYFUNCTION("""COMPUTED_VALUE"""),"2_ABaOnufk7xZB8zUWsVgzW8BGiVBK-tdnxfms2fvqn6_S5hLX4SwQjgsN08m463wbkQ")</f>
        <v>2_ABaOnufk7xZB8zUWsVgzW8BGiVBK-tdnxfms2fvqn6_S5hLX4SwQjgsN08m463wbkQ</v>
      </c>
      <c r="B380" s="5">
        <f ca="1">IFERROR(__xludf.DUMMYFUNCTION("""COMPUTED_VALUE"""),45987.6726752662)</f>
        <v>45987.6726752662</v>
      </c>
      <c r="C380" s="4" t="str">
        <f ca="1">IFERROR(__xludf.DUMMYFUNCTION("""COMPUTED_VALUE"""),"NGUYỄN PHÚC HƯNG")</f>
        <v>NGUYỄN PHÚC HƯNG</v>
      </c>
      <c r="D380" s="4" t="str">
        <f ca="1">IFERROR(__xludf.DUMMYFUNCTION("""COMPUTED_VALUE"""),"Nam")</f>
        <v>Nam</v>
      </c>
      <c r="E380" s="4" t="str">
        <f ca="1">IFERROR(__xludf.DUMMYFUNCTION("""COMPUTED_VALUE"""),"CÔNG TY TNHH KIỂM TOÁN - THẨM ĐỊNH GIÁ VÀ TƯ VẤN ECOVIS AFA VIỆT NAM")</f>
        <v>CÔNG TY TNHH KIỂM TOÁN - THẨM ĐỊNH GIÁ VÀ TƯ VẤN ECOVIS AFA VIỆT NAM</v>
      </c>
      <c r="F380" s="4" t="str">
        <f ca="1">IFERROR(__xludf.DUMMYFUNCTION("""COMPUTED_VALUE"""),"Đại học")</f>
        <v>Đại học</v>
      </c>
      <c r="G380" s="4" t="str">
        <f ca="1">IFERROR(__xludf.DUMMYFUNCTION("""COMPUTED_VALUE"""),"Từ 3 đến 5 năm")</f>
        <v>Từ 3 đến 5 năm</v>
      </c>
      <c r="H380" s="4" t="str">
        <f ca="1">IFERROR(__xludf.DUMMYFUNCTION("""COMPUTED_VALUE"""),"Trợ lý kiểm toán")</f>
        <v>Trợ lý kiểm toán</v>
      </c>
      <c r="I380" s="4">
        <f ca="1">IFERROR(__xludf.DUMMYFUNCTION("""COMPUTED_VALUE"""),5)</f>
        <v>5</v>
      </c>
      <c r="J380" s="4">
        <f ca="1">IFERROR(__xludf.DUMMYFUNCTION("""COMPUTED_VALUE"""),4)</f>
        <v>4</v>
      </c>
      <c r="K380" s="4">
        <f ca="1">IFERROR(__xludf.DUMMYFUNCTION("""COMPUTED_VALUE"""),5)</f>
        <v>5</v>
      </c>
      <c r="L380" s="4">
        <f ca="1">IFERROR(__xludf.DUMMYFUNCTION("""COMPUTED_VALUE"""),5)</f>
        <v>5</v>
      </c>
      <c r="M380" s="4">
        <f ca="1">IFERROR(__xludf.DUMMYFUNCTION("""COMPUTED_VALUE"""),4)</f>
        <v>4</v>
      </c>
      <c r="N380" s="4">
        <f ca="1">IFERROR(__xludf.DUMMYFUNCTION("""COMPUTED_VALUE"""),4)</f>
        <v>4</v>
      </c>
      <c r="O380" s="4">
        <f ca="1">IFERROR(__xludf.DUMMYFUNCTION("""COMPUTED_VALUE"""),3)</f>
        <v>3</v>
      </c>
      <c r="P380" s="4">
        <f ca="1">IFERROR(__xludf.DUMMYFUNCTION("""COMPUTED_VALUE"""),5)</f>
        <v>5</v>
      </c>
      <c r="Q380" s="4">
        <f ca="1">IFERROR(__xludf.DUMMYFUNCTION("""COMPUTED_VALUE"""),5)</f>
        <v>5</v>
      </c>
      <c r="R380" s="4">
        <f ca="1">IFERROR(__xludf.DUMMYFUNCTION("""COMPUTED_VALUE"""),5)</f>
        <v>5</v>
      </c>
      <c r="S380" s="4">
        <f ca="1">IFERROR(__xludf.DUMMYFUNCTION("""COMPUTED_VALUE"""),4)</f>
        <v>4</v>
      </c>
      <c r="T380" s="4">
        <f ca="1">IFERROR(__xludf.DUMMYFUNCTION("""COMPUTED_VALUE"""),4)</f>
        <v>4</v>
      </c>
      <c r="U380" s="4">
        <f ca="1">IFERROR(__xludf.DUMMYFUNCTION("""COMPUTED_VALUE"""),4)</f>
        <v>4</v>
      </c>
      <c r="V380" s="4">
        <f ca="1">IFERROR(__xludf.DUMMYFUNCTION("""COMPUTED_VALUE"""),5)</f>
        <v>5</v>
      </c>
      <c r="W380" s="4">
        <f ca="1">IFERROR(__xludf.DUMMYFUNCTION("""COMPUTED_VALUE"""),4)</f>
        <v>4</v>
      </c>
      <c r="X380" s="4">
        <f ca="1">IFERROR(__xludf.DUMMYFUNCTION("""COMPUTED_VALUE"""),5)</f>
        <v>5</v>
      </c>
      <c r="Y380" s="4">
        <f ca="1">IFERROR(__xludf.DUMMYFUNCTION("""COMPUTED_VALUE"""),2)</f>
        <v>2</v>
      </c>
      <c r="Z380" s="4">
        <f ca="1">IFERROR(__xludf.DUMMYFUNCTION("""COMPUTED_VALUE"""),4)</f>
        <v>4</v>
      </c>
      <c r="AA380" s="4">
        <f ca="1">IFERROR(__xludf.DUMMYFUNCTION("""COMPUTED_VALUE"""),3)</f>
        <v>3</v>
      </c>
      <c r="AB380" s="4">
        <f ca="1">IFERROR(__xludf.DUMMYFUNCTION("""COMPUTED_VALUE"""),4)</f>
        <v>4</v>
      </c>
      <c r="AC380" s="4">
        <f ca="1">IFERROR(__xludf.DUMMYFUNCTION("""COMPUTED_VALUE"""),5)</f>
        <v>5</v>
      </c>
      <c r="AD380" s="4">
        <f ca="1">IFERROR(__xludf.DUMMYFUNCTION("""COMPUTED_VALUE"""),4)</f>
        <v>4</v>
      </c>
      <c r="AE380" s="4">
        <f ca="1">IFERROR(__xludf.DUMMYFUNCTION("""COMPUTED_VALUE"""),5)</f>
        <v>5</v>
      </c>
      <c r="AF380" s="4">
        <f ca="1">IFERROR(__xludf.DUMMYFUNCTION("""COMPUTED_VALUE"""),5)</f>
        <v>5</v>
      </c>
      <c r="AG380" s="4">
        <f ca="1">IFERROR(__xludf.DUMMYFUNCTION("""COMPUTED_VALUE"""),4)</f>
        <v>4</v>
      </c>
      <c r="AH380" s="4">
        <f ca="1">IFERROR(__xludf.DUMMYFUNCTION("""COMPUTED_VALUE"""),4)</f>
        <v>4</v>
      </c>
      <c r="AI380" s="4">
        <f ca="1">IFERROR(__xludf.DUMMYFUNCTION("""COMPUTED_VALUE"""),4)</f>
        <v>4</v>
      </c>
      <c r="AJ380" s="4">
        <f ca="1">IFERROR(__xludf.DUMMYFUNCTION("""COMPUTED_VALUE"""),4)</f>
        <v>4</v>
      </c>
      <c r="AK380" s="4">
        <f ca="1">IFERROR(__xludf.DUMMYFUNCTION("""COMPUTED_VALUE"""),5)</f>
        <v>5</v>
      </c>
      <c r="AL380" s="4">
        <f ca="1">IFERROR(__xludf.DUMMYFUNCTION("""COMPUTED_VALUE"""),4)</f>
        <v>4</v>
      </c>
      <c r="AM380" s="4">
        <f ca="1">IFERROR(__xludf.DUMMYFUNCTION("""COMPUTED_VALUE"""),4)</f>
        <v>4</v>
      </c>
      <c r="AN380" s="4">
        <f ca="1">IFERROR(__xludf.DUMMYFUNCTION("""COMPUTED_VALUE"""),5)</f>
        <v>5</v>
      </c>
      <c r="AO380" s="4">
        <f ca="1">IFERROR(__xludf.DUMMYFUNCTION("""COMPUTED_VALUE"""),5)</f>
        <v>5</v>
      </c>
      <c r="AP380" s="4">
        <f ca="1">IFERROR(__xludf.DUMMYFUNCTION("""COMPUTED_VALUE"""),4)</f>
        <v>4</v>
      </c>
      <c r="AQ380" s="4">
        <f ca="1">IFERROR(__xludf.DUMMYFUNCTION("""COMPUTED_VALUE"""),5)</f>
        <v>5</v>
      </c>
      <c r="AR380" s="4">
        <f ca="1">IFERROR(__xludf.DUMMYFUNCTION("""COMPUTED_VALUE"""),3)</f>
        <v>3</v>
      </c>
      <c r="AS380" s="4">
        <f ca="1">IFERROR(__xludf.DUMMYFUNCTION("""COMPUTED_VALUE"""),4)</f>
        <v>4</v>
      </c>
      <c r="AT380" s="4">
        <f ca="1">IFERROR(__xludf.DUMMYFUNCTION("""COMPUTED_VALUE"""),4)</f>
        <v>4</v>
      </c>
      <c r="AU380" s="4">
        <f ca="1">IFERROR(__xludf.DUMMYFUNCTION("""COMPUTED_VALUE"""),4)</f>
        <v>4</v>
      </c>
      <c r="AV380" s="4">
        <f ca="1">IFERROR(__xludf.DUMMYFUNCTION("""COMPUTED_VALUE"""),5)</f>
        <v>5</v>
      </c>
      <c r="AW380" s="4">
        <f ca="1">IFERROR(__xludf.DUMMYFUNCTION("""COMPUTED_VALUE"""),4)</f>
        <v>4</v>
      </c>
      <c r="AX380" s="4">
        <f ca="1">IFERROR(__xludf.DUMMYFUNCTION("""COMPUTED_VALUE"""),4)</f>
        <v>4</v>
      </c>
      <c r="AY380" s="4">
        <f ca="1">IFERROR(__xludf.DUMMYFUNCTION("""COMPUTED_VALUE"""),5)</f>
        <v>5</v>
      </c>
      <c r="AZ380" s="4">
        <f ca="1">IFERROR(__xludf.DUMMYFUNCTION("""COMPUTED_VALUE"""),4)</f>
        <v>4</v>
      </c>
      <c r="BA380" s="4">
        <f ca="1">IFERROR(__xludf.DUMMYFUNCTION("""COMPUTED_VALUE"""),4)</f>
        <v>4</v>
      </c>
      <c r="BB380" s="4">
        <f ca="1">IFERROR(__xludf.DUMMYFUNCTION("""COMPUTED_VALUE"""),4)</f>
        <v>4</v>
      </c>
      <c r="BC380" s="4">
        <f ca="1">IFERROR(__xludf.DUMMYFUNCTION("""COMPUTED_VALUE"""),5)</f>
        <v>5</v>
      </c>
      <c r="BD380" s="4">
        <f ca="1">IFERROR(__xludf.DUMMYFUNCTION("""COMPUTED_VALUE"""),5)</f>
        <v>5</v>
      </c>
      <c r="BE380" s="4">
        <f ca="1">IFERROR(__xludf.DUMMYFUNCTION("""COMPUTED_VALUE"""),4)</f>
        <v>4</v>
      </c>
      <c r="BF380" s="4">
        <f ca="1">IFERROR(__xludf.DUMMYFUNCTION("""COMPUTED_VALUE"""),4)</f>
        <v>4</v>
      </c>
      <c r="BG380" s="4">
        <f ca="1">IFERROR(__xludf.DUMMYFUNCTION("""COMPUTED_VALUE"""),4)</f>
        <v>4</v>
      </c>
      <c r="BH380" s="4">
        <f ca="1">IFERROR(__xludf.DUMMYFUNCTION("""COMPUTED_VALUE"""),4)</f>
        <v>4</v>
      </c>
      <c r="BI380" s="4">
        <f ca="1">IFERROR(__xludf.DUMMYFUNCTION("""COMPUTED_VALUE"""),5)</f>
        <v>5</v>
      </c>
      <c r="BJ380" s="4">
        <f ca="1">IFERROR(__xludf.DUMMYFUNCTION("""COMPUTED_VALUE"""),5)</f>
        <v>5</v>
      </c>
      <c r="BK380" s="4">
        <f ca="1">IFERROR(__xludf.DUMMYFUNCTION("""COMPUTED_VALUE"""),4)</f>
        <v>4</v>
      </c>
      <c r="BL380" s="4">
        <f ca="1">IFERROR(__xludf.DUMMYFUNCTION("""COMPUTED_VALUE"""),4)</f>
        <v>4</v>
      </c>
      <c r="BM380" s="4">
        <f ca="1">IFERROR(__xludf.DUMMYFUNCTION("""COMPUTED_VALUE"""),5)</f>
        <v>5</v>
      </c>
      <c r="BN380" s="4">
        <f ca="1">IFERROR(__xludf.DUMMYFUNCTION("""COMPUTED_VALUE"""),5)</f>
        <v>5</v>
      </c>
      <c r="BO380" s="4">
        <f ca="1">IFERROR(__xludf.DUMMYFUNCTION("""COMPUTED_VALUE"""),5)</f>
        <v>5</v>
      </c>
      <c r="BP380" s="4">
        <f ca="1">IFERROR(__xludf.DUMMYFUNCTION("""COMPUTED_VALUE"""),4)</f>
        <v>4</v>
      </c>
    </row>
    <row r="381" spans="1:68" ht="13.2" x14ac:dyDescent="0.25">
      <c r="A381" s="4" t="str">
        <f ca="1">IFERROR(__xludf.DUMMYFUNCTION("""COMPUTED_VALUE"""),"2_ABaOnucfMp-l3mswDAhQJIYQX9BodAxKHsdXzQxd4vDzofAwcJzH_BIeUnmZPK7eug")</f>
        <v>2_ABaOnucfMp-l3mswDAhQJIYQX9BodAxKHsdXzQxd4vDzofAwcJzH_BIeUnmZPK7eug</v>
      </c>
      <c r="B381" s="5">
        <f ca="1">IFERROR(__xludf.DUMMYFUNCTION("""COMPUTED_VALUE"""),45987.6735062037)</f>
        <v>45987.673506203697</v>
      </c>
      <c r="C381" s="4" t="str">
        <f ca="1">IFERROR(__xludf.DUMMYFUNCTION("""COMPUTED_VALUE"""),"Nguyễn Hạnh Dung")</f>
        <v>Nguyễn Hạnh Dung</v>
      </c>
      <c r="D381" s="4" t="str">
        <f ca="1">IFERROR(__xludf.DUMMYFUNCTION("""COMPUTED_VALUE"""),"Nữ")</f>
        <v>Nữ</v>
      </c>
      <c r="E381" s="4" t="str">
        <f ca="1">IFERROR(__xludf.DUMMYFUNCTION("""COMPUTED_VALUE"""),"Công ty TNHH Kiểm toán CPA VIETNAM")</f>
        <v>Công ty TNHH Kiểm toán CPA VIETNAM</v>
      </c>
      <c r="F381" s="4" t="str">
        <f ca="1">IFERROR(__xludf.DUMMYFUNCTION("""COMPUTED_VALUE"""),"Đại học")</f>
        <v>Đại học</v>
      </c>
      <c r="G381" s="4" t="str">
        <f ca="1">IFERROR(__xludf.DUMMYFUNCTION("""COMPUTED_VALUE"""),"Từ 3 đến 5 năm")</f>
        <v>Từ 3 đến 5 năm</v>
      </c>
      <c r="H381" s="4" t="str">
        <f ca="1">IFERROR(__xludf.DUMMYFUNCTION("""COMPUTED_VALUE"""),"Trợ lý kiểm toán")</f>
        <v>Trợ lý kiểm toán</v>
      </c>
      <c r="I381" s="4">
        <f ca="1">IFERROR(__xludf.DUMMYFUNCTION("""COMPUTED_VALUE"""),5)</f>
        <v>5</v>
      </c>
      <c r="J381" s="4">
        <f ca="1">IFERROR(__xludf.DUMMYFUNCTION("""COMPUTED_VALUE"""),5)</f>
        <v>5</v>
      </c>
      <c r="K381" s="4">
        <f ca="1">IFERROR(__xludf.DUMMYFUNCTION("""COMPUTED_VALUE"""),5)</f>
        <v>5</v>
      </c>
      <c r="L381" s="4">
        <f ca="1">IFERROR(__xludf.DUMMYFUNCTION("""COMPUTED_VALUE"""),5)</f>
        <v>5</v>
      </c>
      <c r="M381" s="4">
        <f ca="1">IFERROR(__xludf.DUMMYFUNCTION("""COMPUTED_VALUE"""),5)</f>
        <v>5</v>
      </c>
      <c r="N381" s="4">
        <f ca="1">IFERROR(__xludf.DUMMYFUNCTION("""COMPUTED_VALUE"""),5)</f>
        <v>5</v>
      </c>
      <c r="O381" s="4">
        <f ca="1">IFERROR(__xludf.DUMMYFUNCTION("""COMPUTED_VALUE"""),4)</f>
        <v>4</v>
      </c>
      <c r="P381" s="4">
        <f ca="1">IFERROR(__xludf.DUMMYFUNCTION("""COMPUTED_VALUE"""),5)</f>
        <v>5</v>
      </c>
      <c r="Q381" s="4">
        <f ca="1">IFERROR(__xludf.DUMMYFUNCTION("""COMPUTED_VALUE"""),5)</f>
        <v>5</v>
      </c>
      <c r="R381" s="4">
        <f ca="1">IFERROR(__xludf.DUMMYFUNCTION("""COMPUTED_VALUE"""),5)</f>
        <v>5</v>
      </c>
      <c r="S381" s="4">
        <f ca="1">IFERROR(__xludf.DUMMYFUNCTION("""COMPUTED_VALUE"""),5)</f>
        <v>5</v>
      </c>
      <c r="T381" s="4">
        <f ca="1">IFERROR(__xludf.DUMMYFUNCTION("""COMPUTED_VALUE"""),5)</f>
        <v>5</v>
      </c>
      <c r="U381" s="4">
        <f ca="1">IFERROR(__xludf.DUMMYFUNCTION("""COMPUTED_VALUE"""),4)</f>
        <v>4</v>
      </c>
      <c r="V381" s="4">
        <f ca="1">IFERROR(__xludf.DUMMYFUNCTION("""COMPUTED_VALUE"""),4)</f>
        <v>4</v>
      </c>
      <c r="W381" s="4">
        <f ca="1">IFERROR(__xludf.DUMMYFUNCTION("""COMPUTED_VALUE"""),4)</f>
        <v>4</v>
      </c>
      <c r="X381" s="4">
        <f ca="1">IFERROR(__xludf.DUMMYFUNCTION("""COMPUTED_VALUE"""),4)</f>
        <v>4</v>
      </c>
      <c r="Y381" s="4">
        <f ca="1">IFERROR(__xludf.DUMMYFUNCTION("""COMPUTED_VALUE"""),5)</f>
        <v>5</v>
      </c>
      <c r="Z381" s="4">
        <f ca="1">IFERROR(__xludf.DUMMYFUNCTION("""COMPUTED_VALUE"""),4)</f>
        <v>4</v>
      </c>
      <c r="AA381" s="4">
        <f ca="1">IFERROR(__xludf.DUMMYFUNCTION("""COMPUTED_VALUE"""),4)</f>
        <v>4</v>
      </c>
      <c r="AB381" s="4">
        <f ca="1">IFERROR(__xludf.DUMMYFUNCTION("""COMPUTED_VALUE"""),5)</f>
        <v>5</v>
      </c>
      <c r="AC381" s="4">
        <f ca="1">IFERROR(__xludf.DUMMYFUNCTION("""COMPUTED_VALUE"""),4)</f>
        <v>4</v>
      </c>
      <c r="AD381" s="4">
        <f ca="1">IFERROR(__xludf.DUMMYFUNCTION("""COMPUTED_VALUE"""),5)</f>
        <v>5</v>
      </c>
      <c r="AE381" s="4">
        <f ca="1">IFERROR(__xludf.DUMMYFUNCTION("""COMPUTED_VALUE"""),5)</f>
        <v>5</v>
      </c>
      <c r="AF381" s="4">
        <f ca="1">IFERROR(__xludf.DUMMYFUNCTION("""COMPUTED_VALUE"""),4)</f>
        <v>4</v>
      </c>
      <c r="AG381" s="4">
        <f ca="1">IFERROR(__xludf.DUMMYFUNCTION("""COMPUTED_VALUE"""),5)</f>
        <v>5</v>
      </c>
      <c r="AH381" s="4">
        <f ca="1">IFERROR(__xludf.DUMMYFUNCTION("""COMPUTED_VALUE"""),5)</f>
        <v>5</v>
      </c>
      <c r="AI381" s="4">
        <f ca="1">IFERROR(__xludf.DUMMYFUNCTION("""COMPUTED_VALUE"""),4)</f>
        <v>4</v>
      </c>
      <c r="AJ381" s="4">
        <f ca="1">IFERROR(__xludf.DUMMYFUNCTION("""COMPUTED_VALUE"""),4)</f>
        <v>4</v>
      </c>
      <c r="AK381" s="4">
        <f ca="1">IFERROR(__xludf.DUMMYFUNCTION("""COMPUTED_VALUE"""),4)</f>
        <v>4</v>
      </c>
      <c r="AL381" s="4">
        <f ca="1">IFERROR(__xludf.DUMMYFUNCTION("""COMPUTED_VALUE"""),3)</f>
        <v>3</v>
      </c>
      <c r="AM381" s="4">
        <f ca="1">IFERROR(__xludf.DUMMYFUNCTION("""COMPUTED_VALUE"""),4)</f>
        <v>4</v>
      </c>
      <c r="AN381" s="4">
        <f ca="1">IFERROR(__xludf.DUMMYFUNCTION("""COMPUTED_VALUE"""),3)</f>
        <v>3</v>
      </c>
      <c r="AO381" s="4">
        <f ca="1">IFERROR(__xludf.DUMMYFUNCTION("""COMPUTED_VALUE"""),5)</f>
        <v>5</v>
      </c>
      <c r="AP381" s="4">
        <f ca="1">IFERROR(__xludf.DUMMYFUNCTION("""COMPUTED_VALUE"""),4)</f>
        <v>4</v>
      </c>
      <c r="AQ381" s="4">
        <f ca="1">IFERROR(__xludf.DUMMYFUNCTION("""COMPUTED_VALUE"""),4)</f>
        <v>4</v>
      </c>
      <c r="AR381" s="4">
        <f ca="1">IFERROR(__xludf.DUMMYFUNCTION("""COMPUTED_VALUE"""),4)</f>
        <v>4</v>
      </c>
      <c r="AS381" s="4">
        <f ca="1">IFERROR(__xludf.DUMMYFUNCTION("""COMPUTED_VALUE"""),4)</f>
        <v>4</v>
      </c>
      <c r="AT381" s="4">
        <f ca="1">IFERROR(__xludf.DUMMYFUNCTION("""COMPUTED_VALUE"""),4)</f>
        <v>4</v>
      </c>
      <c r="AU381" s="4">
        <f ca="1">IFERROR(__xludf.DUMMYFUNCTION("""COMPUTED_VALUE"""),4)</f>
        <v>4</v>
      </c>
      <c r="AV381" s="4">
        <f ca="1">IFERROR(__xludf.DUMMYFUNCTION("""COMPUTED_VALUE"""),4)</f>
        <v>4</v>
      </c>
      <c r="AW381" s="4">
        <f ca="1">IFERROR(__xludf.DUMMYFUNCTION("""COMPUTED_VALUE"""),4)</f>
        <v>4</v>
      </c>
      <c r="AX381" s="4">
        <f ca="1">IFERROR(__xludf.DUMMYFUNCTION("""COMPUTED_VALUE"""),5)</f>
        <v>5</v>
      </c>
      <c r="AY381" s="4">
        <f ca="1">IFERROR(__xludf.DUMMYFUNCTION("""COMPUTED_VALUE"""),5)</f>
        <v>5</v>
      </c>
      <c r="AZ381" s="4">
        <f ca="1">IFERROR(__xludf.DUMMYFUNCTION("""COMPUTED_VALUE"""),4)</f>
        <v>4</v>
      </c>
      <c r="BA381" s="4">
        <f ca="1">IFERROR(__xludf.DUMMYFUNCTION("""COMPUTED_VALUE"""),4)</f>
        <v>4</v>
      </c>
      <c r="BB381" s="4">
        <f ca="1">IFERROR(__xludf.DUMMYFUNCTION("""COMPUTED_VALUE"""),4)</f>
        <v>4</v>
      </c>
      <c r="BC381" s="4">
        <f ca="1">IFERROR(__xludf.DUMMYFUNCTION("""COMPUTED_VALUE"""),4)</f>
        <v>4</v>
      </c>
      <c r="BD381" s="4">
        <f ca="1">IFERROR(__xludf.DUMMYFUNCTION("""COMPUTED_VALUE"""),4)</f>
        <v>4</v>
      </c>
      <c r="BE381" s="4">
        <f ca="1">IFERROR(__xludf.DUMMYFUNCTION("""COMPUTED_VALUE"""),5)</f>
        <v>5</v>
      </c>
      <c r="BF381" s="4">
        <f ca="1">IFERROR(__xludf.DUMMYFUNCTION("""COMPUTED_VALUE"""),5)</f>
        <v>5</v>
      </c>
      <c r="BG381" s="4">
        <f ca="1">IFERROR(__xludf.DUMMYFUNCTION("""COMPUTED_VALUE"""),5)</f>
        <v>5</v>
      </c>
      <c r="BH381" s="4">
        <f ca="1">IFERROR(__xludf.DUMMYFUNCTION("""COMPUTED_VALUE"""),5)</f>
        <v>5</v>
      </c>
      <c r="BI381" s="4">
        <f ca="1">IFERROR(__xludf.DUMMYFUNCTION("""COMPUTED_VALUE"""),4)</f>
        <v>4</v>
      </c>
      <c r="BJ381" s="4">
        <f ca="1">IFERROR(__xludf.DUMMYFUNCTION("""COMPUTED_VALUE"""),4)</f>
        <v>4</v>
      </c>
      <c r="BK381" s="4">
        <f ca="1">IFERROR(__xludf.DUMMYFUNCTION("""COMPUTED_VALUE"""),4)</f>
        <v>4</v>
      </c>
      <c r="BL381" s="4">
        <f ca="1">IFERROR(__xludf.DUMMYFUNCTION("""COMPUTED_VALUE"""),4)</f>
        <v>4</v>
      </c>
      <c r="BM381" s="4">
        <f ca="1">IFERROR(__xludf.DUMMYFUNCTION("""COMPUTED_VALUE"""),5)</f>
        <v>5</v>
      </c>
      <c r="BN381" s="4">
        <f ca="1">IFERROR(__xludf.DUMMYFUNCTION("""COMPUTED_VALUE"""),5)</f>
        <v>5</v>
      </c>
      <c r="BO381" s="4">
        <f ca="1">IFERROR(__xludf.DUMMYFUNCTION("""COMPUTED_VALUE"""),5)</f>
        <v>5</v>
      </c>
      <c r="BP381" s="4">
        <f ca="1">IFERROR(__xludf.DUMMYFUNCTION("""COMPUTED_VALUE"""),5)</f>
        <v>5</v>
      </c>
    </row>
    <row r="382" spans="1:68" ht="13.2" x14ac:dyDescent="0.25">
      <c r="A382" s="4" t="str">
        <f ca="1">IFERROR(__xludf.DUMMYFUNCTION("""COMPUTED_VALUE"""),"2_ABaOnufniMNDYlogDrKQhEPfEwY1Eb5DGXkHnkULaqCq6_UGRzY2xQBxj6zt8oMgsA")</f>
        <v>2_ABaOnufniMNDYlogDrKQhEPfEwY1Eb5DGXkHnkULaqCq6_UGRzY2xQBxj6zt8oMgsA</v>
      </c>
      <c r="B382" s="5">
        <f ca="1">IFERROR(__xludf.DUMMYFUNCTION("""COMPUTED_VALUE"""),45987.6740386342)</f>
        <v>45987.674038634199</v>
      </c>
      <c r="C382" s="4" t="str">
        <f ca="1">IFERROR(__xludf.DUMMYFUNCTION("""COMPUTED_VALUE"""),"Nguyễn Xuân Ngà")</f>
        <v>Nguyễn Xuân Ngà</v>
      </c>
      <c r="D382" s="4" t="str">
        <f ca="1">IFERROR(__xludf.DUMMYFUNCTION("""COMPUTED_VALUE"""),"Nam")</f>
        <v>Nam</v>
      </c>
      <c r="E382" s="4" t="str">
        <f ca="1">IFERROR(__xludf.DUMMYFUNCTION("""COMPUTED_VALUE"""),"Công ty TNHH Kiểm toán Sao Việt")</f>
        <v>Công ty TNHH Kiểm toán Sao Việt</v>
      </c>
      <c r="F382" s="4" t="str">
        <f ca="1">IFERROR(__xludf.DUMMYFUNCTION("""COMPUTED_VALUE"""),"Đại học")</f>
        <v>Đại học</v>
      </c>
      <c r="G382" s="4" t="str">
        <f ca="1">IFERROR(__xludf.DUMMYFUNCTION("""COMPUTED_VALUE"""),"Từ 3 đến 5 năm")</f>
        <v>Từ 3 đến 5 năm</v>
      </c>
      <c r="H382" s="4" t="str">
        <f ca="1">IFERROR(__xludf.DUMMYFUNCTION("""COMPUTED_VALUE"""),"Trợ lý kiểm toán")</f>
        <v>Trợ lý kiểm toán</v>
      </c>
      <c r="I382" s="4">
        <f ca="1">IFERROR(__xludf.DUMMYFUNCTION("""COMPUTED_VALUE"""),5)</f>
        <v>5</v>
      </c>
      <c r="J382" s="4">
        <f ca="1">IFERROR(__xludf.DUMMYFUNCTION("""COMPUTED_VALUE"""),5)</f>
        <v>5</v>
      </c>
      <c r="K382" s="4">
        <f ca="1">IFERROR(__xludf.DUMMYFUNCTION("""COMPUTED_VALUE"""),5)</f>
        <v>5</v>
      </c>
      <c r="L382" s="4">
        <f ca="1">IFERROR(__xludf.DUMMYFUNCTION("""COMPUTED_VALUE"""),5)</f>
        <v>5</v>
      </c>
      <c r="M382" s="4">
        <f ca="1">IFERROR(__xludf.DUMMYFUNCTION("""COMPUTED_VALUE"""),5)</f>
        <v>5</v>
      </c>
      <c r="N382" s="4">
        <f ca="1">IFERROR(__xludf.DUMMYFUNCTION("""COMPUTED_VALUE"""),3)</f>
        <v>3</v>
      </c>
      <c r="O382" s="4">
        <f ca="1">IFERROR(__xludf.DUMMYFUNCTION("""COMPUTED_VALUE"""),4)</f>
        <v>4</v>
      </c>
      <c r="P382" s="4">
        <f ca="1">IFERROR(__xludf.DUMMYFUNCTION("""COMPUTED_VALUE"""),4)</f>
        <v>4</v>
      </c>
      <c r="Q382" s="4">
        <f ca="1">IFERROR(__xludf.DUMMYFUNCTION("""COMPUTED_VALUE"""),4)</f>
        <v>4</v>
      </c>
      <c r="R382" s="4">
        <f ca="1">IFERROR(__xludf.DUMMYFUNCTION("""COMPUTED_VALUE"""),4)</f>
        <v>4</v>
      </c>
      <c r="S382" s="4">
        <f ca="1">IFERROR(__xludf.DUMMYFUNCTION("""COMPUTED_VALUE"""),3)</f>
        <v>3</v>
      </c>
      <c r="T382" s="4">
        <f ca="1">IFERROR(__xludf.DUMMYFUNCTION("""COMPUTED_VALUE"""),4)</f>
        <v>4</v>
      </c>
      <c r="U382" s="4">
        <f ca="1">IFERROR(__xludf.DUMMYFUNCTION("""COMPUTED_VALUE"""),5)</f>
        <v>5</v>
      </c>
      <c r="V382" s="4">
        <f ca="1">IFERROR(__xludf.DUMMYFUNCTION("""COMPUTED_VALUE"""),5)</f>
        <v>5</v>
      </c>
      <c r="W382" s="4">
        <f ca="1">IFERROR(__xludf.DUMMYFUNCTION("""COMPUTED_VALUE"""),5)</f>
        <v>5</v>
      </c>
      <c r="X382" s="4">
        <f ca="1">IFERROR(__xludf.DUMMYFUNCTION("""COMPUTED_VALUE"""),5)</f>
        <v>5</v>
      </c>
      <c r="Y382" s="4">
        <f ca="1">IFERROR(__xludf.DUMMYFUNCTION("""COMPUTED_VALUE"""),5)</f>
        <v>5</v>
      </c>
      <c r="Z382" s="4">
        <f ca="1">IFERROR(__xludf.DUMMYFUNCTION("""COMPUTED_VALUE"""),5)</f>
        <v>5</v>
      </c>
      <c r="AA382" s="4">
        <f ca="1">IFERROR(__xludf.DUMMYFUNCTION("""COMPUTED_VALUE"""),5)</f>
        <v>5</v>
      </c>
      <c r="AB382" s="4">
        <f ca="1">IFERROR(__xludf.DUMMYFUNCTION("""COMPUTED_VALUE"""),5)</f>
        <v>5</v>
      </c>
      <c r="AC382" s="4">
        <f ca="1">IFERROR(__xludf.DUMMYFUNCTION("""COMPUTED_VALUE"""),5)</f>
        <v>5</v>
      </c>
      <c r="AD382" s="4">
        <f ca="1">IFERROR(__xludf.DUMMYFUNCTION("""COMPUTED_VALUE"""),5)</f>
        <v>5</v>
      </c>
      <c r="AE382" s="4">
        <f ca="1">IFERROR(__xludf.DUMMYFUNCTION("""COMPUTED_VALUE"""),5)</f>
        <v>5</v>
      </c>
      <c r="AF382" s="4">
        <f ca="1">IFERROR(__xludf.DUMMYFUNCTION("""COMPUTED_VALUE"""),5)</f>
        <v>5</v>
      </c>
      <c r="AG382" s="4">
        <f ca="1">IFERROR(__xludf.DUMMYFUNCTION("""COMPUTED_VALUE"""),5)</f>
        <v>5</v>
      </c>
      <c r="AH382" s="4">
        <f ca="1">IFERROR(__xludf.DUMMYFUNCTION("""COMPUTED_VALUE"""),5)</f>
        <v>5</v>
      </c>
      <c r="AI382" s="4">
        <f ca="1">IFERROR(__xludf.DUMMYFUNCTION("""COMPUTED_VALUE"""),5)</f>
        <v>5</v>
      </c>
      <c r="AJ382" s="4">
        <f ca="1">IFERROR(__xludf.DUMMYFUNCTION("""COMPUTED_VALUE"""),5)</f>
        <v>5</v>
      </c>
      <c r="AK382" s="4">
        <f ca="1">IFERROR(__xludf.DUMMYFUNCTION("""COMPUTED_VALUE"""),5)</f>
        <v>5</v>
      </c>
      <c r="AL382" s="4">
        <f ca="1">IFERROR(__xludf.DUMMYFUNCTION("""COMPUTED_VALUE"""),5)</f>
        <v>5</v>
      </c>
      <c r="AM382" s="4">
        <f ca="1">IFERROR(__xludf.DUMMYFUNCTION("""COMPUTED_VALUE"""),5)</f>
        <v>5</v>
      </c>
      <c r="AN382" s="4">
        <f ca="1">IFERROR(__xludf.DUMMYFUNCTION("""COMPUTED_VALUE"""),5)</f>
        <v>5</v>
      </c>
      <c r="AO382" s="4">
        <f ca="1">IFERROR(__xludf.DUMMYFUNCTION("""COMPUTED_VALUE"""),5)</f>
        <v>5</v>
      </c>
      <c r="AP382" s="4">
        <f ca="1">IFERROR(__xludf.DUMMYFUNCTION("""COMPUTED_VALUE"""),5)</f>
        <v>5</v>
      </c>
      <c r="AQ382" s="4">
        <f ca="1">IFERROR(__xludf.DUMMYFUNCTION("""COMPUTED_VALUE"""),5)</f>
        <v>5</v>
      </c>
      <c r="AR382" s="4">
        <f ca="1">IFERROR(__xludf.DUMMYFUNCTION("""COMPUTED_VALUE"""),3)</f>
        <v>3</v>
      </c>
      <c r="AS382" s="4">
        <f ca="1">IFERROR(__xludf.DUMMYFUNCTION("""COMPUTED_VALUE"""),3)</f>
        <v>3</v>
      </c>
      <c r="AT382" s="4">
        <f ca="1">IFERROR(__xludf.DUMMYFUNCTION("""COMPUTED_VALUE"""),3)</f>
        <v>3</v>
      </c>
      <c r="AU382" s="4">
        <f ca="1">IFERROR(__xludf.DUMMYFUNCTION("""COMPUTED_VALUE"""),4)</f>
        <v>4</v>
      </c>
      <c r="AV382" s="4">
        <f ca="1">IFERROR(__xludf.DUMMYFUNCTION("""COMPUTED_VALUE"""),4)</f>
        <v>4</v>
      </c>
      <c r="AW382" s="4">
        <f ca="1">IFERROR(__xludf.DUMMYFUNCTION("""COMPUTED_VALUE"""),5)</f>
        <v>5</v>
      </c>
      <c r="AX382" s="4">
        <f ca="1">IFERROR(__xludf.DUMMYFUNCTION("""COMPUTED_VALUE"""),5)</f>
        <v>5</v>
      </c>
      <c r="AY382" s="4">
        <f ca="1">IFERROR(__xludf.DUMMYFUNCTION("""COMPUTED_VALUE"""),5)</f>
        <v>5</v>
      </c>
      <c r="AZ382" s="4">
        <f ca="1">IFERROR(__xludf.DUMMYFUNCTION("""COMPUTED_VALUE"""),5)</f>
        <v>5</v>
      </c>
      <c r="BA382" s="4">
        <f ca="1">IFERROR(__xludf.DUMMYFUNCTION("""COMPUTED_VALUE"""),5)</f>
        <v>5</v>
      </c>
      <c r="BB382" s="4">
        <f ca="1">IFERROR(__xludf.DUMMYFUNCTION("""COMPUTED_VALUE"""),1)</f>
        <v>1</v>
      </c>
      <c r="BC382" s="4">
        <f ca="1">IFERROR(__xludf.DUMMYFUNCTION("""COMPUTED_VALUE"""),1)</f>
        <v>1</v>
      </c>
      <c r="BD382" s="4">
        <f ca="1">IFERROR(__xludf.DUMMYFUNCTION("""COMPUTED_VALUE"""),4)</f>
        <v>4</v>
      </c>
      <c r="BE382" s="4">
        <f ca="1">IFERROR(__xludf.DUMMYFUNCTION("""COMPUTED_VALUE"""),4)</f>
        <v>4</v>
      </c>
      <c r="BF382" s="4">
        <f ca="1">IFERROR(__xludf.DUMMYFUNCTION("""COMPUTED_VALUE"""),3)</f>
        <v>3</v>
      </c>
      <c r="BG382" s="4">
        <f ca="1">IFERROR(__xludf.DUMMYFUNCTION("""COMPUTED_VALUE"""),4)</f>
        <v>4</v>
      </c>
      <c r="BH382" s="4">
        <f ca="1">IFERROR(__xludf.DUMMYFUNCTION("""COMPUTED_VALUE"""),4)</f>
        <v>4</v>
      </c>
      <c r="BI382" s="4">
        <f ca="1">IFERROR(__xludf.DUMMYFUNCTION("""COMPUTED_VALUE"""),4)</f>
        <v>4</v>
      </c>
      <c r="BJ382" s="4">
        <f ca="1">IFERROR(__xludf.DUMMYFUNCTION("""COMPUTED_VALUE"""),4)</f>
        <v>4</v>
      </c>
      <c r="BK382" s="4">
        <f ca="1">IFERROR(__xludf.DUMMYFUNCTION("""COMPUTED_VALUE"""),4)</f>
        <v>4</v>
      </c>
      <c r="BL382" s="4">
        <f ca="1">IFERROR(__xludf.DUMMYFUNCTION("""COMPUTED_VALUE"""),5)</f>
        <v>5</v>
      </c>
      <c r="BM382" s="4">
        <f ca="1">IFERROR(__xludf.DUMMYFUNCTION("""COMPUTED_VALUE"""),5)</f>
        <v>5</v>
      </c>
      <c r="BN382" s="4">
        <f ca="1">IFERROR(__xludf.DUMMYFUNCTION("""COMPUTED_VALUE"""),5)</f>
        <v>5</v>
      </c>
      <c r="BO382" s="4">
        <f ca="1">IFERROR(__xludf.DUMMYFUNCTION("""COMPUTED_VALUE"""),5)</f>
        <v>5</v>
      </c>
      <c r="BP382" s="4">
        <f ca="1">IFERROR(__xludf.DUMMYFUNCTION("""COMPUTED_VALUE"""),4)</f>
        <v>4</v>
      </c>
    </row>
    <row r="383" spans="1:68" ht="13.2" x14ac:dyDescent="0.25">
      <c r="A383" s="4" t="str">
        <f ca="1">IFERROR(__xludf.DUMMYFUNCTION("""COMPUTED_VALUE"""),"2_ABaOnuffNYnkbc0mHkU_bVK4AIB6qT4JhJ4DfcIswmu2Erbl6NvXc9KTK4uCBo5jzg")</f>
        <v>2_ABaOnuffNYnkbc0mHkU_bVK4AIB6qT4JhJ4DfcIswmu2Erbl6NvXc9KTK4uCBo5jzg</v>
      </c>
      <c r="B383" s="5">
        <f ca="1">IFERROR(__xludf.DUMMYFUNCTION("""COMPUTED_VALUE"""),45987.6743774074)</f>
        <v>45987.674377407398</v>
      </c>
      <c r="C383" s="4"/>
      <c r="D383" s="4" t="str">
        <f ca="1">IFERROR(__xludf.DUMMYFUNCTION("""COMPUTED_VALUE"""),"Nam")</f>
        <v>Nam</v>
      </c>
      <c r="E383" s="4" t="str">
        <f ca="1">IFERROR(__xludf.DUMMYFUNCTION("""COMPUTED_VALUE"""),"Công ty TNHH Kiểm toán CPA VIETNAM")</f>
        <v>Công ty TNHH Kiểm toán CPA VIETNAM</v>
      </c>
      <c r="F383" s="4" t="str">
        <f ca="1">IFERROR(__xludf.DUMMYFUNCTION("""COMPUTED_VALUE"""),"Đại học")</f>
        <v>Đại học</v>
      </c>
      <c r="G383" s="4" t="str">
        <f ca="1">IFERROR(__xludf.DUMMYFUNCTION("""COMPUTED_VALUE"""),"Từ 3 đến 5 năm")</f>
        <v>Từ 3 đến 5 năm</v>
      </c>
      <c r="H383" s="4" t="str">
        <f ca="1">IFERROR(__xludf.DUMMYFUNCTION("""COMPUTED_VALUE"""),"Kiểm toán viên/Trưởng nhóm")</f>
        <v>Kiểm toán viên/Trưởng nhóm</v>
      </c>
      <c r="I383" s="4">
        <f ca="1">IFERROR(__xludf.DUMMYFUNCTION("""COMPUTED_VALUE"""),5)</f>
        <v>5</v>
      </c>
      <c r="J383" s="4">
        <f ca="1">IFERROR(__xludf.DUMMYFUNCTION("""COMPUTED_VALUE"""),5)</f>
        <v>5</v>
      </c>
      <c r="K383" s="4">
        <f ca="1">IFERROR(__xludf.DUMMYFUNCTION("""COMPUTED_VALUE"""),5)</f>
        <v>5</v>
      </c>
      <c r="L383" s="4">
        <f ca="1">IFERROR(__xludf.DUMMYFUNCTION("""COMPUTED_VALUE"""),5)</f>
        <v>5</v>
      </c>
      <c r="M383" s="4">
        <f ca="1">IFERROR(__xludf.DUMMYFUNCTION("""COMPUTED_VALUE"""),5)</f>
        <v>5</v>
      </c>
      <c r="N383" s="4">
        <f ca="1">IFERROR(__xludf.DUMMYFUNCTION("""COMPUTED_VALUE"""),3)</f>
        <v>3</v>
      </c>
      <c r="O383" s="4">
        <f ca="1">IFERROR(__xludf.DUMMYFUNCTION("""COMPUTED_VALUE"""),4)</f>
        <v>4</v>
      </c>
      <c r="P383" s="4">
        <f ca="1">IFERROR(__xludf.DUMMYFUNCTION("""COMPUTED_VALUE"""),5)</f>
        <v>5</v>
      </c>
      <c r="Q383" s="4">
        <f ca="1">IFERROR(__xludf.DUMMYFUNCTION("""COMPUTED_VALUE"""),5)</f>
        <v>5</v>
      </c>
      <c r="R383" s="4">
        <f ca="1">IFERROR(__xludf.DUMMYFUNCTION("""COMPUTED_VALUE"""),5)</f>
        <v>5</v>
      </c>
      <c r="S383" s="4">
        <f ca="1">IFERROR(__xludf.DUMMYFUNCTION("""COMPUTED_VALUE"""),5)</f>
        <v>5</v>
      </c>
      <c r="T383" s="4">
        <f ca="1">IFERROR(__xludf.DUMMYFUNCTION("""COMPUTED_VALUE"""),5)</f>
        <v>5</v>
      </c>
      <c r="U383" s="4">
        <f ca="1">IFERROR(__xludf.DUMMYFUNCTION("""COMPUTED_VALUE"""),5)</f>
        <v>5</v>
      </c>
      <c r="V383" s="4">
        <f ca="1">IFERROR(__xludf.DUMMYFUNCTION("""COMPUTED_VALUE"""),5)</f>
        <v>5</v>
      </c>
      <c r="W383" s="4">
        <f ca="1">IFERROR(__xludf.DUMMYFUNCTION("""COMPUTED_VALUE"""),5)</f>
        <v>5</v>
      </c>
      <c r="X383" s="4">
        <f ca="1">IFERROR(__xludf.DUMMYFUNCTION("""COMPUTED_VALUE"""),5)</f>
        <v>5</v>
      </c>
      <c r="Y383" s="4">
        <f ca="1">IFERROR(__xludf.DUMMYFUNCTION("""COMPUTED_VALUE"""),3)</f>
        <v>3</v>
      </c>
      <c r="Z383" s="4">
        <f ca="1">IFERROR(__xludf.DUMMYFUNCTION("""COMPUTED_VALUE"""),4)</f>
        <v>4</v>
      </c>
      <c r="AA383" s="4">
        <f ca="1">IFERROR(__xludf.DUMMYFUNCTION("""COMPUTED_VALUE"""),4)</f>
        <v>4</v>
      </c>
      <c r="AB383" s="4">
        <f ca="1">IFERROR(__xludf.DUMMYFUNCTION("""COMPUTED_VALUE"""),4)</f>
        <v>4</v>
      </c>
      <c r="AC383" s="4">
        <f ca="1">IFERROR(__xludf.DUMMYFUNCTION("""COMPUTED_VALUE"""),3)</f>
        <v>3</v>
      </c>
      <c r="AD383" s="4">
        <f ca="1">IFERROR(__xludf.DUMMYFUNCTION("""COMPUTED_VALUE"""),3)</f>
        <v>3</v>
      </c>
      <c r="AE383" s="4">
        <f ca="1">IFERROR(__xludf.DUMMYFUNCTION("""COMPUTED_VALUE"""),4)</f>
        <v>4</v>
      </c>
      <c r="AF383" s="4">
        <f ca="1">IFERROR(__xludf.DUMMYFUNCTION("""COMPUTED_VALUE"""),4)</f>
        <v>4</v>
      </c>
      <c r="AG383" s="4">
        <f ca="1">IFERROR(__xludf.DUMMYFUNCTION("""COMPUTED_VALUE"""),4)</f>
        <v>4</v>
      </c>
      <c r="AH383" s="4">
        <f ca="1">IFERROR(__xludf.DUMMYFUNCTION("""COMPUTED_VALUE"""),4)</f>
        <v>4</v>
      </c>
      <c r="AI383" s="4">
        <f ca="1">IFERROR(__xludf.DUMMYFUNCTION("""COMPUTED_VALUE"""),4)</f>
        <v>4</v>
      </c>
      <c r="AJ383" s="4">
        <f ca="1">IFERROR(__xludf.DUMMYFUNCTION("""COMPUTED_VALUE"""),5)</f>
        <v>5</v>
      </c>
      <c r="AK383" s="4">
        <f ca="1">IFERROR(__xludf.DUMMYFUNCTION("""COMPUTED_VALUE"""),5)</f>
        <v>5</v>
      </c>
      <c r="AL383" s="4">
        <f ca="1">IFERROR(__xludf.DUMMYFUNCTION("""COMPUTED_VALUE"""),5)</f>
        <v>5</v>
      </c>
      <c r="AM383" s="4">
        <f ca="1">IFERROR(__xludf.DUMMYFUNCTION("""COMPUTED_VALUE"""),5)</f>
        <v>5</v>
      </c>
      <c r="AN383" s="4">
        <f ca="1">IFERROR(__xludf.DUMMYFUNCTION("""COMPUTED_VALUE"""),5)</f>
        <v>5</v>
      </c>
      <c r="AO383" s="4">
        <f ca="1">IFERROR(__xludf.DUMMYFUNCTION("""COMPUTED_VALUE"""),5)</f>
        <v>5</v>
      </c>
      <c r="AP383" s="4">
        <f ca="1">IFERROR(__xludf.DUMMYFUNCTION("""COMPUTED_VALUE"""),5)</f>
        <v>5</v>
      </c>
      <c r="AQ383" s="4">
        <f ca="1">IFERROR(__xludf.DUMMYFUNCTION("""COMPUTED_VALUE"""),5)</f>
        <v>5</v>
      </c>
      <c r="AR383" s="4">
        <f ca="1">IFERROR(__xludf.DUMMYFUNCTION("""COMPUTED_VALUE"""),5)</f>
        <v>5</v>
      </c>
      <c r="AS383" s="4">
        <f ca="1">IFERROR(__xludf.DUMMYFUNCTION("""COMPUTED_VALUE"""),5)</f>
        <v>5</v>
      </c>
      <c r="AT383" s="4">
        <f ca="1">IFERROR(__xludf.DUMMYFUNCTION("""COMPUTED_VALUE"""),5)</f>
        <v>5</v>
      </c>
      <c r="AU383" s="4">
        <f ca="1">IFERROR(__xludf.DUMMYFUNCTION("""COMPUTED_VALUE"""),5)</f>
        <v>5</v>
      </c>
      <c r="AV383" s="4">
        <f ca="1">IFERROR(__xludf.DUMMYFUNCTION("""COMPUTED_VALUE"""),5)</f>
        <v>5</v>
      </c>
      <c r="AW383" s="4">
        <f ca="1">IFERROR(__xludf.DUMMYFUNCTION("""COMPUTED_VALUE"""),5)</f>
        <v>5</v>
      </c>
      <c r="AX383" s="4">
        <f ca="1">IFERROR(__xludf.DUMMYFUNCTION("""COMPUTED_VALUE"""),5)</f>
        <v>5</v>
      </c>
      <c r="AY383" s="4">
        <f ca="1">IFERROR(__xludf.DUMMYFUNCTION("""COMPUTED_VALUE"""),5)</f>
        <v>5</v>
      </c>
      <c r="AZ383" s="4">
        <f ca="1">IFERROR(__xludf.DUMMYFUNCTION("""COMPUTED_VALUE"""),5)</f>
        <v>5</v>
      </c>
      <c r="BA383" s="4">
        <f ca="1">IFERROR(__xludf.DUMMYFUNCTION("""COMPUTED_VALUE"""),5)</f>
        <v>5</v>
      </c>
      <c r="BB383" s="4">
        <f ca="1">IFERROR(__xludf.DUMMYFUNCTION("""COMPUTED_VALUE"""),4)</f>
        <v>4</v>
      </c>
      <c r="BC383" s="4">
        <f ca="1">IFERROR(__xludf.DUMMYFUNCTION("""COMPUTED_VALUE"""),3)</f>
        <v>3</v>
      </c>
      <c r="BD383" s="4">
        <f ca="1">IFERROR(__xludf.DUMMYFUNCTION("""COMPUTED_VALUE"""),3)</f>
        <v>3</v>
      </c>
      <c r="BE383" s="4">
        <f ca="1">IFERROR(__xludf.DUMMYFUNCTION("""COMPUTED_VALUE"""),3)</f>
        <v>3</v>
      </c>
      <c r="BF383" s="4">
        <f ca="1">IFERROR(__xludf.DUMMYFUNCTION("""COMPUTED_VALUE"""),3)</f>
        <v>3</v>
      </c>
      <c r="BG383" s="4">
        <f ca="1">IFERROR(__xludf.DUMMYFUNCTION("""COMPUTED_VALUE"""),3)</f>
        <v>3</v>
      </c>
      <c r="BH383" s="4">
        <f ca="1">IFERROR(__xludf.DUMMYFUNCTION("""COMPUTED_VALUE"""),5)</f>
        <v>5</v>
      </c>
      <c r="BI383" s="4">
        <f ca="1">IFERROR(__xludf.DUMMYFUNCTION("""COMPUTED_VALUE"""),5)</f>
        <v>5</v>
      </c>
      <c r="BJ383" s="4">
        <f ca="1">IFERROR(__xludf.DUMMYFUNCTION("""COMPUTED_VALUE"""),5)</f>
        <v>5</v>
      </c>
      <c r="BK383" s="4">
        <f ca="1">IFERROR(__xludf.DUMMYFUNCTION("""COMPUTED_VALUE"""),5)</f>
        <v>5</v>
      </c>
      <c r="BL383" s="4">
        <f ca="1">IFERROR(__xludf.DUMMYFUNCTION("""COMPUTED_VALUE"""),5)</f>
        <v>5</v>
      </c>
      <c r="BM383" s="4">
        <f ca="1">IFERROR(__xludf.DUMMYFUNCTION("""COMPUTED_VALUE"""),4)</f>
        <v>4</v>
      </c>
      <c r="BN383" s="4">
        <f ca="1">IFERROR(__xludf.DUMMYFUNCTION("""COMPUTED_VALUE"""),5)</f>
        <v>5</v>
      </c>
      <c r="BO383" s="4">
        <f ca="1">IFERROR(__xludf.DUMMYFUNCTION("""COMPUTED_VALUE"""),4)</f>
        <v>4</v>
      </c>
      <c r="BP383" s="4">
        <f ca="1">IFERROR(__xludf.DUMMYFUNCTION("""COMPUTED_VALUE"""),5)</f>
        <v>5</v>
      </c>
    </row>
    <row r="384" spans="1:68" ht="13.2" x14ac:dyDescent="0.25">
      <c r="A384" s="4" t="str">
        <f ca="1">IFERROR(__xludf.DUMMYFUNCTION("""COMPUTED_VALUE"""),"2_ABaOnucA0OysRpYZbd8dtCD9KYzybiY2QhGIeaqnO1fcfeuBc-5gPh5PkbFJHHRmmw")</f>
        <v>2_ABaOnucA0OysRpYZbd8dtCD9KYzybiY2QhGIeaqnO1fcfeuBc-5gPh5PkbFJHHRmmw</v>
      </c>
      <c r="B384" s="5">
        <f ca="1">IFERROR(__xludf.DUMMYFUNCTION("""COMPUTED_VALUE"""),45987.6770713657)</f>
        <v>45987.677071365702</v>
      </c>
      <c r="C384" s="4" t="str">
        <f ca="1">IFERROR(__xludf.DUMMYFUNCTION("""COMPUTED_VALUE"""),"Nguyễn Thị Bích Ngọc")</f>
        <v>Nguyễn Thị Bích Ngọc</v>
      </c>
      <c r="D384" s="4" t="str">
        <f ca="1">IFERROR(__xludf.DUMMYFUNCTION("""COMPUTED_VALUE"""),"Nữ")</f>
        <v>Nữ</v>
      </c>
      <c r="E384" s="4" t="str">
        <f ca="1">IFERROR(__xludf.DUMMYFUNCTION("""COMPUTED_VALUE"""),"Công ty TNHH Kiểm toán Sao Việt")</f>
        <v>Công ty TNHH Kiểm toán Sao Việt</v>
      </c>
      <c r="F384" s="4" t="str">
        <f ca="1">IFERROR(__xludf.DUMMYFUNCTION("""COMPUTED_VALUE"""),"Đại học")</f>
        <v>Đại học</v>
      </c>
      <c r="G384" s="4" t="str">
        <f ca="1">IFERROR(__xludf.DUMMYFUNCTION("""COMPUTED_VALUE"""),"Từ 3 đến 5 năm")</f>
        <v>Từ 3 đến 5 năm</v>
      </c>
      <c r="H384" s="4" t="str">
        <f ca="1">IFERROR(__xludf.DUMMYFUNCTION("""COMPUTED_VALUE"""),"Trợ lý kiểm toán")</f>
        <v>Trợ lý kiểm toán</v>
      </c>
      <c r="I384" s="4">
        <f ca="1">IFERROR(__xludf.DUMMYFUNCTION("""COMPUTED_VALUE"""),5)</f>
        <v>5</v>
      </c>
      <c r="J384" s="4">
        <f ca="1">IFERROR(__xludf.DUMMYFUNCTION("""COMPUTED_VALUE"""),5)</f>
        <v>5</v>
      </c>
      <c r="K384" s="4">
        <f ca="1">IFERROR(__xludf.DUMMYFUNCTION("""COMPUTED_VALUE"""),4)</f>
        <v>4</v>
      </c>
      <c r="L384" s="4">
        <f ca="1">IFERROR(__xludf.DUMMYFUNCTION("""COMPUTED_VALUE"""),4)</f>
        <v>4</v>
      </c>
      <c r="M384" s="4">
        <f ca="1">IFERROR(__xludf.DUMMYFUNCTION("""COMPUTED_VALUE"""),4)</f>
        <v>4</v>
      </c>
      <c r="N384" s="4">
        <f ca="1">IFERROR(__xludf.DUMMYFUNCTION("""COMPUTED_VALUE"""),5)</f>
        <v>5</v>
      </c>
      <c r="O384" s="4">
        <f ca="1">IFERROR(__xludf.DUMMYFUNCTION("""COMPUTED_VALUE"""),5)</f>
        <v>5</v>
      </c>
      <c r="P384" s="4">
        <f ca="1">IFERROR(__xludf.DUMMYFUNCTION("""COMPUTED_VALUE"""),5)</f>
        <v>5</v>
      </c>
      <c r="Q384" s="4">
        <f ca="1">IFERROR(__xludf.DUMMYFUNCTION("""COMPUTED_VALUE"""),5)</f>
        <v>5</v>
      </c>
      <c r="R384" s="4">
        <f ca="1">IFERROR(__xludf.DUMMYFUNCTION("""COMPUTED_VALUE"""),4)</f>
        <v>4</v>
      </c>
      <c r="S384" s="4">
        <f ca="1">IFERROR(__xludf.DUMMYFUNCTION("""COMPUTED_VALUE"""),5)</f>
        <v>5</v>
      </c>
      <c r="T384" s="4">
        <f ca="1">IFERROR(__xludf.DUMMYFUNCTION("""COMPUTED_VALUE"""),5)</f>
        <v>5</v>
      </c>
      <c r="U384" s="4">
        <f ca="1">IFERROR(__xludf.DUMMYFUNCTION("""COMPUTED_VALUE"""),5)</f>
        <v>5</v>
      </c>
      <c r="V384" s="4">
        <f ca="1">IFERROR(__xludf.DUMMYFUNCTION("""COMPUTED_VALUE"""),5)</f>
        <v>5</v>
      </c>
      <c r="W384" s="4">
        <f ca="1">IFERROR(__xludf.DUMMYFUNCTION("""COMPUTED_VALUE"""),5)</f>
        <v>5</v>
      </c>
      <c r="X384" s="4">
        <f ca="1">IFERROR(__xludf.DUMMYFUNCTION("""COMPUTED_VALUE"""),5)</f>
        <v>5</v>
      </c>
      <c r="Y384" s="4">
        <f ca="1">IFERROR(__xludf.DUMMYFUNCTION("""COMPUTED_VALUE"""),5)</f>
        <v>5</v>
      </c>
      <c r="Z384" s="4">
        <f ca="1">IFERROR(__xludf.DUMMYFUNCTION("""COMPUTED_VALUE"""),5)</f>
        <v>5</v>
      </c>
      <c r="AA384" s="4">
        <f ca="1">IFERROR(__xludf.DUMMYFUNCTION("""COMPUTED_VALUE"""),4)</f>
        <v>4</v>
      </c>
      <c r="AB384" s="4">
        <f ca="1">IFERROR(__xludf.DUMMYFUNCTION("""COMPUTED_VALUE"""),5)</f>
        <v>5</v>
      </c>
      <c r="AC384" s="4">
        <f ca="1">IFERROR(__xludf.DUMMYFUNCTION("""COMPUTED_VALUE"""),4)</f>
        <v>4</v>
      </c>
      <c r="AD384" s="4">
        <f ca="1">IFERROR(__xludf.DUMMYFUNCTION("""COMPUTED_VALUE"""),4)</f>
        <v>4</v>
      </c>
      <c r="AE384" s="4">
        <f ca="1">IFERROR(__xludf.DUMMYFUNCTION("""COMPUTED_VALUE"""),5)</f>
        <v>5</v>
      </c>
      <c r="AF384" s="4">
        <f ca="1">IFERROR(__xludf.DUMMYFUNCTION("""COMPUTED_VALUE"""),5)</f>
        <v>5</v>
      </c>
      <c r="AG384" s="4">
        <f ca="1">IFERROR(__xludf.DUMMYFUNCTION("""COMPUTED_VALUE"""),5)</f>
        <v>5</v>
      </c>
      <c r="AH384" s="4">
        <f ca="1">IFERROR(__xludf.DUMMYFUNCTION("""COMPUTED_VALUE"""),5)</f>
        <v>5</v>
      </c>
      <c r="AI384" s="4">
        <f ca="1">IFERROR(__xludf.DUMMYFUNCTION("""COMPUTED_VALUE"""),4)</f>
        <v>4</v>
      </c>
      <c r="AJ384" s="4">
        <f ca="1">IFERROR(__xludf.DUMMYFUNCTION("""COMPUTED_VALUE"""),5)</f>
        <v>5</v>
      </c>
      <c r="AK384" s="4">
        <f ca="1">IFERROR(__xludf.DUMMYFUNCTION("""COMPUTED_VALUE"""),5)</f>
        <v>5</v>
      </c>
      <c r="AL384" s="4">
        <f ca="1">IFERROR(__xludf.DUMMYFUNCTION("""COMPUTED_VALUE"""),5)</f>
        <v>5</v>
      </c>
      <c r="AM384" s="4">
        <f ca="1">IFERROR(__xludf.DUMMYFUNCTION("""COMPUTED_VALUE"""),5)</f>
        <v>5</v>
      </c>
      <c r="AN384" s="4">
        <f ca="1">IFERROR(__xludf.DUMMYFUNCTION("""COMPUTED_VALUE"""),5)</f>
        <v>5</v>
      </c>
      <c r="AO384" s="4">
        <f ca="1">IFERROR(__xludf.DUMMYFUNCTION("""COMPUTED_VALUE"""),4)</f>
        <v>4</v>
      </c>
      <c r="AP384" s="4">
        <f ca="1">IFERROR(__xludf.DUMMYFUNCTION("""COMPUTED_VALUE"""),4)</f>
        <v>4</v>
      </c>
      <c r="AQ384" s="4">
        <f ca="1">IFERROR(__xludf.DUMMYFUNCTION("""COMPUTED_VALUE"""),4)</f>
        <v>4</v>
      </c>
      <c r="AR384" s="4">
        <f ca="1">IFERROR(__xludf.DUMMYFUNCTION("""COMPUTED_VALUE"""),5)</f>
        <v>5</v>
      </c>
      <c r="AS384" s="4">
        <f ca="1">IFERROR(__xludf.DUMMYFUNCTION("""COMPUTED_VALUE"""),5)</f>
        <v>5</v>
      </c>
      <c r="AT384" s="4">
        <f ca="1">IFERROR(__xludf.DUMMYFUNCTION("""COMPUTED_VALUE"""),4)</f>
        <v>4</v>
      </c>
      <c r="AU384" s="4">
        <f ca="1">IFERROR(__xludf.DUMMYFUNCTION("""COMPUTED_VALUE"""),4)</f>
        <v>4</v>
      </c>
      <c r="AV384" s="4">
        <f ca="1">IFERROR(__xludf.DUMMYFUNCTION("""COMPUTED_VALUE"""),4)</f>
        <v>4</v>
      </c>
      <c r="AW384" s="4">
        <f ca="1">IFERROR(__xludf.DUMMYFUNCTION("""COMPUTED_VALUE"""),4)</f>
        <v>4</v>
      </c>
      <c r="AX384" s="4">
        <f ca="1">IFERROR(__xludf.DUMMYFUNCTION("""COMPUTED_VALUE"""),5)</f>
        <v>5</v>
      </c>
      <c r="AY384" s="4">
        <f ca="1">IFERROR(__xludf.DUMMYFUNCTION("""COMPUTED_VALUE"""),4)</f>
        <v>4</v>
      </c>
      <c r="AZ384" s="4">
        <f ca="1">IFERROR(__xludf.DUMMYFUNCTION("""COMPUTED_VALUE"""),5)</f>
        <v>5</v>
      </c>
      <c r="BA384" s="4">
        <f ca="1">IFERROR(__xludf.DUMMYFUNCTION("""COMPUTED_VALUE"""),5)</f>
        <v>5</v>
      </c>
      <c r="BB384" s="4">
        <f ca="1">IFERROR(__xludf.DUMMYFUNCTION("""COMPUTED_VALUE"""),3)</f>
        <v>3</v>
      </c>
      <c r="BC384" s="4">
        <f ca="1">IFERROR(__xludf.DUMMYFUNCTION("""COMPUTED_VALUE"""),4)</f>
        <v>4</v>
      </c>
      <c r="BD384" s="4">
        <f ca="1">IFERROR(__xludf.DUMMYFUNCTION("""COMPUTED_VALUE"""),3)</f>
        <v>3</v>
      </c>
      <c r="BE384" s="4">
        <f ca="1">IFERROR(__xludf.DUMMYFUNCTION("""COMPUTED_VALUE"""),4)</f>
        <v>4</v>
      </c>
      <c r="BF384" s="4">
        <f ca="1">IFERROR(__xludf.DUMMYFUNCTION("""COMPUTED_VALUE"""),3)</f>
        <v>3</v>
      </c>
      <c r="BG384" s="4">
        <f ca="1">IFERROR(__xludf.DUMMYFUNCTION("""COMPUTED_VALUE"""),3)</f>
        <v>3</v>
      </c>
      <c r="BH384" s="4">
        <f ca="1">IFERROR(__xludf.DUMMYFUNCTION("""COMPUTED_VALUE"""),5)</f>
        <v>5</v>
      </c>
      <c r="BI384" s="4">
        <f ca="1">IFERROR(__xludf.DUMMYFUNCTION("""COMPUTED_VALUE"""),5)</f>
        <v>5</v>
      </c>
      <c r="BJ384" s="4">
        <f ca="1">IFERROR(__xludf.DUMMYFUNCTION("""COMPUTED_VALUE"""),5)</f>
        <v>5</v>
      </c>
      <c r="BK384" s="4">
        <f ca="1">IFERROR(__xludf.DUMMYFUNCTION("""COMPUTED_VALUE"""),5)</f>
        <v>5</v>
      </c>
      <c r="BL384" s="4">
        <f ca="1">IFERROR(__xludf.DUMMYFUNCTION("""COMPUTED_VALUE"""),5)</f>
        <v>5</v>
      </c>
      <c r="BM384" s="4">
        <f ca="1">IFERROR(__xludf.DUMMYFUNCTION("""COMPUTED_VALUE"""),5)</f>
        <v>5</v>
      </c>
      <c r="BN384" s="4">
        <f ca="1">IFERROR(__xludf.DUMMYFUNCTION("""COMPUTED_VALUE"""),5)</f>
        <v>5</v>
      </c>
      <c r="BO384" s="4">
        <f ca="1">IFERROR(__xludf.DUMMYFUNCTION("""COMPUTED_VALUE"""),4)</f>
        <v>4</v>
      </c>
      <c r="BP384" s="4">
        <f ca="1">IFERROR(__xludf.DUMMYFUNCTION("""COMPUTED_VALUE"""),4)</f>
        <v>4</v>
      </c>
    </row>
    <row r="385" spans="1:68" ht="13.2" x14ac:dyDescent="0.25">
      <c r="A385" s="4" t="str">
        <f ca="1">IFERROR(__xludf.DUMMYFUNCTION("""COMPUTED_VALUE"""),"2_ABaOnucOggw-y2pnkOumlEmnkgW0Pv9fEG1_PceDLJsQhPZmzYN3XOFEMiviVMsSdg")</f>
        <v>2_ABaOnucOggw-y2pnkOumlEmnkgW0Pv9fEG1_PceDLJsQhPZmzYN3XOFEMiviVMsSdg</v>
      </c>
      <c r="B385" s="5">
        <f ca="1">IFERROR(__xludf.DUMMYFUNCTION("""COMPUTED_VALUE"""),45987.6773325925)</f>
        <v>45987.677332592502</v>
      </c>
      <c r="C385" s="4" t="str">
        <f ca="1">IFERROR(__xludf.DUMMYFUNCTION("""COMPUTED_VALUE"""),"Trương Kim Ngân")</f>
        <v>Trương Kim Ngân</v>
      </c>
      <c r="D385" s="4" t="str">
        <f ca="1">IFERROR(__xludf.DUMMYFUNCTION("""COMPUTED_VALUE"""),"Nữ")</f>
        <v>Nữ</v>
      </c>
      <c r="E385" s="4" t="str">
        <f ca="1">IFERROR(__xludf.DUMMYFUNCTION("""COMPUTED_VALUE"""),"Kiểm toán U&amp;I")</f>
        <v>Kiểm toán U&amp;I</v>
      </c>
      <c r="F385" s="4" t="str">
        <f ca="1">IFERROR(__xludf.DUMMYFUNCTION("""COMPUTED_VALUE"""),"Đại học")</f>
        <v>Đại học</v>
      </c>
      <c r="G385" s="4" t="str">
        <f ca="1">IFERROR(__xludf.DUMMYFUNCTION("""COMPUTED_VALUE"""),"Trên 5 đến 10 năm")</f>
        <v>Trên 5 đến 10 năm</v>
      </c>
      <c r="H385" s="4" t="str">
        <f ca="1">IFERROR(__xludf.DUMMYFUNCTION("""COMPUTED_VALUE"""),"Kiểm toán viên/Trưởng nhóm")</f>
        <v>Kiểm toán viên/Trưởng nhóm</v>
      </c>
      <c r="I385" s="4">
        <f ca="1">IFERROR(__xludf.DUMMYFUNCTION("""COMPUTED_VALUE"""),4)</f>
        <v>4</v>
      </c>
      <c r="J385" s="4">
        <f ca="1">IFERROR(__xludf.DUMMYFUNCTION("""COMPUTED_VALUE"""),3)</f>
        <v>3</v>
      </c>
      <c r="K385" s="4">
        <f ca="1">IFERROR(__xludf.DUMMYFUNCTION("""COMPUTED_VALUE"""),4)</f>
        <v>4</v>
      </c>
      <c r="L385" s="4">
        <f ca="1">IFERROR(__xludf.DUMMYFUNCTION("""COMPUTED_VALUE"""),4)</f>
        <v>4</v>
      </c>
      <c r="M385" s="4">
        <f ca="1">IFERROR(__xludf.DUMMYFUNCTION("""COMPUTED_VALUE"""),4)</f>
        <v>4</v>
      </c>
      <c r="N385" s="4">
        <f ca="1">IFERROR(__xludf.DUMMYFUNCTION("""COMPUTED_VALUE"""),3)</f>
        <v>3</v>
      </c>
      <c r="O385" s="4">
        <f ca="1">IFERROR(__xludf.DUMMYFUNCTION("""COMPUTED_VALUE"""),3)</f>
        <v>3</v>
      </c>
      <c r="P385" s="4">
        <f ca="1">IFERROR(__xludf.DUMMYFUNCTION("""COMPUTED_VALUE"""),4)</f>
        <v>4</v>
      </c>
      <c r="Q385" s="4">
        <f ca="1">IFERROR(__xludf.DUMMYFUNCTION("""COMPUTED_VALUE"""),4)</f>
        <v>4</v>
      </c>
      <c r="R385" s="4">
        <f ca="1">IFERROR(__xludf.DUMMYFUNCTION("""COMPUTED_VALUE"""),4)</f>
        <v>4</v>
      </c>
      <c r="S385" s="4">
        <f ca="1">IFERROR(__xludf.DUMMYFUNCTION("""COMPUTED_VALUE"""),4)</f>
        <v>4</v>
      </c>
      <c r="T385" s="4">
        <f ca="1">IFERROR(__xludf.DUMMYFUNCTION("""COMPUTED_VALUE"""),4)</f>
        <v>4</v>
      </c>
      <c r="U385" s="4">
        <f ca="1">IFERROR(__xludf.DUMMYFUNCTION("""COMPUTED_VALUE"""),5)</f>
        <v>5</v>
      </c>
      <c r="V385" s="4">
        <f ca="1">IFERROR(__xludf.DUMMYFUNCTION("""COMPUTED_VALUE"""),4)</f>
        <v>4</v>
      </c>
      <c r="W385" s="4">
        <f ca="1">IFERROR(__xludf.DUMMYFUNCTION("""COMPUTED_VALUE"""),4)</f>
        <v>4</v>
      </c>
      <c r="X385" s="4">
        <f ca="1">IFERROR(__xludf.DUMMYFUNCTION("""COMPUTED_VALUE"""),4)</f>
        <v>4</v>
      </c>
      <c r="Y385" s="4">
        <f ca="1">IFERROR(__xludf.DUMMYFUNCTION("""COMPUTED_VALUE"""),4)</f>
        <v>4</v>
      </c>
      <c r="Z385" s="4">
        <f ca="1">IFERROR(__xludf.DUMMYFUNCTION("""COMPUTED_VALUE"""),3)</f>
        <v>3</v>
      </c>
      <c r="AA385" s="4">
        <f ca="1">IFERROR(__xludf.DUMMYFUNCTION("""COMPUTED_VALUE"""),4)</f>
        <v>4</v>
      </c>
      <c r="AB385" s="4">
        <f ca="1">IFERROR(__xludf.DUMMYFUNCTION("""COMPUTED_VALUE"""),4)</f>
        <v>4</v>
      </c>
      <c r="AC385" s="4">
        <f ca="1">IFERROR(__xludf.DUMMYFUNCTION("""COMPUTED_VALUE"""),3)</f>
        <v>3</v>
      </c>
      <c r="AD385" s="4">
        <f ca="1">IFERROR(__xludf.DUMMYFUNCTION("""COMPUTED_VALUE"""),3)</f>
        <v>3</v>
      </c>
      <c r="AE385" s="4">
        <f ca="1">IFERROR(__xludf.DUMMYFUNCTION("""COMPUTED_VALUE"""),4)</f>
        <v>4</v>
      </c>
      <c r="AF385" s="4">
        <f ca="1">IFERROR(__xludf.DUMMYFUNCTION("""COMPUTED_VALUE"""),4)</f>
        <v>4</v>
      </c>
      <c r="AG385" s="4">
        <f ca="1">IFERROR(__xludf.DUMMYFUNCTION("""COMPUTED_VALUE"""),4)</f>
        <v>4</v>
      </c>
      <c r="AH385" s="4">
        <f ca="1">IFERROR(__xludf.DUMMYFUNCTION("""COMPUTED_VALUE"""),4)</f>
        <v>4</v>
      </c>
      <c r="AI385" s="4">
        <f ca="1">IFERROR(__xludf.DUMMYFUNCTION("""COMPUTED_VALUE"""),4)</f>
        <v>4</v>
      </c>
      <c r="AJ385" s="4">
        <f ca="1">IFERROR(__xludf.DUMMYFUNCTION("""COMPUTED_VALUE"""),3)</f>
        <v>3</v>
      </c>
      <c r="AK385" s="4">
        <f ca="1">IFERROR(__xludf.DUMMYFUNCTION("""COMPUTED_VALUE"""),4)</f>
        <v>4</v>
      </c>
      <c r="AL385" s="4">
        <f ca="1">IFERROR(__xludf.DUMMYFUNCTION("""COMPUTED_VALUE"""),4)</f>
        <v>4</v>
      </c>
      <c r="AM385" s="4">
        <f ca="1">IFERROR(__xludf.DUMMYFUNCTION("""COMPUTED_VALUE"""),4)</f>
        <v>4</v>
      </c>
      <c r="AN385" s="4">
        <f ca="1">IFERROR(__xludf.DUMMYFUNCTION("""COMPUTED_VALUE"""),4)</f>
        <v>4</v>
      </c>
      <c r="AO385" s="4">
        <f ca="1">IFERROR(__xludf.DUMMYFUNCTION("""COMPUTED_VALUE"""),3)</f>
        <v>3</v>
      </c>
      <c r="AP385" s="4">
        <f ca="1">IFERROR(__xludf.DUMMYFUNCTION("""COMPUTED_VALUE"""),4)</f>
        <v>4</v>
      </c>
      <c r="AQ385" s="4">
        <f ca="1">IFERROR(__xludf.DUMMYFUNCTION("""COMPUTED_VALUE"""),4)</f>
        <v>4</v>
      </c>
      <c r="AR385" s="4">
        <f ca="1">IFERROR(__xludf.DUMMYFUNCTION("""COMPUTED_VALUE"""),4)</f>
        <v>4</v>
      </c>
      <c r="AS385" s="4">
        <f ca="1">IFERROR(__xludf.DUMMYFUNCTION("""COMPUTED_VALUE"""),4)</f>
        <v>4</v>
      </c>
      <c r="AT385" s="4">
        <f ca="1">IFERROR(__xludf.DUMMYFUNCTION("""COMPUTED_VALUE"""),4)</f>
        <v>4</v>
      </c>
      <c r="AU385" s="4">
        <f ca="1">IFERROR(__xludf.DUMMYFUNCTION("""COMPUTED_VALUE"""),3)</f>
        <v>3</v>
      </c>
      <c r="AV385" s="4">
        <f ca="1">IFERROR(__xludf.DUMMYFUNCTION("""COMPUTED_VALUE"""),4)</f>
        <v>4</v>
      </c>
      <c r="AW385" s="4">
        <f ca="1">IFERROR(__xludf.DUMMYFUNCTION("""COMPUTED_VALUE"""),4)</f>
        <v>4</v>
      </c>
      <c r="AX385" s="4">
        <f ca="1">IFERROR(__xludf.DUMMYFUNCTION("""COMPUTED_VALUE"""),4)</f>
        <v>4</v>
      </c>
      <c r="AY385" s="4">
        <f ca="1">IFERROR(__xludf.DUMMYFUNCTION("""COMPUTED_VALUE"""),4)</f>
        <v>4</v>
      </c>
      <c r="AZ385" s="4">
        <f ca="1">IFERROR(__xludf.DUMMYFUNCTION("""COMPUTED_VALUE"""),4)</f>
        <v>4</v>
      </c>
      <c r="BA385" s="4">
        <f ca="1">IFERROR(__xludf.DUMMYFUNCTION("""COMPUTED_VALUE"""),4)</f>
        <v>4</v>
      </c>
      <c r="BB385" s="4">
        <f ca="1">IFERROR(__xludf.DUMMYFUNCTION("""COMPUTED_VALUE"""),4)</f>
        <v>4</v>
      </c>
      <c r="BC385" s="4">
        <f ca="1">IFERROR(__xludf.DUMMYFUNCTION("""COMPUTED_VALUE"""),4)</f>
        <v>4</v>
      </c>
      <c r="BD385" s="4">
        <f ca="1">IFERROR(__xludf.DUMMYFUNCTION("""COMPUTED_VALUE"""),4)</f>
        <v>4</v>
      </c>
      <c r="BE385" s="4">
        <f ca="1">IFERROR(__xludf.DUMMYFUNCTION("""COMPUTED_VALUE"""),4)</f>
        <v>4</v>
      </c>
      <c r="BF385" s="4">
        <f ca="1">IFERROR(__xludf.DUMMYFUNCTION("""COMPUTED_VALUE"""),4)</f>
        <v>4</v>
      </c>
      <c r="BG385" s="4">
        <f ca="1">IFERROR(__xludf.DUMMYFUNCTION("""COMPUTED_VALUE"""),3)</f>
        <v>3</v>
      </c>
      <c r="BH385" s="4">
        <f ca="1">IFERROR(__xludf.DUMMYFUNCTION("""COMPUTED_VALUE"""),4)</f>
        <v>4</v>
      </c>
      <c r="BI385" s="4">
        <f ca="1">IFERROR(__xludf.DUMMYFUNCTION("""COMPUTED_VALUE"""),4)</f>
        <v>4</v>
      </c>
      <c r="BJ385" s="4">
        <f ca="1">IFERROR(__xludf.DUMMYFUNCTION("""COMPUTED_VALUE"""),4)</f>
        <v>4</v>
      </c>
      <c r="BK385" s="4">
        <f ca="1">IFERROR(__xludf.DUMMYFUNCTION("""COMPUTED_VALUE"""),4)</f>
        <v>4</v>
      </c>
      <c r="BL385" s="4">
        <f ca="1">IFERROR(__xludf.DUMMYFUNCTION("""COMPUTED_VALUE"""),4)</f>
        <v>4</v>
      </c>
      <c r="BM385" s="4">
        <f ca="1">IFERROR(__xludf.DUMMYFUNCTION("""COMPUTED_VALUE"""),4)</f>
        <v>4</v>
      </c>
      <c r="BN385" s="4">
        <f ca="1">IFERROR(__xludf.DUMMYFUNCTION("""COMPUTED_VALUE"""),4)</f>
        <v>4</v>
      </c>
      <c r="BO385" s="4">
        <f ca="1">IFERROR(__xludf.DUMMYFUNCTION("""COMPUTED_VALUE"""),4)</f>
        <v>4</v>
      </c>
      <c r="BP385" s="4">
        <f ca="1">IFERROR(__xludf.DUMMYFUNCTION("""COMPUTED_VALUE"""),4)</f>
        <v>4</v>
      </c>
    </row>
    <row r="386" spans="1:68" ht="13.2" x14ac:dyDescent="0.25">
      <c r="A386" s="4" t="str">
        <f ca="1">IFERROR(__xludf.DUMMYFUNCTION("""COMPUTED_VALUE"""),"2_ABaOnufWsn99Os3xds0eH7AyprLgnVOy3np-tcu1BeUUZZbo_BVEbNKLqFKQ4GfxIQ")</f>
        <v>2_ABaOnufWsn99Os3xds0eH7AyprLgnVOy3np-tcu1BeUUZZbo_BVEbNKLqFKQ4GfxIQ</v>
      </c>
      <c r="B386" s="5">
        <f ca="1">IFERROR(__xludf.DUMMYFUNCTION("""COMPUTED_VALUE"""),45987.6787231712)</f>
        <v>45987.678723171201</v>
      </c>
      <c r="C386" s="4" t="str">
        <f ca="1">IFERROR(__xludf.DUMMYFUNCTION("""COMPUTED_VALUE"""),"Nguyễn Thế Anh")</f>
        <v>Nguyễn Thế Anh</v>
      </c>
      <c r="D386" s="4" t="str">
        <f ca="1">IFERROR(__xludf.DUMMYFUNCTION("""COMPUTED_VALUE"""),"Nam")</f>
        <v>Nam</v>
      </c>
      <c r="E386" s="4" t="str">
        <f ca="1">IFERROR(__xludf.DUMMYFUNCTION("""COMPUTED_VALUE"""),"Công ty TNHH Hãng Kiểm toán MBA")</f>
        <v>Công ty TNHH Hãng Kiểm toán MBA</v>
      </c>
      <c r="F386" s="4" t="str">
        <f ca="1">IFERROR(__xludf.DUMMYFUNCTION("""COMPUTED_VALUE"""),"Đại học")</f>
        <v>Đại học</v>
      </c>
      <c r="G386" s="4" t="str">
        <f ca="1">IFERROR(__xludf.DUMMYFUNCTION("""COMPUTED_VALUE"""),"Trên 15 đến 20 năm")</f>
        <v>Trên 15 đến 20 năm</v>
      </c>
      <c r="H386" s="4" t="str">
        <f ca="1">IFERROR(__xludf.DUMMYFUNCTION("""COMPUTED_VALUE"""),"Ban giám đốc")</f>
        <v>Ban giám đốc</v>
      </c>
      <c r="I386" s="4">
        <f ca="1">IFERROR(__xludf.DUMMYFUNCTION("""COMPUTED_VALUE"""),5)</f>
        <v>5</v>
      </c>
      <c r="J386" s="4">
        <f ca="1">IFERROR(__xludf.DUMMYFUNCTION("""COMPUTED_VALUE"""),5)</f>
        <v>5</v>
      </c>
      <c r="K386" s="4">
        <f ca="1">IFERROR(__xludf.DUMMYFUNCTION("""COMPUTED_VALUE"""),5)</f>
        <v>5</v>
      </c>
      <c r="L386" s="4">
        <f ca="1">IFERROR(__xludf.DUMMYFUNCTION("""COMPUTED_VALUE"""),4)</f>
        <v>4</v>
      </c>
      <c r="M386" s="4">
        <f ca="1">IFERROR(__xludf.DUMMYFUNCTION("""COMPUTED_VALUE"""),4)</f>
        <v>4</v>
      </c>
      <c r="N386" s="4">
        <f ca="1">IFERROR(__xludf.DUMMYFUNCTION("""COMPUTED_VALUE"""),3)</f>
        <v>3</v>
      </c>
      <c r="O386" s="4">
        <f ca="1">IFERROR(__xludf.DUMMYFUNCTION("""COMPUTED_VALUE"""),3)</f>
        <v>3</v>
      </c>
      <c r="P386" s="4">
        <f ca="1">IFERROR(__xludf.DUMMYFUNCTION("""COMPUTED_VALUE"""),5)</f>
        <v>5</v>
      </c>
      <c r="Q386" s="4">
        <f ca="1">IFERROR(__xludf.DUMMYFUNCTION("""COMPUTED_VALUE"""),5)</f>
        <v>5</v>
      </c>
      <c r="R386" s="4">
        <f ca="1">IFERROR(__xludf.DUMMYFUNCTION("""COMPUTED_VALUE"""),5)</f>
        <v>5</v>
      </c>
      <c r="S386" s="4">
        <f ca="1">IFERROR(__xludf.DUMMYFUNCTION("""COMPUTED_VALUE"""),5)</f>
        <v>5</v>
      </c>
      <c r="T386" s="4">
        <f ca="1">IFERROR(__xludf.DUMMYFUNCTION("""COMPUTED_VALUE"""),5)</f>
        <v>5</v>
      </c>
      <c r="U386" s="4">
        <f ca="1">IFERROR(__xludf.DUMMYFUNCTION("""COMPUTED_VALUE"""),5)</f>
        <v>5</v>
      </c>
      <c r="V386" s="4">
        <f ca="1">IFERROR(__xludf.DUMMYFUNCTION("""COMPUTED_VALUE"""),5)</f>
        <v>5</v>
      </c>
      <c r="W386" s="4">
        <f ca="1">IFERROR(__xludf.DUMMYFUNCTION("""COMPUTED_VALUE"""),5)</f>
        <v>5</v>
      </c>
      <c r="X386" s="4">
        <f ca="1">IFERROR(__xludf.DUMMYFUNCTION("""COMPUTED_VALUE"""),5)</f>
        <v>5</v>
      </c>
      <c r="Y386" s="4">
        <f ca="1">IFERROR(__xludf.DUMMYFUNCTION("""COMPUTED_VALUE"""),4)</f>
        <v>4</v>
      </c>
      <c r="Z386" s="4">
        <f ca="1">IFERROR(__xludf.DUMMYFUNCTION("""COMPUTED_VALUE"""),4)</f>
        <v>4</v>
      </c>
      <c r="AA386" s="4">
        <f ca="1">IFERROR(__xludf.DUMMYFUNCTION("""COMPUTED_VALUE"""),4)</f>
        <v>4</v>
      </c>
      <c r="AB386" s="4">
        <f ca="1">IFERROR(__xludf.DUMMYFUNCTION("""COMPUTED_VALUE"""),4)</f>
        <v>4</v>
      </c>
      <c r="AC386" s="4">
        <f ca="1">IFERROR(__xludf.DUMMYFUNCTION("""COMPUTED_VALUE"""),4)</f>
        <v>4</v>
      </c>
      <c r="AD386" s="4">
        <f ca="1">IFERROR(__xludf.DUMMYFUNCTION("""COMPUTED_VALUE"""),4)</f>
        <v>4</v>
      </c>
      <c r="AE386" s="4">
        <f ca="1">IFERROR(__xludf.DUMMYFUNCTION("""COMPUTED_VALUE"""),4)</f>
        <v>4</v>
      </c>
      <c r="AF386" s="4">
        <f ca="1">IFERROR(__xludf.DUMMYFUNCTION("""COMPUTED_VALUE"""),4)</f>
        <v>4</v>
      </c>
      <c r="AG386" s="4">
        <f ca="1">IFERROR(__xludf.DUMMYFUNCTION("""COMPUTED_VALUE"""),4)</f>
        <v>4</v>
      </c>
      <c r="AH386" s="4">
        <f ca="1">IFERROR(__xludf.DUMMYFUNCTION("""COMPUTED_VALUE"""),4)</f>
        <v>4</v>
      </c>
      <c r="AI386" s="4">
        <f ca="1">IFERROR(__xludf.DUMMYFUNCTION("""COMPUTED_VALUE"""),4)</f>
        <v>4</v>
      </c>
      <c r="AJ386" s="4">
        <f ca="1">IFERROR(__xludf.DUMMYFUNCTION("""COMPUTED_VALUE"""),5)</f>
        <v>5</v>
      </c>
      <c r="AK386" s="4">
        <f ca="1">IFERROR(__xludf.DUMMYFUNCTION("""COMPUTED_VALUE"""),5)</f>
        <v>5</v>
      </c>
      <c r="AL386" s="4">
        <f ca="1">IFERROR(__xludf.DUMMYFUNCTION("""COMPUTED_VALUE"""),5)</f>
        <v>5</v>
      </c>
      <c r="AM386" s="4">
        <f ca="1">IFERROR(__xludf.DUMMYFUNCTION("""COMPUTED_VALUE"""),5)</f>
        <v>5</v>
      </c>
      <c r="AN386" s="4">
        <f ca="1">IFERROR(__xludf.DUMMYFUNCTION("""COMPUTED_VALUE"""),5)</f>
        <v>5</v>
      </c>
      <c r="AO386" s="4">
        <f ca="1">IFERROR(__xludf.DUMMYFUNCTION("""COMPUTED_VALUE"""),4)</f>
        <v>4</v>
      </c>
      <c r="AP386" s="4">
        <f ca="1">IFERROR(__xludf.DUMMYFUNCTION("""COMPUTED_VALUE"""),4)</f>
        <v>4</v>
      </c>
      <c r="AQ386" s="4">
        <f ca="1">IFERROR(__xludf.DUMMYFUNCTION("""COMPUTED_VALUE"""),4)</f>
        <v>4</v>
      </c>
      <c r="AR386" s="4">
        <f ca="1">IFERROR(__xludf.DUMMYFUNCTION("""COMPUTED_VALUE"""),4)</f>
        <v>4</v>
      </c>
      <c r="AS386" s="4">
        <f ca="1">IFERROR(__xludf.DUMMYFUNCTION("""COMPUTED_VALUE"""),4)</f>
        <v>4</v>
      </c>
      <c r="AT386" s="4">
        <f ca="1">IFERROR(__xludf.DUMMYFUNCTION("""COMPUTED_VALUE"""),4)</f>
        <v>4</v>
      </c>
      <c r="AU386" s="4">
        <f ca="1">IFERROR(__xludf.DUMMYFUNCTION("""COMPUTED_VALUE"""),4)</f>
        <v>4</v>
      </c>
      <c r="AV386" s="4">
        <f ca="1">IFERROR(__xludf.DUMMYFUNCTION("""COMPUTED_VALUE"""),4)</f>
        <v>4</v>
      </c>
      <c r="AW386" s="4">
        <f ca="1">IFERROR(__xludf.DUMMYFUNCTION("""COMPUTED_VALUE"""),4)</f>
        <v>4</v>
      </c>
      <c r="AX386" s="4">
        <f ca="1">IFERROR(__xludf.DUMMYFUNCTION("""COMPUTED_VALUE"""),5)</f>
        <v>5</v>
      </c>
      <c r="AY386" s="4">
        <f ca="1">IFERROR(__xludf.DUMMYFUNCTION("""COMPUTED_VALUE"""),5)</f>
        <v>5</v>
      </c>
      <c r="AZ386" s="4">
        <f ca="1">IFERROR(__xludf.DUMMYFUNCTION("""COMPUTED_VALUE"""),5)</f>
        <v>5</v>
      </c>
      <c r="BA386" s="4">
        <f ca="1">IFERROR(__xludf.DUMMYFUNCTION("""COMPUTED_VALUE"""),5)</f>
        <v>5</v>
      </c>
      <c r="BB386" s="4">
        <f ca="1">IFERROR(__xludf.DUMMYFUNCTION("""COMPUTED_VALUE"""),5)</f>
        <v>5</v>
      </c>
      <c r="BC386" s="4">
        <f ca="1">IFERROR(__xludf.DUMMYFUNCTION("""COMPUTED_VALUE"""),5)</f>
        <v>5</v>
      </c>
      <c r="BD386" s="4">
        <f ca="1">IFERROR(__xludf.DUMMYFUNCTION("""COMPUTED_VALUE"""),5)</f>
        <v>5</v>
      </c>
      <c r="BE386" s="4">
        <f ca="1">IFERROR(__xludf.DUMMYFUNCTION("""COMPUTED_VALUE"""),5)</f>
        <v>5</v>
      </c>
      <c r="BF386" s="4">
        <f ca="1">IFERROR(__xludf.DUMMYFUNCTION("""COMPUTED_VALUE"""),5)</f>
        <v>5</v>
      </c>
      <c r="BG386" s="4">
        <f ca="1">IFERROR(__xludf.DUMMYFUNCTION("""COMPUTED_VALUE"""),5)</f>
        <v>5</v>
      </c>
      <c r="BH386" s="4">
        <f ca="1">IFERROR(__xludf.DUMMYFUNCTION("""COMPUTED_VALUE"""),5)</f>
        <v>5</v>
      </c>
      <c r="BI386" s="4">
        <f ca="1">IFERROR(__xludf.DUMMYFUNCTION("""COMPUTED_VALUE"""),5)</f>
        <v>5</v>
      </c>
      <c r="BJ386" s="4">
        <f ca="1">IFERROR(__xludf.DUMMYFUNCTION("""COMPUTED_VALUE"""),5)</f>
        <v>5</v>
      </c>
      <c r="BK386" s="4">
        <f ca="1">IFERROR(__xludf.DUMMYFUNCTION("""COMPUTED_VALUE"""),5)</f>
        <v>5</v>
      </c>
      <c r="BL386" s="4">
        <f ca="1">IFERROR(__xludf.DUMMYFUNCTION("""COMPUTED_VALUE"""),5)</f>
        <v>5</v>
      </c>
      <c r="BM386" s="4">
        <f ca="1">IFERROR(__xludf.DUMMYFUNCTION("""COMPUTED_VALUE"""),5)</f>
        <v>5</v>
      </c>
      <c r="BN386" s="4">
        <f ca="1">IFERROR(__xludf.DUMMYFUNCTION("""COMPUTED_VALUE"""),5)</f>
        <v>5</v>
      </c>
      <c r="BO386" s="4">
        <f ca="1">IFERROR(__xludf.DUMMYFUNCTION("""COMPUTED_VALUE"""),5)</f>
        <v>5</v>
      </c>
      <c r="BP386" s="4">
        <f ca="1">IFERROR(__xludf.DUMMYFUNCTION("""COMPUTED_VALUE"""),5)</f>
        <v>5</v>
      </c>
    </row>
    <row r="387" spans="1:68" ht="13.2" x14ac:dyDescent="0.25">
      <c r="A387" s="4" t="str">
        <f ca="1">IFERROR(__xludf.DUMMYFUNCTION("""COMPUTED_VALUE"""),"2_ABaOnucziRKEYJBAV63hZ6yXdTI8LWmu54khDOytHobsq9fjHLPk-XOgQy-JSa9aZA")</f>
        <v>2_ABaOnucziRKEYJBAV63hZ6yXdTI8LWmu54khDOytHobsq9fjHLPk-XOgQy-JSa9aZA</v>
      </c>
      <c r="B387" s="5">
        <f ca="1">IFERROR(__xludf.DUMMYFUNCTION("""COMPUTED_VALUE"""),45987.6867876041)</f>
        <v>45987.6867876041</v>
      </c>
      <c r="C387" s="4" t="str">
        <f ca="1">IFERROR(__xludf.DUMMYFUNCTION("""COMPUTED_VALUE"""),"Lê Thị Thanh Kim")</f>
        <v>Lê Thị Thanh Kim</v>
      </c>
      <c r="D387" s="4" t="str">
        <f ca="1">IFERROR(__xludf.DUMMYFUNCTION("""COMPUTED_VALUE"""),"Nữ")</f>
        <v>Nữ</v>
      </c>
      <c r="E387" s="4" t="str">
        <f ca="1">IFERROR(__xludf.DUMMYFUNCTION("""COMPUTED_VALUE"""),"Công ty TNHH Kiểm toán AVN Việt Nam")</f>
        <v>Công ty TNHH Kiểm toán AVN Việt Nam</v>
      </c>
      <c r="F387" s="4" t="str">
        <f ca="1">IFERROR(__xludf.DUMMYFUNCTION("""COMPUTED_VALUE"""),"Đại học, Chứng chỉ Kiểm toán viên")</f>
        <v>Đại học, Chứng chỉ Kiểm toán viên</v>
      </c>
      <c r="G387" s="4" t="str">
        <f ca="1">IFERROR(__xludf.DUMMYFUNCTION("""COMPUTED_VALUE"""),"Trên 15 đến 20 năm")</f>
        <v>Trên 15 đến 20 năm</v>
      </c>
      <c r="H387" s="4" t="str">
        <f ca="1">IFERROR(__xludf.DUMMYFUNCTION("""COMPUTED_VALUE"""),"Trưởng phòng")</f>
        <v>Trưởng phòng</v>
      </c>
      <c r="I387" s="4">
        <f ca="1">IFERROR(__xludf.DUMMYFUNCTION("""COMPUTED_VALUE"""),5)</f>
        <v>5</v>
      </c>
      <c r="J387" s="4">
        <f ca="1">IFERROR(__xludf.DUMMYFUNCTION("""COMPUTED_VALUE"""),5)</f>
        <v>5</v>
      </c>
      <c r="K387" s="4">
        <f ca="1">IFERROR(__xludf.DUMMYFUNCTION("""COMPUTED_VALUE"""),5)</f>
        <v>5</v>
      </c>
      <c r="L387" s="4">
        <f ca="1">IFERROR(__xludf.DUMMYFUNCTION("""COMPUTED_VALUE"""),4)</f>
        <v>4</v>
      </c>
      <c r="M387" s="4">
        <f ca="1">IFERROR(__xludf.DUMMYFUNCTION("""COMPUTED_VALUE"""),5)</f>
        <v>5</v>
      </c>
      <c r="N387" s="4">
        <f ca="1">IFERROR(__xludf.DUMMYFUNCTION("""COMPUTED_VALUE"""),4)</f>
        <v>4</v>
      </c>
      <c r="O387" s="4">
        <f ca="1">IFERROR(__xludf.DUMMYFUNCTION("""COMPUTED_VALUE"""),4)</f>
        <v>4</v>
      </c>
      <c r="P387" s="4">
        <f ca="1">IFERROR(__xludf.DUMMYFUNCTION("""COMPUTED_VALUE"""),4)</f>
        <v>4</v>
      </c>
      <c r="Q387" s="4">
        <f ca="1">IFERROR(__xludf.DUMMYFUNCTION("""COMPUTED_VALUE"""),5)</f>
        <v>5</v>
      </c>
      <c r="R387" s="4">
        <f ca="1">IFERROR(__xludf.DUMMYFUNCTION("""COMPUTED_VALUE"""),5)</f>
        <v>5</v>
      </c>
      <c r="S387" s="4">
        <f ca="1">IFERROR(__xludf.DUMMYFUNCTION("""COMPUTED_VALUE"""),5)</f>
        <v>5</v>
      </c>
      <c r="T387" s="4">
        <f ca="1">IFERROR(__xludf.DUMMYFUNCTION("""COMPUTED_VALUE"""),5)</f>
        <v>5</v>
      </c>
      <c r="U387" s="4">
        <f ca="1">IFERROR(__xludf.DUMMYFUNCTION("""COMPUTED_VALUE"""),5)</f>
        <v>5</v>
      </c>
      <c r="V387" s="4">
        <f ca="1">IFERROR(__xludf.DUMMYFUNCTION("""COMPUTED_VALUE"""),5)</f>
        <v>5</v>
      </c>
      <c r="W387" s="4">
        <f ca="1">IFERROR(__xludf.DUMMYFUNCTION("""COMPUTED_VALUE"""),4)</f>
        <v>4</v>
      </c>
      <c r="X387" s="4">
        <f ca="1">IFERROR(__xludf.DUMMYFUNCTION("""COMPUTED_VALUE"""),4)</f>
        <v>4</v>
      </c>
      <c r="Y387" s="4">
        <f ca="1">IFERROR(__xludf.DUMMYFUNCTION("""COMPUTED_VALUE"""),4)</f>
        <v>4</v>
      </c>
      <c r="Z387" s="4">
        <f ca="1">IFERROR(__xludf.DUMMYFUNCTION("""COMPUTED_VALUE"""),4)</f>
        <v>4</v>
      </c>
      <c r="AA387" s="4">
        <f ca="1">IFERROR(__xludf.DUMMYFUNCTION("""COMPUTED_VALUE"""),4)</f>
        <v>4</v>
      </c>
      <c r="AB387" s="4">
        <f ca="1">IFERROR(__xludf.DUMMYFUNCTION("""COMPUTED_VALUE"""),4)</f>
        <v>4</v>
      </c>
      <c r="AC387" s="4">
        <f ca="1">IFERROR(__xludf.DUMMYFUNCTION("""COMPUTED_VALUE"""),4)</f>
        <v>4</v>
      </c>
      <c r="AD387" s="4">
        <f ca="1">IFERROR(__xludf.DUMMYFUNCTION("""COMPUTED_VALUE"""),4)</f>
        <v>4</v>
      </c>
      <c r="AE387" s="4">
        <f ca="1">IFERROR(__xludf.DUMMYFUNCTION("""COMPUTED_VALUE"""),4)</f>
        <v>4</v>
      </c>
      <c r="AF387" s="4">
        <f ca="1">IFERROR(__xludf.DUMMYFUNCTION("""COMPUTED_VALUE"""),4)</f>
        <v>4</v>
      </c>
      <c r="AG387" s="4">
        <f ca="1">IFERROR(__xludf.DUMMYFUNCTION("""COMPUTED_VALUE"""),4)</f>
        <v>4</v>
      </c>
      <c r="AH387" s="4">
        <f ca="1">IFERROR(__xludf.DUMMYFUNCTION("""COMPUTED_VALUE"""),4)</f>
        <v>4</v>
      </c>
      <c r="AI387" s="4">
        <f ca="1">IFERROR(__xludf.DUMMYFUNCTION("""COMPUTED_VALUE"""),4)</f>
        <v>4</v>
      </c>
      <c r="AJ387" s="4">
        <f ca="1">IFERROR(__xludf.DUMMYFUNCTION("""COMPUTED_VALUE"""),5)</f>
        <v>5</v>
      </c>
      <c r="AK387" s="4">
        <f ca="1">IFERROR(__xludf.DUMMYFUNCTION("""COMPUTED_VALUE"""),5)</f>
        <v>5</v>
      </c>
      <c r="AL387" s="4">
        <f ca="1">IFERROR(__xludf.DUMMYFUNCTION("""COMPUTED_VALUE"""),5)</f>
        <v>5</v>
      </c>
      <c r="AM387" s="4">
        <f ca="1">IFERROR(__xludf.DUMMYFUNCTION("""COMPUTED_VALUE"""),5)</f>
        <v>5</v>
      </c>
      <c r="AN387" s="4">
        <f ca="1">IFERROR(__xludf.DUMMYFUNCTION("""COMPUTED_VALUE"""),5)</f>
        <v>5</v>
      </c>
      <c r="AO387" s="4">
        <f ca="1">IFERROR(__xludf.DUMMYFUNCTION("""COMPUTED_VALUE"""),4)</f>
        <v>4</v>
      </c>
      <c r="AP387" s="4">
        <f ca="1">IFERROR(__xludf.DUMMYFUNCTION("""COMPUTED_VALUE"""),3)</f>
        <v>3</v>
      </c>
      <c r="AQ387" s="4">
        <f ca="1">IFERROR(__xludf.DUMMYFUNCTION("""COMPUTED_VALUE"""),4)</f>
        <v>4</v>
      </c>
      <c r="AR387" s="4">
        <f ca="1">IFERROR(__xludf.DUMMYFUNCTION("""COMPUTED_VALUE"""),4)</f>
        <v>4</v>
      </c>
      <c r="AS387" s="4">
        <f ca="1">IFERROR(__xludf.DUMMYFUNCTION("""COMPUTED_VALUE"""),4)</f>
        <v>4</v>
      </c>
      <c r="AT387" s="4">
        <f ca="1">IFERROR(__xludf.DUMMYFUNCTION("""COMPUTED_VALUE"""),3)</f>
        <v>3</v>
      </c>
      <c r="AU387" s="4">
        <f ca="1">IFERROR(__xludf.DUMMYFUNCTION("""COMPUTED_VALUE"""),4)</f>
        <v>4</v>
      </c>
      <c r="AV387" s="4">
        <f ca="1">IFERROR(__xludf.DUMMYFUNCTION("""COMPUTED_VALUE"""),4)</f>
        <v>4</v>
      </c>
      <c r="AW387" s="4">
        <f ca="1">IFERROR(__xludf.DUMMYFUNCTION("""COMPUTED_VALUE"""),4)</f>
        <v>4</v>
      </c>
      <c r="AX387" s="4">
        <f ca="1">IFERROR(__xludf.DUMMYFUNCTION("""COMPUTED_VALUE"""),5)</f>
        <v>5</v>
      </c>
      <c r="AY387" s="4">
        <f ca="1">IFERROR(__xludf.DUMMYFUNCTION("""COMPUTED_VALUE"""),5)</f>
        <v>5</v>
      </c>
      <c r="AZ387" s="4">
        <f ca="1">IFERROR(__xludf.DUMMYFUNCTION("""COMPUTED_VALUE"""),5)</f>
        <v>5</v>
      </c>
      <c r="BA387" s="4">
        <f ca="1">IFERROR(__xludf.DUMMYFUNCTION("""COMPUTED_VALUE"""),5)</f>
        <v>5</v>
      </c>
      <c r="BB387" s="4">
        <f ca="1">IFERROR(__xludf.DUMMYFUNCTION("""COMPUTED_VALUE"""),3)</f>
        <v>3</v>
      </c>
      <c r="BC387" s="4">
        <f ca="1">IFERROR(__xludf.DUMMYFUNCTION("""COMPUTED_VALUE"""),3)</f>
        <v>3</v>
      </c>
      <c r="BD387" s="4">
        <f ca="1">IFERROR(__xludf.DUMMYFUNCTION("""COMPUTED_VALUE"""),3)</f>
        <v>3</v>
      </c>
      <c r="BE387" s="4">
        <f ca="1">IFERROR(__xludf.DUMMYFUNCTION("""COMPUTED_VALUE"""),3)</f>
        <v>3</v>
      </c>
      <c r="BF387" s="4">
        <f ca="1">IFERROR(__xludf.DUMMYFUNCTION("""COMPUTED_VALUE"""),3)</f>
        <v>3</v>
      </c>
      <c r="BG387" s="4">
        <f ca="1">IFERROR(__xludf.DUMMYFUNCTION("""COMPUTED_VALUE"""),3)</f>
        <v>3</v>
      </c>
      <c r="BH387" s="4">
        <f ca="1">IFERROR(__xludf.DUMMYFUNCTION("""COMPUTED_VALUE"""),5)</f>
        <v>5</v>
      </c>
      <c r="BI387" s="4">
        <f ca="1">IFERROR(__xludf.DUMMYFUNCTION("""COMPUTED_VALUE"""),5)</f>
        <v>5</v>
      </c>
      <c r="BJ387" s="4">
        <f ca="1">IFERROR(__xludf.DUMMYFUNCTION("""COMPUTED_VALUE"""),5)</f>
        <v>5</v>
      </c>
      <c r="BK387" s="4">
        <f ca="1">IFERROR(__xludf.DUMMYFUNCTION("""COMPUTED_VALUE"""),5)</f>
        <v>5</v>
      </c>
      <c r="BL387" s="4">
        <f ca="1">IFERROR(__xludf.DUMMYFUNCTION("""COMPUTED_VALUE"""),5)</f>
        <v>5</v>
      </c>
      <c r="BM387" s="4">
        <f ca="1">IFERROR(__xludf.DUMMYFUNCTION("""COMPUTED_VALUE"""),5)</f>
        <v>5</v>
      </c>
      <c r="BN387" s="4">
        <f ca="1">IFERROR(__xludf.DUMMYFUNCTION("""COMPUTED_VALUE"""),5)</f>
        <v>5</v>
      </c>
      <c r="BO387" s="4">
        <f ca="1">IFERROR(__xludf.DUMMYFUNCTION("""COMPUTED_VALUE"""),5)</f>
        <v>5</v>
      </c>
      <c r="BP387" s="4">
        <f ca="1">IFERROR(__xludf.DUMMYFUNCTION("""COMPUTED_VALUE"""),4)</f>
        <v>4</v>
      </c>
    </row>
    <row r="388" spans="1:68" ht="13.2" x14ac:dyDescent="0.25">
      <c r="A388" s="4" t="str">
        <f ca="1">IFERROR(__xludf.DUMMYFUNCTION("""COMPUTED_VALUE"""),"2_ABaOnuf1e8drvjandk0OUhbu1ZOhihzUuCs28XCMeBCu2gs564MsnZLoKYTBKLFUUg")</f>
        <v>2_ABaOnuf1e8drvjandk0OUhbu1ZOhihzUuCs28XCMeBCu2gs564MsnZLoKYTBKLFUUg</v>
      </c>
      <c r="B388" s="5">
        <f ca="1">IFERROR(__xludf.DUMMYFUNCTION("""COMPUTED_VALUE"""),45987.6870437037)</f>
        <v>45987.6870437037</v>
      </c>
      <c r="C388" s="4" t="str">
        <f ca="1">IFERROR(__xludf.DUMMYFUNCTION("""COMPUTED_VALUE"""),"Lý Công Thành")</f>
        <v>Lý Công Thành</v>
      </c>
      <c r="D388" s="4" t="str">
        <f ca="1">IFERROR(__xludf.DUMMYFUNCTION("""COMPUTED_VALUE"""),"Nam")</f>
        <v>Nam</v>
      </c>
      <c r="E388" s="4" t="str">
        <f ca="1">IFERROR(__xludf.DUMMYFUNCTION("""COMPUTED_VALUE"""),"Công ty TNHH Kiểm toán FPF")</f>
        <v>Công ty TNHH Kiểm toán FPF</v>
      </c>
      <c r="F388" s="4" t="str">
        <f ca="1">IFERROR(__xludf.DUMMYFUNCTION("""COMPUTED_VALUE"""),"Chứng chỉ Kiểm toán viên")</f>
        <v>Chứng chỉ Kiểm toán viên</v>
      </c>
      <c r="G388" s="4" t="str">
        <f ca="1">IFERROR(__xludf.DUMMYFUNCTION("""COMPUTED_VALUE"""),"Trên 5 đến 10 năm")</f>
        <v>Trên 5 đến 10 năm</v>
      </c>
      <c r="H388" s="4" t="str">
        <f ca="1">IFERROR(__xludf.DUMMYFUNCTION("""COMPUTED_VALUE"""),"Ban giám đốc")</f>
        <v>Ban giám đốc</v>
      </c>
      <c r="I388" s="4">
        <f ca="1">IFERROR(__xludf.DUMMYFUNCTION("""COMPUTED_VALUE"""),5)</f>
        <v>5</v>
      </c>
      <c r="J388" s="4">
        <f ca="1">IFERROR(__xludf.DUMMYFUNCTION("""COMPUTED_VALUE"""),4)</f>
        <v>4</v>
      </c>
      <c r="K388" s="4">
        <f ca="1">IFERROR(__xludf.DUMMYFUNCTION("""COMPUTED_VALUE"""),4)</f>
        <v>4</v>
      </c>
      <c r="L388" s="4">
        <f ca="1">IFERROR(__xludf.DUMMYFUNCTION("""COMPUTED_VALUE"""),4)</f>
        <v>4</v>
      </c>
      <c r="M388" s="4">
        <f ca="1">IFERROR(__xludf.DUMMYFUNCTION("""COMPUTED_VALUE"""),4)</f>
        <v>4</v>
      </c>
      <c r="N388" s="4">
        <f ca="1">IFERROR(__xludf.DUMMYFUNCTION("""COMPUTED_VALUE"""),3)</f>
        <v>3</v>
      </c>
      <c r="O388" s="4">
        <f ca="1">IFERROR(__xludf.DUMMYFUNCTION("""COMPUTED_VALUE"""),3)</f>
        <v>3</v>
      </c>
      <c r="P388" s="4">
        <f ca="1">IFERROR(__xludf.DUMMYFUNCTION("""COMPUTED_VALUE"""),5)</f>
        <v>5</v>
      </c>
      <c r="Q388" s="4">
        <f ca="1">IFERROR(__xludf.DUMMYFUNCTION("""COMPUTED_VALUE"""),5)</f>
        <v>5</v>
      </c>
      <c r="R388" s="4">
        <f ca="1">IFERROR(__xludf.DUMMYFUNCTION("""COMPUTED_VALUE"""),5)</f>
        <v>5</v>
      </c>
      <c r="S388" s="4">
        <f ca="1">IFERROR(__xludf.DUMMYFUNCTION("""COMPUTED_VALUE"""),4)</f>
        <v>4</v>
      </c>
      <c r="T388" s="4">
        <f ca="1">IFERROR(__xludf.DUMMYFUNCTION("""COMPUTED_VALUE"""),4)</f>
        <v>4</v>
      </c>
      <c r="U388" s="4">
        <f ca="1">IFERROR(__xludf.DUMMYFUNCTION("""COMPUTED_VALUE"""),5)</f>
        <v>5</v>
      </c>
      <c r="V388" s="4">
        <f ca="1">IFERROR(__xludf.DUMMYFUNCTION("""COMPUTED_VALUE"""),4)</f>
        <v>4</v>
      </c>
      <c r="W388" s="4">
        <f ca="1">IFERROR(__xludf.DUMMYFUNCTION("""COMPUTED_VALUE"""),3)</f>
        <v>3</v>
      </c>
      <c r="X388" s="4">
        <f ca="1">IFERROR(__xludf.DUMMYFUNCTION("""COMPUTED_VALUE"""),3)</f>
        <v>3</v>
      </c>
      <c r="Y388" s="4">
        <f ca="1">IFERROR(__xludf.DUMMYFUNCTION("""COMPUTED_VALUE"""),5)</f>
        <v>5</v>
      </c>
      <c r="Z388" s="4">
        <f ca="1">IFERROR(__xludf.DUMMYFUNCTION("""COMPUTED_VALUE"""),5)</f>
        <v>5</v>
      </c>
      <c r="AA388" s="4">
        <f ca="1">IFERROR(__xludf.DUMMYFUNCTION("""COMPUTED_VALUE"""),3)</f>
        <v>3</v>
      </c>
      <c r="AB388" s="4">
        <f ca="1">IFERROR(__xludf.DUMMYFUNCTION("""COMPUTED_VALUE"""),4)</f>
        <v>4</v>
      </c>
      <c r="AC388" s="4">
        <f ca="1">IFERROR(__xludf.DUMMYFUNCTION("""COMPUTED_VALUE"""),4)</f>
        <v>4</v>
      </c>
      <c r="AD388" s="4">
        <f ca="1">IFERROR(__xludf.DUMMYFUNCTION("""COMPUTED_VALUE"""),4)</f>
        <v>4</v>
      </c>
      <c r="AE388" s="4">
        <f ca="1">IFERROR(__xludf.DUMMYFUNCTION("""COMPUTED_VALUE"""),3)</f>
        <v>3</v>
      </c>
      <c r="AF388" s="4">
        <f ca="1">IFERROR(__xludf.DUMMYFUNCTION("""COMPUTED_VALUE"""),3)</f>
        <v>3</v>
      </c>
      <c r="AG388" s="4">
        <f ca="1">IFERROR(__xludf.DUMMYFUNCTION("""COMPUTED_VALUE"""),4)</f>
        <v>4</v>
      </c>
      <c r="AH388" s="4">
        <f ca="1">IFERROR(__xludf.DUMMYFUNCTION("""COMPUTED_VALUE"""),4)</f>
        <v>4</v>
      </c>
      <c r="AI388" s="4">
        <f ca="1">IFERROR(__xludf.DUMMYFUNCTION("""COMPUTED_VALUE"""),4)</f>
        <v>4</v>
      </c>
      <c r="AJ388" s="4">
        <f ca="1">IFERROR(__xludf.DUMMYFUNCTION("""COMPUTED_VALUE"""),4)</f>
        <v>4</v>
      </c>
      <c r="AK388" s="4">
        <f ca="1">IFERROR(__xludf.DUMMYFUNCTION("""COMPUTED_VALUE"""),4)</f>
        <v>4</v>
      </c>
      <c r="AL388" s="4">
        <f ca="1">IFERROR(__xludf.DUMMYFUNCTION("""COMPUTED_VALUE"""),5)</f>
        <v>5</v>
      </c>
      <c r="AM388" s="4">
        <f ca="1">IFERROR(__xludf.DUMMYFUNCTION("""COMPUTED_VALUE"""),5)</f>
        <v>5</v>
      </c>
      <c r="AN388" s="4">
        <f ca="1">IFERROR(__xludf.DUMMYFUNCTION("""COMPUTED_VALUE"""),3)</f>
        <v>3</v>
      </c>
      <c r="AO388" s="4">
        <f ca="1">IFERROR(__xludf.DUMMYFUNCTION("""COMPUTED_VALUE"""),3)</f>
        <v>3</v>
      </c>
      <c r="AP388" s="4">
        <f ca="1">IFERROR(__xludf.DUMMYFUNCTION("""COMPUTED_VALUE"""),4)</f>
        <v>4</v>
      </c>
      <c r="AQ388" s="4">
        <f ca="1">IFERROR(__xludf.DUMMYFUNCTION("""COMPUTED_VALUE"""),3)</f>
        <v>3</v>
      </c>
      <c r="AR388" s="4">
        <f ca="1">IFERROR(__xludf.DUMMYFUNCTION("""COMPUTED_VALUE"""),4)</f>
        <v>4</v>
      </c>
      <c r="AS388" s="4">
        <f ca="1">IFERROR(__xludf.DUMMYFUNCTION("""COMPUTED_VALUE"""),4)</f>
        <v>4</v>
      </c>
      <c r="AT388" s="4">
        <f ca="1">IFERROR(__xludf.DUMMYFUNCTION("""COMPUTED_VALUE"""),5)</f>
        <v>5</v>
      </c>
      <c r="AU388" s="4">
        <f ca="1">IFERROR(__xludf.DUMMYFUNCTION("""COMPUTED_VALUE"""),5)</f>
        <v>5</v>
      </c>
      <c r="AV388" s="4">
        <f ca="1">IFERROR(__xludf.DUMMYFUNCTION("""COMPUTED_VALUE"""),4)</f>
        <v>4</v>
      </c>
      <c r="AW388" s="4">
        <f ca="1">IFERROR(__xludf.DUMMYFUNCTION("""COMPUTED_VALUE"""),4)</f>
        <v>4</v>
      </c>
      <c r="AX388" s="4">
        <f ca="1">IFERROR(__xludf.DUMMYFUNCTION("""COMPUTED_VALUE"""),5)</f>
        <v>5</v>
      </c>
      <c r="AY388" s="4">
        <f ca="1">IFERROR(__xludf.DUMMYFUNCTION("""COMPUTED_VALUE"""),4)</f>
        <v>4</v>
      </c>
      <c r="AZ388" s="4">
        <f ca="1">IFERROR(__xludf.DUMMYFUNCTION("""COMPUTED_VALUE"""),3)</f>
        <v>3</v>
      </c>
      <c r="BA388" s="4">
        <f ca="1">IFERROR(__xludf.DUMMYFUNCTION("""COMPUTED_VALUE"""),4)</f>
        <v>4</v>
      </c>
      <c r="BB388" s="4">
        <f ca="1">IFERROR(__xludf.DUMMYFUNCTION("""COMPUTED_VALUE"""),4)</f>
        <v>4</v>
      </c>
      <c r="BC388" s="4">
        <f ca="1">IFERROR(__xludf.DUMMYFUNCTION("""COMPUTED_VALUE"""),4)</f>
        <v>4</v>
      </c>
      <c r="BD388" s="4">
        <f ca="1">IFERROR(__xludf.DUMMYFUNCTION("""COMPUTED_VALUE"""),3)</f>
        <v>3</v>
      </c>
      <c r="BE388" s="4">
        <f ca="1">IFERROR(__xludf.DUMMYFUNCTION("""COMPUTED_VALUE"""),4)</f>
        <v>4</v>
      </c>
      <c r="BF388" s="4">
        <f ca="1">IFERROR(__xludf.DUMMYFUNCTION("""COMPUTED_VALUE"""),5)</f>
        <v>5</v>
      </c>
      <c r="BG388" s="4">
        <f ca="1">IFERROR(__xludf.DUMMYFUNCTION("""COMPUTED_VALUE"""),4)</f>
        <v>4</v>
      </c>
      <c r="BH388" s="4">
        <f ca="1">IFERROR(__xludf.DUMMYFUNCTION("""COMPUTED_VALUE"""),4)</f>
        <v>4</v>
      </c>
      <c r="BI388" s="4">
        <f ca="1">IFERROR(__xludf.DUMMYFUNCTION("""COMPUTED_VALUE"""),4)</f>
        <v>4</v>
      </c>
      <c r="BJ388" s="4">
        <f ca="1">IFERROR(__xludf.DUMMYFUNCTION("""COMPUTED_VALUE"""),4)</f>
        <v>4</v>
      </c>
      <c r="BK388" s="4">
        <f ca="1">IFERROR(__xludf.DUMMYFUNCTION("""COMPUTED_VALUE"""),4)</f>
        <v>4</v>
      </c>
      <c r="BL388" s="4">
        <f ca="1">IFERROR(__xludf.DUMMYFUNCTION("""COMPUTED_VALUE"""),4)</f>
        <v>4</v>
      </c>
      <c r="BM388" s="4">
        <f ca="1">IFERROR(__xludf.DUMMYFUNCTION("""COMPUTED_VALUE"""),4)</f>
        <v>4</v>
      </c>
      <c r="BN388" s="4">
        <f ca="1">IFERROR(__xludf.DUMMYFUNCTION("""COMPUTED_VALUE"""),3)</f>
        <v>3</v>
      </c>
      <c r="BO388" s="4">
        <f ca="1">IFERROR(__xludf.DUMMYFUNCTION("""COMPUTED_VALUE"""),5)</f>
        <v>5</v>
      </c>
      <c r="BP388" s="4">
        <f ca="1">IFERROR(__xludf.DUMMYFUNCTION("""COMPUTED_VALUE"""),5)</f>
        <v>5</v>
      </c>
    </row>
    <row r="389" spans="1:68" ht="13.2" x14ac:dyDescent="0.25">
      <c r="A389" s="4" t="str">
        <f ca="1">IFERROR(__xludf.DUMMYFUNCTION("""COMPUTED_VALUE"""),"2_ABaOnucZpKlazoMPrWnBNj9Ce05Cyvep2VSQnd2F5mYNaNvUQ7INasjd4s-eYLG-LQ")</f>
        <v>2_ABaOnucZpKlazoMPrWnBNj9Ce05Cyvep2VSQnd2F5mYNaNvUQ7INasjd4s-eYLG-LQ</v>
      </c>
      <c r="B389" s="5">
        <f ca="1">IFERROR(__xludf.DUMMYFUNCTION("""COMPUTED_VALUE"""),45987.6923227546)</f>
        <v>45987.692322754599</v>
      </c>
      <c r="C389" s="4" t="str">
        <f ca="1">IFERROR(__xludf.DUMMYFUNCTION("""COMPUTED_VALUE"""),"Nguyễn Tiến Hưng")</f>
        <v>Nguyễn Tiến Hưng</v>
      </c>
      <c r="D389" s="4" t="str">
        <f ca="1">IFERROR(__xludf.DUMMYFUNCTION("""COMPUTED_VALUE"""),"Nam")</f>
        <v>Nam</v>
      </c>
      <c r="E389" s="4" t="str">
        <f ca="1">IFERROR(__xludf.DUMMYFUNCTION("""COMPUTED_VALUE"""),"Công ty TNHH Kiểm toán Sao Việt")</f>
        <v>Công ty TNHH Kiểm toán Sao Việt</v>
      </c>
      <c r="F389" s="4" t="str">
        <f ca="1">IFERROR(__xludf.DUMMYFUNCTION("""COMPUTED_VALUE"""),"Đại học, Sau đại học")</f>
        <v>Đại học, Sau đại học</v>
      </c>
      <c r="G389" s="4" t="str">
        <f ca="1">IFERROR(__xludf.DUMMYFUNCTION("""COMPUTED_VALUE"""),"Từ 3 đến 5 năm")</f>
        <v>Từ 3 đến 5 năm</v>
      </c>
      <c r="H389" s="4" t="str">
        <f ca="1">IFERROR(__xludf.DUMMYFUNCTION("""COMPUTED_VALUE"""),"Trợ lý kiểm toán")</f>
        <v>Trợ lý kiểm toán</v>
      </c>
      <c r="I389" s="4">
        <f ca="1">IFERROR(__xludf.DUMMYFUNCTION("""COMPUTED_VALUE"""),5)</f>
        <v>5</v>
      </c>
      <c r="J389" s="4">
        <f ca="1">IFERROR(__xludf.DUMMYFUNCTION("""COMPUTED_VALUE"""),4)</f>
        <v>4</v>
      </c>
      <c r="K389" s="4">
        <f ca="1">IFERROR(__xludf.DUMMYFUNCTION("""COMPUTED_VALUE"""),4)</f>
        <v>4</v>
      </c>
      <c r="L389" s="4">
        <f ca="1">IFERROR(__xludf.DUMMYFUNCTION("""COMPUTED_VALUE"""),5)</f>
        <v>5</v>
      </c>
      <c r="M389" s="4">
        <f ca="1">IFERROR(__xludf.DUMMYFUNCTION("""COMPUTED_VALUE"""),3)</f>
        <v>3</v>
      </c>
      <c r="N389" s="4">
        <f ca="1">IFERROR(__xludf.DUMMYFUNCTION("""COMPUTED_VALUE"""),3)</f>
        <v>3</v>
      </c>
      <c r="O389" s="4">
        <f ca="1">IFERROR(__xludf.DUMMYFUNCTION("""COMPUTED_VALUE"""),3)</f>
        <v>3</v>
      </c>
      <c r="P389" s="4">
        <f ca="1">IFERROR(__xludf.DUMMYFUNCTION("""COMPUTED_VALUE"""),5)</f>
        <v>5</v>
      </c>
      <c r="Q389" s="4">
        <f ca="1">IFERROR(__xludf.DUMMYFUNCTION("""COMPUTED_VALUE"""),4)</f>
        <v>4</v>
      </c>
      <c r="R389" s="4">
        <f ca="1">IFERROR(__xludf.DUMMYFUNCTION("""COMPUTED_VALUE"""),5)</f>
        <v>5</v>
      </c>
      <c r="S389" s="4">
        <f ca="1">IFERROR(__xludf.DUMMYFUNCTION("""COMPUTED_VALUE"""),5)</f>
        <v>5</v>
      </c>
      <c r="T389" s="4">
        <f ca="1">IFERROR(__xludf.DUMMYFUNCTION("""COMPUTED_VALUE"""),5)</f>
        <v>5</v>
      </c>
      <c r="U389" s="4">
        <f ca="1">IFERROR(__xludf.DUMMYFUNCTION("""COMPUTED_VALUE"""),5)</f>
        <v>5</v>
      </c>
      <c r="V389" s="4">
        <f ca="1">IFERROR(__xludf.DUMMYFUNCTION("""COMPUTED_VALUE"""),4)</f>
        <v>4</v>
      </c>
      <c r="W389" s="4">
        <f ca="1">IFERROR(__xludf.DUMMYFUNCTION("""COMPUTED_VALUE"""),4)</f>
        <v>4</v>
      </c>
      <c r="X389" s="4">
        <f ca="1">IFERROR(__xludf.DUMMYFUNCTION("""COMPUTED_VALUE"""),5)</f>
        <v>5</v>
      </c>
      <c r="Y389" s="4">
        <f ca="1">IFERROR(__xludf.DUMMYFUNCTION("""COMPUTED_VALUE"""),5)</f>
        <v>5</v>
      </c>
      <c r="Z389" s="4">
        <f ca="1">IFERROR(__xludf.DUMMYFUNCTION("""COMPUTED_VALUE"""),2)</f>
        <v>2</v>
      </c>
      <c r="AA389" s="4">
        <f ca="1">IFERROR(__xludf.DUMMYFUNCTION("""COMPUTED_VALUE"""),3)</f>
        <v>3</v>
      </c>
      <c r="AB389" s="4">
        <f ca="1">IFERROR(__xludf.DUMMYFUNCTION("""COMPUTED_VALUE"""),4)</f>
        <v>4</v>
      </c>
      <c r="AC389" s="4">
        <f ca="1">IFERROR(__xludf.DUMMYFUNCTION("""COMPUTED_VALUE"""),4)</f>
        <v>4</v>
      </c>
      <c r="AD389" s="4">
        <f ca="1">IFERROR(__xludf.DUMMYFUNCTION("""COMPUTED_VALUE"""),4)</f>
        <v>4</v>
      </c>
      <c r="AE389" s="4">
        <f ca="1">IFERROR(__xludf.DUMMYFUNCTION("""COMPUTED_VALUE"""),5)</f>
        <v>5</v>
      </c>
      <c r="AF389" s="4">
        <f ca="1">IFERROR(__xludf.DUMMYFUNCTION("""COMPUTED_VALUE"""),4)</f>
        <v>4</v>
      </c>
      <c r="AG389" s="4">
        <f ca="1">IFERROR(__xludf.DUMMYFUNCTION("""COMPUTED_VALUE"""),4)</f>
        <v>4</v>
      </c>
      <c r="AH389" s="4">
        <f ca="1">IFERROR(__xludf.DUMMYFUNCTION("""COMPUTED_VALUE"""),4)</f>
        <v>4</v>
      </c>
      <c r="AI389" s="4">
        <f ca="1">IFERROR(__xludf.DUMMYFUNCTION("""COMPUTED_VALUE"""),4)</f>
        <v>4</v>
      </c>
      <c r="AJ389" s="4">
        <f ca="1">IFERROR(__xludf.DUMMYFUNCTION("""COMPUTED_VALUE"""),5)</f>
        <v>5</v>
      </c>
      <c r="AK389" s="4">
        <f ca="1">IFERROR(__xludf.DUMMYFUNCTION("""COMPUTED_VALUE"""),3)</f>
        <v>3</v>
      </c>
      <c r="AL389" s="4">
        <f ca="1">IFERROR(__xludf.DUMMYFUNCTION("""COMPUTED_VALUE"""),4)</f>
        <v>4</v>
      </c>
      <c r="AM389" s="4">
        <f ca="1">IFERROR(__xludf.DUMMYFUNCTION("""COMPUTED_VALUE"""),4)</f>
        <v>4</v>
      </c>
      <c r="AN389" s="4">
        <f ca="1">IFERROR(__xludf.DUMMYFUNCTION("""COMPUTED_VALUE"""),4)</f>
        <v>4</v>
      </c>
      <c r="AO389" s="4">
        <f ca="1">IFERROR(__xludf.DUMMYFUNCTION("""COMPUTED_VALUE"""),5)</f>
        <v>5</v>
      </c>
      <c r="AP389" s="4">
        <f ca="1">IFERROR(__xludf.DUMMYFUNCTION("""COMPUTED_VALUE"""),3)</f>
        <v>3</v>
      </c>
      <c r="AQ389" s="4">
        <f ca="1">IFERROR(__xludf.DUMMYFUNCTION("""COMPUTED_VALUE"""),5)</f>
        <v>5</v>
      </c>
      <c r="AR389" s="4">
        <f ca="1">IFERROR(__xludf.DUMMYFUNCTION("""COMPUTED_VALUE"""),4)</f>
        <v>4</v>
      </c>
      <c r="AS389" s="4">
        <f ca="1">IFERROR(__xludf.DUMMYFUNCTION("""COMPUTED_VALUE"""),3)</f>
        <v>3</v>
      </c>
      <c r="AT389" s="4">
        <f ca="1">IFERROR(__xludf.DUMMYFUNCTION("""COMPUTED_VALUE"""),3)</f>
        <v>3</v>
      </c>
      <c r="AU389" s="4">
        <f ca="1">IFERROR(__xludf.DUMMYFUNCTION("""COMPUTED_VALUE"""),4)</f>
        <v>4</v>
      </c>
      <c r="AV389" s="4">
        <f ca="1">IFERROR(__xludf.DUMMYFUNCTION("""COMPUTED_VALUE"""),5)</f>
        <v>5</v>
      </c>
      <c r="AW389" s="4">
        <f ca="1">IFERROR(__xludf.DUMMYFUNCTION("""COMPUTED_VALUE"""),5)</f>
        <v>5</v>
      </c>
      <c r="AX389" s="4">
        <f ca="1">IFERROR(__xludf.DUMMYFUNCTION("""COMPUTED_VALUE"""),5)</f>
        <v>5</v>
      </c>
      <c r="AY389" s="4">
        <f ca="1">IFERROR(__xludf.DUMMYFUNCTION("""COMPUTED_VALUE"""),4)</f>
        <v>4</v>
      </c>
      <c r="AZ389" s="4">
        <f ca="1">IFERROR(__xludf.DUMMYFUNCTION("""COMPUTED_VALUE"""),4)</f>
        <v>4</v>
      </c>
      <c r="BA389" s="4">
        <f ca="1">IFERROR(__xludf.DUMMYFUNCTION("""COMPUTED_VALUE"""),4)</f>
        <v>4</v>
      </c>
      <c r="BB389" s="4">
        <f ca="1">IFERROR(__xludf.DUMMYFUNCTION("""COMPUTED_VALUE"""),4)</f>
        <v>4</v>
      </c>
      <c r="BC389" s="4">
        <f ca="1">IFERROR(__xludf.DUMMYFUNCTION("""COMPUTED_VALUE"""),4)</f>
        <v>4</v>
      </c>
      <c r="BD389" s="4">
        <f ca="1">IFERROR(__xludf.DUMMYFUNCTION("""COMPUTED_VALUE"""),4)</f>
        <v>4</v>
      </c>
      <c r="BE389" s="4">
        <f ca="1">IFERROR(__xludf.DUMMYFUNCTION("""COMPUTED_VALUE"""),4)</f>
        <v>4</v>
      </c>
      <c r="BF389" s="4">
        <f ca="1">IFERROR(__xludf.DUMMYFUNCTION("""COMPUTED_VALUE"""),3)</f>
        <v>3</v>
      </c>
      <c r="BG389" s="4">
        <f ca="1">IFERROR(__xludf.DUMMYFUNCTION("""COMPUTED_VALUE"""),3)</f>
        <v>3</v>
      </c>
      <c r="BH389" s="4">
        <f ca="1">IFERROR(__xludf.DUMMYFUNCTION("""COMPUTED_VALUE"""),5)</f>
        <v>5</v>
      </c>
      <c r="BI389" s="4">
        <f ca="1">IFERROR(__xludf.DUMMYFUNCTION("""COMPUTED_VALUE"""),4)</f>
        <v>4</v>
      </c>
      <c r="BJ389" s="4">
        <f ca="1">IFERROR(__xludf.DUMMYFUNCTION("""COMPUTED_VALUE"""),4)</f>
        <v>4</v>
      </c>
      <c r="BK389" s="4">
        <f ca="1">IFERROR(__xludf.DUMMYFUNCTION("""COMPUTED_VALUE"""),4)</f>
        <v>4</v>
      </c>
      <c r="BL389" s="4">
        <f ca="1">IFERROR(__xludf.DUMMYFUNCTION("""COMPUTED_VALUE"""),4)</f>
        <v>4</v>
      </c>
      <c r="BM389" s="4">
        <f ca="1">IFERROR(__xludf.DUMMYFUNCTION("""COMPUTED_VALUE"""),5)</f>
        <v>5</v>
      </c>
      <c r="BN389" s="4">
        <f ca="1">IFERROR(__xludf.DUMMYFUNCTION("""COMPUTED_VALUE"""),5)</f>
        <v>5</v>
      </c>
      <c r="BO389" s="4">
        <f ca="1">IFERROR(__xludf.DUMMYFUNCTION("""COMPUTED_VALUE"""),4)</f>
        <v>4</v>
      </c>
      <c r="BP389" s="4">
        <f ca="1">IFERROR(__xludf.DUMMYFUNCTION("""COMPUTED_VALUE"""),4)</f>
        <v>4</v>
      </c>
    </row>
    <row r="390" spans="1:68" ht="13.2" x14ac:dyDescent="0.25">
      <c r="A390" s="4" t="str">
        <f ca="1">IFERROR(__xludf.DUMMYFUNCTION("""COMPUTED_VALUE"""),"2_ABaOnucq6sKsPc-1eR9UkT-saB-F4ken_BaaUy__baJ9_pZD-sssoNxSqskQEOIQgA")</f>
        <v>2_ABaOnucq6sKsPc-1eR9UkT-saB-F4ken_BaaUy__baJ9_pZD-sssoNxSqskQEOIQgA</v>
      </c>
      <c r="B390" s="5">
        <f ca="1">IFERROR(__xludf.DUMMYFUNCTION("""COMPUTED_VALUE"""),45987.7039996296)</f>
        <v>45987.703999629601</v>
      </c>
      <c r="C390" s="4" t="str">
        <f ca="1">IFERROR(__xludf.DUMMYFUNCTION("""COMPUTED_VALUE"""),"Lê Hoàng Tuyên")</f>
        <v>Lê Hoàng Tuyên</v>
      </c>
      <c r="D390" s="4" t="str">
        <f ca="1">IFERROR(__xludf.DUMMYFUNCTION("""COMPUTED_VALUE"""),"Nam")</f>
        <v>Nam</v>
      </c>
      <c r="E390" s="4" t="str">
        <f ca="1">IFERROR(__xludf.DUMMYFUNCTION("""COMPUTED_VALUE"""),"Công ty TNHH Kiểm toán Tư vấn Rồng Việt")</f>
        <v>Công ty TNHH Kiểm toán Tư vấn Rồng Việt</v>
      </c>
      <c r="F390" s="4" t="str">
        <f ca="1">IFERROR(__xludf.DUMMYFUNCTION("""COMPUTED_VALUE"""),"Đại học, Chứng chỉ Kiểm toán viên")</f>
        <v>Đại học, Chứng chỉ Kiểm toán viên</v>
      </c>
      <c r="G390" s="4" t="str">
        <f ca="1">IFERROR(__xludf.DUMMYFUNCTION("""COMPUTED_VALUE"""),"Trên 20 năm")</f>
        <v>Trên 20 năm</v>
      </c>
      <c r="H390" s="4" t="str">
        <f ca="1">IFERROR(__xludf.DUMMYFUNCTION("""COMPUTED_VALUE"""),"Ban giám đốc")</f>
        <v>Ban giám đốc</v>
      </c>
      <c r="I390" s="4">
        <f ca="1">IFERROR(__xludf.DUMMYFUNCTION("""COMPUTED_VALUE"""),5)</f>
        <v>5</v>
      </c>
      <c r="J390" s="4">
        <f ca="1">IFERROR(__xludf.DUMMYFUNCTION("""COMPUTED_VALUE"""),5)</f>
        <v>5</v>
      </c>
      <c r="K390" s="4">
        <f ca="1">IFERROR(__xludf.DUMMYFUNCTION("""COMPUTED_VALUE"""),5)</f>
        <v>5</v>
      </c>
      <c r="L390" s="4">
        <f ca="1">IFERROR(__xludf.DUMMYFUNCTION("""COMPUTED_VALUE"""),5)</f>
        <v>5</v>
      </c>
      <c r="M390" s="4">
        <f ca="1">IFERROR(__xludf.DUMMYFUNCTION("""COMPUTED_VALUE"""),5)</f>
        <v>5</v>
      </c>
      <c r="N390" s="4">
        <f ca="1">IFERROR(__xludf.DUMMYFUNCTION("""COMPUTED_VALUE"""),3)</f>
        <v>3</v>
      </c>
      <c r="O390" s="4">
        <f ca="1">IFERROR(__xludf.DUMMYFUNCTION("""COMPUTED_VALUE"""),3)</f>
        <v>3</v>
      </c>
      <c r="P390" s="4">
        <f ca="1">IFERROR(__xludf.DUMMYFUNCTION("""COMPUTED_VALUE"""),5)</f>
        <v>5</v>
      </c>
      <c r="Q390" s="4">
        <f ca="1">IFERROR(__xludf.DUMMYFUNCTION("""COMPUTED_VALUE"""),5)</f>
        <v>5</v>
      </c>
      <c r="R390" s="4">
        <f ca="1">IFERROR(__xludf.DUMMYFUNCTION("""COMPUTED_VALUE"""),5)</f>
        <v>5</v>
      </c>
      <c r="S390" s="4">
        <f ca="1">IFERROR(__xludf.DUMMYFUNCTION("""COMPUTED_VALUE"""),5)</f>
        <v>5</v>
      </c>
      <c r="T390" s="4">
        <f ca="1">IFERROR(__xludf.DUMMYFUNCTION("""COMPUTED_VALUE"""),5)</f>
        <v>5</v>
      </c>
      <c r="U390" s="4">
        <f ca="1">IFERROR(__xludf.DUMMYFUNCTION("""COMPUTED_VALUE"""),5)</f>
        <v>5</v>
      </c>
      <c r="V390" s="4">
        <f ca="1">IFERROR(__xludf.DUMMYFUNCTION("""COMPUTED_VALUE"""),5)</f>
        <v>5</v>
      </c>
      <c r="W390" s="4">
        <f ca="1">IFERROR(__xludf.DUMMYFUNCTION("""COMPUTED_VALUE"""),3)</f>
        <v>3</v>
      </c>
      <c r="X390" s="4">
        <f ca="1">IFERROR(__xludf.DUMMYFUNCTION("""COMPUTED_VALUE"""),3)</f>
        <v>3</v>
      </c>
      <c r="Y390" s="4">
        <f ca="1">IFERROR(__xludf.DUMMYFUNCTION("""COMPUTED_VALUE"""),3)</f>
        <v>3</v>
      </c>
      <c r="Z390" s="4">
        <f ca="1">IFERROR(__xludf.DUMMYFUNCTION("""COMPUTED_VALUE"""),3)</f>
        <v>3</v>
      </c>
      <c r="AA390" s="4">
        <f ca="1">IFERROR(__xludf.DUMMYFUNCTION("""COMPUTED_VALUE"""),5)</f>
        <v>5</v>
      </c>
      <c r="AB390" s="4">
        <f ca="1">IFERROR(__xludf.DUMMYFUNCTION("""COMPUTED_VALUE"""),5)</f>
        <v>5</v>
      </c>
      <c r="AC390" s="4">
        <f ca="1">IFERROR(__xludf.DUMMYFUNCTION("""COMPUTED_VALUE"""),5)</f>
        <v>5</v>
      </c>
      <c r="AD390" s="4">
        <f ca="1">IFERROR(__xludf.DUMMYFUNCTION("""COMPUTED_VALUE"""),4)</f>
        <v>4</v>
      </c>
      <c r="AE390" s="4">
        <f ca="1">IFERROR(__xludf.DUMMYFUNCTION("""COMPUTED_VALUE"""),5)</f>
        <v>5</v>
      </c>
      <c r="AF390" s="4">
        <f ca="1">IFERROR(__xludf.DUMMYFUNCTION("""COMPUTED_VALUE"""),5)</f>
        <v>5</v>
      </c>
      <c r="AG390" s="4">
        <f ca="1">IFERROR(__xludf.DUMMYFUNCTION("""COMPUTED_VALUE"""),5)</f>
        <v>5</v>
      </c>
      <c r="AH390" s="4">
        <f ca="1">IFERROR(__xludf.DUMMYFUNCTION("""COMPUTED_VALUE"""),5)</f>
        <v>5</v>
      </c>
      <c r="AI390" s="4">
        <f ca="1">IFERROR(__xludf.DUMMYFUNCTION("""COMPUTED_VALUE"""),5)</f>
        <v>5</v>
      </c>
      <c r="AJ390" s="4">
        <f ca="1">IFERROR(__xludf.DUMMYFUNCTION("""COMPUTED_VALUE"""),4)</f>
        <v>4</v>
      </c>
      <c r="AK390" s="4">
        <f ca="1">IFERROR(__xludf.DUMMYFUNCTION("""COMPUTED_VALUE"""),5)</f>
        <v>5</v>
      </c>
      <c r="AL390" s="4">
        <f ca="1">IFERROR(__xludf.DUMMYFUNCTION("""COMPUTED_VALUE"""),5)</f>
        <v>5</v>
      </c>
      <c r="AM390" s="4">
        <f ca="1">IFERROR(__xludf.DUMMYFUNCTION("""COMPUTED_VALUE"""),4)</f>
        <v>4</v>
      </c>
      <c r="AN390" s="4">
        <f ca="1">IFERROR(__xludf.DUMMYFUNCTION("""COMPUTED_VALUE"""),4)</f>
        <v>4</v>
      </c>
      <c r="AO390" s="4">
        <f ca="1">IFERROR(__xludf.DUMMYFUNCTION("""COMPUTED_VALUE"""),5)</f>
        <v>5</v>
      </c>
      <c r="AP390" s="4">
        <f ca="1">IFERROR(__xludf.DUMMYFUNCTION("""COMPUTED_VALUE"""),4)</f>
        <v>4</v>
      </c>
      <c r="AQ390" s="4">
        <f ca="1">IFERROR(__xludf.DUMMYFUNCTION("""COMPUTED_VALUE"""),4)</f>
        <v>4</v>
      </c>
      <c r="AR390" s="4">
        <f ca="1">IFERROR(__xludf.DUMMYFUNCTION("""COMPUTED_VALUE"""),4)</f>
        <v>4</v>
      </c>
      <c r="AS390" s="4">
        <f ca="1">IFERROR(__xludf.DUMMYFUNCTION("""COMPUTED_VALUE"""),4)</f>
        <v>4</v>
      </c>
      <c r="AT390" s="4">
        <f ca="1">IFERROR(__xludf.DUMMYFUNCTION("""COMPUTED_VALUE"""),4)</f>
        <v>4</v>
      </c>
      <c r="AU390" s="4">
        <f ca="1">IFERROR(__xludf.DUMMYFUNCTION("""COMPUTED_VALUE"""),4)</f>
        <v>4</v>
      </c>
      <c r="AV390" s="4">
        <f ca="1">IFERROR(__xludf.DUMMYFUNCTION("""COMPUTED_VALUE"""),4)</f>
        <v>4</v>
      </c>
      <c r="AW390" s="4">
        <f ca="1">IFERROR(__xludf.DUMMYFUNCTION("""COMPUTED_VALUE"""),4)</f>
        <v>4</v>
      </c>
      <c r="AX390" s="4">
        <f ca="1">IFERROR(__xludf.DUMMYFUNCTION("""COMPUTED_VALUE"""),5)</f>
        <v>5</v>
      </c>
      <c r="AY390" s="4">
        <f ca="1">IFERROR(__xludf.DUMMYFUNCTION("""COMPUTED_VALUE"""),5)</f>
        <v>5</v>
      </c>
      <c r="AZ390" s="4">
        <f ca="1">IFERROR(__xludf.DUMMYFUNCTION("""COMPUTED_VALUE"""),5)</f>
        <v>5</v>
      </c>
      <c r="BA390" s="4">
        <f ca="1">IFERROR(__xludf.DUMMYFUNCTION("""COMPUTED_VALUE"""),4)</f>
        <v>4</v>
      </c>
      <c r="BB390" s="4">
        <f ca="1">IFERROR(__xludf.DUMMYFUNCTION("""COMPUTED_VALUE"""),4)</f>
        <v>4</v>
      </c>
      <c r="BC390" s="4">
        <f ca="1">IFERROR(__xludf.DUMMYFUNCTION("""COMPUTED_VALUE"""),4)</f>
        <v>4</v>
      </c>
      <c r="BD390" s="4">
        <f ca="1">IFERROR(__xludf.DUMMYFUNCTION("""COMPUTED_VALUE"""),4)</f>
        <v>4</v>
      </c>
      <c r="BE390" s="4">
        <f ca="1">IFERROR(__xludf.DUMMYFUNCTION("""COMPUTED_VALUE"""),4)</f>
        <v>4</v>
      </c>
      <c r="BF390" s="4">
        <f ca="1">IFERROR(__xludf.DUMMYFUNCTION("""COMPUTED_VALUE"""),4)</f>
        <v>4</v>
      </c>
      <c r="BG390" s="4">
        <f ca="1">IFERROR(__xludf.DUMMYFUNCTION("""COMPUTED_VALUE"""),4)</f>
        <v>4</v>
      </c>
      <c r="BH390" s="4">
        <f ca="1">IFERROR(__xludf.DUMMYFUNCTION("""COMPUTED_VALUE"""),3)</f>
        <v>3</v>
      </c>
      <c r="BI390" s="4">
        <f ca="1">IFERROR(__xludf.DUMMYFUNCTION("""COMPUTED_VALUE"""),5)</f>
        <v>5</v>
      </c>
      <c r="BJ390" s="4">
        <f ca="1">IFERROR(__xludf.DUMMYFUNCTION("""COMPUTED_VALUE"""),5)</f>
        <v>5</v>
      </c>
      <c r="BK390" s="4">
        <f ca="1">IFERROR(__xludf.DUMMYFUNCTION("""COMPUTED_VALUE"""),4)</f>
        <v>4</v>
      </c>
      <c r="BL390" s="4">
        <f ca="1">IFERROR(__xludf.DUMMYFUNCTION("""COMPUTED_VALUE"""),3)</f>
        <v>3</v>
      </c>
      <c r="BM390" s="4">
        <f ca="1">IFERROR(__xludf.DUMMYFUNCTION("""COMPUTED_VALUE"""),3)</f>
        <v>3</v>
      </c>
      <c r="BN390" s="4">
        <f ca="1">IFERROR(__xludf.DUMMYFUNCTION("""COMPUTED_VALUE"""),4)</f>
        <v>4</v>
      </c>
      <c r="BO390" s="4">
        <f ca="1">IFERROR(__xludf.DUMMYFUNCTION("""COMPUTED_VALUE"""),5)</f>
        <v>5</v>
      </c>
      <c r="BP390" s="4">
        <f ca="1">IFERROR(__xludf.DUMMYFUNCTION("""COMPUTED_VALUE"""),5)</f>
        <v>5</v>
      </c>
    </row>
    <row r="391" spans="1:68" ht="13.2" x14ac:dyDescent="0.25">
      <c r="A391" s="4" t="str">
        <f ca="1">IFERROR(__xludf.DUMMYFUNCTION("""COMPUTED_VALUE"""),"2_ABaOnuemS3IoxT9PdPt5vvoyHyNIN0hOC0OpmRt71oUt_do4fRxLsA3v-7VfzkXXuw")</f>
        <v>2_ABaOnuemS3IoxT9PdPt5vvoyHyNIN0hOC0OpmRt71oUt_do4fRxLsA3v-7VfzkXXuw</v>
      </c>
      <c r="B391" s="5">
        <f ca="1">IFERROR(__xludf.DUMMYFUNCTION("""COMPUTED_VALUE"""),45987.7072817476)</f>
        <v>45987.7072817476</v>
      </c>
      <c r="C391" s="4" t="str">
        <f ca="1">IFERROR(__xludf.DUMMYFUNCTION("""COMPUTED_VALUE"""),"Lê Mai Trúc")</f>
        <v>Lê Mai Trúc</v>
      </c>
      <c r="D391" s="4" t="str">
        <f ca="1">IFERROR(__xludf.DUMMYFUNCTION("""COMPUTED_VALUE"""),"Nữ")</f>
        <v>Nữ</v>
      </c>
      <c r="E391" s="4" t="str">
        <f ca="1">IFERROR(__xludf.DUMMYFUNCTION("""COMPUTED_VALUE"""),"Công ty TNHH Kiểm toán - Thẩm định giá và Tư vấn ECOVIS AFA VIỆT NAM")</f>
        <v>Công ty TNHH Kiểm toán - Thẩm định giá và Tư vấn ECOVIS AFA VIỆT NAM</v>
      </c>
      <c r="F391" s="4" t="str">
        <f ca="1">IFERROR(__xludf.DUMMYFUNCTION("""COMPUTED_VALUE"""),"Đại học")</f>
        <v>Đại học</v>
      </c>
      <c r="G391" s="4" t="str">
        <f ca="1">IFERROR(__xludf.DUMMYFUNCTION("""COMPUTED_VALUE"""),"Từ 3 đến 5 năm")</f>
        <v>Từ 3 đến 5 năm</v>
      </c>
      <c r="H391" s="4" t="str">
        <f ca="1">IFERROR(__xludf.DUMMYFUNCTION("""COMPUTED_VALUE"""),"Trợ lý kiểm toán")</f>
        <v>Trợ lý kiểm toán</v>
      </c>
      <c r="I391" s="4">
        <f ca="1">IFERROR(__xludf.DUMMYFUNCTION("""COMPUTED_VALUE"""),5)</f>
        <v>5</v>
      </c>
      <c r="J391" s="4">
        <f ca="1">IFERROR(__xludf.DUMMYFUNCTION("""COMPUTED_VALUE"""),5)</f>
        <v>5</v>
      </c>
      <c r="K391" s="4">
        <f ca="1">IFERROR(__xludf.DUMMYFUNCTION("""COMPUTED_VALUE"""),5)</f>
        <v>5</v>
      </c>
      <c r="L391" s="4">
        <f ca="1">IFERROR(__xludf.DUMMYFUNCTION("""COMPUTED_VALUE"""),5)</f>
        <v>5</v>
      </c>
      <c r="M391" s="4">
        <f ca="1">IFERROR(__xludf.DUMMYFUNCTION("""COMPUTED_VALUE"""),5)</f>
        <v>5</v>
      </c>
      <c r="N391" s="4">
        <f ca="1">IFERROR(__xludf.DUMMYFUNCTION("""COMPUTED_VALUE"""),5)</f>
        <v>5</v>
      </c>
      <c r="O391" s="4">
        <f ca="1">IFERROR(__xludf.DUMMYFUNCTION("""COMPUTED_VALUE"""),5)</f>
        <v>5</v>
      </c>
      <c r="P391" s="4">
        <f ca="1">IFERROR(__xludf.DUMMYFUNCTION("""COMPUTED_VALUE"""),5)</f>
        <v>5</v>
      </c>
      <c r="Q391" s="4">
        <f ca="1">IFERROR(__xludf.DUMMYFUNCTION("""COMPUTED_VALUE"""),5)</f>
        <v>5</v>
      </c>
      <c r="R391" s="4">
        <f ca="1">IFERROR(__xludf.DUMMYFUNCTION("""COMPUTED_VALUE"""),5)</f>
        <v>5</v>
      </c>
      <c r="S391" s="4">
        <f ca="1">IFERROR(__xludf.DUMMYFUNCTION("""COMPUTED_VALUE"""),5)</f>
        <v>5</v>
      </c>
      <c r="T391" s="4">
        <f ca="1">IFERROR(__xludf.DUMMYFUNCTION("""COMPUTED_VALUE"""),4)</f>
        <v>4</v>
      </c>
      <c r="U391" s="4">
        <f ca="1">IFERROR(__xludf.DUMMYFUNCTION("""COMPUTED_VALUE"""),5)</f>
        <v>5</v>
      </c>
      <c r="V391" s="4">
        <f ca="1">IFERROR(__xludf.DUMMYFUNCTION("""COMPUTED_VALUE"""),4)</f>
        <v>4</v>
      </c>
      <c r="W391" s="4">
        <f ca="1">IFERROR(__xludf.DUMMYFUNCTION("""COMPUTED_VALUE"""),4)</f>
        <v>4</v>
      </c>
      <c r="X391" s="4">
        <f ca="1">IFERROR(__xludf.DUMMYFUNCTION("""COMPUTED_VALUE"""),5)</f>
        <v>5</v>
      </c>
      <c r="Y391" s="4">
        <f ca="1">IFERROR(__xludf.DUMMYFUNCTION("""COMPUTED_VALUE"""),5)</f>
        <v>5</v>
      </c>
      <c r="Z391" s="4">
        <f ca="1">IFERROR(__xludf.DUMMYFUNCTION("""COMPUTED_VALUE"""),4)</f>
        <v>4</v>
      </c>
      <c r="AA391" s="4">
        <f ca="1">IFERROR(__xludf.DUMMYFUNCTION("""COMPUTED_VALUE"""),4)</f>
        <v>4</v>
      </c>
      <c r="AB391" s="4">
        <f ca="1">IFERROR(__xludf.DUMMYFUNCTION("""COMPUTED_VALUE"""),5)</f>
        <v>5</v>
      </c>
      <c r="AC391" s="4">
        <f ca="1">IFERROR(__xludf.DUMMYFUNCTION("""COMPUTED_VALUE"""),4)</f>
        <v>4</v>
      </c>
      <c r="AD391" s="4">
        <f ca="1">IFERROR(__xludf.DUMMYFUNCTION("""COMPUTED_VALUE"""),5)</f>
        <v>5</v>
      </c>
      <c r="AE391" s="4">
        <f ca="1">IFERROR(__xludf.DUMMYFUNCTION("""COMPUTED_VALUE"""),5)</f>
        <v>5</v>
      </c>
      <c r="AF391" s="4">
        <f ca="1">IFERROR(__xludf.DUMMYFUNCTION("""COMPUTED_VALUE"""),4)</f>
        <v>4</v>
      </c>
      <c r="AG391" s="4">
        <f ca="1">IFERROR(__xludf.DUMMYFUNCTION("""COMPUTED_VALUE"""),5)</f>
        <v>5</v>
      </c>
      <c r="AH391" s="4">
        <f ca="1">IFERROR(__xludf.DUMMYFUNCTION("""COMPUTED_VALUE"""),5)</f>
        <v>5</v>
      </c>
      <c r="AI391" s="4">
        <f ca="1">IFERROR(__xludf.DUMMYFUNCTION("""COMPUTED_VALUE"""),4)</f>
        <v>4</v>
      </c>
      <c r="AJ391" s="4">
        <f ca="1">IFERROR(__xludf.DUMMYFUNCTION("""COMPUTED_VALUE"""),5)</f>
        <v>5</v>
      </c>
      <c r="AK391" s="4">
        <f ca="1">IFERROR(__xludf.DUMMYFUNCTION("""COMPUTED_VALUE"""),5)</f>
        <v>5</v>
      </c>
      <c r="AL391" s="4">
        <f ca="1">IFERROR(__xludf.DUMMYFUNCTION("""COMPUTED_VALUE"""),5)</f>
        <v>5</v>
      </c>
      <c r="AM391" s="4">
        <f ca="1">IFERROR(__xludf.DUMMYFUNCTION("""COMPUTED_VALUE"""),4)</f>
        <v>4</v>
      </c>
      <c r="AN391" s="4">
        <f ca="1">IFERROR(__xludf.DUMMYFUNCTION("""COMPUTED_VALUE"""),4)</f>
        <v>4</v>
      </c>
      <c r="AO391" s="4">
        <f ca="1">IFERROR(__xludf.DUMMYFUNCTION("""COMPUTED_VALUE"""),4)</f>
        <v>4</v>
      </c>
      <c r="AP391" s="4">
        <f ca="1">IFERROR(__xludf.DUMMYFUNCTION("""COMPUTED_VALUE"""),5)</f>
        <v>5</v>
      </c>
      <c r="AQ391" s="4">
        <f ca="1">IFERROR(__xludf.DUMMYFUNCTION("""COMPUTED_VALUE"""),4)</f>
        <v>4</v>
      </c>
      <c r="AR391" s="4">
        <f ca="1">IFERROR(__xludf.DUMMYFUNCTION("""COMPUTED_VALUE"""),4)</f>
        <v>4</v>
      </c>
      <c r="AS391" s="4">
        <f ca="1">IFERROR(__xludf.DUMMYFUNCTION("""COMPUTED_VALUE"""),5)</f>
        <v>5</v>
      </c>
      <c r="AT391" s="4">
        <f ca="1">IFERROR(__xludf.DUMMYFUNCTION("""COMPUTED_VALUE"""),5)</f>
        <v>5</v>
      </c>
      <c r="AU391" s="4">
        <f ca="1">IFERROR(__xludf.DUMMYFUNCTION("""COMPUTED_VALUE"""),5)</f>
        <v>5</v>
      </c>
      <c r="AV391" s="4">
        <f ca="1">IFERROR(__xludf.DUMMYFUNCTION("""COMPUTED_VALUE"""),5)</f>
        <v>5</v>
      </c>
      <c r="AW391" s="4">
        <f ca="1">IFERROR(__xludf.DUMMYFUNCTION("""COMPUTED_VALUE"""),4)</f>
        <v>4</v>
      </c>
      <c r="AX391" s="4">
        <f ca="1">IFERROR(__xludf.DUMMYFUNCTION("""COMPUTED_VALUE"""),5)</f>
        <v>5</v>
      </c>
      <c r="AY391" s="4">
        <f ca="1">IFERROR(__xludf.DUMMYFUNCTION("""COMPUTED_VALUE"""),4)</f>
        <v>4</v>
      </c>
      <c r="AZ391" s="4">
        <f ca="1">IFERROR(__xludf.DUMMYFUNCTION("""COMPUTED_VALUE"""),4)</f>
        <v>4</v>
      </c>
      <c r="BA391" s="4">
        <f ca="1">IFERROR(__xludf.DUMMYFUNCTION("""COMPUTED_VALUE"""),4)</f>
        <v>4</v>
      </c>
      <c r="BB391" s="4">
        <f ca="1">IFERROR(__xludf.DUMMYFUNCTION("""COMPUTED_VALUE"""),4)</f>
        <v>4</v>
      </c>
      <c r="BC391" s="4">
        <f ca="1">IFERROR(__xludf.DUMMYFUNCTION("""COMPUTED_VALUE"""),4)</f>
        <v>4</v>
      </c>
      <c r="BD391" s="4">
        <f ca="1">IFERROR(__xludf.DUMMYFUNCTION("""COMPUTED_VALUE"""),5)</f>
        <v>5</v>
      </c>
      <c r="BE391" s="4">
        <f ca="1">IFERROR(__xludf.DUMMYFUNCTION("""COMPUTED_VALUE"""),5)</f>
        <v>5</v>
      </c>
      <c r="BF391" s="4">
        <f ca="1">IFERROR(__xludf.DUMMYFUNCTION("""COMPUTED_VALUE"""),5)</f>
        <v>5</v>
      </c>
      <c r="BG391" s="4">
        <f ca="1">IFERROR(__xludf.DUMMYFUNCTION("""COMPUTED_VALUE"""),5)</f>
        <v>5</v>
      </c>
      <c r="BH391" s="4">
        <f ca="1">IFERROR(__xludf.DUMMYFUNCTION("""COMPUTED_VALUE"""),5)</f>
        <v>5</v>
      </c>
      <c r="BI391" s="4">
        <f ca="1">IFERROR(__xludf.DUMMYFUNCTION("""COMPUTED_VALUE"""),4)</f>
        <v>4</v>
      </c>
      <c r="BJ391" s="4">
        <f ca="1">IFERROR(__xludf.DUMMYFUNCTION("""COMPUTED_VALUE"""),4)</f>
        <v>4</v>
      </c>
      <c r="BK391" s="4">
        <f ca="1">IFERROR(__xludf.DUMMYFUNCTION("""COMPUTED_VALUE"""),5)</f>
        <v>5</v>
      </c>
      <c r="BL391" s="4">
        <f ca="1">IFERROR(__xludf.DUMMYFUNCTION("""COMPUTED_VALUE"""),5)</f>
        <v>5</v>
      </c>
      <c r="BM391" s="4">
        <f ca="1">IFERROR(__xludf.DUMMYFUNCTION("""COMPUTED_VALUE"""),5)</f>
        <v>5</v>
      </c>
      <c r="BN391" s="4">
        <f ca="1">IFERROR(__xludf.DUMMYFUNCTION("""COMPUTED_VALUE"""),4)</f>
        <v>4</v>
      </c>
      <c r="BO391" s="4">
        <f ca="1">IFERROR(__xludf.DUMMYFUNCTION("""COMPUTED_VALUE"""),4)</f>
        <v>4</v>
      </c>
      <c r="BP391" s="4">
        <f ca="1">IFERROR(__xludf.DUMMYFUNCTION("""COMPUTED_VALUE"""),4)</f>
        <v>4</v>
      </c>
    </row>
    <row r="392" spans="1:68" ht="13.2" x14ac:dyDescent="0.25">
      <c r="A392" s="4" t="str">
        <f ca="1">IFERROR(__xludf.DUMMYFUNCTION("""COMPUTED_VALUE"""),"2_ABaOnueeuHQo7pqCPeM_X2JF8bC8U2OPrlTaqMbnfK0x219TyFdG88SCsolyG-ygsw")</f>
        <v>2_ABaOnueeuHQo7pqCPeM_X2JF8bC8U2OPrlTaqMbnfK0x219TyFdG88SCsolyG-ygsw</v>
      </c>
      <c r="B392" s="5">
        <f ca="1">IFERROR(__xludf.DUMMYFUNCTION("""COMPUTED_VALUE"""),45987.7128885763)</f>
        <v>45987.712888576301</v>
      </c>
      <c r="C392" s="4" t="str">
        <f ca="1">IFERROR(__xludf.DUMMYFUNCTION("""COMPUTED_VALUE"""),"Kim Văn Việt")</f>
        <v>Kim Văn Việt</v>
      </c>
      <c r="D392" s="4" t="str">
        <f ca="1">IFERROR(__xludf.DUMMYFUNCTION("""COMPUTED_VALUE"""),"Nam")</f>
        <v>Nam</v>
      </c>
      <c r="E392" s="4" t="str">
        <f ca="1">IFERROR(__xludf.DUMMYFUNCTION("""COMPUTED_VALUE"""),"Công ty TNHH Kiểm toán - Thẩm định giá và Tư vấn ACOVIS AFA VIỆT NAM")</f>
        <v>Công ty TNHH Kiểm toán - Thẩm định giá và Tư vấn ACOVIS AFA VIỆT NAM</v>
      </c>
      <c r="F392" s="4" t="str">
        <f ca="1">IFERROR(__xludf.DUMMYFUNCTION("""COMPUTED_VALUE"""),"Đại học, Chứng chỉ Kiểm toán viên")</f>
        <v>Đại học, Chứng chỉ Kiểm toán viên</v>
      </c>
      <c r="G392" s="4" t="str">
        <f ca="1">IFERROR(__xludf.DUMMYFUNCTION("""COMPUTED_VALUE"""),"Trên 15 đến 20 năm")</f>
        <v>Trên 15 đến 20 năm</v>
      </c>
      <c r="H392" s="4" t="str">
        <f ca="1">IFERROR(__xludf.DUMMYFUNCTION("""COMPUTED_VALUE"""),"Trưởng phòng")</f>
        <v>Trưởng phòng</v>
      </c>
      <c r="I392" s="4">
        <f ca="1">IFERROR(__xludf.DUMMYFUNCTION("""COMPUTED_VALUE"""),4)</f>
        <v>4</v>
      </c>
      <c r="J392" s="4">
        <f ca="1">IFERROR(__xludf.DUMMYFUNCTION("""COMPUTED_VALUE"""),4)</f>
        <v>4</v>
      </c>
      <c r="K392" s="4">
        <f ca="1">IFERROR(__xludf.DUMMYFUNCTION("""COMPUTED_VALUE"""),4)</f>
        <v>4</v>
      </c>
      <c r="L392" s="4">
        <f ca="1">IFERROR(__xludf.DUMMYFUNCTION("""COMPUTED_VALUE"""),3)</f>
        <v>3</v>
      </c>
      <c r="M392" s="4">
        <f ca="1">IFERROR(__xludf.DUMMYFUNCTION("""COMPUTED_VALUE"""),4)</f>
        <v>4</v>
      </c>
      <c r="N392" s="4">
        <f ca="1">IFERROR(__xludf.DUMMYFUNCTION("""COMPUTED_VALUE"""),4)</f>
        <v>4</v>
      </c>
      <c r="O392" s="4">
        <f ca="1">IFERROR(__xludf.DUMMYFUNCTION("""COMPUTED_VALUE"""),4)</f>
        <v>4</v>
      </c>
      <c r="P392" s="4">
        <f ca="1">IFERROR(__xludf.DUMMYFUNCTION("""COMPUTED_VALUE"""),4)</f>
        <v>4</v>
      </c>
      <c r="Q392" s="4">
        <f ca="1">IFERROR(__xludf.DUMMYFUNCTION("""COMPUTED_VALUE"""),5)</f>
        <v>5</v>
      </c>
      <c r="R392" s="4">
        <f ca="1">IFERROR(__xludf.DUMMYFUNCTION("""COMPUTED_VALUE"""),4)</f>
        <v>4</v>
      </c>
      <c r="S392" s="4">
        <f ca="1">IFERROR(__xludf.DUMMYFUNCTION("""COMPUTED_VALUE"""),5)</f>
        <v>5</v>
      </c>
      <c r="T392" s="4">
        <f ca="1">IFERROR(__xludf.DUMMYFUNCTION("""COMPUTED_VALUE"""),5)</f>
        <v>5</v>
      </c>
      <c r="U392" s="4">
        <f ca="1">IFERROR(__xludf.DUMMYFUNCTION("""COMPUTED_VALUE"""),5)</f>
        <v>5</v>
      </c>
      <c r="V392" s="4">
        <f ca="1">IFERROR(__xludf.DUMMYFUNCTION("""COMPUTED_VALUE"""),4)</f>
        <v>4</v>
      </c>
      <c r="W392" s="4">
        <f ca="1">IFERROR(__xludf.DUMMYFUNCTION("""COMPUTED_VALUE"""),4)</f>
        <v>4</v>
      </c>
      <c r="X392" s="4">
        <f ca="1">IFERROR(__xludf.DUMMYFUNCTION("""COMPUTED_VALUE"""),4)</f>
        <v>4</v>
      </c>
      <c r="Y392" s="4">
        <f ca="1">IFERROR(__xludf.DUMMYFUNCTION("""COMPUTED_VALUE"""),4)</f>
        <v>4</v>
      </c>
      <c r="Z392" s="4">
        <f ca="1">IFERROR(__xludf.DUMMYFUNCTION("""COMPUTED_VALUE"""),4)</f>
        <v>4</v>
      </c>
      <c r="AA392" s="4">
        <f ca="1">IFERROR(__xludf.DUMMYFUNCTION("""COMPUTED_VALUE"""),4)</f>
        <v>4</v>
      </c>
      <c r="AB392" s="4">
        <f ca="1">IFERROR(__xludf.DUMMYFUNCTION("""COMPUTED_VALUE"""),4)</f>
        <v>4</v>
      </c>
      <c r="AC392" s="4">
        <f ca="1">IFERROR(__xludf.DUMMYFUNCTION("""COMPUTED_VALUE"""),4)</f>
        <v>4</v>
      </c>
      <c r="AD392" s="4">
        <f ca="1">IFERROR(__xludf.DUMMYFUNCTION("""COMPUTED_VALUE"""),3)</f>
        <v>3</v>
      </c>
      <c r="AE392" s="4">
        <f ca="1">IFERROR(__xludf.DUMMYFUNCTION("""COMPUTED_VALUE"""),4)</f>
        <v>4</v>
      </c>
      <c r="AF392" s="4">
        <f ca="1">IFERROR(__xludf.DUMMYFUNCTION("""COMPUTED_VALUE"""),4)</f>
        <v>4</v>
      </c>
      <c r="AG392" s="4">
        <f ca="1">IFERROR(__xludf.DUMMYFUNCTION("""COMPUTED_VALUE"""),4)</f>
        <v>4</v>
      </c>
      <c r="AH392" s="4">
        <f ca="1">IFERROR(__xludf.DUMMYFUNCTION("""COMPUTED_VALUE"""),4)</f>
        <v>4</v>
      </c>
      <c r="AI392" s="4">
        <f ca="1">IFERROR(__xludf.DUMMYFUNCTION("""COMPUTED_VALUE"""),3)</f>
        <v>3</v>
      </c>
      <c r="AJ392" s="4">
        <f ca="1">IFERROR(__xludf.DUMMYFUNCTION("""COMPUTED_VALUE"""),4)</f>
        <v>4</v>
      </c>
      <c r="AK392" s="4">
        <f ca="1">IFERROR(__xludf.DUMMYFUNCTION("""COMPUTED_VALUE"""),4)</f>
        <v>4</v>
      </c>
      <c r="AL392" s="4">
        <f ca="1">IFERROR(__xludf.DUMMYFUNCTION("""COMPUTED_VALUE"""),4)</f>
        <v>4</v>
      </c>
      <c r="AM392" s="4">
        <f ca="1">IFERROR(__xludf.DUMMYFUNCTION("""COMPUTED_VALUE"""),4)</f>
        <v>4</v>
      </c>
      <c r="AN392" s="4">
        <f ca="1">IFERROR(__xludf.DUMMYFUNCTION("""COMPUTED_VALUE"""),5)</f>
        <v>5</v>
      </c>
      <c r="AO392" s="4">
        <f ca="1">IFERROR(__xludf.DUMMYFUNCTION("""COMPUTED_VALUE"""),4)</f>
        <v>4</v>
      </c>
      <c r="AP392" s="4">
        <f ca="1">IFERROR(__xludf.DUMMYFUNCTION("""COMPUTED_VALUE"""),4)</f>
        <v>4</v>
      </c>
      <c r="AQ392" s="4">
        <f ca="1">IFERROR(__xludf.DUMMYFUNCTION("""COMPUTED_VALUE"""),4)</f>
        <v>4</v>
      </c>
      <c r="AR392" s="4">
        <f ca="1">IFERROR(__xludf.DUMMYFUNCTION("""COMPUTED_VALUE"""),4)</f>
        <v>4</v>
      </c>
      <c r="AS392" s="4">
        <f ca="1">IFERROR(__xludf.DUMMYFUNCTION("""COMPUTED_VALUE"""),4)</f>
        <v>4</v>
      </c>
      <c r="AT392" s="4">
        <f ca="1">IFERROR(__xludf.DUMMYFUNCTION("""COMPUTED_VALUE"""),3)</f>
        <v>3</v>
      </c>
      <c r="AU392" s="4">
        <f ca="1">IFERROR(__xludf.DUMMYFUNCTION("""COMPUTED_VALUE"""),4)</f>
        <v>4</v>
      </c>
      <c r="AV392" s="4">
        <f ca="1">IFERROR(__xludf.DUMMYFUNCTION("""COMPUTED_VALUE"""),4)</f>
        <v>4</v>
      </c>
      <c r="AW392" s="4">
        <f ca="1">IFERROR(__xludf.DUMMYFUNCTION("""COMPUTED_VALUE"""),4)</f>
        <v>4</v>
      </c>
      <c r="AX392" s="4">
        <f ca="1">IFERROR(__xludf.DUMMYFUNCTION("""COMPUTED_VALUE"""),4)</f>
        <v>4</v>
      </c>
      <c r="AY392" s="4">
        <f ca="1">IFERROR(__xludf.DUMMYFUNCTION("""COMPUTED_VALUE"""),4)</f>
        <v>4</v>
      </c>
      <c r="AZ392" s="4">
        <f ca="1">IFERROR(__xludf.DUMMYFUNCTION("""COMPUTED_VALUE"""),4)</f>
        <v>4</v>
      </c>
      <c r="BA392" s="4">
        <f ca="1">IFERROR(__xludf.DUMMYFUNCTION("""COMPUTED_VALUE"""),4)</f>
        <v>4</v>
      </c>
      <c r="BB392" s="4">
        <f ca="1">IFERROR(__xludf.DUMMYFUNCTION("""COMPUTED_VALUE"""),4)</f>
        <v>4</v>
      </c>
      <c r="BC392" s="4">
        <f ca="1">IFERROR(__xludf.DUMMYFUNCTION("""COMPUTED_VALUE"""),4)</f>
        <v>4</v>
      </c>
      <c r="BD392" s="4">
        <f ca="1">IFERROR(__xludf.DUMMYFUNCTION("""COMPUTED_VALUE"""),4)</f>
        <v>4</v>
      </c>
      <c r="BE392" s="4">
        <f ca="1">IFERROR(__xludf.DUMMYFUNCTION("""COMPUTED_VALUE"""),4)</f>
        <v>4</v>
      </c>
      <c r="BF392" s="4">
        <f ca="1">IFERROR(__xludf.DUMMYFUNCTION("""COMPUTED_VALUE"""),4)</f>
        <v>4</v>
      </c>
      <c r="BG392" s="4">
        <f ca="1">IFERROR(__xludf.DUMMYFUNCTION("""COMPUTED_VALUE"""),4)</f>
        <v>4</v>
      </c>
      <c r="BH392" s="4">
        <f ca="1">IFERROR(__xludf.DUMMYFUNCTION("""COMPUTED_VALUE"""),4)</f>
        <v>4</v>
      </c>
      <c r="BI392" s="4">
        <f ca="1">IFERROR(__xludf.DUMMYFUNCTION("""COMPUTED_VALUE"""),4)</f>
        <v>4</v>
      </c>
      <c r="BJ392" s="4">
        <f ca="1">IFERROR(__xludf.DUMMYFUNCTION("""COMPUTED_VALUE"""),4)</f>
        <v>4</v>
      </c>
      <c r="BK392" s="4">
        <f ca="1">IFERROR(__xludf.DUMMYFUNCTION("""COMPUTED_VALUE"""),4)</f>
        <v>4</v>
      </c>
      <c r="BL392" s="4">
        <f ca="1">IFERROR(__xludf.DUMMYFUNCTION("""COMPUTED_VALUE"""),4)</f>
        <v>4</v>
      </c>
      <c r="BM392" s="4">
        <f ca="1">IFERROR(__xludf.DUMMYFUNCTION("""COMPUTED_VALUE"""),4)</f>
        <v>4</v>
      </c>
      <c r="BN392" s="4">
        <f ca="1">IFERROR(__xludf.DUMMYFUNCTION("""COMPUTED_VALUE"""),4)</f>
        <v>4</v>
      </c>
      <c r="BO392" s="4">
        <f ca="1">IFERROR(__xludf.DUMMYFUNCTION("""COMPUTED_VALUE"""),4)</f>
        <v>4</v>
      </c>
      <c r="BP392" s="4">
        <f ca="1">IFERROR(__xludf.DUMMYFUNCTION("""COMPUTED_VALUE"""),4)</f>
        <v>4</v>
      </c>
    </row>
    <row r="393" spans="1:68" ht="13.2" x14ac:dyDescent="0.25">
      <c r="A393" s="4" t="str">
        <f ca="1">IFERROR(__xludf.DUMMYFUNCTION("""COMPUTED_VALUE"""),"2_ABaOnufn7alQBiUpsIhX8oc0NrttTjlfofn7vHIzJnH_F8jrm35BvTngBSv9AfI2ew")</f>
        <v>2_ABaOnufn7alQBiUpsIhX8oc0NrttTjlfofn7vHIzJnH_F8jrm35BvTngBSv9AfI2ew</v>
      </c>
      <c r="B393" s="5">
        <f ca="1">IFERROR(__xludf.DUMMYFUNCTION("""COMPUTED_VALUE"""),45987.7150437152)</f>
        <v>45987.715043715201</v>
      </c>
      <c r="C393" s="4" t="str">
        <f ca="1">IFERROR(__xludf.DUMMYFUNCTION("""COMPUTED_VALUE"""),"Nguyễn Quỳnh Nga")</f>
        <v>Nguyễn Quỳnh Nga</v>
      </c>
      <c r="D393" s="4" t="str">
        <f ca="1">IFERROR(__xludf.DUMMYFUNCTION("""COMPUTED_VALUE"""),"Nữ")</f>
        <v>Nữ</v>
      </c>
      <c r="E393" s="4" t="str">
        <f ca="1">IFERROR(__xludf.DUMMYFUNCTION("""COMPUTED_VALUE"""),"Công ty TNHH Kiểm toán - Thẩm định giá và tư vấn ECOVIS AFA Việt Nam")</f>
        <v>Công ty TNHH Kiểm toán - Thẩm định giá và tư vấn ECOVIS AFA Việt Nam</v>
      </c>
      <c r="F393" s="4" t="str">
        <f ca="1">IFERROR(__xludf.DUMMYFUNCTION("""COMPUTED_VALUE"""),"Đại học")</f>
        <v>Đại học</v>
      </c>
      <c r="G393" s="4" t="str">
        <f ca="1">IFERROR(__xludf.DUMMYFUNCTION("""COMPUTED_VALUE"""),"Từ 3 đến 5 năm")</f>
        <v>Từ 3 đến 5 năm</v>
      </c>
      <c r="H393" s="4" t="str">
        <f ca="1">IFERROR(__xludf.DUMMYFUNCTION("""COMPUTED_VALUE"""),"Trợ lý kiểm toán")</f>
        <v>Trợ lý kiểm toán</v>
      </c>
      <c r="I393" s="4">
        <f ca="1">IFERROR(__xludf.DUMMYFUNCTION("""COMPUTED_VALUE"""),5)</f>
        <v>5</v>
      </c>
      <c r="J393" s="4">
        <f ca="1">IFERROR(__xludf.DUMMYFUNCTION("""COMPUTED_VALUE"""),4)</f>
        <v>4</v>
      </c>
      <c r="K393" s="4">
        <f ca="1">IFERROR(__xludf.DUMMYFUNCTION("""COMPUTED_VALUE"""),5)</f>
        <v>5</v>
      </c>
      <c r="L393" s="4">
        <f ca="1">IFERROR(__xludf.DUMMYFUNCTION("""COMPUTED_VALUE"""),4)</f>
        <v>4</v>
      </c>
      <c r="M393" s="4">
        <f ca="1">IFERROR(__xludf.DUMMYFUNCTION("""COMPUTED_VALUE"""),4)</f>
        <v>4</v>
      </c>
      <c r="N393" s="4">
        <f ca="1">IFERROR(__xludf.DUMMYFUNCTION("""COMPUTED_VALUE"""),3)</f>
        <v>3</v>
      </c>
      <c r="O393" s="4">
        <f ca="1">IFERROR(__xludf.DUMMYFUNCTION("""COMPUTED_VALUE"""),4)</f>
        <v>4</v>
      </c>
      <c r="P393" s="4">
        <f ca="1">IFERROR(__xludf.DUMMYFUNCTION("""COMPUTED_VALUE"""),5)</f>
        <v>5</v>
      </c>
      <c r="Q393" s="4">
        <f ca="1">IFERROR(__xludf.DUMMYFUNCTION("""COMPUTED_VALUE"""),5)</f>
        <v>5</v>
      </c>
      <c r="R393" s="4">
        <f ca="1">IFERROR(__xludf.DUMMYFUNCTION("""COMPUTED_VALUE"""),4)</f>
        <v>4</v>
      </c>
      <c r="S393" s="4">
        <f ca="1">IFERROR(__xludf.DUMMYFUNCTION("""COMPUTED_VALUE"""),5)</f>
        <v>5</v>
      </c>
      <c r="T393" s="4">
        <f ca="1">IFERROR(__xludf.DUMMYFUNCTION("""COMPUTED_VALUE"""),5)</f>
        <v>5</v>
      </c>
      <c r="U393" s="4">
        <f ca="1">IFERROR(__xludf.DUMMYFUNCTION("""COMPUTED_VALUE"""),4)</f>
        <v>4</v>
      </c>
      <c r="V393" s="4">
        <f ca="1">IFERROR(__xludf.DUMMYFUNCTION("""COMPUTED_VALUE"""),4)</f>
        <v>4</v>
      </c>
      <c r="W393" s="4">
        <f ca="1">IFERROR(__xludf.DUMMYFUNCTION("""COMPUTED_VALUE"""),4)</f>
        <v>4</v>
      </c>
      <c r="X393" s="4">
        <f ca="1">IFERROR(__xludf.DUMMYFUNCTION("""COMPUTED_VALUE"""),4)</f>
        <v>4</v>
      </c>
      <c r="Y393" s="4">
        <f ca="1">IFERROR(__xludf.DUMMYFUNCTION("""COMPUTED_VALUE"""),5)</f>
        <v>5</v>
      </c>
      <c r="Z393" s="4">
        <f ca="1">IFERROR(__xludf.DUMMYFUNCTION("""COMPUTED_VALUE"""),4)</f>
        <v>4</v>
      </c>
      <c r="AA393" s="4">
        <f ca="1">IFERROR(__xludf.DUMMYFUNCTION("""COMPUTED_VALUE"""),5)</f>
        <v>5</v>
      </c>
      <c r="AB393" s="4">
        <f ca="1">IFERROR(__xludf.DUMMYFUNCTION("""COMPUTED_VALUE"""),5)</f>
        <v>5</v>
      </c>
      <c r="AC393" s="4">
        <f ca="1">IFERROR(__xludf.DUMMYFUNCTION("""COMPUTED_VALUE"""),5)</f>
        <v>5</v>
      </c>
      <c r="AD393" s="4">
        <f ca="1">IFERROR(__xludf.DUMMYFUNCTION("""COMPUTED_VALUE"""),5)</f>
        <v>5</v>
      </c>
      <c r="AE393" s="4">
        <f ca="1">IFERROR(__xludf.DUMMYFUNCTION("""COMPUTED_VALUE"""),5)</f>
        <v>5</v>
      </c>
      <c r="AF393" s="4">
        <f ca="1">IFERROR(__xludf.DUMMYFUNCTION("""COMPUTED_VALUE"""),5)</f>
        <v>5</v>
      </c>
      <c r="AG393" s="4">
        <f ca="1">IFERROR(__xludf.DUMMYFUNCTION("""COMPUTED_VALUE"""),5)</f>
        <v>5</v>
      </c>
      <c r="AH393" s="4">
        <f ca="1">IFERROR(__xludf.DUMMYFUNCTION("""COMPUTED_VALUE"""),4)</f>
        <v>4</v>
      </c>
      <c r="AI393" s="4">
        <f ca="1">IFERROR(__xludf.DUMMYFUNCTION("""COMPUTED_VALUE"""),3)</f>
        <v>3</v>
      </c>
      <c r="AJ393" s="4">
        <f ca="1">IFERROR(__xludf.DUMMYFUNCTION("""COMPUTED_VALUE"""),5)</f>
        <v>5</v>
      </c>
      <c r="AK393" s="4">
        <f ca="1">IFERROR(__xludf.DUMMYFUNCTION("""COMPUTED_VALUE"""),3)</f>
        <v>3</v>
      </c>
      <c r="AL393" s="4">
        <f ca="1">IFERROR(__xludf.DUMMYFUNCTION("""COMPUTED_VALUE"""),4)</f>
        <v>4</v>
      </c>
      <c r="AM393" s="4">
        <f ca="1">IFERROR(__xludf.DUMMYFUNCTION("""COMPUTED_VALUE"""),4)</f>
        <v>4</v>
      </c>
      <c r="AN393" s="4">
        <f ca="1">IFERROR(__xludf.DUMMYFUNCTION("""COMPUTED_VALUE"""),4)</f>
        <v>4</v>
      </c>
      <c r="AO393" s="4">
        <f ca="1">IFERROR(__xludf.DUMMYFUNCTION("""COMPUTED_VALUE"""),4)</f>
        <v>4</v>
      </c>
      <c r="AP393" s="4">
        <f ca="1">IFERROR(__xludf.DUMMYFUNCTION("""COMPUTED_VALUE"""),4)</f>
        <v>4</v>
      </c>
      <c r="AQ393" s="4">
        <f ca="1">IFERROR(__xludf.DUMMYFUNCTION("""COMPUTED_VALUE"""),5)</f>
        <v>5</v>
      </c>
      <c r="AR393" s="4">
        <f ca="1">IFERROR(__xludf.DUMMYFUNCTION("""COMPUTED_VALUE"""),4)</f>
        <v>4</v>
      </c>
      <c r="AS393" s="4">
        <f ca="1">IFERROR(__xludf.DUMMYFUNCTION("""COMPUTED_VALUE"""),5)</f>
        <v>5</v>
      </c>
      <c r="AT393" s="4">
        <f ca="1">IFERROR(__xludf.DUMMYFUNCTION("""COMPUTED_VALUE"""),3)</f>
        <v>3</v>
      </c>
      <c r="AU393" s="4">
        <f ca="1">IFERROR(__xludf.DUMMYFUNCTION("""COMPUTED_VALUE"""),5)</f>
        <v>5</v>
      </c>
      <c r="AV393" s="4">
        <f ca="1">IFERROR(__xludf.DUMMYFUNCTION("""COMPUTED_VALUE"""),5)</f>
        <v>5</v>
      </c>
      <c r="AW393" s="4">
        <f ca="1">IFERROR(__xludf.DUMMYFUNCTION("""COMPUTED_VALUE"""),5)</f>
        <v>5</v>
      </c>
      <c r="AX393" s="4">
        <f ca="1">IFERROR(__xludf.DUMMYFUNCTION("""COMPUTED_VALUE"""),5)</f>
        <v>5</v>
      </c>
      <c r="AY393" s="4">
        <f ca="1">IFERROR(__xludf.DUMMYFUNCTION("""COMPUTED_VALUE"""),5)</f>
        <v>5</v>
      </c>
      <c r="AZ393" s="4">
        <f ca="1">IFERROR(__xludf.DUMMYFUNCTION("""COMPUTED_VALUE"""),5)</f>
        <v>5</v>
      </c>
      <c r="BA393" s="4">
        <f ca="1">IFERROR(__xludf.DUMMYFUNCTION("""COMPUTED_VALUE"""),5)</f>
        <v>5</v>
      </c>
      <c r="BB393" s="4">
        <f ca="1">IFERROR(__xludf.DUMMYFUNCTION("""COMPUTED_VALUE"""),4)</f>
        <v>4</v>
      </c>
      <c r="BC393" s="4">
        <f ca="1">IFERROR(__xludf.DUMMYFUNCTION("""COMPUTED_VALUE"""),4)</f>
        <v>4</v>
      </c>
      <c r="BD393" s="4">
        <f ca="1">IFERROR(__xludf.DUMMYFUNCTION("""COMPUTED_VALUE"""),5)</f>
        <v>5</v>
      </c>
      <c r="BE393" s="4">
        <f ca="1">IFERROR(__xludf.DUMMYFUNCTION("""COMPUTED_VALUE"""),5)</f>
        <v>5</v>
      </c>
      <c r="BF393" s="4">
        <f ca="1">IFERROR(__xludf.DUMMYFUNCTION("""COMPUTED_VALUE"""),5)</f>
        <v>5</v>
      </c>
      <c r="BG393" s="4">
        <f ca="1">IFERROR(__xludf.DUMMYFUNCTION("""COMPUTED_VALUE"""),5)</f>
        <v>5</v>
      </c>
      <c r="BH393" s="4">
        <f ca="1">IFERROR(__xludf.DUMMYFUNCTION("""COMPUTED_VALUE"""),4)</f>
        <v>4</v>
      </c>
      <c r="BI393" s="4">
        <f ca="1">IFERROR(__xludf.DUMMYFUNCTION("""COMPUTED_VALUE"""),3)</f>
        <v>3</v>
      </c>
      <c r="BJ393" s="4">
        <f ca="1">IFERROR(__xludf.DUMMYFUNCTION("""COMPUTED_VALUE"""),4)</f>
        <v>4</v>
      </c>
      <c r="BK393" s="4">
        <f ca="1">IFERROR(__xludf.DUMMYFUNCTION("""COMPUTED_VALUE"""),5)</f>
        <v>5</v>
      </c>
      <c r="BL393" s="4">
        <f ca="1">IFERROR(__xludf.DUMMYFUNCTION("""COMPUTED_VALUE"""),5)</f>
        <v>5</v>
      </c>
      <c r="BM393" s="4">
        <f ca="1">IFERROR(__xludf.DUMMYFUNCTION("""COMPUTED_VALUE"""),4)</f>
        <v>4</v>
      </c>
      <c r="BN393" s="4">
        <f ca="1">IFERROR(__xludf.DUMMYFUNCTION("""COMPUTED_VALUE"""),5)</f>
        <v>5</v>
      </c>
      <c r="BO393" s="4">
        <f ca="1">IFERROR(__xludf.DUMMYFUNCTION("""COMPUTED_VALUE"""),5)</f>
        <v>5</v>
      </c>
      <c r="BP393" s="4">
        <f ca="1">IFERROR(__xludf.DUMMYFUNCTION("""COMPUTED_VALUE"""),4)</f>
        <v>4</v>
      </c>
    </row>
    <row r="394" spans="1:68" ht="13.2" x14ac:dyDescent="0.25">
      <c r="A394" s="4" t="str">
        <f ca="1">IFERROR(__xludf.DUMMYFUNCTION("""COMPUTED_VALUE"""),"2_ABaOnue9Sfk_ARL8Acxcc1GH303alOxOXW2BbBT1iAXZkvTdhCqwqEZEiTkP8ir84Q")</f>
        <v>2_ABaOnue9Sfk_ARL8Acxcc1GH303alOxOXW2BbBT1iAXZkvTdhCqwqEZEiTkP8ir84Q</v>
      </c>
      <c r="B394" s="5">
        <f ca="1">IFERROR(__xludf.DUMMYFUNCTION("""COMPUTED_VALUE"""),45987.716227581)</f>
        <v>45987.716227580997</v>
      </c>
      <c r="C394" s="4" t="str">
        <f ca="1">IFERROR(__xludf.DUMMYFUNCTION("""COMPUTED_VALUE"""),"ĐỖ KHẮC THANH")</f>
        <v>ĐỖ KHẮC THANH</v>
      </c>
      <c r="D394" s="4" t="str">
        <f ca="1">IFERROR(__xludf.DUMMYFUNCTION("""COMPUTED_VALUE"""),"Nam")</f>
        <v>Nam</v>
      </c>
      <c r="E394" s="4" t="str">
        <f ca="1">IFERROR(__xludf.DUMMYFUNCTION("""COMPUTED_VALUE"""),"CÔNG TY KIỂM TOÁN PHÍA NAM - AASCS")</f>
        <v>CÔNG TY KIỂM TOÁN PHÍA NAM - AASCS</v>
      </c>
      <c r="F394" s="4" t="str">
        <f ca="1">IFERROR(__xludf.DUMMYFUNCTION("""COMPUTED_VALUE"""),"Đại học, Chứng chỉ Kiểm toán viên")</f>
        <v>Đại học, Chứng chỉ Kiểm toán viên</v>
      </c>
      <c r="G394" s="4" t="str">
        <f ca="1">IFERROR(__xludf.DUMMYFUNCTION("""COMPUTED_VALUE"""),"Trên 20 năm")</f>
        <v>Trên 20 năm</v>
      </c>
      <c r="H394" s="4" t="str">
        <f ca="1">IFERROR(__xludf.DUMMYFUNCTION("""COMPUTED_VALUE"""),"Ban giám đốc")</f>
        <v>Ban giám đốc</v>
      </c>
      <c r="I394" s="4">
        <f ca="1">IFERROR(__xludf.DUMMYFUNCTION("""COMPUTED_VALUE"""),4)</f>
        <v>4</v>
      </c>
      <c r="J394" s="4">
        <f ca="1">IFERROR(__xludf.DUMMYFUNCTION("""COMPUTED_VALUE"""),4)</f>
        <v>4</v>
      </c>
      <c r="K394" s="4">
        <f ca="1">IFERROR(__xludf.DUMMYFUNCTION("""COMPUTED_VALUE"""),4)</f>
        <v>4</v>
      </c>
      <c r="L394" s="4">
        <f ca="1">IFERROR(__xludf.DUMMYFUNCTION("""COMPUTED_VALUE"""),4)</f>
        <v>4</v>
      </c>
      <c r="M394" s="4">
        <f ca="1">IFERROR(__xludf.DUMMYFUNCTION("""COMPUTED_VALUE"""),4)</f>
        <v>4</v>
      </c>
      <c r="N394" s="4">
        <f ca="1">IFERROR(__xludf.DUMMYFUNCTION("""COMPUTED_VALUE"""),4)</f>
        <v>4</v>
      </c>
      <c r="O394" s="4">
        <f ca="1">IFERROR(__xludf.DUMMYFUNCTION("""COMPUTED_VALUE"""),4)</f>
        <v>4</v>
      </c>
      <c r="P394" s="4">
        <f ca="1">IFERROR(__xludf.DUMMYFUNCTION("""COMPUTED_VALUE"""),4)</f>
        <v>4</v>
      </c>
      <c r="Q394" s="4">
        <f ca="1">IFERROR(__xludf.DUMMYFUNCTION("""COMPUTED_VALUE"""),4)</f>
        <v>4</v>
      </c>
      <c r="R394" s="4">
        <f ca="1">IFERROR(__xludf.DUMMYFUNCTION("""COMPUTED_VALUE"""),4)</f>
        <v>4</v>
      </c>
      <c r="S394" s="4">
        <f ca="1">IFERROR(__xludf.DUMMYFUNCTION("""COMPUTED_VALUE"""),4)</f>
        <v>4</v>
      </c>
      <c r="T394" s="4">
        <f ca="1">IFERROR(__xludf.DUMMYFUNCTION("""COMPUTED_VALUE"""),4)</f>
        <v>4</v>
      </c>
      <c r="U394" s="4">
        <f ca="1">IFERROR(__xludf.DUMMYFUNCTION("""COMPUTED_VALUE"""),4)</f>
        <v>4</v>
      </c>
      <c r="V394" s="4">
        <f ca="1">IFERROR(__xludf.DUMMYFUNCTION("""COMPUTED_VALUE"""),4)</f>
        <v>4</v>
      </c>
      <c r="W394" s="4">
        <f ca="1">IFERROR(__xludf.DUMMYFUNCTION("""COMPUTED_VALUE"""),3)</f>
        <v>3</v>
      </c>
      <c r="X394" s="4">
        <f ca="1">IFERROR(__xludf.DUMMYFUNCTION("""COMPUTED_VALUE"""),4)</f>
        <v>4</v>
      </c>
      <c r="Y394" s="4">
        <f ca="1">IFERROR(__xludf.DUMMYFUNCTION("""COMPUTED_VALUE"""),3)</f>
        <v>3</v>
      </c>
      <c r="Z394" s="4">
        <f ca="1">IFERROR(__xludf.DUMMYFUNCTION("""COMPUTED_VALUE"""),3)</f>
        <v>3</v>
      </c>
      <c r="AA394" s="4">
        <f ca="1">IFERROR(__xludf.DUMMYFUNCTION("""COMPUTED_VALUE"""),4)</f>
        <v>4</v>
      </c>
      <c r="AB394" s="4">
        <f ca="1">IFERROR(__xludf.DUMMYFUNCTION("""COMPUTED_VALUE"""),4)</f>
        <v>4</v>
      </c>
      <c r="AC394" s="4">
        <f ca="1">IFERROR(__xludf.DUMMYFUNCTION("""COMPUTED_VALUE"""),3)</f>
        <v>3</v>
      </c>
      <c r="AD394" s="4">
        <f ca="1">IFERROR(__xludf.DUMMYFUNCTION("""COMPUTED_VALUE"""),2)</f>
        <v>2</v>
      </c>
      <c r="AE394" s="4">
        <f ca="1">IFERROR(__xludf.DUMMYFUNCTION("""COMPUTED_VALUE"""),4)</f>
        <v>4</v>
      </c>
      <c r="AF394" s="4">
        <f ca="1">IFERROR(__xludf.DUMMYFUNCTION("""COMPUTED_VALUE"""),4)</f>
        <v>4</v>
      </c>
      <c r="AG394" s="4">
        <f ca="1">IFERROR(__xludf.DUMMYFUNCTION("""COMPUTED_VALUE"""),4)</f>
        <v>4</v>
      </c>
      <c r="AH394" s="4">
        <f ca="1">IFERROR(__xludf.DUMMYFUNCTION("""COMPUTED_VALUE"""),4)</f>
        <v>4</v>
      </c>
      <c r="AI394" s="4">
        <f ca="1">IFERROR(__xludf.DUMMYFUNCTION("""COMPUTED_VALUE"""),3)</f>
        <v>3</v>
      </c>
      <c r="AJ394" s="4">
        <f ca="1">IFERROR(__xludf.DUMMYFUNCTION("""COMPUTED_VALUE"""),4)</f>
        <v>4</v>
      </c>
      <c r="AK394" s="4">
        <f ca="1">IFERROR(__xludf.DUMMYFUNCTION("""COMPUTED_VALUE"""),4)</f>
        <v>4</v>
      </c>
      <c r="AL394" s="4">
        <f ca="1">IFERROR(__xludf.DUMMYFUNCTION("""COMPUTED_VALUE"""),4)</f>
        <v>4</v>
      </c>
      <c r="AM394" s="4">
        <f ca="1">IFERROR(__xludf.DUMMYFUNCTION("""COMPUTED_VALUE"""),4)</f>
        <v>4</v>
      </c>
      <c r="AN394" s="4">
        <f ca="1">IFERROR(__xludf.DUMMYFUNCTION("""COMPUTED_VALUE"""),4)</f>
        <v>4</v>
      </c>
      <c r="AO394" s="4">
        <f ca="1">IFERROR(__xludf.DUMMYFUNCTION("""COMPUTED_VALUE"""),4)</f>
        <v>4</v>
      </c>
      <c r="AP394" s="4">
        <f ca="1">IFERROR(__xludf.DUMMYFUNCTION("""COMPUTED_VALUE"""),4)</f>
        <v>4</v>
      </c>
      <c r="AQ394" s="4">
        <f ca="1">IFERROR(__xludf.DUMMYFUNCTION("""COMPUTED_VALUE"""),4)</f>
        <v>4</v>
      </c>
      <c r="AR394" s="4">
        <f ca="1">IFERROR(__xludf.DUMMYFUNCTION("""COMPUTED_VALUE"""),3)</f>
        <v>3</v>
      </c>
      <c r="AS394" s="4">
        <f ca="1">IFERROR(__xludf.DUMMYFUNCTION("""COMPUTED_VALUE"""),3)</f>
        <v>3</v>
      </c>
      <c r="AT394" s="4">
        <f ca="1">IFERROR(__xludf.DUMMYFUNCTION("""COMPUTED_VALUE"""),3)</f>
        <v>3</v>
      </c>
      <c r="AU394" s="4">
        <f ca="1">IFERROR(__xludf.DUMMYFUNCTION("""COMPUTED_VALUE"""),3)</f>
        <v>3</v>
      </c>
      <c r="AV394" s="4">
        <f ca="1">IFERROR(__xludf.DUMMYFUNCTION("""COMPUTED_VALUE"""),4)</f>
        <v>4</v>
      </c>
      <c r="AW394" s="4">
        <f ca="1">IFERROR(__xludf.DUMMYFUNCTION("""COMPUTED_VALUE"""),4)</f>
        <v>4</v>
      </c>
      <c r="AX394" s="4">
        <f ca="1">IFERROR(__xludf.DUMMYFUNCTION("""COMPUTED_VALUE"""),4)</f>
        <v>4</v>
      </c>
      <c r="AY394" s="4">
        <f ca="1">IFERROR(__xludf.DUMMYFUNCTION("""COMPUTED_VALUE"""),4)</f>
        <v>4</v>
      </c>
      <c r="AZ394" s="4">
        <f ca="1">IFERROR(__xludf.DUMMYFUNCTION("""COMPUTED_VALUE"""),4)</f>
        <v>4</v>
      </c>
      <c r="BA394" s="4">
        <f ca="1">IFERROR(__xludf.DUMMYFUNCTION("""COMPUTED_VALUE"""),4)</f>
        <v>4</v>
      </c>
      <c r="BB394" s="4">
        <f ca="1">IFERROR(__xludf.DUMMYFUNCTION("""COMPUTED_VALUE"""),4)</f>
        <v>4</v>
      </c>
      <c r="BC394" s="4">
        <f ca="1">IFERROR(__xludf.DUMMYFUNCTION("""COMPUTED_VALUE"""),4)</f>
        <v>4</v>
      </c>
      <c r="BD394" s="4">
        <f ca="1">IFERROR(__xludf.DUMMYFUNCTION("""COMPUTED_VALUE"""),3)</f>
        <v>3</v>
      </c>
      <c r="BE394" s="4">
        <f ca="1">IFERROR(__xludf.DUMMYFUNCTION("""COMPUTED_VALUE"""),3)</f>
        <v>3</v>
      </c>
      <c r="BF394" s="4">
        <f ca="1">IFERROR(__xludf.DUMMYFUNCTION("""COMPUTED_VALUE"""),3)</f>
        <v>3</v>
      </c>
      <c r="BG394" s="4">
        <f ca="1">IFERROR(__xludf.DUMMYFUNCTION("""COMPUTED_VALUE"""),3)</f>
        <v>3</v>
      </c>
      <c r="BH394" s="4">
        <f ca="1">IFERROR(__xludf.DUMMYFUNCTION("""COMPUTED_VALUE"""),4)</f>
        <v>4</v>
      </c>
      <c r="BI394" s="4">
        <f ca="1">IFERROR(__xludf.DUMMYFUNCTION("""COMPUTED_VALUE"""),4)</f>
        <v>4</v>
      </c>
      <c r="BJ394" s="4">
        <f ca="1">IFERROR(__xludf.DUMMYFUNCTION("""COMPUTED_VALUE"""),4)</f>
        <v>4</v>
      </c>
      <c r="BK394" s="4">
        <f ca="1">IFERROR(__xludf.DUMMYFUNCTION("""COMPUTED_VALUE"""),3)</f>
        <v>3</v>
      </c>
      <c r="BL394" s="4">
        <f ca="1">IFERROR(__xludf.DUMMYFUNCTION("""COMPUTED_VALUE"""),3)</f>
        <v>3</v>
      </c>
      <c r="BM394" s="4">
        <f ca="1">IFERROR(__xludf.DUMMYFUNCTION("""COMPUTED_VALUE"""),4)</f>
        <v>4</v>
      </c>
      <c r="BN394" s="4">
        <f ca="1">IFERROR(__xludf.DUMMYFUNCTION("""COMPUTED_VALUE"""),3)</f>
        <v>3</v>
      </c>
      <c r="BO394" s="4">
        <f ca="1">IFERROR(__xludf.DUMMYFUNCTION("""COMPUTED_VALUE"""),4)</f>
        <v>4</v>
      </c>
      <c r="BP394" s="4">
        <f ca="1">IFERROR(__xludf.DUMMYFUNCTION("""COMPUTED_VALUE"""),3)</f>
        <v>3</v>
      </c>
    </row>
    <row r="395" spans="1:68" ht="13.2" x14ac:dyDescent="0.25">
      <c r="A395" s="4" t="str">
        <f ca="1">IFERROR(__xludf.DUMMYFUNCTION("""COMPUTED_VALUE"""),"2_ABaOnuePuL4ECkeAX_dS6b2FzAh3-6qClggNcOitlMczUB7y8ZC_DuQb3r2-K8iWYQ")</f>
        <v>2_ABaOnuePuL4ECkeAX_dS6b2FzAh3-6qClggNcOitlMczUB7y8ZC_DuQb3r2-K8iWYQ</v>
      </c>
      <c r="B395" s="5">
        <f ca="1">IFERROR(__xludf.DUMMYFUNCTION("""COMPUTED_VALUE"""),45987.7192411458)</f>
        <v>45987.719241145802</v>
      </c>
      <c r="C395" s="4" t="str">
        <f ca="1">IFERROR(__xludf.DUMMYFUNCTION("""COMPUTED_VALUE"""),"Lê Văn Hoàng")</f>
        <v>Lê Văn Hoàng</v>
      </c>
      <c r="D395" s="4" t="str">
        <f ca="1">IFERROR(__xludf.DUMMYFUNCTION("""COMPUTED_VALUE"""),"Nam")</f>
        <v>Nam</v>
      </c>
      <c r="E395" s="4" t="str">
        <f ca="1">IFERROR(__xludf.DUMMYFUNCTION("""COMPUTED_VALUE"""),"Công ty TNHH Kiểm toán - Thẩm định giá và tư vấn ECOVIS AFA VIỆT NAM")</f>
        <v>Công ty TNHH Kiểm toán - Thẩm định giá và tư vấn ECOVIS AFA VIỆT NAM</v>
      </c>
      <c r="F395" s="4" t="str">
        <f ca="1">IFERROR(__xludf.DUMMYFUNCTION("""COMPUTED_VALUE"""),"Đại học, Chứng chỉ Kiểm toán viên")</f>
        <v>Đại học, Chứng chỉ Kiểm toán viên</v>
      </c>
      <c r="G395" s="4" t="str">
        <f ca="1">IFERROR(__xludf.DUMMYFUNCTION("""COMPUTED_VALUE"""),"Trên 5 đến 10 năm")</f>
        <v>Trên 5 đến 10 năm</v>
      </c>
      <c r="H395" s="4" t="str">
        <f ca="1">IFERROR(__xludf.DUMMYFUNCTION("""COMPUTED_VALUE"""),"Kiểm toán viên/Trưởng nhóm")</f>
        <v>Kiểm toán viên/Trưởng nhóm</v>
      </c>
      <c r="I395" s="4">
        <f ca="1">IFERROR(__xludf.DUMMYFUNCTION("""COMPUTED_VALUE"""),5)</f>
        <v>5</v>
      </c>
      <c r="J395" s="4">
        <f ca="1">IFERROR(__xludf.DUMMYFUNCTION("""COMPUTED_VALUE"""),5)</f>
        <v>5</v>
      </c>
      <c r="K395" s="4">
        <f ca="1">IFERROR(__xludf.DUMMYFUNCTION("""COMPUTED_VALUE"""),5)</f>
        <v>5</v>
      </c>
      <c r="L395" s="4">
        <f ca="1">IFERROR(__xludf.DUMMYFUNCTION("""COMPUTED_VALUE"""),5)</f>
        <v>5</v>
      </c>
      <c r="M395" s="4">
        <f ca="1">IFERROR(__xludf.DUMMYFUNCTION("""COMPUTED_VALUE"""),5)</f>
        <v>5</v>
      </c>
      <c r="N395" s="4">
        <f ca="1">IFERROR(__xludf.DUMMYFUNCTION("""COMPUTED_VALUE"""),3)</f>
        <v>3</v>
      </c>
      <c r="O395" s="4">
        <f ca="1">IFERROR(__xludf.DUMMYFUNCTION("""COMPUTED_VALUE"""),3)</f>
        <v>3</v>
      </c>
      <c r="P395" s="4">
        <f ca="1">IFERROR(__xludf.DUMMYFUNCTION("""COMPUTED_VALUE"""),5)</f>
        <v>5</v>
      </c>
      <c r="Q395" s="4">
        <f ca="1">IFERROR(__xludf.DUMMYFUNCTION("""COMPUTED_VALUE"""),4)</f>
        <v>4</v>
      </c>
      <c r="R395" s="4">
        <f ca="1">IFERROR(__xludf.DUMMYFUNCTION("""COMPUTED_VALUE"""),4)</f>
        <v>4</v>
      </c>
      <c r="S395" s="4">
        <f ca="1">IFERROR(__xludf.DUMMYFUNCTION("""COMPUTED_VALUE"""),5)</f>
        <v>5</v>
      </c>
      <c r="T395" s="4">
        <f ca="1">IFERROR(__xludf.DUMMYFUNCTION("""COMPUTED_VALUE"""),4)</f>
        <v>4</v>
      </c>
      <c r="U395" s="4">
        <f ca="1">IFERROR(__xludf.DUMMYFUNCTION("""COMPUTED_VALUE"""),4)</f>
        <v>4</v>
      </c>
      <c r="V395" s="4">
        <f ca="1">IFERROR(__xludf.DUMMYFUNCTION("""COMPUTED_VALUE"""),4)</f>
        <v>4</v>
      </c>
      <c r="W395" s="4">
        <f ca="1">IFERROR(__xludf.DUMMYFUNCTION("""COMPUTED_VALUE"""),4)</f>
        <v>4</v>
      </c>
      <c r="X395" s="4">
        <f ca="1">IFERROR(__xludf.DUMMYFUNCTION("""COMPUTED_VALUE"""),4)</f>
        <v>4</v>
      </c>
      <c r="Y395" s="4">
        <f ca="1">IFERROR(__xludf.DUMMYFUNCTION("""COMPUTED_VALUE"""),4)</f>
        <v>4</v>
      </c>
      <c r="Z395" s="4">
        <f ca="1">IFERROR(__xludf.DUMMYFUNCTION("""COMPUTED_VALUE"""),5)</f>
        <v>5</v>
      </c>
      <c r="AA395" s="4">
        <f ca="1">IFERROR(__xludf.DUMMYFUNCTION("""COMPUTED_VALUE"""),4)</f>
        <v>4</v>
      </c>
      <c r="AB395" s="4">
        <f ca="1">IFERROR(__xludf.DUMMYFUNCTION("""COMPUTED_VALUE"""),5)</f>
        <v>5</v>
      </c>
      <c r="AC395" s="4">
        <f ca="1">IFERROR(__xludf.DUMMYFUNCTION("""COMPUTED_VALUE"""),4)</f>
        <v>4</v>
      </c>
      <c r="AD395" s="4">
        <f ca="1">IFERROR(__xludf.DUMMYFUNCTION("""COMPUTED_VALUE"""),3)</f>
        <v>3</v>
      </c>
      <c r="AE395" s="4">
        <f ca="1">IFERROR(__xludf.DUMMYFUNCTION("""COMPUTED_VALUE"""),4)</f>
        <v>4</v>
      </c>
      <c r="AF395" s="4">
        <f ca="1">IFERROR(__xludf.DUMMYFUNCTION("""COMPUTED_VALUE"""),4)</f>
        <v>4</v>
      </c>
      <c r="AG395" s="4">
        <f ca="1">IFERROR(__xludf.DUMMYFUNCTION("""COMPUTED_VALUE"""),4)</f>
        <v>4</v>
      </c>
      <c r="AH395" s="4">
        <f ca="1">IFERROR(__xludf.DUMMYFUNCTION("""COMPUTED_VALUE"""),4)</f>
        <v>4</v>
      </c>
      <c r="AI395" s="4">
        <f ca="1">IFERROR(__xludf.DUMMYFUNCTION("""COMPUTED_VALUE"""),3)</f>
        <v>3</v>
      </c>
      <c r="AJ395" s="4">
        <f ca="1">IFERROR(__xludf.DUMMYFUNCTION("""COMPUTED_VALUE"""),4)</f>
        <v>4</v>
      </c>
      <c r="AK395" s="4">
        <f ca="1">IFERROR(__xludf.DUMMYFUNCTION("""COMPUTED_VALUE"""),4)</f>
        <v>4</v>
      </c>
      <c r="AL395" s="4">
        <f ca="1">IFERROR(__xludf.DUMMYFUNCTION("""COMPUTED_VALUE"""),4)</f>
        <v>4</v>
      </c>
      <c r="AM395" s="4">
        <f ca="1">IFERROR(__xludf.DUMMYFUNCTION("""COMPUTED_VALUE"""),3)</f>
        <v>3</v>
      </c>
      <c r="AN395" s="4">
        <f ca="1">IFERROR(__xludf.DUMMYFUNCTION("""COMPUTED_VALUE"""),4)</f>
        <v>4</v>
      </c>
      <c r="AO395" s="4">
        <f ca="1">IFERROR(__xludf.DUMMYFUNCTION("""COMPUTED_VALUE"""),4)</f>
        <v>4</v>
      </c>
      <c r="AP395" s="4">
        <f ca="1">IFERROR(__xludf.DUMMYFUNCTION("""COMPUTED_VALUE"""),3)</f>
        <v>3</v>
      </c>
      <c r="AQ395" s="4">
        <f ca="1">IFERROR(__xludf.DUMMYFUNCTION("""COMPUTED_VALUE"""),4)</f>
        <v>4</v>
      </c>
      <c r="AR395" s="4">
        <f ca="1">IFERROR(__xludf.DUMMYFUNCTION("""COMPUTED_VALUE"""),3)</f>
        <v>3</v>
      </c>
      <c r="AS395" s="4">
        <f ca="1">IFERROR(__xludf.DUMMYFUNCTION("""COMPUTED_VALUE"""),4)</f>
        <v>4</v>
      </c>
      <c r="AT395" s="4">
        <f ca="1">IFERROR(__xludf.DUMMYFUNCTION("""COMPUTED_VALUE"""),4)</f>
        <v>4</v>
      </c>
      <c r="AU395" s="4">
        <f ca="1">IFERROR(__xludf.DUMMYFUNCTION("""COMPUTED_VALUE"""),4)</f>
        <v>4</v>
      </c>
      <c r="AV395" s="4">
        <f ca="1">IFERROR(__xludf.DUMMYFUNCTION("""COMPUTED_VALUE"""),4)</f>
        <v>4</v>
      </c>
      <c r="AW395" s="4">
        <f ca="1">IFERROR(__xludf.DUMMYFUNCTION("""COMPUTED_VALUE"""),5)</f>
        <v>5</v>
      </c>
      <c r="AX395" s="4">
        <f ca="1">IFERROR(__xludf.DUMMYFUNCTION("""COMPUTED_VALUE"""),5)</f>
        <v>5</v>
      </c>
      <c r="AY395" s="4">
        <f ca="1">IFERROR(__xludf.DUMMYFUNCTION("""COMPUTED_VALUE"""),4)</f>
        <v>4</v>
      </c>
      <c r="AZ395" s="4">
        <f ca="1">IFERROR(__xludf.DUMMYFUNCTION("""COMPUTED_VALUE"""),5)</f>
        <v>5</v>
      </c>
      <c r="BA395" s="4">
        <f ca="1">IFERROR(__xludf.DUMMYFUNCTION("""COMPUTED_VALUE"""),4)</f>
        <v>4</v>
      </c>
      <c r="BB395" s="4">
        <f ca="1">IFERROR(__xludf.DUMMYFUNCTION("""COMPUTED_VALUE"""),4)</f>
        <v>4</v>
      </c>
      <c r="BC395" s="4">
        <f ca="1">IFERROR(__xludf.DUMMYFUNCTION("""COMPUTED_VALUE"""),3)</f>
        <v>3</v>
      </c>
      <c r="BD395" s="4">
        <f ca="1">IFERROR(__xludf.DUMMYFUNCTION("""COMPUTED_VALUE"""),4)</f>
        <v>4</v>
      </c>
      <c r="BE395" s="4">
        <f ca="1">IFERROR(__xludf.DUMMYFUNCTION("""COMPUTED_VALUE"""),3)</f>
        <v>3</v>
      </c>
      <c r="BF395" s="4">
        <f ca="1">IFERROR(__xludf.DUMMYFUNCTION("""COMPUTED_VALUE"""),4)</f>
        <v>4</v>
      </c>
      <c r="BG395" s="4">
        <f ca="1">IFERROR(__xludf.DUMMYFUNCTION("""COMPUTED_VALUE"""),4)</f>
        <v>4</v>
      </c>
      <c r="BH395" s="4">
        <f ca="1">IFERROR(__xludf.DUMMYFUNCTION("""COMPUTED_VALUE"""),4)</f>
        <v>4</v>
      </c>
      <c r="BI395" s="4">
        <f ca="1">IFERROR(__xludf.DUMMYFUNCTION("""COMPUTED_VALUE"""),4)</f>
        <v>4</v>
      </c>
      <c r="BJ395" s="4">
        <f ca="1">IFERROR(__xludf.DUMMYFUNCTION("""COMPUTED_VALUE"""),3)</f>
        <v>3</v>
      </c>
      <c r="BK395" s="4">
        <f ca="1">IFERROR(__xludf.DUMMYFUNCTION("""COMPUTED_VALUE"""),4)</f>
        <v>4</v>
      </c>
      <c r="BL395" s="4">
        <f ca="1">IFERROR(__xludf.DUMMYFUNCTION("""COMPUTED_VALUE"""),5)</f>
        <v>5</v>
      </c>
      <c r="BM395" s="4">
        <f ca="1">IFERROR(__xludf.DUMMYFUNCTION("""COMPUTED_VALUE"""),4)</f>
        <v>4</v>
      </c>
      <c r="BN395" s="4">
        <f ca="1">IFERROR(__xludf.DUMMYFUNCTION("""COMPUTED_VALUE"""),5)</f>
        <v>5</v>
      </c>
      <c r="BO395" s="4">
        <f ca="1">IFERROR(__xludf.DUMMYFUNCTION("""COMPUTED_VALUE"""),5)</f>
        <v>5</v>
      </c>
      <c r="BP395" s="4">
        <f ca="1">IFERROR(__xludf.DUMMYFUNCTION("""COMPUTED_VALUE"""),4)</f>
        <v>4</v>
      </c>
    </row>
    <row r="396" spans="1:68" ht="13.2" x14ac:dyDescent="0.25">
      <c r="A396" s="4" t="str">
        <f ca="1">IFERROR(__xludf.DUMMYFUNCTION("""COMPUTED_VALUE"""),"2_ABaOnufjSgRjFt87F1rSVv96V2dbA75lorsqMqonV85BQyP9g8_c4OBqOtbFUjj5zQ")</f>
        <v>2_ABaOnufjSgRjFt87F1rSVv96V2dbA75lorsqMqonV85BQyP9g8_c4OBqOtbFUjj5zQ</v>
      </c>
      <c r="B396" s="5">
        <f ca="1">IFERROR(__xludf.DUMMYFUNCTION("""COMPUTED_VALUE"""),45987.7970584143)</f>
        <v>45987.797058414297</v>
      </c>
      <c r="C396" s="4" t="str">
        <f ca="1">IFERROR(__xludf.DUMMYFUNCTION("""COMPUTED_VALUE"""),"Trần Thảo Linh")</f>
        <v>Trần Thảo Linh</v>
      </c>
      <c r="D396" s="4" t="str">
        <f ca="1">IFERROR(__xludf.DUMMYFUNCTION("""COMPUTED_VALUE"""),"Nữ")</f>
        <v>Nữ</v>
      </c>
      <c r="E396" s="4" t="str">
        <f ca="1">IFERROR(__xludf.DUMMYFUNCTION("""COMPUTED_VALUE"""),"EY Vietnam")</f>
        <v>EY Vietnam</v>
      </c>
      <c r="F396" s="4" t="str">
        <f ca="1">IFERROR(__xludf.DUMMYFUNCTION("""COMPUTED_VALUE"""),"Đại học")</f>
        <v>Đại học</v>
      </c>
      <c r="G396" s="4" t="str">
        <f ca="1">IFERROR(__xludf.DUMMYFUNCTION("""COMPUTED_VALUE"""),"Từ 3 đến 5 năm")</f>
        <v>Từ 3 đến 5 năm</v>
      </c>
      <c r="H396" s="4" t="str">
        <f ca="1">IFERROR(__xludf.DUMMYFUNCTION("""COMPUTED_VALUE"""),"Trợ lý kiểm toán")</f>
        <v>Trợ lý kiểm toán</v>
      </c>
      <c r="I396" s="4">
        <f ca="1">IFERROR(__xludf.DUMMYFUNCTION("""COMPUTED_VALUE"""),5)</f>
        <v>5</v>
      </c>
      <c r="J396" s="4">
        <f ca="1">IFERROR(__xludf.DUMMYFUNCTION("""COMPUTED_VALUE"""),5)</f>
        <v>5</v>
      </c>
      <c r="K396" s="4">
        <f ca="1">IFERROR(__xludf.DUMMYFUNCTION("""COMPUTED_VALUE"""),5)</f>
        <v>5</v>
      </c>
      <c r="L396" s="4">
        <f ca="1">IFERROR(__xludf.DUMMYFUNCTION("""COMPUTED_VALUE"""),5)</f>
        <v>5</v>
      </c>
      <c r="M396" s="4">
        <f ca="1">IFERROR(__xludf.DUMMYFUNCTION("""COMPUTED_VALUE"""),5)</f>
        <v>5</v>
      </c>
      <c r="N396" s="4">
        <f ca="1">IFERROR(__xludf.DUMMYFUNCTION("""COMPUTED_VALUE"""),5)</f>
        <v>5</v>
      </c>
      <c r="O396" s="4">
        <f ca="1">IFERROR(__xludf.DUMMYFUNCTION("""COMPUTED_VALUE"""),5)</f>
        <v>5</v>
      </c>
      <c r="P396" s="4">
        <f ca="1">IFERROR(__xludf.DUMMYFUNCTION("""COMPUTED_VALUE"""),5)</f>
        <v>5</v>
      </c>
      <c r="Q396" s="4">
        <f ca="1">IFERROR(__xludf.DUMMYFUNCTION("""COMPUTED_VALUE"""),5)</f>
        <v>5</v>
      </c>
      <c r="R396" s="4">
        <f ca="1">IFERROR(__xludf.DUMMYFUNCTION("""COMPUTED_VALUE"""),5)</f>
        <v>5</v>
      </c>
      <c r="S396" s="4">
        <f ca="1">IFERROR(__xludf.DUMMYFUNCTION("""COMPUTED_VALUE"""),5)</f>
        <v>5</v>
      </c>
      <c r="T396" s="4">
        <f ca="1">IFERROR(__xludf.DUMMYFUNCTION("""COMPUTED_VALUE"""),5)</f>
        <v>5</v>
      </c>
      <c r="U396" s="4">
        <f ca="1">IFERROR(__xludf.DUMMYFUNCTION("""COMPUTED_VALUE"""),5)</f>
        <v>5</v>
      </c>
      <c r="V396" s="4">
        <f ca="1">IFERROR(__xludf.DUMMYFUNCTION("""COMPUTED_VALUE"""),5)</f>
        <v>5</v>
      </c>
      <c r="W396" s="4">
        <f ca="1">IFERROR(__xludf.DUMMYFUNCTION("""COMPUTED_VALUE"""),5)</f>
        <v>5</v>
      </c>
      <c r="X396" s="4">
        <f ca="1">IFERROR(__xludf.DUMMYFUNCTION("""COMPUTED_VALUE"""),5)</f>
        <v>5</v>
      </c>
      <c r="Y396" s="4">
        <f ca="1">IFERROR(__xludf.DUMMYFUNCTION("""COMPUTED_VALUE"""),5)</f>
        <v>5</v>
      </c>
      <c r="Z396" s="4">
        <f ca="1">IFERROR(__xludf.DUMMYFUNCTION("""COMPUTED_VALUE"""),5)</f>
        <v>5</v>
      </c>
      <c r="AA396" s="4">
        <f ca="1">IFERROR(__xludf.DUMMYFUNCTION("""COMPUTED_VALUE"""),5)</f>
        <v>5</v>
      </c>
      <c r="AB396" s="4">
        <f ca="1">IFERROR(__xludf.DUMMYFUNCTION("""COMPUTED_VALUE"""),2)</f>
        <v>2</v>
      </c>
      <c r="AC396" s="4">
        <f ca="1">IFERROR(__xludf.DUMMYFUNCTION("""COMPUTED_VALUE"""),3)</f>
        <v>3</v>
      </c>
      <c r="AD396" s="4">
        <f ca="1">IFERROR(__xludf.DUMMYFUNCTION("""COMPUTED_VALUE"""),4)</f>
        <v>4</v>
      </c>
      <c r="AE396" s="4">
        <f ca="1">IFERROR(__xludf.DUMMYFUNCTION("""COMPUTED_VALUE"""),5)</f>
        <v>5</v>
      </c>
      <c r="AF396" s="4">
        <f ca="1">IFERROR(__xludf.DUMMYFUNCTION("""COMPUTED_VALUE"""),5)</f>
        <v>5</v>
      </c>
      <c r="AG396" s="4">
        <f ca="1">IFERROR(__xludf.DUMMYFUNCTION("""COMPUTED_VALUE"""),5)</f>
        <v>5</v>
      </c>
      <c r="AH396" s="4">
        <f ca="1">IFERROR(__xludf.DUMMYFUNCTION("""COMPUTED_VALUE"""),5)</f>
        <v>5</v>
      </c>
      <c r="AI396" s="4">
        <f ca="1">IFERROR(__xludf.DUMMYFUNCTION("""COMPUTED_VALUE"""),5)</f>
        <v>5</v>
      </c>
      <c r="AJ396" s="4">
        <f ca="1">IFERROR(__xludf.DUMMYFUNCTION("""COMPUTED_VALUE"""),5)</f>
        <v>5</v>
      </c>
      <c r="AK396" s="4">
        <f ca="1">IFERROR(__xludf.DUMMYFUNCTION("""COMPUTED_VALUE"""),5)</f>
        <v>5</v>
      </c>
      <c r="AL396" s="4">
        <f ca="1">IFERROR(__xludf.DUMMYFUNCTION("""COMPUTED_VALUE"""),5)</f>
        <v>5</v>
      </c>
      <c r="AM396" s="4">
        <f ca="1">IFERROR(__xludf.DUMMYFUNCTION("""COMPUTED_VALUE"""),5)</f>
        <v>5</v>
      </c>
      <c r="AN396" s="4">
        <f ca="1">IFERROR(__xludf.DUMMYFUNCTION("""COMPUTED_VALUE"""),5)</f>
        <v>5</v>
      </c>
      <c r="AO396" s="4">
        <f ca="1">IFERROR(__xludf.DUMMYFUNCTION("""COMPUTED_VALUE"""),5)</f>
        <v>5</v>
      </c>
      <c r="AP396" s="4">
        <f ca="1">IFERROR(__xludf.DUMMYFUNCTION("""COMPUTED_VALUE"""),5)</f>
        <v>5</v>
      </c>
      <c r="AQ396" s="4">
        <f ca="1">IFERROR(__xludf.DUMMYFUNCTION("""COMPUTED_VALUE"""),5)</f>
        <v>5</v>
      </c>
      <c r="AR396" s="4">
        <f ca="1">IFERROR(__xludf.DUMMYFUNCTION("""COMPUTED_VALUE"""),5)</f>
        <v>5</v>
      </c>
      <c r="AS396" s="4">
        <f ca="1">IFERROR(__xludf.DUMMYFUNCTION("""COMPUTED_VALUE"""),5)</f>
        <v>5</v>
      </c>
      <c r="AT396" s="4">
        <f ca="1">IFERROR(__xludf.DUMMYFUNCTION("""COMPUTED_VALUE"""),5)</f>
        <v>5</v>
      </c>
      <c r="AU396" s="4">
        <f ca="1">IFERROR(__xludf.DUMMYFUNCTION("""COMPUTED_VALUE"""),5)</f>
        <v>5</v>
      </c>
      <c r="AV396" s="4">
        <f ca="1">IFERROR(__xludf.DUMMYFUNCTION("""COMPUTED_VALUE"""),5)</f>
        <v>5</v>
      </c>
      <c r="AW396" s="4">
        <f ca="1">IFERROR(__xludf.DUMMYFUNCTION("""COMPUTED_VALUE"""),5)</f>
        <v>5</v>
      </c>
      <c r="AX396" s="4">
        <f ca="1">IFERROR(__xludf.DUMMYFUNCTION("""COMPUTED_VALUE"""),5)</f>
        <v>5</v>
      </c>
      <c r="AY396" s="4">
        <f ca="1">IFERROR(__xludf.DUMMYFUNCTION("""COMPUTED_VALUE"""),5)</f>
        <v>5</v>
      </c>
      <c r="AZ396" s="4">
        <f ca="1">IFERROR(__xludf.DUMMYFUNCTION("""COMPUTED_VALUE"""),5)</f>
        <v>5</v>
      </c>
      <c r="BA396" s="4">
        <f ca="1">IFERROR(__xludf.DUMMYFUNCTION("""COMPUTED_VALUE"""),5)</f>
        <v>5</v>
      </c>
      <c r="BB396" s="4">
        <f ca="1">IFERROR(__xludf.DUMMYFUNCTION("""COMPUTED_VALUE"""),3)</f>
        <v>3</v>
      </c>
      <c r="BC396" s="4">
        <f ca="1">IFERROR(__xludf.DUMMYFUNCTION("""COMPUTED_VALUE"""),3)</f>
        <v>3</v>
      </c>
      <c r="BD396" s="4">
        <f ca="1">IFERROR(__xludf.DUMMYFUNCTION("""COMPUTED_VALUE"""),3)</f>
        <v>3</v>
      </c>
      <c r="BE396" s="4">
        <f ca="1">IFERROR(__xludf.DUMMYFUNCTION("""COMPUTED_VALUE"""),3)</f>
        <v>3</v>
      </c>
      <c r="BF396" s="4">
        <f ca="1">IFERROR(__xludf.DUMMYFUNCTION("""COMPUTED_VALUE"""),3)</f>
        <v>3</v>
      </c>
      <c r="BG396" s="4">
        <f ca="1">IFERROR(__xludf.DUMMYFUNCTION("""COMPUTED_VALUE"""),3)</f>
        <v>3</v>
      </c>
      <c r="BH396" s="4">
        <f ca="1">IFERROR(__xludf.DUMMYFUNCTION("""COMPUTED_VALUE"""),5)</f>
        <v>5</v>
      </c>
      <c r="BI396" s="4">
        <f ca="1">IFERROR(__xludf.DUMMYFUNCTION("""COMPUTED_VALUE"""),5)</f>
        <v>5</v>
      </c>
      <c r="BJ396" s="4">
        <f ca="1">IFERROR(__xludf.DUMMYFUNCTION("""COMPUTED_VALUE"""),5)</f>
        <v>5</v>
      </c>
      <c r="BK396" s="4">
        <f ca="1">IFERROR(__xludf.DUMMYFUNCTION("""COMPUTED_VALUE"""),5)</f>
        <v>5</v>
      </c>
      <c r="BL396" s="4">
        <f ca="1">IFERROR(__xludf.DUMMYFUNCTION("""COMPUTED_VALUE"""),5)</f>
        <v>5</v>
      </c>
      <c r="BM396" s="4">
        <f ca="1">IFERROR(__xludf.DUMMYFUNCTION("""COMPUTED_VALUE"""),5)</f>
        <v>5</v>
      </c>
      <c r="BN396" s="4">
        <f ca="1">IFERROR(__xludf.DUMMYFUNCTION("""COMPUTED_VALUE"""),5)</f>
        <v>5</v>
      </c>
      <c r="BO396" s="4">
        <f ca="1">IFERROR(__xludf.DUMMYFUNCTION("""COMPUTED_VALUE"""),5)</f>
        <v>5</v>
      </c>
      <c r="BP396" s="4">
        <f ca="1">IFERROR(__xludf.DUMMYFUNCTION("""COMPUTED_VALUE"""),5)</f>
        <v>5</v>
      </c>
    </row>
    <row r="397" spans="1:68" ht="13.2" x14ac:dyDescent="0.25">
      <c r="A397" s="4" t="str">
        <f ca="1">IFERROR(__xludf.DUMMYFUNCTION("""COMPUTED_VALUE"""),"2_ABaOnueBT04UTXPvfx89cSwMskCCLnVMpyLfrn2eN2Sa37vzP8rdxv37GC_2_kx-oQ")</f>
        <v>2_ABaOnueBT04UTXPvfx89cSwMskCCLnVMpyLfrn2eN2Sa37vzP8rdxv37GC_2_kx-oQ</v>
      </c>
      <c r="B397" s="5">
        <f ca="1">IFERROR(__xludf.DUMMYFUNCTION("""COMPUTED_VALUE"""),45987.8567261111)</f>
        <v>45987.856726111102</v>
      </c>
      <c r="C397" s="4" t="str">
        <f ca="1">IFERROR(__xludf.DUMMYFUNCTION("""COMPUTED_VALUE"""),"Phạm Đông Sơn")</f>
        <v>Phạm Đông Sơn</v>
      </c>
      <c r="D397" s="4" t="str">
        <f ca="1">IFERROR(__xludf.DUMMYFUNCTION("""COMPUTED_VALUE"""),"Nam")</f>
        <v>Nam</v>
      </c>
      <c r="E397" s="4" t="str">
        <f ca="1">IFERROR(__xludf.DUMMYFUNCTION("""COMPUTED_VALUE"""),"Công ty TNHH Kiểm toán Sao Việt")</f>
        <v>Công ty TNHH Kiểm toán Sao Việt</v>
      </c>
      <c r="F397" s="4" t="str">
        <f ca="1">IFERROR(__xludf.DUMMYFUNCTION("""COMPUTED_VALUE"""),"Đại học, Chứng chỉ Kiểm toán viên")</f>
        <v>Đại học, Chứng chỉ Kiểm toán viên</v>
      </c>
      <c r="G397" s="4" t="str">
        <f ca="1">IFERROR(__xludf.DUMMYFUNCTION("""COMPUTED_VALUE"""),"Trên 20 năm")</f>
        <v>Trên 20 năm</v>
      </c>
      <c r="H397" s="4" t="str">
        <f ca="1">IFERROR(__xludf.DUMMYFUNCTION("""COMPUTED_VALUE"""),"Ban giám đốc")</f>
        <v>Ban giám đốc</v>
      </c>
      <c r="I397" s="4">
        <f ca="1">IFERROR(__xludf.DUMMYFUNCTION("""COMPUTED_VALUE"""),4)</f>
        <v>4</v>
      </c>
      <c r="J397" s="4">
        <f ca="1">IFERROR(__xludf.DUMMYFUNCTION("""COMPUTED_VALUE"""),4)</f>
        <v>4</v>
      </c>
      <c r="K397" s="4">
        <f ca="1">IFERROR(__xludf.DUMMYFUNCTION("""COMPUTED_VALUE"""),4)</f>
        <v>4</v>
      </c>
      <c r="L397" s="4">
        <f ca="1">IFERROR(__xludf.DUMMYFUNCTION("""COMPUTED_VALUE"""),4)</f>
        <v>4</v>
      </c>
      <c r="M397" s="4">
        <f ca="1">IFERROR(__xludf.DUMMYFUNCTION("""COMPUTED_VALUE"""),5)</f>
        <v>5</v>
      </c>
      <c r="N397" s="4">
        <f ca="1">IFERROR(__xludf.DUMMYFUNCTION("""COMPUTED_VALUE"""),4)</f>
        <v>4</v>
      </c>
      <c r="O397" s="4">
        <f ca="1">IFERROR(__xludf.DUMMYFUNCTION("""COMPUTED_VALUE"""),4)</f>
        <v>4</v>
      </c>
      <c r="P397" s="4">
        <f ca="1">IFERROR(__xludf.DUMMYFUNCTION("""COMPUTED_VALUE"""),4)</f>
        <v>4</v>
      </c>
      <c r="Q397" s="4">
        <f ca="1">IFERROR(__xludf.DUMMYFUNCTION("""COMPUTED_VALUE"""),5)</f>
        <v>5</v>
      </c>
      <c r="R397" s="4">
        <f ca="1">IFERROR(__xludf.DUMMYFUNCTION("""COMPUTED_VALUE"""),5)</f>
        <v>5</v>
      </c>
      <c r="S397" s="4">
        <f ca="1">IFERROR(__xludf.DUMMYFUNCTION("""COMPUTED_VALUE"""),5)</f>
        <v>5</v>
      </c>
      <c r="T397" s="4">
        <f ca="1">IFERROR(__xludf.DUMMYFUNCTION("""COMPUTED_VALUE"""),5)</f>
        <v>5</v>
      </c>
      <c r="U397" s="4">
        <f ca="1">IFERROR(__xludf.DUMMYFUNCTION("""COMPUTED_VALUE"""),5)</f>
        <v>5</v>
      </c>
      <c r="V397" s="4">
        <f ca="1">IFERROR(__xludf.DUMMYFUNCTION("""COMPUTED_VALUE"""),5)</f>
        <v>5</v>
      </c>
      <c r="W397" s="4">
        <f ca="1">IFERROR(__xludf.DUMMYFUNCTION("""COMPUTED_VALUE"""),4)</f>
        <v>4</v>
      </c>
      <c r="X397" s="4">
        <f ca="1">IFERROR(__xludf.DUMMYFUNCTION("""COMPUTED_VALUE"""),4)</f>
        <v>4</v>
      </c>
      <c r="Y397" s="4">
        <f ca="1">IFERROR(__xludf.DUMMYFUNCTION("""COMPUTED_VALUE"""),3)</f>
        <v>3</v>
      </c>
      <c r="Z397" s="4">
        <f ca="1">IFERROR(__xludf.DUMMYFUNCTION("""COMPUTED_VALUE"""),3)</f>
        <v>3</v>
      </c>
      <c r="AA397" s="4">
        <f ca="1">IFERROR(__xludf.DUMMYFUNCTION("""COMPUTED_VALUE"""),4)</f>
        <v>4</v>
      </c>
      <c r="AB397" s="4">
        <f ca="1">IFERROR(__xludf.DUMMYFUNCTION("""COMPUTED_VALUE"""),3)</f>
        <v>3</v>
      </c>
      <c r="AC397" s="4">
        <f ca="1">IFERROR(__xludf.DUMMYFUNCTION("""COMPUTED_VALUE"""),3)</f>
        <v>3</v>
      </c>
      <c r="AD397" s="4">
        <f ca="1">IFERROR(__xludf.DUMMYFUNCTION("""COMPUTED_VALUE"""),2)</f>
        <v>2</v>
      </c>
      <c r="AE397" s="4">
        <f ca="1">IFERROR(__xludf.DUMMYFUNCTION("""COMPUTED_VALUE"""),4)</f>
        <v>4</v>
      </c>
      <c r="AF397" s="4">
        <f ca="1">IFERROR(__xludf.DUMMYFUNCTION("""COMPUTED_VALUE"""),4)</f>
        <v>4</v>
      </c>
      <c r="AG397" s="4">
        <f ca="1">IFERROR(__xludf.DUMMYFUNCTION("""COMPUTED_VALUE"""),4)</f>
        <v>4</v>
      </c>
      <c r="AH397" s="4">
        <f ca="1">IFERROR(__xludf.DUMMYFUNCTION("""COMPUTED_VALUE"""),4)</f>
        <v>4</v>
      </c>
      <c r="AI397" s="4">
        <f ca="1">IFERROR(__xludf.DUMMYFUNCTION("""COMPUTED_VALUE"""),3)</f>
        <v>3</v>
      </c>
      <c r="AJ397" s="4">
        <f ca="1">IFERROR(__xludf.DUMMYFUNCTION("""COMPUTED_VALUE"""),4)</f>
        <v>4</v>
      </c>
      <c r="AK397" s="4">
        <f ca="1">IFERROR(__xludf.DUMMYFUNCTION("""COMPUTED_VALUE"""),4)</f>
        <v>4</v>
      </c>
      <c r="AL397" s="4">
        <f ca="1">IFERROR(__xludf.DUMMYFUNCTION("""COMPUTED_VALUE"""),4)</f>
        <v>4</v>
      </c>
      <c r="AM397" s="4">
        <f ca="1">IFERROR(__xludf.DUMMYFUNCTION("""COMPUTED_VALUE"""),4)</f>
        <v>4</v>
      </c>
      <c r="AN397" s="4">
        <f ca="1">IFERROR(__xludf.DUMMYFUNCTION("""COMPUTED_VALUE"""),4)</f>
        <v>4</v>
      </c>
      <c r="AO397" s="4">
        <f ca="1">IFERROR(__xludf.DUMMYFUNCTION("""COMPUTED_VALUE"""),4)</f>
        <v>4</v>
      </c>
      <c r="AP397" s="4">
        <f ca="1">IFERROR(__xludf.DUMMYFUNCTION("""COMPUTED_VALUE"""),4)</f>
        <v>4</v>
      </c>
      <c r="AQ397" s="4">
        <f ca="1">IFERROR(__xludf.DUMMYFUNCTION("""COMPUTED_VALUE"""),4)</f>
        <v>4</v>
      </c>
      <c r="AR397" s="4">
        <f ca="1">IFERROR(__xludf.DUMMYFUNCTION("""COMPUTED_VALUE"""),4)</f>
        <v>4</v>
      </c>
      <c r="AS397" s="4">
        <f ca="1">IFERROR(__xludf.DUMMYFUNCTION("""COMPUTED_VALUE"""),4)</f>
        <v>4</v>
      </c>
      <c r="AT397" s="4">
        <f ca="1">IFERROR(__xludf.DUMMYFUNCTION("""COMPUTED_VALUE"""),3)</f>
        <v>3</v>
      </c>
      <c r="AU397" s="4">
        <f ca="1">IFERROR(__xludf.DUMMYFUNCTION("""COMPUTED_VALUE"""),4)</f>
        <v>4</v>
      </c>
      <c r="AV397" s="4">
        <f ca="1">IFERROR(__xludf.DUMMYFUNCTION("""COMPUTED_VALUE"""),4)</f>
        <v>4</v>
      </c>
      <c r="AW397" s="4">
        <f ca="1">IFERROR(__xludf.DUMMYFUNCTION("""COMPUTED_VALUE"""),4)</f>
        <v>4</v>
      </c>
      <c r="AX397" s="4">
        <f ca="1">IFERROR(__xludf.DUMMYFUNCTION("""COMPUTED_VALUE"""),5)</f>
        <v>5</v>
      </c>
      <c r="AY397" s="4">
        <f ca="1">IFERROR(__xludf.DUMMYFUNCTION("""COMPUTED_VALUE"""),4)</f>
        <v>4</v>
      </c>
      <c r="AZ397" s="4">
        <f ca="1">IFERROR(__xludf.DUMMYFUNCTION("""COMPUTED_VALUE"""),4)</f>
        <v>4</v>
      </c>
      <c r="BA397" s="4">
        <f ca="1">IFERROR(__xludf.DUMMYFUNCTION("""COMPUTED_VALUE"""),4)</f>
        <v>4</v>
      </c>
      <c r="BB397" s="4">
        <f ca="1">IFERROR(__xludf.DUMMYFUNCTION("""COMPUTED_VALUE"""),4)</f>
        <v>4</v>
      </c>
      <c r="BC397" s="4">
        <f ca="1">IFERROR(__xludf.DUMMYFUNCTION("""COMPUTED_VALUE"""),2)</f>
        <v>2</v>
      </c>
      <c r="BD397" s="4">
        <f ca="1">IFERROR(__xludf.DUMMYFUNCTION("""COMPUTED_VALUE"""),4)</f>
        <v>4</v>
      </c>
      <c r="BE397" s="4">
        <f ca="1">IFERROR(__xludf.DUMMYFUNCTION("""COMPUTED_VALUE"""),4)</f>
        <v>4</v>
      </c>
      <c r="BF397" s="4">
        <f ca="1">IFERROR(__xludf.DUMMYFUNCTION("""COMPUTED_VALUE"""),3)</f>
        <v>3</v>
      </c>
      <c r="BG397" s="4">
        <f ca="1">IFERROR(__xludf.DUMMYFUNCTION("""COMPUTED_VALUE"""),2)</f>
        <v>2</v>
      </c>
      <c r="BH397" s="4">
        <f ca="1">IFERROR(__xludf.DUMMYFUNCTION("""COMPUTED_VALUE"""),4)</f>
        <v>4</v>
      </c>
      <c r="BI397" s="4">
        <f ca="1">IFERROR(__xludf.DUMMYFUNCTION("""COMPUTED_VALUE"""),4)</f>
        <v>4</v>
      </c>
      <c r="BJ397" s="4">
        <f ca="1">IFERROR(__xludf.DUMMYFUNCTION("""COMPUTED_VALUE"""),4)</f>
        <v>4</v>
      </c>
      <c r="BK397" s="4">
        <f ca="1">IFERROR(__xludf.DUMMYFUNCTION("""COMPUTED_VALUE"""),4)</f>
        <v>4</v>
      </c>
      <c r="BL397" s="4">
        <f ca="1">IFERROR(__xludf.DUMMYFUNCTION("""COMPUTED_VALUE"""),4)</f>
        <v>4</v>
      </c>
      <c r="BM397" s="4">
        <f ca="1">IFERROR(__xludf.DUMMYFUNCTION("""COMPUTED_VALUE"""),4)</f>
        <v>4</v>
      </c>
      <c r="BN397" s="4">
        <f ca="1">IFERROR(__xludf.DUMMYFUNCTION("""COMPUTED_VALUE"""),5)</f>
        <v>5</v>
      </c>
      <c r="BO397" s="4">
        <f ca="1">IFERROR(__xludf.DUMMYFUNCTION("""COMPUTED_VALUE"""),5)</f>
        <v>5</v>
      </c>
      <c r="BP397" s="4">
        <f ca="1">IFERROR(__xludf.DUMMYFUNCTION("""COMPUTED_VALUE"""),4)</f>
        <v>4</v>
      </c>
    </row>
    <row r="398" spans="1:68" ht="13.2" x14ac:dyDescent="0.25">
      <c r="A398" s="4" t="str">
        <f ca="1">IFERROR(__xludf.DUMMYFUNCTION("""COMPUTED_VALUE"""),"2_ABaOnudv_qpoWl_O4BCwDWXMPOzwiFpIpp9e5vghM-CpM86QG0O2yo_jODXqybl08g")</f>
        <v>2_ABaOnudv_qpoWl_O4BCwDWXMPOzwiFpIpp9e5vghM-CpM86QG0O2yo_jODXqybl08g</v>
      </c>
      <c r="B398" s="5">
        <f ca="1">IFERROR(__xludf.DUMMYFUNCTION("""COMPUTED_VALUE"""),45988.3450931597)</f>
        <v>45988.345093159704</v>
      </c>
      <c r="C398" s="4" t="str">
        <f ca="1">IFERROR(__xludf.DUMMYFUNCTION("""COMPUTED_VALUE"""),"Nguyễn Gia Thành")</f>
        <v>Nguyễn Gia Thành</v>
      </c>
      <c r="D398" s="4" t="str">
        <f ca="1">IFERROR(__xludf.DUMMYFUNCTION("""COMPUTED_VALUE"""),"Nam")</f>
        <v>Nam</v>
      </c>
      <c r="E398" s="4" t="str">
        <f ca="1">IFERROR(__xludf.DUMMYFUNCTION("""COMPUTED_VALUE"""),"Công ty TNHH Kiểm toán FAC")</f>
        <v>Công ty TNHH Kiểm toán FAC</v>
      </c>
      <c r="F398" s="4" t="str">
        <f ca="1">IFERROR(__xludf.DUMMYFUNCTION("""COMPUTED_VALUE"""),"Đại học, Chứng chỉ Kiểm toán viên")</f>
        <v>Đại học, Chứng chỉ Kiểm toán viên</v>
      </c>
      <c r="G398" s="4" t="str">
        <f ca="1">IFERROR(__xludf.DUMMYFUNCTION("""COMPUTED_VALUE"""),"Trên 10 đến 15 năm")</f>
        <v>Trên 10 đến 15 năm</v>
      </c>
      <c r="H398" s="4" t="str">
        <f ca="1">IFERROR(__xludf.DUMMYFUNCTION("""COMPUTED_VALUE"""),"Trưởng phòng")</f>
        <v>Trưởng phòng</v>
      </c>
      <c r="I398" s="4">
        <f ca="1">IFERROR(__xludf.DUMMYFUNCTION("""COMPUTED_VALUE"""),4)</f>
        <v>4</v>
      </c>
      <c r="J398" s="4">
        <f ca="1">IFERROR(__xludf.DUMMYFUNCTION("""COMPUTED_VALUE"""),4)</f>
        <v>4</v>
      </c>
      <c r="K398" s="4">
        <f ca="1">IFERROR(__xludf.DUMMYFUNCTION("""COMPUTED_VALUE"""),3)</f>
        <v>3</v>
      </c>
      <c r="L398" s="4">
        <f ca="1">IFERROR(__xludf.DUMMYFUNCTION("""COMPUTED_VALUE"""),4)</f>
        <v>4</v>
      </c>
      <c r="M398" s="4">
        <f ca="1">IFERROR(__xludf.DUMMYFUNCTION("""COMPUTED_VALUE"""),3)</f>
        <v>3</v>
      </c>
      <c r="N398" s="4">
        <f ca="1">IFERROR(__xludf.DUMMYFUNCTION("""COMPUTED_VALUE"""),3)</f>
        <v>3</v>
      </c>
      <c r="O398" s="4">
        <f ca="1">IFERROR(__xludf.DUMMYFUNCTION("""COMPUTED_VALUE"""),3)</f>
        <v>3</v>
      </c>
      <c r="P398" s="4">
        <f ca="1">IFERROR(__xludf.DUMMYFUNCTION("""COMPUTED_VALUE"""),3)</f>
        <v>3</v>
      </c>
      <c r="Q398" s="4">
        <f ca="1">IFERROR(__xludf.DUMMYFUNCTION("""COMPUTED_VALUE"""),4)</f>
        <v>4</v>
      </c>
      <c r="R398" s="4">
        <f ca="1">IFERROR(__xludf.DUMMYFUNCTION("""COMPUTED_VALUE"""),3)</f>
        <v>3</v>
      </c>
      <c r="S398" s="4">
        <f ca="1">IFERROR(__xludf.DUMMYFUNCTION("""COMPUTED_VALUE"""),4)</f>
        <v>4</v>
      </c>
      <c r="T398" s="4">
        <f ca="1">IFERROR(__xludf.DUMMYFUNCTION("""COMPUTED_VALUE"""),4)</f>
        <v>4</v>
      </c>
      <c r="U398" s="4">
        <f ca="1">IFERROR(__xludf.DUMMYFUNCTION("""COMPUTED_VALUE"""),4)</f>
        <v>4</v>
      </c>
      <c r="V398" s="4">
        <f ca="1">IFERROR(__xludf.DUMMYFUNCTION("""COMPUTED_VALUE"""),4)</f>
        <v>4</v>
      </c>
      <c r="W398" s="4">
        <f ca="1">IFERROR(__xludf.DUMMYFUNCTION("""COMPUTED_VALUE"""),3)</f>
        <v>3</v>
      </c>
      <c r="X398" s="4">
        <f ca="1">IFERROR(__xludf.DUMMYFUNCTION("""COMPUTED_VALUE"""),3)</f>
        <v>3</v>
      </c>
      <c r="Y398" s="4">
        <f ca="1">IFERROR(__xludf.DUMMYFUNCTION("""COMPUTED_VALUE"""),3)</f>
        <v>3</v>
      </c>
      <c r="Z398" s="4">
        <f ca="1">IFERROR(__xludf.DUMMYFUNCTION("""COMPUTED_VALUE"""),3)</f>
        <v>3</v>
      </c>
      <c r="AA398" s="4">
        <f ca="1">IFERROR(__xludf.DUMMYFUNCTION("""COMPUTED_VALUE"""),3)</f>
        <v>3</v>
      </c>
      <c r="AB398" s="4">
        <f ca="1">IFERROR(__xludf.DUMMYFUNCTION("""COMPUTED_VALUE"""),4)</f>
        <v>4</v>
      </c>
      <c r="AC398" s="4">
        <f ca="1">IFERROR(__xludf.DUMMYFUNCTION("""COMPUTED_VALUE"""),4)</f>
        <v>4</v>
      </c>
      <c r="AD398" s="4">
        <f ca="1">IFERROR(__xludf.DUMMYFUNCTION("""COMPUTED_VALUE"""),4)</f>
        <v>4</v>
      </c>
      <c r="AE398" s="4">
        <f ca="1">IFERROR(__xludf.DUMMYFUNCTION("""COMPUTED_VALUE"""),4)</f>
        <v>4</v>
      </c>
      <c r="AF398" s="4">
        <f ca="1">IFERROR(__xludf.DUMMYFUNCTION("""COMPUTED_VALUE"""),4)</f>
        <v>4</v>
      </c>
      <c r="AG398" s="4">
        <f ca="1">IFERROR(__xludf.DUMMYFUNCTION("""COMPUTED_VALUE"""),4)</f>
        <v>4</v>
      </c>
      <c r="AH398" s="4">
        <f ca="1">IFERROR(__xludf.DUMMYFUNCTION("""COMPUTED_VALUE"""),4)</f>
        <v>4</v>
      </c>
      <c r="AI398" s="4">
        <f ca="1">IFERROR(__xludf.DUMMYFUNCTION("""COMPUTED_VALUE"""),4)</f>
        <v>4</v>
      </c>
      <c r="AJ398" s="4">
        <f ca="1">IFERROR(__xludf.DUMMYFUNCTION("""COMPUTED_VALUE"""),3)</f>
        <v>3</v>
      </c>
      <c r="AK398" s="4">
        <f ca="1">IFERROR(__xludf.DUMMYFUNCTION("""COMPUTED_VALUE"""),3)</f>
        <v>3</v>
      </c>
      <c r="AL398" s="4">
        <f ca="1">IFERROR(__xludf.DUMMYFUNCTION("""COMPUTED_VALUE"""),3)</f>
        <v>3</v>
      </c>
      <c r="AM398" s="4">
        <f ca="1">IFERROR(__xludf.DUMMYFUNCTION("""COMPUTED_VALUE"""),3)</f>
        <v>3</v>
      </c>
      <c r="AN398" s="4">
        <f ca="1">IFERROR(__xludf.DUMMYFUNCTION("""COMPUTED_VALUE"""),3)</f>
        <v>3</v>
      </c>
      <c r="AO398" s="4">
        <f ca="1">IFERROR(__xludf.DUMMYFUNCTION("""COMPUTED_VALUE"""),3)</f>
        <v>3</v>
      </c>
      <c r="AP398" s="4">
        <f ca="1">IFERROR(__xludf.DUMMYFUNCTION("""COMPUTED_VALUE"""),2)</f>
        <v>2</v>
      </c>
      <c r="AQ398" s="4">
        <f ca="1">IFERROR(__xludf.DUMMYFUNCTION("""COMPUTED_VALUE"""),3)</f>
        <v>3</v>
      </c>
      <c r="AR398" s="4">
        <f ca="1">IFERROR(__xludf.DUMMYFUNCTION("""COMPUTED_VALUE"""),3)</f>
        <v>3</v>
      </c>
      <c r="AS398" s="4">
        <f ca="1">IFERROR(__xludf.DUMMYFUNCTION("""COMPUTED_VALUE"""),3)</f>
        <v>3</v>
      </c>
      <c r="AT398" s="4">
        <f ca="1">IFERROR(__xludf.DUMMYFUNCTION("""COMPUTED_VALUE"""),4)</f>
        <v>4</v>
      </c>
      <c r="AU398" s="4">
        <f ca="1">IFERROR(__xludf.DUMMYFUNCTION("""COMPUTED_VALUE"""),3)</f>
        <v>3</v>
      </c>
      <c r="AV398" s="4">
        <f ca="1">IFERROR(__xludf.DUMMYFUNCTION("""COMPUTED_VALUE"""),3)</f>
        <v>3</v>
      </c>
      <c r="AW398" s="4">
        <f ca="1">IFERROR(__xludf.DUMMYFUNCTION("""COMPUTED_VALUE"""),4)</f>
        <v>4</v>
      </c>
      <c r="AX398" s="4">
        <f ca="1">IFERROR(__xludf.DUMMYFUNCTION("""COMPUTED_VALUE"""),3)</f>
        <v>3</v>
      </c>
      <c r="AY398" s="4">
        <f ca="1">IFERROR(__xludf.DUMMYFUNCTION("""COMPUTED_VALUE"""),4)</f>
        <v>4</v>
      </c>
      <c r="AZ398" s="4">
        <f ca="1">IFERROR(__xludf.DUMMYFUNCTION("""COMPUTED_VALUE"""),4)</f>
        <v>4</v>
      </c>
      <c r="BA398" s="4">
        <f ca="1">IFERROR(__xludf.DUMMYFUNCTION("""COMPUTED_VALUE"""),4)</f>
        <v>4</v>
      </c>
      <c r="BB398" s="4">
        <f ca="1">IFERROR(__xludf.DUMMYFUNCTION("""COMPUTED_VALUE"""),4)</f>
        <v>4</v>
      </c>
      <c r="BC398" s="4">
        <f ca="1">IFERROR(__xludf.DUMMYFUNCTION("""COMPUTED_VALUE"""),4)</f>
        <v>4</v>
      </c>
      <c r="BD398" s="4">
        <f ca="1">IFERROR(__xludf.DUMMYFUNCTION("""COMPUTED_VALUE"""),4)</f>
        <v>4</v>
      </c>
      <c r="BE398" s="4">
        <f ca="1">IFERROR(__xludf.DUMMYFUNCTION("""COMPUTED_VALUE"""),4)</f>
        <v>4</v>
      </c>
      <c r="BF398" s="4">
        <f ca="1">IFERROR(__xludf.DUMMYFUNCTION("""COMPUTED_VALUE"""),4)</f>
        <v>4</v>
      </c>
      <c r="BG398" s="4">
        <f ca="1">IFERROR(__xludf.DUMMYFUNCTION("""COMPUTED_VALUE"""),3)</f>
        <v>3</v>
      </c>
      <c r="BH398" s="4">
        <f ca="1">IFERROR(__xludf.DUMMYFUNCTION("""COMPUTED_VALUE"""),4)</f>
        <v>4</v>
      </c>
      <c r="BI398" s="4">
        <f ca="1">IFERROR(__xludf.DUMMYFUNCTION("""COMPUTED_VALUE"""),4)</f>
        <v>4</v>
      </c>
      <c r="BJ398" s="4">
        <f ca="1">IFERROR(__xludf.DUMMYFUNCTION("""COMPUTED_VALUE"""),4)</f>
        <v>4</v>
      </c>
      <c r="BK398" s="4">
        <f ca="1">IFERROR(__xludf.DUMMYFUNCTION("""COMPUTED_VALUE"""),3)</f>
        <v>3</v>
      </c>
      <c r="BL398" s="4">
        <f ca="1">IFERROR(__xludf.DUMMYFUNCTION("""COMPUTED_VALUE"""),3)</f>
        <v>3</v>
      </c>
      <c r="BM398" s="4">
        <f ca="1">IFERROR(__xludf.DUMMYFUNCTION("""COMPUTED_VALUE"""),3)</f>
        <v>3</v>
      </c>
      <c r="BN398" s="4">
        <f ca="1">IFERROR(__xludf.DUMMYFUNCTION("""COMPUTED_VALUE"""),3)</f>
        <v>3</v>
      </c>
      <c r="BO398" s="4">
        <f ca="1">IFERROR(__xludf.DUMMYFUNCTION("""COMPUTED_VALUE"""),4)</f>
        <v>4</v>
      </c>
      <c r="BP398" s="4">
        <f ca="1">IFERROR(__xludf.DUMMYFUNCTION("""COMPUTED_VALUE"""),4)</f>
        <v>4</v>
      </c>
    </row>
    <row r="399" spans="1:68" ht="13.2" x14ac:dyDescent="0.25">
      <c r="A399" s="4" t="str">
        <f ca="1">IFERROR(__xludf.DUMMYFUNCTION("""COMPUTED_VALUE"""),"2_ABaOnufHd7a8re6gnHLacJWg8iHZ5K_32njKPB8hifivkLUsxyCQ_fxt8gRQEP5fdA")</f>
        <v>2_ABaOnufHd7a8re6gnHLacJWg8iHZ5K_32njKPB8hifivkLUsxyCQ_fxt8gRQEP5fdA</v>
      </c>
      <c r="B399" s="5">
        <f ca="1">IFERROR(__xludf.DUMMYFUNCTION("""COMPUTED_VALUE"""),45988.3458070717)</f>
        <v>45988.345807071702</v>
      </c>
      <c r="C399" s="4" t="str">
        <f ca="1">IFERROR(__xludf.DUMMYFUNCTION("""COMPUTED_VALUE"""),"Nguyễn Huỳnh Chính")</f>
        <v>Nguyễn Huỳnh Chính</v>
      </c>
      <c r="D399" s="4" t="str">
        <f ca="1">IFERROR(__xludf.DUMMYFUNCTION("""COMPUTED_VALUE"""),"Nam")</f>
        <v>Nam</v>
      </c>
      <c r="E399" s="4" t="str">
        <f ca="1">IFERROR(__xludf.DUMMYFUNCTION("""COMPUTED_VALUE"""),"Công ty TNHH Kiểm toán FAC")</f>
        <v>Công ty TNHH Kiểm toán FAC</v>
      </c>
      <c r="F399" s="4" t="str">
        <f ca="1">IFERROR(__xludf.DUMMYFUNCTION("""COMPUTED_VALUE"""),"Đại học")</f>
        <v>Đại học</v>
      </c>
      <c r="G399" s="4" t="str">
        <f ca="1">IFERROR(__xludf.DUMMYFUNCTION("""COMPUTED_VALUE"""),"Từ 3 đến 5 năm")</f>
        <v>Từ 3 đến 5 năm</v>
      </c>
      <c r="H399" s="4" t="str">
        <f ca="1">IFERROR(__xludf.DUMMYFUNCTION("""COMPUTED_VALUE"""),"Trợ lý kiểm toán")</f>
        <v>Trợ lý kiểm toán</v>
      </c>
      <c r="I399" s="4">
        <f ca="1">IFERROR(__xludf.DUMMYFUNCTION("""COMPUTED_VALUE"""),1)</f>
        <v>1</v>
      </c>
      <c r="J399" s="4">
        <f ca="1">IFERROR(__xludf.DUMMYFUNCTION("""COMPUTED_VALUE"""),1)</f>
        <v>1</v>
      </c>
      <c r="K399" s="4">
        <f ca="1">IFERROR(__xludf.DUMMYFUNCTION("""COMPUTED_VALUE"""),1)</f>
        <v>1</v>
      </c>
      <c r="L399" s="4">
        <f ca="1">IFERROR(__xludf.DUMMYFUNCTION("""COMPUTED_VALUE"""),1)</f>
        <v>1</v>
      </c>
      <c r="M399" s="4">
        <f ca="1">IFERROR(__xludf.DUMMYFUNCTION("""COMPUTED_VALUE"""),1)</f>
        <v>1</v>
      </c>
      <c r="N399" s="4">
        <f ca="1">IFERROR(__xludf.DUMMYFUNCTION("""COMPUTED_VALUE"""),1)</f>
        <v>1</v>
      </c>
      <c r="O399" s="4">
        <f ca="1">IFERROR(__xludf.DUMMYFUNCTION("""COMPUTED_VALUE"""),1)</f>
        <v>1</v>
      </c>
      <c r="P399" s="4">
        <f ca="1">IFERROR(__xludf.DUMMYFUNCTION("""COMPUTED_VALUE"""),1)</f>
        <v>1</v>
      </c>
      <c r="Q399" s="4">
        <f ca="1">IFERROR(__xludf.DUMMYFUNCTION("""COMPUTED_VALUE"""),1)</f>
        <v>1</v>
      </c>
      <c r="R399" s="4">
        <f ca="1">IFERROR(__xludf.DUMMYFUNCTION("""COMPUTED_VALUE"""),1)</f>
        <v>1</v>
      </c>
      <c r="S399" s="4">
        <f ca="1">IFERROR(__xludf.DUMMYFUNCTION("""COMPUTED_VALUE"""),1)</f>
        <v>1</v>
      </c>
      <c r="T399" s="4">
        <f ca="1">IFERROR(__xludf.DUMMYFUNCTION("""COMPUTED_VALUE"""),1)</f>
        <v>1</v>
      </c>
      <c r="U399" s="4">
        <f ca="1">IFERROR(__xludf.DUMMYFUNCTION("""COMPUTED_VALUE"""),1)</f>
        <v>1</v>
      </c>
      <c r="V399" s="4">
        <f ca="1">IFERROR(__xludf.DUMMYFUNCTION("""COMPUTED_VALUE"""),1)</f>
        <v>1</v>
      </c>
      <c r="W399" s="4">
        <f ca="1">IFERROR(__xludf.DUMMYFUNCTION("""COMPUTED_VALUE"""),2)</f>
        <v>2</v>
      </c>
      <c r="X399" s="4">
        <f ca="1">IFERROR(__xludf.DUMMYFUNCTION("""COMPUTED_VALUE"""),2)</f>
        <v>2</v>
      </c>
      <c r="Y399" s="4">
        <f ca="1">IFERROR(__xludf.DUMMYFUNCTION("""COMPUTED_VALUE"""),1)</f>
        <v>1</v>
      </c>
      <c r="Z399" s="4">
        <f ca="1">IFERROR(__xludf.DUMMYFUNCTION("""COMPUTED_VALUE"""),2)</f>
        <v>2</v>
      </c>
      <c r="AA399" s="4">
        <f ca="1">IFERROR(__xludf.DUMMYFUNCTION("""COMPUTED_VALUE"""),2)</f>
        <v>2</v>
      </c>
      <c r="AB399" s="4">
        <f ca="1">IFERROR(__xludf.DUMMYFUNCTION("""COMPUTED_VALUE"""),2)</f>
        <v>2</v>
      </c>
      <c r="AC399" s="4">
        <f ca="1">IFERROR(__xludf.DUMMYFUNCTION("""COMPUTED_VALUE"""),1)</f>
        <v>1</v>
      </c>
      <c r="AD399" s="4">
        <f ca="1">IFERROR(__xludf.DUMMYFUNCTION("""COMPUTED_VALUE"""),2)</f>
        <v>2</v>
      </c>
      <c r="AE399" s="4">
        <f ca="1">IFERROR(__xludf.DUMMYFUNCTION("""COMPUTED_VALUE"""),2)</f>
        <v>2</v>
      </c>
      <c r="AF399" s="4">
        <f ca="1">IFERROR(__xludf.DUMMYFUNCTION("""COMPUTED_VALUE"""),2)</f>
        <v>2</v>
      </c>
      <c r="AG399" s="4">
        <f ca="1">IFERROR(__xludf.DUMMYFUNCTION("""COMPUTED_VALUE"""),1)</f>
        <v>1</v>
      </c>
      <c r="AH399" s="4">
        <f ca="1">IFERROR(__xludf.DUMMYFUNCTION("""COMPUTED_VALUE"""),2)</f>
        <v>2</v>
      </c>
      <c r="AI399" s="4">
        <f ca="1">IFERROR(__xludf.DUMMYFUNCTION("""COMPUTED_VALUE"""),1)</f>
        <v>1</v>
      </c>
      <c r="AJ399" s="4">
        <f ca="1">IFERROR(__xludf.DUMMYFUNCTION("""COMPUTED_VALUE"""),2)</f>
        <v>2</v>
      </c>
      <c r="AK399" s="4">
        <f ca="1">IFERROR(__xludf.DUMMYFUNCTION("""COMPUTED_VALUE"""),1)</f>
        <v>1</v>
      </c>
      <c r="AL399" s="4">
        <f ca="1">IFERROR(__xludf.DUMMYFUNCTION("""COMPUTED_VALUE"""),2)</f>
        <v>2</v>
      </c>
      <c r="AM399" s="4">
        <f ca="1">IFERROR(__xludf.DUMMYFUNCTION("""COMPUTED_VALUE"""),2)</f>
        <v>2</v>
      </c>
      <c r="AN399" s="4">
        <f ca="1">IFERROR(__xludf.DUMMYFUNCTION("""COMPUTED_VALUE"""),1)</f>
        <v>1</v>
      </c>
      <c r="AO399" s="4">
        <f ca="1">IFERROR(__xludf.DUMMYFUNCTION("""COMPUTED_VALUE"""),2)</f>
        <v>2</v>
      </c>
      <c r="AP399" s="4">
        <f ca="1">IFERROR(__xludf.DUMMYFUNCTION("""COMPUTED_VALUE"""),1)</f>
        <v>1</v>
      </c>
      <c r="AQ399" s="4">
        <f ca="1">IFERROR(__xludf.DUMMYFUNCTION("""COMPUTED_VALUE"""),1)</f>
        <v>1</v>
      </c>
      <c r="AR399" s="4">
        <f ca="1">IFERROR(__xludf.DUMMYFUNCTION("""COMPUTED_VALUE"""),1)</f>
        <v>1</v>
      </c>
      <c r="AS399" s="4">
        <f ca="1">IFERROR(__xludf.DUMMYFUNCTION("""COMPUTED_VALUE"""),1)</f>
        <v>1</v>
      </c>
      <c r="AT399" s="4">
        <f ca="1">IFERROR(__xludf.DUMMYFUNCTION("""COMPUTED_VALUE"""),1)</f>
        <v>1</v>
      </c>
      <c r="AU399" s="4">
        <f ca="1">IFERROR(__xludf.DUMMYFUNCTION("""COMPUTED_VALUE"""),1)</f>
        <v>1</v>
      </c>
      <c r="AV399" s="4">
        <f ca="1">IFERROR(__xludf.DUMMYFUNCTION("""COMPUTED_VALUE"""),1)</f>
        <v>1</v>
      </c>
      <c r="AW399" s="4">
        <f ca="1">IFERROR(__xludf.DUMMYFUNCTION("""COMPUTED_VALUE"""),1)</f>
        <v>1</v>
      </c>
      <c r="AX399" s="4">
        <f ca="1">IFERROR(__xludf.DUMMYFUNCTION("""COMPUTED_VALUE"""),1)</f>
        <v>1</v>
      </c>
      <c r="AY399" s="4">
        <f ca="1">IFERROR(__xludf.DUMMYFUNCTION("""COMPUTED_VALUE"""),2)</f>
        <v>2</v>
      </c>
      <c r="AZ399" s="4">
        <f ca="1">IFERROR(__xludf.DUMMYFUNCTION("""COMPUTED_VALUE"""),2)</f>
        <v>2</v>
      </c>
      <c r="BA399" s="4">
        <f ca="1">IFERROR(__xludf.DUMMYFUNCTION("""COMPUTED_VALUE"""),1)</f>
        <v>1</v>
      </c>
      <c r="BB399" s="4">
        <f ca="1">IFERROR(__xludf.DUMMYFUNCTION("""COMPUTED_VALUE"""),2)</f>
        <v>2</v>
      </c>
      <c r="BC399" s="4">
        <f ca="1">IFERROR(__xludf.DUMMYFUNCTION("""COMPUTED_VALUE"""),2)</f>
        <v>2</v>
      </c>
      <c r="BD399" s="4">
        <f ca="1">IFERROR(__xludf.DUMMYFUNCTION("""COMPUTED_VALUE"""),1)</f>
        <v>1</v>
      </c>
      <c r="BE399" s="4">
        <f ca="1">IFERROR(__xludf.DUMMYFUNCTION("""COMPUTED_VALUE"""),2)</f>
        <v>2</v>
      </c>
      <c r="BF399" s="4">
        <f ca="1">IFERROR(__xludf.DUMMYFUNCTION("""COMPUTED_VALUE"""),1)</f>
        <v>1</v>
      </c>
      <c r="BG399" s="4">
        <f ca="1">IFERROR(__xludf.DUMMYFUNCTION("""COMPUTED_VALUE"""),1)</f>
        <v>1</v>
      </c>
      <c r="BH399" s="4">
        <f ca="1">IFERROR(__xludf.DUMMYFUNCTION("""COMPUTED_VALUE"""),2)</f>
        <v>2</v>
      </c>
      <c r="BI399" s="4">
        <f ca="1">IFERROR(__xludf.DUMMYFUNCTION("""COMPUTED_VALUE"""),1)</f>
        <v>1</v>
      </c>
      <c r="BJ399" s="4">
        <f ca="1">IFERROR(__xludf.DUMMYFUNCTION("""COMPUTED_VALUE"""),1)</f>
        <v>1</v>
      </c>
      <c r="BK399" s="4">
        <f ca="1">IFERROR(__xludf.DUMMYFUNCTION("""COMPUTED_VALUE"""),2)</f>
        <v>2</v>
      </c>
      <c r="BL399" s="4">
        <f ca="1">IFERROR(__xludf.DUMMYFUNCTION("""COMPUTED_VALUE"""),1)</f>
        <v>1</v>
      </c>
      <c r="BM399" s="4">
        <f ca="1">IFERROR(__xludf.DUMMYFUNCTION("""COMPUTED_VALUE"""),2)</f>
        <v>2</v>
      </c>
      <c r="BN399" s="4">
        <f ca="1">IFERROR(__xludf.DUMMYFUNCTION("""COMPUTED_VALUE"""),1)</f>
        <v>1</v>
      </c>
      <c r="BO399" s="4">
        <f ca="1">IFERROR(__xludf.DUMMYFUNCTION("""COMPUTED_VALUE"""),2)</f>
        <v>2</v>
      </c>
      <c r="BP399" s="4">
        <f ca="1">IFERROR(__xludf.DUMMYFUNCTION("""COMPUTED_VALUE"""),1)</f>
        <v>1</v>
      </c>
    </row>
    <row r="400" spans="1:68" ht="13.2" x14ac:dyDescent="0.25">
      <c r="A400" s="4" t="str">
        <f ca="1">IFERROR(__xludf.DUMMYFUNCTION("""COMPUTED_VALUE"""),"2_ABaOnudIqHL_P7N72pR0qyK2E3wt40zEiHcQoZCgh-2sjCnW_l8EX5D3X3bmIUYCvQ")</f>
        <v>2_ABaOnudIqHL_P7N72pR0qyK2E3wt40zEiHcQoZCgh-2sjCnW_l8EX5D3X3bmIUYCvQ</v>
      </c>
      <c r="B400" s="5">
        <f ca="1">IFERROR(__xludf.DUMMYFUNCTION("""COMPUTED_VALUE"""),45988.3521123032)</f>
        <v>45988.352112303197</v>
      </c>
      <c r="C400" s="4" t="str">
        <f ca="1">IFERROR(__xludf.DUMMYFUNCTION("""COMPUTED_VALUE"""),"Phạm Tất Thành ")</f>
        <v xml:space="preserve">Phạm Tất Thành </v>
      </c>
      <c r="D400" s="4" t="str">
        <f ca="1">IFERROR(__xludf.DUMMYFUNCTION("""COMPUTED_VALUE"""),"Nam")</f>
        <v>Nam</v>
      </c>
      <c r="E400" s="4" t="str">
        <f ca="1">IFERROR(__xludf.DUMMYFUNCTION("""COMPUTED_VALUE"""),"Công ty tnhh kiểm toán Phương Đông ")</f>
        <v xml:space="preserve">Công ty tnhh kiểm toán Phương Đông </v>
      </c>
      <c r="F400" s="4" t="str">
        <f ca="1">IFERROR(__xludf.DUMMYFUNCTION("""COMPUTED_VALUE"""),"Đại học, Chứng chỉ Kiểm toán viên")</f>
        <v>Đại học, Chứng chỉ Kiểm toán viên</v>
      </c>
      <c r="G400" s="4" t="str">
        <f ca="1">IFERROR(__xludf.DUMMYFUNCTION("""COMPUTED_VALUE"""),"Trên 20 năm")</f>
        <v>Trên 20 năm</v>
      </c>
      <c r="H400" s="4" t="str">
        <f ca="1">IFERROR(__xludf.DUMMYFUNCTION("""COMPUTED_VALUE"""),"Ban giám đốc")</f>
        <v>Ban giám đốc</v>
      </c>
      <c r="I400" s="4">
        <f ca="1">IFERROR(__xludf.DUMMYFUNCTION("""COMPUTED_VALUE"""),5)</f>
        <v>5</v>
      </c>
      <c r="J400" s="4">
        <f ca="1">IFERROR(__xludf.DUMMYFUNCTION("""COMPUTED_VALUE"""),5)</f>
        <v>5</v>
      </c>
      <c r="K400" s="4">
        <f ca="1">IFERROR(__xludf.DUMMYFUNCTION("""COMPUTED_VALUE"""),5)</f>
        <v>5</v>
      </c>
      <c r="L400" s="4">
        <f ca="1">IFERROR(__xludf.DUMMYFUNCTION("""COMPUTED_VALUE"""),5)</f>
        <v>5</v>
      </c>
      <c r="M400" s="4">
        <f ca="1">IFERROR(__xludf.DUMMYFUNCTION("""COMPUTED_VALUE"""),4)</f>
        <v>4</v>
      </c>
      <c r="N400" s="4">
        <f ca="1">IFERROR(__xludf.DUMMYFUNCTION("""COMPUTED_VALUE"""),4)</f>
        <v>4</v>
      </c>
      <c r="O400" s="4">
        <f ca="1">IFERROR(__xludf.DUMMYFUNCTION("""COMPUTED_VALUE"""),4)</f>
        <v>4</v>
      </c>
      <c r="P400" s="4">
        <f ca="1">IFERROR(__xludf.DUMMYFUNCTION("""COMPUTED_VALUE"""),5)</f>
        <v>5</v>
      </c>
      <c r="Q400" s="4">
        <f ca="1">IFERROR(__xludf.DUMMYFUNCTION("""COMPUTED_VALUE"""),5)</f>
        <v>5</v>
      </c>
      <c r="R400" s="4">
        <f ca="1">IFERROR(__xludf.DUMMYFUNCTION("""COMPUTED_VALUE"""),5)</f>
        <v>5</v>
      </c>
      <c r="S400" s="4">
        <f ca="1">IFERROR(__xludf.DUMMYFUNCTION("""COMPUTED_VALUE"""),5)</f>
        <v>5</v>
      </c>
      <c r="T400" s="4">
        <f ca="1">IFERROR(__xludf.DUMMYFUNCTION("""COMPUTED_VALUE"""),5)</f>
        <v>5</v>
      </c>
      <c r="U400" s="4">
        <f ca="1">IFERROR(__xludf.DUMMYFUNCTION("""COMPUTED_VALUE"""),5)</f>
        <v>5</v>
      </c>
      <c r="V400" s="4">
        <f ca="1">IFERROR(__xludf.DUMMYFUNCTION("""COMPUTED_VALUE"""),5)</f>
        <v>5</v>
      </c>
      <c r="W400" s="4">
        <f ca="1">IFERROR(__xludf.DUMMYFUNCTION("""COMPUTED_VALUE"""),4)</f>
        <v>4</v>
      </c>
      <c r="X400" s="4">
        <f ca="1">IFERROR(__xludf.DUMMYFUNCTION("""COMPUTED_VALUE"""),4)</f>
        <v>4</v>
      </c>
      <c r="Y400" s="4">
        <f ca="1">IFERROR(__xludf.DUMMYFUNCTION("""COMPUTED_VALUE"""),3)</f>
        <v>3</v>
      </c>
      <c r="Z400" s="4">
        <f ca="1">IFERROR(__xludf.DUMMYFUNCTION("""COMPUTED_VALUE"""),5)</f>
        <v>5</v>
      </c>
      <c r="AA400" s="4">
        <f ca="1">IFERROR(__xludf.DUMMYFUNCTION("""COMPUTED_VALUE"""),5)</f>
        <v>5</v>
      </c>
      <c r="AB400" s="4">
        <f ca="1">IFERROR(__xludf.DUMMYFUNCTION("""COMPUTED_VALUE"""),5)</f>
        <v>5</v>
      </c>
      <c r="AC400" s="4">
        <f ca="1">IFERROR(__xludf.DUMMYFUNCTION("""COMPUTED_VALUE"""),3)</f>
        <v>3</v>
      </c>
      <c r="AD400" s="4">
        <f ca="1">IFERROR(__xludf.DUMMYFUNCTION("""COMPUTED_VALUE"""),3)</f>
        <v>3</v>
      </c>
      <c r="AE400" s="4">
        <f ca="1">IFERROR(__xludf.DUMMYFUNCTION("""COMPUTED_VALUE"""),5)</f>
        <v>5</v>
      </c>
      <c r="AF400" s="4">
        <f ca="1">IFERROR(__xludf.DUMMYFUNCTION("""COMPUTED_VALUE"""),5)</f>
        <v>5</v>
      </c>
      <c r="AG400" s="4">
        <f ca="1">IFERROR(__xludf.DUMMYFUNCTION("""COMPUTED_VALUE"""),5)</f>
        <v>5</v>
      </c>
      <c r="AH400" s="4">
        <f ca="1">IFERROR(__xludf.DUMMYFUNCTION("""COMPUTED_VALUE"""),5)</f>
        <v>5</v>
      </c>
      <c r="AI400" s="4">
        <f ca="1">IFERROR(__xludf.DUMMYFUNCTION("""COMPUTED_VALUE"""),5)</f>
        <v>5</v>
      </c>
      <c r="AJ400" s="4">
        <f ca="1">IFERROR(__xludf.DUMMYFUNCTION("""COMPUTED_VALUE"""),4)</f>
        <v>4</v>
      </c>
      <c r="AK400" s="4">
        <f ca="1">IFERROR(__xludf.DUMMYFUNCTION("""COMPUTED_VALUE"""),4)</f>
        <v>4</v>
      </c>
      <c r="AL400" s="4">
        <f ca="1">IFERROR(__xludf.DUMMYFUNCTION("""COMPUTED_VALUE"""),4)</f>
        <v>4</v>
      </c>
      <c r="AM400" s="4">
        <f ca="1">IFERROR(__xludf.DUMMYFUNCTION("""COMPUTED_VALUE"""),4)</f>
        <v>4</v>
      </c>
      <c r="AN400" s="4">
        <f ca="1">IFERROR(__xludf.DUMMYFUNCTION("""COMPUTED_VALUE"""),4)</f>
        <v>4</v>
      </c>
      <c r="AO400" s="4">
        <f ca="1">IFERROR(__xludf.DUMMYFUNCTION("""COMPUTED_VALUE"""),3)</f>
        <v>3</v>
      </c>
      <c r="AP400" s="4">
        <f ca="1">IFERROR(__xludf.DUMMYFUNCTION("""COMPUTED_VALUE"""),3)</f>
        <v>3</v>
      </c>
      <c r="AQ400" s="4">
        <f ca="1">IFERROR(__xludf.DUMMYFUNCTION("""COMPUTED_VALUE"""),4)</f>
        <v>4</v>
      </c>
      <c r="AR400" s="4">
        <f ca="1">IFERROR(__xludf.DUMMYFUNCTION("""COMPUTED_VALUE"""),4)</f>
        <v>4</v>
      </c>
      <c r="AS400" s="4">
        <f ca="1">IFERROR(__xludf.DUMMYFUNCTION("""COMPUTED_VALUE"""),4)</f>
        <v>4</v>
      </c>
      <c r="AT400" s="4">
        <f ca="1">IFERROR(__xludf.DUMMYFUNCTION("""COMPUTED_VALUE"""),5)</f>
        <v>5</v>
      </c>
      <c r="AU400" s="4">
        <f ca="1">IFERROR(__xludf.DUMMYFUNCTION("""COMPUTED_VALUE"""),5)</f>
        <v>5</v>
      </c>
      <c r="AV400" s="4">
        <f ca="1">IFERROR(__xludf.DUMMYFUNCTION("""COMPUTED_VALUE"""),4)</f>
        <v>4</v>
      </c>
      <c r="AW400" s="4">
        <f ca="1">IFERROR(__xludf.DUMMYFUNCTION("""COMPUTED_VALUE"""),4)</f>
        <v>4</v>
      </c>
      <c r="AX400" s="4">
        <f ca="1">IFERROR(__xludf.DUMMYFUNCTION("""COMPUTED_VALUE"""),5)</f>
        <v>5</v>
      </c>
      <c r="AY400" s="4">
        <f ca="1">IFERROR(__xludf.DUMMYFUNCTION("""COMPUTED_VALUE"""),5)</f>
        <v>5</v>
      </c>
      <c r="AZ400" s="4">
        <f ca="1">IFERROR(__xludf.DUMMYFUNCTION("""COMPUTED_VALUE"""),5)</f>
        <v>5</v>
      </c>
      <c r="BA400" s="4">
        <f ca="1">IFERROR(__xludf.DUMMYFUNCTION("""COMPUTED_VALUE"""),5)</f>
        <v>5</v>
      </c>
      <c r="BB400" s="4">
        <f ca="1">IFERROR(__xludf.DUMMYFUNCTION("""COMPUTED_VALUE"""),3)</f>
        <v>3</v>
      </c>
      <c r="BC400" s="4">
        <f ca="1">IFERROR(__xludf.DUMMYFUNCTION("""COMPUTED_VALUE"""),3)</f>
        <v>3</v>
      </c>
      <c r="BD400" s="4">
        <f ca="1">IFERROR(__xludf.DUMMYFUNCTION("""COMPUTED_VALUE"""),4)</f>
        <v>4</v>
      </c>
      <c r="BE400" s="4">
        <f ca="1">IFERROR(__xludf.DUMMYFUNCTION("""COMPUTED_VALUE"""),4)</f>
        <v>4</v>
      </c>
      <c r="BF400" s="4">
        <f ca="1">IFERROR(__xludf.DUMMYFUNCTION("""COMPUTED_VALUE"""),4)</f>
        <v>4</v>
      </c>
      <c r="BG400" s="4">
        <f ca="1">IFERROR(__xludf.DUMMYFUNCTION("""COMPUTED_VALUE"""),5)</f>
        <v>5</v>
      </c>
      <c r="BH400" s="4">
        <f ca="1">IFERROR(__xludf.DUMMYFUNCTION("""COMPUTED_VALUE"""),5)</f>
        <v>5</v>
      </c>
      <c r="BI400" s="4">
        <f ca="1">IFERROR(__xludf.DUMMYFUNCTION("""COMPUTED_VALUE"""),5)</f>
        <v>5</v>
      </c>
      <c r="BJ400" s="4">
        <f ca="1">IFERROR(__xludf.DUMMYFUNCTION("""COMPUTED_VALUE"""),5)</f>
        <v>5</v>
      </c>
      <c r="BK400" s="4">
        <f ca="1">IFERROR(__xludf.DUMMYFUNCTION("""COMPUTED_VALUE"""),4)</f>
        <v>4</v>
      </c>
      <c r="BL400" s="4">
        <f ca="1">IFERROR(__xludf.DUMMYFUNCTION("""COMPUTED_VALUE"""),4)</f>
        <v>4</v>
      </c>
      <c r="BM400" s="4">
        <f ca="1">IFERROR(__xludf.DUMMYFUNCTION("""COMPUTED_VALUE"""),4)</f>
        <v>4</v>
      </c>
      <c r="BN400" s="4">
        <f ca="1">IFERROR(__xludf.DUMMYFUNCTION("""COMPUTED_VALUE"""),5)</f>
        <v>5</v>
      </c>
      <c r="BO400" s="4">
        <f ca="1">IFERROR(__xludf.DUMMYFUNCTION("""COMPUTED_VALUE"""),4)</f>
        <v>4</v>
      </c>
      <c r="BP400" s="4">
        <f ca="1">IFERROR(__xludf.DUMMYFUNCTION("""COMPUTED_VALUE"""),3)</f>
        <v>3</v>
      </c>
    </row>
    <row r="401" spans="1:68" ht="13.2" x14ac:dyDescent="0.25">
      <c r="A401" s="4" t="str">
        <f ca="1">IFERROR(__xludf.DUMMYFUNCTION("""COMPUTED_VALUE"""),"2_ABaOnuesrrdpCZeOdO5X2HuNaH_AGqGC8IC_NRLBqHdwMIUQxBo_gTmRy71x6GzAhA")</f>
        <v>2_ABaOnuesrrdpCZeOdO5X2HuNaH_AGqGC8IC_NRLBqHdwMIUQxBo_gTmRy71x6GzAhA</v>
      </c>
      <c r="B401" s="5">
        <f ca="1">IFERROR(__xludf.DUMMYFUNCTION("""COMPUTED_VALUE"""),45988.3523546412)</f>
        <v>45988.352354641203</v>
      </c>
      <c r="C401" s="4" t="str">
        <f ca="1">IFERROR(__xludf.DUMMYFUNCTION("""COMPUTED_VALUE"""),"Phạm Duy Phương")</f>
        <v>Phạm Duy Phương</v>
      </c>
      <c r="D401" s="4" t="str">
        <f ca="1">IFERROR(__xludf.DUMMYFUNCTION("""COMPUTED_VALUE"""),"Nam")</f>
        <v>Nam</v>
      </c>
      <c r="E401" s="4" t="str">
        <f ca="1">IFERROR(__xludf.DUMMYFUNCTION("""COMPUTED_VALUE"""),"Công ty TNHH Kiểm toán FAC - Chi nhánh Nha Trang")</f>
        <v>Công ty TNHH Kiểm toán FAC - Chi nhánh Nha Trang</v>
      </c>
      <c r="F401" s="4" t="str">
        <f ca="1">IFERROR(__xludf.DUMMYFUNCTION("""COMPUTED_VALUE"""),"Sau đại học")</f>
        <v>Sau đại học</v>
      </c>
      <c r="G401" s="4" t="str">
        <f ca="1">IFERROR(__xludf.DUMMYFUNCTION("""COMPUTED_VALUE"""),"Từ 3 đến 5 năm")</f>
        <v>Từ 3 đến 5 năm</v>
      </c>
      <c r="H401" s="4" t="str">
        <f ca="1">IFERROR(__xludf.DUMMYFUNCTION("""COMPUTED_VALUE"""),"Trợ lý kiểm toán")</f>
        <v>Trợ lý kiểm toán</v>
      </c>
      <c r="I401" s="4">
        <f ca="1">IFERROR(__xludf.DUMMYFUNCTION("""COMPUTED_VALUE"""),1)</f>
        <v>1</v>
      </c>
      <c r="J401" s="4">
        <f ca="1">IFERROR(__xludf.DUMMYFUNCTION("""COMPUTED_VALUE"""),2)</f>
        <v>2</v>
      </c>
      <c r="K401" s="4">
        <f ca="1">IFERROR(__xludf.DUMMYFUNCTION("""COMPUTED_VALUE"""),1)</f>
        <v>1</v>
      </c>
      <c r="L401" s="4">
        <f ca="1">IFERROR(__xludf.DUMMYFUNCTION("""COMPUTED_VALUE"""),2)</f>
        <v>2</v>
      </c>
      <c r="M401" s="4">
        <f ca="1">IFERROR(__xludf.DUMMYFUNCTION("""COMPUTED_VALUE"""),1)</f>
        <v>1</v>
      </c>
      <c r="N401" s="4">
        <f ca="1">IFERROR(__xludf.DUMMYFUNCTION("""COMPUTED_VALUE"""),2)</f>
        <v>2</v>
      </c>
      <c r="O401" s="4">
        <f ca="1">IFERROR(__xludf.DUMMYFUNCTION("""COMPUTED_VALUE"""),2)</f>
        <v>2</v>
      </c>
      <c r="P401" s="4">
        <f ca="1">IFERROR(__xludf.DUMMYFUNCTION("""COMPUTED_VALUE"""),1)</f>
        <v>1</v>
      </c>
      <c r="Q401" s="4">
        <f ca="1">IFERROR(__xludf.DUMMYFUNCTION("""COMPUTED_VALUE"""),1)</f>
        <v>1</v>
      </c>
      <c r="R401" s="4">
        <f ca="1">IFERROR(__xludf.DUMMYFUNCTION("""COMPUTED_VALUE"""),3)</f>
        <v>3</v>
      </c>
      <c r="S401" s="4">
        <f ca="1">IFERROR(__xludf.DUMMYFUNCTION("""COMPUTED_VALUE"""),2)</f>
        <v>2</v>
      </c>
      <c r="T401" s="4">
        <f ca="1">IFERROR(__xludf.DUMMYFUNCTION("""COMPUTED_VALUE"""),3)</f>
        <v>3</v>
      </c>
      <c r="U401" s="4">
        <f ca="1">IFERROR(__xludf.DUMMYFUNCTION("""COMPUTED_VALUE"""),1)</f>
        <v>1</v>
      </c>
      <c r="V401" s="4">
        <f ca="1">IFERROR(__xludf.DUMMYFUNCTION("""COMPUTED_VALUE"""),1)</f>
        <v>1</v>
      </c>
      <c r="W401" s="4">
        <f ca="1">IFERROR(__xludf.DUMMYFUNCTION("""COMPUTED_VALUE"""),1)</f>
        <v>1</v>
      </c>
      <c r="X401" s="4">
        <f ca="1">IFERROR(__xludf.DUMMYFUNCTION("""COMPUTED_VALUE"""),1)</f>
        <v>1</v>
      </c>
      <c r="Y401" s="4">
        <f ca="1">IFERROR(__xludf.DUMMYFUNCTION("""COMPUTED_VALUE"""),3)</f>
        <v>3</v>
      </c>
      <c r="Z401" s="4">
        <f ca="1">IFERROR(__xludf.DUMMYFUNCTION("""COMPUTED_VALUE"""),2)</f>
        <v>2</v>
      </c>
      <c r="AA401" s="4">
        <f ca="1">IFERROR(__xludf.DUMMYFUNCTION("""COMPUTED_VALUE"""),2)</f>
        <v>2</v>
      </c>
      <c r="AB401" s="4">
        <f ca="1">IFERROR(__xludf.DUMMYFUNCTION("""COMPUTED_VALUE"""),2)</f>
        <v>2</v>
      </c>
      <c r="AC401" s="4">
        <f ca="1">IFERROR(__xludf.DUMMYFUNCTION("""COMPUTED_VALUE"""),4)</f>
        <v>4</v>
      </c>
      <c r="AD401" s="4">
        <f ca="1">IFERROR(__xludf.DUMMYFUNCTION("""COMPUTED_VALUE"""),3)</f>
        <v>3</v>
      </c>
      <c r="AE401" s="4">
        <f ca="1">IFERROR(__xludf.DUMMYFUNCTION("""COMPUTED_VALUE"""),2)</f>
        <v>2</v>
      </c>
      <c r="AF401" s="4">
        <f ca="1">IFERROR(__xludf.DUMMYFUNCTION("""COMPUTED_VALUE"""),2)</f>
        <v>2</v>
      </c>
      <c r="AG401" s="4">
        <f ca="1">IFERROR(__xludf.DUMMYFUNCTION("""COMPUTED_VALUE"""),3)</f>
        <v>3</v>
      </c>
      <c r="AH401" s="4">
        <f ca="1">IFERROR(__xludf.DUMMYFUNCTION("""COMPUTED_VALUE"""),2)</f>
        <v>2</v>
      </c>
      <c r="AI401" s="4">
        <f ca="1">IFERROR(__xludf.DUMMYFUNCTION("""COMPUTED_VALUE"""),3)</f>
        <v>3</v>
      </c>
      <c r="AJ401" s="4">
        <f ca="1">IFERROR(__xludf.DUMMYFUNCTION("""COMPUTED_VALUE"""),2)</f>
        <v>2</v>
      </c>
      <c r="AK401" s="4">
        <f ca="1">IFERROR(__xludf.DUMMYFUNCTION("""COMPUTED_VALUE"""),2)</f>
        <v>2</v>
      </c>
      <c r="AL401" s="4">
        <f ca="1">IFERROR(__xludf.DUMMYFUNCTION("""COMPUTED_VALUE"""),2)</f>
        <v>2</v>
      </c>
      <c r="AM401" s="4">
        <f ca="1">IFERROR(__xludf.DUMMYFUNCTION("""COMPUTED_VALUE"""),1)</f>
        <v>1</v>
      </c>
      <c r="AN401" s="4">
        <f ca="1">IFERROR(__xludf.DUMMYFUNCTION("""COMPUTED_VALUE"""),1)</f>
        <v>1</v>
      </c>
      <c r="AO401" s="4">
        <f ca="1">IFERROR(__xludf.DUMMYFUNCTION("""COMPUTED_VALUE"""),2)</f>
        <v>2</v>
      </c>
      <c r="AP401" s="4">
        <f ca="1">IFERROR(__xludf.DUMMYFUNCTION("""COMPUTED_VALUE"""),3)</f>
        <v>3</v>
      </c>
      <c r="AQ401" s="4">
        <f ca="1">IFERROR(__xludf.DUMMYFUNCTION("""COMPUTED_VALUE"""),2)</f>
        <v>2</v>
      </c>
      <c r="AR401" s="4">
        <f ca="1">IFERROR(__xludf.DUMMYFUNCTION("""COMPUTED_VALUE"""),2)</f>
        <v>2</v>
      </c>
      <c r="AS401" s="4">
        <f ca="1">IFERROR(__xludf.DUMMYFUNCTION("""COMPUTED_VALUE"""),2)</f>
        <v>2</v>
      </c>
      <c r="AT401" s="4">
        <f ca="1">IFERROR(__xludf.DUMMYFUNCTION("""COMPUTED_VALUE"""),3)</f>
        <v>3</v>
      </c>
      <c r="AU401" s="4">
        <f ca="1">IFERROR(__xludf.DUMMYFUNCTION("""COMPUTED_VALUE"""),2)</f>
        <v>2</v>
      </c>
      <c r="AV401" s="4">
        <f ca="1">IFERROR(__xludf.DUMMYFUNCTION("""COMPUTED_VALUE"""),2)</f>
        <v>2</v>
      </c>
      <c r="AW401" s="4">
        <f ca="1">IFERROR(__xludf.DUMMYFUNCTION("""COMPUTED_VALUE"""),2)</f>
        <v>2</v>
      </c>
      <c r="AX401" s="4">
        <f ca="1">IFERROR(__xludf.DUMMYFUNCTION("""COMPUTED_VALUE"""),1)</f>
        <v>1</v>
      </c>
      <c r="AY401" s="4">
        <f ca="1">IFERROR(__xludf.DUMMYFUNCTION("""COMPUTED_VALUE"""),2)</f>
        <v>2</v>
      </c>
      <c r="AZ401" s="4">
        <f ca="1">IFERROR(__xludf.DUMMYFUNCTION("""COMPUTED_VALUE"""),2)</f>
        <v>2</v>
      </c>
      <c r="BA401" s="4">
        <f ca="1">IFERROR(__xludf.DUMMYFUNCTION("""COMPUTED_VALUE"""),2)</f>
        <v>2</v>
      </c>
      <c r="BB401" s="4">
        <f ca="1">IFERROR(__xludf.DUMMYFUNCTION("""COMPUTED_VALUE"""),3)</f>
        <v>3</v>
      </c>
      <c r="BC401" s="4">
        <f ca="1">IFERROR(__xludf.DUMMYFUNCTION("""COMPUTED_VALUE"""),3)</f>
        <v>3</v>
      </c>
      <c r="BD401" s="4">
        <f ca="1">IFERROR(__xludf.DUMMYFUNCTION("""COMPUTED_VALUE"""),3)</f>
        <v>3</v>
      </c>
      <c r="BE401" s="4">
        <f ca="1">IFERROR(__xludf.DUMMYFUNCTION("""COMPUTED_VALUE"""),3)</f>
        <v>3</v>
      </c>
      <c r="BF401" s="4">
        <f ca="1">IFERROR(__xludf.DUMMYFUNCTION("""COMPUTED_VALUE"""),3)</f>
        <v>3</v>
      </c>
      <c r="BG401" s="4">
        <f ca="1">IFERROR(__xludf.DUMMYFUNCTION("""COMPUTED_VALUE"""),3)</f>
        <v>3</v>
      </c>
      <c r="BH401" s="4">
        <f ca="1">IFERROR(__xludf.DUMMYFUNCTION("""COMPUTED_VALUE"""),3)</f>
        <v>3</v>
      </c>
      <c r="BI401" s="4">
        <f ca="1">IFERROR(__xludf.DUMMYFUNCTION("""COMPUTED_VALUE"""),2)</f>
        <v>2</v>
      </c>
      <c r="BJ401" s="4">
        <f ca="1">IFERROR(__xludf.DUMMYFUNCTION("""COMPUTED_VALUE"""),2)</f>
        <v>2</v>
      </c>
      <c r="BK401" s="4">
        <f ca="1">IFERROR(__xludf.DUMMYFUNCTION("""COMPUTED_VALUE"""),3)</f>
        <v>3</v>
      </c>
      <c r="BL401" s="4">
        <f ca="1">IFERROR(__xludf.DUMMYFUNCTION("""COMPUTED_VALUE"""),2)</f>
        <v>2</v>
      </c>
      <c r="BM401" s="4">
        <f ca="1">IFERROR(__xludf.DUMMYFUNCTION("""COMPUTED_VALUE"""),2)</f>
        <v>2</v>
      </c>
      <c r="BN401" s="4">
        <f ca="1">IFERROR(__xludf.DUMMYFUNCTION("""COMPUTED_VALUE"""),2)</f>
        <v>2</v>
      </c>
      <c r="BO401" s="4">
        <f ca="1">IFERROR(__xludf.DUMMYFUNCTION("""COMPUTED_VALUE"""),2)</f>
        <v>2</v>
      </c>
      <c r="BP401" s="4">
        <f ca="1">IFERROR(__xludf.DUMMYFUNCTION("""COMPUTED_VALUE"""),2)</f>
        <v>2</v>
      </c>
    </row>
    <row r="402" spans="1:68" ht="13.2" x14ac:dyDescent="0.25">
      <c r="A402" s="4" t="str">
        <f ca="1">IFERROR(__xludf.DUMMYFUNCTION("""COMPUTED_VALUE"""),"2_ABaOnucGOOmoMwihfPxSX-GNXAWhA_NCDc-GJyNqm2deQMnvZTKqocMjINDWpzvlPQ")</f>
        <v>2_ABaOnucGOOmoMwihfPxSX-GNXAWhA_NCDc-GJyNqm2deQMnvZTKqocMjINDWpzvlPQ</v>
      </c>
      <c r="B402" s="5">
        <f ca="1">IFERROR(__xludf.DUMMYFUNCTION("""COMPUTED_VALUE"""),45988.3586356134)</f>
        <v>45988.358635613396</v>
      </c>
      <c r="C402" s="4" t="str">
        <f ca="1">IFERROR(__xludf.DUMMYFUNCTION("""COMPUTED_VALUE"""),"Đặng Thành Lâm")</f>
        <v>Đặng Thành Lâm</v>
      </c>
      <c r="D402" s="4" t="str">
        <f ca="1">IFERROR(__xludf.DUMMYFUNCTION("""COMPUTED_VALUE"""),"Nam")</f>
        <v>Nam</v>
      </c>
      <c r="E402" s="4" t="str">
        <f ca="1">IFERROR(__xludf.DUMMYFUNCTION("""COMPUTED_VALUE"""),"Công ty TNHH Kiểm toán FAC - Nha Trang")</f>
        <v>Công ty TNHH Kiểm toán FAC - Nha Trang</v>
      </c>
      <c r="F402" s="4" t="str">
        <f ca="1">IFERROR(__xludf.DUMMYFUNCTION("""COMPUTED_VALUE"""),"Đại học, Chứng chỉ Kiểm toán viên")</f>
        <v>Đại học, Chứng chỉ Kiểm toán viên</v>
      </c>
      <c r="G402" s="4" t="str">
        <f ca="1">IFERROR(__xludf.DUMMYFUNCTION("""COMPUTED_VALUE"""),"Trên 10 đến 15 năm")</f>
        <v>Trên 10 đến 15 năm</v>
      </c>
      <c r="H402" s="4" t="str">
        <f ca="1">IFERROR(__xludf.DUMMYFUNCTION("""COMPUTED_VALUE"""),"Trưởng phòng")</f>
        <v>Trưởng phòng</v>
      </c>
      <c r="I402" s="4">
        <f ca="1">IFERROR(__xludf.DUMMYFUNCTION("""COMPUTED_VALUE"""),4)</f>
        <v>4</v>
      </c>
      <c r="J402" s="4">
        <f ca="1">IFERROR(__xludf.DUMMYFUNCTION("""COMPUTED_VALUE"""),4)</f>
        <v>4</v>
      </c>
      <c r="K402" s="4">
        <f ca="1">IFERROR(__xludf.DUMMYFUNCTION("""COMPUTED_VALUE"""),4)</f>
        <v>4</v>
      </c>
      <c r="L402" s="4">
        <f ca="1">IFERROR(__xludf.DUMMYFUNCTION("""COMPUTED_VALUE"""),4)</f>
        <v>4</v>
      </c>
      <c r="M402" s="4">
        <f ca="1">IFERROR(__xludf.DUMMYFUNCTION("""COMPUTED_VALUE"""),4)</f>
        <v>4</v>
      </c>
      <c r="N402" s="4">
        <f ca="1">IFERROR(__xludf.DUMMYFUNCTION("""COMPUTED_VALUE"""),4)</f>
        <v>4</v>
      </c>
      <c r="O402" s="4">
        <f ca="1">IFERROR(__xludf.DUMMYFUNCTION("""COMPUTED_VALUE"""),3)</f>
        <v>3</v>
      </c>
      <c r="P402" s="4">
        <f ca="1">IFERROR(__xludf.DUMMYFUNCTION("""COMPUTED_VALUE"""),4)</f>
        <v>4</v>
      </c>
      <c r="Q402" s="4">
        <f ca="1">IFERROR(__xludf.DUMMYFUNCTION("""COMPUTED_VALUE"""),4)</f>
        <v>4</v>
      </c>
      <c r="R402" s="4">
        <f ca="1">IFERROR(__xludf.DUMMYFUNCTION("""COMPUTED_VALUE"""),4)</f>
        <v>4</v>
      </c>
      <c r="S402" s="4">
        <f ca="1">IFERROR(__xludf.DUMMYFUNCTION("""COMPUTED_VALUE"""),4)</f>
        <v>4</v>
      </c>
      <c r="T402" s="4">
        <f ca="1">IFERROR(__xludf.DUMMYFUNCTION("""COMPUTED_VALUE"""),4)</f>
        <v>4</v>
      </c>
      <c r="U402" s="4">
        <f ca="1">IFERROR(__xludf.DUMMYFUNCTION("""COMPUTED_VALUE"""),4)</f>
        <v>4</v>
      </c>
      <c r="V402" s="4">
        <f ca="1">IFERROR(__xludf.DUMMYFUNCTION("""COMPUTED_VALUE"""),4)</f>
        <v>4</v>
      </c>
      <c r="W402" s="4">
        <f ca="1">IFERROR(__xludf.DUMMYFUNCTION("""COMPUTED_VALUE"""),3)</f>
        <v>3</v>
      </c>
      <c r="X402" s="4">
        <f ca="1">IFERROR(__xludf.DUMMYFUNCTION("""COMPUTED_VALUE"""),3)</f>
        <v>3</v>
      </c>
      <c r="Y402" s="4">
        <f ca="1">IFERROR(__xludf.DUMMYFUNCTION("""COMPUTED_VALUE"""),3)</f>
        <v>3</v>
      </c>
      <c r="Z402" s="4">
        <f ca="1">IFERROR(__xludf.DUMMYFUNCTION("""COMPUTED_VALUE"""),4)</f>
        <v>4</v>
      </c>
      <c r="AA402" s="4">
        <f ca="1">IFERROR(__xludf.DUMMYFUNCTION("""COMPUTED_VALUE"""),3)</f>
        <v>3</v>
      </c>
      <c r="AB402" s="4">
        <f ca="1">IFERROR(__xludf.DUMMYFUNCTION("""COMPUTED_VALUE"""),4)</f>
        <v>4</v>
      </c>
      <c r="AC402" s="4">
        <f ca="1">IFERROR(__xludf.DUMMYFUNCTION("""COMPUTED_VALUE"""),4)</f>
        <v>4</v>
      </c>
      <c r="AD402" s="4">
        <f ca="1">IFERROR(__xludf.DUMMYFUNCTION("""COMPUTED_VALUE"""),4)</f>
        <v>4</v>
      </c>
      <c r="AE402" s="4">
        <f ca="1">IFERROR(__xludf.DUMMYFUNCTION("""COMPUTED_VALUE"""),4)</f>
        <v>4</v>
      </c>
      <c r="AF402" s="4">
        <f ca="1">IFERROR(__xludf.DUMMYFUNCTION("""COMPUTED_VALUE"""),4)</f>
        <v>4</v>
      </c>
      <c r="AG402" s="4">
        <f ca="1">IFERROR(__xludf.DUMMYFUNCTION("""COMPUTED_VALUE"""),4)</f>
        <v>4</v>
      </c>
      <c r="AH402" s="4">
        <f ca="1">IFERROR(__xludf.DUMMYFUNCTION("""COMPUTED_VALUE"""),4)</f>
        <v>4</v>
      </c>
      <c r="AI402" s="4">
        <f ca="1">IFERROR(__xludf.DUMMYFUNCTION("""COMPUTED_VALUE"""),4)</f>
        <v>4</v>
      </c>
      <c r="AJ402" s="4">
        <f ca="1">IFERROR(__xludf.DUMMYFUNCTION("""COMPUTED_VALUE"""),4)</f>
        <v>4</v>
      </c>
      <c r="AK402" s="4">
        <f ca="1">IFERROR(__xludf.DUMMYFUNCTION("""COMPUTED_VALUE"""),4)</f>
        <v>4</v>
      </c>
      <c r="AL402" s="4">
        <f ca="1">IFERROR(__xludf.DUMMYFUNCTION("""COMPUTED_VALUE"""),4)</f>
        <v>4</v>
      </c>
      <c r="AM402" s="4">
        <f ca="1">IFERROR(__xludf.DUMMYFUNCTION("""COMPUTED_VALUE"""),4)</f>
        <v>4</v>
      </c>
      <c r="AN402" s="4">
        <f ca="1">IFERROR(__xludf.DUMMYFUNCTION("""COMPUTED_VALUE"""),4)</f>
        <v>4</v>
      </c>
      <c r="AO402" s="4">
        <f ca="1">IFERROR(__xludf.DUMMYFUNCTION("""COMPUTED_VALUE"""),4)</f>
        <v>4</v>
      </c>
      <c r="AP402" s="4">
        <f ca="1">IFERROR(__xludf.DUMMYFUNCTION("""COMPUTED_VALUE"""),4)</f>
        <v>4</v>
      </c>
      <c r="AQ402" s="4">
        <f ca="1">IFERROR(__xludf.DUMMYFUNCTION("""COMPUTED_VALUE"""),4)</f>
        <v>4</v>
      </c>
      <c r="AR402" s="4">
        <f ca="1">IFERROR(__xludf.DUMMYFUNCTION("""COMPUTED_VALUE"""),4)</f>
        <v>4</v>
      </c>
      <c r="AS402" s="4">
        <f ca="1">IFERROR(__xludf.DUMMYFUNCTION("""COMPUTED_VALUE"""),4)</f>
        <v>4</v>
      </c>
      <c r="AT402" s="4">
        <f ca="1">IFERROR(__xludf.DUMMYFUNCTION("""COMPUTED_VALUE"""),3)</f>
        <v>3</v>
      </c>
      <c r="AU402" s="4">
        <f ca="1">IFERROR(__xludf.DUMMYFUNCTION("""COMPUTED_VALUE"""),4)</f>
        <v>4</v>
      </c>
      <c r="AV402" s="4">
        <f ca="1">IFERROR(__xludf.DUMMYFUNCTION("""COMPUTED_VALUE"""),4)</f>
        <v>4</v>
      </c>
      <c r="AW402" s="4">
        <f ca="1">IFERROR(__xludf.DUMMYFUNCTION("""COMPUTED_VALUE"""),4)</f>
        <v>4</v>
      </c>
      <c r="AX402" s="4">
        <f ca="1">IFERROR(__xludf.DUMMYFUNCTION("""COMPUTED_VALUE"""),4)</f>
        <v>4</v>
      </c>
      <c r="AY402" s="4">
        <f ca="1">IFERROR(__xludf.DUMMYFUNCTION("""COMPUTED_VALUE"""),4)</f>
        <v>4</v>
      </c>
      <c r="AZ402" s="4">
        <f ca="1">IFERROR(__xludf.DUMMYFUNCTION("""COMPUTED_VALUE"""),4)</f>
        <v>4</v>
      </c>
      <c r="BA402" s="4">
        <f ca="1">IFERROR(__xludf.DUMMYFUNCTION("""COMPUTED_VALUE"""),4)</f>
        <v>4</v>
      </c>
      <c r="BB402" s="4">
        <f ca="1">IFERROR(__xludf.DUMMYFUNCTION("""COMPUTED_VALUE"""),3)</f>
        <v>3</v>
      </c>
      <c r="BC402" s="4">
        <f ca="1">IFERROR(__xludf.DUMMYFUNCTION("""COMPUTED_VALUE"""),4)</f>
        <v>4</v>
      </c>
      <c r="BD402" s="4">
        <f ca="1">IFERROR(__xludf.DUMMYFUNCTION("""COMPUTED_VALUE"""),4)</f>
        <v>4</v>
      </c>
      <c r="BE402" s="4">
        <f ca="1">IFERROR(__xludf.DUMMYFUNCTION("""COMPUTED_VALUE"""),4)</f>
        <v>4</v>
      </c>
      <c r="BF402" s="4">
        <f ca="1">IFERROR(__xludf.DUMMYFUNCTION("""COMPUTED_VALUE"""),4)</f>
        <v>4</v>
      </c>
      <c r="BG402" s="4">
        <f ca="1">IFERROR(__xludf.DUMMYFUNCTION("""COMPUTED_VALUE"""),4)</f>
        <v>4</v>
      </c>
      <c r="BH402" s="4">
        <f ca="1">IFERROR(__xludf.DUMMYFUNCTION("""COMPUTED_VALUE"""),4)</f>
        <v>4</v>
      </c>
      <c r="BI402" s="4">
        <f ca="1">IFERROR(__xludf.DUMMYFUNCTION("""COMPUTED_VALUE"""),4)</f>
        <v>4</v>
      </c>
      <c r="BJ402" s="4">
        <f ca="1">IFERROR(__xludf.DUMMYFUNCTION("""COMPUTED_VALUE"""),4)</f>
        <v>4</v>
      </c>
      <c r="BK402" s="4">
        <f ca="1">IFERROR(__xludf.DUMMYFUNCTION("""COMPUTED_VALUE"""),4)</f>
        <v>4</v>
      </c>
      <c r="BL402" s="4">
        <f ca="1">IFERROR(__xludf.DUMMYFUNCTION("""COMPUTED_VALUE"""),4)</f>
        <v>4</v>
      </c>
      <c r="BM402" s="4">
        <f ca="1">IFERROR(__xludf.DUMMYFUNCTION("""COMPUTED_VALUE"""),4)</f>
        <v>4</v>
      </c>
      <c r="BN402" s="4">
        <f ca="1">IFERROR(__xludf.DUMMYFUNCTION("""COMPUTED_VALUE"""),4)</f>
        <v>4</v>
      </c>
      <c r="BO402" s="4">
        <f ca="1">IFERROR(__xludf.DUMMYFUNCTION("""COMPUTED_VALUE"""),4)</f>
        <v>4</v>
      </c>
      <c r="BP402" s="4">
        <f ca="1">IFERROR(__xludf.DUMMYFUNCTION("""COMPUTED_VALUE"""),4)</f>
        <v>4</v>
      </c>
    </row>
    <row r="403" spans="1:68" ht="13.2" x14ac:dyDescent="0.25">
      <c r="A403" s="4" t="str">
        <f ca="1">IFERROR(__xludf.DUMMYFUNCTION("""COMPUTED_VALUE"""),"2_ABaOnue7xRTI6oZlFtRICv7f-UTj6o-C7hPA7XndhQV9UaXI20kUm6SrKCWkwk3pgQ")</f>
        <v>2_ABaOnue7xRTI6oZlFtRICv7f-UTj6o-C7hPA7XndhQV9UaXI20kUm6SrKCWkwk3pgQ</v>
      </c>
      <c r="B403" s="5">
        <f ca="1">IFERROR(__xludf.DUMMYFUNCTION("""COMPUTED_VALUE"""),45988.419215949)</f>
        <v>45988.419215948998</v>
      </c>
      <c r="C403" s="4" t="str">
        <f ca="1">IFERROR(__xludf.DUMMYFUNCTION("""COMPUTED_VALUE"""),"Trần Thị Hoàng Phi")</f>
        <v>Trần Thị Hoàng Phi</v>
      </c>
      <c r="D403" s="4" t="str">
        <f ca="1">IFERROR(__xludf.DUMMYFUNCTION("""COMPUTED_VALUE"""),"Nữ")</f>
        <v>Nữ</v>
      </c>
      <c r="E403" s="4" t="str">
        <f ca="1">IFERROR(__xludf.DUMMYFUNCTION("""COMPUTED_VALUE"""),"Công ty TNHH Kiểm toán FAC")</f>
        <v>Công ty TNHH Kiểm toán FAC</v>
      </c>
      <c r="F403" s="4" t="str">
        <f ca="1">IFERROR(__xludf.DUMMYFUNCTION("""COMPUTED_VALUE"""),"Chứng chỉ Kiểm toán viên")</f>
        <v>Chứng chỉ Kiểm toán viên</v>
      </c>
      <c r="G403" s="4" t="str">
        <f ca="1">IFERROR(__xludf.DUMMYFUNCTION("""COMPUTED_VALUE"""),"Trên 5 đến 10 năm")</f>
        <v>Trên 5 đến 10 năm</v>
      </c>
      <c r="H403" s="4" t="str">
        <f ca="1">IFERROR(__xludf.DUMMYFUNCTION("""COMPUTED_VALUE"""),"Kiểm toán viên/Trưởng nhóm")</f>
        <v>Kiểm toán viên/Trưởng nhóm</v>
      </c>
      <c r="I403" s="4">
        <f ca="1">IFERROR(__xludf.DUMMYFUNCTION("""COMPUTED_VALUE"""),5)</f>
        <v>5</v>
      </c>
      <c r="J403" s="4">
        <f ca="1">IFERROR(__xludf.DUMMYFUNCTION("""COMPUTED_VALUE"""),5)</f>
        <v>5</v>
      </c>
      <c r="K403" s="4">
        <f ca="1">IFERROR(__xludf.DUMMYFUNCTION("""COMPUTED_VALUE"""),5)</f>
        <v>5</v>
      </c>
      <c r="L403" s="4">
        <f ca="1">IFERROR(__xludf.DUMMYFUNCTION("""COMPUTED_VALUE"""),4)</f>
        <v>4</v>
      </c>
      <c r="M403" s="4">
        <f ca="1">IFERROR(__xludf.DUMMYFUNCTION("""COMPUTED_VALUE"""),5)</f>
        <v>5</v>
      </c>
      <c r="N403" s="4">
        <f ca="1">IFERROR(__xludf.DUMMYFUNCTION("""COMPUTED_VALUE"""),3)</f>
        <v>3</v>
      </c>
      <c r="O403" s="4">
        <f ca="1">IFERROR(__xludf.DUMMYFUNCTION("""COMPUTED_VALUE"""),3)</f>
        <v>3</v>
      </c>
      <c r="P403" s="4">
        <f ca="1">IFERROR(__xludf.DUMMYFUNCTION("""COMPUTED_VALUE"""),5)</f>
        <v>5</v>
      </c>
      <c r="Q403" s="4">
        <f ca="1">IFERROR(__xludf.DUMMYFUNCTION("""COMPUTED_VALUE"""),5)</f>
        <v>5</v>
      </c>
      <c r="R403" s="4">
        <f ca="1">IFERROR(__xludf.DUMMYFUNCTION("""COMPUTED_VALUE"""),5)</f>
        <v>5</v>
      </c>
      <c r="S403" s="4">
        <f ca="1">IFERROR(__xludf.DUMMYFUNCTION("""COMPUTED_VALUE"""),4)</f>
        <v>4</v>
      </c>
      <c r="T403" s="4">
        <f ca="1">IFERROR(__xludf.DUMMYFUNCTION("""COMPUTED_VALUE"""),4)</f>
        <v>4</v>
      </c>
      <c r="U403" s="4">
        <f ca="1">IFERROR(__xludf.DUMMYFUNCTION("""COMPUTED_VALUE"""),5)</f>
        <v>5</v>
      </c>
      <c r="V403" s="4">
        <f ca="1">IFERROR(__xludf.DUMMYFUNCTION("""COMPUTED_VALUE"""),4)</f>
        <v>4</v>
      </c>
      <c r="W403" s="4">
        <f ca="1">IFERROR(__xludf.DUMMYFUNCTION("""COMPUTED_VALUE"""),4)</f>
        <v>4</v>
      </c>
      <c r="X403" s="4">
        <f ca="1">IFERROR(__xludf.DUMMYFUNCTION("""COMPUTED_VALUE"""),4)</f>
        <v>4</v>
      </c>
      <c r="Y403" s="4">
        <f ca="1">IFERROR(__xludf.DUMMYFUNCTION("""COMPUTED_VALUE"""),4)</f>
        <v>4</v>
      </c>
      <c r="Z403" s="4">
        <f ca="1">IFERROR(__xludf.DUMMYFUNCTION("""COMPUTED_VALUE"""),5)</f>
        <v>5</v>
      </c>
      <c r="AA403" s="4">
        <f ca="1">IFERROR(__xludf.DUMMYFUNCTION("""COMPUTED_VALUE"""),4)</f>
        <v>4</v>
      </c>
      <c r="AB403" s="4">
        <f ca="1">IFERROR(__xludf.DUMMYFUNCTION("""COMPUTED_VALUE"""),5)</f>
        <v>5</v>
      </c>
      <c r="AC403" s="4">
        <f ca="1">IFERROR(__xludf.DUMMYFUNCTION("""COMPUTED_VALUE"""),5)</f>
        <v>5</v>
      </c>
      <c r="AD403" s="4">
        <f ca="1">IFERROR(__xludf.DUMMYFUNCTION("""COMPUTED_VALUE"""),4)</f>
        <v>4</v>
      </c>
      <c r="AE403" s="4">
        <f ca="1">IFERROR(__xludf.DUMMYFUNCTION("""COMPUTED_VALUE"""),5)</f>
        <v>5</v>
      </c>
      <c r="AF403" s="4">
        <f ca="1">IFERROR(__xludf.DUMMYFUNCTION("""COMPUTED_VALUE"""),4)</f>
        <v>4</v>
      </c>
      <c r="AG403" s="4">
        <f ca="1">IFERROR(__xludf.DUMMYFUNCTION("""COMPUTED_VALUE"""),4)</f>
        <v>4</v>
      </c>
      <c r="AH403" s="4">
        <f ca="1">IFERROR(__xludf.DUMMYFUNCTION("""COMPUTED_VALUE"""),4)</f>
        <v>4</v>
      </c>
      <c r="AI403" s="4">
        <f ca="1">IFERROR(__xludf.DUMMYFUNCTION("""COMPUTED_VALUE"""),3)</f>
        <v>3</v>
      </c>
      <c r="AJ403" s="4">
        <f ca="1">IFERROR(__xludf.DUMMYFUNCTION("""COMPUTED_VALUE"""),4)</f>
        <v>4</v>
      </c>
      <c r="AK403" s="4">
        <f ca="1">IFERROR(__xludf.DUMMYFUNCTION("""COMPUTED_VALUE"""),4)</f>
        <v>4</v>
      </c>
      <c r="AL403" s="4">
        <f ca="1">IFERROR(__xludf.DUMMYFUNCTION("""COMPUTED_VALUE"""),5)</f>
        <v>5</v>
      </c>
      <c r="AM403" s="4">
        <f ca="1">IFERROR(__xludf.DUMMYFUNCTION("""COMPUTED_VALUE"""),5)</f>
        <v>5</v>
      </c>
      <c r="AN403" s="4">
        <f ca="1">IFERROR(__xludf.DUMMYFUNCTION("""COMPUTED_VALUE"""),4)</f>
        <v>4</v>
      </c>
      <c r="AO403" s="4">
        <f ca="1">IFERROR(__xludf.DUMMYFUNCTION("""COMPUTED_VALUE"""),4)</f>
        <v>4</v>
      </c>
      <c r="AP403" s="4">
        <f ca="1">IFERROR(__xludf.DUMMYFUNCTION("""COMPUTED_VALUE"""),4)</f>
        <v>4</v>
      </c>
      <c r="AQ403" s="4">
        <f ca="1">IFERROR(__xludf.DUMMYFUNCTION("""COMPUTED_VALUE"""),4)</f>
        <v>4</v>
      </c>
      <c r="AR403" s="4">
        <f ca="1">IFERROR(__xludf.DUMMYFUNCTION("""COMPUTED_VALUE"""),4)</f>
        <v>4</v>
      </c>
      <c r="AS403" s="4">
        <f ca="1">IFERROR(__xludf.DUMMYFUNCTION("""COMPUTED_VALUE"""),4)</f>
        <v>4</v>
      </c>
      <c r="AT403" s="4">
        <f ca="1">IFERROR(__xludf.DUMMYFUNCTION("""COMPUTED_VALUE"""),4)</f>
        <v>4</v>
      </c>
      <c r="AU403" s="4">
        <f ca="1">IFERROR(__xludf.DUMMYFUNCTION("""COMPUTED_VALUE"""),4)</f>
        <v>4</v>
      </c>
      <c r="AV403" s="4">
        <f ca="1">IFERROR(__xludf.DUMMYFUNCTION("""COMPUTED_VALUE"""),4)</f>
        <v>4</v>
      </c>
      <c r="AW403" s="4">
        <f ca="1">IFERROR(__xludf.DUMMYFUNCTION("""COMPUTED_VALUE"""),4)</f>
        <v>4</v>
      </c>
      <c r="AX403" s="4">
        <f ca="1">IFERROR(__xludf.DUMMYFUNCTION("""COMPUTED_VALUE"""),5)</f>
        <v>5</v>
      </c>
      <c r="AY403" s="4">
        <f ca="1">IFERROR(__xludf.DUMMYFUNCTION("""COMPUTED_VALUE"""),5)</f>
        <v>5</v>
      </c>
      <c r="AZ403" s="4">
        <f ca="1">IFERROR(__xludf.DUMMYFUNCTION("""COMPUTED_VALUE"""),5)</f>
        <v>5</v>
      </c>
      <c r="BA403" s="4">
        <f ca="1">IFERROR(__xludf.DUMMYFUNCTION("""COMPUTED_VALUE"""),5)</f>
        <v>5</v>
      </c>
      <c r="BB403" s="4">
        <f ca="1">IFERROR(__xludf.DUMMYFUNCTION("""COMPUTED_VALUE"""),3)</f>
        <v>3</v>
      </c>
      <c r="BC403" s="4">
        <f ca="1">IFERROR(__xludf.DUMMYFUNCTION("""COMPUTED_VALUE"""),3)</f>
        <v>3</v>
      </c>
      <c r="BD403" s="4">
        <f ca="1">IFERROR(__xludf.DUMMYFUNCTION("""COMPUTED_VALUE"""),4)</f>
        <v>4</v>
      </c>
      <c r="BE403" s="4">
        <f ca="1">IFERROR(__xludf.DUMMYFUNCTION("""COMPUTED_VALUE"""),3)</f>
        <v>3</v>
      </c>
      <c r="BF403" s="4">
        <f ca="1">IFERROR(__xludf.DUMMYFUNCTION("""COMPUTED_VALUE"""),2)</f>
        <v>2</v>
      </c>
      <c r="BG403" s="4">
        <f ca="1">IFERROR(__xludf.DUMMYFUNCTION("""COMPUTED_VALUE"""),2)</f>
        <v>2</v>
      </c>
      <c r="BH403" s="4">
        <f ca="1">IFERROR(__xludf.DUMMYFUNCTION("""COMPUTED_VALUE"""),4)</f>
        <v>4</v>
      </c>
      <c r="BI403" s="4">
        <f ca="1">IFERROR(__xludf.DUMMYFUNCTION("""COMPUTED_VALUE"""),4)</f>
        <v>4</v>
      </c>
      <c r="BJ403" s="4">
        <f ca="1">IFERROR(__xludf.DUMMYFUNCTION("""COMPUTED_VALUE"""),4)</f>
        <v>4</v>
      </c>
      <c r="BK403" s="4">
        <f ca="1">IFERROR(__xludf.DUMMYFUNCTION("""COMPUTED_VALUE"""),4)</f>
        <v>4</v>
      </c>
      <c r="BL403" s="4">
        <f ca="1">IFERROR(__xludf.DUMMYFUNCTION("""COMPUTED_VALUE"""),4)</f>
        <v>4</v>
      </c>
      <c r="BM403" s="4">
        <f ca="1">IFERROR(__xludf.DUMMYFUNCTION("""COMPUTED_VALUE"""),4)</f>
        <v>4</v>
      </c>
      <c r="BN403" s="4">
        <f ca="1">IFERROR(__xludf.DUMMYFUNCTION("""COMPUTED_VALUE"""),4)</f>
        <v>4</v>
      </c>
      <c r="BO403" s="4">
        <f ca="1">IFERROR(__xludf.DUMMYFUNCTION("""COMPUTED_VALUE"""),4)</f>
        <v>4</v>
      </c>
      <c r="BP403" s="4">
        <f ca="1">IFERROR(__xludf.DUMMYFUNCTION("""COMPUTED_VALUE"""),4)</f>
        <v>4</v>
      </c>
    </row>
    <row r="404" spans="1:68" ht="13.2" x14ac:dyDescent="0.25">
      <c r="A404" s="4" t="str">
        <f ca="1">IFERROR(__xludf.DUMMYFUNCTION("""COMPUTED_VALUE"""),"2_ABaOnudJr6k9KkEX8fgcLoy5XuObQ-JteDBzspwydfro8wTA1rKrhcSfChYlvmvXpw")</f>
        <v>2_ABaOnudJr6k9KkEX8fgcLoy5XuObQ-JteDBzspwydfro8wTA1rKrhcSfChYlvmvXpw</v>
      </c>
      <c r="B404" s="5">
        <f ca="1">IFERROR(__xludf.DUMMYFUNCTION("""COMPUTED_VALUE"""),45988.4240956713)</f>
        <v>45988.424095671297</v>
      </c>
      <c r="C404" s="4" t="str">
        <f ca="1">IFERROR(__xludf.DUMMYFUNCTION("""COMPUTED_VALUE"""),"Trần Văn Hưng")</f>
        <v>Trần Văn Hưng</v>
      </c>
      <c r="D404" s="4" t="str">
        <f ca="1">IFERROR(__xludf.DUMMYFUNCTION("""COMPUTED_VALUE"""),"Nam")</f>
        <v>Nam</v>
      </c>
      <c r="E404" s="4" t="str">
        <f ca="1">IFERROR(__xludf.DUMMYFUNCTION("""COMPUTED_VALUE"""),"Chi nhánh Công ty TNHH Kiểm toán - Tư vấn Đất Việt - tại Hà Nội")</f>
        <v>Chi nhánh Công ty TNHH Kiểm toán - Tư vấn Đất Việt - tại Hà Nội</v>
      </c>
      <c r="F404" s="4" t="str">
        <f ca="1">IFERROR(__xludf.DUMMYFUNCTION("""COMPUTED_VALUE"""),"Đại học")</f>
        <v>Đại học</v>
      </c>
      <c r="G404" s="4" t="str">
        <f ca="1">IFERROR(__xludf.DUMMYFUNCTION("""COMPUTED_VALUE"""),"Từ 3 đến 5 năm")</f>
        <v>Từ 3 đến 5 năm</v>
      </c>
      <c r="H404" s="4" t="str">
        <f ca="1">IFERROR(__xludf.DUMMYFUNCTION("""COMPUTED_VALUE"""),"Trợ lý kiểm toán")</f>
        <v>Trợ lý kiểm toán</v>
      </c>
      <c r="I404" s="4">
        <f ca="1">IFERROR(__xludf.DUMMYFUNCTION("""COMPUTED_VALUE"""),5)</f>
        <v>5</v>
      </c>
      <c r="J404" s="4">
        <f ca="1">IFERROR(__xludf.DUMMYFUNCTION("""COMPUTED_VALUE"""),5)</f>
        <v>5</v>
      </c>
      <c r="K404" s="4">
        <f ca="1">IFERROR(__xludf.DUMMYFUNCTION("""COMPUTED_VALUE"""),5)</f>
        <v>5</v>
      </c>
      <c r="L404" s="4">
        <f ca="1">IFERROR(__xludf.DUMMYFUNCTION("""COMPUTED_VALUE"""),5)</f>
        <v>5</v>
      </c>
      <c r="M404" s="4">
        <f ca="1">IFERROR(__xludf.DUMMYFUNCTION("""COMPUTED_VALUE"""),5)</f>
        <v>5</v>
      </c>
      <c r="N404" s="4">
        <f ca="1">IFERROR(__xludf.DUMMYFUNCTION("""COMPUTED_VALUE"""),5)</f>
        <v>5</v>
      </c>
      <c r="O404" s="4">
        <f ca="1">IFERROR(__xludf.DUMMYFUNCTION("""COMPUTED_VALUE"""),5)</f>
        <v>5</v>
      </c>
      <c r="P404" s="4">
        <f ca="1">IFERROR(__xludf.DUMMYFUNCTION("""COMPUTED_VALUE"""),5)</f>
        <v>5</v>
      </c>
      <c r="Q404" s="4">
        <f ca="1">IFERROR(__xludf.DUMMYFUNCTION("""COMPUTED_VALUE"""),5)</f>
        <v>5</v>
      </c>
      <c r="R404" s="4">
        <f ca="1">IFERROR(__xludf.DUMMYFUNCTION("""COMPUTED_VALUE"""),5)</f>
        <v>5</v>
      </c>
      <c r="S404" s="4">
        <f ca="1">IFERROR(__xludf.DUMMYFUNCTION("""COMPUTED_VALUE"""),5)</f>
        <v>5</v>
      </c>
      <c r="T404" s="4">
        <f ca="1">IFERROR(__xludf.DUMMYFUNCTION("""COMPUTED_VALUE"""),5)</f>
        <v>5</v>
      </c>
      <c r="U404" s="4">
        <f ca="1">IFERROR(__xludf.DUMMYFUNCTION("""COMPUTED_VALUE"""),5)</f>
        <v>5</v>
      </c>
      <c r="V404" s="4">
        <f ca="1">IFERROR(__xludf.DUMMYFUNCTION("""COMPUTED_VALUE"""),5)</f>
        <v>5</v>
      </c>
      <c r="W404" s="4">
        <f ca="1">IFERROR(__xludf.DUMMYFUNCTION("""COMPUTED_VALUE"""),5)</f>
        <v>5</v>
      </c>
      <c r="X404" s="4">
        <f ca="1">IFERROR(__xludf.DUMMYFUNCTION("""COMPUTED_VALUE"""),5)</f>
        <v>5</v>
      </c>
      <c r="Y404" s="4">
        <f ca="1">IFERROR(__xludf.DUMMYFUNCTION("""COMPUTED_VALUE"""),5)</f>
        <v>5</v>
      </c>
      <c r="Z404" s="4">
        <f ca="1">IFERROR(__xludf.DUMMYFUNCTION("""COMPUTED_VALUE"""),5)</f>
        <v>5</v>
      </c>
      <c r="AA404" s="4">
        <f ca="1">IFERROR(__xludf.DUMMYFUNCTION("""COMPUTED_VALUE"""),5)</f>
        <v>5</v>
      </c>
      <c r="AB404" s="4">
        <f ca="1">IFERROR(__xludf.DUMMYFUNCTION("""COMPUTED_VALUE"""),5)</f>
        <v>5</v>
      </c>
      <c r="AC404" s="4">
        <f ca="1">IFERROR(__xludf.DUMMYFUNCTION("""COMPUTED_VALUE"""),5)</f>
        <v>5</v>
      </c>
      <c r="AD404" s="4">
        <f ca="1">IFERROR(__xludf.DUMMYFUNCTION("""COMPUTED_VALUE"""),5)</f>
        <v>5</v>
      </c>
      <c r="AE404" s="4">
        <f ca="1">IFERROR(__xludf.DUMMYFUNCTION("""COMPUTED_VALUE"""),5)</f>
        <v>5</v>
      </c>
      <c r="AF404" s="4">
        <f ca="1">IFERROR(__xludf.DUMMYFUNCTION("""COMPUTED_VALUE"""),5)</f>
        <v>5</v>
      </c>
      <c r="AG404" s="4">
        <f ca="1">IFERROR(__xludf.DUMMYFUNCTION("""COMPUTED_VALUE"""),5)</f>
        <v>5</v>
      </c>
      <c r="AH404" s="4">
        <f ca="1">IFERROR(__xludf.DUMMYFUNCTION("""COMPUTED_VALUE"""),5)</f>
        <v>5</v>
      </c>
      <c r="AI404" s="4">
        <f ca="1">IFERROR(__xludf.DUMMYFUNCTION("""COMPUTED_VALUE"""),5)</f>
        <v>5</v>
      </c>
      <c r="AJ404" s="4">
        <f ca="1">IFERROR(__xludf.DUMMYFUNCTION("""COMPUTED_VALUE"""),5)</f>
        <v>5</v>
      </c>
      <c r="AK404" s="4">
        <f ca="1">IFERROR(__xludf.DUMMYFUNCTION("""COMPUTED_VALUE"""),5)</f>
        <v>5</v>
      </c>
      <c r="AL404" s="4">
        <f ca="1">IFERROR(__xludf.DUMMYFUNCTION("""COMPUTED_VALUE"""),5)</f>
        <v>5</v>
      </c>
      <c r="AM404" s="4">
        <f ca="1">IFERROR(__xludf.DUMMYFUNCTION("""COMPUTED_VALUE"""),5)</f>
        <v>5</v>
      </c>
      <c r="AN404" s="4">
        <f ca="1">IFERROR(__xludf.DUMMYFUNCTION("""COMPUTED_VALUE"""),5)</f>
        <v>5</v>
      </c>
      <c r="AO404" s="4">
        <f ca="1">IFERROR(__xludf.DUMMYFUNCTION("""COMPUTED_VALUE"""),5)</f>
        <v>5</v>
      </c>
      <c r="AP404" s="4">
        <f ca="1">IFERROR(__xludf.DUMMYFUNCTION("""COMPUTED_VALUE"""),5)</f>
        <v>5</v>
      </c>
      <c r="AQ404" s="4">
        <f ca="1">IFERROR(__xludf.DUMMYFUNCTION("""COMPUTED_VALUE"""),5)</f>
        <v>5</v>
      </c>
      <c r="AR404" s="4">
        <f ca="1">IFERROR(__xludf.DUMMYFUNCTION("""COMPUTED_VALUE"""),5)</f>
        <v>5</v>
      </c>
      <c r="AS404" s="4">
        <f ca="1">IFERROR(__xludf.DUMMYFUNCTION("""COMPUTED_VALUE"""),5)</f>
        <v>5</v>
      </c>
      <c r="AT404" s="4">
        <f ca="1">IFERROR(__xludf.DUMMYFUNCTION("""COMPUTED_VALUE"""),5)</f>
        <v>5</v>
      </c>
      <c r="AU404" s="4">
        <f ca="1">IFERROR(__xludf.DUMMYFUNCTION("""COMPUTED_VALUE"""),5)</f>
        <v>5</v>
      </c>
      <c r="AV404" s="4">
        <f ca="1">IFERROR(__xludf.DUMMYFUNCTION("""COMPUTED_VALUE"""),5)</f>
        <v>5</v>
      </c>
      <c r="AW404" s="4">
        <f ca="1">IFERROR(__xludf.DUMMYFUNCTION("""COMPUTED_VALUE"""),5)</f>
        <v>5</v>
      </c>
      <c r="AX404" s="4">
        <f ca="1">IFERROR(__xludf.DUMMYFUNCTION("""COMPUTED_VALUE"""),5)</f>
        <v>5</v>
      </c>
      <c r="AY404" s="4">
        <f ca="1">IFERROR(__xludf.DUMMYFUNCTION("""COMPUTED_VALUE"""),5)</f>
        <v>5</v>
      </c>
      <c r="AZ404" s="4">
        <f ca="1">IFERROR(__xludf.DUMMYFUNCTION("""COMPUTED_VALUE"""),5)</f>
        <v>5</v>
      </c>
      <c r="BA404" s="4">
        <f ca="1">IFERROR(__xludf.DUMMYFUNCTION("""COMPUTED_VALUE"""),5)</f>
        <v>5</v>
      </c>
      <c r="BB404" s="4">
        <f ca="1">IFERROR(__xludf.DUMMYFUNCTION("""COMPUTED_VALUE"""),5)</f>
        <v>5</v>
      </c>
      <c r="BC404" s="4">
        <f ca="1">IFERROR(__xludf.DUMMYFUNCTION("""COMPUTED_VALUE"""),5)</f>
        <v>5</v>
      </c>
      <c r="BD404" s="4">
        <f ca="1">IFERROR(__xludf.DUMMYFUNCTION("""COMPUTED_VALUE"""),5)</f>
        <v>5</v>
      </c>
      <c r="BE404" s="4">
        <f ca="1">IFERROR(__xludf.DUMMYFUNCTION("""COMPUTED_VALUE"""),5)</f>
        <v>5</v>
      </c>
      <c r="BF404" s="4">
        <f ca="1">IFERROR(__xludf.DUMMYFUNCTION("""COMPUTED_VALUE"""),5)</f>
        <v>5</v>
      </c>
      <c r="BG404" s="4">
        <f ca="1">IFERROR(__xludf.DUMMYFUNCTION("""COMPUTED_VALUE"""),5)</f>
        <v>5</v>
      </c>
      <c r="BH404" s="4">
        <f ca="1">IFERROR(__xludf.DUMMYFUNCTION("""COMPUTED_VALUE"""),5)</f>
        <v>5</v>
      </c>
      <c r="BI404" s="4">
        <f ca="1">IFERROR(__xludf.DUMMYFUNCTION("""COMPUTED_VALUE"""),5)</f>
        <v>5</v>
      </c>
      <c r="BJ404" s="4">
        <f ca="1">IFERROR(__xludf.DUMMYFUNCTION("""COMPUTED_VALUE"""),5)</f>
        <v>5</v>
      </c>
      <c r="BK404" s="4">
        <f ca="1">IFERROR(__xludf.DUMMYFUNCTION("""COMPUTED_VALUE"""),5)</f>
        <v>5</v>
      </c>
      <c r="BL404" s="4">
        <f ca="1">IFERROR(__xludf.DUMMYFUNCTION("""COMPUTED_VALUE"""),5)</f>
        <v>5</v>
      </c>
      <c r="BM404" s="4">
        <f ca="1">IFERROR(__xludf.DUMMYFUNCTION("""COMPUTED_VALUE"""),5)</f>
        <v>5</v>
      </c>
      <c r="BN404" s="4">
        <f ca="1">IFERROR(__xludf.DUMMYFUNCTION("""COMPUTED_VALUE"""),5)</f>
        <v>5</v>
      </c>
      <c r="BO404" s="4">
        <f ca="1">IFERROR(__xludf.DUMMYFUNCTION("""COMPUTED_VALUE"""),5)</f>
        <v>5</v>
      </c>
      <c r="BP404" s="4">
        <f ca="1">IFERROR(__xludf.DUMMYFUNCTION("""COMPUTED_VALUE"""),5)</f>
        <v>5</v>
      </c>
    </row>
    <row r="405" spans="1:68" ht="13.2" x14ac:dyDescent="0.25">
      <c r="A405" s="4" t="str">
        <f ca="1">IFERROR(__xludf.DUMMYFUNCTION("""COMPUTED_VALUE"""),"2_ABaOnucJbME7G6Cjqqd1eZMXGFPMCtEe86LoMwkXbnIcNe17JU8h_u4KmnK0AlbHEw")</f>
        <v>2_ABaOnucJbME7G6Cjqqd1eZMXGFPMCtEe86LoMwkXbnIcNe17JU8h_u4KmnK0AlbHEw</v>
      </c>
      <c r="B405" s="5">
        <f ca="1">IFERROR(__xludf.DUMMYFUNCTION("""COMPUTED_VALUE"""),45988.4284544097)</f>
        <v>45988.428454409703</v>
      </c>
      <c r="C405" s="4" t="str">
        <f ca="1">IFERROR(__xludf.DUMMYFUNCTION("""COMPUTED_VALUE"""),"Chu Ngọc Tuấn ")</f>
        <v xml:space="preserve">Chu Ngọc Tuấn </v>
      </c>
      <c r="D405" s="4" t="str">
        <f ca="1">IFERROR(__xludf.DUMMYFUNCTION("""COMPUTED_VALUE"""),"Nam")</f>
        <v>Nam</v>
      </c>
      <c r="E405" s="4" t="str">
        <f ca="1">IFERROR(__xludf.DUMMYFUNCTION("""COMPUTED_VALUE"""),"Công ty TNHH Kiểm toán  - Tư vấn Đất Việt tại HN")</f>
        <v>Công ty TNHH Kiểm toán  - Tư vấn Đất Việt tại HN</v>
      </c>
      <c r="F405" s="4" t="str">
        <f ca="1">IFERROR(__xludf.DUMMYFUNCTION("""COMPUTED_VALUE"""),"Đại học, Chứng chỉ Kiểm toán viên")</f>
        <v>Đại học, Chứng chỉ Kiểm toán viên</v>
      </c>
      <c r="G405" s="4" t="str">
        <f ca="1">IFERROR(__xludf.DUMMYFUNCTION("""COMPUTED_VALUE"""),"Trên 15 đến 20 năm")</f>
        <v>Trên 15 đến 20 năm</v>
      </c>
      <c r="H405" s="4" t="str">
        <f ca="1">IFERROR(__xludf.DUMMYFUNCTION("""COMPUTED_VALUE"""),"Ban giám đốc")</f>
        <v>Ban giám đốc</v>
      </c>
      <c r="I405" s="4">
        <f ca="1">IFERROR(__xludf.DUMMYFUNCTION("""COMPUTED_VALUE"""),4)</f>
        <v>4</v>
      </c>
      <c r="J405" s="4">
        <f ca="1">IFERROR(__xludf.DUMMYFUNCTION("""COMPUTED_VALUE"""),4)</f>
        <v>4</v>
      </c>
      <c r="K405" s="4">
        <f ca="1">IFERROR(__xludf.DUMMYFUNCTION("""COMPUTED_VALUE"""),4)</f>
        <v>4</v>
      </c>
      <c r="L405" s="4">
        <f ca="1">IFERROR(__xludf.DUMMYFUNCTION("""COMPUTED_VALUE"""),4)</f>
        <v>4</v>
      </c>
      <c r="M405" s="4">
        <f ca="1">IFERROR(__xludf.DUMMYFUNCTION("""COMPUTED_VALUE"""),4)</f>
        <v>4</v>
      </c>
      <c r="N405" s="4">
        <f ca="1">IFERROR(__xludf.DUMMYFUNCTION("""COMPUTED_VALUE"""),4)</f>
        <v>4</v>
      </c>
      <c r="O405" s="4">
        <f ca="1">IFERROR(__xludf.DUMMYFUNCTION("""COMPUTED_VALUE"""),4)</f>
        <v>4</v>
      </c>
      <c r="P405" s="4">
        <f ca="1">IFERROR(__xludf.DUMMYFUNCTION("""COMPUTED_VALUE"""),4)</f>
        <v>4</v>
      </c>
      <c r="Q405" s="4">
        <f ca="1">IFERROR(__xludf.DUMMYFUNCTION("""COMPUTED_VALUE"""),4)</f>
        <v>4</v>
      </c>
      <c r="R405" s="4">
        <f ca="1">IFERROR(__xludf.DUMMYFUNCTION("""COMPUTED_VALUE"""),4)</f>
        <v>4</v>
      </c>
      <c r="S405" s="4">
        <f ca="1">IFERROR(__xludf.DUMMYFUNCTION("""COMPUTED_VALUE"""),4)</f>
        <v>4</v>
      </c>
      <c r="T405" s="4">
        <f ca="1">IFERROR(__xludf.DUMMYFUNCTION("""COMPUTED_VALUE"""),4)</f>
        <v>4</v>
      </c>
      <c r="U405" s="4">
        <f ca="1">IFERROR(__xludf.DUMMYFUNCTION("""COMPUTED_VALUE"""),4)</f>
        <v>4</v>
      </c>
      <c r="V405" s="4">
        <f ca="1">IFERROR(__xludf.DUMMYFUNCTION("""COMPUTED_VALUE"""),4)</f>
        <v>4</v>
      </c>
      <c r="W405" s="4">
        <f ca="1">IFERROR(__xludf.DUMMYFUNCTION("""COMPUTED_VALUE"""),4)</f>
        <v>4</v>
      </c>
      <c r="X405" s="4">
        <f ca="1">IFERROR(__xludf.DUMMYFUNCTION("""COMPUTED_VALUE"""),4)</f>
        <v>4</v>
      </c>
      <c r="Y405" s="4">
        <f ca="1">IFERROR(__xludf.DUMMYFUNCTION("""COMPUTED_VALUE"""),2)</f>
        <v>2</v>
      </c>
      <c r="Z405" s="4">
        <f ca="1">IFERROR(__xludf.DUMMYFUNCTION("""COMPUTED_VALUE"""),3)</f>
        <v>3</v>
      </c>
      <c r="AA405" s="4">
        <f ca="1">IFERROR(__xludf.DUMMYFUNCTION("""COMPUTED_VALUE"""),3)</f>
        <v>3</v>
      </c>
      <c r="AB405" s="4">
        <f ca="1">IFERROR(__xludf.DUMMYFUNCTION("""COMPUTED_VALUE"""),4)</f>
        <v>4</v>
      </c>
      <c r="AC405" s="4">
        <f ca="1">IFERROR(__xludf.DUMMYFUNCTION("""COMPUTED_VALUE"""),3)</f>
        <v>3</v>
      </c>
      <c r="AD405" s="4">
        <f ca="1">IFERROR(__xludf.DUMMYFUNCTION("""COMPUTED_VALUE"""),3)</f>
        <v>3</v>
      </c>
      <c r="AE405" s="4">
        <f ca="1">IFERROR(__xludf.DUMMYFUNCTION("""COMPUTED_VALUE"""),4)</f>
        <v>4</v>
      </c>
      <c r="AF405" s="4">
        <f ca="1">IFERROR(__xludf.DUMMYFUNCTION("""COMPUTED_VALUE"""),4)</f>
        <v>4</v>
      </c>
      <c r="AG405" s="4">
        <f ca="1">IFERROR(__xludf.DUMMYFUNCTION("""COMPUTED_VALUE"""),4)</f>
        <v>4</v>
      </c>
      <c r="AH405" s="4">
        <f ca="1">IFERROR(__xludf.DUMMYFUNCTION("""COMPUTED_VALUE"""),4)</f>
        <v>4</v>
      </c>
      <c r="AI405" s="4">
        <f ca="1">IFERROR(__xludf.DUMMYFUNCTION("""COMPUTED_VALUE"""),4)</f>
        <v>4</v>
      </c>
      <c r="AJ405" s="4">
        <f ca="1">IFERROR(__xludf.DUMMYFUNCTION("""COMPUTED_VALUE"""),4)</f>
        <v>4</v>
      </c>
      <c r="AK405" s="4">
        <f ca="1">IFERROR(__xludf.DUMMYFUNCTION("""COMPUTED_VALUE"""),4)</f>
        <v>4</v>
      </c>
      <c r="AL405" s="4">
        <f ca="1">IFERROR(__xludf.DUMMYFUNCTION("""COMPUTED_VALUE"""),4)</f>
        <v>4</v>
      </c>
      <c r="AM405" s="4">
        <f ca="1">IFERROR(__xludf.DUMMYFUNCTION("""COMPUTED_VALUE"""),4)</f>
        <v>4</v>
      </c>
      <c r="AN405" s="4">
        <f ca="1">IFERROR(__xludf.DUMMYFUNCTION("""COMPUTED_VALUE"""),4)</f>
        <v>4</v>
      </c>
      <c r="AO405" s="4">
        <f ca="1">IFERROR(__xludf.DUMMYFUNCTION("""COMPUTED_VALUE"""),4)</f>
        <v>4</v>
      </c>
      <c r="AP405" s="4">
        <f ca="1">IFERROR(__xludf.DUMMYFUNCTION("""COMPUTED_VALUE"""),4)</f>
        <v>4</v>
      </c>
      <c r="AQ405" s="4">
        <f ca="1">IFERROR(__xludf.DUMMYFUNCTION("""COMPUTED_VALUE"""),4)</f>
        <v>4</v>
      </c>
      <c r="AR405" s="4">
        <f ca="1">IFERROR(__xludf.DUMMYFUNCTION("""COMPUTED_VALUE"""),4)</f>
        <v>4</v>
      </c>
      <c r="AS405" s="4">
        <f ca="1">IFERROR(__xludf.DUMMYFUNCTION("""COMPUTED_VALUE"""),4)</f>
        <v>4</v>
      </c>
      <c r="AT405" s="4">
        <f ca="1">IFERROR(__xludf.DUMMYFUNCTION("""COMPUTED_VALUE"""),3)</f>
        <v>3</v>
      </c>
      <c r="AU405" s="4">
        <f ca="1">IFERROR(__xludf.DUMMYFUNCTION("""COMPUTED_VALUE"""),4)</f>
        <v>4</v>
      </c>
      <c r="AV405" s="4">
        <f ca="1">IFERROR(__xludf.DUMMYFUNCTION("""COMPUTED_VALUE"""),4)</f>
        <v>4</v>
      </c>
      <c r="AW405" s="4">
        <f ca="1">IFERROR(__xludf.DUMMYFUNCTION("""COMPUTED_VALUE"""),4)</f>
        <v>4</v>
      </c>
      <c r="AX405" s="4">
        <f ca="1">IFERROR(__xludf.DUMMYFUNCTION("""COMPUTED_VALUE"""),4)</f>
        <v>4</v>
      </c>
      <c r="AY405" s="4">
        <f ca="1">IFERROR(__xludf.DUMMYFUNCTION("""COMPUTED_VALUE"""),4)</f>
        <v>4</v>
      </c>
      <c r="AZ405" s="4">
        <f ca="1">IFERROR(__xludf.DUMMYFUNCTION("""COMPUTED_VALUE"""),4)</f>
        <v>4</v>
      </c>
      <c r="BA405" s="4">
        <f ca="1">IFERROR(__xludf.DUMMYFUNCTION("""COMPUTED_VALUE"""),4)</f>
        <v>4</v>
      </c>
      <c r="BB405" s="4">
        <f ca="1">IFERROR(__xludf.DUMMYFUNCTION("""COMPUTED_VALUE"""),4)</f>
        <v>4</v>
      </c>
      <c r="BC405" s="4">
        <f ca="1">IFERROR(__xludf.DUMMYFUNCTION("""COMPUTED_VALUE"""),4)</f>
        <v>4</v>
      </c>
      <c r="BD405" s="4">
        <f ca="1">IFERROR(__xludf.DUMMYFUNCTION("""COMPUTED_VALUE"""),4)</f>
        <v>4</v>
      </c>
      <c r="BE405" s="4">
        <f ca="1">IFERROR(__xludf.DUMMYFUNCTION("""COMPUTED_VALUE"""),3)</f>
        <v>3</v>
      </c>
      <c r="BF405" s="4">
        <f ca="1">IFERROR(__xludf.DUMMYFUNCTION("""COMPUTED_VALUE"""),3)</f>
        <v>3</v>
      </c>
      <c r="BG405" s="4">
        <f ca="1">IFERROR(__xludf.DUMMYFUNCTION("""COMPUTED_VALUE"""),3)</f>
        <v>3</v>
      </c>
      <c r="BH405" s="4">
        <f ca="1">IFERROR(__xludf.DUMMYFUNCTION("""COMPUTED_VALUE"""),4)</f>
        <v>4</v>
      </c>
      <c r="BI405" s="4">
        <f ca="1">IFERROR(__xludf.DUMMYFUNCTION("""COMPUTED_VALUE"""),4)</f>
        <v>4</v>
      </c>
      <c r="BJ405" s="4">
        <f ca="1">IFERROR(__xludf.DUMMYFUNCTION("""COMPUTED_VALUE"""),4)</f>
        <v>4</v>
      </c>
      <c r="BK405" s="4">
        <f ca="1">IFERROR(__xludf.DUMMYFUNCTION("""COMPUTED_VALUE"""),4)</f>
        <v>4</v>
      </c>
      <c r="BL405" s="4">
        <f ca="1">IFERROR(__xludf.DUMMYFUNCTION("""COMPUTED_VALUE"""),4)</f>
        <v>4</v>
      </c>
      <c r="BM405" s="4">
        <f ca="1">IFERROR(__xludf.DUMMYFUNCTION("""COMPUTED_VALUE"""),4)</f>
        <v>4</v>
      </c>
      <c r="BN405" s="4">
        <f ca="1">IFERROR(__xludf.DUMMYFUNCTION("""COMPUTED_VALUE"""),4)</f>
        <v>4</v>
      </c>
      <c r="BO405" s="4">
        <f ca="1">IFERROR(__xludf.DUMMYFUNCTION("""COMPUTED_VALUE"""),4)</f>
        <v>4</v>
      </c>
      <c r="BP405" s="4">
        <f ca="1">IFERROR(__xludf.DUMMYFUNCTION("""COMPUTED_VALUE"""),4)</f>
        <v>4</v>
      </c>
    </row>
    <row r="406" spans="1:68" ht="13.2" x14ac:dyDescent="0.25">
      <c r="A406" s="4" t="str">
        <f ca="1">IFERROR(__xludf.DUMMYFUNCTION("""COMPUTED_VALUE"""),"2_ABaOnuei1zEw8MCa0lES_JYSOguVD5bhhgCN1Aqpc2YWz0rENBQn30wvalCaaISMqQ")</f>
        <v>2_ABaOnuei1zEw8MCa0lES_JYSOguVD5bhhgCN1Aqpc2YWz0rENBQn30wvalCaaISMqQ</v>
      </c>
      <c r="B406" s="5">
        <f ca="1">IFERROR(__xludf.DUMMYFUNCTION("""COMPUTED_VALUE"""),45988.5059836689)</f>
        <v>45988.505983668903</v>
      </c>
      <c r="C406" s="4" t="str">
        <f ca="1">IFERROR(__xludf.DUMMYFUNCTION("""COMPUTED_VALUE"""),"Bùi Văn Long")</f>
        <v>Bùi Văn Long</v>
      </c>
      <c r="D406" s="4" t="str">
        <f ca="1">IFERROR(__xludf.DUMMYFUNCTION("""COMPUTED_VALUE"""),"Nam")</f>
        <v>Nam</v>
      </c>
      <c r="E406" s="4" t="str">
        <f ca="1">IFERROR(__xludf.DUMMYFUNCTION("""COMPUTED_VALUE"""),"Công ty TNHH Kiểm Toán Mỹ (AA)")</f>
        <v>Công ty TNHH Kiểm Toán Mỹ (AA)</v>
      </c>
      <c r="F406" s="4" t="str">
        <f ca="1">IFERROR(__xludf.DUMMYFUNCTION("""COMPUTED_VALUE"""),"Đại học")</f>
        <v>Đại học</v>
      </c>
      <c r="G406" s="4" t="str">
        <f ca="1">IFERROR(__xludf.DUMMYFUNCTION("""COMPUTED_VALUE"""),"Từ 3 đến 5 năm")</f>
        <v>Từ 3 đến 5 năm</v>
      </c>
      <c r="H406" s="4" t="str">
        <f ca="1">IFERROR(__xludf.DUMMYFUNCTION("""COMPUTED_VALUE"""),"Trợ lý kiểm toán")</f>
        <v>Trợ lý kiểm toán</v>
      </c>
      <c r="I406" s="4">
        <f ca="1">IFERROR(__xludf.DUMMYFUNCTION("""COMPUTED_VALUE"""),5)</f>
        <v>5</v>
      </c>
      <c r="J406" s="4">
        <f ca="1">IFERROR(__xludf.DUMMYFUNCTION("""COMPUTED_VALUE"""),5)</f>
        <v>5</v>
      </c>
      <c r="K406" s="4">
        <f ca="1">IFERROR(__xludf.DUMMYFUNCTION("""COMPUTED_VALUE"""),5)</f>
        <v>5</v>
      </c>
      <c r="L406" s="4">
        <f ca="1">IFERROR(__xludf.DUMMYFUNCTION("""COMPUTED_VALUE"""),3)</f>
        <v>3</v>
      </c>
      <c r="M406" s="4">
        <f ca="1">IFERROR(__xludf.DUMMYFUNCTION("""COMPUTED_VALUE"""),5)</f>
        <v>5</v>
      </c>
      <c r="N406" s="4">
        <f ca="1">IFERROR(__xludf.DUMMYFUNCTION("""COMPUTED_VALUE"""),4)</f>
        <v>4</v>
      </c>
      <c r="O406" s="4">
        <f ca="1">IFERROR(__xludf.DUMMYFUNCTION("""COMPUTED_VALUE"""),3)</f>
        <v>3</v>
      </c>
      <c r="P406" s="4">
        <f ca="1">IFERROR(__xludf.DUMMYFUNCTION("""COMPUTED_VALUE"""),3)</f>
        <v>3</v>
      </c>
      <c r="Q406" s="4">
        <f ca="1">IFERROR(__xludf.DUMMYFUNCTION("""COMPUTED_VALUE"""),3)</f>
        <v>3</v>
      </c>
      <c r="R406" s="4">
        <f ca="1">IFERROR(__xludf.DUMMYFUNCTION("""COMPUTED_VALUE"""),4)</f>
        <v>4</v>
      </c>
      <c r="S406" s="4">
        <f ca="1">IFERROR(__xludf.DUMMYFUNCTION("""COMPUTED_VALUE"""),4)</f>
        <v>4</v>
      </c>
      <c r="T406" s="4">
        <f ca="1">IFERROR(__xludf.DUMMYFUNCTION("""COMPUTED_VALUE"""),4)</f>
        <v>4</v>
      </c>
      <c r="U406" s="4">
        <f ca="1">IFERROR(__xludf.DUMMYFUNCTION("""COMPUTED_VALUE"""),4)</f>
        <v>4</v>
      </c>
      <c r="V406" s="4">
        <f ca="1">IFERROR(__xludf.DUMMYFUNCTION("""COMPUTED_VALUE"""),4)</f>
        <v>4</v>
      </c>
      <c r="W406" s="4">
        <f ca="1">IFERROR(__xludf.DUMMYFUNCTION("""COMPUTED_VALUE"""),4)</f>
        <v>4</v>
      </c>
      <c r="X406" s="4">
        <f ca="1">IFERROR(__xludf.DUMMYFUNCTION("""COMPUTED_VALUE"""),4)</f>
        <v>4</v>
      </c>
      <c r="Y406" s="4">
        <f ca="1">IFERROR(__xludf.DUMMYFUNCTION("""COMPUTED_VALUE"""),4)</f>
        <v>4</v>
      </c>
      <c r="Z406" s="4">
        <f ca="1">IFERROR(__xludf.DUMMYFUNCTION("""COMPUTED_VALUE"""),4)</f>
        <v>4</v>
      </c>
      <c r="AA406" s="4">
        <f ca="1">IFERROR(__xludf.DUMMYFUNCTION("""COMPUTED_VALUE"""),4)</f>
        <v>4</v>
      </c>
      <c r="AB406" s="4">
        <f ca="1">IFERROR(__xludf.DUMMYFUNCTION("""COMPUTED_VALUE"""),4)</f>
        <v>4</v>
      </c>
      <c r="AC406" s="4">
        <f ca="1">IFERROR(__xludf.DUMMYFUNCTION("""COMPUTED_VALUE"""),4)</f>
        <v>4</v>
      </c>
      <c r="AD406" s="4">
        <f ca="1">IFERROR(__xludf.DUMMYFUNCTION("""COMPUTED_VALUE"""),4)</f>
        <v>4</v>
      </c>
      <c r="AE406" s="4">
        <f ca="1">IFERROR(__xludf.DUMMYFUNCTION("""COMPUTED_VALUE"""),4)</f>
        <v>4</v>
      </c>
      <c r="AF406" s="4">
        <f ca="1">IFERROR(__xludf.DUMMYFUNCTION("""COMPUTED_VALUE"""),4)</f>
        <v>4</v>
      </c>
      <c r="AG406" s="4">
        <f ca="1">IFERROR(__xludf.DUMMYFUNCTION("""COMPUTED_VALUE"""),4)</f>
        <v>4</v>
      </c>
      <c r="AH406" s="4">
        <f ca="1">IFERROR(__xludf.DUMMYFUNCTION("""COMPUTED_VALUE"""),4)</f>
        <v>4</v>
      </c>
      <c r="AI406" s="4">
        <f ca="1">IFERROR(__xludf.DUMMYFUNCTION("""COMPUTED_VALUE"""),4)</f>
        <v>4</v>
      </c>
      <c r="AJ406" s="4">
        <f ca="1">IFERROR(__xludf.DUMMYFUNCTION("""COMPUTED_VALUE"""),4)</f>
        <v>4</v>
      </c>
      <c r="AK406" s="4">
        <f ca="1">IFERROR(__xludf.DUMMYFUNCTION("""COMPUTED_VALUE"""),4)</f>
        <v>4</v>
      </c>
      <c r="AL406" s="4">
        <f ca="1">IFERROR(__xludf.DUMMYFUNCTION("""COMPUTED_VALUE"""),4)</f>
        <v>4</v>
      </c>
      <c r="AM406" s="4">
        <f ca="1">IFERROR(__xludf.DUMMYFUNCTION("""COMPUTED_VALUE"""),4)</f>
        <v>4</v>
      </c>
      <c r="AN406" s="4">
        <f ca="1">IFERROR(__xludf.DUMMYFUNCTION("""COMPUTED_VALUE"""),4)</f>
        <v>4</v>
      </c>
      <c r="AO406" s="4">
        <f ca="1">IFERROR(__xludf.DUMMYFUNCTION("""COMPUTED_VALUE"""),4)</f>
        <v>4</v>
      </c>
      <c r="AP406" s="4">
        <f ca="1">IFERROR(__xludf.DUMMYFUNCTION("""COMPUTED_VALUE"""),4)</f>
        <v>4</v>
      </c>
      <c r="AQ406" s="4">
        <f ca="1">IFERROR(__xludf.DUMMYFUNCTION("""COMPUTED_VALUE"""),4)</f>
        <v>4</v>
      </c>
      <c r="AR406" s="4">
        <f ca="1">IFERROR(__xludf.DUMMYFUNCTION("""COMPUTED_VALUE"""),4)</f>
        <v>4</v>
      </c>
      <c r="AS406" s="4">
        <f ca="1">IFERROR(__xludf.DUMMYFUNCTION("""COMPUTED_VALUE"""),4)</f>
        <v>4</v>
      </c>
      <c r="AT406" s="4">
        <f ca="1">IFERROR(__xludf.DUMMYFUNCTION("""COMPUTED_VALUE"""),4)</f>
        <v>4</v>
      </c>
      <c r="AU406" s="4">
        <f ca="1">IFERROR(__xludf.DUMMYFUNCTION("""COMPUTED_VALUE"""),4)</f>
        <v>4</v>
      </c>
      <c r="AV406" s="4">
        <f ca="1">IFERROR(__xludf.DUMMYFUNCTION("""COMPUTED_VALUE"""),4)</f>
        <v>4</v>
      </c>
      <c r="AW406" s="4">
        <f ca="1">IFERROR(__xludf.DUMMYFUNCTION("""COMPUTED_VALUE"""),4)</f>
        <v>4</v>
      </c>
      <c r="AX406" s="4">
        <f ca="1">IFERROR(__xludf.DUMMYFUNCTION("""COMPUTED_VALUE"""),4)</f>
        <v>4</v>
      </c>
      <c r="AY406" s="4">
        <f ca="1">IFERROR(__xludf.DUMMYFUNCTION("""COMPUTED_VALUE"""),4)</f>
        <v>4</v>
      </c>
      <c r="AZ406" s="4">
        <f ca="1">IFERROR(__xludf.DUMMYFUNCTION("""COMPUTED_VALUE"""),4)</f>
        <v>4</v>
      </c>
      <c r="BA406" s="4">
        <f ca="1">IFERROR(__xludf.DUMMYFUNCTION("""COMPUTED_VALUE"""),4)</f>
        <v>4</v>
      </c>
      <c r="BB406" s="4">
        <f ca="1">IFERROR(__xludf.DUMMYFUNCTION("""COMPUTED_VALUE"""),4)</f>
        <v>4</v>
      </c>
      <c r="BC406" s="4">
        <f ca="1">IFERROR(__xludf.DUMMYFUNCTION("""COMPUTED_VALUE"""),4)</f>
        <v>4</v>
      </c>
      <c r="BD406" s="4">
        <f ca="1">IFERROR(__xludf.DUMMYFUNCTION("""COMPUTED_VALUE"""),4)</f>
        <v>4</v>
      </c>
      <c r="BE406" s="4">
        <f ca="1">IFERROR(__xludf.DUMMYFUNCTION("""COMPUTED_VALUE"""),4)</f>
        <v>4</v>
      </c>
      <c r="BF406" s="4">
        <f ca="1">IFERROR(__xludf.DUMMYFUNCTION("""COMPUTED_VALUE"""),4)</f>
        <v>4</v>
      </c>
      <c r="BG406" s="4">
        <f ca="1">IFERROR(__xludf.DUMMYFUNCTION("""COMPUTED_VALUE"""),4)</f>
        <v>4</v>
      </c>
      <c r="BH406" s="4">
        <f ca="1">IFERROR(__xludf.DUMMYFUNCTION("""COMPUTED_VALUE"""),4)</f>
        <v>4</v>
      </c>
      <c r="BI406" s="4">
        <f ca="1">IFERROR(__xludf.DUMMYFUNCTION("""COMPUTED_VALUE"""),4)</f>
        <v>4</v>
      </c>
      <c r="BJ406" s="4">
        <f ca="1">IFERROR(__xludf.DUMMYFUNCTION("""COMPUTED_VALUE"""),4)</f>
        <v>4</v>
      </c>
      <c r="BK406" s="4">
        <f ca="1">IFERROR(__xludf.DUMMYFUNCTION("""COMPUTED_VALUE"""),4)</f>
        <v>4</v>
      </c>
      <c r="BL406" s="4">
        <f ca="1">IFERROR(__xludf.DUMMYFUNCTION("""COMPUTED_VALUE"""),4)</f>
        <v>4</v>
      </c>
      <c r="BM406" s="4">
        <f ca="1">IFERROR(__xludf.DUMMYFUNCTION("""COMPUTED_VALUE"""),4)</f>
        <v>4</v>
      </c>
      <c r="BN406" s="4">
        <f ca="1">IFERROR(__xludf.DUMMYFUNCTION("""COMPUTED_VALUE"""),4)</f>
        <v>4</v>
      </c>
      <c r="BO406" s="4">
        <f ca="1">IFERROR(__xludf.DUMMYFUNCTION("""COMPUTED_VALUE"""),4)</f>
        <v>4</v>
      </c>
      <c r="BP406" s="4">
        <f ca="1">IFERROR(__xludf.DUMMYFUNCTION("""COMPUTED_VALUE"""),4)</f>
        <v>4</v>
      </c>
    </row>
    <row r="407" spans="1:68" ht="13.2" x14ac:dyDescent="0.25">
      <c r="A407" s="4" t="str">
        <f ca="1">IFERROR(__xludf.DUMMYFUNCTION("""COMPUTED_VALUE"""),"2_ABaOnufRzaX7k3sGPiikskIUAH3KrTwCLJmjTifJRKlI5lzzUa1P40F4MohWkgZLNA")</f>
        <v>2_ABaOnufRzaX7k3sGPiikskIUAH3KrTwCLJmjTifJRKlI5lzzUa1P40F4MohWkgZLNA</v>
      </c>
      <c r="B407" s="5">
        <f ca="1">IFERROR(__xludf.DUMMYFUNCTION("""COMPUTED_VALUE"""),45988.506089456)</f>
        <v>45988.506089456001</v>
      </c>
      <c r="C407" s="4" t="str">
        <f ca="1">IFERROR(__xludf.DUMMYFUNCTION("""COMPUTED_VALUE"""),"Phạm Văn Định")</f>
        <v>Phạm Văn Định</v>
      </c>
      <c r="D407" s="4" t="str">
        <f ca="1">IFERROR(__xludf.DUMMYFUNCTION("""COMPUTED_VALUE"""),"Nam")</f>
        <v>Nam</v>
      </c>
      <c r="E407" s="4" t="str">
        <f ca="1">IFERROR(__xludf.DUMMYFUNCTION("""COMPUTED_VALUE"""),"Công ty TNHH Kiểm toán SCIC Việt Nam")</f>
        <v>Công ty TNHH Kiểm toán SCIC Việt Nam</v>
      </c>
      <c r="F407" s="4" t="str">
        <f ca="1">IFERROR(__xludf.DUMMYFUNCTION("""COMPUTED_VALUE"""),"Đại học")</f>
        <v>Đại học</v>
      </c>
      <c r="G407" s="4" t="str">
        <f ca="1">IFERROR(__xludf.DUMMYFUNCTION("""COMPUTED_VALUE"""),"Từ 3 đến 5 năm")</f>
        <v>Từ 3 đến 5 năm</v>
      </c>
      <c r="H407" s="4" t="str">
        <f ca="1">IFERROR(__xludf.DUMMYFUNCTION("""COMPUTED_VALUE"""),"Trợ lý kiểm toán")</f>
        <v>Trợ lý kiểm toán</v>
      </c>
      <c r="I407" s="4">
        <f ca="1">IFERROR(__xludf.DUMMYFUNCTION("""COMPUTED_VALUE"""),5)</f>
        <v>5</v>
      </c>
      <c r="J407" s="4">
        <f ca="1">IFERROR(__xludf.DUMMYFUNCTION("""COMPUTED_VALUE"""),5)</f>
        <v>5</v>
      </c>
      <c r="K407" s="4">
        <f ca="1">IFERROR(__xludf.DUMMYFUNCTION("""COMPUTED_VALUE"""),5)</f>
        <v>5</v>
      </c>
      <c r="L407" s="4">
        <f ca="1">IFERROR(__xludf.DUMMYFUNCTION("""COMPUTED_VALUE"""),5)</f>
        <v>5</v>
      </c>
      <c r="M407" s="4">
        <f ca="1">IFERROR(__xludf.DUMMYFUNCTION("""COMPUTED_VALUE"""),5)</f>
        <v>5</v>
      </c>
      <c r="N407" s="4">
        <f ca="1">IFERROR(__xludf.DUMMYFUNCTION("""COMPUTED_VALUE"""),3)</f>
        <v>3</v>
      </c>
      <c r="O407" s="4">
        <f ca="1">IFERROR(__xludf.DUMMYFUNCTION("""COMPUTED_VALUE"""),3)</f>
        <v>3</v>
      </c>
      <c r="P407" s="4">
        <f ca="1">IFERROR(__xludf.DUMMYFUNCTION("""COMPUTED_VALUE"""),5)</f>
        <v>5</v>
      </c>
      <c r="Q407" s="4">
        <f ca="1">IFERROR(__xludf.DUMMYFUNCTION("""COMPUTED_VALUE"""),5)</f>
        <v>5</v>
      </c>
      <c r="R407" s="4">
        <f ca="1">IFERROR(__xludf.DUMMYFUNCTION("""COMPUTED_VALUE"""),4)</f>
        <v>4</v>
      </c>
      <c r="S407" s="4">
        <f ca="1">IFERROR(__xludf.DUMMYFUNCTION("""COMPUTED_VALUE"""),4)</f>
        <v>4</v>
      </c>
      <c r="T407" s="4">
        <f ca="1">IFERROR(__xludf.DUMMYFUNCTION("""COMPUTED_VALUE"""),4)</f>
        <v>4</v>
      </c>
      <c r="U407" s="4">
        <f ca="1">IFERROR(__xludf.DUMMYFUNCTION("""COMPUTED_VALUE"""),4)</f>
        <v>4</v>
      </c>
      <c r="V407" s="4">
        <f ca="1">IFERROR(__xludf.DUMMYFUNCTION("""COMPUTED_VALUE"""),4)</f>
        <v>4</v>
      </c>
      <c r="W407" s="4">
        <f ca="1">IFERROR(__xludf.DUMMYFUNCTION("""COMPUTED_VALUE"""),5)</f>
        <v>5</v>
      </c>
      <c r="X407" s="4">
        <f ca="1">IFERROR(__xludf.DUMMYFUNCTION("""COMPUTED_VALUE"""),5)</f>
        <v>5</v>
      </c>
      <c r="Y407" s="4">
        <f ca="1">IFERROR(__xludf.DUMMYFUNCTION("""COMPUTED_VALUE"""),4)</f>
        <v>4</v>
      </c>
      <c r="Z407" s="4">
        <f ca="1">IFERROR(__xludf.DUMMYFUNCTION("""COMPUTED_VALUE"""),5)</f>
        <v>5</v>
      </c>
      <c r="AA407" s="4">
        <f ca="1">IFERROR(__xludf.DUMMYFUNCTION("""COMPUTED_VALUE"""),5)</f>
        <v>5</v>
      </c>
      <c r="AB407" s="4">
        <f ca="1">IFERROR(__xludf.DUMMYFUNCTION("""COMPUTED_VALUE"""),4)</f>
        <v>4</v>
      </c>
      <c r="AC407" s="4">
        <f ca="1">IFERROR(__xludf.DUMMYFUNCTION("""COMPUTED_VALUE"""),4)</f>
        <v>4</v>
      </c>
      <c r="AD407" s="4">
        <f ca="1">IFERROR(__xludf.DUMMYFUNCTION("""COMPUTED_VALUE"""),4)</f>
        <v>4</v>
      </c>
      <c r="AE407" s="4">
        <f ca="1">IFERROR(__xludf.DUMMYFUNCTION("""COMPUTED_VALUE"""),4)</f>
        <v>4</v>
      </c>
      <c r="AF407" s="4">
        <f ca="1">IFERROR(__xludf.DUMMYFUNCTION("""COMPUTED_VALUE"""),5)</f>
        <v>5</v>
      </c>
      <c r="AG407" s="4">
        <f ca="1">IFERROR(__xludf.DUMMYFUNCTION("""COMPUTED_VALUE"""),5)</f>
        <v>5</v>
      </c>
      <c r="AH407" s="4">
        <f ca="1">IFERROR(__xludf.DUMMYFUNCTION("""COMPUTED_VALUE"""),5)</f>
        <v>5</v>
      </c>
      <c r="AI407" s="4">
        <f ca="1">IFERROR(__xludf.DUMMYFUNCTION("""COMPUTED_VALUE"""),5)</f>
        <v>5</v>
      </c>
      <c r="AJ407" s="4">
        <f ca="1">IFERROR(__xludf.DUMMYFUNCTION("""COMPUTED_VALUE"""),5)</f>
        <v>5</v>
      </c>
      <c r="AK407" s="4">
        <f ca="1">IFERROR(__xludf.DUMMYFUNCTION("""COMPUTED_VALUE"""),5)</f>
        <v>5</v>
      </c>
      <c r="AL407" s="4">
        <f ca="1">IFERROR(__xludf.DUMMYFUNCTION("""COMPUTED_VALUE"""),5)</f>
        <v>5</v>
      </c>
      <c r="AM407" s="4">
        <f ca="1">IFERROR(__xludf.DUMMYFUNCTION("""COMPUTED_VALUE"""),5)</f>
        <v>5</v>
      </c>
      <c r="AN407" s="4">
        <f ca="1">IFERROR(__xludf.DUMMYFUNCTION("""COMPUTED_VALUE"""),5)</f>
        <v>5</v>
      </c>
      <c r="AO407" s="4">
        <f ca="1">IFERROR(__xludf.DUMMYFUNCTION("""COMPUTED_VALUE"""),5)</f>
        <v>5</v>
      </c>
      <c r="AP407" s="4">
        <f ca="1">IFERROR(__xludf.DUMMYFUNCTION("""COMPUTED_VALUE"""),5)</f>
        <v>5</v>
      </c>
      <c r="AQ407" s="4">
        <f ca="1">IFERROR(__xludf.DUMMYFUNCTION("""COMPUTED_VALUE"""),5)</f>
        <v>5</v>
      </c>
      <c r="AR407" s="4">
        <f ca="1">IFERROR(__xludf.DUMMYFUNCTION("""COMPUTED_VALUE"""),5)</f>
        <v>5</v>
      </c>
      <c r="AS407" s="4">
        <f ca="1">IFERROR(__xludf.DUMMYFUNCTION("""COMPUTED_VALUE"""),5)</f>
        <v>5</v>
      </c>
      <c r="AT407" s="4">
        <f ca="1">IFERROR(__xludf.DUMMYFUNCTION("""COMPUTED_VALUE"""),5)</f>
        <v>5</v>
      </c>
      <c r="AU407" s="4">
        <f ca="1">IFERROR(__xludf.DUMMYFUNCTION("""COMPUTED_VALUE"""),5)</f>
        <v>5</v>
      </c>
      <c r="AV407" s="4">
        <f ca="1">IFERROR(__xludf.DUMMYFUNCTION("""COMPUTED_VALUE"""),5)</f>
        <v>5</v>
      </c>
      <c r="AW407" s="4">
        <f ca="1">IFERROR(__xludf.DUMMYFUNCTION("""COMPUTED_VALUE"""),5)</f>
        <v>5</v>
      </c>
      <c r="AX407" s="4">
        <f ca="1">IFERROR(__xludf.DUMMYFUNCTION("""COMPUTED_VALUE"""),4)</f>
        <v>4</v>
      </c>
      <c r="AY407" s="4">
        <f ca="1">IFERROR(__xludf.DUMMYFUNCTION("""COMPUTED_VALUE"""),4)</f>
        <v>4</v>
      </c>
      <c r="AZ407" s="4">
        <f ca="1">IFERROR(__xludf.DUMMYFUNCTION("""COMPUTED_VALUE"""),4)</f>
        <v>4</v>
      </c>
      <c r="BA407" s="4">
        <f ca="1">IFERROR(__xludf.DUMMYFUNCTION("""COMPUTED_VALUE"""),4)</f>
        <v>4</v>
      </c>
      <c r="BB407" s="4">
        <f ca="1">IFERROR(__xludf.DUMMYFUNCTION("""COMPUTED_VALUE"""),4)</f>
        <v>4</v>
      </c>
      <c r="BC407" s="4">
        <f ca="1">IFERROR(__xludf.DUMMYFUNCTION("""COMPUTED_VALUE"""),5)</f>
        <v>5</v>
      </c>
      <c r="BD407" s="4">
        <f ca="1">IFERROR(__xludf.DUMMYFUNCTION("""COMPUTED_VALUE"""),4)</f>
        <v>4</v>
      </c>
      <c r="BE407" s="4">
        <f ca="1">IFERROR(__xludf.DUMMYFUNCTION("""COMPUTED_VALUE"""),5)</f>
        <v>5</v>
      </c>
      <c r="BF407" s="4">
        <f ca="1">IFERROR(__xludf.DUMMYFUNCTION("""COMPUTED_VALUE"""),5)</f>
        <v>5</v>
      </c>
      <c r="BG407" s="4">
        <f ca="1">IFERROR(__xludf.DUMMYFUNCTION("""COMPUTED_VALUE"""),4)</f>
        <v>4</v>
      </c>
      <c r="BH407" s="4">
        <f ca="1">IFERROR(__xludf.DUMMYFUNCTION("""COMPUTED_VALUE"""),4)</f>
        <v>4</v>
      </c>
      <c r="BI407" s="4">
        <f ca="1">IFERROR(__xludf.DUMMYFUNCTION("""COMPUTED_VALUE"""),5)</f>
        <v>5</v>
      </c>
      <c r="BJ407" s="4">
        <f ca="1">IFERROR(__xludf.DUMMYFUNCTION("""COMPUTED_VALUE"""),5)</f>
        <v>5</v>
      </c>
      <c r="BK407" s="4">
        <f ca="1">IFERROR(__xludf.DUMMYFUNCTION("""COMPUTED_VALUE"""),4)</f>
        <v>4</v>
      </c>
      <c r="BL407" s="4">
        <f ca="1">IFERROR(__xludf.DUMMYFUNCTION("""COMPUTED_VALUE"""),5)</f>
        <v>5</v>
      </c>
      <c r="BM407" s="4">
        <f ca="1">IFERROR(__xludf.DUMMYFUNCTION("""COMPUTED_VALUE"""),5)</f>
        <v>5</v>
      </c>
      <c r="BN407" s="4">
        <f ca="1">IFERROR(__xludf.DUMMYFUNCTION("""COMPUTED_VALUE"""),5)</f>
        <v>5</v>
      </c>
      <c r="BO407" s="4">
        <f ca="1">IFERROR(__xludf.DUMMYFUNCTION("""COMPUTED_VALUE"""),5)</f>
        <v>5</v>
      </c>
      <c r="BP407" s="4">
        <f ca="1">IFERROR(__xludf.DUMMYFUNCTION("""COMPUTED_VALUE"""),5)</f>
        <v>5</v>
      </c>
    </row>
    <row r="408" spans="1:68" ht="13.2" x14ac:dyDescent="0.25">
      <c r="A408" s="4" t="str">
        <f ca="1">IFERROR(__xludf.DUMMYFUNCTION("""COMPUTED_VALUE"""),"2_ABaOnueMzdNPcTuhzdRQXA_4tJJhDynAkZeJn69BDhiDrS7Xo-CAZ9Oy7IiB2bm3Dg")</f>
        <v>2_ABaOnueMzdNPcTuhzdRQXA_4tJJhDynAkZeJn69BDhiDrS7Xo-CAZ9Oy7IiB2bm3Dg</v>
      </c>
      <c r="B408" s="5">
        <f ca="1">IFERROR(__xludf.DUMMYFUNCTION("""COMPUTED_VALUE"""),45988.5168936574)</f>
        <v>45988.516893657397</v>
      </c>
      <c r="C408" s="4" t="str">
        <f ca="1">IFERROR(__xludf.DUMMYFUNCTION("""COMPUTED_VALUE"""),"Trần Thị Huyền Trang")</f>
        <v>Trần Thị Huyền Trang</v>
      </c>
      <c r="D408" s="4" t="str">
        <f ca="1">IFERROR(__xludf.DUMMYFUNCTION("""COMPUTED_VALUE"""),"Nữ")</f>
        <v>Nữ</v>
      </c>
      <c r="E408" s="4" t="str">
        <f ca="1">IFERROR(__xludf.DUMMYFUNCTION("""COMPUTED_VALUE"""),"Chi nhánh công ty kiểm toán NVA")</f>
        <v>Chi nhánh công ty kiểm toán NVA</v>
      </c>
      <c r="F408" s="4" t="str">
        <f ca="1">IFERROR(__xludf.DUMMYFUNCTION("""COMPUTED_VALUE"""),"Đại học, Chứng chỉ Kiểm toán viên")</f>
        <v>Đại học, Chứng chỉ Kiểm toán viên</v>
      </c>
      <c r="G408" s="4" t="str">
        <f ca="1">IFERROR(__xludf.DUMMYFUNCTION("""COMPUTED_VALUE"""),"Trên 5 đến 10 năm")</f>
        <v>Trên 5 đến 10 năm</v>
      </c>
      <c r="H408" s="4" t="str">
        <f ca="1">IFERROR(__xludf.DUMMYFUNCTION("""COMPUTED_VALUE"""),"Kiểm toán viên/Trưởng nhóm")</f>
        <v>Kiểm toán viên/Trưởng nhóm</v>
      </c>
      <c r="I408" s="4">
        <f ca="1">IFERROR(__xludf.DUMMYFUNCTION("""COMPUTED_VALUE"""),5)</f>
        <v>5</v>
      </c>
      <c r="J408" s="4">
        <f ca="1">IFERROR(__xludf.DUMMYFUNCTION("""COMPUTED_VALUE"""),5)</f>
        <v>5</v>
      </c>
      <c r="K408" s="4">
        <f ca="1">IFERROR(__xludf.DUMMYFUNCTION("""COMPUTED_VALUE"""),5)</f>
        <v>5</v>
      </c>
      <c r="L408" s="4">
        <f ca="1">IFERROR(__xludf.DUMMYFUNCTION("""COMPUTED_VALUE"""),3)</f>
        <v>3</v>
      </c>
      <c r="M408" s="4">
        <f ca="1">IFERROR(__xludf.DUMMYFUNCTION("""COMPUTED_VALUE"""),4)</f>
        <v>4</v>
      </c>
      <c r="N408" s="4">
        <f ca="1">IFERROR(__xludf.DUMMYFUNCTION("""COMPUTED_VALUE"""),4)</f>
        <v>4</v>
      </c>
      <c r="O408" s="4">
        <f ca="1">IFERROR(__xludf.DUMMYFUNCTION("""COMPUTED_VALUE"""),4)</f>
        <v>4</v>
      </c>
      <c r="P408" s="4">
        <f ca="1">IFERROR(__xludf.DUMMYFUNCTION("""COMPUTED_VALUE"""),4)</f>
        <v>4</v>
      </c>
      <c r="Q408" s="4">
        <f ca="1">IFERROR(__xludf.DUMMYFUNCTION("""COMPUTED_VALUE"""),4)</f>
        <v>4</v>
      </c>
      <c r="R408" s="4">
        <f ca="1">IFERROR(__xludf.DUMMYFUNCTION("""COMPUTED_VALUE"""),5)</f>
        <v>5</v>
      </c>
      <c r="S408" s="4">
        <f ca="1">IFERROR(__xludf.DUMMYFUNCTION("""COMPUTED_VALUE"""),5)</f>
        <v>5</v>
      </c>
      <c r="T408" s="4">
        <f ca="1">IFERROR(__xludf.DUMMYFUNCTION("""COMPUTED_VALUE"""),5)</f>
        <v>5</v>
      </c>
      <c r="U408" s="4">
        <f ca="1">IFERROR(__xludf.DUMMYFUNCTION("""COMPUTED_VALUE"""),5)</f>
        <v>5</v>
      </c>
      <c r="V408" s="4">
        <f ca="1">IFERROR(__xludf.DUMMYFUNCTION("""COMPUTED_VALUE"""),5)</f>
        <v>5</v>
      </c>
      <c r="W408" s="4">
        <f ca="1">IFERROR(__xludf.DUMMYFUNCTION("""COMPUTED_VALUE"""),4)</f>
        <v>4</v>
      </c>
      <c r="X408" s="4">
        <f ca="1">IFERROR(__xludf.DUMMYFUNCTION("""COMPUTED_VALUE"""),4)</f>
        <v>4</v>
      </c>
      <c r="Y408" s="4">
        <f ca="1">IFERROR(__xludf.DUMMYFUNCTION("""COMPUTED_VALUE"""),3)</f>
        <v>3</v>
      </c>
      <c r="Z408" s="4">
        <f ca="1">IFERROR(__xludf.DUMMYFUNCTION("""COMPUTED_VALUE"""),3)</f>
        <v>3</v>
      </c>
      <c r="AA408" s="4">
        <f ca="1">IFERROR(__xludf.DUMMYFUNCTION("""COMPUTED_VALUE"""),4)</f>
        <v>4</v>
      </c>
      <c r="AB408" s="4">
        <f ca="1">IFERROR(__xludf.DUMMYFUNCTION("""COMPUTED_VALUE"""),3)</f>
        <v>3</v>
      </c>
      <c r="AC408" s="4">
        <f ca="1">IFERROR(__xludf.DUMMYFUNCTION("""COMPUTED_VALUE"""),3)</f>
        <v>3</v>
      </c>
      <c r="AD408" s="4">
        <f ca="1">IFERROR(__xludf.DUMMYFUNCTION("""COMPUTED_VALUE"""),3)</f>
        <v>3</v>
      </c>
      <c r="AE408" s="4">
        <f ca="1">IFERROR(__xludf.DUMMYFUNCTION("""COMPUTED_VALUE"""),3)</f>
        <v>3</v>
      </c>
      <c r="AF408" s="4">
        <f ca="1">IFERROR(__xludf.DUMMYFUNCTION("""COMPUTED_VALUE"""),3)</f>
        <v>3</v>
      </c>
      <c r="AG408" s="4">
        <f ca="1">IFERROR(__xludf.DUMMYFUNCTION("""COMPUTED_VALUE"""),3)</f>
        <v>3</v>
      </c>
      <c r="AH408" s="4">
        <f ca="1">IFERROR(__xludf.DUMMYFUNCTION("""COMPUTED_VALUE"""),3)</f>
        <v>3</v>
      </c>
      <c r="AI408" s="4">
        <f ca="1">IFERROR(__xludf.DUMMYFUNCTION("""COMPUTED_VALUE"""),3)</f>
        <v>3</v>
      </c>
      <c r="AJ408" s="4">
        <f ca="1">IFERROR(__xludf.DUMMYFUNCTION("""COMPUTED_VALUE"""),4)</f>
        <v>4</v>
      </c>
      <c r="AK408" s="4">
        <f ca="1">IFERROR(__xludf.DUMMYFUNCTION("""COMPUTED_VALUE"""),4)</f>
        <v>4</v>
      </c>
      <c r="AL408" s="4">
        <f ca="1">IFERROR(__xludf.DUMMYFUNCTION("""COMPUTED_VALUE"""),4)</f>
        <v>4</v>
      </c>
      <c r="AM408" s="4">
        <f ca="1">IFERROR(__xludf.DUMMYFUNCTION("""COMPUTED_VALUE"""),4)</f>
        <v>4</v>
      </c>
      <c r="AN408" s="4">
        <f ca="1">IFERROR(__xludf.DUMMYFUNCTION("""COMPUTED_VALUE"""),4)</f>
        <v>4</v>
      </c>
      <c r="AO408" s="4">
        <f ca="1">IFERROR(__xludf.DUMMYFUNCTION("""COMPUTED_VALUE"""),4)</f>
        <v>4</v>
      </c>
      <c r="AP408" s="4">
        <f ca="1">IFERROR(__xludf.DUMMYFUNCTION("""COMPUTED_VALUE"""),3)</f>
        <v>3</v>
      </c>
      <c r="AQ408" s="4">
        <f ca="1">IFERROR(__xludf.DUMMYFUNCTION("""COMPUTED_VALUE"""),3)</f>
        <v>3</v>
      </c>
      <c r="AR408" s="4">
        <f ca="1">IFERROR(__xludf.DUMMYFUNCTION("""COMPUTED_VALUE"""),4)</f>
        <v>4</v>
      </c>
      <c r="AS408" s="4">
        <f ca="1">IFERROR(__xludf.DUMMYFUNCTION("""COMPUTED_VALUE"""),4)</f>
        <v>4</v>
      </c>
      <c r="AT408" s="4">
        <f ca="1">IFERROR(__xludf.DUMMYFUNCTION("""COMPUTED_VALUE"""),3)</f>
        <v>3</v>
      </c>
      <c r="AU408" s="4">
        <f ca="1">IFERROR(__xludf.DUMMYFUNCTION("""COMPUTED_VALUE"""),3)</f>
        <v>3</v>
      </c>
      <c r="AV408" s="4">
        <f ca="1">IFERROR(__xludf.DUMMYFUNCTION("""COMPUTED_VALUE"""),3)</f>
        <v>3</v>
      </c>
      <c r="AW408" s="4">
        <f ca="1">IFERROR(__xludf.DUMMYFUNCTION("""COMPUTED_VALUE"""),4)</f>
        <v>4</v>
      </c>
      <c r="AX408" s="4">
        <f ca="1">IFERROR(__xludf.DUMMYFUNCTION("""COMPUTED_VALUE"""),4)</f>
        <v>4</v>
      </c>
      <c r="AY408" s="4">
        <f ca="1">IFERROR(__xludf.DUMMYFUNCTION("""COMPUTED_VALUE"""),4)</f>
        <v>4</v>
      </c>
      <c r="AZ408" s="4">
        <f ca="1">IFERROR(__xludf.DUMMYFUNCTION("""COMPUTED_VALUE"""),4)</f>
        <v>4</v>
      </c>
      <c r="BA408" s="4">
        <f ca="1">IFERROR(__xludf.DUMMYFUNCTION("""COMPUTED_VALUE"""),4)</f>
        <v>4</v>
      </c>
      <c r="BB408" s="4">
        <f ca="1">IFERROR(__xludf.DUMMYFUNCTION("""COMPUTED_VALUE"""),3)</f>
        <v>3</v>
      </c>
      <c r="BC408" s="4">
        <f ca="1">IFERROR(__xludf.DUMMYFUNCTION("""COMPUTED_VALUE"""),3)</f>
        <v>3</v>
      </c>
      <c r="BD408" s="4">
        <f ca="1">IFERROR(__xludf.DUMMYFUNCTION("""COMPUTED_VALUE"""),3)</f>
        <v>3</v>
      </c>
      <c r="BE408" s="4">
        <f ca="1">IFERROR(__xludf.DUMMYFUNCTION("""COMPUTED_VALUE"""),4)</f>
        <v>4</v>
      </c>
      <c r="BF408" s="4">
        <f ca="1">IFERROR(__xludf.DUMMYFUNCTION("""COMPUTED_VALUE"""),4)</f>
        <v>4</v>
      </c>
      <c r="BG408" s="4">
        <f ca="1">IFERROR(__xludf.DUMMYFUNCTION("""COMPUTED_VALUE"""),4)</f>
        <v>4</v>
      </c>
      <c r="BH408" s="4">
        <f ca="1">IFERROR(__xludf.DUMMYFUNCTION("""COMPUTED_VALUE"""),4)</f>
        <v>4</v>
      </c>
      <c r="BI408" s="4">
        <f ca="1">IFERROR(__xludf.DUMMYFUNCTION("""COMPUTED_VALUE"""),4)</f>
        <v>4</v>
      </c>
      <c r="BJ408" s="4">
        <f ca="1">IFERROR(__xludf.DUMMYFUNCTION("""COMPUTED_VALUE"""),4)</f>
        <v>4</v>
      </c>
      <c r="BK408" s="4">
        <f ca="1">IFERROR(__xludf.DUMMYFUNCTION("""COMPUTED_VALUE"""),4)</f>
        <v>4</v>
      </c>
      <c r="BL408" s="4">
        <f ca="1">IFERROR(__xludf.DUMMYFUNCTION("""COMPUTED_VALUE"""),4)</f>
        <v>4</v>
      </c>
      <c r="BM408" s="4">
        <f ca="1">IFERROR(__xludf.DUMMYFUNCTION("""COMPUTED_VALUE"""),4)</f>
        <v>4</v>
      </c>
      <c r="BN408" s="4">
        <f ca="1">IFERROR(__xludf.DUMMYFUNCTION("""COMPUTED_VALUE"""),5)</f>
        <v>5</v>
      </c>
      <c r="BO408" s="4">
        <f ca="1">IFERROR(__xludf.DUMMYFUNCTION("""COMPUTED_VALUE"""),2)</f>
        <v>2</v>
      </c>
      <c r="BP408" s="4">
        <f ca="1">IFERROR(__xludf.DUMMYFUNCTION("""COMPUTED_VALUE"""),3)</f>
        <v>3</v>
      </c>
    </row>
    <row r="409" spans="1:68" ht="13.2" x14ac:dyDescent="0.25">
      <c r="A409" s="4" t="str">
        <f ca="1">IFERROR(__xludf.DUMMYFUNCTION("""COMPUTED_VALUE"""),"2_ABaOnucSSB0dH81T1-WgkqBDOqwdjtCS8BUb8pbANcEnXRDTm7JZiXErabSU2jyG9g")</f>
        <v>2_ABaOnucSSB0dH81T1-WgkqBDOqwdjtCS8BUb8pbANcEnXRDTm7JZiXErabSU2jyG9g</v>
      </c>
      <c r="B409" s="5">
        <f ca="1">IFERROR(__xludf.DUMMYFUNCTION("""COMPUTED_VALUE"""),45988.5478329051)</f>
        <v>45988.547832905097</v>
      </c>
      <c r="C409" s="4" t="str">
        <f ca="1">IFERROR(__xludf.DUMMYFUNCTION("""COMPUTED_VALUE"""),"Lê Quý Hưng")</f>
        <v>Lê Quý Hưng</v>
      </c>
      <c r="D409" s="4" t="str">
        <f ca="1">IFERROR(__xludf.DUMMYFUNCTION("""COMPUTED_VALUE"""),"Nam")</f>
        <v>Nam</v>
      </c>
      <c r="E409" s="4" t="str">
        <f ca="1">IFERROR(__xludf.DUMMYFUNCTION("""COMPUTED_VALUE"""),"Công ty TNHH Kiểm toán Việt Úc")</f>
        <v>Công ty TNHH Kiểm toán Việt Úc</v>
      </c>
      <c r="F409" s="4" t="str">
        <f ca="1">IFERROR(__xludf.DUMMYFUNCTION("""COMPUTED_VALUE"""),"Đại học")</f>
        <v>Đại học</v>
      </c>
      <c r="G409" s="4" t="str">
        <f ca="1">IFERROR(__xludf.DUMMYFUNCTION("""COMPUTED_VALUE"""),"Từ 3 đến 5 năm")</f>
        <v>Từ 3 đến 5 năm</v>
      </c>
      <c r="H409" s="4" t="str">
        <f ca="1">IFERROR(__xludf.DUMMYFUNCTION("""COMPUTED_VALUE"""),"Kiểm toán viên/Trưởng nhóm")</f>
        <v>Kiểm toán viên/Trưởng nhóm</v>
      </c>
      <c r="I409" s="4">
        <f ca="1">IFERROR(__xludf.DUMMYFUNCTION("""COMPUTED_VALUE"""),5)</f>
        <v>5</v>
      </c>
      <c r="J409" s="4">
        <f ca="1">IFERROR(__xludf.DUMMYFUNCTION("""COMPUTED_VALUE"""),5)</f>
        <v>5</v>
      </c>
      <c r="K409" s="4">
        <f ca="1">IFERROR(__xludf.DUMMYFUNCTION("""COMPUTED_VALUE"""),5)</f>
        <v>5</v>
      </c>
      <c r="L409" s="4">
        <f ca="1">IFERROR(__xludf.DUMMYFUNCTION("""COMPUTED_VALUE"""),5)</f>
        <v>5</v>
      </c>
      <c r="M409" s="4">
        <f ca="1">IFERROR(__xludf.DUMMYFUNCTION("""COMPUTED_VALUE"""),5)</f>
        <v>5</v>
      </c>
      <c r="N409" s="4">
        <f ca="1">IFERROR(__xludf.DUMMYFUNCTION("""COMPUTED_VALUE"""),5)</f>
        <v>5</v>
      </c>
      <c r="O409" s="4">
        <f ca="1">IFERROR(__xludf.DUMMYFUNCTION("""COMPUTED_VALUE"""),5)</f>
        <v>5</v>
      </c>
      <c r="P409" s="4">
        <f ca="1">IFERROR(__xludf.DUMMYFUNCTION("""COMPUTED_VALUE"""),5)</f>
        <v>5</v>
      </c>
      <c r="Q409" s="4">
        <f ca="1">IFERROR(__xludf.DUMMYFUNCTION("""COMPUTED_VALUE"""),5)</f>
        <v>5</v>
      </c>
      <c r="R409" s="4">
        <f ca="1">IFERROR(__xludf.DUMMYFUNCTION("""COMPUTED_VALUE"""),5)</f>
        <v>5</v>
      </c>
      <c r="S409" s="4">
        <f ca="1">IFERROR(__xludf.DUMMYFUNCTION("""COMPUTED_VALUE"""),5)</f>
        <v>5</v>
      </c>
      <c r="T409" s="4">
        <f ca="1">IFERROR(__xludf.DUMMYFUNCTION("""COMPUTED_VALUE"""),5)</f>
        <v>5</v>
      </c>
      <c r="U409" s="4">
        <f ca="1">IFERROR(__xludf.DUMMYFUNCTION("""COMPUTED_VALUE"""),5)</f>
        <v>5</v>
      </c>
      <c r="V409" s="4">
        <f ca="1">IFERROR(__xludf.DUMMYFUNCTION("""COMPUTED_VALUE"""),5)</f>
        <v>5</v>
      </c>
      <c r="W409" s="4">
        <f ca="1">IFERROR(__xludf.DUMMYFUNCTION("""COMPUTED_VALUE"""),5)</f>
        <v>5</v>
      </c>
      <c r="X409" s="4">
        <f ca="1">IFERROR(__xludf.DUMMYFUNCTION("""COMPUTED_VALUE"""),5)</f>
        <v>5</v>
      </c>
      <c r="Y409" s="4">
        <f ca="1">IFERROR(__xludf.DUMMYFUNCTION("""COMPUTED_VALUE"""),5)</f>
        <v>5</v>
      </c>
      <c r="Z409" s="4">
        <f ca="1">IFERROR(__xludf.DUMMYFUNCTION("""COMPUTED_VALUE"""),5)</f>
        <v>5</v>
      </c>
      <c r="AA409" s="4">
        <f ca="1">IFERROR(__xludf.DUMMYFUNCTION("""COMPUTED_VALUE"""),5)</f>
        <v>5</v>
      </c>
      <c r="AB409" s="4">
        <f ca="1">IFERROR(__xludf.DUMMYFUNCTION("""COMPUTED_VALUE"""),5)</f>
        <v>5</v>
      </c>
      <c r="AC409" s="4">
        <f ca="1">IFERROR(__xludf.DUMMYFUNCTION("""COMPUTED_VALUE"""),5)</f>
        <v>5</v>
      </c>
      <c r="AD409" s="4">
        <f ca="1">IFERROR(__xludf.DUMMYFUNCTION("""COMPUTED_VALUE"""),5)</f>
        <v>5</v>
      </c>
      <c r="AE409" s="4">
        <f ca="1">IFERROR(__xludf.DUMMYFUNCTION("""COMPUTED_VALUE"""),5)</f>
        <v>5</v>
      </c>
      <c r="AF409" s="4">
        <f ca="1">IFERROR(__xludf.DUMMYFUNCTION("""COMPUTED_VALUE"""),4)</f>
        <v>4</v>
      </c>
      <c r="AG409" s="4">
        <f ca="1">IFERROR(__xludf.DUMMYFUNCTION("""COMPUTED_VALUE"""),4)</f>
        <v>4</v>
      </c>
      <c r="AH409" s="4">
        <f ca="1">IFERROR(__xludf.DUMMYFUNCTION("""COMPUTED_VALUE"""),4)</f>
        <v>4</v>
      </c>
      <c r="AI409" s="4">
        <f ca="1">IFERROR(__xludf.DUMMYFUNCTION("""COMPUTED_VALUE"""),5)</f>
        <v>5</v>
      </c>
      <c r="AJ409" s="4">
        <f ca="1">IFERROR(__xludf.DUMMYFUNCTION("""COMPUTED_VALUE"""),5)</f>
        <v>5</v>
      </c>
      <c r="AK409" s="4">
        <f ca="1">IFERROR(__xludf.DUMMYFUNCTION("""COMPUTED_VALUE"""),5)</f>
        <v>5</v>
      </c>
      <c r="AL409" s="4">
        <f ca="1">IFERROR(__xludf.DUMMYFUNCTION("""COMPUTED_VALUE"""),5)</f>
        <v>5</v>
      </c>
      <c r="AM409" s="4">
        <f ca="1">IFERROR(__xludf.DUMMYFUNCTION("""COMPUTED_VALUE"""),5)</f>
        <v>5</v>
      </c>
      <c r="AN409" s="4">
        <f ca="1">IFERROR(__xludf.DUMMYFUNCTION("""COMPUTED_VALUE"""),5)</f>
        <v>5</v>
      </c>
      <c r="AO409" s="4">
        <f ca="1">IFERROR(__xludf.DUMMYFUNCTION("""COMPUTED_VALUE"""),5)</f>
        <v>5</v>
      </c>
      <c r="AP409" s="4">
        <f ca="1">IFERROR(__xludf.DUMMYFUNCTION("""COMPUTED_VALUE"""),5)</f>
        <v>5</v>
      </c>
      <c r="AQ409" s="4">
        <f ca="1">IFERROR(__xludf.DUMMYFUNCTION("""COMPUTED_VALUE"""),5)</f>
        <v>5</v>
      </c>
      <c r="AR409" s="4">
        <f ca="1">IFERROR(__xludf.DUMMYFUNCTION("""COMPUTED_VALUE"""),5)</f>
        <v>5</v>
      </c>
      <c r="AS409" s="4">
        <f ca="1">IFERROR(__xludf.DUMMYFUNCTION("""COMPUTED_VALUE"""),5)</f>
        <v>5</v>
      </c>
      <c r="AT409" s="4">
        <f ca="1">IFERROR(__xludf.DUMMYFUNCTION("""COMPUTED_VALUE"""),5)</f>
        <v>5</v>
      </c>
      <c r="AU409" s="4">
        <f ca="1">IFERROR(__xludf.DUMMYFUNCTION("""COMPUTED_VALUE"""),5)</f>
        <v>5</v>
      </c>
      <c r="AV409" s="4">
        <f ca="1">IFERROR(__xludf.DUMMYFUNCTION("""COMPUTED_VALUE"""),5)</f>
        <v>5</v>
      </c>
      <c r="AW409" s="4">
        <f ca="1">IFERROR(__xludf.DUMMYFUNCTION("""COMPUTED_VALUE"""),5)</f>
        <v>5</v>
      </c>
      <c r="AX409" s="4">
        <f ca="1">IFERROR(__xludf.DUMMYFUNCTION("""COMPUTED_VALUE"""),5)</f>
        <v>5</v>
      </c>
      <c r="AY409" s="4">
        <f ca="1">IFERROR(__xludf.DUMMYFUNCTION("""COMPUTED_VALUE"""),5)</f>
        <v>5</v>
      </c>
      <c r="AZ409" s="4">
        <f ca="1">IFERROR(__xludf.DUMMYFUNCTION("""COMPUTED_VALUE"""),5)</f>
        <v>5</v>
      </c>
      <c r="BA409" s="4">
        <f ca="1">IFERROR(__xludf.DUMMYFUNCTION("""COMPUTED_VALUE"""),5)</f>
        <v>5</v>
      </c>
      <c r="BB409" s="4">
        <f ca="1">IFERROR(__xludf.DUMMYFUNCTION("""COMPUTED_VALUE"""),5)</f>
        <v>5</v>
      </c>
      <c r="BC409" s="4">
        <f ca="1">IFERROR(__xludf.DUMMYFUNCTION("""COMPUTED_VALUE"""),5)</f>
        <v>5</v>
      </c>
      <c r="BD409" s="4">
        <f ca="1">IFERROR(__xludf.DUMMYFUNCTION("""COMPUTED_VALUE"""),5)</f>
        <v>5</v>
      </c>
      <c r="BE409" s="4">
        <f ca="1">IFERROR(__xludf.DUMMYFUNCTION("""COMPUTED_VALUE"""),5)</f>
        <v>5</v>
      </c>
      <c r="BF409" s="4">
        <f ca="1">IFERROR(__xludf.DUMMYFUNCTION("""COMPUTED_VALUE"""),5)</f>
        <v>5</v>
      </c>
      <c r="BG409" s="4">
        <f ca="1">IFERROR(__xludf.DUMMYFUNCTION("""COMPUTED_VALUE"""),5)</f>
        <v>5</v>
      </c>
      <c r="BH409" s="4">
        <f ca="1">IFERROR(__xludf.DUMMYFUNCTION("""COMPUTED_VALUE"""),5)</f>
        <v>5</v>
      </c>
      <c r="BI409" s="4">
        <f ca="1">IFERROR(__xludf.DUMMYFUNCTION("""COMPUTED_VALUE"""),5)</f>
        <v>5</v>
      </c>
      <c r="BJ409" s="4">
        <f ca="1">IFERROR(__xludf.DUMMYFUNCTION("""COMPUTED_VALUE"""),5)</f>
        <v>5</v>
      </c>
      <c r="BK409" s="4">
        <f ca="1">IFERROR(__xludf.DUMMYFUNCTION("""COMPUTED_VALUE"""),5)</f>
        <v>5</v>
      </c>
      <c r="BL409" s="4">
        <f ca="1">IFERROR(__xludf.DUMMYFUNCTION("""COMPUTED_VALUE"""),5)</f>
        <v>5</v>
      </c>
      <c r="BM409" s="4">
        <f ca="1">IFERROR(__xludf.DUMMYFUNCTION("""COMPUTED_VALUE"""),5)</f>
        <v>5</v>
      </c>
      <c r="BN409" s="4">
        <f ca="1">IFERROR(__xludf.DUMMYFUNCTION("""COMPUTED_VALUE"""),5)</f>
        <v>5</v>
      </c>
      <c r="BO409" s="4">
        <f ca="1">IFERROR(__xludf.DUMMYFUNCTION("""COMPUTED_VALUE"""),5)</f>
        <v>5</v>
      </c>
      <c r="BP409" s="4">
        <f ca="1">IFERROR(__xludf.DUMMYFUNCTION("""COMPUTED_VALUE"""),5)</f>
        <v>5</v>
      </c>
    </row>
    <row r="410" spans="1:68" ht="13.2" x14ac:dyDescent="0.25">
      <c r="A410" s="4" t="str">
        <f ca="1">IFERROR(__xludf.DUMMYFUNCTION("""COMPUTED_VALUE"""),"2_ABaOnueqxBu5affu5ngdT3G37n_RweGzRnMzG8i36DqzDumxaKkS7grpkRWOpej2xA")</f>
        <v>2_ABaOnueqxBu5affu5ngdT3G37n_RweGzRnMzG8i36DqzDumxaKkS7grpkRWOpej2xA</v>
      </c>
      <c r="B410" s="5">
        <f ca="1">IFERROR(__xludf.DUMMYFUNCTION("""COMPUTED_VALUE"""),45988.550306655)</f>
        <v>45988.550306655001</v>
      </c>
      <c r="C410" s="4" t="str">
        <f ca="1">IFERROR(__xludf.DUMMYFUNCTION("""COMPUTED_VALUE"""),"Nguyễn Việt Thái ")</f>
        <v xml:space="preserve">Nguyễn Việt Thái </v>
      </c>
      <c r="D410" s="4" t="str">
        <f ca="1">IFERROR(__xludf.DUMMYFUNCTION("""COMPUTED_VALUE"""),"Nam")</f>
        <v>Nam</v>
      </c>
      <c r="E410" s="4" t="str">
        <f ca="1">IFERROR(__xludf.DUMMYFUNCTION("""COMPUTED_VALUE"""),"Công ty TNHH Kiểm toán AS")</f>
        <v>Công ty TNHH Kiểm toán AS</v>
      </c>
      <c r="F410" s="4" t="str">
        <f ca="1">IFERROR(__xludf.DUMMYFUNCTION("""COMPUTED_VALUE"""),"Đại học")</f>
        <v>Đại học</v>
      </c>
      <c r="G410" s="4" t="str">
        <f ca="1">IFERROR(__xludf.DUMMYFUNCTION("""COMPUTED_VALUE"""),"Từ 3 đến 5 năm")</f>
        <v>Từ 3 đến 5 năm</v>
      </c>
      <c r="H410" s="4" t="str">
        <f ca="1">IFERROR(__xludf.DUMMYFUNCTION("""COMPUTED_VALUE"""),"Trợ lý kiểm toán")</f>
        <v>Trợ lý kiểm toán</v>
      </c>
      <c r="I410" s="4">
        <f ca="1">IFERROR(__xludf.DUMMYFUNCTION("""COMPUTED_VALUE"""),3)</f>
        <v>3</v>
      </c>
      <c r="J410" s="4">
        <f ca="1">IFERROR(__xludf.DUMMYFUNCTION("""COMPUTED_VALUE"""),4)</f>
        <v>4</v>
      </c>
      <c r="K410" s="4">
        <f ca="1">IFERROR(__xludf.DUMMYFUNCTION("""COMPUTED_VALUE"""),5)</f>
        <v>5</v>
      </c>
      <c r="L410" s="4">
        <f ca="1">IFERROR(__xludf.DUMMYFUNCTION("""COMPUTED_VALUE"""),4)</f>
        <v>4</v>
      </c>
      <c r="M410" s="4">
        <f ca="1">IFERROR(__xludf.DUMMYFUNCTION("""COMPUTED_VALUE"""),3)</f>
        <v>3</v>
      </c>
      <c r="N410" s="4">
        <f ca="1">IFERROR(__xludf.DUMMYFUNCTION("""COMPUTED_VALUE"""),5)</f>
        <v>5</v>
      </c>
      <c r="O410" s="4">
        <f ca="1">IFERROR(__xludf.DUMMYFUNCTION("""COMPUTED_VALUE"""),4)</f>
        <v>4</v>
      </c>
      <c r="P410" s="4">
        <f ca="1">IFERROR(__xludf.DUMMYFUNCTION("""COMPUTED_VALUE"""),4)</f>
        <v>4</v>
      </c>
      <c r="Q410" s="4">
        <f ca="1">IFERROR(__xludf.DUMMYFUNCTION("""COMPUTED_VALUE"""),5)</f>
        <v>5</v>
      </c>
      <c r="R410" s="4">
        <f ca="1">IFERROR(__xludf.DUMMYFUNCTION("""COMPUTED_VALUE"""),5)</f>
        <v>5</v>
      </c>
      <c r="S410" s="4">
        <f ca="1">IFERROR(__xludf.DUMMYFUNCTION("""COMPUTED_VALUE"""),5)</f>
        <v>5</v>
      </c>
      <c r="T410" s="4">
        <f ca="1">IFERROR(__xludf.DUMMYFUNCTION("""COMPUTED_VALUE"""),4)</f>
        <v>4</v>
      </c>
      <c r="U410" s="4">
        <f ca="1">IFERROR(__xludf.DUMMYFUNCTION("""COMPUTED_VALUE"""),3)</f>
        <v>3</v>
      </c>
      <c r="V410" s="4">
        <f ca="1">IFERROR(__xludf.DUMMYFUNCTION("""COMPUTED_VALUE"""),4)</f>
        <v>4</v>
      </c>
      <c r="W410" s="4">
        <f ca="1">IFERROR(__xludf.DUMMYFUNCTION("""COMPUTED_VALUE"""),4)</f>
        <v>4</v>
      </c>
      <c r="X410" s="4">
        <f ca="1">IFERROR(__xludf.DUMMYFUNCTION("""COMPUTED_VALUE"""),5)</f>
        <v>5</v>
      </c>
      <c r="Y410" s="4">
        <f ca="1">IFERROR(__xludf.DUMMYFUNCTION("""COMPUTED_VALUE"""),4)</f>
        <v>4</v>
      </c>
      <c r="Z410" s="4">
        <f ca="1">IFERROR(__xludf.DUMMYFUNCTION("""COMPUTED_VALUE"""),5)</f>
        <v>5</v>
      </c>
      <c r="AA410" s="4">
        <f ca="1">IFERROR(__xludf.DUMMYFUNCTION("""COMPUTED_VALUE"""),4)</f>
        <v>4</v>
      </c>
      <c r="AB410" s="4">
        <f ca="1">IFERROR(__xludf.DUMMYFUNCTION("""COMPUTED_VALUE"""),4)</f>
        <v>4</v>
      </c>
      <c r="AC410" s="4">
        <f ca="1">IFERROR(__xludf.DUMMYFUNCTION("""COMPUTED_VALUE"""),4)</f>
        <v>4</v>
      </c>
      <c r="AD410" s="4">
        <f ca="1">IFERROR(__xludf.DUMMYFUNCTION("""COMPUTED_VALUE"""),3)</f>
        <v>3</v>
      </c>
      <c r="AE410" s="4">
        <f ca="1">IFERROR(__xludf.DUMMYFUNCTION("""COMPUTED_VALUE"""),3)</f>
        <v>3</v>
      </c>
      <c r="AF410" s="4">
        <f ca="1">IFERROR(__xludf.DUMMYFUNCTION("""COMPUTED_VALUE"""),1)</f>
        <v>1</v>
      </c>
      <c r="AG410" s="4">
        <f ca="1">IFERROR(__xludf.DUMMYFUNCTION("""COMPUTED_VALUE"""),2)</f>
        <v>2</v>
      </c>
      <c r="AH410" s="4">
        <f ca="1">IFERROR(__xludf.DUMMYFUNCTION("""COMPUTED_VALUE"""),4)</f>
        <v>4</v>
      </c>
      <c r="AI410" s="4">
        <f ca="1">IFERROR(__xludf.DUMMYFUNCTION("""COMPUTED_VALUE"""),4)</f>
        <v>4</v>
      </c>
      <c r="AJ410" s="4">
        <f ca="1">IFERROR(__xludf.DUMMYFUNCTION("""COMPUTED_VALUE"""),4)</f>
        <v>4</v>
      </c>
      <c r="AK410" s="4">
        <f ca="1">IFERROR(__xludf.DUMMYFUNCTION("""COMPUTED_VALUE"""),5)</f>
        <v>5</v>
      </c>
      <c r="AL410" s="4">
        <f ca="1">IFERROR(__xludf.DUMMYFUNCTION("""COMPUTED_VALUE"""),4)</f>
        <v>4</v>
      </c>
      <c r="AM410" s="4">
        <f ca="1">IFERROR(__xludf.DUMMYFUNCTION("""COMPUTED_VALUE"""),3)</f>
        <v>3</v>
      </c>
      <c r="AN410" s="4">
        <f ca="1">IFERROR(__xludf.DUMMYFUNCTION("""COMPUTED_VALUE"""),4)</f>
        <v>4</v>
      </c>
      <c r="AO410" s="4">
        <f ca="1">IFERROR(__xludf.DUMMYFUNCTION("""COMPUTED_VALUE"""),4)</f>
        <v>4</v>
      </c>
      <c r="AP410" s="4">
        <f ca="1">IFERROR(__xludf.DUMMYFUNCTION("""COMPUTED_VALUE"""),5)</f>
        <v>5</v>
      </c>
      <c r="AQ410" s="4">
        <f ca="1">IFERROR(__xludf.DUMMYFUNCTION("""COMPUTED_VALUE"""),4)</f>
        <v>4</v>
      </c>
      <c r="AR410" s="4">
        <f ca="1">IFERROR(__xludf.DUMMYFUNCTION("""COMPUTED_VALUE"""),3)</f>
        <v>3</v>
      </c>
      <c r="AS410" s="4">
        <f ca="1">IFERROR(__xludf.DUMMYFUNCTION("""COMPUTED_VALUE"""),4)</f>
        <v>4</v>
      </c>
      <c r="AT410" s="4">
        <f ca="1">IFERROR(__xludf.DUMMYFUNCTION("""COMPUTED_VALUE"""),3)</f>
        <v>3</v>
      </c>
      <c r="AU410" s="4">
        <f ca="1">IFERROR(__xludf.DUMMYFUNCTION("""COMPUTED_VALUE"""),3)</f>
        <v>3</v>
      </c>
      <c r="AV410" s="4">
        <f ca="1">IFERROR(__xludf.DUMMYFUNCTION("""COMPUTED_VALUE"""),4)</f>
        <v>4</v>
      </c>
      <c r="AW410" s="4">
        <f ca="1">IFERROR(__xludf.DUMMYFUNCTION("""COMPUTED_VALUE"""),3)</f>
        <v>3</v>
      </c>
      <c r="AX410" s="4">
        <f ca="1">IFERROR(__xludf.DUMMYFUNCTION("""COMPUTED_VALUE"""),5)</f>
        <v>5</v>
      </c>
      <c r="AY410" s="4">
        <f ca="1">IFERROR(__xludf.DUMMYFUNCTION("""COMPUTED_VALUE"""),5)</f>
        <v>5</v>
      </c>
      <c r="AZ410" s="4">
        <f ca="1">IFERROR(__xludf.DUMMYFUNCTION("""COMPUTED_VALUE"""),5)</f>
        <v>5</v>
      </c>
      <c r="BA410" s="4">
        <f ca="1">IFERROR(__xludf.DUMMYFUNCTION("""COMPUTED_VALUE"""),3)</f>
        <v>3</v>
      </c>
      <c r="BB410" s="4">
        <f ca="1">IFERROR(__xludf.DUMMYFUNCTION("""COMPUTED_VALUE"""),4)</f>
        <v>4</v>
      </c>
      <c r="BC410" s="4">
        <f ca="1">IFERROR(__xludf.DUMMYFUNCTION("""COMPUTED_VALUE"""),5)</f>
        <v>5</v>
      </c>
      <c r="BD410" s="4">
        <f ca="1">IFERROR(__xludf.DUMMYFUNCTION("""COMPUTED_VALUE"""),4)</f>
        <v>4</v>
      </c>
      <c r="BE410" s="4">
        <f ca="1">IFERROR(__xludf.DUMMYFUNCTION("""COMPUTED_VALUE"""),3)</f>
        <v>3</v>
      </c>
      <c r="BF410" s="4">
        <f ca="1">IFERROR(__xludf.DUMMYFUNCTION("""COMPUTED_VALUE"""),4)</f>
        <v>4</v>
      </c>
      <c r="BG410" s="4">
        <f ca="1">IFERROR(__xludf.DUMMYFUNCTION("""COMPUTED_VALUE"""),4)</f>
        <v>4</v>
      </c>
      <c r="BH410" s="4">
        <f ca="1">IFERROR(__xludf.DUMMYFUNCTION("""COMPUTED_VALUE"""),4)</f>
        <v>4</v>
      </c>
      <c r="BI410" s="4">
        <f ca="1">IFERROR(__xludf.DUMMYFUNCTION("""COMPUTED_VALUE"""),5)</f>
        <v>5</v>
      </c>
      <c r="BJ410" s="4">
        <f ca="1">IFERROR(__xludf.DUMMYFUNCTION("""COMPUTED_VALUE"""),4)</f>
        <v>4</v>
      </c>
      <c r="BK410" s="4">
        <f ca="1">IFERROR(__xludf.DUMMYFUNCTION("""COMPUTED_VALUE"""),4)</f>
        <v>4</v>
      </c>
      <c r="BL410" s="4">
        <f ca="1">IFERROR(__xludf.DUMMYFUNCTION("""COMPUTED_VALUE"""),3)</f>
        <v>3</v>
      </c>
      <c r="BM410" s="4">
        <f ca="1">IFERROR(__xludf.DUMMYFUNCTION("""COMPUTED_VALUE"""),3)</f>
        <v>3</v>
      </c>
      <c r="BN410" s="4">
        <f ca="1">IFERROR(__xludf.DUMMYFUNCTION("""COMPUTED_VALUE"""),5)</f>
        <v>5</v>
      </c>
      <c r="BO410" s="4">
        <f ca="1">IFERROR(__xludf.DUMMYFUNCTION("""COMPUTED_VALUE"""),5)</f>
        <v>5</v>
      </c>
      <c r="BP410" s="4">
        <f ca="1">IFERROR(__xludf.DUMMYFUNCTION("""COMPUTED_VALUE"""),5)</f>
        <v>5</v>
      </c>
    </row>
    <row r="411" spans="1:68" ht="13.2" x14ac:dyDescent="0.25">
      <c r="A411" s="4" t="str">
        <f ca="1">IFERROR(__xludf.DUMMYFUNCTION("""COMPUTED_VALUE"""),"2_ABaOnucUYRtqz7MaW4LEB4O8jlVTuA4_R81eEpAyjmiuznfwk5Zo-cHGNRd78UB0Fw")</f>
        <v>2_ABaOnucUYRtqz7MaW4LEB4O8jlVTuA4_R81eEpAyjmiuznfwk5Zo-cHGNRd78UB0Fw</v>
      </c>
      <c r="B411" s="5">
        <f ca="1">IFERROR(__xludf.DUMMYFUNCTION("""COMPUTED_VALUE"""),45988.5564793981)</f>
        <v>45988.556479398103</v>
      </c>
      <c r="C411" s="4" t="str">
        <f ca="1">IFERROR(__xludf.DUMMYFUNCTION("""COMPUTED_VALUE"""),"Phạm Đức Bảo")</f>
        <v>Phạm Đức Bảo</v>
      </c>
      <c r="D411" s="4" t="str">
        <f ca="1">IFERROR(__xludf.DUMMYFUNCTION("""COMPUTED_VALUE"""),"Nam")</f>
        <v>Nam</v>
      </c>
      <c r="E411" s="4" t="str">
        <f ca="1">IFERROR(__xludf.DUMMYFUNCTION("""COMPUTED_VALUE"""),"Công ty TNHH Kiểm toán NVA")</f>
        <v>Công ty TNHH Kiểm toán NVA</v>
      </c>
      <c r="F411" s="4" t="str">
        <f ca="1">IFERROR(__xludf.DUMMYFUNCTION("""COMPUTED_VALUE"""),"Đại học")</f>
        <v>Đại học</v>
      </c>
      <c r="G411" s="4" t="str">
        <f ca="1">IFERROR(__xludf.DUMMYFUNCTION("""COMPUTED_VALUE"""),"Trên 10 đến 15 năm")</f>
        <v>Trên 10 đến 15 năm</v>
      </c>
      <c r="H411" s="4" t="str">
        <f ca="1">IFERROR(__xludf.DUMMYFUNCTION("""COMPUTED_VALUE"""),"Trưởng phòng")</f>
        <v>Trưởng phòng</v>
      </c>
      <c r="I411" s="4">
        <f ca="1">IFERROR(__xludf.DUMMYFUNCTION("""COMPUTED_VALUE"""),5)</f>
        <v>5</v>
      </c>
      <c r="J411" s="4">
        <f ca="1">IFERROR(__xludf.DUMMYFUNCTION("""COMPUTED_VALUE"""),4)</f>
        <v>4</v>
      </c>
      <c r="K411" s="4">
        <f ca="1">IFERROR(__xludf.DUMMYFUNCTION("""COMPUTED_VALUE"""),4)</f>
        <v>4</v>
      </c>
      <c r="L411" s="4">
        <f ca="1">IFERROR(__xludf.DUMMYFUNCTION("""COMPUTED_VALUE"""),4)</f>
        <v>4</v>
      </c>
      <c r="M411" s="4">
        <f ca="1">IFERROR(__xludf.DUMMYFUNCTION("""COMPUTED_VALUE"""),4)</f>
        <v>4</v>
      </c>
      <c r="N411" s="4">
        <f ca="1">IFERROR(__xludf.DUMMYFUNCTION("""COMPUTED_VALUE"""),3)</f>
        <v>3</v>
      </c>
      <c r="O411" s="4">
        <f ca="1">IFERROR(__xludf.DUMMYFUNCTION("""COMPUTED_VALUE"""),3)</f>
        <v>3</v>
      </c>
      <c r="P411" s="4">
        <f ca="1">IFERROR(__xludf.DUMMYFUNCTION("""COMPUTED_VALUE"""),4)</f>
        <v>4</v>
      </c>
      <c r="Q411" s="4">
        <f ca="1">IFERROR(__xludf.DUMMYFUNCTION("""COMPUTED_VALUE"""),4)</f>
        <v>4</v>
      </c>
      <c r="R411" s="4">
        <f ca="1">IFERROR(__xludf.DUMMYFUNCTION("""COMPUTED_VALUE"""),4)</f>
        <v>4</v>
      </c>
      <c r="S411" s="4">
        <f ca="1">IFERROR(__xludf.DUMMYFUNCTION("""COMPUTED_VALUE"""),4)</f>
        <v>4</v>
      </c>
      <c r="T411" s="4">
        <f ca="1">IFERROR(__xludf.DUMMYFUNCTION("""COMPUTED_VALUE"""),4)</f>
        <v>4</v>
      </c>
      <c r="U411" s="4">
        <f ca="1">IFERROR(__xludf.DUMMYFUNCTION("""COMPUTED_VALUE"""),4)</f>
        <v>4</v>
      </c>
      <c r="V411" s="4">
        <f ca="1">IFERROR(__xludf.DUMMYFUNCTION("""COMPUTED_VALUE"""),4)</f>
        <v>4</v>
      </c>
      <c r="W411" s="4">
        <f ca="1">IFERROR(__xludf.DUMMYFUNCTION("""COMPUTED_VALUE"""),3)</f>
        <v>3</v>
      </c>
      <c r="X411" s="4">
        <f ca="1">IFERROR(__xludf.DUMMYFUNCTION("""COMPUTED_VALUE"""),3)</f>
        <v>3</v>
      </c>
      <c r="Y411" s="4">
        <f ca="1">IFERROR(__xludf.DUMMYFUNCTION("""COMPUTED_VALUE"""),3)</f>
        <v>3</v>
      </c>
      <c r="Z411" s="4">
        <f ca="1">IFERROR(__xludf.DUMMYFUNCTION("""COMPUTED_VALUE"""),3)</f>
        <v>3</v>
      </c>
      <c r="AA411" s="4">
        <f ca="1">IFERROR(__xludf.DUMMYFUNCTION("""COMPUTED_VALUE"""),3)</f>
        <v>3</v>
      </c>
      <c r="AB411" s="4">
        <f ca="1">IFERROR(__xludf.DUMMYFUNCTION("""COMPUTED_VALUE"""),4)</f>
        <v>4</v>
      </c>
      <c r="AC411" s="4">
        <f ca="1">IFERROR(__xludf.DUMMYFUNCTION("""COMPUTED_VALUE"""),4)</f>
        <v>4</v>
      </c>
      <c r="AD411" s="4">
        <f ca="1">IFERROR(__xludf.DUMMYFUNCTION("""COMPUTED_VALUE"""),4)</f>
        <v>4</v>
      </c>
      <c r="AE411" s="4">
        <f ca="1">IFERROR(__xludf.DUMMYFUNCTION("""COMPUTED_VALUE"""),4)</f>
        <v>4</v>
      </c>
      <c r="AF411" s="4">
        <f ca="1">IFERROR(__xludf.DUMMYFUNCTION("""COMPUTED_VALUE"""),4)</f>
        <v>4</v>
      </c>
      <c r="AG411" s="4">
        <f ca="1">IFERROR(__xludf.DUMMYFUNCTION("""COMPUTED_VALUE"""),4)</f>
        <v>4</v>
      </c>
      <c r="AH411" s="4">
        <f ca="1">IFERROR(__xludf.DUMMYFUNCTION("""COMPUTED_VALUE"""),4)</f>
        <v>4</v>
      </c>
      <c r="AI411" s="4">
        <f ca="1">IFERROR(__xludf.DUMMYFUNCTION("""COMPUTED_VALUE"""),3)</f>
        <v>3</v>
      </c>
      <c r="AJ411" s="4">
        <f ca="1">IFERROR(__xludf.DUMMYFUNCTION("""COMPUTED_VALUE"""),4)</f>
        <v>4</v>
      </c>
      <c r="AK411" s="4">
        <f ca="1">IFERROR(__xludf.DUMMYFUNCTION("""COMPUTED_VALUE"""),4)</f>
        <v>4</v>
      </c>
      <c r="AL411" s="4">
        <f ca="1">IFERROR(__xludf.DUMMYFUNCTION("""COMPUTED_VALUE"""),4)</f>
        <v>4</v>
      </c>
      <c r="AM411" s="4">
        <f ca="1">IFERROR(__xludf.DUMMYFUNCTION("""COMPUTED_VALUE"""),4)</f>
        <v>4</v>
      </c>
      <c r="AN411" s="4">
        <f ca="1">IFERROR(__xludf.DUMMYFUNCTION("""COMPUTED_VALUE"""),4)</f>
        <v>4</v>
      </c>
      <c r="AO411" s="4">
        <f ca="1">IFERROR(__xludf.DUMMYFUNCTION("""COMPUTED_VALUE"""),3)</f>
        <v>3</v>
      </c>
      <c r="AP411" s="4">
        <f ca="1">IFERROR(__xludf.DUMMYFUNCTION("""COMPUTED_VALUE"""),3)</f>
        <v>3</v>
      </c>
      <c r="AQ411" s="4">
        <f ca="1">IFERROR(__xludf.DUMMYFUNCTION("""COMPUTED_VALUE"""),3)</f>
        <v>3</v>
      </c>
      <c r="AR411" s="4">
        <f ca="1">IFERROR(__xludf.DUMMYFUNCTION("""COMPUTED_VALUE"""),3)</f>
        <v>3</v>
      </c>
      <c r="AS411" s="4">
        <f ca="1">IFERROR(__xludf.DUMMYFUNCTION("""COMPUTED_VALUE"""),3)</f>
        <v>3</v>
      </c>
      <c r="AT411" s="4">
        <f ca="1">IFERROR(__xludf.DUMMYFUNCTION("""COMPUTED_VALUE"""),2)</f>
        <v>2</v>
      </c>
      <c r="AU411" s="4">
        <f ca="1">IFERROR(__xludf.DUMMYFUNCTION("""COMPUTED_VALUE"""),4)</f>
        <v>4</v>
      </c>
      <c r="AV411" s="4">
        <f ca="1">IFERROR(__xludf.DUMMYFUNCTION("""COMPUTED_VALUE"""),4)</f>
        <v>4</v>
      </c>
      <c r="AW411" s="4">
        <f ca="1">IFERROR(__xludf.DUMMYFUNCTION("""COMPUTED_VALUE"""),4)</f>
        <v>4</v>
      </c>
      <c r="AX411" s="4">
        <f ca="1">IFERROR(__xludf.DUMMYFUNCTION("""COMPUTED_VALUE"""),4)</f>
        <v>4</v>
      </c>
      <c r="AY411" s="4">
        <f ca="1">IFERROR(__xludf.DUMMYFUNCTION("""COMPUTED_VALUE"""),4)</f>
        <v>4</v>
      </c>
      <c r="AZ411" s="4">
        <f ca="1">IFERROR(__xludf.DUMMYFUNCTION("""COMPUTED_VALUE"""),4)</f>
        <v>4</v>
      </c>
      <c r="BA411" s="4">
        <f ca="1">IFERROR(__xludf.DUMMYFUNCTION("""COMPUTED_VALUE"""),4)</f>
        <v>4</v>
      </c>
      <c r="BB411" s="4">
        <f ca="1">IFERROR(__xludf.DUMMYFUNCTION("""COMPUTED_VALUE"""),4)</f>
        <v>4</v>
      </c>
      <c r="BC411" s="4">
        <f ca="1">IFERROR(__xludf.DUMMYFUNCTION("""COMPUTED_VALUE"""),4)</f>
        <v>4</v>
      </c>
      <c r="BD411" s="4">
        <f ca="1">IFERROR(__xludf.DUMMYFUNCTION("""COMPUTED_VALUE"""),4)</f>
        <v>4</v>
      </c>
      <c r="BE411" s="4">
        <f ca="1">IFERROR(__xludf.DUMMYFUNCTION("""COMPUTED_VALUE"""),4)</f>
        <v>4</v>
      </c>
      <c r="BF411" s="4">
        <f ca="1">IFERROR(__xludf.DUMMYFUNCTION("""COMPUTED_VALUE"""),4)</f>
        <v>4</v>
      </c>
      <c r="BG411" s="4">
        <f ca="1">IFERROR(__xludf.DUMMYFUNCTION("""COMPUTED_VALUE"""),4)</f>
        <v>4</v>
      </c>
      <c r="BH411" s="4">
        <f ca="1">IFERROR(__xludf.DUMMYFUNCTION("""COMPUTED_VALUE"""),4)</f>
        <v>4</v>
      </c>
      <c r="BI411" s="4">
        <f ca="1">IFERROR(__xludf.DUMMYFUNCTION("""COMPUTED_VALUE"""),4)</f>
        <v>4</v>
      </c>
      <c r="BJ411" s="4">
        <f ca="1">IFERROR(__xludf.DUMMYFUNCTION("""COMPUTED_VALUE"""),4)</f>
        <v>4</v>
      </c>
      <c r="BK411" s="4">
        <f ca="1">IFERROR(__xludf.DUMMYFUNCTION("""COMPUTED_VALUE"""),4)</f>
        <v>4</v>
      </c>
      <c r="BL411" s="4">
        <f ca="1">IFERROR(__xludf.DUMMYFUNCTION("""COMPUTED_VALUE"""),4)</f>
        <v>4</v>
      </c>
      <c r="BM411" s="4">
        <f ca="1">IFERROR(__xludf.DUMMYFUNCTION("""COMPUTED_VALUE"""),4)</f>
        <v>4</v>
      </c>
      <c r="BN411" s="4">
        <f ca="1">IFERROR(__xludf.DUMMYFUNCTION("""COMPUTED_VALUE"""),4)</f>
        <v>4</v>
      </c>
      <c r="BO411" s="4">
        <f ca="1">IFERROR(__xludf.DUMMYFUNCTION("""COMPUTED_VALUE"""),4)</f>
        <v>4</v>
      </c>
      <c r="BP411" s="4">
        <f ca="1">IFERROR(__xludf.DUMMYFUNCTION("""COMPUTED_VALUE"""),4)</f>
        <v>4</v>
      </c>
    </row>
    <row r="412" spans="1:68" ht="13.2" x14ac:dyDescent="0.25">
      <c r="A412" s="4" t="str">
        <f ca="1">IFERROR(__xludf.DUMMYFUNCTION("""COMPUTED_VALUE"""),"2_ABaOnudL4XQgDGSzdZsXtSbaTAoxYRXyy2Gw__TiaxilGvpuoGa4SwL9vKUf6dThmg")</f>
        <v>2_ABaOnudL4XQgDGSzdZsXtSbaTAoxYRXyy2Gw__TiaxilGvpuoGa4SwL9vKUf6dThmg</v>
      </c>
      <c r="B412" s="5">
        <f ca="1">IFERROR(__xludf.DUMMYFUNCTION("""COMPUTED_VALUE"""),45988.5606868055)</f>
        <v>45988.560686805497</v>
      </c>
      <c r="C412" s="4" t="str">
        <f ca="1">IFERROR(__xludf.DUMMYFUNCTION("""COMPUTED_VALUE"""),"Lã Thị Thu Phương")</f>
        <v>Lã Thị Thu Phương</v>
      </c>
      <c r="D412" s="4" t="str">
        <f ca="1">IFERROR(__xludf.DUMMYFUNCTION("""COMPUTED_VALUE"""),"Nữ")</f>
        <v>Nữ</v>
      </c>
      <c r="E412" s="4" t="str">
        <f ca="1">IFERROR(__xludf.DUMMYFUNCTION("""COMPUTED_VALUE"""),"Chi nhánh Công ty TNHH Kiểm toán NVA")</f>
        <v>Chi nhánh Công ty TNHH Kiểm toán NVA</v>
      </c>
      <c r="F412" s="4" t="str">
        <f ca="1">IFERROR(__xludf.DUMMYFUNCTION("""COMPUTED_VALUE"""),"Đại học")</f>
        <v>Đại học</v>
      </c>
      <c r="G412" s="4" t="str">
        <f ca="1">IFERROR(__xludf.DUMMYFUNCTION("""COMPUTED_VALUE"""),"Từ 3 đến 5 năm")</f>
        <v>Từ 3 đến 5 năm</v>
      </c>
      <c r="H412" s="4" t="str">
        <f ca="1">IFERROR(__xludf.DUMMYFUNCTION("""COMPUTED_VALUE"""),"Trợ lý kiểm toán")</f>
        <v>Trợ lý kiểm toán</v>
      </c>
      <c r="I412" s="4">
        <f ca="1">IFERROR(__xludf.DUMMYFUNCTION("""COMPUTED_VALUE"""),5)</f>
        <v>5</v>
      </c>
      <c r="J412" s="4">
        <f ca="1">IFERROR(__xludf.DUMMYFUNCTION("""COMPUTED_VALUE"""),5)</f>
        <v>5</v>
      </c>
      <c r="K412" s="4">
        <f ca="1">IFERROR(__xludf.DUMMYFUNCTION("""COMPUTED_VALUE"""),5)</f>
        <v>5</v>
      </c>
      <c r="L412" s="4">
        <f ca="1">IFERROR(__xludf.DUMMYFUNCTION("""COMPUTED_VALUE"""),4)</f>
        <v>4</v>
      </c>
      <c r="M412" s="4">
        <f ca="1">IFERROR(__xludf.DUMMYFUNCTION("""COMPUTED_VALUE"""),4)</f>
        <v>4</v>
      </c>
      <c r="N412" s="4">
        <f ca="1">IFERROR(__xludf.DUMMYFUNCTION("""COMPUTED_VALUE"""),3)</f>
        <v>3</v>
      </c>
      <c r="O412" s="4">
        <f ca="1">IFERROR(__xludf.DUMMYFUNCTION("""COMPUTED_VALUE"""),3)</f>
        <v>3</v>
      </c>
      <c r="P412" s="4">
        <f ca="1">IFERROR(__xludf.DUMMYFUNCTION("""COMPUTED_VALUE"""),4)</f>
        <v>4</v>
      </c>
      <c r="Q412" s="4">
        <f ca="1">IFERROR(__xludf.DUMMYFUNCTION("""COMPUTED_VALUE"""),4)</f>
        <v>4</v>
      </c>
      <c r="R412" s="4">
        <f ca="1">IFERROR(__xludf.DUMMYFUNCTION("""COMPUTED_VALUE"""),5)</f>
        <v>5</v>
      </c>
      <c r="S412" s="4">
        <f ca="1">IFERROR(__xludf.DUMMYFUNCTION("""COMPUTED_VALUE"""),5)</f>
        <v>5</v>
      </c>
      <c r="T412" s="4">
        <f ca="1">IFERROR(__xludf.DUMMYFUNCTION("""COMPUTED_VALUE"""),5)</f>
        <v>5</v>
      </c>
      <c r="U412" s="4">
        <f ca="1">IFERROR(__xludf.DUMMYFUNCTION("""COMPUTED_VALUE"""),4)</f>
        <v>4</v>
      </c>
      <c r="V412" s="4">
        <f ca="1">IFERROR(__xludf.DUMMYFUNCTION("""COMPUTED_VALUE"""),5)</f>
        <v>5</v>
      </c>
      <c r="W412" s="4">
        <f ca="1">IFERROR(__xludf.DUMMYFUNCTION("""COMPUTED_VALUE"""),4)</f>
        <v>4</v>
      </c>
      <c r="X412" s="4">
        <f ca="1">IFERROR(__xludf.DUMMYFUNCTION("""COMPUTED_VALUE"""),3)</f>
        <v>3</v>
      </c>
      <c r="Y412" s="4">
        <f ca="1">IFERROR(__xludf.DUMMYFUNCTION("""COMPUTED_VALUE"""),3)</f>
        <v>3</v>
      </c>
      <c r="Z412" s="4">
        <f ca="1">IFERROR(__xludf.DUMMYFUNCTION("""COMPUTED_VALUE"""),4)</f>
        <v>4</v>
      </c>
      <c r="AA412" s="4">
        <f ca="1">IFERROR(__xludf.DUMMYFUNCTION("""COMPUTED_VALUE"""),3)</f>
        <v>3</v>
      </c>
      <c r="AB412" s="4">
        <f ca="1">IFERROR(__xludf.DUMMYFUNCTION("""COMPUTED_VALUE"""),4)</f>
        <v>4</v>
      </c>
      <c r="AC412" s="4">
        <f ca="1">IFERROR(__xludf.DUMMYFUNCTION("""COMPUTED_VALUE"""),4)</f>
        <v>4</v>
      </c>
      <c r="AD412" s="4">
        <f ca="1">IFERROR(__xludf.DUMMYFUNCTION("""COMPUTED_VALUE"""),4)</f>
        <v>4</v>
      </c>
      <c r="AE412" s="4">
        <f ca="1">IFERROR(__xludf.DUMMYFUNCTION("""COMPUTED_VALUE"""),4)</f>
        <v>4</v>
      </c>
      <c r="AF412" s="4">
        <f ca="1">IFERROR(__xludf.DUMMYFUNCTION("""COMPUTED_VALUE"""),5)</f>
        <v>5</v>
      </c>
      <c r="AG412" s="4">
        <f ca="1">IFERROR(__xludf.DUMMYFUNCTION("""COMPUTED_VALUE"""),5)</f>
        <v>5</v>
      </c>
      <c r="AH412" s="4">
        <f ca="1">IFERROR(__xludf.DUMMYFUNCTION("""COMPUTED_VALUE"""),5)</f>
        <v>5</v>
      </c>
      <c r="AI412" s="4">
        <f ca="1">IFERROR(__xludf.DUMMYFUNCTION("""COMPUTED_VALUE"""),5)</f>
        <v>5</v>
      </c>
      <c r="AJ412" s="4">
        <f ca="1">IFERROR(__xludf.DUMMYFUNCTION("""COMPUTED_VALUE"""),3)</f>
        <v>3</v>
      </c>
      <c r="AK412" s="4">
        <f ca="1">IFERROR(__xludf.DUMMYFUNCTION("""COMPUTED_VALUE"""),4)</f>
        <v>4</v>
      </c>
      <c r="AL412" s="4">
        <f ca="1">IFERROR(__xludf.DUMMYFUNCTION("""COMPUTED_VALUE"""),4)</f>
        <v>4</v>
      </c>
      <c r="AM412" s="4">
        <f ca="1">IFERROR(__xludf.DUMMYFUNCTION("""COMPUTED_VALUE"""),3)</f>
        <v>3</v>
      </c>
      <c r="AN412" s="4">
        <f ca="1">IFERROR(__xludf.DUMMYFUNCTION("""COMPUTED_VALUE"""),4)</f>
        <v>4</v>
      </c>
      <c r="AO412" s="4">
        <f ca="1">IFERROR(__xludf.DUMMYFUNCTION("""COMPUTED_VALUE"""),3)</f>
        <v>3</v>
      </c>
      <c r="AP412" s="4">
        <f ca="1">IFERROR(__xludf.DUMMYFUNCTION("""COMPUTED_VALUE"""),3)</f>
        <v>3</v>
      </c>
      <c r="AQ412" s="4">
        <f ca="1">IFERROR(__xludf.DUMMYFUNCTION("""COMPUTED_VALUE"""),4)</f>
        <v>4</v>
      </c>
      <c r="AR412" s="4">
        <f ca="1">IFERROR(__xludf.DUMMYFUNCTION("""COMPUTED_VALUE"""),3)</f>
        <v>3</v>
      </c>
      <c r="AS412" s="4">
        <f ca="1">IFERROR(__xludf.DUMMYFUNCTION("""COMPUTED_VALUE"""),3)</f>
        <v>3</v>
      </c>
      <c r="AT412" s="4">
        <f ca="1">IFERROR(__xludf.DUMMYFUNCTION("""COMPUTED_VALUE"""),3)</f>
        <v>3</v>
      </c>
      <c r="AU412" s="4">
        <f ca="1">IFERROR(__xludf.DUMMYFUNCTION("""COMPUTED_VALUE"""),3)</f>
        <v>3</v>
      </c>
      <c r="AV412" s="4">
        <f ca="1">IFERROR(__xludf.DUMMYFUNCTION("""COMPUTED_VALUE"""),3)</f>
        <v>3</v>
      </c>
      <c r="AW412" s="4">
        <f ca="1">IFERROR(__xludf.DUMMYFUNCTION("""COMPUTED_VALUE"""),4)</f>
        <v>4</v>
      </c>
      <c r="AX412" s="4">
        <f ca="1">IFERROR(__xludf.DUMMYFUNCTION("""COMPUTED_VALUE"""),5)</f>
        <v>5</v>
      </c>
      <c r="AY412" s="4">
        <f ca="1">IFERROR(__xludf.DUMMYFUNCTION("""COMPUTED_VALUE"""),5)</f>
        <v>5</v>
      </c>
      <c r="AZ412" s="4">
        <f ca="1">IFERROR(__xludf.DUMMYFUNCTION("""COMPUTED_VALUE"""),4)</f>
        <v>4</v>
      </c>
      <c r="BA412" s="4">
        <f ca="1">IFERROR(__xludf.DUMMYFUNCTION("""COMPUTED_VALUE"""),5)</f>
        <v>5</v>
      </c>
      <c r="BB412" s="4">
        <f ca="1">IFERROR(__xludf.DUMMYFUNCTION("""COMPUTED_VALUE"""),5)</f>
        <v>5</v>
      </c>
      <c r="BC412" s="4">
        <f ca="1">IFERROR(__xludf.DUMMYFUNCTION("""COMPUTED_VALUE"""),4)</f>
        <v>4</v>
      </c>
      <c r="BD412" s="4">
        <f ca="1">IFERROR(__xludf.DUMMYFUNCTION("""COMPUTED_VALUE"""),3)</f>
        <v>3</v>
      </c>
      <c r="BE412" s="4">
        <f ca="1">IFERROR(__xludf.DUMMYFUNCTION("""COMPUTED_VALUE"""),4)</f>
        <v>4</v>
      </c>
      <c r="BF412" s="4">
        <f ca="1">IFERROR(__xludf.DUMMYFUNCTION("""COMPUTED_VALUE"""),4)</f>
        <v>4</v>
      </c>
      <c r="BG412" s="4">
        <f ca="1">IFERROR(__xludf.DUMMYFUNCTION("""COMPUTED_VALUE"""),4)</f>
        <v>4</v>
      </c>
      <c r="BH412" s="4">
        <f ca="1">IFERROR(__xludf.DUMMYFUNCTION("""COMPUTED_VALUE"""),3)</f>
        <v>3</v>
      </c>
      <c r="BI412" s="4">
        <f ca="1">IFERROR(__xludf.DUMMYFUNCTION("""COMPUTED_VALUE"""),4)</f>
        <v>4</v>
      </c>
      <c r="BJ412" s="4">
        <f ca="1">IFERROR(__xludf.DUMMYFUNCTION("""COMPUTED_VALUE"""),3)</f>
        <v>3</v>
      </c>
      <c r="BK412" s="4">
        <f ca="1">IFERROR(__xludf.DUMMYFUNCTION("""COMPUTED_VALUE"""),4)</f>
        <v>4</v>
      </c>
      <c r="BL412" s="4">
        <f ca="1">IFERROR(__xludf.DUMMYFUNCTION("""COMPUTED_VALUE"""),3)</f>
        <v>3</v>
      </c>
      <c r="BM412" s="4">
        <f ca="1">IFERROR(__xludf.DUMMYFUNCTION("""COMPUTED_VALUE"""),4)</f>
        <v>4</v>
      </c>
      <c r="BN412" s="4">
        <f ca="1">IFERROR(__xludf.DUMMYFUNCTION("""COMPUTED_VALUE"""),4)</f>
        <v>4</v>
      </c>
      <c r="BO412" s="4">
        <f ca="1">IFERROR(__xludf.DUMMYFUNCTION("""COMPUTED_VALUE"""),5)</f>
        <v>5</v>
      </c>
      <c r="BP412" s="4">
        <f ca="1">IFERROR(__xludf.DUMMYFUNCTION("""COMPUTED_VALUE"""),4)</f>
        <v>4</v>
      </c>
    </row>
    <row r="413" spans="1:68" ht="13.2" x14ac:dyDescent="0.25">
      <c r="A413" s="4" t="str">
        <f ca="1">IFERROR(__xludf.DUMMYFUNCTION("""COMPUTED_VALUE"""),"2_ABaOnuecD4dDYHJjOB1MpDwb3IS-z6NHyCnxWZVZoNHNKCdySFhlH7RZq_dzSQdqrQ")</f>
        <v>2_ABaOnuecD4dDYHJjOB1MpDwb3IS-z6NHyCnxWZVZoNHNKCdySFhlH7RZq_dzSQdqrQ</v>
      </c>
      <c r="B413" s="5">
        <f ca="1">IFERROR(__xludf.DUMMYFUNCTION("""COMPUTED_VALUE"""),45988.5624892476)</f>
        <v>45988.562489247597</v>
      </c>
      <c r="C413" s="4" t="str">
        <f ca="1">IFERROR(__xludf.DUMMYFUNCTION("""COMPUTED_VALUE"""),"Lê Khắc Toàn")</f>
        <v>Lê Khắc Toàn</v>
      </c>
      <c r="D413" s="4" t="str">
        <f ca="1">IFERROR(__xludf.DUMMYFUNCTION("""COMPUTED_VALUE"""),"Nam")</f>
        <v>Nam</v>
      </c>
      <c r="E413" s="4" t="str">
        <f ca="1">IFERROR(__xludf.DUMMYFUNCTION("""COMPUTED_VALUE"""),"Kiểm toán NVA")</f>
        <v>Kiểm toán NVA</v>
      </c>
      <c r="F413" s="4" t="str">
        <f ca="1">IFERROR(__xludf.DUMMYFUNCTION("""COMPUTED_VALUE"""),"Chứng chỉ Kiểm toán viên")</f>
        <v>Chứng chỉ Kiểm toán viên</v>
      </c>
      <c r="G413" s="4" t="str">
        <f ca="1">IFERROR(__xludf.DUMMYFUNCTION("""COMPUTED_VALUE"""),"Trên 5 đến 10 năm")</f>
        <v>Trên 5 đến 10 năm</v>
      </c>
      <c r="H413" s="4" t="str">
        <f ca="1">IFERROR(__xludf.DUMMYFUNCTION("""COMPUTED_VALUE"""),"Kiểm toán viên/Trưởng nhóm")</f>
        <v>Kiểm toán viên/Trưởng nhóm</v>
      </c>
      <c r="I413" s="4">
        <f ca="1">IFERROR(__xludf.DUMMYFUNCTION("""COMPUTED_VALUE"""),5)</f>
        <v>5</v>
      </c>
      <c r="J413" s="4">
        <f ca="1">IFERROR(__xludf.DUMMYFUNCTION("""COMPUTED_VALUE"""),5)</f>
        <v>5</v>
      </c>
      <c r="K413" s="4">
        <f ca="1">IFERROR(__xludf.DUMMYFUNCTION("""COMPUTED_VALUE"""),5)</f>
        <v>5</v>
      </c>
      <c r="L413" s="4">
        <f ca="1">IFERROR(__xludf.DUMMYFUNCTION("""COMPUTED_VALUE"""),5)</f>
        <v>5</v>
      </c>
      <c r="M413" s="4">
        <f ca="1">IFERROR(__xludf.DUMMYFUNCTION("""COMPUTED_VALUE"""),5)</f>
        <v>5</v>
      </c>
      <c r="N413" s="4">
        <f ca="1">IFERROR(__xludf.DUMMYFUNCTION("""COMPUTED_VALUE"""),5)</f>
        <v>5</v>
      </c>
      <c r="O413" s="4">
        <f ca="1">IFERROR(__xludf.DUMMYFUNCTION("""COMPUTED_VALUE"""),5)</f>
        <v>5</v>
      </c>
      <c r="P413" s="4">
        <f ca="1">IFERROR(__xludf.DUMMYFUNCTION("""COMPUTED_VALUE"""),5)</f>
        <v>5</v>
      </c>
      <c r="Q413" s="4">
        <f ca="1">IFERROR(__xludf.DUMMYFUNCTION("""COMPUTED_VALUE"""),5)</f>
        <v>5</v>
      </c>
      <c r="R413" s="4">
        <f ca="1">IFERROR(__xludf.DUMMYFUNCTION("""COMPUTED_VALUE"""),5)</f>
        <v>5</v>
      </c>
      <c r="S413" s="4">
        <f ca="1">IFERROR(__xludf.DUMMYFUNCTION("""COMPUTED_VALUE"""),5)</f>
        <v>5</v>
      </c>
      <c r="T413" s="4">
        <f ca="1">IFERROR(__xludf.DUMMYFUNCTION("""COMPUTED_VALUE"""),5)</f>
        <v>5</v>
      </c>
      <c r="U413" s="4">
        <f ca="1">IFERROR(__xludf.DUMMYFUNCTION("""COMPUTED_VALUE"""),5)</f>
        <v>5</v>
      </c>
      <c r="V413" s="4">
        <f ca="1">IFERROR(__xludf.DUMMYFUNCTION("""COMPUTED_VALUE"""),5)</f>
        <v>5</v>
      </c>
      <c r="W413" s="4">
        <f ca="1">IFERROR(__xludf.DUMMYFUNCTION("""COMPUTED_VALUE"""),4)</f>
        <v>4</v>
      </c>
      <c r="X413" s="4">
        <f ca="1">IFERROR(__xludf.DUMMYFUNCTION("""COMPUTED_VALUE"""),4)</f>
        <v>4</v>
      </c>
      <c r="Y413" s="4">
        <f ca="1">IFERROR(__xludf.DUMMYFUNCTION("""COMPUTED_VALUE"""),4)</f>
        <v>4</v>
      </c>
      <c r="Z413" s="4">
        <f ca="1">IFERROR(__xludf.DUMMYFUNCTION("""COMPUTED_VALUE"""),4)</f>
        <v>4</v>
      </c>
      <c r="AA413" s="4">
        <f ca="1">IFERROR(__xludf.DUMMYFUNCTION("""COMPUTED_VALUE"""),5)</f>
        <v>5</v>
      </c>
      <c r="AB413" s="4">
        <f ca="1">IFERROR(__xludf.DUMMYFUNCTION("""COMPUTED_VALUE"""),5)</f>
        <v>5</v>
      </c>
      <c r="AC413" s="4">
        <f ca="1">IFERROR(__xludf.DUMMYFUNCTION("""COMPUTED_VALUE"""),4)</f>
        <v>4</v>
      </c>
      <c r="AD413" s="4">
        <f ca="1">IFERROR(__xludf.DUMMYFUNCTION("""COMPUTED_VALUE"""),4)</f>
        <v>4</v>
      </c>
      <c r="AE413" s="4">
        <f ca="1">IFERROR(__xludf.DUMMYFUNCTION("""COMPUTED_VALUE"""),5)</f>
        <v>5</v>
      </c>
      <c r="AF413" s="4">
        <f ca="1">IFERROR(__xludf.DUMMYFUNCTION("""COMPUTED_VALUE"""),5)</f>
        <v>5</v>
      </c>
      <c r="AG413" s="4">
        <f ca="1">IFERROR(__xludf.DUMMYFUNCTION("""COMPUTED_VALUE"""),4)</f>
        <v>4</v>
      </c>
      <c r="AH413" s="4">
        <f ca="1">IFERROR(__xludf.DUMMYFUNCTION("""COMPUTED_VALUE"""),5)</f>
        <v>5</v>
      </c>
      <c r="AI413" s="4">
        <f ca="1">IFERROR(__xludf.DUMMYFUNCTION("""COMPUTED_VALUE"""),5)</f>
        <v>5</v>
      </c>
      <c r="AJ413" s="4">
        <f ca="1">IFERROR(__xludf.DUMMYFUNCTION("""COMPUTED_VALUE"""),4)</f>
        <v>4</v>
      </c>
      <c r="AK413" s="4">
        <f ca="1">IFERROR(__xludf.DUMMYFUNCTION("""COMPUTED_VALUE"""),5)</f>
        <v>5</v>
      </c>
      <c r="AL413" s="4">
        <f ca="1">IFERROR(__xludf.DUMMYFUNCTION("""COMPUTED_VALUE"""),5)</f>
        <v>5</v>
      </c>
      <c r="AM413" s="4">
        <f ca="1">IFERROR(__xludf.DUMMYFUNCTION("""COMPUTED_VALUE"""),5)</f>
        <v>5</v>
      </c>
      <c r="AN413" s="4">
        <f ca="1">IFERROR(__xludf.DUMMYFUNCTION("""COMPUTED_VALUE"""),5)</f>
        <v>5</v>
      </c>
      <c r="AO413" s="4">
        <f ca="1">IFERROR(__xludf.DUMMYFUNCTION("""COMPUTED_VALUE"""),4)</f>
        <v>4</v>
      </c>
      <c r="AP413" s="4">
        <f ca="1">IFERROR(__xludf.DUMMYFUNCTION("""COMPUTED_VALUE"""),4)</f>
        <v>4</v>
      </c>
      <c r="AQ413" s="4">
        <f ca="1">IFERROR(__xludf.DUMMYFUNCTION("""COMPUTED_VALUE"""),5)</f>
        <v>5</v>
      </c>
      <c r="AR413" s="4">
        <f ca="1">IFERROR(__xludf.DUMMYFUNCTION("""COMPUTED_VALUE"""),4)</f>
        <v>4</v>
      </c>
      <c r="AS413" s="4">
        <f ca="1">IFERROR(__xludf.DUMMYFUNCTION("""COMPUTED_VALUE"""),5)</f>
        <v>5</v>
      </c>
      <c r="AT413" s="4">
        <f ca="1">IFERROR(__xludf.DUMMYFUNCTION("""COMPUTED_VALUE"""),4)</f>
        <v>4</v>
      </c>
      <c r="AU413" s="4">
        <f ca="1">IFERROR(__xludf.DUMMYFUNCTION("""COMPUTED_VALUE"""),5)</f>
        <v>5</v>
      </c>
      <c r="AV413" s="4">
        <f ca="1">IFERROR(__xludf.DUMMYFUNCTION("""COMPUTED_VALUE"""),4)</f>
        <v>4</v>
      </c>
      <c r="AW413" s="4">
        <f ca="1">IFERROR(__xludf.DUMMYFUNCTION("""COMPUTED_VALUE"""),5)</f>
        <v>5</v>
      </c>
      <c r="AX413" s="4">
        <f ca="1">IFERROR(__xludf.DUMMYFUNCTION("""COMPUTED_VALUE"""),5)</f>
        <v>5</v>
      </c>
      <c r="AY413" s="4">
        <f ca="1">IFERROR(__xludf.DUMMYFUNCTION("""COMPUTED_VALUE"""),5)</f>
        <v>5</v>
      </c>
      <c r="AZ413" s="4">
        <f ca="1">IFERROR(__xludf.DUMMYFUNCTION("""COMPUTED_VALUE"""),5)</f>
        <v>5</v>
      </c>
      <c r="BA413" s="4">
        <f ca="1">IFERROR(__xludf.DUMMYFUNCTION("""COMPUTED_VALUE"""),5)</f>
        <v>5</v>
      </c>
      <c r="BB413" s="4">
        <f ca="1">IFERROR(__xludf.DUMMYFUNCTION("""COMPUTED_VALUE"""),5)</f>
        <v>5</v>
      </c>
      <c r="BC413" s="4">
        <f ca="1">IFERROR(__xludf.DUMMYFUNCTION("""COMPUTED_VALUE"""),5)</f>
        <v>5</v>
      </c>
      <c r="BD413" s="4">
        <f ca="1">IFERROR(__xludf.DUMMYFUNCTION("""COMPUTED_VALUE"""),5)</f>
        <v>5</v>
      </c>
      <c r="BE413" s="4">
        <f ca="1">IFERROR(__xludf.DUMMYFUNCTION("""COMPUTED_VALUE"""),4)</f>
        <v>4</v>
      </c>
      <c r="BF413" s="4">
        <f ca="1">IFERROR(__xludf.DUMMYFUNCTION("""COMPUTED_VALUE"""),5)</f>
        <v>5</v>
      </c>
      <c r="BG413" s="4">
        <f ca="1">IFERROR(__xludf.DUMMYFUNCTION("""COMPUTED_VALUE"""),4)</f>
        <v>4</v>
      </c>
      <c r="BH413" s="4">
        <f ca="1">IFERROR(__xludf.DUMMYFUNCTION("""COMPUTED_VALUE"""),4)</f>
        <v>4</v>
      </c>
      <c r="BI413" s="4">
        <f ca="1">IFERROR(__xludf.DUMMYFUNCTION("""COMPUTED_VALUE"""),5)</f>
        <v>5</v>
      </c>
      <c r="BJ413" s="4">
        <f ca="1">IFERROR(__xludf.DUMMYFUNCTION("""COMPUTED_VALUE"""),5)</f>
        <v>5</v>
      </c>
      <c r="BK413" s="4">
        <f ca="1">IFERROR(__xludf.DUMMYFUNCTION("""COMPUTED_VALUE"""),5)</f>
        <v>5</v>
      </c>
      <c r="BL413" s="4">
        <f ca="1">IFERROR(__xludf.DUMMYFUNCTION("""COMPUTED_VALUE"""),5)</f>
        <v>5</v>
      </c>
      <c r="BM413" s="4">
        <f ca="1">IFERROR(__xludf.DUMMYFUNCTION("""COMPUTED_VALUE"""),4)</f>
        <v>4</v>
      </c>
      <c r="BN413" s="4">
        <f ca="1">IFERROR(__xludf.DUMMYFUNCTION("""COMPUTED_VALUE"""),5)</f>
        <v>5</v>
      </c>
      <c r="BO413" s="4">
        <f ca="1">IFERROR(__xludf.DUMMYFUNCTION("""COMPUTED_VALUE"""),5)</f>
        <v>5</v>
      </c>
      <c r="BP413" s="4">
        <f ca="1">IFERROR(__xludf.DUMMYFUNCTION("""COMPUTED_VALUE"""),4)</f>
        <v>4</v>
      </c>
    </row>
    <row r="414" spans="1:68" ht="13.2" x14ac:dyDescent="0.25">
      <c r="A414" s="4" t="str">
        <f ca="1">IFERROR(__xludf.DUMMYFUNCTION("""COMPUTED_VALUE"""),"2_ABaOnudEAcaN4lI3TQNFN3Hw8Y_bj5-4aij7W5NmM0CUnZBBXpnPzd9FxCXZZ5_wvA")</f>
        <v>2_ABaOnudEAcaN4lI3TQNFN3Hw8Y_bj5-4aij7W5NmM0CUnZBBXpnPzd9FxCXZZ5_wvA</v>
      </c>
      <c r="B414" s="5">
        <f ca="1">IFERROR(__xludf.DUMMYFUNCTION("""COMPUTED_VALUE"""),45988.5794759027)</f>
        <v>45988.579475902698</v>
      </c>
      <c r="C414" s="4" t="str">
        <f ca="1">IFERROR(__xludf.DUMMYFUNCTION("""COMPUTED_VALUE"""),"Trần Ngọc Triều")</f>
        <v>Trần Ngọc Triều</v>
      </c>
      <c r="D414" s="4" t="str">
        <f ca="1">IFERROR(__xludf.DUMMYFUNCTION("""COMPUTED_VALUE"""),"Nam")</f>
        <v>Nam</v>
      </c>
      <c r="E414" s="4" t="str">
        <f ca="1">IFERROR(__xludf.DUMMYFUNCTION("""COMPUTED_VALUE"""),"Công ty TNHH Kiểm toán NVA")</f>
        <v>Công ty TNHH Kiểm toán NVA</v>
      </c>
      <c r="F414" s="4" t="str">
        <f ca="1">IFERROR(__xludf.DUMMYFUNCTION("""COMPUTED_VALUE"""),"Đại học")</f>
        <v>Đại học</v>
      </c>
      <c r="G414" s="4" t="str">
        <f ca="1">IFERROR(__xludf.DUMMYFUNCTION("""COMPUTED_VALUE"""),"Từ 3 đến 5 năm")</f>
        <v>Từ 3 đến 5 năm</v>
      </c>
      <c r="H414" s="4" t="str">
        <f ca="1">IFERROR(__xludf.DUMMYFUNCTION("""COMPUTED_VALUE"""),"Trợ lý kiểm toán")</f>
        <v>Trợ lý kiểm toán</v>
      </c>
      <c r="I414" s="4">
        <f ca="1">IFERROR(__xludf.DUMMYFUNCTION("""COMPUTED_VALUE"""),5)</f>
        <v>5</v>
      </c>
      <c r="J414" s="4">
        <f ca="1">IFERROR(__xludf.DUMMYFUNCTION("""COMPUTED_VALUE"""),4)</f>
        <v>4</v>
      </c>
      <c r="K414" s="4">
        <f ca="1">IFERROR(__xludf.DUMMYFUNCTION("""COMPUTED_VALUE"""),4)</f>
        <v>4</v>
      </c>
      <c r="L414" s="4">
        <f ca="1">IFERROR(__xludf.DUMMYFUNCTION("""COMPUTED_VALUE"""),4)</f>
        <v>4</v>
      </c>
      <c r="M414" s="4">
        <f ca="1">IFERROR(__xludf.DUMMYFUNCTION("""COMPUTED_VALUE"""),4)</f>
        <v>4</v>
      </c>
      <c r="N414" s="4">
        <f ca="1">IFERROR(__xludf.DUMMYFUNCTION("""COMPUTED_VALUE"""),4)</f>
        <v>4</v>
      </c>
      <c r="O414" s="4">
        <f ca="1">IFERROR(__xludf.DUMMYFUNCTION("""COMPUTED_VALUE"""),4)</f>
        <v>4</v>
      </c>
      <c r="P414" s="4">
        <f ca="1">IFERROR(__xludf.DUMMYFUNCTION("""COMPUTED_VALUE"""),4)</f>
        <v>4</v>
      </c>
      <c r="Q414" s="4">
        <f ca="1">IFERROR(__xludf.DUMMYFUNCTION("""COMPUTED_VALUE"""),4)</f>
        <v>4</v>
      </c>
      <c r="R414" s="4">
        <f ca="1">IFERROR(__xludf.DUMMYFUNCTION("""COMPUTED_VALUE"""),4)</f>
        <v>4</v>
      </c>
      <c r="S414" s="4">
        <f ca="1">IFERROR(__xludf.DUMMYFUNCTION("""COMPUTED_VALUE"""),4)</f>
        <v>4</v>
      </c>
      <c r="T414" s="4">
        <f ca="1">IFERROR(__xludf.DUMMYFUNCTION("""COMPUTED_VALUE"""),4)</f>
        <v>4</v>
      </c>
      <c r="U414" s="4">
        <f ca="1">IFERROR(__xludf.DUMMYFUNCTION("""COMPUTED_VALUE"""),4)</f>
        <v>4</v>
      </c>
      <c r="V414" s="4">
        <f ca="1">IFERROR(__xludf.DUMMYFUNCTION("""COMPUTED_VALUE"""),4)</f>
        <v>4</v>
      </c>
      <c r="W414" s="4">
        <f ca="1">IFERROR(__xludf.DUMMYFUNCTION("""COMPUTED_VALUE"""),4)</f>
        <v>4</v>
      </c>
      <c r="X414" s="4">
        <f ca="1">IFERROR(__xludf.DUMMYFUNCTION("""COMPUTED_VALUE"""),4)</f>
        <v>4</v>
      </c>
      <c r="Y414" s="4">
        <f ca="1">IFERROR(__xludf.DUMMYFUNCTION("""COMPUTED_VALUE"""),3)</f>
        <v>3</v>
      </c>
      <c r="Z414" s="4">
        <f ca="1">IFERROR(__xludf.DUMMYFUNCTION("""COMPUTED_VALUE"""),3)</f>
        <v>3</v>
      </c>
      <c r="AA414" s="4">
        <f ca="1">IFERROR(__xludf.DUMMYFUNCTION("""COMPUTED_VALUE"""),3)</f>
        <v>3</v>
      </c>
      <c r="AB414" s="4">
        <f ca="1">IFERROR(__xludf.DUMMYFUNCTION("""COMPUTED_VALUE"""),4)</f>
        <v>4</v>
      </c>
      <c r="AC414" s="4">
        <f ca="1">IFERROR(__xludf.DUMMYFUNCTION("""COMPUTED_VALUE"""),3)</f>
        <v>3</v>
      </c>
      <c r="AD414" s="4">
        <f ca="1">IFERROR(__xludf.DUMMYFUNCTION("""COMPUTED_VALUE"""),4)</f>
        <v>4</v>
      </c>
      <c r="AE414" s="4">
        <f ca="1">IFERROR(__xludf.DUMMYFUNCTION("""COMPUTED_VALUE"""),4)</f>
        <v>4</v>
      </c>
      <c r="AF414" s="4">
        <f ca="1">IFERROR(__xludf.DUMMYFUNCTION("""COMPUTED_VALUE"""),4)</f>
        <v>4</v>
      </c>
      <c r="AG414" s="4">
        <f ca="1">IFERROR(__xludf.DUMMYFUNCTION("""COMPUTED_VALUE"""),4)</f>
        <v>4</v>
      </c>
      <c r="AH414" s="4">
        <f ca="1">IFERROR(__xludf.DUMMYFUNCTION("""COMPUTED_VALUE"""),4)</f>
        <v>4</v>
      </c>
      <c r="AI414" s="4">
        <f ca="1">IFERROR(__xludf.DUMMYFUNCTION("""COMPUTED_VALUE"""),4)</f>
        <v>4</v>
      </c>
      <c r="AJ414" s="4">
        <f ca="1">IFERROR(__xludf.DUMMYFUNCTION("""COMPUTED_VALUE"""),4)</f>
        <v>4</v>
      </c>
      <c r="AK414" s="4">
        <f ca="1">IFERROR(__xludf.DUMMYFUNCTION("""COMPUTED_VALUE"""),4)</f>
        <v>4</v>
      </c>
      <c r="AL414" s="4">
        <f ca="1">IFERROR(__xludf.DUMMYFUNCTION("""COMPUTED_VALUE"""),4)</f>
        <v>4</v>
      </c>
      <c r="AM414" s="4">
        <f ca="1">IFERROR(__xludf.DUMMYFUNCTION("""COMPUTED_VALUE"""),3)</f>
        <v>3</v>
      </c>
      <c r="AN414" s="4">
        <f ca="1">IFERROR(__xludf.DUMMYFUNCTION("""COMPUTED_VALUE"""),4)</f>
        <v>4</v>
      </c>
      <c r="AO414" s="4">
        <f ca="1">IFERROR(__xludf.DUMMYFUNCTION("""COMPUTED_VALUE"""),3)</f>
        <v>3</v>
      </c>
      <c r="AP414" s="4">
        <f ca="1">IFERROR(__xludf.DUMMYFUNCTION("""COMPUTED_VALUE"""),3)</f>
        <v>3</v>
      </c>
      <c r="AQ414" s="4">
        <f ca="1">IFERROR(__xludf.DUMMYFUNCTION("""COMPUTED_VALUE"""),3)</f>
        <v>3</v>
      </c>
      <c r="AR414" s="4">
        <f ca="1">IFERROR(__xludf.DUMMYFUNCTION("""COMPUTED_VALUE"""),4)</f>
        <v>4</v>
      </c>
      <c r="AS414" s="4">
        <f ca="1">IFERROR(__xludf.DUMMYFUNCTION("""COMPUTED_VALUE"""),4)</f>
        <v>4</v>
      </c>
      <c r="AT414" s="4">
        <f ca="1">IFERROR(__xludf.DUMMYFUNCTION("""COMPUTED_VALUE"""),4)</f>
        <v>4</v>
      </c>
      <c r="AU414" s="4">
        <f ca="1">IFERROR(__xludf.DUMMYFUNCTION("""COMPUTED_VALUE"""),4)</f>
        <v>4</v>
      </c>
      <c r="AV414" s="4">
        <f ca="1">IFERROR(__xludf.DUMMYFUNCTION("""COMPUTED_VALUE"""),4)</f>
        <v>4</v>
      </c>
      <c r="AW414" s="4">
        <f ca="1">IFERROR(__xludf.DUMMYFUNCTION("""COMPUTED_VALUE"""),3)</f>
        <v>3</v>
      </c>
      <c r="AX414" s="4">
        <f ca="1">IFERROR(__xludf.DUMMYFUNCTION("""COMPUTED_VALUE"""),4)</f>
        <v>4</v>
      </c>
      <c r="AY414" s="4">
        <f ca="1">IFERROR(__xludf.DUMMYFUNCTION("""COMPUTED_VALUE"""),4)</f>
        <v>4</v>
      </c>
      <c r="AZ414" s="4">
        <f ca="1">IFERROR(__xludf.DUMMYFUNCTION("""COMPUTED_VALUE"""),4)</f>
        <v>4</v>
      </c>
      <c r="BA414" s="4">
        <f ca="1">IFERROR(__xludf.DUMMYFUNCTION("""COMPUTED_VALUE"""),4)</f>
        <v>4</v>
      </c>
      <c r="BB414" s="4">
        <f ca="1">IFERROR(__xludf.DUMMYFUNCTION("""COMPUTED_VALUE"""),3)</f>
        <v>3</v>
      </c>
      <c r="BC414" s="4">
        <f ca="1">IFERROR(__xludf.DUMMYFUNCTION("""COMPUTED_VALUE"""),3)</f>
        <v>3</v>
      </c>
      <c r="BD414" s="4">
        <f ca="1">IFERROR(__xludf.DUMMYFUNCTION("""COMPUTED_VALUE"""),3)</f>
        <v>3</v>
      </c>
      <c r="BE414" s="4">
        <f ca="1">IFERROR(__xludf.DUMMYFUNCTION("""COMPUTED_VALUE"""),3)</f>
        <v>3</v>
      </c>
      <c r="BF414" s="4">
        <f ca="1">IFERROR(__xludf.DUMMYFUNCTION("""COMPUTED_VALUE"""),3)</f>
        <v>3</v>
      </c>
      <c r="BG414" s="4">
        <f ca="1">IFERROR(__xludf.DUMMYFUNCTION("""COMPUTED_VALUE"""),3)</f>
        <v>3</v>
      </c>
      <c r="BH414" s="4">
        <f ca="1">IFERROR(__xludf.DUMMYFUNCTION("""COMPUTED_VALUE"""),3)</f>
        <v>3</v>
      </c>
      <c r="BI414" s="4">
        <f ca="1">IFERROR(__xludf.DUMMYFUNCTION("""COMPUTED_VALUE"""),3)</f>
        <v>3</v>
      </c>
      <c r="BJ414" s="4">
        <f ca="1">IFERROR(__xludf.DUMMYFUNCTION("""COMPUTED_VALUE"""),4)</f>
        <v>4</v>
      </c>
      <c r="BK414" s="4">
        <f ca="1">IFERROR(__xludf.DUMMYFUNCTION("""COMPUTED_VALUE"""),4)</f>
        <v>4</v>
      </c>
      <c r="BL414" s="4">
        <f ca="1">IFERROR(__xludf.DUMMYFUNCTION("""COMPUTED_VALUE"""),4)</f>
        <v>4</v>
      </c>
      <c r="BM414" s="4">
        <f ca="1">IFERROR(__xludf.DUMMYFUNCTION("""COMPUTED_VALUE"""),3)</f>
        <v>3</v>
      </c>
      <c r="BN414" s="4">
        <f ca="1">IFERROR(__xludf.DUMMYFUNCTION("""COMPUTED_VALUE"""),4)</f>
        <v>4</v>
      </c>
      <c r="BO414" s="4">
        <f ca="1">IFERROR(__xludf.DUMMYFUNCTION("""COMPUTED_VALUE"""),4)</f>
        <v>4</v>
      </c>
      <c r="BP414" s="4">
        <f ca="1">IFERROR(__xludf.DUMMYFUNCTION("""COMPUTED_VALUE"""),3)</f>
        <v>3</v>
      </c>
    </row>
    <row r="415" spans="1:68" ht="13.2" x14ac:dyDescent="0.25">
      <c r="A415" s="4" t="str">
        <f ca="1">IFERROR(__xludf.DUMMYFUNCTION("""COMPUTED_VALUE"""),"2_ABaOnueDOV5LPKNuTDAxxmwNvMdDGJTr3eigPIZ6WV6NKxZUq75E9qXb5AxYVIgv9g")</f>
        <v>2_ABaOnueDOV5LPKNuTDAxxmwNvMdDGJTr3eigPIZ6WV6NKxZUq75E9qXb5AxYVIgv9g</v>
      </c>
      <c r="B415" s="5">
        <f ca="1">IFERROR(__xludf.DUMMYFUNCTION("""COMPUTED_VALUE"""),45988.6008621064)</f>
        <v>45988.600862106403</v>
      </c>
      <c r="C415" s="4" t="str">
        <f ca="1">IFERROR(__xludf.DUMMYFUNCTION("""COMPUTED_VALUE"""),"Hồ Lê Thùy Dương")</f>
        <v>Hồ Lê Thùy Dương</v>
      </c>
      <c r="D415" s="4" t="str">
        <f ca="1">IFERROR(__xludf.DUMMYFUNCTION("""COMPUTED_VALUE"""),"Nữ")</f>
        <v>Nữ</v>
      </c>
      <c r="E415" s="4" t="str">
        <f ca="1">IFERROR(__xludf.DUMMYFUNCTION("""COMPUTED_VALUE"""),"Chi nhánh Công ty TNHH Kiểm toán NVA")</f>
        <v>Chi nhánh Công ty TNHH Kiểm toán NVA</v>
      </c>
      <c r="F415" s="4" t="str">
        <f ca="1">IFERROR(__xludf.DUMMYFUNCTION("""COMPUTED_VALUE"""),"Đại học")</f>
        <v>Đại học</v>
      </c>
      <c r="G415" s="4" t="str">
        <f ca="1">IFERROR(__xludf.DUMMYFUNCTION("""COMPUTED_VALUE"""),"Từ 3 đến 5 năm")</f>
        <v>Từ 3 đến 5 năm</v>
      </c>
      <c r="H415" s="4" t="str">
        <f ca="1">IFERROR(__xludf.DUMMYFUNCTION("""COMPUTED_VALUE"""),"Trợ lý kiểm toán")</f>
        <v>Trợ lý kiểm toán</v>
      </c>
      <c r="I415" s="4">
        <f ca="1">IFERROR(__xludf.DUMMYFUNCTION("""COMPUTED_VALUE"""),5)</f>
        <v>5</v>
      </c>
      <c r="J415" s="4">
        <f ca="1">IFERROR(__xludf.DUMMYFUNCTION("""COMPUTED_VALUE"""),5)</f>
        <v>5</v>
      </c>
      <c r="K415" s="4">
        <f ca="1">IFERROR(__xludf.DUMMYFUNCTION("""COMPUTED_VALUE"""),5)</f>
        <v>5</v>
      </c>
      <c r="L415" s="4">
        <f ca="1">IFERROR(__xludf.DUMMYFUNCTION("""COMPUTED_VALUE"""),4)</f>
        <v>4</v>
      </c>
      <c r="M415" s="4">
        <f ca="1">IFERROR(__xludf.DUMMYFUNCTION("""COMPUTED_VALUE"""),4)</f>
        <v>4</v>
      </c>
      <c r="N415" s="4">
        <f ca="1">IFERROR(__xludf.DUMMYFUNCTION("""COMPUTED_VALUE"""),5)</f>
        <v>5</v>
      </c>
      <c r="O415" s="4">
        <f ca="1">IFERROR(__xludf.DUMMYFUNCTION("""COMPUTED_VALUE"""),5)</f>
        <v>5</v>
      </c>
      <c r="P415" s="4">
        <f ca="1">IFERROR(__xludf.DUMMYFUNCTION("""COMPUTED_VALUE"""),5)</f>
        <v>5</v>
      </c>
      <c r="Q415" s="4">
        <f ca="1">IFERROR(__xludf.DUMMYFUNCTION("""COMPUTED_VALUE"""),5)</f>
        <v>5</v>
      </c>
      <c r="R415" s="4">
        <f ca="1">IFERROR(__xludf.DUMMYFUNCTION("""COMPUTED_VALUE"""),5)</f>
        <v>5</v>
      </c>
      <c r="S415" s="4">
        <f ca="1">IFERROR(__xludf.DUMMYFUNCTION("""COMPUTED_VALUE"""),5)</f>
        <v>5</v>
      </c>
      <c r="T415" s="4">
        <f ca="1">IFERROR(__xludf.DUMMYFUNCTION("""COMPUTED_VALUE"""),5)</f>
        <v>5</v>
      </c>
      <c r="U415" s="4">
        <f ca="1">IFERROR(__xludf.DUMMYFUNCTION("""COMPUTED_VALUE"""),5)</f>
        <v>5</v>
      </c>
      <c r="V415" s="4">
        <f ca="1">IFERROR(__xludf.DUMMYFUNCTION("""COMPUTED_VALUE"""),5)</f>
        <v>5</v>
      </c>
      <c r="W415" s="4">
        <f ca="1">IFERROR(__xludf.DUMMYFUNCTION("""COMPUTED_VALUE"""),4)</f>
        <v>4</v>
      </c>
      <c r="X415" s="4">
        <f ca="1">IFERROR(__xludf.DUMMYFUNCTION("""COMPUTED_VALUE"""),5)</f>
        <v>5</v>
      </c>
      <c r="Y415" s="4">
        <f ca="1">IFERROR(__xludf.DUMMYFUNCTION("""COMPUTED_VALUE"""),4)</f>
        <v>4</v>
      </c>
      <c r="Z415" s="4">
        <f ca="1">IFERROR(__xludf.DUMMYFUNCTION("""COMPUTED_VALUE"""),4)</f>
        <v>4</v>
      </c>
      <c r="AA415" s="4">
        <f ca="1">IFERROR(__xludf.DUMMYFUNCTION("""COMPUTED_VALUE"""),4)</f>
        <v>4</v>
      </c>
      <c r="AB415" s="4">
        <f ca="1">IFERROR(__xludf.DUMMYFUNCTION("""COMPUTED_VALUE"""),4)</f>
        <v>4</v>
      </c>
      <c r="AC415" s="4">
        <f ca="1">IFERROR(__xludf.DUMMYFUNCTION("""COMPUTED_VALUE"""),4)</f>
        <v>4</v>
      </c>
      <c r="AD415" s="4">
        <f ca="1">IFERROR(__xludf.DUMMYFUNCTION("""COMPUTED_VALUE"""),4)</f>
        <v>4</v>
      </c>
      <c r="AE415" s="4">
        <f ca="1">IFERROR(__xludf.DUMMYFUNCTION("""COMPUTED_VALUE"""),4)</f>
        <v>4</v>
      </c>
      <c r="AF415" s="4">
        <f ca="1">IFERROR(__xludf.DUMMYFUNCTION("""COMPUTED_VALUE"""),5)</f>
        <v>5</v>
      </c>
      <c r="AG415" s="4">
        <f ca="1">IFERROR(__xludf.DUMMYFUNCTION("""COMPUTED_VALUE"""),5)</f>
        <v>5</v>
      </c>
      <c r="AH415" s="4">
        <f ca="1">IFERROR(__xludf.DUMMYFUNCTION("""COMPUTED_VALUE"""),5)</f>
        <v>5</v>
      </c>
      <c r="AI415" s="4">
        <f ca="1">IFERROR(__xludf.DUMMYFUNCTION("""COMPUTED_VALUE"""),5)</f>
        <v>5</v>
      </c>
      <c r="AJ415" s="4">
        <f ca="1">IFERROR(__xludf.DUMMYFUNCTION("""COMPUTED_VALUE"""),5)</f>
        <v>5</v>
      </c>
      <c r="AK415" s="4">
        <f ca="1">IFERROR(__xludf.DUMMYFUNCTION("""COMPUTED_VALUE"""),5)</f>
        <v>5</v>
      </c>
      <c r="AL415" s="4">
        <f ca="1">IFERROR(__xludf.DUMMYFUNCTION("""COMPUTED_VALUE"""),5)</f>
        <v>5</v>
      </c>
      <c r="AM415" s="4">
        <f ca="1">IFERROR(__xludf.DUMMYFUNCTION("""COMPUTED_VALUE"""),5)</f>
        <v>5</v>
      </c>
      <c r="AN415" s="4">
        <f ca="1">IFERROR(__xludf.DUMMYFUNCTION("""COMPUTED_VALUE"""),5)</f>
        <v>5</v>
      </c>
      <c r="AO415" s="4">
        <f ca="1">IFERROR(__xludf.DUMMYFUNCTION("""COMPUTED_VALUE"""),5)</f>
        <v>5</v>
      </c>
      <c r="AP415" s="4">
        <f ca="1">IFERROR(__xludf.DUMMYFUNCTION("""COMPUTED_VALUE"""),4)</f>
        <v>4</v>
      </c>
      <c r="AQ415" s="4">
        <f ca="1">IFERROR(__xludf.DUMMYFUNCTION("""COMPUTED_VALUE"""),4)</f>
        <v>4</v>
      </c>
      <c r="AR415" s="4">
        <f ca="1">IFERROR(__xludf.DUMMYFUNCTION("""COMPUTED_VALUE"""),4)</f>
        <v>4</v>
      </c>
      <c r="AS415" s="4">
        <f ca="1">IFERROR(__xludf.DUMMYFUNCTION("""COMPUTED_VALUE"""),4)</f>
        <v>4</v>
      </c>
      <c r="AT415" s="4">
        <f ca="1">IFERROR(__xludf.DUMMYFUNCTION("""COMPUTED_VALUE"""),4)</f>
        <v>4</v>
      </c>
      <c r="AU415" s="4">
        <f ca="1">IFERROR(__xludf.DUMMYFUNCTION("""COMPUTED_VALUE"""),4)</f>
        <v>4</v>
      </c>
      <c r="AV415" s="4">
        <f ca="1">IFERROR(__xludf.DUMMYFUNCTION("""COMPUTED_VALUE"""),4)</f>
        <v>4</v>
      </c>
      <c r="AW415" s="4">
        <f ca="1">IFERROR(__xludf.DUMMYFUNCTION("""COMPUTED_VALUE"""),4)</f>
        <v>4</v>
      </c>
      <c r="AX415" s="4">
        <f ca="1">IFERROR(__xludf.DUMMYFUNCTION("""COMPUTED_VALUE"""),5)</f>
        <v>5</v>
      </c>
      <c r="AY415" s="4">
        <f ca="1">IFERROR(__xludf.DUMMYFUNCTION("""COMPUTED_VALUE"""),5)</f>
        <v>5</v>
      </c>
      <c r="AZ415" s="4">
        <f ca="1">IFERROR(__xludf.DUMMYFUNCTION("""COMPUTED_VALUE"""),5)</f>
        <v>5</v>
      </c>
      <c r="BA415" s="4">
        <f ca="1">IFERROR(__xludf.DUMMYFUNCTION("""COMPUTED_VALUE"""),5)</f>
        <v>5</v>
      </c>
      <c r="BB415" s="4">
        <f ca="1">IFERROR(__xludf.DUMMYFUNCTION("""COMPUTED_VALUE"""),4)</f>
        <v>4</v>
      </c>
      <c r="BC415" s="4">
        <f ca="1">IFERROR(__xludf.DUMMYFUNCTION("""COMPUTED_VALUE"""),4)</f>
        <v>4</v>
      </c>
      <c r="BD415" s="4">
        <f ca="1">IFERROR(__xludf.DUMMYFUNCTION("""COMPUTED_VALUE"""),4)</f>
        <v>4</v>
      </c>
      <c r="BE415" s="4">
        <f ca="1">IFERROR(__xludf.DUMMYFUNCTION("""COMPUTED_VALUE"""),4)</f>
        <v>4</v>
      </c>
      <c r="BF415" s="4">
        <f ca="1">IFERROR(__xludf.DUMMYFUNCTION("""COMPUTED_VALUE"""),4)</f>
        <v>4</v>
      </c>
      <c r="BG415" s="4">
        <f ca="1">IFERROR(__xludf.DUMMYFUNCTION("""COMPUTED_VALUE"""),4)</f>
        <v>4</v>
      </c>
      <c r="BH415" s="4">
        <f ca="1">IFERROR(__xludf.DUMMYFUNCTION("""COMPUTED_VALUE"""),5)</f>
        <v>5</v>
      </c>
      <c r="BI415" s="4">
        <f ca="1">IFERROR(__xludf.DUMMYFUNCTION("""COMPUTED_VALUE"""),5)</f>
        <v>5</v>
      </c>
      <c r="BJ415" s="4">
        <f ca="1">IFERROR(__xludf.DUMMYFUNCTION("""COMPUTED_VALUE"""),5)</f>
        <v>5</v>
      </c>
      <c r="BK415" s="4">
        <f ca="1">IFERROR(__xludf.DUMMYFUNCTION("""COMPUTED_VALUE"""),5)</f>
        <v>5</v>
      </c>
      <c r="BL415" s="4">
        <f ca="1">IFERROR(__xludf.DUMMYFUNCTION("""COMPUTED_VALUE"""),5)</f>
        <v>5</v>
      </c>
      <c r="BM415" s="4">
        <f ca="1">IFERROR(__xludf.DUMMYFUNCTION("""COMPUTED_VALUE"""),5)</f>
        <v>5</v>
      </c>
      <c r="BN415" s="4">
        <f ca="1">IFERROR(__xludf.DUMMYFUNCTION("""COMPUTED_VALUE"""),5)</f>
        <v>5</v>
      </c>
      <c r="BO415" s="4">
        <f ca="1">IFERROR(__xludf.DUMMYFUNCTION("""COMPUTED_VALUE"""),4)</f>
        <v>4</v>
      </c>
      <c r="BP415" s="4">
        <f ca="1">IFERROR(__xludf.DUMMYFUNCTION("""COMPUTED_VALUE"""),5)</f>
        <v>5</v>
      </c>
    </row>
    <row r="416" spans="1:68" ht="13.2" x14ac:dyDescent="0.25">
      <c r="A416" s="4" t="str">
        <f ca="1">IFERROR(__xludf.DUMMYFUNCTION("""COMPUTED_VALUE"""),"2_ABaOnuf8-IPmq5NYY9fCIkkGwROWVSuUyBxX9EPpA-rglII6EI8BawZZmKtp3TWXDw")</f>
        <v>2_ABaOnuf8-IPmq5NYY9fCIkkGwROWVSuUyBxX9EPpA-rglII6EI8BawZZmKtp3TWXDw</v>
      </c>
      <c r="B416" s="5">
        <f ca="1">IFERROR(__xludf.DUMMYFUNCTION("""COMPUTED_VALUE"""),45988.6019931944)</f>
        <v>45988.601993194403</v>
      </c>
      <c r="C416" s="4" t="str">
        <f ca="1">IFERROR(__xludf.DUMMYFUNCTION("""COMPUTED_VALUE"""),"Bùi Duy Phương Thanh")</f>
        <v>Bùi Duy Phương Thanh</v>
      </c>
      <c r="D416" s="4" t="str">
        <f ca="1">IFERROR(__xludf.DUMMYFUNCTION("""COMPUTED_VALUE"""),"Nữ")</f>
        <v>Nữ</v>
      </c>
      <c r="E416" s="4" t="str">
        <f ca="1">IFERROR(__xludf.DUMMYFUNCTION("""COMPUTED_VALUE"""),"Công ty TNHH Kiểm Toán NVA")</f>
        <v>Công ty TNHH Kiểm Toán NVA</v>
      </c>
      <c r="F416" s="4" t="str">
        <f ca="1">IFERROR(__xludf.DUMMYFUNCTION("""COMPUTED_VALUE"""),"Chứng chỉ Kiểm toán viên")</f>
        <v>Chứng chỉ Kiểm toán viên</v>
      </c>
      <c r="G416" s="4" t="str">
        <f ca="1">IFERROR(__xludf.DUMMYFUNCTION("""COMPUTED_VALUE"""),"Trên 10 đến 15 năm")</f>
        <v>Trên 10 đến 15 năm</v>
      </c>
      <c r="H416" s="4" t="str">
        <f ca="1">IFERROR(__xludf.DUMMYFUNCTION("""COMPUTED_VALUE"""),"Kiểm toán viên/Trưởng nhóm")</f>
        <v>Kiểm toán viên/Trưởng nhóm</v>
      </c>
      <c r="I416" s="4">
        <f ca="1">IFERROR(__xludf.DUMMYFUNCTION("""COMPUTED_VALUE"""),5)</f>
        <v>5</v>
      </c>
      <c r="J416" s="4">
        <f ca="1">IFERROR(__xludf.DUMMYFUNCTION("""COMPUTED_VALUE"""),4)</f>
        <v>4</v>
      </c>
      <c r="K416" s="4">
        <f ca="1">IFERROR(__xludf.DUMMYFUNCTION("""COMPUTED_VALUE"""),4)</f>
        <v>4</v>
      </c>
      <c r="L416" s="4">
        <f ca="1">IFERROR(__xludf.DUMMYFUNCTION("""COMPUTED_VALUE"""),4)</f>
        <v>4</v>
      </c>
      <c r="M416" s="4">
        <f ca="1">IFERROR(__xludf.DUMMYFUNCTION("""COMPUTED_VALUE"""),4)</f>
        <v>4</v>
      </c>
      <c r="N416" s="4">
        <f ca="1">IFERROR(__xludf.DUMMYFUNCTION("""COMPUTED_VALUE"""),3)</f>
        <v>3</v>
      </c>
      <c r="O416" s="4">
        <f ca="1">IFERROR(__xludf.DUMMYFUNCTION("""COMPUTED_VALUE"""),3)</f>
        <v>3</v>
      </c>
      <c r="P416" s="4">
        <f ca="1">IFERROR(__xludf.DUMMYFUNCTION("""COMPUTED_VALUE"""),4)</f>
        <v>4</v>
      </c>
      <c r="Q416" s="4">
        <f ca="1">IFERROR(__xludf.DUMMYFUNCTION("""COMPUTED_VALUE"""),4)</f>
        <v>4</v>
      </c>
      <c r="R416" s="4">
        <f ca="1">IFERROR(__xludf.DUMMYFUNCTION("""COMPUTED_VALUE"""),4)</f>
        <v>4</v>
      </c>
      <c r="S416" s="4">
        <f ca="1">IFERROR(__xludf.DUMMYFUNCTION("""COMPUTED_VALUE"""),4)</f>
        <v>4</v>
      </c>
      <c r="T416" s="4">
        <f ca="1">IFERROR(__xludf.DUMMYFUNCTION("""COMPUTED_VALUE"""),4)</f>
        <v>4</v>
      </c>
      <c r="U416" s="4">
        <f ca="1">IFERROR(__xludf.DUMMYFUNCTION("""COMPUTED_VALUE"""),4)</f>
        <v>4</v>
      </c>
      <c r="V416" s="4">
        <f ca="1">IFERROR(__xludf.DUMMYFUNCTION("""COMPUTED_VALUE"""),4)</f>
        <v>4</v>
      </c>
      <c r="W416" s="4">
        <f ca="1">IFERROR(__xludf.DUMMYFUNCTION("""COMPUTED_VALUE"""),4)</f>
        <v>4</v>
      </c>
      <c r="X416" s="4">
        <f ca="1">IFERROR(__xludf.DUMMYFUNCTION("""COMPUTED_VALUE"""),4)</f>
        <v>4</v>
      </c>
      <c r="Y416" s="4">
        <f ca="1">IFERROR(__xludf.DUMMYFUNCTION("""COMPUTED_VALUE"""),4)</f>
        <v>4</v>
      </c>
      <c r="Z416" s="4">
        <f ca="1">IFERROR(__xludf.DUMMYFUNCTION("""COMPUTED_VALUE"""),4)</f>
        <v>4</v>
      </c>
      <c r="AA416" s="4">
        <f ca="1">IFERROR(__xludf.DUMMYFUNCTION("""COMPUTED_VALUE"""),4)</f>
        <v>4</v>
      </c>
      <c r="AB416" s="4">
        <f ca="1">IFERROR(__xludf.DUMMYFUNCTION("""COMPUTED_VALUE"""),4)</f>
        <v>4</v>
      </c>
      <c r="AC416" s="4">
        <f ca="1">IFERROR(__xludf.DUMMYFUNCTION("""COMPUTED_VALUE"""),3)</f>
        <v>3</v>
      </c>
      <c r="AD416" s="4">
        <f ca="1">IFERROR(__xludf.DUMMYFUNCTION("""COMPUTED_VALUE"""),3)</f>
        <v>3</v>
      </c>
      <c r="AE416" s="4">
        <f ca="1">IFERROR(__xludf.DUMMYFUNCTION("""COMPUTED_VALUE"""),4)</f>
        <v>4</v>
      </c>
      <c r="AF416" s="4">
        <f ca="1">IFERROR(__xludf.DUMMYFUNCTION("""COMPUTED_VALUE"""),4)</f>
        <v>4</v>
      </c>
      <c r="AG416" s="4">
        <f ca="1">IFERROR(__xludf.DUMMYFUNCTION("""COMPUTED_VALUE"""),4)</f>
        <v>4</v>
      </c>
      <c r="AH416" s="4">
        <f ca="1">IFERROR(__xludf.DUMMYFUNCTION("""COMPUTED_VALUE"""),4)</f>
        <v>4</v>
      </c>
      <c r="AI416" s="4">
        <f ca="1">IFERROR(__xludf.DUMMYFUNCTION("""COMPUTED_VALUE"""),4)</f>
        <v>4</v>
      </c>
      <c r="AJ416" s="4">
        <f ca="1">IFERROR(__xludf.DUMMYFUNCTION("""COMPUTED_VALUE"""),5)</f>
        <v>5</v>
      </c>
      <c r="AK416" s="4">
        <f ca="1">IFERROR(__xludf.DUMMYFUNCTION("""COMPUTED_VALUE"""),5)</f>
        <v>5</v>
      </c>
      <c r="AL416" s="4">
        <f ca="1">IFERROR(__xludf.DUMMYFUNCTION("""COMPUTED_VALUE"""),5)</f>
        <v>5</v>
      </c>
      <c r="AM416" s="4">
        <f ca="1">IFERROR(__xludf.DUMMYFUNCTION("""COMPUTED_VALUE"""),5)</f>
        <v>5</v>
      </c>
      <c r="AN416" s="4">
        <f ca="1">IFERROR(__xludf.DUMMYFUNCTION("""COMPUTED_VALUE"""),5)</f>
        <v>5</v>
      </c>
      <c r="AO416" s="4">
        <f ca="1">IFERROR(__xludf.DUMMYFUNCTION("""COMPUTED_VALUE"""),4)</f>
        <v>4</v>
      </c>
      <c r="AP416" s="4">
        <f ca="1">IFERROR(__xludf.DUMMYFUNCTION("""COMPUTED_VALUE"""),4)</f>
        <v>4</v>
      </c>
      <c r="AQ416" s="4">
        <f ca="1">IFERROR(__xludf.DUMMYFUNCTION("""COMPUTED_VALUE"""),4)</f>
        <v>4</v>
      </c>
      <c r="AR416" s="4">
        <f ca="1">IFERROR(__xludf.DUMMYFUNCTION("""COMPUTED_VALUE"""),4)</f>
        <v>4</v>
      </c>
      <c r="AS416" s="4">
        <f ca="1">IFERROR(__xludf.DUMMYFUNCTION("""COMPUTED_VALUE"""),4)</f>
        <v>4</v>
      </c>
      <c r="AT416" s="4">
        <f ca="1">IFERROR(__xludf.DUMMYFUNCTION("""COMPUTED_VALUE"""),4)</f>
        <v>4</v>
      </c>
      <c r="AU416" s="4">
        <f ca="1">IFERROR(__xludf.DUMMYFUNCTION("""COMPUTED_VALUE"""),4)</f>
        <v>4</v>
      </c>
      <c r="AV416" s="4">
        <f ca="1">IFERROR(__xludf.DUMMYFUNCTION("""COMPUTED_VALUE"""),4)</f>
        <v>4</v>
      </c>
      <c r="AW416" s="4">
        <f ca="1">IFERROR(__xludf.DUMMYFUNCTION("""COMPUTED_VALUE"""),4)</f>
        <v>4</v>
      </c>
      <c r="AX416" s="4">
        <f ca="1">IFERROR(__xludf.DUMMYFUNCTION("""COMPUTED_VALUE"""),4)</f>
        <v>4</v>
      </c>
      <c r="AY416" s="4">
        <f ca="1">IFERROR(__xludf.DUMMYFUNCTION("""COMPUTED_VALUE"""),4)</f>
        <v>4</v>
      </c>
      <c r="AZ416" s="4">
        <f ca="1">IFERROR(__xludf.DUMMYFUNCTION("""COMPUTED_VALUE"""),4)</f>
        <v>4</v>
      </c>
      <c r="BA416" s="4">
        <f ca="1">IFERROR(__xludf.DUMMYFUNCTION("""COMPUTED_VALUE"""),4)</f>
        <v>4</v>
      </c>
      <c r="BB416" s="4">
        <f ca="1">IFERROR(__xludf.DUMMYFUNCTION("""COMPUTED_VALUE"""),4)</f>
        <v>4</v>
      </c>
      <c r="BC416" s="4">
        <f ca="1">IFERROR(__xludf.DUMMYFUNCTION("""COMPUTED_VALUE"""),4)</f>
        <v>4</v>
      </c>
      <c r="BD416" s="4">
        <f ca="1">IFERROR(__xludf.DUMMYFUNCTION("""COMPUTED_VALUE"""),4)</f>
        <v>4</v>
      </c>
      <c r="BE416" s="4">
        <f ca="1">IFERROR(__xludf.DUMMYFUNCTION("""COMPUTED_VALUE"""),4)</f>
        <v>4</v>
      </c>
      <c r="BF416" s="4">
        <f ca="1">IFERROR(__xludf.DUMMYFUNCTION("""COMPUTED_VALUE"""),4)</f>
        <v>4</v>
      </c>
      <c r="BG416" s="4">
        <f ca="1">IFERROR(__xludf.DUMMYFUNCTION("""COMPUTED_VALUE"""),4)</f>
        <v>4</v>
      </c>
      <c r="BH416" s="4">
        <f ca="1">IFERROR(__xludf.DUMMYFUNCTION("""COMPUTED_VALUE"""),4)</f>
        <v>4</v>
      </c>
      <c r="BI416" s="4">
        <f ca="1">IFERROR(__xludf.DUMMYFUNCTION("""COMPUTED_VALUE"""),4)</f>
        <v>4</v>
      </c>
      <c r="BJ416" s="4">
        <f ca="1">IFERROR(__xludf.DUMMYFUNCTION("""COMPUTED_VALUE"""),4)</f>
        <v>4</v>
      </c>
      <c r="BK416" s="4">
        <f ca="1">IFERROR(__xludf.DUMMYFUNCTION("""COMPUTED_VALUE"""),4)</f>
        <v>4</v>
      </c>
      <c r="BL416" s="4">
        <f ca="1">IFERROR(__xludf.DUMMYFUNCTION("""COMPUTED_VALUE"""),4)</f>
        <v>4</v>
      </c>
      <c r="BM416" s="4">
        <f ca="1">IFERROR(__xludf.DUMMYFUNCTION("""COMPUTED_VALUE"""),4)</f>
        <v>4</v>
      </c>
      <c r="BN416" s="4">
        <f ca="1">IFERROR(__xludf.DUMMYFUNCTION("""COMPUTED_VALUE"""),4)</f>
        <v>4</v>
      </c>
      <c r="BO416" s="4">
        <f ca="1">IFERROR(__xludf.DUMMYFUNCTION("""COMPUTED_VALUE"""),4)</f>
        <v>4</v>
      </c>
      <c r="BP416" s="4">
        <f ca="1">IFERROR(__xludf.DUMMYFUNCTION("""COMPUTED_VALUE"""),4)</f>
        <v>4</v>
      </c>
    </row>
    <row r="417" spans="1:68" ht="13.2" x14ac:dyDescent="0.25">
      <c r="A417" s="4" t="str">
        <f ca="1">IFERROR(__xludf.DUMMYFUNCTION("""COMPUTED_VALUE"""),"2_ABaOnueMdh95UH9muICAdIHGqMpXr0pSVjVGz6BRITF6ZedUFqV7HhgaTrchSTUY1g")</f>
        <v>2_ABaOnueMdh95UH9muICAdIHGqMpXr0pSVjVGz6BRITF6ZedUFqV7HhgaTrchSTUY1g</v>
      </c>
      <c r="B417" s="5">
        <f ca="1">IFERROR(__xludf.DUMMYFUNCTION("""COMPUTED_VALUE"""),45988.6055012268)</f>
        <v>45988.605501226797</v>
      </c>
      <c r="C417" s="4" t="str">
        <f ca="1">IFERROR(__xludf.DUMMYFUNCTION("""COMPUTED_VALUE"""),"Nguyễn Hồng Nga")</f>
        <v>Nguyễn Hồng Nga</v>
      </c>
      <c r="D417" s="4" t="str">
        <f ca="1">IFERROR(__xludf.DUMMYFUNCTION("""COMPUTED_VALUE"""),"Nữ")</f>
        <v>Nữ</v>
      </c>
      <c r="E417" s="4" t="str">
        <f ca="1">IFERROR(__xludf.DUMMYFUNCTION("""COMPUTED_VALUE"""),"Công ty TNHH Kiểm toán NVA")</f>
        <v>Công ty TNHH Kiểm toán NVA</v>
      </c>
      <c r="F417" s="4" t="str">
        <f ca="1">IFERROR(__xludf.DUMMYFUNCTION("""COMPUTED_VALUE"""),"Đại học, Chứng chỉ Kiểm toán viên")</f>
        <v>Đại học, Chứng chỉ Kiểm toán viên</v>
      </c>
      <c r="G417" s="4" t="str">
        <f ca="1">IFERROR(__xludf.DUMMYFUNCTION("""COMPUTED_VALUE"""),"Trên 20 năm")</f>
        <v>Trên 20 năm</v>
      </c>
      <c r="H417" s="4" t="str">
        <f ca="1">IFERROR(__xludf.DUMMYFUNCTION("""COMPUTED_VALUE"""),"Trưởng phòng")</f>
        <v>Trưởng phòng</v>
      </c>
      <c r="I417" s="4">
        <f ca="1">IFERROR(__xludf.DUMMYFUNCTION("""COMPUTED_VALUE"""),5)</f>
        <v>5</v>
      </c>
      <c r="J417" s="4">
        <f ca="1">IFERROR(__xludf.DUMMYFUNCTION("""COMPUTED_VALUE"""),5)</f>
        <v>5</v>
      </c>
      <c r="K417" s="4">
        <f ca="1">IFERROR(__xludf.DUMMYFUNCTION("""COMPUTED_VALUE"""),5)</f>
        <v>5</v>
      </c>
      <c r="L417" s="4">
        <f ca="1">IFERROR(__xludf.DUMMYFUNCTION("""COMPUTED_VALUE"""),5)</f>
        <v>5</v>
      </c>
      <c r="M417" s="4">
        <f ca="1">IFERROR(__xludf.DUMMYFUNCTION("""COMPUTED_VALUE"""),5)</f>
        <v>5</v>
      </c>
      <c r="N417" s="4">
        <f ca="1">IFERROR(__xludf.DUMMYFUNCTION("""COMPUTED_VALUE"""),5)</f>
        <v>5</v>
      </c>
      <c r="O417" s="4">
        <f ca="1">IFERROR(__xludf.DUMMYFUNCTION("""COMPUTED_VALUE"""),5)</f>
        <v>5</v>
      </c>
      <c r="P417" s="4">
        <f ca="1">IFERROR(__xludf.DUMMYFUNCTION("""COMPUTED_VALUE"""),5)</f>
        <v>5</v>
      </c>
      <c r="Q417" s="4">
        <f ca="1">IFERROR(__xludf.DUMMYFUNCTION("""COMPUTED_VALUE"""),5)</f>
        <v>5</v>
      </c>
      <c r="R417" s="4">
        <f ca="1">IFERROR(__xludf.DUMMYFUNCTION("""COMPUTED_VALUE"""),5)</f>
        <v>5</v>
      </c>
      <c r="S417" s="4">
        <f ca="1">IFERROR(__xludf.DUMMYFUNCTION("""COMPUTED_VALUE"""),5)</f>
        <v>5</v>
      </c>
      <c r="T417" s="4">
        <f ca="1">IFERROR(__xludf.DUMMYFUNCTION("""COMPUTED_VALUE"""),5)</f>
        <v>5</v>
      </c>
      <c r="U417" s="4">
        <f ca="1">IFERROR(__xludf.DUMMYFUNCTION("""COMPUTED_VALUE"""),5)</f>
        <v>5</v>
      </c>
      <c r="V417" s="4">
        <f ca="1">IFERROR(__xludf.DUMMYFUNCTION("""COMPUTED_VALUE"""),5)</f>
        <v>5</v>
      </c>
      <c r="W417" s="4">
        <f ca="1">IFERROR(__xludf.DUMMYFUNCTION("""COMPUTED_VALUE"""),5)</f>
        <v>5</v>
      </c>
      <c r="X417" s="4">
        <f ca="1">IFERROR(__xludf.DUMMYFUNCTION("""COMPUTED_VALUE"""),5)</f>
        <v>5</v>
      </c>
      <c r="Y417" s="4">
        <f ca="1">IFERROR(__xludf.DUMMYFUNCTION("""COMPUTED_VALUE"""),5)</f>
        <v>5</v>
      </c>
      <c r="Z417" s="4">
        <f ca="1">IFERROR(__xludf.DUMMYFUNCTION("""COMPUTED_VALUE"""),5)</f>
        <v>5</v>
      </c>
      <c r="AA417" s="4">
        <f ca="1">IFERROR(__xludf.DUMMYFUNCTION("""COMPUTED_VALUE"""),5)</f>
        <v>5</v>
      </c>
      <c r="AB417" s="4">
        <f ca="1">IFERROR(__xludf.DUMMYFUNCTION("""COMPUTED_VALUE"""),5)</f>
        <v>5</v>
      </c>
      <c r="AC417" s="4">
        <f ca="1">IFERROR(__xludf.DUMMYFUNCTION("""COMPUTED_VALUE"""),5)</f>
        <v>5</v>
      </c>
      <c r="AD417" s="4">
        <f ca="1">IFERROR(__xludf.DUMMYFUNCTION("""COMPUTED_VALUE"""),5)</f>
        <v>5</v>
      </c>
      <c r="AE417" s="4">
        <f ca="1">IFERROR(__xludf.DUMMYFUNCTION("""COMPUTED_VALUE"""),5)</f>
        <v>5</v>
      </c>
      <c r="AF417" s="4">
        <f ca="1">IFERROR(__xludf.DUMMYFUNCTION("""COMPUTED_VALUE"""),5)</f>
        <v>5</v>
      </c>
      <c r="AG417" s="4">
        <f ca="1">IFERROR(__xludf.DUMMYFUNCTION("""COMPUTED_VALUE"""),5)</f>
        <v>5</v>
      </c>
      <c r="AH417" s="4">
        <f ca="1">IFERROR(__xludf.DUMMYFUNCTION("""COMPUTED_VALUE"""),5)</f>
        <v>5</v>
      </c>
      <c r="AI417" s="4">
        <f ca="1">IFERROR(__xludf.DUMMYFUNCTION("""COMPUTED_VALUE"""),5)</f>
        <v>5</v>
      </c>
      <c r="AJ417" s="4">
        <f ca="1">IFERROR(__xludf.DUMMYFUNCTION("""COMPUTED_VALUE"""),5)</f>
        <v>5</v>
      </c>
      <c r="AK417" s="4">
        <f ca="1">IFERROR(__xludf.DUMMYFUNCTION("""COMPUTED_VALUE"""),5)</f>
        <v>5</v>
      </c>
      <c r="AL417" s="4">
        <f ca="1">IFERROR(__xludf.DUMMYFUNCTION("""COMPUTED_VALUE"""),5)</f>
        <v>5</v>
      </c>
      <c r="AM417" s="4">
        <f ca="1">IFERROR(__xludf.DUMMYFUNCTION("""COMPUTED_VALUE"""),5)</f>
        <v>5</v>
      </c>
      <c r="AN417" s="4">
        <f ca="1">IFERROR(__xludf.DUMMYFUNCTION("""COMPUTED_VALUE"""),5)</f>
        <v>5</v>
      </c>
      <c r="AO417" s="4">
        <f ca="1">IFERROR(__xludf.DUMMYFUNCTION("""COMPUTED_VALUE"""),5)</f>
        <v>5</v>
      </c>
      <c r="AP417" s="4">
        <f ca="1">IFERROR(__xludf.DUMMYFUNCTION("""COMPUTED_VALUE"""),5)</f>
        <v>5</v>
      </c>
      <c r="AQ417" s="4">
        <f ca="1">IFERROR(__xludf.DUMMYFUNCTION("""COMPUTED_VALUE"""),5)</f>
        <v>5</v>
      </c>
      <c r="AR417" s="4">
        <f ca="1">IFERROR(__xludf.DUMMYFUNCTION("""COMPUTED_VALUE"""),5)</f>
        <v>5</v>
      </c>
      <c r="AS417" s="4">
        <f ca="1">IFERROR(__xludf.DUMMYFUNCTION("""COMPUTED_VALUE"""),5)</f>
        <v>5</v>
      </c>
      <c r="AT417" s="4">
        <f ca="1">IFERROR(__xludf.DUMMYFUNCTION("""COMPUTED_VALUE"""),5)</f>
        <v>5</v>
      </c>
      <c r="AU417" s="4">
        <f ca="1">IFERROR(__xludf.DUMMYFUNCTION("""COMPUTED_VALUE"""),5)</f>
        <v>5</v>
      </c>
      <c r="AV417" s="4">
        <f ca="1">IFERROR(__xludf.DUMMYFUNCTION("""COMPUTED_VALUE"""),5)</f>
        <v>5</v>
      </c>
      <c r="AW417" s="4">
        <f ca="1">IFERROR(__xludf.DUMMYFUNCTION("""COMPUTED_VALUE"""),5)</f>
        <v>5</v>
      </c>
      <c r="AX417" s="4">
        <f ca="1">IFERROR(__xludf.DUMMYFUNCTION("""COMPUTED_VALUE"""),5)</f>
        <v>5</v>
      </c>
      <c r="AY417" s="4">
        <f ca="1">IFERROR(__xludf.DUMMYFUNCTION("""COMPUTED_VALUE"""),5)</f>
        <v>5</v>
      </c>
      <c r="AZ417" s="4">
        <f ca="1">IFERROR(__xludf.DUMMYFUNCTION("""COMPUTED_VALUE"""),5)</f>
        <v>5</v>
      </c>
      <c r="BA417" s="4">
        <f ca="1">IFERROR(__xludf.DUMMYFUNCTION("""COMPUTED_VALUE"""),5)</f>
        <v>5</v>
      </c>
      <c r="BB417" s="4">
        <f ca="1">IFERROR(__xludf.DUMMYFUNCTION("""COMPUTED_VALUE"""),5)</f>
        <v>5</v>
      </c>
      <c r="BC417" s="4">
        <f ca="1">IFERROR(__xludf.DUMMYFUNCTION("""COMPUTED_VALUE"""),5)</f>
        <v>5</v>
      </c>
      <c r="BD417" s="4">
        <f ca="1">IFERROR(__xludf.DUMMYFUNCTION("""COMPUTED_VALUE"""),5)</f>
        <v>5</v>
      </c>
      <c r="BE417" s="4">
        <f ca="1">IFERROR(__xludf.DUMMYFUNCTION("""COMPUTED_VALUE"""),5)</f>
        <v>5</v>
      </c>
      <c r="BF417" s="4">
        <f ca="1">IFERROR(__xludf.DUMMYFUNCTION("""COMPUTED_VALUE"""),5)</f>
        <v>5</v>
      </c>
      <c r="BG417" s="4">
        <f ca="1">IFERROR(__xludf.DUMMYFUNCTION("""COMPUTED_VALUE"""),5)</f>
        <v>5</v>
      </c>
      <c r="BH417" s="4">
        <f ca="1">IFERROR(__xludf.DUMMYFUNCTION("""COMPUTED_VALUE"""),5)</f>
        <v>5</v>
      </c>
      <c r="BI417" s="4">
        <f ca="1">IFERROR(__xludf.DUMMYFUNCTION("""COMPUTED_VALUE"""),5)</f>
        <v>5</v>
      </c>
      <c r="BJ417" s="4">
        <f ca="1">IFERROR(__xludf.DUMMYFUNCTION("""COMPUTED_VALUE"""),5)</f>
        <v>5</v>
      </c>
      <c r="BK417" s="4">
        <f ca="1">IFERROR(__xludf.DUMMYFUNCTION("""COMPUTED_VALUE"""),5)</f>
        <v>5</v>
      </c>
      <c r="BL417" s="4">
        <f ca="1">IFERROR(__xludf.DUMMYFUNCTION("""COMPUTED_VALUE"""),5)</f>
        <v>5</v>
      </c>
      <c r="BM417" s="4">
        <f ca="1">IFERROR(__xludf.DUMMYFUNCTION("""COMPUTED_VALUE"""),5)</f>
        <v>5</v>
      </c>
      <c r="BN417" s="4">
        <f ca="1">IFERROR(__xludf.DUMMYFUNCTION("""COMPUTED_VALUE"""),5)</f>
        <v>5</v>
      </c>
      <c r="BO417" s="4">
        <f ca="1">IFERROR(__xludf.DUMMYFUNCTION("""COMPUTED_VALUE"""),5)</f>
        <v>5</v>
      </c>
      <c r="BP417" s="4">
        <f ca="1">IFERROR(__xludf.DUMMYFUNCTION("""COMPUTED_VALUE"""),5)</f>
        <v>5</v>
      </c>
    </row>
    <row r="418" spans="1:68" ht="13.2" x14ac:dyDescent="0.25">
      <c r="A418" s="4" t="str">
        <f ca="1">IFERROR(__xludf.DUMMYFUNCTION("""COMPUTED_VALUE"""),"2_ABaOnufJmsrUP33GtAD8cAYowxZjq4P86dAtzwCaHe9416lZSf2uwJtfwY9i4RJbfw")</f>
        <v>2_ABaOnufJmsrUP33GtAD8cAYowxZjq4P86dAtzwCaHe9416lZSf2uwJtfwY9i4RJbfw</v>
      </c>
      <c r="B418" s="5">
        <f ca="1">IFERROR(__xludf.DUMMYFUNCTION("""COMPUTED_VALUE"""),45988.6382200463)</f>
        <v>45988.638220046298</v>
      </c>
      <c r="C418" s="4" t="str">
        <f ca="1">IFERROR(__xludf.DUMMYFUNCTION("""COMPUTED_VALUE"""),"Nguyễn Nhân Bào")</f>
        <v>Nguyễn Nhân Bào</v>
      </c>
      <c r="D418" s="4" t="str">
        <f ca="1">IFERROR(__xludf.DUMMYFUNCTION("""COMPUTED_VALUE"""),"Nam")</f>
        <v>Nam</v>
      </c>
      <c r="E418" s="4" t="str">
        <f ca="1">IFERROR(__xludf.DUMMYFUNCTION("""COMPUTED_VALUE"""),"Công ty TNHH Kiểm toán Việt Nhất")</f>
        <v>Công ty TNHH Kiểm toán Việt Nhất</v>
      </c>
      <c r="F418" s="4" t="str">
        <f ca="1">IFERROR(__xludf.DUMMYFUNCTION("""COMPUTED_VALUE"""),"Đại học, Sau đại học, Chứng chỉ Kiểm toán viên")</f>
        <v>Đại học, Sau đại học, Chứng chỉ Kiểm toán viên</v>
      </c>
      <c r="G418" s="4" t="str">
        <f ca="1">IFERROR(__xludf.DUMMYFUNCTION("""COMPUTED_VALUE"""),"Trên 20 năm")</f>
        <v>Trên 20 năm</v>
      </c>
      <c r="H418" s="4" t="str">
        <f ca="1">IFERROR(__xludf.DUMMYFUNCTION("""COMPUTED_VALUE"""),"Ban giám đốc")</f>
        <v>Ban giám đốc</v>
      </c>
      <c r="I418" s="4">
        <f ca="1">IFERROR(__xludf.DUMMYFUNCTION("""COMPUTED_VALUE"""),4)</f>
        <v>4</v>
      </c>
      <c r="J418" s="4">
        <f ca="1">IFERROR(__xludf.DUMMYFUNCTION("""COMPUTED_VALUE"""),4)</f>
        <v>4</v>
      </c>
      <c r="K418" s="4">
        <f ca="1">IFERROR(__xludf.DUMMYFUNCTION("""COMPUTED_VALUE"""),4)</f>
        <v>4</v>
      </c>
      <c r="L418" s="4">
        <f ca="1">IFERROR(__xludf.DUMMYFUNCTION("""COMPUTED_VALUE"""),4)</f>
        <v>4</v>
      </c>
      <c r="M418" s="4">
        <f ca="1">IFERROR(__xludf.DUMMYFUNCTION("""COMPUTED_VALUE"""),4)</f>
        <v>4</v>
      </c>
      <c r="N418" s="4">
        <f ca="1">IFERROR(__xludf.DUMMYFUNCTION("""COMPUTED_VALUE"""),4)</f>
        <v>4</v>
      </c>
      <c r="O418" s="4">
        <f ca="1">IFERROR(__xludf.DUMMYFUNCTION("""COMPUTED_VALUE"""),4)</f>
        <v>4</v>
      </c>
      <c r="P418" s="4">
        <f ca="1">IFERROR(__xludf.DUMMYFUNCTION("""COMPUTED_VALUE"""),4)</f>
        <v>4</v>
      </c>
      <c r="Q418" s="4">
        <f ca="1">IFERROR(__xludf.DUMMYFUNCTION("""COMPUTED_VALUE"""),4)</f>
        <v>4</v>
      </c>
      <c r="R418" s="4">
        <f ca="1">IFERROR(__xludf.DUMMYFUNCTION("""COMPUTED_VALUE"""),4)</f>
        <v>4</v>
      </c>
      <c r="S418" s="4">
        <f ca="1">IFERROR(__xludf.DUMMYFUNCTION("""COMPUTED_VALUE"""),4)</f>
        <v>4</v>
      </c>
      <c r="T418" s="4">
        <f ca="1">IFERROR(__xludf.DUMMYFUNCTION("""COMPUTED_VALUE"""),4)</f>
        <v>4</v>
      </c>
      <c r="U418" s="4">
        <f ca="1">IFERROR(__xludf.DUMMYFUNCTION("""COMPUTED_VALUE"""),4)</f>
        <v>4</v>
      </c>
      <c r="V418" s="4">
        <f ca="1">IFERROR(__xludf.DUMMYFUNCTION("""COMPUTED_VALUE"""),4)</f>
        <v>4</v>
      </c>
      <c r="W418" s="4">
        <f ca="1">IFERROR(__xludf.DUMMYFUNCTION("""COMPUTED_VALUE"""),3)</f>
        <v>3</v>
      </c>
      <c r="X418" s="4">
        <f ca="1">IFERROR(__xludf.DUMMYFUNCTION("""COMPUTED_VALUE"""),3)</f>
        <v>3</v>
      </c>
      <c r="Y418" s="4">
        <f ca="1">IFERROR(__xludf.DUMMYFUNCTION("""COMPUTED_VALUE"""),3)</f>
        <v>3</v>
      </c>
      <c r="Z418" s="4">
        <f ca="1">IFERROR(__xludf.DUMMYFUNCTION("""COMPUTED_VALUE"""),3)</f>
        <v>3</v>
      </c>
      <c r="AA418" s="4">
        <f ca="1">IFERROR(__xludf.DUMMYFUNCTION("""COMPUTED_VALUE"""),3)</f>
        <v>3</v>
      </c>
      <c r="AB418" s="4">
        <f ca="1">IFERROR(__xludf.DUMMYFUNCTION("""COMPUTED_VALUE"""),3)</f>
        <v>3</v>
      </c>
      <c r="AC418" s="4">
        <f ca="1">IFERROR(__xludf.DUMMYFUNCTION("""COMPUTED_VALUE"""),3)</f>
        <v>3</v>
      </c>
      <c r="AD418" s="4">
        <f ca="1">IFERROR(__xludf.DUMMYFUNCTION("""COMPUTED_VALUE"""),3)</f>
        <v>3</v>
      </c>
      <c r="AE418" s="4">
        <f ca="1">IFERROR(__xludf.DUMMYFUNCTION("""COMPUTED_VALUE"""),3)</f>
        <v>3</v>
      </c>
      <c r="AF418" s="4">
        <f ca="1">IFERROR(__xludf.DUMMYFUNCTION("""COMPUTED_VALUE"""),3)</f>
        <v>3</v>
      </c>
      <c r="AG418" s="4">
        <f ca="1">IFERROR(__xludf.DUMMYFUNCTION("""COMPUTED_VALUE"""),3)</f>
        <v>3</v>
      </c>
      <c r="AH418" s="4">
        <f ca="1">IFERROR(__xludf.DUMMYFUNCTION("""COMPUTED_VALUE"""),3)</f>
        <v>3</v>
      </c>
      <c r="AI418" s="4">
        <f ca="1">IFERROR(__xludf.DUMMYFUNCTION("""COMPUTED_VALUE"""),3)</f>
        <v>3</v>
      </c>
      <c r="AJ418" s="4">
        <f ca="1">IFERROR(__xludf.DUMMYFUNCTION("""COMPUTED_VALUE"""),4)</f>
        <v>4</v>
      </c>
      <c r="AK418" s="4">
        <f ca="1">IFERROR(__xludf.DUMMYFUNCTION("""COMPUTED_VALUE"""),4)</f>
        <v>4</v>
      </c>
      <c r="AL418" s="4">
        <f ca="1">IFERROR(__xludf.DUMMYFUNCTION("""COMPUTED_VALUE"""),4)</f>
        <v>4</v>
      </c>
      <c r="AM418" s="4">
        <f ca="1">IFERROR(__xludf.DUMMYFUNCTION("""COMPUTED_VALUE"""),4)</f>
        <v>4</v>
      </c>
      <c r="AN418" s="4">
        <f ca="1">IFERROR(__xludf.DUMMYFUNCTION("""COMPUTED_VALUE"""),4)</f>
        <v>4</v>
      </c>
      <c r="AO418" s="4">
        <f ca="1">IFERROR(__xludf.DUMMYFUNCTION("""COMPUTED_VALUE"""),4)</f>
        <v>4</v>
      </c>
      <c r="AP418" s="4">
        <f ca="1">IFERROR(__xludf.DUMMYFUNCTION("""COMPUTED_VALUE"""),4)</f>
        <v>4</v>
      </c>
      <c r="AQ418" s="4">
        <f ca="1">IFERROR(__xludf.DUMMYFUNCTION("""COMPUTED_VALUE"""),4)</f>
        <v>4</v>
      </c>
      <c r="AR418" s="4">
        <f ca="1">IFERROR(__xludf.DUMMYFUNCTION("""COMPUTED_VALUE"""),4)</f>
        <v>4</v>
      </c>
      <c r="AS418" s="4">
        <f ca="1">IFERROR(__xludf.DUMMYFUNCTION("""COMPUTED_VALUE"""),4)</f>
        <v>4</v>
      </c>
      <c r="AT418" s="4">
        <f ca="1">IFERROR(__xludf.DUMMYFUNCTION("""COMPUTED_VALUE"""),4)</f>
        <v>4</v>
      </c>
      <c r="AU418" s="4">
        <f ca="1">IFERROR(__xludf.DUMMYFUNCTION("""COMPUTED_VALUE"""),4)</f>
        <v>4</v>
      </c>
      <c r="AV418" s="4">
        <f ca="1">IFERROR(__xludf.DUMMYFUNCTION("""COMPUTED_VALUE"""),4)</f>
        <v>4</v>
      </c>
      <c r="AW418" s="4">
        <f ca="1">IFERROR(__xludf.DUMMYFUNCTION("""COMPUTED_VALUE"""),3)</f>
        <v>3</v>
      </c>
      <c r="AX418" s="4">
        <f ca="1">IFERROR(__xludf.DUMMYFUNCTION("""COMPUTED_VALUE"""),4)</f>
        <v>4</v>
      </c>
      <c r="AY418" s="4">
        <f ca="1">IFERROR(__xludf.DUMMYFUNCTION("""COMPUTED_VALUE"""),4)</f>
        <v>4</v>
      </c>
      <c r="AZ418" s="4">
        <f ca="1">IFERROR(__xludf.DUMMYFUNCTION("""COMPUTED_VALUE"""),4)</f>
        <v>4</v>
      </c>
      <c r="BA418" s="4">
        <f ca="1">IFERROR(__xludf.DUMMYFUNCTION("""COMPUTED_VALUE"""),4)</f>
        <v>4</v>
      </c>
      <c r="BB418" s="4">
        <f ca="1">IFERROR(__xludf.DUMMYFUNCTION("""COMPUTED_VALUE"""),4)</f>
        <v>4</v>
      </c>
      <c r="BC418" s="4">
        <f ca="1">IFERROR(__xludf.DUMMYFUNCTION("""COMPUTED_VALUE"""),4)</f>
        <v>4</v>
      </c>
      <c r="BD418" s="4">
        <f ca="1">IFERROR(__xludf.DUMMYFUNCTION("""COMPUTED_VALUE"""),4)</f>
        <v>4</v>
      </c>
      <c r="BE418" s="4">
        <f ca="1">IFERROR(__xludf.DUMMYFUNCTION("""COMPUTED_VALUE"""),4)</f>
        <v>4</v>
      </c>
      <c r="BF418" s="4">
        <f ca="1">IFERROR(__xludf.DUMMYFUNCTION("""COMPUTED_VALUE"""),4)</f>
        <v>4</v>
      </c>
      <c r="BG418" s="4">
        <f ca="1">IFERROR(__xludf.DUMMYFUNCTION("""COMPUTED_VALUE"""),4)</f>
        <v>4</v>
      </c>
      <c r="BH418" s="4">
        <f ca="1">IFERROR(__xludf.DUMMYFUNCTION("""COMPUTED_VALUE"""),4)</f>
        <v>4</v>
      </c>
      <c r="BI418" s="4">
        <f ca="1">IFERROR(__xludf.DUMMYFUNCTION("""COMPUTED_VALUE"""),4)</f>
        <v>4</v>
      </c>
      <c r="BJ418" s="4">
        <f ca="1">IFERROR(__xludf.DUMMYFUNCTION("""COMPUTED_VALUE"""),4)</f>
        <v>4</v>
      </c>
      <c r="BK418" s="4">
        <f ca="1">IFERROR(__xludf.DUMMYFUNCTION("""COMPUTED_VALUE"""),4)</f>
        <v>4</v>
      </c>
      <c r="BL418" s="4">
        <f ca="1">IFERROR(__xludf.DUMMYFUNCTION("""COMPUTED_VALUE"""),4)</f>
        <v>4</v>
      </c>
      <c r="BM418" s="4">
        <f ca="1">IFERROR(__xludf.DUMMYFUNCTION("""COMPUTED_VALUE"""),4)</f>
        <v>4</v>
      </c>
      <c r="BN418" s="4">
        <f ca="1">IFERROR(__xludf.DUMMYFUNCTION("""COMPUTED_VALUE"""),4)</f>
        <v>4</v>
      </c>
      <c r="BO418" s="4">
        <f ca="1">IFERROR(__xludf.DUMMYFUNCTION("""COMPUTED_VALUE"""),4)</f>
        <v>4</v>
      </c>
      <c r="BP418" s="4">
        <f ca="1">IFERROR(__xludf.DUMMYFUNCTION("""COMPUTED_VALUE"""),4)</f>
        <v>4</v>
      </c>
    </row>
    <row r="419" spans="1:68" ht="13.2" x14ac:dyDescent="0.25">
      <c r="A419" s="4" t="str">
        <f ca="1">IFERROR(__xludf.DUMMYFUNCTION("""COMPUTED_VALUE"""),"2_ABaOnufRDPheS0KUnS1FcmTHcEcFb4WoUvbyNZee8npxgN8zALMvqnjfqULIYkPHcw")</f>
        <v>2_ABaOnufRDPheS0KUnS1FcmTHcEcFb4WoUvbyNZee8npxgN8zALMvqnjfqULIYkPHcw</v>
      </c>
      <c r="B419" s="5">
        <f ca="1">IFERROR(__xludf.DUMMYFUNCTION("""COMPUTED_VALUE"""),45988.6425582175)</f>
        <v>45988.6425582175</v>
      </c>
      <c r="C419" s="4" t="str">
        <f ca="1">IFERROR(__xludf.DUMMYFUNCTION("""COMPUTED_VALUE"""),"Võ Đoàn thiên Thanh")</f>
        <v>Võ Đoàn thiên Thanh</v>
      </c>
      <c r="D419" s="4" t="str">
        <f ca="1">IFERROR(__xludf.DUMMYFUNCTION("""COMPUTED_VALUE"""),"Nữ")</f>
        <v>Nữ</v>
      </c>
      <c r="E419" s="4" t="str">
        <f ca="1">IFERROR(__xludf.DUMMYFUNCTION("""COMPUTED_VALUE"""),"Công ty TNHH Kiểm toán KSi VN")</f>
        <v>Công ty TNHH Kiểm toán KSi VN</v>
      </c>
      <c r="F419" s="4" t="str">
        <f ca="1">IFERROR(__xludf.DUMMYFUNCTION("""COMPUTED_VALUE"""),"Sau đại học, Chứng chỉ Kiểm toán viên")</f>
        <v>Sau đại học, Chứng chỉ Kiểm toán viên</v>
      </c>
      <c r="G419" s="4" t="str">
        <f ca="1">IFERROR(__xludf.DUMMYFUNCTION("""COMPUTED_VALUE"""),"Trên 10 đến 15 năm")</f>
        <v>Trên 10 đến 15 năm</v>
      </c>
      <c r="H419" s="4" t="str">
        <f ca="1">IFERROR(__xludf.DUMMYFUNCTION("""COMPUTED_VALUE"""),"Kiểm toán viên/Trưởng nhóm")</f>
        <v>Kiểm toán viên/Trưởng nhóm</v>
      </c>
      <c r="I419" s="4">
        <f ca="1">IFERROR(__xludf.DUMMYFUNCTION("""COMPUTED_VALUE"""),4)</f>
        <v>4</v>
      </c>
      <c r="J419" s="4">
        <f ca="1">IFERROR(__xludf.DUMMYFUNCTION("""COMPUTED_VALUE"""),4)</f>
        <v>4</v>
      </c>
      <c r="K419" s="4">
        <f ca="1">IFERROR(__xludf.DUMMYFUNCTION("""COMPUTED_VALUE"""),4)</f>
        <v>4</v>
      </c>
      <c r="L419" s="4">
        <f ca="1">IFERROR(__xludf.DUMMYFUNCTION("""COMPUTED_VALUE"""),4)</f>
        <v>4</v>
      </c>
      <c r="M419" s="4">
        <f ca="1">IFERROR(__xludf.DUMMYFUNCTION("""COMPUTED_VALUE"""),4)</f>
        <v>4</v>
      </c>
      <c r="N419" s="4">
        <f ca="1">IFERROR(__xludf.DUMMYFUNCTION("""COMPUTED_VALUE"""),4)</f>
        <v>4</v>
      </c>
      <c r="O419" s="4">
        <f ca="1">IFERROR(__xludf.DUMMYFUNCTION("""COMPUTED_VALUE"""),4)</f>
        <v>4</v>
      </c>
      <c r="P419" s="4">
        <f ca="1">IFERROR(__xludf.DUMMYFUNCTION("""COMPUTED_VALUE"""),4)</f>
        <v>4</v>
      </c>
      <c r="Q419" s="4">
        <f ca="1">IFERROR(__xludf.DUMMYFUNCTION("""COMPUTED_VALUE"""),4)</f>
        <v>4</v>
      </c>
      <c r="R419" s="4">
        <f ca="1">IFERROR(__xludf.DUMMYFUNCTION("""COMPUTED_VALUE"""),4)</f>
        <v>4</v>
      </c>
      <c r="S419" s="4">
        <f ca="1">IFERROR(__xludf.DUMMYFUNCTION("""COMPUTED_VALUE"""),4)</f>
        <v>4</v>
      </c>
      <c r="T419" s="4">
        <f ca="1">IFERROR(__xludf.DUMMYFUNCTION("""COMPUTED_VALUE"""),4)</f>
        <v>4</v>
      </c>
      <c r="U419" s="4">
        <f ca="1">IFERROR(__xludf.DUMMYFUNCTION("""COMPUTED_VALUE"""),4)</f>
        <v>4</v>
      </c>
      <c r="V419" s="4">
        <f ca="1">IFERROR(__xludf.DUMMYFUNCTION("""COMPUTED_VALUE"""),4)</f>
        <v>4</v>
      </c>
      <c r="W419" s="4">
        <f ca="1">IFERROR(__xludf.DUMMYFUNCTION("""COMPUTED_VALUE"""),4)</f>
        <v>4</v>
      </c>
      <c r="X419" s="4">
        <f ca="1">IFERROR(__xludf.DUMMYFUNCTION("""COMPUTED_VALUE"""),4)</f>
        <v>4</v>
      </c>
      <c r="Y419" s="4">
        <f ca="1">IFERROR(__xludf.DUMMYFUNCTION("""COMPUTED_VALUE"""),4)</f>
        <v>4</v>
      </c>
      <c r="Z419" s="4">
        <f ca="1">IFERROR(__xludf.DUMMYFUNCTION("""COMPUTED_VALUE"""),4)</f>
        <v>4</v>
      </c>
      <c r="AA419" s="4">
        <f ca="1">IFERROR(__xludf.DUMMYFUNCTION("""COMPUTED_VALUE"""),4)</f>
        <v>4</v>
      </c>
      <c r="AB419" s="4">
        <f ca="1">IFERROR(__xludf.DUMMYFUNCTION("""COMPUTED_VALUE"""),4)</f>
        <v>4</v>
      </c>
      <c r="AC419" s="4">
        <f ca="1">IFERROR(__xludf.DUMMYFUNCTION("""COMPUTED_VALUE"""),4)</f>
        <v>4</v>
      </c>
      <c r="AD419" s="4">
        <f ca="1">IFERROR(__xludf.DUMMYFUNCTION("""COMPUTED_VALUE"""),4)</f>
        <v>4</v>
      </c>
      <c r="AE419" s="4">
        <f ca="1">IFERROR(__xludf.DUMMYFUNCTION("""COMPUTED_VALUE"""),4)</f>
        <v>4</v>
      </c>
      <c r="AF419" s="4">
        <f ca="1">IFERROR(__xludf.DUMMYFUNCTION("""COMPUTED_VALUE"""),4)</f>
        <v>4</v>
      </c>
      <c r="AG419" s="4">
        <f ca="1">IFERROR(__xludf.DUMMYFUNCTION("""COMPUTED_VALUE"""),4)</f>
        <v>4</v>
      </c>
      <c r="AH419" s="4">
        <f ca="1">IFERROR(__xludf.DUMMYFUNCTION("""COMPUTED_VALUE"""),4)</f>
        <v>4</v>
      </c>
      <c r="AI419" s="4">
        <f ca="1">IFERROR(__xludf.DUMMYFUNCTION("""COMPUTED_VALUE"""),4)</f>
        <v>4</v>
      </c>
      <c r="AJ419" s="4">
        <f ca="1">IFERROR(__xludf.DUMMYFUNCTION("""COMPUTED_VALUE"""),4)</f>
        <v>4</v>
      </c>
      <c r="AK419" s="4">
        <f ca="1">IFERROR(__xludf.DUMMYFUNCTION("""COMPUTED_VALUE"""),4)</f>
        <v>4</v>
      </c>
      <c r="AL419" s="4">
        <f ca="1">IFERROR(__xludf.DUMMYFUNCTION("""COMPUTED_VALUE"""),4)</f>
        <v>4</v>
      </c>
      <c r="AM419" s="4">
        <f ca="1">IFERROR(__xludf.DUMMYFUNCTION("""COMPUTED_VALUE"""),4)</f>
        <v>4</v>
      </c>
      <c r="AN419" s="4">
        <f ca="1">IFERROR(__xludf.DUMMYFUNCTION("""COMPUTED_VALUE"""),4)</f>
        <v>4</v>
      </c>
      <c r="AO419" s="4">
        <f ca="1">IFERROR(__xludf.DUMMYFUNCTION("""COMPUTED_VALUE"""),4)</f>
        <v>4</v>
      </c>
      <c r="AP419" s="4">
        <f ca="1">IFERROR(__xludf.DUMMYFUNCTION("""COMPUTED_VALUE"""),4)</f>
        <v>4</v>
      </c>
      <c r="AQ419" s="4">
        <f ca="1">IFERROR(__xludf.DUMMYFUNCTION("""COMPUTED_VALUE"""),4)</f>
        <v>4</v>
      </c>
      <c r="AR419" s="4">
        <f ca="1">IFERROR(__xludf.DUMMYFUNCTION("""COMPUTED_VALUE"""),4)</f>
        <v>4</v>
      </c>
      <c r="AS419" s="4">
        <f ca="1">IFERROR(__xludf.DUMMYFUNCTION("""COMPUTED_VALUE"""),4)</f>
        <v>4</v>
      </c>
      <c r="AT419" s="4">
        <f ca="1">IFERROR(__xludf.DUMMYFUNCTION("""COMPUTED_VALUE"""),4)</f>
        <v>4</v>
      </c>
      <c r="AU419" s="4">
        <f ca="1">IFERROR(__xludf.DUMMYFUNCTION("""COMPUTED_VALUE"""),4)</f>
        <v>4</v>
      </c>
      <c r="AV419" s="4">
        <f ca="1">IFERROR(__xludf.DUMMYFUNCTION("""COMPUTED_VALUE"""),4)</f>
        <v>4</v>
      </c>
      <c r="AW419" s="4">
        <f ca="1">IFERROR(__xludf.DUMMYFUNCTION("""COMPUTED_VALUE"""),4)</f>
        <v>4</v>
      </c>
      <c r="AX419" s="4">
        <f ca="1">IFERROR(__xludf.DUMMYFUNCTION("""COMPUTED_VALUE"""),4)</f>
        <v>4</v>
      </c>
      <c r="AY419" s="4">
        <f ca="1">IFERROR(__xludf.DUMMYFUNCTION("""COMPUTED_VALUE"""),4)</f>
        <v>4</v>
      </c>
      <c r="AZ419" s="4">
        <f ca="1">IFERROR(__xludf.DUMMYFUNCTION("""COMPUTED_VALUE"""),4)</f>
        <v>4</v>
      </c>
      <c r="BA419" s="4">
        <f ca="1">IFERROR(__xludf.DUMMYFUNCTION("""COMPUTED_VALUE"""),4)</f>
        <v>4</v>
      </c>
      <c r="BB419" s="4">
        <f ca="1">IFERROR(__xludf.DUMMYFUNCTION("""COMPUTED_VALUE"""),4)</f>
        <v>4</v>
      </c>
      <c r="BC419" s="4">
        <f ca="1">IFERROR(__xludf.DUMMYFUNCTION("""COMPUTED_VALUE"""),4)</f>
        <v>4</v>
      </c>
      <c r="BD419" s="4">
        <f ca="1">IFERROR(__xludf.DUMMYFUNCTION("""COMPUTED_VALUE"""),4)</f>
        <v>4</v>
      </c>
      <c r="BE419" s="4">
        <f ca="1">IFERROR(__xludf.DUMMYFUNCTION("""COMPUTED_VALUE"""),4)</f>
        <v>4</v>
      </c>
      <c r="BF419" s="4">
        <f ca="1">IFERROR(__xludf.DUMMYFUNCTION("""COMPUTED_VALUE"""),4)</f>
        <v>4</v>
      </c>
      <c r="BG419" s="4">
        <f ca="1">IFERROR(__xludf.DUMMYFUNCTION("""COMPUTED_VALUE"""),4)</f>
        <v>4</v>
      </c>
      <c r="BH419" s="4">
        <f ca="1">IFERROR(__xludf.DUMMYFUNCTION("""COMPUTED_VALUE"""),4)</f>
        <v>4</v>
      </c>
      <c r="BI419" s="4">
        <f ca="1">IFERROR(__xludf.DUMMYFUNCTION("""COMPUTED_VALUE"""),4)</f>
        <v>4</v>
      </c>
      <c r="BJ419" s="4">
        <f ca="1">IFERROR(__xludf.DUMMYFUNCTION("""COMPUTED_VALUE"""),4)</f>
        <v>4</v>
      </c>
      <c r="BK419" s="4">
        <f ca="1">IFERROR(__xludf.DUMMYFUNCTION("""COMPUTED_VALUE"""),4)</f>
        <v>4</v>
      </c>
      <c r="BL419" s="4">
        <f ca="1">IFERROR(__xludf.DUMMYFUNCTION("""COMPUTED_VALUE"""),4)</f>
        <v>4</v>
      </c>
      <c r="BM419" s="4">
        <f ca="1">IFERROR(__xludf.DUMMYFUNCTION("""COMPUTED_VALUE"""),4)</f>
        <v>4</v>
      </c>
      <c r="BN419" s="4">
        <f ca="1">IFERROR(__xludf.DUMMYFUNCTION("""COMPUTED_VALUE"""),4)</f>
        <v>4</v>
      </c>
      <c r="BO419" s="4">
        <f ca="1">IFERROR(__xludf.DUMMYFUNCTION("""COMPUTED_VALUE"""),4)</f>
        <v>4</v>
      </c>
      <c r="BP419" s="4">
        <f ca="1">IFERROR(__xludf.DUMMYFUNCTION("""COMPUTED_VALUE"""),4)</f>
        <v>4</v>
      </c>
    </row>
    <row r="420" spans="1:68" ht="13.2" x14ac:dyDescent="0.25">
      <c r="A420" s="4" t="str">
        <f ca="1">IFERROR(__xludf.DUMMYFUNCTION("""COMPUTED_VALUE"""),"2_ABaOnufjcwTSAfYLOP2r-r4E4PhaHYqGU-5hCFjuaPd_no68o3I6Q6uZ1pqbpCfTFA")</f>
        <v>2_ABaOnufjcwTSAfYLOP2r-r4E4PhaHYqGU-5hCFjuaPd_no68o3I6Q6uZ1pqbpCfTFA</v>
      </c>
      <c r="B420" s="5">
        <f ca="1">IFERROR(__xludf.DUMMYFUNCTION("""COMPUTED_VALUE"""),45988.644300949)</f>
        <v>45988.644300949003</v>
      </c>
      <c r="C420" s="4" t="str">
        <f ca="1">IFERROR(__xludf.DUMMYFUNCTION("""COMPUTED_VALUE"""),"Phạm Tuấn Việt")</f>
        <v>Phạm Tuấn Việt</v>
      </c>
      <c r="D420" s="4" t="str">
        <f ca="1">IFERROR(__xludf.DUMMYFUNCTION("""COMPUTED_VALUE"""),"Nam")</f>
        <v>Nam</v>
      </c>
      <c r="E420" s="4" t="str">
        <f ca="1">IFERROR(__xludf.DUMMYFUNCTION("""COMPUTED_VALUE"""),"Công ty TNHH Hãng kiểm toán ACCA Việt Nam")</f>
        <v>Công ty TNHH Hãng kiểm toán ACCA Việt Nam</v>
      </c>
      <c r="F420" s="4" t="str">
        <f ca="1">IFERROR(__xludf.DUMMYFUNCTION("""COMPUTED_VALUE"""),"Đại học, Sau đại học, Chứng chỉ Kiểm toán viên")</f>
        <v>Đại học, Sau đại học, Chứng chỉ Kiểm toán viên</v>
      </c>
      <c r="G420" s="4" t="str">
        <f ca="1">IFERROR(__xludf.DUMMYFUNCTION("""COMPUTED_VALUE"""),"Trên 10 đến 15 năm")</f>
        <v>Trên 10 đến 15 năm</v>
      </c>
      <c r="H420" s="4" t="str">
        <f ca="1">IFERROR(__xludf.DUMMYFUNCTION("""COMPUTED_VALUE"""),"Kiểm toán viên/Trưởng nhóm")</f>
        <v>Kiểm toán viên/Trưởng nhóm</v>
      </c>
      <c r="I420" s="4">
        <f ca="1">IFERROR(__xludf.DUMMYFUNCTION("""COMPUTED_VALUE"""),4)</f>
        <v>4</v>
      </c>
      <c r="J420" s="4">
        <f ca="1">IFERROR(__xludf.DUMMYFUNCTION("""COMPUTED_VALUE"""),4)</f>
        <v>4</v>
      </c>
      <c r="K420" s="4">
        <f ca="1">IFERROR(__xludf.DUMMYFUNCTION("""COMPUTED_VALUE"""),3)</f>
        <v>3</v>
      </c>
      <c r="L420" s="4">
        <f ca="1">IFERROR(__xludf.DUMMYFUNCTION("""COMPUTED_VALUE"""),4)</f>
        <v>4</v>
      </c>
      <c r="M420" s="4">
        <f ca="1">IFERROR(__xludf.DUMMYFUNCTION("""COMPUTED_VALUE"""),4)</f>
        <v>4</v>
      </c>
      <c r="N420" s="4">
        <f ca="1">IFERROR(__xludf.DUMMYFUNCTION("""COMPUTED_VALUE"""),3)</f>
        <v>3</v>
      </c>
      <c r="O420" s="4">
        <f ca="1">IFERROR(__xludf.DUMMYFUNCTION("""COMPUTED_VALUE"""),2)</f>
        <v>2</v>
      </c>
      <c r="P420" s="4">
        <f ca="1">IFERROR(__xludf.DUMMYFUNCTION("""COMPUTED_VALUE"""),4)</f>
        <v>4</v>
      </c>
      <c r="Q420" s="4">
        <f ca="1">IFERROR(__xludf.DUMMYFUNCTION("""COMPUTED_VALUE"""),4)</f>
        <v>4</v>
      </c>
      <c r="R420" s="4">
        <f ca="1">IFERROR(__xludf.DUMMYFUNCTION("""COMPUTED_VALUE"""),4)</f>
        <v>4</v>
      </c>
      <c r="S420" s="4">
        <f ca="1">IFERROR(__xludf.DUMMYFUNCTION("""COMPUTED_VALUE"""),4)</f>
        <v>4</v>
      </c>
      <c r="T420" s="4">
        <f ca="1">IFERROR(__xludf.DUMMYFUNCTION("""COMPUTED_VALUE"""),4)</f>
        <v>4</v>
      </c>
      <c r="U420" s="4">
        <f ca="1">IFERROR(__xludf.DUMMYFUNCTION("""COMPUTED_VALUE"""),4)</f>
        <v>4</v>
      </c>
      <c r="V420" s="4">
        <f ca="1">IFERROR(__xludf.DUMMYFUNCTION("""COMPUTED_VALUE"""),4)</f>
        <v>4</v>
      </c>
      <c r="W420" s="4">
        <f ca="1">IFERROR(__xludf.DUMMYFUNCTION("""COMPUTED_VALUE"""),3)</f>
        <v>3</v>
      </c>
      <c r="X420" s="4">
        <f ca="1">IFERROR(__xludf.DUMMYFUNCTION("""COMPUTED_VALUE"""),3)</f>
        <v>3</v>
      </c>
      <c r="Y420" s="4">
        <f ca="1">IFERROR(__xludf.DUMMYFUNCTION("""COMPUTED_VALUE"""),3)</f>
        <v>3</v>
      </c>
      <c r="Z420" s="4">
        <f ca="1">IFERROR(__xludf.DUMMYFUNCTION("""COMPUTED_VALUE"""),3)</f>
        <v>3</v>
      </c>
      <c r="AA420" s="4">
        <f ca="1">IFERROR(__xludf.DUMMYFUNCTION("""COMPUTED_VALUE"""),3)</f>
        <v>3</v>
      </c>
      <c r="AB420" s="4">
        <f ca="1">IFERROR(__xludf.DUMMYFUNCTION("""COMPUTED_VALUE"""),4)</f>
        <v>4</v>
      </c>
      <c r="AC420" s="4">
        <f ca="1">IFERROR(__xludf.DUMMYFUNCTION("""COMPUTED_VALUE"""),4)</f>
        <v>4</v>
      </c>
      <c r="AD420" s="4">
        <f ca="1">IFERROR(__xludf.DUMMYFUNCTION("""COMPUTED_VALUE"""),3)</f>
        <v>3</v>
      </c>
      <c r="AE420" s="4">
        <f ca="1">IFERROR(__xludf.DUMMYFUNCTION("""COMPUTED_VALUE"""),4)</f>
        <v>4</v>
      </c>
      <c r="AF420" s="4">
        <f ca="1">IFERROR(__xludf.DUMMYFUNCTION("""COMPUTED_VALUE"""),4)</f>
        <v>4</v>
      </c>
      <c r="AG420" s="4">
        <f ca="1">IFERROR(__xludf.DUMMYFUNCTION("""COMPUTED_VALUE"""),4)</f>
        <v>4</v>
      </c>
      <c r="AH420" s="4">
        <f ca="1">IFERROR(__xludf.DUMMYFUNCTION("""COMPUTED_VALUE"""),4)</f>
        <v>4</v>
      </c>
      <c r="AI420" s="4">
        <f ca="1">IFERROR(__xludf.DUMMYFUNCTION("""COMPUTED_VALUE"""),4)</f>
        <v>4</v>
      </c>
      <c r="AJ420" s="4">
        <f ca="1">IFERROR(__xludf.DUMMYFUNCTION("""COMPUTED_VALUE"""),3)</f>
        <v>3</v>
      </c>
      <c r="AK420" s="4">
        <f ca="1">IFERROR(__xludf.DUMMYFUNCTION("""COMPUTED_VALUE"""),3)</f>
        <v>3</v>
      </c>
      <c r="AL420" s="4">
        <f ca="1">IFERROR(__xludf.DUMMYFUNCTION("""COMPUTED_VALUE"""),3)</f>
        <v>3</v>
      </c>
      <c r="AM420" s="4">
        <f ca="1">IFERROR(__xludf.DUMMYFUNCTION("""COMPUTED_VALUE"""),3)</f>
        <v>3</v>
      </c>
      <c r="AN420" s="4">
        <f ca="1">IFERROR(__xludf.DUMMYFUNCTION("""COMPUTED_VALUE"""),3)</f>
        <v>3</v>
      </c>
      <c r="AO420" s="4">
        <f ca="1">IFERROR(__xludf.DUMMYFUNCTION("""COMPUTED_VALUE"""),3)</f>
        <v>3</v>
      </c>
      <c r="AP420" s="4">
        <f ca="1">IFERROR(__xludf.DUMMYFUNCTION("""COMPUTED_VALUE"""),3)</f>
        <v>3</v>
      </c>
      <c r="AQ420" s="4">
        <f ca="1">IFERROR(__xludf.DUMMYFUNCTION("""COMPUTED_VALUE"""),3)</f>
        <v>3</v>
      </c>
      <c r="AR420" s="4">
        <f ca="1">IFERROR(__xludf.DUMMYFUNCTION("""COMPUTED_VALUE"""),3)</f>
        <v>3</v>
      </c>
      <c r="AS420" s="4">
        <f ca="1">IFERROR(__xludf.DUMMYFUNCTION("""COMPUTED_VALUE"""),3)</f>
        <v>3</v>
      </c>
      <c r="AT420" s="4">
        <f ca="1">IFERROR(__xludf.DUMMYFUNCTION("""COMPUTED_VALUE"""),3)</f>
        <v>3</v>
      </c>
      <c r="AU420" s="4">
        <f ca="1">IFERROR(__xludf.DUMMYFUNCTION("""COMPUTED_VALUE"""),3)</f>
        <v>3</v>
      </c>
      <c r="AV420" s="4">
        <f ca="1">IFERROR(__xludf.DUMMYFUNCTION("""COMPUTED_VALUE"""),3)</f>
        <v>3</v>
      </c>
      <c r="AW420" s="4">
        <f ca="1">IFERROR(__xludf.DUMMYFUNCTION("""COMPUTED_VALUE"""),3)</f>
        <v>3</v>
      </c>
      <c r="AX420" s="4">
        <f ca="1">IFERROR(__xludf.DUMMYFUNCTION("""COMPUTED_VALUE"""),4)</f>
        <v>4</v>
      </c>
      <c r="AY420" s="4">
        <f ca="1">IFERROR(__xludf.DUMMYFUNCTION("""COMPUTED_VALUE"""),4)</f>
        <v>4</v>
      </c>
      <c r="AZ420" s="4">
        <f ca="1">IFERROR(__xludf.DUMMYFUNCTION("""COMPUTED_VALUE"""),4)</f>
        <v>4</v>
      </c>
      <c r="BA420" s="4">
        <f ca="1">IFERROR(__xludf.DUMMYFUNCTION("""COMPUTED_VALUE"""),4)</f>
        <v>4</v>
      </c>
      <c r="BB420" s="4">
        <f ca="1">IFERROR(__xludf.DUMMYFUNCTION("""COMPUTED_VALUE"""),3)</f>
        <v>3</v>
      </c>
      <c r="BC420" s="4">
        <f ca="1">IFERROR(__xludf.DUMMYFUNCTION("""COMPUTED_VALUE"""),3)</f>
        <v>3</v>
      </c>
      <c r="BD420" s="4">
        <f ca="1">IFERROR(__xludf.DUMMYFUNCTION("""COMPUTED_VALUE"""),4)</f>
        <v>4</v>
      </c>
      <c r="BE420" s="4">
        <f ca="1">IFERROR(__xludf.DUMMYFUNCTION("""COMPUTED_VALUE"""),3)</f>
        <v>3</v>
      </c>
      <c r="BF420" s="4">
        <f ca="1">IFERROR(__xludf.DUMMYFUNCTION("""COMPUTED_VALUE"""),3)</f>
        <v>3</v>
      </c>
      <c r="BG420" s="4">
        <f ca="1">IFERROR(__xludf.DUMMYFUNCTION("""COMPUTED_VALUE"""),3)</f>
        <v>3</v>
      </c>
      <c r="BH420" s="4">
        <f ca="1">IFERROR(__xludf.DUMMYFUNCTION("""COMPUTED_VALUE"""),3)</f>
        <v>3</v>
      </c>
      <c r="BI420" s="4">
        <f ca="1">IFERROR(__xludf.DUMMYFUNCTION("""COMPUTED_VALUE"""),3)</f>
        <v>3</v>
      </c>
      <c r="BJ420" s="4">
        <f ca="1">IFERROR(__xludf.DUMMYFUNCTION("""COMPUTED_VALUE"""),3)</f>
        <v>3</v>
      </c>
      <c r="BK420" s="4">
        <f ca="1">IFERROR(__xludf.DUMMYFUNCTION("""COMPUTED_VALUE"""),3)</f>
        <v>3</v>
      </c>
      <c r="BL420" s="4">
        <f ca="1">IFERROR(__xludf.DUMMYFUNCTION("""COMPUTED_VALUE"""),3)</f>
        <v>3</v>
      </c>
      <c r="BM420" s="4">
        <f ca="1">IFERROR(__xludf.DUMMYFUNCTION("""COMPUTED_VALUE"""),3)</f>
        <v>3</v>
      </c>
      <c r="BN420" s="4">
        <f ca="1">IFERROR(__xludf.DUMMYFUNCTION("""COMPUTED_VALUE"""),3)</f>
        <v>3</v>
      </c>
      <c r="BO420" s="4">
        <f ca="1">IFERROR(__xludf.DUMMYFUNCTION("""COMPUTED_VALUE"""),3)</f>
        <v>3</v>
      </c>
      <c r="BP420" s="4">
        <f ca="1">IFERROR(__xludf.DUMMYFUNCTION("""COMPUTED_VALUE"""),3)</f>
        <v>3</v>
      </c>
    </row>
    <row r="421" spans="1:68" ht="13.2" x14ac:dyDescent="0.25">
      <c r="A421" s="4" t="str">
        <f ca="1">IFERROR(__xludf.DUMMYFUNCTION("""COMPUTED_VALUE"""),"2_ABaOnud63cwB6AUzG6BqafTRQqWGLpdR9hlWpdLM91JM7sRGspSehJ8dNpJQbi1HZw")</f>
        <v>2_ABaOnud63cwB6AUzG6BqafTRQqWGLpdR9hlWpdLM91JM7sRGspSehJ8dNpJQbi1HZw</v>
      </c>
      <c r="B421" s="5">
        <f ca="1">IFERROR(__xludf.DUMMYFUNCTION("""COMPUTED_VALUE"""),45988.6448424305)</f>
        <v>45988.644842430498</v>
      </c>
      <c r="C421" s="4" t="str">
        <f ca="1">IFERROR(__xludf.DUMMYFUNCTION("""COMPUTED_VALUE"""),"Lê Anh Tuấn")</f>
        <v>Lê Anh Tuấn</v>
      </c>
      <c r="D421" s="4" t="str">
        <f ca="1">IFERROR(__xludf.DUMMYFUNCTION("""COMPUTED_VALUE"""),"Nam")</f>
        <v>Nam</v>
      </c>
      <c r="E421" s="4" t="str">
        <f ca="1">IFERROR(__xludf.DUMMYFUNCTION("""COMPUTED_VALUE"""),"Công ty Kiểm toán")</f>
        <v>Công ty Kiểm toán</v>
      </c>
      <c r="F421" s="4" t="str">
        <f ca="1">IFERROR(__xludf.DUMMYFUNCTION("""COMPUTED_VALUE"""),"Sau đại học")</f>
        <v>Sau đại học</v>
      </c>
      <c r="G421" s="4" t="str">
        <f ca="1">IFERROR(__xludf.DUMMYFUNCTION("""COMPUTED_VALUE"""),"Trên 5 đến 10 năm")</f>
        <v>Trên 5 đến 10 năm</v>
      </c>
      <c r="H421" s="4" t="str">
        <f ca="1">IFERROR(__xludf.DUMMYFUNCTION("""COMPUTED_VALUE"""),"Kiểm toán viên/Trưởng nhóm")</f>
        <v>Kiểm toán viên/Trưởng nhóm</v>
      </c>
      <c r="I421" s="4">
        <f ca="1">IFERROR(__xludf.DUMMYFUNCTION("""COMPUTED_VALUE"""),5)</f>
        <v>5</v>
      </c>
      <c r="J421" s="4">
        <f ca="1">IFERROR(__xludf.DUMMYFUNCTION("""COMPUTED_VALUE"""),5)</f>
        <v>5</v>
      </c>
      <c r="K421" s="4">
        <f ca="1">IFERROR(__xludf.DUMMYFUNCTION("""COMPUTED_VALUE"""),5)</f>
        <v>5</v>
      </c>
      <c r="L421" s="4">
        <f ca="1">IFERROR(__xludf.DUMMYFUNCTION("""COMPUTED_VALUE"""),5)</f>
        <v>5</v>
      </c>
      <c r="M421" s="4">
        <f ca="1">IFERROR(__xludf.DUMMYFUNCTION("""COMPUTED_VALUE"""),5)</f>
        <v>5</v>
      </c>
      <c r="N421" s="4">
        <f ca="1">IFERROR(__xludf.DUMMYFUNCTION("""COMPUTED_VALUE"""),5)</f>
        <v>5</v>
      </c>
      <c r="O421" s="4">
        <f ca="1">IFERROR(__xludf.DUMMYFUNCTION("""COMPUTED_VALUE"""),5)</f>
        <v>5</v>
      </c>
      <c r="P421" s="4">
        <f ca="1">IFERROR(__xludf.DUMMYFUNCTION("""COMPUTED_VALUE"""),3)</f>
        <v>3</v>
      </c>
      <c r="Q421" s="4">
        <f ca="1">IFERROR(__xludf.DUMMYFUNCTION("""COMPUTED_VALUE"""),4)</f>
        <v>4</v>
      </c>
      <c r="R421" s="4">
        <f ca="1">IFERROR(__xludf.DUMMYFUNCTION("""COMPUTED_VALUE"""),5)</f>
        <v>5</v>
      </c>
      <c r="S421" s="4">
        <f ca="1">IFERROR(__xludf.DUMMYFUNCTION("""COMPUTED_VALUE"""),5)</f>
        <v>5</v>
      </c>
      <c r="T421" s="4">
        <f ca="1">IFERROR(__xludf.DUMMYFUNCTION("""COMPUTED_VALUE"""),5)</f>
        <v>5</v>
      </c>
      <c r="U421" s="4">
        <f ca="1">IFERROR(__xludf.DUMMYFUNCTION("""COMPUTED_VALUE"""),5)</f>
        <v>5</v>
      </c>
      <c r="V421" s="4">
        <f ca="1">IFERROR(__xludf.DUMMYFUNCTION("""COMPUTED_VALUE"""),5)</f>
        <v>5</v>
      </c>
      <c r="W421" s="4">
        <f ca="1">IFERROR(__xludf.DUMMYFUNCTION("""COMPUTED_VALUE"""),3)</f>
        <v>3</v>
      </c>
      <c r="X421" s="4">
        <f ca="1">IFERROR(__xludf.DUMMYFUNCTION("""COMPUTED_VALUE"""),3)</f>
        <v>3</v>
      </c>
      <c r="Y421" s="4">
        <f ca="1">IFERROR(__xludf.DUMMYFUNCTION("""COMPUTED_VALUE"""),3)</f>
        <v>3</v>
      </c>
      <c r="Z421" s="4">
        <f ca="1">IFERROR(__xludf.DUMMYFUNCTION("""COMPUTED_VALUE"""),3)</f>
        <v>3</v>
      </c>
      <c r="AA421" s="4">
        <f ca="1">IFERROR(__xludf.DUMMYFUNCTION("""COMPUTED_VALUE"""),3)</f>
        <v>3</v>
      </c>
      <c r="AB421" s="4">
        <f ca="1">IFERROR(__xludf.DUMMYFUNCTION("""COMPUTED_VALUE"""),5)</f>
        <v>5</v>
      </c>
      <c r="AC421" s="4">
        <f ca="1">IFERROR(__xludf.DUMMYFUNCTION("""COMPUTED_VALUE"""),3)</f>
        <v>3</v>
      </c>
      <c r="AD421" s="4">
        <f ca="1">IFERROR(__xludf.DUMMYFUNCTION("""COMPUTED_VALUE"""),5)</f>
        <v>5</v>
      </c>
      <c r="AE421" s="4">
        <f ca="1">IFERROR(__xludf.DUMMYFUNCTION("""COMPUTED_VALUE"""),5)</f>
        <v>5</v>
      </c>
      <c r="AF421" s="4">
        <f ca="1">IFERROR(__xludf.DUMMYFUNCTION("""COMPUTED_VALUE"""),5)</f>
        <v>5</v>
      </c>
      <c r="AG421" s="4">
        <f ca="1">IFERROR(__xludf.DUMMYFUNCTION("""COMPUTED_VALUE"""),5)</f>
        <v>5</v>
      </c>
      <c r="AH421" s="4">
        <f ca="1">IFERROR(__xludf.DUMMYFUNCTION("""COMPUTED_VALUE"""),5)</f>
        <v>5</v>
      </c>
      <c r="AI421" s="4">
        <f ca="1">IFERROR(__xludf.DUMMYFUNCTION("""COMPUTED_VALUE"""),5)</f>
        <v>5</v>
      </c>
      <c r="AJ421" s="4">
        <f ca="1">IFERROR(__xludf.DUMMYFUNCTION("""COMPUTED_VALUE"""),3)</f>
        <v>3</v>
      </c>
      <c r="AK421" s="4">
        <f ca="1">IFERROR(__xludf.DUMMYFUNCTION("""COMPUTED_VALUE"""),3)</f>
        <v>3</v>
      </c>
      <c r="AL421" s="4">
        <f ca="1">IFERROR(__xludf.DUMMYFUNCTION("""COMPUTED_VALUE"""),3)</f>
        <v>3</v>
      </c>
      <c r="AM421" s="4">
        <f ca="1">IFERROR(__xludf.DUMMYFUNCTION("""COMPUTED_VALUE"""),3)</f>
        <v>3</v>
      </c>
      <c r="AN421" s="4">
        <f ca="1">IFERROR(__xludf.DUMMYFUNCTION("""COMPUTED_VALUE"""),3)</f>
        <v>3</v>
      </c>
      <c r="AO421" s="4">
        <f ca="1">IFERROR(__xludf.DUMMYFUNCTION("""COMPUTED_VALUE"""),3)</f>
        <v>3</v>
      </c>
      <c r="AP421" s="4">
        <f ca="1">IFERROR(__xludf.DUMMYFUNCTION("""COMPUTED_VALUE"""),2)</f>
        <v>2</v>
      </c>
      <c r="AQ421" s="4">
        <f ca="1">IFERROR(__xludf.DUMMYFUNCTION("""COMPUTED_VALUE"""),1)</f>
        <v>1</v>
      </c>
      <c r="AR421" s="4">
        <f ca="1">IFERROR(__xludf.DUMMYFUNCTION("""COMPUTED_VALUE"""),1)</f>
        <v>1</v>
      </c>
      <c r="AS421" s="4">
        <f ca="1">IFERROR(__xludf.DUMMYFUNCTION("""COMPUTED_VALUE"""),2)</f>
        <v>2</v>
      </c>
      <c r="AT421" s="4">
        <f ca="1">IFERROR(__xludf.DUMMYFUNCTION("""COMPUTED_VALUE"""),4)</f>
        <v>4</v>
      </c>
      <c r="AU421" s="4">
        <f ca="1">IFERROR(__xludf.DUMMYFUNCTION("""COMPUTED_VALUE"""),5)</f>
        <v>5</v>
      </c>
      <c r="AV421" s="4">
        <f ca="1">IFERROR(__xludf.DUMMYFUNCTION("""COMPUTED_VALUE"""),3)</f>
        <v>3</v>
      </c>
      <c r="AW421" s="4">
        <f ca="1">IFERROR(__xludf.DUMMYFUNCTION("""COMPUTED_VALUE"""),3)</f>
        <v>3</v>
      </c>
      <c r="AX421" s="4">
        <f ca="1">IFERROR(__xludf.DUMMYFUNCTION("""COMPUTED_VALUE"""),5)</f>
        <v>5</v>
      </c>
      <c r="AY421" s="4">
        <f ca="1">IFERROR(__xludf.DUMMYFUNCTION("""COMPUTED_VALUE"""),4)</f>
        <v>4</v>
      </c>
      <c r="AZ421" s="4">
        <f ca="1">IFERROR(__xludf.DUMMYFUNCTION("""COMPUTED_VALUE"""),4)</f>
        <v>4</v>
      </c>
      <c r="BA421" s="4">
        <f ca="1">IFERROR(__xludf.DUMMYFUNCTION("""COMPUTED_VALUE"""),5)</f>
        <v>5</v>
      </c>
      <c r="BB421" s="4">
        <f ca="1">IFERROR(__xludf.DUMMYFUNCTION("""COMPUTED_VALUE"""),4)</f>
        <v>4</v>
      </c>
      <c r="BC421" s="4">
        <f ca="1">IFERROR(__xludf.DUMMYFUNCTION("""COMPUTED_VALUE"""),5)</f>
        <v>5</v>
      </c>
      <c r="BD421" s="4">
        <f ca="1">IFERROR(__xludf.DUMMYFUNCTION("""COMPUTED_VALUE"""),5)</f>
        <v>5</v>
      </c>
      <c r="BE421" s="4">
        <f ca="1">IFERROR(__xludf.DUMMYFUNCTION("""COMPUTED_VALUE"""),5)</f>
        <v>5</v>
      </c>
      <c r="BF421" s="4">
        <f ca="1">IFERROR(__xludf.DUMMYFUNCTION("""COMPUTED_VALUE"""),5)</f>
        <v>5</v>
      </c>
      <c r="BG421" s="4">
        <f ca="1">IFERROR(__xludf.DUMMYFUNCTION("""COMPUTED_VALUE"""),3)</f>
        <v>3</v>
      </c>
      <c r="BH421" s="4">
        <f ca="1">IFERROR(__xludf.DUMMYFUNCTION("""COMPUTED_VALUE"""),5)</f>
        <v>5</v>
      </c>
      <c r="BI421" s="4">
        <f ca="1">IFERROR(__xludf.DUMMYFUNCTION("""COMPUTED_VALUE"""),5)</f>
        <v>5</v>
      </c>
      <c r="BJ421" s="4">
        <f ca="1">IFERROR(__xludf.DUMMYFUNCTION("""COMPUTED_VALUE"""),5)</f>
        <v>5</v>
      </c>
      <c r="BK421" s="4">
        <f ca="1">IFERROR(__xludf.DUMMYFUNCTION("""COMPUTED_VALUE"""),5)</f>
        <v>5</v>
      </c>
      <c r="BL421" s="4">
        <f ca="1">IFERROR(__xludf.DUMMYFUNCTION("""COMPUTED_VALUE"""),5)</f>
        <v>5</v>
      </c>
      <c r="BM421" s="4">
        <f ca="1">IFERROR(__xludf.DUMMYFUNCTION("""COMPUTED_VALUE"""),5)</f>
        <v>5</v>
      </c>
      <c r="BN421" s="4">
        <f ca="1">IFERROR(__xludf.DUMMYFUNCTION("""COMPUTED_VALUE"""),5)</f>
        <v>5</v>
      </c>
      <c r="BO421" s="4">
        <f ca="1">IFERROR(__xludf.DUMMYFUNCTION("""COMPUTED_VALUE"""),5)</f>
        <v>5</v>
      </c>
      <c r="BP421" s="4">
        <f ca="1">IFERROR(__xludf.DUMMYFUNCTION("""COMPUTED_VALUE"""),5)</f>
        <v>5</v>
      </c>
    </row>
    <row r="422" spans="1:68" ht="13.2" x14ac:dyDescent="0.25">
      <c r="A422" s="4" t="str">
        <f ca="1">IFERROR(__xludf.DUMMYFUNCTION("""COMPUTED_VALUE"""),"2_ABaOnuc7SI58yXn7dTwdClNGCykQCRuegeRKCtxgl3cXaZXMa8uyoaNsI70n_XV5VQ")</f>
        <v>2_ABaOnuc7SI58yXn7dTwdClNGCykQCRuegeRKCtxgl3cXaZXMa8uyoaNsI70n_XV5VQ</v>
      </c>
      <c r="B422" s="5">
        <f ca="1">IFERROR(__xludf.DUMMYFUNCTION("""COMPUTED_VALUE"""),45988.6461718402)</f>
        <v>45988.646171840199</v>
      </c>
      <c r="C422" s="4" t="str">
        <f ca="1">IFERROR(__xludf.DUMMYFUNCTION("""COMPUTED_VALUE"""),"Nguyễn Nam Tài")</f>
        <v>Nguyễn Nam Tài</v>
      </c>
      <c r="D422" s="4" t="str">
        <f ca="1">IFERROR(__xludf.DUMMYFUNCTION("""COMPUTED_VALUE"""),"Nam")</f>
        <v>Nam</v>
      </c>
      <c r="E422" s="4" t="str">
        <f ca="1">IFERROR(__xludf.DUMMYFUNCTION("""COMPUTED_VALUE"""),"Công ty TNHH Kiểm toán AACS")</f>
        <v>Công ty TNHH Kiểm toán AACS</v>
      </c>
      <c r="F422" s="4" t="str">
        <f ca="1">IFERROR(__xludf.DUMMYFUNCTION("""COMPUTED_VALUE"""),"Sau đại học, Chứng chỉ Kiểm toán viên")</f>
        <v>Sau đại học, Chứng chỉ Kiểm toán viên</v>
      </c>
      <c r="G422" s="4" t="str">
        <f ca="1">IFERROR(__xludf.DUMMYFUNCTION("""COMPUTED_VALUE"""),"Trên 10 đến 15 năm")</f>
        <v>Trên 10 đến 15 năm</v>
      </c>
      <c r="H422" s="4" t="str">
        <f ca="1">IFERROR(__xludf.DUMMYFUNCTION("""COMPUTED_VALUE"""),"Ban giám đốc")</f>
        <v>Ban giám đốc</v>
      </c>
      <c r="I422" s="4">
        <f ca="1">IFERROR(__xludf.DUMMYFUNCTION("""COMPUTED_VALUE"""),4)</f>
        <v>4</v>
      </c>
      <c r="J422" s="4">
        <f ca="1">IFERROR(__xludf.DUMMYFUNCTION("""COMPUTED_VALUE"""),4)</f>
        <v>4</v>
      </c>
      <c r="K422" s="4">
        <f ca="1">IFERROR(__xludf.DUMMYFUNCTION("""COMPUTED_VALUE"""),4)</f>
        <v>4</v>
      </c>
      <c r="L422" s="4">
        <f ca="1">IFERROR(__xludf.DUMMYFUNCTION("""COMPUTED_VALUE"""),4)</f>
        <v>4</v>
      </c>
      <c r="M422" s="4">
        <f ca="1">IFERROR(__xludf.DUMMYFUNCTION("""COMPUTED_VALUE"""),4)</f>
        <v>4</v>
      </c>
      <c r="N422" s="4">
        <f ca="1">IFERROR(__xludf.DUMMYFUNCTION("""COMPUTED_VALUE"""),4)</f>
        <v>4</v>
      </c>
      <c r="O422" s="4">
        <f ca="1">IFERROR(__xludf.DUMMYFUNCTION("""COMPUTED_VALUE"""),4)</f>
        <v>4</v>
      </c>
      <c r="P422" s="4">
        <f ca="1">IFERROR(__xludf.DUMMYFUNCTION("""COMPUTED_VALUE"""),4)</f>
        <v>4</v>
      </c>
      <c r="Q422" s="4">
        <f ca="1">IFERROR(__xludf.DUMMYFUNCTION("""COMPUTED_VALUE"""),4)</f>
        <v>4</v>
      </c>
      <c r="R422" s="4">
        <f ca="1">IFERROR(__xludf.DUMMYFUNCTION("""COMPUTED_VALUE"""),4)</f>
        <v>4</v>
      </c>
      <c r="S422" s="4">
        <f ca="1">IFERROR(__xludf.DUMMYFUNCTION("""COMPUTED_VALUE"""),4)</f>
        <v>4</v>
      </c>
      <c r="T422" s="4">
        <f ca="1">IFERROR(__xludf.DUMMYFUNCTION("""COMPUTED_VALUE"""),4)</f>
        <v>4</v>
      </c>
      <c r="U422" s="4">
        <f ca="1">IFERROR(__xludf.DUMMYFUNCTION("""COMPUTED_VALUE"""),4)</f>
        <v>4</v>
      </c>
      <c r="V422" s="4">
        <f ca="1">IFERROR(__xludf.DUMMYFUNCTION("""COMPUTED_VALUE"""),4)</f>
        <v>4</v>
      </c>
      <c r="W422" s="4">
        <f ca="1">IFERROR(__xludf.DUMMYFUNCTION("""COMPUTED_VALUE"""),4)</f>
        <v>4</v>
      </c>
      <c r="X422" s="4">
        <f ca="1">IFERROR(__xludf.DUMMYFUNCTION("""COMPUTED_VALUE"""),4)</f>
        <v>4</v>
      </c>
      <c r="Y422" s="4">
        <f ca="1">IFERROR(__xludf.DUMMYFUNCTION("""COMPUTED_VALUE"""),3)</f>
        <v>3</v>
      </c>
      <c r="Z422" s="4">
        <f ca="1">IFERROR(__xludf.DUMMYFUNCTION("""COMPUTED_VALUE"""),4)</f>
        <v>4</v>
      </c>
      <c r="AA422" s="4">
        <f ca="1">IFERROR(__xludf.DUMMYFUNCTION("""COMPUTED_VALUE"""),4)</f>
        <v>4</v>
      </c>
      <c r="AB422" s="4">
        <f ca="1">IFERROR(__xludf.DUMMYFUNCTION("""COMPUTED_VALUE"""),3)</f>
        <v>3</v>
      </c>
      <c r="AC422" s="4">
        <f ca="1">IFERROR(__xludf.DUMMYFUNCTION("""COMPUTED_VALUE"""),4)</f>
        <v>4</v>
      </c>
      <c r="AD422" s="4">
        <f ca="1">IFERROR(__xludf.DUMMYFUNCTION("""COMPUTED_VALUE"""),4)</f>
        <v>4</v>
      </c>
      <c r="AE422" s="4">
        <f ca="1">IFERROR(__xludf.DUMMYFUNCTION("""COMPUTED_VALUE"""),4)</f>
        <v>4</v>
      </c>
      <c r="AF422" s="4">
        <f ca="1">IFERROR(__xludf.DUMMYFUNCTION("""COMPUTED_VALUE"""),4)</f>
        <v>4</v>
      </c>
      <c r="AG422" s="4">
        <f ca="1">IFERROR(__xludf.DUMMYFUNCTION("""COMPUTED_VALUE"""),4)</f>
        <v>4</v>
      </c>
      <c r="AH422" s="4">
        <f ca="1">IFERROR(__xludf.DUMMYFUNCTION("""COMPUTED_VALUE"""),4)</f>
        <v>4</v>
      </c>
      <c r="AI422" s="4">
        <f ca="1">IFERROR(__xludf.DUMMYFUNCTION("""COMPUTED_VALUE"""),4)</f>
        <v>4</v>
      </c>
      <c r="AJ422" s="4">
        <f ca="1">IFERROR(__xludf.DUMMYFUNCTION("""COMPUTED_VALUE"""),4)</f>
        <v>4</v>
      </c>
      <c r="AK422" s="4">
        <f ca="1">IFERROR(__xludf.DUMMYFUNCTION("""COMPUTED_VALUE"""),4)</f>
        <v>4</v>
      </c>
      <c r="AL422" s="4">
        <f ca="1">IFERROR(__xludf.DUMMYFUNCTION("""COMPUTED_VALUE"""),4)</f>
        <v>4</v>
      </c>
      <c r="AM422" s="4">
        <f ca="1">IFERROR(__xludf.DUMMYFUNCTION("""COMPUTED_VALUE"""),4)</f>
        <v>4</v>
      </c>
      <c r="AN422" s="4">
        <f ca="1">IFERROR(__xludf.DUMMYFUNCTION("""COMPUTED_VALUE"""),4)</f>
        <v>4</v>
      </c>
      <c r="AO422" s="4">
        <f ca="1">IFERROR(__xludf.DUMMYFUNCTION("""COMPUTED_VALUE"""),4)</f>
        <v>4</v>
      </c>
      <c r="AP422" s="4">
        <f ca="1">IFERROR(__xludf.DUMMYFUNCTION("""COMPUTED_VALUE"""),4)</f>
        <v>4</v>
      </c>
      <c r="AQ422" s="4">
        <f ca="1">IFERROR(__xludf.DUMMYFUNCTION("""COMPUTED_VALUE"""),4)</f>
        <v>4</v>
      </c>
      <c r="AR422" s="4">
        <f ca="1">IFERROR(__xludf.DUMMYFUNCTION("""COMPUTED_VALUE"""),4)</f>
        <v>4</v>
      </c>
      <c r="AS422" s="4">
        <f ca="1">IFERROR(__xludf.DUMMYFUNCTION("""COMPUTED_VALUE"""),4)</f>
        <v>4</v>
      </c>
      <c r="AT422" s="4">
        <f ca="1">IFERROR(__xludf.DUMMYFUNCTION("""COMPUTED_VALUE"""),3)</f>
        <v>3</v>
      </c>
      <c r="AU422" s="4">
        <f ca="1">IFERROR(__xludf.DUMMYFUNCTION("""COMPUTED_VALUE"""),4)</f>
        <v>4</v>
      </c>
      <c r="AV422" s="4">
        <f ca="1">IFERROR(__xludf.DUMMYFUNCTION("""COMPUTED_VALUE"""),4)</f>
        <v>4</v>
      </c>
      <c r="AW422" s="4">
        <f ca="1">IFERROR(__xludf.DUMMYFUNCTION("""COMPUTED_VALUE"""),3)</f>
        <v>3</v>
      </c>
      <c r="AX422" s="4">
        <f ca="1">IFERROR(__xludf.DUMMYFUNCTION("""COMPUTED_VALUE"""),4)</f>
        <v>4</v>
      </c>
      <c r="AY422" s="4">
        <f ca="1">IFERROR(__xludf.DUMMYFUNCTION("""COMPUTED_VALUE"""),4)</f>
        <v>4</v>
      </c>
      <c r="AZ422" s="4">
        <f ca="1">IFERROR(__xludf.DUMMYFUNCTION("""COMPUTED_VALUE"""),4)</f>
        <v>4</v>
      </c>
      <c r="BA422" s="4">
        <f ca="1">IFERROR(__xludf.DUMMYFUNCTION("""COMPUTED_VALUE"""),4)</f>
        <v>4</v>
      </c>
      <c r="BB422" s="4">
        <f ca="1">IFERROR(__xludf.DUMMYFUNCTION("""COMPUTED_VALUE"""),4)</f>
        <v>4</v>
      </c>
      <c r="BC422" s="4">
        <f ca="1">IFERROR(__xludf.DUMMYFUNCTION("""COMPUTED_VALUE"""),4)</f>
        <v>4</v>
      </c>
      <c r="BD422" s="4">
        <f ca="1">IFERROR(__xludf.DUMMYFUNCTION("""COMPUTED_VALUE"""),4)</f>
        <v>4</v>
      </c>
      <c r="BE422" s="4">
        <f ca="1">IFERROR(__xludf.DUMMYFUNCTION("""COMPUTED_VALUE"""),4)</f>
        <v>4</v>
      </c>
      <c r="BF422" s="4">
        <f ca="1">IFERROR(__xludf.DUMMYFUNCTION("""COMPUTED_VALUE"""),4)</f>
        <v>4</v>
      </c>
      <c r="BG422" s="4">
        <f ca="1">IFERROR(__xludf.DUMMYFUNCTION("""COMPUTED_VALUE"""),4)</f>
        <v>4</v>
      </c>
      <c r="BH422" s="4">
        <f ca="1">IFERROR(__xludf.DUMMYFUNCTION("""COMPUTED_VALUE"""),4)</f>
        <v>4</v>
      </c>
      <c r="BI422" s="4">
        <f ca="1">IFERROR(__xludf.DUMMYFUNCTION("""COMPUTED_VALUE"""),4)</f>
        <v>4</v>
      </c>
      <c r="BJ422" s="4">
        <f ca="1">IFERROR(__xludf.DUMMYFUNCTION("""COMPUTED_VALUE"""),4)</f>
        <v>4</v>
      </c>
      <c r="BK422" s="4">
        <f ca="1">IFERROR(__xludf.DUMMYFUNCTION("""COMPUTED_VALUE"""),4)</f>
        <v>4</v>
      </c>
      <c r="BL422" s="4">
        <f ca="1">IFERROR(__xludf.DUMMYFUNCTION("""COMPUTED_VALUE"""),4)</f>
        <v>4</v>
      </c>
      <c r="BM422" s="4">
        <f ca="1">IFERROR(__xludf.DUMMYFUNCTION("""COMPUTED_VALUE"""),4)</f>
        <v>4</v>
      </c>
      <c r="BN422" s="4">
        <f ca="1">IFERROR(__xludf.DUMMYFUNCTION("""COMPUTED_VALUE"""),4)</f>
        <v>4</v>
      </c>
      <c r="BO422" s="4">
        <f ca="1">IFERROR(__xludf.DUMMYFUNCTION("""COMPUTED_VALUE"""),4)</f>
        <v>4</v>
      </c>
      <c r="BP422" s="4">
        <f ca="1">IFERROR(__xludf.DUMMYFUNCTION("""COMPUTED_VALUE"""),4)</f>
        <v>4</v>
      </c>
    </row>
    <row r="423" spans="1:68" ht="13.2" x14ac:dyDescent="0.25">
      <c r="A423" s="4" t="str">
        <f ca="1">IFERROR(__xludf.DUMMYFUNCTION("""COMPUTED_VALUE"""),"2_ABaOnuc-LZ0pDeGoLMtumTgc252-llMaPmYdO4G1AlCvrohPAv7brCWAwRyhepA4GA")</f>
        <v>2_ABaOnuc-LZ0pDeGoLMtumTgc252-llMaPmYdO4G1AlCvrohPAv7brCWAwRyhepA4GA</v>
      </c>
      <c r="B423" s="5">
        <f ca="1">IFERROR(__xludf.DUMMYFUNCTION("""COMPUTED_VALUE"""),45988.6463971296)</f>
        <v>45988.646397129603</v>
      </c>
      <c r="C423" s="4" t="str">
        <f ca="1">IFERROR(__xludf.DUMMYFUNCTION("""COMPUTED_VALUE"""),"Trần Thị Mỹ Duyên")</f>
        <v>Trần Thị Mỹ Duyên</v>
      </c>
      <c r="D423" s="4" t="str">
        <f ca="1">IFERROR(__xludf.DUMMYFUNCTION("""COMPUTED_VALUE"""),"Nữ")</f>
        <v>Nữ</v>
      </c>
      <c r="E423" s="4" t="str">
        <f ca="1">IFERROR(__xludf.DUMMYFUNCTION("""COMPUTED_VALUE"""),"Công ty TNHH Kiểm Toán KSi Việt Nam")</f>
        <v>Công ty TNHH Kiểm Toán KSi Việt Nam</v>
      </c>
      <c r="F423" s="4" t="str">
        <f ca="1">IFERROR(__xludf.DUMMYFUNCTION("""COMPUTED_VALUE"""),"Đại học")</f>
        <v>Đại học</v>
      </c>
      <c r="G423" s="4" t="str">
        <f ca="1">IFERROR(__xludf.DUMMYFUNCTION("""COMPUTED_VALUE"""),"Từ 3 đến 5 năm")</f>
        <v>Từ 3 đến 5 năm</v>
      </c>
      <c r="H423" s="4" t="str">
        <f ca="1">IFERROR(__xludf.DUMMYFUNCTION("""COMPUTED_VALUE"""),"Trợ lý kiểm toán")</f>
        <v>Trợ lý kiểm toán</v>
      </c>
      <c r="I423" s="4">
        <f ca="1">IFERROR(__xludf.DUMMYFUNCTION("""COMPUTED_VALUE"""),4)</f>
        <v>4</v>
      </c>
      <c r="J423" s="4">
        <f ca="1">IFERROR(__xludf.DUMMYFUNCTION("""COMPUTED_VALUE"""),4)</f>
        <v>4</v>
      </c>
      <c r="K423" s="4">
        <f ca="1">IFERROR(__xludf.DUMMYFUNCTION("""COMPUTED_VALUE"""),4)</f>
        <v>4</v>
      </c>
      <c r="L423" s="4">
        <f ca="1">IFERROR(__xludf.DUMMYFUNCTION("""COMPUTED_VALUE"""),4)</f>
        <v>4</v>
      </c>
      <c r="M423" s="4">
        <f ca="1">IFERROR(__xludf.DUMMYFUNCTION("""COMPUTED_VALUE"""),4)</f>
        <v>4</v>
      </c>
      <c r="N423" s="4">
        <f ca="1">IFERROR(__xludf.DUMMYFUNCTION("""COMPUTED_VALUE"""),4)</f>
        <v>4</v>
      </c>
      <c r="O423" s="4">
        <f ca="1">IFERROR(__xludf.DUMMYFUNCTION("""COMPUTED_VALUE"""),4)</f>
        <v>4</v>
      </c>
      <c r="P423" s="4">
        <f ca="1">IFERROR(__xludf.DUMMYFUNCTION("""COMPUTED_VALUE"""),4)</f>
        <v>4</v>
      </c>
      <c r="Q423" s="4">
        <f ca="1">IFERROR(__xludf.DUMMYFUNCTION("""COMPUTED_VALUE"""),4)</f>
        <v>4</v>
      </c>
      <c r="R423" s="4">
        <f ca="1">IFERROR(__xludf.DUMMYFUNCTION("""COMPUTED_VALUE"""),4)</f>
        <v>4</v>
      </c>
      <c r="S423" s="4">
        <f ca="1">IFERROR(__xludf.DUMMYFUNCTION("""COMPUTED_VALUE"""),4)</f>
        <v>4</v>
      </c>
      <c r="T423" s="4">
        <f ca="1">IFERROR(__xludf.DUMMYFUNCTION("""COMPUTED_VALUE"""),4)</f>
        <v>4</v>
      </c>
      <c r="U423" s="4">
        <f ca="1">IFERROR(__xludf.DUMMYFUNCTION("""COMPUTED_VALUE"""),4)</f>
        <v>4</v>
      </c>
      <c r="V423" s="4">
        <f ca="1">IFERROR(__xludf.DUMMYFUNCTION("""COMPUTED_VALUE"""),4)</f>
        <v>4</v>
      </c>
      <c r="W423" s="4">
        <f ca="1">IFERROR(__xludf.DUMMYFUNCTION("""COMPUTED_VALUE"""),4)</f>
        <v>4</v>
      </c>
      <c r="X423" s="4">
        <f ca="1">IFERROR(__xludf.DUMMYFUNCTION("""COMPUTED_VALUE"""),4)</f>
        <v>4</v>
      </c>
      <c r="Y423" s="4">
        <f ca="1">IFERROR(__xludf.DUMMYFUNCTION("""COMPUTED_VALUE"""),4)</f>
        <v>4</v>
      </c>
      <c r="Z423" s="4">
        <f ca="1">IFERROR(__xludf.DUMMYFUNCTION("""COMPUTED_VALUE"""),4)</f>
        <v>4</v>
      </c>
      <c r="AA423" s="4">
        <f ca="1">IFERROR(__xludf.DUMMYFUNCTION("""COMPUTED_VALUE"""),4)</f>
        <v>4</v>
      </c>
      <c r="AB423" s="4">
        <f ca="1">IFERROR(__xludf.DUMMYFUNCTION("""COMPUTED_VALUE"""),4)</f>
        <v>4</v>
      </c>
      <c r="AC423" s="4">
        <f ca="1">IFERROR(__xludf.DUMMYFUNCTION("""COMPUTED_VALUE"""),4)</f>
        <v>4</v>
      </c>
      <c r="AD423" s="4">
        <f ca="1">IFERROR(__xludf.DUMMYFUNCTION("""COMPUTED_VALUE"""),4)</f>
        <v>4</v>
      </c>
      <c r="AE423" s="4">
        <f ca="1">IFERROR(__xludf.DUMMYFUNCTION("""COMPUTED_VALUE"""),4)</f>
        <v>4</v>
      </c>
      <c r="AF423" s="4">
        <f ca="1">IFERROR(__xludf.DUMMYFUNCTION("""COMPUTED_VALUE"""),4)</f>
        <v>4</v>
      </c>
      <c r="AG423" s="4">
        <f ca="1">IFERROR(__xludf.DUMMYFUNCTION("""COMPUTED_VALUE"""),4)</f>
        <v>4</v>
      </c>
      <c r="AH423" s="4">
        <f ca="1">IFERROR(__xludf.DUMMYFUNCTION("""COMPUTED_VALUE"""),4)</f>
        <v>4</v>
      </c>
      <c r="AI423" s="4">
        <f ca="1">IFERROR(__xludf.DUMMYFUNCTION("""COMPUTED_VALUE"""),4)</f>
        <v>4</v>
      </c>
      <c r="AJ423" s="4">
        <f ca="1">IFERROR(__xludf.DUMMYFUNCTION("""COMPUTED_VALUE"""),4)</f>
        <v>4</v>
      </c>
      <c r="AK423" s="4">
        <f ca="1">IFERROR(__xludf.DUMMYFUNCTION("""COMPUTED_VALUE"""),4)</f>
        <v>4</v>
      </c>
      <c r="AL423" s="4">
        <f ca="1">IFERROR(__xludf.DUMMYFUNCTION("""COMPUTED_VALUE"""),4)</f>
        <v>4</v>
      </c>
      <c r="AM423" s="4">
        <f ca="1">IFERROR(__xludf.DUMMYFUNCTION("""COMPUTED_VALUE"""),4)</f>
        <v>4</v>
      </c>
      <c r="AN423" s="4">
        <f ca="1">IFERROR(__xludf.DUMMYFUNCTION("""COMPUTED_VALUE"""),4)</f>
        <v>4</v>
      </c>
      <c r="AO423" s="4">
        <f ca="1">IFERROR(__xludf.DUMMYFUNCTION("""COMPUTED_VALUE"""),4)</f>
        <v>4</v>
      </c>
      <c r="AP423" s="4">
        <f ca="1">IFERROR(__xludf.DUMMYFUNCTION("""COMPUTED_VALUE"""),4)</f>
        <v>4</v>
      </c>
      <c r="AQ423" s="4">
        <f ca="1">IFERROR(__xludf.DUMMYFUNCTION("""COMPUTED_VALUE"""),4)</f>
        <v>4</v>
      </c>
      <c r="AR423" s="4">
        <f ca="1">IFERROR(__xludf.DUMMYFUNCTION("""COMPUTED_VALUE"""),4)</f>
        <v>4</v>
      </c>
      <c r="AS423" s="4">
        <f ca="1">IFERROR(__xludf.DUMMYFUNCTION("""COMPUTED_VALUE"""),4)</f>
        <v>4</v>
      </c>
      <c r="AT423" s="4">
        <f ca="1">IFERROR(__xludf.DUMMYFUNCTION("""COMPUTED_VALUE"""),4)</f>
        <v>4</v>
      </c>
      <c r="AU423" s="4">
        <f ca="1">IFERROR(__xludf.DUMMYFUNCTION("""COMPUTED_VALUE"""),4)</f>
        <v>4</v>
      </c>
      <c r="AV423" s="4">
        <f ca="1">IFERROR(__xludf.DUMMYFUNCTION("""COMPUTED_VALUE"""),4)</f>
        <v>4</v>
      </c>
      <c r="AW423" s="4">
        <f ca="1">IFERROR(__xludf.DUMMYFUNCTION("""COMPUTED_VALUE"""),4)</f>
        <v>4</v>
      </c>
      <c r="AX423" s="4">
        <f ca="1">IFERROR(__xludf.DUMMYFUNCTION("""COMPUTED_VALUE"""),4)</f>
        <v>4</v>
      </c>
      <c r="AY423" s="4">
        <f ca="1">IFERROR(__xludf.DUMMYFUNCTION("""COMPUTED_VALUE"""),4)</f>
        <v>4</v>
      </c>
      <c r="AZ423" s="4">
        <f ca="1">IFERROR(__xludf.DUMMYFUNCTION("""COMPUTED_VALUE"""),4)</f>
        <v>4</v>
      </c>
      <c r="BA423" s="4">
        <f ca="1">IFERROR(__xludf.DUMMYFUNCTION("""COMPUTED_VALUE"""),4)</f>
        <v>4</v>
      </c>
      <c r="BB423" s="4">
        <f ca="1">IFERROR(__xludf.DUMMYFUNCTION("""COMPUTED_VALUE"""),4)</f>
        <v>4</v>
      </c>
      <c r="BC423" s="4">
        <f ca="1">IFERROR(__xludf.DUMMYFUNCTION("""COMPUTED_VALUE"""),3)</f>
        <v>3</v>
      </c>
      <c r="BD423" s="4">
        <f ca="1">IFERROR(__xludf.DUMMYFUNCTION("""COMPUTED_VALUE"""),4)</f>
        <v>4</v>
      </c>
      <c r="BE423" s="4">
        <f ca="1">IFERROR(__xludf.DUMMYFUNCTION("""COMPUTED_VALUE"""),4)</f>
        <v>4</v>
      </c>
      <c r="BF423" s="4">
        <f ca="1">IFERROR(__xludf.DUMMYFUNCTION("""COMPUTED_VALUE"""),4)</f>
        <v>4</v>
      </c>
      <c r="BG423" s="4">
        <f ca="1">IFERROR(__xludf.DUMMYFUNCTION("""COMPUTED_VALUE"""),4)</f>
        <v>4</v>
      </c>
      <c r="BH423" s="4">
        <f ca="1">IFERROR(__xludf.DUMMYFUNCTION("""COMPUTED_VALUE"""),4)</f>
        <v>4</v>
      </c>
      <c r="BI423" s="4">
        <f ca="1">IFERROR(__xludf.DUMMYFUNCTION("""COMPUTED_VALUE"""),4)</f>
        <v>4</v>
      </c>
      <c r="BJ423" s="4">
        <f ca="1">IFERROR(__xludf.DUMMYFUNCTION("""COMPUTED_VALUE"""),4)</f>
        <v>4</v>
      </c>
      <c r="BK423" s="4">
        <f ca="1">IFERROR(__xludf.DUMMYFUNCTION("""COMPUTED_VALUE"""),4)</f>
        <v>4</v>
      </c>
      <c r="BL423" s="4">
        <f ca="1">IFERROR(__xludf.DUMMYFUNCTION("""COMPUTED_VALUE"""),4)</f>
        <v>4</v>
      </c>
      <c r="BM423" s="4">
        <f ca="1">IFERROR(__xludf.DUMMYFUNCTION("""COMPUTED_VALUE"""),4)</f>
        <v>4</v>
      </c>
      <c r="BN423" s="4">
        <f ca="1">IFERROR(__xludf.DUMMYFUNCTION("""COMPUTED_VALUE"""),4)</f>
        <v>4</v>
      </c>
      <c r="BO423" s="4">
        <f ca="1">IFERROR(__xludf.DUMMYFUNCTION("""COMPUTED_VALUE"""),4)</f>
        <v>4</v>
      </c>
      <c r="BP423" s="4">
        <f ca="1">IFERROR(__xludf.DUMMYFUNCTION("""COMPUTED_VALUE"""),4)</f>
        <v>4</v>
      </c>
    </row>
    <row r="424" spans="1:68" ht="13.2" x14ac:dyDescent="0.25">
      <c r="A424" s="4" t="str">
        <f ca="1">IFERROR(__xludf.DUMMYFUNCTION("""COMPUTED_VALUE"""),"2_ABaOnudv97NUnWhhHYcBU6fztOUs10OItLrDUi6xJ9XO3162IuChkHXnaH3ORULBCg")</f>
        <v>2_ABaOnudv97NUnWhhHYcBU6fztOUs10OItLrDUi6xJ9XO3162IuChkHXnaH3ORULBCg</v>
      </c>
      <c r="B424" s="5">
        <f ca="1">IFERROR(__xludf.DUMMYFUNCTION("""COMPUTED_VALUE"""),45988.6465120601)</f>
        <v>45988.646512060099</v>
      </c>
      <c r="C424" s="4" t="str">
        <f ca="1">IFERROR(__xludf.DUMMYFUNCTION("""COMPUTED_VALUE"""),"Lương Tuấn Trung")</f>
        <v>Lương Tuấn Trung</v>
      </c>
      <c r="D424" s="4" t="str">
        <f ca="1">IFERROR(__xludf.DUMMYFUNCTION("""COMPUTED_VALUE"""),"Nam")</f>
        <v>Nam</v>
      </c>
      <c r="E424" s="4" t="str">
        <f ca="1">IFERROR(__xludf.DUMMYFUNCTION("""COMPUTED_VALUE"""),"Công TNHH Kiểm toán IVC")</f>
        <v>Công TNHH Kiểm toán IVC</v>
      </c>
      <c r="F424" s="4" t="str">
        <f ca="1">IFERROR(__xludf.DUMMYFUNCTION("""COMPUTED_VALUE"""),"Đại học")</f>
        <v>Đại học</v>
      </c>
      <c r="G424" s="4" t="str">
        <f ca="1">IFERROR(__xludf.DUMMYFUNCTION("""COMPUTED_VALUE"""),"Từ 3 đến 5 năm")</f>
        <v>Từ 3 đến 5 năm</v>
      </c>
      <c r="H424" s="4" t="str">
        <f ca="1">IFERROR(__xludf.DUMMYFUNCTION("""COMPUTED_VALUE"""),"Trợ lý kiểm toán")</f>
        <v>Trợ lý kiểm toán</v>
      </c>
      <c r="I424" s="4">
        <f ca="1">IFERROR(__xludf.DUMMYFUNCTION("""COMPUTED_VALUE"""),5)</f>
        <v>5</v>
      </c>
      <c r="J424" s="4">
        <f ca="1">IFERROR(__xludf.DUMMYFUNCTION("""COMPUTED_VALUE"""),5)</f>
        <v>5</v>
      </c>
      <c r="K424" s="4">
        <f ca="1">IFERROR(__xludf.DUMMYFUNCTION("""COMPUTED_VALUE"""),5)</f>
        <v>5</v>
      </c>
      <c r="L424" s="4">
        <f ca="1">IFERROR(__xludf.DUMMYFUNCTION("""COMPUTED_VALUE"""),5)</f>
        <v>5</v>
      </c>
      <c r="M424" s="4">
        <f ca="1">IFERROR(__xludf.DUMMYFUNCTION("""COMPUTED_VALUE"""),5)</f>
        <v>5</v>
      </c>
      <c r="N424" s="4">
        <f ca="1">IFERROR(__xludf.DUMMYFUNCTION("""COMPUTED_VALUE"""),5)</f>
        <v>5</v>
      </c>
      <c r="O424" s="4">
        <f ca="1">IFERROR(__xludf.DUMMYFUNCTION("""COMPUTED_VALUE"""),5)</f>
        <v>5</v>
      </c>
      <c r="P424" s="4">
        <f ca="1">IFERROR(__xludf.DUMMYFUNCTION("""COMPUTED_VALUE"""),5)</f>
        <v>5</v>
      </c>
      <c r="Q424" s="4">
        <f ca="1">IFERROR(__xludf.DUMMYFUNCTION("""COMPUTED_VALUE"""),5)</f>
        <v>5</v>
      </c>
      <c r="R424" s="4">
        <f ca="1">IFERROR(__xludf.DUMMYFUNCTION("""COMPUTED_VALUE"""),5)</f>
        <v>5</v>
      </c>
      <c r="S424" s="4">
        <f ca="1">IFERROR(__xludf.DUMMYFUNCTION("""COMPUTED_VALUE"""),4)</f>
        <v>4</v>
      </c>
      <c r="T424" s="4">
        <f ca="1">IFERROR(__xludf.DUMMYFUNCTION("""COMPUTED_VALUE"""),5)</f>
        <v>5</v>
      </c>
      <c r="U424" s="4">
        <f ca="1">IFERROR(__xludf.DUMMYFUNCTION("""COMPUTED_VALUE"""),5)</f>
        <v>5</v>
      </c>
      <c r="V424" s="4">
        <f ca="1">IFERROR(__xludf.DUMMYFUNCTION("""COMPUTED_VALUE"""),5)</f>
        <v>5</v>
      </c>
      <c r="W424" s="4">
        <f ca="1">IFERROR(__xludf.DUMMYFUNCTION("""COMPUTED_VALUE"""),5)</f>
        <v>5</v>
      </c>
      <c r="X424" s="4">
        <f ca="1">IFERROR(__xludf.DUMMYFUNCTION("""COMPUTED_VALUE"""),5)</f>
        <v>5</v>
      </c>
      <c r="Y424" s="4">
        <f ca="1">IFERROR(__xludf.DUMMYFUNCTION("""COMPUTED_VALUE"""),4)</f>
        <v>4</v>
      </c>
      <c r="Z424" s="4">
        <f ca="1">IFERROR(__xludf.DUMMYFUNCTION("""COMPUTED_VALUE"""),4)</f>
        <v>4</v>
      </c>
      <c r="AA424" s="4">
        <f ca="1">IFERROR(__xludf.DUMMYFUNCTION("""COMPUTED_VALUE"""),4)</f>
        <v>4</v>
      </c>
      <c r="AB424" s="4">
        <f ca="1">IFERROR(__xludf.DUMMYFUNCTION("""COMPUTED_VALUE"""),3)</f>
        <v>3</v>
      </c>
      <c r="AC424" s="4">
        <f ca="1">IFERROR(__xludf.DUMMYFUNCTION("""COMPUTED_VALUE"""),1)</f>
        <v>1</v>
      </c>
      <c r="AD424" s="4">
        <f ca="1">IFERROR(__xludf.DUMMYFUNCTION("""COMPUTED_VALUE"""),3)</f>
        <v>3</v>
      </c>
      <c r="AE424" s="4">
        <f ca="1">IFERROR(__xludf.DUMMYFUNCTION("""COMPUTED_VALUE"""),3)</f>
        <v>3</v>
      </c>
      <c r="AF424" s="4">
        <f ca="1">IFERROR(__xludf.DUMMYFUNCTION("""COMPUTED_VALUE"""),5)</f>
        <v>5</v>
      </c>
      <c r="AG424" s="4">
        <f ca="1">IFERROR(__xludf.DUMMYFUNCTION("""COMPUTED_VALUE"""),5)</f>
        <v>5</v>
      </c>
      <c r="AH424" s="4">
        <f ca="1">IFERROR(__xludf.DUMMYFUNCTION("""COMPUTED_VALUE"""),5)</f>
        <v>5</v>
      </c>
      <c r="AI424" s="4">
        <f ca="1">IFERROR(__xludf.DUMMYFUNCTION("""COMPUTED_VALUE"""),5)</f>
        <v>5</v>
      </c>
      <c r="AJ424" s="4">
        <f ca="1">IFERROR(__xludf.DUMMYFUNCTION("""COMPUTED_VALUE"""),5)</f>
        <v>5</v>
      </c>
      <c r="AK424" s="4">
        <f ca="1">IFERROR(__xludf.DUMMYFUNCTION("""COMPUTED_VALUE"""),5)</f>
        <v>5</v>
      </c>
      <c r="AL424" s="4">
        <f ca="1">IFERROR(__xludf.DUMMYFUNCTION("""COMPUTED_VALUE"""),5)</f>
        <v>5</v>
      </c>
      <c r="AM424" s="4">
        <f ca="1">IFERROR(__xludf.DUMMYFUNCTION("""COMPUTED_VALUE"""),5)</f>
        <v>5</v>
      </c>
      <c r="AN424" s="4">
        <f ca="1">IFERROR(__xludf.DUMMYFUNCTION("""COMPUTED_VALUE"""),5)</f>
        <v>5</v>
      </c>
      <c r="AO424" s="4">
        <f ca="1">IFERROR(__xludf.DUMMYFUNCTION("""COMPUTED_VALUE"""),5)</f>
        <v>5</v>
      </c>
      <c r="AP424" s="4">
        <f ca="1">IFERROR(__xludf.DUMMYFUNCTION("""COMPUTED_VALUE"""),5)</f>
        <v>5</v>
      </c>
      <c r="AQ424" s="4">
        <f ca="1">IFERROR(__xludf.DUMMYFUNCTION("""COMPUTED_VALUE"""),5)</f>
        <v>5</v>
      </c>
      <c r="AR424" s="4">
        <f ca="1">IFERROR(__xludf.DUMMYFUNCTION("""COMPUTED_VALUE"""),5)</f>
        <v>5</v>
      </c>
      <c r="AS424" s="4">
        <f ca="1">IFERROR(__xludf.DUMMYFUNCTION("""COMPUTED_VALUE"""),5)</f>
        <v>5</v>
      </c>
      <c r="AT424" s="4">
        <f ca="1">IFERROR(__xludf.DUMMYFUNCTION("""COMPUTED_VALUE"""),5)</f>
        <v>5</v>
      </c>
      <c r="AU424" s="4">
        <f ca="1">IFERROR(__xludf.DUMMYFUNCTION("""COMPUTED_VALUE"""),5)</f>
        <v>5</v>
      </c>
      <c r="AV424" s="4">
        <f ca="1">IFERROR(__xludf.DUMMYFUNCTION("""COMPUTED_VALUE"""),5)</f>
        <v>5</v>
      </c>
      <c r="AW424" s="4">
        <f ca="1">IFERROR(__xludf.DUMMYFUNCTION("""COMPUTED_VALUE"""),5)</f>
        <v>5</v>
      </c>
      <c r="AX424" s="4">
        <f ca="1">IFERROR(__xludf.DUMMYFUNCTION("""COMPUTED_VALUE"""),5)</f>
        <v>5</v>
      </c>
      <c r="AY424" s="4">
        <f ca="1">IFERROR(__xludf.DUMMYFUNCTION("""COMPUTED_VALUE"""),5)</f>
        <v>5</v>
      </c>
      <c r="AZ424" s="4">
        <f ca="1">IFERROR(__xludf.DUMMYFUNCTION("""COMPUTED_VALUE"""),5)</f>
        <v>5</v>
      </c>
      <c r="BA424" s="4">
        <f ca="1">IFERROR(__xludf.DUMMYFUNCTION("""COMPUTED_VALUE"""),5)</f>
        <v>5</v>
      </c>
      <c r="BB424" s="4">
        <f ca="1">IFERROR(__xludf.DUMMYFUNCTION("""COMPUTED_VALUE"""),3)</f>
        <v>3</v>
      </c>
      <c r="BC424" s="4">
        <f ca="1">IFERROR(__xludf.DUMMYFUNCTION("""COMPUTED_VALUE"""),3)</f>
        <v>3</v>
      </c>
      <c r="BD424" s="4">
        <f ca="1">IFERROR(__xludf.DUMMYFUNCTION("""COMPUTED_VALUE"""),5)</f>
        <v>5</v>
      </c>
      <c r="BE424" s="4">
        <f ca="1">IFERROR(__xludf.DUMMYFUNCTION("""COMPUTED_VALUE"""),5)</f>
        <v>5</v>
      </c>
      <c r="BF424" s="4">
        <f ca="1">IFERROR(__xludf.DUMMYFUNCTION("""COMPUTED_VALUE"""),5)</f>
        <v>5</v>
      </c>
      <c r="BG424" s="4">
        <f ca="1">IFERROR(__xludf.DUMMYFUNCTION("""COMPUTED_VALUE"""),5)</f>
        <v>5</v>
      </c>
      <c r="BH424" s="4">
        <f ca="1">IFERROR(__xludf.DUMMYFUNCTION("""COMPUTED_VALUE"""),5)</f>
        <v>5</v>
      </c>
      <c r="BI424" s="4">
        <f ca="1">IFERROR(__xludf.DUMMYFUNCTION("""COMPUTED_VALUE"""),5)</f>
        <v>5</v>
      </c>
      <c r="BJ424" s="4">
        <f ca="1">IFERROR(__xludf.DUMMYFUNCTION("""COMPUTED_VALUE"""),5)</f>
        <v>5</v>
      </c>
      <c r="BK424" s="4">
        <f ca="1">IFERROR(__xludf.DUMMYFUNCTION("""COMPUTED_VALUE"""),5)</f>
        <v>5</v>
      </c>
      <c r="BL424" s="4">
        <f ca="1">IFERROR(__xludf.DUMMYFUNCTION("""COMPUTED_VALUE"""),5)</f>
        <v>5</v>
      </c>
      <c r="BM424" s="4">
        <f ca="1">IFERROR(__xludf.DUMMYFUNCTION("""COMPUTED_VALUE"""),5)</f>
        <v>5</v>
      </c>
      <c r="BN424" s="4">
        <f ca="1">IFERROR(__xludf.DUMMYFUNCTION("""COMPUTED_VALUE"""),5)</f>
        <v>5</v>
      </c>
      <c r="BO424" s="4">
        <f ca="1">IFERROR(__xludf.DUMMYFUNCTION("""COMPUTED_VALUE"""),5)</f>
        <v>5</v>
      </c>
      <c r="BP424" s="4">
        <f ca="1">IFERROR(__xludf.DUMMYFUNCTION("""COMPUTED_VALUE"""),5)</f>
        <v>5</v>
      </c>
    </row>
    <row r="425" spans="1:68" ht="13.2" x14ac:dyDescent="0.25">
      <c r="A425" s="4" t="str">
        <f ca="1">IFERROR(__xludf.DUMMYFUNCTION("""COMPUTED_VALUE"""),"2_ABaOnufht28RKhoR9yPYAMVnOAS8PuikplIAgdoXm0fsrKz7GEHU-WrvLMAssl-FZg")</f>
        <v>2_ABaOnufht28RKhoR9yPYAMVnOAS8PuikplIAgdoXm0fsrKz7GEHU-WrvLMAssl-FZg</v>
      </c>
      <c r="B425" s="5">
        <f ca="1">IFERROR(__xludf.DUMMYFUNCTION("""COMPUTED_VALUE"""),45988.6481834375)</f>
        <v>45988.648183437501</v>
      </c>
      <c r="C425" s="4" t="str">
        <f ca="1">IFERROR(__xludf.DUMMYFUNCTION("""COMPUTED_VALUE"""),"Đỗ Quang Minh")</f>
        <v>Đỗ Quang Minh</v>
      </c>
      <c r="D425" s="4" t="str">
        <f ca="1">IFERROR(__xludf.DUMMYFUNCTION("""COMPUTED_VALUE"""),"Nam")</f>
        <v>Nam</v>
      </c>
      <c r="E425" s="4" t="str">
        <f ca="1">IFERROR(__xludf.DUMMYFUNCTION("""COMPUTED_VALUE"""),"Công ty TNHH Kiểm toán IVC")</f>
        <v>Công ty TNHH Kiểm toán IVC</v>
      </c>
      <c r="F425" s="4" t="str">
        <f ca="1">IFERROR(__xludf.DUMMYFUNCTION("""COMPUTED_VALUE"""),"Đại học")</f>
        <v>Đại học</v>
      </c>
      <c r="G425" s="4" t="str">
        <f ca="1">IFERROR(__xludf.DUMMYFUNCTION("""COMPUTED_VALUE"""),"Từ 3 đến 5 năm")</f>
        <v>Từ 3 đến 5 năm</v>
      </c>
      <c r="H425" s="4" t="str">
        <f ca="1">IFERROR(__xludf.DUMMYFUNCTION("""COMPUTED_VALUE"""),"Trợ lý kiểm toán")</f>
        <v>Trợ lý kiểm toán</v>
      </c>
      <c r="I425" s="4">
        <f ca="1">IFERROR(__xludf.DUMMYFUNCTION("""COMPUTED_VALUE"""),5)</f>
        <v>5</v>
      </c>
      <c r="J425" s="4">
        <f ca="1">IFERROR(__xludf.DUMMYFUNCTION("""COMPUTED_VALUE"""),4)</f>
        <v>4</v>
      </c>
      <c r="K425" s="4">
        <f ca="1">IFERROR(__xludf.DUMMYFUNCTION("""COMPUTED_VALUE"""),4)</f>
        <v>4</v>
      </c>
      <c r="L425" s="4">
        <f ca="1">IFERROR(__xludf.DUMMYFUNCTION("""COMPUTED_VALUE"""),4)</f>
        <v>4</v>
      </c>
      <c r="M425" s="4">
        <f ca="1">IFERROR(__xludf.DUMMYFUNCTION("""COMPUTED_VALUE"""),3)</f>
        <v>3</v>
      </c>
      <c r="N425" s="4">
        <f ca="1">IFERROR(__xludf.DUMMYFUNCTION("""COMPUTED_VALUE"""),3)</f>
        <v>3</v>
      </c>
      <c r="O425" s="4">
        <f ca="1">IFERROR(__xludf.DUMMYFUNCTION("""COMPUTED_VALUE"""),3)</f>
        <v>3</v>
      </c>
      <c r="P425" s="4">
        <f ca="1">IFERROR(__xludf.DUMMYFUNCTION("""COMPUTED_VALUE"""),4)</f>
        <v>4</v>
      </c>
      <c r="Q425" s="4">
        <f ca="1">IFERROR(__xludf.DUMMYFUNCTION("""COMPUTED_VALUE"""),4)</f>
        <v>4</v>
      </c>
      <c r="R425" s="4">
        <f ca="1">IFERROR(__xludf.DUMMYFUNCTION("""COMPUTED_VALUE"""),4)</f>
        <v>4</v>
      </c>
      <c r="S425" s="4">
        <f ca="1">IFERROR(__xludf.DUMMYFUNCTION("""COMPUTED_VALUE"""),4)</f>
        <v>4</v>
      </c>
      <c r="T425" s="4">
        <f ca="1">IFERROR(__xludf.DUMMYFUNCTION("""COMPUTED_VALUE"""),4)</f>
        <v>4</v>
      </c>
      <c r="U425" s="4">
        <f ca="1">IFERROR(__xludf.DUMMYFUNCTION("""COMPUTED_VALUE"""),5)</f>
        <v>5</v>
      </c>
      <c r="V425" s="4">
        <f ca="1">IFERROR(__xludf.DUMMYFUNCTION("""COMPUTED_VALUE"""),5)</f>
        <v>5</v>
      </c>
      <c r="W425" s="4">
        <f ca="1">IFERROR(__xludf.DUMMYFUNCTION("""COMPUTED_VALUE"""),3)</f>
        <v>3</v>
      </c>
      <c r="X425" s="4">
        <f ca="1">IFERROR(__xludf.DUMMYFUNCTION("""COMPUTED_VALUE"""),3)</f>
        <v>3</v>
      </c>
      <c r="Y425" s="4">
        <f ca="1">IFERROR(__xludf.DUMMYFUNCTION("""COMPUTED_VALUE"""),4)</f>
        <v>4</v>
      </c>
      <c r="Z425" s="4">
        <f ca="1">IFERROR(__xludf.DUMMYFUNCTION("""COMPUTED_VALUE"""),4)</f>
        <v>4</v>
      </c>
      <c r="AA425" s="4">
        <f ca="1">IFERROR(__xludf.DUMMYFUNCTION("""COMPUTED_VALUE"""),5)</f>
        <v>5</v>
      </c>
      <c r="AB425" s="4">
        <f ca="1">IFERROR(__xludf.DUMMYFUNCTION("""COMPUTED_VALUE"""),5)</f>
        <v>5</v>
      </c>
      <c r="AC425" s="4">
        <f ca="1">IFERROR(__xludf.DUMMYFUNCTION("""COMPUTED_VALUE"""),4)</f>
        <v>4</v>
      </c>
      <c r="AD425" s="4">
        <f ca="1">IFERROR(__xludf.DUMMYFUNCTION("""COMPUTED_VALUE"""),4)</f>
        <v>4</v>
      </c>
      <c r="AE425" s="4">
        <f ca="1">IFERROR(__xludf.DUMMYFUNCTION("""COMPUTED_VALUE"""),4)</f>
        <v>4</v>
      </c>
      <c r="AF425" s="4">
        <f ca="1">IFERROR(__xludf.DUMMYFUNCTION("""COMPUTED_VALUE"""),5)</f>
        <v>5</v>
      </c>
      <c r="AG425" s="4">
        <f ca="1">IFERROR(__xludf.DUMMYFUNCTION("""COMPUTED_VALUE"""),4)</f>
        <v>4</v>
      </c>
      <c r="AH425" s="4">
        <f ca="1">IFERROR(__xludf.DUMMYFUNCTION("""COMPUTED_VALUE"""),4)</f>
        <v>4</v>
      </c>
      <c r="AI425" s="4">
        <f ca="1">IFERROR(__xludf.DUMMYFUNCTION("""COMPUTED_VALUE"""),4)</f>
        <v>4</v>
      </c>
      <c r="AJ425" s="4">
        <f ca="1">IFERROR(__xludf.DUMMYFUNCTION("""COMPUTED_VALUE"""),5)</f>
        <v>5</v>
      </c>
      <c r="AK425" s="4">
        <f ca="1">IFERROR(__xludf.DUMMYFUNCTION("""COMPUTED_VALUE"""),4)</f>
        <v>4</v>
      </c>
      <c r="AL425" s="4">
        <f ca="1">IFERROR(__xludf.DUMMYFUNCTION("""COMPUTED_VALUE"""),4)</f>
        <v>4</v>
      </c>
      <c r="AM425" s="4">
        <f ca="1">IFERROR(__xludf.DUMMYFUNCTION("""COMPUTED_VALUE"""),4)</f>
        <v>4</v>
      </c>
      <c r="AN425" s="4">
        <f ca="1">IFERROR(__xludf.DUMMYFUNCTION("""COMPUTED_VALUE"""),4)</f>
        <v>4</v>
      </c>
      <c r="AO425" s="4">
        <f ca="1">IFERROR(__xludf.DUMMYFUNCTION("""COMPUTED_VALUE"""),4)</f>
        <v>4</v>
      </c>
      <c r="AP425" s="4">
        <f ca="1">IFERROR(__xludf.DUMMYFUNCTION("""COMPUTED_VALUE"""),3)</f>
        <v>3</v>
      </c>
      <c r="AQ425" s="4">
        <f ca="1">IFERROR(__xludf.DUMMYFUNCTION("""COMPUTED_VALUE"""),4)</f>
        <v>4</v>
      </c>
      <c r="AR425" s="4">
        <f ca="1">IFERROR(__xludf.DUMMYFUNCTION("""COMPUTED_VALUE"""),4)</f>
        <v>4</v>
      </c>
      <c r="AS425" s="4">
        <f ca="1">IFERROR(__xludf.DUMMYFUNCTION("""COMPUTED_VALUE"""),3)</f>
        <v>3</v>
      </c>
      <c r="AT425" s="4">
        <f ca="1">IFERROR(__xludf.DUMMYFUNCTION("""COMPUTED_VALUE"""),4)</f>
        <v>4</v>
      </c>
      <c r="AU425" s="4">
        <f ca="1">IFERROR(__xludf.DUMMYFUNCTION("""COMPUTED_VALUE"""),3)</f>
        <v>3</v>
      </c>
      <c r="AV425" s="4">
        <f ca="1">IFERROR(__xludf.DUMMYFUNCTION("""COMPUTED_VALUE"""),4)</f>
        <v>4</v>
      </c>
      <c r="AW425" s="4">
        <f ca="1">IFERROR(__xludf.DUMMYFUNCTION("""COMPUTED_VALUE"""),3)</f>
        <v>3</v>
      </c>
      <c r="AX425" s="4">
        <f ca="1">IFERROR(__xludf.DUMMYFUNCTION("""COMPUTED_VALUE"""),5)</f>
        <v>5</v>
      </c>
      <c r="AY425" s="4">
        <f ca="1">IFERROR(__xludf.DUMMYFUNCTION("""COMPUTED_VALUE"""),4)</f>
        <v>4</v>
      </c>
      <c r="AZ425" s="4">
        <f ca="1">IFERROR(__xludf.DUMMYFUNCTION("""COMPUTED_VALUE"""),4)</f>
        <v>4</v>
      </c>
      <c r="BA425" s="4">
        <f ca="1">IFERROR(__xludf.DUMMYFUNCTION("""COMPUTED_VALUE"""),4)</f>
        <v>4</v>
      </c>
      <c r="BB425" s="4">
        <f ca="1">IFERROR(__xludf.DUMMYFUNCTION("""COMPUTED_VALUE"""),4)</f>
        <v>4</v>
      </c>
      <c r="BC425" s="4">
        <f ca="1">IFERROR(__xludf.DUMMYFUNCTION("""COMPUTED_VALUE"""),3)</f>
        <v>3</v>
      </c>
      <c r="BD425" s="4">
        <f ca="1">IFERROR(__xludf.DUMMYFUNCTION("""COMPUTED_VALUE"""),3)</f>
        <v>3</v>
      </c>
      <c r="BE425" s="4">
        <f ca="1">IFERROR(__xludf.DUMMYFUNCTION("""COMPUTED_VALUE"""),4)</f>
        <v>4</v>
      </c>
      <c r="BF425" s="4">
        <f ca="1">IFERROR(__xludf.DUMMYFUNCTION("""COMPUTED_VALUE"""),4)</f>
        <v>4</v>
      </c>
      <c r="BG425" s="4">
        <f ca="1">IFERROR(__xludf.DUMMYFUNCTION("""COMPUTED_VALUE"""),3)</f>
        <v>3</v>
      </c>
      <c r="BH425" s="4">
        <f ca="1">IFERROR(__xludf.DUMMYFUNCTION("""COMPUTED_VALUE"""),4)</f>
        <v>4</v>
      </c>
      <c r="BI425" s="4">
        <f ca="1">IFERROR(__xludf.DUMMYFUNCTION("""COMPUTED_VALUE"""),4)</f>
        <v>4</v>
      </c>
      <c r="BJ425" s="4">
        <f ca="1">IFERROR(__xludf.DUMMYFUNCTION("""COMPUTED_VALUE"""),4)</f>
        <v>4</v>
      </c>
      <c r="BK425" s="4">
        <f ca="1">IFERROR(__xludf.DUMMYFUNCTION("""COMPUTED_VALUE"""),5)</f>
        <v>5</v>
      </c>
      <c r="BL425" s="4">
        <f ca="1">IFERROR(__xludf.DUMMYFUNCTION("""COMPUTED_VALUE"""),4)</f>
        <v>4</v>
      </c>
      <c r="BM425" s="4">
        <f ca="1">IFERROR(__xludf.DUMMYFUNCTION("""COMPUTED_VALUE"""),4)</f>
        <v>4</v>
      </c>
      <c r="BN425" s="4">
        <f ca="1">IFERROR(__xludf.DUMMYFUNCTION("""COMPUTED_VALUE"""),4)</f>
        <v>4</v>
      </c>
      <c r="BO425" s="4">
        <f ca="1">IFERROR(__xludf.DUMMYFUNCTION("""COMPUTED_VALUE"""),4)</f>
        <v>4</v>
      </c>
      <c r="BP425" s="4">
        <f ca="1">IFERROR(__xludf.DUMMYFUNCTION("""COMPUTED_VALUE"""),4)</f>
        <v>4</v>
      </c>
    </row>
    <row r="426" spans="1:68" ht="13.2" x14ac:dyDescent="0.25">
      <c r="A426" s="4" t="str">
        <f ca="1">IFERROR(__xludf.DUMMYFUNCTION("""COMPUTED_VALUE"""),"2_ABaOnudg3Q-VPpM0vdXH0_ixtMHXg6s_vPbMeYlpfU46ObUR4vLqXKhoPlr3mqTePQ")</f>
        <v>2_ABaOnudg3Q-VPpM0vdXH0_ixtMHXg6s_vPbMeYlpfU46ObUR4vLqXKhoPlr3mqTePQ</v>
      </c>
      <c r="B426" s="5">
        <f ca="1">IFERROR(__xludf.DUMMYFUNCTION("""COMPUTED_VALUE"""),45988.6502994444)</f>
        <v>45988.650299444402</v>
      </c>
      <c r="C426" s="4" t="str">
        <f ca="1">IFERROR(__xludf.DUMMYFUNCTION("""COMPUTED_VALUE"""),"Đỗ Khánh Ly")</f>
        <v>Đỗ Khánh Ly</v>
      </c>
      <c r="D426" s="4" t="str">
        <f ca="1">IFERROR(__xludf.DUMMYFUNCTION("""COMPUTED_VALUE"""),"Nữ")</f>
        <v>Nữ</v>
      </c>
      <c r="E426" s="4" t="str">
        <f ca="1">IFERROR(__xludf.DUMMYFUNCTION("""COMPUTED_VALUE"""),"Công ty TNHH Kiểm toán IVC")</f>
        <v>Công ty TNHH Kiểm toán IVC</v>
      </c>
      <c r="F426" s="4" t="str">
        <f ca="1">IFERROR(__xludf.DUMMYFUNCTION("""COMPUTED_VALUE"""),"Đại học")</f>
        <v>Đại học</v>
      </c>
      <c r="G426" s="4" t="str">
        <f ca="1">IFERROR(__xludf.DUMMYFUNCTION("""COMPUTED_VALUE"""),"Từ 3 đến 5 năm")</f>
        <v>Từ 3 đến 5 năm</v>
      </c>
      <c r="H426" s="4" t="str">
        <f ca="1">IFERROR(__xludf.DUMMYFUNCTION("""COMPUTED_VALUE"""),"Trợ lý kiểm toán")</f>
        <v>Trợ lý kiểm toán</v>
      </c>
      <c r="I426" s="4">
        <f ca="1">IFERROR(__xludf.DUMMYFUNCTION("""COMPUTED_VALUE"""),5)</f>
        <v>5</v>
      </c>
      <c r="J426" s="4">
        <f ca="1">IFERROR(__xludf.DUMMYFUNCTION("""COMPUTED_VALUE"""),3)</f>
        <v>3</v>
      </c>
      <c r="K426" s="4">
        <f ca="1">IFERROR(__xludf.DUMMYFUNCTION("""COMPUTED_VALUE"""),4)</f>
        <v>4</v>
      </c>
      <c r="L426" s="4">
        <f ca="1">IFERROR(__xludf.DUMMYFUNCTION("""COMPUTED_VALUE"""),4)</f>
        <v>4</v>
      </c>
      <c r="M426" s="4">
        <f ca="1">IFERROR(__xludf.DUMMYFUNCTION("""COMPUTED_VALUE"""),4)</f>
        <v>4</v>
      </c>
      <c r="N426" s="4">
        <f ca="1">IFERROR(__xludf.DUMMYFUNCTION("""COMPUTED_VALUE"""),4)</f>
        <v>4</v>
      </c>
      <c r="O426" s="4">
        <f ca="1">IFERROR(__xludf.DUMMYFUNCTION("""COMPUTED_VALUE"""),4)</f>
        <v>4</v>
      </c>
      <c r="P426" s="4">
        <f ca="1">IFERROR(__xludf.DUMMYFUNCTION("""COMPUTED_VALUE"""),4)</f>
        <v>4</v>
      </c>
      <c r="Q426" s="4">
        <f ca="1">IFERROR(__xludf.DUMMYFUNCTION("""COMPUTED_VALUE"""),4)</f>
        <v>4</v>
      </c>
      <c r="R426" s="4">
        <f ca="1">IFERROR(__xludf.DUMMYFUNCTION("""COMPUTED_VALUE"""),5)</f>
        <v>5</v>
      </c>
      <c r="S426" s="4">
        <f ca="1">IFERROR(__xludf.DUMMYFUNCTION("""COMPUTED_VALUE"""),4)</f>
        <v>4</v>
      </c>
      <c r="T426" s="4">
        <f ca="1">IFERROR(__xludf.DUMMYFUNCTION("""COMPUTED_VALUE"""),5)</f>
        <v>5</v>
      </c>
      <c r="U426" s="4">
        <f ca="1">IFERROR(__xludf.DUMMYFUNCTION("""COMPUTED_VALUE"""),5)</f>
        <v>5</v>
      </c>
      <c r="V426" s="4">
        <f ca="1">IFERROR(__xludf.DUMMYFUNCTION("""COMPUTED_VALUE"""),5)</f>
        <v>5</v>
      </c>
      <c r="W426" s="4">
        <f ca="1">IFERROR(__xludf.DUMMYFUNCTION("""COMPUTED_VALUE"""),3)</f>
        <v>3</v>
      </c>
      <c r="X426" s="4">
        <f ca="1">IFERROR(__xludf.DUMMYFUNCTION("""COMPUTED_VALUE"""),4)</f>
        <v>4</v>
      </c>
      <c r="Y426" s="4">
        <f ca="1">IFERROR(__xludf.DUMMYFUNCTION("""COMPUTED_VALUE"""),3)</f>
        <v>3</v>
      </c>
      <c r="Z426" s="4">
        <f ca="1">IFERROR(__xludf.DUMMYFUNCTION("""COMPUTED_VALUE"""),3)</f>
        <v>3</v>
      </c>
      <c r="AA426" s="4">
        <f ca="1">IFERROR(__xludf.DUMMYFUNCTION("""COMPUTED_VALUE"""),3)</f>
        <v>3</v>
      </c>
      <c r="AB426" s="4">
        <f ca="1">IFERROR(__xludf.DUMMYFUNCTION("""COMPUTED_VALUE"""),3)</f>
        <v>3</v>
      </c>
      <c r="AC426" s="4">
        <f ca="1">IFERROR(__xludf.DUMMYFUNCTION("""COMPUTED_VALUE"""),2)</f>
        <v>2</v>
      </c>
      <c r="AD426" s="4">
        <f ca="1">IFERROR(__xludf.DUMMYFUNCTION("""COMPUTED_VALUE"""),3)</f>
        <v>3</v>
      </c>
      <c r="AE426" s="4">
        <f ca="1">IFERROR(__xludf.DUMMYFUNCTION("""COMPUTED_VALUE"""),3)</f>
        <v>3</v>
      </c>
      <c r="AF426" s="4">
        <f ca="1">IFERROR(__xludf.DUMMYFUNCTION("""COMPUTED_VALUE"""),4)</f>
        <v>4</v>
      </c>
      <c r="AG426" s="4">
        <f ca="1">IFERROR(__xludf.DUMMYFUNCTION("""COMPUTED_VALUE"""),4)</f>
        <v>4</v>
      </c>
      <c r="AH426" s="4">
        <f ca="1">IFERROR(__xludf.DUMMYFUNCTION("""COMPUTED_VALUE"""),4)</f>
        <v>4</v>
      </c>
      <c r="AI426" s="4">
        <f ca="1">IFERROR(__xludf.DUMMYFUNCTION("""COMPUTED_VALUE"""),3)</f>
        <v>3</v>
      </c>
      <c r="AJ426" s="4">
        <f ca="1">IFERROR(__xludf.DUMMYFUNCTION("""COMPUTED_VALUE"""),5)</f>
        <v>5</v>
      </c>
      <c r="AK426" s="4">
        <f ca="1">IFERROR(__xludf.DUMMYFUNCTION("""COMPUTED_VALUE"""),5)</f>
        <v>5</v>
      </c>
      <c r="AL426" s="4">
        <f ca="1">IFERROR(__xludf.DUMMYFUNCTION("""COMPUTED_VALUE"""),5)</f>
        <v>5</v>
      </c>
      <c r="AM426" s="4">
        <f ca="1">IFERROR(__xludf.DUMMYFUNCTION("""COMPUTED_VALUE"""),5)</f>
        <v>5</v>
      </c>
      <c r="AN426" s="4">
        <f ca="1">IFERROR(__xludf.DUMMYFUNCTION("""COMPUTED_VALUE"""),5)</f>
        <v>5</v>
      </c>
      <c r="AO426" s="4">
        <f ca="1">IFERROR(__xludf.DUMMYFUNCTION("""COMPUTED_VALUE"""),4)</f>
        <v>4</v>
      </c>
      <c r="AP426" s="4">
        <f ca="1">IFERROR(__xludf.DUMMYFUNCTION("""COMPUTED_VALUE"""),4)</f>
        <v>4</v>
      </c>
      <c r="AQ426" s="4">
        <f ca="1">IFERROR(__xludf.DUMMYFUNCTION("""COMPUTED_VALUE"""),4)</f>
        <v>4</v>
      </c>
      <c r="AR426" s="4">
        <f ca="1">IFERROR(__xludf.DUMMYFUNCTION("""COMPUTED_VALUE"""),4)</f>
        <v>4</v>
      </c>
      <c r="AS426" s="4">
        <f ca="1">IFERROR(__xludf.DUMMYFUNCTION("""COMPUTED_VALUE"""),3)</f>
        <v>3</v>
      </c>
      <c r="AT426" s="4">
        <f ca="1">IFERROR(__xludf.DUMMYFUNCTION("""COMPUTED_VALUE"""),3)</f>
        <v>3</v>
      </c>
      <c r="AU426" s="4">
        <f ca="1">IFERROR(__xludf.DUMMYFUNCTION("""COMPUTED_VALUE"""),3)</f>
        <v>3</v>
      </c>
      <c r="AV426" s="4">
        <f ca="1">IFERROR(__xludf.DUMMYFUNCTION("""COMPUTED_VALUE"""),3)</f>
        <v>3</v>
      </c>
      <c r="AW426" s="4">
        <f ca="1">IFERROR(__xludf.DUMMYFUNCTION("""COMPUTED_VALUE"""),3)</f>
        <v>3</v>
      </c>
      <c r="AX426" s="4">
        <f ca="1">IFERROR(__xludf.DUMMYFUNCTION("""COMPUTED_VALUE"""),5)</f>
        <v>5</v>
      </c>
      <c r="AY426" s="4">
        <f ca="1">IFERROR(__xludf.DUMMYFUNCTION("""COMPUTED_VALUE"""),5)</f>
        <v>5</v>
      </c>
      <c r="AZ426" s="4">
        <f ca="1">IFERROR(__xludf.DUMMYFUNCTION("""COMPUTED_VALUE"""),5)</f>
        <v>5</v>
      </c>
      <c r="BA426" s="4">
        <f ca="1">IFERROR(__xludf.DUMMYFUNCTION("""COMPUTED_VALUE"""),5)</f>
        <v>5</v>
      </c>
      <c r="BB426" s="4">
        <f ca="1">IFERROR(__xludf.DUMMYFUNCTION("""COMPUTED_VALUE"""),3)</f>
        <v>3</v>
      </c>
      <c r="BC426" s="4">
        <f ca="1">IFERROR(__xludf.DUMMYFUNCTION("""COMPUTED_VALUE"""),3)</f>
        <v>3</v>
      </c>
      <c r="BD426" s="4">
        <f ca="1">IFERROR(__xludf.DUMMYFUNCTION("""COMPUTED_VALUE"""),3)</f>
        <v>3</v>
      </c>
      <c r="BE426" s="4">
        <f ca="1">IFERROR(__xludf.DUMMYFUNCTION("""COMPUTED_VALUE"""),3)</f>
        <v>3</v>
      </c>
      <c r="BF426" s="4">
        <f ca="1">IFERROR(__xludf.DUMMYFUNCTION("""COMPUTED_VALUE"""),3)</f>
        <v>3</v>
      </c>
      <c r="BG426" s="4">
        <f ca="1">IFERROR(__xludf.DUMMYFUNCTION("""COMPUTED_VALUE"""),3)</f>
        <v>3</v>
      </c>
      <c r="BH426" s="4">
        <f ca="1">IFERROR(__xludf.DUMMYFUNCTION("""COMPUTED_VALUE"""),4)</f>
        <v>4</v>
      </c>
      <c r="BI426" s="4">
        <f ca="1">IFERROR(__xludf.DUMMYFUNCTION("""COMPUTED_VALUE"""),4)</f>
        <v>4</v>
      </c>
      <c r="BJ426" s="4">
        <f ca="1">IFERROR(__xludf.DUMMYFUNCTION("""COMPUTED_VALUE"""),4)</f>
        <v>4</v>
      </c>
      <c r="BK426" s="4">
        <f ca="1">IFERROR(__xludf.DUMMYFUNCTION("""COMPUTED_VALUE"""),4)</f>
        <v>4</v>
      </c>
      <c r="BL426" s="4">
        <f ca="1">IFERROR(__xludf.DUMMYFUNCTION("""COMPUTED_VALUE"""),4)</f>
        <v>4</v>
      </c>
      <c r="BM426" s="4">
        <f ca="1">IFERROR(__xludf.DUMMYFUNCTION("""COMPUTED_VALUE"""),4)</f>
        <v>4</v>
      </c>
      <c r="BN426" s="4">
        <f ca="1">IFERROR(__xludf.DUMMYFUNCTION("""COMPUTED_VALUE"""),5)</f>
        <v>5</v>
      </c>
      <c r="BO426" s="4">
        <f ca="1">IFERROR(__xludf.DUMMYFUNCTION("""COMPUTED_VALUE"""),5)</f>
        <v>5</v>
      </c>
      <c r="BP426" s="4">
        <f ca="1">IFERROR(__xludf.DUMMYFUNCTION("""COMPUTED_VALUE"""),4)</f>
        <v>4</v>
      </c>
    </row>
    <row r="427" spans="1:68" ht="13.2" x14ac:dyDescent="0.25">
      <c r="A427" s="4" t="str">
        <f ca="1">IFERROR(__xludf.DUMMYFUNCTION("""COMPUTED_VALUE"""),"2_ABaOnucEIhV9vFxOVNZ45FTk8Zao0xQo8G-rFgi3KuOAX29F9-pSPJtYwvy67BYf2g")</f>
        <v>2_ABaOnucEIhV9vFxOVNZ45FTk8Zao0xQo8G-rFgi3KuOAX29F9-pSPJtYwvy67BYf2g</v>
      </c>
      <c r="B427" s="5">
        <f ca="1">IFERROR(__xludf.DUMMYFUNCTION("""COMPUTED_VALUE"""),45988.6505652083)</f>
        <v>45988.6505652083</v>
      </c>
      <c r="C427" s="4" t="str">
        <f ca="1">IFERROR(__xludf.DUMMYFUNCTION("""COMPUTED_VALUE"""),"Phạm Như Quỳnh")</f>
        <v>Phạm Như Quỳnh</v>
      </c>
      <c r="D427" s="4" t="str">
        <f ca="1">IFERROR(__xludf.DUMMYFUNCTION("""COMPUTED_VALUE"""),"Nữ")</f>
        <v>Nữ</v>
      </c>
      <c r="E427" s="4" t="str">
        <f ca="1">IFERROR(__xludf.DUMMYFUNCTION("""COMPUTED_VALUE"""),"Công ty TNHH Kiểm toán IVC")</f>
        <v>Công ty TNHH Kiểm toán IVC</v>
      </c>
      <c r="F427" s="4" t="str">
        <f ca="1">IFERROR(__xludf.DUMMYFUNCTION("""COMPUTED_VALUE"""),"Đại học")</f>
        <v>Đại học</v>
      </c>
      <c r="G427" s="4" t="str">
        <f ca="1">IFERROR(__xludf.DUMMYFUNCTION("""COMPUTED_VALUE"""),"Từ 3 đến 5 năm")</f>
        <v>Từ 3 đến 5 năm</v>
      </c>
      <c r="H427" s="4" t="str">
        <f ca="1">IFERROR(__xludf.DUMMYFUNCTION("""COMPUTED_VALUE"""),"Trợ lý kiểm toán")</f>
        <v>Trợ lý kiểm toán</v>
      </c>
      <c r="I427" s="4">
        <f ca="1">IFERROR(__xludf.DUMMYFUNCTION("""COMPUTED_VALUE"""),5)</f>
        <v>5</v>
      </c>
      <c r="J427" s="4">
        <f ca="1">IFERROR(__xludf.DUMMYFUNCTION("""COMPUTED_VALUE"""),5)</f>
        <v>5</v>
      </c>
      <c r="K427" s="4">
        <f ca="1">IFERROR(__xludf.DUMMYFUNCTION("""COMPUTED_VALUE"""),5)</f>
        <v>5</v>
      </c>
      <c r="L427" s="4">
        <f ca="1">IFERROR(__xludf.DUMMYFUNCTION("""COMPUTED_VALUE"""),5)</f>
        <v>5</v>
      </c>
      <c r="M427" s="4">
        <f ca="1">IFERROR(__xludf.DUMMYFUNCTION("""COMPUTED_VALUE"""),5)</f>
        <v>5</v>
      </c>
      <c r="N427" s="4">
        <f ca="1">IFERROR(__xludf.DUMMYFUNCTION("""COMPUTED_VALUE"""),5)</f>
        <v>5</v>
      </c>
      <c r="O427" s="4">
        <f ca="1">IFERROR(__xludf.DUMMYFUNCTION("""COMPUTED_VALUE"""),5)</f>
        <v>5</v>
      </c>
      <c r="P427" s="4">
        <f ca="1">IFERROR(__xludf.DUMMYFUNCTION("""COMPUTED_VALUE"""),5)</f>
        <v>5</v>
      </c>
      <c r="Q427" s="4">
        <f ca="1">IFERROR(__xludf.DUMMYFUNCTION("""COMPUTED_VALUE"""),5)</f>
        <v>5</v>
      </c>
      <c r="R427" s="4">
        <f ca="1">IFERROR(__xludf.DUMMYFUNCTION("""COMPUTED_VALUE"""),5)</f>
        <v>5</v>
      </c>
      <c r="S427" s="4">
        <f ca="1">IFERROR(__xludf.DUMMYFUNCTION("""COMPUTED_VALUE"""),5)</f>
        <v>5</v>
      </c>
      <c r="T427" s="4">
        <f ca="1">IFERROR(__xludf.DUMMYFUNCTION("""COMPUTED_VALUE"""),5)</f>
        <v>5</v>
      </c>
      <c r="U427" s="4">
        <f ca="1">IFERROR(__xludf.DUMMYFUNCTION("""COMPUTED_VALUE"""),5)</f>
        <v>5</v>
      </c>
      <c r="V427" s="4">
        <f ca="1">IFERROR(__xludf.DUMMYFUNCTION("""COMPUTED_VALUE"""),5)</f>
        <v>5</v>
      </c>
      <c r="W427" s="4">
        <f ca="1">IFERROR(__xludf.DUMMYFUNCTION("""COMPUTED_VALUE"""),5)</f>
        <v>5</v>
      </c>
      <c r="X427" s="4">
        <f ca="1">IFERROR(__xludf.DUMMYFUNCTION("""COMPUTED_VALUE"""),5)</f>
        <v>5</v>
      </c>
      <c r="Y427" s="4">
        <f ca="1">IFERROR(__xludf.DUMMYFUNCTION("""COMPUTED_VALUE"""),5)</f>
        <v>5</v>
      </c>
      <c r="Z427" s="4">
        <f ca="1">IFERROR(__xludf.DUMMYFUNCTION("""COMPUTED_VALUE"""),5)</f>
        <v>5</v>
      </c>
      <c r="AA427" s="4">
        <f ca="1">IFERROR(__xludf.DUMMYFUNCTION("""COMPUTED_VALUE"""),5)</f>
        <v>5</v>
      </c>
      <c r="AB427" s="4">
        <f ca="1">IFERROR(__xludf.DUMMYFUNCTION("""COMPUTED_VALUE"""),5)</f>
        <v>5</v>
      </c>
      <c r="AC427" s="4">
        <f ca="1">IFERROR(__xludf.DUMMYFUNCTION("""COMPUTED_VALUE"""),5)</f>
        <v>5</v>
      </c>
      <c r="AD427" s="4">
        <f ca="1">IFERROR(__xludf.DUMMYFUNCTION("""COMPUTED_VALUE"""),5)</f>
        <v>5</v>
      </c>
      <c r="AE427" s="4">
        <f ca="1">IFERROR(__xludf.DUMMYFUNCTION("""COMPUTED_VALUE"""),5)</f>
        <v>5</v>
      </c>
      <c r="AF427" s="4">
        <f ca="1">IFERROR(__xludf.DUMMYFUNCTION("""COMPUTED_VALUE"""),5)</f>
        <v>5</v>
      </c>
      <c r="AG427" s="4">
        <f ca="1">IFERROR(__xludf.DUMMYFUNCTION("""COMPUTED_VALUE"""),5)</f>
        <v>5</v>
      </c>
      <c r="AH427" s="4">
        <f ca="1">IFERROR(__xludf.DUMMYFUNCTION("""COMPUTED_VALUE"""),5)</f>
        <v>5</v>
      </c>
      <c r="AI427" s="4">
        <f ca="1">IFERROR(__xludf.DUMMYFUNCTION("""COMPUTED_VALUE"""),5)</f>
        <v>5</v>
      </c>
      <c r="AJ427" s="4">
        <f ca="1">IFERROR(__xludf.DUMMYFUNCTION("""COMPUTED_VALUE"""),5)</f>
        <v>5</v>
      </c>
      <c r="AK427" s="4">
        <f ca="1">IFERROR(__xludf.DUMMYFUNCTION("""COMPUTED_VALUE"""),5)</f>
        <v>5</v>
      </c>
      <c r="AL427" s="4">
        <f ca="1">IFERROR(__xludf.DUMMYFUNCTION("""COMPUTED_VALUE"""),5)</f>
        <v>5</v>
      </c>
      <c r="AM427" s="4">
        <f ca="1">IFERROR(__xludf.DUMMYFUNCTION("""COMPUTED_VALUE"""),5)</f>
        <v>5</v>
      </c>
      <c r="AN427" s="4">
        <f ca="1">IFERROR(__xludf.DUMMYFUNCTION("""COMPUTED_VALUE"""),5)</f>
        <v>5</v>
      </c>
      <c r="AO427" s="4">
        <f ca="1">IFERROR(__xludf.DUMMYFUNCTION("""COMPUTED_VALUE"""),5)</f>
        <v>5</v>
      </c>
      <c r="AP427" s="4">
        <f ca="1">IFERROR(__xludf.DUMMYFUNCTION("""COMPUTED_VALUE"""),5)</f>
        <v>5</v>
      </c>
      <c r="AQ427" s="4">
        <f ca="1">IFERROR(__xludf.DUMMYFUNCTION("""COMPUTED_VALUE"""),5)</f>
        <v>5</v>
      </c>
      <c r="AR427" s="4">
        <f ca="1">IFERROR(__xludf.DUMMYFUNCTION("""COMPUTED_VALUE"""),5)</f>
        <v>5</v>
      </c>
      <c r="AS427" s="4">
        <f ca="1">IFERROR(__xludf.DUMMYFUNCTION("""COMPUTED_VALUE"""),5)</f>
        <v>5</v>
      </c>
      <c r="AT427" s="4">
        <f ca="1">IFERROR(__xludf.DUMMYFUNCTION("""COMPUTED_VALUE"""),5)</f>
        <v>5</v>
      </c>
      <c r="AU427" s="4">
        <f ca="1">IFERROR(__xludf.DUMMYFUNCTION("""COMPUTED_VALUE"""),5)</f>
        <v>5</v>
      </c>
      <c r="AV427" s="4">
        <f ca="1">IFERROR(__xludf.DUMMYFUNCTION("""COMPUTED_VALUE"""),5)</f>
        <v>5</v>
      </c>
      <c r="AW427" s="4">
        <f ca="1">IFERROR(__xludf.DUMMYFUNCTION("""COMPUTED_VALUE"""),5)</f>
        <v>5</v>
      </c>
      <c r="AX427" s="4">
        <f ca="1">IFERROR(__xludf.DUMMYFUNCTION("""COMPUTED_VALUE"""),5)</f>
        <v>5</v>
      </c>
      <c r="AY427" s="4">
        <f ca="1">IFERROR(__xludf.DUMMYFUNCTION("""COMPUTED_VALUE"""),5)</f>
        <v>5</v>
      </c>
      <c r="AZ427" s="4">
        <f ca="1">IFERROR(__xludf.DUMMYFUNCTION("""COMPUTED_VALUE"""),5)</f>
        <v>5</v>
      </c>
      <c r="BA427" s="4">
        <f ca="1">IFERROR(__xludf.DUMMYFUNCTION("""COMPUTED_VALUE"""),5)</f>
        <v>5</v>
      </c>
      <c r="BB427" s="4">
        <f ca="1">IFERROR(__xludf.DUMMYFUNCTION("""COMPUTED_VALUE"""),5)</f>
        <v>5</v>
      </c>
      <c r="BC427" s="4">
        <f ca="1">IFERROR(__xludf.DUMMYFUNCTION("""COMPUTED_VALUE"""),5)</f>
        <v>5</v>
      </c>
      <c r="BD427" s="4">
        <f ca="1">IFERROR(__xludf.DUMMYFUNCTION("""COMPUTED_VALUE"""),5)</f>
        <v>5</v>
      </c>
      <c r="BE427" s="4">
        <f ca="1">IFERROR(__xludf.DUMMYFUNCTION("""COMPUTED_VALUE"""),5)</f>
        <v>5</v>
      </c>
      <c r="BF427" s="4">
        <f ca="1">IFERROR(__xludf.DUMMYFUNCTION("""COMPUTED_VALUE"""),5)</f>
        <v>5</v>
      </c>
      <c r="BG427" s="4">
        <f ca="1">IFERROR(__xludf.DUMMYFUNCTION("""COMPUTED_VALUE"""),5)</f>
        <v>5</v>
      </c>
      <c r="BH427" s="4">
        <f ca="1">IFERROR(__xludf.DUMMYFUNCTION("""COMPUTED_VALUE"""),5)</f>
        <v>5</v>
      </c>
      <c r="BI427" s="4">
        <f ca="1">IFERROR(__xludf.DUMMYFUNCTION("""COMPUTED_VALUE"""),5)</f>
        <v>5</v>
      </c>
      <c r="BJ427" s="4">
        <f ca="1">IFERROR(__xludf.DUMMYFUNCTION("""COMPUTED_VALUE"""),5)</f>
        <v>5</v>
      </c>
      <c r="BK427" s="4">
        <f ca="1">IFERROR(__xludf.DUMMYFUNCTION("""COMPUTED_VALUE"""),5)</f>
        <v>5</v>
      </c>
      <c r="BL427" s="4">
        <f ca="1">IFERROR(__xludf.DUMMYFUNCTION("""COMPUTED_VALUE"""),5)</f>
        <v>5</v>
      </c>
      <c r="BM427" s="4">
        <f ca="1">IFERROR(__xludf.DUMMYFUNCTION("""COMPUTED_VALUE"""),5)</f>
        <v>5</v>
      </c>
      <c r="BN427" s="4">
        <f ca="1">IFERROR(__xludf.DUMMYFUNCTION("""COMPUTED_VALUE"""),5)</f>
        <v>5</v>
      </c>
      <c r="BO427" s="4">
        <f ca="1">IFERROR(__xludf.DUMMYFUNCTION("""COMPUTED_VALUE"""),5)</f>
        <v>5</v>
      </c>
      <c r="BP427" s="4">
        <f ca="1">IFERROR(__xludf.DUMMYFUNCTION("""COMPUTED_VALUE"""),5)</f>
        <v>5</v>
      </c>
    </row>
    <row r="428" spans="1:68" ht="13.2" x14ac:dyDescent="0.25">
      <c r="A428" s="4" t="str">
        <f ca="1">IFERROR(__xludf.DUMMYFUNCTION("""COMPUTED_VALUE"""),"2_ABaOnue-jQ-1d9z-pV75tfLrn9KUV6LqB72mU3z66HF18lgjhdm_rOZiEGfvJOW6Ug")</f>
        <v>2_ABaOnue-jQ-1d9z-pV75tfLrn9KUV6LqB72mU3z66HF18lgjhdm_rOZiEGfvJOW6Ug</v>
      </c>
      <c r="B428" s="5">
        <f ca="1">IFERROR(__xludf.DUMMYFUNCTION("""COMPUTED_VALUE"""),45988.6517922916)</f>
        <v>45988.651792291603</v>
      </c>
      <c r="C428" s="4" t="str">
        <f ca="1">IFERROR(__xludf.DUMMYFUNCTION("""COMPUTED_VALUE"""),"Hoàng Phúc Kỷ")</f>
        <v>Hoàng Phúc Kỷ</v>
      </c>
      <c r="D428" s="4" t="str">
        <f ca="1">IFERROR(__xludf.DUMMYFUNCTION("""COMPUTED_VALUE"""),"Nam")</f>
        <v>Nam</v>
      </c>
      <c r="E428" s="4" t="str">
        <f ca="1">IFERROR(__xludf.DUMMYFUNCTION("""COMPUTED_VALUE"""),"Công ty TNHH Kiểm toán IVC")</f>
        <v>Công ty TNHH Kiểm toán IVC</v>
      </c>
      <c r="F428" s="4" t="str">
        <f ca="1">IFERROR(__xludf.DUMMYFUNCTION("""COMPUTED_VALUE"""),"Đại học")</f>
        <v>Đại học</v>
      </c>
      <c r="G428" s="4" t="str">
        <f ca="1">IFERROR(__xludf.DUMMYFUNCTION("""COMPUTED_VALUE"""),"Từ 3 đến 5 năm")</f>
        <v>Từ 3 đến 5 năm</v>
      </c>
      <c r="H428" s="4" t="str">
        <f ca="1">IFERROR(__xludf.DUMMYFUNCTION("""COMPUTED_VALUE"""),"Trợ lý kiểm toán")</f>
        <v>Trợ lý kiểm toán</v>
      </c>
      <c r="I428" s="4">
        <f ca="1">IFERROR(__xludf.DUMMYFUNCTION("""COMPUTED_VALUE"""),4)</f>
        <v>4</v>
      </c>
      <c r="J428" s="4">
        <f ca="1">IFERROR(__xludf.DUMMYFUNCTION("""COMPUTED_VALUE"""),4)</f>
        <v>4</v>
      </c>
      <c r="K428" s="4">
        <f ca="1">IFERROR(__xludf.DUMMYFUNCTION("""COMPUTED_VALUE"""),4)</f>
        <v>4</v>
      </c>
      <c r="L428" s="4">
        <f ca="1">IFERROR(__xludf.DUMMYFUNCTION("""COMPUTED_VALUE"""),3)</f>
        <v>3</v>
      </c>
      <c r="M428" s="4">
        <f ca="1">IFERROR(__xludf.DUMMYFUNCTION("""COMPUTED_VALUE"""),3)</f>
        <v>3</v>
      </c>
      <c r="N428" s="4">
        <f ca="1">IFERROR(__xludf.DUMMYFUNCTION("""COMPUTED_VALUE"""),3)</f>
        <v>3</v>
      </c>
      <c r="O428" s="4">
        <f ca="1">IFERROR(__xludf.DUMMYFUNCTION("""COMPUTED_VALUE"""),3)</f>
        <v>3</v>
      </c>
      <c r="P428" s="4">
        <f ca="1">IFERROR(__xludf.DUMMYFUNCTION("""COMPUTED_VALUE"""),4)</f>
        <v>4</v>
      </c>
      <c r="Q428" s="4">
        <f ca="1">IFERROR(__xludf.DUMMYFUNCTION("""COMPUTED_VALUE"""),5)</f>
        <v>5</v>
      </c>
      <c r="R428" s="4">
        <f ca="1">IFERROR(__xludf.DUMMYFUNCTION("""COMPUTED_VALUE"""),3)</f>
        <v>3</v>
      </c>
      <c r="S428" s="4">
        <f ca="1">IFERROR(__xludf.DUMMYFUNCTION("""COMPUTED_VALUE"""),5)</f>
        <v>5</v>
      </c>
      <c r="T428" s="4">
        <f ca="1">IFERROR(__xludf.DUMMYFUNCTION("""COMPUTED_VALUE"""),4)</f>
        <v>4</v>
      </c>
      <c r="U428" s="4">
        <f ca="1">IFERROR(__xludf.DUMMYFUNCTION("""COMPUTED_VALUE"""),5)</f>
        <v>5</v>
      </c>
      <c r="V428" s="4">
        <f ca="1">IFERROR(__xludf.DUMMYFUNCTION("""COMPUTED_VALUE"""),2)</f>
        <v>2</v>
      </c>
      <c r="W428" s="4">
        <f ca="1">IFERROR(__xludf.DUMMYFUNCTION("""COMPUTED_VALUE"""),3)</f>
        <v>3</v>
      </c>
      <c r="X428" s="4">
        <f ca="1">IFERROR(__xludf.DUMMYFUNCTION("""COMPUTED_VALUE"""),2)</f>
        <v>2</v>
      </c>
      <c r="Y428" s="4">
        <f ca="1">IFERROR(__xludf.DUMMYFUNCTION("""COMPUTED_VALUE"""),3)</f>
        <v>3</v>
      </c>
      <c r="Z428" s="4">
        <f ca="1">IFERROR(__xludf.DUMMYFUNCTION("""COMPUTED_VALUE"""),4)</f>
        <v>4</v>
      </c>
      <c r="AA428" s="4">
        <f ca="1">IFERROR(__xludf.DUMMYFUNCTION("""COMPUTED_VALUE"""),4)</f>
        <v>4</v>
      </c>
      <c r="AB428" s="4">
        <f ca="1">IFERROR(__xludf.DUMMYFUNCTION("""COMPUTED_VALUE"""),3)</f>
        <v>3</v>
      </c>
      <c r="AC428" s="4">
        <f ca="1">IFERROR(__xludf.DUMMYFUNCTION("""COMPUTED_VALUE"""),4)</f>
        <v>4</v>
      </c>
      <c r="AD428" s="4">
        <f ca="1">IFERROR(__xludf.DUMMYFUNCTION("""COMPUTED_VALUE"""),2)</f>
        <v>2</v>
      </c>
      <c r="AE428" s="4">
        <f ca="1">IFERROR(__xludf.DUMMYFUNCTION("""COMPUTED_VALUE"""),4)</f>
        <v>4</v>
      </c>
      <c r="AF428" s="4">
        <f ca="1">IFERROR(__xludf.DUMMYFUNCTION("""COMPUTED_VALUE"""),4)</f>
        <v>4</v>
      </c>
      <c r="AG428" s="4">
        <f ca="1">IFERROR(__xludf.DUMMYFUNCTION("""COMPUTED_VALUE"""),4)</f>
        <v>4</v>
      </c>
      <c r="AH428" s="4">
        <f ca="1">IFERROR(__xludf.DUMMYFUNCTION("""COMPUTED_VALUE"""),4)</f>
        <v>4</v>
      </c>
      <c r="AI428" s="4">
        <f ca="1">IFERROR(__xludf.DUMMYFUNCTION("""COMPUTED_VALUE"""),4)</f>
        <v>4</v>
      </c>
      <c r="AJ428" s="4">
        <f ca="1">IFERROR(__xludf.DUMMYFUNCTION("""COMPUTED_VALUE"""),3)</f>
        <v>3</v>
      </c>
      <c r="AK428" s="4">
        <f ca="1">IFERROR(__xludf.DUMMYFUNCTION("""COMPUTED_VALUE"""),5)</f>
        <v>5</v>
      </c>
      <c r="AL428" s="4">
        <f ca="1">IFERROR(__xludf.DUMMYFUNCTION("""COMPUTED_VALUE"""),4)</f>
        <v>4</v>
      </c>
      <c r="AM428" s="4">
        <f ca="1">IFERROR(__xludf.DUMMYFUNCTION("""COMPUTED_VALUE"""),4)</f>
        <v>4</v>
      </c>
      <c r="AN428" s="4">
        <f ca="1">IFERROR(__xludf.DUMMYFUNCTION("""COMPUTED_VALUE"""),3)</f>
        <v>3</v>
      </c>
      <c r="AO428" s="4">
        <f ca="1">IFERROR(__xludf.DUMMYFUNCTION("""COMPUTED_VALUE"""),4)</f>
        <v>4</v>
      </c>
      <c r="AP428" s="4">
        <f ca="1">IFERROR(__xludf.DUMMYFUNCTION("""COMPUTED_VALUE"""),5)</f>
        <v>5</v>
      </c>
      <c r="AQ428" s="4">
        <f ca="1">IFERROR(__xludf.DUMMYFUNCTION("""COMPUTED_VALUE"""),5)</f>
        <v>5</v>
      </c>
      <c r="AR428" s="4">
        <f ca="1">IFERROR(__xludf.DUMMYFUNCTION("""COMPUTED_VALUE"""),5)</f>
        <v>5</v>
      </c>
      <c r="AS428" s="4">
        <f ca="1">IFERROR(__xludf.DUMMYFUNCTION("""COMPUTED_VALUE"""),3)</f>
        <v>3</v>
      </c>
      <c r="AT428" s="4">
        <f ca="1">IFERROR(__xludf.DUMMYFUNCTION("""COMPUTED_VALUE"""),3)</f>
        <v>3</v>
      </c>
      <c r="AU428" s="4">
        <f ca="1">IFERROR(__xludf.DUMMYFUNCTION("""COMPUTED_VALUE"""),3)</f>
        <v>3</v>
      </c>
      <c r="AV428" s="4">
        <f ca="1">IFERROR(__xludf.DUMMYFUNCTION("""COMPUTED_VALUE"""),3)</f>
        <v>3</v>
      </c>
      <c r="AW428" s="4">
        <f ca="1">IFERROR(__xludf.DUMMYFUNCTION("""COMPUTED_VALUE"""),4)</f>
        <v>4</v>
      </c>
      <c r="AX428" s="4">
        <f ca="1">IFERROR(__xludf.DUMMYFUNCTION("""COMPUTED_VALUE"""),5)</f>
        <v>5</v>
      </c>
      <c r="AY428" s="4">
        <f ca="1">IFERROR(__xludf.DUMMYFUNCTION("""COMPUTED_VALUE"""),5)</f>
        <v>5</v>
      </c>
      <c r="AZ428" s="4">
        <f ca="1">IFERROR(__xludf.DUMMYFUNCTION("""COMPUTED_VALUE"""),5)</f>
        <v>5</v>
      </c>
      <c r="BA428" s="4">
        <f ca="1">IFERROR(__xludf.DUMMYFUNCTION("""COMPUTED_VALUE"""),5)</f>
        <v>5</v>
      </c>
      <c r="BB428" s="4">
        <f ca="1">IFERROR(__xludf.DUMMYFUNCTION("""COMPUTED_VALUE"""),5)</f>
        <v>5</v>
      </c>
      <c r="BC428" s="4">
        <f ca="1">IFERROR(__xludf.DUMMYFUNCTION("""COMPUTED_VALUE"""),3)</f>
        <v>3</v>
      </c>
      <c r="BD428" s="4">
        <f ca="1">IFERROR(__xludf.DUMMYFUNCTION("""COMPUTED_VALUE"""),3)</f>
        <v>3</v>
      </c>
      <c r="BE428" s="4">
        <f ca="1">IFERROR(__xludf.DUMMYFUNCTION("""COMPUTED_VALUE"""),2)</f>
        <v>2</v>
      </c>
      <c r="BF428" s="4">
        <f ca="1">IFERROR(__xludf.DUMMYFUNCTION("""COMPUTED_VALUE"""),2)</f>
        <v>2</v>
      </c>
      <c r="BG428" s="4">
        <f ca="1">IFERROR(__xludf.DUMMYFUNCTION("""COMPUTED_VALUE"""),3)</f>
        <v>3</v>
      </c>
      <c r="BH428" s="4">
        <f ca="1">IFERROR(__xludf.DUMMYFUNCTION("""COMPUTED_VALUE"""),3)</f>
        <v>3</v>
      </c>
      <c r="BI428" s="4">
        <f ca="1">IFERROR(__xludf.DUMMYFUNCTION("""COMPUTED_VALUE"""),3)</f>
        <v>3</v>
      </c>
      <c r="BJ428" s="4">
        <f ca="1">IFERROR(__xludf.DUMMYFUNCTION("""COMPUTED_VALUE"""),5)</f>
        <v>5</v>
      </c>
      <c r="BK428" s="4">
        <f ca="1">IFERROR(__xludf.DUMMYFUNCTION("""COMPUTED_VALUE"""),4)</f>
        <v>4</v>
      </c>
      <c r="BL428" s="4">
        <f ca="1">IFERROR(__xludf.DUMMYFUNCTION("""COMPUTED_VALUE"""),4)</f>
        <v>4</v>
      </c>
      <c r="BM428" s="4">
        <f ca="1">IFERROR(__xludf.DUMMYFUNCTION("""COMPUTED_VALUE"""),4)</f>
        <v>4</v>
      </c>
      <c r="BN428" s="4">
        <f ca="1">IFERROR(__xludf.DUMMYFUNCTION("""COMPUTED_VALUE"""),4)</f>
        <v>4</v>
      </c>
      <c r="BO428" s="4">
        <f ca="1">IFERROR(__xludf.DUMMYFUNCTION("""COMPUTED_VALUE"""),4)</f>
        <v>4</v>
      </c>
      <c r="BP428" s="4">
        <f ca="1">IFERROR(__xludf.DUMMYFUNCTION("""COMPUTED_VALUE"""),4)</f>
        <v>4</v>
      </c>
    </row>
    <row r="429" spans="1:68" ht="13.2" x14ac:dyDescent="0.25">
      <c r="A429" s="4" t="str">
        <f ca="1">IFERROR(__xludf.DUMMYFUNCTION("""COMPUTED_VALUE"""),"2_ABaOnudS0GwpMbYjKBfJvlxn8I11hJWDteJ54DzwIzOvHJBdqK5rGFNEDJ9fJfqZnQ")</f>
        <v>2_ABaOnudS0GwpMbYjKBfJvlxn8I11hJWDteJ54DzwIzOvHJBdqK5rGFNEDJ9fJfqZnQ</v>
      </c>
      <c r="B429" s="5">
        <f ca="1">IFERROR(__xludf.DUMMYFUNCTION("""COMPUTED_VALUE"""),45988.6530263425)</f>
        <v>45988.653026342501</v>
      </c>
      <c r="C429" s="4" t="str">
        <f ca="1">IFERROR(__xludf.DUMMYFUNCTION("""COMPUTED_VALUE"""),"Nguyễn Trọng Đại Thắng")</f>
        <v>Nguyễn Trọng Đại Thắng</v>
      </c>
      <c r="D429" s="4" t="str">
        <f ca="1">IFERROR(__xludf.DUMMYFUNCTION("""COMPUTED_VALUE"""),"Nam")</f>
        <v>Nam</v>
      </c>
      <c r="E429" s="4" t="str">
        <f ca="1">IFERROR(__xludf.DUMMYFUNCTION("""COMPUTED_VALUE"""),"Công ty TNHH Kiểm toán IVC")</f>
        <v>Công ty TNHH Kiểm toán IVC</v>
      </c>
      <c r="F429" s="4" t="str">
        <f ca="1">IFERROR(__xludf.DUMMYFUNCTION("""COMPUTED_VALUE"""),"Đại học")</f>
        <v>Đại học</v>
      </c>
      <c r="G429" s="4" t="str">
        <f ca="1">IFERROR(__xludf.DUMMYFUNCTION("""COMPUTED_VALUE"""),"Từ 3 đến 5 năm")</f>
        <v>Từ 3 đến 5 năm</v>
      </c>
      <c r="H429" s="4" t="str">
        <f ca="1">IFERROR(__xludf.DUMMYFUNCTION("""COMPUTED_VALUE"""),"Trợ lý kiểm toán")</f>
        <v>Trợ lý kiểm toán</v>
      </c>
      <c r="I429" s="4">
        <f ca="1">IFERROR(__xludf.DUMMYFUNCTION("""COMPUTED_VALUE"""),5)</f>
        <v>5</v>
      </c>
      <c r="J429" s="4">
        <f ca="1">IFERROR(__xludf.DUMMYFUNCTION("""COMPUTED_VALUE"""),5)</f>
        <v>5</v>
      </c>
      <c r="K429" s="4">
        <f ca="1">IFERROR(__xludf.DUMMYFUNCTION("""COMPUTED_VALUE"""),4)</f>
        <v>4</v>
      </c>
      <c r="L429" s="4">
        <f ca="1">IFERROR(__xludf.DUMMYFUNCTION("""COMPUTED_VALUE"""),4)</f>
        <v>4</v>
      </c>
      <c r="M429" s="4">
        <f ca="1">IFERROR(__xludf.DUMMYFUNCTION("""COMPUTED_VALUE"""),5)</f>
        <v>5</v>
      </c>
      <c r="N429" s="4">
        <f ca="1">IFERROR(__xludf.DUMMYFUNCTION("""COMPUTED_VALUE"""),4)</f>
        <v>4</v>
      </c>
      <c r="O429" s="4">
        <f ca="1">IFERROR(__xludf.DUMMYFUNCTION("""COMPUTED_VALUE"""),5)</f>
        <v>5</v>
      </c>
      <c r="P429" s="4">
        <f ca="1">IFERROR(__xludf.DUMMYFUNCTION("""COMPUTED_VALUE"""),5)</f>
        <v>5</v>
      </c>
      <c r="Q429" s="4">
        <f ca="1">IFERROR(__xludf.DUMMYFUNCTION("""COMPUTED_VALUE"""),5)</f>
        <v>5</v>
      </c>
      <c r="R429" s="4">
        <f ca="1">IFERROR(__xludf.DUMMYFUNCTION("""COMPUTED_VALUE"""),5)</f>
        <v>5</v>
      </c>
      <c r="S429" s="4">
        <f ca="1">IFERROR(__xludf.DUMMYFUNCTION("""COMPUTED_VALUE"""),5)</f>
        <v>5</v>
      </c>
      <c r="T429" s="4">
        <f ca="1">IFERROR(__xludf.DUMMYFUNCTION("""COMPUTED_VALUE"""),5)</f>
        <v>5</v>
      </c>
      <c r="U429" s="4">
        <f ca="1">IFERROR(__xludf.DUMMYFUNCTION("""COMPUTED_VALUE"""),5)</f>
        <v>5</v>
      </c>
      <c r="V429" s="4">
        <f ca="1">IFERROR(__xludf.DUMMYFUNCTION("""COMPUTED_VALUE"""),5)</f>
        <v>5</v>
      </c>
      <c r="W429" s="4">
        <f ca="1">IFERROR(__xludf.DUMMYFUNCTION("""COMPUTED_VALUE"""),5)</f>
        <v>5</v>
      </c>
      <c r="X429" s="4">
        <f ca="1">IFERROR(__xludf.DUMMYFUNCTION("""COMPUTED_VALUE"""),5)</f>
        <v>5</v>
      </c>
      <c r="Y429" s="4">
        <f ca="1">IFERROR(__xludf.DUMMYFUNCTION("""COMPUTED_VALUE"""),5)</f>
        <v>5</v>
      </c>
      <c r="Z429" s="4">
        <f ca="1">IFERROR(__xludf.DUMMYFUNCTION("""COMPUTED_VALUE"""),4)</f>
        <v>4</v>
      </c>
      <c r="AA429" s="4">
        <f ca="1">IFERROR(__xludf.DUMMYFUNCTION("""COMPUTED_VALUE"""),5)</f>
        <v>5</v>
      </c>
      <c r="AB429" s="4">
        <f ca="1">IFERROR(__xludf.DUMMYFUNCTION("""COMPUTED_VALUE"""),5)</f>
        <v>5</v>
      </c>
      <c r="AC429" s="4">
        <f ca="1">IFERROR(__xludf.DUMMYFUNCTION("""COMPUTED_VALUE"""),5)</f>
        <v>5</v>
      </c>
      <c r="AD429" s="4">
        <f ca="1">IFERROR(__xludf.DUMMYFUNCTION("""COMPUTED_VALUE"""),4)</f>
        <v>4</v>
      </c>
      <c r="AE429" s="4">
        <f ca="1">IFERROR(__xludf.DUMMYFUNCTION("""COMPUTED_VALUE"""),5)</f>
        <v>5</v>
      </c>
      <c r="AF429" s="4">
        <f ca="1">IFERROR(__xludf.DUMMYFUNCTION("""COMPUTED_VALUE"""),5)</f>
        <v>5</v>
      </c>
      <c r="AG429" s="4">
        <f ca="1">IFERROR(__xludf.DUMMYFUNCTION("""COMPUTED_VALUE"""),5)</f>
        <v>5</v>
      </c>
      <c r="AH429" s="4">
        <f ca="1">IFERROR(__xludf.DUMMYFUNCTION("""COMPUTED_VALUE"""),5)</f>
        <v>5</v>
      </c>
      <c r="AI429" s="4">
        <f ca="1">IFERROR(__xludf.DUMMYFUNCTION("""COMPUTED_VALUE"""),4)</f>
        <v>4</v>
      </c>
      <c r="AJ429" s="4">
        <f ca="1">IFERROR(__xludf.DUMMYFUNCTION("""COMPUTED_VALUE"""),5)</f>
        <v>5</v>
      </c>
      <c r="AK429" s="4">
        <f ca="1">IFERROR(__xludf.DUMMYFUNCTION("""COMPUTED_VALUE"""),5)</f>
        <v>5</v>
      </c>
      <c r="AL429" s="4">
        <f ca="1">IFERROR(__xludf.DUMMYFUNCTION("""COMPUTED_VALUE"""),5)</f>
        <v>5</v>
      </c>
      <c r="AM429" s="4">
        <f ca="1">IFERROR(__xludf.DUMMYFUNCTION("""COMPUTED_VALUE"""),5)</f>
        <v>5</v>
      </c>
      <c r="AN429" s="4">
        <f ca="1">IFERROR(__xludf.DUMMYFUNCTION("""COMPUTED_VALUE"""),5)</f>
        <v>5</v>
      </c>
      <c r="AO429" s="4">
        <f ca="1">IFERROR(__xludf.DUMMYFUNCTION("""COMPUTED_VALUE"""),5)</f>
        <v>5</v>
      </c>
      <c r="AP429" s="4">
        <f ca="1">IFERROR(__xludf.DUMMYFUNCTION("""COMPUTED_VALUE"""),5)</f>
        <v>5</v>
      </c>
      <c r="AQ429" s="4">
        <f ca="1">IFERROR(__xludf.DUMMYFUNCTION("""COMPUTED_VALUE"""),5)</f>
        <v>5</v>
      </c>
      <c r="AR429" s="4">
        <f ca="1">IFERROR(__xludf.DUMMYFUNCTION("""COMPUTED_VALUE"""),5)</f>
        <v>5</v>
      </c>
      <c r="AS429" s="4">
        <f ca="1">IFERROR(__xludf.DUMMYFUNCTION("""COMPUTED_VALUE"""),5)</f>
        <v>5</v>
      </c>
      <c r="AT429" s="4">
        <f ca="1">IFERROR(__xludf.DUMMYFUNCTION("""COMPUTED_VALUE"""),5)</f>
        <v>5</v>
      </c>
      <c r="AU429" s="4">
        <f ca="1">IFERROR(__xludf.DUMMYFUNCTION("""COMPUTED_VALUE"""),5)</f>
        <v>5</v>
      </c>
      <c r="AV429" s="4">
        <f ca="1">IFERROR(__xludf.DUMMYFUNCTION("""COMPUTED_VALUE"""),5)</f>
        <v>5</v>
      </c>
      <c r="AW429" s="4">
        <f ca="1">IFERROR(__xludf.DUMMYFUNCTION("""COMPUTED_VALUE"""),5)</f>
        <v>5</v>
      </c>
      <c r="AX429" s="4">
        <f ca="1">IFERROR(__xludf.DUMMYFUNCTION("""COMPUTED_VALUE"""),5)</f>
        <v>5</v>
      </c>
      <c r="AY429" s="4">
        <f ca="1">IFERROR(__xludf.DUMMYFUNCTION("""COMPUTED_VALUE"""),5)</f>
        <v>5</v>
      </c>
      <c r="AZ429" s="4">
        <f ca="1">IFERROR(__xludf.DUMMYFUNCTION("""COMPUTED_VALUE"""),5)</f>
        <v>5</v>
      </c>
      <c r="BA429" s="4">
        <f ca="1">IFERROR(__xludf.DUMMYFUNCTION("""COMPUTED_VALUE"""),5)</f>
        <v>5</v>
      </c>
      <c r="BB429" s="4">
        <f ca="1">IFERROR(__xludf.DUMMYFUNCTION("""COMPUTED_VALUE"""),5)</f>
        <v>5</v>
      </c>
      <c r="BC429" s="4">
        <f ca="1">IFERROR(__xludf.DUMMYFUNCTION("""COMPUTED_VALUE"""),5)</f>
        <v>5</v>
      </c>
      <c r="BD429" s="4">
        <f ca="1">IFERROR(__xludf.DUMMYFUNCTION("""COMPUTED_VALUE"""),4)</f>
        <v>4</v>
      </c>
      <c r="BE429" s="4">
        <f ca="1">IFERROR(__xludf.DUMMYFUNCTION("""COMPUTED_VALUE"""),4)</f>
        <v>4</v>
      </c>
      <c r="BF429" s="4">
        <f ca="1">IFERROR(__xludf.DUMMYFUNCTION("""COMPUTED_VALUE"""),4)</f>
        <v>4</v>
      </c>
      <c r="BG429" s="4">
        <f ca="1">IFERROR(__xludf.DUMMYFUNCTION("""COMPUTED_VALUE"""),4)</f>
        <v>4</v>
      </c>
      <c r="BH429" s="4">
        <f ca="1">IFERROR(__xludf.DUMMYFUNCTION("""COMPUTED_VALUE"""),5)</f>
        <v>5</v>
      </c>
      <c r="BI429" s="4">
        <f ca="1">IFERROR(__xludf.DUMMYFUNCTION("""COMPUTED_VALUE"""),5)</f>
        <v>5</v>
      </c>
      <c r="BJ429" s="4">
        <f ca="1">IFERROR(__xludf.DUMMYFUNCTION("""COMPUTED_VALUE"""),5)</f>
        <v>5</v>
      </c>
      <c r="BK429" s="4">
        <f ca="1">IFERROR(__xludf.DUMMYFUNCTION("""COMPUTED_VALUE"""),5)</f>
        <v>5</v>
      </c>
      <c r="BL429" s="4">
        <f ca="1">IFERROR(__xludf.DUMMYFUNCTION("""COMPUTED_VALUE"""),5)</f>
        <v>5</v>
      </c>
      <c r="BM429" s="4">
        <f ca="1">IFERROR(__xludf.DUMMYFUNCTION("""COMPUTED_VALUE"""),5)</f>
        <v>5</v>
      </c>
      <c r="BN429" s="4">
        <f ca="1">IFERROR(__xludf.DUMMYFUNCTION("""COMPUTED_VALUE"""),5)</f>
        <v>5</v>
      </c>
      <c r="BO429" s="4">
        <f ca="1">IFERROR(__xludf.DUMMYFUNCTION("""COMPUTED_VALUE"""),5)</f>
        <v>5</v>
      </c>
      <c r="BP429" s="4">
        <f ca="1">IFERROR(__xludf.DUMMYFUNCTION("""COMPUTED_VALUE"""),5)</f>
        <v>5</v>
      </c>
    </row>
    <row r="430" spans="1:68" ht="13.2" x14ac:dyDescent="0.25">
      <c r="A430" s="4" t="str">
        <f ca="1">IFERROR(__xludf.DUMMYFUNCTION("""COMPUTED_VALUE"""),"2_ABaOnuehj6LNehqVAiRqgiaXF_3zexhvWT0udhd5AopMRdJTottVkpPsA-TN9wEDQQ")</f>
        <v>2_ABaOnuehj6LNehqVAiRqgiaXF_3zexhvWT0udhd5AopMRdJTottVkpPsA-TN9wEDQQ</v>
      </c>
      <c r="B430" s="5">
        <f ca="1">IFERROR(__xludf.DUMMYFUNCTION("""COMPUTED_VALUE"""),45988.6607094444)</f>
        <v>45988.660709444397</v>
      </c>
      <c r="C430" s="4" t="str">
        <f ca="1">IFERROR(__xludf.DUMMYFUNCTION("""COMPUTED_VALUE"""),"Đỗ Trần Quốc Anh")</f>
        <v>Đỗ Trần Quốc Anh</v>
      </c>
      <c r="D430" s="4" t="str">
        <f ca="1">IFERROR(__xludf.DUMMYFUNCTION("""COMPUTED_VALUE"""),"Nam")</f>
        <v>Nam</v>
      </c>
      <c r="E430" s="4" t="str">
        <f ca="1">IFERROR(__xludf.DUMMYFUNCTION("""COMPUTED_VALUE"""),"Công ty TNHH kiểm toán IVC")</f>
        <v>Công ty TNHH kiểm toán IVC</v>
      </c>
      <c r="F430" s="4" t="str">
        <f ca="1">IFERROR(__xludf.DUMMYFUNCTION("""COMPUTED_VALUE"""),"Sau đại học")</f>
        <v>Sau đại học</v>
      </c>
      <c r="G430" s="4" t="str">
        <f ca="1">IFERROR(__xludf.DUMMYFUNCTION("""COMPUTED_VALUE"""),"Từ 3 đến 5 năm")</f>
        <v>Từ 3 đến 5 năm</v>
      </c>
      <c r="H430" s="4" t="str">
        <f ca="1">IFERROR(__xludf.DUMMYFUNCTION("""COMPUTED_VALUE"""),"Trợ lý kiểm toán")</f>
        <v>Trợ lý kiểm toán</v>
      </c>
      <c r="I430" s="4">
        <f ca="1">IFERROR(__xludf.DUMMYFUNCTION("""COMPUTED_VALUE"""),4)</f>
        <v>4</v>
      </c>
      <c r="J430" s="4">
        <f ca="1">IFERROR(__xludf.DUMMYFUNCTION("""COMPUTED_VALUE"""),4)</f>
        <v>4</v>
      </c>
      <c r="K430" s="4">
        <f ca="1">IFERROR(__xludf.DUMMYFUNCTION("""COMPUTED_VALUE"""),4)</f>
        <v>4</v>
      </c>
      <c r="L430" s="4">
        <f ca="1">IFERROR(__xludf.DUMMYFUNCTION("""COMPUTED_VALUE"""),4)</f>
        <v>4</v>
      </c>
      <c r="M430" s="4">
        <f ca="1">IFERROR(__xludf.DUMMYFUNCTION("""COMPUTED_VALUE"""),4)</f>
        <v>4</v>
      </c>
      <c r="N430" s="4">
        <f ca="1">IFERROR(__xludf.DUMMYFUNCTION("""COMPUTED_VALUE"""),4)</f>
        <v>4</v>
      </c>
      <c r="O430" s="4">
        <f ca="1">IFERROR(__xludf.DUMMYFUNCTION("""COMPUTED_VALUE"""),4)</f>
        <v>4</v>
      </c>
      <c r="P430" s="4">
        <f ca="1">IFERROR(__xludf.DUMMYFUNCTION("""COMPUTED_VALUE"""),4)</f>
        <v>4</v>
      </c>
      <c r="Q430" s="4">
        <f ca="1">IFERROR(__xludf.DUMMYFUNCTION("""COMPUTED_VALUE"""),4)</f>
        <v>4</v>
      </c>
      <c r="R430" s="4">
        <f ca="1">IFERROR(__xludf.DUMMYFUNCTION("""COMPUTED_VALUE"""),4)</f>
        <v>4</v>
      </c>
      <c r="S430" s="4">
        <f ca="1">IFERROR(__xludf.DUMMYFUNCTION("""COMPUTED_VALUE"""),4)</f>
        <v>4</v>
      </c>
      <c r="T430" s="4">
        <f ca="1">IFERROR(__xludf.DUMMYFUNCTION("""COMPUTED_VALUE"""),4)</f>
        <v>4</v>
      </c>
      <c r="U430" s="4">
        <f ca="1">IFERROR(__xludf.DUMMYFUNCTION("""COMPUTED_VALUE"""),4)</f>
        <v>4</v>
      </c>
      <c r="V430" s="4">
        <f ca="1">IFERROR(__xludf.DUMMYFUNCTION("""COMPUTED_VALUE"""),4)</f>
        <v>4</v>
      </c>
      <c r="W430" s="4">
        <f ca="1">IFERROR(__xludf.DUMMYFUNCTION("""COMPUTED_VALUE"""),4)</f>
        <v>4</v>
      </c>
      <c r="X430" s="4">
        <f ca="1">IFERROR(__xludf.DUMMYFUNCTION("""COMPUTED_VALUE"""),4)</f>
        <v>4</v>
      </c>
      <c r="Y430" s="4">
        <f ca="1">IFERROR(__xludf.DUMMYFUNCTION("""COMPUTED_VALUE"""),4)</f>
        <v>4</v>
      </c>
      <c r="Z430" s="4">
        <f ca="1">IFERROR(__xludf.DUMMYFUNCTION("""COMPUTED_VALUE"""),4)</f>
        <v>4</v>
      </c>
      <c r="AA430" s="4">
        <f ca="1">IFERROR(__xludf.DUMMYFUNCTION("""COMPUTED_VALUE"""),4)</f>
        <v>4</v>
      </c>
      <c r="AB430" s="4">
        <f ca="1">IFERROR(__xludf.DUMMYFUNCTION("""COMPUTED_VALUE"""),4)</f>
        <v>4</v>
      </c>
      <c r="AC430" s="4">
        <f ca="1">IFERROR(__xludf.DUMMYFUNCTION("""COMPUTED_VALUE"""),4)</f>
        <v>4</v>
      </c>
      <c r="AD430" s="4">
        <f ca="1">IFERROR(__xludf.DUMMYFUNCTION("""COMPUTED_VALUE"""),4)</f>
        <v>4</v>
      </c>
      <c r="AE430" s="4">
        <f ca="1">IFERROR(__xludf.DUMMYFUNCTION("""COMPUTED_VALUE"""),4)</f>
        <v>4</v>
      </c>
      <c r="AF430" s="4">
        <f ca="1">IFERROR(__xludf.DUMMYFUNCTION("""COMPUTED_VALUE"""),4)</f>
        <v>4</v>
      </c>
      <c r="AG430" s="4">
        <f ca="1">IFERROR(__xludf.DUMMYFUNCTION("""COMPUTED_VALUE"""),4)</f>
        <v>4</v>
      </c>
      <c r="AH430" s="4">
        <f ca="1">IFERROR(__xludf.DUMMYFUNCTION("""COMPUTED_VALUE"""),4)</f>
        <v>4</v>
      </c>
      <c r="AI430" s="4">
        <f ca="1">IFERROR(__xludf.DUMMYFUNCTION("""COMPUTED_VALUE"""),4)</f>
        <v>4</v>
      </c>
      <c r="AJ430" s="4">
        <f ca="1">IFERROR(__xludf.DUMMYFUNCTION("""COMPUTED_VALUE"""),4)</f>
        <v>4</v>
      </c>
      <c r="AK430" s="4">
        <f ca="1">IFERROR(__xludf.DUMMYFUNCTION("""COMPUTED_VALUE"""),4)</f>
        <v>4</v>
      </c>
      <c r="AL430" s="4">
        <f ca="1">IFERROR(__xludf.DUMMYFUNCTION("""COMPUTED_VALUE"""),4)</f>
        <v>4</v>
      </c>
      <c r="AM430" s="4">
        <f ca="1">IFERROR(__xludf.DUMMYFUNCTION("""COMPUTED_VALUE"""),4)</f>
        <v>4</v>
      </c>
      <c r="AN430" s="4">
        <f ca="1">IFERROR(__xludf.DUMMYFUNCTION("""COMPUTED_VALUE"""),4)</f>
        <v>4</v>
      </c>
      <c r="AO430" s="4">
        <f ca="1">IFERROR(__xludf.DUMMYFUNCTION("""COMPUTED_VALUE"""),3)</f>
        <v>3</v>
      </c>
      <c r="AP430" s="4">
        <f ca="1">IFERROR(__xludf.DUMMYFUNCTION("""COMPUTED_VALUE"""),3)</f>
        <v>3</v>
      </c>
      <c r="AQ430" s="4">
        <f ca="1">IFERROR(__xludf.DUMMYFUNCTION("""COMPUTED_VALUE"""),3)</f>
        <v>3</v>
      </c>
      <c r="AR430" s="4">
        <f ca="1">IFERROR(__xludf.DUMMYFUNCTION("""COMPUTED_VALUE"""),3)</f>
        <v>3</v>
      </c>
      <c r="AS430" s="4">
        <f ca="1">IFERROR(__xludf.DUMMYFUNCTION("""COMPUTED_VALUE"""),3)</f>
        <v>3</v>
      </c>
      <c r="AT430" s="4">
        <f ca="1">IFERROR(__xludf.DUMMYFUNCTION("""COMPUTED_VALUE"""),3)</f>
        <v>3</v>
      </c>
      <c r="AU430" s="4">
        <f ca="1">IFERROR(__xludf.DUMMYFUNCTION("""COMPUTED_VALUE"""),3)</f>
        <v>3</v>
      </c>
      <c r="AV430" s="4">
        <f ca="1">IFERROR(__xludf.DUMMYFUNCTION("""COMPUTED_VALUE"""),3)</f>
        <v>3</v>
      </c>
      <c r="AW430" s="4">
        <f ca="1">IFERROR(__xludf.DUMMYFUNCTION("""COMPUTED_VALUE"""),3)</f>
        <v>3</v>
      </c>
      <c r="AX430" s="4">
        <f ca="1">IFERROR(__xludf.DUMMYFUNCTION("""COMPUTED_VALUE"""),4)</f>
        <v>4</v>
      </c>
      <c r="AY430" s="4">
        <f ca="1">IFERROR(__xludf.DUMMYFUNCTION("""COMPUTED_VALUE"""),4)</f>
        <v>4</v>
      </c>
      <c r="AZ430" s="4">
        <f ca="1">IFERROR(__xludf.DUMMYFUNCTION("""COMPUTED_VALUE"""),4)</f>
        <v>4</v>
      </c>
      <c r="BA430" s="4">
        <f ca="1">IFERROR(__xludf.DUMMYFUNCTION("""COMPUTED_VALUE"""),4)</f>
        <v>4</v>
      </c>
      <c r="BB430" s="4">
        <f ca="1">IFERROR(__xludf.DUMMYFUNCTION("""COMPUTED_VALUE"""),4)</f>
        <v>4</v>
      </c>
      <c r="BC430" s="4">
        <f ca="1">IFERROR(__xludf.DUMMYFUNCTION("""COMPUTED_VALUE"""),4)</f>
        <v>4</v>
      </c>
      <c r="BD430" s="4">
        <f ca="1">IFERROR(__xludf.DUMMYFUNCTION("""COMPUTED_VALUE"""),4)</f>
        <v>4</v>
      </c>
      <c r="BE430" s="4">
        <f ca="1">IFERROR(__xludf.DUMMYFUNCTION("""COMPUTED_VALUE"""),4)</f>
        <v>4</v>
      </c>
      <c r="BF430" s="4">
        <f ca="1">IFERROR(__xludf.DUMMYFUNCTION("""COMPUTED_VALUE"""),4)</f>
        <v>4</v>
      </c>
      <c r="BG430" s="4">
        <f ca="1">IFERROR(__xludf.DUMMYFUNCTION("""COMPUTED_VALUE"""),4)</f>
        <v>4</v>
      </c>
      <c r="BH430" s="4">
        <f ca="1">IFERROR(__xludf.DUMMYFUNCTION("""COMPUTED_VALUE"""),4)</f>
        <v>4</v>
      </c>
      <c r="BI430" s="4">
        <f ca="1">IFERROR(__xludf.DUMMYFUNCTION("""COMPUTED_VALUE"""),4)</f>
        <v>4</v>
      </c>
      <c r="BJ430" s="4">
        <f ca="1">IFERROR(__xludf.DUMMYFUNCTION("""COMPUTED_VALUE"""),4)</f>
        <v>4</v>
      </c>
      <c r="BK430" s="4">
        <f ca="1">IFERROR(__xludf.DUMMYFUNCTION("""COMPUTED_VALUE"""),4)</f>
        <v>4</v>
      </c>
      <c r="BL430" s="4">
        <f ca="1">IFERROR(__xludf.DUMMYFUNCTION("""COMPUTED_VALUE"""),4)</f>
        <v>4</v>
      </c>
      <c r="BM430" s="4">
        <f ca="1">IFERROR(__xludf.DUMMYFUNCTION("""COMPUTED_VALUE"""),4)</f>
        <v>4</v>
      </c>
      <c r="BN430" s="4">
        <f ca="1">IFERROR(__xludf.DUMMYFUNCTION("""COMPUTED_VALUE"""),4)</f>
        <v>4</v>
      </c>
      <c r="BO430" s="4">
        <f ca="1">IFERROR(__xludf.DUMMYFUNCTION("""COMPUTED_VALUE"""),4)</f>
        <v>4</v>
      </c>
      <c r="BP430" s="4">
        <f ca="1">IFERROR(__xludf.DUMMYFUNCTION("""COMPUTED_VALUE"""),4)</f>
        <v>4</v>
      </c>
    </row>
    <row r="431" spans="1:68" ht="13.2" x14ac:dyDescent="0.25">
      <c r="A431" s="4" t="str">
        <f ca="1">IFERROR(__xludf.DUMMYFUNCTION("""COMPUTED_VALUE"""),"2_ABaOnucfuz1ZFt_J4Bsxv674Em_HzIh9cNSDcbiMpaFspeHe1jLSQVbHHoiEkg3Xig")</f>
        <v>2_ABaOnucfuz1ZFt_J4Bsxv674Em_HzIh9cNSDcbiMpaFspeHe1jLSQVbHHoiEkg3Xig</v>
      </c>
      <c r="B431" s="5">
        <f ca="1">IFERROR(__xludf.DUMMYFUNCTION("""COMPUTED_VALUE"""),45988.6609657523)</f>
        <v>45988.6609657523</v>
      </c>
      <c r="C431" s="4" t="str">
        <f ca="1">IFERROR(__xludf.DUMMYFUNCTION("""COMPUTED_VALUE"""),"Nguyễn Huy Hoàng")</f>
        <v>Nguyễn Huy Hoàng</v>
      </c>
      <c r="D431" s="4" t="str">
        <f ca="1">IFERROR(__xludf.DUMMYFUNCTION("""COMPUTED_VALUE"""),"Nam")</f>
        <v>Nam</v>
      </c>
      <c r="E431" s="4" t="str">
        <f ca="1">IFERROR(__xludf.DUMMYFUNCTION("""COMPUTED_VALUE"""),"Công ty TNHH Kiểm toán IVC")</f>
        <v>Công ty TNHH Kiểm toán IVC</v>
      </c>
      <c r="F431" s="4" t="str">
        <f ca="1">IFERROR(__xludf.DUMMYFUNCTION("""COMPUTED_VALUE"""),"Đại học, Chứng chỉ Kiểm toán viên")</f>
        <v>Đại học, Chứng chỉ Kiểm toán viên</v>
      </c>
      <c r="G431" s="4" t="str">
        <f ca="1">IFERROR(__xludf.DUMMYFUNCTION("""COMPUTED_VALUE"""),"Trên 10 đến 15 năm")</f>
        <v>Trên 10 đến 15 năm</v>
      </c>
      <c r="H431" s="4" t="str">
        <f ca="1">IFERROR(__xludf.DUMMYFUNCTION("""COMPUTED_VALUE"""),"Ban giám đốc")</f>
        <v>Ban giám đốc</v>
      </c>
      <c r="I431" s="4">
        <f ca="1">IFERROR(__xludf.DUMMYFUNCTION("""COMPUTED_VALUE"""),5)</f>
        <v>5</v>
      </c>
      <c r="J431" s="4">
        <f ca="1">IFERROR(__xludf.DUMMYFUNCTION("""COMPUTED_VALUE"""),5)</f>
        <v>5</v>
      </c>
      <c r="K431" s="4">
        <f ca="1">IFERROR(__xludf.DUMMYFUNCTION("""COMPUTED_VALUE"""),5)</f>
        <v>5</v>
      </c>
      <c r="L431" s="4">
        <f ca="1">IFERROR(__xludf.DUMMYFUNCTION("""COMPUTED_VALUE"""),5)</f>
        <v>5</v>
      </c>
      <c r="M431" s="4">
        <f ca="1">IFERROR(__xludf.DUMMYFUNCTION("""COMPUTED_VALUE"""),5)</f>
        <v>5</v>
      </c>
      <c r="N431" s="4">
        <f ca="1">IFERROR(__xludf.DUMMYFUNCTION("""COMPUTED_VALUE"""),5)</f>
        <v>5</v>
      </c>
      <c r="O431" s="4">
        <f ca="1">IFERROR(__xludf.DUMMYFUNCTION("""COMPUTED_VALUE"""),5)</f>
        <v>5</v>
      </c>
      <c r="P431" s="4">
        <f ca="1">IFERROR(__xludf.DUMMYFUNCTION("""COMPUTED_VALUE"""),5)</f>
        <v>5</v>
      </c>
      <c r="Q431" s="4">
        <f ca="1">IFERROR(__xludf.DUMMYFUNCTION("""COMPUTED_VALUE"""),5)</f>
        <v>5</v>
      </c>
      <c r="R431" s="4">
        <f ca="1">IFERROR(__xludf.DUMMYFUNCTION("""COMPUTED_VALUE"""),5)</f>
        <v>5</v>
      </c>
      <c r="S431" s="4">
        <f ca="1">IFERROR(__xludf.DUMMYFUNCTION("""COMPUTED_VALUE"""),5)</f>
        <v>5</v>
      </c>
      <c r="T431" s="4">
        <f ca="1">IFERROR(__xludf.DUMMYFUNCTION("""COMPUTED_VALUE"""),5)</f>
        <v>5</v>
      </c>
      <c r="U431" s="4">
        <f ca="1">IFERROR(__xludf.DUMMYFUNCTION("""COMPUTED_VALUE"""),5)</f>
        <v>5</v>
      </c>
      <c r="V431" s="4">
        <f ca="1">IFERROR(__xludf.DUMMYFUNCTION("""COMPUTED_VALUE"""),5)</f>
        <v>5</v>
      </c>
      <c r="W431" s="4">
        <f ca="1">IFERROR(__xludf.DUMMYFUNCTION("""COMPUTED_VALUE"""),4)</f>
        <v>4</v>
      </c>
      <c r="X431" s="4">
        <f ca="1">IFERROR(__xludf.DUMMYFUNCTION("""COMPUTED_VALUE"""),4)</f>
        <v>4</v>
      </c>
      <c r="Y431" s="4">
        <f ca="1">IFERROR(__xludf.DUMMYFUNCTION("""COMPUTED_VALUE"""),4)</f>
        <v>4</v>
      </c>
      <c r="Z431" s="4">
        <f ca="1">IFERROR(__xludf.DUMMYFUNCTION("""COMPUTED_VALUE"""),4)</f>
        <v>4</v>
      </c>
      <c r="AA431" s="4">
        <f ca="1">IFERROR(__xludf.DUMMYFUNCTION("""COMPUTED_VALUE"""),5)</f>
        <v>5</v>
      </c>
      <c r="AB431" s="4">
        <f ca="1">IFERROR(__xludf.DUMMYFUNCTION("""COMPUTED_VALUE"""),4)</f>
        <v>4</v>
      </c>
      <c r="AC431" s="4">
        <f ca="1">IFERROR(__xludf.DUMMYFUNCTION("""COMPUTED_VALUE"""),3)</f>
        <v>3</v>
      </c>
      <c r="AD431" s="4">
        <f ca="1">IFERROR(__xludf.DUMMYFUNCTION("""COMPUTED_VALUE"""),3)</f>
        <v>3</v>
      </c>
      <c r="AE431" s="4">
        <f ca="1">IFERROR(__xludf.DUMMYFUNCTION("""COMPUTED_VALUE"""),4)</f>
        <v>4</v>
      </c>
      <c r="AF431" s="4">
        <f ca="1">IFERROR(__xludf.DUMMYFUNCTION("""COMPUTED_VALUE"""),4)</f>
        <v>4</v>
      </c>
      <c r="AG431" s="4">
        <f ca="1">IFERROR(__xludf.DUMMYFUNCTION("""COMPUTED_VALUE"""),4)</f>
        <v>4</v>
      </c>
      <c r="AH431" s="4">
        <f ca="1">IFERROR(__xludf.DUMMYFUNCTION("""COMPUTED_VALUE"""),4)</f>
        <v>4</v>
      </c>
      <c r="AI431" s="4">
        <f ca="1">IFERROR(__xludf.DUMMYFUNCTION("""COMPUTED_VALUE"""),4)</f>
        <v>4</v>
      </c>
      <c r="AJ431" s="4">
        <f ca="1">IFERROR(__xludf.DUMMYFUNCTION("""COMPUTED_VALUE"""),4)</f>
        <v>4</v>
      </c>
      <c r="AK431" s="4">
        <f ca="1">IFERROR(__xludf.DUMMYFUNCTION("""COMPUTED_VALUE"""),4)</f>
        <v>4</v>
      </c>
      <c r="AL431" s="4">
        <f ca="1">IFERROR(__xludf.DUMMYFUNCTION("""COMPUTED_VALUE"""),4)</f>
        <v>4</v>
      </c>
      <c r="AM431" s="4">
        <f ca="1">IFERROR(__xludf.DUMMYFUNCTION("""COMPUTED_VALUE"""),4)</f>
        <v>4</v>
      </c>
      <c r="AN431" s="4">
        <f ca="1">IFERROR(__xludf.DUMMYFUNCTION("""COMPUTED_VALUE"""),4)</f>
        <v>4</v>
      </c>
      <c r="AO431" s="4">
        <f ca="1">IFERROR(__xludf.DUMMYFUNCTION("""COMPUTED_VALUE"""),4)</f>
        <v>4</v>
      </c>
      <c r="AP431" s="4">
        <f ca="1">IFERROR(__xludf.DUMMYFUNCTION("""COMPUTED_VALUE"""),4)</f>
        <v>4</v>
      </c>
      <c r="AQ431" s="4">
        <f ca="1">IFERROR(__xludf.DUMMYFUNCTION("""COMPUTED_VALUE"""),4)</f>
        <v>4</v>
      </c>
      <c r="AR431" s="4">
        <f ca="1">IFERROR(__xludf.DUMMYFUNCTION("""COMPUTED_VALUE"""),4)</f>
        <v>4</v>
      </c>
      <c r="AS431" s="4">
        <f ca="1">IFERROR(__xludf.DUMMYFUNCTION("""COMPUTED_VALUE"""),4)</f>
        <v>4</v>
      </c>
      <c r="AT431" s="4">
        <f ca="1">IFERROR(__xludf.DUMMYFUNCTION("""COMPUTED_VALUE"""),4)</f>
        <v>4</v>
      </c>
      <c r="AU431" s="4">
        <f ca="1">IFERROR(__xludf.DUMMYFUNCTION("""COMPUTED_VALUE"""),4)</f>
        <v>4</v>
      </c>
      <c r="AV431" s="4">
        <f ca="1">IFERROR(__xludf.DUMMYFUNCTION("""COMPUTED_VALUE"""),4)</f>
        <v>4</v>
      </c>
      <c r="AW431" s="4">
        <f ca="1">IFERROR(__xludf.DUMMYFUNCTION("""COMPUTED_VALUE"""),4)</f>
        <v>4</v>
      </c>
      <c r="AX431" s="4">
        <f ca="1">IFERROR(__xludf.DUMMYFUNCTION("""COMPUTED_VALUE"""),4)</f>
        <v>4</v>
      </c>
      <c r="AY431" s="4">
        <f ca="1">IFERROR(__xludf.DUMMYFUNCTION("""COMPUTED_VALUE"""),4)</f>
        <v>4</v>
      </c>
      <c r="AZ431" s="4">
        <f ca="1">IFERROR(__xludf.DUMMYFUNCTION("""COMPUTED_VALUE"""),4)</f>
        <v>4</v>
      </c>
      <c r="BA431" s="4">
        <f ca="1">IFERROR(__xludf.DUMMYFUNCTION("""COMPUTED_VALUE"""),4)</f>
        <v>4</v>
      </c>
      <c r="BB431" s="4">
        <f ca="1">IFERROR(__xludf.DUMMYFUNCTION("""COMPUTED_VALUE"""),4)</f>
        <v>4</v>
      </c>
      <c r="BC431" s="4">
        <f ca="1">IFERROR(__xludf.DUMMYFUNCTION("""COMPUTED_VALUE"""),4)</f>
        <v>4</v>
      </c>
      <c r="BD431" s="4">
        <f ca="1">IFERROR(__xludf.DUMMYFUNCTION("""COMPUTED_VALUE"""),4)</f>
        <v>4</v>
      </c>
      <c r="BE431" s="4">
        <f ca="1">IFERROR(__xludf.DUMMYFUNCTION("""COMPUTED_VALUE"""),4)</f>
        <v>4</v>
      </c>
      <c r="BF431" s="4">
        <f ca="1">IFERROR(__xludf.DUMMYFUNCTION("""COMPUTED_VALUE"""),4)</f>
        <v>4</v>
      </c>
      <c r="BG431" s="4">
        <f ca="1">IFERROR(__xludf.DUMMYFUNCTION("""COMPUTED_VALUE"""),4)</f>
        <v>4</v>
      </c>
      <c r="BH431" s="4">
        <f ca="1">IFERROR(__xludf.DUMMYFUNCTION("""COMPUTED_VALUE"""),4)</f>
        <v>4</v>
      </c>
      <c r="BI431" s="4">
        <f ca="1">IFERROR(__xludf.DUMMYFUNCTION("""COMPUTED_VALUE"""),4)</f>
        <v>4</v>
      </c>
      <c r="BJ431" s="4">
        <f ca="1">IFERROR(__xludf.DUMMYFUNCTION("""COMPUTED_VALUE"""),4)</f>
        <v>4</v>
      </c>
      <c r="BK431" s="4">
        <f ca="1">IFERROR(__xludf.DUMMYFUNCTION("""COMPUTED_VALUE"""),4)</f>
        <v>4</v>
      </c>
      <c r="BL431" s="4">
        <f ca="1">IFERROR(__xludf.DUMMYFUNCTION("""COMPUTED_VALUE"""),4)</f>
        <v>4</v>
      </c>
      <c r="BM431" s="4">
        <f ca="1">IFERROR(__xludf.DUMMYFUNCTION("""COMPUTED_VALUE"""),4)</f>
        <v>4</v>
      </c>
      <c r="BN431" s="4">
        <f ca="1">IFERROR(__xludf.DUMMYFUNCTION("""COMPUTED_VALUE"""),4)</f>
        <v>4</v>
      </c>
      <c r="BO431" s="4">
        <f ca="1">IFERROR(__xludf.DUMMYFUNCTION("""COMPUTED_VALUE"""),4)</f>
        <v>4</v>
      </c>
      <c r="BP431" s="4">
        <f ca="1">IFERROR(__xludf.DUMMYFUNCTION("""COMPUTED_VALUE"""),4)</f>
        <v>4</v>
      </c>
    </row>
    <row r="432" spans="1:68" ht="13.2" x14ac:dyDescent="0.25">
      <c r="A432" s="4" t="str">
        <f ca="1">IFERROR(__xludf.DUMMYFUNCTION("""COMPUTED_VALUE"""),"2_ABaOnudZIcMxSHOXF82cuAFR5Wfa7lmY1ZIORR64a5ywfC3r48CkzKNQWSb7irxSuA")</f>
        <v>2_ABaOnudZIcMxSHOXF82cuAFR5Wfa7lmY1ZIORR64a5ywfC3r48CkzKNQWSb7irxSuA</v>
      </c>
      <c r="B432" s="5">
        <f ca="1">IFERROR(__xludf.DUMMYFUNCTION("""COMPUTED_VALUE"""),45988.6625925)</f>
        <v>45988.662592499997</v>
      </c>
      <c r="C432" s="4" t="str">
        <f ca="1">IFERROR(__xludf.DUMMYFUNCTION("""COMPUTED_VALUE"""),"Phạm Thị Thanh Trà")</f>
        <v>Phạm Thị Thanh Trà</v>
      </c>
      <c r="D432" s="4" t="str">
        <f ca="1">IFERROR(__xludf.DUMMYFUNCTION("""COMPUTED_VALUE"""),"Nữ")</f>
        <v>Nữ</v>
      </c>
      <c r="E432" s="4" t="str">
        <f ca="1">IFERROR(__xludf.DUMMYFUNCTION("""COMPUTED_VALUE"""),"Công ty TNHH Kiểm toán KSi")</f>
        <v>Công ty TNHH Kiểm toán KSi</v>
      </c>
      <c r="F432" s="4" t="str">
        <f ca="1">IFERROR(__xludf.DUMMYFUNCTION("""COMPUTED_VALUE"""),"Đại học")</f>
        <v>Đại học</v>
      </c>
      <c r="G432" s="4" t="str">
        <f ca="1">IFERROR(__xludf.DUMMYFUNCTION("""COMPUTED_VALUE"""),"Từ 3 đến 5 năm")</f>
        <v>Từ 3 đến 5 năm</v>
      </c>
      <c r="H432" s="4" t="str">
        <f ca="1">IFERROR(__xludf.DUMMYFUNCTION("""COMPUTED_VALUE"""),"Trợ lý kiểm toán")</f>
        <v>Trợ lý kiểm toán</v>
      </c>
      <c r="I432" s="4">
        <f ca="1">IFERROR(__xludf.DUMMYFUNCTION("""COMPUTED_VALUE"""),5)</f>
        <v>5</v>
      </c>
      <c r="J432" s="4">
        <f ca="1">IFERROR(__xludf.DUMMYFUNCTION("""COMPUTED_VALUE"""),5)</f>
        <v>5</v>
      </c>
      <c r="K432" s="4">
        <f ca="1">IFERROR(__xludf.DUMMYFUNCTION("""COMPUTED_VALUE"""),5)</f>
        <v>5</v>
      </c>
      <c r="L432" s="4">
        <f ca="1">IFERROR(__xludf.DUMMYFUNCTION("""COMPUTED_VALUE"""),5)</f>
        <v>5</v>
      </c>
      <c r="M432" s="4">
        <f ca="1">IFERROR(__xludf.DUMMYFUNCTION("""COMPUTED_VALUE"""),5)</f>
        <v>5</v>
      </c>
      <c r="N432" s="4">
        <f ca="1">IFERROR(__xludf.DUMMYFUNCTION("""COMPUTED_VALUE"""),4)</f>
        <v>4</v>
      </c>
      <c r="O432" s="4">
        <f ca="1">IFERROR(__xludf.DUMMYFUNCTION("""COMPUTED_VALUE"""),5)</f>
        <v>5</v>
      </c>
      <c r="P432" s="4">
        <f ca="1">IFERROR(__xludf.DUMMYFUNCTION("""COMPUTED_VALUE"""),5)</f>
        <v>5</v>
      </c>
      <c r="Q432" s="4">
        <f ca="1">IFERROR(__xludf.DUMMYFUNCTION("""COMPUTED_VALUE"""),5)</f>
        <v>5</v>
      </c>
      <c r="R432" s="4">
        <f ca="1">IFERROR(__xludf.DUMMYFUNCTION("""COMPUTED_VALUE"""),5)</f>
        <v>5</v>
      </c>
      <c r="S432" s="4">
        <f ca="1">IFERROR(__xludf.DUMMYFUNCTION("""COMPUTED_VALUE"""),5)</f>
        <v>5</v>
      </c>
      <c r="T432" s="4">
        <f ca="1">IFERROR(__xludf.DUMMYFUNCTION("""COMPUTED_VALUE"""),5)</f>
        <v>5</v>
      </c>
      <c r="U432" s="4">
        <f ca="1">IFERROR(__xludf.DUMMYFUNCTION("""COMPUTED_VALUE"""),5)</f>
        <v>5</v>
      </c>
      <c r="V432" s="4">
        <f ca="1">IFERROR(__xludf.DUMMYFUNCTION("""COMPUTED_VALUE"""),5)</f>
        <v>5</v>
      </c>
      <c r="W432" s="4">
        <f ca="1">IFERROR(__xludf.DUMMYFUNCTION("""COMPUTED_VALUE"""),5)</f>
        <v>5</v>
      </c>
      <c r="X432" s="4">
        <f ca="1">IFERROR(__xludf.DUMMYFUNCTION("""COMPUTED_VALUE"""),5)</f>
        <v>5</v>
      </c>
      <c r="Y432" s="4">
        <f ca="1">IFERROR(__xludf.DUMMYFUNCTION("""COMPUTED_VALUE"""),5)</f>
        <v>5</v>
      </c>
      <c r="Z432" s="4">
        <f ca="1">IFERROR(__xludf.DUMMYFUNCTION("""COMPUTED_VALUE"""),5)</f>
        <v>5</v>
      </c>
      <c r="AA432" s="4">
        <f ca="1">IFERROR(__xludf.DUMMYFUNCTION("""COMPUTED_VALUE"""),5)</f>
        <v>5</v>
      </c>
      <c r="AB432" s="4">
        <f ca="1">IFERROR(__xludf.DUMMYFUNCTION("""COMPUTED_VALUE"""),5)</f>
        <v>5</v>
      </c>
      <c r="AC432" s="4">
        <f ca="1">IFERROR(__xludf.DUMMYFUNCTION("""COMPUTED_VALUE"""),5)</f>
        <v>5</v>
      </c>
      <c r="AD432" s="4">
        <f ca="1">IFERROR(__xludf.DUMMYFUNCTION("""COMPUTED_VALUE"""),5)</f>
        <v>5</v>
      </c>
      <c r="AE432" s="4">
        <f ca="1">IFERROR(__xludf.DUMMYFUNCTION("""COMPUTED_VALUE"""),5)</f>
        <v>5</v>
      </c>
      <c r="AF432" s="4">
        <f ca="1">IFERROR(__xludf.DUMMYFUNCTION("""COMPUTED_VALUE"""),5)</f>
        <v>5</v>
      </c>
      <c r="AG432" s="4">
        <f ca="1">IFERROR(__xludf.DUMMYFUNCTION("""COMPUTED_VALUE"""),4)</f>
        <v>4</v>
      </c>
      <c r="AH432" s="4">
        <f ca="1">IFERROR(__xludf.DUMMYFUNCTION("""COMPUTED_VALUE"""),5)</f>
        <v>5</v>
      </c>
      <c r="AI432" s="4">
        <f ca="1">IFERROR(__xludf.DUMMYFUNCTION("""COMPUTED_VALUE"""),4)</f>
        <v>4</v>
      </c>
      <c r="AJ432" s="4">
        <f ca="1">IFERROR(__xludf.DUMMYFUNCTION("""COMPUTED_VALUE"""),5)</f>
        <v>5</v>
      </c>
      <c r="AK432" s="4">
        <f ca="1">IFERROR(__xludf.DUMMYFUNCTION("""COMPUTED_VALUE"""),5)</f>
        <v>5</v>
      </c>
      <c r="AL432" s="4">
        <f ca="1">IFERROR(__xludf.DUMMYFUNCTION("""COMPUTED_VALUE"""),5)</f>
        <v>5</v>
      </c>
      <c r="AM432" s="4">
        <f ca="1">IFERROR(__xludf.DUMMYFUNCTION("""COMPUTED_VALUE"""),5)</f>
        <v>5</v>
      </c>
      <c r="AN432" s="4">
        <f ca="1">IFERROR(__xludf.DUMMYFUNCTION("""COMPUTED_VALUE"""),5)</f>
        <v>5</v>
      </c>
      <c r="AO432" s="4">
        <f ca="1">IFERROR(__xludf.DUMMYFUNCTION("""COMPUTED_VALUE"""),5)</f>
        <v>5</v>
      </c>
      <c r="AP432" s="4">
        <f ca="1">IFERROR(__xludf.DUMMYFUNCTION("""COMPUTED_VALUE"""),5)</f>
        <v>5</v>
      </c>
      <c r="AQ432" s="4">
        <f ca="1">IFERROR(__xludf.DUMMYFUNCTION("""COMPUTED_VALUE"""),5)</f>
        <v>5</v>
      </c>
      <c r="AR432" s="4">
        <f ca="1">IFERROR(__xludf.DUMMYFUNCTION("""COMPUTED_VALUE"""),5)</f>
        <v>5</v>
      </c>
      <c r="AS432" s="4">
        <f ca="1">IFERROR(__xludf.DUMMYFUNCTION("""COMPUTED_VALUE"""),5)</f>
        <v>5</v>
      </c>
      <c r="AT432" s="4">
        <f ca="1">IFERROR(__xludf.DUMMYFUNCTION("""COMPUTED_VALUE"""),4)</f>
        <v>4</v>
      </c>
      <c r="AU432" s="4">
        <f ca="1">IFERROR(__xludf.DUMMYFUNCTION("""COMPUTED_VALUE"""),5)</f>
        <v>5</v>
      </c>
      <c r="AV432" s="4">
        <f ca="1">IFERROR(__xludf.DUMMYFUNCTION("""COMPUTED_VALUE"""),5)</f>
        <v>5</v>
      </c>
      <c r="AW432" s="4">
        <f ca="1">IFERROR(__xludf.DUMMYFUNCTION("""COMPUTED_VALUE"""),5)</f>
        <v>5</v>
      </c>
      <c r="AX432" s="4">
        <f ca="1">IFERROR(__xludf.DUMMYFUNCTION("""COMPUTED_VALUE"""),5)</f>
        <v>5</v>
      </c>
      <c r="AY432" s="4">
        <f ca="1">IFERROR(__xludf.DUMMYFUNCTION("""COMPUTED_VALUE"""),5)</f>
        <v>5</v>
      </c>
      <c r="AZ432" s="4">
        <f ca="1">IFERROR(__xludf.DUMMYFUNCTION("""COMPUTED_VALUE"""),5)</f>
        <v>5</v>
      </c>
      <c r="BA432" s="4">
        <f ca="1">IFERROR(__xludf.DUMMYFUNCTION("""COMPUTED_VALUE"""),5)</f>
        <v>5</v>
      </c>
      <c r="BB432" s="4">
        <f ca="1">IFERROR(__xludf.DUMMYFUNCTION("""COMPUTED_VALUE"""),5)</f>
        <v>5</v>
      </c>
      <c r="BC432" s="4">
        <f ca="1">IFERROR(__xludf.DUMMYFUNCTION("""COMPUTED_VALUE"""),5)</f>
        <v>5</v>
      </c>
      <c r="BD432" s="4">
        <f ca="1">IFERROR(__xludf.DUMMYFUNCTION("""COMPUTED_VALUE"""),5)</f>
        <v>5</v>
      </c>
      <c r="BE432" s="4">
        <f ca="1">IFERROR(__xludf.DUMMYFUNCTION("""COMPUTED_VALUE"""),5)</f>
        <v>5</v>
      </c>
      <c r="BF432" s="4">
        <f ca="1">IFERROR(__xludf.DUMMYFUNCTION("""COMPUTED_VALUE"""),5)</f>
        <v>5</v>
      </c>
      <c r="BG432" s="4">
        <f ca="1">IFERROR(__xludf.DUMMYFUNCTION("""COMPUTED_VALUE"""),5)</f>
        <v>5</v>
      </c>
      <c r="BH432" s="4">
        <f ca="1">IFERROR(__xludf.DUMMYFUNCTION("""COMPUTED_VALUE"""),5)</f>
        <v>5</v>
      </c>
      <c r="BI432" s="4">
        <f ca="1">IFERROR(__xludf.DUMMYFUNCTION("""COMPUTED_VALUE"""),5)</f>
        <v>5</v>
      </c>
      <c r="BJ432" s="4">
        <f ca="1">IFERROR(__xludf.DUMMYFUNCTION("""COMPUTED_VALUE"""),5)</f>
        <v>5</v>
      </c>
      <c r="BK432" s="4">
        <f ca="1">IFERROR(__xludf.DUMMYFUNCTION("""COMPUTED_VALUE"""),5)</f>
        <v>5</v>
      </c>
      <c r="BL432" s="4">
        <f ca="1">IFERROR(__xludf.DUMMYFUNCTION("""COMPUTED_VALUE"""),5)</f>
        <v>5</v>
      </c>
      <c r="BM432" s="4">
        <f ca="1">IFERROR(__xludf.DUMMYFUNCTION("""COMPUTED_VALUE"""),5)</f>
        <v>5</v>
      </c>
      <c r="BN432" s="4">
        <f ca="1">IFERROR(__xludf.DUMMYFUNCTION("""COMPUTED_VALUE"""),5)</f>
        <v>5</v>
      </c>
      <c r="BO432" s="4">
        <f ca="1">IFERROR(__xludf.DUMMYFUNCTION("""COMPUTED_VALUE"""),5)</f>
        <v>5</v>
      </c>
      <c r="BP432" s="4">
        <f ca="1">IFERROR(__xludf.DUMMYFUNCTION("""COMPUTED_VALUE"""),5)</f>
        <v>5</v>
      </c>
    </row>
    <row r="433" spans="1:68" ht="13.2" x14ac:dyDescent="0.25">
      <c r="A433" s="4" t="str">
        <f ca="1">IFERROR(__xludf.DUMMYFUNCTION("""COMPUTED_VALUE"""),"2_ABaOnudnF6vxlTKZ7SgFO-Dk3XyxG8nJtZ_NMTaT_CWbI0m82jZKNoi6sVge1sBO8A")</f>
        <v>2_ABaOnudnF6vxlTKZ7SgFO-Dk3XyxG8nJtZ_NMTaT_CWbI0m82jZKNoi6sVge1sBO8A</v>
      </c>
      <c r="B433" s="5">
        <f ca="1">IFERROR(__xludf.DUMMYFUNCTION("""COMPUTED_VALUE"""),45988.6629929166)</f>
        <v>45988.662992916601</v>
      </c>
      <c r="C433" s="4" t="str">
        <f ca="1">IFERROR(__xludf.DUMMYFUNCTION("""COMPUTED_VALUE"""),"Nguyễn Thu Giang")</f>
        <v>Nguyễn Thu Giang</v>
      </c>
      <c r="D433" s="4" t="str">
        <f ca="1">IFERROR(__xludf.DUMMYFUNCTION("""COMPUTED_VALUE"""),"Nữ")</f>
        <v>Nữ</v>
      </c>
      <c r="E433" s="4" t="str">
        <f ca="1">IFERROR(__xludf.DUMMYFUNCTION("""COMPUTED_VALUE"""),"Công ty TNHH Kiểm toán KSI Việt Nam")</f>
        <v>Công ty TNHH Kiểm toán KSI Việt Nam</v>
      </c>
      <c r="F433" s="4" t="str">
        <f ca="1">IFERROR(__xludf.DUMMYFUNCTION("""COMPUTED_VALUE"""),"Đại học")</f>
        <v>Đại học</v>
      </c>
      <c r="G433" s="4" t="str">
        <f ca="1">IFERROR(__xludf.DUMMYFUNCTION("""COMPUTED_VALUE"""),"Trên 5 đến 10 năm")</f>
        <v>Trên 5 đến 10 năm</v>
      </c>
      <c r="H433" s="4" t="str">
        <f ca="1">IFERROR(__xludf.DUMMYFUNCTION("""COMPUTED_VALUE"""),"Trợ lý kiểm toán")</f>
        <v>Trợ lý kiểm toán</v>
      </c>
      <c r="I433" s="4">
        <f ca="1">IFERROR(__xludf.DUMMYFUNCTION("""COMPUTED_VALUE"""),5)</f>
        <v>5</v>
      </c>
      <c r="J433" s="4">
        <f ca="1">IFERROR(__xludf.DUMMYFUNCTION("""COMPUTED_VALUE"""),5)</f>
        <v>5</v>
      </c>
      <c r="K433" s="4">
        <f ca="1">IFERROR(__xludf.DUMMYFUNCTION("""COMPUTED_VALUE"""),5)</f>
        <v>5</v>
      </c>
      <c r="L433" s="4">
        <f ca="1">IFERROR(__xludf.DUMMYFUNCTION("""COMPUTED_VALUE"""),5)</f>
        <v>5</v>
      </c>
      <c r="M433" s="4">
        <f ca="1">IFERROR(__xludf.DUMMYFUNCTION("""COMPUTED_VALUE"""),5)</f>
        <v>5</v>
      </c>
      <c r="N433" s="4">
        <f ca="1">IFERROR(__xludf.DUMMYFUNCTION("""COMPUTED_VALUE"""),5)</f>
        <v>5</v>
      </c>
      <c r="O433" s="4">
        <f ca="1">IFERROR(__xludf.DUMMYFUNCTION("""COMPUTED_VALUE"""),5)</f>
        <v>5</v>
      </c>
      <c r="P433" s="4">
        <f ca="1">IFERROR(__xludf.DUMMYFUNCTION("""COMPUTED_VALUE"""),5)</f>
        <v>5</v>
      </c>
      <c r="Q433" s="4">
        <f ca="1">IFERROR(__xludf.DUMMYFUNCTION("""COMPUTED_VALUE"""),5)</f>
        <v>5</v>
      </c>
      <c r="R433" s="4">
        <f ca="1">IFERROR(__xludf.DUMMYFUNCTION("""COMPUTED_VALUE"""),5)</f>
        <v>5</v>
      </c>
      <c r="S433" s="4">
        <f ca="1">IFERROR(__xludf.DUMMYFUNCTION("""COMPUTED_VALUE"""),5)</f>
        <v>5</v>
      </c>
      <c r="T433" s="4">
        <f ca="1">IFERROR(__xludf.DUMMYFUNCTION("""COMPUTED_VALUE"""),5)</f>
        <v>5</v>
      </c>
      <c r="U433" s="4">
        <f ca="1">IFERROR(__xludf.DUMMYFUNCTION("""COMPUTED_VALUE"""),5)</f>
        <v>5</v>
      </c>
      <c r="V433" s="4">
        <f ca="1">IFERROR(__xludf.DUMMYFUNCTION("""COMPUTED_VALUE"""),5)</f>
        <v>5</v>
      </c>
      <c r="W433" s="4">
        <f ca="1">IFERROR(__xludf.DUMMYFUNCTION("""COMPUTED_VALUE"""),4)</f>
        <v>4</v>
      </c>
      <c r="X433" s="4">
        <f ca="1">IFERROR(__xludf.DUMMYFUNCTION("""COMPUTED_VALUE"""),3)</f>
        <v>3</v>
      </c>
      <c r="Y433" s="4">
        <f ca="1">IFERROR(__xludf.DUMMYFUNCTION("""COMPUTED_VALUE"""),3)</f>
        <v>3</v>
      </c>
      <c r="Z433" s="4">
        <f ca="1">IFERROR(__xludf.DUMMYFUNCTION("""COMPUTED_VALUE"""),3)</f>
        <v>3</v>
      </c>
      <c r="AA433" s="4">
        <f ca="1">IFERROR(__xludf.DUMMYFUNCTION("""COMPUTED_VALUE"""),3)</f>
        <v>3</v>
      </c>
      <c r="AB433" s="4">
        <f ca="1">IFERROR(__xludf.DUMMYFUNCTION("""COMPUTED_VALUE"""),3)</f>
        <v>3</v>
      </c>
      <c r="AC433" s="4">
        <f ca="1">IFERROR(__xludf.DUMMYFUNCTION("""COMPUTED_VALUE"""),3)</f>
        <v>3</v>
      </c>
      <c r="AD433" s="4">
        <f ca="1">IFERROR(__xludf.DUMMYFUNCTION("""COMPUTED_VALUE"""),3)</f>
        <v>3</v>
      </c>
      <c r="AE433" s="4">
        <f ca="1">IFERROR(__xludf.DUMMYFUNCTION("""COMPUTED_VALUE"""),4)</f>
        <v>4</v>
      </c>
      <c r="AF433" s="4">
        <f ca="1">IFERROR(__xludf.DUMMYFUNCTION("""COMPUTED_VALUE"""),4)</f>
        <v>4</v>
      </c>
      <c r="AG433" s="4">
        <f ca="1">IFERROR(__xludf.DUMMYFUNCTION("""COMPUTED_VALUE"""),4)</f>
        <v>4</v>
      </c>
      <c r="AH433" s="4">
        <f ca="1">IFERROR(__xludf.DUMMYFUNCTION("""COMPUTED_VALUE"""),4)</f>
        <v>4</v>
      </c>
      <c r="AI433" s="4">
        <f ca="1">IFERROR(__xludf.DUMMYFUNCTION("""COMPUTED_VALUE"""),3)</f>
        <v>3</v>
      </c>
      <c r="AJ433" s="4">
        <f ca="1">IFERROR(__xludf.DUMMYFUNCTION("""COMPUTED_VALUE"""),4)</f>
        <v>4</v>
      </c>
      <c r="AK433" s="4">
        <f ca="1">IFERROR(__xludf.DUMMYFUNCTION("""COMPUTED_VALUE"""),4)</f>
        <v>4</v>
      </c>
      <c r="AL433" s="4">
        <f ca="1">IFERROR(__xludf.DUMMYFUNCTION("""COMPUTED_VALUE"""),5)</f>
        <v>5</v>
      </c>
      <c r="AM433" s="4">
        <f ca="1">IFERROR(__xludf.DUMMYFUNCTION("""COMPUTED_VALUE"""),5)</f>
        <v>5</v>
      </c>
      <c r="AN433" s="4">
        <f ca="1">IFERROR(__xludf.DUMMYFUNCTION("""COMPUTED_VALUE"""),5)</f>
        <v>5</v>
      </c>
      <c r="AO433" s="4">
        <f ca="1">IFERROR(__xludf.DUMMYFUNCTION("""COMPUTED_VALUE"""),4)</f>
        <v>4</v>
      </c>
      <c r="AP433" s="4">
        <f ca="1">IFERROR(__xludf.DUMMYFUNCTION("""COMPUTED_VALUE"""),4)</f>
        <v>4</v>
      </c>
      <c r="AQ433" s="4">
        <f ca="1">IFERROR(__xludf.DUMMYFUNCTION("""COMPUTED_VALUE"""),4)</f>
        <v>4</v>
      </c>
      <c r="AR433" s="4">
        <f ca="1">IFERROR(__xludf.DUMMYFUNCTION("""COMPUTED_VALUE"""),4)</f>
        <v>4</v>
      </c>
      <c r="AS433" s="4">
        <f ca="1">IFERROR(__xludf.DUMMYFUNCTION("""COMPUTED_VALUE"""),4)</f>
        <v>4</v>
      </c>
      <c r="AT433" s="4">
        <f ca="1">IFERROR(__xludf.DUMMYFUNCTION("""COMPUTED_VALUE"""),4)</f>
        <v>4</v>
      </c>
      <c r="AU433" s="4">
        <f ca="1">IFERROR(__xludf.DUMMYFUNCTION("""COMPUTED_VALUE"""),4)</f>
        <v>4</v>
      </c>
      <c r="AV433" s="4">
        <f ca="1">IFERROR(__xludf.DUMMYFUNCTION("""COMPUTED_VALUE"""),4)</f>
        <v>4</v>
      </c>
      <c r="AW433" s="4">
        <f ca="1">IFERROR(__xludf.DUMMYFUNCTION("""COMPUTED_VALUE"""),4)</f>
        <v>4</v>
      </c>
      <c r="AX433" s="4">
        <f ca="1">IFERROR(__xludf.DUMMYFUNCTION("""COMPUTED_VALUE"""),4)</f>
        <v>4</v>
      </c>
      <c r="AY433" s="4">
        <f ca="1">IFERROR(__xludf.DUMMYFUNCTION("""COMPUTED_VALUE"""),5)</f>
        <v>5</v>
      </c>
      <c r="AZ433" s="4">
        <f ca="1">IFERROR(__xludf.DUMMYFUNCTION("""COMPUTED_VALUE"""),5)</f>
        <v>5</v>
      </c>
      <c r="BA433" s="4">
        <f ca="1">IFERROR(__xludf.DUMMYFUNCTION("""COMPUTED_VALUE"""),5)</f>
        <v>5</v>
      </c>
      <c r="BB433" s="4">
        <f ca="1">IFERROR(__xludf.DUMMYFUNCTION("""COMPUTED_VALUE"""),5)</f>
        <v>5</v>
      </c>
      <c r="BC433" s="4">
        <f ca="1">IFERROR(__xludf.DUMMYFUNCTION("""COMPUTED_VALUE"""),5)</f>
        <v>5</v>
      </c>
      <c r="BD433" s="4">
        <f ca="1">IFERROR(__xludf.DUMMYFUNCTION("""COMPUTED_VALUE"""),5)</f>
        <v>5</v>
      </c>
      <c r="BE433" s="4">
        <f ca="1">IFERROR(__xludf.DUMMYFUNCTION("""COMPUTED_VALUE"""),5)</f>
        <v>5</v>
      </c>
      <c r="BF433" s="4">
        <f ca="1">IFERROR(__xludf.DUMMYFUNCTION("""COMPUTED_VALUE"""),5)</f>
        <v>5</v>
      </c>
      <c r="BG433" s="4">
        <f ca="1">IFERROR(__xludf.DUMMYFUNCTION("""COMPUTED_VALUE"""),5)</f>
        <v>5</v>
      </c>
      <c r="BH433" s="4">
        <f ca="1">IFERROR(__xludf.DUMMYFUNCTION("""COMPUTED_VALUE"""),5)</f>
        <v>5</v>
      </c>
      <c r="BI433" s="4">
        <f ca="1">IFERROR(__xludf.DUMMYFUNCTION("""COMPUTED_VALUE"""),5)</f>
        <v>5</v>
      </c>
      <c r="BJ433" s="4">
        <f ca="1">IFERROR(__xludf.DUMMYFUNCTION("""COMPUTED_VALUE"""),5)</f>
        <v>5</v>
      </c>
      <c r="BK433" s="4">
        <f ca="1">IFERROR(__xludf.DUMMYFUNCTION("""COMPUTED_VALUE"""),5)</f>
        <v>5</v>
      </c>
      <c r="BL433" s="4">
        <f ca="1">IFERROR(__xludf.DUMMYFUNCTION("""COMPUTED_VALUE"""),5)</f>
        <v>5</v>
      </c>
      <c r="BM433" s="4">
        <f ca="1">IFERROR(__xludf.DUMMYFUNCTION("""COMPUTED_VALUE"""),5)</f>
        <v>5</v>
      </c>
      <c r="BN433" s="4">
        <f ca="1">IFERROR(__xludf.DUMMYFUNCTION("""COMPUTED_VALUE"""),5)</f>
        <v>5</v>
      </c>
      <c r="BO433" s="4">
        <f ca="1">IFERROR(__xludf.DUMMYFUNCTION("""COMPUTED_VALUE"""),5)</f>
        <v>5</v>
      </c>
      <c r="BP433" s="4">
        <f ca="1">IFERROR(__xludf.DUMMYFUNCTION("""COMPUTED_VALUE"""),5)</f>
        <v>5</v>
      </c>
    </row>
    <row r="434" spans="1:68" ht="13.2" x14ac:dyDescent="0.25">
      <c r="A434" s="4" t="str">
        <f ca="1">IFERROR(__xludf.DUMMYFUNCTION("""COMPUTED_VALUE"""),"2_ABaOnufU7sFjWvsipRjkIkVZZipYV2JT-0ZPtRGpTRXB8_0fWsGET_q0sr9LCXeKHQ")</f>
        <v>2_ABaOnufU7sFjWvsipRjkIkVZZipYV2JT-0ZPtRGpTRXB8_0fWsGET_q0sr9LCXeKHQ</v>
      </c>
      <c r="B434" s="5">
        <f ca="1">IFERROR(__xludf.DUMMYFUNCTION("""COMPUTED_VALUE"""),45990.4551213541)</f>
        <v>45990.455121354098</v>
      </c>
      <c r="C434" s="4" t="str">
        <f ca="1">IFERROR(__xludf.DUMMYFUNCTION("""COMPUTED_VALUE"""),"NGUYỄN THỊ HUỲNH HOA")</f>
        <v>NGUYỄN THỊ HUỲNH HOA</v>
      </c>
      <c r="D434" s="4" t="str">
        <f ca="1">IFERROR(__xludf.DUMMYFUNCTION("""COMPUTED_VALUE"""),"Nữ")</f>
        <v>Nữ</v>
      </c>
      <c r="E434" s="4" t="str">
        <f ca="1">IFERROR(__xludf.DUMMYFUNCTION("""COMPUTED_VALUE"""),"CÔNG TY TNHH KIỂM TOÁN VIỆT ÚC")</f>
        <v>CÔNG TY TNHH KIỂM TOÁN VIỆT ÚC</v>
      </c>
      <c r="F434" s="4" t="str">
        <f ca="1">IFERROR(__xludf.DUMMYFUNCTION("""COMPUTED_VALUE"""),"Sau đại học")</f>
        <v>Sau đại học</v>
      </c>
      <c r="G434" s="4" t="str">
        <f ca="1">IFERROR(__xludf.DUMMYFUNCTION("""COMPUTED_VALUE"""),"Trên 5 đến 10 năm")</f>
        <v>Trên 5 đến 10 năm</v>
      </c>
      <c r="H434" s="4" t="str">
        <f ca="1">IFERROR(__xludf.DUMMYFUNCTION("""COMPUTED_VALUE"""),"Kiểm toán viên/Trưởng nhóm")</f>
        <v>Kiểm toán viên/Trưởng nhóm</v>
      </c>
      <c r="I434" s="4">
        <f ca="1">IFERROR(__xludf.DUMMYFUNCTION("""COMPUTED_VALUE"""),5)</f>
        <v>5</v>
      </c>
      <c r="J434" s="4">
        <f ca="1">IFERROR(__xludf.DUMMYFUNCTION("""COMPUTED_VALUE"""),5)</f>
        <v>5</v>
      </c>
      <c r="K434" s="4">
        <f ca="1">IFERROR(__xludf.DUMMYFUNCTION("""COMPUTED_VALUE"""),5)</f>
        <v>5</v>
      </c>
      <c r="L434" s="4">
        <f ca="1">IFERROR(__xludf.DUMMYFUNCTION("""COMPUTED_VALUE"""),5)</f>
        <v>5</v>
      </c>
      <c r="M434" s="4">
        <f ca="1">IFERROR(__xludf.DUMMYFUNCTION("""COMPUTED_VALUE"""),5)</f>
        <v>5</v>
      </c>
      <c r="N434" s="4">
        <f ca="1">IFERROR(__xludf.DUMMYFUNCTION("""COMPUTED_VALUE"""),4)</f>
        <v>4</v>
      </c>
      <c r="O434" s="4">
        <f ca="1">IFERROR(__xludf.DUMMYFUNCTION("""COMPUTED_VALUE"""),4)</f>
        <v>4</v>
      </c>
      <c r="P434" s="4">
        <f ca="1">IFERROR(__xludf.DUMMYFUNCTION("""COMPUTED_VALUE"""),5)</f>
        <v>5</v>
      </c>
      <c r="Q434" s="4">
        <f ca="1">IFERROR(__xludf.DUMMYFUNCTION("""COMPUTED_VALUE"""),5)</f>
        <v>5</v>
      </c>
      <c r="R434" s="4">
        <f ca="1">IFERROR(__xludf.DUMMYFUNCTION("""COMPUTED_VALUE"""),5)</f>
        <v>5</v>
      </c>
      <c r="S434" s="4">
        <f ca="1">IFERROR(__xludf.DUMMYFUNCTION("""COMPUTED_VALUE"""),5)</f>
        <v>5</v>
      </c>
      <c r="T434" s="4">
        <f ca="1">IFERROR(__xludf.DUMMYFUNCTION("""COMPUTED_VALUE"""),5)</f>
        <v>5</v>
      </c>
      <c r="U434" s="4">
        <f ca="1">IFERROR(__xludf.DUMMYFUNCTION("""COMPUTED_VALUE"""),5)</f>
        <v>5</v>
      </c>
      <c r="V434" s="4">
        <f ca="1">IFERROR(__xludf.DUMMYFUNCTION("""COMPUTED_VALUE"""),5)</f>
        <v>5</v>
      </c>
      <c r="W434" s="4">
        <f ca="1">IFERROR(__xludf.DUMMYFUNCTION("""COMPUTED_VALUE"""),4)</f>
        <v>4</v>
      </c>
      <c r="X434" s="4">
        <f ca="1">IFERROR(__xludf.DUMMYFUNCTION("""COMPUTED_VALUE"""),4)</f>
        <v>4</v>
      </c>
      <c r="Y434" s="4">
        <f ca="1">IFERROR(__xludf.DUMMYFUNCTION("""COMPUTED_VALUE"""),5)</f>
        <v>5</v>
      </c>
      <c r="Z434" s="4">
        <f ca="1">IFERROR(__xludf.DUMMYFUNCTION("""COMPUTED_VALUE"""),5)</f>
        <v>5</v>
      </c>
      <c r="AA434" s="4">
        <f ca="1">IFERROR(__xludf.DUMMYFUNCTION("""COMPUTED_VALUE"""),5)</f>
        <v>5</v>
      </c>
      <c r="AB434" s="4">
        <f ca="1">IFERROR(__xludf.DUMMYFUNCTION("""COMPUTED_VALUE"""),5)</f>
        <v>5</v>
      </c>
      <c r="AC434" s="4">
        <f ca="1">IFERROR(__xludf.DUMMYFUNCTION("""COMPUTED_VALUE"""),4)</f>
        <v>4</v>
      </c>
      <c r="AD434" s="4">
        <f ca="1">IFERROR(__xludf.DUMMYFUNCTION("""COMPUTED_VALUE"""),3)</f>
        <v>3</v>
      </c>
      <c r="AE434" s="4">
        <f ca="1">IFERROR(__xludf.DUMMYFUNCTION("""COMPUTED_VALUE"""),5)</f>
        <v>5</v>
      </c>
      <c r="AF434" s="4">
        <f ca="1">IFERROR(__xludf.DUMMYFUNCTION("""COMPUTED_VALUE"""),4)</f>
        <v>4</v>
      </c>
      <c r="AG434" s="4">
        <f ca="1">IFERROR(__xludf.DUMMYFUNCTION("""COMPUTED_VALUE"""),4)</f>
        <v>4</v>
      </c>
      <c r="AH434" s="4">
        <f ca="1">IFERROR(__xludf.DUMMYFUNCTION("""COMPUTED_VALUE"""),5)</f>
        <v>5</v>
      </c>
      <c r="AI434" s="4">
        <f ca="1">IFERROR(__xludf.DUMMYFUNCTION("""COMPUTED_VALUE"""),5)</f>
        <v>5</v>
      </c>
      <c r="AJ434" s="4">
        <f ca="1">IFERROR(__xludf.DUMMYFUNCTION("""COMPUTED_VALUE"""),5)</f>
        <v>5</v>
      </c>
      <c r="AK434" s="4">
        <f ca="1">IFERROR(__xludf.DUMMYFUNCTION("""COMPUTED_VALUE"""),5)</f>
        <v>5</v>
      </c>
      <c r="AL434" s="4">
        <f ca="1">IFERROR(__xludf.DUMMYFUNCTION("""COMPUTED_VALUE"""),5)</f>
        <v>5</v>
      </c>
      <c r="AM434" s="4">
        <f ca="1">IFERROR(__xludf.DUMMYFUNCTION("""COMPUTED_VALUE"""),3)</f>
        <v>3</v>
      </c>
      <c r="AN434" s="4">
        <f ca="1">IFERROR(__xludf.DUMMYFUNCTION("""COMPUTED_VALUE"""),5)</f>
        <v>5</v>
      </c>
      <c r="AO434" s="4">
        <f ca="1">IFERROR(__xludf.DUMMYFUNCTION("""COMPUTED_VALUE"""),3)</f>
        <v>3</v>
      </c>
      <c r="AP434" s="4">
        <f ca="1">IFERROR(__xludf.DUMMYFUNCTION("""COMPUTED_VALUE"""),3)</f>
        <v>3</v>
      </c>
      <c r="AQ434" s="4">
        <f ca="1">IFERROR(__xludf.DUMMYFUNCTION("""COMPUTED_VALUE"""),3)</f>
        <v>3</v>
      </c>
      <c r="AR434" s="4">
        <f ca="1">IFERROR(__xludf.DUMMYFUNCTION("""COMPUTED_VALUE"""),3)</f>
        <v>3</v>
      </c>
      <c r="AS434" s="4">
        <f ca="1">IFERROR(__xludf.DUMMYFUNCTION("""COMPUTED_VALUE"""),3)</f>
        <v>3</v>
      </c>
      <c r="AT434" s="4">
        <f ca="1">IFERROR(__xludf.DUMMYFUNCTION("""COMPUTED_VALUE"""),3)</f>
        <v>3</v>
      </c>
      <c r="AU434" s="4">
        <f ca="1">IFERROR(__xludf.DUMMYFUNCTION("""COMPUTED_VALUE"""),3)</f>
        <v>3</v>
      </c>
      <c r="AV434" s="4">
        <f ca="1">IFERROR(__xludf.DUMMYFUNCTION("""COMPUTED_VALUE"""),3)</f>
        <v>3</v>
      </c>
      <c r="AW434" s="4">
        <f ca="1">IFERROR(__xludf.DUMMYFUNCTION("""COMPUTED_VALUE"""),3)</f>
        <v>3</v>
      </c>
      <c r="AX434" s="4">
        <f ca="1">IFERROR(__xludf.DUMMYFUNCTION("""COMPUTED_VALUE"""),5)</f>
        <v>5</v>
      </c>
      <c r="AY434" s="4">
        <f ca="1">IFERROR(__xludf.DUMMYFUNCTION("""COMPUTED_VALUE"""),5)</f>
        <v>5</v>
      </c>
      <c r="AZ434" s="4">
        <f ca="1">IFERROR(__xludf.DUMMYFUNCTION("""COMPUTED_VALUE"""),5)</f>
        <v>5</v>
      </c>
      <c r="BA434" s="4">
        <f ca="1">IFERROR(__xludf.DUMMYFUNCTION("""COMPUTED_VALUE"""),5)</f>
        <v>5</v>
      </c>
      <c r="BB434" s="4">
        <f ca="1">IFERROR(__xludf.DUMMYFUNCTION("""COMPUTED_VALUE"""),5)</f>
        <v>5</v>
      </c>
      <c r="BC434" s="4">
        <f ca="1">IFERROR(__xludf.DUMMYFUNCTION("""COMPUTED_VALUE"""),5)</f>
        <v>5</v>
      </c>
      <c r="BD434" s="4">
        <f ca="1">IFERROR(__xludf.DUMMYFUNCTION("""COMPUTED_VALUE"""),5)</f>
        <v>5</v>
      </c>
      <c r="BE434" s="4">
        <f ca="1">IFERROR(__xludf.DUMMYFUNCTION("""COMPUTED_VALUE"""),5)</f>
        <v>5</v>
      </c>
      <c r="BF434" s="4">
        <f ca="1">IFERROR(__xludf.DUMMYFUNCTION("""COMPUTED_VALUE"""),5)</f>
        <v>5</v>
      </c>
      <c r="BG434" s="4">
        <f ca="1">IFERROR(__xludf.DUMMYFUNCTION("""COMPUTED_VALUE"""),5)</f>
        <v>5</v>
      </c>
      <c r="BH434" s="4">
        <f ca="1">IFERROR(__xludf.DUMMYFUNCTION("""COMPUTED_VALUE"""),5)</f>
        <v>5</v>
      </c>
      <c r="BI434" s="4">
        <f ca="1">IFERROR(__xludf.DUMMYFUNCTION("""COMPUTED_VALUE"""),5)</f>
        <v>5</v>
      </c>
      <c r="BJ434" s="4">
        <f ca="1">IFERROR(__xludf.DUMMYFUNCTION("""COMPUTED_VALUE"""),5)</f>
        <v>5</v>
      </c>
      <c r="BK434" s="4">
        <f ca="1">IFERROR(__xludf.DUMMYFUNCTION("""COMPUTED_VALUE"""),5)</f>
        <v>5</v>
      </c>
      <c r="BL434" s="4">
        <f ca="1">IFERROR(__xludf.DUMMYFUNCTION("""COMPUTED_VALUE"""),5)</f>
        <v>5</v>
      </c>
      <c r="BM434" s="4">
        <f ca="1">IFERROR(__xludf.DUMMYFUNCTION("""COMPUTED_VALUE"""),5)</f>
        <v>5</v>
      </c>
      <c r="BN434" s="4">
        <f ca="1">IFERROR(__xludf.DUMMYFUNCTION("""COMPUTED_VALUE"""),5)</f>
        <v>5</v>
      </c>
      <c r="BO434" s="4">
        <f ca="1">IFERROR(__xludf.DUMMYFUNCTION("""COMPUTED_VALUE"""),5)</f>
        <v>5</v>
      </c>
      <c r="BP434" s="4">
        <f ca="1">IFERROR(__xludf.DUMMYFUNCTION("""COMPUTED_VALUE"""),5)</f>
        <v>5</v>
      </c>
    </row>
    <row r="435" spans="1:68" ht="13.2" x14ac:dyDescent="0.25">
      <c r="A435" s="4" t="str">
        <f ca="1">IFERROR(__xludf.DUMMYFUNCTION("""COMPUTED_VALUE"""),"2_ABaOnuf8bPxcIFhpCv8tZSNk-h3C0lpT1TqooginyE2ic51pswMtG4VpDEnyqj-Odw")</f>
        <v>2_ABaOnuf8bPxcIFhpCv8tZSNk-h3C0lpT1TqooginyE2ic51pswMtG4VpDEnyqj-Odw</v>
      </c>
      <c r="B435" s="5">
        <f ca="1">IFERROR(__xludf.DUMMYFUNCTION("""COMPUTED_VALUE"""),45990.6071218055)</f>
        <v>45990.6071218055</v>
      </c>
      <c r="C435" s="4" t="str">
        <f ca="1">IFERROR(__xludf.DUMMYFUNCTION("""COMPUTED_VALUE"""),"Lê Mỹ Trang")</f>
        <v>Lê Mỹ Trang</v>
      </c>
      <c r="D435" s="4" t="str">
        <f ca="1">IFERROR(__xludf.DUMMYFUNCTION("""COMPUTED_VALUE"""),"Nữ")</f>
        <v>Nữ</v>
      </c>
      <c r="E435" s="4" t="str">
        <f ca="1">IFERROR(__xludf.DUMMYFUNCTION("""COMPUTED_VALUE"""),"Công ty TNHH Kiểm toán NVA - Chi nhánh Phía Bắc")</f>
        <v>Công ty TNHH Kiểm toán NVA - Chi nhánh Phía Bắc</v>
      </c>
      <c r="F435" s="4" t="str">
        <f ca="1">IFERROR(__xludf.DUMMYFUNCTION("""COMPUTED_VALUE"""),"Đại học, Chứng chỉ Kiểm toán viên")</f>
        <v>Đại học, Chứng chỉ Kiểm toán viên</v>
      </c>
      <c r="G435" s="4" t="str">
        <f ca="1">IFERROR(__xludf.DUMMYFUNCTION("""COMPUTED_VALUE"""),"Trên 15 đến 20 năm")</f>
        <v>Trên 15 đến 20 năm</v>
      </c>
      <c r="H435" s="4" t="str">
        <f ca="1">IFERROR(__xludf.DUMMYFUNCTION("""COMPUTED_VALUE"""),"Trưởng phòng")</f>
        <v>Trưởng phòng</v>
      </c>
      <c r="I435" s="4">
        <f ca="1">IFERROR(__xludf.DUMMYFUNCTION("""COMPUTED_VALUE"""),5)</f>
        <v>5</v>
      </c>
      <c r="J435" s="4">
        <f ca="1">IFERROR(__xludf.DUMMYFUNCTION("""COMPUTED_VALUE"""),4)</f>
        <v>4</v>
      </c>
      <c r="K435" s="4">
        <f ca="1">IFERROR(__xludf.DUMMYFUNCTION("""COMPUTED_VALUE"""),4)</f>
        <v>4</v>
      </c>
      <c r="L435" s="4">
        <f ca="1">IFERROR(__xludf.DUMMYFUNCTION("""COMPUTED_VALUE"""),4)</f>
        <v>4</v>
      </c>
      <c r="M435" s="4">
        <f ca="1">IFERROR(__xludf.DUMMYFUNCTION("""COMPUTED_VALUE"""),4)</f>
        <v>4</v>
      </c>
      <c r="N435" s="4">
        <f ca="1">IFERROR(__xludf.DUMMYFUNCTION("""COMPUTED_VALUE"""),4)</f>
        <v>4</v>
      </c>
      <c r="O435" s="4">
        <f ca="1">IFERROR(__xludf.DUMMYFUNCTION("""COMPUTED_VALUE"""),4)</f>
        <v>4</v>
      </c>
      <c r="P435" s="4">
        <f ca="1">IFERROR(__xludf.DUMMYFUNCTION("""COMPUTED_VALUE"""),4)</f>
        <v>4</v>
      </c>
      <c r="Q435" s="4">
        <f ca="1">IFERROR(__xludf.DUMMYFUNCTION("""COMPUTED_VALUE"""),4)</f>
        <v>4</v>
      </c>
      <c r="R435" s="4">
        <f ca="1">IFERROR(__xludf.DUMMYFUNCTION("""COMPUTED_VALUE"""),4)</f>
        <v>4</v>
      </c>
      <c r="S435" s="4">
        <f ca="1">IFERROR(__xludf.DUMMYFUNCTION("""COMPUTED_VALUE"""),4)</f>
        <v>4</v>
      </c>
      <c r="T435" s="4">
        <f ca="1">IFERROR(__xludf.DUMMYFUNCTION("""COMPUTED_VALUE"""),4)</f>
        <v>4</v>
      </c>
      <c r="U435" s="4">
        <f ca="1">IFERROR(__xludf.DUMMYFUNCTION("""COMPUTED_VALUE"""),4)</f>
        <v>4</v>
      </c>
      <c r="V435" s="4">
        <f ca="1">IFERROR(__xludf.DUMMYFUNCTION("""COMPUTED_VALUE"""),4)</f>
        <v>4</v>
      </c>
      <c r="W435" s="4">
        <f ca="1">IFERROR(__xludf.DUMMYFUNCTION("""COMPUTED_VALUE"""),4)</f>
        <v>4</v>
      </c>
      <c r="X435" s="4">
        <f ca="1">IFERROR(__xludf.DUMMYFUNCTION("""COMPUTED_VALUE"""),4)</f>
        <v>4</v>
      </c>
      <c r="Y435" s="4">
        <f ca="1">IFERROR(__xludf.DUMMYFUNCTION("""COMPUTED_VALUE"""),4)</f>
        <v>4</v>
      </c>
      <c r="Z435" s="4">
        <f ca="1">IFERROR(__xludf.DUMMYFUNCTION("""COMPUTED_VALUE"""),4)</f>
        <v>4</v>
      </c>
      <c r="AA435" s="4">
        <f ca="1">IFERROR(__xludf.DUMMYFUNCTION("""COMPUTED_VALUE"""),4)</f>
        <v>4</v>
      </c>
      <c r="AB435" s="4">
        <f ca="1">IFERROR(__xludf.DUMMYFUNCTION("""COMPUTED_VALUE"""),4)</f>
        <v>4</v>
      </c>
      <c r="AC435" s="4">
        <f ca="1">IFERROR(__xludf.DUMMYFUNCTION("""COMPUTED_VALUE"""),4)</f>
        <v>4</v>
      </c>
      <c r="AD435" s="4">
        <f ca="1">IFERROR(__xludf.DUMMYFUNCTION("""COMPUTED_VALUE"""),4)</f>
        <v>4</v>
      </c>
      <c r="AE435" s="4">
        <f ca="1">IFERROR(__xludf.DUMMYFUNCTION("""COMPUTED_VALUE"""),4)</f>
        <v>4</v>
      </c>
      <c r="AF435" s="4">
        <f ca="1">IFERROR(__xludf.DUMMYFUNCTION("""COMPUTED_VALUE"""),4)</f>
        <v>4</v>
      </c>
      <c r="AG435" s="4">
        <f ca="1">IFERROR(__xludf.DUMMYFUNCTION("""COMPUTED_VALUE"""),4)</f>
        <v>4</v>
      </c>
      <c r="AH435" s="4">
        <f ca="1">IFERROR(__xludf.DUMMYFUNCTION("""COMPUTED_VALUE"""),4)</f>
        <v>4</v>
      </c>
      <c r="AI435" s="4">
        <f ca="1">IFERROR(__xludf.DUMMYFUNCTION("""COMPUTED_VALUE"""),4)</f>
        <v>4</v>
      </c>
      <c r="AJ435" s="4">
        <f ca="1">IFERROR(__xludf.DUMMYFUNCTION("""COMPUTED_VALUE"""),4)</f>
        <v>4</v>
      </c>
      <c r="AK435" s="4">
        <f ca="1">IFERROR(__xludf.DUMMYFUNCTION("""COMPUTED_VALUE"""),4)</f>
        <v>4</v>
      </c>
      <c r="AL435" s="4">
        <f ca="1">IFERROR(__xludf.DUMMYFUNCTION("""COMPUTED_VALUE"""),4)</f>
        <v>4</v>
      </c>
      <c r="AM435" s="4">
        <f ca="1">IFERROR(__xludf.DUMMYFUNCTION("""COMPUTED_VALUE"""),4)</f>
        <v>4</v>
      </c>
      <c r="AN435" s="4">
        <f ca="1">IFERROR(__xludf.DUMMYFUNCTION("""COMPUTED_VALUE"""),4)</f>
        <v>4</v>
      </c>
      <c r="AO435" s="4">
        <f ca="1">IFERROR(__xludf.DUMMYFUNCTION("""COMPUTED_VALUE"""),4)</f>
        <v>4</v>
      </c>
      <c r="AP435" s="4">
        <f ca="1">IFERROR(__xludf.DUMMYFUNCTION("""COMPUTED_VALUE"""),4)</f>
        <v>4</v>
      </c>
      <c r="AQ435" s="4">
        <f ca="1">IFERROR(__xludf.DUMMYFUNCTION("""COMPUTED_VALUE"""),4)</f>
        <v>4</v>
      </c>
      <c r="AR435" s="4">
        <f ca="1">IFERROR(__xludf.DUMMYFUNCTION("""COMPUTED_VALUE"""),4)</f>
        <v>4</v>
      </c>
      <c r="AS435" s="4">
        <f ca="1">IFERROR(__xludf.DUMMYFUNCTION("""COMPUTED_VALUE"""),4)</f>
        <v>4</v>
      </c>
      <c r="AT435" s="4">
        <f ca="1">IFERROR(__xludf.DUMMYFUNCTION("""COMPUTED_VALUE"""),4)</f>
        <v>4</v>
      </c>
      <c r="AU435" s="4">
        <f ca="1">IFERROR(__xludf.DUMMYFUNCTION("""COMPUTED_VALUE"""),4)</f>
        <v>4</v>
      </c>
      <c r="AV435" s="4">
        <f ca="1">IFERROR(__xludf.DUMMYFUNCTION("""COMPUTED_VALUE"""),4)</f>
        <v>4</v>
      </c>
      <c r="AW435" s="4">
        <f ca="1">IFERROR(__xludf.DUMMYFUNCTION("""COMPUTED_VALUE"""),4)</f>
        <v>4</v>
      </c>
      <c r="AX435" s="4">
        <f ca="1">IFERROR(__xludf.DUMMYFUNCTION("""COMPUTED_VALUE"""),4)</f>
        <v>4</v>
      </c>
      <c r="AY435" s="4">
        <f ca="1">IFERROR(__xludf.DUMMYFUNCTION("""COMPUTED_VALUE"""),4)</f>
        <v>4</v>
      </c>
      <c r="AZ435" s="4">
        <f ca="1">IFERROR(__xludf.DUMMYFUNCTION("""COMPUTED_VALUE"""),4)</f>
        <v>4</v>
      </c>
      <c r="BA435" s="4">
        <f ca="1">IFERROR(__xludf.DUMMYFUNCTION("""COMPUTED_VALUE"""),4)</f>
        <v>4</v>
      </c>
      <c r="BB435" s="4">
        <f ca="1">IFERROR(__xludf.DUMMYFUNCTION("""COMPUTED_VALUE"""),4)</f>
        <v>4</v>
      </c>
      <c r="BC435" s="4">
        <f ca="1">IFERROR(__xludf.DUMMYFUNCTION("""COMPUTED_VALUE"""),4)</f>
        <v>4</v>
      </c>
      <c r="BD435" s="4">
        <f ca="1">IFERROR(__xludf.DUMMYFUNCTION("""COMPUTED_VALUE"""),4)</f>
        <v>4</v>
      </c>
      <c r="BE435" s="4">
        <f ca="1">IFERROR(__xludf.DUMMYFUNCTION("""COMPUTED_VALUE"""),4)</f>
        <v>4</v>
      </c>
      <c r="BF435" s="4">
        <f ca="1">IFERROR(__xludf.DUMMYFUNCTION("""COMPUTED_VALUE"""),4)</f>
        <v>4</v>
      </c>
      <c r="BG435" s="4">
        <f ca="1">IFERROR(__xludf.DUMMYFUNCTION("""COMPUTED_VALUE"""),4)</f>
        <v>4</v>
      </c>
      <c r="BH435" s="4">
        <f ca="1">IFERROR(__xludf.DUMMYFUNCTION("""COMPUTED_VALUE"""),4)</f>
        <v>4</v>
      </c>
      <c r="BI435" s="4">
        <f ca="1">IFERROR(__xludf.DUMMYFUNCTION("""COMPUTED_VALUE"""),4)</f>
        <v>4</v>
      </c>
      <c r="BJ435" s="4">
        <f ca="1">IFERROR(__xludf.DUMMYFUNCTION("""COMPUTED_VALUE"""),4)</f>
        <v>4</v>
      </c>
      <c r="BK435" s="4">
        <f ca="1">IFERROR(__xludf.DUMMYFUNCTION("""COMPUTED_VALUE"""),4)</f>
        <v>4</v>
      </c>
      <c r="BL435" s="4">
        <f ca="1">IFERROR(__xludf.DUMMYFUNCTION("""COMPUTED_VALUE"""),4)</f>
        <v>4</v>
      </c>
      <c r="BM435" s="4">
        <f ca="1">IFERROR(__xludf.DUMMYFUNCTION("""COMPUTED_VALUE"""),4)</f>
        <v>4</v>
      </c>
      <c r="BN435" s="4">
        <f ca="1">IFERROR(__xludf.DUMMYFUNCTION("""COMPUTED_VALUE"""),4)</f>
        <v>4</v>
      </c>
      <c r="BO435" s="4">
        <f ca="1">IFERROR(__xludf.DUMMYFUNCTION("""COMPUTED_VALUE"""),4)</f>
        <v>4</v>
      </c>
      <c r="BP435" s="4">
        <f ca="1">IFERROR(__xludf.DUMMYFUNCTION("""COMPUTED_VALUE"""),4)</f>
        <v>4</v>
      </c>
    </row>
    <row r="436" spans="1:68" ht="13.2" x14ac:dyDescent="0.25">
      <c r="A436" s="4" t="str">
        <f ca="1">IFERROR(__xludf.DUMMYFUNCTION("""COMPUTED_VALUE"""),"2_ABaOnudjC74wCD-aDa0OYSi450084PeQLsSADHI-HtkSedBEqm1tTq1xakawLlo42w")</f>
        <v>2_ABaOnudjC74wCD-aDa0OYSi450084PeQLsSADHI-HtkSedBEqm1tTq1xakawLlo42w</v>
      </c>
      <c r="B436" s="5">
        <f ca="1">IFERROR(__xludf.DUMMYFUNCTION("""COMPUTED_VALUE"""),45990.6107998379)</f>
        <v>45990.610799837901</v>
      </c>
      <c r="C436" s="4" t="str">
        <f ca="1">IFERROR(__xludf.DUMMYFUNCTION("""COMPUTED_VALUE"""),"Nguyễn Bá Phước")</f>
        <v>Nguyễn Bá Phước</v>
      </c>
      <c r="D436" s="4" t="str">
        <f ca="1">IFERROR(__xludf.DUMMYFUNCTION("""COMPUTED_VALUE"""),"Nam")</f>
        <v>Nam</v>
      </c>
      <c r="E436" s="4" t="str">
        <f ca="1">IFERROR(__xludf.DUMMYFUNCTION("""COMPUTED_VALUE"""),"Công ty TNHH Kiểm toán NVA - Chi nhánh phía Bắc")</f>
        <v>Công ty TNHH Kiểm toán NVA - Chi nhánh phía Bắc</v>
      </c>
      <c r="F436" s="4" t="str">
        <f ca="1">IFERROR(__xludf.DUMMYFUNCTION("""COMPUTED_VALUE"""),"Đại học")</f>
        <v>Đại học</v>
      </c>
      <c r="G436" s="4" t="str">
        <f ca="1">IFERROR(__xludf.DUMMYFUNCTION("""COMPUTED_VALUE"""),"Từ 3 đến 5 năm")</f>
        <v>Từ 3 đến 5 năm</v>
      </c>
      <c r="H436" s="4" t="str">
        <f ca="1">IFERROR(__xludf.DUMMYFUNCTION("""COMPUTED_VALUE"""),"Trợ lý kiểm toán")</f>
        <v>Trợ lý kiểm toán</v>
      </c>
      <c r="I436" s="4">
        <f ca="1">IFERROR(__xludf.DUMMYFUNCTION("""COMPUTED_VALUE"""),5)</f>
        <v>5</v>
      </c>
      <c r="J436" s="4">
        <f ca="1">IFERROR(__xludf.DUMMYFUNCTION("""COMPUTED_VALUE"""),5)</f>
        <v>5</v>
      </c>
      <c r="K436" s="4">
        <f ca="1">IFERROR(__xludf.DUMMYFUNCTION("""COMPUTED_VALUE"""),5)</f>
        <v>5</v>
      </c>
      <c r="L436" s="4">
        <f ca="1">IFERROR(__xludf.DUMMYFUNCTION("""COMPUTED_VALUE"""),5)</f>
        <v>5</v>
      </c>
      <c r="M436" s="4">
        <f ca="1">IFERROR(__xludf.DUMMYFUNCTION("""COMPUTED_VALUE"""),5)</f>
        <v>5</v>
      </c>
      <c r="N436" s="4">
        <f ca="1">IFERROR(__xludf.DUMMYFUNCTION("""COMPUTED_VALUE"""),5)</f>
        <v>5</v>
      </c>
      <c r="O436" s="4">
        <f ca="1">IFERROR(__xludf.DUMMYFUNCTION("""COMPUTED_VALUE"""),5)</f>
        <v>5</v>
      </c>
      <c r="P436" s="4">
        <f ca="1">IFERROR(__xludf.DUMMYFUNCTION("""COMPUTED_VALUE"""),5)</f>
        <v>5</v>
      </c>
      <c r="Q436" s="4">
        <f ca="1">IFERROR(__xludf.DUMMYFUNCTION("""COMPUTED_VALUE"""),5)</f>
        <v>5</v>
      </c>
      <c r="R436" s="4">
        <f ca="1">IFERROR(__xludf.DUMMYFUNCTION("""COMPUTED_VALUE"""),5)</f>
        <v>5</v>
      </c>
      <c r="S436" s="4">
        <f ca="1">IFERROR(__xludf.DUMMYFUNCTION("""COMPUTED_VALUE"""),5)</f>
        <v>5</v>
      </c>
      <c r="T436" s="4">
        <f ca="1">IFERROR(__xludf.DUMMYFUNCTION("""COMPUTED_VALUE"""),5)</f>
        <v>5</v>
      </c>
      <c r="U436" s="4">
        <f ca="1">IFERROR(__xludf.DUMMYFUNCTION("""COMPUTED_VALUE"""),5)</f>
        <v>5</v>
      </c>
      <c r="V436" s="4">
        <f ca="1">IFERROR(__xludf.DUMMYFUNCTION("""COMPUTED_VALUE"""),5)</f>
        <v>5</v>
      </c>
      <c r="W436" s="4">
        <f ca="1">IFERROR(__xludf.DUMMYFUNCTION("""COMPUTED_VALUE"""),5)</f>
        <v>5</v>
      </c>
      <c r="X436" s="4">
        <f ca="1">IFERROR(__xludf.DUMMYFUNCTION("""COMPUTED_VALUE"""),5)</f>
        <v>5</v>
      </c>
      <c r="Y436" s="4">
        <f ca="1">IFERROR(__xludf.DUMMYFUNCTION("""COMPUTED_VALUE"""),4)</f>
        <v>4</v>
      </c>
      <c r="Z436" s="4">
        <f ca="1">IFERROR(__xludf.DUMMYFUNCTION("""COMPUTED_VALUE"""),5)</f>
        <v>5</v>
      </c>
      <c r="AA436" s="4">
        <f ca="1">IFERROR(__xludf.DUMMYFUNCTION("""COMPUTED_VALUE"""),4)</f>
        <v>4</v>
      </c>
      <c r="AB436" s="4">
        <f ca="1">IFERROR(__xludf.DUMMYFUNCTION("""COMPUTED_VALUE"""),5)</f>
        <v>5</v>
      </c>
      <c r="AC436" s="4">
        <f ca="1">IFERROR(__xludf.DUMMYFUNCTION("""COMPUTED_VALUE"""),4)</f>
        <v>4</v>
      </c>
      <c r="AD436" s="4">
        <f ca="1">IFERROR(__xludf.DUMMYFUNCTION("""COMPUTED_VALUE"""),3)</f>
        <v>3</v>
      </c>
      <c r="AE436" s="4">
        <f ca="1">IFERROR(__xludf.DUMMYFUNCTION("""COMPUTED_VALUE"""),5)</f>
        <v>5</v>
      </c>
      <c r="AF436" s="4">
        <f ca="1">IFERROR(__xludf.DUMMYFUNCTION("""COMPUTED_VALUE"""),5)</f>
        <v>5</v>
      </c>
      <c r="AG436" s="4">
        <f ca="1">IFERROR(__xludf.DUMMYFUNCTION("""COMPUTED_VALUE"""),5)</f>
        <v>5</v>
      </c>
      <c r="AH436" s="4">
        <f ca="1">IFERROR(__xludf.DUMMYFUNCTION("""COMPUTED_VALUE"""),5)</f>
        <v>5</v>
      </c>
      <c r="AI436" s="4">
        <f ca="1">IFERROR(__xludf.DUMMYFUNCTION("""COMPUTED_VALUE"""),5)</f>
        <v>5</v>
      </c>
      <c r="AJ436" s="4">
        <f ca="1">IFERROR(__xludf.DUMMYFUNCTION("""COMPUTED_VALUE"""),5)</f>
        <v>5</v>
      </c>
      <c r="AK436" s="4">
        <f ca="1">IFERROR(__xludf.DUMMYFUNCTION("""COMPUTED_VALUE"""),5)</f>
        <v>5</v>
      </c>
      <c r="AL436" s="4">
        <f ca="1">IFERROR(__xludf.DUMMYFUNCTION("""COMPUTED_VALUE"""),5)</f>
        <v>5</v>
      </c>
      <c r="AM436" s="4">
        <f ca="1">IFERROR(__xludf.DUMMYFUNCTION("""COMPUTED_VALUE"""),5)</f>
        <v>5</v>
      </c>
      <c r="AN436" s="4">
        <f ca="1">IFERROR(__xludf.DUMMYFUNCTION("""COMPUTED_VALUE"""),5)</f>
        <v>5</v>
      </c>
      <c r="AO436" s="4">
        <f ca="1">IFERROR(__xludf.DUMMYFUNCTION("""COMPUTED_VALUE"""),5)</f>
        <v>5</v>
      </c>
      <c r="AP436" s="4">
        <f ca="1">IFERROR(__xludf.DUMMYFUNCTION("""COMPUTED_VALUE"""),5)</f>
        <v>5</v>
      </c>
      <c r="AQ436" s="4">
        <f ca="1">IFERROR(__xludf.DUMMYFUNCTION("""COMPUTED_VALUE"""),4)</f>
        <v>4</v>
      </c>
      <c r="AR436" s="4">
        <f ca="1">IFERROR(__xludf.DUMMYFUNCTION("""COMPUTED_VALUE"""),5)</f>
        <v>5</v>
      </c>
      <c r="AS436" s="4">
        <f ca="1">IFERROR(__xludf.DUMMYFUNCTION("""COMPUTED_VALUE"""),5)</f>
        <v>5</v>
      </c>
      <c r="AT436" s="4">
        <f ca="1">IFERROR(__xludf.DUMMYFUNCTION("""COMPUTED_VALUE"""),4)</f>
        <v>4</v>
      </c>
      <c r="AU436" s="4">
        <f ca="1">IFERROR(__xludf.DUMMYFUNCTION("""COMPUTED_VALUE"""),4)</f>
        <v>4</v>
      </c>
      <c r="AV436" s="4">
        <f ca="1">IFERROR(__xludf.DUMMYFUNCTION("""COMPUTED_VALUE"""),5)</f>
        <v>5</v>
      </c>
      <c r="AW436" s="4">
        <f ca="1">IFERROR(__xludf.DUMMYFUNCTION("""COMPUTED_VALUE"""),4)</f>
        <v>4</v>
      </c>
      <c r="AX436" s="4">
        <f ca="1">IFERROR(__xludf.DUMMYFUNCTION("""COMPUTED_VALUE"""),5)</f>
        <v>5</v>
      </c>
      <c r="AY436" s="4">
        <f ca="1">IFERROR(__xludf.DUMMYFUNCTION("""COMPUTED_VALUE"""),5)</f>
        <v>5</v>
      </c>
      <c r="AZ436" s="4">
        <f ca="1">IFERROR(__xludf.DUMMYFUNCTION("""COMPUTED_VALUE"""),5)</f>
        <v>5</v>
      </c>
      <c r="BA436" s="4">
        <f ca="1">IFERROR(__xludf.DUMMYFUNCTION("""COMPUTED_VALUE"""),5)</f>
        <v>5</v>
      </c>
      <c r="BB436" s="4">
        <f ca="1">IFERROR(__xludf.DUMMYFUNCTION("""COMPUTED_VALUE"""),4)</f>
        <v>4</v>
      </c>
      <c r="BC436" s="4">
        <f ca="1">IFERROR(__xludf.DUMMYFUNCTION("""COMPUTED_VALUE"""),4)</f>
        <v>4</v>
      </c>
      <c r="BD436" s="4">
        <f ca="1">IFERROR(__xludf.DUMMYFUNCTION("""COMPUTED_VALUE"""),4)</f>
        <v>4</v>
      </c>
      <c r="BE436" s="4">
        <f ca="1">IFERROR(__xludf.DUMMYFUNCTION("""COMPUTED_VALUE"""),3)</f>
        <v>3</v>
      </c>
      <c r="BF436" s="4">
        <f ca="1">IFERROR(__xludf.DUMMYFUNCTION("""COMPUTED_VALUE"""),3)</f>
        <v>3</v>
      </c>
      <c r="BG436" s="4">
        <f ca="1">IFERROR(__xludf.DUMMYFUNCTION("""COMPUTED_VALUE"""),3)</f>
        <v>3</v>
      </c>
      <c r="BH436" s="4">
        <f ca="1">IFERROR(__xludf.DUMMYFUNCTION("""COMPUTED_VALUE"""),5)</f>
        <v>5</v>
      </c>
      <c r="BI436" s="4">
        <f ca="1">IFERROR(__xludf.DUMMYFUNCTION("""COMPUTED_VALUE"""),5)</f>
        <v>5</v>
      </c>
      <c r="BJ436" s="4">
        <f ca="1">IFERROR(__xludf.DUMMYFUNCTION("""COMPUTED_VALUE"""),5)</f>
        <v>5</v>
      </c>
      <c r="BK436" s="4">
        <f ca="1">IFERROR(__xludf.DUMMYFUNCTION("""COMPUTED_VALUE"""),5)</f>
        <v>5</v>
      </c>
      <c r="BL436" s="4">
        <f ca="1">IFERROR(__xludf.DUMMYFUNCTION("""COMPUTED_VALUE"""),5)</f>
        <v>5</v>
      </c>
      <c r="BM436" s="4">
        <f ca="1">IFERROR(__xludf.DUMMYFUNCTION("""COMPUTED_VALUE"""),5)</f>
        <v>5</v>
      </c>
      <c r="BN436" s="4">
        <f ca="1">IFERROR(__xludf.DUMMYFUNCTION("""COMPUTED_VALUE"""),5)</f>
        <v>5</v>
      </c>
      <c r="BO436" s="4">
        <f ca="1">IFERROR(__xludf.DUMMYFUNCTION("""COMPUTED_VALUE"""),5)</f>
        <v>5</v>
      </c>
      <c r="BP436" s="4">
        <f ca="1">IFERROR(__xludf.DUMMYFUNCTION("""COMPUTED_VALUE"""),5)</f>
        <v>5</v>
      </c>
    </row>
    <row r="437" spans="1:68" ht="13.2" x14ac:dyDescent="0.25">
      <c r="A437" s="4" t="str">
        <f ca="1">IFERROR(__xludf.DUMMYFUNCTION("""COMPUTED_VALUE"""),"2_ABaOnuf_g-udsFYUm002u-m8Ege-vL8AQi3fsIMSIu3GNg8tk7nUoR5M8xp5GbkiRg")</f>
        <v>2_ABaOnuf_g-udsFYUm002u-m8Ege-vL8AQi3fsIMSIu3GNg8tk7nUoR5M8xp5GbkiRg</v>
      </c>
      <c r="B437" s="5">
        <f ca="1">IFERROR(__xludf.DUMMYFUNCTION("""COMPUTED_VALUE"""),45990.6128317245)</f>
        <v>45990.612831724502</v>
      </c>
      <c r="C437" s="4" t="str">
        <f ca="1">IFERROR(__xludf.DUMMYFUNCTION("""COMPUTED_VALUE"""),"Nguyễn Thị Thu Thủy")</f>
        <v>Nguyễn Thị Thu Thủy</v>
      </c>
      <c r="D437" s="4" t="str">
        <f ca="1">IFERROR(__xludf.DUMMYFUNCTION("""COMPUTED_VALUE"""),"Nữ")</f>
        <v>Nữ</v>
      </c>
      <c r="E437" s="4" t="str">
        <f ca="1">IFERROR(__xludf.DUMMYFUNCTION("""COMPUTED_VALUE"""),"Công ty TNHH Kiểm toán NVA - Chi nhánh phía Bắc")</f>
        <v>Công ty TNHH Kiểm toán NVA - Chi nhánh phía Bắc</v>
      </c>
      <c r="F437" s="4" t="str">
        <f ca="1">IFERROR(__xludf.DUMMYFUNCTION("""COMPUTED_VALUE"""),"Đại học")</f>
        <v>Đại học</v>
      </c>
      <c r="G437" s="4" t="str">
        <f ca="1">IFERROR(__xludf.DUMMYFUNCTION("""COMPUTED_VALUE"""),"Trên 5 đến 10 năm")</f>
        <v>Trên 5 đến 10 năm</v>
      </c>
      <c r="H437" s="4" t="str">
        <f ca="1">IFERROR(__xludf.DUMMYFUNCTION("""COMPUTED_VALUE"""),"Kiểm toán viên/Trưởng nhóm")</f>
        <v>Kiểm toán viên/Trưởng nhóm</v>
      </c>
      <c r="I437" s="4">
        <f ca="1">IFERROR(__xludf.DUMMYFUNCTION("""COMPUTED_VALUE"""),5)</f>
        <v>5</v>
      </c>
      <c r="J437" s="4">
        <f ca="1">IFERROR(__xludf.DUMMYFUNCTION("""COMPUTED_VALUE"""),5)</f>
        <v>5</v>
      </c>
      <c r="K437" s="4">
        <f ca="1">IFERROR(__xludf.DUMMYFUNCTION("""COMPUTED_VALUE"""),5)</f>
        <v>5</v>
      </c>
      <c r="L437" s="4">
        <f ca="1">IFERROR(__xludf.DUMMYFUNCTION("""COMPUTED_VALUE"""),4)</f>
        <v>4</v>
      </c>
      <c r="M437" s="4">
        <f ca="1">IFERROR(__xludf.DUMMYFUNCTION("""COMPUTED_VALUE"""),4)</f>
        <v>4</v>
      </c>
      <c r="N437" s="4">
        <f ca="1">IFERROR(__xludf.DUMMYFUNCTION("""COMPUTED_VALUE"""),3)</f>
        <v>3</v>
      </c>
      <c r="O437" s="4">
        <f ca="1">IFERROR(__xludf.DUMMYFUNCTION("""COMPUTED_VALUE"""),3)</f>
        <v>3</v>
      </c>
      <c r="P437" s="4">
        <f ca="1">IFERROR(__xludf.DUMMYFUNCTION("""COMPUTED_VALUE"""),5)</f>
        <v>5</v>
      </c>
      <c r="Q437" s="4">
        <f ca="1">IFERROR(__xludf.DUMMYFUNCTION("""COMPUTED_VALUE"""),5)</f>
        <v>5</v>
      </c>
      <c r="R437" s="4">
        <f ca="1">IFERROR(__xludf.DUMMYFUNCTION("""COMPUTED_VALUE"""),5)</f>
        <v>5</v>
      </c>
      <c r="S437" s="4">
        <f ca="1">IFERROR(__xludf.DUMMYFUNCTION("""COMPUTED_VALUE"""),5)</f>
        <v>5</v>
      </c>
      <c r="T437" s="4">
        <f ca="1">IFERROR(__xludf.DUMMYFUNCTION("""COMPUTED_VALUE"""),5)</f>
        <v>5</v>
      </c>
      <c r="U437" s="4">
        <f ca="1">IFERROR(__xludf.DUMMYFUNCTION("""COMPUTED_VALUE"""),5)</f>
        <v>5</v>
      </c>
      <c r="V437" s="4">
        <f ca="1">IFERROR(__xludf.DUMMYFUNCTION("""COMPUTED_VALUE"""),5)</f>
        <v>5</v>
      </c>
      <c r="W437" s="4">
        <f ca="1">IFERROR(__xludf.DUMMYFUNCTION("""COMPUTED_VALUE"""),4)</f>
        <v>4</v>
      </c>
      <c r="X437" s="4">
        <f ca="1">IFERROR(__xludf.DUMMYFUNCTION("""COMPUTED_VALUE"""),3)</f>
        <v>3</v>
      </c>
      <c r="Y437" s="4">
        <f ca="1">IFERROR(__xludf.DUMMYFUNCTION("""COMPUTED_VALUE"""),5)</f>
        <v>5</v>
      </c>
      <c r="Z437" s="4">
        <f ca="1">IFERROR(__xludf.DUMMYFUNCTION("""COMPUTED_VALUE"""),4)</f>
        <v>4</v>
      </c>
      <c r="AA437" s="4">
        <f ca="1">IFERROR(__xludf.DUMMYFUNCTION("""COMPUTED_VALUE"""),4)</f>
        <v>4</v>
      </c>
      <c r="AB437" s="4">
        <f ca="1">IFERROR(__xludf.DUMMYFUNCTION("""COMPUTED_VALUE"""),4)</f>
        <v>4</v>
      </c>
      <c r="AC437" s="4">
        <f ca="1">IFERROR(__xludf.DUMMYFUNCTION("""COMPUTED_VALUE"""),3)</f>
        <v>3</v>
      </c>
      <c r="AD437" s="4">
        <f ca="1">IFERROR(__xludf.DUMMYFUNCTION("""COMPUTED_VALUE"""),3)</f>
        <v>3</v>
      </c>
      <c r="AE437" s="4">
        <f ca="1">IFERROR(__xludf.DUMMYFUNCTION("""COMPUTED_VALUE"""),4)</f>
        <v>4</v>
      </c>
      <c r="AF437" s="4">
        <f ca="1">IFERROR(__xludf.DUMMYFUNCTION("""COMPUTED_VALUE"""),4)</f>
        <v>4</v>
      </c>
      <c r="AG437" s="4">
        <f ca="1">IFERROR(__xludf.DUMMYFUNCTION("""COMPUTED_VALUE"""),4)</f>
        <v>4</v>
      </c>
      <c r="AH437" s="4">
        <f ca="1">IFERROR(__xludf.DUMMYFUNCTION("""COMPUTED_VALUE"""),4)</f>
        <v>4</v>
      </c>
      <c r="AI437" s="4">
        <f ca="1">IFERROR(__xludf.DUMMYFUNCTION("""COMPUTED_VALUE"""),3)</f>
        <v>3</v>
      </c>
      <c r="AJ437" s="4">
        <f ca="1">IFERROR(__xludf.DUMMYFUNCTION("""COMPUTED_VALUE"""),5)</f>
        <v>5</v>
      </c>
      <c r="AK437" s="4">
        <f ca="1">IFERROR(__xludf.DUMMYFUNCTION("""COMPUTED_VALUE"""),5)</f>
        <v>5</v>
      </c>
      <c r="AL437" s="4">
        <f ca="1">IFERROR(__xludf.DUMMYFUNCTION("""COMPUTED_VALUE"""),5)</f>
        <v>5</v>
      </c>
      <c r="AM437" s="4">
        <f ca="1">IFERROR(__xludf.DUMMYFUNCTION("""COMPUTED_VALUE"""),5)</f>
        <v>5</v>
      </c>
      <c r="AN437" s="4">
        <f ca="1">IFERROR(__xludf.DUMMYFUNCTION("""COMPUTED_VALUE"""),5)</f>
        <v>5</v>
      </c>
      <c r="AO437" s="4">
        <f ca="1">IFERROR(__xludf.DUMMYFUNCTION("""COMPUTED_VALUE"""),4)</f>
        <v>4</v>
      </c>
      <c r="AP437" s="4">
        <f ca="1">IFERROR(__xludf.DUMMYFUNCTION("""COMPUTED_VALUE"""),3)</f>
        <v>3</v>
      </c>
      <c r="AQ437" s="4">
        <f ca="1">IFERROR(__xludf.DUMMYFUNCTION("""COMPUTED_VALUE"""),4)</f>
        <v>4</v>
      </c>
      <c r="AR437" s="4">
        <f ca="1">IFERROR(__xludf.DUMMYFUNCTION("""COMPUTED_VALUE"""),4)</f>
        <v>4</v>
      </c>
      <c r="AS437" s="4">
        <f ca="1">IFERROR(__xludf.DUMMYFUNCTION("""COMPUTED_VALUE"""),4)</f>
        <v>4</v>
      </c>
      <c r="AT437" s="4">
        <f ca="1">IFERROR(__xludf.DUMMYFUNCTION("""COMPUTED_VALUE"""),3)</f>
        <v>3</v>
      </c>
      <c r="AU437" s="4">
        <f ca="1">IFERROR(__xludf.DUMMYFUNCTION("""COMPUTED_VALUE"""),4)</f>
        <v>4</v>
      </c>
      <c r="AV437" s="4">
        <f ca="1">IFERROR(__xludf.DUMMYFUNCTION("""COMPUTED_VALUE"""),4)</f>
        <v>4</v>
      </c>
      <c r="AW437" s="4">
        <f ca="1">IFERROR(__xludf.DUMMYFUNCTION("""COMPUTED_VALUE"""),4)</f>
        <v>4</v>
      </c>
      <c r="AX437" s="4">
        <f ca="1">IFERROR(__xludf.DUMMYFUNCTION("""COMPUTED_VALUE"""),5)</f>
        <v>5</v>
      </c>
      <c r="AY437" s="4">
        <f ca="1">IFERROR(__xludf.DUMMYFUNCTION("""COMPUTED_VALUE"""),5)</f>
        <v>5</v>
      </c>
      <c r="AZ437" s="4">
        <f ca="1">IFERROR(__xludf.DUMMYFUNCTION("""COMPUTED_VALUE"""),5)</f>
        <v>5</v>
      </c>
      <c r="BA437" s="4">
        <f ca="1">IFERROR(__xludf.DUMMYFUNCTION("""COMPUTED_VALUE"""),5)</f>
        <v>5</v>
      </c>
      <c r="BB437" s="4">
        <f ca="1">IFERROR(__xludf.DUMMYFUNCTION("""COMPUTED_VALUE"""),4)</f>
        <v>4</v>
      </c>
      <c r="BC437" s="4">
        <f ca="1">IFERROR(__xludf.DUMMYFUNCTION("""COMPUTED_VALUE"""),4)</f>
        <v>4</v>
      </c>
      <c r="BD437" s="4">
        <f ca="1">IFERROR(__xludf.DUMMYFUNCTION("""COMPUTED_VALUE"""),4)</f>
        <v>4</v>
      </c>
      <c r="BE437" s="4">
        <f ca="1">IFERROR(__xludf.DUMMYFUNCTION("""COMPUTED_VALUE"""),2)</f>
        <v>2</v>
      </c>
      <c r="BF437" s="4">
        <f ca="1">IFERROR(__xludf.DUMMYFUNCTION("""COMPUTED_VALUE"""),2)</f>
        <v>2</v>
      </c>
      <c r="BG437" s="4">
        <f ca="1">IFERROR(__xludf.DUMMYFUNCTION("""COMPUTED_VALUE"""),2)</f>
        <v>2</v>
      </c>
      <c r="BH437" s="4">
        <f ca="1">IFERROR(__xludf.DUMMYFUNCTION("""COMPUTED_VALUE"""),4)</f>
        <v>4</v>
      </c>
      <c r="BI437" s="4">
        <f ca="1">IFERROR(__xludf.DUMMYFUNCTION("""COMPUTED_VALUE"""),5)</f>
        <v>5</v>
      </c>
      <c r="BJ437" s="4">
        <f ca="1">IFERROR(__xludf.DUMMYFUNCTION("""COMPUTED_VALUE"""),5)</f>
        <v>5</v>
      </c>
      <c r="BK437" s="4">
        <f ca="1">IFERROR(__xludf.DUMMYFUNCTION("""COMPUTED_VALUE"""),4)</f>
        <v>4</v>
      </c>
      <c r="BL437" s="4">
        <f ca="1">IFERROR(__xludf.DUMMYFUNCTION("""COMPUTED_VALUE"""),4)</f>
        <v>4</v>
      </c>
      <c r="BM437" s="4">
        <f ca="1">IFERROR(__xludf.DUMMYFUNCTION("""COMPUTED_VALUE"""),4)</f>
        <v>4</v>
      </c>
      <c r="BN437" s="4">
        <f ca="1">IFERROR(__xludf.DUMMYFUNCTION("""COMPUTED_VALUE"""),4)</f>
        <v>4</v>
      </c>
      <c r="BO437" s="4">
        <f ca="1">IFERROR(__xludf.DUMMYFUNCTION("""COMPUTED_VALUE"""),4)</f>
        <v>4</v>
      </c>
      <c r="BP437" s="4">
        <f ca="1">IFERROR(__xludf.DUMMYFUNCTION("""COMPUTED_VALUE"""),4)</f>
        <v>4</v>
      </c>
    </row>
    <row r="438" spans="1:68" ht="13.2" x14ac:dyDescent="0.25">
      <c r="A438" s="4" t="str">
        <f ca="1">IFERROR(__xludf.DUMMYFUNCTION("""COMPUTED_VALUE"""),"2_ABaOnudUqMN6almPB8156Vr-p0HhSaneel22vBtTc_NDdoxmbQDdtpCKcOYe2Icpxg")</f>
        <v>2_ABaOnudUqMN6almPB8156Vr-p0HhSaneel22vBtTc_NDdoxmbQDdtpCKcOYe2Icpxg</v>
      </c>
      <c r="B438" s="5">
        <f ca="1">IFERROR(__xludf.DUMMYFUNCTION("""COMPUTED_VALUE"""),45990.6132355439)</f>
        <v>45990.613235543897</v>
      </c>
      <c r="C438" s="4" t="str">
        <f ca="1">IFERROR(__xludf.DUMMYFUNCTION("""COMPUTED_VALUE"""),"Nguyễn Thị Nguyên Nhung")</f>
        <v>Nguyễn Thị Nguyên Nhung</v>
      </c>
      <c r="D438" s="4" t="str">
        <f ca="1">IFERROR(__xludf.DUMMYFUNCTION("""COMPUTED_VALUE"""),"Nữ")</f>
        <v>Nữ</v>
      </c>
      <c r="E438" s="4" t="str">
        <f ca="1">IFERROR(__xludf.DUMMYFUNCTION("""COMPUTED_VALUE"""),"Công ty TNHH Kiểm toán NVA - Chi nhánh phía Bắc")</f>
        <v>Công ty TNHH Kiểm toán NVA - Chi nhánh phía Bắc</v>
      </c>
      <c r="F438" s="4" t="str">
        <f ca="1">IFERROR(__xludf.DUMMYFUNCTION("""COMPUTED_VALUE"""),"Đại học, Chứng chỉ Kiểm toán viên")</f>
        <v>Đại học, Chứng chỉ Kiểm toán viên</v>
      </c>
      <c r="G438" s="4" t="str">
        <f ca="1">IFERROR(__xludf.DUMMYFUNCTION("""COMPUTED_VALUE"""),"Trên 15 đến 20 năm")</f>
        <v>Trên 15 đến 20 năm</v>
      </c>
      <c r="H438" s="4" t="str">
        <f ca="1">IFERROR(__xludf.DUMMYFUNCTION("""COMPUTED_VALUE"""),"Ban giám đốc")</f>
        <v>Ban giám đốc</v>
      </c>
      <c r="I438" s="4">
        <f ca="1">IFERROR(__xludf.DUMMYFUNCTION("""COMPUTED_VALUE"""),5)</f>
        <v>5</v>
      </c>
      <c r="J438" s="4">
        <f ca="1">IFERROR(__xludf.DUMMYFUNCTION("""COMPUTED_VALUE"""),5)</f>
        <v>5</v>
      </c>
      <c r="K438" s="4">
        <f ca="1">IFERROR(__xludf.DUMMYFUNCTION("""COMPUTED_VALUE"""),4)</f>
        <v>4</v>
      </c>
      <c r="L438" s="4">
        <f ca="1">IFERROR(__xludf.DUMMYFUNCTION("""COMPUTED_VALUE"""),4)</f>
        <v>4</v>
      </c>
      <c r="M438" s="4">
        <f ca="1">IFERROR(__xludf.DUMMYFUNCTION("""COMPUTED_VALUE"""),5)</f>
        <v>5</v>
      </c>
      <c r="N438" s="4">
        <f ca="1">IFERROR(__xludf.DUMMYFUNCTION("""COMPUTED_VALUE"""),4)</f>
        <v>4</v>
      </c>
      <c r="O438" s="4">
        <f ca="1">IFERROR(__xludf.DUMMYFUNCTION("""COMPUTED_VALUE"""),4)</f>
        <v>4</v>
      </c>
      <c r="P438" s="4">
        <f ca="1">IFERROR(__xludf.DUMMYFUNCTION("""COMPUTED_VALUE"""),4)</f>
        <v>4</v>
      </c>
      <c r="Q438" s="4">
        <f ca="1">IFERROR(__xludf.DUMMYFUNCTION("""COMPUTED_VALUE"""),4)</f>
        <v>4</v>
      </c>
      <c r="R438" s="4">
        <f ca="1">IFERROR(__xludf.DUMMYFUNCTION("""COMPUTED_VALUE"""),5)</f>
        <v>5</v>
      </c>
      <c r="S438" s="4">
        <f ca="1">IFERROR(__xludf.DUMMYFUNCTION("""COMPUTED_VALUE"""),5)</f>
        <v>5</v>
      </c>
      <c r="T438" s="4">
        <f ca="1">IFERROR(__xludf.DUMMYFUNCTION("""COMPUTED_VALUE"""),5)</f>
        <v>5</v>
      </c>
      <c r="U438" s="4">
        <f ca="1">IFERROR(__xludf.DUMMYFUNCTION("""COMPUTED_VALUE"""),5)</f>
        <v>5</v>
      </c>
      <c r="V438" s="4">
        <f ca="1">IFERROR(__xludf.DUMMYFUNCTION("""COMPUTED_VALUE"""),5)</f>
        <v>5</v>
      </c>
      <c r="W438" s="4">
        <f ca="1">IFERROR(__xludf.DUMMYFUNCTION("""COMPUTED_VALUE"""),4)</f>
        <v>4</v>
      </c>
      <c r="X438" s="4">
        <f ca="1">IFERROR(__xludf.DUMMYFUNCTION("""COMPUTED_VALUE"""),4)</f>
        <v>4</v>
      </c>
      <c r="Y438" s="4">
        <f ca="1">IFERROR(__xludf.DUMMYFUNCTION("""COMPUTED_VALUE"""),4)</f>
        <v>4</v>
      </c>
      <c r="Z438" s="4">
        <f ca="1">IFERROR(__xludf.DUMMYFUNCTION("""COMPUTED_VALUE"""),4)</f>
        <v>4</v>
      </c>
      <c r="AA438" s="4">
        <f ca="1">IFERROR(__xludf.DUMMYFUNCTION("""COMPUTED_VALUE"""),4)</f>
        <v>4</v>
      </c>
      <c r="AB438" s="4">
        <f ca="1">IFERROR(__xludf.DUMMYFUNCTION("""COMPUTED_VALUE"""),4)</f>
        <v>4</v>
      </c>
      <c r="AC438" s="4">
        <f ca="1">IFERROR(__xludf.DUMMYFUNCTION("""COMPUTED_VALUE"""),3)</f>
        <v>3</v>
      </c>
      <c r="AD438" s="4">
        <f ca="1">IFERROR(__xludf.DUMMYFUNCTION("""COMPUTED_VALUE"""),3)</f>
        <v>3</v>
      </c>
      <c r="AE438" s="4">
        <f ca="1">IFERROR(__xludf.DUMMYFUNCTION("""COMPUTED_VALUE"""),5)</f>
        <v>5</v>
      </c>
      <c r="AF438" s="4">
        <f ca="1">IFERROR(__xludf.DUMMYFUNCTION("""COMPUTED_VALUE"""),4)</f>
        <v>4</v>
      </c>
      <c r="AG438" s="4">
        <f ca="1">IFERROR(__xludf.DUMMYFUNCTION("""COMPUTED_VALUE"""),4)</f>
        <v>4</v>
      </c>
      <c r="AH438" s="4">
        <f ca="1">IFERROR(__xludf.DUMMYFUNCTION("""COMPUTED_VALUE"""),4)</f>
        <v>4</v>
      </c>
      <c r="AI438" s="4">
        <f ca="1">IFERROR(__xludf.DUMMYFUNCTION("""COMPUTED_VALUE"""),4)</f>
        <v>4</v>
      </c>
      <c r="AJ438" s="4">
        <f ca="1">IFERROR(__xludf.DUMMYFUNCTION("""COMPUTED_VALUE"""),4)</f>
        <v>4</v>
      </c>
      <c r="AK438" s="4">
        <f ca="1">IFERROR(__xludf.DUMMYFUNCTION("""COMPUTED_VALUE"""),4)</f>
        <v>4</v>
      </c>
      <c r="AL438" s="4">
        <f ca="1">IFERROR(__xludf.DUMMYFUNCTION("""COMPUTED_VALUE"""),4)</f>
        <v>4</v>
      </c>
      <c r="AM438" s="4">
        <f ca="1">IFERROR(__xludf.DUMMYFUNCTION("""COMPUTED_VALUE"""),4)</f>
        <v>4</v>
      </c>
      <c r="AN438" s="4">
        <f ca="1">IFERROR(__xludf.DUMMYFUNCTION("""COMPUTED_VALUE"""),4)</f>
        <v>4</v>
      </c>
      <c r="AO438" s="4">
        <f ca="1">IFERROR(__xludf.DUMMYFUNCTION("""COMPUTED_VALUE"""),4)</f>
        <v>4</v>
      </c>
      <c r="AP438" s="4">
        <f ca="1">IFERROR(__xludf.DUMMYFUNCTION("""COMPUTED_VALUE"""),3)</f>
        <v>3</v>
      </c>
      <c r="AQ438" s="4">
        <f ca="1">IFERROR(__xludf.DUMMYFUNCTION("""COMPUTED_VALUE"""),4)</f>
        <v>4</v>
      </c>
      <c r="AR438" s="4">
        <f ca="1">IFERROR(__xludf.DUMMYFUNCTION("""COMPUTED_VALUE"""),4)</f>
        <v>4</v>
      </c>
      <c r="AS438" s="4">
        <f ca="1">IFERROR(__xludf.DUMMYFUNCTION("""COMPUTED_VALUE"""),4)</f>
        <v>4</v>
      </c>
      <c r="AT438" s="4">
        <f ca="1">IFERROR(__xludf.DUMMYFUNCTION("""COMPUTED_VALUE"""),4)</f>
        <v>4</v>
      </c>
      <c r="AU438" s="4">
        <f ca="1">IFERROR(__xludf.DUMMYFUNCTION("""COMPUTED_VALUE"""),4)</f>
        <v>4</v>
      </c>
      <c r="AV438" s="4">
        <f ca="1">IFERROR(__xludf.DUMMYFUNCTION("""COMPUTED_VALUE"""),4)</f>
        <v>4</v>
      </c>
      <c r="AW438" s="4">
        <f ca="1">IFERROR(__xludf.DUMMYFUNCTION("""COMPUTED_VALUE"""),4)</f>
        <v>4</v>
      </c>
      <c r="AX438" s="4">
        <f ca="1">IFERROR(__xludf.DUMMYFUNCTION("""COMPUTED_VALUE"""),4)</f>
        <v>4</v>
      </c>
      <c r="AY438" s="4">
        <f ca="1">IFERROR(__xludf.DUMMYFUNCTION("""COMPUTED_VALUE"""),4)</f>
        <v>4</v>
      </c>
      <c r="AZ438" s="4">
        <f ca="1">IFERROR(__xludf.DUMMYFUNCTION("""COMPUTED_VALUE"""),4)</f>
        <v>4</v>
      </c>
      <c r="BA438" s="4">
        <f ca="1">IFERROR(__xludf.DUMMYFUNCTION("""COMPUTED_VALUE"""),4)</f>
        <v>4</v>
      </c>
      <c r="BB438" s="4">
        <f ca="1">IFERROR(__xludf.DUMMYFUNCTION("""COMPUTED_VALUE"""),3)</f>
        <v>3</v>
      </c>
      <c r="BC438" s="4">
        <f ca="1">IFERROR(__xludf.DUMMYFUNCTION("""COMPUTED_VALUE"""),3)</f>
        <v>3</v>
      </c>
      <c r="BD438" s="4">
        <f ca="1">IFERROR(__xludf.DUMMYFUNCTION("""COMPUTED_VALUE"""),3)</f>
        <v>3</v>
      </c>
      <c r="BE438" s="4">
        <f ca="1">IFERROR(__xludf.DUMMYFUNCTION("""COMPUTED_VALUE"""),4)</f>
        <v>4</v>
      </c>
      <c r="BF438" s="4">
        <f ca="1">IFERROR(__xludf.DUMMYFUNCTION("""COMPUTED_VALUE"""),4)</f>
        <v>4</v>
      </c>
      <c r="BG438" s="4">
        <f ca="1">IFERROR(__xludf.DUMMYFUNCTION("""COMPUTED_VALUE"""),3)</f>
        <v>3</v>
      </c>
      <c r="BH438" s="4">
        <f ca="1">IFERROR(__xludf.DUMMYFUNCTION("""COMPUTED_VALUE"""),4)</f>
        <v>4</v>
      </c>
      <c r="BI438" s="4">
        <f ca="1">IFERROR(__xludf.DUMMYFUNCTION("""COMPUTED_VALUE"""),4)</f>
        <v>4</v>
      </c>
      <c r="BJ438" s="4">
        <f ca="1">IFERROR(__xludf.DUMMYFUNCTION("""COMPUTED_VALUE"""),4)</f>
        <v>4</v>
      </c>
      <c r="BK438" s="4">
        <f ca="1">IFERROR(__xludf.DUMMYFUNCTION("""COMPUTED_VALUE"""),4)</f>
        <v>4</v>
      </c>
      <c r="BL438" s="4">
        <f ca="1">IFERROR(__xludf.DUMMYFUNCTION("""COMPUTED_VALUE"""),4)</f>
        <v>4</v>
      </c>
      <c r="BM438" s="4">
        <f ca="1">IFERROR(__xludf.DUMMYFUNCTION("""COMPUTED_VALUE"""),4)</f>
        <v>4</v>
      </c>
      <c r="BN438" s="4">
        <f ca="1">IFERROR(__xludf.DUMMYFUNCTION("""COMPUTED_VALUE"""),4)</f>
        <v>4</v>
      </c>
      <c r="BO438" s="4">
        <f ca="1">IFERROR(__xludf.DUMMYFUNCTION("""COMPUTED_VALUE"""),4)</f>
        <v>4</v>
      </c>
      <c r="BP438" s="4">
        <f ca="1">IFERROR(__xludf.DUMMYFUNCTION("""COMPUTED_VALUE"""),4)</f>
        <v>4</v>
      </c>
    </row>
    <row r="439" spans="1:68" ht="13.2" x14ac:dyDescent="0.25">
      <c r="A439" s="4" t="str">
        <f ca="1">IFERROR(__xludf.DUMMYFUNCTION("""COMPUTED_VALUE"""),"2_ABaOnuf5wRqK6oC5rc0v2nm8LCxdQu1KZKxRApIIiH8EC8N54Ei76yQ8fHj4lNiPpg")</f>
        <v>2_ABaOnuf5wRqK6oC5rc0v2nm8LCxdQu1KZKxRApIIiH8EC8N54Ei76yQ8fHj4lNiPpg</v>
      </c>
      <c r="B439" s="5">
        <f ca="1">IFERROR(__xludf.DUMMYFUNCTION("""COMPUTED_VALUE"""),45991.4438199652)</f>
        <v>45991.4438199652</v>
      </c>
      <c r="C439" s="4" t="str">
        <f ca="1">IFERROR(__xludf.DUMMYFUNCTION("""COMPUTED_VALUE"""),"Trần Thị Xuân Nguyện ")</f>
        <v xml:space="preserve">Trần Thị Xuân Nguyện </v>
      </c>
      <c r="D439" s="4" t="str">
        <f ca="1">IFERROR(__xludf.DUMMYFUNCTION("""COMPUTED_VALUE"""),"Nữ")</f>
        <v>Nữ</v>
      </c>
      <c r="E439" s="4" t="str">
        <f ca="1">IFERROR(__xludf.DUMMYFUNCTION("""COMPUTED_VALUE"""),"Công ty kiểm toán CPA VIETNAM ")</f>
        <v xml:space="preserve">Công ty kiểm toán CPA VIETNAM </v>
      </c>
      <c r="F439" s="4" t="str">
        <f ca="1">IFERROR(__xludf.DUMMYFUNCTION("""COMPUTED_VALUE"""),"Đại học")</f>
        <v>Đại học</v>
      </c>
      <c r="G439" s="4" t="str">
        <f ca="1">IFERROR(__xludf.DUMMYFUNCTION("""COMPUTED_VALUE"""),"Từ 3 đến 5 năm")</f>
        <v>Từ 3 đến 5 năm</v>
      </c>
      <c r="H439" s="4" t="str">
        <f ca="1">IFERROR(__xludf.DUMMYFUNCTION("""COMPUTED_VALUE"""),"Trợ lý kiểm toán")</f>
        <v>Trợ lý kiểm toán</v>
      </c>
      <c r="I439" s="4">
        <f ca="1">IFERROR(__xludf.DUMMYFUNCTION("""COMPUTED_VALUE"""),5)</f>
        <v>5</v>
      </c>
      <c r="J439" s="4">
        <f ca="1">IFERROR(__xludf.DUMMYFUNCTION("""COMPUTED_VALUE"""),5)</f>
        <v>5</v>
      </c>
      <c r="K439" s="4">
        <f ca="1">IFERROR(__xludf.DUMMYFUNCTION("""COMPUTED_VALUE"""),5)</f>
        <v>5</v>
      </c>
      <c r="L439" s="4">
        <f ca="1">IFERROR(__xludf.DUMMYFUNCTION("""COMPUTED_VALUE"""),5)</f>
        <v>5</v>
      </c>
      <c r="M439" s="4">
        <f ca="1">IFERROR(__xludf.DUMMYFUNCTION("""COMPUTED_VALUE"""),5)</f>
        <v>5</v>
      </c>
      <c r="N439" s="4">
        <f ca="1">IFERROR(__xludf.DUMMYFUNCTION("""COMPUTED_VALUE"""),5)</f>
        <v>5</v>
      </c>
      <c r="O439" s="4">
        <f ca="1">IFERROR(__xludf.DUMMYFUNCTION("""COMPUTED_VALUE"""),5)</f>
        <v>5</v>
      </c>
      <c r="P439" s="4">
        <f ca="1">IFERROR(__xludf.DUMMYFUNCTION("""COMPUTED_VALUE"""),5)</f>
        <v>5</v>
      </c>
      <c r="Q439" s="4">
        <f ca="1">IFERROR(__xludf.DUMMYFUNCTION("""COMPUTED_VALUE"""),5)</f>
        <v>5</v>
      </c>
      <c r="R439" s="4">
        <f ca="1">IFERROR(__xludf.DUMMYFUNCTION("""COMPUTED_VALUE"""),5)</f>
        <v>5</v>
      </c>
      <c r="S439" s="4">
        <f ca="1">IFERROR(__xludf.DUMMYFUNCTION("""COMPUTED_VALUE"""),5)</f>
        <v>5</v>
      </c>
      <c r="T439" s="4">
        <f ca="1">IFERROR(__xludf.DUMMYFUNCTION("""COMPUTED_VALUE"""),5)</f>
        <v>5</v>
      </c>
      <c r="U439" s="4">
        <f ca="1">IFERROR(__xludf.DUMMYFUNCTION("""COMPUTED_VALUE"""),5)</f>
        <v>5</v>
      </c>
      <c r="V439" s="4">
        <f ca="1">IFERROR(__xludf.DUMMYFUNCTION("""COMPUTED_VALUE"""),5)</f>
        <v>5</v>
      </c>
      <c r="W439" s="4">
        <f ca="1">IFERROR(__xludf.DUMMYFUNCTION("""COMPUTED_VALUE"""),4)</f>
        <v>4</v>
      </c>
      <c r="X439" s="4">
        <f ca="1">IFERROR(__xludf.DUMMYFUNCTION("""COMPUTED_VALUE"""),4)</f>
        <v>4</v>
      </c>
      <c r="Y439" s="4">
        <f ca="1">IFERROR(__xludf.DUMMYFUNCTION("""COMPUTED_VALUE"""),5)</f>
        <v>5</v>
      </c>
      <c r="Z439" s="4">
        <f ca="1">IFERROR(__xludf.DUMMYFUNCTION("""COMPUTED_VALUE"""),5)</f>
        <v>5</v>
      </c>
      <c r="AA439" s="4">
        <f ca="1">IFERROR(__xludf.DUMMYFUNCTION("""COMPUTED_VALUE"""),5)</f>
        <v>5</v>
      </c>
      <c r="AB439" s="4">
        <f ca="1">IFERROR(__xludf.DUMMYFUNCTION("""COMPUTED_VALUE"""),5)</f>
        <v>5</v>
      </c>
      <c r="AC439" s="4">
        <f ca="1">IFERROR(__xludf.DUMMYFUNCTION("""COMPUTED_VALUE"""),5)</f>
        <v>5</v>
      </c>
      <c r="AD439" s="4">
        <f ca="1">IFERROR(__xludf.DUMMYFUNCTION("""COMPUTED_VALUE"""),5)</f>
        <v>5</v>
      </c>
      <c r="AE439" s="4">
        <f ca="1">IFERROR(__xludf.DUMMYFUNCTION("""COMPUTED_VALUE"""),5)</f>
        <v>5</v>
      </c>
      <c r="AF439" s="4">
        <f ca="1">IFERROR(__xludf.DUMMYFUNCTION("""COMPUTED_VALUE"""),5)</f>
        <v>5</v>
      </c>
      <c r="AG439" s="4">
        <f ca="1">IFERROR(__xludf.DUMMYFUNCTION("""COMPUTED_VALUE"""),5)</f>
        <v>5</v>
      </c>
      <c r="AH439" s="4">
        <f ca="1">IFERROR(__xludf.DUMMYFUNCTION("""COMPUTED_VALUE"""),4)</f>
        <v>4</v>
      </c>
      <c r="AI439" s="4">
        <f ca="1">IFERROR(__xludf.DUMMYFUNCTION("""COMPUTED_VALUE"""),4)</f>
        <v>4</v>
      </c>
      <c r="AJ439" s="4">
        <f ca="1">IFERROR(__xludf.DUMMYFUNCTION("""COMPUTED_VALUE"""),4)</f>
        <v>4</v>
      </c>
      <c r="AK439" s="4">
        <f ca="1">IFERROR(__xludf.DUMMYFUNCTION("""COMPUTED_VALUE"""),5)</f>
        <v>5</v>
      </c>
      <c r="AL439" s="4">
        <f ca="1">IFERROR(__xludf.DUMMYFUNCTION("""COMPUTED_VALUE"""),5)</f>
        <v>5</v>
      </c>
      <c r="AM439" s="4">
        <f ca="1">IFERROR(__xludf.DUMMYFUNCTION("""COMPUTED_VALUE"""),4)</f>
        <v>4</v>
      </c>
      <c r="AN439" s="4">
        <f ca="1">IFERROR(__xludf.DUMMYFUNCTION("""COMPUTED_VALUE"""),4)</f>
        <v>4</v>
      </c>
      <c r="AO439" s="4">
        <f ca="1">IFERROR(__xludf.DUMMYFUNCTION("""COMPUTED_VALUE"""),5)</f>
        <v>5</v>
      </c>
      <c r="AP439" s="4">
        <f ca="1">IFERROR(__xludf.DUMMYFUNCTION("""COMPUTED_VALUE"""),5)</f>
        <v>5</v>
      </c>
      <c r="AQ439" s="4">
        <f ca="1">IFERROR(__xludf.DUMMYFUNCTION("""COMPUTED_VALUE"""),5)</f>
        <v>5</v>
      </c>
      <c r="AR439" s="4">
        <f ca="1">IFERROR(__xludf.DUMMYFUNCTION("""COMPUTED_VALUE"""),5)</f>
        <v>5</v>
      </c>
      <c r="AS439" s="4">
        <f ca="1">IFERROR(__xludf.DUMMYFUNCTION("""COMPUTED_VALUE"""),5)</f>
        <v>5</v>
      </c>
      <c r="AT439" s="4">
        <f ca="1">IFERROR(__xludf.DUMMYFUNCTION("""COMPUTED_VALUE"""),4)</f>
        <v>4</v>
      </c>
      <c r="AU439" s="4">
        <f ca="1">IFERROR(__xludf.DUMMYFUNCTION("""COMPUTED_VALUE"""),5)</f>
        <v>5</v>
      </c>
      <c r="AV439" s="4">
        <f ca="1">IFERROR(__xludf.DUMMYFUNCTION("""COMPUTED_VALUE"""),5)</f>
        <v>5</v>
      </c>
      <c r="AW439" s="4">
        <f ca="1">IFERROR(__xludf.DUMMYFUNCTION("""COMPUTED_VALUE"""),5)</f>
        <v>5</v>
      </c>
      <c r="AX439" s="4">
        <f ca="1">IFERROR(__xludf.DUMMYFUNCTION("""COMPUTED_VALUE"""),5)</f>
        <v>5</v>
      </c>
      <c r="AY439" s="4">
        <f ca="1">IFERROR(__xludf.DUMMYFUNCTION("""COMPUTED_VALUE"""),5)</f>
        <v>5</v>
      </c>
      <c r="AZ439" s="4">
        <f ca="1">IFERROR(__xludf.DUMMYFUNCTION("""COMPUTED_VALUE"""),5)</f>
        <v>5</v>
      </c>
      <c r="BA439" s="4">
        <f ca="1">IFERROR(__xludf.DUMMYFUNCTION("""COMPUTED_VALUE"""),5)</f>
        <v>5</v>
      </c>
      <c r="BB439" s="4">
        <f ca="1">IFERROR(__xludf.DUMMYFUNCTION("""COMPUTED_VALUE"""),5)</f>
        <v>5</v>
      </c>
      <c r="BC439" s="4">
        <f ca="1">IFERROR(__xludf.DUMMYFUNCTION("""COMPUTED_VALUE"""),5)</f>
        <v>5</v>
      </c>
      <c r="BD439" s="4">
        <f ca="1">IFERROR(__xludf.DUMMYFUNCTION("""COMPUTED_VALUE"""),5)</f>
        <v>5</v>
      </c>
      <c r="BE439" s="4">
        <f ca="1">IFERROR(__xludf.DUMMYFUNCTION("""COMPUTED_VALUE"""),5)</f>
        <v>5</v>
      </c>
      <c r="BF439" s="4">
        <f ca="1">IFERROR(__xludf.DUMMYFUNCTION("""COMPUTED_VALUE"""),5)</f>
        <v>5</v>
      </c>
      <c r="BG439" s="4">
        <f ca="1">IFERROR(__xludf.DUMMYFUNCTION("""COMPUTED_VALUE"""),5)</f>
        <v>5</v>
      </c>
      <c r="BH439" s="4">
        <f ca="1">IFERROR(__xludf.DUMMYFUNCTION("""COMPUTED_VALUE"""),5)</f>
        <v>5</v>
      </c>
      <c r="BI439" s="4">
        <f ca="1">IFERROR(__xludf.DUMMYFUNCTION("""COMPUTED_VALUE"""),5)</f>
        <v>5</v>
      </c>
      <c r="BJ439" s="4">
        <f ca="1">IFERROR(__xludf.DUMMYFUNCTION("""COMPUTED_VALUE"""),5)</f>
        <v>5</v>
      </c>
      <c r="BK439" s="4">
        <f ca="1">IFERROR(__xludf.DUMMYFUNCTION("""COMPUTED_VALUE"""),5)</f>
        <v>5</v>
      </c>
      <c r="BL439" s="4">
        <f ca="1">IFERROR(__xludf.DUMMYFUNCTION("""COMPUTED_VALUE"""),5)</f>
        <v>5</v>
      </c>
      <c r="BM439" s="4">
        <f ca="1">IFERROR(__xludf.DUMMYFUNCTION("""COMPUTED_VALUE"""),5)</f>
        <v>5</v>
      </c>
      <c r="BN439" s="4">
        <f ca="1">IFERROR(__xludf.DUMMYFUNCTION("""COMPUTED_VALUE"""),5)</f>
        <v>5</v>
      </c>
      <c r="BO439" s="4">
        <f ca="1">IFERROR(__xludf.DUMMYFUNCTION("""COMPUTED_VALUE"""),5)</f>
        <v>5</v>
      </c>
      <c r="BP439" s="4">
        <f ca="1">IFERROR(__xludf.DUMMYFUNCTION("""COMPUTED_VALUE"""),5)</f>
        <v>5</v>
      </c>
    </row>
    <row r="440" spans="1:68" ht="13.2" x14ac:dyDescent="0.25">
      <c r="A440" s="4" t="str">
        <f ca="1">IFERROR(__xludf.DUMMYFUNCTION("""COMPUTED_VALUE"""),"2_ABaOnucYh3l8pE1C--7rOk3I965tSC6rNOpFN1mv-lc1Q0rID4synoj2Lh3CqEujHA")</f>
        <v>2_ABaOnucYh3l8pE1C--7rOk3I965tSC6rNOpFN1mv-lc1Q0rID4synoj2Lh3CqEujHA</v>
      </c>
      <c r="B440" s="5">
        <f ca="1">IFERROR(__xludf.DUMMYFUNCTION("""COMPUTED_VALUE"""),45992.39140478)</f>
        <v>45992.391404779999</v>
      </c>
      <c r="C440" s="4" t="str">
        <f ca="1">IFERROR(__xludf.DUMMYFUNCTION("""COMPUTED_VALUE"""),"Lan Khuê")</f>
        <v>Lan Khuê</v>
      </c>
      <c r="D440" s="4" t="str">
        <f ca="1">IFERROR(__xludf.DUMMYFUNCTION("""COMPUTED_VALUE"""),"Nữ")</f>
        <v>Nữ</v>
      </c>
      <c r="E440" s="4" t="str">
        <f ca="1">IFERROR(__xludf.DUMMYFUNCTION("""COMPUTED_VALUE"""),"Công ty Kiểm toán CPA VIETNAM ")</f>
        <v xml:space="preserve">Công ty Kiểm toán CPA VIETNAM </v>
      </c>
      <c r="F440" s="4" t="str">
        <f ca="1">IFERROR(__xludf.DUMMYFUNCTION("""COMPUTED_VALUE"""),"Đại học")</f>
        <v>Đại học</v>
      </c>
      <c r="G440" s="4" t="str">
        <f ca="1">IFERROR(__xludf.DUMMYFUNCTION("""COMPUTED_VALUE"""),"Từ 3 đến 5 năm")</f>
        <v>Từ 3 đến 5 năm</v>
      </c>
      <c r="H440" s="4" t="str">
        <f ca="1">IFERROR(__xludf.DUMMYFUNCTION("""COMPUTED_VALUE"""),"Trợ lý kiểm toán")</f>
        <v>Trợ lý kiểm toán</v>
      </c>
      <c r="I440" s="4">
        <f ca="1">IFERROR(__xludf.DUMMYFUNCTION("""COMPUTED_VALUE"""),1)</f>
        <v>1</v>
      </c>
      <c r="J440" s="4">
        <f ca="1">IFERROR(__xludf.DUMMYFUNCTION("""COMPUTED_VALUE"""),1)</f>
        <v>1</v>
      </c>
      <c r="K440" s="4">
        <f ca="1">IFERROR(__xludf.DUMMYFUNCTION("""COMPUTED_VALUE"""),1)</f>
        <v>1</v>
      </c>
      <c r="L440" s="4">
        <f ca="1">IFERROR(__xludf.DUMMYFUNCTION("""COMPUTED_VALUE"""),1)</f>
        <v>1</v>
      </c>
      <c r="M440" s="4">
        <f ca="1">IFERROR(__xludf.DUMMYFUNCTION("""COMPUTED_VALUE"""),1)</f>
        <v>1</v>
      </c>
      <c r="N440" s="4">
        <f ca="1">IFERROR(__xludf.DUMMYFUNCTION("""COMPUTED_VALUE"""),1)</f>
        <v>1</v>
      </c>
      <c r="O440" s="4">
        <f ca="1">IFERROR(__xludf.DUMMYFUNCTION("""COMPUTED_VALUE"""),1)</f>
        <v>1</v>
      </c>
      <c r="P440" s="4">
        <f ca="1">IFERROR(__xludf.DUMMYFUNCTION("""COMPUTED_VALUE"""),1)</f>
        <v>1</v>
      </c>
      <c r="Q440" s="4">
        <f ca="1">IFERROR(__xludf.DUMMYFUNCTION("""COMPUTED_VALUE"""),1)</f>
        <v>1</v>
      </c>
      <c r="R440" s="4">
        <f ca="1">IFERROR(__xludf.DUMMYFUNCTION("""COMPUTED_VALUE"""),1)</f>
        <v>1</v>
      </c>
      <c r="S440" s="4">
        <f ca="1">IFERROR(__xludf.DUMMYFUNCTION("""COMPUTED_VALUE"""),1)</f>
        <v>1</v>
      </c>
      <c r="T440" s="4">
        <f ca="1">IFERROR(__xludf.DUMMYFUNCTION("""COMPUTED_VALUE"""),1)</f>
        <v>1</v>
      </c>
      <c r="U440" s="4">
        <f ca="1">IFERROR(__xludf.DUMMYFUNCTION("""COMPUTED_VALUE"""),1)</f>
        <v>1</v>
      </c>
      <c r="V440" s="4">
        <f ca="1">IFERROR(__xludf.DUMMYFUNCTION("""COMPUTED_VALUE"""),1)</f>
        <v>1</v>
      </c>
      <c r="W440" s="4">
        <f ca="1">IFERROR(__xludf.DUMMYFUNCTION("""COMPUTED_VALUE"""),1)</f>
        <v>1</v>
      </c>
      <c r="X440" s="4">
        <f ca="1">IFERROR(__xludf.DUMMYFUNCTION("""COMPUTED_VALUE"""),1)</f>
        <v>1</v>
      </c>
      <c r="Y440" s="4">
        <f ca="1">IFERROR(__xludf.DUMMYFUNCTION("""COMPUTED_VALUE"""),1)</f>
        <v>1</v>
      </c>
      <c r="Z440" s="4">
        <f ca="1">IFERROR(__xludf.DUMMYFUNCTION("""COMPUTED_VALUE"""),1)</f>
        <v>1</v>
      </c>
      <c r="AA440" s="4">
        <f ca="1">IFERROR(__xludf.DUMMYFUNCTION("""COMPUTED_VALUE"""),1)</f>
        <v>1</v>
      </c>
      <c r="AB440" s="4">
        <f ca="1">IFERROR(__xludf.DUMMYFUNCTION("""COMPUTED_VALUE"""),1)</f>
        <v>1</v>
      </c>
      <c r="AC440" s="4">
        <f ca="1">IFERROR(__xludf.DUMMYFUNCTION("""COMPUTED_VALUE"""),1)</f>
        <v>1</v>
      </c>
      <c r="AD440" s="4">
        <f ca="1">IFERROR(__xludf.DUMMYFUNCTION("""COMPUTED_VALUE"""),1)</f>
        <v>1</v>
      </c>
      <c r="AE440" s="4">
        <f ca="1">IFERROR(__xludf.DUMMYFUNCTION("""COMPUTED_VALUE"""),1)</f>
        <v>1</v>
      </c>
      <c r="AF440" s="4">
        <f ca="1">IFERROR(__xludf.DUMMYFUNCTION("""COMPUTED_VALUE"""),1)</f>
        <v>1</v>
      </c>
      <c r="AG440" s="4">
        <f ca="1">IFERROR(__xludf.DUMMYFUNCTION("""COMPUTED_VALUE"""),1)</f>
        <v>1</v>
      </c>
      <c r="AH440" s="4">
        <f ca="1">IFERROR(__xludf.DUMMYFUNCTION("""COMPUTED_VALUE"""),1)</f>
        <v>1</v>
      </c>
      <c r="AI440" s="4">
        <f ca="1">IFERROR(__xludf.DUMMYFUNCTION("""COMPUTED_VALUE"""),1)</f>
        <v>1</v>
      </c>
      <c r="AJ440" s="4">
        <f ca="1">IFERROR(__xludf.DUMMYFUNCTION("""COMPUTED_VALUE"""),1)</f>
        <v>1</v>
      </c>
      <c r="AK440" s="4">
        <f ca="1">IFERROR(__xludf.DUMMYFUNCTION("""COMPUTED_VALUE"""),1)</f>
        <v>1</v>
      </c>
      <c r="AL440" s="4">
        <f ca="1">IFERROR(__xludf.DUMMYFUNCTION("""COMPUTED_VALUE"""),1)</f>
        <v>1</v>
      </c>
      <c r="AM440" s="4">
        <f ca="1">IFERROR(__xludf.DUMMYFUNCTION("""COMPUTED_VALUE"""),1)</f>
        <v>1</v>
      </c>
      <c r="AN440" s="4">
        <f ca="1">IFERROR(__xludf.DUMMYFUNCTION("""COMPUTED_VALUE"""),1)</f>
        <v>1</v>
      </c>
      <c r="AO440" s="4">
        <f ca="1">IFERROR(__xludf.DUMMYFUNCTION("""COMPUTED_VALUE"""),1)</f>
        <v>1</v>
      </c>
      <c r="AP440" s="4">
        <f ca="1">IFERROR(__xludf.DUMMYFUNCTION("""COMPUTED_VALUE"""),1)</f>
        <v>1</v>
      </c>
      <c r="AQ440" s="4">
        <f ca="1">IFERROR(__xludf.DUMMYFUNCTION("""COMPUTED_VALUE"""),1)</f>
        <v>1</v>
      </c>
      <c r="AR440" s="4">
        <f ca="1">IFERROR(__xludf.DUMMYFUNCTION("""COMPUTED_VALUE"""),1)</f>
        <v>1</v>
      </c>
      <c r="AS440" s="4">
        <f ca="1">IFERROR(__xludf.DUMMYFUNCTION("""COMPUTED_VALUE"""),1)</f>
        <v>1</v>
      </c>
      <c r="AT440" s="4">
        <f ca="1">IFERROR(__xludf.DUMMYFUNCTION("""COMPUTED_VALUE"""),1)</f>
        <v>1</v>
      </c>
      <c r="AU440" s="4">
        <f ca="1">IFERROR(__xludf.DUMMYFUNCTION("""COMPUTED_VALUE"""),1)</f>
        <v>1</v>
      </c>
      <c r="AV440" s="4">
        <f ca="1">IFERROR(__xludf.DUMMYFUNCTION("""COMPUTED_VALUE"""),1)</f>
        <v>1</v>
      </c>
      <c r="AW440" s="4">
        <f ca="1">IFERROR(__xludf.DUMMYFUNCTION("""COMPUTED_VALUE"""),1)</f>
        <v>1</v>
      </c>
      <c r="AX440" s="4">
        <f ca="1">IFERROR(__xludf.DUMMYFUNCTION("""COMPUTED_VALUE"""),1)</f>
        <v>1</v>
      </c>
      <c r="AY440" s="4">
        <f ca="1">IFERROR(__xludf.DUMMYFUNCTION("""COMPUTED_VALUE"""),1)</f>
        <v>1</v>
      </c>
      <c r="AZ440" s="4">
        <f ca="1">IFERROR(__xludf.DUMMYFUNCTION("""COMPUTED_VALUE"""),1)</f>
        <v>1</v>
      </c>
      <c r="BA440" s="4">
        <f ca="1">IFERROR(__xludf.DUMMYFUNCTION("""COMPUTED_VALUE"""),1)</f>
        <v>1</v>
      </c>
      <c r="BB440" s="4">
        <f ca="1">IFERROR(__xludf.DUMMYFUNCTION("""COMPUTED_VALUE"""),1)</f>
        <v>1</v>
      </c>
      <c r="BC440" s="4">
        <f ca="1">IFERROR(__xludf.DUMMYFUNCTION("""COMPUTED_VALUE"""),1)</f>
        <v>1</v>
      </c>
      <c r="BD440" s="4">
        <f ca="1">IFERROR(__xludf.DUMMYFUNCTION("""COMPUTED_VALUE"""),1)</f>
        <v>1</v>
      </c>
      <c r="BE440" s="4">
        <f ca="1">IFERROR(__xludf.DUMMYFUNCTION("""COMPUTED_VALUE"""),1)</f>
        <v>1</v>
      </c>
      <c r="BF440" s="4">
        <f ca="1">IFERROR(__xludf.DUMMYFUNCTION("""COMPUTED_VALUE"""),1)</f>
        <v>1</v>
      </c>
      <c r="BG440" s="4">
        <f ca="1">IFERROR(__xludf.DUMMYFUNCTION("""COMPUTED_VALUE"""),1)</f>
        <v>1</v>
      </c>
      <c r="BH440" s="4">
        <f ca="1">IFERROR(__xludf.DUMMYFUNCTION("""COMPUTED_VALUE"""),1)</f>
        <v>1</v>
      </c>
      <c r="BI440" s="4">
        <f ca="1">IFERROR(__xludf.DUMMYFUNCTION("""COMPUTED_VALUE"""),1)</f>
        <v>1</v>
      </c>
      <c r="BJ440" s="4">
        <f ca="1">IFERROR(__xludf.DUMMYFUNCTION("""COMPUTED_VALUE"""),1)</f>
        <v>1</v>
      </c>
      <c r="BK440" s="4">
        <f ca="1">IFERROR(__xludf.DUMMYFUNCTION("""COMPUTED_VALUE"""),1)</f>
        <v>1</v>
      </c>
      <c r="BL440" s="4">
        <f ca="1">IFERROR(__xludf.DUMMYFUNCTION("""COMPUTED_VALUE"""),1)</f>
        <v>1</v>
      </c>
      <c r="BM440" s="4">
        <f ca="1">IFERROR(__xludf.DUMMYFUNCTION("""COMPUTED_VALUE"""),1)</f>
        <v>1</v>
      </c>
      <c r="BN440" s="4">
        <f ca="1">IFERROR(__xludf.DUMMYFUNCTION("""COMPUTED_VALUE"""),1)</f>
        <v>1</v>
      </c>
      <c r="BO440" s="4">
        <f ca="1">IFERROR(__xludf.DUMMYFUNCTION("""COMPUTED_VALUE"""),1)</f>
        <v>1</v>
      </c>
      <c r="BP440" s="4">
        <f ca="1">IFERROR(__xludf.DUMMYFUNCTION("""COMPUTED_VALUE"""),1)</f>
        <v>1</v>
      </c>
    </row>
    <row r="441" spans="1:68" ht="13.2" x14ac:dyDescent="0.25">
      <c r="A441" s="4" t="str">
        <f ca="1">IFERROR(__xludf.DUMMYFUNCTION("""COMPUTED_VALUE"""),"2_ABaOnudn-HrR9yQBjYdZl4hFIu0M66LZDgEATxaZMOieMj9_bxtrvKoL-Mf53J9E3A")</f>
        <v>2_ABaOnudn-HrR9yQBjYdZl4hFIu0M66LZDgEATxaZMOieMj9_bxtrvKoL-Mf53J9E3A</v>
      </c>
      <c r="B441" s="5">
        <f ca="1">IFERROR(__xludf.DUMMYFUNCTION("""COMPUTED_VALUE"""),45992.3992663541)</f>
        <v>45992.399266354099</v>
      </c>
      <c r="C441" s="4" t="str">
        <f ca="1">IFERROR(__xludf.DUMMYFUNCTION("""COMPUTED_VALUE"""),"Phạm Nguyễn Thảo Uyên")</f>
        <v>Phạm Nguyễn Thảo Uyên</v>
      </c>
      <c r="D441" s="4" t="str">
        <f ca="1">IFERROR(__xludf.DUMMYFUNCTION("""COMPUTED_VALUE"""),"Nữ")</f>
        <v>Nữ</v>
      </c>
      <c r="E441" s="4" t="str">
        <f ca="1">IFERROR(__xludf.DUMMYFUNCTION("""COMPUTED_VALUE"""),"Công ty TNHH Kiểm toán CPA VIETNAM")</f>
        <v>Công ty TNHH Kiểm toán CPA VIETNAM</v>
      </c>
      <c r="F441" s="4" t="str">
        <f ca="1">IFERROR(__xludf.DUMMYFUNCTION("""COMPUTED_VALUE"""),"Đại học")</f>
        <v>Đại học</v>
      </c>
      <c r="G441" s="4" t="str">
        <f ca="1">IFERROR(__xludf.DUMMYFUNCTION("""COMPUTED_VALUE"""),"Từ 3 đến 5 năm")</f>
        <v>Từ 3 đến 5 năm</v>
      </c>
      <c r="H441" s="4" t="str">
        <f ca="1">IFERROR(__xludf.DUMMYFUNCTION("""COMPUTED_VALUE"""),"Trợ lý kiểm toán")</f>
        <v>Trợ lý kiểm toán</v>
      </c>
      <c r="I441" s="4">
        <f ca="1">IFERROR(__xludf.DUMMYFUNCTION("""COMPUTED_VALUE"""),5)</f>
        <v>5</v>
      </c>
      <c r="J441" s="4">
        <f ca="1">IFERROR(__xludf.DUMMYFUNCTION("""COMPUTED_VALUE"""),4)</f>
        <v>4</v>
      </c>
      <c r="K441" s="4">
        <f ca="1">IFERROR(__xludf.DUMMYFUNCTION("""COMPUTED_VALUE"""),5)</f>
        <v>5</v>
      </c>
      <c r="L441" s="4">
        <f ca="1">IFERROR(__xludf.DUMMYFUNCTION("""COMPUTED_VALUE"""),4)</f>
        <v>4</v>
      </c>
      <c r="M441" s="4">
        <f ca="1">IFERROR(__xludf.DUMMYFUNCTION("""COMPUTED_VALUE"""),4)</f>
        <v>4</v>
      </c>
      <c r="N441" s="4">
        <f ca="1">IFERROR(__xludf.DUMMYFUNCTION("""COMPUTED_VALUE"""),4)</f>
        <v>4</v>
      </c>
      <c r="O441" s="4">
        <f ca="1">IFERROR(__xludf.DUMMYFUNCTION("""COMPUTED_VALUE"""),4)</f>
        <v>4</v>
      </c>
      <c r="P441" s="4">
        <f ca="1">IFERROR(__xludf.DUMMYFUNCTION("""COMPUTED_VALUE"""),5)</f>
        <v>5</v>
      </c>
      <c r="Q441" s="4">
        <f ca="1">IFERROR(__xludf.DUMMYFUNCTION("""COMPUTED_VALUE"""),5)</f>
        <v>5</v>
      </c>
      <c r="R441" s="4">
        <f ca="1">IFERROR(__xludf.DUMMYFUNCTION("""COMPUTED_VALUE"""),4)</f>
        <v>4</v>
      </c>
      <c r="S441" s="4">
        <f ca="1">IFERROR(__xludf.DUMMYFUNCTION("""COMPUTED_VALUE"""),4)</f>
        <v>4</v>
      </c>
      <c r="T441" s="4">
        <f ca="1">IFERROR(__xludf.DUMMYFUNCTION("""COMPUTED_VALUE"""),5)</f>
        <v>5</v>
      </c>
      <c r="U441" s="4">
        <f ca="1">IFERROR(__xludf.DUMMYFUNCTION("""COMPUTED_VALUE"""),4)</f>
        <v>4</v>
      </c>
      <c r="V441" s="4">
        <f ca="1">IFERROR(__xludf.DUMMYFUNCTION("""COMPUTED_VALUE"""),5)</f>
        <v>5</v>
      </c>
      <c r="W441" s="4">
        <f ca="1">IFERROR(__xludf.DUMMYFUNCTION("""COMPUTED_VALUE"""),4)</f>
        <v>4</v>
      </c>
      <c r="X441" s="4">
        <f ca="1">IFERROR(__xludf.DUMMYFUNCTION("""COMPUTED_VALUE"""),5)</f>
        <v>5</v>
      </c>
      <c r="Y441" s="4">
        <f ca="1">IFERROR(__xludf.DUMMYFUNCTION("""COMPUTED_VALUE"""),4)</f>
        <v>4</v>
      </c>
      <c r="Z441" s="4">
        <f ca="1">IFERROR(__xludf.DUMMYFUNCTION("""COMPUTED_VALUE"""),5)</f>
        <v>5</v>
      </c>
      <c r="AA441" s="4">
        <f ca="1">IFERROR(__xludf.DUMMYFUNCTION("""COMPUTED_VALUE"""),4)</f>
        <v>4</v>
      </c>
      <c r="AB441" s="4">
        <f ca="1">IFERROR(__xludf.DUMMYFUNCTION("""COMPUTED_VALUE"""),5)</f>
        <v>5</v>
      </c>
      <c r="AC441" s="4">
        <f ca="1">IFERROR(__xludf.DUMMYFUNCTION("""COMPUTED_VALUE"""),4)</f>
        <v>4</v>
      </c>
      <c r="AD441" s="4">
        <f ca="1">IFERROR(__xludf.DUMMYFUNCTION("""COMPUTED_VALUE"""),4)</f>
        <v>4</v>
      </c>
      <c r="AE441" s="4">
        <f ca="1">IFERROR(__xludf.DUMMYFUNCTION("""COMPUTED_VALUE"""),5)</f>
        <v>5</v>
      </c>
      <c r="AF441" s="4">
        <f ca="1">IFERROR(__xludf.DUMMYFUNCTION("""COMPUTED_VALUE"""),4)</f>
        <v>4</v>
      </c>
      <c r="AG441" s="4">
        <f ca="1">IFERROR(__xludf.DUMMYFUNCTION("""COMPUTED_VALUE"""),4)</f>
        <v>4</v>
      </c>
      <c r="AH441" s="4">
        <f ca="1">IFERROR(__xludf.DUMMYFUNCTION("""COMPUTED_VALUE"""),4)</f>
        <v>4</v>
      </c>
      <c r="AI441" s="4">
        <f ca="1">IFERROR(__xludf.DUMMYFUNCTION("""COMPUTED_VALUE"""),4)</f>
        <v>4</v>
      </c>
      <c r="AJ441" s="4">
        <f ca="1">IFERROR(__xludf.DUMMYFUNCTION("""COMPUTED_VALUE"""),4)</f>
        <v>4</v>
      </c>
      <c r="AK441" s="4">
        <f ca="1">IFERROR(__xludf.DUMMYFUNCTION("""COMPUTED_VALUE"""),5)</f>
        <v>5</v>
      </c>
      <c r="AL441" s="4">
        <f ca="1">IFERROR(__xludf.DUMMYFUNCTION("""COMPUTED_VALUE"""),5)</f>
        <v>5</v>
      </c>
      <c r="AM441" s="4">
        <f ca="1">IFERROR(__xludf.DUMMYFUNCTION("""COMPUTED_VALUE"""),4)</f>
        <v>4</v>
      </c>
      <c r="AN441" s="4">
        <f ca="1">IFERROR(__xludf.DUMMYFUNCTION("""COMPUTED_VALUE"""),4)</f>
        <v>4</v>
      </c>
      <c r="AO441" s="4">
        <f ca="1">IFERROR(__xludf.DUMMYFUNCTION("""COMPUTED_VALUE"""),4)</f>
        <v>4</v>
      </c>
      <c r="AP441" s="4">
        <f ca="1">IFERROR(__xludf.DUMMYFUNCTION("""COMPUTED_VALUE"""),4)</f>
        <v>4</v>
      </c>
      <c r="AQ441" s="4">
        <f ca="1">IFERROR(__xludf.DUMMYFUNCTION("""COMPUTED_VALUE"""),4)</f>
        <v>4</v>
      </c>
      <c r="AR441" s="4">
        <f ca="1">IFERROR(__xludf.DUMMYFUNCTION("""COMPUTED_VALUE"""),3)</f>
        <v>3</v>
      </c>
      <c r="AS441" s="4">
        <f ca="1">IFERROR(__xludf.DUMMYFUNCTION("""COMPUTED_VALUE"""),4)</f>
        <v>4</v>
      </c>
      <c r="AT441" s="4">
        <f ca="1">IFERROR(__xludf.DUMMYFUNCTION("""COMPUTED_VALUE"""),4)</f>
        <v>4</v>
      </c>
      <c r="AU441" s="4">
        <f ca="1">IFERROR(__xludf.DUMMYFUNCTION("""COMPUTED_VALUE"""),4)</f>
        <v>4</v>
      </c>
      <c r="AV441" s="4">
        <f ca="1">IFERROR(__xludf.DUMMYFUNCTION("""COMPUTED_VALUE"""),3)</f>
        <v>3</v>
      </c>
      <c r="AW441" s="4">
        <f ca="1">IFERROR(__xludf.DUMMYFUNCTION("""COMPUTED_VALUE"""),4)</f>
        <v>4</v>
      </c>
      <c r="AX441" s="4">
        <f ca="1">IFERROR(__xludf.DUMMYFUNCTION("""COMPUTED_VALUE"""),5)</f>
        <v>5</v>
      </c>
      <c r="AY441" s="4">
        <f ca="1">IFERROR(__xludf.DUMMYFUNCTION("""COMPUTED_VALUE"""),5)</f>
        <v>5</v>
      </c>
      <c r="AZ441" s="4">
        <f ca="1">IFERROR(__xludf.DUMMYFUNCTION("""COMPUTED_VALUE"""),5)</f>
        <v>5</v>
      </c>
      <c r="BA441" s="4">
        <f ca="1">IFERROR(__xludf.DUMMYFUNCTION("""COMPUTED_VALUE"""),5)</f>
        <v>5</v>
      </c>
      <c r="BB441" s="4">
        <f ca="1">IFERROR(__xludf.DUMMYFUNCTION("""COMPUTED_VALUE"""),5)</f>
        <v>5</v>
      </c>
      <c r="BC441" s="4">
        <f ca="1">IFERROR(__xludf.DUMMYFUNCTION("""COMPUTED_VALUE"""),4)</f>
        <v>4</v>
      </c>
      <c r="BD441" s="4">
        <f ca="1">IFERROR(__xludf.DUMMYFUNCTION("""COMPUTED_VALUE"""),4)</f>
        <v>4</v>
      </c>
      <c r="BE441" s="4">
        <f ca="1">IFERROR(__xludf.DUMMYFUNCTION("""COMPUTED_VALUE"""),4)</f>
        <v>4</v>
      </c>
      <c r="BF441" s="4">
        <f ca="1">IFERROR(__xludf.DUMMYFUNCTION("""COMPUTED_VALUE"""),3)</f>
        <v>3</v>
      </c>
      <c r="BG441" s="4">
        <f ca="1">IFERROR(__xludf.DUMMYFUNCTION("""COMPUTED_VALUE"""),3)</f>
        <v>3</v>
      </c>
      <c r="BH441" s="4">
        <f ca="1">IFERROR(__xludf.DUMMYFUNCTION("""COMPUTED_VALUE"""),4)</f>
        <v>4</v>
      </c>
      <c r="BI441" s="4">
        <f ca="1">IFERROR(__xludf.DUMMYFUNCTION("""COMPUTED_VALUE"""),5)</f>
        <v>5</v>
      </c>
      <c r="BJ441" s="4">
        <f ca="1">IFERROR(__xludf.DUMMYFUNCTION("""COMPUTED_VALUE"""),4)</f>
        <v>4</v>
      </c>
      <c r="BK441" s="4">
        <f ca="1">IFERROR(__xludf.DUMMYFUNCTION("""COMPUTED_VALUE"""),4)</f>
        <v>4</v>
      </c>
      <c r="BL441" s="4">
        <f ca="1">IFERROR(__xludf.DUMMYFUNCTION("""COMPUTED_VALUE"""),5)</f>
        <v>5</v>
      </c>
      <c r="BM441" s="4">
        <f ca="1">IFERROR(__xludf.DUMMYFUNCTION("""COMPUTED_VALUE"""),5)</f>
        <v>5</v>
      </c>
      <c r="BN441" s="4">
        <f ca="1">IFERROR(__xludf.DUMMYFUNCTION("""COMPUTED_VALUE"""),5)</f>
        <v>5</v>
      </c>
      <c r="BO441" s="4">
        <f ca="1">IFERROR(__xludf.DUMMYFUNCTION("""COMPUTED_VALUE"""),5)</f>
        <v>5</v>
      </c>
      <c r="BP441" s="4">
        <f ca="1">IFERROR(__xludf.DUMMYFUNCTION("""COMPUTED_VALUE"""),5)</f>
        <v>5</v>
      </c>
    </row>
    <row r="442" spans="1:68" ht="13.2" x14ac:dyDescent="0.25">
      <c r="A442" s="4" t="str">
        <f ca="1">IFERROR(__xludf.DUMMYFUNCTION("""COMPUTED_VALUE"""),"2_ABaOnue98bKsNQSXkGDd4w9ydCBVzJelpDEZSXPF-gkih5nz2ob8GrOm7ggzb-Zggg")</f>
        <v>2_ABaOnue98bKsNQSXkGDd4w9ydCBVzJelpDEZSXPF-gkih5nz2ob8GrOm7ggzb-Zggg</v>
      </c>
      <c r="B442" s="5">
        <f ca="1">IFERROR(__xludf.DUMMYFUNCTION("""COMPUTED_VALUE"""),45992.6835854282)</f>
        <v>45992.683585428204</v>
      </c>
      <c r="C442" s="4" t="str">
        <f ca="1">IFERROR(__xludf.DUMMYFUNCTION("""COMPUTED_VALUE"""),"Võ thị thơm")</f>
        <v>Võ thị thơm</v>
      </c>
      <c r="D442" s="4" t="str">
        <f ca="1">IFERROR(__xludf.DUMMYFUNCTION("""COMPUTED_VALUE"""),"Nữ")</f>
        <v>Nữ</v>
      </c>
      <c r="E442" s="4" t="str">
        <f ca="1">IFERROR(__xludf.DUMMYFUNCTION("""COMPUTED_VALUE"""),"Công ty TNHH Grant Thornton Việt Nam")</f>
        <v>Công ty TNHH Grant Thornton Việt Nam</v>
      </c>
      <c r="F442" s="4" t="str">
        <f ca="1">IFERROR(__xludf.DUMMYFUNCTION("""COMPUTED_VALUE"""),"Đại học")</f>
        <v>Đại học</v>
      </c>
      <c r="G442" s="4" t="str">
        <f ca="1">IFERROR(__xludf.DUMMYFUNCTION("""COMPUTED_VALUE"""),"Trên 5 đến 10 năm")</f>
        <v>Trên 5 đến 10 năm</v>
      </c>
      <c r="H442" s="4" t="str">
        <f ca="1">IFERROR(__xludf.DUMMYFUNCTION("""COMPUTED_VALUE"""),"Trưởng phòng")</f>
        <v>Trưởng phòng</v>
      </c>
      <c r="I442" s="4">
        <f ca="1">IFERROR(__xludf.DUMMYFUNCTION("""COMPUTED_VALUE"""),5)</f>
        <v>5</v>
      </c>
      <c r="J442" s="4">
        <f ca="1">IFERROR(__xludf.DUMMYFUNCTION("""COMPUTED_VALUE"""),5)</f>
        <v>5</v>
      </c>
      <c r="K442" s="4">
        <f ca="1">IFERROR(__xludf.DUMMYFUNCTION("""COMPUTED_VALUE"""),5)</f>
        <v>5</v>
      </c>
      <c r="L442" s="4">
        <f ca="1">IFERROR(__xludf.DUMMYFUNCTION("""COMPUTED_VALUE"""),5)</f>
        <v>5</v>
      </c>
      <c r="M442" s="4">
        <f ca="1">IFERROR(__xludf.DUMMYFUNCTION("""COMPUTED_VALUE"""),4)</f>
        <v>4</v>
      </c>
      <c r="N442" s="4">
        <f ca="1">IFERROR(__xludf.DUMMYFUNCTION("""COMPUTED_VALUE"""),5)</f>
        <v>5</v>
      </c>
      <c r="O442" s="4">
        <f ca="1">IFERROR(__xludf.DUMMYFUNCTION("""COMPUTED_VALUE"""),4)</f>
        <v>4</v>
      </c>
      <c r="P442" s="4">
        <f ca="1">IFERROR(__xludf.DUMMYFUNCTION("""COMPUTED_VALUE"""),4)</f>
        <v>4</v>
      </c>
      <c r="Q442" s="4">
        <f ca="1">IFERROR(__xludf.DUMMYFUNCTION("""COMPUTED_VALUE"""),4)</f>
        <v>4</v>
      </c>
      <c r="R442" s="4">
        <f ca="1">IFERROR(__xludf.DUMMYFUNCTION("""COMPUTED_VALUE"""),4)</f>
        <v>4</v>
      </c>
      <c r="S442" s="4">
        <f ca="1">IFERROR(__xludf.DUMMYFUNCTION("""COMPUTED_VALUE"""),4)</f>
        <v>4</v>
      </c>
      <c r="T442" s="4">
        <f ca="1">IFERROR(__xludf.DUMMYFUNCTION("""COMPUTED_VALUE"""),5)</f>
        <v>5</v>
      </c>
      <c r="U442" s="4">
        <f ca="1">IFERROR(__xludf.DUMMYFUNCTION("""COMPUTED_VALUE"""),5)</f>
        <v>5</v>
      </c>
      <c r="V442" s="4">
        <f ca="1">IFERROR(__xludf.DUMMYFUNCTION("""COMPUTED_VALUE"""),5)</f>
        <v>5</v>
      </c>
      <c r="W442" s="4">
        <f ca="1">IFERROR(__xludf.DUMMYFUNCTION("""COMPUTED_VALUE"""),4)</f>
        <v>4</v>
      </c>
      <c r="X442" s="4">
        <f ca="1">IFERROR(__xludf.DUMMYFUNCTION("""COMPUTED_VALUE"""),4)</f>
        <v>4</v>
      </c>
      <c r="Y442" s="4">
        <f ca="1">IFERROR(__xludf.DUMMYFUNCTION("""COMPUTED_VALUE"""),4)</f>
        <v>4</v>
      </c>
      <c r="Z442" s="4">
        <f ca="1">IFERROR(__xludf.DUMMYFUNCTION("""COMPUTED_VALUE"""),4)</f>
        <v>4</v>
      </c>
      <c r="AA442" s="4">
        <f ca="1">IFERROR(__xludf.DUMMYFUNCTION("""COMPUTED_VALUE"""),4)</f>
        <v>4</v>
      </c>
      <c r="AB442" s="4">
        <f ca="1">IFERROR(__xludf.DUMMYFUNCTION("""COMPUTED_VALUE"""),3)</f>
        <v>3</v>
      </c>
      <c r="AC442" s="4">
        <f ca="1">IFERROR(__xludf.DUMMYFUNCTION("""COMPUTED_VALUE"""),4)</f>
        <v>4</v>
      </c>
      <c r="AD442" s="4">
        <f ca="1">IFERROR(__xludf.DUMMYFUNCTION("""COMPUTED_VALUE"""),4)</f>
        <v>4</v>
      </c>
      <c r="AE442" s="4">
        <f ca="1">IFERROR(__xludf.DUMMYFUNCTION("""COMPUTED_VALUE"""),4)</f>
        <v>4</v>
      </c>
      <c r="AF442" s="4">
        <f ca="1">IFERROR(__xludf.DUMMYFUNCTION("""COMPUTED_VALUE"""),4)</f>
        <v>4</v>
      </c>
      <c r="AG442" s="4">
        <f ca="1">IFERROR(__xludf.DUMMYFUNCTION("""COMPUTED_VALUE"""),4)</f>
        <v>4</v>
      </c>
      <c r="AH442" s="4">
        <f ca="1">IFERROR(__xludf.DUMMYFUNCTION("""COMPUTED_VALUE"""),4)</f>
        <v>4</v>
      </c>
      <c r="AI442" s="4">
        <f ca="1">IFERROR(__xludf.DUMMYFUNCTION("""COMPUTED_VALUE"""),3)</f>
        <v>3</v>
      </c>
      <c r="AJ442" s="4">
        <f ca="1">IFERROR(__xludf.DUMMYFUNCTION("""COMPUTED_VALUE"""),3)</f>
        <v>3</v>
      </c>
      <c r="AK442" s="4">
        <f ca="1">IFERROR(__xludf.DUMMYFUNCTION("""COMPUTED_VALUE"""),4)</f>
        <v>4</v>
      </c>
      <c r="AL442" s="4">
        <f ca="1">IFERROR(__xludf.DUMMYFUNCTION("""COMPUTED_VALUE"""),4)</f>
        <v>4</v>
      </c>
      <c r="AM442" s="4">
        <f ca="1">IFERROR(__xludf.DUMMYFUNCTION("""COMPUTED_VALUE"""),4)</f>
        <v>4</v>
      </c>
      <c r="AN442" s="4">
        <f ca="1">IFERROR(__xludf.DUMMYFUNCTION("""COMPUTED_VALUE"""),4)</f>
        <v>4</v>
      </c>
      <c r="AO442" s="4">
        <f ca="1">IFERROR(__xludf.DUMMYFUNCTION("""COMPUTED_VALUE"""),4)</f>
        <v>4</v>
      </c>
      <c r="AP442" s="4">
        <f ca="1">IFERROR(__xludf.DUMMYFUNCTION("""COMPUTED_VALUE"""),4)</f>
        <v>4</v>
      </c>
      <c r="AQ442" s="4">
        <f ca="1">IFERROR(__xludf.DUMMYFUNCTION("""COMPUTED_VALUE"""),4)</f>
        <v>4</v>
      </c>
      <c r="AR442" s="4">
        <f ca="1">IFERROR(__xludf.DUMMYFUNCTION("""COMPUTED_VALUE"""),4)</f>
        <v>4</v>
      </c>
      <c r="AS442" s="4">
        <f ca="1">IFERROR(__xludf.DUMMYFUNCTION("""COMPUTED_VALUE"""),4)</f>
        <v>4</v>
      </c>
      <c r="AT442" s="4">
        <f ca="1">IFERROR(__xludf.DUMMYFUNCTION("""COMPUTED_VALUE"""),4)</f>
        <v>4</v>
      </c>
      <c r="AU442" s="4">
        <f ca="1">IFERROR(__xludf.DUMMYFUNCTION("""COMPUTED_VALUE"""),4)</f>
        <v>4</v>
      </c>
      <c r="AV442" s="4">
        <f ca="1">IFERROR(__xludf.DUMMYFUNCTION("""COMPUTED_VALUE"""),4)</f>
        <v>4</v>
      </c>
      <c r="AW442" s="4">
        <f ca="1">IFERROR(__xludf.DUMMYFUNCTION("""COMPUTED_VALUE"""),4)</f>
        <v>4</v>
      </c>
      <c r="AX442" s="4">
        <f ca="1">IFERROR(__xludf.DUMMYFUNCTION("""COMPUTED_VALUE"""),5)</f>
        <v>5</v>
      </c>
      <c r="AY442" s="4">
        <f ca="1">IFERROR(__xludf.DUMMYFUNCTION("""COMPUTED_VALUE"""),5)</f>
        <v>5</v>
      </c>
      <c r="AZ442" s="4">
        <f ca="1">IFERROR(__xludf.DUMMYFUNCTION("""COMPUTED_VALUE"""),5)</f>
        <v>5</v>
      </c>
      <c r="BA442" s="4">
        <f ca="1">IFERROR(__xludf.DUMMYFUNCTION("""COMPUTED_VALUE"""),5)</f>
        <v>5</v>
      </c>
      <c r="BB442" s="4">
        <f ca="1">IFERROR(__xludf.DUMMYFUNCTION("""COMPUTED_VALUE"""),4)</f>
        <v>4</v>
      </c>
      <c r="BC442" s="4">
        <f ca="1">IFERROR(__xludf.DUMMYFUNCTION("""COMPUTED_VALUE"""),4)</f>
        <v>4</v>
      </c>
      <c r="BD442" s="4">
        <f ca="1">IFERROR(__xludf.DUMMYFUNCTION("""COMPUTED_VALUE"""),4)</f>
        <v>4</v>
      </c>
      <c r="BE442" s="4">
        <f ca="1">IFERROR(__xludf.DUMMYFUNCTION("""COMPUTED_VALUE"""),3)</f>
        <v>3</v>
      </c>
      <c r="BF442" s="4">
        <f ca="1">IFERROR(__xludf.DUMMYFUNCTION("""COMPUTED_VALUE"""),4)</f>
        <v>4</v>
      </c>
      <c r="BG442" s="4">
        <f ca="1">IFERROR(__xludf.DUMMYFUNCTION("""COMPUTED_VALUE"""),3)</f>
        <v>3</v>
      </c>
      <c r="BH442" s="4">
        <f ca="1">IFERROR(__xludf.DUMMYFUNCTION("""COMPUTED_VALUE"""),4)</f>
        <v>4</v>
      </c>
      <c r="BI442" s="4">
        <f ca="1">IFERROR(__xludf.DUMMYFUNCTION("""COMPUTED_VALUE"""),4)</f>
        <v>4</v>
      </c>
      <c r="BJ442" s="4">
        <f ca="1">IFERROR(__xludf.DUMMYFUNCTION("""COMPUTED_VALUE"""),4)</f>
        <v>4</v>
      </c>
      <c r="BK442" s="4">
        <f ca="1">IFERROR(__xludf.DUMMYFUNCTION("""COMPUTED_VALUE"""),4)</f>
        <v>4</v>
      </c>
      <c r="BL442" s="4">
        <f ca="1">IFERROR(__xludf.DUMMYFUNCTION("""COMPUTED_VALUE"""),4)</f>
        <v>4</v>
      </c>
      <c r="BM442" s="4">
        <f ca="1">IFERROR(__xludf.DUMMYFUNCTION("""COMPUTED_VALUE"""),5)</f>
        <v>5</v>
      </c>
      <c r="BN442" s="4">
        <f ca="1">IFERROR(__xludf.DUMMYFUNCTION("""COMPUTED_VALUE"""),5)</f>
        <v>5</v>
      </c>
      <c r="BO442" s="4">
        <f ca="1">IFERROR(__xludf.DUMMYFUNCTION("""COMPUTED_VALUE"""),4)</f>
        <v>4</v>
      </c>
      <c r="BP442" s="4">
        <f ca="1">IFERROR(__xludf.DUMMYFUNCTION("""COMPUTED_VALUE"""),4)</f>
        <v>4</v>
      </c>
    </row>
    <row r="443" spans="1:68" ht="13.2" x14ac:dyDescent="0.25">
      <c r="A443" s="4" t="str">
        <f ca="1">IFERROR(__xludf.DUMMYFUNCTION("""COMPUTED_VALUE"""),"2_ABaOnudn_dWnZTlPIJ-VrMWrjLtr69DvG3wAeuOO_Llr632I3QMc6Gearp60vDg2kw")</f>
        <v>2_ABaOnudn_dWnZTlPIJ-VrMWrjLtr69DvG3wAeuOO_Llr632I3QMc6Gearp60vDg2kw</v>
      </c>
      <c r="B443" s="5">
        <f ca="1">IFERROR(__xludf.DUMMYFUNCTION("""COMPUTED_VALUE"""),45992.7034504398)</f>
        <v>45992.703450439803</v>
      </c>
      <c r="C443" s="4" t="str">
        <f ca="1">IFERROR(__xludf.DUMMYFUNCTION("""COMPUTED_VALUE"""),"Trần Thị Gia Ngọc")</f>
        <v>Trần Thị Gia Ngọc</v>
      </c>
      <c r="D443" s="4" t="str">
        <f ca="1">IFERROR(__xludf.DUMMYFUNCTION("""COMPUTED_VALUE"""),"Nữ")</f>
        <v>Nữ</v>
      </c>
      <c r="E443" s="4" t="str">
        <f ca="1">IFERROR(__xludf.DUMMYFUNCTION("""COMPUTED_VALUE"""),"Công ty TNHH Crowe Việt Nam")</f>
        <v>Công ty TNHH Crowe Việt Nam</v>
      </c>
      <c r="F443" s="4" t="str">
        <f ca="1">IFERROR(__xludf.DUMMYFUNCTION("""COMPUTED_VALUE"""),"Đại học")</f>
        <v>Đại học</v>
      </c>
      <c r="G443" s="4" t="str">
        <f ca="1">IFERROR(__xludf.DUMMYFUNCTION("""COMPUTED_VALUE"""),"Trên 15 đến 20 năm")</f>
        <v>Trên 15 đến 20 năm</v>
      </c>
      <c r="H443" s="4" t="str">
        <f ca="1">IFERROR(__xludf.DUMMYFUNCTION("""COMPUTED_VALUE"""),"Ban giám đốc")</f>
        <v>Ban giám đốc</v>
      </c>
      <c r="I443" s="4">
        <f ca="1">IFERROR(__xludf.DUMMYFUNCTION("""COMPUTED_VALUE"""),5)</f>
        <v>5</v>
      </c>
      <c r="J443" s="4">
        <f ca="1">IFERROR(__xludf.DUMMYFUNCTION("""COMPUTED_VALUE"""),4)</f>
        <v>4</v>
      </c>
      <c r="K443" s="4">
        <f ca="1">IFERROR(__xludf.DUMMYFUNCTION("""COMPUTED_VALUE"""),5)</f>
        <v>5</v>
      </c>
      <c r="L443" s="4">
        <f ca="1">IFERROR(__xludf.DUMMYFUNCTION("""COMPUTED_VALUE"""),5)</f>
        <v>5</v>
      </c>
      <c r="M443" s="4">
        <f ca="1">IFERROR(__xludf.DUMMYFUNCTION("""COMPUTED_VALUE"""),5)</f>
        <v>5</v>
      </c>
      <c r="N443" s="4">
        <f ca="1">IFERROR(__xludf.DUMMYFUNCTION("""COMPUTED_VALUE"""),3)</f>
        <v>3</v>
      </c>
      <c r="O443" s="4">
        <f ca="1">IFERROR(__xludf.DUMMYFUNCTION("""COMPUTED_VALUE"""),4)</f>
        <v>4</v>
      </c>
      <c r="P443" s="4">
        <f ca="1">IFERROR(__xludf.DUMMYFUNCTION("""COMPUTED_VALUE"""),5)</f>
        <v>5</v>
      </c>
      <c r="Q443" s="4">
        <f ca="1">IFERROR(__xludf.DUMMYFUNCTION("""COMPUTED_VALUE"""),5)</f>
        <v>5</v>
      </c>
      <c r="R443" s="4">
        <f ca="1">IFERROR(__xludf.DUMMYFUNCTION("""COMPUTED_VALUE"""),5)</f>
        <v>5</v>
      </c>
      <c r="S443" s="4">
        <f ca="1">IFERROR(__xludf.DUMMYFUNCTION("""COMPUTED_VALUE"""),5)</f>
        <v>5</v>
      </c>
      <c r="T443" s="4">
        <f ca="1">IFERROR(__xludf.DUMMYFUNCTION("""COMPUTED_VALUE"""),5)</f>
        <v>5</v>
      </c>
      <c r="U443" s="4">
        <f ca="1">IFERROR(__xludf.DUMMYFUNCTION("""COMPUTED_VALUE"""),5)</f>
        <v>5</v>
      </c>
      <c r="V443" s="4">
        <f ca="1">IFERROR(__xludf.DUMMYFUNCTION("""COMPUTED_VALUE"""),5)</f>
        <v>5</v>
      </c>
      <c r="W443" s="4">
        <f ca="1">IFERROR(__xludf.DUMMYFUNCTION("""COMPUTED_VALUE"""),3)</f>
        <v>3</v>
      </c>
      <c r="X443" s="4">
        <f ca="1">IFERROR(__xludf.DUMMYFUNCTION("""COMPUTED_VALUE"""),3)</f>
        <v>3</v>
      </c>
      <c r="Y443" s="4">
        <f ca="1">IFERROR(__xludf.DUMMYFUNCTION("""COMPUTED_VALUE"""),3)</f>
        <v>3</v>
      </c>
      <c r="Z443" s="4">
        <f ca="1">IFERROR(__xludf.DUMMYFUNCTION("""COMPUTED_VALUE"""),4)</f>
        <v>4</v>
      </c>
      <c r="AA443" s="4">
        <f ca="1">IFERROR(__xludf.DUMMYFUNCTION("""COMPUTED_VALUE"""),3)</f>
        <v>3</v>
      </c>
      <c r="AB443" s="4">
        <f ca="1">IFERROR(__xludf.DUMMYFUNCTION("""COMPUTED_VALUE"""),4)</f>
        <v>4</v>
      </c>
      <c r="AC443" s="4">
        <f ca="1">IFERROR(__xludf.DUMMYFUNCTION("""COMPUTED_VALUE"""),3)</f>
        <v>3</v>
      </c>
      <c r="AD443" s="4">
        <f ca="1">IFERROR(__xludf.DUMMYFUNCTION("""COMPUTED_VALUE"""),2)</f>
        <v>2</v>
      </c>
      <c r="AE443" s="4">
        <f ca="1">IFERROR(__xludf.DUMMYFUNCTION("""COMPUTED_VALUE"""),4)</f>
        <v>4</v>
      </c>
      <c r="AF443" s="4">
        <f ca="1">IFERROR(__xludf.DUMMYFUNCTION("""COMPUTED_VALUE"""),4)</f>
        <v>4</v>
      </c>
      <c r="AG443" s="4">
        <f ca="1">IFERROR(__xludf.DUMMYFUNCTION("""COMPUTED_VALUE"""),4)</f>
        <v>4</v>
      </c>
      <c r="AH443" s="4">
        <f ca="1">IFERROR(__xludf.DUMMYFUNCTION("""COMPUTED_VALUE"""),4)</f>
        <v>4</v>
      </c>
      <c r="AI443" s="4">
        <f ca="1">IFERROR(__xludf.DUMMYFUNCTION("""COMPUTED_VALUE"""),4)</f>
        <v>4</v>
      </c>
      <c r="AJ443" s="4">
        <f ca="1">IFERROR(__xludf.DUMMYFUNCTION("""COMPUTED_VALUE"""),5)</f>
        <v>5</v>
      </c>
      <c r="AK443" s="4">
        <f ca="1">IFERROR(__xludf.DUMMYFUNCTION("""COMPUTED_VALUE"""),5)</f>
        <v>5</v>
      </c>
      <c r="AL443" s="4">
        <f ca="1">IFERROR(__xludf.DUMMYFUNCTION("""COMPUTED_VALUE"""),5)</f>
        <v>5</v>
      </c>
      <c r="AM443" s="4">
        <f ca="1">IFERROR(__xludf.DUMMYFUNCTION("""COMPUTED_VALUE"""),5)</f>
        <v>5</v>
      </c>
      <c r="AN443" s="4">
        <f ca="1">IFERROR(__xludf.DUMMYFUNCTION("""COMPUTED_VALUE"""),5)</f>
        <v>5</v>
      </c>
      <c r="AO443" s="4">
        <f ca="1">IFERROR(__xludf.DUMMYFUNCTION("""COMPUTED_VALUE"""),3)</f>
        <v>3</v>
      </c>
      <c r="AP443" s="4">
        <f ca="1">IFERROR(__xludf.DUMMYFUNCTION("""COMPUTED_VALUE"""),4)</f>
        <v>4</v>
      </c>
      <c r="AQ443" s="4">
        <f ca="1">IFERROR(__xludf.DUMMYFUNCTION("""COMPUTED_VALUE"""),4)</f>
        <v>4</v>
      </c>
      <c r="AR443" s="4">
        <f ca="1">IFERROR(__xludf.DUMMYFUNCTION("""COMPUTED_VALUE"""),4)</f>
        <v>4</v>
      </c>
      <c r="AS443" s="4">
        <f ca="1">IFERROR(__xludf.DUMMYFUNCTION("""COMPUTED_VALUE"""),4)</f>
        <v>4</v>
      </c>
      <c r="AT443" s="4">
        <f ca="1">IFERROR(__xludf.DUMMYFUNCTION("""COMPUTED_VALUE"""),4)</f>
        <v>4</v>
      </c>
      <c r="AU443" s="4">
        <f ca="1">IFERROR(__xludf.DUMMYFUNCTION("""COMPUTED_VALUE"""),4)</f>
        <v>4</v>
      </c>
      <c r="AV443" s="4">
        <f ca="1">IFERROR(__xludf.DUMMYFUNCTION("""COMPUTED_VALUE"""),4)</f>
        <v>4</v>
      </c>
      <c r="AW443" s="4">
        <f ca="1">IFERROR(__xludf.DUMMYFUNCTION("""COMPUTED_VALUE"""),4)</f>
        <v>4</v>
      </c>
      <c r="AX443" s="4">
        <f ca="1">IFERROR(__xludf.DUMMYFUNCTION("""COMPUTED_VALUE"""),5)</f>
        <v>5</v>
      </c>
      <c r="AY443" s="4">
        <f ca="1">IFERROR(__xludf.DUMMYFUNCTION("""COMPUTED_VALUE"""),5)</f>
        <v>5</v>
      </c>
      <c r="AZ443" s="4">
        <f ca="1">IFERROR(__xludf.DUMMYFUNCTION("""COMPUTED_VALUE"""),5)</f>
        <v>5</v>
      </c>
      <c r="BA443" s="4">
        <f ca="1">IFERROR(__xludf.DUMMYFUNCTION("""COMPUTED_VALUE"""),5)</f>
        <v>5</v>
      </c>
      <c r="BB443" s="4">
        <f ca="1">IFERROR(__xludf.DUMMYFUNCTION("""COMPUTED_VALUE"""),5)</f>
        <v>5</v>
      </c>
      <c r="BC443" s="4">
        <f ca="1">IFERROR(__xludf.DUMMYFUNCTION("""COMPUTED_VALUE"""),4)</f>
        <v>4</v>
      </c>
      <c r="BD443" s="4">
        <f ca="1">IFERROR(__xludf.DUMMYFUNCTION("""COMPUTED_VALUE"""),4)</f>
        <v>4</v>
      </c>
      <c r="BE443" s="4">
        <f ca="1">IFERROR(__xludf.DUMMYFUNCTION("""COMPUTED_VALUE"""),4)</f>
        <v>4</v>
      </c>
      <c r="BF443" s="4">
        <f ca="1">IFERROR(__xludf.DUMMYFUNCTION("""COMPUTED_VALUE"""),4)</f>
        <v>4</v>
      </c>
      <c r="BG443" s="4">
        <f ca="1">IFERROR(__xludf.DUMMYFUNCTION("""COMPUTED_VALUE"""),4)</f>
        <v>4</v>
      </c>
      <c r="BH443" s="4">
        <f ca="1">IFERROR(__xludf.DUMMYFUNCTION("""COMPUTED_VALUE"""),5)</f>
        <v>5</v>
      </c>
      <c r="BI443" s="4">
        <f ca="1">IFERROR(__xludf.DUMMYFUNCTION("""COMPUTED_VALUE"""),5)</f>
        <v>5</v>
      </c>
      <c r="BJ443" s="4">
        <f ca="1">IFERROR(__xludf.DUMMYFUNCTION("""COMPUTED_VALUE"""),5)</f>
        <v>5</v>
      </c>
      <c r="BK443" s="4">
        <f ca="1">IFERROR(__xludf.DUMMYFUNCTION("""COMPUTED_VALUE"""),5)</f>
        <v>5</v>
      </c>
      <c r="BL443" s="4">
        <f ca="1">IFERROR(__xludf.DUMMYFUNCTION("""COMPUTED_VALUE"""),4)</f>
        <v>4</v>
      </c>
      <c r="BM443" s="4">
        <f ca="1">IFERROR(__xludf.DUMMYFUNCTION("""COMPUTED_VALUE"""),5)</f>
        <v>5</v>
      </c>
      <c r="BN443" s="4">
        <f ca="1">IFERROR(__xludf.DUMMYFUNCTION("""COMPUTED_VALUE"""),5)</f>
        <v>5</v>
      </c>
      <c r="BO443" s="4">
        <f ca="1">IFERROR(__xludf.DUMMYFUNCTION("""COMPUTED_VALUE"""),5)</f>
        <v>5</v>
      </c>
      <c r="BP443" s="4">
        <f ca="1">IFERROR(__xludf.DUMMYFUNCTION("""COMPUTED_VALUE"""),5)</f>
        <v>5</v>
      </c>
    </row>
    <row r="444" spans="1:68" ht="13.2" x14ac:dyDescent="0.25">
      <c r="A444" s="4" t="str">
        <f ca="1">IFERROR(__xludf.DUMMYFUNCTION("""COMPUTED_VALUE"""),"2_ABaOnud_kLicEz72ziEpYCk038TqHwYdjuxjXF8Q_inJ659k65x3dHKZEEYjYbeJ8Q")</f>
        <v>2_ABaOnud_kLicEz72ziEpYCk038TqHwYdjuxjXF8Q_inJ659k65x3dHKZEEYjYbeJ8Q</v>
      </c>
      <c r="B444" s="5">
        <f ca="1">IFERROR(__xludf.DUMMYFUNCTION("""COMPUTED_VALUE"""),45993.5896039583)</f>
        <v>45993.589603958302</v>
      </c>
      <c r="C444" s="4" t="str">
        <f ca="1">IFERROR(__xludf.DUMMYFUNCTION("""COMPUTED_VALUE"""),"Dang Thi Hong Loan")</f>
        <v>Dang Thi Hong Loan</v>
      </c>
      <c r="D444" s="4" t="str">
        <f ca="1">IFERROR(__xludf.DUMMYFUNCTION("""COMPUTED_VALUE"""),"Nữ")</f>
        <v>Nữ</v>
      </c>
      <c r="E444" s="4" t="str">
        <f ca="1">IFERROR(__xludf.DUMMYFUNCTION("""COMPUTED_VALUE"""),"RSM")</f>
        <v>RSM</v>
      </c>
      <c r="F444" s="4" t="str">
        <f ca="1">IFERROR(__xludf.DUMMYFUNCTION("""COMPUTED_VALUE"""),"Đại học, Chứng chỉ Kiểm toán viên")</f>
        <v>Đại học, Chứng chỉ Kiểm toán viên</v>
      </c>
      <c r="G444" s="4" t="str">
        <f ca="1">IFERROR(__xludf.DUMMYFUNCTION("""COMPUTED_VALUE"""),"Trên 20 năm")</f>
        <v>Trên 20 năm</v>
      </c>
      <c r="H444" s="4" t="str">
        <f ca="1">IFERROR(__xludf.DUMMYFUNCTION("""COMPUTED_VALUE"""),"Ban giám đốc")</f>
        <v>Ban giám đốc</v>
      </c>
      <c r="I444" s="4">
        <f ca="1">IFERROR(__xludf.DUMMYFUNCTION("""COMPUTED_VALUE"""),5)</f>
        <v>5</v>
      </c>
      <c r="J444" s="4">
        <f ca="1">IFERROR(__xludf.DUMMYFUNCTION("""COMPUTED_VALUE"""),5)</f>
        <v>5</v>
      </c>
      <c r="K444" s="4">
        <f ca="1">IFERROR(__xludf.DUMMYFUNCTION("""COMPUTED_VALUE"""),5)</f>
        <v>5</v>
      </c>
      <c r="L444" s="4">
        <f ca="1">IFERROR(__xludf.DUMMYFUNCTION("""COMPUTED_VALUE"""),3)</f>
        <v>3</v>
      </c>
      <c r="M444" s="4">
        <f ca="1">IFERROR(__xludf.DUMMYFUNCTION("""COMPUTED_VALUE"""),5)</f>
        <v>5</v>
      </c>
      <c r="N444" s="4">
        <f ca="1">IFERROR(__xludf.DUMMYFUNCTION("""COMPUTED_VALUE"""),4)</f>
        <v>4</v>
      </c>
      <c r="O444" s="4">
        <f ca="1">IFERROR(__xludf.DUMMYFUNCTION("""COMPUTED_VALUE"""),5)</f>
        <v>5</v>
      </c>
      <c r="P444" s="4">
        <f ca="1">IFERROR(__xludf.DUMMYFUNCTION("""COMPUTED_VALUE"""),4)</f>
        <v>4</v>
      </c>
      <c r="Q444" s="4">
        <f ca="1">IFERROR(__xludf.DUMMYFUNCTION("""COMPUTED_VALUE"""),4)</f>
        <v>4</v>
      </c>
      <c r="R444" s="4">
        <f ca="1">IFERROR(__xludf.DUMMYFUNCTION("""COMPUTED_VALUE"""),5)</f>
        <v>5</v>
      </c>
      <c r="S444" s="4">
        <f ca="1">IFERROR(__xludf.DUMMYFUNCTION("""COMPUTED_VALUE"""),5)</f>
        <v>5</v>
      </c>
      <c r="T444" s="4">
        <f ca="1">IFERROR(__xludf.DUMMYFUNCTION("""COMPUTED_VALUE"""),5)</f>
        <v>5</v>
      </c>
      <c r="U444" s="4">
        <f ca="1">IFERROR(__xludf.DUMMYFUNCTION("""COMPUTED_VALUE"""),5)</f>
        <v>5</v>
      </c>
      <c r="V444" s="4">
        <f ca="1">IFERROR(__xludf.DUMMYFUNCTION("""COMPUTED_VALUE"""),5)</f>
        <v>5</v>
      </c>
      <c r="W444" s="4">
        <f ca="1">IFERROR(__xludf.DUMMYFUNCTION("""COMPUTED_VALUE"""),4)</f>
        <v>4</v>
      </c>
      <c r="X444" s="4">
        <f ca="1">IFERROR(__xludf.DUMMYFUNCTION("""COMPUTED_VALUE"""),4)</f>
        <v>4</v>
      </c>
      <c r="Y444" s="4">
        <f ca="1">IFERROR(__xludf.DUMMYFUNCTION("""COMPUTED_VALUE"""),4)</f>
        <v>4</v>
      </c>
      <c r="Z444" s="4">
        <f ca="1">IFERROR(__xludf.DUMMYFUNCTION("""COMPUTED_VALUE"""),4)</f>
        <v>4</v>
      </c>
      <c r="AA444" s="4">
        <f ca="1">IFERROR(__xludf.DUMMYFUNCTION("""COMPUTED_VALUE"""),5)</f>
        <v>5</v>
      </c>
      <c r="AB444" s="4">
        <f ca="1">IFERROR(__xludf.DUMMYFUNCTION("""COMPUTED_VALUE"""),3)</f>
        <v>3</v>
      </c>
      <c r="AC444" s="4">
        <f ca="1">IFERROR(__xludf.DUMMYFUNCTION("""COMPUTED_VALUE"""),3)</f>
        <v>3</v>
      </c>
      <c r="AD444" s="4">
        <f ca="1">IFERROR(__xludf.DUMMYFUNCTION("""COMPUTED_VALUE"""),2)</f>
        <v>2</v>
      </c>
      <c r="AE444" s="4">
        <f ca="1">IFERROR(__xludf.DUMMYFUNCTION("""COMPUTED_VALUE"""),5)</f>
        <v>5</v>
      </c>
      <c r="AF444" s="4">
        <f ca="1">IFERROR(__xludf.DUMMYFUNCTION("""COMPUTED_VALUE"""),5)</f>
        <v>5</v>
      </c>
      <c r="AG444" s="4">
        <f ca="1">IFERROR(__xludf.DUMMYFUNCTION("""COMPUTED_VALUE"""),5)</f>
        <v>5</v>
      </c>
      <c r="AH444" s="4">
        <f ca="1">IFERROR(__xludf.DUMMYFUNCTION("""COMPUTED_VALUE"""),5)</f>
        <v>5</v>
      </c>
      <c r="AI444" s="4">
        <f ca="1">IFERROR(__xludf.DUMMYFUNCTION("""COMPUTED_VALUE"""),4)</f>
        <v>4</v>
      </c>
      <c r="AJ444" s="4">
        <f ca="1">IFERROR(__xludf.DUMMYFUNCTION("""COMPUTED_VALUE"""),5)</f>
        <v>5</v>
      </c>
      <c r="AK444" s="4">
        <f ca="1">IFERROR(__xludf.DUMMYFUNCTION("""COMPUTED_VALUE"""),5)</f>
        <v>5</v>
      </c>
      <c r="AL444" s="4">
        <f ca="1">IFERROR(__xludf.DUMMYFUNCTION("""COMPUTED_VALUE"""),5)</f>
        <v>5</v>
      </c>
      <c r="AM444" s="4">
        <f ca="1">IFERROR(__xludf.DUMMYFUNCTION("""COMPUTED_VALUE"""),5)</f>
        <v>5</v>
      </c>
      <c r="AN444" s="4">
        <f ca="1">IFERROR(__xludf.DUMMYFUNCTION("""COMPUTED_VALUE"""),5)</f>
        <v>5</v>
      </c>
      <c r="AO444" s="4">
        <f ca="1">IFERROR(__xludf.DUMMYFUNCTION("""COMPUTED_VALUE"""),3)</f>
        <v>3</v>
      </c>
      <c r="AP444" s="4">
        <f ca="1">IFERROR(__xludf.DUMMYFUNCTION("""COMPUTED_VALUE"""),3)</f>
        <v>3</v>
      </c>
      <c r="AQ444" s="4">
        <f ca="1">IFERROR(__xludf.DUMMYFUNCTION("""COMPUTED_VALUE"""),4)</f>
        <v>4</v>
      </c>
      <c r="AR444" s="4">
        <f ca="1">IFERROR(__xludf.DUMMYFUNCTION("""COMPUTED_VALUE"""),5)</f>
        <v>5</v>
      </c>
      <c r="AS444" s="4">
        <f ca="1">IFERROR(__xludf.DUMMYFUNCTION("""COMPUTED_VALUE"""),5)</f>
        <v>5</v>
      </c>
      <c r="AT444" s="4">
        <f ca="1">IFERROR(__xludf.DUMMYFUNCTION("""COMPUTED_VALUE"""),3)</f>
        <v>3</v>
      </c>
      <c r="AU444" s="4">
        <f ca="1">IFERROR(__xludf.DUMMYFUNCTION("""COMPUTED_VALUE"""),4)</f>
        <v>4</v>
      </c>
      <c r="AV444" s="4">
        <f ca="1">IFERROR(__xludf.DUMMYFUNCTION("""COMPUTED_VALUE"""),4)</f>
        <v>4</v>
      </c>
      <c r="AW444" s="4">
        <f ca="1">IFERROR(__xludf.DUMMYFUNCTION("""COMPUTED_VALUE"""),4)</f>
        <v>4</v>
      </c>
      <c r="AX444" s="4">
        <f ca="1">IFERROR(__xludf.DUMMYFUNCTION("""COMPUTED_VALUE"""),5)</f>
        <v>5</v>
      </c>
      <c r="AY444" s="4">
        <f ca="1">IFERROR(__xludf.DUMMYFUNCTION("""COMPUTED_VALUE"""),5)</f>
        <v>5</v>
      </c>
      <c r="AZ444" s="4">
        <f ca="1">IFERROR(__xludf.DUMMYFUNCTION("""COMPUTED_VALUE"""),5)</f>
        <v>5</v>
      </c>
      <c r="BA444" s="4">
        <f ca="1">IFERROR(__xludf.DUMMYFUNCTION("""COMPUTED_VALUE"""),5)</f>
        <v>5</v>
      </c>
      <c r="BB444" s="4">
        <f ca="1">IFERROR(__xludf.DUMMYFUNCTION("""COMPUTED_VALUE"""),3)</f>
        <v>3</v>
      </c>
      <c r="BC444" s="4">
        <f ca="1">IFERROR(__xludf.DUMMYFUNCTION("""COMPUTED_VALUE"""),3)</f>
        <v>3</v>
      </c>
      <c r="BD444" s="4">
        <f ca="1">IFERROR(__xludf.DUMMYFUNCTION("""COMPUTED_VALUE"""),3)</f>
        <v>3</v>
      </c>
      <c r="BE444" s="4">
        <f ca="1">IFERROR(__xludf.DUMMYFUNCTION("""COMPUTED_VALUE"""),2)</f>
        <v>2</v>
      </c>
      <c r="BF444" s="4">
        <f ca="1">IFERROR(__xludf.DUMMYFUNCTION("""COMPUTED_VALUE"""),2)</f>
        <v>2</v>
      </c>
      <c r="BG444" s="4">
        <f ca="1">IFERROR(__xludf.DUMMYFUNCTION("""COMPUTED_VALUE"""),2)</f>
        <v>2</v>
      </c>
      <c r="BH444" s="4">
        <f ca="1">IFERROR(__xludf.DUMMYFUNCTION("""COMPUTED_VALUE"""),3)</f>
        <v>3</v>
      </c>
      <c r="BI444" s="4">
        <f ca="1">IFERROR(__xludf.DUMMYFUNCTION("""COMPUTED_VALUE"""),3)</f>
        <v>3</v>
      </c>
      <c r="BJ444" s="4">
        <f ca="1">IFERROR(__xludf.DUMMYFUNCTION("""COMPUTED_VALUE"""),4)</f>
        <v>4</v>
      </c>
      <c r="BK444" s="4">
        <f ca="1">IFERROR(__xludf.DUMMYFUNCTION("""COMPUTED_VALUE"""),5)</f>
        <v>5</v>
      </c>
      <c r="BL444" s="4">
        <f ca="1">IFERROR(__xludf.DUMMYFUNCTION("""COMPUTED_VALUE"""),5)</f>
        <v>5</v>
      </c>
      <c r="BM444" s="4">
        <f ca="1">IFERROR(__xludf.DUMMYFUNCTION("""COMPUTED_VALUE"""),5)</f>
        <v>5</v>
      </c>
      <c r="BN444" s="4">
        <f ca="1">IFERROR(__xludf.DUMMYFUNCTION("""COMPUTED_VALUE"""),5)</f>
        <v>5</v>
      </c>
      <c r="BO444" s="4">
        <f ca="1">IFERROR(__xludf.DUMMYFUNCTION("""COMPUTED_VALUE"""),5)</f>
        <v>5</v>
      </c>
      <c r="BP444" s="4">
        <f ca="1">IFERROR(__xludf.DUMMYFUNCTION("""COMPUTED_VALUE"""),4)</f>
        <v>4</v>
      </c>
    </row>
    <row r="445" spans="1:68" ht="13.2" x14ac:dyDescent="0.25">
      <c r="A445" s="4" t="str">
        <f ca="1">IFERROR(__xludf.DUMMYFUNCTION("""COMPUTED_VALUE"""),"2_ABaOnuf6CuCMhcweqAE8IMbAfXaHJ6Z-rl6YW4p1zfQsLlGeOi-6Eo6-hM-FIYXKkA")</f>
        <v>2_ABaOnuf6CuCMhcweqAE8IMbAfXaHJ6Z-rl6YW4p1zfQsLlGeOi-6Eo6-hM-FIYXKkA</v>
      </c>
      <c r="B445" s="5">
        <f ca="1">IFERROR(__xludf.DUMMYFUNCTION("""COMPUTED_VALUE"""),45993.6005690856)</f>
        <v>45993.600569085596</v>
      </c>
      <c r="C445" s="4"/>
      <c r="D445" s="4" t="str">
        <f ca="1">IFERROR(__xludf.DUMMYFUNCTION("""COMPUTED_VALUE"""),"Nữ")</f>
        <v>Nữ</v>
      </c>
      <c r="E445" s="4" t="str">
        <f ca="1">IFERROR(__xludf.DUMMYFUNCTION("""COMPUTED_VALUE"""),"RSM Việt Nam")</f>
        <v>RSM Việt Nam</v>
      </c>
      <c r="F445" s="4" t="str">
        <f ca="1">IFERROR(__xludf.DUMMYFUNCTION("""COMPUTED_VALUE"""),"Đại học, Chứng chỉ Kiểm toán viên")</f>
        <v>Đại học, Chứng chỉ Kiểm toán viên</v>
      </c>
      <c r="G445" s="4" t="str">
        <f ca="1">IFERROR(__xludf.DUMMYFUNCTION("""COMPUTED_VALUE"""),"Trên 5 đến 10 năm")</f>
        <v>Trên 5 đến 10 năm</v>
      </c>
      <c r="H445" s="4" t="str">
        <f ca="1">IFERROR(__xludf.DUMMYFUNCTION("""COMPUTED_VALUE"""),"Trưởng phòng")</f>
        <v>Trưởng phòng</v>
      </c>
      <c r="I445" s="4">
        <f ca="1">IFERROR(__xludf.DUMMYFUNCTION("""COMPUTED_VALUE"""),5)</f>
        <v>5</v>
      </c>
      <c r="J445" s="4">
        <f ca="1">IFERROR(__xludf.DUMMYFUNCTION("""COMPUTED_VALUE"""),5)</f>
        <v>5</v>
      </c>
      <c r="K445" s="4">
        <f ca="1">IFERROR(__xludf.DUMMYFUNCTION("""COMPUTED_VALUE"""),5)</f>
        <v>5</v>
      </c>
      <c r="L445" s="4">
        <f ca="1">IFERROR(__xludf.DUMMYFUNCTION("""COMPUTED_VALUE"""),5)</f>
        <v>5</v>
      </c>
      <c r="M445" s="4">
        <f ca="1">IFERROR(__xludf.DUMMYFUNCTION("""COMPUTED_VALUE"""),5)</f>
        <v>5</v>
      </c>
      <c r="N445" s="4">
        <f ca="1">IFERROR(__xludf.DUMMYFUNCTION("""COMPUTED_VALUE"""),4)</f>
        <v>4</v>
      </c>
      <c r="O445" s="4">
        <f ca="1">IFERROR(__xludf.DUMMYFUNCTION("""COMPUTED_VALUE"""),5)</f>
        <v>5</v>
      </c>
      <c r="P445" s="4">
        <f ca="1">IFERROR(__xludf.DUMMYFUNCTION("""COMPUTED_VALUE"""),5)</f>
        <v>5</v>
      </c>
      <c r="Q445" s="4">
        <f ca="1">IFERROR(__xludf.DUMMYFUNCTION("""COMPUTED_VALUE"""),5)</f>
        <v>5</v>
      </c>
      <c r="R445" s="4">
        <f ca="1">IFERROR(__xludf.DUMMYFUNCTION("""COMPUTED_VALUE"""),5)</f>
        <v>5</v>
      </c>
      <c r="S445" s="4">
        <f ca="1">IFERROR(__xludf.DUMMYFUNCTION("""COMPUTED_VALUE"""),5)</f>
        <v>5</v>
      </c>
      <c r="T445" s="4">
        <f ca="1">IFERROR(__xludf.DUMMYFUNCTION("""COMPUTED_VALUE"""),5)</f>
        <v>5</v>
      </c>
      <c r="U445" s="4">
        <f ca="1">IFERROR(__xludf.DUMMYFUNCTION("""COMPUTED_VALUE"""),5)</f>
        <v>5</v>
      </c>
      <c r="V445" s="4">
        <f ca="1">IFERROR(__xludf.DUMMYFUNCTION("""COMPUTED_VALUE"""),5)</f>
        <v>5</v>
      </c>
      <c r="W445" s="4">
        <f ca="1">IFERROR(__xludf.DUMMYFUNCTION("""COMPUTED_VALUE"""),5)</f>
        <v>5</v>
      </c>
      <c r="X445" s="4">
        <f ca="1">IFERROR(__xludf.DUMMYFUNCTION("""COMPUTED_VALUE"""),5)</f>
        <v>5</v>
      </c>
      <c r="Y445" s="4">
        <f ca="1">IFERROR(__xludf.DUMMYFUNCTION("""COMPUTED_VALUE"""),5)</f>
        <v>5</v>
      </c>
      <c r="Z445" s="4">
        <f ca="1">IFERROR(__xludf.DUMMYFUNCTION("""COMPUTED_VALUE"""),4)</f>
        <v>4</v>
      </c>
      <c r="AA445" s="4">
        <f ca="1">IFERROR(__xludf.DUMMYFUNCTION("""COMPUTED_VALUE"""),5)</f>
        <v>5</v>
      </c>
      <c r="AB445" s="4">
        <f ca="1">IFERROR(__xludf.DUMMYFUNCTION("""COMPUTED_VALUE"""),3)</f>
        <v>3</v>
      </c>
      <c r="AC445" s="4">
        <f ca="1">IFERROR(__xludf.DUMMYFUNCTION("""COMPUTED_VALUE"""),3)</f>
        <v>3</v>
      </c>
      <c r="AD445" s="4">
        <f ca="1">IFERROR(__xludf.DUMMYFUNCTION("""COMPUTED_VALUE"""),2)</f>
        <v>2</v>
      </c>
      <c r="AE445" s="4">
        <f ca="1">IFERROR(__xludf.DUMMYFUNCTION("""COMPUTED_VALUE"""),5)</f>
        <v>5</v>
      </c>
      <c r="AF445" s="4">
        <f ca="1">IFERROR(__xludf.DUMMYFUNCTION("""COMPUTED_VALUE"""),5)</f>
        <v>5</v>
      </c>
      <c r="AG445" s="4">
        <f ca="1">IFERROR(__xludf.DUMMYFUNCTION("""COMPUTED_VALUE"""),5)</f>
        <v>5</v>
      </c>
      <c r="AH445" s="4">
        <f ca="1">IFERROR(__xludf.DUMMYFUNCTION("""COMPUTED_VALUE"""),5)</f>
        <v>5</v>
      </c>
      <c r="AI445" s="4">
        <f ca="1">IFERROR(__xludf.DUMMYFUNCTION("""COMPUTED_VALUE"""),5)</f>
        <v>5</v>
      </c>
      <c r="AJ445" s="4">
        <f ca="1">IFERROR(__xludf.DUMMYFUNCTION("""COMPUTED_VALUE"""),5)</f>
        <v>5</v>
      </c>
      <c r="AK445" s="4">
        <f ca="1">IFERROR(__xludf.DUMMYFUNCTION("""COMPUTED_VALUE"""),5)</f>
        <v>5</v>
      </c>
      <c r="AL445" s="4">
        <f ca="1">IFERROR(__xludf.DUMMYFUNCTION("""COMPUTED_VALUE"""),5)</f>
        <v>5</v>
      </c>
      <c r="AM445" s="4">
        <f ca="1">IFERROR(__xludf.DUMMYFUNCTION("""COMPUTED_VALUE"""),5)</f>
        <v>5</v>
      </c>
      <c r="AN445" s="4">
        <f ca="1">IFERROR(__xludf.DUMMYFUNCTION("""COMPUTED_VALUE"""),5)</f>
        <v>5</v>
      </c>
      <c r="AO445" s="4">
        <f ca="1">IFERROR(__xludf.DUMMYFUNCTION("""COMPUTED_VALUE"""),5)</f>
        <v>5</v>
      </c>
      <c r="AP445" s="4">
        <f ca="1">IFERROR(__xludf.DUMMYFUNCTION("""COMPUTED_VALUE"""),5)</f>
        <v>5</v>
      </c>
      <c r="AQ445" s="4">
        <f ca="1">IFERROR(__xludf.DUMMYFUNCTION("""COMPUTED_VALUE"""),5)</f>
        <v>5</v>
      </c>
      <c r="AR445" s="4">
        <f ca="1">IFERROR(__xludf.DUMMYFUNCTION("""COMPUTED_VALUE"""),5)</f>
        <v>5</v>
      </c>
      <c r="AS445" s="4">
        <f ca="1">IFERROR(__xludf.DUMMYFUNCTION("""COMPUTED_VALUE"""),4)</f>
        <v>4</v>
      </c>
      <c r="AT445" s="4">
        <f ca="1">IFERROR(__xludf.DUMMYFUNCTION("""COMPUTED_VALUE"""),3)</f>
        <v>3</v>
      </c>
      <c r="AU445" s="4">
        <f ca="1">IFERROR(__xludf.DUMMYFUNCTION("""COMPUTED_VALUE"""),4)</f>
        <v>4</v>
      </c>
      <c r="AV445" s="4">
        <f ca="1">IFERROR(__xludf.DUMMYFUNCTION("""COMPUTED_VALUE"""),3)</f>
        <v>3</v>
      </c>
      <c r="AW445" s="4">
        <f ca="1">IFERROR(__xludf.DUMMYFUNCTION("""COMPUTED_VALUE"""),4)</f>
        <v>4</v>
      </c>
      <c r="AX445" s="4">
        <f ca="1">IFERROR(__xludf.DUMMYFUNCTION("""COMPUTED_VALUE"""),5)</f>
        <v>5</v>
      </c>
      <c r="AY445" s="4">
        <f ca="1">IFERROR(__xludf.DUMMYFUNCTION("""COMPUTED_VALUE"""),5)</f>
        <v>5</v>
      </c>
      <c r="AZ445" s="4">
        <f ca="1">IFERROR(__xludf.DUMMYFUNCTION("""COMPUTED_VALUE"""),5)</f>
        <v>5</v>
      </c>
      <c r="BA445" s="4">
        <f ca="1">IFERROR(__xludf.DUMMYFUNCTION("""COMPUTED_VALUE"""),5)</f>
        <v>5</v>
      </c>
      <c r="BB445" s="4">
        <f ca="1">IFERROR(__xludf.DUMMYFUNCTION("""COMPUTED_VALUE"""),5)</f>
        <v>5</v>
      </c>
      <c r="BC445" s="4">
        <f ca="1">IFERROR(__xludf.DUMMYFUNCTION("""COMPUTED_VALUE"""),4)</f>
        <v>4</v>
      </c>
      <c r="BD445" s="4">
        <f ca="1">IFERROR(__xludf.DUMMYFUNCTION("""COMPUTED_VALUE"""),4)</f>
        <v>4</v>
      </c>
      <c r="BE445" s="4">
        <f ca="1">IFERROR(__xludf.DUMMYFUNCTION("""COMPUTED_VALUE"""),4)</f>
        <v>4</v>
      </c>
      <c r="BF445" s="4">
        <f ca="1">IFERROR(__xludf.DUMMYFUNCTION("""COMPUTED_VALUE"""),4)</f>
        <v>4</v>
      </c>
      <c r="BG445" s="4">
        <f ca="1">IFERROR(__xludf.DUMMYFUNCTION("""COMPUTED_VALUE"""),3)</f>
        <v>3</v>
      </c>
      <c r="BH445" s="4">
        <f ca="1">IFERROR(__xludf.DUMMYFUNCTION("""COMPUTED_VALUE"""),5)</f>
        <v>5</v>
      </c>
      <c r="BI445" s="4">
        <f ca="1">IFERROR(__xludf.DUMMYFUNCTION("""COMPUTED_VALUE"""),5)</f>
        <v>5</v>
      </c>
      <c r="BJ445" s="4">
        <f ca="1">IFERROR(__xludf.DUMMYFUNCTION("""COMPUTED_VALUE"""),5)</f>
        <v>5</v>
      </c>
      <c r="BK445" s="4">
        <f ca="1">IFERROR(__xludf.DUMMYFUNCTION("""COMPUTED_VALUE"""),5)</f>
        <v>5</v>
      </c>
      <c r="BL445" s="4">
        <f ca="1">IFERROR(__xludf.DUMMYFUNCTION("""COMPUTED_VALUE"""),5)</f>
        <v>5</v>
      </c>
      <c r="BM445" s="4">
        <f ca="1">IFERROR(__xludf.DUMMYFUNCTION("""COMPUTED_VALUE"""),5)</f>
        <v>5</v>
      </c>
      <c r="BN445" s="4">
        <f ca="1">IFERROR(__xludf.DUMMYFUNCTION("""COMPUTED_VALUE"""),5)</f>
        <v>5</v>
      </c>
      <c r="BO445" s="4">
        <f ca="1">IFERROR(__xludf.DUMMYFUNCTION("""COMPUTED_VALUE"""),5)</f>
        <v>5</v>
      </c>
      <c r="BP445" s="4">
        <f ca="1">IFERROR(__xludf.DUMMYFUNCTION("""COMPUTED_VALUE"""),5)</f>
        <v>5</v>
      </c>
    </row>
    <row r="446" spans="1:68" ht="13.2" x14ac:dyDescent="0.25">
      <c r="A446" s="4" t="str">
        <f ca="1">IFERROR(__xludf.DUMMYFUNCTION("""COMPUTED_VALUE"""),"2_ABaOnuf13TgQh_Nwkq34e0p4ClukSdURs-l9JDmkzf_Q0UUvXblC3F_aiwqzog2-XQ")</f>
        <v>2_ABaOnuf13TgQh_Nwkq34e0p4ClukSdURs-l9JDmkzf_Q0UUvXblC3F_aiwqzog2-XQ</v>
      </c>
      <c r="B446" s="5">
        <f ca="1">IFERROR(__xludf.DUMMYFUNCTION("""COMPUTED_VALUE"""),45993.7850355555)</f>
        <v>45993.785035555498</v>
      </c>
      <c r="C446" s="4" t="str">
        <f ca="1">IFERROR(__xludf.DUMMYFUNCTION("""COMPUTED_VALUE"""),"Nguyễn Thế Vinh")</f>
        <v>Nguyễn Thế Vinh</v>
      </c>
      <c r="D446" s="4" t="str">
        <f ca="1">IFERROR(__xludf.DUMMYFUNCTION("""COMPUTED_VALUE"""),"Nam")</f>
        <v>Nam</v>
      </c>
      <c r="E446" s="4" t="str">
        <f ca="1">IFERROR(__xludf.DUMMYFUNCTION("""COMPUTED_VALUE"""),"Công ty TNHH Kiểm toán &amp; Tư vấn RSM Việt Nam")</f>
        <v>Công ty TNHH Kiểm toán &amp; Tư vấn RSM Việt Nam</v>
      </c>
      <c r="F446" s="4" t="str">
        <f ca="1">IFERROR(__xludf.DUMMYFUNCTION("""COMPUTED_VALUE"""),"Đại học")</f>
        <v>Đại học</v>
      </c>
      <c r="G446" s="4" t="str">
        <f ca="1">IFERROR(__xludf.DUMMYFUNCTION("""COMPUTED_VALUE"""),"Từ 3 đến 5 năm")</f>
        <v>Từ 3 đến 5 năm</v>
      </c>
      <c r="H446" s="4" t="str">
        <f ca="1">IFERROR(__xludf.DUMMYFUNCTION("""COMPUTED_VALUE"""),"Kiểm toán viên/Trưởng nhóm")</f>
        <v>Kiểm toán viên/Trưởng nhóm</v>
      </c>
      <c r="I446" s="4">
        <f ca="1">IFERROR(__xludf.DUMMYFUNCTION("""COMPUTED_VALUE"""),5)</f>
        <v>5</v>
      </c>
      <c r="J446" s="4">
        <f ca="1">IFERROR(__xludf.DUMMYFUNCTION("""COMPUTED_VALUE"""),5)</f>
        <v>5</v>
      </c>
      <c r="K446" s="4">
        <f ca="1">IFERROR(__xludf.DUMMYFUNCTION("""COMPUTED_VALUE"""),5)</f>
        <v>5</v>
      </c>
      <c r="L446" s="4">
        <f ca="1">IFERROR(__xludf.DUMMYFUNCTION("""COMPUTED_VALUE"""),5)</f>
        <v>5</v>
      </c>
      <c r="M446" s="4">
        <f ca="1">IFERROR(__xludf.DUMMYFUNCTION("""COMPUTED_VALUE"""),5)</f>
        <v>5</v>
      </c>
      <c r="N446" s="4">
        <f ca="1">IFERROR(__xludf.DUMMYFUNCTION("""COMPUTED_VALUE"""),5)</f>
        <v>5</v>
      </c>
      <c r="O446" s="4">
        <f ca="1">IFERROR(__xludf.DUMMYFUNCTION("""COMPUTED_VALUE"""),5)</f>
        <v>5</v>
      </c>
      <c r="P446" s="4">
        <f ca="1">IFERROR(__xludf.DUMMYFUNCTION("""COMPUTED_VALUE"""),5)</f>
        <v>5</v>
      </c>
      <c r="Q446" s="4">
        <f ca="1">IFERROR(__xludf.DUMMYFUNCTION("""COMPUTED_VALUE"""),5)</f>
        <v>5</v>
      </c>
      <c r="R446" s="4">
        <f ca="1">IFERROR(__xludf.DUMMYFUNCTION("""COMPUTED_VALUE"""),5)</f>
        <v>5</v>
      </c>
      <c r="S446" s="4">
        <f ca="1">IFERROR(__xludf.DUMMYFUNCTION("""COMPUTED_VALUE"""),5)</f>
        <v>5</v>
      </c>
      <c r="T446" s="4">
        <f ca="1">IFERROR(__xludf.DUMMYFUNCTION("""COMPUTED_VALUE"""),5)</f>
        <v>5</v>
      </c>
      <c r="U446" s="4">
        <f ca="1">IFERROR(__xludf.DUMMYFUNCTION("""COMPUTED_VALUE"""),5)</f>
        <v>5</v>
      </c>
      <c r="V446" s="4">
        <f ca="1">IFERROR(__xludf.DUMMYFUNCTION("""COMPUTED_VALUE"""),5)</f>
        <v>5</v>
      </c>
      <c r="W446" s="4">
        <f ca="1">IFERROR(__xludf.DUMMYFUNCTION("""COMPUTED_VALUE"""),5)</f>
        <v>5</v>
      </c>
      <c r="X446" s="4">
        <f ca="1">IFERROR(__xludf.DUMMYFUNCTION("""COMPUTED_VALUE"""),5)</f>
        <v>5</v>
      </c>
      <c r="Y446" s="4">
        <f ca="1">IFERROR(__xludf.DUMMYFUNCTION("""COMPUTED_VALUE"""),5)</f>
        <v>5</v>
      </c>
      <c r="Z446" s="4">
        <f ca="1">IFERROR(__xludf.DUMMYFUNCTION("""COMPUTED_VALUE"""),5)</f>
        <v>5</v>
      </c>
      <c r="AA446" s="4">
        <f ca="1">IFERROR(__xludf.DUMMYFUNCTION("""COMPUTED_VALUE"""),5)</f>
        <v>5</v>
      </c>
      <c r="AB446" s="4">
        <f ca="1">IFERROR(__xludf.DUMMYFUNCTION("""COMPUTED_VALUE"""),5)</f>
        <v>5</v>
      </c>
      <c r="AC446" s="4">
        <f ca="1">IFERROR(__xludf.DUMMYFUNCTION("""COMPUTED_VALUE"""),5)</f>
        <v>5</v>
      </c>
      <c r="AD446" s="4">
        <f ca="1">IFERROR(__xludf.DUMMYFUNCTION("""COMPUTED_VALUE"""),5)</f>
        <v>5</v>
      </c>
      <c r="AE446" s="4">
        <f ca="1">IFERROR(__xludf.DUMMYFUNCTION("""COMPUTED_VALUE"""),5)</f>
        <v>5</v>
      </c>
      <c r="AF446" s="4">
        <f ca="1">IFERROR(__xludf.DUMMYFUNCTION("""COMPUTED_VALUE"""),5)</f>
        <v>5</v>
      </c>
      <c r="AG446" s="4">
        <f ca="1">IFERROR(__xludf.DUMMYFUNCTION("""COMPUTED_VALUE"""),5)</f>
        <v>5</v>
      </c>
      <c r="AH446" s="4">
        <f ca="1">IFERROR(__xludf.DUMMYFUNCTION("""COMPUTED_VALUE"""),5)</f>
        <v>5</v>
      </c>
      <c r="AI446" s="4">
        <f ca="1">IFERROR(__xludf.DUMMYFUNCTION("""COMPUTED_VALUE"""),5)</f>
        <v>5</v>
      </c>
      <c r="AJ446" s="4">
        <f ca="1">IFERROR(__xludf.DUMMYFUNCTION("""COMPUTED_VALUE"""),5)</f>
        <v>5</v>
      </c>
      <c r="AK446" s="4">
        <f ca="1">IFERROR(__xludf.DUMMYFUNCTION("""COMPUTED_VALUE"""),5)</f>
        <v>5</v>
      </c>
      <c r="AL446" s="4">
        <f ca="1">IFERROR(__xludf.DUMMYFUNCTION("""COMPUTED_VALUE"""),5)</f>
        <v>5</v>
      </c>
      <c r="AM446" s="4">
        <f ca="1">IFERROR(__xludf.DUMMYFUNCTION("""COMPUTED_VALUE"""),5)</f>
        <v>5</v>
      </c>
      <c r="AN446" s="4">
        <f ca="1">IFERROR(__xludf.DUMMYFUNCTION("""COMPUTED_VALUE"""),5)</f>
        <v>5</v>
      </c>
      <c r="AO446" s="4">
        <f ca="1">IFERROR(__xludf.DUMMYFUNCTION("""COMPUTED_VALUE"""),5)</f>
        <v>5</v>
      </c>
      <c r="AP446" s="4">
        <f ca="1">IFERROR(__xludf.DUMMYFUNCTION("""COMPUTED_VALUE"""),5)</f>
        <v>5</v>
      </c>
      <c r="AQ446" s="4">
        <f ca="1">IFERROR(__xludf.DUMMYFUNCTION("""COMPUTED_VALUE"""),5)</f>
        <v>5</v>
      </c>
      <c r="AR446" s="4">
        <f ca="1">IFERROR(__xludf.DUMMYFUNCTION("""COMPUTED_VALUE"""),5)</f>
        <v>5</v>
      </c>
      <c r="AS446" s="4">
        <f ca="1">IFERROR(__xludf.DUMMYFUNCTION("""COMPUTED_VALUE"""),5)</f>
        <v>5</v>
      </c>
      <c r="AT446" s="4">
        <f ca="1">IFERROR(__xludf.DUMMYFUNCTION("""COMPUTED_VALUE"""),5)</f>
        <v>5</v>
      </c>
      <c r="AU446" s="4">
        <f ca="1">IFERROR(__xludf.DUMMYFUNCTION("""COMPUTED_VALUE"""),5)</f>
        <v>5</v>
      </c>
      <c r="AV446" s="4">
        <f ca="1">IFERROR(__xludf.DUMMYFUNCTION("""COMPUTED_VALUE"""),5)</f>
        <v>5</v>
      </c>
      <c r="AW446" s="4">
        <f ca="1">IFERROR(__xludf.DUMMYFUNCTION("""COMPUTED_VALUE"""),5)</f>
        <v>5</v>
      </c>
      <c r="AX446" s="4">
        <f ca="1">IFERROR(__xludf.DUMMYFUNCTION("""COMPUTED_VALUE"""),5)</f>
        <v>5</v>
      </c>
      <c r="AY446" s="4">
        <f ca="1">IFERROR(__xludf.DUMMYFUNCTION("""COMPUTED_VALUE"""),5)</f>
        <v>5</v>
      </c>
      <c r="AZ446" s="4">
        <f ca="1">IFERROR(__xludf.DUMMYFUNCTION("""COMPUTED_VALUE"""),5)</f>
        <v>5</v>
      </c>
      <c r="BA446" s="4">
        <f ca="1">IFERROR(__xludf.DUMMYFUNCTION("""COMPUTED_VALUE"""),5)</f>
        <v>5</v>
      </c>
      <c r="BB446" s="4">
        <f ca="1">IFERROR(__xludf.DUMMYFUNCTION("""COMPUTED_VALUE"""),5)</f>
        <v>5</v>
      </c>
      <c r="BC446" s="4">
        <f ca="1">IFERROR(__xludf.DUMMYFUNCTION("""COMPUTED_VALUE"""),5)</f>
        <v>5</v>
      </c>
      <c r="BD446" s="4">
        <f ca="1">IFERROR(__xludf.DUMMYFUNCTION("""COMPUTED_VALUE"""),5)</f>
        <v>5</v>
      </c>
      <c r="BE446" s="4">
        <f ca="1">IFERROR(__xludf.DUMMYFUNCTION("""COMPUTED_VALUE"""),5)</f>
        <v>5</v>
      </c>
      <c r="BF446" s="4">
        <f ca="1">IFERROR(__xludf.DUMMYFUNCTION("""COMPUTED_VALUE"""),5)</f>
        <v>5</v>
      </c>
      <c r="BG446" s="4">
        <f ca="1">IFERROR(__xludf.DUMMYFUNCTION("""COMPUTED_VALUE"""),5)</f>
        <v>5</v>
      </c>
      <c r="BH446" s="4">
        <f ca="1">IFERROR(__xludf.DUMMYFUNCTION("""COMPUTED_VALUE"""),5)</f>
        <v>5</v>
      </c>
      <c r="BI446" s="4">
        <f ca="1">IFERROR(__xludf.DUMMYFUNCTION("""COMPUTED_VALUE"""),5)</f>
        <v>5</v>
      </c>
      <c r="BJ446" s="4">
        <f ca="1">IFERROR(__xludf.DUMMYFUNCTION("""COMPUTED_VALUE"""),5)</f>
        <v>5</v>
      </c>
      <c r="BK446" s="4">
        <f ca="1">IFERROR(__xludf.DUMMYFUNCTION("""COMPUTED_VALUE"""),5)</f>
        <v>5</v>
      </c>
      <c r="BL446" s="4">
        <f ca="1">IFERROR(__xludf.DUMMYFUNCTION("""COMPUTED_VALUE"""),5)</f>
        <v>5</v>
      </c>
      <c r="BM446" s="4">
        <f ca="1">IFERROR(__xludf.DUMMYFUNCTION("""COMPUTED_VALUE"""),5)</f>
        <v>5</v>
      </c>
      <c r="BN446" s="4">
        <f ca="1">IFERROR(__xludf.DUMMYFUNCTION("""COMPUTED_VALUE"""),5)</f>
        <v>5</v>
      </c>
      <c r="BO446" s="4">
        <f ca="1">IFERROR(__xludf.DUMMYFUNCTION("""COMPUTED_VALUE"""),5)</f>
        <v>5</v>
      </c>
      <c r="BP446" s="4">
        <f ca="1">IFERROR(__xludf.DUMMYFUNCTION("""COMPUTED_VALUE"""),5)</f>
        <v>5</v>
      </c>
    </row>
    <row r="447" spans="1:68" ht="13.2" x14ac:dyDescent="0.25">
      <c r="A447" s="4" t="str">
        <f ca="1">IFERROR(__xludf.DUMMYFUNCTION("""COMPUTED_VALUE"""),"2_ABaOnueqXSLTBJfE1JmzEQBWnh517cpkvkxgfdvMq0oQG57JLWoeJaKxo0SW6AIXsQ")</f>
        <v>2_ABaOnueqXSLTBJfE1JmzEQBWnh517cpkvkxgfdvMq0oQG57JLWoeJaKxo0SW6AIXsQ</v>
      </c>
      <c r="B447" s="5">
        <f ca="1">IFERROR(__xludf.DUMMYFUNCTION("""COMPUTED_VALUE"""),45994.4300944328)</f>
        <v>45994.430094432799</v>
      </c>
      <c r="C447" s="4" t="str">
        <f ca="1">IFERROR(__xludf.DUMMYFUNCTION("""COMPUTED_VALUE"""),"VÕ THỊ XUÂN MAI")</f>
        <v>VÕ THỊ XUÂN MAI</v>
      </c>
      <c r="D447" s="4" t="str">
        <f ca="1">IFERROR(__xludf.DUMMYFUNCTION("""COMPUTED_VALUE"""),"Nữ")</f>
        <v>Nữ</v>
      </c>
      <c r="E447" s="4" t="str">
        <f ca="1">IFERROR(__xludf.DUMMYFUNCTION("""COMPUTED_VALUE"""),"CÔNG TY TNHH DỊCH VỤ TƯ VẤN VÀ KIỂM TOÁN FPF")</f>
        <v>CÔNG TY TNHH DỊCH VỤ TƯ VẤN VÀ KIỂM TOÁN FPF</v>
      </c>
      <c r="F447" s="4" t="str">
        <f ca="1">IFERROR(__xludf.DUMMYFUNCTION("""COMPUTED_VALUE"""),"Đại học, Chứng chỉ Kiểm toán viên")</f>
        <v>Đại học, Chứng chỉ Kiểm toán viên</v>
      </c>
      <c r="G447" s="4" t="str">
        <f ca="1">IFERROR(__xludf.DUMMYFUNCTION("""COMPUTED_VALUE"""),"Trên 15 đến 20 năm")</f>
        <v>Trên 15 đến 20 năm</v>
      </c>
      <c r="H447" s="4" t="str">
        <f ca="1">IFERROR(__xludf.DUMMYFUNCTION("""COMPUTED_VALUE"""),"Ban giám đốc")</f>
        <v>Ban giám đốc</v>
      </c>
      <c r="I447" s="4">
        <f ca="1">IFERROR(__xludf.DUMMYFUNCTION("""COMPUTED_VALUE"""),5)</f>
        <v>5</v>
      </c>
      <c r="J447" s="4">
        <f ca="1">IFERROR(__xludf.DUMMYFUNCTION("""COMPUTED_VALUE"""),4)</f>
        <v>4</v>
      </c>
      <c r="K447" s="4">
        <f ca="1">IFERROR(__xludf.DUMMYFUNCTION("""COMPUTED_VALUE"""),4)</f>
        <v>4</v>
      </c>
      <c r="L447" s="4">
        <f ca="1">IFERROR(__xludf.DUMMYFUNCTION("""COMPUTED_VALUE"""),4)</f>
        <v>4</v>
      </c>
      <c r="M447" s="4">
        <f ca="1">IFERROR(__xludf.DUMMYFUNCTION("""COMPUTED_VALUE"""),4)</f>
        <v>4</v>
      </c>
      <c r="N447" s="4">
        <f ca="1">IFERROR(__xludf.DUMMYFUNCTION("""COMPUTED_VALUE"""),4)</f>
        <v>4</v>
      </c>
      <c r="O447" s="4">
        <f ca="1">IFERROR(__xludf.DUMMYFUNCTION("""COMPUTED_VALUE"""),4)</f>
        <v>4</v>
      </c>
      <c r="P447" s="4">
        <f ca="1">IFERROR(__xludf.DUMMYFUNCTION("""COMPUTED_VALUE"""),4)</f>
        <v>4</v>
      </c>
      <c r="Q447" s="4">
        <f ca="1">IFERROR(__xludf.DUMMYFUNCTION("""COMPUTED_VALUE"""),4)</f>
        <v>4</v>
      </c>
      <c r="R447" s="4">
        <f ca="1">IFERROR(__xludf.DUMMYFUNCTION("""COMPUTED_VALUE"""),4)</f>
        <v>4</v>
      </c>
      <c r="S447" s="4">
        <f ca="1">IFERROR(__xludf.DUMMYFUNCTION("""COMPUTED_VALUE"""),5)</f>
        <v>5</v>
      </c>
      <c r="T447" s="4">
        <f ca="1">IFERROR(__xludf.DUMMYFUNCTION("""COMPUTED_VALUE"""),5)</f>
        <v>5</v>
      </c>
      <c r="U447" s="4">
        <f ca="1">IFERROR(__xludf.DUMMYFUNCTION("""COMPUTED_VALUE"""),5)</f>
        <v>5</v>
      </c>
      <c r="V447" s="4">
        <f ca="1">IFERROR(__xludf.DUMMYFUNCTION("""COMPUTED_VALUE"""),5)</f>
        <v>5</v>
      </c>
      <c r="W447" s="4">
        <f ca="1">IFERROR(__xludf.DUMMYFUNCTION("""COMPUTED_VALUE"""),4)</f>
        <v>4</v>
      </c>
      <c r="X447" s="4">
        <f ca="1">IFERROR(__xludf.DUMMYFUNCTION("""COMPUTED_VALUE"""),4)</f>
        <v>4</v>
      </c>
      <c r="Y447" s="4">
        <f ca="1">IFERROR(__xludf.DUMMYFUNCTION("""COMPUTED_VALUE"""),4)</f>
        <v>4</v>
      </c>
      <c r="Z447" s="4">
        <f ca="1">IFERROR(__xludf.DUMMYFUNCTION("""COMPUTED_VALUE"""),4)</f>
        <v>4</v>
      </c>
      <c r="AA447" s="4">
        <f ca="1">IFERROR(__xludf.DUMMYFUNCTION("""COMPUTED_VALUE"""),4)</f>
        <v>4</v>
      </c>
      <c r="AB447" s="4">
        <f ca="1">IFERROR(__xludf.DUMMYFUNCTION("""COMPUTED_VALUE"""),5)</f>
        <v>5</v>
      </c>
      <c r="AC447" s="4">
        <f ca="1">IFERROR(__xludf.DUMMYFUNCTION("""COMPUTED_VALUE"""),4)</f>
        <v>4</v>
      </c>
      <c r="AD447" s="4">
        <f ca="1">IFERROR(__xludf.DUMMYFUNCTION("""COMPUTED_VALUE"""),4)</f>
        <v>4</v>
      </c>
      <c r="AE447" s="4">
        <f ca="1">IFERROR(__xludf.DUMMYFUNCTION("""COMPUTED_VALUE"""),4)</f>
        <v>4</v>
      </c>
      <c r="AF447" s="4">
        <f ca="1">IFERROR(__xludf.DUMMYFUNCTION("""COMPUTED_VALUE"""),5)</f>
        <v>5</v>
      </c>
      <c r="AG447" s="4">
        <f ca="1">IFERROR(__xludf.DUMMYFUNCTION("""COMPUTED_VALUE"""),5)</f>
        <v>5</v>
      </c>
      <c r="AH447" s="4">
        <f ca="1">IFERROR(__xludf.DUMMYFUNCTION("""COMPUTED_VALUE"""),5)</f>
        <v>5</v>
      </c>
      <c r="AI447" s="4">
        <f ca="1">IFERROR(__xludf.DUMMYFUNCTION("""COMPUTED_VALUE"""),5)</f>
        <v>5</v>
      </c>
      <c r="AJ447" s="4">
        <f ca="1">IFERROR(__xludf.DUMMYFUNCTION("""COMPUTED_VALUE"""),5)</f>
        <v>5</v>
      </c>
      <c r="AK447" s="4">
        <f ca="1">IFERROR(__xludf.DUMMYFUNCTION("""COMPUTED_VALUE"""),5)</f>
        <v>5</v>
      </c>
      <c r="AL447" s="4">
        <f ca="1">IFERROR(__xludf.DUMMYFUNCTION("""COMPUTED_VALUE"""),5)</f>
        <v>5</v>
      </c>
      <c r="AM447" s="4">
        <f ca="1">IFERROR(__xludf.DUMMYFUNCTION("""COMPUTED_VALUE"""),5)</f>
        <v>5</v>
      </c>
      <c r="AN447" s="4">
        <f ca="1">IFERROR(__xludf.DUMMYFUNCTION("""COMPUTED_VALUE"""),5)</f>
        <v>5</v>
      </c>
      <c r="AO447" s="4">
        <f ca="1">IFERROR(__xludf.DUMMYFUNCTION("""COMPUTED_VALUE"""),4)</f>
        <v>4</v>
      </c>
      <c r="AP447" s="4">
        <f ca="1">IFERROR(__xludf.DUMMYFUNCTION("""COMPUTED_VALUE"""),4)</f>
        <v>4</v>
      </c>
      <c r="AQ447" s="4">
        <f ca="1">IFERROR(__xludf.DUMMYFUNCTION("""COMPUTED_VALUE"""),4)</f>
        <v>4</v>
      </c>
      <c r="AR447" s="4">
        <f ca="1">IFERROR(__xludf.DUMMYFUNCTION("""COMPUTED_VALUE"""),5)</f>
        <v>5</v>
      </c>
      <c r="AS447" s="4">
        <f ca="1">IFERROR(__xludf.DUMMYFUNCTION("""COMPUTED_VALUE"""),5)</f>
        <v>5</v>
      </c>
      <c r="AT447" s="4">
        <f ca="1">IFERROR(__xludf.DUMMYFUNCTION("""COMPUTED_VALUE"""),4)</f>
        <v>4</v>
      </c>
      <c r="AU447" s="4">
        <f ca="1">IFERROR(__xludf.DUMMYFUNCTION("""COMPUTED_VALUE"""),4)</f>
        <v>4</v>
      </c>
      <c r="AV447" s="4">
        <f ca="1">IFERROR(__xludf.DUMMYFUNCTION("""COMPUTED_VALUE"""),4)</f>
        <v>4</v>
      </c>
      <c r="AW447" s="4">
        <f ca="1">IFERROR(__xludf.DUMMYFUNCTION("""COMPUTED_VALUE"""),4)</f>
        <v>4</v>
      </c>
      <c r="AX447" s="4">
        <f ca="1">IFERROR(__xludf.DUMMYFUNCTION("""COMPUTED_VALUE"""),5)</f>
        <v>5</v>
      </c>
      <c r="AY447" s="4">
        <f ca="1">IFERROR(__xludf.DUMMYFUNCTION("""COMPUTED_VALUE"""),5)</f>
        <v>5</v>
      </c>
      <c r="AZ447" s="4">
        <f ca="1">IFERROR(__xludf.DUMMYFUNCTION("""COMPUTED_VALUE"""),5)</f>
        <v>5</v>
      </c>
      <c r="BA447" s="4">
        <f ca="1">IFERROR(__xludf.DUMMYFUNCTION("""COMPUTED_VALUE"""),5)</f>
        <v>5</v>
      </c>
      <c r="BB447" s="4">
        <f ca="1">IFERROR(__xludf.DUMMYFUNCTION("""COMPUTED_VALUE"""),4)</f>
        <v>4</v>
      </c>
      <c r="BC447" s="4">
        <f ca="1">IFERROR(__xludf.DUMMYFUNCTION("""COMPUTED_VALUE"""),4)</f>
        <v>4</v>
      </c>
      <c r="BD447" s="4">
        <f ca="1">IFERROR(__xludf.DUMMYFUNCTION("""COMPUTED_VALUE"""),4)</f>
        <v>4</v>
      </c>
      <c r="BE447" s="4">
        <f ca="1">IFERROR(__xludf.DUMMYFUNCTION("""COMPUTED_VALUE"""),4)</f>
        <v>4</v>
      </c>
      <c r="BF447" s="4">
        <f ca="1">IFERROR(__xludf.DUMMYFUNCTION("""COMPUTED_VALUE"""),4)</f>
        <v>4</v>
      </c>
      <c r="BG447" s="4">
        <f ca="1">IFERROR(__xludf.DUMMYFUNCTION("""COMPUTED_VALUE"""),4)</f>
        <v>4</v>
      </c>
      <c r="BH447" s="4">
        <f ca="1">IFERROR(__xludf.DUMMYFUNCTION("""COMPUTED_VALUE"""),4)</f>
        <v>4</v>
      </c>
      <c r="BI447" s="4">
        <f ca="1">IFERROR(__xludf.DUMMYFUNCTION("""COMPUTED_VALUE"""),4)</f>
        <v>4</v>
      </c>
      <c r="BJ447" s="4">
        <f ca="1">IFERROR(__xludf.DUMMYFUNCTION("""COMPUTED_VALUE"""),4)</f>
        <v>4</v>
      </c>
      <c r="BK447" s="4">
        <f ca="1">IFERROR(__xludf.DUMMYFUNCTION("""COMPUTED_VALUE"""),5)</f>
        <v>5</v>
      </c>
      <c r="BL447" s="4">
        <f ca="1">IFERROR(__xludf.DUMMYFUNCTION("""COMPUTED_VALUE"""),4)</f>
        <v>4</v>
      </c>
      <c r="BM447" s="4">
        <f ca="1">IFERROR(__xludf.DUMMYFUNCTION("""COMPUTED_VALUE"""),4)</f>
        <v>4</v>
      </c>
      <c r="BN447" s="4">
        <f ca="1">IFERROR(__xludf.DUMMYFUNCTION("""COMPUTED_VALUE"""),4)</f>
        <v>4</v>
      </c>
      <c r="BO447" s="4">
        <f ca="1">IFERROR(__xludf.DUMMYFUNCTION("""COMPUTED_VALUE"""),4)</f>
        <v>4</v>
      </c>
      <c r="BP447" s="4">
        <f ca="1">IFERROR(__xludf.DUMMYFUNCTION("""COMPUTED_VALUE"""),4)</f>
        <v>4</v>
      </c>
    </row>
    <row r="448" spans="1:68" ht="13.2" x14ac:dyDescent="0.25">
      <c r="A448" s="4" t="str">
        <f ca="1">IFERROR(__xludf.DUMMYFUNCTION("""COMPUTED_VALUE"""),"2_ABaOnueYUtcgBS0PRx1DJ9HckuBkP63T6227XoSoT9FJb0mI7ELULWom9sGcAec_Vw")</f>
        <v>2_ABaOnueYUtcgBS0PRx1DJ9HckuBkP63T6227XoSoT9FJb0mI7ELULWom9sGcAec_Vw</v>
      </c>
      <c r="B448" s="5">
        <f ca="1">IFERROR(__xludf.DUMMYFUNCTION("""COMPUTED_VALUE"""),45994.735947199)</f>
        <v>45994.735947198998</v>
      </c>
      <c r="C448" s="4" t="str">
        <f ca="1">IFERROR(__xludf.DUMMYFUNCTION("""COMPUTED_VALUE"""),"Lê Thị Kim Oanh ")</f>
        <v xml:space="preserve">Lê Thị Kim Oanh </v>
      </c>
      <c r="D448" s="4" t="str">
        <f ca="1">IFERROR(__xludf.DUMMYFUNCTION("""COMPUTED_VALUE"""),"Nữ")</f>
        <v>Nữ</v>
      </c>
      <c r="E448" s="4" t="str">
        <f ca="1">IFERROR(__xludf.DUMMYFUNCTION("""COMPUTED_VALUE"""),"Công ty Kiểm toán và Định giá GAA")</f>
        <v>Công ty Kiểm toán và Định giá GAA</v>
      </c>
      <c r="F448" s="4" t="str">
        <f ca="1">IFERROR(__xludf.DUMMYFUNCTION("""COMPUTED_VALUE"""),"Sau đại học")</f>
        <v>Sau đại học</v>
      </c>
      <c r="G448" s="4" t="str">
        <f ca="1">IFERROR(__xludf.DUMMYFUNCTION("""COMPUTED_VALUE"""),"Từ 3 đến 5 năm")</f>
        <v>Từ 3 đến 5 năm</v>
      </c>
      <c r="H448" s="4" t="str">
        <f ca="1">IFERROR(__xludf.DUMMYFUNCTION("""COMPUTED_VALUE"""),"Trợ lý kiểm toán")</f>
        <v>Trợ lý kiểm toán</v>
      </c>
      <c r="I448" s="4">
        <f ca="1">IFERROR(__xludf.DUMMYFUNCTION("""COMPUTED_VALUE"""),5)</f>
        <v>5</v>
      </c>
      <c r="J448" s="4">
        <f ca="1">IFERROR(__xludf.DUMMYFUNCTION("""COMPUTED_VALUE"""),5)</f>
        <v>5</v>
      </c>
      <c r="K448" s="4">
        <f ca="1">IFERROR(__xludf.DUMMYFUNCTION("""COMPUTED_VALUE"""),5)</f>
        <v>5</v>
      </c>
      <c r="L448" s="4">
        <f ca="1">IFERROR(__xludf.DUMMYFUNCTION("""COMPUTED_VALUE"""),5)</f>
        <v>5</v>
      </c>
      <c r="M448" s="4">
        <f ca="1">IFERROR(__xludf.DUMMYFUNCTION("""COMPUTED_VALUE"""),5)</f>
        <v>5</v>
      </c>
      <c r="N448" s="4">
        <f ca="1">IFERROR(__xludf.DUMMYFUNCTION("""COMPUTED_VALUE"""),5)</f>
        <v>5</v>
      </c>
      <c r="O448" s="4">
        <f ca="1">IFERROR(__xludf.DUMMYFUNCTION("""COMPUTED_VALUE"""),5)</f>
        <v>5</v>
      </c>
      <c r="P448" s="4">
        <f ca="1">IFERROR(__xludf.DUMMYFUNCTION("""COMPUTED_VALUE"""),5)</f>
        <v>5</v>
      </c>
      <c r="Q448" s="4">
        <f ca="1">IFERROR(__xludf.DUMMYFUNCTION("""COMPUTED_VALUE"""),4)</f>
        <v>4</v>
      </c>
      <c r="R448" s="4">
        <f ca="1">IFERROR(__xludf.DUMMYFUNCTION("""COMPUTED_VALUE"""),4)</f>
        <v>4</v>
      </c>
      <c r="S448" s="4">
        <f ca="1">IFERROR(__xludf.DUMMYFUNCTION("""COMPUTED_VALUE"""),5)</f>
        <v>5</v>
      </c>
      <c r="T448" s="4">
        <f ca="1">IFERROR(__xludf.DUMMYFUNCTION("""COMPUTED_VALUE"""),4)</f>
        <v>4</v>
      </c>
      <c r="U448" s="4">
        <f ca="1">IFERROR(__xludf.DUMMYFUNCTION("""COMPUTED_VALUE"""),4)</f>
        <v>4</v>
      </c>
      <c r="V448" s="4">
        <f ca="1">IFERROR(__xludf.DUMMYFUNCTION("""COMPUTED_VALUE"""),3)</f>
        <v>3</v>
      </c>
      <c r="W448" s="4">
        <f ca="1">IFERROR(__xludf.DUMMYFUNCTION("""COMPUTED_VALUE"""),4)</f>
        <v>4</v>
      </c>
      <c r="X448" s="4">
        <f ca="1">IFERROR(__xludf.DUMMYFUNCTION("""COMPUTED_VALUE"""),4)</f>
        <v>4</v>
      </c>
      <c r="Y448" s="4">
        <f ca="1">IFERROR(__xludf.DUMMYFUNCTION("""COMPUTED_VALUE"""),4)</f>
        <v>4</v>
      </c>
      <c r="Z448" s="4">
        <f ca="1">IFERROR(__xludf.DUMMYFUNCTION("""COMPUTED_VALUE"""),4)</f>
        <v>4</v>
      </c>
      <c r="AA448" s="4">
        <f ca="1">IFERROR(__xludf.DUMMYFUNCTION("""COMPUTED_VALUE"""),4)</f>
        <v>4</v>
      </c>
      <c r="AB448" s="4">
        <f ca="1">IFERROR(__xludf.DUMMYFUNCTION("""COMPUTED_VALUE"""),5)</f>
        <v>5</v>
      </c>
      <c r="AC448" s="4">
        <f ca="1">IFERROR(__xludf.DUMMYFUNCTION("""COMPUTED_VALUE"""),5)</f>
        <v>5</v>
      </c>
      <c r="AD448" s="4">
        <f ca="1">IFERROR(__xludf.DUMMYFUNCTION("""COMPUTED_VALUE"""),4)</f>
        <v>4</v>
      </c>
      <c r="AE448" s="4">
        <f ca="1">IFERROR(__xludf.DUMMYFUNCTION("""COMPUTED_VALUE"""),5)</f>
        <v>5</v>
      </c>
      <c r="AF448" s="4">
        <f ca="1">IFERROR(__xludf.DUMMYFUNCTION("""COMPUTED_VALUE"""),4)</f>
        <v>4</v>
      </c>
      <c r="AG448" s="4">
        <f ca="1">IFERROR(__xludf.DUMMYFUNCTION("""COMPUTED_VALUE"""),4)</f>
        <v>4</v>
      </c>
      <c r="AH448" s="4">
        <f ca="1">IFERROR(__xludf.DUMMYFUNCTION("""COMPUTED_VALUE"""),4)</f>
        <v>4</v>
      </c>
      <c r="AI448" s="4">
        <f ca="1">IFERROR(__xludf.DUMMYFUNCTION("""COMPUTED_VALUE"""),4)</f>
        <v>4</v>
      </c>
      <c r="AJ448" s="4">
        <f ca="1">IFERROR(__xludf.DUMMYFUNCTION("""COMPUTED_VALUE"""),4)</f>
        <v>4</v>
      </c>
      <c r="AK448" s="4">
        <f ca="1">IFERROR(__xludf.DUMMYFUNCTION("""COMPUTED_VALUE"""),4)</f>
        <v>4</v>
      </c>
      <c r="AL448" s="4">
        <f ca="1">IFERROR(__xludf.DUMMYFUNCTION("""COMPUTED_VALUE"""),3)</f>
        <v>3</v>
      </c>
      <c r="AM448" s="4">
        <f ca="1">IFERROR(__xludf.DUMMYFUNCTION("""COMPUTED_VALUE"""),3)</f>
        <v>3</v>
      </c>
      <c r="AN448" s="4">
        <f ca="1">IFERROR(__xludf.DUMMYFUNCTION("""COMPUTED_VALUE"""),3)</f>
        <v>3</v>
      </c>
      <c r="AO448" s="4">
        <f ca="1">IFERROR(__xludf.DUMMYFUNCTION("""COMPUTED_VALUE"""),4)</f>
        <v>4</v>
      </c>
      <c r="AP448" s="4">
        <f ca="1">IFERROR(__xludf.DUMMYFUNCTION("""COMPUTED_VALUE"""),4)</f>
        <v>4</v>
      </c>
      <c r="AQ448" s="4">
        <f ca="1">IFERROR(__xludf.DUMMYFUNCTION("""COMPUTED_VALUE"""),4)</f>
        <v>4</v>
      </c>
      <c r="AR448" s="4">
        <f ca="1">IFERROR(__xludf.DUMMYFUNCTION("""COMPUTED_VALUE"""),4)</f>
        <v>4</v>
      </c>
      <c r="AS448" s="4">
        <f ca="1">IFERROR(__xludf.DUMMYFUNCTION("""COMPUTED_VALUE"""),3)</f>
        <v>3</v>
      </c>
      <c r="AT448" s="4">
        <f ca="1">IFERROR(__xludf.DUMMYFUNCTION("""COMPUTED_VALUE"""),4)</f>
        <v>4</v>
      </c>
      <c r="AU448" s="4">
        <f ca="1">IFERROR(__xludf.DUMMYFUNCTION("""COMPUTED_VALUE"""),4)</f>
        <v>4</v>
      </c>
      <c r="AV448" s="4">
        <f ca="1">IFERROR(__xludf.DUMMYFUNCTION("""COMPUTED_VALUE"""),4)</f>
        <v>4</v>
      </c>
      <c r="AW448" s="4">
        <f ca="1">IFERROR(__xludf.DUMMYFUNCTION("""COMPUTED_VALUE"""),3)</f>
        <v>3</v>
      </c>
      <c r="AX448" s="4">
        <f ca="1">IFERROR(__xludf.DUMMYFUNCTION("""COMPUTED_VALUE"""),5)</f>
        <v>5</v>
      </c>
      <c r="AY448" s="4">
        <f ca="1">IFERROR(__xludf.DUMMYFUNCTION("""COMPUTED_VALUE"""),4)</f>
        <v>4</v>
      </c>
      <c r="AZ448" s="4">
        <f ca="1">IFERROR(__xludf.DUMMYFUNCTION("""COMPUTED_VALUE"""),5)</f>
        <v>5</v>
      </c>
      <c r="BA448" s="4">
        <f ca="1">IFERROR(__xludf.DUMMYFUNCTION("""COMPUTED_VALUE"""),5)</f>
        <v>5</v>
      </c>
      <c r="BB448" s="4">
        <f ca="1">IFERROR(__xludf.DUMMYFUNCTION("""COMPUTED_VALUE"""),4)</f>
        <v>4</v>
      </c>
      <c r="BC448" s="4">
        <f ca="1">IFERROR(__xludf.DUMMYFUNCTION("""COMPUTED_VALUE"""),4)</f>
        <v>4</v>
      </c>
      <c r="BD448" s="4">
        <f ca="1">IFERROR(__xludf.DUMMYFUNCTION("""COMPUTED_VALUE"""),4)</f>
        <v>4</v>
      </c>
      <c r="BE448" s="4">
        <f ca="1">IFERROR(__xludf.DUMMYFUNCTION("""COMPUTED_VALUE"""),4)</f>
        <v>4</v>
      </c>
      <c r="BF448" s="4">
        <f ca="1">IFERROR(__xludf.DUMMYFUNCTION("""COMPUTED_VALUE"""),3)</f>
        <v>3</v>
      </c>
      <c r="BG448" s="4">
        <f ca="1">IFERROR(__xludf.DUMMYFUNCTION("""COMPUTED_VALUE"""),3)</f>
        <v>3</v>
      </c>
      <c r="BH448" s="4">
        <f ca="1">IFERROR(__xludf.DUMMYFUNCTION("""COMPUTED_VALUE"""),4)</f>
        <v>4</v>
      </c>
      <c r="BI448" s="4">
        <f ca="1">IFERROR(__xludf.DUMMYFUNCTION("""COMPUTED_VALUE"""),4)</f>
        <v>4</v>
      </c>
      <c r="BJ448" s="4">
        <f ca="1">IFERROR(__xludf.DUMMYFUNCTION("""COMPUTED_VALUE"""),4)</f>
        <v>4</v>
      </c>
      <c r="BK448" s="4">
        <f ca="1">IFERROR(__xludf.DUMMYFUNCTION("""COMPUTED_VALUE"""),4)</f>
        <v>4</v>
      </c>
      <c r="BL448" s="4">
        <f ca="1">IFERROR(__xludf.DUMMYFUNCTION("""COMPUTED_VALUE"""),4)</f>
        <v>4</v>
      </c>
      <c r="BM448" s="4">
        <f ca="1">IFERROR(__xludf.DUMMYFUNCTION("""COMPUTED_VALUE"""),4)</f>
        <v>4</v>
      </c>
      <c r="BN448" s="4">
        <f ca="1">IFERROR(__xludf.DUMMYFUNCTION("""COMPUTED_VALUE"""),4)</f>
        <v>4</v>
      </c>
      <c r="BO448" s="4">
        <f ca="1">IFERROR(__xludf.DUMMYFUNCTION("""COMPUTED_VALUE"""),4)</f>
        <v>4</v>
      </c>
      <c r="BP448" s="4">
        <f ca="1">IFERROR(__xludf.DUMMYFUNCTION("""COMPUTED_VALUE"""),4)</f>
        <v>4</v>
      </c>
    </row>
    <row r="449" spans="1:68" ht="13.2" x14ac:dyDescent="0.25">
      <c r="A449" s="4" t="str">
        <f ca="1">IFERROR(__xludf.DUMMYFUNCTION("""COMPUTED_VALUE"""),"2_ABaOnuckqrd4Wv1tlE-a1kSWO2k8b6o9ArAJyiAOSbzuNRR65NoSXWmsD5wviwjN4g")</f>
        <v>2_ABaOnuckqrd4Wv1tlE-a1kSWO2k8b6o9ArAJyiAOSbzuNRR65NoSXWmsD5wviwjN4g</v>
      </c>
      <c r="B449" s="5">
        <f ca="1">IFERROR(__xludf.DUMMYFUNCTION("""COMPUTED_VALUE"""),45994.7496805671)</f>
        <v>45994.749680567103</v>
      </c>
      <c r="C449" s="4" t="str">
        <f ca="1">IFERROR(__xludf.DUMMYFUNCTION("""COMPUTED_VALUE"""),"Nguyễn Trương Thảo Nguyên")</f>
        <v>Nguyễn Trương Thảo Nguyên</v>
      </c>
      <c r="D449" s="4" t="str">
        <f ca="1">IFERROR(__xludf.DUMMYFUNCTION("""COMPUTED_VALUE"""),"Nữ")</f>
        <v>Nữ</v>
      </c>
      <c r="E449" s="4" t="str">
        <f ca="1">IFERROR(__xludf.DUMMYFUNCTION("""COMPUTED_VALUE"""),"Công ty TNHH Kiểm toán và Định giá GAA")</f>
        <v>Công ty TNHH Kiểm toán và Định giá GAA</v>
      </c>
      <c r="F449" s="4" t="str">
        <f ca="1">IFERROR(__xludf.DUMMYFUNCTION("""COMPUTED_VALUE"""),"Đại học")</f>
        <v>Đại học</v>
      </c>
      <c r="G449" s="4" t="str">
        <f ca="1">IFERROR(__xludf.DUMMYFUNCTION("""COMPUTED_VALUE"""),"Từ 3 đến 5 năm")</f>
        <v>Từ 3 đến 5 năm</v>
      </c>
      <c r="H449" s="4" t="str">
        <f ca="1">IFERROR(__xludf.DUMMYFUNCTION("""COMPUTED_VALUE"""),"Trợ lý kiểm toán")</f>
        <v>Trợ lý kiểm toán</v>
      </c>
      <c r="I449" s="4">
        <f ca="1">IFERROR(__xludf.DUMMYFUNCTION("""COMPUTED_VALUE"""),4)</f>
        <v>4</v>
      </c>
      <c r="J449" s="4">
        <f ca="1">IFERROR(__xludf.DUMMYFUNCTION("""COMPUTED_VALUE"""),4)</f>
        <v>4</v>
      </c>
      <c r="K449" s="4">
        <f ca="1">IFERROR(__xludf.DUMMYFUNCTION("""COMPUTED_VALUE"""),4)</f>
        <v>4</v>
      </c>
      <c r="L449" s="4">
        <f ca="1">IFERROR(__xludf.DUMMYFUNCTION("""COMPUTED_VALUE"""),4)</f>
        <v>4</v>
      </c>
      <c r="M449" s="4">
        <f ca="1">IFERROR(__xludf.DUMMYFUNCTION("""COMPUTED_VALUE"""),4)</f>
        <v>4</v>
      </c>
      <c r="N449" s="4">
        <f ca="1">IFERROR(__xludf.DUMMYFUNCTION("""COMPUTED_VALUE"""),4)</f>
        <v>4</v>
      </c>
      <c r="O449" s="4">
        <f ca="1">IFERROR(__xludf.DUMMYFUNCTION("""COMPUTED_VALUE"""),4)</f>
        <v>4</v>
      </c>
      <c r="P449" s="4">
        <f ca="1">IFERROR(__xludf.DUMMYFUNCTION("""COMPUTED_VALUE"""),4)</f>
        <v>4</v>
      </c>
      <c r="Q449" s="4">
        <f ca="1">IFERROR(__xludf.DUMMYFUNCTION("""COMPUTED_VALUE"""),4)</f>
        <v>4</v>
      </c>
      <c r="R449" s="4">
        <f ca="1">IFERROR(__xludf.DUMMYFUNCTION("""COMPUTED_VALUE"""),4)</f>
        <v>4</v>
      </c>
      <c r="S449" s="4">
        <f ca="1">IFERROR(__xludf.DUMMYFUNCTION("""COMPUTED_VALUE"""),4)</f>
        <v>4</v>
      </c>
      <c r="T449" s="4">
        <f ca="1">IFERROR(__xludf.DUMMYFUNCTION("""COMPUTED_VALUE"""),4)</f>
        <v>4</v>
      </c>
      <c r="U449" s="4">
        <f ca="1">IFERROR(__xludf.DUMMYFUNCTION("""COMPUTED_VALUE"""),4)</f>
        <v>4</v>
      </c>
      <c r="V449" s="4">
        <f ca="1">IFERROR(__xludf.DUMMYFUNCTION("""COMPUTED_VALUE"""),4)</f>
        <v>4</v>
      </c>
      <c r="W449" s="4">
        <f ca="1">IFERROR(__xludf.DUMMYFUNCTION("""COMPUTED_VALUE"""),4)</f>
        <v>4</v>
      </c>
      <c r="X449" s="4">
        <f ca="1">IFERROR(__xludf.DUMMYFUNCTION("""COMPUTED_VALUE"""),4)</f>
        <v>4</v>
      </c>
      <c r="Y449" s="4">
        <f ca="1">IFERROR(__xludf.DUMMYFUNCTION("""COMPUTED_VALUE"""),4)</f>
        <v>4</v>
      </c>
      <c r="Z449" s="4">
        <f ca="1">IFERROR(__xludf.DUMMYFUNCTION("""COMPUTED_VALUE"""),4)</f>
        <v>4</v>
      </c>
      <c r="AA449" s="4">
        <f ca="1">IFERROR(__xludf.DUMMYFUNCTION("""COMPUTED_VALUE"""),4)</f>
        <v>4</v>
      </c>
      <c r="AB449" s="4">
        <f ca="1">IFERROR(__xludf.DUMMYFUNCTION("""COMPUTED_VALUE"""),4)</f>
        <v>4</v>
      </c>
      <c r="AC449" s="4">
        <f ca="1">IFERROR(__xludf.DUMMYFUNCTION("""COMPUTED_VALUE"""),4)</f>
        <v>4</v>
      </c>
      <c r="AD449" s="4">
        <f ca="1">IFERROR(__xludf.DUMMYFUNCTION("""COMPUTED_VALUE"""),4)</f>
        <v>4</v>
      </c>
      <c r="AE449" s="4">
        <f ca="1">IFERROR(__xludf.DUMMYFUNCTION("""COMPUTED_VALUE"""),4)</f>
        <v>4</v>
      </c>
      <c r="AF449" s="4">
        <f ca="1">IFERROR(__xludf.DUMMYFUNCTION("""COMPUTED_VALUE"""),4)</f>
        <v>4</v>
      </c>
      <c r="AG449" s="4">
        <f ca="1">IFERROR(__xludf.DUMMYFUNCTION("""COMPUTED_VALUE"""),4)</f>
        <v>4</v>
      </c>
      <c r="AH449" s="4">
        <f ca="1">IFERROR(__xludf.DUMMYFUNCTION("""COMPUTED_VALUE"""),4)</f>
        <v>4</v>
      </c>
      <c r="AI449" s="4">
        <f ca="1">IFERROR(__xludf.DUMMYFUNCTION("""COMPUTED_VALUE"""),4)</f>
        <v>4</v>
      </c>
      <c r="AJ449" s="4">
        <f ca="1">IFERROR(__xludf.DUMMYFUNCTION("""COMPUTED_VALUE"""),4)</f>
        <v>4</v>
      </c>
      <c r="AK449" s="4">
        <f ca="1">IFERROR(__xludf.DUMMYFUNCTION("""COMPUTED_VALUE"""),4)</f>
        <v>4</v>
      </c>
      <c r="AL449" s="4">
        <f ca="1">IFERROR(__xludf.DUMMYFUNCTION("""COMPUTED_VALUE"""),4)</f>
        <v>4</v>
      </c>
      <c r="AM449" s="4">
        <f ca="1">IFERROR(__xludf.DUMMYFUNCTION("""COMPUTED_VALUE"""),4)</f>
        <v>4</v>
      </c>
      <c r="AN449" s="4">
        <f ca="1">IFERROR(__xludf.DUMMYFUNCTION("""COMPUTED_VALUE"""),4)</f>
        <v>4</v>
      </c>
      <c r="AO449" s="4">
        <f ca="1">IFERROR(__xludf.DUMMYFUNCTION("""COMPUTED_VALUE"""),4)</f>
        <v>4</v>
      </c>
      <c r="AP449" s="4">
        <f ca="1">IFERROR(__xludf.DUMMYFUNCTION("""COMPUTED_VALUE"""),4)</f>
        <v>4</v>
      </c>
      <c r="AQ449" s="4">
        <f ca="1">IFERROR(__xludf.DUMMYFUNCTION("""COMPUTED_VALUE"""),4)</f>
        <v>4</v>
      </c>
      <c r="AR449" s="4">
        <f ca="1">IFERROR(__xludf.DUMMYFUNCTION("""COMPUTED_VALUE"""),4)</f>
        <v>4</v>
      </c>
      <c r="AS449" s="4">
        <f ca="1">IFERROR(__xludf.DUMMYFUNCTION("""COMPUTED_VALUE"""),4)</f>
        <v>4</v>
      </c>
      <c r="AT449" s="4">
        <f ca="1">IFERROR(__xludf.DUMMYFUNCTION("""COMPUTED_VALUE"""),4)</f>
        <v>4</v>
      </c>
      <c r="AU449" s="4">
        <f ca="1">IFERROR(__xludf.DUMMYFUNCTION("""COMPUTED_VALUE"""),4)</f>
        <v>4</v>
      </c>
      <c r="AV449" s="4">
        <f ca="1">IFERROR(__xludf.DUMMYFUNCTION("""COMPUTED_VALUE"""),4)</f>
        <v>4</v>
      </c>
      <c r="AW449" s="4">
        <f ca="1">IFERROR(__xludf.DUMMYFUNCTION("""COMPUTED_VALUE"""),4)</f>
        <v>4</v>
      </c>
      <c r="AX449" s="4">
        <f ca="1">IFERROR(__xludf.DUMMYFUNCTION("""COMPUTED_VALUE"""),4)</f>
        <v>4</v>
      </c>
      <c r="AY449" s="4">
        <f ca="1">IFERROR(__xludf.DUMMYFUNCTION("""COMPUTED_VALUE"""),4)</f>
        <v>4</v>
      </c>
      <c r="AZ449" s="4">
        <f ca="1">IFERROR(__xludf.DUMMYFUNCTION("""COMPUTED_VALUE"""),4)</f>
        <v>4</v>
      </c>
      <c r="BA449" s="4">
        <f ca="1">IFERROR(__xludf.DUMMYFUNCTION("""COMPUTED_VALUE"""),4)</f>
        <v>4</v>
      </c>
      <c r="BB449" s="4">
        <f ca="1">IFERROR(__xludf.DUMMYFUNCTION("""COMPUTED_VALUE"""),4)</f>
        <v>4</v>
      </c>
      <c r="BC449" s="4">
        <f ca="1">IFERROR(__xludf.DUMMYFUNCTION("""COMPUTED_VALUE"""),4)</f>
        <v>4</v>
      </c>
      <c r="BD449" s="4">
        <f ca="1">IFERROR(__xludf.DUMMYFUNCTION("""COMPUTED_VALUE"""),4)</f>
        <v>4</v>
      </c>
      <c r="BE449" s="4">
        <f ca="1">IFERROR(__xludf.DUMMYFUNCTION("""COMPUTED_VALUE"""),4)</f>
        <v>4</v>
      </c>
      <c r="BF449" s="4">
        <f ca="1">IFERROR(__xludf.DUMMYFUNCTION("""COMPUTED_VALUE"""),4)</f>
        <v>4</v>
      </c>
      <c r="BG449" s="4">
        <f ca="1">IFERROR(__xludf.DUMMYFUNCTION("""COMPUTED_VALUE"""),4)</f>
        <v>4</v>
      </c>
      <c r="BH449" s="4">
        <f ca="1">IFERROR(__xludf.DUMMYFUNCTION("""COMPUTED_VALUE"""),4)</f>
        <v>4</v>
      </c>
      <c r="BI449" s="4">
        <f ca="1">IFERROR(__xludf.DUMMYFUNCTION("""COMPUTED_VALUE"""),4)</f>
        <v>4</v>
      </c>
      <c r="BJ449" s="4">
        <f ca="1">IFERROR(__xludf.DUMMYFUNCTION("""COMPUTED_VALUE"""),4)</f>
        <v>4</v>
      </c>
      <c r="BK449" s="4">
        <f ca="1">IFERROR(__xludf.DUMMYFUNCTION("""COMPUTED_VALUE"""),4)</f>
        <v>4</v>
      </c>
      <c r="BL449" s="4">
        <f ca="1">IFERROR(__xludf.DUMMYFUNCTION("""COMPUTED_VALUE"""),4)</f>
        <v>4</v>
      </c>
      <c r="BM449" s="4">
        <f ca="1">IFERROR(__xludf.DUMMYFUNCTION("""COMPUTED_VALUE"""),4)</f>
        <v>4</v>
      </c>
      <c r="BN449" s="4">
        <f ca="1">IFERROR(__xludf.DUMMYFUNCTION("""COMPUTED_VALUE"""),4)</f>
        <v>4</v>
      </c>
      <c r="BO449" s="4">
        <f ca="1">IFERROR(__xludf.DUMMYFUNCTION("""COMPUTED_VALUE"""),4)</f>
        <v>4</v>
      </c>
      <c r="BP449" s="4">
        <f ca="1">IFERROR(__xludf.DUMMYFUNCTION("""COMPUTED_VALUE"""),4)</f>
        <v>4</v>
      </c>
    </row>
    <row r="450" spans="1:68" ht="13.2" x14ac:dyDescent="0.25">
      <c r="A450" s="4" t="str">
        <f ca="1">IFERROR(__xludf.DUMMYFUNCTION("""COMPUTED_VALUE"""),"2_ABaOnueS4zy-taODEG7tTip6Iq7-1nR6co0id-5NIMShbiCUJpPF6pnE0Y5phX14-g")</f>
        <v>2_ABaOnueS4zy-taODEG7tTip6Iq7-1nR6co0id-5NIMShbiCUJpPF6pnE0Y5phX14-g</v>
      </c>
      <c r="B450" s="5">
        <f ca="1">IFERROR(__xludf.DUMMYFUNCTION("""COMPUTED_VALUE"""),45994.7763816319)</f>
        <v>45994.776381631898</v>
      </c>
      <c r="C450" s="4" t="str">
        <f ca="1">IFERROR(__xludf.DUMMYFUNCTION("""COMPUTED_VALUE"""),"Dương Thị Bảo Ngà")</f>
        <v>Dương Thị Bảo Ngà</v>
      </c>
      <c r="D450" s="4" t="str">
        <f ca="1">IFERROR(__xludf.DUMMYFUNCTION("""COMPUTED_VALUE"""),"Nữ")</f>
        <v>Nữ</v>
      </c>
      <c r="E450" s="4" t="str">
        <f ca="1">IFERROR(__xludf.DUMMYFUNCTION("""COMPUTED_VALUE"""),"Công ty Kiểm toán và Địng giá GAA")</f>
        <v>Công ty Kiểm toán và Địng giá GAA</v>
      </c>
      <c r="F450" s="4" t="str">
        <f ca="1">IFERROR(__xludf.DUMMYFUNCTION("""COMPUTED_VALUE"""),"Đại học")</f>
        <v>Đại học</v>
      </c>
      <c r="G450" s="4" t="str">
        <f ca="1">IFERROR(__xludf.DUMMYFUNCTION("""COMPUTED_VALUE"""),"Từ 3 đến 5 năm")</f>
        <v>Từ 3 đến 5 năm</v>
      </c>
      <c r="H450" s="4" t="str">
        <f ca="1">IFERROR(__xludf.DUMMYFUNCTION("""COMPUTED_VALUE"""),"Trợ lý kiểm toán")</f>
        <v>Trợ lý kiểm toán</v>
      </c>
      <c r="I450" s="4">
        <f ca="1">IFERROR(__xludf.DUMMYFUNCTION("""COMPUTED_VALUE"""),5)</f>
        <v>5</v>
      </c>
      <c r="J450" s="4">
        <f ca="1">IFERROR(__xludf.DUMMYFUNCTION("""COMPUTED_VALUE"""),5)</f>
        <v>5</v>
      </c>
      <c r="K450" s="4">
        <f ca="1">IFERROR(__xludf.DUMMYFUNCTION("""COMPUTED_VALUE"""),5)</f>
        <v>5</v>
      </c>
      <c r="L450" s="4">
        <f ca="1">IFERROR(__xludf.DUMMYFUNCTION("""COMPUTED_VALUE"""),4)</f>
        <v>4</v>
      </c>
      <c r="M450" s="4">
        <f ca="1">IFERROR(__xludf.DUMMYFUNCTION("""COMPUTED_VALUE"""),5)</f>
        <v>5</v>
      </c>
      <c r="N450" s="4">
        <f ca="1">IFERROR(__xludf.DUMMYFUNCTION("""COMPUTED_VALUE"""),5)</f>
        <v>5</v>
      </c>
      <c r="O450" s="4">
        <f ca="1">IFERROR(__xludf.DUMMYFUNCTION("""COMPUTED_VALUE"""),5)</f>
        <v>5</v>
      </c>
      <c r="P450" s="4">
        <f ca="1">IFERROR(__xludf.DUMMYFUNCTION("""COMPUTED_VALUE"""),5)</f>
        <v>5</v>
      </c>
      <c r="Q450" s="4">
        <f ca="1">IFERROR(__xludf.DUMMYFUNCTION("""COMPUTED_VALUE"""),5)</f>
        <v>5</v>
      </c>
      <c r="R450" s="4">
        <f ca="1">IFERROR(__xludf.DUMMYFUNCTION("""COMPUTED_VALUE"""),4)</f>
        <v>4</v>
      </c>
      <c r="S450" s="4">
        <f ca="1">IFERROR(__xludf.DUMMYFUNCTION("""COMPUTED_VALUE"""),5)</f>
        <v>5</v>
      </c>
      <c r="T450" s="4">
        <f ca="1">IFERROR(__xludf.DUMMYFUNCTION("""COMPUTED_VALUE"""),5)</f>
        <v>5</v>
      </c>
      <c r="U450" s="4">
        <f ca="1">IFERROR(__xludf.DUMMYFUNCTION("""COMPUTED_VALUE"""),5)</f>
        <v>5</v>
      </c>
      <c r="V450" s="4">
        <f ca="1">IFERROR(__xludf.DUMMYFUNCTION("""COMPUTED_VALUE"""),5)</f>
        <v>5</v>
      </c>
      <c r="W450" s="4">
        <f ca="1">IFERROR(__xludf.DUMMYFUNCTION("""COMPUTED_VALUE"""),4)</f>
        <v>4</v>
      </c>
      <c r="X450" s="4">
        <f ca="1">IFERROR(__xludf.DUMMYFUNCTION("""COMPUTED_VALUE"""),4)</f>
        <v>4</v>
      </c>
      <c r="Y450" s="4">
        <f ca="1">IFERROR(__xludf.DUMMYFUNCTION("""COMPUTED_VALUE"""),4)</f>
        <v>4</v>
      </c>
      <c r="Z450" s="4">
        <f ca="1">IFERROR(__xludf.DUMMYFUNCTION("""COMPUTED_VALUE"""),4)</f>
        <v>4</v>
      </c>
      <c r="AA450" s="4">
        <f ca="1">IFERROR(__xludf.DUMMYFUNCTION("""COMPUTED_VALUE"""),4)</f>
        <v>4</v>
      </c>
      <c r="AB450" s="4">
        <f ca="1">IFERROR(__xludf.DUMMYFUNCTION("""COMPUTED_VALUE"""),5)</f>
        <v>5</v>
      </c>
      <c r="AC450" s="4">
        <f ca="1">IFERROR(__xludf.DUMMYFUNCTION("""COMPUTED_VALUE"""),5)</f>
        <v>5</v>
      </c>
      <c r="AD450" s="4">
        <f ca="1">IFERROR(__xludf.DUMMYFUNCTION("""COMPUTED_VALUE"""),4)</f>
        <v>4</v>
      </c>
      <c r="AE450" s="4">
        <f ca="1">IFERROR(__xludf.DUMMYFUNCTION("""COMPUTED_VALUE"""),4)</f>
        <v>4</v>
      </c>
      <c r="AF450" s="4">
        <f ca="1">IFERROR(__xludf.DUMMYFUNCTION("""COMPUTED_VALUE"""),5)</f>
        <v>5</v>
      </c>
      <c r="AG450" s="4">
        <f ca="1">IFERROR(__xludf.DUMMYFUNCTION("""COMPUTED_VALUE"""),5)</f>
        <v>5</v>
      </c>
      <c r="AH450" s="4">
        <f ca="1">IFERROR(__xludf.DUMMYFUNCTION("""COMPUTED_VALUE"""),5)</f>
        <v>5</v>
      </c>
      <c r="AI450" s="4">
        <f ca="1">IFERROR(__xludf.DUMMYFUNCTION("""COMPUTED_VALUE"""),5)</f>
        <v>5</v>
      </c>
      <c r="AJ450" s="4">
        <f ca="1">IFERROR(__xludf.DUMMYFUNCTION("""COMPUTED_VALUE"""),5)</f>
        <v>5</v>
      </c>
      <c r="AK450" s="4">
        <f ca="1">IFERROR(__xludf.DUMMYFUNCTION("""COMPUTED_VALUE"""),4)</f>
        <v>4</v>
      </c>
      <c r="AL450" s="4">
        <f ca="1">IFERROR(__xludf.DUMMYFUNCTION("""COMPUTED_VALUE"""),4)</f>
        <v>4</v>
      </c>
      <c r="AM450" s="4">
        <f ca="1">IFERROR(__xludf.DUMMYFUNCTION("""COMPUTED_VALUE"""),4)</f>
        <v>4</v>
      </c>
      <c r="AN450" s="4">
        <f ca="1">IFERROR(__xludf.DUMMYFUNCTION("""COMPUTED_VALUE"""),4)</f>
        <v>4</v>
      </c>
      <c r="AO450" s="4">
        <f ca="1">IFERROR(__xludf.DUMMYFUNCTION("""COMPUTED_VALUE"""),3)</f>
        <v>3</v>
      </c>
      <c r="AP450" s="4">
        <f ca="1">IFERROR(__xludf.DUMMYFUNCTION("""COMPUTED_VALUE"""),3)</f>
        <v>3</v>
      </c>
      <c r="AQ450" s="4">
        <f ca="1">IFERROR(__xludf.DUMMYFUNCTION("""COMPUTED_VALUE"""),3)</f>
        <v>3</v>
      </c>
      <c r="AR450" s="4">
        <f ca="1">IFERROR(__xludf.DUMMYFUNCTION("""COMPUTED_VALUE"""),3)</f>
        <v>3</v>
      </c>
      <c r="AS450" s="4">
        <f ca="1">IFERROR(__xludf.DUMMYFUNCTION("""COMPUTED_VALUE"""),3)</f>
        <v>3</v>
      </c>
      <c r="AT450" s="4">
        <f ca="1">IFERROR(__xludf.DUMMYFUNCTION("""COMPUTED_VALUE"""),3)</f>
        <v>3</v>
      </c>
      <c r="AU450" s="4">
        <f ca="1">IFERROR(__xludf.DUMMYFUNCTION("""COMPUTED_VALUE"""),3)</f>
        <v>3</v>
      </c>
      <c r="AV450" s="4">
        <f ca="1">IFERROR(__xludf.DUMMYFUNCTION("""COMPUTED_VALUE"""),3)</f>
        <v>3</v>
      </c>
      <c r="AW450" s="4">
        <f ca="1">IFERROR(__xludf.DUMMYFUNCTION("""COMPUTED_VALUE"""),3)</f>
        <v>3</v>
      </c>
      <c r="AX450" s="4">
        <f ca="1">IFERROR(__xludf.DUMMYFUNCTION("""COMPUTED_VALUE"""),5)</f>
        <v>5</v>
      </c>
      <c r="AY450" s="4">
        <f ca="1">IFERROR(__xludf.DUMMYFUNCTION("""COMPUTED_VALUE"""),5)</f>
        <v>5</v>
      </c>
      <c r="AZ450" s="4">
        <f ca="1">IFERROR(__xludf.DUMMYFUNCTION("""COMPUTED_VALUE"""),5)</f>
        <v>5</v>
      </c>
      <c r="BA450" s="4">
        <f ca="1">IFERROR(__xludf.DUMMYFUNCTION("""COMPUTED_VALUE"""),5)</f>
        <v>5</v>
      </c>
      <c r="BB450" s="4">
        <f ca="1">IFERROR(__xludf.DUMMYFUNCTION("""COMPUTED_VALUE"""),4)</f>
        <v>4</v>
      </c>
      <c r="BC450" s="4">
        <f ca="1">IFERROR(__xludf.DUMMYFUNCTION("""COMPUTED_VALUE"""),4)</f>
        <v>4</v>
      </c>
      <c r="BD450" s="4">
        <f ca="1">IFERROR(__xludf.DUMMYFUNCTION("""COMPUTED_VALUE"""),4)</f>
        <v>4</v>
      </c>
      <c r="BE450" s="4">
        <f ca="1">IFERROR(__xludf.DUMMYFUNCTION("""COMPUTED_VALUE"""),4)</f>
        <v>4</v>
      </c>
      <c r="BF450" s="4">
        <f ca="1">IFERROR(__xludf.DUMMYFUNCTION("""COMPUTED_VALUE"""),4)</f>
        <v>4</v>
      </c>
      <c r="BG450" s="4">
        <f ca="1">IFERROR(__xludf.DUMMYFUNCTION("""COMPUTED_VALUE"""),4)</f>
        <v>4</v>
      </c>
      <c r="BH450" s="4">
        <f ca="1">IFERROR(__xludf.DUMMYFUNCTION("""COMPUTED_VALUE"""),4)</f>
        <v>4</v>
      </c>
      <c r="BI450" s="4">
        <f ca="1">IFERROR(__xludf.DUMMYFUNCTION("""COMPUTED_VALUE"""),4)</f>
        <v>4</v>
      </c>
      <c r="BJ450" s="4">
        <f ca="1">IFERROR(__xludf.DUMMYFUNCTION("""COMPUTED_VALUE"""),4)</f>
        <v>4</v>
      </c>
      <c r="BK450" s="4">
        <f ca="1">IFERROR(__xludf.DUMMYFUNCTION("""COMPUTED_VALUE"""),5)</f>
        <v>5</v>
      </c>
      <c r="BL450" s="4">
        <f ca="1">IFERROR(__xludf.DUMMYFUNCTION("""COMPUTED_VALUE"""),5)</f>
        <v>5</v>
      </c>
      <c r="BM450" s="4">
        <f ca="1">IFERROR(__xludf.DUMMYFUNCTION("""COMPUTED_VALUE"""),5)</f>
        <v>5</v>
      </c>
      <c r="BN450" s="4">
        <f ca="1">IFERROR(__xludf.DUMMYFUNCTION("""COMPUTED_VALUE"""),5)</f>
        <v>5</v>
      </c>
      <c r="BO450" s="4">
        <f ca="1">IFERROR(__xludf.DUMMYFUNCTION("""COMPUTED_VALUE"""),4)</f>
        <v>4</v>
      </c>
      <c r="BP450" s="4">
        <f ca="1">IFERROR(__xludf.DUMMYFUNCTION("""COMPUTED_VALUE"""),4)</f>
        <v>4</v>
      </c>
    </row>
    <row r="451" spans="1:68" ht="13.2" x14ac:dyDescent="0.25">
      <c r="A451" s="4" t="str">
        <f ca="1">IFERROR(__xludf.DUMMYFUNCTION("""COMPUTED_VALUE"""),"2_ABaOnudeqtNYw6KIkFXb3lEz1QudLyvL9JODI4oE_eoef0At1sN2ZTsUvL7SuSdZWQ")</f>
        <v>2_ABaOnudeqtNYw6KIkFXb3lEz1QudLyvL9JODI4oE_eoef0At1sN2ZTsUvL7SuSdZWQ</v>
      </c>
      <c r="B451" s="5">
        <f ca="1">IFERROR(__xludf.DUMMYFUNCTION("""COMPUTED_VALUE"""),45994.7832337384)</f>
        <v>45994.783233738402</v>
      </c>
      <c r="C451" s="4"/>
      <c r="D451" s="4" t="str">
        <f ca="1">IFERROR(__xludf.DUMMYFUNCTION("""COMPUTED_VALUE"""),"Nam")</f>
        <v>Nam</v>
      </c>
      <c r="E451" s="4" t="str">
        <f ca="1">IFERROR(__xludf.DUMMYFUNCTION("""COMPUTED_VALUE"""),"Công ty TNHH kiểm toán và định giá GAA")</f>
        <v>Công ty TNHH kiểm toán và định giá GAA</v>
      </c>
      <c r="F451" s="4" t="str">
        <f ca="1">IFERROR(__xludf.DUMMYFUNCTION("""COMPUTED_VALUE"""),"Chứng chỉ Kiểm toán viên")</f>
        <v>Chứng chỉ Kiểm toán viên</v>
      </c>
      <c r="G451" s="4" t="str">
        <f ca="1">IFERROR(__xludf.DUMMYFUNCTION("""COMPUTED_VALUE"""),"Trên 10 đến 15 năm")</f>
        <v>Trên 10 đến 15 năm</v>
      </c>
      <c r="H451" s="4" t="str">
        <f ca="1">IFERROR(__xludf.DUMMYFUNCTION("""COMPUTED_VALUE"""),"Trưởng phòng")</f>
        <v>Trưởng phòng</v>
      </c>
      <c r="I451" s="4">
        <f ca="1">IFERROR(__xludf.DUMMYFUNCTION("""COMPUTED_VALUE"""),5)</f>
        <v>5</v>
      </c>
      <c r="J451" s="4">
        <f ca="1">IFERROR(__xludf.DUMMYFUNCTION("""COMPUTED_VALUE"""),4)</f>
        <v>4</v>
      </c>
      <c r="K451" s="4">
        <f ca="1">IFERROR(__xludf.DUMMYFUNCTION("""COMPUTED_VALUE"""),4)</f>
        <v>4</v>
      </c>
      <c r="L451" s="4">
        <f ca="1">IFERROR(__xludf.DUMMYFUNCTION("""COMPUTED_VALUE"""),5)</f>
        <v>5</v>
      </c>
      <c r="M451" s="4">
        <f ca="1">IFERROR(__xludf.DUMMYFUNCTION("""COMPUTED_VALUE"""),4)</f>
        <v>4</v>
      </c>
      <c r="N451" s="4">
        <f ca="1">IFERROR(__xludf.DUMMYFUNCTION("""COMPUTED_VALUE"""),3)</f>
        <v>3</v>
      </c>
      <c r="O451" s="4">
        <f ca="1">IFERROR(__xludf.DUMMYFUNCTION("""COMPUTED_VALUE"""),3)</f>
        <v>3</v>
      </c>
      <c r="P451" s="4">
        <f ca="1">IFERROR(__xludf.DUMMYFUNCTION("""COMPUTED_VALUE"""),4)</f>
        <v>4</v>
      </c>
      <c r="Q451" s="4">
        <f ca="1">IFERROR(__xludf.DUMMYFUNCTION("""COMPUTED_VALUE"""),5)</f>
        <v>5</v>
      </c>
      <c r="R451" s="4">
        <f ca="1">IFERROR(__xludf.DUMMYFUNCTION("""COMPUTED_VALUE"""),4)</f>
        <v>4</v>
      </c>
      <c r="S451" s="4">
        <f ca="1">IFERROR(__xludf.DUMMYFUNCTION("""COMPUTED_VALUE"""),4)</f>
        <v>4</v>
      </c>
      <c r="T451" s="4">
        <f ca="1">IFERROR(__xludf.DUMMYFUNCTION("""COMPUTED_VALUE"""),3)</f>
        <v>3</v>
      </c>
      <c r="U451" s="4">
        <f ca="1">IFERROR(__xludf.DUMMYFUNCTION("""COMPUTED_VALUE"""),3)</f>
        <v>3</v>
      </c>
      <c r="V451" s="4">
        <f ca="1">IFERROR(__xludf.DUMMYFUNCTION("""COMPUTED_VALUE"""),3)</f>
        <v>3</v>
      </c>
      <c r="W451" s="4">
        <f ca="1">IFERROR(__xludf.DUMMYFUNCTION("""COMPUTED_VALUE"""),4)</f>
        <v>4</v>
      </c>
      <c r="X451" s="4">
        <f ca="1">IFERROR(__xludf.DUMMYFUNCTION("""COMPUTED_VALUE"""),4)</f>
        <v>4</v>
      </c>
      <c r="Y451" s="4">
        <f ca="1">IFERROR(__xludf.DUMMYFUNCTION("""COMPUTED_VALUE"""),4)</f>
        <v>4</v>
      </c>
      <c r="Z451" s="4">
        <f ca="1">IFERROR(__xludf.DUMMYFUNCTION("""COMPUTED_VALUE"""),4)</f>
        <v>4</v>
      </c>
      <c r="AA451" s="4">
        <f ca="1">IFERROR(__xludf.DUMMYFUNCTION("""COMPUTED_VALUE"""),3)</f>
        <v>3</v>
      </c>
      <c r="AB451" s="4">
        <f ca="1">IFERROR(__xludf.DUMMYFUNCTION("""COMPUTED_VALUE"""),4)</f>
        <v>4</v>
      </c>
      <c r="AC451" s="4">
        <f ca="1">IFERROR(__xludf.DUMMYFUNCTION("""COMPUTED_VALUE"""),4)</f>
        <v>4</v>
      </c>
      <c r="AD451" s="4">
        <f ca="1">IFERROR(__xludf.DUMMYFUNCTION("""COMPUTED_VALUE"""),4)</f>
        <v>4</v>
      </c>
      <c r="AE451" s="4">
        <f ca="1">IFERROR(__xludf.DUMMYFUNCTION("""COMPUTED_VALUE"""),4)</f>
        <v>4</v>
      </c>
      <c r="AF451" s="4">
        <f ca="1">IFERROR(__xludf.DUMMYFUNCTION("""COMPUTED_VALUE"""),3)</f>
        <v>3</v>
      </c>
      <c r="AG451" s="4">
        <f ca="1">IFERROR(__xludf.DUMMYFUNCTION("""COMPUTED_VALUE"""),3)</f>
        <v>3</v>
      </c>
      <c r="AH451" s="4">
        <f ca="1">IFERROR(__xludf.DUMMYFUNCTION("""COMPUTED_VALUE"""),2)</f>
        <v>2</v>
      </c>
      <c r="AI451" s="4">
        <f ca="1">IFERROR(__xludf.DUMMYFUNCTION("""COMPUTED_VALUE"""),2)</f>
        <v>2</v>
      </c>
      <c r="AJ451" s="4">
        <f ca="1">IFERROR(__xludf.DUMMYFUNCTION("""COMPUTED_VALUE"""),4)</f>
        <v>4</v>
      </c>
      <c r="AK451" s="4">
        <f ca="1">IFERROR(__xludf.DUMMYFUNCTION("""COMPUTED_VALUE"""),3)</f>
        <v>3</v>
      </c>
      <c r="AL451" s="4">
        <f ca="1">IFERROR(__xludf.DUMMYFUNCTION("""COMPUTED_VALUE"""),4)</f>
        <v>4</v>
      </c>
      <c r="AM451" s="4">
        <f ca="1">IFERROR(__xludf.DUMMYFUNCTION("""COMPUTED_VALUE"""),3)</f>
        <v>3</v>
      </c>
      <c r="AN451" s="4">
        <f ca="1">IFERROR(__xludf.DUMMYFUNCTION("""COMPUTED_VALUE"""),2)</f>
        <v>2</v>
      </c>
      <c r="AO451" s="4">
        <f ca="1">IFERROR(__xludf.DUMMYFUNCTION("""COMPUTED_VALUE"""),4)</f>
        <v>4</v>
      </c>
      <c r="AP451" s="4">
        <f ca="1">IFERROR(__xludf.DUMMYFUNCTION("""COMPUTED_VALUE"""),4)</f>
        <v>4</v>
      </c>
      <c r="AQ451" s="4">
        <f ca="1">IFERROR(__xludf.DUMMYFUNCTION("""COMPUTED_VALUE"""),3)</f>
        <v>3</v>
      </c>
      <c r="AR451" s="4">
        <f ca="1">IFERROR(__xludf.DUMMYFUNCTION("""COMPUTED_VALUE"""),4)</f>
        <v>4</v>
      </c>
      <c r="AS451" s="4">
        <f ca="1">IFERROR(__xludf.DUMMYFUNCTION("""COMPUTED_VALUE"""),4)</f>
        <v>4</v>
      </c>
      <c r="AT451" s="4">
        <f ca="1">IFERROR(__xludf.DUMMYFUNCTION("""COMPUTED_VALUE"""),4)</f>
        <v>4</v>
      </c>
      <c r="AU451" s="4">
        <f ca="1">IFERROR(__xludf.DUMMYFUNCTION("""COMPUTED_VALUE"""),4)</f>
        <v>4</v>
      </c>
      <c r="AV451" s="4">
        <f ca="1">IFERROR(__xludf.DUMMYFUNCTION("""COMPUTED_VALUE"""),4)</f>
        <v>4</v>
      </c>
      <c r="AW451" s="4">
        <f ca="1">IFERROR(__xludf.DUMMYFUNCTION("""COMPUTED_VALUE"""),4)</f>
        <v>4</v>
      </c>
      <c r="AX451" s="4">
        <f ca="1">IFERROR(__xludf.DUMMYFUNCTION("""COMPUTED_VALUE"""),4)</f>
        <v>4</v>
      </c>
      <c r="AY451" s="4">
        <f ca="1">IFERROR(__xludf.DUMMYFUNCTION("""COMPUTED_VALUE"""),4)</f>
        <v>4</v>
      </c>
      <c r="AZ451" s="4">
        <f ca="1">IFERROR(__xludf.DUMMYFUNCTION("""COMPUTED_VALUE"""),4)</f>
        <v>4</v>
      </c>
      <c r="BA451" s="4">
        <f ca="1">IFERROR(__xludf.DUMMYFUNCTION("""COMPUTED_VALUE"""),4)</f>
        <v>4</v>
      </c>
      <c r="BB451" s="4">
        <f ca="1">IFERROR(__xludf.DUMMYFUNCTION("""COMPUTED_VALUE"""),4)</f>
        <v>4</v>
      </c>
      <c r="BC451" s="4">
        <f ca="1">IFERROR(__xludf.DUMMYFUNCTION("""COMPUTED_VALUE"""),3)</f>
        <v>3</v>
      </c>
      <c r="BD451" s="4">
        <f ca="1">IFERROR(__xludf.DUMMYFUNCTION("""COMPUTED_VALUE"""),3)</f>
        <v>3</v>
      </c>
      <c r="BE451" s="4">
        <f ca="1">IFERROR(__xludf.DUMMYFUNCTION("""COMPUTED_VALUE"""),3)</f>
        <v>3</v>
      </c>
      <c r="BF451" s="4">
        <f ca="1">IFERROR(__xludf.DUMMYFUNCTION("""COMPUTED_VALUE"""),3)</f>
        <v>3</v>
      </c>
      <c r="BG451" s="4">
        <f ca="1">IFERROR(__xludf.DUMMYFUNCTION("""COMPUTED_VALUE"""),3)</f>
        <v>3</v>
      </c>
      <c r="BH451" s="4">
        <f ca="1">IFERROR(__xludf.DUMMYFUNCTION("""COMPUTED_VALUE"""),4)</f>
        <v>4</v>
      </c>
      <c r="BI451" s="4">
        <f ca="1">IFERROR(__xludf.DUMMYFUNCTION("""COMPUTED_VALUE"""),4)</f>
        <v>4</v>
      </c>
      <c r="BJ451" s="4">
        <f ca="1">IFERROR(__xludf.DUMMYFUNCTION("""COMPUTED_VALUE"""),4)</f>
        <v>4</v>
      </c>
      <c r="BK451" s="4">
        <f ca="1">IFERROR(__xludf.DUMMYFUNCTION("""COMPUTED_VALUE"""),4)</f>
        <v>4</v>
      </c>
      <c r="BL451" s="4">
        <f ca="1">IFERROR(__xludf.DUMMYFUNCTION("""COMPUTED_VALUE"""),4)</f>
        <v>4</v>
      </c>
      <c r="BM451" s="4">
        <f ca="1">IFERROR(__xludf.DUMMYFUNCTION("""COMPUTED_VALUE"""),4)</f>
        <v>4</v>
      </c>
      <c r="BN451" s="4">
        <f ca="1">IFERROR(__xludf.DUMMYFUNCTION("""COMPUTED_VALUE"""),4)</f>
        <v>4</v>
      </c>
      <c r="BO451" s="4">
        <f ca="1">IFERROR(__xludf.DUMMYFUNCTION("""COMPUTED_VALUE"""),4)</f>
        <v>4</v>
      </c>
      <c r="BP451" s="4">
        <f ca="1">IFERROR(__xludf.DUMMYFUNCTION("""COMPUTED_VALUE"""),4)</f>
        <v>4</v>
      </c>
    </row>
    <row r="452" spans="1:68" ht="13.2" x14ac:dyDescent="0.25">
      <c r="A452" s="4" t="str">
        <f ca="1">IFERROR(__xludf.DUMMYFUNCTION("""COMPUTED_VALUE"""),"2_ABaOnudZTYAXLv9QOgvar0G6YbfA-MQQvG_rBipk0Th75t1dyQq-qGXSF8P8tc9aGA")</f>
        <v>2_ABaOnudZTYAXLv9QOgvar0G6YbfA-MQQvG_rBipk0Th75t1dyQq-qGXSF8P8tc9aGA</v>
      </c>
      <c r="B452" s="5">
        <f ca="1">IFERROR(__xludf.DUMMYFUNCTION("""COMPUTED_VALUE"""),45994.7856170717)</f>
        <v>45994.785617071699</v>
      </c>
      <c r="C452" s="4"/>
      <c r="D452" s="4" t="str">
        <f ca="1">IFERROR(__xludf.DUMMYFUNCTION("""COMPUTED_VALUE"""),"Nữ")</f>
        <v>Nữ</v>
      </c>
      <c r="E452" s="4" t="str">
        <f ca="1">IFERROR(__xludf.DUMMYFUNCTION("""COMPUTED_VALUE"""),"GAA")</f>
        <v>GAA</v>
      </c>
      <c r="F452" s="4" t="str">
        <f ca="1">IFERROR(__xludf.DUMMYFUNCTION("""COMPUTED_VALUE"""),"Đại học, Chứng chỉ Kiểm toán viên")</f>
        <v>Đại học, Chứng chỉ Kiểm toán viên</v>
      </c>
      <c r="G452" s="4" t="str">
        <f ca="1">IFERROR(__xludf.DUMMYFUNCTION("""COMPUTED_VALUE"""),"Trên 10 đến 15 năm")</f>
        <v>Trên 10 đến 15 năm</v>
      </c>
      <c r="H452" s="4" t="str">
        <f ca="1">IFERROR(__xludf.DUMMYFUNCTION("""COMPUTED_VALUE"""),"Kiểm toán viên/Trưởng nhóm")</f>
        <v>Kiểm toán viên/Trưởng nhóm</v>
      </c>
      <c r="I452" s="4">
        <f ca="1">IFERROR(__xludf.DUMMYFUNCTION("""COMPUTED_VALUE"""),4)</f>
        <v>4</v>
      </c>
      <c r="J452" s="4">
        <f ca="1">IFERROR(__xludf.DUMMYFUNCTION("""COMPUTED_VALUE"""),4)</f>
        <v>4</v>
      </c>
      <c r="K452" s="4">
        <f ca="1">IFERROR(__xludf.DUMMYFUNCTION("""COMPUTED_VALUE"""),4)</f>
        <v>4</v>
      </c>
      <c r="L452" s="4">
        <f ca="1">IFERROR(__xludf.DUMMYFUNCTION("""COMPUTED_VALUE"""),4)</f>
        <v>4</v>
      </c>
      <c r="M452" s="4">
        <f ca="1">IFERROR(__xludf.DUMMYFUNCTION("""COMPUTED_VALUE"""),4)</f>
        <v>4</v>
      </c>
      <c r="N452" s="4">
        <f ca="1">IFERROR(__xludf.DUMMYFUNCTION("""COMPUTED_VALUE"""),3)</f>
        <v>3</v>
      </c>
      <c r="O452" s="4">
        <f ca="1">IFERROR(__xludf.DUMMYFUNCTION("""COMPUTED_VALUE"""),3)</f>
        <v>3</v>
      </c>
      <c r="P452" s="4">
        <f ca="1">IFERROR(__xludf.DUMMYFUNCTION("""COMPUTED_VALUE"""),4)</f>
        <v>4</v>
      </c>
      <c r="Q452" s="4">
        <f ca="1">IFERROR(__xludf.DUMMYFUNCTION("""COMPUTED_VALUE"""),4)</f>
        <v>4</v>
      </c>
      <c r="R452" s="4">
        <f ca="1">IFERROR(__xludf.DUMMYFUNCTION("""COMPUTED_VALUE"""),4)</f>
        <v>4</v>
      </c>
      <c r="S452" s="4">
        <f ca="1">IFERROR(__xludf.DUMMYFUNCTION("""COMPUTED_VALUE"""),4)</f>
        <v>4</v>
      </c>
      <c r="T452" s="4">
        <f ca="1">IFERROR(__xludf.DUMMYFUNCTION("""COMPUTED_VALUE"""),5)</f>
        <v>5</v>
      </c>
      <c r="U452" s="4">
        <f ca="1">IFERROR(__xludf.DUMMYFUNCTION("""COMPUTED_VALUE"""),5)</f>
        <v>5</v>
      </c>
      <c r="V452" s="4">
        <f ca="1">IFERROR(__xludf.DUMMYFUNCTION("""COMPUTED_VALUE"""),5)</f>
        <v>5</v>
      </c>
      <c r="W452" s="4">
        <f ca="1">IFERROR(__xludf.DUMMYFUNCTION("""COMPUTED_VALUE"""),4)</f>
        <v>4</v>
      </c>
      <c r="X452" s="4">
        <f ca="1">IFERROR(__xludf.DUMMYFUNCTION("""COMPUTED_VALUE"""),4)</f>
        <v>4</v>
      </c>
      <c r="Y452" s="4">
        <f ca="1">IFERROR(__xludf.DUMMYFUNCTION("""COMPUTED_VALUE"""),4)</f>
        <v>4</v>
      </c>
      <c r="Z452" s="4">
        <f ca="1">IFERROR(__xludf.DUMMYFUNCTION("""COMPUTED_VALUE"""),4)</f>
        <v>4</v>
      </c>
      <c r="AA452" s="4">
        <f ca="1">IFERROR(__xludf.DUMMYFUNCTION("""COMPUTED_VALUE"""),4)</f>
        <v>4</v>
      </c>
      <c r="AB452" s="4">
        <f ca="1">IFERROR(__xludf.DUMMYFUNCTION("""COMPUTED_VALUE"""),4)</f>
        <v>4</v>
      </c>
      <c r="AC452" s="4">
        <f ca="1">IFERROR(__xludf.DUMMYFUNCTION("""COMPUTED_VALUE"""),4)</f>
        <v>4</v>
      </c>
      <c r="AD452" s="4">
        <f ca="1">IFERROR(__xludf.DUMMYFUNCTION("""COMPUTED_VALUE"""),4)</f>
        <v>4</v>
      </c>
      <c r="AE452" s="4">
        <f ca="1">IFERROR(__xludf.DUMMYFUNCTION("""COMPUTED_VALUE"""),4)</f>
        <v>4</v>
      </c>
      <c r="AF452" s="4">
        <f ca="1">IFERROR(__xludf.DUMMYFUNCTION("""COMPUTED_VALUE"""),4)</f>
        <v>4</v>
      </c>
      <c r="AG452" s="4">
        <f ca="1">IFERROR(__xludf.DUMMYFUNCTION("""COMPUTED_VALUE"""),4)</f>
        <v>4</v>
      </c>
      <c r="AH452" s="4">
        <f ca="1">IFERROR(__xludf.DUMMYFUNCTION("""COMPUTED_VALUE"""),4)</f>
        <v>4</v>
      </c>
      <c r="AI452" s="4">
        <f ca="1">IFERROR(__xludf.DUMMYFUNCTION("""COMPUTED_VALUE"""),3)</f>
        <v>3</v>
      </c>
      <c r="AJ452" s="4">
        <f ca="1">IFERROR(__xludf.DUMMYFUNCTION("""COMPUTED_VALUE"""),4)</f>
        <v>4</v>
      </c>
      <c r="AK452" s="4">
        <f ca="1">IFERROR(__xludf.DUMMYFUNCTION("""COMPUTED_VALUE"""),4)</f>
        <v>4</v>
      </c>
      <c r="AL452" s="4">
        <f ca="1">IFERROR(__xludf.DUMMYFUNCTION("""COMPUTED_VALUE"""),4)</f>
        <v>4</v>
      </c>
      <c r="AM452" s="4">
        <f ca="1">IFERROR(__xludf.DUMMYFUNCTION("""COMPUTED_VALUE"""),4)</f>
        <v>4</v>
      </c>
      <c r="AN452" s="4">
        <f ca="1">IFERROR(__xludf.DUMMYFUNCTION("""COMPUTED_VALUE"""),3)</f>
        <v>3</v>
      </c>
      <c r="AO452" s="4">
        <f ca="1">IFERROR(__xludf.DUMMYFUNCTION("""COMPUTED_VALUE"""),3)</f>
        <v>3</v>
      </c>
      <c r="AP452" s="4">
        <f ca="1">IFERROR(__xludf.DUMMYFUNCTION("""COMPUTED_VALUE"""),3)</f>
        <v>3</v>
      </c>
      <c r="AQ452" s="4">
        <f ca="1">IFERROR(__xludf.DUMMYFUNCTION("""COMPUTED_VALUE"""),4)</f>
        <v>4</v>
      </c>
      <c r="AR452" s="4">
        <f ca="1">IFERROR(__xludf.DUMMYFUNCTION("""COMPUTED_VALUE"""),5)</f>
        <v>5</v>
      </c>
      <c r="AS452" s="4">
        <f ca="1">IFERROR(__xludf.DUMMYFUNCTION("""COMPUTED_VALUE"""),4)</f>
        <v>4</v>
      </c>
      <c r="AT452" s="4">
        <f ca="1">IFERROR(__xludf.DUMMYFUNCTION("""COMPUTED_VALUE"""),4)</f>
        <v>4</v>
      </c>
      <c r="AU452" s="4">
        <f ca="1">IFERROR(__xludf.DUMMYFUNCTION("""COMPUTED_VALUE"""),4)</f>
        <v>4</v>
      </c>
      <c r="AV452" s="4">
        <f ca="1">IFERROR(__xludf.DUMMYFUNCTION("""COMPUTED_VALUE"""),4)</f>
        <v>4</v>
      </c>
      <c r="AW452" s="4">
        <f ca="1">IFERROR(__xludf.DUMMYFUNCTION("""COMPUTED_VALUE"""),4)</f>
        <v>4</v>
      </c>
      <c r="AX452" s="4">
        <f ca="1">IFERROR(__xludf.DUMMYFUNCTION("""COMPUTED_VALUE"""),4)</f>
        <v>4</v>
      </c>
      <c r="AY452" s="4">
        <f ca="1">IFERROR(__xludf.DUMMYFUNCTION("""COMPUTED_VALUE"""),4)</f>
        <v>4</v>
      </c>
      <c r="AZ452" s="4">
        <f ca="1">IFERROR(__xludf.DUMMYFUNCTION("""COMPUTED_VALUE"""),4)</f>
        <v>4</v>
      </c>
      <c r="BA452" s="4">
        <f ca="1">IFERROR(__xludf.DUMMYFUNCTION("""COMPUTED_VALUE"""),4)</f>
        <v>4</v>
      </c>
      <c r="BB452" s="4">
        <f ca="1">IFERROR(__xludf.DUMMYFUNCTION("""COMPUTED_VALUE"""),4)</f>
        <v>4</v>
      </c>
      <c r="BC452" s="4">
        <f ca="1">IFERROR(__xludf.DUMMYFUNCTION("""COMPUTED_VALUE"""),4)</f>
        <v>4</v>
      </c>
      <c r="BD452" s="4">
        <f ca="1">IFERROR(__xludf.DUMMYFUNCTION("""COMPUTED_VALUE"""),4)</f>
        <v>4</v>
      </c>
      <c r="BE452" s="4">
        <f ca="1">IFERROR(__xludf.DUMMYFUNCTION("""COMPUTED_VALUE"""),4)</f>
        <v>4</v>
      </c>
      <c r="BF452" s="4">
        <f ca="1">IFERROR(__xludf.DUMMYFUNCTION("""COMPUTED_VALUE"""),4)</f>
        <v>4</v>
      </c>
      <c r="BG452" s="4">
        <f ca="1">IFERROR(__xludf.DUMMYFUNCTION("""COMPUTED_VALUE"""),4)</f>
        <v>4</v>
      </c>
      <c r="BH452" s="4">
        <f ca="1">IFERROR(__xludf.DUMMYFUNCTION("""COMPUTED_VALUE"""),4)</f>
        <v>4</v>
      </c>
      <c r="BI452" s="4">
        <f ca="1">IFERROR(__xludf.DUMMYFUNCTION("""COMPUTED_VALUE"""),4)</f>
        <v>4</v>
      </c>
      <c r="BJ452" s="4">
        <f ca="1">IFERROR(__xludf.DUMMYFUNCTION("""COMPUTED_VALUE"""),4)</f>
        <v>4</v>
      </c>
      <c r="BK452" s="4">
        <f ca="1">IFERROR(__xludf.DUMMYFUNCTION("""COMPUTED_VALUE"""),4)</f>
        <v>4</v>
      </c>
      <c r="BL452" s="4">
        <f ca="1">IFERROR(__xludf.DUMMYFUNCTION("""COMPUTED_VALUE"""),4)</f>
        <v>4</v>
      </c>
      <c r="BM452" s="4">
        <f ca="1">IFERROR(__xludf.DUMMYFUNCTION("""COMPUTED_VALUE"""),4)</f>
        <v>4</v>
      </c>
      <c r="BN452" s="4">
        <f ca="1">IFERROR(__xludf.DUMMYFUNCTION("""COMPUTED_VALUE"""),4)</f>
        <v>4</v>
      </c>
      <c r="BO452" s="4">
        <f ca="1">IFERROR(__xludf.DUMMYFUNCTION("""COMPUTED_VALUE"""),4)</f>
        <v>4</v>
      </c>
      <c r="BP452" s="4">
        <f ca="1">IFERROR(__xludf.DUMMYFUNCTION("""COMPUTED_VALUE"""),4)</f>
        <v>4</v>
      </c>
    </row>
    <row r="453" spans="1:68" ht="13.2" x14ac:dyDescent="0.25">
      <c r="A453" s="4" t="str">
        <f ca="1">IFERROR(__xludf.DUMMYFUNCTION("""COMPUTED_VALUE"""),"2_ABaOnue-AnDlbZvX6V7uRBLZ2u9BMoLgnvpR10_ias5trm9A7mO5ChGktySoFfArjw")</f>
        <v>2_ABaOnue-AnDlbZvX6V7uRBLZ2u9BMoLgnvpR10_ias5trm9A7mO5ChGktySoFfArjw</v>
      </c>
      <c r="B453" s="5">
        <f ca="1">IFERROR(__xludf.DUMMYFUNCTION("""COMPUTED_VALUE"""),45995.3703996064)</f>
        <v>45995.3703996064</v>
      </c>
      <c r="C453" s="4" t="str">
        <f ca="1">IFERROR(__xludf.DUMMYFUNCTION("""COMPUTED_VALUE"""),"TRƯƠNG THỊ DƯƠNG")</f>
        <v>TRƯƠNG THỊ DƯƠNG</v>
      </c>
      <c r="D453" s="4" t="str">
        <f ca="1">IFERROR(__xludf.DUMMYFUNCTION("""COMPUTED_VALUE"""),"Nữ")</f>
        <v>Nữ</v>
      </c>
      <c r="E453" s="4" t="str">
        <f ca="1">IFERROR(__xludf.DUMMYFUNCTION("""COMPUTED_VALUE"""),"CÔNG TY TNHH KIỂM TOÁN VÀ TƯ VẤN SAMDO")</f>
        <v>CÔNG TY TNHH KIỂM TOÁN VÀ TƯ VẤN SAMDO</v>
      </c>
      <c r="F453" s="4" t="str">
        <f ca="1">IFERROR(__xludf.DUMMYFUNCTION("""COMPUTED_VALUE"""),"Đại học, Chứng chỉ Kiểm toán viên")</f>
        <v>Đại học, Chứng chỉ Kiểm toán viên</v>
      </c>
      <c r="G453" s="4" t="str">
        <f ca="1">IFERROR(__xludf.DUMMYFUNCTION("""COMPUTED_VALUE"""),"Trên 10 đến 15 năm")</f>
        <v>Trên 10 đến 15 năm</v>
      </c>
      <c r="H453" s="4" t="str">
        <f ca="1">IFERROR(__xludf.DUMMYFUNCTION("""COMPUTED_VALUE"""),"Trưởng phòng")</f>
        <v>Trưởng phòng</v>
      </c>
      <c r="I453" s="4">
        <f ca="1">IFERROR(__xludf.DUMMYFUNCTION("""COMPUTED_VALUE"""),5)</f>
        <v>5</v>
      </c>
      <c r="J453" s="4">
        <f ca="1">IFERROR(__xludf.DUMMYFUNCTION("""COMPUTED_VALUE"""),4)</f>
        <v>4</v>
      </c>
      <c r="K453" s="4">
        <f ca="1">IFERROR(__xludf.DUMMYFUNCTION("""COMPUTED_VALUE"""),5)</f>
        <v>5</v>
      </c>
      <c r="L453" s="4">
        <f ca="1">IFERROR(__xludf.DUMMYFUNCTION("""COMPUTED_VALUE"""),4)</f>
        <v>4</v>
      </c>
      <c r="M453" s="4">
        <f ca="1">IFERROR(__xludf.DUMMYFUNCTION("""COMPUTED_VALUE"""),5)</f>
        <v>5</v>
      </c>
      <c r="N453" s="4">
        <f ca="1">IFERROR(__xludf.DUMMYFUNCTION("""COMPUTED_VALUE"""),4)</f>
        <v>4</v>
      </c>
      <c r="O453" s="4">
        <f ca="1">IFERROR(__xludf.DUMMYFUNCTION("""COMPUTED_VALUE"""),4)</f>
        <v>4</v>
      </c>
      <c r="P453" s="4">
        <f ca="1">IFERROR(__xludf.DUMMYFUNCTION("""COMPUTED_VALUE"""),5)</f>
        <v>5</v>
      </c>
      <c r="Q453" s="4">
        <f ca="1">IFERROR(__xludf.DUMMYFUNCTION("""COMPUTED_VALUE"""),5)</f>
        <v>5</v>
      </c>
      <c r="R453" s="4">
        <f ca="1">IFERROR(__xludf.DUMMYFUNCTION("""COMPUTED_VALUE"""),5)</f>
        <v>5</v>
      </c>
      <c r="S453" s="4">
        <f ca="1">IFERROR(__xludf.DUMMYFUNCTION("""COMPUTED_VALUE"""),5)</f>
        <v>5</v>
      </c>
      <c r="T453" s="4">
        <f ca="1">IFERROR(__xludf.DUMMYFUNCTION("""COMPUTED_VALUE"""),5)</f>
        <v>5</v>
      </c>
      <c r="U453" s="4">
        <f ca="1">IFERROR(__xludf.DUMMYFUNCTION("""COMPUTED_VALUE"""),5)</f>
        <v>5</v>
      </c>
      <c r="V453" s="4">
        <f ca="1">IFERROR(__xludf.DUMMYFUNCTION("""COMPUTED_VALUE"""),5)</f>
        <v>5</v>
      </c>
      <c r="W453" s="4">
        <f ca="1">IFERROR(__xludf.DUMMYFUNCTION("""COMPUTED_VALUE"""),4)</f>
        <v>4</v>
      </c>
      <c r="X453" s="4">
        <f ca="1">IFERROR(__xludf.DUMMYFUNCTION("""COMPUTED_VALUE"""),4)</f>
        <v>4</v>
      </c>
      <c r="Y453" s="4">
        <f ca="1">IFERROR(__xludf.DUMMYFUNCTION("""COMPUTED_VALUE"""),4)</f>
        <v>4</v>
      </c>
      <c r="Z453" s="4">
        <f ca="1">IFERROR(__xludf.DUMMYFUNCTION("""COMPUTED_VALUE"""),4)</f>
        <v>4</v>
      </c>
      <c r="AA453" s="4">
        <f ca="1">IFERROR(__xludf.DUMMYFUNCTION("""COMPUTED_VALUE"""),4)</f>
        <v>4</v>
      </c>
      <c r="AB453" s="4">
        <f ca="1">IFERROR(__xludf.DUMMYFUNCTION("""COMPUTED_VALUE"""),3)</f>
        <v>3</v>
      </c>
      <c r="AC453" s="4">
        <f ca="1">IFERROR(__xludf.DUMMYFUNCTION("""COMPUTED_VALUE"""),3)</f>
        <v>3</v>
      </c>
      <c r="AD453" s="4">
        <f ca="1">IFERROR(__xludf.DUMMYFUNCTION("""COMPUTED_VALUE"""),3)</f>
        <v>3</v>
      </c>
      <c r="AE453" s="4">
        <f ca="1">IFERROR(__xludf.DUMMYFUNCTION("""COMPUTED_VALUE"""),4)</f>
        <v>4</v>
      </c>
      <c r="AF453" s="4">
        <f ca="1">IFERROR(__xludf.DUMMYFUNCTION("""COMPUTED_VALUE"""),3)</f>
        <v>3</v>
      </c>
      <c r="AG453" s="4">
        <f ca="1">IFERROR(__xludf.DUMMYFUNCTION("""COMPUTED_VALUE"""),3)</f>
        <v>3</v>
      </c>
      <c r="AH453" s="4">
        <f ca="1">IFERROR(__xludf.DUMMYFUNCTION("""COMPUTED_VALUE"""),3)</f>
        <v>3</v>
      </c>
      <c r="AI453" s="4">
        <f ca="1">IFERROR(__xludf.DUMMYFUNCTION("""COMPUTED_VALUE"""),3)</f>
        <v>3</v>
      </c>
      <c r="AJ453" s="4">
        <f ca="1">IFERROR(__xludf.DUMMYFUNCTION("""COMPUTED_VALUE"""),4)</f>
        <v>4</v>
      </c>
      <c r="AK453" s="4">
        <f ca="1">IFERROR(__xludf.DUMMYFUNCTION("""COMPUTED_VALUE"""),4)</f>
        <v>4</v>
      </c>
      <c r="AL453" s="4">
        <f ca="1">IFERROR(__xludf.DUMMYFUNCTION("""COMPUTED_VALUE"""),4)</f>
        <v>4</v>
      </c>
      <c r="AM453" s="4">
        <f ca="1">IFERROR(__xludf.DUMMYFUNCTION("""COMPUTED_VALUE"""),4)</f>
        <v>4</v>
      </c>
      <c r="AN453" s="4">
        <f ca="1">IFERROR(__xludf.DUMMYFUNCTION("""COMPUTED_VALUE"""),4)</f>
        <v>4</v>
      </c>
      <c r="AO453" s="4">
        <f ca="1">IFERROR(__xludf.DUMMYFUNCTION("""COMPUTED_VALUE"""),4)</f>
        <v>4</v>
      </c>
      <c r="AP453" s="4">
        <f ca="1">IFERROR(__xludf.DUMMYFUNCTION("""COMPUTED_VALUE"""),4)</f>
        <v>4</v>
      </c>
      <c r="AQ453" s="4">
        <f ca="1">IFERROR(__xludf.DUMMYFUNCTION("""COMPUTED_VALUE"""),4)</f>
        <v>4</v>
      </c>
      <c r="AR453" s="4">
        <f ca="1">IFERROR(__xludf.DUMMYFUNCTION("""COMPUTED_VALUE"""),5)</f>
        <v>5</v>
      </c>
      <c r="AS453" s="4">
        <f ca="1">IFERROR(__xludf.DUMMYFUNCTION("""COMPUTED_VALUE"""),5)</f>
        <v>5</v>
      </c>
      <c r="AT453" s="4">
        <f ca="1">IFERROR(__xludf.DUMMYFUNCTION("""COMPUTED_VALUE"""),3)</f>
        <v>3</v>
      </c>
      <c r="AU453" s="4">
        <f ca="1">IFERROR(__xludf.DUMMYFUNCTION("""COMPUTED_VALUE"""),3)</f>
        <v>3</v>
      </c>
      <c r="AV453" s="4">
        <f ca="1">IFERROR(__xludf.DUMMYFUNCTION("""COMPUTED_VALUE"""),3)</f>
        <v>3</v>
      </c>
      <c r="AW453" s="4">
        <f ca="1">IFERROR(__xludf.DUMMYFUNCTION("""COMPUTED_VALUE"""),3)</f>
        <v>3</v>
      </c>
      <c r="AX453" s="4">
        <f ca="1">IFERROR(__xludf.DUMMYFUNCTION("""COMPUTED_VALUE"""),4)</f>
        <v>4</v>
      </c>
      <c r="AY453" s="4">
        <f ca="1">IFERROR(__xludf.DUMMYFUNCTION("""COMPUTED_VALUE"""),4)</f>
        <v>4</v>
      </c>
      <c r="AZ453" s="4">
        <f ca="1">IFERROR(__xludf.DUMMYFUNCTION("""COMPUTED_VALUE"""),4)</f>
        <v>4</v>
      </c>
      <c r="BA453" s="4">
        <f ca="1">IFERROR(__xludf.DUMMYFUNCTION("""COMPUTED_VALUE"""),4)</f>
        <v>4</v>
      </c>
      <c r="BB453" s="4">
        <f ca="1">IFERROR(__xludf.DUMMYFUNCTION("""COMPUTED_VALUE"""),3)</f>
        <v>3</v>
      </c>
      <c r="BC453" s="4">
        <f ca="1">IFERROR(__xludf.DUMMYFUNCTION("""COMPUTED_VALUE"""),3)</f>
        <v>3</v>
      </c>
      <c r="BD453" s="4">
        <f ca="1">IFERROR(__xludf.DUMMYFUNCTION("""COMPUTED_VALUE"""),3)</f>
        <v>3</v>
      </c>
      <c r="BE453" s="4">
        <f ca="1">IFERROR(__xludf.DUMMYFUNCTION("""COMPUTED_VALUE"""),3)</f>
        <v>3</v>
      </c>
      <c r="BF453" s="4">
        <f ca="1">IFERROR(__xludf.DUMMYFUNCTION("""COMPUTED_VALUE"""),4)</f>
        <v>4</v>
      </c>
      <c r="BG453" s="4">
        <f ca="1">IFERROR(__xludf.DUMMYFUNCTION("""COMPUTED_VALUE"""),3)</f>
        <v>3</v>
      </c>
      <c r="BH453" s="4">
        <f ca="1">IFERROR(__xludf.DUMMYFUNCTION("""COMPUTED_VALUE"""),4)</f>
        <v>4</v>
      </c>
      <c r="BI453" s="4">
        <f ca="1">IFERROR(__xludf.DUMMYFUNCTION("""COMPUTED_VALUE"""),4)</f>
        <v>4</v>
      </c>
      <c r="BJ453" s="4">
        <f ca="1">IFERROR(__xludf.DUMMYFUNCTION("""COMPUTED_VALUE"""),4)</f>
        <v>4</v>
      </c>
      <c r="BK453" s="4">
        <f ca="1">IFERROR(__xludf.DUMMYFUNCTION("""COMPUTED_VALUE"""),4)</f>
        <v>4</v>
      </c>
      <c r="BL453" s="4">
        <f ca="1">IFERROR(__xludf.DUMMYFUNCTION("""COMPUTED_VALUE"""),4)</f>
        <v>4</v>
      </c>
      <c r="BM453" s="4">
        <f ca="1">IFERROR(__xludf.DUMMYFUNCTION("""COMPUTED_VALUE"""),4)</f>
        <v>4</v>
      </c>
      <c r="BN453" s="4">
        <f ca="1">IFERROR(__xludf.DUMMYFUNCTION("""COMPUTED_VALUE"""),4)</f>
        <v>4</v>
      </c>
      <c r="BO453" s="4">
        <f ca="1">IFERROR(__xludf.DUMMYFUNCTION("""COMPUTED_VALUE"""),4)</f>
        <v>4</v>
      </c>
      <c r="BP453" s="4">
        <f ca="1">IFERROR(__xludf.DUMMYFUNCTION("""COMPUTED_VALUE"""),4)</f>
        <v>4</v>
      </c>
    </row>
    <row r="454" spans="1:68" ht="13.2" x14ac:dyDescent="0.25">
      <c r="A454" s="4" t="str">
        <f ca="1">IFERROR(__xludf.DUMMYFUNCTION("""COMPUTED_VALUE"""),"2_ABaOnuewTbfxSxsb_rHfmQufzlus4Tbn0CGN2Dv4fWph8wPAe2hixbuZlECUnemYCw")</f>
        <v>2_ABaOnuewTbfxSxsb_rHfmQufzlus4Tbn0CGN2Dv4fWph8wPAe2hixbuZlECUnemYCw</v>
      </c>
      <c r="B454" s="5">
        <f ca="1">IFERROR(__xludf.DUMMYFUNCTION("""COMPUTED_VALUE"""),45995.4625264004)</f>
        <v>45995.462526400399</v>
      </c>
      <c r="C454" s="4" t="str">
        <f ca="1">IFERROR(__xludf.DUMMYFUNCTION("""COMPUTED_VALUE"""),"Lê Thị Thúy Hường")</f>
        <v>Lê Thị Thúy Hường</v>
      </c>
      <c r="D454" s="4" t="str">
        <f ca="1">IFERROR(__xludf.DUMMYFUNCTION("""COMPUTED_VALUE"""),"Nữ")</f>
        <v>Nữ</v>
      </c>
      <c r="E454" s="4" t="str">
        <f ca="1">IFERROR(__xludf.DUMMYFUNCTION("""COMPUTED_VALUE"""),"Công ty TNHH Kiểm toán Định giá GAA")</f>
        <v>Công ty TNHH Kiểm toán Định giá GAA</v>
      </c>
      <c r="F454" s="4" t="str">
        <f ca="1">IFERROR(__xludf.DUMMYFUNCTION("""COMPUTED_VALUE"""),"Đại học, Chứng chỉ Kiểm toán viên")</f>
        <v>Đại học, Chứng chỉ Kiểm toán viên</v>
      </c>
      <c r="G454" s="4" t="str">
        <f ca="1">IFERROR(__xludf.DUMMYFUNCTION("""COMPUTED_VALUE"""),"Trên 5 đến 10 năm")</f>
        <v>Trên 5 đến 10 năm</v>
      </c>
      <c r="H454" s="4" t="str">
        <f ca="1">IFERROR(__xludf.DUMMYFUNCTION("""COMPUTED_VALUE"""),"Kiểm toán viên/Trưởng nhóm")</f>
        <v>Kiểm toán viên/Trưởng nhóm</v>
      </c>
      <c r="I454" s="4">
        <f ca="1">IFERROR(__xludf.DUMMYFUNCTION("""COMPUTED_VALUE"""),5)</f>
        <v>5</v>
      </c>
      <c r="J454" s="4">
        <f ca="1">IFERROR(__xludf.DUMMYFUNCTION("""COMPUTED_VALUE"""),5)</f>
        <v>5</v>
      </c>
      <c r="K454" s="4">
        <f ca="1">IFERROR(__xludf.DUMMYFUNCTION("""COMPUTED_VALUE"""),5)</f>
        <v>5</v>
      </c>
      <c r="L454" s="4">
        <f ca="1">IFERROR(__xludf.DUMMYFUNCTION("""COMPUTED_VALUE"""),3)</f>
        <v>3</v>
      </c>
      <c r="M454" s="4">
        <f ca="1">IFERROR(__xludf.DUMMYFUNCTION("""COMPUTED_VALUE"""),3)</f>
        <v>3</v>
      </c>
      <c r="N454" s="4">
        <f ca="1">IFERROR(__xludf.DUMMYFUNCTION("""COMPUTED_VALUE"""),4)</f>
        <v>4</v>
      </c>
      <c r="O454" s="4">
        <f ca="1">IFERROR(__xludf.DUMMYFUNCTION("""COMPUTED_VALUE"""),5)</f>
        <v>5</v>
      </c>
      <c r="P454" s="4">
        <f ca="1">IFERROR(__xludf.DUMMYFUNCTION("""COMPUTED_VALUE"""),5)</f>
        <v>5</v>
      </c>
      <c r="Q454" s="4">
        <f ca="1">IFERROR(__xludf.DUMMYFUNCTION("""COMPUTED_VALUE"""),5)</f>
        <v>5</v>
      </c>
      <c r="R454" s="4">
        <f ca="1">IFERROR(__xludf.DUMMYFUNCTION("""COMPUTED_VALUE"""),5)</f>
        <v>5</v>
      </c>
      <c r="S454" s="4">
        <f ca="1">IFERROR(__xludf.DUMMYFUNCTION("""COMPUTED_VALUE"""),5)</f>
        <v>5</v>
      </c>
      <c r="T454" s="4">
        <f ca="1">IFERROR(__xludf.DUMMYFUNCTION("""COMPUTED_VALUE"""),4)</f>
        <v>4</v>
      </c>
      <c r="U454" s="4">
        <f ca="1">IFERROR(__xludf.DUMMYFUNCTION("""COMPUTED_VALUE"""),5)</f>
        <v>5</v>
      </c>
      <c r="V454" s="4">
        <f ca="1">IFERROR(__xludf.DUMMYFUNCTION("""COMPUTED_VALUE"""),5)</f>
        <v>5</v>
      </c>
      <c r="W454" s="4">
        <f ca="1">IFERROR(__xludf.DUMMYFUNCTION("""COMPUTED_VALUE"""),4)</f>
        <v>4</v>
      </c>
      <c r="X454" s="4">
        <f ca="1">IFERROR(__xludf.DUMMYFUNCTION("""COMPUTED_VALUE"""),3)</f>
        <v>3</v>
      </c>
      <c r="Y454" s="4">
        <f ca="1">IFERROR(__xludf.DUMMYFUNCTION("""COMPUTED_VALUE"""),5)</f>
        <v>5</v>
      </c>
      <c r="Z454" s="4">
        <f ca="1">IFERROR(__xludf.DUMMYFUNCTION("""COMPUTED_VALUE"""),5)</f>
        <v>5</v>
      </c>
      <c r="AA454" s="4">
        <f ca="1">IFERROR(__xludf.DUMMYFUNCTION("""COMPUTED_VALUE"""),5)</f>
        <v>5</v>
      </c>
      <c r="AB454" s="4">
        <f ca="1">IFERROR(__xludf.DUMMYFUNCTION("""COMPUTED_VALUE"""),5)</f>
        <v>5</v>
      </c>
      <c r="AC454" s="4">
        <f ca="1">IFERROR(__xludf.DUMMYFUNCTION("""COMPUTED_VALUE"""),4)</f>
        <v>4</v>
      </c>
      <c r="AD454" s="4">
        <f ca="1">IFERROR(__xludf.DUMMYFUNCTION("""COMPUTED_VALUE"""),5)</f>
        <v>5</v>
      </c>
      <c r="AE454" s="4">
        <f ca="1">IFERROR(__xludf.DUMMYFUNCTION("""COMPUTED_VALUE"""),5)</f>
        <v>5</v>
      </c>
      <c r="AF454" s="4">
        <f ca="1">IFERROR(__xludf.DUMMYFUNCTION("""COMPUTED_VALUE"""),5)</f>
        <v>5</v>
      </c>
      <c r="AG454" s="4">
        <f ca="1">IFERROR(__xludf.DUMMYFUNCTION("""COMPUTED_VALUE"""),5)</f>
        <v>5</v>
      </c>
      <c r="AH454" s="4">
        <f ca="1">IFERROR(__xludf.DUMMYFUNCTION("""COMPUTED_VALUE"""),5)</f>
        <v>5</v>
      </c>
      <c r="AI454" s="4">
        <f ca="1">IFERROR(__xludf.DUMMYFUNCTION("""COMPUTED_VALUE"""),5)</f>
        <v>5</v>
      </c>
      <c r="AJ454" s="4">
        <f ca="1">IFERROR(__xludf.DUMMYFUNCTION("""COMPUTED_VALUE"""),5)</f>
        <v>5</v>
      </c>
      <c r="AK454" s="4">
        <f ca="1">IFERROR(__xludf.DUMMYFUNCTION("""COMPUTED_VALUE"""),5)</f>
        <v>5</v>
      </c>
      <c r="AL454" s="4">
        <f ca="1">IFERROR(__xludf.DUMMYFUNCTION("""COMPUTED_VALUE"""),4)</f>
        <v>4</v>
      </c>
      <c r="AM454" s="4">
        <f ca="1">IFERROR(__xludf.DUMMYFUNCTION("""COMPUTED_VALUE"""),4)</f>
        <v>4</v>
      </c>
      <c r="AN454" s="4">
        <f ca="1">IFERROR(__xludf.DUMMYFUNCTION("""COMPUTED_VALUE"""),5)</f>
        <v>5</v>
      </c>
      <c r="AO454" s="4">
        <f ca="1">IFERROR(__xludf.DUMMYFUNCTION("""COMPUTED_VALUE"""),4)</f>
        <v>4</v>
      </c>
      <c r="AP454" s="4">
        <f ca="1">IFERROR(__xludf.DUMMYFUNCTION("""COMPUTED_VALUE"""),4)</f>
        <v>4</v>
      </c>
      <c r="AQ454" s="4">
        <f ca="1">IFERROR(__xludf.DUMMYFUNCTION("""COMPUTED_VALUE"""),4)</f>
        <v>4</v>
      </c>
      <c r="AR454" s="4">
        <f ca="1">IFERROR(__xludf.DUMMYFUNCTION("""COMPUTED_VALUE"""),5)</f>
        <v>5</v>
      </c>
      <c r="AS454" s="4">
        <f ca="1">IFERROR(__xludf.DUMMYFUNCTION("""COMPUTED_VALUE"""),4)</f>
        <v>4</v>
      </c>
      <c r="AT454" s="4">
        <f ca="1">IFERROR(__xludf.DUMMYFUNCTION("""COMPUTED_VALUE"""),3)</f>
        <v>3</v>
      </c>
      <c r="AU454" s="4">
        <f ca="1">IFERROR(__xludf.DUMMYFUNCTION("""COMPUTED_VALUE"""),3)</f>
        <v>3</v>
      </c>
      <c r="AV454" s="4">
        <f ca="1">IFERROR(__xludf.DUMMYFUNCTION("""COMPUTED_VALUE"""),4)</f>
        <v>4</v>
      </c>
      <c r="AW454" s="4">
        <f ca="1">IFERROR(__xludf.DUMMYFUNCTION("""COMPUTED_VALUE"""),5)</f>
        <v>5</v>
      </c>
      <c r="AX454" s="4">
        <f ca="1">IFERROR(__xludf.DUMMYFUNCTION("""COMPUTED_VALUE"""),5)</f>
        <v>5</v>
      </c>
      <c r="AY454" s="4">
        <f ca="1">IFERROR(__xludf.DUMMYFUNCTION("""COMPUTED_VALUE"""),5)</f>
        <v>5</v>
      </c>
      <c r="AZ454" s="4">
        <f ca="1">IFERROR(__xludf.DUMMYFUNCTION("""COMPUTED_VALUE"""),4)</f>
        <v>4</v>
      </c>
      <c r="BA454" s="4">
        <f ca="1">IFERROR(__xludf.DUMMYFUNCTION("""COMPUTED_VALUE"""),4)</f>
        <v>4</v>
      </c>
      <c r="BB454" s="4">
        <f ca="1">IFERROR(__xludf.DUMMYFUNCTION("""COMPUTED_VALUE"""),5)</f>
        <v>5</v>
      </c>
      <c r="BC454" s="4">
        <f ca="1">IFERROR(__xludf.DUMMYFUNCTION("""COMPUTED_VALUE"""),4)</f>
        <v>4</v>
      </c>
      <c r="BD454" s="4">
        <f ca="1">IFERROR(__xludf.DUMMYFUNCTION("""COMPUTED_VALUE"""),4)</f>
        <v>4</v>
      </c>
      <c r="BE454" s="4">
        <f ca="1">IFERROR(__xludf.DUMMYFUNCTION("""COMPUTED_VALUE"""),4)</f>
        <v>4</v>
      </c>
      <c r="BF454" s="4">
        <f ca="1">IFERROR(__xludf.DUMMYFUNCTION("""COMPUTED_VALUE"""),4)</f>
        <v>4</v>
      </c>
      <c r="BG454" s="4">
        <f ca="1">IFERROR(__xludf.DUMMYFUNCTION("""COMPUTED_VALUE"""),4)</f>
        <v>4</v>
      </c>
      <c r="BH454" s="4">
        <f ca="1">IFERROR(__xludf.DUMMYFUNCTION("""COMPUTED_VALUE"""),4)</f>
        <v>4</v>
      </c>
      <c r="BI454" s="4">
        <f ca="1">IFERROR(__xludf.DUMMYFUNCTION("""COMPUTED_VALUE"""),4)</f>
        <v>4</v>
      </c>
      <c r="BJ454" s="4">
        <f ca="1">IFERROR(__xludf.DUMMYFUNCTION("""COMPUTED_VALUE"""),4)</f>
        <v>4</v>
      </c>
      <c r="BK454" s="4">
        <f ca="1">IFERROR(__xludf.DUMMYFUNCTION("""COMPUTED_VALUE"""),4)</f>
        <v>4</v>
      </c>
      <c r="BL454" s="4">
        <f ca="1">IFERROR(__xludf.DUMMYFUNCTION("""COMPUTED_VALUE"""),5)</f>
        <v>5</v>
      </c>
      <c r="BM454" s="4">
        <f ca="1">IFERROR(__xludf.DUMMYFUNCTION("""COMPUTED_VALUE"""),4)</f>
        <v>4</v>
      </c>
      <c r="BN454" s="4">
        <f ca="1">IFERROR(__xludf.DUMMYFUNCTION("""COMPUTED_VALUE"""),4)</f>
        <v>4</v>
      </c>
      <c r="BO454" s="4">
        <f ca="1">IFERROR(__xludf.DUMMYFUNCTION("""COMPUTED_VALUE"""),4)</f>
        <v>4</v>
      </c>
      <c r="BP454" s="4">
        <f ca="1">IFERROR(__xludf.DUMMYFUNCTION("""COMPUTED_VALUE"""),4)</f>
        <v>4</v>
      </c>
    </row>
    <row r="455" spans="1:68" ht="13.2" x14ac:dyDescent="0.25">
      <c r="A455" s="4" t="str">
        <f ca="1">IFERROR(__xludf.DUMMYFUNCTION("""COMPUTED_VALUE"""),"2_ABaOnufVFEa0-eUsUF24_stY6OCf9W1XLo8ngtZubGcE3GXMtJK3KXwrQs2Z0J11nA")</f>
        <v>2_ABaOnufVFEa0-eUsUF24_stY6OCf9W1XLo8ngtZubGcE3GXMtJK3KXwrQs2Z0J11nA</v>
      </c>
      <c r="B455" s="5">
        <f ca="1">IFERROR(__xludf.DUMMYFUNCTION("""COMPUTED_VALUE"""),46001.4381020254)</f>
        <v>46001.4381020254</v>
      </c>
      <c r="C455" s="4" t="str">
        <f ca="1">IFERROR(__xludf.DUMMYFUNCTION("""COMPUTED_VALUE"""),"HUỲNH TRÚC LÂM")</f>
        <v>HUỲNH TRÚC LÂM</v>
      </c>
      <c r="D455" s="4" t="str">
        <f ca="1">IFERROR(__xludf.DUMMYFUNCTION("""COMPUTED_VALUE"""),"Nam")</f>
        <v>Nam</v>
      </c>
      <c r="E455" s="4" t="str">
        <f ca="1">IFERROR(__xludf.DUMMYFUNCTION("""COMPUTED_VALUE"""),"Công ty TNHH Kiểm toán và Tư vấn Chuẩn Việt")</f>
        <v>Công ty TNHH Kiểm toán và Tư vấn Chuẩn Việt</v>
      </c>
      <c r="F455" s="4" t="str">
        <f ca="1">IFERROR(__xludf.DUMMYFUNCTION("""COMPUTED_VALUE"""),"Sau đại học, Chứng chỉ Kiểm toán viên")</f>
        <v>Sau đại học, Chứng chỉ Kiểm toán viên</v>
      </c>
      <c r="G455" s="4" t="str">
        <f ca="1">IFERROR(__xludf.DUMMYFUNCTION("""COMPUTED_VALUE"""),"Trên 20 năm")</f>
        <v>Trên 20 năm</v>
      </c>
      <c r="H455" s="4" t="str">
        <f ca="1">IFERROR(__xludf.DUMMYFUNCTION("""COMPUTED_VALUE"""),"Ban giám đốc")</f>
        <v>Ban giám đốc</v>
      </c>
      <c r="I455" s="4">
        <f ca="1">IFERROR(__xludf.DUMMYFUNCTION("""COMPUTED_VALUE"""),4)</f>
        <v>4</v>
      </c>
      <c r="J455" s="4">
        <f ca="1">IFERROR(__xludf.DUMMYFUNCTION("""COMPUTED_VALUE"""),4)</f>
        <v>4</v>
      </c>
      <c r="K455" s="4">
        <f ca="1">IFERROR(__xludf.DUMMYFUNCTION("""COMPUTED_VALUE"""),4)</f>
        <v>4</v>
      </c>
      <c r="L455" s="4">
        <f ca="1">IFERROR(__xludf.DUMMYFUNCTION("""COMPUTED_VALUE"""),4)</f>
        <v>4</v>
      </c>
      <c r="M455" s="4">
        <f ca="1">IFERROR(__xludf.DUMMYFUNCTION("""COMPUTED_VALUE"""),4)</f>
        <v>4</v>
      </c>
      <c r="N455" s="4">
        <f ca="1">IFERROR(__xludf.DUMMYFUNCTION("""COMPUTED_VALUE"""),4)</f>
        <v>4</v>
      </c>
      <c r="O455" s="4">
        <f ca="1">IFERROR(__xludf.DUMMYFUNCTION("""COMPUTED_VALUE"""),4)</f>
        <v>4</v>
      </c>
      <c r="P455" s="4">
        <f ca="1">IFERROR(__xludf.DUMMYFUNCTION("""COMPUTED_VALUE"""),4)</f>
        <v>4</v>
      </c>
      <c r="Q455" s="4">
        <f ca="1">IFERROR(__xludf.DUMMYFUNCTION("""COMPUTED_VALUE"""),4)</f>
        <v>4</v>
      </c>
      <c r="R455" s="4">
        <f ca="1">IFERROR(__xludf.DUMMYFUNCTION("""COMPUTED_VALUE"""),4)</f>
        <v>4</v>
      </c>
      <c r="S455" s="4">
        <f ca="1">IFERROR(__xludf.DUMMYFUNCTION("""COMPUTED_VALUE"""),4)</f>
        <v>4</v>
      </c>
      <c r="T455" s="4">
        <f ca="1">IFERROR(__xludf.DUMMYFUNCTION("""COMPUTED_VALUE"""),4)</f>
        <v>4</v>
      </c>
      <c r="U455" s="4">
        <f ca="1">IFERROR(__xludf.DUMMYFUNCTION("""COMPUTED_VALUE"""),4)</f>
        <v>4</v>
      </c>
      <c r="V455" s="4">
        <f ca="1">IFERROR(__xludf.DUMMYFUNCTION("""COMPUTED_VALUE"""),4)</f>
        <v>4</v>
      </c>
      <c r="W455" s="4">
        <f ca="1">IFERROR(__xludf.DUMMYFUNCTION("""COMPUTED_VALUE"""),4)</f>
        <v>4</v>
      </c>
      <c r="X455" s="4">
        <f ca="1">IFERROR(__xludf.DUMMYFUNCTION("""COMPUTED_VALUE"""),4)</f>
        <v>4</v>
      </c>
      <c r="Y455" s="4">
        <f ca="1">IFERROR(__xludf.DUMMYFUNCTION("""COMPUTED_VALUE"""),4)</f>
        <v>4</v>
      </c>
      <c r="Z455" s="4">
        <f ca="1">IFERROR(__xludf.DUMMYFUNCTION("""COMPUTED_VALUE"""),4)</f>
        <v>4</v>
      </c>
      <c r="AA455" s="4">
        <f ca="1">IFERROR(__xludf.DUMMYFUNCTION("""COMPUTED_VALUE"""),4)</f>
        <v>4</v>
      </c>
      <c r="AB455" s="4">
        <f ca="1">IFERROR(__xludf.DUMMYFUNCTION("""COMPUTED_VALUE"""),4)</f>
        <v>4</v>
      </c>
      <c r="AC455" s="4">
        <f ca="1">IFERROR(__xludf.DUMMYFUNCTION("""COMPUTED_VALUE"""),4)</f>
        <v>4</v>
      </c>
      <c r="AD455" s="4">
        <f ca="1">IFERROR(__xludf.DUMMYFUNCTION("""COMPUTED_VALUE"""),3)</f>
        <v>3</v>
      </c>
      <c r="AE455" s="4">
        <f ca="1">IFERROR(__xludf.DUMMYFUNCTION("""COMPUTED_VALUE"""),4)</f>
        <v>4</v>
      </c>
      <c r="AF455" s="4">
        <f ca="1">IFERROR(__xludf.DUMMYFUNCTION("""COMPUTED_VALUE"""),4)</f>
        <v>4</v>
      </c>
      <c r="AG455" s="4">
        <f ca="1">IFERROR(__xludf.DUMMYFUNCTION("""COMPUTED_VALUE"""),4)</f>
        <v>4</v>
      </c>
      <c r="AH455" s="4">
        <f ca="1">IFERROR(__xludf.DUMMYFUNCTION("""COMPUTED_VALUE"""),4)</f>
        <v>4</v>
      </c>
      <c r="AI455" s="4">
        <f ca="1">IFERROR(__xludf.DUMMYFUNCTION("""COMPUTED_VALUE"""),4)</f>
        <v>4</v>
      </c>
      <c r="AJ455" s="4">
        <f ca="1">IFERROR(__xludf.DUMMYFUNCTION("""COMPUTED_VALUE"""),5)</f>
        <v>5</v>
      </c>
      <c r="AK455" s="4">
        <f ca="1">IFERROR(__xludf.DUMMYFUNCTION("""COMPUTED_VALUE"""),5)</f>
        <v>5</v>
      </c>
      <c r="AL455" s="4">
        <f ca="1">IFERROR(__xludf.DUMMYFUNCTION("""COMPUTED_VALUE"""),5)</f>
        <v>5</v>
      </c>
      <c r="AM455" s="4">
        <f ca="1">IFERROR(__xludf.DUMMYFUNCTION("""COMPUTED_VALUE"""),5)</f>
        <v>5</v>
      </c>
      <c r="AN455" s="4">
        <f ca="1">IFERROR(__xludf.DUMMYFUNCTION("""COMPUTED_VALUE"""),5)</f>
        <v>5</v>
      </c>
      <c r="AO455" s="4">
        <f ca="1">IFERROR(__xludf.DUMMYFUNCTION("""COMPUTED_VALUE"""),4)</f>
        <v>4</v>
      </c>
      <c r="AP455" s="4">
        <f ca="1">IFERROR(__xludf.DUMMYFUNCTION("""COMPUTED_VALUE"""),4)</f>
        <v>4</v>
      </c>
      <c r="AQ455" s="4">
        <f ca="1">IFERROR(__xludf.DUMMYFUNCTION("""COMPUTED_VALUE"""),4)</f>
        <v>4</v>
      </c>
      <c r="AR455" s="4">
        <f ca="1">IFERROR(__xludf.DUMMYFUNCTION("""COMPUTED_VALUE"""),4)</f>
        <v>4</v>
      </c>
      <c r="AS455" s="4">
        <f ca="1">IFERROR(__xludf.DUMMYFUNCTION("""COMPUTED_VALUE"""),4)</f>
        <v>4</v>
      </c>
      <c r="AT455" s="4">
        <f ca="1">IFERROR(__xludf.DUMMYFUNCTION("""COMPUTED_VALUE"""),4)</f>
        <v>4</v>
      </c>
      <c r="AU455" s="4">
        <f ca="1">IFERROR(__xludf.DUMMYFUNCTION("""COMPUTED_VALUE"""),4)</f>
        <v>4</v>
      </c>
      <c r="AV455" s="4">
        <f ca="1">IFERROR(__xludf.DUMMYFUNCTION("""COMPUTED_VALUE"""),4)</f>
        <v>4</v>
      </c>
      <c r="AW455" s="4">
        <f ca="1">IFERROR(__xludf.DUMMYFUNCTION("""COMPUTED_VALUE"""),4)</f>
        <v>4</v>
      </c>
      <c r="AX455" s="4">
        <f ca="1">IFERROR(__xludf.DUMMYFUNCTION("""COMPUTED_VALUE"""),5)</f>
        <v>5</v>
      </c>
      <c r="AY455" s="4">
        <f ca="1">IFERROR(__xludf.DUMMYFUNCTION("""COMPUTED_VALUE"""),4)</f>
        <v>4</v>
      </c>
      <c r="AZ455" s="4">
        <f ca="1">IFERROR(__xludf.DUMMYFUNCTION("""COMPUTED_VALUE"""),4)</f>
        <v>4</v>
      </c>
      <c r="BA455" s="4">
        <f ca="1">IFERROR(__xludf.DUMMYFUNCTION("""COMPUTED_VALUE"""),4)</f>
        <v>4</v>
      </c>
      <c r="BB455" s="4">
        <f ca="1">IFERROR(__xludf.DUMMYFUNCTION("""COMPUTED_VALUE"""),4)</f>
        <v>4</v>
      </c>
      <c r="BC455" s="4">
        <f ca="1">IFERROR(__xludf.DUMMYFUNCTION("""COMPUTED_VALUE"""),3)</f>
        <v>3</v>
      </c>
      <c r="BD455" s="4">
        <f ca="1">IFERROR(__xludf.DUMMYFUNCTION("""COMPUTED_VALUE"""),3)</f>
        <v>3</v>
      </c>
      <c r="BE455" s="4">
        <f ca="1">IFERROR(__xludf.DUMMYFUNCTION("""COMPUTED_VALUE"""),4)</f>
        <v>4</v>
      </c>
      <c r="BF455" s="4">
        <f ca="1">IFERROR(__xludf.DUMMYFUNCTION("""COMPUTED_VALUE"""),4)</f>
        <v>4</v>
      </c>
      <c r="BG455" s="4">
        <f ca="1">IFERROR(__xludf.DUMMYFUNCTION("""COMPUTED_VALUE"""),3)</f>
        <v>3</v>
      </c>
      <c r="BH455" s="4">
        <f ca="1">IFERROR(__xludf.DUMMYFUNCTION("""COMPUTED_VALUE"""),3)</f>
        <v>3</v>
      </c>
      <c r="BI455" s="4">
        <f ca="1">IFERROR(__xludf.DUMMYFUNCTION("""COMPUTED_VALUE"""),4)</f>
        <v>4</v>
      </c>
      <c r="BJ455" s="4">
        <f ca="1">IFERROR(__xludf.DUMMYFUNCTION("""COMPUTED_VALUE"""),4)</f>
        <v>4</v>
      </c>
      <c r="BK455" s="4">
        <f ca="1">IFERROR(__xludf.DUMMYFUNCTION("""COMPUTED_VALUE"""),4)</f>
        <v>4</v>
      </c>
      <c r="BL455" s="4">
        <f ca="1">IFERROR(__xludf.DUMMYFUNCTION("""COMPUTED_VALUE"""),5)</f>
        <v>5</v>
      </c>
      <c r="BM455" s="4">
        <f ca="1">IFERROR(__xludf.DUMMYFUNCTION("""COMPUTED_VALUE"""),4)</f>
        <v>4</v>
      </c>
      <c r="BN455" s="4">
        <f ca="1">IFERROR(__xludf.DUMMYFUNCTION("""COMPUTED_VALUE"""),4)</f>
        <v>4</v>
      </c>
      <c r="BO455" s="4">
        <f ca="1">IFERROR(__xludf.DUMMYFUNCTION("""COMPUTED_VALUE"""),4)</f>
        <v>4</v>
      </c>
      <c r="BP455" s="4">
        <f ca="1">IFERROR(__xludf.DUMMYFUNCTION("""COMPUTED_VALUE"""),4)</f>
        <v>4</v>
      </c>
    </row>
    <row r="456" spans="1:68" ht="13.2" x14ac:dyDescent="0.25">
      <c r="A456" s="4" t="str">
        <f ca="1">IFERROR(__xludf.DUMMYFUNCTION("""COMPUTED_VALUE"""),"2_ABaOnufymi_MW_0w3CZR-saaf-E7uRshpGJdwwYDa22eInaLlBaZSdj4Lju1db5THQ")</f>
        <v>2_ABaOnufymi_MW_0w3CZR-saaf-E7uRshpGJdwwYDa22eInaLlBaZSdj4Lju1db5THQ</v>
      </c>
      <c r="B456" s="5">
        <f ca="1">IFERROR(__xludf.DUMMYFUNCTION("""COMPUTED_VALUE"""),46001.4529301851)</f>
        <v>46001.4529301851</v>
      </c>
      <c r="C456" s="4" t="str">
        <f ca="1">IFERROR(__xludf.DUMMYFUNCTION("""COMPUTED_VALUE"""),"Le Hong Minh")</f>
        <v>Le Hong Minh</v>
      </c>
      <c r="D456" s="4" t="str">
        <f ca="1">IFERROR(__xludf.DUMMYFUNCTION("""COMPUTED_VALUE"""),"Nam")</f>
        <v>Nam</v>
      </c>
      <c r="E456" s="4" t="str">
        <f ca="1">IFERROR(__xludf.DUMMYFUNCTION("""COMPUTED_VALUE"""),"MSA ALLIANCE LLC")</f>
        <v>MSA ALLIANCE LLC</v>
      </c>
      <c r="F456" s="4" t="str">
        <f ca="1">IFERROR(__xludf.DUMMYFUNCTION("""COMPUTED_VALUE"""),"Sau đại học, Chứng chỉ Kiểm toán viên")</f>
        <v>Sau đại học, Chứng chỉ Kiểm toán viên</v>
      </c>
      <c r="G456" s="4" t="str">
        <f ca="1">IFERROR(__xludf.DUMMYFUNCTION("""COMPUTED_VALUE"""),"Trên 20 năm")</f>
        <v>Trên 20 năm</v>
      </c>
      <c r="H456" s="4" t="str">
        <f ca="1">IFERROR(__xludf.DUMMYFUNCTION("""COMPUTED_VALUE"""),"Ban giám đốc")</f>
        <v>Ban giám đốc</v>
      </c>
      <c r="I456" s="4">
        <f ca="1">IFERROR(__xludf.DUMMYFUNCTION("""COMPUTED_VALUE"""),5)</f>
        <v>5</v>
      </c>
      <c r="J456" s="4">
        <f ca="1">IFERROR(__xludf.DUMMYFUNCTION("""COMPUTED_VALUE"""),5)</f>
        <v>5</v>
      </c>
      <c r="K456" s="4">
        <f ca="1">IFERROR(__xludf.DUMMYFUNCTION("""COMPUTED_VALUE"""),5)</f>
        <v>5</v>
      </c>
      <c r="L456" s="4">
        <f ca="1">IFERROR(__xludf.DUMMYFUNCTION("""COMPUTED_VALUE"""),5)</f>
        <v>5</v>
      </c>
      <c r="M456" s="4">
        <f ca="1">IFERROR(__xludf.DUMMYFUNCTION("""COMPUTED_VALUE"""),5)</f>
        <v>5</v>
      </c>
      <c r="N456" s="4">
        <f ca="1">IFERROR(__xludf.DUMMYFUNCTION("""COMPUTED_VALUE"""),1)</f>
        <v>1</v>
      </c>
      <c r="O456" s="4">
        <f ca="1">IFERROR(__xludf.DUMMYFUNCTION("""COMPUTED_VALUE"""),5)</f>
        <v>5</v>
      </c>
      <c r="P456" s="4">
        <f ca="1">IFERROR(__xludf.DUMMYFUNCTION("""COMPUTED_VALUE"""),5)</f>
        <v>5</v>
      </c>
      <c r="Q456" s="4">
        <f ca="1">IFERROR(__xludf.DUMMYFUNCTION("""COMPUTED_VALUE"""),5)</f>
        <v>5</v>
      </c>
      <c r="R456" s="4">
        <f ca="1">IFERROR(__xludf.DUMMYFUNCTION("""COMPUTED_VALUE"""),5)</f>
        <v>5</v>
      </c>
      <c r="S456" s="4">
        <f ca="1">IFERROR(__xludf.DUMMYFUNCTION("""COMPUTED_VALUE"""),5)</f>
        <v>5</v>
      </c>
      <c r="T456" s="4">
        <f ca="1">IFERROR(__xludf.DUMMYFUNCTION("""COMPUTED_VALUE"""),5)</f>
        <v>5</v>
      </c>
      <c r="U456" s="4">
        <f ca="1">IFERROR(__xludf.DUMMYFUNCTION("""COMPUTED_VALUE"""),5)</f>
        <v>5</v>
      </c>
      <c r="V456" s="4">
        <f ca="1">IFERROR(__xludf.DUMMYFUNCTION("""COMPUTED_VALUE"""),5)</f>
        <v>5</v>
      </c>
      <c r="W456" s="4">
        <f ca="1">IFERROR(__xludf.DUMMYFUNCTION("""COMPUTED_VALUE"""),5)</f>
        <v>5</v>
      </c>
      <c r="X456" s="4">
        <f ca="1">IFERROR(__xludf.DUMMYFUNCTION("""COMPUTED_VALUE"""),5)</f>
        <v>5</v>
      </c>
      <c r="Y456" s="4">
        <f ca="1">IFERROR(__xludf.DUMMYFUNCTION("""COMPUTED_VALUE"""),5)</f>
        <v>5</v>
      </c>
      <c r="Z456" s="4">
        <f ca="1">IFERROR(__xludf.DUMMYFUNCTION("""COMPUTED_VALUE"""),5)</f>
        <v>5</v>
      </c>
      <c r="AA456" s="4">
        <f ca="1">IFERROR(__xludf.DUMMYFUNCTION("""COMPUTED_VALUE"""),5)</f>
        <v>5</v>
      </c>
      <c r="AB456" s="4">
        <f ca="1">IFERROR(__xludf.DUMMYFUNCTION("""COMPUTED_VALUE"""),5)</f>
        <v>5</v>
      </c>
      <c r="AC456" s="4">
        <f ca="1">IFERROR(__xludf.DUMMYFUNCTION("""COMPUTED_VALUE"""),5)</f>
        <v>5</v>
      </c>
      <c r="AD456" s="4">
        <f ca="1">IFERROR(__xludf.DUMMYFUNCTION("""COMPUTED_VALUE"""),5)</f>
        <v>5</v>
      </c>
      <c r="AE456" s="4">
        <f ca="1">IFERROR(__xludf.DUMMYFUNCTION("""COMPUTED_VALUE"""),5)</f>
        <v>5</v>
      </c>
      <c r="AF456" s="4">
        <f ca="1">IFERROR(__xludf.DUMMYFUNCTION("""COMPUTED_VALUE"""),5)</f>
        <v>5</v>
      </c>
      <c r="AG456" s="4">
        <f ca="1">IFERROR(__xludf.DUMMYFUNCTION("""COMPUTED_VALUE"""),5)</f>
        <v>5</v>
      </c>
      <c r="AH456" s="4">
        <f ca="1">IFERROR(__xludf.DUMMYFUNCTION("""COMPUTED_VALUE"""),5)</f>
        <v>5</v>
      </c>
      <c r="AI456" s="4">
        <f ca="1">IFERROR(__xludf.DUMMYFUNCTION("""COMPUTED_VALUE"""),5)</f>
        <v>5</v>
      </c>
      <c r="AJ456" s="4">
        <f ca="1">IFERROR(__xludf.DUMMYFUNCTION("""COMPUTED_VALUE"""),5)</f>
        <v>5</v>
      </c>
      <c r="AK456" s="4">
        <f ca="1">IFERROR(__xludf.DUMMYFUNCTION("""COMPUTED_VALUE"""),5)</f>
        <v>5</v>
      </c>
      <c r="AL456" s="4">
        <f ca="1">IFERROR(__xludf.DUMMYFUNCTION("""COMPUTED_VALUE"""),5)</f>
        <v>5</v>
      </c>
      <c r="AM456" s="4">
        <f ca="1">IFERROR(__xludf.DUMMYFUNCTION("""COMPUTED_VALUE"""),5)</f>
        <v>5</v>
      </c>
      <c r="AN456" s="4">
        <f ca="1">IFERROR(__xludf.DUMMYFUNCTION("""COMPUTED_VALUE"""),5)</f>
        <v>5</v>
      </c>
      <c r="AO456" s="4">
        <f ca="1">IFERROR(__xludf.DUMMYFUNCTION("""COMPUTED_VALUE"""),4)</f>
        <v>4</v>
      </c>
      <c r="AP456" s="4">
        <f ca="1">IFERROR(__xludf.DUMMYFUNCTION("""COMPUTED_VALUE"""),4)</f>
        <v>4</v>
      </c>
      <c r="AQ456" s="4">
        <f ca="1">IFERROR(__xludf.DUMMYFUNCTION("""COMPUTED_VALUE"""),4)</f>
        <v>4</v>
      </c>
      <c r="AR456" s="4">
        <f ca="1">IFERROR(__xludf.DUMMYFUNCTION("""COMPUTED_VALUE"""),4)</f>
        <v>4</v>
      </c>
      <c r="AS456" s="4">
        <f ca="1">IFERROR(__xludf.DUMMYFUNCTION("""COMPUTED_VALUE"""),4)</f>
        <v>4</v>
      </c>
      <c r="AT456" s="4">
        <f ca="1">IFERROR(__xludf.DUMMYFUNCTION("""COMPUTED_VALUE"""),2)</f>
        <v>2</v>
      </c>
      <c r="AU456" s="4">
        <f ca="1">IFERROR(__xludf.DUMMYFUNCTION("""COMPUTED_VALUE"""),4)</f>
        <v>4</v>
      </c>
      <c r="AV456" s="4">
        <f ca="1">IFERROR(__xludf.DUMMYFUNCTION("""COMPUTED_VALUE"""),4)</f>
        <v>4</v>
      </c>
      <c r="AW456" s="4">
        <f ca="1">IFERROR(__xludf.DUMMYFUNCTION("""COMPUTED_VALUE"""),4)</f>
        <v>4</v>
      </c>
      <c r="AX456" s="4">
        <f ca="1">IFERROR(__xludf.DUMMYFUNCTION("""COMPUTED_VALUE"""),5)</f>
        <v>5</v>
      </c>
      <c r="AY456" s="4">
        <f ca="1">IFERROR(__xludf.DUMMYFUNCTION("""COMPUTED_VALUE"""),5)</f>
        <v>5</v>
      </c>
      <c r="AZ456" s="4">
        <f ca="1">IFERROR(__xludf.DUMMYFUNCTION("""COMPUTED_VALUE"""),5)</f>
        <v>5</v>
      </c>
      <c r="BA456" s="4">
        <f ca="1">IFERROR(__xludf.DUMMYFUNCTION("""COMPUTED_VALUE"""),5)</f>
        <v>5</v>
      </c>
      <c r="BB456" s="4">
        <f ca="1">IFERROR(__xludf.DUMMYFUNCTION("""COMPUTED_VALUE"""),1)</f>
        <v>1</v>
      </c>
      <c r="BC456" s="4">
        <f ca="1">IFERROR(__xludf.DUMMYFUNCTION("""COMPUTED_VALUE"""),1)</f>
        <v>1</v>
      </c>
      <c r="BD456" s="4">
        <f ca="1">IFERROR(__xludf.DUMMYFUNCTION("""COMPUTED_VALUE"""),5)</f>
        <v>5</v>
      </c>
      <c r="BE456" s="4">
        <f ca="1">IFERROR(__xludf.DUMMYFUNCTION("""COMPUTED_VALUE"""),5)</f>
        <v>5</v>
      </c>
      <c r="BF456" s="4">
        <f ca="1">IFERROR(__xludf.DUMMYFUNCTION("""COMPUTED_VALUE"""),5)</f>
        <v>5</v>
      </c>
      <c r="BG456" s="4">
        <f ca="1">IFERROR(__xludf.DUMMYFUNCTION("""COMPUTED_VALUE"""),5)</f>
        <v>5</v>
      </c>
      <c r="BH456" s="4">
        <f ca="1">IFERROR(__xludf.DUMMYFUNCTION("""COMPUTED_VALUE"""),5)</f>
        <v>5</v>
      </c>
      <c r="BI456" s="4">
        <f ca="1">IFERROR(__xludf.DUMMYFUNCTION("""COMPUTED_VALUE"""),5)</f>
        <v>5</v>
      </c>
      <c r="BJ456" s="4">
        <f ca="1">IFERROR(__xludf.DUMMYFUNCTION("""COMPUTED_VALUE"""),5)</f>
        <v>5</v>
      </c>
      <c r="BK456" s="4">
        <f ca="1">IFERROR(__xludf.DUMMYFUNCTION("""COMPUTED_VALUE"""),5)</f>
        <v>5</v>
      </c>
      <c r="BL456" s="4">
        <f ca="1">IFERROR(__xludf.DUMMYFUNCTION("""COMPUTED_VALUE"""),5)</f>
        <v>5</v>
      </c>
      <c r="BM456" s="4">
        <f ca="1">IFERROR(__xludf.DUMMYFUNCTION("""COMPUTED_VALUE"""),5)</f>
        <v>5</v>
      </c>
      <c r="BN456" s="4">
        <f ca="1">IFERROR(__xludf.DUMMYFUNCTION("""COMPUTED_VALUE"""),5)</f>
        <v>5</v>
      </c>
      <c r="BO456" s="4">
        <f ca="1">IFERROR(__xludf.DUMMYFUNCTION("""COMPUTED_VALUE"""),5)</f>
        <v>5</v>
      </c>
      <c r="BP456" s="4">
        <f ca="1">IFERROR(__xludf.DUMMYFUNCTION("""COMPUTED_VALUE"""),5)</f>
        <v>5</v>
      </c>
    </row>
    <row r="457" spans="1:68" ht="13.2" x14ac:dyDescent="0.25">
      <c r="A457" s="4" t="str">
        <f ca="1">IFERROR(__xludf.DUMMYFUNCTION("""COMPUTED_VALUE"""),"2_ABaOnueIbKw1JUPlwfDtE1O8rK9xCbFMv6OAg-lmNlQ83hGGCUijNqUmRIjRGarCVg")</f>
        <v>2_ABaOnueIbKw1JUPlwfDtE1O8rK9xCbFMv6OAg-lmNlQ83hGGCUijNqUmRIjRGarCVg</v>
      </c>
      <c r="B457" s="5">
        <f ca="1">IFERROR(__xludf.DUMMYFUNCTION("""COMPUTED_VALUE"""),46001.5529837152)</f>
        <v>46001.552983715199</v>
      </c>
      <c r="C457" s="4" t="str">
        <f ca="1">IFERROR(__xludf.DUMMYFUNCTION("""COMPUTED_VALUE"""),"Nguyễn Thị Bích Diễm")</f>
        <v>Nguyễn Thị Bích Diễm</v>
      </c>
      <c r="D457" s="4" t="str">
        <f ca="1">IFERROR(__xludf.DUMMYFUNCTION("""COMPUTED_VALUE"""),"Nữ")</f>
        <v>Nữ</v>
      </c>
      <c r="E457" s="4" t="str">
        <f ca="1">IFERROR(__xludf.DUMMYFUNCTION("""COMPUTED_VALUE"""),"Công ty Kiểm toán Chuẩn Việt")</f>
        <v>Công ty Kiểm toán Chuẩn Việt</v>
      </c>
      <c r="F457" s="4" t="str">
        <f ca="1">IFERROR(__xludf.DUMMYFUNCTION("""COMPUTED_VALUE"""),"Đại học, Chứng chỉ Kiểm toán viên")</f>
        <v>Đại học, Chứng chỉ Kiểm toán viên</v>
      </c>
      <c r="G457" s="4" t="str">
        <f ca="1">IFERROR(__xludf.DUMMYFUNCTION("""COMPUTED_VALUE"""),"Trên 10 đến 15 năm")</f>
        <v>Trên 10 đến 15 năm</v>
      </c>
      <c r="H457" s="4" t="str">
        <f ca="1">IFERROR(__xludf.DUMMYFUNCTION("""COMPUTED_VALUE"""),"Trưởng phòng")</f>
        <v>Trưởng phòng</v>
      </c>
      <c r="I457" s="4">
        <f ca="1">IFERROR(__xludf.DUMMYFUNCTION("""COMPUTED_VALUE"""),5)</f>
        <v>5</v>
      </c>
      <c r="J457" s="4">
        <f ca="1">IFERROR(__xludf.DUMMYFUNCTION("""COMPUTED_VALUE"""),5)</f>
        <v>5</v>
      </c>
      <c r="K457" s="4">
        <f ca="1">IFERROR(__xludf.DUMMYFUNCTION("""COMPUTED_VALUE"""),5)</f>
        <v>5</v>
      </c>
      <c r="L457" s="4">
        <f ca="1">IFERROR(__xludf.DUMMYFUNCTION("""COMPUTED_VALUE"""),5)</f>
        <v>5</v>
      </c>
      <c r="M457" s="4">
        <f ca="1">IFERROR(__xludf.DUMMYFUNCTION("""COMPUTED_VALUE"""),5)</f>
        <v>5</v>
      </c>
      <c r="N457" s="4">
        <f ca="1">IFERROR(__xludf.DUMMYFUNCTION("""COMPUTED_VALUE"""),4)</f>
        <v>4</v>
      </c>
      <c r="O457" s="4">
        <f ca="1">IFERROR(__xludf.DUMMYFUNCTION("""COMPUTED_VALUE"""),4)</f>
        <v>4</v>
      </c>
      <c r="P457" s="4">
        <f ca="1">IFERROR(__xludf.DUMMYFUNCTION("""COMPUTED_VALUE"""),5)</f>
        <v>5</v>
      </c>
      <c r="Q457" s="4">
        <f ca="1">IFERROR(__xludf.DUMMYFUNCTION("""COMPUTED_VALUE"""),5)</f>
        <v>5</v>
      </c>
      <c r="R457" s="4">
        <f ca="1">IFERROR(__xludf.DUMMYFUNCTION("""COMPUTED_VALUE"""),5)</f>
        <v>5</v>
      </c>
      <c r="S457" s="4">
        <f ca="1">IFERROR(__xludf.DUMMYFUNCTION("""COMPUTED_VALUE"""),5)</f>
        <v>5</v>
      </c>
      <c r="T457" s="4">
        <f ca="1">IFERROR(__xludf.DUMMYFUNCTION("""COMPUTED_VALUE"""),5)</f>
        <v>5</v>
      </c>
      <c r="U457" s="4">
        <f ca="1">IFERROR(__xludf.DUMMYFUNCTION("""COMPUTED_VALUE"""),5)</f>
        <v>5</v>
      </c>
      <c r="V457" s="4">
        <f ca="1">IFERROR(__xludf.DUMMYFUNCTION("""COMPUTED_VALUE"""),5)</f>
        <v>5</v>
      </c>
      <c r="W457" s="4">
        <f ca="1">IFERROR(__xludf.DUMMYFUNCTION("""COMPUTED_VALUE"""),4)</f>
        <v>4</v>
      </c>
      <c r="X457" s="4">
        <f ca="1">IFERROR(__xludf.DUMMYFUNCTION("""COMPUTED_VALUE"""),4)</f>
        <v>4</v>
      </c>
      <c r="Y457" s="4">
        <f ca="1">IFERROR(__xludf.DUMMYFUNCTION("""COMPUTED_VALUE"""),4)</f>
        <v>4</v>
      </c>
      <c r="Z457" s="4">
        <f ca="1">IFERROR(__xludf.DUMMYFUNCTION("""COMPUTED_VALUE"""),5)</f>
        <v>5</v>
      </c>
      <c r="AA457" s="4">
        <f ca="1">IFERROR(__xludf.DUMMYFUNCTION("""COMPUTED_VALUE"""),4)</f>
        <v>4</v>
      </c>
      <c r="AB457" s="4">
        <f ca="1">IFERROR(__xludf.DUMMYFUNCTION("""COMPUTED_VALUE"""),3)</f>
        <v>3</v>
      </c>
      <c r="AC457" s="4">
        <f ca="1">IFERROR(__xludf.DUMMYFUNCTION("""COMPUTED_VALUE"""),3)</f>
        <v>3</v>
      </c>
      <c r="AD457" s="4">
        <f ca="1">IFERROR(__xludf.DUMMYFUNCTION("""COMPUTED_VALUE"""),3)</f>
        <v>3</v>
      </c>
      <c r="AE457" s="4">
        <f ca="1">IFERROR(__xludf.DUMMYFUNCTION("""COMPUTED_VALUE"""),5)</f>
        <v>5</v>
      </c>
      <c r="AF457" s="4">
        <f ca="1">IFERROR(__xludf.DUMMYFUNCTION("""COMPUTED_VALUE"""),4)</f>
        <v>4</v>
      </c>
      <c r="AG457" s="4">
        <f ca="1">IFERROR(__xludf.DUMMYFUNCTION("""COMPUTED_VALUE"""),4)</f>
        <v>4</v>
      </c>
      <c r="AH457" s="4">
        <f ca="1">IFERROR(__xludf.DUMMYFUNCTION("""COMPUTED_VALUE"""),4)</f>
        <v>4</v>
      </c>
      <c r="AI457" s="4">
        <f ca="1">IFERROR(__xludf.DUMMYFUNCTION("""COMPUTED_VALUE"""),4)</f>
        <v>4</v>
      </c>
      <c r="AJ457" s="4">
        <f ca="1">IFERROR(__xludf.DUMMYFUNCTION("""COMPUTED_VALUE"""),4)</f>
        <v>4</v>
      </c>
      <c r="AK457" s="4">
        <f ca="1">IFERROR(__xludf.DUMMYFUNCTION("""COMPUTED_VALUE"""),4)</f>
        <v>4</v>
      </c>
      <c r="AL457" s="4">
        <f ca="1">IFERROR(__xludf.DUMMYFUNCTION("""COMPUTED_VALUE"""),4)</f>
        <v>4</v>
      </c>
      <c r="AM457" s="4">
        <f ca="1">IFERROR(__xludf.DUMMYFUNCTION("""COMPUTED_VALUE"""),4)</f>
        <v>4</v>
      </c>
      <c r="AN457" s="4">
        <f ca="1">IFERROR(__xludf.DUMMYFUNCTION("""COMPUTED_VALUE"""),4)</f>
        <v>4</v>
      </c>
      <c r="AO457" s="4">
        <f ca="1">IFERROR(__xludf.DUMMYFUNCTION("""COMPUTED_VALUE"""),4)</f>
        <v>4</v>
      </c>
      <c r="AP457" s="4">
        <f ca="1">IFERROR(__xludf.DUMMYFUNCTION("""COMPUTED_VALUE"""),4)</f>
        <v>4</v>
      </c>
      <c r="AQ457" s="4">
        <f ca="1">IFERROR(__xludf.DUMMYFUNCTION("""COMPUTED_VALUE"""),4)</f>
        <v>4</v>
      </c>
      <c r="AR457" s="4">
        <f ca="1">IFERROR(__xludf.DUMMYFUNCTION("""COMPUTED_VALUE"""),3)</f>
        <v>3</v>
      </c>
      <c r="AS457" s="4">
        <f ca="1">IFERROR(__xludf.DUMMYFUNCTION("""COMPUTED_VALUE"""),3)</f>
        <v>3</v>
      </c>
      <c r="AT457" s="4">
        <f ca="1">IFERROR(__xludf.DUMMYFUNCTION("""COMPUTED_VALUE"""),4)</f>
        <v>4</v>
      </c>
      <c r="AU457" s="4">
        <f ca="1">IFERROR(__xludf.DUMMYFUNCTION("""COMPUTED_VALUE"""),4)</f>
        <v>4</v>
      </c>
      <c r="AV457" s="4">
        <f ca="1">IFERROR(__xludf.DUMMYFUNCTION("""COMPUTED_VALUE"""),4)</f>
        <v>4</v>
      </c>
      <c r="AW457" s="4">
        <f ca="1">IFERROR(__xludf.DUMMYFUNCTION("""COMPUTED_VALUE"""),4)</f>
        <v>4</v>
      </c>
      <c r="AX457" s="4">
        <f ca="1">IFERROR(__xludf.DUMMYFUNCTION("""COMPUTED_VALUE"""),5)</f>
        <v>5</v>
      </c>
      <c r="AY457" s="4">
        <f ca="1">IFERROR(__xludf.DUMMYFUNCTION("""COMPUTED_VALUE"""),5)</f>
        <v>5</v>
      </c>
      <c r="AZ457" s="4">
        <f ca="1">IFERROR(__xludf.DUMMYFUNCTION("""COMPUTED_VALUE"""),5)</f>
        <v>5</v>
      </c>
      <c r="BA457" s="4">
        <f ca="1">IFERROR(__xludf.DUMMYFUNCTION("""COMPUTED_VALUE"""),5)</f>
        <v>5</v>
      </c>
      <c r="BB457" s="4">
        <f ca="1">IFERROR(__xludf.DUMMYFUNCTION("""COMPUTED_VALUE"""),5)</f>
        <v>5</v>
      </c>
      <c r="BC457" s="4">
        <f ca="1">IFERROR(__xludf.DUMMYFUNCTION("""COMPUTED_VALUE"""),5)</f>
        <v>5</v>
      </c>
      <c r="BD457" s="4">
        <f ca="1">IFERROR(__xludf.DUMMYFUNCTION("""COMPUTED_VALUE"""),5)</f>
        <v>5</v>
      </c>
      <c r="BE457" s="4">
        <f ca="1">IFERROR(__xludf.DUMMYFUNCTION("""COMPUTED_VALUE"""),5)</f>
        <v>5</v>
      </c>
      <c r="BF457" s="4">
        <f ca="1">IFERROR(__xludf.DUMMYFUNCTION("""COMPUTED_VALUE"""),5)</f>
        <v>5</v>
      </c>
      <c r="BG457" s="4">
        <f ca="1">IFERROR(__xludf.DUMMYFUNCTION("""COMPUTED_VALUE"""),5)</f>
        <v>5</v>
      </c>
      <c r="BH457" s="4">
        <f ca="1">IFERROR(__xludf.DUMMYFUNCTION("""COMPUTED_VALUE"""),5)</f>
        <v>5</v>
      </c>
      <c r="BI457" s="4">
        <f ca="1">IFERROR(__xludf.DUMMYFUNCTION("""COMPUTED_VALUE"""),5)</f>
        <v>5</v>
      </c>
      <c r="BJ457" s="4">
        <f ca="1">IFERROR(__xludf.DUMMYFUNCTION("""COMPUTED_VALUE"""),5)</f>
        <v>5</v>
      </c>
      <c r="BK457" s="4">
        <f ca="1">IFERROR(__xludf.DUMMYFUNCTION("""COMPUTED_VALUE"""),5)</f>
        <v>5</v>
      </c>
      <c r="BL457" s="4">
        <f ca="1">IFERROR(__xludf.DUMMYFUNCTION("""COMPUTED_VALUE"""),4)</f>
        <v>4</v>
      </c>
      <c r="BM457" s="4">
        <f ca="1">IFERROR(__xludf.DUMMYFUNCTION("""COMPUTED_VALUE"""),5)</f>
        <v>5</v>
      </c>
      <c r="BN457" s="4">
        <f ca="1">IFERROR(__xludf.DUMMYFUNCTION("""COMPUTED_VALUE"""),5)</f>
        <v>5</v>
      </c>
      <c r="BO457" s="4">
        <f ca="1">IFERROR(__xludf.DUMMYFUNCTION("""COMPUTED_VALUE"""),4)</f>
        <v>4</v>
      </c>
      <c r="BP457" s="4">
        <f ca="1">IFERROR(__xludf.DUMMYFUNCTION("""COMPUTED_VALUE"""),4)</f>
        <v>4</v>
      </c>
    </row>
    <row r="458" spans="1:68" ht="13.2" x14ac:dyDescent="0.25">
      <c r="A458" s="4" t="str">
        <f ca="1">IFERROR(__xludf.DUMMYFUNCTION("""COMPUTED_VALUE"""),"2_ABaOnueOBZ4TJrNcvPpwsQkAhTkMYHpSvAI5929Xa7uuwIFxcMzbpvqXiKwbhAxIlg")</f>
        <v>2_ABaOnueOBZ4TJrNcvPpwsQkAhTkMYHpSvAI5929Xa7uuwIFxcMzbpvqXiKwbhAxIlg</v>
      </c>
      <c r="B458" s="5">
        <f ca="1">IFERROR(__xludf.DUMMYFUNCTION("""COMPUTED_VALUE"""),46001.5559404398)</f>
        <v>46001.555940439801</v>
      </c>
      <c r="C458" s="4"/>
      <c r="D458" s="4" t="str">
        <f ca="1">IFERROR(__xludf.DUMMYFUNCTION("""COMPUTED_VALUE"""),"Nữ")</f>
        <v>Nữ</v>
      </c>
      <c r="E458" s="4" t="str">
        <f ca="1">IFERROR(__xludf.DUMMYFUNCTION("""COMPUTED_VALUE"""),"Công ty TNHH Kiểm toán và Tư vấn Chuẩn Việt")</f>
        <v>Công ty TNHH Kiểm toán và Tư vấn Chuẩn Việt</v>
      </c>
      <c r="F458" s="4" t="str">
        <f ca="1">IFERROR(__xludf.DUMMYFUNCTION("""COMPUTED_VALUE"""),"Đại học, Chứng chỉ Kiểm toán viên")</f>
        <v>Đại học, Chứng chỉ Kiểm toán viên</v>
      </c>
      <c r="G458" s="4" t="str">
        <f ca="1">IFERROR(__xludf.DUMMYFUNCTION("""COMPUTED_VALUE"""),"Trên 5 đến 10 năm")</f>
        <v>Trên 5 đến 10 năm</v>
      </c>
      <c r="H458" s="4" t="str">
        <f ca="1">IFERROR(__xludf.DUMMYFUNCTION("""COMPUTED_VALUE"""),"Kiểm toán viên/Trưởng nhóm")</f>
        <v>Kiểm toán viên/Trưởng nhóm</v>
      </c>
      <c r="I458" s="4">
        <f ca="1">IFERROR(__xludf.DUMMYFUNCTION("""COMPUTED_VALUE"""),5)</f>
        <v>5</v>
      </c>
      <c r="J458" s="4">
        <f ca="1">IFERROR(__xludf.DUMMYFUNCTION("""COMPUTED_VALUE"""),5)</f>
        <v>5</v>
      </c>
      <c r="K458" s="4">
        <f ca="1">IFERROR(__xludf.DUMMYFUNCTION("""COMPUTED_VALUE"""),5)</f>
        <v>5</v>
      </c>
      <c r="L458" s="4">
        <f ca="1">IFERROR(__xludf.DUMMYFUNCTION("""COMPUTED_VALUE"""),4)</f>
        <v>4</v>
      </c>
      <c r="M458" s="4">
        <f ca="1">IFERROR(__xludf.DUMMYFUNCTION("""COMPUTED_VALUE"""),5)</f>
        <v>5</v>
      </c>
      <c r="N458" s="4">
        <f ca="1">IFERROR(__xludf.DUMMYFUNCTION("""COMPUTED_VALUE"""),4)</f>
        <v>4</v>
      </c>
      <c r="O458" s="4">
        <f ca="1">IFERROR(__xludf.DUMMYFUNCTION("""COMPUTED_VALUE"""),4)</f>
        <v>4</v>
      </c>
      <c r="P458" s="4">
        <f ca="1">IFERROR(__xludf.DUMMYFUNCTION("""COMPUTED_VALUE"""),5)</f>
        <v>5</v>
      </c>
      <c r="Q458" s="4">
        <f ca="1">IFERROR(__xludf.DUMMYFUNCTION("""COMPUTED_VALUE"""),5)</f>
        <v>5</v>
      </c>
      <c r="R458" s="4">
        <f ca="1">IFERROR(__xludf.DUMMYFUNCTION("""COMPUTED_VALUE"""),5)</f>
        <v>5</v>
      </c>
      <c r="S458" s="4">
        <f ca="1">IFERROR(__xludf.DUMMYFUNCTION("""COMPUTED_VALUE"""),5)</f>
        <v>5</v>
      </c>
      <c r="T458" s="4">
        <f ca="1">IFERROR(__xludf.DUMMYFUNCTION("""COMPUTED_VALUE"""),5)</f>
        <v>5</v>
      </c>
      <c r="U458" s="4">
        <f ca="1">IFERROR(__xludf.DUMMYFUNCTION("""COMPUTED_VALUE"""),5)</f>
        <v>5</v>
      </c>
      <c r="V458" s="4">
        <f ca="1">IFERROR(__xludf.DUMMYFUNCTION("""COMPUTED_VALUE"""),5)</f>
        <v>5</v>
      </c>
      <c r="W458" s="4">
        <f ca="1">IFERROR(__xludf.DUMMYFUNCTION("""COMPUTED_VALUE"""),4)</f>
        <v>4</v>
      </c>
      <c r="X458" s="4">
        <f ca="1">IFERROR(__xludf.DUMMYFUNCTION("""COMPUTED_VALUE"""),4)</f>
        <v>4</v>
      </c>
      <c r="Y458" s="4">
        <f ca="1">IFERROR(__xludf.DUMMYFUNCTION("""COMPUTED_VALUE"""),4)</f>
        <v>4</v>
      </c>
      <c r="Z458" s="4">
        <f ca="1">IFERROR(__xludf.DUMMYFUNCTION("""COMPUTED_VALUE"""),4)</f>
        <v>4</v>
      </c>
      <c r="AA458" s="4">
        <f ca="1">IFERROR(__xludf.DUMMYFUNCTION("""COMPUTED_VALUE"""),4)</f>
        <v>4</v>
      </c>
      <c r="AB458" s="4">
        <f ca="1">IFERROR(__xludf.DUMMYFUNCTION("""COMPUTED_VALUE"""),4)</f>
        <v>4</v>
      </c>
      <c r="AC458" s="4">
        <f ca="1">IFERROR(__xludf.DUMMYFUNCTION("""COMPUTED_VALUE"""),5)</f>
        <v>5</v>
      </c>
      <c r="AD458" s="4">
        <f ca="1">IFERROR(__xludf.DUMMYFUNCTION("""COMPUTED_VALUE"""),5)</f>
        <v>5</v>
      </c>
      <c r="AE458" s="4">
        <f ca="1">IFERROR(__xludf.DUMMYFUNCTION("""COMPUTED_VALUE"""),5)</f>
        <v>5</v>
      </c>
      <c r="AF458" s="4">
        <f ca="1">IFERROR(__xludf.DUMMYFUNCTION("""COMPUTED_VALUE"""),4)</f>
        <v>4</v>
      </c>
      <c r="AG458" s="4">
        <f ca="1">IFERROR(__xludf.DUMMYFUNCTION("""COMPUTED_VALUE"""),4)</f>
        <v>4</v>
      </c>
      <c r="AH458" s="4">
        <f ca="1">IFERROR(__xludf.DUMMYFUNCTION("""COMPUTED_VALUE"""),4)</f>
        <v>4</v>
      </c>
      <c r="AI458" s="4">
        <f ca="1">IFERROR(__xludf.DUMMYFUNCTION("""COMPUTED_VALUE"""),4)</f>
        <v>4</v>
      </c>
      <c r="AJ458" s="4">
        <f ca="1">IFERROR(__xludf.DUMMYFUNCTION("""COMPUTED_VALUE"""),4)</f>
        <v>4</v>
      </c>
      <c r="AK458" s="4">
        <f ca="1">IFERROR(__xludf.DUMMYFUNCTION("""COMPUTED_VALUE"""),4)</f>
        <v>4</v>
      </c>
      <c r="AL458" s="4">
        <f ca="1">IFERROR(__xludf.DUMMYFUNCTION("""COMPUTED_VALUE"""),5)</f>
        <v>5</v>
      </c>
      <c r="AM458" s="4">
        <f ca="1">IFERROR(__xludf.DUMMYFUNCTION("""COMPUTED_VALUE"""),5)</f>
        <v>5</v>
      </c>
      <c r="AN458" s="4">
        <f ca="1">IFERROR(__xludf.DUMMYFUNCTION("""COMPUTED_VALUE"""),5)</f>
        <v>5</v>
      </c>
      <c r="AO458" s="4">
        <f ca="1">IFERROR(__xludf.DUMMYFUNCTION("""COMPUTED_VALUE"""),4)</f>
        <v>4</v>
      </c>
      <c r="AP458" s="4">
        <f ca="1">IFERROR(__xludf.DUMMYFUNCTION("""COMPUTED_VALUE"""),4)</f>
        <v>4</v>
      </c>
      <c r="AQ458" s="4">
        <f ca="1">IFERROR(__xludf.DUMMYFUNCTION("""COMPUTED_VALUE"""),4)</f>
        <v>4</v>
      </c>
      <c r="AR458" s="4">
        <f ca="1">IFERROR(__xludf.DUMMYFUNCTION("""COMPUTED_VALUE"""),4)</f>
        <v>4</v>
      </c>
      <c r="AS458" s="4">
        <f ca="1">IFERROR(__xludf.DUMMYFUNCTION("""COMPUTED_VALUE"""),4)</f>
        <v>4</v>
      </c>
      <c r="AT458" s="4">
        <f ca="1">IFERROR(__xludf.DUMMYFUNCTION("""COMPUTED_VALUE"""),4)</f>
        <v>4</v>
      </c>
      <c r="AU458" s="4">
        <f ca="1">IFERROR(__xludf.DUMMYFUNCTION("""COMPUTED_VALUE"""),4)</f>
        <v>4</v>
      </c>
      <c r="AV458" s="4">
        <f ca="1">IFERROR(__xludf.DUMMYFUNCTION("""COMPUTED_VALUE"""),4)</f>
        <v>4</v>
      </c>
      <c r="AW458" s="4">
        <f ca="1">IFERROR(__xludf.DUMMYFUNCTION("""COMPUTED_VALUE"""),4)</f>
        <v>4</v>
      </c>
      <c r="AX458" s="4">
        <f ca="1">IFERROR(__xludf.DUMMYFUNCTION("""COMPUTED_VALUE"""),5)</f>
        <v>5</v>
      </c>
      <c r="AY458" s="4">
        <f ca="1">IFERROR(__xludf.DUMMYFUNCTION("""COMPUTED_VALUE"""),5)</f>
        <v>5</v>
      </c>
      <c r="AZ458" s="4">
        <f ca="1">IFERROR(__xludf.DUMMYFUNCTION("""COMPUTED_VALUE"""),5)</f>
        <v>5</v>
      </c>
      <c r="BA458" s="4">
        <f ca="1">IFERROR(__xludf.DUMMYFUNCTION("""COMPUTED_VALUE"""),5)</f>
        <v>5</v>
      </c>
      <c r="BB458" s="4">
        <f ca="1">IFERROR(__xludf.DUMMYFUNCTION("""COMPUTED_VALUE"""),4)</f>
        <v>4</v>
      </c>
      <c r="BC458" s="4">
        <f ca="1">IFERROR(__xludf.DUMMYFUNCTION("""COMPUTED_VALUE"""),4)</f>
        <v>4</v>
      </c>
      <c r="BD458" s="4">
        <f ca="1">IFERROR(__xludf.DUMMYFUNCTION("""COMPUTED_VALUE"""),4)</f>
        <v>4</v>
      </c>
      <c r="BE458" s="4">
        <f ca="1">IFERROR(__xludf.DUMMYFUNCTION("""COMPUTED_VALUE"""),4)</f>
        <v>4</v>
      </c>
      <c r="BF458" s="4">
        <f ca="1">IFERROR(__xludf.DUMMYFUNCTION("""COMPUTED_VALUE"""),4)</f>
        <v>4</v>
      </c>
      <c r="BG458" s="4">
        <f ca="1">IFERROR(__xludf.DUMMYFUNCTION("""COMPUTED_VALUE"""),4)</f>
        <v>4</v>
      </c>
      <c r="BH458" s="4">
        <f ca="1">IFERROR(__xludf.DUMMYFUNCTION("""COMPUTED_VALUE"""),5)</f>
        <v>5</v>
      </c>
      <c r="BI458" s="4">
        <f ca="1">IFERROR(__xludf.DUMMYFUNCTION("""COMPUTED_VALUE"""),5)</f>
        <v>5</v>
      </c>
      <c r="BJ458" s="4">
        <f ca="1">IFERROR(__xludf.DUMMYFUNCTION("""COMPUTED_VALUE"""),5)</f>
        <v>5</v>
      </c>
      <c r="BK458" s="4">
        <f ca="1">IFERROR(__xludf.DUMMYFUNCTION("""COMPUTED_VALUE"""),5)</f>
        <v>5</v>
      </c>
      <c r="BL458" s="4">
        <f ca="1">IFERROR(__xludf.DUMMYFUNCTION("""COMPUTED_VALUE"""),5)</f>
        <v>5</v>
      </c>
      <c r="BM458" s="4">
        <f ca="1">IFERROR(__xludf.DUMMYFUNCTION("""COMPUTED_VALUE"""),5)</f>
        <v>5</v>
      </c>
      <c r="BN458" s="4">
        <f ca="1">IFERROR(__xludf.DUMMYFUNCTION("""COMPUTED_VALUE"""),5)</f>
        <v>5</v>
      </c>
      <c r="BO458" s="4">
        <f ca="1">IFERROR(__xludf.DUMMYFUNCTION("""COMPUTED_VALUE"""),5)</f>
        <v>5</v>
      </c>
      <c r="BP458" s="4">
        <f ca="1">IFERROR(__xludf.DUMMYFUNCTION("""COMPUTED_VALUE"""),5)</f>
        <v>5</v>
      </c>
    </row>
    <row r="459" spans="1:68" ht="13.2" x14ac:dyDescent="0.25">
      <c r="A459" s="4" t="str">
        <f ca="1">IFERROR(__xludf.DUMMYFUNCTION("""COMPUTED_VALUE"""),"2_ABaOnudlahXWe7PkCCoSHDFke-RzbSTCkGp5irleizVvUK_yn4UrR9hAeXEtIvm0lQ")</f>
        <v>2_ABaOnudlahXWe7PkCCoSHDFke-RzbSTCkGp5irleizVvUK_yn4UrR9hAeXEtIvm0lQ</v>
      </c>
      <c r="B459" s="5">
        <f ca="1">IFERROR(__xludf.DUMMYFUNCTION("""COMPUTED_VALUE"""),46007.4324884143)</f>
        <v>46007.432488414299</v>
      </c>
      <c r="C459" s="4" t="str">
        <f ca="1">IFERROR(__xludf.DUMMYFUNCTION("""COMPUTED_VALUE"""),"Lê Trọng Đức")</f>
        <v>Lê Trọng Đức</v>
      </c>
      <c r="D459" s="4" t="str">
        <f ca="1">IFERROR(__xludf.DUMMYFUNCTION("""COMPUTED_VALUE"""),"Nam")</f>
        <v>Nam</v>
      </c>
      <c r="E459" s="4" t="str">
        <f ca="1">IFERROR(__xludf.DUMMYFUNCTION("""COMPUTED_VALUE"""),"Công ty TNHH Crowe Việt Nam")</f>
        <v>Công ty TNHH Crowe Việt Nam</v>
      </c>
      <c r="F459" s="4" t="str">
        <f ca="1">IFERROR(__xludf.DUMMYFUNCTION("""COMPUTED_VALUE"""),"Đại học")</f>
        <v>Đại học</v>
      </c>
      <c r="G459" s="4" t="str">
        <f ca="1">IFERROR(__xludf.DUMMYFUNCTION("""COMPUTED_VALUE"""),"Trên 5 đến 10 năm")</f>
        <v>Trên 5 đến 10 năm</v>
      </c>
      <c r="H459" s="4" t="str">
        <f ca="1">IFERROR(__xludf.DUMMYFUNCTION("""COMPUTED_VALUE"""),"Kiểm toán viên/Trưởng nhóm")</f>
        <v>Kiểm toán viên/Trưởng nhóm</v>
      </c>
      <c r="I459" s="4">
        <f ca="1">IFERROR(__xludf.DUMMYFUNCTION("""COMPUTED_VALUE"""),5)</f>
        <v>5</v>
      </c>
      <c r="J459" s="4">
        <f ca="1">IFERROR(__xludf.DUMMYFUNCTION("""COMPUTED_VALUE"""),5)</f>
        <v>5</v>
      </c>
      <c r="K459" s="4">
        <f ca="1">IFERROR(__xludf.DUMMYFUNCTION("""COMPUTED_VALUE"""),5)</f>
        <v>5</v>
      </c>
      <c r="L459" s="4">
        <f ca="1">IFERROR(__xludf.DUMMYFUNCTION("""COMPUTED_VALUE"""),5)</f>
        <v>5</v>
      </c>
      <c r="M459" s="4">
        <f ca="1">IFERROR(__xludf.DUMMYFUNCTION("""COMPUTED_VALUE"""),5)</f>
        <v>5</v>
      </c>
      <c r="N459" s="4">
        <f ca="1">IFERROR(__xludf.DUMMYFUNCTION("""COMPUTED_VALUE"""),5)</f>
        <v>5</v>
      </c>
      <c r="O459" s="4">
        <f ca="1">IFERROR(__xludf.DUMMYFUNCTION("""COMPUTED_VALUE"""),3)</f>
        <v>3</v>
      </c>
      <c r="P459" s="4">
        <f ca="1">IFERROR(__xludf.DUMMYFUNCTION("""COMPUTED_VALUE"""),5)</f>
        <v>5</v>
      </c>
      <c r="Q459" s="4">
        <f ca="1">IFERROR(__xludf.DUMMYFUNCTION("""COMPUTED_VALUE"""),5)</f>
        <v>5</v>
      </c>
      <c r="R459" s="4">
        <f ca="1">IFERROR(__xludf.DUMMYFUNCTION("""COMPUTED_VALUE"""),4)</f>
        <v>4</v>
      </c>
      <c r="S459" s="4">
        <f ca="1">IFERROR(__xludf.DUMMYFUNCTION("""COMPUTED_VALUE"""),5)</f>
        <v>5</v>
      </c>
      <c r="T459" s="4">
        <f ca="1">IFERROR(__xludf.DUMMYFUNCTION("""COMPUTED_VALUE"""),5)</f>
        <v>5</v>
      </c>
      <c r="U459" s="4">
        <f ca="1">IFERROR(__xludf.DUMMYFUNCTION("""COMPUTED_VALUE"""),5)</f>
        <v>5</v>
      </c>
      <c r="V459" s="4">
        <f ca="1">IFERROR(__xludf.DUMMYFUNCTION("""COMPUTED_VALUE"""),5)</f>
        <v>5</v>
      </c>
      <c r="W459" s="4">
        <f ca="1">IFERROR(__xludf.DUMMYFUNCTION("""COMPUTED_VALUE"""),5)</f>
        <v>5</v>
      </c>
      <c r="X459" s="4">
        <f ca="1">IFERROR(__xludf.DUMMYFUNCTION("""COMPUTED_VALUE"""),5)</f>
        <v>5</v>
      </c>
      <c r="Y459" s="4">
        <f ca="1">IFERROR(__xludf.DUMMYFUNCTION("""COMPUTED_VALUE"""),3)</f>
        <v>3</v>
      </c>
      <c r="Z459" s="4">
        <f ca="1">IFERROR(__xludf.DUMMYFUNCTION("""COMPUTED_VALUE"""),5)</f>
        <v>5</v>
      </c>
      <c r="AA459" s="4">
        <f ca="1">IFERROR(__xludf.DUMMYFUNCTION("""COMPUTED_VALUE"""),5)</f>
        <v>5</v>
      </c>
      <c r="AB459" s="4">
        <f ca="1">IFERROR(__xludf.DUMMYFUNCTION("""COMPUTED_VALUE"""),4)</f>
        <v>4</v>
      </c>
      <c r="AC459" s="4">
        <f ca="1">IFERROR(__xludf.DUMMYFUNCTION("""COMPUTED_VALUE"""),5)</f>
        <v>5</v>
      </c>
      <c r="AD459" s="4">
        <f ca="1">IFERROR(__xludf.DUMMYFUNCTION("""COMPUTED_VALUE"""),5)</f>
        <v>5</v>
      </c>
      <c r="AE459" s="4">
        <f ca="1">IFERROR(__xludf.DUMMYFUNCTION("""COMPUTED_VALUE"""),5)</f>
        <v>5</v>
      </c>
      <c r="AF459" s="4">
        <f ca="1">IFERROR(__xludf.DUMMYFUNCTION("""COMPUTED_VALUE"""),5)</f>
        <v>5</v>
      </c>
      <c r="AG459" s="4">
        <f ca="1">IFERROR(__xludf.DUMMYFUNCTION("""COMPUTED_VALUE"""),5)</f>
        <v>5</v>
      </c>
      <c r="AH459" s="4">
        <f ca="1">IFERROR(__xludf.DUMMYFUNCTION("""COMPUTED_VALUE"""),5)</f>
        <v>5</v>
      </c>
      <c r="AI459" s="4">
        <f ca="1">IFERROR(__xludf.DUMMYFUNCTION("""COMPUTED_VALUE"""),5)</f>
        <v>5</v>
      </c>
      <c r="AJ459" s="4">
        <f ca="1">IFERROR(__xludf.DUMMYFUNCTION("""COMPUTED_VALUE"""),5)</f>
        <v>5</v>
      </c>
      <c r="AK459" s="4">
        <f ca="1">IFERROR(__xludf.DUMMYFUNCTION("""COMPUTED_VALUE"""),5)</f>
        <v>5</v>
      </c>
      <c r="AL459" s="4">
        <f ca="1">IFERROR(__xludf.DUMMYFUNCTION("""COMPUTED_VALUE"""),5)</f>
        <v>5</v>
      </c>
      <c r="AM459" s="4">
        <f ca="1">IFERROR(__xludf.DUMMYFUNCTION("""COMPUTED_VALUE"""),5)</f>
        <v>5</v>
      </c>
      <c r="AN459" s="4">
        <f ca="1">IFERROR(__xludf.DUMMYFUNCTION("""COMPUTED_VALUE"""),5)</f>
        <v>5</v>
      </c>
      <c r="AO459" s="4">
        <f ca="1">IFERROR(__xludf.DUMMYFUNCTION("""COMPUTED_VALUE"""),5)</f>
        <v>5</v>
      </c>
      <c r="AP459" s="4">
        <f ca="1">IFERROR(__xludf.DUMMYFUNCTION("""COMPUTED_VALUE"""),5)</f>
        <v>5</v>
      </c>
      <c r="AQ459" s="4">
        <f ca="1">IFERROR(__xludf.DUMMYFUNCTION("""COMPUTED_VALUE"""),5)</f>
        <v>5</v>
      </c>
      <c r="AR459" s="4">
        <f ca="1">IFERROR(__xludf.DUMMYFUNCTION("""COMPUTED_VALUE"""),5)</f>
        <v>5</v>
      </c>
      <c r="AS459" s="4">
        <f ca="1">IFERROR(__xludf.DUMMYFUNCTION("""COMPUTED_VALUE"""),5)</f>
        <v>5</v>
      </c>
      <c r="AT459" s="4">
        <f ca="1">IFERROR(__xludf.DUMMYFUNCTION("""COMPUTED_VALUE"""),5)</f>
        <v>5</v>
      </c>
      <c r="AU459" s="4">
        <f ca="1">IFERROR(__xludf.DUMMYFUNCTION("""COMPUTED_VALUE"""),5)</f>
        <v>5</v>
      </c>
      <c r="AV459" s="4">
        <f ca="1">IFERROR(__xludf.DUMMYFUNCTION("""COMPUTED_VALUE"""),5)</f>
        <v>5</v>
      </c>
      <c r="AW459" s="4">
        <f ca="1">IFERROR(__xludf.DUMMYFUNCTION("""COMPUTED_VALUE"""),5)</f>
        <v>5</v>
      </c>
      <c r="AX459" s="4">
        <f ca="1">IFERROR(__xludf.DUMMYFUNCTION("""COMPUTED_VALUE"""),5)</f>
        <v>5</v>
      </c>
      <c r="AY459" s="4">
        <f ca="1">IFERROR(__xludf.DUMMYFUNCTION("""COMPUTED_VALUE"""),5)</f>
        <v>5</v>
      </c>
      <c r="AZ459" s="4">
        <f ca="1">IFERROR(__xludf.DUMMYFUNCTION("""COMPUTED_VALUE"""),5)</f>
        <v>5</v>
      </c>
      <c r="BA459" s="4">
        <f ca="1">IFERROR(__xludf.DUMMYFUNCTION("""COMPUTED_VALUE"""),5)</f>
        <v>5</v>
      </c>
      <c r="BB459" s="4">
        <f ca="1">IFERROR(__xludf.DUMMYFUNCTION("""COMPUTED_VALUE"""),5)</f>
        <v>5</v>
      </c>
      <c r="BC459" s="4">
        <f ca="1">IFERROR(__xludf.DUMMYFUNCTION("""COMPUTED_VALUE"""),5)</f>
        <v>5</v>
      </c>
      <c r="BD459" s="4">
        <f ca="1">IFERROR(__xludf.DUMMYFUNCTION("""COMPUTED_VALUE"""),5)</f>
        <v>5</v>
      </c>
      <c r="BE459" s="4">
        <f ca="1">IFERROR(__xludf.DUMMYFUNCTION("""COMPUTED_VALUE"""),5)</f>
        <v>5</v>
      </c>
      <c r="BF459" s="4">
        <f ca="1">IFERROR(__xludf.DUMMYFUNCTION("""COMPUTED_VALUE"""),5)</f>
        <v>5</v>
      </c>
      <c r="BG459" s="4">
        <f ca="1">IFERROR(__xludf.DUMMYFUNCTION("""COMPUTED_VALUE"""),5)</f>
        <v>5</v>
      </c>
      <c r="BH459" s="4">
        <f ca="1">IFERROR(__xludf.DUMMYFUNCTION("""COMPUTED_VALUE"""),4)</f>
        <v>4</v>
      </c>
      <c r="BI459" s="4">
        <f ca="1">IFERROR(__xludf.DUMMYFUNCTION("""COMPUTED_VALUE"""),5)</f>
        <v>5</v>
      </c>
      <c r="BJ459" s="4">
        <f ca="1">IFERROR(__xludf.DUMMYFUNCTION("""COMPUTED_VALUE"""),5)</f>
        <v>5</v>
      </c>
      <c r="BK459" s="4">
        <f ca="1">IFERROR(__xludf.DUMMYFUNCTION("""COMPUTED_VALUE"""),5)</f>
        <v>5</v>
      </c>
      <c r="BL459" s="4">
        <f ca="1">IFERROR(__xludf.DUMMYFUNCTION("""COMPUTED_VALUE"""),5)</f>
        <v>5</v>
      </c>
      <c r="BM459" s="4">
        <f ca="1">IFERROR(__xludf.DUMMYFUNCTION("""COMPUTED_VALUE"""),5)</f>
        <v>5</v>
      </c>
      <c r="BN459" s="4">
        <f ca="1">IFERROR(__xludf.DUMMYFUNCTION("""COMPUTED_VALUE"""),5)</f>
        <v>5</v>
      </c>
      <c r="BO459" s="4">
        <f ca="1">IFERROR(__xludf.DUMMYFUNCTION("""COMPUTED_VALUE"""),5)</f>
        <v>5</v>
      </c>
      <c r="BP459" s="4">
        <f ca="1">IFERROR(__xludf.DUMMYFUNCTION("""COMPUTED_VALUE"""),5)</f>
        <v>5</v>
      </c>
    </row>
    <row r="460" spans="1:68" ht="13.2" x14ac:dyDescent="0.25">
      <c r="A460" s="4" t="str">
        <f ca="1">IFERROR(__xludf.DUMMYFUNCTION("""COMPUTED_VALUE"""),"2_ABaOnuelio088KE_UJSKAHr4XZzn0h-tZ6vrFZv0W3q5YNGC5AjK6BjV1L34NUhwgQ")</f>
        <v>2_ABaOnuelio088KE_UJSKAHr4XZzn0h-tZ6vrFZv0W3q5YNGC5AjK6BjV1L34NUhwgQ</v>
      </c>
      <c r="B460" s="5">
        <f ca="1">IFERROR(__xludf.DUMMYFUNCTION("""COMPUTED_VALUE"""),46007.4482915277)</f>
        <v>46007.448291527697</v>
      </c>
      <c r="C460" s="4" t="str">
        <f ca="1">IFERROR(__xludf.DUMMYFUNCTION("""COMPUTED_VALUE"""),"Phan Thị Thanh Thủy")</f>
        <v>Phan Thị Thanh Thủy</v>
      </c>
      <c r="D460" s="4" t="str">
        <f ca="1">IFERROR(__xludf.DUMMYFUNCTION("""COMPUTED_VALUE"""),"Nữ")</f>
        <v>Nữ</v>
      </c>
      <c r="E460" s="4" t="str">
        <f ca="1">IFERROR(__xludf.DUMMYFUNCTION("""COMPUTED_VALUE"""),"Công ty TNHH Crowe Việt Nam")</f>
        <v>Công ty TNHH Crowe Việt Nam</v>
      </c>
      <c r="F460" s="4" t="str">
        <f ca="1">IFERROR(__xludf.DUMMYFUNCTION("""COMPUTED_VALUE"""),"Đại học, Chứng chỉ Kiểm toán viên")</f>
        <v>Đại học, Chứng chỉ Kiểm toán viên</v>
      </c>
      <c r="G460" s="4" t="str">
        <f ca="1">IFERROR(__xludf.DUMMYFUNCTION("""COMPUTED_VALUE"""),"Trên 15 đến 20 năm")</f>
        <v>Trên 15 đến 20 năm</v>
      </c>
      <c r="H460" s="4" t="str">
        <f ca="1">IFERROR(__xludf.DUMMYFUNCTION("""COMPUTED_VALUE"""),"Ban giám đốc")</f>
        <v>Ban giám đốc</v>
      </c>
      <c r="I460" s="4">
        <f ca="1">IFERROR(__xludf.DUMMYFUNCTION("""COMPUTED_VALUE"""),5)</f>
        <v>5</v>
      </c>
      <c r="J460" s="4">
        <f ca="1">IFERROR(__xludf.DUMMYFUNCTION("""COMPUTED_VALUE"""),5)</f>
        <v>5</v>
      </c>
      <c r="K460" s="4">
        <f ca="1">IFERROR(__xludf.DUMMYFUNCTION("""COMPUTED_VALUE"""),5)</f>
        <v>5</v>
      </c>
      <c r="L460" s="4">
        <f ca="1">IFERROR(__xludf.DUMMYFUNCTION("""COMPUTED_VALUE"""),4)</f>
        <v>4</v>
      </c>
      <c r="M460" s="4">
        <f ca="1">IFERROR(__xludf.DUMMYFUNCTION("""COMPUTED_VALUE"""),5)</f>
        <v>5</v>
      </c>
      <c r="N460" s="4">
        <f ca="1">IFERROR(__xludf.DUMMYFUNCTION("""COMPUTED_VALUE"""),4)</f>
        <v>4</v>
      </c>
      <c r="O460" s="4">
        <f ca="1">IFERROR(__xludf.DUMMYFUNCTION("""COMPUTED_VALUE"""),4)</f>
        <v>4</v>
      </c>
      <c r="P460" s="4">
        <f ca="1">IFERROR(__xludf.DUMMYFUNCTION("""COMPUTED_VALUE"""),4)</f>
        <v>4</v>
      </c>
      <c r="Q460" s="4">
        <f ca="1">IFERROR(__xludf.DUMMYFUNCTION("""COMPUTED_VALUE"""),5)</f>
        <v>5</v>
      </c>
      <c r="R460" s="4">
        <f ca="1">IFERROR(__xludf.DUMMYFUNCTION("""COMPUTED_VALUE"""),5)</f>
        <v>5</v>
      </c>
      <c r="S460" s="4">
        <f ca="1">IFERROR(__xludf.DUMMYFUNCTION("""COMPUTED_VALUE"""),5)</f>
        <v>5</v>
      </c>
      <c r="T460" s="4">
        <f ca="1">IFERROR(__xludf.DUMMYFUNCTION("""COMPUTED_VALUE"""),5)</f>
        <v>5</v>
      </c>
      <c r="U460" s="4">
        <f ca="1">IFERROR(__xludf.DUMMYFUNCTION("""COMPUTED_VALUE"""),5)</f>
        <v>5</v>
      </c>
      <c r="V460" s="4">
        <f ca="1">IFERROR(__xludf.DUMMYFUNCTION("""COMPUTED_VALUE"""),5)</f>
        <v>5</v>
      </c>
      <c r="W460" s="4">
        <f ca="1">IFERROR(__xludf.DUMMYFUNCTION("""COMPUTED_VALUE"""),5)</f>
        <v>5</v>
      </c>
      <c r="X460" s="4">
        <f ca="1">IFERROR(__xludf.DUMMYFUNCTION("""COMPUTED_VALUE"""),5)</f>
        <v>5</v>
      </c>
      <c r="Y460" s="4">
        <f ca="1">IFERROR(__xludf.DUMMYFUNCTION("""COMPUTED_VALUE"""),4)</f>
        <v>4</v>
      </c>
      <c r="Z460" s="4">
        <f ca="1">IFERROR(__xludf.DUMMYFUNCTION("""COMPUTED_VALUE"""),5)</f>
        <v>5</v>
      </c>
      <c r="AA460" s="4">
        <f ca="1">IFERROR(__xludf.DUMMYFUNCTION("""COMPUTED_VALUE"""),4)</f>
        <v>4</v>
      </c>
      <c r="AB460" s="4">
        <f ca="1">IFERROR(__xludf.DUMMYFUNCTION("""COMPUTED_VALUE"""),4)</f>
        <v>4</v>
      </c>
      <c r="AC460" s="4">
        <f ca="1">IFERROR(__xludf.DUMMYFUNCTION("""COMPUTED_VALUE"""),4)</f>
        <v>4</v>
      </c>
      <c r="AD460" s="4">
        <f ca="1">IFERROR(__xludf.DUMMYFUNCTION("""COMPUTED_VALUE"""),4)</f>
        <v>4</v>
      </c>
      <c r="AE460" s="4">
        <f ca="1">IFERROR(__xludf.DUMMYFUNCTION("""COMPUTED_VALUE"""),4)</f>
        <v>4</v>
      </c>
      <c r="AF460" s="4">
        <f ca="1">IFERROR(__xludf.DUMMYFUNCTION("""COMPUTED_VALUE"""),5)</f>
        <v>5</v>
      </c>
      <c r="AG460" s="4">
        <f ca="1">IFERROR(__xludf.DUMMYFUNCTION("""COMPUTED_VALUE"""),5)</f>
        <v>5</v>
      </c>
      <c r="AH460" s="4">
        <f ca="1">IFERROR(__xludf.DUMMYFUNCTION("""COMPUTED_VALUE"""),5)</f>
        <v>5</v>
      </c>
      <c r="AI460" s="4">
        <f ca="1">IFERROR(__xludf.DUMMYFUNCTION("""COMPUTED_VALUE"""),5)</f>
        <v>5</v>
      </c>
      <c r="AJ460" s="4">
        <f ca="1">IFERROR(__xludf.DUMMYFUNCTION("""COMPUTED_VALUE"""),5)</f>
        <v>5</v>
      </c>
      <c r="AK460" s="4">
        <f ca="1">IFERROR(__xludf.DUMMYFUNCTION("""COMPUTED_VALUE"""),5)</f>
        <v>5</v>
      </c>
      <c r="AL460" s="4">
        <f ca="1">IFERROR(__xludf.DUMMYFUNCTION("""COMPUTED_VALUE"""),5)</f>
        <v>5</v>
      </c>
      <c r="AM460" s="4">
        <f ca="1">IFERROR(__xludf.DUMMYFUNCTION("""COMPUTED_VALUE"""),5)</f>
        <v>5</v>
      </c>
      <c r="AN460" s="4">
        <f ca="1">IFERROR(__xludf.DUMMYFUNCTION("""COMPUTED_VALUE"""),5)</f>
        <v>5</v>
      </c>
      <c r="AO460" s="4">
        <f ca="1">IFERROR(__xludf.DUMMYFUNCTION("""COMPUTED_VALUE"""),4)</f>
        <v>4</v>
      </c>
      <c r="AP460" s="4">
        <f ca="1">IFERROR(__xludf.DUMMYFUNCTION("""COMPUTED_VALUE"""),4)</f>
        <v>4</v>
      </c>
      <c r="AQ460" s="4">
        <f ca="1">IFERROR(__xludf.DUMMYFUNCTION("""COMPUTED_VALUE"""),4)</f>
        <v>4</v>
      </c>
      <c r="AR460" s="4">
        <f ca="1">IFERROR(__xludf.DUMMYFUNCTION("""COMPUTED_VALUE"""),4)</f>
        <v>4</v>
      </c>
      <c r="AS460" s="4">
        <f ca="1">IFERROR(__xludf.DUMMYFUNCTION("""COMPUTED_VALUE"""),4)</f>
        <v>4</v>
      </c>
      <c r="AT460" s="4">
        <f ca="1">IFERROR(__xludf.DUMMYFUNCTION("""COMPUTED_VALUE"""),4)</f>
        <v>4</v>
      </c>
      <c r="AU460" s="4">
        <f ca="1">IFERROR(__xludf.DUMMYFUNCTION("""COMPUTED_VALUE"""),4)</f>
        <v>4</v>
      </c>
      <c r="AV460" s="4">
        <f ca="1">IFERROR(__xludf.DUMMYFUNCTION("""COMPUTED_VALUE"""),4)</f>
        <v>4</v>
      </c>
      <c r="AW460" s="4">
        <f ca="1">IFERROR(__xludf.DUMMYFUNCTION("""COMPUTED_VALUE"""),4)</f>
        <v>4</v>
      </c>
      <c r="AX460" s="4">
        <f ca="1">IFERROR(__xludf.DUMMYFUNCTION("""COMPUTED_VALUE"""),5)</f>
        <v>5</v>
      </c>
      <c r="AY460" s="4">
        <f ca="1">IFERROR(__xludf.DUMMYFUNCTION("""COMPUTED_VALUE"""),5)</f>
        <v>5</v>
      </c>
      <c r="AZ460" s="4">
        <f ca="1">IFERROR(__xludf.DUMMYFUNCTION("""COMPUTED_VALUE"""),5)</f>
        <v>5</v>
      </c>
      <c r="BA460" s="4">
        <f ca="1">IFERROR(__xludf.DUMMYFUNCTION("""COMPUTED_VALUE"""),5)</f>
        <v>5</v>
      </c>
      <c r="BB460" s="4">
        <f ca="1">IFERROR(__xludf.DUMMYFUNCTION("""COMPUTED_VALUE"""),4)</f>
        <v>4</v>
      </c>
      <c r="BC460" s="4">
        <f ca="1">IFERROR(__xludf.DUMMYFUNCTION("""COMPUTED_VALUE"""),4)</f>
        <v>4</v>
      </c>
      <c r="BD460" s="4">
        <f ca="1">IFERROR(__xludf.DUMMYFUNCTION("""COMPUTED_VALUE"""),4)</f>
        <v>4</v>
      </c>
      <c r="BE460" s="4">
        <f ca="1">IFERROR(__xludf.DUMMYFUNCTION("""COMPUTED_VALUE"""),4)</f>
        <v>4</v>
      </c>
      <c r="BF460" s="4">
        <f ca="1">IFERROR(__xludf.DUMMYFUNCTION("""COMPUTED_VALUE"""),4)</f>
        <v>4</v>
      </c>
      <c r="BG460" s="4">
        <f ca="1">IFERROR(__xludf.DUMMYFUNCTION("""COMPUTED_VALUE"""),4)</f>
        <v>4</v>
      </c>
      <c r="BH460" s="4">
        <f ca="1">IFERROR(__xludf.DUMMYFUNCTION("""COMPUTED_VALUE"""),4)</f>
        <v>4</v>
      </c>
      <c r="BI460" s="4">
        <f ca="1">IFERROR(__xludf.DUMMYFUNCTION("""COMPUTED_VALUE"""),4)</f>
        <v>4</v>
      </c>
      <c r="BJ460" s="4">
        <f ca="1">IFERROR(__xludf.DUMMYFUNCTION("""COMPUTED_VALUE"""),4)</f>
        <v>4</v>
      </c>
      <c r="BK460" s="4">
        <f ca="1">IFERROR(__xludf.DUMMYFUNCTION("""COMPUTED_VALUE"""),4)</f>
        <v>4</v>
      </c>
      <c r="BL460" s="4">
        <f ca="1">IFERROR(__xludf.DUMMYFUNCTION("""COMPUTED_VALUE"""),4)</f>
        <v>4</v>
      </c>
      <c r="BM460" s="4">
        <f ca="1">IFERROR(__xludf.DUMMYFUNCTION("""COMPUTED_VALUE"""),4)</f>
        <v>4</v>
      </c>
      <c r="BN460" s="4">
        <f ca="1">IFERROR(__xludf.DUMMYFUNCTION("""COMPUTED_VALUE"""),4)</f>
        <v>4</v>
      </c>
      <c r="BO460" s="4">
        <f ca="1">IFERROR(__xludf.DUMMYFUNCTION("""COMPUTED_VALUE"""),4)</f>
        <v>4</v>
      </c>
      <c r="BP460" s="4">
        <f ca="1">IFERROR(__xludf.DUMMYFUNCTION("""COMPUTED_VALUE"""),4)</f>
        <v>4</v>
      </c>
    </row>
    <row r="461" spans="1:68" ht="13.2" x14ac:dyDescent="0.25">
      <c r="A461" s="4" t="str">
        <f ca="1">IFERROR(__xludf.DUMMYFUNCTION("""COMPUTED_VALUE"""),"2_ABaOnufpS8oja-YYrfTqCo9jumb-FRaoYDYA_Lw5BpziYH3bXx7jqCsC9eBuYhEYVg")</f>
        <v>2_ABaOnufpS8oja-YYrfTqCo9jumb-FRaoYDYA_Lw5BpziYH3bXx7jqCsC9eBuYhEYVg</v>
      </c>
      <c r="B461" s="5">
        <f ca="1">IFERROR(__xludf.DUMMYFUNCTION("""COMPUTED_VALUE"""),46007.472785787)</f>
        <v>46007.472785787002</v>
      </c>
      <c r="C461" s="4" t="str">
        <f ca="1">IFERROR(__xludf.DUMMYFUNCTION("""COMPUTED_VALUE"""),"Đặng Thị Thu Thúy")</f>
        <v>Đặng Thị Thu Thúy</v>
      </c>
      <c r="D461" s="4" t="str">
        <f ca="1">IFERROR(__xludf.DUMMYFUNCTION("""COMPUTED_VALUE"""),"Nữ")</f>
        <v>Nữ</v>
      </c>
      <c r="E461" s="4" t="str">
        <f ca="1">IFERROR(__xludf.DUMMYFUNCTION("""COMPUTED_VALUE"""),"Công ty TNHH Crowe Việt Nam")</f>
        <v>Công ty TNHH Crowe Việt Nam</v>
      </c>
      <c r="F461" s="4" t="str">
        <f ca="1">IFERROR(__xludf.DUMMYFUNCTION("""COMPUTED_VALUE"""),"Đại học, Chứng chỉ Kiểm toán viên")</f>
        <v>Đại học, Chứng chỉ Kiểm toán viên</v>
      </c>
      <c r="G461" s="4" t="str">
        <f ca="1">IFERROR(__xludf.DUMMYFUNCTION("""COMPUTED_VALUE"""),"Trên 5 đến 10 năm")</f>
        <v>Trên 5 đến 10 năm</v>
      </c>
      <c r="H461" s="4" t="str">
        <f ca="1">IFERROR(__xludf.DUMMYFUNCTION("""COMPUTED_VALUE"""),"Kiểm toán viên/Trưởng nhóm")</f>
        <v>Kiểm toán viên/Trưởng nhóm</v>
      </c>
      <c r="I461" s="4">
        <f ca="1">IFERROR(__xludf.DUMMYFUNCTION("""COMPUTED_VALUE"""),4)</f>
        <v>4</v>
      </c>
      <c r="J461" s="4">
        <f ca="1">IFERROR(__xludf.DUMMYFUNCTION("""COMPUTED_VALUE"""),4)</f>
        <v>4</v>
      </c>
      <c r="K461" s="4">
        <f ca="1">IFERROR(__xludf.DUMMYFUNCTION("""COMPUTED_VALUE"""),4)</f>
        <v>4</v>
      </c>
      <c r="L461" s="4">
        <f ca="1">IFERROR(__xludf.DUMMYFUNCTION("""COMPUTED_VALUE"""),4)</f>
        <v>4</v>
      </c>
      <c r="M461" s="4">
        <f ca="1">IFERROR(__xludf.DUMMYFUNCTION("""COMPUTED_VALUE"""),4)</f>
        <v>4</v>
      </c>
      <c r="N461" s="4">
        <f ca="1">IFERROR(__xludf.DUMMYFUNCTION("""COMPUTED_VALUE"""),4)</f>
        <v>4</v>
      </c>
      <c r="O461" s="4">
        <f ca="1">IFERROR(__xludf.DUMMYFUNCTION("""COMPUTED_VALUE"""),4)</f>
        <v>4</v>
      </c>
      <c r="P461" s="4">
        <f ca="1">IFERROR(__xludf.DUMMYFUNCTION("""COMPUTED_VALUE"""),4)</f>
        <v>4</v>
      </c>
      <c r="Q461" s="4">
        <f ca="1">IFERROR(__xludf.DUMMYFUNCTION("""COMPUTED_VALUE"""),4)</f>
        <v>4</v>
      </c>
      <c r="R461" s="4">
        <f ca="1">IFERROR(__xludf.DUMMYFUNCTION("""COMPUTED_VALUE"""),4)</f>
        <v>4</v>
      </c>
      <c r="S461" s="4">
        <f ca="1">IFERROR(__xludf.DUMMYFUNCTION("""COMPUTED_VALUE"""),4)</f>
        <v>4</v>
      </c>
      <c r="T461" s="4">
        <f ca="1">IFERROR(__xludf.DUMMYFUNCTION("""COMPUTED_VALUE"""),4)</f>
        <v>4</v>
      </c>
      <c r="U461" s="4">
        <f ca="1">IFERROR(__xludf.DUMMYFUNCTION("""COMPUTED_VALUE"""),4)</f>
        <v>4</v>
      </c>
      <c r="V461" s="4">
        <f ca="1">IFERROR(__xludf.DUMMYFUNCTION("""COMPUTED_VALUE"""),4)</f>
        <v>4</v>
      </c>
      <c r="W461" s="4">
        <f ca="1">IFERROR(__xludf.DUMMYFUNCTION("""COMPUTED_VALUE"""),3)</f>
        <v>3</v>
      </c>
      <c r="X461" s="4">
        <f ca="1">IFERROR(__xludf.DUMMYFUNCTION("""COMPUTED_VALUE"""),3)</f>
        <v>3</v>
      </c>
      <c r="Y461" s="4">
        <f ca="1">IFERROR(__xludf.DUMMYFUNCTION("""COMPUTED_VALUE"""),3)</f>
        <v>3</v>
      </c>
      <c r="Z461" s="4">
        <f ca="1">IFERROR(__xludf.DUMMYFUNCTION("""COMPUTED_VALUE"""),3)</f>
        <v>3</v>
      </c>
      <c r="AA461" s="4">
        <f ca="1">IFERROR(__xludf.DUMMYFUNCTION("""COMPUTED_VALUE"""),3)</f>
        <v>3</v>
      </c>
      <c r="AB461" s="4">
        <f ca="1">IFERROR(__xludf.DUMMYFUNCTION("""COMPUTED_VALUE"""),3)</f>
        <v>3</v>
      </c>
      <c r="AC461" s="4">
        <f ca="1">IFERROR(__xludf.DUMMYFUNCTION("""COMPUTED_VALUE"""),3)</f>
        <v>3</v>
      </c>
      <c r="AD461" s="4">
        <f ca="1">IFERROR(__xludf.DUMMYFUNCTION("""COMPUTED_VALUE"""),3)</f>
        <v>3</v>
      </c>
      <c r="AE461" s="4">
        <f ca="1">IFERROR(__xludf.DUMMYFUNCTION("""COMPUTED_VALUE"""),3)</f>
        <v>3</v>
      </c>
      <c r="AF461" s="4">
        <f ca="1">IFERROR(__xludf.DUMMYFUNCTION("""COMPUTED_VALUE"""),4)</f>
        <v>4</v>
      </c>
      <c r="AG461" s="4">
        <f ca="1">IFERROR(__xludf.DUMMYFUNCTION("""COMPUTED_VALUE"""),4)</f>
        <v>4</v>
      </c>
      <c r="AH461" s="4">
        <f ca="1">IFERROR(__xludf.DUMMYFUNCTION("""COMPUTED_VALUE"""),4)</f>
        <v>4</v>
      </c>
      <c r="AI461" s="4">
        <f ca="1">IFERROR(__xludf.DUMMYFUNCTION("""COMPUTED_VALUE"""),3)</f>
        <v>3</v>
      </c>
      <c r="AJ461" s="4">
        <f ca="1">IFERROR(__xludf.DUMMYFUNCTION("""COMPUTED_VALUE"""),4)</f>
        <v>4</v>
      </c>
      <c r="AK461" s="4">
        <f ca="1">IFERROR(__xludf.DUMMYFUNCTION("""COMPUTED_VALUE"""),4)</f>
        <v>4</v>
      </c>
      <c r="AL461" s="4">
        <f ca="1">IFERROR(__xludf.DUMMYFUNCTION("""COMPUTED_VALUE"""),4)</f>
        <v>4</v>
      </c>
      <c r="AM461" s="4">
        <f ca="1">IFERROR(__xludf.DUMMYFUNCTION("""COMPUTED_VALUE"""),4)</f>
        <v>4</v>
      </c>
      <c r="AN461" s="4">
        <f ca="1">IFERROR(__xludf.DUMMYFUNCTION("""COMPUTED_VALUE"""),4)</f>
        <v>4</v>
      </c>
      <c r="AO461" s="4">
        <f ca="1">IFERROR(__xludf.DUMMYFUNCTION("""COMPUTED_VALUE"""),3)</f>
        <v>3</v>
      </c>
      <c r="AP461" s="4">
        <f ca="1">IFERROR(__xludf.DUMMYFUNCTION("""COMPUTED_VALUE"""),3)</f>
        <v>3</v>
      </c>
      <c r="AQ461" s="4">
        <f ca="1">IFERROR(__xludf.DUMMYFUNCTION("""COMPUTED_VALUE"""),3)</f>
        <v>3</v>
      </c>
      <c r="AR461" s="4">
        <f ca="1">IFERROR(__xludf.DUMMYFUNCTION("""COMPUTED_VALUE"""),3)</f>
        <v>3</v>
      </c>
      <c r="AS461" s="4">
        <f ca="1">IFERROR(__xludf.DUMMYFUNCTION("""COMPUTED_VALUE"""),3)</f>
        <v>3</v>
      </c>
      <c r="AT461" s="4">
        <f ca="1">IFERROR(__xludf.DUMMYFUNCTION("""COMPUTED_VALUE"""),3)</f>
        <v>3</v>
      </c>
      <c r="AU461" s="4">
        <f ca="1">IFERROR(__xludf.DUMMYFUNCTION("""COMPUTED_VALUE"""),3)</f>
        <v>3</v>
      </c>
      <c r="AV461" s="4">
        <f ca="1">IFERROR(__xludf.DUMMYFUNCTION("""COMPUTED_VALUE"""),3)</f>
        <v>3</v>
      </c>
      <c r="AW461" s="4">
        <f ca="1">IFERROR(__xludf.DUMMYFUNCTION("""COMPUTED_VALUE"""),3)</f>
        <v>3</v>
      </c>
      <c r="AX461" s="4">
        <f ca="1">IFERROR(__xludf.DUMMYFUNCTION("""COMPUTED_VALUE"""),4)</f>
        <v>4</v>
      </c>
      <c r="AY461" s="4">
        <f ca="1">IFERROR(__xludf.DUMMYFUNCTION("""COMPUTED_VALUE"""),4)</f>
        <v>4</v>
      </c>
      <c r="AZ461" s="4">
        <f ca="1">IFERROR(__xludf.DUMMYFUNCTION("""COMPUTED_VALUE"""),4)</f>
        <v>4</v>
      </c>
      <c r="BA461" s="4">
        <f ca="1">IFERROR(__xludf.DUMMYFUNCTION("""COMPUTED_VALUE"""),4)</f>
        <v>4</v>
      </c>
      <c r="BB461" s="4">
        <f ca="1">IFERROR(__xludf.DUMMYFUNCTION("""COMPUTED_VALUE"""),4)</f>
        <v>4</v>
      </c>
      <c r="BC461" s="4">
        <f ca="1">IFERROR(__xludf.DUMMYFUNCTION("""COMPUTED_VALUE"""),3)</f>
        <v>3</v>
      </c>
      <c r="BD461" s="4">
        <f ca="1">IFERROR(__xludf.DUMMYFUNCTION("""COMPUTED_VALUE"""),4)</f>
        <v>4</v>
      </c>
      <c r="BE461" s="4">
        <f ca="1">IFERROR(__xludf.DUMMYFUNCTION("""COMPUTED_VALUE"""),3)</f>
        <v>3</v>
      </c>
      <c r="BF461" s="4">
        <f ca="1">IFERROR(__xludf.DUMMYFUNCTION("""COMPUTED_VALUE"""),3)</f>
        <v>3</v>
      </c>
      <c r="BG461" s="4">
        <f ca="1">IFERROR(__xludf.DUMMYFUNCTION("""COMPUTED_VALUE"""),3)</f>
        <v>3</v>
      </c>
      <c r="BH461" s="4">
        <f ca="1">IFERROR(__xludf.DUMMYFUNCTION("""COMPUTED_VALUE"""),4)</f>
        <v>4</v>
      </c>
      <c r="BI461" s="4">
        <f ca="1">IFERROR(__xludf.DUMMYFUNCTION("""COMPUTED_VALUE"""),4)</f>
        <v>4</v>
      </c>
      <c r="BJ461" s="4">
        <f ca="1">IFERROR(__xludf.DUMMYFUNCTION("""COMPUTED_VALUE"""),4)</f>
        <v>4</v>
      </c>
      <c r="BK461" s="4">
        <f ca="1">IFERROR(__xludf.DUMMYFUNCTION("""COMPUTED_VALUE"""),4)</f>
        <v>4</v>
      </c>
      <c r="BL461" s="4">
        <f ca="1">IFERROR(__xludf.DUMMYFUNCTION("""COMPUTED_VALUE"""),4)</f>
        <v>4</v>
      </c>
      <c r="BM461" s="4">
        <f ca="1">IFERROR(__xludf.DUMMYFUNCTION("""COMPUTED_VALUE"""),4)</f>
        <v>4</v>
      </c>
      <c r="BN461" s="4">
        <f ca="1">IFERROR(__xludf.DUMMYFUNCTION("""COMPUTED_VALUE"""),4)</f>
        <v>4</v>
      </c>
      <c r="BO461" s="4">
        <f ca="1">IFERROR(__xludf.DUMMYFUNCTION("""COMPUTED_VALUE"""),4)</f>
        <v>4</v>
      </c>
      <c r="BP461" s="4">
        <f ca="1">IFERROR(__xludf.DUMMYFUNCTION("""COMPUTED_VALUE"""),4)</f>
        <v>4</v>
      </c>
    </row>
    <row r="462" spans="1:68" ht="13.2" x14ac:dyDescent="0.25">
      <c r="A462" s="4" t="str">
        <f ca="1">IFERROR(__xludf.DUMMYFUNCTION("""COMPUTED_VALUE"""),"2_ABaOnufKOUCkK6Bg7a63ptOL5IHf0-lylGU1oKkqd6PUWbymBhnRt3xVSseRIItPjw")</f>
        <v>2_ABaOnufKOUCkK6Bg7a63ptOL5IHf0-lylGU1oKkqd6PUWbymBhnRt3xVSseRIItPjw</v>
      </c>
      <c r="B462" s="5">
        <f ca="1">IFERROR(__xludf.DUMMYFUNCTION("""COMPUTED_VALUE"""),46007.5539645254)</f>
        <v>46007.553964525403</v>
      </c>
      <c r="C462" s="4" t="str">
        <f ca="1">IFERROR(__xludf.DUMMYFUNCTION("""COMPUTED_VALUE"""),"Lê Huỳnh Hoàng Phúc")</f>
        <v>Lê Huỳnh Hoàng Phúc</v>
      </c>
      <c r="D462" s="4" t="str">
        <f ca="1">IFERROR(__xludf.DUMMYFUNCTION("""COMPUTED_VALUE"""),"Nam")</f>
        <v>Nam</v>
      </c>
      <c r="E462" s="4" t="str">
        <f ca="1">IFERROR(__xludf.DUMMYFUNCTION("""COMPUTED_VALUE"""),"Công ty TNHH Crowe Việt Nam")</f>
        <v>Công ty TNHH Crowe Việt Nam</v>
      </c>
      <c r="F462" s="4" t="str">
        <f ca="1">IFERROR(__xludf.DUMMYFUNCTION("""COMPUTED_VALUE"""),"Đại học, Chứng chỉ Kiểm toán viên")</f>
        <v>Đại học, Chứng chỉ Kiểm toán viên</v>
      </c>
      <c r="G462" s="4" t="str">
        <f ca="1">IFERROR(__xludf.DUMMYFUNCTION("""COMPUTED_VALUE"""),"Trên 5 đến 10 năm")</f>
        <v>Trên 5 đến 10 năm</v>
      </c>
      <c r="H462" s="4" t="str">
        <f ca="1">IFERROR(__xludf.DUMMYFUNCTION("""COMPUTED_VALUE"""),"Kiểm toán viên/Trưởng nhóm")</f>
        <v>Kiểm toán viên/Trưởng nhóm</v>
      </c>
      <c r="I462" s="4">
        <f ca="1">IFERROR(__xludf.DUMMYFUNCTION("""COMPUTED_VALUE"""),5)</f>
        <v>5</v>
      </c>
      <c r="J462" s="4">
        <f ca="1">IFERROR(__xludf.DUMMYFUNCTION("""COMPUTED_VALUE"""),5)</f>
        <v>5</v>
      </c>
      <c r="K462" s="4">
        <f ca="1">IFERROR(__xludf.DUMMYFUNCTION("""COMPUTED_VALUE"""),5)</f>
        <v>5</v>
      </c>
      <c r="L462" s="4">
        <f ca="1">IFERROR(__xludf.DUMMYFUNCTION("""COMPUTED_VALUE"""),5)</f>
        <v>5</v>
      </c>
      <c r="M462" s="4">
        <f ca="1">IFERROR(__xludf.DUMMYFUNCTION("""COMPUTED_VALUE"""),5)</f>
        <v>5</v>
      </c>
      <c r="N462" s="4">
        <f ca="1">IFERROR(__xludf.DUMMYFUNCTION("""COMPUTED_VALUE"""),5)</f>
        <v>5</v>
      </c>
      <c r="O462" s="4">
        <f ca="1">IFERROR(__xludf.DUMMYFUNCTION("""COMPUTED_VALUE"""),5)</f>
        <v>5</v>
      </c>
      <c r="P462" s="4">
        <f ca="1">IFERROR(__xludf.DUMMYFUNCTION("""COMPUTED_VALUE"""),5)</f>
        <v>5</v>
      </c>
      <c r="Q462" s="4">
        <f ca="1">IFERROR(__xludf.DUMMYFUNCTION("""COMPUTED_VALUE"""),5)</f>
        <v>5</v>
      </c>
      <c r="R462" s="4">
        <f ca="1">IFERROR(__xludf.DUMMYFUNCTION("""COMPUTED_VALUE"""),5)</f>
        <v>5</v>
      </c>
      <c r="S462" s="4">
        <f ca="1">IFERROR(__xludf.DUMMYFUNCTION("""COMPUTED_VALUE"""),5)</f>
        <v>5</v>
      </c>
      <c r="T462" s="4">
        <f ca="1">IFERROR(__xludf.DUMMYFUNCTION("""COMPUTED_VALUE"""),5)</f>
        <v>5</v>
      </c>
      <c r="U462" s="4">
        <f ca="1">IFERROR(__xludf.DUMMYFUNCTION("""COMPUTED_VALUE"""),5)</f>
        <v>5</v>
      </c>
      <c r="V462" s="4">
        <f ca="1">IFERROR(__xludf.DUMMYFUNCTION("""COMPUTED_VALUE"""),5)</f>
        <v>5</v>
      </c>
      <c r="W462" s="4">
        <f ca="1">IFERROR(__xludf.DUMMYFUNCTION("""COMPUTED_VALUE"""),5)</f>
        <v>5</v>
      </c>
      <c r="X462" s="4">
        <f ca="1">IFERROR(__xludf.DUMMYFUNCTION("""COMPUTED_VALUE"""),5)</f>
        <v>5</v>
      </c>
      <c r="Y462" s="4">
        <f ca="1">IFERROR(__xludf.DUMMYFUNCTION("""COMPUTED_VALUE"""),5)</f>
        <v>5</v>
      </c>
      <c r="Z462" s="4">
        <f ca="1">IFERROR(__xludf.DUMMYFUNCTION("""COMPUTED_VALUE"""),5)</f>
        <v>5</v>
      </c>
      <c r="AA462" s="4">
        <f ca="1">IFERROR(__xludf.DUMMYFUNCTION("""COMPUTED_VALUE"""),5)</f>
        <v>5</v>
      </c>
      <c r="AB462" s="4">
        <f ca="1">IFERROR(__xludf.DUMMYFUNCTION("""COMPUTED_VALUE"""),5)</f>
        <v>5</v>
      </c>
      <c r="AC462" s="4">
        <f ca="1">IFERROR(__xludf.DUMMYFUNCTION("""COMPUTED_VALUE"""),5)</f>
        <v>5</v>
      </c>
      <c r="AD462" s="4">
        <f ca="1">IFERROR(__xludf.DUMMYFUNCTION("""COMPUTED_VALUE"""),5)</f>
        <v>5</v>
      </c>
      <c r="AE462" s="4">
        <f ca="1">IFERROR(__xludf.DUMMYFUNCTION("""COMPUTED_VALUE"""),5)</f>
        <v>5</v>
      </c>
      <c r="AF462" s="4">
        <f ca="1">IFERROR(__xludf.DUMMYFUNCTION("""COMPUTED_VALUE"""),4)</f>
        <v>4</v>
      </c>
      <c r="AG462" s="4">
        <f ca="1">IFERROR(__xludf.DUMMYFUNCTION("""COMPUTED_VALUE"""),4)</f>
        <v>4</v>
      </c>
      <c r="AH462" s="4">
        <f ca="1">IFERROR(__xludf.DUMMYFUNCTION("""COMPUTED_VALUE"""),4)</f>
        <v>4</v>
      </c>
      <c r="AI462" s="4">
        <f ca="1">IFERROR(__xludf.DUMMYFUNCTION("""COMPUTED_VALUE"""),4)</f>
        <v>4</v>
      </c>
      <c r="AJ462" s="4">
        <f ca="1">IFERROR(__xludf.DUMMYFUNCTION("""COMPUTED_VALUE"""),5)</f>
        <v>5</v>
      </c>
      <c r="AK462" s="4">
        <f ca="1">IFERROR(__xludf.DUMMYFUNCTION("""COMPUTED_VALUE"""),5)</f>
        <v>5</v>
      </c>
      <c r="AL462" s="4">
        <f ca="1">IFERROR(__xludf.DUMMYFUNCTION("""COMPUTED_VALUE"""),5)</f>
        <v>5</v>
      </c>
      <c r="AM462" s="4">
        <f ca="1">IFERROR(__xludf.DUMMYFUNCTION("""COMPUTED_VALUE"""),5)</f>
        <v>5</v>
      </c>
      <c r="AN462" s="4">
        <f ca="1">IFERROR(__xludf.DUMMYFUNCTION("""COMPUTED_VALUE"""),5)</f>
        <v>5</v>
      </c>
      <c r="AO462" s="4">
        <f ca="1">IFERROR(__xludf.DUMMYFUNCTION("""COMPUTED_VALUE"""),5)</f>
        <v>5</v>
      </c>
      <c r="AP462" s="4">
        <f ca="1">IFERROR(__xludf.DUMMYFUNCTION("""COMPUTED_VALUE"""),5)</f>
        <v>5</v>
      </c>
      <c r="AQ462" s="4">
        <f ca="1">IFERROR(__xludf.DUMMYFUNCTION("""COMPUTED_VALUE"""),5)</f>
        <v>5</v>
      </c>
      <c r="AR462" s="4">
        <f ca="1">IFERROR(__xludf.DUMMYFUNCTION("""COMPUTED_VALUE"""),5)</f>
        <v>5</v>
      </c>
      <c r="AS462" s="4">
        <f ca="1">IFERROR(__xludf.DUMMYFUNCTION("""COMPUTED_VALUE"""),5)</f>
        <v>5</v>
      </c>
      <c r="AT462" s="4">
        <f ca="1">IFERROR(__xludf.DUMMYFUNCTION("""COMPUTED_VALUE"""),5)</f>
        <v>5</v>
      </c>
      <c r="AU462" s="4">
        <f ca="1">IFERROR(__xludf.DUMMYFUNCTION("""COMPUTED_VALUE"""),5)</f>
        <v>5</v>
      </c>
      <c r="AV462" s="4">
        <f ca="1">IFERROR(__xludf.DUMMYFUNCTION("""COMPUTED_VALUE"""),5)</f>
        <v>5</v>
      </c>
      <c r="AW462" s="4">
        <f ca="1">IFERROR(__xludf.DUMMYFUNCTION("""COMPUTED_VALUE"""),5)</f>
        <v>5</v>
      </c>
      <c r="AX462" s="4">
        <f ca="1">IFERROR(__xludf.DUMMYFUNCTION("""COMPUTED_VALUE"""),5)</f>
        <v>5</v>
      </c>
      <c r="AY462" s="4">
        <f ca="1">IFERROR(__xludf.DUMMYFUNCTION("""COMPUTED_VALUE"""),5)</f>
        <v>5</v>
      </c>
      <c r="AZ462" s="4">
        <f ca="1">IFERROR(__xludf.DUMMYFUNCTION("""COMPUTED_VALUE"""),5)</f>
        <v>5</v>
      </c>
      <c r="BA462" s="4">
        <f ca="1">IFERROR(__xludf.DUMMYFUNCTION("""COMPUTED_VALUE"""),5)</f>
        <v>5</v>
      </c>
      <c r="BB462" s="4">
        <f ca="1">IFERROR(__xludf.DUMMYFUNCTION("""COMPUTED_VALUE"""),5)</f>
        <v>5</v>
      </c>
      <c r="BC462" s="4">
        <f ca="1">IFERROR(__xludf.DUMMYFUNCTION("""COMPUTED_VALUE"""),5)</f>
        <v>5</v>
      </c>
      <c r="BD462" s="4">
        <f ca="1">IFERROR(__xludf.DUMMYFUNCTION("""COMPUTED_VALUE"""),5)</f>
        <v>5</v>
      </c>
      <c r="BE462" s="4">
        <f ca="1">IFERROR(__xludf.DUMMYFUNCTION("""COMPUTED_VALUE"""),5)</f>
        <v>5</v>
      </c>
      <c r="BF462" s="4">
        <f ca="1">IFERROR(__xludf.DUMMYFUNCTION("""COMPUTED_VALUE"""),5)</f>
        <v>5</v>
      </c>
      <c r="BG462" s="4">
        <f ca="1">IFERROR(__xludf.DUMMYFUNCTION("""COMPUTED_VALUE"""),5)</f>
        <v>5</v>
      </c>
      <c r="BH462" s="4">
        <f ca="1">IFERROR(__xludf.DUMMYFUNCTION("""COMPUTED_VALUE"""),5)</f>
        <v>5</v>
      </c>
      <c r="BI462" s="4">
        <f ca="1">IFERROR(__xludf.DUMMYFUNCTION("""COMPUTED_VALUE"""),5)</f>
        <v>5</v>
      </c>
      <c r="BJ462" s="4">
        <f ca="1">IFERROR(__xludf.DUMMYFUNCTION("""COMPUTED_VALUE"""),5)</f>
        <v>5</v>
      </c>
      <c r="BK462" s="4">
        <f ca="1">IFERROR(__xludf.DUMMYFUNCTION("""COMPUTED_VALUE"""),5)</f>
        <v>5</v>
      </c>
      <c r="BL462" s="4">
        <f ca="1">IFERROR(__xludf.DUMMYFUNCTION("""COMPUTED_VALUE"""),5)</f>
        <v>5</v>
      </c>
      <c r="BM462" s="4">
        <f ca="1">IFERROR(__xludf.DUMMYFUNCTION("""COMPUTED_VALUE"""),5)</f>
        <v>5</v>
      </c>
      <c r="BN462" s="4">
        <f ca="1">IFERROR(__xludf.DUMMYFUNCTION("""COMPUTED_VALUE"""),5)</f>
        <v>5</v>
      </c>
      <c r="BO462" s="4">
        <f ca="1">IFERROR(__xludf.DUMMYFUNCTION("""COMPUTED_VALUE"""),5)</f>
        <v>5</v>
      </c>
      <c r="BP462" s="4">
        <f ca="1">IFERROR(__xludf.DUMMYFUNCTION("""COMPUTED_VALUE"""),5)</f>
        <v>5</v>
      </c>
    </row>
    <row r="463" spans="1:68" ht="13.2" x14ac:dyDescent="0.25">
      <c r="A463" s="4" t="str">
        <f ca="1">IFERROR(__xludf.DUMMYFUNCTION("""COMPUTED_VALUE"""),"2_ABaOnud4sNi0FsjFppNCQc-6op_dERgf0vohJ43DeAsXlFbnjSfuVpkeZjz7pBwizw")</f>
        <v>2_ABaOnud4sNi0FsjFppNCQc-6op_dERgf0vohJ43DeAsXlFbnjSfuVpkeZjz7pBwizw</v>
      </c>
      <c r="B463" s="5">
        <f ca="1">IFERROR(__xludf.DUMMYFUNCTION("""COMPUTED_VALUE"""),46008.8660416319)</f>
        <v>46008.866041631903</v>
      </c>
      <c r="C463" s="4" t="str">
        <f ca="1">IFERROR(__xludf.DUMMYFUNCTION("""COMPUTED_VALUE"""),"NGUYỄN THỊ THU HUYỀN")</f>
        <v>NGUYỄN THỊ THU HUYỀN</v>
      </c>
      <c r="D463" s="4" t="str">
        <f ca="1">IFERROR(__xludf.DUMMYFUNCTION("""COMPUTED_VALUE"""),"Nữ")</f>
        <v>Nữ</v>
      </c>
      <c r="E463" s="4" t="str">
        <f ca="1">IFERROR(__xludf.DUMMYFUNCTION("""COMPUTED_VALUE"""),"CÔNG TY TNHH KIỂM TOÁN VIỆT ÚC")</f>
        <v>CÔNG TY TNHH KIỂM TOÁN VIỆT ÚC</v>
      </c>
      <c r="F463" s="4" t="str">
        <f ca="1">IFERROR(__xludf.DUMMYFUNCTION("""COMPUTED_VALUE"""),"Đại học")</f>
        <v>Đại học</v>
      </c>
      <c r="G463" s="4" t="str">
        <f ca="1">IFERROR(__xludf.DUMMYFUNCTION("""COMPUTED_VALUE"""),"Trên 5 đến 10 năm")</f>
        <v>Trên 5 đến 10 năm</v>
      </c>
      <c r="H463" s="4" t="str">
        <f ca="1">IFERROR(__xludf.DUMMYFUNCTION("""COMPUTED_VALUE"""),"Trợ lý kiểm toán")</f>
        <v>Trợ lý kiểm toán</v>
      </c>
      <c r="I463" s="4">
        <f ca="1">IFERROR(__xludf.DUMMYFUNCTION("""COMPUTED_VALUE"""),4)</f>
        <v>4</v>
      </c>
      <c r="J463" s="4">
        <f ca="1">IFERROR(__xludf.DUMMYFUNCTION("""COMPUTED_VALUE"""),4)</f>
        <v>4</v>
      </c>
      <c r="K463" s="4">
        <f ca="1">IFERROR(__xludf.DUMMYFUNCTION("""COMPUTED_VALUE"""),4)</f>
        <v>4</v>
      </c>
      <c r="L463" s="4">
        <f ca="1">IFERROR(__xludf.DUMMYFUNCTION("""COMPUTED_VALUE"""),3)</f>
        <v>3</v>
      </c>
      <c r="M463" s="4">
        <f ca="1">IFERROR(__xludf.DUMMYFUNCTION("""COMPUTED_VALUE"""),4)</f>
        <v>4</v>
      </c>
      <c r="N463" s="4">
        <f ca="1">IFERROR(__xludf.DUMMYFUNCTION("""COMPUTED_VALUE"""),3)</f>
        <v>3</v>
      </c>
      <c r="O463" s="4">
        <f ca="1">IFERROR(__xludf.DUMMYFUNCTION("""COMPUTED_VALUE"""),3)</f>
        <v>3</v>
      </c>
      <c r="P463" s="4">
        <f ca="1">IFERROR(__xludf.DUMMYFUNCTION("""COMPUTED_VALUE"""),3)</f>
        <v>3</v>
      </c>
      <c r="Q463" s="4">
        <f ca="1">IFERROR(__xludf.DUMMYFUNCTION("""COMPUTED_VALUE"""),4)</f>
        <v>4</v>
      </c>
      <c r="R463" s="4">
        <f ca="1">IFERROR(__xludf.DUMMYFUNCTION("""COMPUTED_VALUE"""),4)</f>
        <v>4</v>
      </c>
      <c r="S463" s="4">
        <f ca="1">IFERROR(__xludf.DUMMYFUNCTION("""COMPUTED_VALUE"""),4)</f>
        <v>4</v>
      </c>
      <c r="T463" s="4">
        <f ca="1">IFERROR(__xludf.DUMMYFUNCTION("""COMPUTED_VALUE"""),4)</f>
        <v>4</v>
      </c>
      <c r="U463" s="4">
        <f ca="1">IFERROR(__xludf.DUMMYFUNCTION("""COMPUTED_VALUE"""),3)</f>
        <v>3</v>
      </c>
      <c r="V463" s="4">
        <f ca="1">IFERROR(__xludf.DUMMYFUNCTION("""COMPUTED_VALUE"""),3)</f>
        <v>3</v>
      </c>
      <c r="W463" s="4">
        <f ca="1">IFERROR(__xludf.DUMMYFUNCTION("""COMPUTED_VALUE"""),3)</f>
        <v>3</v>
      </c>
      <c r="X463" s="4">
        <f ca="1">IFERROR(__xludf.DUMMYFUNCTION("""COMPUTED_VALUE"""),3)</f>
        <v>3</v>
      </c>
      <c r="Y463" s="4">
        <f ca="1">IFERROR(__xludf.DUMMYFUNCTION("""COMPUTED_VALUE"""),2)</f>
        <v>2</v>
      </c>
      <c r="Z463" s="4">
        <f ca="1">IFERROR(__xludf.DUMMYFUNCTION("""COMPUTED_VALUE"""),3)</f>
        <v>3</v>
      </c>
      <c r="AA463" s="4">
        <f ca="1">IFERROR(__xludf.DUMMYFUNCTION("""COMPUTED_VALUE"""),2)</f>
        <v>2</v>
      </c>
      <c r="AB463" s="4">
        <f ca="1">IFERROR(__xludf.DUMMYFUNCTION("""COMPUTED_VALUE"""),3)</f>
        <v>3</v>
      </c>
      <c r="AC463" s="4">
        <f ca="1">IFERROR(__xludf.DUMMYFUNCTION("""COMPUTED_VALUE"""),3)</f>
        <v>3</v>
      </c>
      <c r="AD463" s="4">
        <f ca="1">IFERROR(__xludf.DUMMYFUNCTION("""COMPUTED_VALUE"""),2)</f>
        <v>2</v>
      </c>
      <c r="AE463" s="4">
        <f ca="1">IFERROR(__xludf.DUMMYFUNCTION("""COMPUTED_VALUE"""),4)</f>
        <v>4</v>
      </c>
      <c r="AF463" s="4">
        <f ca="1">IFERROR(__xludf.DUMMYFUNCTION("""COMPUTED_VALUE"""),3)</f>
        <v>3</v>
      </c>
      <c r="AG463" s="4">
        <f ca="1">IFERROR(__xludf.DUMMYFUNCTION("""COMPUTED_VALUE"""),3)</f>
        <v>3</v>
      </c>
      <c r="AH463" s="4">
        <f ca="1">IFERROR(__xludf.DUMMYFUNCTION("""COMPUTED_VALUE"""),4)</f>
        <v>4</v>
      </c>
      <c r="AI463" s="4">
        <f ca="1">IFERROR(__xludf.DUMMYFUNCTION("""COMPUTED_VALUE"""),3)</f>
        <v>3</v>
      </c>
      <c r="AJ463" s="4">
        <f ca="1">IFERROR(__xludf.DUMMYFUNCTION("""COMPUTED_VALUE"""),4)</f>
        <v>4</v>
      </c>
      <c r="AK463" s="4">
        <f ca="1">IFERROR(__xludf.DUMMYFUNCTION("""COMPUTED_VALUE"""),4)</f>
        <v>4</v>
      </c>
      <c r="AL463" s="4">
        <f ca="1">IFERROR(__xludf.DUMMYFUNCTION("""COMPUTED_VALUE"""),4)</f>
        <v>4</v>
      </c>
      <c r="AM463" s="4">
        <f ca="1">IFERROR(__xludf.DUMMYFUNCTION("""COMPUTED_VALUE"""),4)</f>
        <v>4</v>
      </c>
      <c r="AN463" s="4">
        <f ca="1">IFERROR(__xludf.DUMMYFUNCTION("""COMPUTED_VALUE"""),3)</f>
        <v>3</v>
      </c>
      <c r="AO463" s="4">
        <f ca="1">IFERROR(__xludf.DUMMYFUNCTION("""COMPUTED_VALUE"""),5)</f>
        <v>5</v>
      </c>
      <c r="AP463" s="4">
        <f ca="1">IFERROR(__xludf.DUMMYFUNCTION("""COMPUTED_VALUE"""),4)</f>
        <v>4</v>
      </c>
      <c r="AQ463" s="4">
        <f ca="1">IFERROR(__xludf.DUMMYFUNCTION("""COMPUTED_VALUE"""),4)</f>
        <v>4</v>
      </c>
      <c r="AR463" s="4">
        <f ca="1">IFERROR(__xludf.DUMMYFUNCTION("""COMPUTED_VALUE"""),4)</f>
        <v>4</v>
      </c>
      <c r="AS463" s="4">
        <f ca="1">IFERROR(__xludf.DUMMYFUNCTION("""COMPUTED_VALUE"""),4)</f>
        <v>4</v>
      </c>
      <c r="AT463" s="4">
        <f ca="1">IFERROR(__xludf.DUMMYFUNCTION("""COMPUTED_VALUE"""),3)</f>
        <v>3</v>
      </c>
      <c r="AU463" s="4">
        <f ca="1">IFERROR(__xludf.DUMMYFUNCTION("""COMPUTED_VALUE"""),3)</f>
        <v>3</v>
      </c>
      <c r="AV463" s="4">
        <f ca="1">IFERROR(__xludf.DUMMYFUNCTION("""COMPUTED_VALUE"""),3)</f>
        <v>3</v>
      </c>
      <c r="AW463" s="4">
        <f ca="1">IFERROR(__xludf.DUMMYFUNCTION("""COMPUTED_VALUE"""),3)</f>
        <v>3</v>
      </c>
      <c r="AX463" s="4">
        <f ca="1">IFERROR(__xludf.DUMMYFUNCTION("""COMPUTED_VALUE"""),4)</f>
        <v>4</v>
      </c>
      <c r="AY463" s="4">
        <f ca="1">IFERROR(__xludf.DUMMYFUNCTION("""COMPUTED_VALUE"""),4)</f>
        <v>4</v>
      </c>
      <c r="AZ463" s="4">
        <f ca="1">IFERROR(__xludf.DUMMYFUNCTION("""COMPUTED_VALUE"""),4)</f>
        <v>4</v>
      </c>
      <c r="BA463" s="4">
        <f ca="1">IFERROR(__xludf.DUMMYFUNCTION("""COMPUTED_VALUE"""),4)</f>
        <v>4</v>
      </c>
      <c r="BB463" s="4">
        <f ca="1">IFERROR(__xludf.DUMMYFUNCTION("""COMPUTED_VALUE"""),3)</f>
        <v>3</v>
      </c>
      <c r="BC463" s="4">
        <f ca="1">IFERROR(__xludf.DUMMYFUNCTION("""COMPUTED_VALUE"""),3)</f>
        <v>3</v>
      </c>
      <c r="BD463" s="4">
        <f ca="1">IFERROR(__xludf.DUMMYFUNCTION("""COMPUTED_VALUE"""),3)</f>
        <v>3</v>
      </c>
      <c r="BE463" s="4">
        <f ca="1">IFERROR(__xludf.DUMMYFUNCTION("""COMPUTED_VALUE"""),3)</f>
        <v>3</v>
      </c>
      <c r="BF463" s="4">
        <f ca="1">IFERROR(__xludf.DUMMYFUNCTION("""COMPUTED_VALUE"""),3)</f>
        <v>3</v>
      </c>
      <c r="BG463" s="4">
        <f ca="1">IFERROR(__xludf.DUMMYFUNCTION("""COMPUTED_VALUE"""),3)</f>
        <v>3</v>
      </c>
      <c r="BH463" s="4">
        <f ca="1">IFERROR(__xludf.DUMMYFUNCTION("""COMPUTED_VALUE"""),3)</f>
        <v>3</v>
      </c>
      <c r="BI463" s="4">
        <f ca="1">IFERROR(__xludf.DUMMYFUNCTION("""COMPUTED_VALUE"""),4)</f>
        <v>4</v>
      </c>
      <c r="BJ463" s="4">
        <f ca="1">IFERROR(__xludf.DUMMYFUNCTION("""COMPUTED_VALUE"""),4)</f>
        <v>4</v>
      </c>
      <c r="BK463" s="4">
        <f ca="1">IFERROR(__xludf.DUMMYFUNCTION("""COMPUTED_VALUE"""),4)</f>
        <v>4</v>
      </c>
      <c r="BL463" s="4">
        <f ca="1">IFERROR(__xludf.DUMMYFUNCTION("""COMPUTED_VALUE"""),4)</f>
        <v>4</v>
      </c>
      <c r="BM463" s="4">
        <f ca="1">IFERROR(__xludf.DUMMYFUNCTION("""COMPUTED_VALUE"""),4)</f>
        <v>4</v>
      </c>
      <c r="BN463" s="4">
        <f ca="1">IFERROR(__xludf.DUMMYFUNCTION("""COMPUTED_VALUE"""),4)</f>
        <v>4</v>
      </c>
      <c r="BO463" s="4">
        <f ca="1">IFERROR(__xludf.DUMMYFUNCTION("""COMPUTED_VALUE"""),4)</f>
        <v>4</v>
      </c>
      <c r="BP463" s="4">
        <f ca="1">IFERROR(__xludf.DUMMYFUNCTION("""COMPUTED_VALUE"""),4)</f>
        <v>4</v>
      </c>
    </row>
    <row r="464" spans="1:68" ht="13.2" x14ac:dyDescent="0.25">
      <c r="A464" s="4" t="str">
        <f ca="1">IFERROR(__xludf.DUMMYFUNCTION("""COMPUTED_VALUE"""),"2_ABaOnuf4oqG_6MgRdYM6C_S6BDERd-YnPn8UF8l2J3N3IHmxSsqNDYsgsrgXKPF9Qg")</f>
        <v>2_ABaOnuf4oqG_6MgRdYM6C_S6BDERd-YnPn8UF8l2J3N3IHmxSsqNDYsgsrgXKPF9Qg</v>
      </c>
      <c r="B464" s="5">
        <f ca="1">IFERROR(__xludf.DUMMYFUNCTION("""COMPUTED_VALUE"""),46009.3573680555)</f>
        <v>46009.357368055498</v>
      </c>
      <c r="C464" s="4" t="str">
        <f ca="1">IFERROR(__xludf.DUMMYFUNCTION("""COMPUTED_VALUE"""),"TRẦN DƯƠNG MINH LONG")</f>
        <v>TRẦN DƯƠNG MINH LONG</v>
      </c>
      <c r="D464" s="4" t="str">
        <f ca="1">IFERROR(__xludf.DUMMYFUNCTION("""COMPUTED_VALUE"""),"Nam")</f>
        <v>Nam</v>
      </c>
      <c r="E464" s="4" t="str">
        <f ca="1">IFERROR(__xludf.DUMMYFUNCTION("""COMPUTED_VALUE"""),"CÔNG TY TNHH KIỂM TOÁN VIỆT ÚC")</f>
        <v>CÔNG TY TNHH KIỂM TOÁN VIỆT ÚC</v>
      </c>
      <c r="F464" s="4" t="str">
        <f ca="1">IFERROR(__xludf.DUMMYFUNCTION("""COMPUTED_VALUE"""),"Đại học")</f>
        <v>Đại học</v>
      </c>
      <c r="G464" s="4" t="str">
        <f ca="1">IFERROR(__xludf.DUMMYFUNCTION("""COMPUTED_VALUE"""),"Trên 5 đến 10 năm")</f>
        <v>Trên 5 đến 10 năm</v>
      </c>
      <c r="H464" s="4" t="str">
        <f ca="1">IFERROR(__xludf.DUMMYFUNCTION("""COMPUTED_VALUE"""),"Kiểm toán viên/Trưởng nhóm")</f>
        <v>Kiểm toán viên/Trưởng nhóm</v>
      </c>
      <c r="I464" s="4">
        <f ca="1">IFERROR(__xludf.DUMMYFUNCTION("""COMPUTED_VALUE"""),4)</f>
        <v>4</v>
      </c>
      <c r="J464" s="4">
        <f ca="1">IFERROR(__xludf.DUMMYFUNCTION("""COMPUTED_VALUE"""),4)</f>
        <v>4</v>
      </c>
      <c r="K464" s="4">
        <f ca="1">IFERROR(__xludf.DUMMYFUNCTION("""COMPUTED_VALUE"""),4)</f>
        <v>4</v>
      </c>
      <c r="L464" s="4">
        <f ca="1">IFERROR(__xludf.DUMMYFUNCTION("""COMPUTED_VALUE"""),4)</f>
        <v>4</v>
      </c>
      <c r="M464" s="4">
        <f ca="1">IFERROR(__xludf.DUMMYFUNCTION("""COMPUTED_VALUE"""),4)</f>
        <v>4</v>
      </c>
      <c r="N464" s="4">
        <f ca="1">IFERROR(__xludf.DUMMYFUNCTION("""COMPUTED_VALUE"""),4)</f>
        <v>4</v>
      </c>
      <c r="O464" s="4">
        <f ca="1">IFERROR(__xludf.DUMMYFUNCTION("""COMPUTED_VALUE"""),3)</f>
        <v>3</v>
      </c>
      <c r="P464" s="4">
        <f ca="1">IFERROR(__xludf.DUMMYFUNCTION("""COMPUTED_VALUE"""),5)</f>
        <v>5</v>
      </c>
      <c r="Q464" s="4">
        <f ca="1">IFERROR(__xludf.DUMMYFUNCTION("""COMPUTED_VALUE"""),5)</f>
        <v>5</v>
      </c>
      <c r="R464" s="4">
        <f ca="1">IFERROR(__xludf.DUMMYFUNCTION("""COMPUTED_VALUE"""),4)</f>
        <v>4</v>
      </c>
      <c r="S464" s="4">
        <f ca="1">IFERROR(__xludf.DUMMYFUNCTION("""COMPUTED_VALUE"""),4)</f>
        <v>4</v>
      </c>
      <c r="T464" s="4">
        <f ca="1">IFERROR(__xludf.DUMMYFUNCTION("""COMPUTED_VALUE"""),3)</f>
        <v>3</v>
      </c>
      <c r="U464" s="4">
        <f ca="1">IFERROR(__xludf.DUMMYFUNCTION("""COMPUTED_VALUE"""),4)</f>
        <v>4</v>
      </c>
      <c r="V464" s="4">
        <f ca="1">IFERROR(__xludf.DUMMYFUNCTION("""COMPUTED_VALUE"""),4)</f>
        <v>4</v>
      </c>
      <c r="W464" s="4">
        <f ca="1">IFERROR(__xludf.DUMMYFUNCTION("""COMPUTED_VALUE"""),3)</f>
        <v>3</v>
      </c>
      <c r="X464" s="4">
        <f ca="1">IFERROR(__xludf.DUMMYFUNCTION("""COMPUTED_VALUE"""),3)</f>
        <v>3</v>
      </c>
      <c r="Y464" s="4">
        <f ca="1">IFERROR(__xludf.DUMMYFUNCTION("""COMPUTED_VALUE"""),3)</f>
        <v>3</v>
      </c>
      <c r="Z464" s="4">
        <f ca="1">IFERROR(__xludf.DUMMYFUNCTION("""COMPUTED_VALUE"""),3)</f>
        <v>3</v>
      </c>
      <c r="AA464" s="4">
        <f ca="1">IFERROR(__xludf.DUMMYFUNCTION("""COMPUTED_VALUE"""),4)</f>
        <v>4</v>
      </c>
      <c r="AB464" s="4">
        <f ca="1">IFERROR(__xludf.DUMMYFUNCTION("""COMPUTED_VALUE"""),4)</f>
        <v>4</v>
      </c>
      <c r="AC464" s="4">
        <f ca="1">IFERROR(__xludf.DUMMYFUNCTION("""COMPUTED_VALUE"""),4)</f>
        <v>4</v>
      </c>
      <c r="AD464" s="4">
        <f ca="1">IFERROR(__xludf.DUMMYFUNCTION("""COMPUTED_VALUE"""),3)</f>
        <v>3</v>
      </c>
      <c r="AE464" s="4">
        <f ca="1">IFERROR(__xludf.DUMMYFUNCTION("""COMPUTED_VALUE"""),5)</f>
        <v>5</v>
      </c>
      <c r="AF464" s="4">
        <f ca="1">IFERROR(__xludf.DUMMYFUNCTION("""COMPUTED_VALUE"""),3)</f>
        <v>3</v>
      </c>
      <c r="AG464" s="4">
        <f ca="1">IFERROR(__xludf.DUMMYFUNCTION("""COMPUTED_VALUE"""),3)</f>
        <v>3</v>
      </c>
      <c r="AH464" s="4">
        <f ca="1">IFERROR(__xludf.DUMMYFUNCTION("""COMPUTED_VALUE"""),3)</f>
        <v>3</v>
      </c>
      <c r="AI464" s="4">
        <f ca="1">IFERROR(__xludf.DUMMYFUNCTION("""COMPUTED_VALUE"""),3)</f>
        <v>3</v>
      </c>
      <c r="AJ464" s="4">
        <f ca="1">IFERROR(__xludf.DUMMYFUNCTION("""COMPUTED_VALUE"""),3)</f>
        <v>3</v>
      </c>
      <c r="AK464" s="4">
        <f ca="1">IFERROR(__xludf.DUMMYFUNCTION("""COMPUTED_VALUE"""),3)</f>
        <v>3</v>
      </c>
      <c r="AL464" s="4">
        <f ca="1">IFERROR(__xludf.DUMMYFUNCTION("""COMPUTED_VALUE"""),4)</f>
        <v>4</v>
      </c>
      <c r="AM464" s="4">
        <f ca="1">IFERROR(__xludf.DUMMYFUNCTION("""COMPUTED_VALUE"""),3)</f>
        <v>3</v>
      </c>
      <c r="AN464" s="4">
        <f ca="1">IFERROR(__xludf.DUMMYFUNCTION("""COMPUTED_VALUE"""),4)</f>
        <v>4</v>
      </c>
      <c r="AO464" s="4">
        <f ca="1">IFERROR(__xludf.DUMMYFUNCTION("""COMPUTED_VALUE"""),3)</f>
        <v>3</v>
      </c>
      <c r="AP464" s="4">
        <f ca="1">IFERROR(__xludf.DUMMYFUNCTION("""COMPUTED_VALUE"""),4)</f>
        <v>4</v>
      </c>
      <c r="AQ464" s="4">
        <f ca="1">IFERROR(__xludf.DUMMYFUNCTION("""COMPUTED_VALUE"""),4)</f>
        <v>4</v>
      </c>
      <c r="AR464" s="4">
        <f ca="1">IFERROR(__xludf.DUMMYFUNCTION("""COMPUTED_VALUE"""),4)</f>
        <v>4</v>
      </c>
      <c r="AS464" s="4">
        <f ca="1">IFERROR(__xludf.DUMMYFUNCTION("""COMPUTED_VALUE"""),4)</f>
        <v>4</v>
      </c>
      <c r="AT464" s="4">
        <f ca="1">IFERROR(__xludf.DUMMYFUNCTION("""COMPUTED_VALUE"""),4)</f>
        <v>4</v>
      </c>
      <c r="AU464" s="4">
        <f ca="1">IFERROR(__xludf.DUMMYFUNCTION("""COMPUTED_VALUE"""),3)</f>
        <v>3</v>
      </c>
      <c r="AV464" s="4">
        <f ca="1">IFERROR(__xludf.DUMMYFUNCTION("""COMPUTED_VALUE"""),4)</f>
        <v>4</v>
      </c>
      <c r="AW464" s="4">
        <f ca="1">IFERROR(__xludf.DUMMYFUNCTION("""COMPUTED_VALUE"""),5)</f>
        <v>5</v>
      </c>
      <c r="AX464" s="4">
        <f ca="1">IFERROR(__xludf.DUMMYFUNCTION("""COMPUTED_VALUE"""),4)</f>
        <v>4</v>
      </c>
      <c r="AY464" s="4">
        <f ca="1">IFERROR(__xludf.DUMMYFUNCTION("""COMPUTED_VALUE"""),4)</f>
        <v>4</v>
      </c>
      <c r="AZ464" s="4">
        <f ca="1">IFERROR(__xludf.DUMMYFUNCTION("""COMPUTED_VALUE"""),4)</f>
        <v>4</v>
      </c>
      <c r="BA464" s="4">
        <f ca="1">IFERROR(__xludf.DUMMYFUNCTION("""COMPUTED_VALUE"""),4)</f>
        <v>4</v>
      </c>
      <c r="BB464" s="4">
        <f ca="1">IFERROR(__xludf.DUMMYFUNCTION("""COMPUTED_VALUE"""),3)</f>
        <v>3</v>
      </c>
      <c r="BC464" s="4">
        <f ca="1">IFERROR(__xludf.DUMMYFUNCTION("""COMPUTED_VALUE"""),4)</f>
        <v>4</v>
      </c>
      <c r="BD464" s="4">
        <f ca="1">IFERROR(__xludf.DUMMYFUNCTION("""COMPUTED_VALUE"""),4)</f>
        <v>4</v>
      </c>
      <c r="BE464" s="4">
        <f ca="1">IFERROR(__xludf.DUMMYFUNCTION("""COMPUTED_VALUE"""),4)</f>
        <v>4</v>
      </c>
      <c r="BF464" s="4">
        <f ca="1">IFERROR(__xludf.DUMMYFUNCTION("""COMPUTED_VALUE"""),4)</f>
        <v>4</v>
      </c>
      <c r="BG464" s="4">
        <f ca="1">IFERROR(__xludf.DUMMYFUNCTION("""COMPUTED_VALUE"""),4)</f>
        <v>4</v>
      </c>
      <c r="BH464" s="4">
        <f ca="1">IFERROR(__xludf.DUMMYFUNCTION("""COMPUTED_VALUE"""),3)</f>
        <v>3</v>
      </c>
      <c r="BI464" s="4">
        <f ca="1">IFERROR(__xludf.DUMMYFUNCTION("""COMPUTED_VALUE"""),3)</f>
        <v>3</v>
      </c>
      <c r="BJ464" s="4">
        <f ca="1">IFERROR(__xludf.DUMMYFUNCTION("""COMPUTED_VALUE"""),3)</f>
        <v>3</v>
      </c>
      <c r="BK464" s="4">
        <f ca="1">IFERROR(__xludf.DUMMYFUNCTION("""COMPUTED_VALUE"""),4)</f>
        <v>4</v>
      </c>
      <c r="BL464" s="4">
        <f ca="1">IFERROR(__xludf.DUMMYFUNCTION("""COMPUTED_VALUE"""),4)</f>
        <v>4</v>
      </c>
      <c r="BM464" s="4">
        <f ca="1">IFERROR(__xludf.DUMMYFUNCTION("""COMPUTED_VALUE"""),4)</f>
        <v>4</v>
      </c>
      <c r="BN464" s="4">
        <f ca="1">IFERROR(__xludf.DUMMYFUNCTION("""COMPUTED_VALUE"""),4)</f>
        <v>4</v>
      </c>
      <c r="BO464" s="4">
        <f ca="1">IFERROR(__xludf.DUMMYFUNCTION("""COMPUTED_VALUE"""),4)</f>
        <v>4</v>
      </c>
      <c r="BP464" s="4">
        <f ca="1">IFERROR(__xludf.DUMMYFUNCTION("""COMPUTED_VALUE"""),4)</f>
        <v>4</v>
      </c>
    </row>
    <row r="465" spans="1:68" ht="13.2" x14ac:dyDescent="0.25">
      <c r="A465" s="4" t="str">
        <f ca="1">IFERROR(__xludf.DUMMYFUNCTION("""COMPUTED_VALUE"""),"2_ABaOnudmNS6v31kI7W66-4XEAhyMF-lGeQx6qN-gqd-F83bAPeQobIDlZTGZvea_FA")</f>
        <v>2_ABaOnudmNS6v31kI7W66-4XEAhyMF-lGeQx6qN-gqd-F83bAPeQobIDlZTGZvea_FA</v>
      </c>
      <c r="B465" s="5">
        <f ca="1">IFERROR(__xludf.DUMMYFUNCTION("""COMPUTED_VALUE"""),46009.3854709259)</f>
        <v>46009.385470925903</v>
      </c>
      <c r="C465" s="4" t="str">
        <f ca="1">IFERROR(__xludf.DUMMYFUNCTION("""COMPUTED_VALUE"""),"Trâm Lê")</f>
        <v>Trâm Lê</v>
      </c>
      <c r="D465" s="4" t="str">
        <f ca="1">IFERROR(__xludf.DUMMYFUNCTION("""COMPUTED_VALUE"""),"Nữ")</f>
        <v>Nữ</v>
      </c>
      <c r="E465" s="4" t="str">
        <f ca="1">IFERROR(__xludf.DUMMYFUNCTION("""COMPUTED_VALUE"""),"Công ty TNHH Kiểm toán Việt Úc")</f>
        <v>Công ty TNHH Kiểm toán Việt Úc</v>
      </c>
      <c r="F465" s="4" t="str">
        <f ca="1">IFERROR(__xludf.DUMMYFUNCTION("""COMPUTED_VALUE"""),"Đại học")</f>
        <v>Đại học</v>
      </c>
      <c r="G465" s="4" t="str">
        <f ca="1">IFERROR(__xludf.DUMMYFUNCTION("""COMPUTED_VALUE"""),"Từ 3 đến 5 năm")</f>
        <v>Từ 3 đến 5 năm</v>
      </c>
      <c r="H465" s="4" t="str">
        <f ca="1">IFERROR(__xludf.DUMMYFUNCTION("""COMPUTED_VALUE"""),"Kiểm toán viên/Trưởng nhóm")</f>
        <v>Kiểm toán viên/Trưởng nhóm</v>
      </c>
      <c r="I465" s="4">
        <f ca="1">IFERROR(__xludf.DUMMYFUNCTION("""COMPUTED_VALUE"""),5)</f>
        <v>5</v>
      </c>
      <c r="J465" s="4">
        <f ca="1">IFERROR(__xludf.DUMMYFUNCTION("""COMPUTED_VALUE"""),5)</f>
        <v>5</v>
      </c>
      <c r="K465" s="4">
        <f ca="1">IFERROR(__xludf.DUMMYFUNCTION("""COMPUTED_VALUE"""),5)</f>
        <v>5</v>
      </c>
      <c r="L465" s="4">
        <f ca="1">IFERROR(__xludf.DUMMYFUNCTION("""COMPUTED_VALUE"""),4)</f>
        <v>4</v>
      </c>
      <c r="M465" s="4">
        <f ca="1">IFERROR(__xludf.DUMMYFUNCTION("""COMPUTED_VALUE"""),5)</f>
        <v>5</v>
      </c>
      <c r="N465" s="4">
        <f ca="1">IFERROR(__xludf.DUMMYFUNCTION("""COMPUTED_VALUE"""),4)</f>
        <v>4</v>
      </c>
      <c r="O465" s="4">
        <f ca="1">IFERROR(__xludf.DUMMYFUNCTION("""COMPUTED_VALUE"""),5)</f>
        <v>5</v>
      </c>
      <c r="P465" s="4">
        <f ca="1">IFERROR(__xludf.DUMMYFUNCTION("""COMPUTED_VALUE"""),5)</f>
        <v>5</v>
      </c>
      <c r="Q465" s="4">
        <f ca="1">IFERROR(__xludf.DUMMYFUNCTION("""COMPUTED_VALUE"""),5)</f>
        <v>5</v>
      </c>
      <c r="R465" s="4">
        <f ca="1">IFERROR(__xludf.DUMMYFUNCTION("""COMPUTED_VALUE"""),5)</f>
        <v>5</v>
      </c>
      <c r="S465" s="4">
        <f ca="1">IFERROR(__xludf.DUMMYFUNCTION("""COMPUTED_VALUE"""),5)</f>
        <v>5</v>
      </c>
      <c r="T465" s="4">
        <f ca="1">IFERROR(__xludf.DUMMYFUNCTION("""COMPUTED_VALUE"""),5)</f>
        <v>5</v>
      </c>
      <c r="U465" s="4">
        <f ca="1">IFERROR(__xludf.DUMMYFUNCTION("""COMPUTED_VALUE"""),5)</f>
        <v>5</v>
      </c>
      <c r="V465" s="4">
        <f ca="1">IFERROR(__xludf.DUMMYFUNCTION("""COMPUTED_VALUE"""),5)</f>
        <v>5</v>
      </c>
      <c r="W465" s="4">
        <f ca="1">IFERROR(__xludf.DUMMYFUNCTION("""COMPUTED_VALUE"""),3)</f>
        <v>3</v>
      </c>
      <c r="X465" s="4">
        <f ca="1">IFERROR(__xludf.DUMMYFUNCTION("""COMPUTED_VALUE"""),3)</f>
        <v>3</v>
      </c>
      <c r="Y465" s="4">
        <f ca="1">IFERROR(__xludf.DUMMYFUNCTION("""COMPUTED_VALUE"""),4)</f>
        <v>4</v>
      </c>
      <c r="Z465" s="4">
        <f ca="1">IFERROR(__xludf.DUMMYFUNCTION("""COMPUTED_VALUE"""),5)</f>
        <v>5</v>
      </c>
      <c r="AA465" s="4">
        <f ca="1">IFERROR(__xludf.DUMMYFUNCTION("""COMPUTED_VALUE"""),4)</f>
        <v>4</v>
      </c>
      <c r="AB465" s="4">
        <f ca="1">IFERROR(__xludf.DUMMYFUNCTION("""COMPUTED_VALUE"""),5)</f>
        <v>5</v>
      </c>
      <c r="AC465" s="4">
        <f ca="1">IFERROR(__xludf.DUMMYFUNCTION("""COMPUTED_VALUE"""),5)</f>
        <v>5</v>
      </c>
      <c r="AD465" s="4">
        <f ca="1">IFERROR(__xludf.DUMMYFUNCTION("""COMPUTED_VALUE"""),4)</f>
        <v>4</v>
      </c>
      <c r="AE465" s="4">
        <f ca="1">IFERROR(__xludf.DUMMYFUNCTION("""COMPUTED_VALUE"""),5)</f>
        <v>5</v>
      </c>
      <c r="AF465" s="4">
        <f ca="1">IFERROR(__xludf.DUMMYFUNCTION("""COMPUTED_VALUE"""),4)</f>
        <v>4</v>
      </c>
      <c r="AG465" s="4">
        <f ca="1">IFERROR(__xludf.DUMMYFUNCTION("""COMPUTED_VALUE"""),4)</f>
        <v>4</v>
      </c>
      <c r="AH465" s="4">
        <f ca="1">IFERROR(__xludf.DUMMYFUNCTION("""COMPUTED_VALUE"""),4)</f>
        <v>4</v>
      </c>
      <c r="AI465" s="4">
        <f ca="1">IFERROR(__xludf.DUMMYFUNCTION("""COMPUTED_VALUE"""),4)</f>
        <v>4</v>
      </c>
      <c r="AJ465" s="4">
        <f ca="1">IFERROR(__xludf.DUMMYFUNCTION("""COMPUTED_VALUE"""),4)</f>
        <v>4</v>
      </c>
      <c r="AK465" s="4">
        <f ca="1">IFERROR(__xludf.DUMMYFUNCTION("""COMPUTED_VALUE"""),4)</f>
        <v>4</v>
      </c>
      <c r="AL465" s="4">
        <f ca="1">IFERROR(__xludf.DUMMYFUNCTION("""COMPUTED_VALUE"""),4)</f>
        <v>4</v>
      </c>
      <c r="AM465" s="4">
        <f ca="1">IFERROR(__xludf.DUMMYFUNCTION("""COMPUTED_VALUE"""),5)</f>
        <v>5</v>
      </c>
      <c r="AN465" s="4">
        <f ca="1">IFERROR(__xludf.DUMMYFUNCTION("""COMPUTED_VALUE"""),5)</f>
        <v>5</v>
      </c>
      <c r="AO465" s="4">
        <f ca="1">IFERROR(__xludf.DUMMYFUNCTION("""COMPUTED_VALUE"""),4)</f>
        <v>4</v>
      </c>
      <c r="AP465" s="4">
        <f ca="1">IFERROR(__xludf.DUMMYFUNCTION("""COMPUTED_VALUE"""),3)</f>
        <v>3</v>
      </c>
      <c r="AQ465" s="4">
        <f ca="1">IFERROR(__xludf.DUMMYFUNCTION("""COMPUTED_VALUE"""),5)</f>
        <v>5</v>
      </c>
      <c r="AR465" s="4">
        <f ca="1">IFERROR(__xludf.DUMMYFUNCTION("""COMPUTED_VALUE"""),5)</f>
        <v>5</v>
      </c>
      <c r="AS465" s="4">
        <f ca="1">IFERROR(__xludf.DUMMYFUNCTION("""COMPUTED_VALUE"""),5)</f>
        <v>5</v>
      </c>
      <c r="AT465" s="4">
        <f ca="1">IFERROR(__xludf.DUMMYFUNCTION("""COMPUTED_VALUE"""),3)</f>
        <v>3</v>
      </c>
      <c r="AU465" s="4">
        <f ca="1">IFERROR(__xludf.DUMMYFUNCTION("""COMPUTED_VALUE"""),4)</f>
        <v>4</v>
      </c>
      <c r="AV465" s="4">
        <f ca="1">IFERROR(__xludf.DUMMYFUNCTION("""COMPUTED_VALUE"""),4)</f>
        <v>4</v>
      </c>
      <c r="AW465" s="4">
        <f ca="1">IFERROR(__xludf.DUMMYFUNCTION("""COMPUTED_VALUE"""),5)</f>
        <v>5</v>
      </c>
      <c r="AX465" s="4">
        <f ca="1">IFERROR(__xludf.DUMMYFUNCTION("""COMPUTED_VALUE"""),5)</f>
        <v>5</v>
      </c>
      <c r="AY465" s="4">
        <f ca="1">IFERROR(__xludf.DUMMYFUNCTION("""COMPUTED_VALUE"""),5)</f>
        <v>5</v>
      </c>
      <c r="AZ465" s="4">
        <f ca="1">IFERROR(__xludf.DUMMYFUNCTION("""COMPUTED_VALUE"""),5)</f>
        <v>5</v>
      </c>
      <c r="BA465" s="4">
        <f ca="1">IFERROR(__xludf.DUMMYFUNCTION("""COMPUTED_VALUE"""),5)</f>
        <v>5</v>
      </c>
      <c r="BB465" s="4">
        <f ca="1">IFERROR(__xludf.DUMMYFUNCTION("""COMPUTED_VALUE"""),4)</f>
        <v>4</v>
      </c>
      <c r="BC465" s="4">
        <f ca="1">IFERROR(__xludf.DUMMYFUNCTION("""COMPUTED_VALUE"""),4)</f>
        <v>4</v>
      </c>
      <c r="BD465" s="4">
        <f ca="1">IFERROR(__xludf.DUMMYFUNCTION("""COMPUTED_VALUE"""),4)</f>
        <v>4</v>
      </c>
      <c r="BE465" s="4">
        <f ca="1">IFERROR(__xludf.DUMMYFUNCTION("""COMPUTED_VALUE"""),5)</f>
        <v>5</v>
      </c>
      <c r="BF465" s="4">
        <f ca="1">IFERROR(__xludf.DUMMYFUNCTION("""COMPUTED_VALUE"""),4)</f>
        <v>4</v>
      </c>
      <c r="BG465" s="4">
        <f ca="1">IFERROR(__xludf.DUMMYFUNCTION("""COMPUTED_VALUE"""),4)</f>
        <v>4</v>
      </c>
      <c r="BH465" s="4">
        <f ca="1">IFERROR(__xludf.DUMMYFUNCTION("""COMPUTED_VALUE"""),5)</f>
        <v>5</v>
      </c>
      <c r="BI465" s="4">
        <f ca="1">IFERROR(__xludf.DUMMYFUNCTION("""COMPUTED_VALUE"""),5)</f>
        <v>5</v>
      </c>
      <c r="BJ465" s="4">
        <f ca="1">IFERROR(__xludf.DUMMYFUNCTION("""COMPUTED_VALUE"""),4)</f>
        <v>4</v>
      </c>
      <c r="BK465" s="4">
        <f ca="1">IFERROR(__xludf.DUMMYFUNCTION("""COMPUTED_VALUE"""),5)</f>
        <v>5</v>
      </c>
      <c r="BL465" s="4">
        <f ca="1">IFERROR(__xludf.DUMMYFUNCTION("""COMPUTED_VALUE"""),5)</f>
        <v>5</v>
      </c>
      <c r="BM465" s="4">
        <f ca="1">IFERROR(__xludf.DUMMYFUNCTION("""COMPUTED_VALUE"""),4)</f>
        <v>4</v>
      </c>
      <c r="BN465" s="4">
        <f ca="1">IFERROR(__xludf.DUMMYFUNCTION("""COMPUTED_VALUE"""),4)</f>
        <v>4</v>
      </c>
      <c r="BO465" s="4">
        <f ca="1">IFERROR(__xludf.DUMMYFUNCTION("""COMPUTED_VALUE"""),5)</f>
        <v>5</v>
      </c>
      <c r="BP465" s="4">
        <f ca="1">IFERROR(__xludf.DUMMYFUNCTION("""COMPUTED_VALUE"""),4)</f>
        <v>4</v>
      </c>
    </row>
    <row r="466" spans="1:68" ht="13.2" x14ac:dyDescent="0.25">
      <c r="A466" s="4" t="str">
        <f ca="1">IFERROR(__xludf.DUMMYFUNCTION("""COMPUTED_VALUE"""),"2_ABaOnuf91L_vXRkzXTho4mVW9iqHSE-4zpqEUHj_y1BN0TLzmhsLF-PHM3AG9Zgakg")</f>
        <v>2_ABaOnuf91L_vXRkzXTho4mVW9iqHSE-4zpqEUHj_y1BN0TLzmhsLF-PHM3AG9Zgakg</v>
      </c>
      <c r="B466" s="5">
        <f ca="1">IFERROR(__xludf.DUMMYFUNCTION("""COMPUTED_VALUE"""),46009.4156700347)</f>
        <v>46009.415670034701</v>
      </c>
      <c r="C466" s="4" t="str">
        <f ca="1">IFERROR(__xludf.DUMMYFUNCTION("""COMPUTED_VALUE"""),"Lê Mai Thiện Tín")</f>
        <v>Lê Mai Thiện Tín</v>
      </c>
      <c r="D466" s="4" t="str">
        <f ca="1">IFERROR(__xludf.DUMMYFUNCTION("""COMPUTED_VALUE"""),"Nam")</f>
        <v>Nam</v>
      </c>
      <c r="E466" s="4" t="str">
        <f ca="1">IFERROR(__xludf.DUMMYFUNCTION("""COMPUTED_VALUE"""),"Kiểm toán Việt Úc")</f>
        <v>Kiểm toán Việt Úc</v>
      </c>
      <c r="F466" s="4" t="str">
        <f ca="1">IFERROR(__xludf.DUMMYFUNCTION("""COMPUTED_VALUE"""),"Đại học")</f>
        <v>Đại học</v>
      </c>
      <c r="G466" s="4" t="str">
        <f ca="1">IFERROR(__xludf.DUMMYFUNCTION("""COMPUTED_VALUE"""),"Trên 5 đến 10 năm")</f>
        <v>Trên 5 đến 10 năm</v>
      </c>
      <c r="H466" s="4" t="str">
        <f ca="1">IFERROR(__xludf.DUMMYFUNCTION("""COMPUTED_VALUE"""),"Kiểm toán viên/Trưởng nhóm")</f>
        <v>Kiểm toán viên/Trưởng nhóm</v>
      </c>
      <c r="I466" s="4">
        <f ca="1">IFERROR(__xludf.DUMMYFUNCTION("""COMPUTED_VALUE"""),5)</f>
        <v>5</v>
      </c>
      <c r="J466" s="4">
        <f ca="1">IFERROR(__xludf.DUMMYFUNCTION("""COMPUTED_VALUE"""),4)</f>
        <v>4</v>
      </c>
      <c r="K466" s="4">
        <f ca="1">IFERROR(__xludf.DUMMYFUNCTION("""COMPUTED_VALUE"""),4)</f>
        <v>4</v>
      </c>
      <c r="L466" s="4">
        <f ca="1">IFERROR(__xludf.DUMMYFUNCTION("""COMPUTED_VALUE"""),3)</f>
        <v>3</v>
      </c>
      <c r="M466" s="4">
        <f ca="1">IFERROR(__xludf.DUMMYFUNCTION("""COMPUTED_VALUE"""),5)</f>
        <v>5</v>
      </c>
      <c r="N466" s="4">
        <f ca="1">IFERROR(__xludf.DUMMYFUNCTION("""COMPUTED_VALUE"""),4)</f>
        <v>4</v>
      </c>
      <c r="O466" s="4">
        <f ca="1">IFERROR(__xludf.DUMMYFUNCTION("""COMPUTED_VALUE"""),4)</f>
        <v>4</v>
      </c>
      <c r="P466" s="4">
        <f ca="1">IFERROR(__xludf.DUMMYFUNCTION("""COMPUTED_VALUE"""),4)</f>
        <v>4</v>
      </c>
      <c r="Q466" s="4">
        <f ca="1">IFERROR(__xludf.DUMMYFUNCTION("""COMPUTED_VALUE"""),5)</f>
        <v>5</v>
      </c>
      <c r="R466" s="4">
        <f ca="1">IFERROR(__xludf.DUMMYFUNCTION("""COMPUTED_VALUE"""),4)</f>
        <v>4</v>
      </c>
      <c r="S466" s="4">
        <f ca="1">IFERROR(__xludf.DUMMYFUNCTION("""COMPUTED_VALUE"""),5)</f>
        <v>5</v>
      </c>
      <c r="T466" s="4">
        <f ca="1">IFERROR(__xludf.DUMMYFUNCTION("""COMPUTED_VALUE"""),4)</f>
        <v>4</v>
      </c>
      <c r="U466" s="4">
        <f ca="1">IFERROR(__xludf.DUMMYFUNCTION("""COMPUTED_VALUE"""),5)</f>
        <v>5</v>
      </c>
      <c r="V466" s="4">
        <f ca="1">IFERROR(__xludf.DUMMYFUNCTION("""COMPUTED_VALUE"""),4)</f>
        <v>4</v>
      </c>
      <c r="W466" s="4">
        <f ca="1">IFERROR(__xludf.DUMMYFUNCTION("""COMPUTED_VALUE"""),4)</f>
        <v>4</v>
      </c>
      <c r="X466" s="4">
        <f ca="1">IFERROR(__xludf.DUMMYFUNCTION("""COMPUTED_VALUE"""),3)</f>
        <v>3</v>
      </c>
      <c r="Y466" s="4">
        <f ca="1">IFERROR(__xludf.DUMMYFUNCTION("""COMPUTED_VALUE"""),4)</f>
        <v>4</v>
      </c>
      <c r="Z466" s="4">
        <f ca="1">IFERROR(__xludf.DUMMYFUNCTION("""COMPUTED_VALUE"""),4)</f>
        <v>4</v>
      </c>
      <c r="AA466" s="4">
        <f ca="1">IFERROR(__xludf.DUMMYFUNCTION("""COMPUTED_VALUE"""),5)</f>
        <v>5</v>
      </c>
      <c r="AB466" s="4">
        <f ca="1">IFERROR(__xludf.DUMMYFUNCTION("""COMPUTED_VALUE"""),5)</f>
        <v>5</v>
      </c>
      <c r="AC466" s="4">
        <f ca="1">IFERROR(__xludf.DUMMYFUNCTION("""COMPUTED_VALUE"""),4)</f>
        <v>4</v>
      </c>
      <c r="AD466" s="4">
        <f ca="1">IFERROR(__xludf.DUMMYFUNCTION("""COMPUTED_VALUE"""),5)</f>
        <v>5</v>
      </c>
      <c r="AE466" s="4">
        <f ca="1">IFERROR(__xludf.DUMMYFUNCTION("""COMPUTED_VALUE"""),5)</f>
        <v>5</v>
      </c>
      <c r="AF466" s="4">
        <f ca="1">IFERROR(__xludf.DUMMYFUNCTION("""COMPUTED_VALUE"""),5)</f>
        <v>5</v>
      </c>
      <c r="AG466" s="4">
        <f ca="1">IFERROR(__xludf.DUMMYFUNCTION("""COMPUTED_VALUE"""),5)</f>
        <v>5</v>
      </c>
      <c r="AH466" s="4">
        <f ca="1">IFERROR(__xludf.DUMMYFUNCTION("""COMPUTED_VALUE"""),5)</f>
        <v>5</v>
      </c>
      <c r="AI466" s="4">
        <f ca="1">IFERROR(__xludf.DUMMYFUNCTION("""COMPUTED_VALUE"""),4)</f>
        <v>4</v>
      </c>
      <c r="AJ466" s="4">
        <f ca="1">IFERROR(__xludf.DUMMYFUNCTION("""COMPUTED_VALUE"""),5)</f>
        <v>5</v>
      </c>
      <c r="AK466" s="4">
        <f ca="1">IFERROR(__xludf.DUMMYFUNCTION("""COMPUTED_VALUE"""),4)</f>
        <v>4</v>
      </c>
      <c r="AL466" s="4">
        <f ca="1">IFERROR(__xludf.DUMMYFUNCTION("""COMPUTED_VALUE"""),4)</f>
        <v>4</v>
      </c>
      <c r="AM466" s="4">
        <f ca="1">IFERROR(__xludf.DUMMYFUNCTION("""COMPUTED_VALUE"""),5)</f>
        <v>5</v>
      </c>
      <c r="AN466" s="4">
        <f ca="1">IFERROR(__xludf.DUMMYFUNCTION("""COMPUTED_VALUE"""),5)</f>
        <v>5</v>
      </c>
      <c r="AO466" s="4">
        <f ca="1">IFERROR(__xludf.DUMMYFUNCTION("""COMPUTED_VALUE"""),5)</f>
        <v>5</v>
      </c>
      <c r="AP466" s="4">
        <f ca="1">IFERROR(__xludf.DUMMYFUNCTION("""COMPUTED_VALUE"""),4)</f>
        <v>4</v>
      </c>
      <c r="AQ466" s="4">
        <f ca="1">IFERROR(__xludf.DUMMYFUNCTION("""COMPUTED_VALUE"""),4)</f>
        <v>4</v>
      </c>
      <c r="AR466" s="4">
        <f ca="1">IFERROR(__xludf.DUMMYFUNCTION("""COMPUTED_VALUE"""),4)</f>
        <v>4</v>
      </c>
      <c r="AS466" s="4">
        <f ca="1">IFERROR(__xludf.DUMMYFUNCTION("""COMPUTED_VALUE"""),4)</f>
        <v>4</v>
      </c>
      <c r="AT466" s="4">
        <f ca="1">IFERROR(__xludf.DUMMYFUNCTION("""COMPUTED_VALUE"""),3)</f>
        <v>3</v>
      </c>
      <c r="AU466" s="4">
        <f ca="1">IFERROR(__xludf.DUMMYFUNCTION("""COMPUTED_VALUE"""),4)</f>
        <v>4</v>
      </c>
      <c r="AV466" s="4">
        <f ca="1">IFERROR(__xludf.DUMMYFUNCTION("""COMPUTED_VALUE"""),4)</f>
        <v>4</v>
      </c>
      <c r="AW466" s="4">
        <f ca="1">IFERROR(__xludf.DUMMYFUNCTION("""COMPUTED_VALUE"""),5)</f>
        <v>5</v>
      </c>
      <c r="AX466" s="4">
        <f ca="1">IFERROR(__xludf.DUMMYFUNCTION("""COMPUTED_VALUE"""),5)</f>
        <v>5</v>
      </c>
      <c r="AY466" s="4">
        <f ca="1">IFERROR(__xludf.DUMMYFUNCTION("""COMPUTED_VALUE"""),4)</f>
        <v>4</v>
      </c>
      <c r="AZ466" s="4">
        <f ca="1">IFERROR(__xludf.DUMMYFUNCTION("""COMPUTED_VALUE"""),4)</f>
        <v>4</v>
      </c>
      <c r="BA466" s="4">
        <f ca="1">IFERROR(__xludf.DUMMYFUNCTION("""COMPUTED_VALUE"""),5)</f>
        <v>5</v>
      </c>
      <c r="BB466" s="4">
        <f ca="1">IFERROR(__xludf.DUMMYFUNCTION("""COMPUTED_VALUE"""),4)</f>
        <v>4</v>
      </c>
      <c r="BC466" s="4">
        <f ca="1">IFERROR(__xludf.DUMMYFUNCTION("""COMPUTED_VALUE"""),4)</f>
        <v>4</v>
      </c>
      <c r="BD466" s="4">
        <f ca="1">IFERROR(__xludf.DUMMYFUNCTION("""COMPUTED_VALUE"""),3)</f>
        <v>3</v>
      </c>
      <c r="BE466" s="4">
        <f ca="1">IFERROR(__xludf.DUMMYFUNCTION("""COMPUTED_VALUE"""),4)</f>
        <v>4</v>
      </c>
      <c r="BF466" s="4">
        <f ca="1">IFERROR(__xludf.DUMMYFUNCTION("""COMPUTED_VALUE"""),4)</f>
        <v>4</v>
      </c>
      <c r="BG466" s="4">
        <f ca="1">IFERROR(__xludf.DUMMYFUNCTION("""COMPUTED_VALUE"""),4)</f>
        <v>4</v>
      </c>
      <c r="BH466" s="4">
        <f ca="1">IFERROR(__xludf.DUMMYFUNCTION("""COMPUTED_VALUE"""),4)</f>
        <v>4</v>
      </c>
      <c r="BI466" s="4">
        <f ca="1">IFERROR(__xludf.DUMMYFUNCTION("""COMPUTED_VALUE"""),4)</f>
        <v>4</v>
      </c>
      <c r="BJ466" s="4">
        <f ca="1">IFERROR(__xludf.DUMMYFUNCTION("""COMPUTED_VALUE"""),4)</f>
        <v>4</v>
      </c>
      <c r="BK466" s="4">
        <f ca="1">IFERROR(__xludf.DUMMYFUNCTION("""COMPUTED_VALUE"""),5)</f>
        <v>5</v>
      </c>
      <c r="BL466" s="4">
        <f ca="1">IFERROR(__xludf.DUMMYFUNCTION("""COMPUTED_VALUE"""),4)</f>
        <v>4</v>
      </c>
      <c r="BM466" s="4">
        <f ca="1">IFERROR(__xludf.DUMMYFUNCTION("""COMPUTED_VALUE"""),4)</f>
        <v>4</v>
      </c>
      <c r="BN466" s="4">
        <f ca="1">IFERROR(__xludf.DUMMYFUNCTION("""COMPUTED_VALUE"""),4)</f>
        <v>4</v>
      </c>
      <c r="BO466" s="4">
        <f ca="1">IFERROR(__xludf.DUMMYFUNCTION("""COMPUTED_VALUE"""),4)</f>
        <v>4</v>
      </c>
      <c r="BP466" s="4">
        <f ca="1">IFERROR(__xludf.DUMMYFUNCTION("""COMPUTED_VALUE"""),4)</f>
        <v>4</v>
      </c>
    </row>
    <row r="467" spans="1:68" ht="13.2" x14ac:dyDescent="0.25">
      <c r="A467" s="4" t="str">
        <f ca="1">IFERROR(__xludf.DUMMYFUNCTION("""COMPUTED_VALUE"""),"2_ABaOnudh5f96jFAdQ9Kfq88Fawgxqf1sHt07jKBcEV0-oqeTWMBi60W6O_dmP03NhQ")</f>
        <v>2_ABaOnudh5f96jFAdQ9Kfq88Fawgxqf1sHt07jKBcEV0-oqeTWMBi60W6O_dmP03NhQ</v>
      </c>
      <c r="B467" s="5">
        <f ca="1">IFERROR(__xludf.DUMMYFUNCTION("""COMPUTED_VALUE"""),46010.4457810763)</f>
        <v>46010.445781076298</v>
      </c>
      <c r="C467" s="4" t="str">
        <f ca="1">IFERROR(__xludf.DUMMYFUNCTION("""COMPUTED_VALUE"""),"Ngô Quang Tới ")</f>
        <v xml:space="preserve">Ngô Quang Tới </v>
      </c>
      <c r="D467" s="4" t="str">
        <f ca="1">IFERROR(__xludf.DUMMYFUNCTION("""COMPUTED_VALUE"""),"Nam")</f>
        <v>Nam</v>
      </c>
      <c r="E467" s="4" t="str">
        <f ca="1">IFERROR(__xludf.DUMMYFUNCTION("""COMPUTED_VALUE"""),"Công ty TNHH Tư vấn A&amp;C")</f>
        <v>Công ty TNHH Tư vấn A&amp;C</v>
      </c>
      <c r="F467" s="4" t="str">
        <f ca="1">IFERROR(__xludf.DUMMYFUNCTION("""COMPUTED_VALUE"""),"Đại học")</f>
        <v>Đại học</v>
      </c>
      <c r="G467" s="4" t="str">
        <f ca="1">IFERROR(__xludf.DUMMYFUNCTION("""COMPUTED_VALUE"""),"Từ 3 đến 5 năm")</f>
        <v>Từ 3 đến 5 năm</v>
      </c>
      <c r="H467" s="4" t="str">
        <f ca="1">IFERROR(__xludf.DUMMYFUNCTION("""COMPUTED_VALUE"""),"Trợ lý kiểm toán")</f>
        <v>Trợ lý kiểm toán</v>
      </c>
      <c r="I467" s="4">
        <f ca="1">IFERROR(__xludf.DUMMYFUNCTION("""COMPUTED_VALUE"""),4)</f>
        <v>4</v>
      </c>
      <c r="J467" s="4">
        <f ca="1">IFERROR(__xludf.DUMMYFUNCTION("""COMPUTED_VALUE"""),4)</f>
        <v>4</v>
      </c>
      <c r="K467" s="4">
        <f ca="1">IFERROR(__xludf.DUMMYFUNCTION("""COMPUTED_VALUE"""),3)</f>
        <v>3</v>
      </c>
      <c r="L467" s="4">
        <f ca="1">IFERROR(__xludf.DUMMYFUNCTION("""COMPUTED_VALUE"""),3)</f>
        <v>3</v>
      </c>
      <c r="M467" s="4">
        <f ca="1">IFERROR(__xludf.DUMMYFUNCTION("""COMPUTED_VALUE"""),4)</f>
        <v>4</v>
      </c>
      <c r="N467" s="4">
        <f ca="1">IFERROR(__xludf.DUMMYFUNCTION("""COMPUTED_VALUE"""),4)</f>
        <v>4</v>
      </c>
      <c r="O467" s="4">
        <f ca="1">IFERROR(__xludf.DUMMYFUNCTION("""COMPUTED_VALUE"""),4)</f>
        <v>4</v>
      </c>
      <c r="P467" s="4">
        <f ca="1">IFERROR(__xludf.DUMMYFUNCTION("""COMPUTED_VALUE"""),4)</f>
        <v>4</v>
      </c>
      <c r="Q467" s="4">
        <f ca="1">IFERROR(__xludf.DUMMYFUNCTION("""COMPUTED_VALUE"""),4)</f>
        <v>4</v>
      </c>
      <c r="R467" s="4">
        <f ca="1">IFERROR(__xludf.DUMMYFUNCTION("""COMPUTED_VALUE"""),3)</f>
        <v>3</v>
      </c>
      <c r="S467" s="4">
        <f ca="1">IFERROR(__xludf.DUMMYFUNCTION("""COMPUTED_VALUE"""),5)</f>
        <v>5</v>
      </c>
      <c r="T467" s="4">
        <f ca="1">IFERROR(__xludf.DUMMYFUNCTION("""COMPUTED_VALUE"""),3)</f>
        <v>3</v>
      </c>
      <c r="U467" s="4">
        <f ca="1">IFERROR(__xludf.DUMMYFUNCTION("""COMPUTED_VALUE"""),5)</f>
        <v>5</v>
      </c>
      <c r="V467" s="4">
        <f ca="1">IFERROR(__xludf.DUMMYFUNCTION("""COMPUTED_VALUE"""),4)</f>
        <v>4</v>
      </c>
      <c r="W467" s="4">
        <f ca="1">IFERROR(__xludf.DUMMYFUNCTION("""COMPUTED_VALUE"""),5)</f>
        <v>5</v>
      </c>
      <c r="X467" s="4">
        <f ca="1">IFERROR(__xludf.DUMMYFUNCTION("""COMPUTED_VALUE"""),4)</f>
        <v>4</v>
      </c>
      <c r="Y467" s="4">
        <f ca="1">IFERROR(__xludf.DUMMYFUNCTION("""COMPUTED_VALUE"""),5)</f>
        <v>5</v>
      </c>
      <c r="Z467" s="4">
        <f ca="1">IFERROR(__xludf.DUMMYFUNCTION("""COMPUTED_VALUE"""),3)</f>
        <v>3</v>
      </c>
      <c r="AA467" s="4">
        <f ca="1">IFERROR(__xludf.DUMMYFUNCTION("""COMPUTED_VALUE"""),3)</f>
        <v>3</v>
      </c>
      <c r="AB467" s="4">
        <f ca="1">IFERROR(__xludf.DUMMYFUNCTION("""COMPUTED_VALUE"""),2)</f>
        <v>2</v>
      </c>
      <c r="AC467" s="4">
        <f ca="1">IFERROR(__xludf.DUMMYFUNCTION("""COMPUTED_VALUE"""),2)</f>
        <v>2</v>
      </c>
      <c r="AD467" s="4">
        <f ca="1">IFERROR(__xludf.DUMMYFUNCTION("""COMPUTED_VALUE"""),3)</f>
        <v>3</v>
      </c>
      <c r="AE467" s="4">
        <f ca="1">IFERROR(__xludf.DUMMYFUNCTION("""COMPUTED_VALUE"""),5)</f>
        <v>5</v>
      </c>
      <c r="AF467" s="4">
        <f ca="1">IFERROR(__xludf.DUMMYFUNCTION("""COMPUTED_VALUE"""),3)</f>
        <v>3</v>
      </c>
      <c r="AG467" s="4">
        <f ca="1">IFERROR(__xludf.DUMMYFUNCTION("""COMPUTED_VALUE"""),3)</f>
        <v>3</v>
      </c>
      <c r="AH467" s="4">
        <f ca="1">IFERROR(__xludf.DUMMYFUNCTION("""COMPUTED_VALUE"""),4)</f>
        <v>4</v>
      </c>
      <c r="AI467" s="4">
        <f ca="1">IFERROR(__xludf.DUMMYFUNCTION("""COMPUTED_VALUE"""),4)</f>
        <v>4</v>
      </c>
      <c r="AJ467" s="4">
        <f ca="1">IFERROR(__xludf.DUMMYFUNCTION("""COMPUTED_VALUE"""),5)</f>
        <v>5</v>
      </c>
      <c r="AK467" s="4">
        <f ca="1">IFERROR(__xludf.DUMMYFUNCTION("""COMPUTED_VALUE"""),4)</f>
        <v>4</v>
      </c>
      <c r="AL467" s="4">
        <f ca="1">IFERROR(__xludf.DUMMYFUNCTION("""COMPUTED_VALUE"""),3)</f>
        <v>3</v>
      </c>
      <c r="AM467" s="4">
        <f ca="1">IFERROR(__xludf.DUMMYFUNCTION("""COMPUTED_VALUE"""),4)</f>
        <v>4</v>
      </c>
      <c r="AN467" s="4">
        <f ca="1">IFERROR(__xludf.DUMMYFUNCTION("""COMPUTED_VALUE"""),5)</f>
        <v>5</v>
      </c>
      <c r="AO467" s="4">
        <f ca="1">IFERROR(__xludf.DUMMYFUNCTION("""COMPUTED_VALUE"""),5)</f>
        <v>5</v>
      </c>
      <c r="AP467" s="4">
        <f ca="1">IFERROR(__xludf.DUMMYFUNCTION("""COMPUTED_VALUE"""),3)</f>
        <v>3</v>
      </c>
      <c r="AQ467" s="4">
        <f ca="1">IFERROR(__xludf.DUMMYFUNCTION("""COMPUTED_VALUE"""),4)</f>
        <v>4</v>
      </c>
      <c r="AR467" s="4">
        <f ca="1">IFERROR(__xludf.DUMMYFUNCTION("""COMPUTED_VALUE"""),5)</f>
        <v>5</v>
      </c>
      <c r="AS467" s="4">
        <f ca="1">IFERROR(__xludf.DUMMYFUNCTION("""COMPUTED_VALUE"""),4)</f>
        <v>4</v>
      </c>
      <c r="AT467" s="4">
        <f ca="1">IFERROR(__xludf.DUMMYFUNCTION("""COMPUTED_VALUE"""),4)</f>
        <v>4</v>
      </c>
      <c r="AU467" s="4">
        <f ca="1">IFERROR(__xludf.DUMMYFUNCTION("""COMPUTED_VALUE"""),4)</f>
        <v>4</v>
      </c>
      <c r="AV467" s="4">
        <f ca="1">IFERROR(__xludf.DUMMYFUNCTION("""COMPUTED_VALUE"""),2)</f>
        <v>2</v>
      </c>
      <c r="AW467" s="4">
        <f ca="1">IFERROR(__xludf.DUMMYFUNCTION("""COMPUTED_VALUE"""),2)</f>
        <v>2</v>
      </c>
      <c r="AX467" s="4">
        <f ca="1">IFERROR(__xludf.DUMMYFUNCTION("""COMPUTED_VALUE"""),3)</f>
        <v>3</v>
      </c>
      <c r="AY467" s="4">
        <f ca="1">IFERROR(__xludf.DUMMYFUNCTION("""COMPUTED_VALUE"""),4)</f>
        <v>4</v>
      </c>
      <c r="AZ467" s="4">
        <f ca="1">IFERROR(__xludf.DUMMYFUNCTION("""COMPUTED_VALUE"""),5)</f>
        <v>5</v>
      </c>
      <c r="BA467" s="4">
        <f ca="1">IFERROR(__xludf.DUMMYFUNCTION("""COMPUTED_VALUE"""),4)</f>
        <v>4</v>
      </c>
      <c r="BB467" s="4">
        <f ca="1">IFERROR(__xludf.DUMMYFUNCTION("""COMPUTED_VALUE"""),4)</f>
        <v>4</v>
      </c>
      <c r="BC467" s="4">
        <f ca="1">IFERROR(__xludf.DUMMYFUNCTION("""COMPUTED_VALUE"""),4)</f>
        <v>4</v>
      </c>
      <c r="BD467" s="4">
        <f ca="1">IFERROR(__xludf.DUMMYFUNCTION("""COMPUTED_VALUE"""),3)</f>
        <v>3</v>
      </c>
      <c r="BE467" s="4">
        <f ca="1">IFERROR(__xludf.DUMMYFUNCTION("""COMPUTED_VALUE"""),2)</f>
        <v>2</v>
      </c>
      <c r="BF467" s="4">
        <f ca="1">IFERROR(__xludf.DUMMYFUNCTION("""COMPUTED_VALUE"""),5)</f>
        <v>5</v>
      </c>
      <c r="BG467" s="4">
        <f ca="1">IFERROR(__xludf.DUMMYFUNCTION("""COMPUTED_VALUE"""),4)</f>
        <v>4</v>
      </c>
      <c r="BH467" s="4">
        <f ca="1">IFERROR(__xludf.DUMMYFUNCTION("""COMPUTED_VALUE"""),4)</f>
        <v>4</v>
      </c>
      <c r="BI467" s="4">
        <f ca="1">IFERROR(__xludf.DUMMYFUNCTION("""COMPUTED_VALUE"""),3)</f>
        <v>3</v>
      </c>
      <c r="BJ467" s="4">
        <f ca="1">IFERROR(__xludf.DUMMYFUNCTION("""COMPUTED_VALUE"""),3)</f>
        <v>3</v>
      </c>
      <c r="BK467" s="4">
        <f ca="1">IFERROR(__xludf.DUMMYFUNCTION("""COMPUTED_VALUE"""),4)</f>
        <v>4</v>
      </c>
      <c r="BL467" s="4">
        <f ca="1">IFERROR(__xludf.DUMMYFUNCTION("""COMPUTED_VALUE"""),4)</f>
        <v>4</v>
      </c>
      <c r="BM467" s="4">
        <f ca="1">IFERROR(__xludf.DUMMYFUNCTION("""COMPUTED_VALUE"""),5)</f>
        <v>5</v>
      </c>
      <c r="BN467" s="4">
        <f ca="1">IFERROR(__xludf.DUMMYFUNCTION("""COMPUTED_VALUE"""),3)</f>
        <v>3</v>
      </c>
      <c r="BO467" s="4">
        <f ca="1">IFERROR(__xludf.DUMMYFUNCTION("""COMPUTED_VALUE"""),5)</f>
        <v>5</v>
      </c>
      <c r="BP467" s="4">
        <f ca="1">IFERROR(__xludf.DUMMYFUNCTION("""COMPUTED_VALUE"""),4)</f>
        <v>4</v>
      </c>
    </row>
    <row r="468" spans="1:68"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row>
    <row r="469" spans="1:68"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row>
    <row r="470" spans="1:68"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row>
    <row r="471" spans="1:68"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row>
    <row r="472" spans="1:68"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row>
    <row r="473" spans="1:68"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row>
    <row r="474" spans="1:68"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row>
    <row r="475" spans="1:68"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row>
    <row r="476" spans="1:68"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row>
    <row r="477" spans="1:68"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row>
    <row r="478" spans="1:68"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row>
    <row r="479" spans="1:68"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row>
    <row r="480" spans="1:68"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row>
    <row r="481" spans="1:68"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row>
    <row r="482" spans="1:68"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row>
    <row r="483" spans="1:68"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row>
    <row r="484" spans="1:68"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row>
    <row r="485" spans="1:68"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row>
    <row r="486" spans="1:68"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row>
    <row r="487" spans="1:68"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row>
    <row r="488" spans="1:68"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row>
    <row r="489" spans="1:68"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row>
    <row r="490" spans="1:68"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row>
    <row r="491" spans="1:68"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row>
    <row r="492" spans="1:68"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row>
    <row r="493" spans="1:68"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row>
    <row r="494" spans="1:68"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row>
    <row r="495" spans="1:68"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row>
    <row r="496" spans="1:68"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row>
    <row r="497" spans="1:68"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row>
    <row r="498" spans="1:68"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row>
    <row r="499" spans="1:68"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row>
    <row r="500" spans="1:68"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row>
    <row r="501" spans="1:68"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row>
    <row r="502" spans="1:68"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row>
    <row r="503" spans="1:68"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row>
    <row r="504" spans="1:68"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row>
    <row r="505" spans="1:68"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row>
    <row r="506" spans="1:68"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row>
    <row r="507" spans="1:68"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row>
    <row r="508" spans="1:68"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row>
    <row r="509" spans="1:68"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row>
    <row r="510" spans="1:68"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row>
    <row r="511" spans="1:68"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row>
    <row r="512" spans="1:68"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row>
    <row r="513" spans="1:68"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row>
    <row r="514" spans="1:68"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row>
    <row r="515" spans="1:68"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row>
    <row r="516" spans="1:68"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row>
    <row r="517" spans="1:68"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row>
    <row r="518" spans="1:68"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row>
    <row r="519" spans="1:68"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row>
    <row r="520" spans="1:68"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row>
    <row r="521" spans="1:68"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row>
    <row r="522" spans="1:68"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row>
    <row r="523" spans="1:68"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row>
    <row r="524" spans="1:68"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row>
    <row r="525" spans="1:68"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row>
    <row r="526" spans="1:68"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row>
    <row r="527" spans="1:68"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row>
    <row r="528" spans="1:68"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row>
    <row r="529" spans="1:68"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row>
    <row r="530" spans="1:68"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row>
    <row r="531" spans="1:68"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row>
    <row r="532" spans="1:68"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row>
    <row r="533" spans="1:68"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row>
    <row r="534" spans="1:68"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row>
    <row r="535" spans="1:68"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row>
    <row r="536" spans="1:68"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row>
    <row r="537" spans="1:68"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row>
    <row r="538" spans="1:68"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row>
    <row r="539" spans="1:68"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row>
    <row r="540" spans="1:68"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row>
    <row r="541" spans="1:68"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row>
    <row r="542" spans="1:68"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row>
    <row r="543" spans="1:68"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row>
    <row r="544" spans="1:68"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row>
    <row r="545" spans="1:68"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row>
    <row r="546" spans="1:68"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row>
    <row r="547" spans="1:68"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row>
    <row r="548" spans="1:68"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row>
    <row r="549" spans="1:68"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row>
    <row r="550" spans="1:68"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row>
    <row r="551" spans="1:68"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row>
    <row r="552" spans="1:68"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row>
    <row r="553" spans="1:68"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row>
    <row r="554" spans="1:68"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row>
    <row r="555" spans="1:68"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row>
    <row r="556" spans="1:68"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row>
    <row r="557" spans="1:68"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row>
    <row r="558" spans="1:68"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row>
    <row r="559" spans="1:68"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row>
    <row r="560" spans="1:68"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row>
    <row r="561" spans="1:68"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row>
    <row r="562" spans="1:68"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row>
    <row r="563" spans="1:68"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row>
    <row r="564" spans="1:68"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row>
    <row r="565" spans="1:68"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row>
    <row r="566" spans="1:68"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row>
    <row r="567" spans="1:68"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row>
    <row r="568" spans="1:68"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row>
    <row r="569" spans="1:68"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row>
    <row r="570" spans="1:68"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row>
    <row r="571" spans="1:68"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row>
    <row r="572" spans="1:68"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row>
    <row r="573" spans="1:68"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row>
    <row r="574" spans="1:68"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row>
    <row r="575" spans="1:68"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row>
    <row r="576" spans="1:68"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row>
    <row r="577" spans="1:68"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row>
    <row r="578" spans="1:68"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row>
    <row r="579" spans="1:68"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row>
    <row r="580" spans="1:68"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row>
    <row r="581" spans="1:68"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row>
    <row r="582" spans="1:68"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row>
    <row r="583" spans="1:68"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row>
    <row r="584" spans="1:68"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row>
    <row r="585" spans="1:68"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row>
    <row r="586" spans="1:68"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row>
    <row r="587" spans="1:68"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row>
    <row r="588" spans="1:68"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row>
    <row r="589" spans="1:68"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row>
    <row r="590" spans="1:68"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row>
    <row r="591" spans="1:68"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row>
    <row r="592" spans="1:68"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row>
    <row r="593" spans="1:68"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row>
    <row r="594" spans="1:68"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row>
    <row r="595" spans="1:68"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row>
    <row r="596" spans="1:68"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row>
    <row r="597" spans="1:68"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row>
    <row r="598" spans="1:68"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row>
    <row r="599" spans="1:68"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row>
    <row r="600" spans="1:68"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row>
    <row r="601" spans="1:68"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row>
    <row r="602" spans="1:68"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row>
    <row r="603" spans="1:68"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row>
    <row r="604" spans="1:68"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row>
    <row r="605" spans="1:68"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row>
    <row r="606" spans="1:68"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row>
    <row r="607" spans="1:68"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row>
    <row r="608" spans="1:68"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row>
    <row r="609" spans="1:68"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row>
    <row r="610" spans="1:68"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row>
    <row r="611" spans="1:68"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row>
    <row r="612" spans="1:68"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row>
    <row r="613" spans="1:68"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row>
    <row r="614" spans="1:68"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row>
    <row r="615" spans="1:68"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row>
    <row r="616" spans="1:68"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row>
    <row r="617" spans="1:68"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row>
    <row r="618" spans="1:68"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row>
    <row r="619" spans="1:68"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row>
    <row r="620" spans="1:68"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row>
    <row r="621" spans="1:68"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row>
    <row r="622" spans="1:68"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row>
    <row r="623" spans="1:68"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row>
    <row r="624" spans="1:68"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row>
    <row r="625" spans="1:68"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row>
    <row r="626" spans="1:68"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row>
    <row r="627" spans="1:68"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row>
    <row r="628" spans="1:68"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row>
    <row r="629" spans="1:68"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row>
    <row r="630" spans="1:68"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row>
    <row r="631" spans="1:68"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row>
    <row r="632" spans="1:68"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row>
    <row r="633" spans="1:68"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row>
    <row r="634" spans="1:68"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row>
    <row r="635" spans="1:68"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row>
    <row r="636" spans="1:68"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row>
    <row r="637" spans="1:68"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row>
    <row r="638" spans="1:68"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row>
    <row r="639" spans="1:68"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row>
    <row r="640" spans="1:68"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row>
    <row r="641" spans="1:68"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row>
    <row r="642" spans="1:68"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row>
    <row r="643" spans="1:68"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row>
    <row r="644" spans="1:68"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row>
    <row r="645" spans="1:68"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row>
    <row r="646" spans="1:68"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row>
    <row r="647" spans="1:68"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row>
    <row r="648" spans="1:68"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row>
    <row r="649" spans="1:68"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row>
    <row r="650" spans="1:68"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row>
    <row r="651" spans="1:68"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row>
    <row r="652" spans="1:68"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row>
    <row r="653" spans="1:68"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row>
    <row r="654" spans="1:68"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row>
    <row r="655" spans="1:68"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row>
    <row r="656" spans="1:68"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row>
    <row r="657" spans="1:68"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row>
    <row r="658" spans="1:68"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row>
    <row r="659" spans="1:68"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row>
    <row r="660" spans="1:68"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row>
    <row r="661" spans="1:68"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row>
    <row r="662" spans="1:68"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row>
    <row r="663" spans="1:68"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row>
    <row r="664" spans="1:68"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row>
    <row r="665" spans="1:68"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row>
    <row r="666" spans="1:68"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row>
    <row r="667" spans="1:68"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row>
    <row r="668" spans="1:68"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row>
    <row r="669" spans="1:68"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row>
    <row r="670" spans="1:68"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row>
    <row r="671" spans="1:68"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row>
    <row r="672" spans="1:68"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row>
    <row r="673" spans="1:68"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row>
    <row r="674" spans="1:68"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row>
    <row r="675" spans="1:68"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row>
    <row r="676" spans="1:68"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row>
    <row r="677" spans="1:68"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row>
    <row r="678" spans="1:68"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row>
    <row r="679" spans="1:68"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row>
    <row r="680" spans="1:68"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row>
    <row r="681" spans="1:68"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row>
    <row r="682" spans="1:68"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row>
    <row r="683" spans="1:68"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row>
    <row r="684" spans="1:68"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row>
    <row r="685" spans="1:68"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row>
    <row r="686" spans="1:68"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row>
    <row r="687" spans="1:68"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row>
    <row r="688" spans="1:68"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row>
    <row r="689" spans="1:68"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row>
    <row r="690" spans="1:68"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row>
    <row r="691" spans="1:68"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row>
    <row r="692" spans="1:68"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row>
    <row r="693" spans="1:68"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row>
    <row r="694" spans="1:68"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row>
    <row r="695" spans="1:68"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row>
    <row r="696" spans="1:68"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row>
    <row r="697" spans="1:68"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row>
    <row r="698" spans="1:68"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row>
    <row r="699" spans="1:68"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row>
    <row r="700" spans="1:68"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row>
    <row r="701" spans="1:68"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row>
    <row r="702" spans="1:68"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row>
    <row r="703" spans="1:68"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row>
    <row r="704" spans="1:68"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row>
    <row r="705" spans="1:68"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row>
    <row r="706" spans="1:68"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row>
    <row r="707" spans="1:68"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row>
    <row r="708" spans="1:68"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row>
    <row r="709" spans="1:68"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row>
    <row r="710" spans="1:68"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row>
    <row r="711" spans="1:68"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row>
    <row r="712" spans="1:68"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row>
    <row r="713" spans="1:68"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row>
    <row r="714" spans="1:68"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row>
    <row r="715" spans="1:68"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row>
    <row r="716" spans="1:68"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row>
    <row r="717" spans="1:68"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row>
    <row r="718" spans="1:68"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row>
    <row r="719" spans="1:68"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row>
    <row r="720" spans="1:68"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row>
    <row r="721" spans="1:68"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row>
    <row r="722" spans="1:68"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row>
    <row r="723" spans="1:68"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row>
    <row r="724" spans="1:68"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row>
    <row r="725" spans="1:68"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row>
    <row r="726" spans="1:68"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row>
    <row r="727" spans="1:68"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row>
    <row r="728" spans="1:68"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row>
    <row r="729" spans="1:68"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row>
    <row r="730" spans="1:68"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row>
    <row r="731" spans="1:68"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row>
    <row r="732" spans="1:68"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row>
    <row r="733" spans="1:68"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row>
    <row r="734" spans="1:68"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row>
    <row r="735" spans="1:68"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row>
    <row r="736" spans="1:68"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row>
    <row r="737" spans="1:68"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row>
    <row r="738" spans="1:68"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row>
    <row r="739" spans="1:68"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row>
    <row r="740" spans="1:68"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row>
    <row r="741" spans="1:68"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row>
    <row r="742" spans="1:68"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row>
    <row r="743" spans="1:68"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row>
    <row r="744" spans="1:68"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row>
    <row r="745" spans="1:68"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row>
    <row r="746" spans="1:68"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row>
    <row r="747" spans="1:68"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row>
    <row r="748" spans="1:68"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row>
    <row r="749" spans="1:68"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row>
    <row r="750" spans="1:68"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row>
    <row r="751" spans="1:68"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row>
    <row r="752" spans="1:68"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row>
    <row r="753" spans="1:68"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row>
    <row r="754" spans="1:68"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row>
    <row r="755" spans="1:68"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row>
    <row r="756" spans="1:68"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row>
    <row r="757" spans="1:68"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row>
    <row r="758" spans="1:68"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row>
    <row r="759" spans="1:68"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row>
    <row r="760" spans="1:68"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row>
    <row r="761" spans="1:68"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row>
    <row r="762" spans="1:68"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row>
    <row r="763" spans="1:68"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row>
    <row r="764" spans="1:68"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row>
    <row r="765" spans="1:68"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row>
    <row r="766" spans="1:68"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row>
    <row r="767" spans="1:68"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row>
    <row r="768" spans="1:68"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row>
    <row r="769" spans="1:68"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row>
    <row r="770" spans="1:68"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row>
    <row r="771" spans="1:68"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row>
    <row r="772" spans="1:68"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row>
    <row r="773" spans="1:68"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row>
    <row r="774" spans="1:68"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row>
    <row r="775" spans="1:68"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row>
    <row r="776" spans="1:68"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row>
    <row r="777" spans="1:68"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row>
    <row r="778" spans="1:68"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row>
    <row r="779" spans="1:68"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row>
    <row r="780" spans="1:68"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row>
    <row r="781" spans="1:68"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row>
    <row r="782" spans="1:68"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row>
    <row r="783" spans="1:68"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row>
    <row r="784" spans="1:68"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row>
    <row r="785" spans="1:68"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row>
    <row r="786" spans="1:68"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row>
    <row r="787" spans="1:68"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row>
    <row r="788" spans="1:68"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row>
    <row r="789" spans="1:68"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row>
    <row r="790" spans="1:68"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row>
    <row r="791" spans="1:68"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row>
    <row r="792" spans="1:68"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row>
    <row r="793" spans="1:68"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row>
    <row r="794" spans="1:68"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row>
    <row r="795" spans="1:68"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row>
    <row r="796" spans="1:68"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row>
    <row r="797" spans="1:68"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row>
    <row r="798" spans="1:68"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row>
    <row r="799" spans="1:68"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row>
    <row r="800" spans="1:68"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row>
    <row r="801" spans="1:68"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row>
    <row r="802" spans="1:68"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row>
    <row r="803" spans="1:68"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row>
    <row r="804" spans="1:68"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row>
    <row r="805" spans="1:68"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row>
    <row r="806" spans="1:68"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row>
    <row r="807" spans="1:68"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row>
    <row r="808" spans="1:68"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row>
    <row r="809" spans="1:68"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row>
    <row r="810" spans="1:68"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row>
    <row r="811" spans="1:68"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row>
    <row r="812" spans="1:68"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row>
    <row r="813" spans="1:68"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row>
    <row r="814" spans="1:68"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row>
    <row r="815" spans="1:68"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row>
    <row r="816" spans="1:68"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row>
    <row r="817" spans="1:68"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row>
    <row r="818" spans="1:68"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row>
    <row r="819" spans="1:68"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row>
    <row r="820" spans="1:68"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row>
    <row r="821" spans="1:68"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row>
    <row r="822" spans="1:68"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row>
    <row r="823" spans="1:68"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row>
    <row r="824" spans="1:68"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row>
    <row r="825" spans="1:68"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row>
    <row r="826" spans="1:68"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row>
    <row r="827" spans="1:68"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row>
    <row r="828" spans="1:68"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row>
    <row r="829" spans="1:68"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row>
    <row r="830" spans="1:68"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row>
    <row r="831" spans="1:68"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row>
    <row r="832" spans="1:68"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row>
    <row r="833" spans="1:68"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row>
    <row r="834" spans="1:68"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row>
    <row r="835" spans="1:68"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row>
    <row r="836" spans="1:68"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row>
    <row r="837" spans="1:68"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row>
    <row r="838" spans="1:68"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row>
    <row r="839" spans="1:68"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row>
    <row r="840" spans="1:68"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row>
    <row r="841" spans="1:68"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row>
    <row r="842" spans="1:68"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row>
    <row r="843" spans="1:68"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row>
    <row r="844" spans="1:68"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row>
    <row r="845" spans="1:68"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row>
    <row r="846" spans="1:68"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row>
    <row r="847" spans="1:68"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row>
    <row r="848" spans="1:68"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row>
    <row r="849" spans="1:68"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row>
    <row r="850" spans="1:68"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row>
    <row r="851" spans="1:68"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row>
    <row r="852" spans="1:68"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row>
    <row r="853" spans="1:68"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row>
    <row r="854" spans="1:68"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row>
    <row r="855" spans="1:68"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row>
    <row r="856" spans="1:68"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row>
    <row r="857" spans="1:68"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row>
    <row r="858" spans="1:68"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row>
    <row r="859" spans="1:68"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row>
    <row r="860" spans="1:68"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row>
    <row r="861" spans="1:68"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row>
    <row r="862" spans="1:68"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row>
    <row r="863" spans="1:68"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row>
    <row r="864" spans="1:68"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row>
    <row r="865" spans="1:68"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row>
    <row r="866" spans="1:68"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row>
    <row r="867" spans="1:68"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row>
    <row r="868" spans="1:68"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row>
    <row r="869" spans="1:68"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row>
    <row r="870" spans="1:68"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row>
    <row r="871" spans="1:68"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row>
    <row r="872" spans="1:68"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row>
    <row r="873" spans="1:68"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row>
    <row r="874" spans="1:68"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row>
    <row r="875" spans="1:68"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row>
    <row r="876" spans="1:68"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row>
    <row r="877" spans="1:68"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row>
    <row r="878" spans="1:68"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row>
    <row r="879" spans="1:68"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row>
    <row r="880" spans="1:68"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row>
    <row r="881" spans="1:68"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row>
    <row r="882" spans="1:68"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row>
    <row r="883" spans="1:68"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row>
    <row r="884" spans="1:68"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row>
    <row r="885" spans="1:68"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row>
    <row r="886" spans="1:68"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row>
    <row r="887" spans="1:68"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row>
    <row r="888" spans="1:68"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row>
    <row r="889" spans="1:68"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row>
    <row r="890" spans="1:68"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row>
    <row r="891" spans="1:68"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row>
    <row r="892" spans="1:68"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row>
    <row r="893" spans="1:68"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row>
    <row r="894" spans="1:68"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row>
    <row r="895" spans="1:68"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row>
    <row r="896" spans="1:68"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row>
    <row r="897" spans="1:68"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row>
    <row r="898" spans="1:68"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row>
    <row r="899" spans="1:68"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row>
    <row r="900" spans="1:68"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row>
    <row r="901" spans="1:68"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row>
    <row r="902" spans="1:68"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row>
    <row r="903" spans="1:68"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row>
    <row r="904" spans="1:68"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row>
    <row r="905" spans="1:68"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row>
    <row r="906" spans="1:68"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row>
    <row r="907" spans="1:68"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row>
    <row r="908" spans="1:68"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row>
    <row r="909" spans="1:68"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row>
    <row r="910" spans="1:68"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row>
    <row r="911" spans="1:68"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row>
    <row r="912" spans="1:68"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row>
    <row r="913" spans="1:68"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row>
    <row r="914" spans="1:68"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row>
    <row r="915" spans="1:68"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row>
    <row r="916" spans="1:68"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row>
    <row r="917" spans="1:68"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row>
    <row r="918" spans="1:68"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row>
    <row r="919" spans="1:68"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row>
    <row r="920" spans="1:68"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row>
    <row r="921" spans="1:68"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row>
    <row r="922" spans="1:68"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row>
    <row r="923" spans="1:68"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row>
    <row r="924" spans="1:68"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row>
    <row r="925" spans="1:68"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row>
    <row r="926" spans="1:68"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row>
    <row r="927" spans="1:68"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row>
    <row r="928" spans="1:68"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row>
    <row r="929" spans="1:68"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row>
    <row r="930" spans="1:68"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row>
    <row r="931" spans="1:68"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row>
    <row r="932" spans="1:68"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row>
    <row r="933" spans="1:68"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row>
    <row r="934" spans="1:68"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row>
    <row r="935" spans="1:68"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row>
    <row r="936" spans="1:68"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row>
    <row r="937" spans="1:68"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row>
    <row r="938" spans="1:68"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row>
    <row r="939" spans="1:68"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row>
    <row r="940" spans="1:68"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row>
    <row r="941" spans="1:68"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row>
    <row r="942" spans="1:68"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row>
    <row r="943" spans="1:68"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row>
    <row r="944" spans="1:68"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row>
    <row r="945" spans="1:68"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row>
    <row r="946" spans="1:68"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row>
    <row r="947" spans="1:68"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row>
    <row r="948" spans="1:68"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row>
    <row r="949" spans="1:68"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row>
    <row r="950" spans="1:68"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row>
    <row r="951" spans="1:68"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row>
    <row r="952" spans="1:68"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row>
    <row r="953" spans="1:68"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row>
    <row r="954" spans="1:68"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row>
    <row r="955" spans="1:68"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row>
    <row r="956" spans="1:68"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3"/>
  <sheetViews>
    <sheetView showGridLines="0" workbookViewId="0"/>
  </sheetViews>
  <sheetFormatPr defaultColWidth="12.6640625" defaultRowHeight="15.75" customHeight="1" x14ac:dyDescent="0.25"/>
  <cols>
    <col min="1" max="1" width="20.109375" customWidth="1"/>
  </cols>
  <sheetData>
    <row r="1" spans="1:2" ht="13.2" x14ac:dyDescent="0.25">
      <c r="A1" s="9" t="s">
        <v>1578</v>
      </c>
      <c r="B1" s="10" t="s">
        <v>1579</v>
      </c>
    </row>
    <row r="2" spans="1:2" ht="13.2" x14ac:dyDescent="0.25">
      <c r="A2" s="11" t="s">
        <v>1580</v>
      </c>
      <c r="B2" s="15">
        <v>2</v>
      </c>
    </row>
    <row r="3" spans="1:2" ht="13.2" x14ac:dyDescent="0.25">
      <c r="A3" s="12" t="s">
        <v>87</v>
      </c>
      <c r="B3" s="16">
        <v>194</v>
      </c>
    </row>
    <row r="4" spans="1:2" ht="13.2" x14ac:dyDescent="0.25">
      <c r="A4" s="12" t="s">
        <v>1581</v>
      </c>
      <c r="B4" s="16">
        <v>1</v>
      </c>
    </row>
    <row r="5" spans="1:2" ht="13.2" x14ac:dyDescent="0.25">
      <c r="A5" s="12" t="s">
        <v>1582</v>
      </c>
      <c r="B5" s="16">
        <v>1</v>
      </c>
    </row>
    <row r="6" spans="1:2" ht="13.2" x14ac:dyDescent="0.25">
      <c r="A6" s="12" t="s">
        <v>77</v>
      </c>
      <c r="B6" s="16">
        <v>411</v>
      </c>
    </row>
    <row r="7" spans="1:2" ht="13.2" x14ac:dyDescent="0.25">
      <c r="A7" s="12" t="s">
        <v>1583</v>
      </c>
      <c r="B7" s="16">
        <v>1</v>
      </c>
    </row>
    <row r="8" spans="1:2" ht="13.2" x14ac:dyDescent="0.25">
      <c r="A8" s="12" t="s">
        <v>1584</v>
      </c>
      <c r="B8" s="16">
        <v>1</v>
      </c>
    </row>
    <row r="9" spans="1:2" ht="13.2" x14ac:dyDescent="0.25">
      <c r="A9" s="12" t="s">
        <v>1585</v>
      </c>
      <c r="B9" s="16">
        <v>1</v>
      </c>
    </row>
    <row r="10" spans="1:2" ht="13.2" x14ac:dyDescent="0.25">
      <c r="A10" s="12" t="s">
        <v>1586</v>
      </c>
      <c r="B10" s="16">
        <v>1</v>
      </c>
    </row>
    <row r="11" spans="1:2" ht="13.2" x14ac:dyDescent="0.25">
      <c r="A11" s="12" t="s">
        <v>141</v>
      </c>
      <c r="B11" s="16">
        <v>69</v>
      </c>
    </row>
    <row r="12" spans="1:2" ht="13.2" x14ac:dyDescent="0.25">
      <c r="A12" s="12" t="s">
        <v>1625</v>
      </c>
      <c r="B12" s="16"/>
    </row>
    <row r="13" spans="1:2" ht="15.75" customHeight="1" x14ac:dyDescent="0.25">
      <c r="A13" s="13" t="s">
        <v>1587</v>
      </c>
      <c r="B13" s="17">
        <v>682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0"/>
  <sheetViews>
    <sheetView workbookViewId="0"/>
  </sheetViews>
  <sheetFormatPr defaultColWidth="12.6640625" defaultRowHeight="15.75" customHeight="1" x14ac:dyDescent="0.25"/>
  <cols>
    <col min="3" max="3" width="14.88671875" customWidth="1"/>
  </cols>
  <sheetData>
    <row r="1" spans="1:4" x14ac:dyDescent="0.25">
      <c r="A1" s="4" t="str">
        <f ca="1">IFERROR(__xludf.DUMMYFUNCTION("QUERY(Data!A1:F1000,""select A,F"",1)"),"Responder ID")</f>
        <v>Responder ID</v>
      </c>
      <c r="B1" s="4" t="str">
        <f ca="1">IFERROR(__xludf.DUMMYFUNCTION("""COMPUTED_VALUE"""),"Cert")</f>
        <v>Cert</v>
      </c>
      <c r="C1" s="4" t="s">
        <v>67</v>
      </c>
      <c r="D1" s="4" t="s">
        <v>1380</v>
      </c>
    </row>
    <row r="2" spans="1:4" x14ac:dyDescent="0.25">
      <c r="A2" s="4" t="str">
        <f ca="1">IFERROR(__xludf.DUMMYFUNCTION("""COMPUTED_VALUE"""),"2_ABaOnucyA0OfArirpwozcUbgBq7a2pCXGekPb74X2dZh1hSRz6_dRw-IaSVecI-U1Q")</f>
        <v>2_ABaOnucyA0OfArirpwozcUbgBq7a2pCXGekPb74X2dZh1hSRz6_dRw-IaSVecI-U1Q</v>
      </c>
      <c r="B2" s="4" t="str">
        <f ca="1">IFERROR(__xludf.DUMMYFUNCTION("""COMPUTED_VALUE"""),"Sau đại học, Chứng chỉ Kiểm toán viên")</f>
        <v>Sau đại học, Chứng chỉ Kiểm toán viên</v>
      </c>
      <c r="C2" s="4" t="str">
        <f ca="1">IFERROR(__xludf.DUMMYFUNCTION("ARRAYFORMULA(
  QUERY(
    SPLIT(
      FLATTEN(
        A2:A2000 &amp; CHAR(9) &amp;
        SPLIT(
          TRIM(REGEXREPLACE(B2:B2000, ""\s*,\s*|\s*;\s*|\s*–\s*|\s*—\s*|\s+-\s+"", CHAR(9))),
          CHAR(9), TRUE, TRUE
        )
      ),
      CHAR(9)
    )"&amp;",
    ""where Col2 is not null"",
    0
  )
)
"),"2_ABaOnucyA0OfArirpwozcUbgBq7a2pCXGekPb74X2dZh1hSRz6_dRw-IaSVecI-U1Q")</f>
        <v>2_ABaOnucyA0OfArirpwozcUbgBq7a2pCXGekPb74X2dZh1hSRz6_dRw-IaSVecI-U1Q</v>
      </c>
      <c r="D2" s="4" t="str">
        <f ca="1">IFERROR(__xludf.DUMMYFUNCTION("""COMPUTED_VALUE"""),"Sau đại học")</f>
        <v>Sau đại học</v>
      </c>
    </row>
    <row r="3" spans="1:4" x14ac:dyDescent="0.25">
      <c r="A3" s="4" t="str">
        <f ca="1">IFERROR(__xludf.DUMMYFUNCTION("""COMPUTED_VALUE"""),"2_ABaOnufn_N38SITZCrLWScnITcXthmzx-Y4ddsBdIC1ULBtgD1jeqnjEZfL6gnX0eQ")</f>
        <v>2_ABaOnufn_N38SITZCrLWScnITcXthmzx-Y4ddsBdIC1ULBtgD1jeqnjEZfL6gnX0eQ</v>
      </c>
      <c r="B3" s="4" t="str">
        <f ca="1">IFERROR(__xludf.DUMMYFUNCTION("""COMPUTED_VALUE"""),"Đại học")</f>
        <v>Đại học</v>
      </c>
      <c r="C3" s="4" t="str">
        <f ca="1">IFERROR(__xludf.DUMMYFUNCTION("""COMPUTED_VALUE"""),"2_ABaOnucyA0OfArirpwozcUbgBq7a2pCXGekPb74X2dZh1hSRz6_dRw-IaSVecI-U1Q")</f>
        <v>2_ABaOnucyA0OfArirpwozcUbgBq7a2pCXGekPb74X2dZh1hSRz6_dRw-IaSVecI-U1Q</v>
      </c>
      <c r="D3" s="4" t="str">
        <f ca="1">IFERROR(__xludf.DUMMYFUNCTION("""COMPUTED_VALUE"""),"Chứng chỉ Kiểm toán viên")</f>
        <v>Chứng chỉ Kiểm toán viên</v>
      </c>
    </row>
    <row r="4" spans="1:4" x14ac:dyDescent="0.25">
      <c r="A4" s="4" t="str">
        <f ca="1">IFERROR(__xludf.DUMMYFUNCTION("""COMPUTED_VALUE"""),"2_ABaOnuezf9brWEWKpeOpOwob8vUTak-hcbN7soiM220x67FnztNYbQTz9GB2ljXzlw")</f>
        <v>2_ABaOnuezf9brWEWKpeOpOwob8vUTak-hcbN7soiM220x67FnztNYbQTz9GB2ljXzlw</v>
      </c>
      <c r="B4" s="4" t="str">
        <f ca="1">IFERROR(__xludf.DUMMYFUNCTION("""COMPUTED_VALUE"""),"Đại học")</f>
        <v>Đại học</v>
      </c>
      <c r="C4" s="4" t="str">
        <f ca="1">IFERROR(__xludf.DUMMYFUNCTION("""COMPUTED_VALUE"""),"2_ABaOnufn_N38SITZCrLWScnITcXthmzx-Y4ddsBdIC1ULBtgD1jeqnjEZfL6gnX0eQ")</f>
        <v>2_ABaOnufn_N38SITZCrLWScnITcXthmzx-Y4ddsBdIC1ULBtgD1jeqnjEZfL6gnX0eQ</v>
      </c>
      <c r="D4" s="4" t="str">
        <f ca="1">IFERROR(__xludf.DUMMYFUNCTION("""COMPUTED_VALUE"""),"Đại học")</f>
        <v>Đại học</v>
      </c>
    </row>
    <row r="5" spans="1:4" x14ac:dyDescent="0.25">
      <c r="A5" s="4" t="str">
        <f ca="1">IFERROR(__xludf.DUMMYFUNCTION("""COMPUTED_VALUE"""),"2_ABaOnuei91-2GcOZTHhaoGWKhwZj_y-mPzugCYXIvb-PgRrNAHkUDWAdDjzIXXv_cg")</f>
        <v>2_ABaOnuei91-2GcOZTHhaoGWKhwZj_y-mPzugCYXIvb-PgRrNAHkUDWAdDjzIXXv_cg</v>
      </c>
      <c r="B5" s="4" t="str">
        <f ca="1">IFERROR(__xludf.DUMMYFUNCTION("""COMPUTED_VALUE"""),"Chứng chỉ Kiểm toán viên")</f>
        <v>Chứng chỉ Kiểm toán viên</v>
      </c>
      <c r="C5" s="4" t="str">
        <f ca="1">IFERROR(__xludf.DUMMYFUNCTION("""COMPUTED_VALUE"""),"2_ABaOnuezf9brWEWKpeOpOwob8vUTak-hcbN7soiM220x67FnztNYbQTz9GB2ljXzlw")</f>
        <v>2_ABaOnuezf9brWEWKpeOpOwob8vUTak-hcbN7soiM220x67FnztNYbQTz9GB2ljXzlw</v>
      </c>
      <c r="D5" s="4" t="str">
        <f ca="1">IFERROR(__xludf.DUMMYFUNCTION("""COMPUTED_VALUE"""),"Đại học")</f>
        <v>Đại học</v>
      </c>
    </row>
    <row r="6" spans="1:4" x14ac:dyDescent="0.25">
      <c r="A6" s="4" t="str">
        <f ca="1">IFERROR(__xludf.DUMMYFUNCTION("""COMPUTED_VALUE"""),"2_ABaOnucGK-jgVzLJQ9jtJxrX2D9DxT5CIalnRxlYdkIpqyQO2b7wFv4pY-yeazHvQg")</f>
        <v>2_ABaOnucGK-jgVzLJQ9jtJxrX2D9DxT5CIalnRxlYdkIpqyQO2b7wFv4pY-yeazHvQg</v>
      </c>
      <c r="B6" s="4" t="str">
        <f ca="1">IFERROR(__xludf.DUMMYFUNCTION("""COMPUTED_VALUE"""),"Sau đại học, Chứng chỉ Kiểm toán viên")</f>
        <v>Sau đại học, Chứng chỉ Kiểm toán viên</v>
      </c>
      <c r="C6" s="4" t="str">
        <f ca="1">IFERROR(__xludf.DUMMYFUNCTION("""COMPUTED_VALUE"""),"2_ABaOnuei91-2GcOZTHhaoGWKhwZj_y-mPzugCYXIvb-PgRrNAHkUDWAdDjzIXXv_cg")</f>
        <v>2_ABaOnuei91-2GcOZTHhaoGWKhwZj_y-mPzugCYXIvb-PgRrNAHkUDWAdDjzIXXv_cg</v>
      </c>
      <c r="D6" s="4" t="str">
        <f ca="1">IFERROR(__xludf.DUMMYFUNCTION("""COMPUTED_VALUE"""),"Chứng chỉ Kiểm toán viên")</f>
        <v>Chứng chỉ Kiểm toán viên</v>
      </c>
    </row>
    <row r="7" spans="1:4" x14ac:dyDescent="0.25">
      <c r="A7" s="4" t="str">
        <f ca="1">IFERROR(__xludf.DUMMYFUNCTION("""COMPUTED_VALUE"""),"2_ABaOnufTsD36kd5aEcPnkbYSlZmnQXV4XsPShZHzoWt5YlVoPeji_Q0Vh9c1NOZlyQ")</f>
        <v>2_ABaOnufTsD36kd5aEcPnkbYSlZmnQXV4XsPShZHzoWt5YlVoPeji_Q0Vh9c1NOZlyQ</v>
      </c>
      <c r="B7" s="4" t="str">
        <f ca="1">IFERROR(__xludf.DUMMYFUNCTION("""COMPUTED_VALUE"""),"Đại học")</f>
        <v>Đại học</v>
      </c>
      <c r="C7" s="4" t="str">
        <f ca="1">IFERROR(__xludf.DUMMYFUNCTION("""COMPUTED_VALUE"""),"2_ABaOnucGK-jgVzLJQ9jtJxrX2D9DxT5CIalnRxlYdkIpqyQO2b7wFv4pY-yeazHvQg")</f>
        <v>2_ABaOnucGK-jgVzLJQ9jtJxrX2D9DxT5CIalnRxlYdkIpqyQO2b7wFv4pY-yeazHvQg</v>
      </c>
      <c r="D7" s="4" t="str">
        <f ca="1">IFERROR(__xludf.DUMMYFUNCTION("""COMPUTED_VALUE"""),"Sau đại học")</f>
        <v>Sau đại học</v>
      </c>
    </row>
    <row r="8" spans="1:4" x14ac:dyDescent="0.25">
      <c r="A8" s="4" t="str">
        <f ca="1">IFERROR(__xludf.DUMMYFUNCTION("""COMPUTED_VALUE"""),"2_ABaOnucnhpF1D0gs7rgu_rtMnRVpUAV049-DyjtW65TSaEAQfoNB0VlpfLI_E_nmFw")</f>
        <v>2_ABaOnucnhpF1D0gs7rgu_rtMnRVpUAV049-DyjtW65TSaEAQfoNB0VlpfLI_E_nmFw</v>
      </c>
      <c r="B8" s="4" t="str">
        <f ca="1">IFERROR(__xludf.DUMMYFUNCTION("""COMPUTED_VALUE"""),"Đại học")</f>
        <v>Đại học</v>
      </c>
      <c r="C8" s="4" t="str">
        <f ca="1">IFERROR(__xludf.DUMMYFUNCTION("""COMPUTED_VALUE"""),"2_ABaOnucGK-jgVzLJQ9jtJxrX2D9DxT5CIalnRxlYdkIpqyQO2b7wFv4pY-yeazHvQg")</f>
        <v>2_ABaOnucGK-jgVzLJQ9jtJxrX2D9DxT5CIalnRxlYdkIpqyQO2b7wFv4pY-yeazHvQg</v>
      </c>
      <c r="D8" s="4" t="str">
        <f ca="1">IFERROR(__xludf.DUMMYFUNCTION("""COMPUTED_VALUE"""),"Chứng chỉ Kiểm toán viên")</f>
        <v>Chứng chỉ Kiểm toán viên</v>
      </c>
    </row>
    <row r="9" spans="1:4" x14ac:dyDescent="0.25">
      <c r="A9" s="4" t="str">
        <f ca="1">IFERROR(__xludf.DUMMYFUNCTION("""COMPUTED_VALUE"""),"2_ABaOnufaMcfhspG98R1ShQx10pKMmq_t4SnRxEO9U0HdGVObWv-qbsOEXB90mSbseQ")</f>
        <v>2_ABaOnufaMcfhspG98R1ShQx10pKMmq_t4SnRxEO9U0HdGVObWv-qbsOEXB90mSbseQ</v>
      </c>
      <c r="B9" s="4" t="str">
        <f ca="1">IFERROR(__xludf.DUMMYFUNCTION("""COMPUTED_VALUE"""),"Đại học")</f>
        <v>Đại học</v>
      </c>
      <c r="C9" s="4" t="str">
        <f ca="1">IFERROR(__xludf.DUMMYFUNCTION("""COMPUTED_VALUE"""),"2_ABaOnufTsD36kd5aEcPnkbYSlZmnQXV4XsPShZHzoWt5YlVoPeji_Q0Vh9c1NOZlyQ")</f>
        <v>2_ABaOnufTsD36kd5aEcPnkbYSlZmnQXV4XsPShZHzoWt5YlVoPeji_Q0Vh9c1NOZlyQ</v>
      </c>
      <c r="D9" s="4" t="str">
        <f ca="1">IFERROR(__xludf.DUMMYFUNCTION("""COMPUTED_VALUE"""),"Đại học")</f>
        <v>Đại học</v>
      </c>
    </row>
    <row r="10" spans="1:4" x14ac:dyDescent="0.25">
      <c r="A10" s="4" t="str">
        <f ca="1">IFERROR(__xludf.DUMMYFUNCTION("""COMPUTED_VALUE"""),"2_ABaOnufnGHzWy-WgRsr1bwfmKUfwiPkNEqFwHyFH5E2Fh4AAXCft77vRcldCtGbGgg")</f>
        <v>2_ABaOnufnGHzWy-WgRsr1bwfmKUfwiPkNEqFwHyFH5E2Fh4AAXCft77vRcldCtGbGgg</v>
      </c>
      <c r="B10" s="4" t="str">
        <f ca="1">IFERROR(__xludf.DUMMYFUNCTION("""COMPUTED_VALUE"""),"Đại học")</f>
        <v>Đại học</v>
      </c>
      <c r="C10" s="4" t="str">
        <f ca="1">IFERROR(__xludf.DUMMYFUNCTION("""COMPUTED_VALUE"""),"2_ABaOnucnhpF1D0gs7rgu_rtMnRVpUAV049-DyjtW65TSaEAQfoNB0VlpfLI_E_nmFw")</f>
        <v>2_ABaOnucnhpF1D0gs7rgu_rtMnRVpUAV049-DyjtW65TSaEAQfoNB0VlpfLI_E_nmFw</v>
      </c>
      <c r="D10" s="4" t="str">
        <f ca="1">IFERROR(__xludf.DUMMYFUNCTION("""COMPUTED_VALUE"""),"Đại học")</f>
        <v>Đại học</v>
      </c>
    </row>
    <row r="11" spans="1:4" x14ac:dyDescent="0.25">
      <c r="A11" s="4" t="str">
        <f ca="1">IFERROR(__xludf.DUMMYFUNCTION("""COMPUTED_VALUE"""),"2_ABaOnueuG_XkuyjUrCy9crcBgsdlA_zfSb8RofXEYkQPzgKtMh3XkXvaxJ36LaXRhQ")</f>
        <v>2_ABaOnueuG_XkuyjUrCy9crcBgsdlA_zfSb8RofXEYkQPzgKtMh3XkXvaxJ36LaXRhQ</v>
      </c>
      <c r="B11" s="4" t="str">
        <f ca="1">IFERROR(__xludf.DUMMYFUNCTION("""COMPUTED_VALUE"""),"Đại học")</f>
        <v>Đại học</v>
      </c>
      <c r="C11" s="4" t="str">
        <f ca="1">IFERROR(__xludf.DUMMYFUNCTION("""COMPUTED_VALUE"""),"2_ABaOnufaMcfhspG98R1ShQx10pKMmq_t4SnRxEO9U0HdGVObWv-qbsOEXB90mSbseQ")</f>
        <v>2_ABaOnufaMcfhspG98R1ShQx10pKMmq_t4SnRxEO9U0HdGVObWv-qbsOEXB90mSbseQ</v>
      </c>
      <c r="D11" s="4" t="str">
        <f ca="1">IFERROR(__xludf.DUMMYFUNCTION("""COMPUTED_VALUE"""),"Đại học")</f>
        <v>Đại học</v>
      </c>
    </row>
    <row r="12" spans="1:4" x14ac:dyDescent="0.25">
      <c r="A12" s="4" t="str">
        <f ca="1">IFERROR(__xludf.DUMMYFUNCTION("""COMPUTED_VALUE"""),"2_ABaOnud90VqlzXlN8NANERrsJNNLG6PN-iCD1EY1ycIGhmabAXVVxuVYCJ3IoB5xrQ")</f>
        <v>2_ABaOnud90VqlzXlN8NANERrsJNNLG6PN-iCD1EY1ycIGhmabAXVVxuVYCJ3IoB5xrQ</v>
      </c>
      <c r="B12" s="4" t="str">
        <f ca="1">IFERROR(__xludf.DUMMYFUNCTION("""COMPUTED_VALUE"""),"Đại học")</f>
        <v>Đại học</v>
      </c>
      <c r="C12" s="4" t="str">
        <f ca="1">IFERROR(__xludf.DUMMYFUNCTION("""COMPUTED_VALUE"""),"2_ABaOnufnGHzWy-WgRsr1bwfmKUfwiPkNEqFwHyFH5E2Fh4AAXCft77vRcldCtGbGgg")</f>
        <v>2_ABaOnufnGHzWy-WgRsr1bwfmKUfwiPkNEqFwHyFH5E2Fh4AAXCft77vRcldCtGbGgg</v>
      </c>
      <c r="D12" s="4" t="str">
        <f ca="1">IFERROR(__xludf.DUMMYFUNCTION("""COMPUTED_VALUE"""),"Đại học")</f>
        <v>Đại học</v>
      </c>
    </row>
    <row r="13" spans="1:4" x14ac:dyDescent="0.25">
      <c r="A13" s="4" t="str">
        <f ca="1">IFERROR(__xludf.DUMMYFUNCTION("""COMPUTED_VALUE"""),"2_ABaOnucXl57VKypm1DowSxvPh9ZI5SQ7A01mNmKCr_FjOQX1uRioEEA-X0g49y_pXA")</f>
        <v>2_ABaOnucXl57VKypm1DowSxvPh9ZI5SQ7A01mNmKCr_FjOQX1uRioEEA-X0g49y_pXA</v>
      </c>
      <c r="B13" s="4" t="str">
        <f ca="1">IFERROR(__xludf.DUMMYFUNCTION("""COMPUTED_VALUE"""),"Sau đại học, Chứng chỉ Kiểm toán viên")</f>
        <v>Sau đại học, Chứng chỉ Kiểm toán viên</v>
      </c>
      <c r="C13" s="4" t="str">
        <f ca="1">IFERROR(__xludf.DUMMYFUNCTION("""COMPUTED_VALUE"""),"2_ABaOnueuG_XkuyjUrCy9crcBgsdlA_zfSb8RofXEYkQPzgKtMh3XkXvaxJ36LaXRhQ")</f>
        <v>2_ABaOnueuG_XkuyjUrCy9crcBgsdlA_zfSb8RofXEYkQPzgKtMh3XkXvaxJ36LaXRhQ</v>
      </c>
      <c r="D13" s="4" t="str">
        <f ca="1">IFERROR(__xludf.DUMMYFUNCTION("""COMPUTED_VALUE"""),"Đại học")</f>
        <v>Đại học</v>
      </c>
    </row>
    <row r="14" spans="1:4" x14ac:dyDescent="0.25">
      <c r="A14" s="4" t="str">
        <f ca="1">IFERROR(__xludf.DUMMYFUNCTION("""COMPUTED_VALUE"""),"2_ABaOnudJJtmIx6_aqG2bf2g2R6KQHTP5c0Q6ytMCqhP92djMFqHi8S_8gvGGRLmy1A")</f>
        <v>2_ABaOnudJJtmIx6_aqG2bf2g2R6KQHTP5c0Q6ytMCqhP92djMFqHi8S_8gvGGRLmy1A</v>
      </c>
      <c r="B14" s="4" t="str">
        <f ca="1">IFERROR(__xludf.DUMMYFUNCTION("""COMPUTED_VALUE"""),"Đại học")</f>
        <v>Đại học</v>
      </c>
      <c r="C14" s="4" t="str">
        <f ca="1">IFERROR(__xludf.DUMMYFUNCTION("""COMPUTED_VALUE"""),"2_ABaOnud90VqlzXlN8NANERrsJNNLG6PN-iCD1EY1ycIGhmabAXVVxuVYCJ3IoB5xrQ")</f>
        <v>2_ABaOnud90VqlzXlN8NANERrsJNNLG6PN-iCD1EY1ycIGhmabAXVVxuVYCJ3IoB5xrQ</v>
      </c>
      <c r="D14" s="4" t="str">
        <f ca="1">IFERROR(__xludf.DUMMYFUNCTION("""COMPUTED_VALUE"""),"Đại học")</f>
        <v>Đại học</v>
      </c>
    </row>
    <row r="15" spans="1:4" x14ac:dyDescent="0.25">
      <c r="A15" s="4" t="str">
        <f ca="1">IFERROR(__xludf.DUMMYFUNCTION("""COMPUTED_VALUE"""),"2_ABaOnucwXvipOj1Glas4MnGOtOX4BB1cDoDvUa_kuGVUMUVxgZON1sJhWhDc_DIHuA")</f>
        <v>2_ABaOnucwXvipOj1Glas4MnGOtOX4BB1cDoDvUa_kuGVUMUVxgZON1sJhWhDc_DIHuA</v>
      </c>
      <c r="B15" s="4" t="str">
        <f ca="1">IFERROR(__xludf.DUMMYFUNCTION("""COMPUTED_VALUE"""),"Đại học")</f>
        <v>Đại học</v>
      </c>
      <c r="C15" s="4" t="str">
        <f ca="1">IFERROR(__xludf.DUMMYFUNCTION("""COMPUTED_VALUE"""),"2_ABaOnucXl57VKypm1DowSxvPh9ZI5SQ7A01mNmKCr_FjOQX1uRioEEA-X0g49y_pXA")</f>
        <v>2_ABaOnucXl57VKypm1DowSxvPh9ZI5SQ7A01mNmKCr_FjOQX1uRioEEA-X0g49y_pXA</v>
      </c>
      <c r="D15" s="4" t="str">
        <f ca="1">IFERROR(__xludf.DUMMYFUNCTION("""COMPUTED_VALUE"""),"Sau đại học")</f>
        <v>Sau đại học</v>
      </c>
    </row>
    <row r="16" spans="1:4" x14ac:dyDescent="0.25">
      <c r="A16" s="4" t="str">
        <f ca="1">IFERROR(__xludf.DUMMYFUNCTION("""COMPUTED_VALUE"""),"2_ABaOnuf8umykjX3xKyCdEvfO9mdjI3kFPlRIXL6oX_W6zvPuVplXB4f4wQYlOBKgXg")</f>
        <v>2_ABaOnuf8umykjX3xKyCdEvfO9mdjI3kFPlRIXL6oX_W6zvPuVplXB4f4wQYlOBKgXg</v>
      </c>
      <c r="B16" s="4" t="str">
        <f ca="1">IFERROR(__xludf.DUMMYFUNCTION("""COMPUTED_VALUE"""),"Đại học")</f>
        <v>Đại học</v>
      </c>
      <c r="C16" s="4" t="str">
        <f ca="1">IFERROR(__xludf.DUMMYFUNCTION("""COMPUTED_VALUE"""),"2_ABaOnucXl57VKypm1DowSxvPh9ZI5SQ7A01mNmKCr_FjOQX1uRioEEA-X0g49y_pXA")</f>
        <v>2_ABaOnucXl57VKypm1DowSxvPh9ZI5SQ7A01mNmKCr_FjOQX1uRioEEA-X0g49y_pXA</v>
      </c>
      <c r="D16" s="4" t="str">
        <f ca="1">IFERROR(__xludf.DUMMYFUNCTION("""COMPUTED_VALUE"""),"Chứng chỉ Kiểm toán viên")</f>
        <v>Chứng chỉ Kiểm toán viên</v>
      </c>
    </row>
    <row r="17" spans="1:4" x14ac:dyDescent="0.25">
      <c r="A17" s="4" t="str">
        <f ca="1">IFERROR(__xludf.DUMMYFUNCTION("""COMPUTED_VALUE"""),"2_ABaOnueTmIvQgiczgKIimUWGVsZXjQ_rmP4xYtdvyPeUuAmgho-sL5t96YeQtL0UhA")</f>
        <v>2_ABaOnueTmIvQgiczgKIimUWGVsZXjQ_rmP4xYtdvyPeUuAmgho-sL5t96YeQtL0UhA</v>
      </c>
      <c r="B17" s="4" t="str">
        <f ca="1">IFERROR(__xludf.DUMMYFUNCTION("""COMPUTED_VALUE"""),"Đại học, Chứng chỉ Kiểm toán viên")</f>
        <v>Đại học, Chứng chỉ Kiểm toán viên</v>
      </c>
      <c r="C17" s="4" t="str">
        <f ca="1">IFERROR(__xludf.DUMMYFUNCTION("""COMPUTED_VALUE"""),"2_ABaOnudJJtmIx6_aqG2bf2g2R6KQHTP5c0Q6ytMCqhP92djMFqHi8S_8gvGGRLmy1A")</f>
        <v>2_ABaOnudJJtmIx6_aqG2bf2g2R6KQHTP5c0Q6ytMCqhP92djMFqHi8S_8gvGGRLmy1A</v>
      </c>
      <c r="D17" s="4" t="str">
        <f ca="1">IFERROR(__xludf.DUMMYFUNCTION("""COMPUTED_VALUE"""),"Đại học")</f>
        <v>Đại học</v>
      </c>
    </row>
    <row r="18" spans="1:4" x14ac:dyDescent="0.25">
      <c r="A18" s="4" t="str">
        <f ca="1">IFERROR(__xludf.DUMMYFUNCTION("""COMPUTED_VALUE"""),"2_ABaOnue-W7z73JeXe-cl8xw4JtbJ_mEOZP3t4QhU2hdFfeLirWhum17UDIxe6a9dfQ")</f>
        <v>2_ABaOnue-W7z73JeXe-cl8xw4JtbJ_mEOZP3t4QhU2hdFfeLirWhum17UDIxe6a9dfQ</v>
      </c>
      <c r="B18" s="4" t="str">
        <f ca="1">IFERROR(__xludf.DUMMYFUNCTION("""COMPUTED_VALUE"""),"Đại học")</f>
        <v>Đại học</v>
      </c>
      <c r="C18" s="4" t="str">
        <f ca="1">IFERROR(__xludf.DUMMYFUNCTION("""COMPUTED_VALUE"""),"2_ABaOnucwXvipOj1Glas4MnGOtOX4BB1cDoDvUa_kuGVUMUVxgZON1sJhWhDc_DIHuA")</f>
        <v>2_ABaOnucwXvipOj1Glas4MnGOtOX4BB1cDoDvUa_kuGVUMUVxgZON1sJhWhDc_DIHuA</v>
      </c>
      <c r="D18" s="4" t="str">
        <f ca="1">IFERROR(__xludf.DUMMYFUNCTION("""COMPUTED_VALUE"""),"Đại học")</f>
        <v>Đại học</v>
      </c>
    </row>
    <row r="19" spans="1:4" x14ac:dyDescent="0.25">
      <c r="A19" s="4" t="str">
        <f ca="1">IFERROR(__xludf.DUMMYFUNCTION("""COMPUTED_VALUE"""),"2_ABaOnueudbFrT36reFmevD8yYmGeTIv_IfTX4oOFzjndbFn_A6EPKb00Ts0d2yJbvQ")</f>
        <v>2_ABaOnueudbFrT36reFmevD8yYmGeTIv_IfTX4oOFzjndbFn_A6EPKb00Ts0d2yJbvQ</v>
      </c>
      <c r="B19" s="4" t="str">
        <f ca="1">IFERROR(__xludf.DUMMYFUNCTION("""COMPUTED_VALUE"""),"Đại học")</f>
        <v>Đại học</v>
      </c>
      <c r="C19" s="4" t="str">
        <f ca="1">IFERROR(__xludf.DUMMYFUNCTION("""COMPUTED_VALUE"""),"2_ABaOnuf8umykjX3xKyCdEvfO9mdjI3kFPlRIXL6oX_W6zvPuVplXB4f4wQYlOBKgXg")</f>
        <v>2_ABaOnuf8umykjX3xKyCdEvfO9mdjI3kFPlRIXL6oX_W6zvPuVplXB4f4wQYlOBKgXg</v>
      </c>
      <c r="D19" s="4" t="str">
        <f ca="1">IFERROR(__xludf.DUMMYFUNCTION("""COMPUTED_VALUE"""),"Đại học")</f>
        <v>Đại học</v>
      </c>
    </row>
    <row r="20" spans="1:4" x14ac:dyDescent="0.25">
      <c r="A20" s="4" t="str">
        <f ca="1">IFERROR(__xludf.DUMMYFUNCTION("""COMPUTED_VALUE"""),"2_ABaOnuflwNU-EqHZ8BJhsXiGQ3tfyg9C8gUBN2crITwH_K4TYOBU6OO3evbuGPhlJg")</f>
        <v>2_ABaOnuflwNU-EqHZ8BJhsXiGQ3tfyg9C8gUBN2crITwH_K4TYOBU6OO3evbuGPhlJg</v>
      </c>
      <c r="B20" s="4" t="str">
        <f ca="1">IFERROR(__xludf.DUMMYFUNCTION("""COMPUTED_VALUE"""),"Chứng chỉ Kiểm toán viên")</f>
        <v>Chứng chỉ Kiểm toán viên</v>
      </c>
      <c r="C20" s="4" t="str">
        <f ca="1">IFERROR(__xludf.DUMMYFUNCTION("""COMPUTED_VALUE"""),"2_ABaOnueTmIvQgiczgKIimUWGVsZXjQ_rmP4xYtdvyPeUuAmgho-sL5t96YeQtL0UhA")</f>
        <v>2_ABaOnueTmIvQgiczgKIimUWGVsZXjQ_rmP4xYtdvyPeUuAmgho-sL5t96YeQtL0UhA</v>
      </c>
      <c r="D20" s="4" t="str">
        <f ca="1">IFERROR(__xludf.DUMMYFUNCTION("""COMPUTED_VALUE"""),"Đại học")</f>
        <v>Đại học</v>
      </c>
    </row>
    <row r="21" spans="1:4" x14ac:dyDescent="0.25">
      <c r="A21" s="4" t="str">
        <f ca="1">IFERROR(__xludf.DUMMYFUNCTION("""COMPUTED_VALUE"""),"2_ABaOnufEhDHb2ceq2XJ8ii8pdRgPgTTEpGYinfti4oxhhCQbBbKVOADaYPZPvFzvvQ")</f>
        <v>2_ABaOnufEhDHb2ceq2XJ8ii8pdRgPgTTEpGYinfti4oxhhCQbBbKVOADaYPZPvFzvvQ</v>
      </c>
      <c r="B21" s="4" t="str">
        <f ca="1">IFERROR(__xludf.DUMMYFUNCTION("""COMPUTED_VALUE"""),"Đại học")</f>
        <v>Đại học</v>
      </c>
      <c r="C21" s="4" t="str">
        <f ca="1">IFERROR(__xludf.DUMMYFUNCTION("""COMPUTED_VALUE"""),"2_ABaOnueTmIvQgiczgKIimUWGVsZXjQ_rmP4xYtdvyPeUuAmgho-sL5t96YeQtL0UhA")</f>
        <v>2_ABaOnueTmIvQgiczgKIimUWGVsZXjQ_rmP4xYtdvyPeUuAmgho-sL5t96YeQtL0UhA</v>
      </c>
      <c r="D21" s="4" t="str">
        <f ca="1">IFERROR(__xludf.DUMMYFUNCTION("""COMPUTED_VALUE"""),"Chứng chỉ Kiểm toán viên")</f>
        <v>Chứng chỉ Kiểm toán viên</v>
      </c>
    </row>
    <row r="22" spans="1:4" x14ac:dyDescent="0.25">
      <c r="A22" s="4" t="str">
        <f ca="1">IFERROR(__xludf.DUMMYFUNCTION("""COMPUTED_VALUE"""),"2_ABaOnudS7zXGIT8zwEQUNobK7FHC_CedHTkhZUMWD3TesoAdkcRj74nDfrLBour7Pw")</f>
        <v>2_ABaOnudS7zXGIT8zwEQUNobK7FHC_CedHTkhZUMWD3TesoAdkcRj74nDfrLBour7Pw</v>
      </c>
      <c r="B22" s="4" t="str">
        <f ca="1">IFERROR(__xludf.DUMMYFUNCTION("""COMPUTED_VALUE"""),"Đại học")</f>
        <v>Đại học</v>
      </c>
      <c r="C22" s="4" t="str">
        <f ca="1">IFERROR(__xludf.DUMMYFUNCTION("""COMPUTED_VALUE"""),"2_ABaOnue-W7z73JeXe-cl8xw4JtbJ_mEOZP3t4QhU2hdFfeLirWhum17UDIxe6a9dfQ")</f>
        <v>2_ABaOnue-W7z73JeXe-cl8xw4JtbJ_mEOZP3t4QhU2hdFfeLirWhum17UDIxe6a9dfQ</v>
      </c>
      <c r="D22" s="4" t="str">
        <f ca="1">IFERROR(__xludf.DUMMYFUNCTION("""COMPUTED_VALUE"""),"Đại học")</f>
        <v>Đại học</v>
      </c>
    </row>
    <row r="23" spans="1:4" x14ac:dyDescent="0.25">
      <c r="A23" s="4" t="str">
        <f ca="1">IFERROR(__xludf.DUMMYFUNCTION("""COMPUTED_VALUE"""),"2_ABaOnucbFrEY5SVX0suAsNypzBkQ0vNUKltfFnT7OZhJ9QR2q8lugF22mfEbkgsaQQ")</f>
        <v>2_ABaOnucbFrEY5SVX0suAsNypzBkQ0vNUKltfFnT7OZhJ9QR2q8lugF22mfEbkgsaQQ</v>
      </c>
      <c r="B23" s="4" t="str">
        <f ca="1">IFERROR(__xludf.DUMMYFUNCTION("""COMPUTED_VALUE"""),"Chứng chỉ Kiểm toán viên")</f>
        <v>Chứng chỉ Kiểm toán viên</v>
      </c>
      <c r="C23" s="4" t="str">
        <f ca="1">IFERROR(__xludf.DUMMYFUNCTION("""COMPUTED_VALUE"""),"2_ABaOnueudbFrT36reFmevD8yYmGeTIv_IfTX4oOFzjndbFn_A6EPKb00Ts0d2yJbvQ")</f>
        <v>2_ABaOnueudbFrT36reFmevD8yYmGeTIv_IfTX4oOFzjndbFn_A6EPKb00Ts0d2yJbvQ</v>
      </c>
      <c r="D23" s="4" t="str">
        <f ca="1">IFERROR(__xludf.DUMMYFUNCTION("""COMPUTED_VALUE"""),"Đại học")</f>
        <v>Đại học</v>
      </c>
    </row>
    <row r="24" spans="1:4" x14ac:dyDescent="0.25">
      <c r="A24" s="4" t="str">
        <f ca="1">IFERROR(__xludf.DUMMYFUNCTION("""COMPUTED_VALUE"""),"2_ABaOnudXyJQeH9669Q5fgWEJ5zoCxb1J7GHc7xCPWvGUHFIL00Dvmxeygmv65N6QXg")</f>
        <v>2_ABaOnudXyJQeH9669Q5fgWEJ5zoCxb1J7GHc7xCPWvGUHFIL00Dvmxeygmv65N6QXg</v>
      </c>
      <c r="B24" s="4" t="str">
        <f ca="1">IFERROR(__xludf.DUMMYFUNCTION("""COMPUTED_VALUE"""),"Đại học, Chứng chỉ Kiểm toán viên")</f>
        <v>Đại học, Chứng chỉ Kiểm toán viên</v>
      </c>
      <c r="C24" s="4" t="str">
        <f ca="1">IFERROR(__xludf.DUMMYFUNCTION("""COMPUTED_VALUE"""),"2_ABaOnuflwNU-EqHZ8BJhsXiGQ3tfyg9C8gUBN2crITwH_K4TYOBU6OO3evbuGPhlJg")</f>
        <v>2_ABaOnuflwNU-EqHZ8BJhsXiGQ3tfyg9C8gUBN2crITwH_K4TYOBU6OO3evbuGPhlJg</v>
      </c>
      <c r="D24" s="4" t="str">
        <f ca="1">IFERROR(__xludf.DUMMYFUNCTION("""COMPUTED_VALUE"""),"Chứng chỉ Kiểm toán viên")</f>
        <v>Chứng chỉ Kiểm toán viên</v>
      </c>
    </row>
    <row r="25" spans="1:4" x14ac:dyDescent="0.25">
      <c r="A25" s="4" t="str">
        <f ca="1">IFERROR(__xludf.DUMMYFUNCTION("""COMPUTED_VALUE"""),"2_ABaOnufBJySDSod0ZzuK-Td5iFiJdo-tV0USCtMbJJjl6hh53eWLru7aW5XNS1oxjg")</f>
        <v>2_ABaOnufBJySDSod0ZzuK-Td5iFiJdo-tV0USCtMbJJjl6hh53eWLru7aW5XNS1oxjg</v>
      </c>
      <c r="B25" s="4" t="str">
        <f ca="1">IFERROR(__xludf.DUMMYFUNCTION("""COMPUTED_VALUE"""),"Sau đại học")</f>
        <v>Sau đại học</v>
      </c>
      <c r="C25" s="4" t="str">
        <f ca="1">IFERROR(__xludf.DUMMYFUNCTION("""COMPUTED_VALUE"""),"2_ABaOnufEhDHb2ceq2XJ8ii8pdRgPgTTEpGYinfti4oxhhCQbBbKVOADaYPZPvFzvvQ")</f>
        <v>2_ABaOnufEhDHb2ceq2XJ8ii8pdRgPgTTEpGYinfti4oxhhCQbBbKVOADaYPZPvFzvvQ</v>
      </c>
      <c r="D25" s="4" t="str">
        <f ca="1">IFERROR(__xludf.DUMMYFUNCTION("""COMPUTED_VALUE"""),"Đại học")</f>
        <v>Đại học</v>
      </c>
    </row>
    <row r="26" spans="1:4" x14ac:dyDescent="0.25">
      <c r="A26" s="4" t="str">
        <f ca="1">IFERROR(__xludf.DUMMYFUNCTION("""COMPUTED_VALUE"""),"2_ABaOnudrOLv1zMWukse6gqnPCQ0MjWuW4RP9JcYjPPpqPTkglFC43ISmdVhyVU-fRQ")</f>
        <v>2_ABaOnudrOLv1zMWukse6gqnPCQ0MjWuW4RP9JcYjPPpqPTkglFC43ISmdVhyVU-fRQ</v>
      </c>
      <c r="B26" s="4" t="str">
        <f ca="1">IFERROR(__xludf.DUMMYFUNCTION("""COMPUTED_VALUE"""),"Sau đại học, Chứng chỉ Kiểm toán viên")</f>
        <v>Sau đại học, Chứng chỉ Kiểm toán viên</v>
      </c>
      <c r="C26" s="4" t="str">
        <f ca="1">IFERROR(__xludf.DUMMYFUNCTION("""COMPUTED_VALUE"""),"2_ABaOnudS7zXGIT8zwEQUNobK7FHC_CedHTkhZUMWD3TesoAdkcRj74nDfrLBour7Pw")</f>
        <v>2_ABaOnudS7zXGIT8zwEQUNobK7FHC_CedHTkhZUMWD3TesoAdkcRj74nDfrLBour7Pw</v>
      </c>
      <c r="D26" s="4" t="str">
        <f ca="1">IFERROR(__xludf.DUMMYFUNCTION("""COMPUTED_VALUE"""),"Đại học")</f>
        <v>Đại học</v>
      </c>
    </row>
    <row r="27" spans="1:4" x14ac:dyDescent="0.25">
      <c r="A27" s="4" t="str">
        <f ca="1">IFERROR(__xludf.DUMMYFUNCTION("""COMPUTED_VALUE"""),"2_ABaOnufUsI6rl_9AzOMVJGGmEW_Dvx0DW6kDWlM10D7SQiUtx0YR9flLTP9WSFkmMA")</f>
        <v>2_ABaOnufUsI6rl_9AzOMVJGGmEW_Dvx0DW6kDWlM10D7SQiUtx0YR9flLTP9WSFkmMA</v>
      </c>
      <c r="B27" s="4" t="str">
        <f ca="1">IFERROR(__xludf.DUMMYFUNCTION("""COMPUTED_VALUE"""),"Sau đại học")</f>
        <v>Sau đại học</v>
      </c>
      <c r="C27" s="4" t="str">
        <f ca="1">IFERROR(__xludf.DUMMYFUNCTION("""COMPUTED_VALUE"""),"2_ABaOnucbFrEY5SVX0suAsNypzBkQ0vNUKltfFnT7OZhJ9QR2q8lugF22mfEbkgsaQQ")</f>
        <v>2_ABaOnucbFrEY5SVX0suAsNypzBkQ0vNUKltfFnT7OZhJ9QR2q8lugF22mfEbkgsaQQ</v>
      </c>
      <c r="D27" s="4" t="str">
        <f ca="1">IFERROR(__xludf.DUMMYFUNCTION("""COMPUTED_VALUE"""),"Chứng chỉ Kiểm toán viên")</f>
        <v>Chứng chỉ Kiểm toán viên</v>
      </c>
    </row>
    <row r="28" spans="1:4" x14ac:dyDescent="0.25">
      <c r="A28" s="4" t="str">
        <f ca="1">IFERROR(__xludf.DUMMYFUNCTION("""COMPUTED_VALUE"""),"2_ABaOnufDWZbeYqUhTqfMpV6burq0NC_TFYG1TgTt-DanLFogPsZQ97s5mSWuscZRdA")</f>
        <v>2_ABaOnufDWZbeYqUhTqfMpV6burq0NC_TFYG1TgTt-DanLFogPsZQ97s5mSWuscZRdA</v>
      </c>
      <c r="B28" s="4" t="str">
        <f ca="1">IFERROR(__xludf.DUMMYFUNCTION("""COMPUTED_VALUE"""),"Đại học, Chứng chỉ Kiểm toán viên")</f>
        <v>Đại học, Chứng chỉ Kiểm toán viên</v>
      </c>
      <c r="C28" s="4" t="str">
        <f ca="1">IFERROR(__xludf.DUMMYFUNCTION("""COMPUTED_VALUE"""),"2_ABaOnudXyJQeH9669Q5fgWEJ5zoCxb1J7GHc7xCPWvGUHFIL00Dvmxeygmv65N6QXg")</f>
        <v>2_ABaOnudXyJQeH9669Q5fgWEJ5zoCxb1J7GHc7xCPWvGUHFIL00Dvmxeygmv65N6QXg</v>
      </c>
      <c r="D28" s="4" t="str">
        <f ca="1">IFERROR(__xludf.DUMMYFUNCTION("""COMPUTED_VALUE"""),"Đại học")</f>
        <v>Đại học</v>
      </c>
    </row>
    <row r="29" spans="1:4" x14ac:dyDescent="0.25">
      <c r="A29" s="4" t="str">
        <f ca="1">IFERROR(__xludf.DUMMYFUNCTION("""COMPUTED_VALUE"""),"2_ABaOnud_4trULQTJ8HjOMUhbKZiqOb2QAZqz4J6h4teCbY2hMR2nGElNsRVeVQY2QQ")</f>
        <v>2_ABaOnud_4trULQTJ8HjOMUhbKZiqOb2QAZqz4J6h4teCbY2hMR2nGElNsRVeVQY2QQ</v>
      </c>
      <c r="B29" s="4" t="str">
        <f ca="1">IFERROR(__xludf.DUMMYFUNCTION("""COMPUTED_VALUE"""),"Chứng chỉ Kiểm toán viên")</f>
        <v>Chứng chỉ Kiểm toán viên</v>
      </c>
      <c r="C29" s="4" t="str">
        <f ca="1">IFERROR(__xludf.DUMMYFUNCTION("""COMPUTED_VALUE"""),"2_ABaOnudXyJQeH9669Q5fgWEJ5zoCxb1J7GHc7xCPWvGUHFIL00Dvmxeygmv65N6QXg")</f>
        <v>2_ABaOnudXyJQeH9669Q5fgWEJ5zoCxb1J7GHc7xCPWvGUHFIL00Dvmxeygmv65N6QXg</v>
      </c>
      <c r="D29" s="4" t="str">
        <f ca="1">IFERROR(__xludf.DUMMYFUNCTION("""COMPUTED_VALUE"""),"Chứng chỉ Kiểm toán viên")</f>
        <v>Chứng chỉ Kiểm toán viên</v>
      </c>
    </row>
    <row r="30" spans="1:4" x14ac:dyDescent="0.25">
      <c r="A30" s="4" t="str">
        <f ca="1">IFERROR(__xludf.DUMMYFUNCTION("""COMPUTED_VALUE"""),"2_ABaOnucLy0-NZMTB0BgSbySRDhLcAOu0a4ujjz-pp8yeJ05qpKWqJyocpJVyrpaPEA")</f>
        <v>2_ABaOnucLy0-NZMTB0BgSbySRDhLcAOu0a4ujjz-pp8yeJ05qpKWqJyocpJVyrpaPEA</v>
      </c>
      <c r="B30" s="4" t="str">
        <f ca="1">IFERROR(__xludf.DUMMYFUNCTION("""COMPUTED_VALUE"""),"Đại học, Chứng chỉ Kiểm toán viên")</f>
        <v>Đại học, Chứng chỉ Kiểm toán viên</v>
      </c>
      <c r="C30" s="4" t="str">
        <f ca="1">IFERROR(__xludf.DUMMYFUNCTION("""COMPUTED_VALUE"""),"2_ABaOnufBJySDSod0ZzuK-Td5iFiJdo-tV0USCtMbJJjl6hh53eWLru7aW5XNS1oxjg")</f>
        <v>2_ABaOnufBJySDSod0ZzuK-Td5iFiJdo-tV0USCtMbJJjl6hh53eWLru7aW5XNS1oxjg</v>
      </c>
      <c r="D30" s="4" t="str">
        <f ca="1">IFERROR(__xludf.DUMMYFUNCTION("""COMPUTED_VALUE"""),"Sau đại học")</f>
        <v>Sau đại học</v>
      </c>
    </row>
    <row r="31" spans="1:4" x14ac:dyDescent="0.25">
      <c r="A31" s="4" t="str">
        <f ca="1">IFERROR(__xludf.DUMMYFUNCTION("""COMPUTED_VALUE"""),"2_ABaOnueSQLuJRKuJ8Pi9Cc2PTYT5EtBb9kBPFfoCE17oh0uAI2cDfWStr5fKeKcxZA")</f>
        <v>2_ABaOnueSQLuJRKuJ8Pi9Cc2PTYT5EtBb9kBPFfoCE17oh0uAI2cDfWStr5fKeKcxZA</v>
      </c>
      <c r="B31" s="4" t="str">
        <f ca="1">IFERROR(__xludf.DUMMYFUNCTION("""COMPUTED_VALUE"""),"Đại học, Chứng chỉ Kiểm toán viên")</f>
        <v>Đại học, Chứng chỉ Kiểm toán viên</v>
      </c>
      <c r="C31" s="4" t="str">
        <f ca="1">IFERROR(__xludf.DUMMYFUNCTION("""COMPUTED_VALUE"""),"2_ABaOnudrOLv1zMWukse6gqnPCQ0MjWuW4RP9JcYjPPpqPTkglFC43ISmdVhyVU-fRQ")</f>
        <v>2_ABaOnudrOLv1zMWukse6gqnPCQ0MjWuW4RP9JcYjPPpqPTkglFC43ISmdVhyVU-fRQ</v>
      </c>
      <c r="D31" s="4" t="str">
        <f ca="1">IFERROR(__xludf.DUMMYFUNCTION("""COMPUTED_VALUE"""),"Sau đại học")</f>
        <v>Sau đại học</v>
      </c>
    </row>
    <row r="32" spans="1:4" x14ac:dyDescent="0.25">
      <c r="A32" s="4" t="str">
        <f ca="1">IFERROR(__xludf.DUMMYFUNCTION("""COMPUTED_VALUE"""),"2_ABaOnucGkoBO21qQJcvsPQLIPPWTbxTD34u2KE6VhbN0brrxx_cNtxZ5FBRU5g7mSQ")</f>
        <v>2_ABaOnucGkoBO21qQJcvsPQLIPPWTbxTD34u2KE6VhbN0brrxx_cNtxZ5FBRU5g7mSQ</v>
      </c>
      <c r="B32" s="4" t="str">
        <f ca="1">IFERROR(__xludf.DUMMYFUNCTION("""COMPUTED_VALUE"""),"Đại học")</f>
        <v>Đại học</v>
      </c>
      <c r="C32" s="4" t="str">
        <f ca="1">IFERROR(__xludf.DUMMYFUNCTION("""COMPUTED_VALUE"""),"2_ABaOnudrOLv1zMWukse6gqnPCQ0MjWuW4RP9JcYjPPpqPTkglFC43ISmdVhyVU-fRQ")</f>
        <v>2_ABaOnudrOLv1zMWukse6gqnPCQ0MjWuW4RP9JcYjPPpqPTkglFC43ISmdVhyVU-fRQ</v>
      </c>
      <c r="D32" s="4" t="str">
        <f ca="1">IFERROR(__xludf.DUMMYFUNCTION("""COMPUTED_VALUE"""),"Chứng chỉ Kiểm toán viên")</f>
        <v>Chứng chỉ Kiểm toán viên</v>
      </c>
    </row>
    <row r="33" spans="1:4" x14ac:dyDescent="0.25">
      <c r="A33" s="4" t="str">
        <f ca="1">IFERROR(__xludf.DUMMYFUNCTION("""COMPUTED_VALUE"""),"2_ABaOnucZn0HGwSx6YxsNg52U2Idvhdaj_pYwqDXk5PZqZmBAWxC_r9x0FxFc7IwYxg")</f>
        <v>2_ABaOnucZn0HGwSx6YxsNg52U2Idvhdaj_pYwqDXk5PZqZmBAWxC_r9x0FxFc7IwYxg</v>
      </c>
      <c r="B33" s="4" t="str">
        <f ca="1">IFERROR(__xludf.DUMMYFUNCTION("""COMPUTED_VALUE"""),"Đại học, Chứng chỉ Kiểm toán viên, CPA Aus")</f>
        <v>Đại học, Chứng chỉ Kiểm toán viên, CPA Aus</v>
      </c>
      <c r="C33" s="4" t="str">
        <f ca="1">IFERROR(__xludf.DUMMYFUNCTION("""COMPUTED_VALUE"""),"2_ABaOnufUsI6rl_9AzOMVJGGmEW_Dvx0DW6kDWlM10D7SQiUtx0YR9flLTP9WSFkmMA")</f>
        <v>2_ABaOnufUsI6rl_9AzOMVJGGmEW_Dvx0DW6kDWlM10D7SQiUtx0YR9flLTP9WSFkmMA</v>
      </c>
      <c r="D33" s="4" t="str">
        <f ca="1">IFERROR(__xludf.DUMMYFUNCTION("""COMPUTED_VALUE"""),"Sau đại học")</f>
        <v>Sau đại học</v>
      </c>
    </row>
    <row r="34" spans="1:4" x14ac:dyDescent="0.25">
      <c r="A34" s="4" t="str">
        <f ca="1">IFERROR(__xludf.DUMMYFUNCTION("""COMPUTED_VALUE"""),"2_ABaOnufcsC9cS6xjacnjORilw7rk8LUU76NPUz9rDM60DVH9_qowgFC-ILrOdEDCPA")</f>
        <v>2_ABaOnufcsC9cS6xjacnjORilw7rk8LUU76NPUz9rDM60DVH9_qowgFC-ILrOdEDCPA</v>
      </c>
      <c r="B34" s="4" t="str">
        <f ca="1">IFERROR(__xludf.DUMMYFUNCTION("""COMPUTED_VALUE"""),"Đại học, Chứng chỉ Kiểm toán viên")</f>
        <v>Đại học, Chứng chỉ Kiểm toán viên</v>
      </c>
      <c r="C34" s="4" t="str">
        <f ca="1">IFERROR(__xludf.DUMMYFUNCTION("""COMPUTED_VALUE"""),"2_ABaOnufDWZbeYqUhTqfMpV6burq0NC_TFYG1TgTt-DanLFogPsZQ97s5mSWuscZRdA")</f>
        <v>2_ABaOnufDWZbeYqUhTqfMpV6burq0NC_TFYG1TgTt-DanLFogPsZQ97s5mSWuscZRdA</v>
      </c>
      <c r="D34" s="4" t="str">
        <f ca="1">IFERROR(__xludf.DUMMYFUNCTION("""COMPUTED_VALUE"""),"Đại học")</f>
        <v>Đại học</v>
      </c>
    </row>
    <row r="35" spans="1:4" x14ac:dyDescent="0.25">
      <c r="A35" s="4" t="str">
        <f ca="1">IFERROR(__xludf.DUMMYFUNCTION("""COMPUTED_VALUE"""),"2_ABaOnuelv1IKa9c8ysPvZxZeMm_tVJ3qtl7z9iYRG8_vobvsFL6DIjipofvfW9UdNg")</f>
        <v>2_ABaOnuelv1IKa9c8ysPvZxZeMm_tVJ3qtl7z9iYRG8_vobvsFL6DIjipofvfW9UdNg</v>
      </c>
      <c r="B35" s="4" t="str">
        <f ca="1">IFERROR(__xludf.DUMMYFUNCTION("""COMPUTED_VALUE"""),"Đại học")</f>
        <v>Đại học</v>
      </c>
      <c r="C35" s="4" t="str">
        <f ca="1">IFERROR(__xludf.DUMMYFUNCTION("""COMPUTED_VALUE"""),"2_ABaOnufDWZbeYqUhTqfMpV6burq0NC_TFYG1TgTt-DanLFogPsZQ97s5mSWuscZRdA")</f>
        <v>2_ABaOnufDWZbeYqUhTqfMpV6burq0NC_TFYG1TgTt-DanLFogPsZQ97s5mSWuscZRdA</v>
      </c>
      <c r="D35" s="4" t="str">
        <f ca="1">IFERROR(__xludf.DUMMYFUNCTION("""COMPUTED_VALUE"""),"Chứng chỉ Kiểm toán viên")</f>
        <v>Chứng chỉ Kiểm toán viên</v>
      </c>
    </row>
    <row r="36" spans="1:4" x14ac:dyDescent="0.25">
      <c r="A36" s="4" t="str">
        <f ca="1">IFERROR(__xludf.DUMMYFUNCTION("""COMPUTED_VALUE"""),"2_ABaOnudmicRj8ewv935db0WMYcKRjjbwNzRjSaGgn_yyMB5jONAdSaOU8qrzF1IUvg")</f>
        <v>2_ABaOnudmicRj8ewv935db0WMYcKRjjbwNzRjSaGgn_yyMB5jONAdSaOU8qrzF1IUvg</v>
      </c>
      <c r="B36" s="4" t="str">
        <f ca="1">IFERROR(__xludf.DUMMYFUNCTION("""COMPUTED_VALUE"""),"Sau đại học, Chứng chỉ Kiểm toán viên")</f>
        <v>Sau đại học, Chứng chỉ Kiểm toán viên</v>
      </c>
      <c r="C36" s="4" t="str">
        <f ca="1">IFERROR(__xludf.DUMMYFUNCTION("""COMPUTED_VALUE"""),"2_ABaOnud_4trULQTJ8HjOMUhbKZiqOb2QAZqz4J6h4teCbY2hMR2nGElNsRVeVQY2QQ")</f>
        <v>2_ABaOnud_4trULQTJ8HjOMUhbKZiqOb2QAZqz4J6h4teCbY2hMR2nGElNsRVeVQY2QQ</v>
      </c>
      <c r="D36" s="4" t="str">
        <f ca="1">IFERROR(__xludf.DUMMYFUNCTION("""COMPUTED_VALUE"""),"Chứng chỉ Kiểm toán viên")</f>
        <v>Chứng chỉ Kiểm toán viên</v>
      </c>
    </row>
    <row r="37" spans="1:4" x14ac:dyDescent="0.25">
      <c r="A37" s="4" t="str">
        <f ca="1">IFERROR(__xludf.DUMMYFUNCTION("""COMPUTED_VALUE"""),"2_ABaOnueJpppp5UdcCC-xjz3wZmhoDY0y2W0CrIzeWCyMBwzxr_919Gky_VJwM6UZKw")</f>
        <v>2_ABaOnueJpppp5UdcCC-xjz3wZmhoDY0y2W0CrIzeWCyMBwzxr_919Gky_VJwM6UZKw</v>
      </c>
      <c r="B37" s="4" t="str">
        <f ca="1">IFERROR(__xludf.DUMMYFUNCTION("""COMPUTED_VALUE"""),"Đại học")</f>
        <v>Đại học</v>
      </c>
      <c r="C37" s="4" t="str">
        <f ca="1">IFERROR(__xludf.DUMMYFUNCTION("""COMPUTED_VALUE"""),"2_ABaOnucLy0-NZMTB0BgSbySRDhLcAOu0a4ujjz-pp8yeJ05qpKWqJyocpJVyrpaPEA")</f>
        <v>2_ABaOnucLy0-NZMTB0BgSbySRDhLcAOu0a4ujjz-pp8yeJ05qpKWqJyocpJVyrpaPEA</v>
      </c>
      <c r="D37" s="4" t="str">
        <f ca="1">IFERROR(__xludf.DUMMYFUNCTION("""COMPUTED_VALUE"""),"Đại học")</f>
        <v>Đại học</v>
      </c>
    </row>
    <row r="38" spans="1:4" x14ac:dyDescent="0.25">
      <c r="A38" s="4" t="str">
        <f ca="1">IFERROR(__xludf.DUMMYFUNCTION("""COMPUTED_VALUE"""),"2_ABaOnufzAfUHRIhZ940Sajos-Liaibs3pZ_22BoUevP2074aQsl2MINJsCoOm4_BUg")</f>
        <v>2_ABaOnufzAfUHRIhZ940Sajos-Liaibs3pZ_22BoUevP2074aQsl2MINJsCoOm4_BUg</v>
      </c>
      <c r="B38" s="4" t="str">
        <f ca="1">IFERROR(__xludf.DUMMYFUNCTION("""COMPUTED_VALUE"""),"Đại học")</f>
        <v>Đại học</v>
      </c>
      <c r="C38" s="4" t="str">
        <f ca="1">IFERROR(__xludf.DUMMYFUNCTION("""COMPUTED_VALUE"""),"2_ABaOnucLy0-NZMTB0BgSbySRDhLcAOu0a4ujjz-pp8yeJ05qpKWqJyocpJVyrpaPEA")</f>
        <v>2_ABaOnucLy0-NZMTB0BgSbySRDhLcAOu0a4ujjz-pp8yeJ05qpKWqJyocpJVyrpaPEA</v>
      </c>
      <c r="D38" s="4" t="str">
        <f ca="1">IFERROR(__xludf.DUMMYFUNCTION("""COMPUTED_VALUE"""),"Chứng chỉ Kiểm toán viên")</f>
        <v>Chứng chỉ Kiểm toán viên</v>
      </c>
    </row>
    <row r="39" spans="1:4" x14ac:dyDescent="0.25">
      <c r="A39" s="4" t="str">
        <f ca="1">IFERROR(__xludf.DUMMYFUNCTION("""COMPUTED_VALUE"""),"2_ABaOnuc022ebL8DQ2OFIimxOX5GXJR-ufNOao42Xc9UY9ari6XP66ySWxmDj7EpbPA")</f>
        <v>2_ABaOnuc022ebL8DQ2OFIimxOX5GXJR-ufNOao42Xc9UY9ari6XP66ySWxmDj7EpbPA</v>
      </c>
      <c r="B39" s="4" t="str">
        <f ca="1">IFERROR(__xludf.DUMMYFUNCTION("""COMPUTED_VALUE"""),"Đại học")</f>
        <v>Đại học</v>
      </c>
      <c r="C39" s="4" t="str">
        <f ca="1">IFERROR(__xludf.DUMMYFUNCTION("""COMPUTED_VALUE"""),"2_ABaOnueSQLuJRKuJ8Pi9Cc2PTYT5EtBb9kBPFfoCE17oh0uAI2cDfWStr5fKeKcxZA")</f>
        <v>2_ABaOnueSQLuJRKuJ8Pi9Cc2PTYT5EtBb9kBPFfoCE17oh0uAI2cDfWStr5fKeKcxZA</v>
      </c>
      <c r="D39" s="4" t="str">
        <f ca="1">IFERROR(__xludf.DUMMYFUNCTION("""COMPUTED_VALUE"""),"Đại học")</f>
        <v>Đại học</v>
      </c>
    </row>
    <row r="40" spans="1:4" x14ac:dyDescent="0.25">
      <c r="A40" s="4" t="str">
        <f ca="1">IFERROR(__xludf.DUMMYFUNCTION("""COMPUTED_VALUE"""),"2_ABaOnucNYlbAHDHshzoPPI4QqvvFw2bZqm9x090Hh1XQj7NHsQb_mw2Xvuyl4Wzp2A")</f>
        <v>2_ABaOnucNYlbAHDHshzoPPI4QqvvFw2bZqm9x090Hh1XQj7NHsQb_mw2Xvuyl4Wzp2A</v>
      </c>
      <c r="B40" s="4" t="str">
        <f ca="1">IFERROR(__xludf.DUMMYFUNCTION("""COMPUTED_VALUE"""),"Đại học")</f>
        <v>Đại học</v>
      </c>
      <c r="C40" s="4" t="str">
        <f ca="1">IFERROR(__xludf.DUMMYFUNCTION("""COMPUTED_VALUE"""),"2_ABaOnueSQLuJRKuJ8Pi9Cc2PTYT5EtBb9kBPFfoCE17oh0uAI2cDfWStr5fKeKcxZA")</f>
        <v>2_ABaOnueSQLuJRKuJ8Pi9Cc2PTYT5EtBb9kBPFfoCE17oh0uAI2cDfWStr5fKeKcxZA</v>
      </c>
      <c r="D40" s="4" t="str">
        <f ca="1">IFERROR(__xludf.DUMMYFUNCTION("""COMPUTED_VALUE"""),"Chứng chỉ Kiểm toán viên")</f>
        <v>Chứng chỉ Kiểm toán viên</v>
      </c>
    </row>
    <row r="41" spans="1:4" x14ac:dyDescent="0.25">
      <c r="A41" s="4" t="str">
        <f ca="1">IFERROR(__xludf.DUMMYFUNCTION("""COMPUTED_VALUE"""),"2_ABaOnucuGP2OZZHZfgqC4dPLOZXxEjm60ZWtfr5CpWWRjThB2zD63DnjiCWJ60Bwlw")</f>
        <v>2_ABaOnucuGP2OZZHZfgqC4dPLOZXxEjm60ZWtfr5CpWWRjThB2zD63DnjiCWJ60Bwlw</v>
      </c>
      <c r="B41" s="4" t="str">
        <f ca="1">IFERROR(__xludf.DUMMYFUNCTION("""COMPUTED_VALUE"""),"Chứng chỉ Kiểm toán viên")</f>
        <v>Chứng chỉ Kiểm toán viên</v>
      </c>
      <c r="C41" s="4" t="str">
        <f ca="1">IFERROR(__xludf.DUMMYFUNCTION("""COMPUTED_VALUE"""),"2_ABaOnucGkoBO21qQJcvsPQLIPPWTbxTD34u2KE6VhbN0brrxx_cNtxZ5FBRU5g7mSQ")</f>
        <v>2_ABaOnucGkoBO21qQJcvsPQLIPPWTbxTD34u2KE6VhbN0brrxx_cNtxZ5FBRU5g7mSQ</v>
      </c>
      <c r="D41" s="4" t="str">
        <f ca="1">IFERROR(__xludf.DUMMYFUNCTION("""COMPUTED_VALUE"""),"Đại học")</f>
        <v>Đại học</v>
      </c>
    </row>
    <row r="42" spans="1:4" x14ac:dyDescent="0.25">
      <c r="A42" s="4" t="str">
        <f ca="1">IFERROR(__xludf.DUMMYFUNCTION("""COMPUTED_VALUE"""),"2_ABaOnuenRQxM0CB9LWkoWii2SIaFJGq-exKvLlRZZKTGKrQxdgaHnQPmoWzRxHSP2A")</f>
        <v>2_ABaOnuenRQxM0CB9LWkoWii2SIaFJGq-exKvLlRZZKTGKrQxdgaHnQPmoWzRxHSP2A</v>
      </c>
      <c r="B42" s="4" t="str">
        <f ca="1">IFERROR(__xludf.DUMMYFUNCTION("""COMPUTED_VALUE"""),"Chứng chỉ Kiểm toán viên")</f>
        <v>Chứng chỉ Kiểm toán viên</v>
      </c>
      <c r="C42" s="4" t="str">
        <f ca="1">IFERROR(__xludf.DUMMYFUNCTION("""COMPUTED_VALUE"""),"2_ABaOnucZn0HGwSx6YxsNg52U2Idvhdaj_pYwqDXk5PZqZmBAWxC_r9x0FxFc7IwYxg")</f>
        <v>2_ABaOnucZn0HGwSx6YxsNg52U2Idvhdaj_pYwqDXk5PZqZmBAWxC_r9x0FxFc7IwYxg</v>
      </c>
      <c r="D42" s="4" t="str">
        <f ca="1">IFERROR(__xludf.DUMMYFUNCTION("""COMPUTED_VALUE"""),"Đại học")</f>
        <v>Đại học</v>
      </c>
    </row>
    <row r="43" spans="1:4" x14ac:dyDescent="0.25">
      <c r="A43" s="4" t="str">
        <f ca="1">IFERROR(__xludf.DUMMYFUNCTION("""COMPUTED_VALUE"""),"2_ABaOnucYCCxm7HVI56CvF87B_A4HYRCnwAfVwPCwIAzkWmE4R9iqXT90MM5mvxlBTw")</f>
        <v>2_ABaOnucYCCxm7HVI56CvF87B_A4HYRCnwAfVwPCwIAzkWmE4R9iqXT90MM5mvxlBTw</v>
      </c>
      <c r="B43" s="4" t="str">
        <f ca="1">IFERROR(__xludf.DUMMYFUNCTION("""COMPUTED_VALUE"""),"Đại học, Kế toán trưởng")</f>
        <v>Đại học, Kế toán trưởng</v>
      </c>
      <c r="C43" s="4" t="str">
        <f ca="1">IFERROR(__xludf.DUMMYFUNCTION("""COMPUTED_VALUE"""),"2_ABaOnucZn0HGwSx6YxsNg52U2Idvhdaj_pYwqDXk5PZqZmBAWxC_r9x0FxFc7IwYxg")</f>
        <v>2_ABaOnucZn0HGwSx6YxsNg52U2Idvhdaj_pYwqDXk5PZqZmBAWxC_r9x0FxFc7IwYxg</v>
      </c>
      <c r="D43" s="4" t="str">
        <f ca="1">IFERROR(__xludf.DUMMYFUNCTION("""COMPUTED_VALUE"""),"Chứng chỉ Kiểm toán viên")</f>
        <v>Chứng chỉ Kiểm toán viên</v>
      </c>
    </row>
    <row r="44" spans="1:4" x14ac:dyDescent="0.25">
      <c r="A44" s="4" t="str">
        <f ca="1">IFERROR(__xludf.DUMMYFUNCTION("""COMPUTED_VALUE"""),"2_ABaOnuehIaAj-iB9ofLl0uqcTnOZmfoesY6UnFv-4GHVfF5-JgKaPf2F0T_jMUZJ5Q")</f>
        <v>2_ABaOnuehIaAj-iB9ofLl0uqcTnOZmfoesY6UnFv-4GHVfF5-JgKaPf2F0T_jMUZJ5Q</v>
      </c>
      <c r="B44" s="4" t="str">
        <f ca="1">IFERROR(__xludf.DUMMYFUNCTION("""COMPUTED_VALUE"""),"Chứng chỉ Kiểm toán viên")</f>
        <v>Chứng chỉ Kiểm toán viên</v>
      </c>
      <c r="C44" s="4" t="str">
        <f ca="1">IFERROR(__xludf.DUMMYFUNCTION("""COMPUTED_VALUE"""),"2_ABaOnucZn0HGwSx6YxsNg52U2Idvhdaj_pYwqDXk5PZqZmBAWxC_r9x0FxFc7IwYxg")</f>
        <v>2_ABaOnucZn0HGwSx6YxsNg52U2Idvhdaj_pYwqDXk5PZqZmBAWxC_r9x0FxFc7IwYxg</v>
      </c>
      <c r="D44" s="4" t="str">
        <f ca="1">IFERROR(__xludf.DUMMYFUNCTION("""COMPUTED_VALUE"""),"CPA Aus")</f>
        <v>CPA Aus</v>
      </c>
    </row>
    <row r="45" spans="1:4" x14ac:dyDescent="0.25">
      <c r="A45" s="4" t="str">
        <f ca="1">IFERROR(__xludf.DUMMYFUNCTION("""COMPUTED_VALUE"""),"2_ABaOnud2_Pxs15G3NG4b0OzxvKuZ2pI5pAXNY-Ohxv-qpg762HYLyQBBmhHzTCBQ8g")</f>
        <v>2_ABaOnud2_Pxs15G3NG4b0OzxvKuZ2pI5pAXNY-Ohxv-qpg762HYLyQBBmhHzTCBQ8g</v>
      </c>
      <c r="B45" s="4" t="str">
        <f ca="1">IFERROR(__xludf.DUMMYFUNCTION("""COMPUTED_VALUE"""),"Chứng chỉ Kiểm toán viên")</f>
        <v>Chứng chỉ Kiểm toán viên</v>
      </c>
      <c r="C45" s="4" t="str">
        <f ca="1">IFERROR(__xludf.DUMMYFUNCTION("""COMPUTED_VALUE"""),"2_ABaOnufcsC9cS6xjacnjORilw7rk8LUU76NPUz9rDM60DVH9_qowgFC-ILrOdEDCPA")</f>
        <v>2_ABaOnufcsC9cS6xjacnjORilw7rk8LUU76NPUz9rDM60DVH9_qowgFC-ILrOdEDCPA</v>
      </c>
      <c r="D45" s="4" t="str">
        <f ca="1">IFERROR(__xludf.DUMMYFUNCTION("""COMPUTED_VALUE"""),"Đại học")</f>
        <v>Đại học</v>
      </c>
    </row>
    <row r="46" spans="1:4" x14ac:dyDescent="0.25">
      <c r="A46" s="4" t="str">
        <f ca="1">IFERROR(__xludf.DUMMYFUNCTION("""COMPUTED_VALUE"""),"2_ABaOnuehbMtMfezn-skpPFqblZJAE0v1EVHGL9xZ76OQW8vbEy0G1CMseF4yU8oiCA")</f>
        <v>2_ABaOnuehbMtMfezn-skpPFqblZJAE0v1EVHGL9xZ76OQW8vbEy0G1CMseF4yU8oiCA</v>
      </c>
      <c r="B46" s="4" t="str">
        <f ca="1">IFERROR(__xludf.DUMMYFUNCTION("""COMPUTED_VALUE"""),"Đại học, Chứng chỉ Kiểm toán viên")</f>
        <v>Đại học, Chứng chỉ Kiểm toán viên</v>
      </c>
      <c r="C46" s="4" t="str">
        <f ca="1">IFERROR(__xludf.DUMMYFUNCTION("""COMPUTED_VALUE"""),"2_ABaOnufcsC9cS6xjacnjORilw7rk8LUU76NPUz9rDM60DVH9_qowgFC-ILrOdEDCPA")</f>
        <v>2_ABaOnufcsC9cS6xjacnjORilw7rk8LUU76NPUz9rDM60DVH9_qowgFC-ILrOdEDCPA</v>
      </c>
      <c r="D46" s="4" t="str">
        <f ca="1">IFERROR(__xludf.DUMMYFUNCTION("""COMPUTED_VALUE"""),"Chứng chỉ Kiểm toán viên")</f>
        <v>Chứng chỉ Kiểm toán viên</v>
      </c>
    </row>
    <row r="47" spans="1:4" x14ac:dyDescent="0.25">
      <c r="A47" s="4" t="str">
        <f ca="1">IFERROR(__xludf.DUMMYFUNCTION("""COMPUTED_VALUE"""),"2_ABaOnuepyoEXHtm-zPVNYBmW242rRLln7Jrk7gDoDEpDVbAZQR1tvrS0ovTBFaiyaA")</f>
        <v>2_ABaOnuepyoEXHtm-zPVNYBmW242rRLln7Jrk7gDoDEpDVbAZQR1tvrS0ovTBFaiyaA</v>
      </c>
      <c r="B47" s="4" t="str">
        <f ca="1">IFERROR(__xludf.DUMMYFUNCTION("""COMPUTED_VALUE"""),"Sau đại học, Chứng chỉ Kiểm toán viên")</f>
        <v>Sau đại học, Chứng chỉ Kiểm toán viên</v>
      </c>
      <c r="C47" s="4" t="str">
        <f ca="1">IFERROR(__xludf.DUMMYFUNCTION("""COMPUTED_VALUE"""),"2_ABaOnuelv1IKa9c8ysPvZxZeMm_tVJ3qtl7z9iYRG8_vobvsFL6DIjipofvfW9UdNg")</f>
        <v>2_ABaOnuelv1IKa9c8ysPvZxZeMm_tVJ3qtl7z9iYRG8_vobvsFL6DIjipofvfW9UdNg</v>
      </c>
      <c r="D47" s="4" t="str">
        <f ca="1">IFERROR(__xludf.DUMMYFUNCTION("""COMPUTED_VALUE"""),"Đại học")</f>
        <v>Đại học</v>
      </c>
    </row>
    <row r="48" spans="1:4" x14ac:dyDescent="0.25">
      <c r="A48" s="4" t="str">
        <f ca="1">IFERROR(__xludf.DUMMYFUNCTION("""COMPUTED_VALUE"""),"2_ABaOnudG_hs_AMAYUOmNBnPP5UWJxqUL6c1vZIXBVsXhZB730YcC29QiGcCe4ZGgDQ")</f>
        <v>2_ABaOnudG_hs_AMAYUOmNBnPP5UWJxqUL6c1vZIXBVsXhZB730YcC29QiGcCe4ZGgDQ</v>
      </c>
      <c r="B48" s="4" t="str">
        <f ca="1">IFERROR(__xludf.DUMMYFUNCTION("""COMPUTED_VALUE"""),"Đại học")</f>
        <v>Đại học</v>
      </c>
      <c r="C48" s="4" t="str">
        <f ca="1">IFERROR(__xludf.DUMMYFUNCTION("""COMPUTED_VALUE"""),"2_ABaOnudmicRj8ewv935db0WMYcKRjjbwNzRjSaGgn_yyMB5jONAdSaOU8qrzF1IUvg")</f>
        <v>2_ABaOnudmicRj8ewv935db0WMYcKRjjbwNzRjSaGgn_yyMB5jONAdSaOU8qrzF1IUvg</v>
      </c>
      <c r="D48" s="4" t="str">
        <f ca="1">IFERROR(__xludf.DUMMYFUNCTION("""COMPUTED_VALUE"""),"Sau đại học")</f>
        <v>Sau đại học</v>
      </c>
    </row>
    <row r="49" spans="1:4" x14ac:dyDescent="0.25">
      <c r="A49" s="4" t="str">
        <f ca="1">IFERROR(__xludf.DUMMYFUNCTION("""COMPUTED_VALUE"""),"2_ABaOnuft5Vk3kTDpizoYZH1NgUHCIDgAJCEqIb6Rwb-8PmSCL6W9bLmYmio-Uq2-cA")</f>
        <v>2_ABaOnuft5Vk3kTDpizoYZH1NgUHCIDgAJCEqIb6Rwb-8PmSCL6W9bLmYmio-Uq2-cA</v>
      </c>
      <c r="B49" s="4" t="str">
        <f ca="1">IFERROR(__xludf.DUMMYFUNCTION("""COMPUTED_VALUE"""),"Đại học")</f>
        <v>Đại học</v>
      </c>
      <c r="C49" s="4" t="str">
        <f ca="1">IFERROR(__xludf.DUMMYFUNCTION("""COMPUTED_VALUE"""),"2_ABaOnudmicRj8ewv935db0WMYcKRjjbwNzRjSaGgn_yyMB5jONAdSaOU8qrzF1IUvg")</f>
        <v>2_ABaOnudmicRj8ewv935db0WMYcKRjjbwNzRjSaGgn_yyMB5jONAdSaOU8qrzF1IUvg</v>
      </c>
      <c r="D49" s="4" t="str">
        <f ca="1">IFERROR(__xludf.DUMMYFUNCTION("""COMPUTED_VALUE"""),"Chứng chỉ Kiểm toán viên")</f>
        <v>Chứng chỉ Kiểm toán viên</v>
      </c>
    </row>
    <row r="50" spans="1:4" x14ac:dyDescent="0.25">
      <c r="A50" s="4" t="str">
        <f ca="1">IFERROR(__xludf.DUMMYFUNCTION("""COMPUTED_VALUE"""),"2_ABaOnudSMYXWKFJwn8XxSTSS34iLPpd4IhYLitorYKBsJyQY1SJwV-ixhBpq8Yth7w")</f>
        <v>2_ABaOnudSMYXWKFJwn8XxSTSS34iLPpd4IhYLitorYKBsJyQY1SJwV-ixhBpq8Yth7w</v>
      </c>
      <c r="B50" s="4" t="str">
        <f ca="1">IFERROR(__xludf.DUMMYFUNCTION("""COMPUTED_VALUE"""),"Đại học, Chứng chỉ Kiểm toán viên")</f>
        <v>Đại học, Chứng chỉ Kiểm toán viên</v>
      </c>
      <c r="C50" s="4" t="str">
        <f ca="1">IFERROR(__xludf.DUMMYFUNCTION("""COMPUTED_VALUE"""),"2_ABaOnueJpppp5UdcCC-xjz3wZmhoDY0y2W0CrIzeWCyMBwzxr_919Gky_VJwM6UZKw")</f>
        <v>2_ABaOnueJpppp5UdcCC-xjz3wZmhoDY0y2W0CrIzeWCyMBwzxr_919Gky_VJwM6UZKw</v>
      </c>
      <c r="D50" s="4" t="str">
        <f ca="1">IFERROR(__xludf.DUMMYFUNCTION("""COMPUTED_VALUE"""),"Đại học")</f>
        <v>Đại học</v>
      </c>
    </row>
    <row r="51" spans="1:4" x14ac:dyDescent="0.25">
      <c r="A51" s="4" t="str">
        <f ca="1">IFERROR(__xludf.DUMMYFUNCTION("""COMPUTED_VALUE"""),"2_ABaOnud-K-qFIvtPi-4fgxYxxfl0tsTNMn_d45iw4--MuWjN7r2u7qzY0r1_ZhBZAg")</f>
        <v>2_ABaOnud-K-qFIvtPi-4fgxYxxfl0tsTNMn_d45iw4--MuWjN7r2u7qzY0r1_ZhBZAg</v>
      </c>
      <c r="B51" s="4" t="str">
        <f ca="1">IFERROR(__xludf.DUMMYFUNCTION("""COMPUTED_VALUE"""),"Đại học")</f>
        <v>Đại học</v>
      </c>
      <c r="C51" s="4" t="str">
        <f ca="1">IFERROR(__xludf.DUMMYFUNCTION("""COMPUTED_VALUE"""),"2_ABaOnufzAfUHRIhZ940Sajos-Liaibs3pZ_22BoUevP2074aQsl2MINJsCoOm4_BUg")</f>
        <v>2_ABaOnufzAfUHRIhZ940Sajos-Liaibs3pZ_22BoUevP2074aQsl2MINJsCoOm4_BUg</v>
      </c>
      <c r="D51" s="4" t="str">
        <f ca="1">IFERROR(__xludf.DUMMYFUNCTION("""COMPUTED_VALUE"""),"Đại học")</f>
        <v>Đại học</v>
      </c>
    </row>
    <row r="52" spans="1:4" x14ac:dyDescent="0.25">
      <c r="A52" s="4" t="str">
        <f ca="1">IFERROR(__xludf.DUMMYFUNCTION("""COMPUTED_VALUE"""),"2_ABaOnudViw0OakDrY50oI_Jxk0GglDlgGNlB1JfqaQ3MqoyZu2-wQY6w0Ud6u8YJug")</f>
        <v>2_ABaOnudViw0OakDrY50oI_Jxk0GglDlgGNlB1JfqaQ3MqoyZu2-wQY6w0Ud6u8YJug</v>
      </c>
      <c r="B52" s="4" t="str">
        <f ca="1">IFERROR(__xludf.DUMMYFUNCTION("""COMPUTED_VALUE"""),"Đại học, Chứng chỉ Kiểm toán viên")</f>
        <v>Đại học, Chứng chỉ Kiểm toán viên</v>
      </c>
      <c r="C52" s="4" t="str">
        <f ca="1">IFERROR(__xludf.DUMMYFUNCTION("""COMPUTED_VALUE"""),"2_ABaOnuc022ebL8DQ2OFIimxOX5GXJR-ufNOao42Xc9UY9ari6XP66ySWxmDj7EpbPA")</f>
        <v>2_ABaOnuc022ebL8DQ2OFIimxOX5GXJR-ufNOao42Xc9UY9ari6XP66ySWxmDj7EpbPA</v>
      </c>
      <c r="D52" s="4" t="str">
        <f ca="1">IFERROR(__xludf.DUMMYFUNCTION("""COMPUTED_VALUE"""),"Đại học")</f>
        <v>Đại học</v>
      </c>
    </row>
    <row r="53" spans="1:4" x14ac:dyDescent="0.25">
      <c r="A53" s="4" t="str">
        <f ca="1">IFERROR(__xludf.DUMMYFUNCTION("""COMPUTED_VALUE"""),"2_ABaOnufSEuOWth3VQVbR4kjTUTeCtgX37b71zojZ_-OM1ITrdFlNwMOCbYAL1_0jVg")</f>
        <v>2_ABaOnufSEuOWth3VQVbR4kjTUTeCtgX37b71zojZ_-OM1ITrdFlNwMOCbYAL1_0jVg</v>
      </c>
      <c r="B53" s="4" t="str">
        <f ca="1">IFERROR(__xludf.DUMMYFUNCTION("""COMPUTED_VALUE"""),"Sau đại học")</f>
        <v>Sau đại học</v>
      </c>
      <c r="C53" s="4" t="str">
        <f ca="1">IFERROR(__xludf.DUMMYFUNCTION("""COMPUTED_VALUE"""),"2_ABaOnucNYlbAHDHshzoPPI4QqvvFw2bZqm9x090Hh1XQj7NHsQb_mw2Xvuyl4Wzp2A")</f>
        <v>2_ABaOnucNYlbAHDHshzoPPI4QqvvFw2bZqm9x090Hh1XQj7NHsQb_mw2Xvuyl4Wzp2A</v>
      </c>
      <c r="D53" s="4" t="str">
        <f ca="1">IFERROR(__xludf.DUMMYFUNCTION("""COMPUTED_VALUE"""),"Đại học")</f>
        <v>Đại học</v>
      </c>
    </row>
    <row r="54" spans="1:4" x14ac:dyDescent="0.25">
      <c r="A54" s="4" t="str">
        <f ca="1">IFERROR(__xludf.DUMMYFUNCTION("""COMPUTED_VALUE"""),"2_ABaOnud0AN3mxU4QKm7Eq0FeOKOWW2pwzAcMy7UtPhwU7yHnvs_7x_KVE5LMJGhlGw")</f>
        <v>2_ABaOnud0AN3mxU4QKm7Eq0FeOKOWW2pwzAcMy7UtPhwU7yHnvs_7x_KVE5LMJGhlGw</v>
      </c>
      <c r="B54" s="4" t="str">
        <f ca="1">IFERROR(__xludf.DUMMYFUNCTION("""COMPUTED_VALUE"""),"Đại học")</f>
        <v>Đại học</v>
      </c>
      <c r="C54" s="4" t="str">
        <f ca="1">IFERROR(__xludf.DUMMYFUNCTION("""COMPUTED_VALUE"""),"2_ABaOnucuGP2OZZHZfgqC4dPLOZXxEjm60ZWtfr5CpWWRjThB2zD63DnjiCWJ60Bwlw")</f>
        <v>2_ABaOnucuGP2OZZHZfgqC4dPLOZXxEjm60ZWtfr5CpWWRjThB2zD63DnjiCWJ60Bwlw</v>
      </c>
      <c r="D54" s="4" t="str">
        <f ca="1">IFERROR(__xludf.DUMMYFUNCTION("""COMPUTED_VALUE"""),"Chứng chỉ Kiểm toán viên")</f>
        <v>Chứng chỉ Kiểm toán viên</v>
      </c>
    </row>
    <row r="55" spans="1:4" x14ac:dyDescent="0.25">
      <c r="A55" s="4" t="str">
        <f ca="1">IFERROR(__xludf.DUMMYFUNCTION("""COMPUTED_VALUE"""),"2_ABaOnudGWrZPdpEe1VP7v_SWvpcGdLIKYAzHp5CLs68HRcGrXhfaNbiTDJUYIzfkaw")</f>
        <v>2_ABaOnudGWrZPdpEe1VP7v_SWvpcGdLIKYAzHp5CLs68HRcGrXhfaNbiTDJUYIzfkaw</v>
      </c>
      <c r="B55" s="4" t="str">
        <f ca="1">IFERROR(__xludf.DUMMYFUNCTION("""COMPUTED_VALUE"""),"Đại học, Chứng chỉ Kiểm toán viên")</f>
        <v>Đại học, Chứng chỉ Kiểm toán viên</v>
      </c>
      <c r="C55" s="4" t="str">
        <f ca="1">IFERROR(__xludf.DUMMYFUNCTION("""COMPUTED_VALUE"""),"2_ABaOnuenRQxM0CB9LWkoWii2SIaFJGq-exKvLlRZZKTGKrQxdgaHnQPmoWzRxHSP2A")</f>
        <v>2_ABaOnuenRQxM0CB9LWkoWii2SIaFJGq-exKvLlRZZKTGKrQxdgaHnQPmoWzRxHSP2A</v>
      </c>
      <c r="D55" s="4" t="str">
        <f ca="1">IFERROR(__xludf.DUMMYFUNCTION("""COMPUTED_VALUE"""),"Chứng chỉ Kiểm toán viên")</f>
        <v>Chứng chỉ Kiểm toán viên</v>
      </c>
    </row>
    <row r="56" spans="1:4" x14ac:dyDescent="0.25">
      <c r="A56" s="4" t="str">
        <f ca="1">IFERROR(__xludf.DUMMYFUNCTION("""COMPUTED_VALUE"""),"2_ABaOnucJCSZl0UxXBAJbilIljS3cygwYuz0XXX_gNoV_katBaG8n-zUCXdYJs7h_Qw")</f>
        <v>2_ABaOnucJCSZl0UxXBAJbilIljS3cygwYuz0XXX_gNoV_katBaG8n-zUCXdYJs7h_Qw</v>
      </c>
      <c r="B56" s="4" t="str">
        <f ca="1">IFERROR(__xludf.DUMMYFUNCTION("""COMPUTED_VALUE"""),"Sau đại học, Chứng chỉ Kiểm toán viên")</f>
        <v>Sau đại học, Chứng chỉ Kiểm toán viên</v>
      </c>
      <c r="C56" s="4" t="str">
        <f ca="1">IFERROR(__xludf.DUMMYFUNCTION("""COMPUTED_VALUE"""),"2_ABaOnucYCCxm7HVI56CvF87B_A4HYRCnwAfVwPCwIAzkWmE4R9iqXT90MM5mvxlBTw")</f>
        <v>2_ABaOnucYCCxm7HVI56CvF87B_A4HYRCnwAfVwPCwIAzkWmE4R9iqXT90MM5mvxlBTw</v>
      </c>
      <c r="D56" s="4" t="str">
        <f ca="1">IFERROR(__xludf.DUMMYFUNCTION("""COMPUTED_VALUE"""),"Đại học")</f>
        <v>Đại học</v>
      </c>
    </row>
    <row r="57" spans="1:4" x14ac:dyDescent="0.25">
      <c r="A57" s="4" t="str">
        <f ca="1">IFERROR(__xludf.DUMMYFUNCTION("""COMPUTED_VALUE"""),"2_ABaOnucD-BjHfGFtT3skRHDakhQHAP12EIz2wZ-vyOXI6hs1p3xnWExie846nBBMHQ")</f>
        <v>2_ABaOnucD-BjHfGFtT3skRHDakhQHAP12EIz2wZ-vyOXI6hs1p3xnWExie846nBBMHQ</v>
      </c>
      <c r="B57" s="4" t="str">
        <f ca="1">IFERROR(__xludf.DUMMYFUNCTION("""COMPUTED_VALUE"""),"Đại học")</f>
        <v>Đại học</v>
      </c>
      <c r="C57" s="4" t="str">
        <f ca="1">IFERROR(__xludf.DUMMYFUNCTION("""COMPUTED_VALUE"""),"2_ABaOnucYCCxm7HVI56CvF87B_A4HYRCnwAfVwPCwIAzkWmE4R9iqXT90MM5mvxlBTw")</f>
        <v>2_ABaOnucYCCxm7HVI56CvF87B_A4HYRCnwAfVwPCwIAzkWmE4R9iqXT90MM5mvxlBTw</v>
      </c>
      <c r="D57" s="4" t="str">
        <f ca="1">IFERROR(__xludf.DUMMYFUNCTION("""COMPUTED_VALUE"""),"Kế toán trưởng")</f>
        <v>Kế toán trưởng</v>
      </c>
    </row>
    <row r="58" spans="1:4" x14ac:dyDescent="0.25">
      <c r="A58" s="4" t="str">
        <f ca="1">IFERROR(__xludf.DUMMYFUNCTION("""COMPUTED_VALUE"""),"2_ABaOnuf9Z_WcXLvxtv6IPHJtXUK9VxYf6mIMGBQbquDclj2UdX6_Z8gpzqS1tx27kA")</f>
        <v>2_ABaOnuf9Z_WcXLvxtv6IPHJtXUK9VxYf6mIMGBQbquDclj2UdX6_Z8gpzqS1tx27kA</v>
      </c>
      <c r="B58" s="4" t="str">
        <f ca="1">IFERROR(__xludf.DUMMYFUNCTION("""COMPUTED_VALUE"""),"Chứng chỉ Kiểm toán viên")</f>
        <v>Chứng chỉ Kiểm toán viên</v>
      </c>
      <c r="C58" s="4" t="str">
        <f ca="1">IFERROR(__xludf.DUMMYFUNCTION("""COMPUTED_VALUE"""),"2_ABaOnuehIaAj-iB9ofLl0uqcTnOZmfoesY6UnFv-4GHVfF5-JgKaPf2F0T_jMUZJ5Q")</f>
        <v>2_ABaOnuehIaAj-iB9ofLl0uqcTnOZmfoesY6UnFv-4GHVfF5-JgKaPf2F0T_jMUZJ5Q</v>
      </c>
      <c r="D58" s="4" t="str">
        <f ca="1">IFERROR(__xludf.DUMMYFUNCTION("""COMPUTED_VALUE"""),"Chứng chỉ Kiểm toán viên")</f>
        <v>Chứng chỉ Kiểm toán viên</v>
      </c>
    </row>
    <row r="59" spans="1:4" x14ac:dyDescent="0.25">
      <c r="A59" s="4" t="str">
        <f ca="1">IFERROR(__xludf.DUMMYFUNCTION("""COMPUTED_VALUE"""),"2_ABaOnufjjDWytK0F9YX4o7qhNJdvPMwJpu3OfklgI1ZhsqXFWjlJaO1hs0dCHCMPeA")</f>
        <v>2_ABaOnufjjDWytK0F9YX4o7qhNJdvPMwJpu3OfklgI1ZhsqXFWjlJaO1hs0dCHCMPeA</v>
      </c>
      <c r="B59" s="4" t="str">
        <f ca="1">IFERROR(__xludf.DUMMYFUNCTION("""COMPUTED_VALUE"""),"Đại học, Chứng chỉ Kiểm toán viên")</f>
        <v>Đại học, Chứng chỉ Kiểm toán viên</v>
      </c>
      <c r="C59" s="4" t="str">
        <f ca="1">IFERROR(__xludf.DUMMYFUNCTION("""COMPUTED_VALUE"""),"2_ABaOnud2_Pxs15G3NG4b0OzxvKuZ2pI5pAXNY-Ohxv-qpg762HYLyQBBmhHzTCBQ8g")</f>
        <v>2_ABaOnud2_Pxs15G3NG4b0OzxvKuZ2pI5pAXNY-Ohxv-qpg762HYLyQBBmhHzTCBQ8g</v>
      </c>
      <c r="D59" s="4" t="str">
        <f ca="1">IFERROR(__xludf.DUMMYFUNCTION("""COMPUTED_VALUE"""),"Chứng chỉ Kiểm toán viên")</f>
        <v>Chứng chỉ Kiểm toán viên</v>
      </c>
    </row>
    <row r="60" spans="1:4" x14ac:dyDescent="0.25">
      <c r="A60" s="4" t="str">
        <f ca="1">IFERROR(__xludf.DUMMYFUNCTION("""COMPUTED_VALUE"""),"2_ABaOnuc4BCNwuAAbiuBhEXknyV62WyQl-fg-0FSrdzLuO_p_ekSgYM-Uhr3wmiZJLQ")</f>
        <v>2_ABaOnuc4BCNwuAAbiuBhEXknyV62WyQl-fg-0FSrdzLuO_p_ekSgYM-Uhr3wmiZJLQ</v>
      </c>
      <c r="B60" s="4" t="str">
        <f ca="1">IFERROR(__xludf.DUMMYFUNCTION("""COMPUTED_VALUE"""),"Đại học")</f>
        <v>Đại học</v>
      </c>
      <c r="C60" s="4" t="str">
        <f ca="1">IFERROR(__xludf.DUMMYFUNCTION("""COMPUTED_VALUE"""),"2_ABaOnuehbMtMfezn-skpPFqblZJAE0v1EVHGL9xZ76OQW8vbEy0G1CMseF4yU8oiCA")</f>
        <v>2_ABaOnuehbMtMfezn-skpPFqblZJAE0v1EVHGL9xZ76OQW8vbEy0G1CMseF4yU8oiCA</v>
      </c>
      <c r="D60" s="4" t="str">
        <f ca="1">IFERROR(__xludf.DUMMYFUNCTION("""COMPUTED_VALUE"""),"Đại học")</f>
        <v>Đại học</v>
      </c>
    </row>
    <row r="61" spans="1:4" x14ac:dyDescent="0.25">
      <c r="A61" s="4" t="str">
        <f ca="1">IFERROR(__xludf.DUMMYFUNCTION("""COMPUTED_VALUE"""),"2_ABaOnudwjfPLNGzBm2zH0KW62i-8QNRjZBLFmkD95aHZUiEXrJ8VZrspV2b5vIfblw")</f>
        <v>2_ABaOnudwjfPLNGzBm2zH0KW62i-8QNRjZBLFmkD95aHZUiEXrJ8VZrspV2b5vIfblw</v>
      </c>
      <c r="B61" s="4" t="str">
        <f ca="1">IFERROR(__xludf.DUMMYFUNCTION("""COMPUTED_VALUE"""),"Đại học, Chứng chỉ Kiểm toán viên")</f>
        <v>Đại học, Chứng chỉ Kiểm toán viên</v>
      </c>
      <c r="C61" s="4" t="str">
        <f ca="1">IFERROR(__xludf.DUMMYFUNCTION("""COMPUTED_VALUE"""),"2_ABaOnuehbMtMfezn-skpPFqblZJAE0v1EVHGL9xZ76OQW8vbEy0G1CMseF4yU8oiCA")</f>
        <v>2_ABaOnuehbMtMfezn-skpPFqblZJAE0v1EVHGL9xZ76OQW8vbEy0G1CMseF4yU8oiCA</v>
      </c>
      <c r="D61" s="4" t="str">
        <f ca="1">IFERROR(__xludf.DUMMYFUNCTION("""COMPUTED_VALUE"""),"Chứng chỉ Kiểm toán viên")</f>
        <v>Chứng chỉ Kiểm toán viên</v>
      </c>
    </row>
    <row r="62" spans="1:4" x14ac:dyDescent="0.25">
      <c r="A62" s="4" t="str">
        <f ca="1">IFERROR(__xludf.DUMMYFUNCTION("""COMPUTED_VALUE"""),"2_ABaOnufn5ok-lo4_xjNP8SBKU7OABUdqfpi13ECeZOeGIm7AIKN4XuIFwb1ft9NAgg")</f>
        <v>2_ABaOnufn5ok-lo4_xjNP8SBKU7OABUdqfpi13ECeZOeGIm7AIKN4XuIFwb1ft9NAgg</v>
      </c>
      <c r="B62" s="4" t="str">
        <f ca="1">IFERROR(__xludf.DUMMYFUNCTION("""COMPUTED_VALUE"""),"Đại học")</f>
        <v>Đại học</v>
      </c>
      <c r="C62" s="4" t="str">
        <f ca="1">IFERROR(__xludf.DUMMYFUNCTION("""COMPUTED_VALUE"""),"2_ABaOnuepyoEXHtm-zPVNYBmW242rRLln7Jrk7gDoDEpDVbAZQR1tvrS0ovTBFaiyaA")</f>
        <v>2_ABaOnuepyoEXHtm-zPVNYBmW242rRLln7Jrk7gDoDEpDVbAZQR1tvrS0ovTBFaiyaA</v>
      </c>
      <c r="D62" s="4" t="str">
        <f ca="1">IFERROR(__xludf.DUMMYFUNCTION("""COMPUTED_VALUE"""),"Sau đại học")</f>
        <v>Sau đại học</v>
      </c>
    </row>
    <row r="63" spans="1:4" x14ac:dyDescent="0.25">
      <c r="A63" s="4" t="str">
        <f ca="1">IFERROR(__xludf.DUMMYFUNCTION("""COMPUTED_VALUE"""),"2_ABaOnucqDb6avlGOWh8swSFYMPOtT-6eR6TOFfwX-ONmH9Urq-kEPsuKkdTlv6jCkw")</f>
        <v>2_ABaOnucqDb6avlGOWh8swSFYMPOtT-6eR6TOFfwX-ONmH9Urq-kEPsuKkdTlv6jCkw</v>
      </c>
      <c r="B63" s="4" t="str">
        <f ca="1">IFERROR(__xludf.DUMMYFUNCTION("""COMPUTED_VALUE"""),"Đại học")</f>
        <v>Đại học</v>
      </c>
      <c r="C63" s="4" t="str">
        <f ca="1">IFERROR(__xludf.DUMMYFUNCTION("""COMPUTED_VALUE"""),"2_ABaOnuepyoEXHtm-zPVNYBmW242rRLln7Jrk7gDoDEpDVbAZQR1tvrS0ovTBFaiyaA")</f>
        <v>2_ABaOnuepyoEXHtm-zPVNYBmW242rRLln7Jrk7gDoDEpDVbAZQR1tvrS0ovTBFaiyaA</v>
      </c>
      <c r="D63" s="4" t="str">
        <f ca="1">IFERROR(__xludf.DUMMYFUNCTION("""COMPUTED_VALUE"""),"Chứng chỉ Kiểm toán viên")</f>
        <v>Chứng chỉ Kiểm toán viên</v>
      </c>
    </row>
    <row r="64" spans="1:4" x14ac:dyDescent="0.25">
      <c r="A64" s="4" t="str">
        <f ca="1">IFERROR(__xludf.DUMMYFUNCTION("""COMPUTED_VALUE"""),"2_ABaOnucfz_0UoLgoaNB00bea7DBsysv2wmihhr0kIQ9JQDaNnRwGxRSBuGDYIvpm1g")</f>
        <v>2_ABaOnucfz_0UoLgoaNB00bea7DBsysv2wmihhr0kIQ9JQDaNnRwGxRSBuGDYIvpm1g</v>
      </c>
      <c r="B64" s="4" t="str">
        <f ca="1">IFERROR(__xludf.DUMMYFUNCTION("""COMPUTED_VALUE"""),"Sau đại học, Chứng chỉ Kiểm toán viên")</f>
        <v>Sau đại học, Chứng chỉ Kiểm toán viên</v>
      </c>
      <c r="C64" s="4" t="str">
        <f ca="1">IFERROR(__xludf.DUMMYFUNCTION("""COMPUTED_VALUE"""),"2_ABaOnudG_hs_AMAYUOmNBnPP5UWJxqUL6c1vZIXBVsXhZB730YcC29QiGcCe4ZGgDQ")</f>
        <v>2_ABaOnudG_hs_AMAYUOmNBnPP5UWJxqUL6c1vZIXBVsXhZB730YcC29QiGcCe4ZGgDQ</v>
      </c>
      <c r="D64" s="4" t="str">
        <f ca="1">IFERROR(__xludf.DUMMYFUNCTION("""COMPUTED_VALUE"""),"Đại học")</f>
        <v>Đại học</v>
      </c>
    </row>
    <row r="65" spans="1:4" x14ac:dyDescent="0.25">
      <c r="A65" s="4" t="str">
        <f ca="1">IFERROR(__xludf.DUMMYFUNCTION("""COMPUTED_VALUE"""),"2_ABaOnudCKJVhucRTVG1nupUuOhrKXVmXRvqQqD5sYNQn34uxnm-Tp-VOJVwv1ICPQA")</f>
        <v>2_ABaOnudCKJVhucRTVG1nupUuOhrKXVmXRvqQqD5sYNQn34uxnm-Tp-VOJVwv1ICPQA</v>
      </c>
      <c r="B65" s="4" t="str">
        <f ca="1">IFERROR(__xludf.DUMMYFUNCTION("""COMPUTED_VALUE"""),"Đại học, Chứng chỉ Kiểm toán viên")</f>
        <v>Đại học, Chứng chỉ Kiểm toán viên</v>
      </c>
      <c r="C65" s="4" t="str">
        <f ca="1">IFERROR(__xludf.DUMMYFUNCTION("""COMPUTED_VALUE"""),"2_ABaOnuft5Vk3kTDpizoYZH1NgUHCIDgAJCEqIb6Rwb-8PmSCL6W9bLmYmio-Uq2-cA")</f>
        <v>2_ABaOnuft5Vk3kTDpizoYZH1NgUHCIDgAJCEqIb6Rwb-8PmSCL6W9bLmYmio-Uq2-cA</v>
      </c>
      <c r="D65" s="4" t="str">
        <f ca="1">IFERROR(__xludf.DUMMYFUNCTION("""COMPUTED_VALUE"""),"Đại học")</f>
        <v>Đại học</v>
      </c>
    </row>
    <row r="66" spans="1:4" x14ac:dyDescent="0.25">
      <c r="A66" s="4" t="str">
        <f ca="1">IFERROR(__xludf.DUMMYFUNCTION("""COMPUTED_VALUE"""),"2_ABaOnufaZl7i5RTga68MDztQq-JsPZ60GmxMT8LsxBbdDX0twTv9ufHDnAkVVQP_OA")</f>
        <v>2_ABaOnufaZl7i5RTga68MDztQq-JsPZ60GmxMT8LsxBbdDX0twTv9ufHDnAkVVQP_OA</v>
      </c>
      <c r="B66" s="4" t="str">
        <f ca="1">IFERROR(__xludf.DUMMYFUNCTION("""COMPUTED_VALUE"""),"Đại học")</f>
        <v>Đại học</v>
      </c>
      <c r="C66" s="4" t="str">
        <f ca="1">IFERROR(__xludf.DUMMYFUNCTION("""COMPUTED_VALUE"""),"2_ABaOnudSMYXWKFJwn8XxSTSS34iLPpd4IhYLitorYKBsJyQY1SJwV-ixhBpq8Yth7w")</f>
        <v>2_ABaOnudSMYXWKFJwn8XxSTSS34iLPpd4IhYLitorYKBsJyQY1SJwV-ixhBpq8Yth7w</v>
      </c>
      <c r="D66" s="4" t="str">
        <f ca="1">IFERROR(__xludf.DUMMYFUNCTION("""COMPUTED_VALUE"""),"Đại học")</f>
        <v>Đại học</v>
      </c>
    </row>
    <row r="67" spans="1:4" x14ac:dyDescent="0.25">
      <c r="A67" s="4" t="str">
        <f ca="1">IFERROR(__xludf.DUMMYFUNCTION("""COMPUTED_VALUE"""),"2_ABaOnudqRNWTjFkvp--Dw85a_yUtj5xunShR5knHGA1lfqM9poP0Ti1rrZiuVnopCw")</f>
        <v>2_ABaOnudqRNWTjFkvp--Dw85a_yUtj5xunShR5knHGA1lfqM9poP0Ti1rrZiuVnopCw</v>
      </c>
      <c r="B67" s="4" t="str">
        <f ca="1">IFERROR(__xludf.DUMMYFUNCTION("""COMPUTED_VALUE"""),"Đại học")</f>
        <v>Đại học</v>
      </c>
      <c r="C67" s="4" t="str">
        <f ca="1">IFERROR(__xludf.DUMMYFUNCTION("""COMPUTED_VALUE"""),"2_ABaOnudSMYXWKFJwn8XxSTSS34iLPpd4IhYLitorYKBsJyQY1SJwV-ixhBpq8Yth7w")</f>
        <v>2_ABaOnudSMYXWKFJwn8XxSTSS34iLPpd4IhYLitorYKBsJyQY1SJwV-ixhBpq8Yth7w</v>
      </c>
      <c r="D67" s="4" t="str">
        <f ca="1">IFERROR(__xludf.DUMMYFUNCTION("""COMPUTED_VALUE"""),"Chứng chỉ Kiểm toán viên")</f>
        <v>Chứng chỉ Kiểm toán viên</v>
      </c>
    </row>
    <row r="68" spans="1:4" x14ac:dyDescent="0.25">
      <c r="A68" s="4" t="str">
        <f ca="1">IFERROR(__xludf.DUMMYFUNCTION("""COMPUTED_VALUE"""),"2_ABaOnuePEgoiNmVbwUMHL3KYjHrV40sZVFpbhDbLuDLiuxSMACafeE16Gc3jrdwAaw")</f>
        <v>2_ABaOnuePEgoiNmVbwUMHL3KYjHrV40sZVFpbhDbLuDLiuxSMACafeE16Gc3jrdwAaw</v>
      </c>
      <c r="B68" s="4" t="str">
        <f ca="1">IFERROR(__xludf.DUMMYFUNCTION("""COMPUTED_VALUE"""),"Đại học, Chứng chỉ Kiểm toán viên")</f>
        <v>Đại học, Chứng chỉ Kiểm toán viên</v>
      </c>
      <c r="C68" s="4" t="str">
        <f ca="1">IFERROR(__xludf.DUMMYFUNCTION("""COMPUTED_VALUE"""),"2_ABaOnud-K-qFIvtPi-4fgxYxxfl0tsTNMn_d45iw4--MuWjN7r2u7qzY0r1_ZhBZAg")</f>
        <v>2_ABaOnud-K-qFIvtPi-4fgxYxxfl0tsTNMn_d45iw4--MuWjN7r2u7qzY0r1_ZhBZAg</v>
      </c>
      <c r="D68" s="4" t="str">
        <f ca="1">IFERROR(__xludf.DUMMYFUNCTION("""COMPUTED_VALUE"""),"Đại học")</f>
        <v>Đại học</v>
      </c>
    </row>
    <row r="69" spans="1:4" x14ac:dyDescent="0.25">
      <c r="A69" s="4" t="str">
        <f ca="1">IFERROR(__xludf.DUMMYFUNCTION("""COMPUTED_VALUE"""),"2_ABaOnufb_SO45mr4868VzXkPiwXmtN6n3dyw3-QB9I5Yvp0wgwcyu5fiGdcoJO51sA")</f>
        <v>2_ABaOnufb_SO45mr4868VzXkPiwXmtN6n3dyw3-QB9I5Yvp0wgwcyu5fiGdcoJO51sA</v>
      </c>
      <c r="B69" s="4" t="str">
        <f ca="1">IFERROR(__xludf.DUMMYFUNCTION("""COMPUTED_VALUE"""),"Đại học, Chứng chỉ Kiểm toán viên")</f>
        <v>Đại học, Chứng chỉ Kiểm toán viên</v>
      </c>
      <c r="C69" s="4" t="str">
        <f ca="1">IFERROR(__xludf.DUMMYFUNCTION("""COMPUTED_VALUE"""),"2_ABaOnudViw0OakDrY50oI_Jxk0GglDlgGNlB1JfqaQ3MqoyZu2-wQY6w0Ud6u8YJug")</f>
        <v>2_ABaOnudViw0OakDrY50oI_Jxk0GglDlgGNlB1JfqaQ3MqoyZu2-wQY6w0Ud6u8YJug</v>
      </c>
      <c r="D69" s="4" t="str">
        <f ca="1">IFERROR(__xludf.DUMMYFUNCTION("""COMPUTED_VALUE"""),"Đại học")</f>
        <v>Đại học</v>
      </c>
    </row>
    <row r="70" spans="1:4" x14ac:dyDescent="0.25">
      <c r="A70" s="4" t="str">
        <f ca="1">IFERROR(__xludf.DUMMYFUNCTION("""COMPUTED_VALUE"""),"2_ABaOnud0ADvWGLaULm_meX2gnF8IOn-gepBmIVrCdJ98Cp6hAliP-DpegJAECuECTA")</f>
        <v>2_ABaOnud0ADvWGLaULm_meX2gnF8IOn-gepBmIVrCdJ98Cp6hAliP-DpegJAECuECTA</v>
      </c>
      <c r="B70" s="4" t="str">
        <f ca="1">IFERROR(__xludf.DUMMYFUNCTION("""COMPUTED_VALUE"""),"Chứng chỉ Kiểm toán viên")</f>
        <v>Chứng chỉ Kiểm toán viên</v>
      </c>
      <c r="C70" s="4" t="str">
        <f ca="1">IFERROR(__xludf.DUMMYFUNCTION("""COMPUTED_VALUE"""),"2_ABaOnudViw0OakDrY50oI_Jxk0GglDlgGNlB1JfqaQ3MqoyZu2-wQY6w0Ud6u8YJug")</f>
        <v>2_ABaOnudViw0OakDrY50oI_Jxk0GglDlgGNlB1JfqaQ3MqoyZu2-wQY6w0Ud6u8YJug</v>
      </c>
      <c r="D70" s="4" t="str">
        <f ca="1">IFERROR(__xludf.DUMMYFUNCTION("""COMPUTED_VALUE"""),"Chứng chỉ Kiểm toán viên")</f>
        <v>Chứng chỉ Kiểm toán viên</v>
      </c>
    </row>
    <row r="71" spans="1:4" x14ac:dyDescent="0.25">
      <c r="A71" s="4" t="str">
        <f ca="1">IFERROR(__xludf.DUMMYFUNCTION("""COMPUTED_VALUE"""),"2_ABaOnud4BXwwt3kJ5kITrNoaW5wU9_KVyeSpbDo1dHq-ZwIuzdhGz6HKGpnjQWrj4g")</f>
        <v>2_ABaOnud4BXwwt3kJ5kITrNoaW5wU9_KVyeSpbDo1dHq-ZwIuzdhGz6HKGpnjQWrj4g</v>
      </c>
      <c r="B71" s="4" t="str">
        <f ca="1">IFERROR(__xludf.DUMMYFUNCTION("""COMPUTED_VALUE"""),"Đại học")</f>
        <v>Đại học</v>
      </c>
      <c r="C71" s="4" t="str">
        <f ca="1">IFERROR(__xludf.DUMMYFUNCTION("""COMPUTED_VALUE"""),"2_ABaOnufSEuOWth3VQVbR4kjTUTeCtgX37b71zojZ_-OM1ITrdFlNwMOCbYAL1_0jVg")</f>
        <v>2_ABaOnufSEuOWth3VQVbR4kjTUTeCtgX37b71zojZ_-OM1ITrdFlNwMOCbYAL1_0jVg</v>
      </c>
      <c r="D71" s="4" t="str">
        <f ca="1">IFERROR(__xludf.DUMMYFUNCTION("""COMPUTED_VALUE"""),"Sau đại học")</f>
        <v>Sau đại học</v>
      </c>
    </row>
    <row r="72" spans="1:4" x14ac:dyDescent="0.25">
      <c r="A72" s="4" t="str">
        <f ca="1">IFERROR(__xludf.DUMMYFUNCTION("""COMPUTED_VALUE"""),"2_ABaOnudSPZo8reVpx4ykvMrnalH5QYN_TxBdSbpt-KCJOOHL8A7f1V5XFBEAsnNt_w")</f>
        <v>2_ABaOnudSPZo8reVpx4ykvMrnalH5QYN_TxBdSbpt-KCJOOHL8A7f1V5XFBEAsnNt_w</v>
      </c>
      <c r="B72" s="4" t="str">
        <f ca="1">IFERROR(__xludf.DUMMYFUNCTION("""COMPUTED_VALUE"""),"Đại học, Sau đại học, Chứng chỉ Kiểm toán viên, Luật sư - Quản tài viên")</f>
        <v>Đại học, Sau đại học, Chứng chỉ Kiểm toán viên, Luật sư - Quản tài viên</v>
      </c>
      <c r="C72" s="4" t="str">
        <f ca="1">IFERROR(__xludf.DUMMYFUNCTION("""COMPUTED_VALUE"""),"2_ABaOnud0AN3mxU4QKm7Eq0FeOKOWW2pwzAcMy7UtPhwU7yHnvs_7x_KVE5LMJGhlGw")</f>
        <v>2_ABaOnud0AN3mxU4QKm7Eq0FeOKOWW2pwzAcMy7UtPhwU7yHnvs_7x_KVE5LMJGhlGw</v>
      </c>
      <c r="D72" s="4" t="str">
        <f ca="1">IFERROR(__xludf.DUMMYFUNCTION("""COMPUTED_VALUE"""),"Đại học")</f>
        <v>Đại học</v>
      </c>
    </row>
    <row r="73" spans="1:4" x14ac:dyDescent="0.25">
      <c r="A73" s="4" t="str">
        <f ca="1">IFERROR(__xludf.DUMMYFUNCTION("""COMPUTED_VALUE"""),"2_ABaOnucc03THXG6U1jSORHNpe8XZI6hxM13TgcvWU0e1xhWbcLbrh5Xjcx6mafXhOA")</f>
        <v>2_ABaOnucc03THXG6U1jSORHNpe8XZI6hxM13TgcvWU0e1xhWbcLbrh5Xjcx6mafXhOA</v>
      </c>
      <c r="B73" s="4" t="str">
        <f ca="1">IFERROR(__xludf.DUMMYFUNCTION("""COMPUTED_VALUE"""),"Sau đại học")</f>
        <v>Sau đại học</v>
      </c>
      <c r="C73" s="4" t="str">
        <f ca="1">IFERROR(__xludf.DUMMYFUNCTION("""COMPUTED_VALUE"""),"2_ABaOnudGWrZPdpEe1VP7v_SWvpcGdLIKYAzHp5CLs68HRcGrXhfaNbiTDJUYIzfkaw")</f>
        <v>2_ABaOnudGWrZPdpEe1VP7v_SWvpcGdLIKYAzHp5CLs68HRcGrXhfaNbiTDJUYIzfkaw</v>
      </c>
      <c r="D73" s="4" t="str">
        <f ca="1">IFERROR(__xludf.DUMMYFUNCTION("""COMPUTED_VALUE"""),"Đại học")</f>
        <v>Đại học</v>
      </c>
    </row>
    <row r="74" spans="1:4" x14ac:dyDescent="0.25">
      <c r="A74" s="4" t="str">
        <f ca="1">IFERROR(__xludf.DUMMYFUNCTION("""COMPUTED_VALUE"""),"2_ABaOnucoRtan_39wSvEzjgEGzYTz7Sc8RYxUwQZGSDzWygu2Zhep0ybQkMCUVa9bpw")</f>
        <v>2_ABaOnucoRtan_39wSvEzjgEGzYTz7Sc8RYxUwQZGSDzWygu2Zhep0ybQkMCUVa9bpw</v>
      </c>
      <c r="B74" s="4" t="str">
        <f ca="1">IFERROR(__xludf.DUMMYFUNCTION("""COMPUTED_VALUE"""),"Đại học, Chứng chỉ Kiểm toán viên")</f>
        <v>Đại học, Chứng chỉ Kiểm toán viên</v>
      </c>
      <c r="C74" s="4" t="str">
        <f ca="1">IFERROR(__xludf.DUMMYFUNCTION("""COMPUTED_VALUE"""),"2_ABaOnudGWrZPdpEe1VP7v_SWvpcGdLIKYAzHp5CLs68HRcGrXhfaNbiTDJUYIzfkaw")</f>
        <v>2_ABaOnudGWrZPdpEe1VP7v_SWvpcGdLIKYAzHp5CLs68HRcGrXhfaNbiTDJUYIzfkaw</v>
      </c>
      <c r="D74" s="4" t="str">
        <f ca="1">IFERROR(__xludf.DUMMYFUNCTION("""COMPUTED_VALUE"""),"Chứng chỉ Kiểm toán viên")</f>
        <v>Chứng chỉ Kiểm toán viên</v>
      </c>
    </row>
    <row r="75" spans="1:4" x14ac:dyDescent="0.25">
      <c r="A75" s="4" t="str">
        <f ca="1">IFERROR(__xludf.DUMMYFUNCTION("""COMPUTED_VALUE"""),"2_ABaOnueVIoVT2U7aJJml6Ekv0CHAP4v1nRNmTShQV9EFEot_ui7lOjSu1bdx6aCKNA")</f>
        <v>2_ABaOnueVIoVT2U7aJJml6Ekv0CHAP4v1nRNmTShQV9EFEot_ui7lOjSu1bdx6aCKNA</v>
      </c>
      <c r="B75" s="4" t="str">
        <f ca="1">IFERROR(__xludf.DUMMYFUNCTION("""COMPUTED_VALUE"""),"Đại học")</f>
        <v>Đại học</v>
      </c>
      <c r="C75" s="4" t="str">
        <f ca="1">IFERROR(__xludf.DUMMYFUNCTION("""COMPUTED_VALUE"""),"2_ABaOnucJCSZl0UxXBAJbilIljS3cygwYuz0XXX_gNoV_katBaG8n-zUCXdYJs7h_Qw")</f>
        <v>2_ABaOnucJCSZl0UxXBAJbilIljS3cygwYuz0XXX_gNoV_katBaG8n-zUCXdYJs7h_Qw</v>
      </c>
      <c r="D75" s="4" t="str">
        <f ca="1">IFERROR(__xludf.DUMMYFUNCTION("""COMPUTED_VALUE"""),"Sau đại học")</f>
        <v>Sau đại học</v>
      </c>
    </row>
    <row r="76" spans="1:4" x14ac:dyDescent="0.25">
      <c r="A76" s="4" t="str">
        <f ca="1">IFERROR(__xludf.DUMMYFUNCTION("""COMPUTED_VALUE"""),"2_ABaOnuccmu9B7KndNHi7uKQT90ScFnW6YsE7uXsVdeHSoKRswZqdu5wohB9YOxzWJA")</f>
        <v>2_ABaOnuccmu9B7KndNHi7uKQT90ScFnW6YsE7uXsVdeHSoKRswZqdu5wohB9YOxzWJA</v>
      </c>
      <c r="B76" s="4" t="str">
        <f ca="1">IFERROR(__xludf.DUMMYFUNCTION("""COMPUTED_VALUE"""),"Sau đại học")</f>
        <v>Sau đại học</v>
      </c>
      <c r="C76" s="4" t="str">
        <f ca="1">IFERROR(__xludf.DUMMYFUNCTION("""COMPUTED_VALUE"""),"2_ABaOnucJCSZl0UxXBAJbilIljS3cygwYuz0XXX_gNoV_katBaG8n-zUCXdYJs7h_Qw")</f>
        <v>2_ABaOnucJCSZl0UxXBAJbilIljS3cygwYuz0XXX_gNoV_katBaG8n-zUCXdYJs7h_Qw</v>
      </c>
      <c r="D76" s="4" t="str">
        <f ca="1">IFERROR(__xludf.DUMMYFUNCTION("""COMPUTED_VALUE"""),"Chứng chỉ Kiểm toán viên")</f>
        <v>Chứng chỉ Kiểm toán viên</v>
      </c>
    </row>
    <row r="77" spans="1:4" x14ac:dyDescent="0.25">
      <c r="A77" s="4" t="str">
        <f ca="1">IFERROR(__xludf.DUMMYFUNCTION("""COMPUTED_VALUE"""),"2_ABaOnudojshoyi7Ap11tOUFY4iv9J1MCaj-vM_dAQlkyqiRepg3VXIOsD-2VTMDB1A")</f>
        <v>2_ABaOnudojshoyi7Ap11tOUFY4iv9J1MCaj-vM_dAQlkyqiRepg3VXIOsD-2VTMDB1A</v>
      </c>
      <c r="B77" s="4" t="str">
        <f ca="1">IFERROR(__xludf.DUMMYFUNCTION("""COMPUTED_VALUE"""),"Đại học, Chứng chỉ Kiểm toán viên")</f>
        <v>Đại học, Chứng chỉ Kiểm toán viên</v>
      </c>
      <c r="C77" s="4" t="str">
        <f ca="1">IFERROR(__xludf.DUMMYFUNCTION("""COMPUTED_VALUE"""),"2_ABaOnucD-BjHfGFtT3skRHDakhQHAP12EIz2wZ-vyOXI6hs1p3xnWExie846nBBMHQ")</f>
        <v>2_ABaOnucD-BjHfGFtT3skRHDakhQHAP12EIz2wZ-vyOXI6hs1p3xnWExie846nBBMHQ</v>
      </c>
      <c r="D77" s="4" t="str">
        <f ca="1">IFERROR(__xludf.DUMMYFUNCTION("""COMPUTED_VALUE"""),"Đại học")</f>
        <v>Đại học</v>
      </c>
    </row>
    <row r="78" spans="1:4" x14ac:dyDescent="0.25">
      <c r="A78" s="4" t="str">
        <f ca="1">IFERROR(__xludf.DUMMYFUNCTION("""COMPUTED_VALUE"""),"2_ABaOnufdftoGc_2zW3XB8wDsRsPIMVf212nN22ed4RkxYVT2AtT4Ogm7JNy5aKEUYw")</f>
        <v>2_ABaOnufdftoGc_2zW3XB8wDsRsPIMVf212nN22ed4RkxYVT2AtT4Ogm7JNy5aKEUYw</v>
      </c>
      <c r="B78" s="4" t="str">
        <f ca="1">IFERROR(__xludf.DUMMYFUNCTION("""COMPUTED_VALUE"""),"Sau đại học, Chứng chỉ Kiểm toán viên, CPA Australia, IAP")</f>
        <v>Sau đại học, Chứng chỉ Kiểm toán viên, CPA Australia, IAP</v>
      </c>
      <c r="C78" s="4" t="str">
        <f ca="1">IFERROR(__xludf.DUMMYFUNCTION("""COMPUTED_VALUE"""),"2_ABaOnuf9Z_WcXLvxtv6IPHJtXUK9VxYf6mIMGBQbquDclj2UdX6_Z8gpzqS1tx27kA")</f>
        <v>2_ABaOnuf9Z_WcXLvxtv6IPHJtXUK9VxYf6mIMGBQbquDclj2UdX6_Z8gpzqS1tx27kA</v>
      </c>
      <c r="D78" s="4" t="str">
        <f ca="1">IFERROR(__xludf.DUMMYFUNCTION("""COMPUTED_VALUE"""),"Chứng chỉ Kiểm toán viên")</f>
        <v>Chứng chỉ Kiểm toán viên</v>
      </c>
    </row>
    <row r="79" spans="1:4" x14ac:dyDescent="0.25">
      <c r="A79" s="4" t="str">
        <f ca="1">IFERROR(__xludf.DUMMYFUNCTION("""COMPUTED_VALUE"""),"2_ABaOnucCobN7tIWtQTiREMc1W9OEO3ghmHhKJLNdWSwaUhUkQe2GimpTTMnDkXy1Fw")</f>
        <v>2_ABaOnucCobN7tIWtQTiREMc1W9OEO3ghmHhKJLNdWSwaUhUkQe2GimpTTMnDkXy1Fw</v>
      </c>
      <c r="B79" s="4" t="str">
        <f ca="1">IFERROR(__xludf.DUMMYFUNCTION("""COMPUTED_VALUE"""),"Đại học, Chứng chỉ Kiểm toán viên")</f>
        <v>Đại học, Chứng chỉ Kiểm toán viên</v>
      </c>
      <c r="C79" s="4" t="str">
        <f ca="1">IFERROR(__xludf.DUMMYFUNCTION("""COMPUTED_VALUE"""),"2_ABaOnufjjDWytK0F9YX4o7qhNJdvPMwJpu3OfklgI1ZhsqXFWjlJaO1hs0dCHCMPeA")</f>
        <v>2_ABaOnufjjDWytK0F9YX4o7qhNJdvPMwJpu3OfklgI1ZhsqXFWjlJaO1hs0dCHCMPeA</v>
      </c>
      <c r="D79" s="4" t="str">
        <f ca="1">IFERROR(__xludf.DUMMYFUNCTION("""COMPUTED_VALUE"""),"Đại học")</f>
        <v>Đại học</v>
      </c>
    </row>
    <row r="80" spans="1:4" x14ac:dyDescent="0.25">
      <c r="A80" s="4" t="str">
        <f ca="1">IFERROR(__xludf.DUMMYFUNCTION("""COMPUTED_VALUE"""),"2_ABaOnudb1Xfh5Bc7jX_mJbktXJlFukXCG8RxOJQGKbfsVIFHpATfFS4XHqsUH-H1Hg")</f>
        <v>2_ABaOnudb1Xfh5Bc7jX_mJbktXJlFukXCG8RxOJQGKbfsVIFHpATfFS4XHqsUH-H1Hg</v>
      </c>
      <c r="B80" s="4" t="str">
        <f ca="1">IFERROR(__xludf.DUMMYFUNCTION("""COMPUTED_VALUE"""),"Đại học, Chứng chỉ Kiểm toán viên")</f>
        <v>Đại học, Chứng chỉ Kiểm toán viên</v>
      </c>
      <c r="C80" s="4" t="str">
        <f ca="1">IFERROR(__xludf.DUMMYFUNCTION("""COMPUTED_VALUE"""),"2_ABaOnufjjDWytK0F9YX4o7qhNJdvPMwJpu3OfklgI1ZhsqXFWjlJaO1hs0dCHCMPeA")</f>
        <v>2_ABaOnufjjDWytK0F9YX4o7qhNJdvPMwJpu3OfklgI1ZhsqXFWjlJaO1hs0dCHCMPeA</v>
      </c>
      <c r="D80" s="4" t="str">
        <f ca="1">IFERROR(__xludf.DUMMYFUNCTION("""COMPUTED_VALUE"""),"Chứng chỉ Kiểm toán viên")</f>
        <v>Chứng chỉ Kiểm toán viên</v>
      </c>
    </row>
    <row r="81" spans="1:4" x14ac:dyDescent="0.25">
      <c r="A81" s="4" t="str">
        <f ca="1">IFERROR(__xludf.DUMMYFUNCTION("""COMPUTED_VALUE"""),"2_ABaOnueHmcn0Bnq5bOmPk-t7FVXHCp2BZ6BvBQZnlq4g1Nq2A2vGcGIfpmomxZjQHA")</f>
        <v>2_ABaOnueHmcn0Bnq5bOmPk-t7FVXHCp2BZ6BvBQZnlq4g1Nq2A2vGcGIfpmomxZjQHA</v>
      </c>
      <c r="B81" s="4" t="str">
        <f ca="1">IFERROR(__xludf.DUMMYFUNCTION("""COMPUTED_VALUE"""),"Đại học, Chứng chỉ Kiểm toán viên")</f>
        <v>Đại học, Chứng chỉ Kiểm toán viên</v>
      </c>
      <c r="C81" s="4" t="str">
        <f ca="1">IFERROR(__xludf.DUMMYFUNCTION("""COMPUTED_VALUE"""),"2_ABaOnuc4BCNwuAAbiuBhEXknyV62WyQl-fg-0FSrdzLuO_p_ekSgYM-Uhr3wmiZJLQ")</f>
        <v>2_ABaOnuc4BCNwuAAbiuBhEXknyV62WyQl-fg-0FSrdzLuO_p_ekSgYM-Uhr3wmiZJLQ</v>
      </c>
      <c r="D81" s="4" t="str">
        <f ca="1">IFERROR(__xludf.DUMMYFUNCTION("""COMPUTED_VALUE"""),"Đại học")</f>
        <v>Đại học</v>
      </c>
    </row>
    <row r="82" spans="1:4" x14ac:dyDescent="0.25">
      <c r="A82" s="4" t="str">
        <f ca="1">IFERROR(__xludf.DUMMYFUNCTION("""COMPUTED_VALUE"""),"2_ABaOnuda5VZmzEAyuAezW196UclHKTBp1HpD582dVMjj01vc9hAwiLwdm99bmMf7uQ")</f>
        <v>2_ABaOnuda5VZmzEAyuAezW196UclHKTBp1HpD582dVMjj01vc9hAwiLwdm99bmMf7uQ</v>
      </c>
      <c r="B82" s="4" t="str">
        <f ca="1">IFERROR(__xludf.DUMMYFUNCTION("""COMPUTED_VALUE"""),"Đại học, Chứng chỉ Kiểm toán viên")</f>
        <v>Đại học, Chứng chỉ Kiểm toán viên</v>
      </c>
      <c r="C82" s="4" t="str">
        <f ca="1">IFERROR(__xludf.DUMMYFUNCTION("""COMPUTED_VALUE"""),"2_ABaOnudwjfPLNGzBm2zH0KW62i-8QNRjZBLFmkD95aHZUiEXrJ8VZrspV2b5vIfblw")</f>
        <v>2_ABaOnudwjfPLNGzBm2zH0KW62i-8QNRjZBLFmkD95aHZUiEXrJ8VZrspV2b5vIfblw</v>
      </c>
      <c r="D82" s="4" t="str">
        <f ca="1">IFERROR(__xludf.DUMMYFUNCTION("""COMPUTED_VALUE"""),"Đại học")</f>
        <v>Đại học</v>
      </c>
    </row>
    <row r="83" spans="1:4" x14ac:dyDescent="0.25">
      <c r="A83" s="4" t="str">
        <f ca="1">IFERROR(__xludf.DUMMYFUNCTION("""COMPUTED_VALUE"""),"2_ABaOnudgRQteq7g7ufFjhnXi1ZoSrqmAAfiyePCm4ZoMakwZnszcOd2-RvTp91gfjg")</f>
        <v>2_ABaOnudgRQteq7g7ufFjhnXi1ZoSrqmAAfiyePCm4ZoMakwZnszcOd2-RvTp91gfjg</v>
      </c>
      <c r="B83" s="4" t="str">
        <f ca="1">IFERROR(__xludf.DUMMYFUNCTION("""COMPUTED_VALUE"""),"Đại học, Chứng chỉ Kiểm toán viên")</f>
        <v>Đại học, Chứng chỉ Kiểm toán viên</v>
      </c>
      <c r="C83" s="4" t="str">
        <f ca="1">IFERROR(__xludf.DUMMYFUNCTION("""COMPUTED_VALUE"""),"2_ABaOnudwjfPLNGzBm2zH0KW62i-8QNRjZBLFmkD95aHZUiEXrJ8VZrspV2b5vIfblw")</f>
        <v>2_ABaOnudwjfPLNGzBm2zH0KW62i-8QNRjZBLFmkD95aHZUiEXrJ8VZrspV2b5vIfblw</v>
      </c>
      <c r="D83" s="4" t="str">
        <f ca="1">IFERROR(__xludf.DUMMYFUNCTION("""COMPUTED_VALUE"""),"Chứng chỉ Kiểm toán viên")</f>
        <v>Chứng chỉ Kiểm toán viên</v>
      </c>
    </row>
    <row r="84" spans="1:4" x14ac:dyDescent="0.25">
      <c r="A84" s="4" t="str">
        <f ca="1">IFERROR(__xludf.DUMMYFUNCTION("""COMPUTED_VALUE"""),"2_ABaOnuc_YLJ8X5pNjjub8vea43X3VtcaBWqpbArbyS_uKMwgoYf0jL92HtAm247rwA")</f>
        <v>2_ABaOnuc_YLJ8X5pNjjub8vea43X3VtcaBWqpbArbyS_uKMwgoYf0jL92HtAm247rwA</v>
      </c>
      <c r="B84" s="4" t="str">
        <f ca="1">IFERROR(__xludf.DUMMYFUNCTION("""COMPUTED_VALUE"""),"Đại học")</f>
        <v>Đại học</v>
      </c>
      <c r="C84" s="4" t="str">
        <f ca="1">IFERROR(__xludf.DUMMYFUNCTION("""COMPUTED_VALUE"""),"2_ABaOnufn5ok-lo4_xjNP8SBKU7OABUdqfpi13ECeZOeGIm7AIKN4XuIFwb1ft9NAgg")</f>
        <v>2_ABaOnufn5ok-lo4_xjNP8SBKU7OABUdqfpi13ECeZOeGIm7AIKN4XuIFwb1ft9NAgg</v>
      </c>
      <c r="D84" s="4" t="str">
        <f ca="1">IFERROR(__xludf.DUMMYFUNCTION("""COMPUTED_VALUE"""),"Đại học")</f>
        <v>Đại học</v>
      </c>
    </row>
    <row r="85" spans="1:4" x14ac:dyDescent="0.25">
      <c r="A85" s="4" t="str">
        <f ca="1">IFERROR(__xludf.DUMMYFUNCTION("""COMPUTED_VALUE"""),"2_ABaOnufZ5dxr6y_nVhZITPGObKt3DGdjq23q93n946w77IjESCQYKxWtEIvRbQirbw")</f>
        <v>2_ABaOnufZ5dxr6y_nVhZITPGObKt3DGdjq23q93n946w77IjESCQYKxWtEIvRbQirbw</v>
      </c>
      <c r="B85" s="4" t="str">
        <f ca="1">IFERROR(__xludf.DUMMYFUNCTION("""COMPUTED_VALUE"""),"Đại học")</f>
        <v>Đại học</v>
      </c>
      <c r="C85" s="4" t="str">
        <f ca="1">IFERROR(__xludf.DUMMYFUNCTION("""COMPUTED_VALUE"""),"2_ABaOnucqDb6avlGOWh8swSFYMPOtT-6eR6TOFfwX-ONmH9Urq-kEPsuKkdTlv6jCkw")</f>
        <v>2_ABaOnucqDb6avlGOWh8swSFYMPOtT-6eR6TOFfwX-ONmH9Urq-kEPsuKkdTlv6jCkw</v>
      </c>
      <c r="D85" s="4" t="str">
        <f ca="1">IFERROR(__xludf.DUMMYFUNCTION("""COMPUTED_VALUE"""),"Đại học")</f>
        <v>Đại học</v>
      </c>
    </row>
    <row r="86" spans="1:4" x14ac:dyDescent="0.25">
      <c r="A86" s="4" t="str">
        <f ca="1">IFERROR(__xludf.DUMMYFUNCTION("""COMPUTED_VALUE"""),"2_ABaOnufWBhhMQH5a7zZUoBn67TC39q2dqLWc0id2TM6JKyoQjUXt92Tuknx1KGP58Q")</f>
        <v>2_ABaOnufWBhhMQH5a7zZUoBn67TC39q2dqLWc0id2TM6JKyoQjUXt92Tuknx1KGP58Q</v>
      </c>
      <c r="B86" s="4" t="str">
        <f ca="1">IFERROR(__xludf.DUMMYFUNCTION("""COMPUTED_VALUE"""),"Đại học")</f>
        <v>Đại học</v>
      </c>
      <c r="C86" s="4" t="str">
        <f ca="1">IFERROR(__xludf.DUMMYFUNCTION("""COMPUTED_VALUE"""),"2_ABaOnucfz_0UoLgoaNB00bea7DBsysv2wmihhr0kIQ9JQDaNnRwGxRSBuGDYIvpm1g")</f>
        <v>2_ABaOnucfz_0UoLgoaNB00bea7DBsysv2wmihhr0kIQ9JQDaNnRwGxRSBuGDYIvpm1g</v>
      </c>
      <c r="D86" s="4" t="str">
        <f ca="1">IFERROR(__xludf.DUMMYFUNCTION("""COMPUTED_VALUE"""),"Sau đại học")</f>
        <v>Sau đại học</v>
      </c>
    </row>
    <row r="87" spans="1:4" x14ac:dyDescent="0.25">
      <c r="A87" s="4" t="str">
        <f ca="1">IFERROR(__xludf.DUMMYFUNCTION("""COMPUTED_VALUE"""),"2_ABaOnueN8pBtn1mc8wHe5047bAfnBkQHj9Lw4udiS8BAyE1f6w06myxeTA4mA-ziOQ")</f>
        <v>2_ABaOnueN8pBtn1mc8wHe5047bAfnBkQHj9Lw4udiS8BAyE1f6w06myxeTA4mA-ziOQ</v>
      </c>
      <c r="B87" s="4" t="str">
        <f ca="1">IFERROR(__xludf.DUMMYFUNCTION("""COMPUTED_VALUE"""),"Đại học")</f>
        <v>Đại học</v>
      </c>
      <c r="C87" s="4" t="str">
        <f ca="1">IFERROR(__xludf.DUMMYFUNCTION("""COMPUTED_VALUE"""),"2_ABaOnucfz_0UoLgoaNB00bea7DBsysv2wmihhr0kIQ9JQDaNnRwGxRSBuGDYIvpm1g")</f>
        <v>2_ABaOnucfz_0UoLgoaNB00bea7DBsysv2wmihhr0kIQ9JQDaNnRwGxRSBuGDYIvpm1g</v>
      </c>
      <c r="D87" s="4" t="str">
        <f ca="1">IFERROR(__xludf.DUMMYFUNCTION("""COMPUTED_VALUE"""),"Chứng chỉ Kiểm toán viên")</f>
        <v>Chứng chỉ Kiểm toán viên</v>
      </c>
    </row>
    <row r="88" spans="1:4" x14ac:dyDescent="0.25">
      <c r="A88" s="4" t="str">
        <f ca="1">IFERROR(__xludf.DUMMYFUNCTION("""COMPUTED_VALUE"""),"2_ABaOnuefrS5GJRK7e7qzfyUnBHqy2nPmve6dNJqKALl0w-N789YGn_9gKXQ5YIefmw")</f>
        <v>2_ABaOnuefrS5GJRK7e7qzfyUnBHqy2nPmve6dNJqKALl0w-N789YGn_9gKXQ5YIefmw</v>
      </c>
      <c r="B88" s="4" t="str">
        <f ca="1">IFERROR(__xludf.DUMMYFUNCTION("""COMPUTED_VALUE"""),"Đại học, Chứng chỉ Kiểm toán viên")</f>
        <v>Đại học, Chứng chỉ Kiểm toán viên</v>
      </c>
      <c r="C88" s="4" t="str">
        <f ca="1">IFERROR(__xludf.DUMMYFUNCTION("""COMPUTED_VALUE"""),"2_ABaOnudCKJVhucRTVG1nupUuOhrKXVmXRvqQqD5sYNQn34uxnm-Tp-VOJVwv1ICPQA")</f>
        <v>2_ABaOnudCKJVhucRTVG1nupUuOhrKXVmXRvqQqD5sYNQn34uxnm-Tp-VOJVwv1ICPQA</v>
      </c>
      <c r="D88" s="4" t="str">
        <f ca="1">IFERROR(__xludf.DUMMYFUNCTION("""COMPUTED_VALUE"""),"Đại học")</f>
        <v>Đại học</v>
      </c>
    </row>
    <row r="89" spans="1:4" x14ac:dyDescent="0.25">
      <c r="A89" s="4" t="str">
        <f ca="1">IFERROR(__xludf.DUMMYFUNCTION("""COMPUTED_VALUE"""),"2_ABaOnucs8Vo_d5Qw_yLdfgo2vXSVjDMR0110OnVTX1pac_1XarWPoZyfVu7RJbretg")</f>
        <v>2_ABaOnucs8Vo_d5Qw_yLdfgo2vXSVjDMR0110OnVTX1pac_1XarWPoZyfVu7RJbretg</v>
      </c>
      <c r="B89" s="4" t="str">
        <f ca="1">IFERROR(__xludf.DUMMYFUNCTION("""COMPUTED_VALUE"""),"Đại học, Chứng chỉ Kiểm toán viên")</f>
        <v>Đại học, Chứng chỉ Kiểm toán viên</v>
      </c>
      <c r="C89" s="4" t="str">
        <f ca="1">IFERROR(__xludf.DUMMYFUNCTION("""COMPUTED_VALUE"""),"2_ABaOnudCKJVhucRTVG1nupUuOhrKXVmXRvqQqD5sYNQn34uxnm-Tp-VOJVwv1ICPQA")</f>
        <v>2_ABaOnudCKJVhucRTVG1nupUuOhrKXVmXRvqQqD5sYNQn34uxnm-Tp-VOJVwv1ICPQA</v>
      </c>
      <c r="D89" s="4" t="str">
        <f ca="1">IFERROR(__xludf.DUMMYFUNCTION("""COMPUTED_VALUE"""),"Chứng chỉ Kiểm toán viên")</f>
        <v>Chứng chỉ Kiểm toán viên</v>
      </c>
    </row>
    <row r="90" spans="1:4" x14ac:dyDescent="0.25">
      <c r="A90" s="4" t="str">
        <f ca="1">IFERROR(__xludf.DUMMYFUNCTION("""COMPUTED_VALUE"""),"2_ABaOnucZqg6HtuMJhYR-BS5g0Ti56d__EBMFrJbS7j2jO0XBuFmmhCjyCeyXtyXChg")</f>
        <v>2_ABaOnucZqg6HtuMJhYR-BS5g0Ti56d__EBMFrJbS7j2jO0XBuFmmhCjyCeyXtyXChg</v>
      </c>
      <c r="B90" s="4" t="str">
        <f ca="1">IFERROR(__xludf.DUMMYFUNCTION("""COMPUTED_VALUE"""),"Đại học")</f>
        <v>Đại học</v>
      </c>
      <c r="C90" s="4" t="str">
        <f ca="1">IFERROR(__xludf.DUMMYFUNCTION("""COMPUTED_VALUE"""),"2_ABaOnufaZl7i5RTga68MDztQq-JsPZ60GmxMT8LsxBbdDX0twTv9ufHDnAkVVQP_OA")</f>
        <v>2_ABaOnufaZl7i5RTga68MDztQq-JsPZ60GmxMT8LsxBbdDX0twTv9ufHDnAkVVQP_OA</v>
      </c>
      <c r="D90" s="4" t="str">
        <f ca="1">IFERROR(__xludf.DUMMYFUNCTION("""COMPUTED_VALUE"""),"Đại học")</f>
        <v>Đại học</v>
      </c>
    </row>
    <row r="91" spans="1:4" x14ac:dyDescent="0.25">
      <c r="A91" s="4" t="str">
        <f ca="1">IFERROR(__xludf.DUMMYFUNCTION("""COMPUTED_VALUE"""),"2_ABaOnuf22qBfRURDawua1m-pfMjW7DZ3I3YlRSJRCWiMUaF7k5h1Oyld0Ec8-xo08w")</f>
        <v>2_ABaOnuf22qBfRURDawua1m-pfMjW7DZ3I3YlRSJRCWiMUaF7k5h1Oyld0Ec8-xo08w</v>
      </c>
      <c r="B91" s="4" t="str">
        <f ca="1">IFERROR(__xludf.DUMMYFUNCTION("""COMPUTED_VALUE"""),"Đại học, Chứng chỉ Kiểm toán viên")</f>
        <v>Đại học, Chứng chỉ Kiểm toán viên</v>
      </c>
      <c r="C91" s="4" t="str">
        <f ca="1">IFERROR(__xludf.DUMMYFUNCTION("""COMPUTED_VALUE"""),"2_ABaOnudqRNWTjFkvp--Dw85a_yUtj5xunShR5knHGA1lfqM9poP0Ti1rrZiuVnopCw")</f>
        <v>2_ABaOnudqRNWTjFkvp--Dw85a_yUtj5xunShR5knHGA1lfqM9poP0Ti1rrZiuVnopCw</v>
      </c>
      <c r="D91" s="4" t="str">
        <f ca="1">IFERROR(__xludf.DUMMYFUNCTION("""COMPUTED_VALUE"""),"Đại học")</f>
        <v>Đại học</v>
      </c>
    </row>
    <row r="92" spans="1:4" x14ac:dyDescent="0.25">
      <c r="A92" s="4" t="str">
        <f ca="1">IFERROR(__xludf.DUMMYFUNCTION("""COMPUTED_VALUE"""),"2_ABaOnud9W94OV0qtErAdXAPfVbfBO4WBRDKpwB0xuEc-CdmcyB415bBU6JHJLVo6GA")</f>
        <v>2_ABaOnud9W94OV0qtErAdXAPfVbfBO4WBRDKpwB0xuEc-CdmcyB415bBU6JHJLVo6GA</v>
      </c>
      <c r="B92" s="4" t="str">
        <f ca="1">IFERROR(__xludf.DUMMYFUNCTION("""COMPUTED_VALUE"""),"Đại học")</f>
        <v>Đại học</v>
      </c>
      <c r="C92" s="4" t="str">
        <f ca="1">IFERROR(__xludf.DUMMYFUNCTION("""COMPUTED_VALUE"""),"2_ABaOnuePEgoiNmVbwUMHL3KYjHrV40sZVFpbhDbLuDLiuxSMACafeE16Gc3jrdwAaw")</f>
        <v>2_ABaOnuePEgoiNmVbwUMHL3KYjHrV40sZVFpbhDbLuDLiuxSMACafeE16Gc3jrdwAaw</v>
      </c>
      <c r="D92" s="4" t="str">
        <f ca="1">IFERROR(__xludf.DUMMYFUNCTION("""COMPUTED_VALUE"""),"Đại học")</f>
        <v>Đại học</v>
      </c>
    </row>
    <row r="93" spans="1:4" x14ac:dyDescent="0.25">
      <c r="A93" s="4" t="str">
        <f ca="1">IFERROR(__xludf.DUMMYFUNCTION("""COMPUTED_VALUE"""),"2_ABaOnueDjv_uJqc70OtQ-aHx6Et5IxjBAvzyeTmS__rXNJJpcOx6ayY6g9agLn0V4w")</f>
        <v>2_ABaOnueDjv_uJqc70OtQ-aHx6Et5IxjBAvzyeTmS__rXNJJpcOx6ayY6g9agLn0V4w</v>
      </c>
      <c r="B93" s="4" t="str">
        <f ca="1">IFERROR(__xludf.DUMMYFUNCTION("""COMPUTED_VALUE"""),"Đại học")</f>
        <v>Đại học</v>
      </c>
      <c r="C93" s="4" t="str">
        <f ca="1">IFERROR(__xludf.DUMMYFUNCTION("""COMPUTED_VALUE"""),"2_ABaOnuePEgoiNmVbwUMHL3KYjHrV40sZVFpbhDbLuDLiuxSMACafeE16Gc3jrdwAaw")</f>
        <v>2_ABaOnuePEgoiNmVbwUMHL3KYjHrV40sZVFpbhDbLuDLiuxSMACafeE16Gc3jrdwAaw</v>
      </c>
      <c r="D93" s="4" t="str">
        <f ca="1">IFERROR(__xludf.DUMMYFUNCTION("""COMPUTED_VALUE"""),"Chứng chỉ Kiểm toán viên")</f>
        <v>Chứng chỉ Kiểm toán viên</v>
      </c>
    </row>
    <row r="94" spans="1:4" x14ac:dyDescent="0.25">
      <c r="A94" s="4" t="str">
        <f ca="1">IFERROR(__xludf.DUMMYFUNCTION("""COMPUTED_VALUE"""),"2_ABaOnufjxn3pI5dAfoFdx3Ycpixi3uA10eHXc5IsrX7fI9i3Yfoaxjn1TbyMWUCA9A")</f>
        <v>2_ABaOnufjxn3pI5dAfoFdx3Ycpixi3uA10eHXc5IsrX7fI9i3Yfoaxjn1TbyMWUCA9A</v>
      </c>
      <c r="B94" s="4" t="str">
        <f ca="1">IFERROR(__xludf.DUMMYFUNCTION("""COMPUTED_VALUE"""),"Đại học")</f>
        <v>Đại học</v>
      </c>
      <c r="C94" s="4" t="str">
        <f ca="1">IFERROR(__xludf.DUMMYFUNCTION("""COMPUTED_VALUE"""),"2_ABaOnufb_SO45mr4868VzXkPiwXmtN6n3dyw3-QB9I5Yvp0wgwcyu5fiGdcoJO51sA")</f>
        <v>2_ABaOnufb_SO45mr4868VzXkPiwXmtN6n3dyw3-QB9I5Yvp0wgwcyu5fiGdcoJO51sA</v>
      </c>
      <c r="D94" s="4" t="str">
        <f ca="1">IFERROR(__xludf.DUMMYFUNCTION("""COMPUTED_VALUE"""),"Đại học")</f>
        <v>Đại học</v>
      </c>
    </row>
    <row r="95" spans="1:4" x14ac:dyDescent="0.25">
      <c r="A95" s="4" t="str">
        <f ca="1">IFERROR(__xludf.DUMMYFUNCTION("""COMPUTED_VALUE"""),"2_ABaOnuc_9sag6fLeZAeDSGYqtxTA_Ob3u5Cm0JGIxv3oNSZOgImTipEolLnc5fidqw")</f>
        <v>2_ABaOnuc_9sag6fLeZAeDSGYqtxTA_Ob3u5Cm0JGIxv3oNSZOgImTipEolLnc5fidqw</v>
      </c>
      <c r="B95" s="4" t="str">
        <f ca="1">IFERROR(__xludf.DUMMYFUNCTION("""COMPUTED_VALUE"""),"Đại học, Chứng chỉ Kiểm toán viên")</f>
        <v>Đại học, Chứng chỉ Kiểm toán viên</v>
      </c>
      <c r="C95" s="4" t="str">
        <f ca="1">IFERROR(__xludf.DUMMYFUNCTION("""COMPUTED_VALUE"""),"2_ABaOnufb_SO45mr4868VzXkPiwXmtN6n3dyw3-QB9I5Yvp0wgwcyu5fiGdcoJO51sA")</f>
        <v>2_ABaOnufb_SO45mr4868VzXkPiwXmtN6n3dyw3-QB9I5Yvp0wgwcyu5fiGdcoJO51sA</v>
      </c>
      <c r="D95" s="4" t="str">
        <f ca="1">IFERROR(__xludf.DUMMYFUNCTION("""COMPUTED_VALUE"""),"Chứng chỉ Kiểm toán viên")</f>
        <v>Chứng chỉ Kiểm toán viên</v>
      </c>
    </row>
    <row r="96" spans="1:4" x14ac:dyDescent="0.25">
      <c r="A96" s="4" t="str">
        <f ca="1">IFERROR(__xludf.DUMMYFUNCTION("""COMPUTED_VALUE"""),"2_ABaOnuehpMBNFyBKUThJOUCEJD-NogvPj7bucy2-PqlCbrT7ZxLnrkKfmLK6SPdc_w")</f>
        <v>2_ABaOnuehpMBNFyBKUThJOUCEJD-NogvPj7bucy2-PqlCbrT7ZxLnrkKfmLK6SPdc_w</v>
      </c>
      <c r="B96" s="4" t="str">
        <f ca="1">IFERROR(__xludf.DUMMYFUNCTION("""COMPUTED_VALUE"""),"Đại học, Chứng chỉ Kiểm toán viên")</f>
        <v>Đại học, Chứng chỉ Kiểm toán viên</v>
      </c>
      <c r="C96" s="4" t="str">
        <f ca="1">IFERROR(__xludf.DUMMYFUNCTION("""COMPUTED_VALUE"""),"2_ABaOnud0ADvWGLaULm_meX2gnF8IOn-gepBmIVrCdJ98Cp6hAliP-DpegJAECuECTA")</f>
        <v>2_ABaOnud0ADvWGLaULm_meX2gnF8IOn-gepBmIVrCdJ98Cp6hAliP-DpegJAECuECTA</v>
      </c>
      <c r="D96" s="4" t="str">
        <f ca="1">IFERROR(__xludf.DUMMYFUNCTION("""COMPUTED_VALUE"""),"Chứng chỉ Kiểm toán viên")</f>
        <v>Chứng chỉ Kiểm toán viên</v>
      </c>
    </row>
    <row r="97" spans="1:4" x14ac:dyDescent="0.25">
      <c r="A97" s="4" t="str">
        <f ca="1">IFERROR(__xludf.DUMMYFUNCTION("""COMPUTED_VALUE"""),"2_ABaOnucu-IrEpIiLgHmWEjH8QmuZknMYxRe12zCMXxUD1jgcWspEtoT3NTH50w38zg")</f>
        <v>2_ABaOnucu-IrEpIiLgHmWEjH8QmuZknMYxRe12zCMXxUD1jgcWspEtoT3NTH50w38zg</v>
      </c>
      <c r="B97" s="4" t="str">
        <f ca="1">IFERROR(__xludf.DUMMYFUNCTION("""COMPUTED_VALUE"""),"Sau đại học, Chứng chỉ Kiểm toán viên")</f>
        <v>Sau đại học, Chứng chỉ Kiểm toán viên</v>
      </c>
      <c r="C97" s="4" t="str">
        <f ca="1">IFERROR(__xludf.DUMMYFUNCTION("""COMPUTED_VALUE"""),"2_ABaOnud4BXwwt3kJ5kITrNoaW5wU9_KVyeSpbDo1dHq-ZwIuzdhGz6HKGpnjQWrj4g")</f>
        <v>2_ABaOnud4BXwwt3kJ5kITrNoaW5wU9_KVyeSpbDo1dHq-ZwIuzdhGz6HKGpnjQWrj4g</v>
      </c>
      <c r="D97" s="4" t="str">
        <f ca="1">IFERROR(__xludf.DUMMYFUNCTION("""COMPUTED_VALUE"""),"Đại học")</f>
        <v>Đại học</v>
      </c>
    </row>
    <row r="98" spans="1:4" x14ac:dyDescent="0.25">
      <c r="A98" s="4" t="str">
        <f ca="1">IFERROR(__xludf.DUMMYFUNCTION("""COMPUTED_VALUE"""),"2_ABaOnudiSamWC1P8IcMvk2aeWKdlptw0MUwq_Rd5qg9_zm3o5uD9XskeJqi7fgO4XA")</f>
        <v>2_ABaOnudiSamWC1P8IcMvk2aeWKdlptw0MUwq_Rd5qg9_zm3o5uD9XskeJqi7fgO4XA</v>
      </c>
      <c r="B98" s="4" t="str">
        <f ca="1">IFERROR(__xludf.DUMMYFUNCTION("""COMPUTED_VALUE"""),"Đại học, Chứng chỉ Kiểm toán viên")</f>
        <v>Đại học, Chứng chỉ Kiểm toán viên</v>
      </c>
      <c r="C98" s="4" t="str">
        <f ca="1">IFERROR(__xludf.DUMMYFUNCTION("""COMPUTED_VALUE"""),"2_ABaOnudSPZo8reVpx4ykvMrnalH5QYN_TxBdSbpt-KCJOOHL8A7f1V5XFBEAsnNt_w")</f>
        <v>2_ABaOnudSPZo8reVpx4ykvMrnalH5QYN_TxBdSbpt-KCJOOHL8A7f1V5XFBEAsnNt_w</v>
      </c>
      <c r="D98" s="4" t="str">
        <f ca="1">IFERROR(__xludf.DUMMYFUNCTION("""COMPUTED_VALUE"""),"Đại học")</f>
        <v>Đại học</v>
      </c>
    </row>
    <row r="99" spans="1:4" x14ac:dyDescent="0.25">
      <c r="A99" s="4" t="str">
        <f ca="1">IFERROR(__xludf.DUMMYFUNCTION("""COMPUTED_VALUE"""),"2_ABaOnudF_8-fVhfZi-xapxvWW6GMHaN6Xgm17JeyYJhdEnb9AC9uHpTD5c3jr0u5Kg")</f>
        <v>2_ABaOnudF_8-fVhfZi-xapxvWW6GMHaN6Xgm17JeyYJhdEnb9AC9uHpTD5c3jr0u5Kg</v>
      </c>
      <c r="B99" s="4" t="str">
        <f ca="1">IFERROR(__xludf.DUMMYFUNCTION("""COMPUTED_VALUE"""),"Đại học, Chứng chỉ Kiểm toán viên")</f>
        <v>Đại học, Chứng chỉ Kiểm toán viên</v>
      </c>
      <c r="C99" s="4" t="str">
        <f ca="1">IFERROR(__xludf.DUMMYFUNCTION("""COMPUTED_VALUE"""),"2_ABaOnudSPZo8reVpx4ykvMrnalH5QYN_TxBdSbpt-KCJOOHL8A7f1V5XFBEAsnNt_w")</f>
        <v>2_ABaOnudSPZo8reVpx4ykvMrnalH5QYN_TxBdSbpt-KCJOOHL8A7f1V5XFBEAsnNt_w</v>
      </c>
      <c r="D99" s="4" t="str">
        <f ca="1">IFERROR(__xludf.DUMMYFUNCTION("""COMPUTED_VALUE"""),"Sau đại học")</f>
        <v>Sau đại học</v>
      </c>
    </row>
    <row r="100" spans="1:4" x14ac:dyDescent="0.25">
      <c r="A100" s="4" t="str">
        <f ca="1">IFERROR(__xludf.DUMMYFUNCTION("""COMPUTED_VALUE"""),"2_ABaOnucEmXsG_9QnKpMNE3adukyoJGxtDkxYM7ZongMrTnr-hTLzDVWMLaOOqJAsoA")</f>
        <v>2_ABaOnucEmXsG_9QnKpMNE3adukyoJGxtDkxYM7ZongMrTnr-hTLzDVWMLaOOqJAsoA</v>
      </c>
      <c r="B100" s="4" t="str">
        <f ca="1">IFERROR(__xludf.DUMMYFUNCTION("""COMPUTED_VALUE"""),"Đại học")</f>
        <v>Đại học</v>
      </c>
      <c r="C100" s="4" t="str">
        <f ca="1">IFERROR(__xludf.DUMMYFUNCTION("""COMPUTED_VALUE"""),"2_ABaOnudSPZo8reVpx4ykvMrnalH5QYN_TxBdSbpt-KCJOOHL8A7f1V5XFBEAsnNt_w")</f>
        <v>2_ABaOnudSPZo8reVpx4ykvMrnalH5QYN_TxBdSbpt-KCJOOHL8A7f1V5XFBEAsnNt_w</v>
      </c>
      <c r="D100" s="4" t="str">
        <f ca="1">IFERROR(__xludf.DUMMYFUNCTION("""COMPUTED_VALUE"""),"Chứng chỉ Kiểm toán viên")</f>
        <v>Chứng chỉ Kiểm toán viên</v>
      </c>
    </row>
    <row r="101" spans="1:4" x14ac:dyDescent="0.25">
      <c r="A101" s="4" t="str">
        <f ca="1">IFERROR(__xludf.DUMMYFUNCTION("""COMPUTED_VALUE"""),"2_ABaOnucZpyerIaWHJH2Cbs18hSWLL0jfa1NIQkM147xGuGuJCODiV2uRBGb9lMx20g")</f>
        <v>2_ABaOnucZpyerIaWHJH2Cbs18hSWLL0jfa1NIQkM147xGuGuJCODiV2uRBGb9lMx20g</v>
      </c>
      <c r="B101" s="4" t="str">
        <f ca="1">IFERROR(__xludf.DUMMYFUNCTION("""COMPUTED_VALUE"""),"Đại học, Chứng chỉ Kiểm toán viên")</f>
        <v>Đại học, Chứng chỉ Kiểm toán viên</v>
      </c>
      <c r="C101" s="4" t="str">
        <f ca="1">IFERROR(__xludf.DUMMYFUNCTION("""COMPUTED_VALUE"""),"2_ABaOnudSPZo8reVpx4ykvMrnalH5QYN_TxBdSbpt-KCJOOHL8A7f1V5XFBEAsnNt_w")</f>
        <v>2_ABaOnudSPZo8reVpx4ykvMrnalH5QYN_TxBdSbpt-KCJOOHL8A7f1V5XFBEAsnNt_w</v>
      </c>
      <c r="D101" s="4" t="str">
        <f ca="1">IFERROR(__xludf.DUMMYFUNCTION("""COMPUTED_VALUE"""),"Luật sư")</f>
        <v>Luật sư</v>
      </c>
    </row>
    <row r="102" spans="1:4" x14ac:dyDescent="0.25">
      <c r="A102" s="4" t="str">
        <f ca="1">IFERROR(__xludf.DUMMYFUNCTION("""COMPUTED_VALUE"""),"2_ABaOnufmHl-zPsFviApoaTyhGIC8L7KdTEPiNsVdEga0I4rrO2AUm8MftFEaYsqcAQ")</f>
        <v>2_ABaOnufmHl-zPsFviApoaTyhGIC8L7KdTEPiNsVdEga0I4rrO2AUm8MftFEaYsqcAQ</v>
      </c>
      <c r="B102" s="4" t="str">
        <f ca="1">IFERROR(__xludf.DUMMYFUNCTION("""COMPUTED_VALUE"""),"Đại học, Chứng chỉ Kiểm toán viên")</f>
        <v>Đại học, Chứng chỉ Kiểm toán viên</v>
      </c>
      <c r="C102" s="4" t="str">
        <f ca="1">IFERROR(__xludf.DUMMYFUNCTION("""COMPUTED_VALUE"""),"2_ABaOnudSPZo8reVpx4ykvMrnalH5QYN_TxBdSbpt-KCJOOHL8A7f1V5XFBEAsnNt_w")</f>
        <v>2_ABaOnudSPZo8reVpx4ykvMrnalH5QYN_TxBdSbpt-KCJOOHL8A7f1V5XFBEAsnNt_w</v>
      </c>
      <c r="D102" s="4" t="str">
        <f ca="1">IFERROR(__xludf.DUMMYFUNCTION("""COMPUTED_VALUE"""),"Quản tài viên")</f>
        <v>Quản tài viên</v>
      </c>
    </row>
    <row r="103" spans="1:4" x14ac:dyDescent="0.25">
      <c r="A103" s="4" t="str">
        <f ca="1">IFERROR(__xludf.DUMMYFUNCTION("""COMPUTED_VALUE"""),"2_ABaOnudP3-LTxoKk3JQBi0KS4pQDA69k7rj0brQGzR9_vCZRCXPhqiiVSQqlSl2sew")</f>
        <v>2_ABaOnudP3-LTxoKk3JQBi0KS4pQDA69k7rj0brQGzR9_vCZRCXPhqiiVSQqlSl2sew</v>
      </c>
      <c r="B103" s="4" t="str">
        <f ca="1">IFERROR(__xludf.DUMMYFUNCTION("""COMPUTED_VALUE"""),"Chứng chỉ Kiểm toán viên")</f>
        <v>Chứng chỉ Kiểm toán viên</v>
      </c>
      <c r="C103" s="4" t="str">
        <f ca="1">IFERROR(__xludf.DUMMYFUNCTION("""COMPUTED_VALUE"""),"2_ABaOnucc03THXG6U1jSORHNpe8XZI6hxM13TgcvWU0e1xhWbcLbrh5Xjcx6mafXhOA")</f>
        <v>2_ABaOnucc03THXG6U1jSORHNpe8XZI6hxM13TgcvWU0e1xhWbcLbrh5Xjcx6mafXhOA</v>
      </c>
      <c r="D103" s="4" t="str">
        <f ca="1">IFERROR(__xludf.DUMMYFUNCTION("""COMPUTED_VALUE"""),"Sau đại học")</f>
        <v>Sau đại học</v>
      </c>
    </row>
    <row r="104" spans="1:4" x14ac:dyDescent="0.25">
      <c r="A104" s="4" t="str">
        <f ca="1">IFERROR(__xludf.DUMMYFUNCTION("""COMPUTED_VALUE"""),"2_ABaOnuf_CVE19b9qsbbvu01CRtp_hSARYbHmpHPOUg7_vTKJUZZ2SgP2ln0tTx6E9Q")</f>
        <v>2_ABaOnuf_CVE19b9qsbbvu01CRtp_hSARYbHmpHPOUg7_vTKJUZZ2SgP2ln0tTx6E9Q</v>
      </c>
      <c r="B104" s="4" t="str">
        <f ca="1">IFERROR(__xludf.DUMMYFUNCTION("""COMPUTED_VALUE"""),"Đại học")</f>
        <v>Đại học</v>
      </c>
      <c r="C104" s="4" t="str">
        <f ca="1">IFERROR(__xludf.DUMMYFUNCTION("""COMPUTED_VALUE"""),"2_ABaOnucoRtan_39wSvEzjgEGzYTz7Sc8RYxUwQZGSDzWygu2Zhep0ybQkMCUVa9bpw")</f>
        <v>2_ABaOnucoRtan_39wSvEzjgEGzYTz7Sc8RYxUwQZGSDzWygu2Zhep0ybQkMCUVa9bpw</v>
      </c>
      <c r="D104" s="4" t="str">
        <f ca="1">IFERROR(__xludf.DUMMYFUNCTION("""COMPUTED_VALUE"""),"Đại học")</f>
        <v>Đại học</v>
      </c>
    </row>
    <row r="105" spans="1:4" x14ac:dyDescent="0.25">
      <c r="A105" s="4" t="str">
        <f ca="1">IFERROR(__xludf.DUMMYFUNCTION("""COMPUTED_VALUE"""),"2_ABaOnudU-wsksC-Xfbub-KsZptBrPOFnHKKe_ITwUDsNb3g8xaVHTy0Qk1Nt9v449A")</f>
        <v>2_ABaOnudU-wsksC-Xfbub-KsZptBrPOFnHKKe_ITwUDsNb3g8xaVHTy0Qk1Nt9v449A</v>
      </c>
      <c r="B105" s="4" t="str">
        <f ca="1">IFERROR(__xludf.DUMMYFUNCTION("""COMPUTED_VALUE"""),"Đại học")</f>
        <v>Đại học</v>
      </c>
      <c r="C105" s="4" t="str">
        <f ca="1">IFERROR(__xludf.DUMMYFUNCTION("""COMPUTED_VALUE"""),"2_ABaOnucoRtan_39wSvEzjgEGzYTz7Sc8RYxUwQZGSDzWygu2Zhep0ybQkMCUVa9bpw")</f>
        <v>2_ABaOnucoRtan_39wSvEzjgEGzYTz7Sc8RYxUwQZGSDzWygu2Zhep0ybQkMCUVa9bpw</v>
      </c>
      <c r="D105" s="4" t="str">
        <f ca="1">IFERROR(__xludf.DUMMYFUNCTION("""COMPUTED_VALUE"""),"Chứng chỉ Kiểm toán viên")</f>
        <v>Chứng chỉ Kiểm toán viên</v>
      </c>
    </row>
    <row r="106" spans="1:4" x14ac:dyDescent="0.25">
      <c r="A106" s="4" t="str">
        <f ca="1">IFERROR(__xludf.DUMMYFUNCTION("""COMPUTED_VALUE"""),"2_ABaOnueEQVwqmUJxnCrrL_r7gGiyA_Qga0qmIzQ721MMecYFLjkQsYpErpIL3h4Ygw")</f>
        <v>2_ABaOnueEQVwqmUJxnCrrL_r7gGiyA_Qga0qmIzQ721MMecYFLjkQsYpErpIL3h4Ygw</v>
      </c>
      <c r="B106" s="4" t="str">
        <f ca="1">IFERROR(__xludf.DUMMYFUNCTION("""COMPUTED_VALUE"""),"Chứng chỉ Kiểm toán viên")</f>
        <v>Chứng chỉ Kiểm toán viên</v>
      </c>
      <c r="C106" s="4" t="str">
        <f ca="1">IFERROR(__xludf.DUMMYFUNCTION("""COMPUTED_VALUE"""),"2_ABaOnueVIoVT2U7aJJml6Ekv0CHAP4v1nRNmTShQV9EFEot_ui7lOjSu1bdx6aCKNA")</f>
        <v>2_ABaOnueVIoVT2U7aJJml6Ekv0CHAP4v1nRNmTShQV9EFEot_ui7lOjSu1bdx6aCKNA</v>
      </c>
      <c r="D106" s="4" t="str">
        <f ca="1">IFERROR(__xludf.DUMMYFUNCTION("""COMPUTED_VALUE"""),"Đại học")</f>
        <v>Đại học</v>
      </c>
    </row>
    <row r="107" spans="1:4" x14ac:dyDescent="0.25">
      <c r="A107" s="4" t="str">
        <f ca="1">IFERROR(__xludf.DUMMYFUNCTION("""COMPUTED_VALUE"""),"2_ABaOnufNAvwOsgtdhiLrDc40zARBacD9KSUSVynMJyDAfi0VnwzzoN8nxC7JFnA58w")</f>
        <v>2_ABaOnufNAvwOsgtdhiLrDc40zARBacD9KSUSVynMJyDAfi0VnwzzoN8nxC7JFnA58w</v>
      </c>
      <c r="B107" s="4" t="str">
        <f ca="1">IFERROR(__xludf.DUMMYFUNCTION("""COMPUTED_VALUE"""),"Đại học")</f>
        <v>Đại học</v>
      </c>
      <c r="C107" s="4" t="str">
        <f ca="1">IFERROR(__xludf.DUMMYFUNCTION("""COMPUTED_VALUE"""),"2_ABaOnuccmu9B7KndNHi7uKQT90ScFnW6YsE7uXsVdeHSoKRswZqdu5wohB9YOxzWJA")</f>
        <v>2_ABaOnuccmu9B7KndNHi7uKQT90ScFnW6YsE7uXsVdeHSoKRswZqdu5wohB9YOxzWJA</v>
      </c>
      <c r="D107" s="4" t="str">
        <f ca="1">IFERROR(__xludf.DUMMYFUNCTION("""COMPUTED_VALUE"""),"Sau đại học")</f>
        <v>Sau đại học</v>
      </c>
    </row>
    <row r="108" spans="1:4" x14ac:dyDescent="0.25">
      <c r="A108" s="4" t="str">
        <f ca="1">IFERROR(__xludf.DUMMYFUNCTION("""COMPUTED_VALUE"""),"2_ABaOnuebOaMazIyY906RW6KaWDxsOQQGYU7cEzWZN0IbRW9Cn4o7iyU-IO3PiZtsEw")</f>
        <v>2_ABaOnuebOaMazIyY906RW6KaWDxsOQQGYU7cEzWZN0IbRW9Cn4o7iyU-IO3PiZtsEw</v>
      </c>
      <c r="B108" s="4" t="str">
        <f ca="1">IFERROR(__xludf.DUMMYFUNCTION("""COMPUTED_VALUE"""),"Sau đại học, Chứng chỉ Kiểm toán viên")</f>
        <v>Sau đại học, Chứng chỉ Kiểm toán viên</v>
      </c>
      <c r="C108" s="4" t="str">
        <f ca="1">IFERROR(__xludf.DUMMYFUNCTION("""COMPUTED_VALUE"""),"2_ABaOnudojshoyi7Ap11tOUFY4iv9J1MCaj-vM_dAQlkyqiRepg3VXIOsD-2VTMDB1A")</f>
        <v>2_ABaOnudojshoyi7Ap11tOUFY4iv9J1MCaj-vM_dAQlkyqiRepg3VXIOsD-2VTMDB1A</v>
      </c>
      <c r="D108" s="4" t="str">
        <f ca="1">IFERROR(__xludf.DUMMYFUNCTION("""COMPUTED_VALUE"""),"Đại học")</f>
        <v>Đại học</v>
      </c>
    </row>
    <row r="109" spans="1:4" x14ac:dyDescent="0.25">
      <c r="A109" s="4" t="str">
        <f ca="1">IFERROR(__xludf.DUMMYFUNCTION("""COMPUTED_VALUE"""),"2_ABaOnucIDC4-vhG2QLphsVCbRIO2CxV6qWjca7PGks5FXSFW3F-2ABuVnNxvxHpRBA")</f>
        <v>2_ABaOnucIDC4-vhG2QLphsVCbRIO2CxV6qWjca7PGks5FXSFW3F-2ABuVnNxvxHpRBA</v>
      </c>
      <c r="B109" s="4" t="str">
        <f ca="1">IFERROR(__xludf.DUMMYFUNCTION("""COMPUTED_VALUE"""),"Đại học")</f>
        <v>Đại học</v>
      </c>
      <c r="C109" s="4" t="str">
        <f ca="1">IFERROR(__xludf.DUMMYFUNCTION("""COMPUTED_VALUE"""),"2_ABaOnudojshoyi7Ap11tOUFY4iv9J1MCaj-vM_dAQlkyqiRepg3VXIOsD-2VTMDB1A")</f>
        <v>2_ABaOnudojshoyi7Ap11tOUFY4iv9J1MCaj-vM_dAQlkyqiRepg3VXIOsD-2VTMDB1A</v>
      </c>
      <c r="D109" s="4" t="str">
        <f ca="1">IFERROR(__xludf.DUMMYFUNCTION("""COMPUTED_VALUE"""),"Chứng chỉ Kiểm toán viên")</f>
        <v>Chứng chỉ Kiểm toán viên</v>
      </c>
    </row>
    <row r="110" spans="1:4" x14ac:dyDescent="0.25">
      <c r="A110" s="4" t="str">
        <f ca="1">IFERROR(__xludf.DUMMYFUNCTION("""COMPUTED_VALUE"""),"2_ABaOnuf3P3QZ4dx8nQZAjxZZEppKOjctnwuUflpZPCscFVGYNj9FF1NJIb81sMOHOA")</f>
        <v>2_ABaOnuf3P3QZ4dx8nQZAjxZZEppKOjctnwuUflpZPCscFVGYNj9FF1NJIb81sMOHOA</v>
      </c>
      <c r="B110" s="4" t="str">
        <f ca="1">IFERROR(__xludf.DUMMYFUNCTION("""COMPUTED_VALUE"""),"Đại học")</f>
        <v>Đại học</v>
      </c>
      <c r="C110" s="4" t="str">
        <f ca="1">IFERROR(__xludf.DUMMYFUNCTION("""COMPUTED_VALUE"""),"2_ABaOnufdftoGc_2zW3XB8wDsRsPIMVf212nN22ed4RkxYVT2AtT4Ogm7JNy5aKEUYw")</f>
        <v>2_ABaOnufdftoGc_2zW3XB8wDsRsPIMVf212nN22ed4RkxYVT2AtT4Ogm7JNy5aKEUYw</v>
      </c>
      <c r="D110" s="4" t="str">
        <f ca="1">IFERROR(__xludf.DUMMYFUNCTION("""COMPUTED_VALUE"""),"Sau đại học")</f>
        <v>Sau đại học</v>
      </c>
    </row>
    <row r="111" spans="1:4" x14ac:dyDescent="0.25">
      <c r="A111" s="4" t="str">
        <f ca="1">IFERROR(__xludf.DUMMYFUNCTION("""COMPUTED_VALUE"""),"2_ABaOnuctZEcVsc96Hq-iYrTRfBB9A9BNv-WB0ATTbEXA6_g25Z4MWA7l3rB5vZ9Csg")</f>
        <v>2_ABaOnuctZEcVsc96Hq-iYrTRfBB9A9BNv-WB0ATTbEXA6_g25Z4MWA7l3rB5vZ9Csg</v>
      </c>
      <c r="B111" s="4" t="str">
        <f ca="1">IFERROR(__xludf.DUMMYFUNCTION("""COMPUTED_VALUE"""),"Đại học")</f>
        <v>Đại học</v>
      </c>
      <c r="C111" s="4" t="str">
        <f ca="1">IFERROR(__xludf.DUMMYFUNCTION("""COMPUTED_VALUE"""),"2_ABaOnufdftoGc_2zW3XB8wDsRsPIMVf212nN22ed4RkxYVT2AtT4Ogm7JNy5aKEUYw")</f>
        <v>2_ABaOnufdftoGc_2zW3XB8wDsRsPIMVf212nN22ed4RkxYVT2AtT4Ogm7JNy5aKEUYw</v>
      </c>
      <c r="D111" s="4" t="str">
        <f ca="1">IFERROR(__xludf.DUMMYFUNCTION("""COMPUTED_VALUE"""),"Chứng chỉ Kiểm toán viên")</f>
        <v>Chứng chỉ Kiểm toán viên</v>
      </c>
    </row>
    <row r="112" spans="1:4" x14ac:dyDescent="0.25">
      <c r="A112" s="4" t="str">
        <f ca="1">IFERROR(__xludf.DUMMYFUNCTION("""COMPUTED_VALUE"""),"2_ABaOnuegQdyy5RLJkcZaMFHYIG4hVj1wgM5wHyLmXg1-20QdZda5LAkZhmttvh9D-w")</f>
        <v>2_ABaOnuegQdyy5RLJkcZaMFHYIG4hVj1wgM5wHyLmXg1-20QdZda5LAkZhmttvh9D-w</v>
      </c>
      <c r="B112" s="4" t="str">
        <f ca="1">IFERROR(__xludf.DUMMYFUNCTION("""COMPUTED_VALUE"""),"Đại học, Chứng chỉ Kiểm toán viên")</f>
        <v>Đại học, Chứng chỉ Kiểm toán viên</v>
      </c>
      <c r="C112" s="4" t="str">
        <f ca="1">IFERROR(__xludf.DUMMYFUNCTION("""COMPUTED_VALUE"""),"2_ABaOnufdftoGc_2zW3XB8wDsRsPIMVf212nN22ed4RkxYVT2AtT4Ogm7JNy5aKEUYw")</f>
        <v>2_ABaOnufdftoGc_2zW3XB8wDsRsPIMVf212nN22ed4RkxYVT2AtT4Ogm7JNy5aKEUYw</v>
      </c>
      <c r="D112" s="4" t="str">
        <f ca="1">IFERROR(__xludf.DUMMYFUNCTION("""COMPUTED_VALUE"""),"CPA Australia")</f>
        <v>CPA Australia</v>
      </c>
    </row>
    <row r="113" spans="1:4" x14ac:dyDescent="0.25">
      <c r="A113" s="4" t="str">
        <f ca="1">IFERROR(__xludf.DUMMYFUNCTION("""COMPUTED_VALUE"""),"2_ABaOnufIg5iKBXebJh-TkpKFmOx6DwuX55kxdbxR-IAEKUcNRCJesvNJru3nZg2X5w")</f>
        <v>2_ABaOnufIg5iKBXebJh-TkpKFmOx6DwuX55kxdbxR-IAEKUcNRCJesvNJru3nZg2X5w</v>
      </c>
      <c r="B113" s="4" t="str">
        <f ca="1">IFERROR(__xludf.DUMMYFUNCTION("""COMPUTED_VALUE"""),"Đại học")</f>
        <v>Đại học</v>
      </c>
      <c r="C113" s="4" t="str">
        <f ca="1">IFERROR(__xludf.DUMMYFUNCTION("""COMPUTED_VALUE"""),"2_ABaOnufdftoGc_2zW3XB8wDsRsPIMVf212nN22ed4RkxYVT2AtT4Ogm7JNy5aKEUYw")</f>
        <v>2_ABaOnufdftoGc_2zW3XB8wDsRsPIMVf212nN22ed4RkxYVT2AtT4Ogm7JNy5aKEUYw</v>
      </c>
      <c r="D113" s="4" t="str">
        <f ca="1">IFERROR(__xludf.DUMMYFUNCTION("""COMPUTED_VALUE"""),"IAP")</f>
        <v>IAP</v>
      </c>
    </row>
    <row r="114" spans="1:4" x14ac:dyDescent="0.25">
      <c r="A114" s="4" t="str">
        <f ca="1">IFERROR(__xludf.DUMMYFUNCTION("""COMPUTED_VALUE"""),"2_ABaOnucxEDVCNl1L2x5hzcgQDCGw6zug99ffJAoaHOWUTUZNkeX3SlsqMOJIA8igsg")</f>
        <v>2_ABaOnucxEDVCNl1L2x5hzcgQDCGw6zug99ffJAoaHOWUTUZNkeX3SlsqMOJIA8igsg</v>
      </c>
      <c r="B114" s="4" t="str">
        <f ca="1">IFERROR(__xludf.DUMMYFUNCTION("""COMPUTED_VALUE"""),"Sau đại học, Chứng chỉ Kiểm toán viên")</f>
        <v>Sau đại học, Chứng chỉ Kiểm toán viên</v>
      </c>
      <c r="C114" s="4" t="str">
        <f ca="1">IFERROR(__xludf.DUMMYFUNCTION("""COMPUTED_VALUE"""),"2_ABaOnucCobN7tIWtQTiREMc1W9OEO3ghmHhKJLNdWSwaUhUkQe2GimpTTMnDkXy1Fw")</f>
        <v>2_ABaOnucCobN7tIWtQTiREMc1W9OEO3ghmHhKJLNdWSwaUhUkQe2GimpTTMnDkXy1Fw</v>
      </c>
      <c r="D114" s="4" t="str">
        <f ca="1">IFERROR(__xludf.DUMMYFUNCTION("""COMPUTED_VALUE"""),"Đại học")</f>
        <v>Đại học</v>
      </c>
    </row>
    <row r="115" spans="1:4" x14ac:dyDescent="0.25">
      <c r="A115" s="4" t="str">
        <f ca="1">IFERROR(__xludf.DUMMYFUNCTION("""COMPUTED_VALUE"""),"2_ABaOnuc9WSHDnhytzcbIP_DVu6oPajOCP74aMDtauKdrY6jJqKg0dApPoLNYPPm1Ew")</f>
        <v>2_ABaOnuc9WSHDnhytzcbIP_DVu6oPajOCP74aMDtauKdrY6jJqKg0dApPoLNYPPm1Ew</v>
      </c>
      <c r="B115" s="4" t="str">
        <f ca="1">IFERROR(__xludf.DUMMYFUNCTION("""COMPUTED_VALUE"""),"Đại học, Chứng chỉ Kiểm toán viên")</f>
        <v>Đại học, Chứng chỉ Kiểm toán viên</v>
      </c>
      <c r="C115" s="4" t="str">
        <f ca="1">IFERROR(__xludf.DUMMYFUNCTION("""COMPUTED_VALUE"""),"2_ABaOnucCobN7tIWtQTiREMc1W9OEO3ghmHhKJLNdWSwaUhUkQe2GimpTTMnDkXy1Fw")</f>
        <v>2_ABaOnucCobN7tIWtQTiREMc1W9OEO3ghmHhKJLNdWSwaUhUkQe2GimpTTMnDkXy1Fw</v>
      </c>
      <c r="D115" s="4" t="str">
        <f ca="1">IFERROR(__xludf.DUMMYFUNCTION("""COMPUTED_VALUE"""),"Chứng chỉ Kiểm toán viên")</f>
        <v>Chứng chỉ Kiểm toán viên</v>
      </c>
    </row>
    <row r="116" spans="1:4" x14ac:dyDescent="0.25">
      <c r="A116" s="4" t="str">
        <f ca="1">IFERROR(__xludf.DUMMYFUNCTION("""COMPUTED_VALUE"""),"2_ABaOnudZ0jDVAMcOSVj1LAoCpUPhjklXa8GXMvfstD4_cy5mHBXdZoD-Db-xWO84EQ")</f>
        <v>2_ABaOnudZ0jDVAMcOSVj1LAoCpUPhjklXa8GXMvfstD4_cy5mHBXdZoD-Db-xWO84EQ</v>
      </c>
      <c r="B116" s="4" t="str">
        <f ca="1">IFERROR(__xludf.DUMMYFUNCTION("""COMPUTED_VALUE"""),"Sau đại học")</f>
        <v>Sau đại học</v>
      </c>
      <c r="C116" s="4" t="str">
        <f ca="1">IFERROR(__xludf.DUMMYFUNCTION("""COMPUTED_VALUE"""),"2_ABaOnudb1Xfh5Bc7jX_mJbktXJlFukXCG8RxOJQGKbfsVIFHpATfFS4XHqsUH-H1Hg")</f>
        <v>2_ABaOnudb1Xfh5Bc7jX_mJbktXJlFukXCG8RxOJQGKbfsVIFHpATfFS4XHqsUH-H1Hg</v>
      </c>
      <c r="D116" s="4" t="str">
        <f ca="1">IFERROR(__xludf.DUMMYFUNCTION("""COMPUTED_VALUE"""),"Đại học")</f>
        <v>Đại học</v>
      </c>
    </row>
    <row r="117" spans="1:4" x14ac:dyDescent="0.25">
      <c r="A117" s="4" t="str">
        <f ca="1">IFERROR(__xludf.DUMMYFUNCTION("""COMPUTED_VALUE"""),"2_ABaOnudDrKQXWnJVkkYdcZTMq8FJcfqJM_InhZbJtIJ9vGNvqQQ690FnlL1aNA-kkg")</f>
        <v>2_ABaOnudDrKQXWnJVkkYdcZTMq8FJcfqJM_InhZbJtIJ9vGNvqQQ690FnlL1aNA-kkg</v>
      </c>
      <c r="B117" s="4" t="str">
        <f ca="1">IFERROR(__xludf.DUMMYFUNCTION("""COMPUTED_VALUE"""),"Đại học")</f>
        <v>Đại học</v>
      </c>
      <c r="C117" s="4" t="str">
        <f ca="1">IFERROR(__xludf.DUMMYFUNCTION("""COMPUTED_VALUE"""),"2_ABaOnudb1Xfh5Bc7jX_mJbktXJlFukXCG8RxOJQGKbfsVIFHpATfFS4XHqsUH-H1Hg")</f>
        <v>2_ABaOnudb1Xfh5Bc7jX_mJbktXJlFukXCG8RxOJQGKbfsVIFHpATfFS4XHqsUH-H1Hg</v>
      </c>
      <c r="D117" s="4" t="str">
        <f ca="1">IFERROR(__xludf.DUMMYFUNCTION("""COMPUTED_VALUE"""),"Chứng chỉ Kiểm toán viên")</f>
        <v>Chứng chỉ Kiểm toán viên</v>
      </c>
    </row>
    <row r="118" spans="1:4" x14ac:dyDescent="0.25">
      <c r="A118" s="4" t="str">
        <f ca="1">IFERROR(__xludf.DUMMYFUNCTION("""COMPUTED_VALUE"""),"2_ABaOnufWXmUOvqROsQmiHxGlYQ52hVEbipLsZz4nf5PpLDBdVcw8LRtWHXveMwQxrA")</f>
        <v>2_ABaOnufWXmUOvqROsQmiHxGlYQ52hVEbipLsZz4nf5PpLDBdVcw8LRtWHXveMwQxrA</v>
      </c>
      <c r="B118" s="4" t="str">
        <f ca="1">IFERROR(__xludf.DUMMYFUNCTION("""COMPUTED_VALUE"""),"Đại học")</f>
        <v>Đại học</v>
      </c>
      <c r="C118" s="4" t="str">
        <f ca="1">IFERROR(__xludf.DUMMYFUNCTION("""COMPUTED_VALUE"""),"2_ABaOnueHmcn0Bnq5bOmPk-t7FVXHCp2BZ6BvBQZnlq4g1Nq2A2vGcGIfpmomxZjQHA")</f>
        <v>2_ABaOnueHmcn0Bnq5bOmPk-t7FVXHCp2BZ6BvBQZnlq4g1Nq2A2vGcGIfpmomxZjQHA</v>
      </c>
      <c r="D118" s="4" t="str">
        <f ca="1">IFERROR(__xludf.DUMMYFUNCTION("""COMPUTED_VALUE"""),"Đại học")</f>
        <v>Đại học</v>
      </c>
    </row>
    <row r="119" spans="1:4" x14ac:dyDescent="0.25">
      <c r="A119" s="4" t="str">
        <f ca="1">IFERROR(__xludf.DUMMYFUNCTION("""COMPUTED_VALUE"""),"2_ABaOnud10x28Pm0G6DLI4iu1oMm0V5TQP09bEMcLz5vFIERD4HkNHKgrxaGfdC8SZA")</f>
        <v>2_ABaOnud10x28Pm0G6DLI4iu1oMm0V5TQP09bEMcLz5vFIERD4HkNHKgrxaGfdC8SZA</v>
      </c>
      <c r="B119" s="4" t="str">
        <f ca="1">IFERROR(__xludf.DUMMYFUNCTION("""COMPUTED_VALUE"""),"Sau đại học")</f>
        <v>Sau đại học</v>
      </c>
      <c r="C119" s="4" t="str">
        <f ca="1">IFERROR(__xludf.DUMMYFUNCTION("""COMPUTED_VALUE"""),"2_ABaOnueHmcn0Bnq5bOmPk-t7FVXHCp2BZ6BvBQZnlq4g1Nq2A2vGcGIfpmomxZjQHA")</f>
        <v>2_ABaOnueHmcn0Bnq5bOmPk-t7FVXHCp2BZ6BvBQZnlq4g1Nq2A2vGcGIfpmomxZjQHA</v>
      </c>
      <c r="D119" s="4" t="str">
        <f ca="1">IFERROR(__xludf.DUMMYFUNCTION("""COMPUTED_VALUE"""),"Chứng chỉ Kiểm toán viên")</f>
        <v>Chứng chỉ Kiểm toán viên</v>
      </c>
    </row>
    <row r="120" spans="1:4" x14ac:dyDescent="0.25">
      <c r="A120" s="4" t="str">
        <f ca="1">IFERROR(__xludf.DUMMYFUNCTION("""COMPUTED_VALUE"""),"2_ABaOnueLUopueOCrSzLxs6GQlSKfpxTqWRjCRL1LOFg41ak1zJkEdkVb-Ub495N88g")</f>
        <v>2_ABaOnueLUopueOCrSzLxs6GQlSKfpxTqWRjCRL1LOFg41ak1zJkEdkVb-Ub495N88g</v>
      </c>
      <c r="B120" s="4" t="str">
        <f ca="1">IFERROR(__xludf.DUMMYFUNCTION("""COMPUTED_VALUE"""),"Đại học, Chứng chỉ Kiểm toán viên")</f>
        <v>Đại học, Chứng chỉ Kiểm toán viên</v>
      </c>
      <c r="C120" s="4" t="str">
        <f ca="1">IFERROR(__xludf.DUMMYFUNCTION("""COMPUTED_VALUE"""),"2_ABaOnuda5VZmzEAyuAezW196UclHKTBp1HpD582dVMjj01vc9hAwiLwdm99bmMf7uQ")</f>
        <v>2_ABaOnuda5VZmzEAyuAezW196UclHKTBp1HpD582dVMjj01vc9hAwiLwdm99bmMf7uQ</v>
      </c>
      <c r="D120" s="4" t="str">
        <f ca="1">IFERROR(__xludf.DUMMYFUNCTION("""COMPUTED_VALUE"""),"Đại học")</f>
        <v>Đại học</v>
      </c>
    </row>
    <row r="121" spans="1:4" x14ac:dyDescent="0.25">
      <c r="A121" s="4" t="str">
        <f ca="1">IFERROR(__xludf.DUMMYFUNCTION("""COMPUTED_VALUE"""),"2_ABaOnudVsm4DWHCIq-14Ku6rvcuZiG8SrbmjZCdqmDMOgsJX3PJaHkmdkMrUWbR9UA")</f>
        <v>2_ABaOnudVsm4DWHCIq-14Ku6rvcuZiG8SrbmjZCdqmDMOgsJX3PJaHkmdkMrUWbR9UA</v>
      </c>
      <c r="B121" s="4" t="str">
        <f ca="1">IFERROR(__xludf.DUMMYFUNCTION("""COMPUTED_VALUE"""),"Sau đại học")</f>
        <v>Sau đại học</v>
      </c>
      <c r="C121" s="4" t="str">
        <f ca="1">IFERROR(__xludf.DUMMYFUNCTION("""COMPUTED_VALUE"""),"2_ABaOnuda5VZmzEAyuAezW196UclHKTBp1HpD582dVMjj01vc9hAwiLwdm99bmMf7uQ")</f>
        <v>2_ABaOnuda5VZmzEAyuAezW196UclHKTBp1HpD582dVMjj01vc9hAwiLwdm99bmMf7uQ</v>
      </c>
      <c r="D121" s="4" t="str">
        <f ca="1">IFERROR(__xludf.DUMMYFUNCTION("""COMPUTED_VALUE"""),"Chứng chỉ Kiểm toán viên")</f>
        <v>Chứng chỉ Kiểm toán viên</v>
      </c>
    </row>
    <row r="122" spans="1:4" x14ac:dyDescent="0.25">
      <c r="A122" s="4" t="str">
        <f ca="1">IFERROR(__xludf.DUMMYFUNCTION("""COMPUTED_VALUE"""),"2_ABaOnufPBQveeoH4-ZsDW036yZUkqIcwNIPWcCUmADJe-ZPyMs9m8McjepkI0ymUxA")</f>
        <v>2_ABaOnufPBQveeoH4-ZsDW036yZUkqIcwNIPWcCUmADJe-ZPyMs9m8McjepkI0ymUxA</v>
      </c>
      <c r="B122" s="4" t="str">
        <f ca="1">IFERROR(__xludf.DUMMYFUNCTION("""COMPUTED_VALUE"""),"Đại học")</f>
        <v>Đại học</v>
      </c>
      <c r="C122" s="4" t="str">
        <f ca="1">IFERROR(__xludf.DUMMYFUNCTION("""COMPUTED_VALUE"""),"2_ABaOnudgRQteq7g7ufFjhnXi1ZoSrqmAAfiyePCm4ZoMakwZnszcOd2-RvTp91gfjg")</f>
        <v>2_ABaOnudgRQteq7g7ufFjhnXi1ZoSrqmAAfiyePCm4ZoMakwZnszcOd2-RvTp91gfjg</v>
      </c>
      <c r="D122" s="4" t="str">
        <f ca="1">IFERROR(__xludf.DUMMYFUNCTION("""COMPUTED_VALUE"""),"Đại học")</f>
        <v>Đại học</v>
      </c>
    </row>
    <row r="123" spans="1:4" x14ac:dyDescent="0.25">
      <c r="A123" s="4" t="str">
        <f ca="1">IFERROR(__xludf.DUMMYFUNCTION("""COMPUTED_VALUE"""),"2_ABaOnufg3HpxBUyB1lCQTxaoUOOox1QJY0VmxmKYcMq0Ql3pmiweqCfEA7d4Rzse7w")</f>
        <v>2_ABaOnufg3HpxBUyB1lCQTxaoUOOox1QJY0VmxmKYcMq0Ql3pmiweqCfEA7d4Rzse7w</v>
      </c>
      <c r="B123" s="4" t="str">
        <f ca="1">IFERROR(__xludf.DUMMYFUNCTION("""COMPUTED_VALUE"""),"Đại học")</f>
        <v>Đại học</v>
      </c>
      <c r="C123" s="4" t="str">
        <f ca="1">IFERROR(__xludf.DUMMYFUNCTION("""COMPUTED_VALUE"""),"2_ABaOnudgRQteq7g7ufFjhnXi1ZoSrqmAAfiyePCm4ZoMakwZnszcOd2-RvTp91gfjg")</f>
        <v>2_ABaOnudgRQteq7g7ufFjhnXi1ZoSrqmAAfiyePCm4ZoMakwZnszcOd2-RvTp91gfjg</v>
      </c>
      <c r="D123" s="4" t="str">
        <f ca="1">IFERROR(__xludf.DUMMYFUNCTION("""COMPUTED_VALUE"""),"Chứng chỉ Kiểm toán viên")</f>
        <v>Chứng chỉ Kiểm toán viên</v>
      </c>
    </row>
    <row r="124" spans="1:4" x14ac:dyDescent="0.25">
      <c r="A124" s="4" t="str">
        <f ca="1">IFERROR(__xludf.DUMMYFUNCTION("""COMPUTED_VALUE"""),"2_ABaOnudLOmhestiZbu0JWWK1xczx8cb6OcRewLFE8z2K13aRj-uH5aD6WtoYvHtOCQ")</f>
        <v>2_ABaOnudLOmhestiZbu0JWWK1xczx8cb6OcRewLFE8z2K13aRj-uH5aD6WtoYvHtOCQ</v>
      </c>
      <c r="B124" s="4" t="str">
        <f ca="1">IFERROR(__xludf.DUMMYFUNCTION("""COMPUTED_VALUE"""),"Đại học")</f>
        <v>Đại học</v>
      </c>
      <c r="C124" s="4" t="str">
        <f ca="1">IFERROR(__xludf.DUMMYFUNCTION("""COMPUTED_VALUE"""),"2_ABaOnuc_YLJ8X5pNjjub8vea43X3VtcaBWqpbArbyS_uKMwgoYf0jL92HtAm247rwA")</f>
        <v>2_ABaOnuc_YLJ8X5pNjjub8vea43X3VtcaBWqpbArbyS_uKMwgoYf0jL92HtAm247rwA</v>
      </c>
      <c r="D124" s="4" t="str">
        <f ca="1">IFERROR(__xludf.DUMMYFUNCTION("""COMPUTED_VALUE"""),"Đại học")</f>
        <v>Đại học</v>
      </c>
    </row>
    <row r="125" spans="1:4" x14ac:dyDescent="0.25">
      <c r="A125" s="4" t="str">
        <f ca="1">IFERROR(__xludf.DUMMYFUNCTION("""COMPUTED_VALUE"""),"2_ABaOnuc_XAYPyWMinAA20sqI11do8PUXRysQsr1HVJv80SXswJnSgg501OkhQjRD7w")</f>
        <v>2_ABaOnuc_XAYPyWMinAA20sqI11do8PUXRysQsr1HVJv80SXswJnSgg501OkhQjRD7w</v>
      </c>
      <c r="B125" s="4" t="str">
        <f ca="1">IFERROR(__xludf.DUMMYFUNCTION("""COMPUTED_VALUE"""),"Đại học")</f>
        <v>Đại học</v>
      </c>
      <c r="C125" s="4" t="str">
        <f ca="1">IFERROR(__xludf.DUMMYFUNCTION("""COMPUTED_VALUE"""),"2_ABaOnufZ5dxr6y_nVhZITPGObKt3DGdjq23q93n946w77IjESCQYKxWtEIvRbQirbw")</f>
        <v>2_ABaOnufZ5dxr6y_nVhZITPGObKt3DGdjq23q93n946w77IjESCQYKxWtEIvRbQirbw</v>
      </c>
      <c r="D125" s="4" t="str">
        <f ca="1">IFERROR(__xludf.DUMMYFUNCTION("""COMPUTED_VALUE"""),"Đại học")</f>
        <v>Đại học</v>
      </c>
    </row>
    <row r="126" spans="1:4" x14ac:dyDescent="0.25">
      <c r="A126" s="4" t="str">
        <f ca="1">IFERROR(__xludf.DUMMYFUNCTION("""COMPUTED_VALUE"""),"2_ABaOnufAbN6ZYt6eBZeKSuC8VgkuHfBwSqlWozHs8jS9yiE3imCviUxAFgAvcJi-SA")</f>
        <v>2_ABaOnufAbN6ZYt6eBZeKSuC8VgkuHfBwSqlWozHs8jS9yiE3imCviUxAFgAvcJi-SA</v>
      </c>
      <c r="B126" s="4" t="str">
        <f ca="1">IFERROR(__xludf.DUMMYFUNCTION("""COMPUTED_VALUE"""),"Đại học")</f>
        <v>Đại học</v>
      </c>
      <c r="C126" s="4" t="str">
        <f ca="1">IFERROR(__xludf.DUMMYFUNCTION("""COMPUTED_VALUE"""),"2_ABaOnufWBhhMQH5a7zZUoBn67TC39q2dqLWc0id2TM6JKyoQjUXt92Tuknx1KGP58Q")</f>
        <v>2_ABaOnufWBhhMQH5a7zZUoBn67TC39q2dqLWc0id2TM6JKyoQjUXt92Tuknx1KGP58Q</v>
      </c>
      <c r="D126" s="4" t="str">
        <f ca="1">IFERROR(__xludf.DUMMYFUNCTION("""COMPUTED_VALUE"""),"Đại học")</f>
        <v>Đại học</v>
      </c>
    </row>
    <row r="127" spans="1:4" x14ac:dyDescent="0.25">
      <c r="A127" s="4" t="str">
        <f ca="1">IFERROR(__xludf.DUMMYFUNCTION("""COMPUTED_VALUE"""),"2_ABaOnufeyLNB_yRP4FjpgN55ddcJweeaBC6YAqUJNpJtwHiACH4QERPnpl-LkI7wig")</f>
        <v>2_ABaOnufeyLNB_yRP4FjpgN55ddcJweeaBC6YAqUJNpJtwHiACH4QERPnpl-LkI7wig</v>
      </c>
      <c r="B127" s="4" t="str">
        <f ca="1">IFERROR(__xludf.DUMMYFUNCTION("""COMPUTED_VALUE"""),"Đại học")</f>
        <v>Đại học</v>
      </c>
      <c r="C127" s="4" t="str">
        <f ca="1">IFERROR(__xludf.DUMMYFUNCTION("""COMPUTED_VALUE"""),"2_ABaOnueN8pBtn1mc8wHe5047bAfnBkQHj9Lw4udiS8BAyE1f6w06myxeTA4mA-ziOQ")</f>
        <v>2_ABaOnueN8pBtn1mc8wHe5047bAfnBkQHj9Lw4udiS8BAyE1f6w06myxeTA4mA-ziOQ</v>
      </c>
      <c r="D127" s="4" t="str">
        <f ca="1">IFERROR(__xludf.DUMMYFUNCTION("""COMPUTED_VALUE"""),"Đại học")</f>
        <v>Đại học</v>
      </c>
    </row>
    <row r="128" spans="1:4" x14ac:dyDescent="0.25">
      <c r="A128" s="4" t="str">
        <f ca="1">IFERROR(__xludf.DUMMYFUNCTION("""COMPUTED_VALUE"""),"2_ABaOnucbAK09S5Yq_6OZVcXxpmXOSIxt6DRw3Z7ah5Z7BH9OlvW3I9CHlrI2Xgj7oQ")</f>
        <v>2_ABaOnucbAK09S5Yq_6OZVcXxpmXOSIxt6DRw3Z7ah5Z7BH9OlvW3I9CHlrI2Xgj7oQ</v>
      </c>
      <c r="B128" s="4" t="str">
        <f ca="1">IFERROR(__xludf.DUMMYFUNCTION("""COMPUTED_VALUE"""),"Đại học")</f>
        <v>Đại học</v>
      </c>
      <c r="C128" s="4" t="str">
        <f ca="1">IFERROR(__xludf.DUMMYFUNCTION("""COMPUTED_VALUE"""),"2_ABaOnuefrS5GJRK7e7qzfyUnBHqy2nPmve6dNJqKALl0w-N789YGn_9gKXQ5YIefmw")</f>
        <v>2_ABaOnuefrS5GJRK7e7qzfyUnBHqy2nPmve6dNJqKALl0w-N789YGn_9gKXQ5YIefmw</v>
      </c>
      <c r="D128" s="4" t="str">
        <f ca="1">IFERROR(__xludf.DUMMYFUNCTION("""COMPUTED_VALUE"""),"Đại học")</f>
        <v>Đại học</v>
      </c>
    </row>
    <row r="129" spans="1:4" x14ac:dyDescent="0.25">
      <c r="A129" s="4" t="str">
        <f ca="1">IFERROR(__xludf.DUMMYFUNCTION("""COMPUTED_VALUE"""),"2_ABaOnuf_VDEBAkk4JitGOtVngfvbp4Xq5tTN9Uhpk5qtTmACU5XCPt6K3HEfqGEKRQ")</f>
        <v>2_ABaOnuf_VDEBAkk4JitGOtVngfvbp4Xq5tTN9Uhpk5qtTmACU5XCPt6K3HEfqGEKRQ</v>
      </c>
      <c r="B129" s="4" t="str">
        <f ca="1">IFERROR(__xludf.DUMMYFUNCTION("""COMPUTED_VALUE"""),"Đại học")</f>
        <v>Đại học</v>
      </c>
      <c r="C129" s="4" t="str">
        <f ca="1">IFERROR(__xludf.DUMMYFUNCTION("""COMPUTED_VALUE"""),"2_ABaOnuefrS5GJRK7e7qzfyUnBHqy2nPmve6dNJqKALl0w-N789YGn_9gKXQ5YIefmw")</f>
        <v>2_ABaOnuefrS5GJRK7e7qzfyUnBHqy2nPmve6dNJqKALl0w-N789YGn_9gKXQ5YIefmw</v>
      </c>
      <c r="D129" s="4" t="str">
        <f ca="1">IFERROR(__xludf.DUMMYFUNCTION("""COMPUTED_VALUE"""),"Chứng chỉ Kiểm toán viên")</f>
        <v>Chứng chỉ Kiểm toán viên</v>
      </c>
    </row>
    <row r="130" spans="1:4" x14ac:dyDescent="0.25">
      <c r="A130" s="4" t="str">
        <f ca="1">IFERROR(__xludf.DUMMYFUNCTION("""COMPUTED_VALUE"""),"2_ABaOnucWSPMCPT6SqMw4fskrD5US8NrS0kJ5a6ekQcqu27YPR3Xuqug3J6T0KyXDCA")</f>
        <v>2_ABaOnucWSPMCPT6SqMw4fskrD5US8NrS0kJ5a6ekQcqu27YPR3Xuqug3J6T0KyXDCA</v>
      </c>
      <c r="B130" s="4" t="str">
        <f ca="1">IFERROR(__xludf.DUMMYFUNCTION("""COMPUTED_VALUE"""),"Đại học")</f>
        <v>Đại học</v>
      </c>
      <c r="C130" s="4" t="str">
        <f ca="1">IFERROR(__xludf.DUMMYFUNCTION("""COMPUTED_VALUE"""),"2_ABaOnucs8Vo_d5Qw_yLdfgo2vXSVjDMR0110OnVTX1pac_1XarWPoZyfVu7RJbretg")</f>
        <v>2_ABaOnucs8Vo_d5Qw_yLdfgo2vXSVjDMR0110OnVTX1pac_1XarWPoZyfVu7RJbretg</v>
      </c>
      <c r="D130" s="4" t="str">
        <f ca="1">IFERROR(__xludf.DUMMYFUNCTION("""COMPUTED_VALUE"""),"Đại học")</f>
        <v>Đại học</v>
      </c>
    </row>
    <row r="131" spans="1:4" x14ac:dyDescent="0.25">
      <c r="A131" s="4" t="str">
        <f ca="1">IFERROR(__xludf.DUMMYFUNCTION("""COMPUTED_VALUE"""),"2_ABaOnudKRM7IjBeVPN_FmB3wbsWNPK9hlkSvU1gEpx9vWXvQivRFDfAbUr32capK_g")</f>
        <v>2_ABaOnudKRM7IjBeVPN_FmB3wbsWNPK9hlkSvU1gEpx9vWXvQivRFDfAbUr32capK_g</v>
      </c>
      <c r="B131" s="4" t="str">
        <f ca="1">IFERROR(__xludf.DUMMYFUNCTION("""COMPUTED_VALUE"""),"Sau đại học, Chứng chỉ Kiểm toán viên")</f>
        <v>Sau đại học, Chứng chỉ Kiểm toán viên</v>
      </c>
      <c r="C131" s="4" t="str">
        <f ca="1">IFERROR(__xludf.DUMMYFUNCTION("""COMPUTED_VALUE"""),"2_ABaOnucs8Vo_d5Qw_yLdfgo2vXSVjDMR0110OnVTX1pac_1XarWPoZyfVu7RJbretg")</f>
        <v>2_ABaOnucs8Vo_d5Qw_yLdfgo2vXSVjDMR0110OnVTX1pac_1XarWPoZyfVu7RJbretg</v>
      </c>
      <c r="D131" s="4" t="str">
        <f ca="1">IFERROR(__xludf.DUMMYFUNCTION("""COMPUTED_VALUE"""),"Chứng chỉ Kiểm toán viên")</f>
        <v>Chứng chỉ Kiểm toán viên</v>
      </c>
    </row>
    <row r="132" spans="1:4" x14ac:dyDescent="0.25">
      <c r="A132" s="4" t="str">
        <f ca="1">IFERROR(__xludf.DUMMYFUNCTION("""COMPUTED_VALUE"""),"2_ABaOnue5qCmDXb49GinuhSE-cxwx_yg2mc-os7DdFa5NVFp-GNR33xgiyky8l3cYMw")</f>
        <v>2_ABaOnue5qCmDXb49GinuhSE-cxwx_yg2mc-os7DdFa5NVFp-GNR33xgiyky8l3cYMw</v>
      </c>
      <c r="B132" s="4" t="str">
        <f ca="1">IFERROR(__xludf.DUMMYFUNCTION("""COMPUTED_VALUE"""),"Đại học")</f>
        <v>Đại học</v>
      </c>
      <c r="C132" s="4" t="str">
        <f ca="1">IFERROR(__xludf.DUMMYFUNCTION("""COMPUTED_VALUE"""),"2_ABaOnucZqg6HtuMJhYR-BS5g0Ti56d__EBMFrJbS7j2jO0XBuFmmhCjyCeyXtyXChg")</f>
        <v>2_ABaOnucZqg6HtuMJhYR-BS5g0Ti56d__EBMFrJbS7j2jO0XBuFmmhCjyCeyXtyXChg</v>
      </c>
      <c r="D132" s="4" t="str">
        <f ca="1">IFERROR(__xludf.DUMMYFUNCTION("""COMPUTED_VALUE"""),"Đại học")</f>
        <v>Đại học</v>
      </c>
    </row>
    <row r="133" spans="1:4" x14ac:dyDescent="0.25">
      <c r="A133" s="4" t="str">
        <f ca="1">IFERROR(__xludf.DUMMYFUNCTION("""COMPUTED_VALUE"""),"2_ABaOnufzcp1Ius7mZDR3KxarzQnZ3WUKkD2CduU5C-KcBi7FoCZHS6FQXSM-B6EwtA")</f>
        <v>2_ABaOnufzcp1Ius7mZDR3KxarzQnZ3WUKkD2CduU5C-KcBi7FoCZHS6FQXSM-B6EwtA</v>
      </c>
      <c r="B133" s="4" t="str">
        <f ca="1">IFERROR(__xludf.DUMMYFUNCTION("""COMPUTED_VALUE"""),"Đại học")</f>
        <v>Đại học</v>
      </c>
      <c r="C133" s="4" t="str">
        <f ca="1">IFERROR(__xludf.DUMMYFUNCTION("""COMPUTED_VALUE"""),"2_ABaOnuf22qBfRURDawua1m-pfMjW7DZ3I3YlRSJRCWiMUaF7k5h1Oyld0Ec8-xo08w")</f>
        <v>2_ABaOnuf22qBfRURDawua1m-pfMjW7DZ3I3YlRSJRCWiMUaF7k5h1Oyld0Ec8-xo08w</v>
      </c>
      <c r="D133" s="4" t="str">
        <f ca="1">IFERROR(__xludf.DUMMYFUNCTION("""COMPUTED_VALUE"""),"Đại học")</f>
        <v>Đại học</v>
      </c>
    </row>
    <row r="134" spans="1:4" x14ac:dyDescent="0.25">
      <c r="A134" s="4" t="str">
        <f ca="1">IFERROR(__xludf.DUMMYFUNCTION("""COMPUTED_VALUE"""),"2_ABaOnufXtaN050RerUEcsEGezg_qgXEc_0Dx1NWwCSUwodMWLNHup-A4SywzK1E4DQ")</f>
        <v>2_ABaOnufXtaN050RerUEcsEGezg_qgXEc_0Dx1NWwCSUwodMWLNHup-A4SywzK1E4DQ</v>
      </c>
      <c r="B134" s="4" t="str">
        <f ca="1">IFERROR(__xludf.DUMMYFUNCTION("""COMPUTED_VALUE"""),"Sau đại học")</f>
        <v>Sau đại học</v>
      </c>
      <c r="C134" s="4" t="str">
        <f ca="1">IFERROR(__xludf.DUMMYFUNCTION("""COMPUTED_VALUE"""),"2_ABaOnuf22qBfRURDawua1m-pfMjW7DZ3I3YlRSJRCWiMUaF7k5h1Oyld0Ec8-xo08w")</f>
        <v>2_ABaOnuf22qBfRURDawua1m-pfMjW7DZ3I3YlRSJRCWiMUaF7k5h1Oyld0Ec8-xo08w</v>
      </c>
      <c r="D134" s="4" t="str">
        <f ca="1">IFERROR(__xludf.DUMMYFUNCTION("""COMPUTED_VALUE"""),"Chứng chỉ Kiểm toán viên")</f>
        <v>Chứng chỉ Kiểm toán viên</v>
      </c>
    </row>
    <row r="135" spans="1:4" x14ac:dyDescent="0.25">
      <c r="A135" s="4" t="str">
        <f ca="1">IFERROR(__xludf.DUMMYFUNCTION("""COMPUTED_VALUE"""),"2_ABaOnucgp3Xo3xPYBHJ2froKgrKNZsLaYkiQcHWPw_t2p43IFbbRMeJJBd3CBb5j9A")</f>
        <v>2_ABaOnucgp3Xo3xPYBHJ2froKgrKNZsLaYkiQcHWPw_t2p43IFbbRMeJJBd3CBb5j9A</v>
      </c>
      <c r="B135" s="4" t="str">
        <f ca="1">IFERROR(__xludf.DUMMYFUNCTION("""COMPUTED_VALUE"""),"Sau đại học, Chứng chỉ Kiểm toán viên")</f>
        <v>Sau đại học, Chứng chỉ Kiểm toán viên</v>
      </c>
      <c r="C135" s="4" t="str">
        <f ca="1">IFERROR(__xludf.DUMMYFUNCTION("""COMPUTED_VALUE"""),"2_ABaOnud9W94OV0qtErAdXAPfVbfBO4WBRDKpwB0xuEc-CdmcyB415bBU6JHJLVo6GA")</f>
        <v>2_ABaOnud9W94OV0qtErAdXAPfVbfBO4WBRDKpwB0xuEc-CdmcyB415bBU6JHJLVo6GA</v>
      </c>
      <c r="D135" s="4" t="str">
        <f ca="1">IFERROR(__xludf.DUMMYFUNCTION("""COMPUTED_VALUE"""),"Đại học")</f>
        <v>Đại học</v>
      </c>
    </row>
    <row r="136" spans="1:4" x14ac:dyDescent="0.25">
      <c r="A136" s="4" t="str">
        <f ca="1">IFERROR(__xludf.DUMMYFUNCTION("""COMPUTED_VALUE"""),"2_ABaOnucrz_snzSlsGIdvyILNvz8ThCPx5BATwydbOWlfhryvIr48XrFPd2wOCdoceA")</f>
        <v>2_ABaOnucrz_snzSlsGIdvyILNvz8ThCPx5BATwydbOWlfhryvIr48XrFPd2wOCdoceA</v>
      </c>
      <c r="B136" s="4" t="str">
        <f ca="1">IFERROR(__xludf.DUMMYFUNCTION("""COMPUTED_VALUE"""),"Sau đại học, Chứng chỉ Kiểm toán viên")</f>
        <v>Sau đại học, Chứng chỉ Kiểm toán viên</v>
      </c>
      <c r="C136" s="4" t="str">
        <f ca="1">IFERROR(__xludf.DUMMYFUNCTION("""COMPUTED_VALUE"""),"2_ABaOnueDjv_uJqc70OtQ-aHx6Et5IxjBAvzyeTmS__rXNJJpcOx6ayY6g9agLn0V4w")</f>
        <v>2_ABaOnueDjv_uJqc70OtQ-aHx6Et5IxjBAvzyeTmS__rXNJJpcOx6ayY6g9agLn0V4w</v>
      </c>
      <c r="D136" s="4" t="str">
        <f ca="1">IFERROR(__xludf.DUMMYFUNCTION("""COMPUTED_VALUE"""),"Đại học")</f>
        <v>Đại học</v>
      </c>
    </row>
    <row r="137" spans="1:4" x14ac:dyDescent="0.25">
      <c r="A137" s="4" t="str">
        <f ca="1">IFERROR(__xludf.DUMMYFUNCTION("""COMPUTED_VALUE"""),"2_ABaOnudGR8o1qGRolISHF5_MZBlJ50DAzJOlkGJLgiph1gNztZG5pndRsoUXmu89Yw")</f>
        <v>2_ABaOnudGR8o1qGRolISHF5_MZBlJ50DAzJOlkGJLgiph1gNztZG5pndRsoUXmu89Yw</v>
      </c>
      <c r="B137" s="4" t="str">
        <f ca="1">IFERROR(__xludf.DUMMYFUNCTION("""COMPUTED_VALUE"""),"Đại học, Chứng chỉ Kiểm toán viên")</f>
        <v>Đại học, Chứng chỉ Kiểm toán viên</v>
      </c>
      <c r="C137" s="4" t="str">
        <f ca="1">IFERROR(__xludf.DUMMYFUNCTION("""COMPUTED_VALUE"""),"2_ABaOnufjxn3pI5dAfoFdx3Ycpixi3uA10eHXc5IsrX7fI9i3Yfoaxjn1TbyMWUCA9A")</f>
        <v>2_ABaOnufjxn3pI5dAfoFdx3Ycpixi3uA10eHXc5IsrX7fI9i3Yfoaxjn1TbyMWUCA9A</v>
      </c>
      <c r="D137" s="4" t="str">
        <f ca="1">IFERROR(__xludf.DUMMYFUNCTION("""COMPUTED_VALUE"""),"Đại học")</f>
        <v>Đại học</v>
      </c>
    </row>
    <row r="138" spans="1:4" x14ac:dyDescent="0.25">
      <c r="A138" s="4" t="str">
        <f ca="1">IFERROR(__xludf.DUMMYFUNCTION("""COMPUTED_VALUE"""),"2_ABaOnucZG5LGxu5ksGSej0vZqn6skhalMyqzLAJCL-yxYsDp_vw5oJ92sdDF2jSPjg")</f>
        <v>2_ABaOnucZG5LGxu5ksGSej0vZqn6skhalMyqzLAJCL-yxYsDp_vw5oJ92sdDF2jSPjg</v>
      </c>
      <c r="B138" s="4" t="str">
        <f ca="1">IFERROR(__xludf.DUMMYFUNCTION("""COMPUTED_VALUE"""),"Đại học, Chứng chỉ Kiểm toán viên")</f>
        <v>Đại học, Chứng chỉ Kiểm toán viên</v>
      </c>
      <c r="C138" s="4" t="str">
        <f ca="1">IFERROR(__xludf.DUMMYFUNCTION("""COMPUTED_VALUE"""),"2_ABaOnuc_9sag6fLeZAeDSGYqtxTA_Ob3u5Cm0JGIxv3oNSZOgImTipEolLnc5fidqw")</f>
        <v>2_ABaOnuc_9sag6fLeZAeDSGYqtxTA_Ob3u5Cm0JGIxv3oNSZOgImTipEolLnc5fidqw</v>
      </c>
      <c r="D138" s="4" t="str">
        <f ca="1">IFERROR(__xludf.DUMMYFUNCTION("""COMPUTED_VALUE"""),"Đại học")</f>
        <v>Đại học</v>
      </c>
    </row>
    <row r="139" spans="1:4" x14ac:dyDescent="0.25">
      <c r="A139" s="4" t="str">
        <f ca="1">IFERROR(__xludf.DUMMYFUNCTION("""COMPUTED_VALUE"""),"2_ABaOnudTHuHOFpZsAaRB97EixMtgKd2paGfbHbst8acxAgXLbB67F8KYEdOA5CQ_ig")</f>
        <v>2_ABaOnudTHuHOFpZsAaRB97EixMtgKd2paGfbHbst8acxAgXLbB67F8KYEdOA5CQ_ig</v>
      </c>
      <c r="B139" s="4" t="str">
        <f ca="1">IFERROR(__xludf.DUMMYFUNCTION("""COMPUTED_VALUE"""),"Đại học, Chứng chỉ Kiểm toán viên")</f>
        <v>Đại học, Chứng chỉ Kiểm toán viên</v>
      </c>
      <c r="C139" s="4" t="str">
        <f ca="1">IFERROR(__xludf.DUMMYFUNCTION("""COMPUTED_VALUE"""),"2_ABaOnuc_9sag6fLeZAeDSGYqtxTA_Ob3u5Cm0JGIxv3oNSZOgImTipEolLnc5fidqw")</f>
        <v>2_ABaOnuc_9sag6fLeZAeDSGYqtxTA_Ob3u5Cm0JGIxv3oNSZOgImTipEolLnc5fidqw</v>
      </c>
      <c r="D139" s="4" t="str">
        <f ca="1">IFERROR(__xludf.DUMMYFUNCTION("""COMPUTED_VALUE"""),"Chứng chỉ Kiểm toán viên")</f>
        <v>Chứng chỉ Kiểm toán viên</v>
      </c>
    </row>
    <row r="140" spans="1:4" x14ac:dyDescent="0.25">
      <c r="A140" s="4" t="str">
        <f ca="1">IFERROR(__xludf.DUMMYFUNCTION("""COMPUTED_VALUE"""),"2_ABaOnud_KTt6NuyQPIbBIh-bejolHqnTwkSqjgNQbC9x3sJmpvMCFoLqJjwGN3C5lA")</f>
        <v>2_ABaOnud_KTt6NuyQPIbBIh-bejolHqnTwkSqjgNQbC9x3sJmpvMCFoLqJjwGN3C5lA</v>
      </c>
      <c r="B140" s="4" t="str">
        <f ca="1">IFERROR(__xludf.DUMMYFUNCTION("""COMPUTED_VALUE"""),"Đại học, Chứng chỉ Kiểm toán viên")</f>
        <v>Đại học, Chứng chỉ Kiểm toán viên</v>
      </c>
      <c r="C140" s="4" t="str">
        <f ca="1">IFERROR(__xludf.DUMMYFUNCTION("""COMPUTED_VALUE"""),"2_ABaOnuehpMBNFyBKUThJOUCEJD-NogvPj7bucy2-PqlCbrT7ZxLnrkKfmLK6SPdc_w")</f>
        <v>2_ABaOnuehpMBNFyBKUThJOUCEJD-NogvPj7bucy2-PqlCbrT7ZxLnrkKfmLK6SPdc_w</v>
      </c>
      <c r="D140" s="4" t="str">
        <f ca="1">IFERROR(__xludf.DUMMYFUNCTION("""COMPUTED_VALUE"""),"Đại học")</f>
        <v>Đại học</v>
      </c>
    </row>
    <row r="141" spans="1:4" x14ac:dyDescent="0.25">
      <c r="A141" s="4" t="str">
        <f ca="1">IFERROR(__xludf.DUMMYFUNCTION("""COMPUTED_VALUE"""),"2_ABaOnuctCswvYisuPI4CLYnVeIyyf3C1AhYpsuogRu459ZZmJp7F6RyCbAuZxt1_ng")</f>
        <v>2_ABaOnuctCswvYisuPI4CLYnVeIyyf3C1AhYpsuogRu459ZZmJp7F6RyCbAuZxt1_ng</v>
      </c>
      <c r="B141" s="4" t="str">
        <f ca="1">IFERROR(__xludf.DUMMYFUNCTION("""COMPUTED_VALUE"""),"Đại học, Chứng chỉ Kiểm toán viên")</f>
        <v>Đại học, Chứng chỉ Kiểm toán viên</v>
      </c>
      <c r="C141" s="4" t="str">
        <f ca="1">IFERROR(__xludf.DUMMYFUNCTION("""COMPUTED_VALUE"""),"2_ABaOnuehpMBNFyBKUThJOUCEJD-NogvPj7bucy2-PqlCbrT7ZxLnrkKfmLK6SPdc_w")</f>
        <v>2_ABaOnuehpMBNFyBKUThJOUCEJD-NogvPj7bucy2-PqlCbrT7ZxLnrkKfmLK6SPdc_w</v>
      </c>
      <c r="D141" s="4" t="str">
        <f ca="1">IFERROR(__xludf.DUMMYFUNCTION("""COMPUTED_VALUE"""),"Chứng chỉ Kiểm toán viên")</f>
        <v>Chứng chỉ Kiểm toán viên</v>
      </c>
    </row>
    <row r="142" spans="1:4" x14ac:dyDescent="0.25">
      <c r="A142" s="4" t="str">
        <f ca="1">IFERROR(__xludf.DUMMYFUNCTION("""COMPUTED_VALUE"""),"2_ABaOnueZwKBBz1Mnavw6UNBhT3bQU89TgcyAx-Rvl1-Vjzueuhr2-Fpz-KxF-t7MSg")</f>
        <v>2_ABaOnueZwKBBz1Mnavw6UNBhT3bQU89TgcyAx-Rvl1-Vjzueuhr2-Fpz-KxF-t7MSg</v>
      </c>
      <c r="B142" s="4" t="str">
        <f ca="1">IFERROR(__xludf.DUMMYFUNCTION("""COMPUTED_VALUE"""),"Chứng chỉ Kiểm toán viên")</f>
        <v>Chứng chỉ Kiểm toán viên</v>
      </c>
      <c r="C142" s="4" t="str">
        <f ca="1">IFERROR(__xludf.DUMMYFUNCTION("""COMPUTED_VALUE"""),"2_ABaOnucu-IrEpIiLgHmWEjH8QmuZknMYxRe12zCMXxUD1jgcWspEtoT3NTH50w38zg")</f>
        <v>2_ABaOnucu-IrEpIiLgHmWEjH8QmuZknMYxRe12zCMXxUD1jgcWspEtoT3NTH50w38zg</v>
      </c>
      <c r="D142" s="4" t="str">
        <f ca="1">IFERROR(__xludf.DUMMYFUNCTION("""COMPUTED_VALUE"""),"Sau đại học")</f>
        <v>Sau đại học</v>
      </c>
    </row>
    <row r="143" spans="1:4" x14ac:dyDescent="0.25">
      <c r="A143" s="4" t="str">
        <f ca="1">IFERROR(__xludf.DUMMYFUNCTION("""COMPUTED_VALUE"""),"2_ABaOnufgl81iTDK40lZ7A5RMNm1_cIEtYnVeqDlkQlN5GmTIuJtp7_bpw13KdVv_Hg")</f>
        <v>2_ABaOnufgl81iTDK40lZ7A5RMNm1_cIEtYnVeqDlkQlN5GmTIuJtp7_bpw13KdVv_Hg</v>
      </c>
      <c r="B143" s="4" t="str">
        <f ca="1">IFERROR(__xludf.DUMMYFUNCTION("""COMPUTED_VALUE"""),"Đại học, Chứng chỉ Kiểm toán viên")</f>
        <v>Đại học, Chứng chỉ Kiểm toán viên</v>
      </c>
      <c r="C143" s="4" t="str">
        <f ca="1">IFERROR(__xludf.DUMMYFUNCTION("""COMPUTED_VALUE"""),"2_ABaOnucu-IrEpIiLgHmWEjH8QmuZknMYxRe12zCMXxUD1jgcWspEtoT3NTH50w38zg")</f>
        <v>2_ABaOnucu-IrEpIiLgHmWEjH8QmuZknMYxRe12zCMXxUD1jgcWspEtoT3NTH50w38zg</v>
      </c>
      <c r="D143" s="4" t="str">
        <f ca="1">IFERROR(__xludf.DUMMYFUNCTION("""COMPUTED_VALUE"""),"Chứng chỉ Kiểm toán viên")</f>
        <v>Chứng chỉ Kiểm toán viên</v>
      </c>
    </row>
    <row r="144" spans="1:4" x14ac:dyDescent="0.25">
      <c r="A144" s="4" t="str">
        <f ca="1">IFERROR(__xludf.DUMMYFUNCTION("""COMPUTED_VALUE"""),"2_ABaOnucRhKbc0vCMpk1yC5w1WeMhmQurIsXTpc8VNKZY8j_BlwAs4DhonNbP4AcShA")</f>
        <v>2_ABaOnucRhKbc0vCMpk1yC5w1WeMhmQurIsXTpc8VNKZY8j_BlwAs4DhonNbP4AcShA</v>
      </c>
      <c r="B144" s="4" t="str">
        <f ca="1">IFERROR(__xludf.DUMMYFUNCTION("""COMPUTED_VALUE"""),"Đại học")</f>
        <v>Đại học</v>
      </c>
      <c r="C144" s="4" t="str">
        <f ca="1">IFERROR(__xludf.DUMMYFUNCTION("""COMPUTED_VALUE"""),"2_ABaOnudiSamWC1P8IcMvk2aeWKdlptw0MUwq_Rd5qg9_zm3o5uD9XskeJqi7fgO4XA")</f>
        <v>2_ABaOnudiSamWC1P8IcMvk2aeWKdlptw0MUwq_Rd5qg9_zm3o5uD9XskeJqi7fgO4XA</v>
      </c>
      <c r="D144" s="4" t="str">
        <f ca="1">IFERROR(__xludf.DUMMYFUNCTION("""COMPUTED_VALUE"""),"Đại học")</f>
        <v>Đại học</v>
      </c>
    </row>
    <row r="145" spans="1:4" x14ac:dyDescent="0.25">
      <c r="A145" s="4" t="str">
        <f ca="1">IFERROR(__xludf.DUMMYFUNCTION("""COMPUTED_VALUE"""),"2_ABaOnudtH3MUy0n9fC5waN_oE_Gc3fmrFJjW1tT-YDA1qwu7b5TB7IwYJ06H7U5fTQ")</f>
        <v>2_ABaOnudtH3MUy0n9fC5waN_oE_Gc3fmrFJjW1tT-YDA1qwu7b5TB7IwYJ06H7U5fTQ</v>
      </c>
      <c r="B145" s="4" t="str">
        <f ca="1">IFERROR(__xludf.DUMMYFUNCTION("""COMPUTED_VALUE"""),"Đại học")</f>
        <v>Đại học</v>
      </c>
      <c r="C145" s="4" t="str">
        <f ca="1">IFERROR(__xludf.DUMMYFUNCTION("""COMPUTED_VALUE"""),"2_ABaOnudiSamWC1P8IcMvk2aeWKdlptw0MUwq_Rd5qg9_zm3o5uD9XskeJqi7fgO4XA")</f>
        <v>2_ABaOnudiSamWC1P8IcMvk2aeWKdlptw0MUwq_Rd5qg9_zm3o5uD9XskeJqi7fgO4XA</v>
      </c>
      <c r="D145" s="4" t="str">
        <f ca="1">IFERROR(__xludf.DUMMYFUNCTION("""COMPUTED_VALUE"""),"Chứng chỉ Kiểm toán viên")</f>
        <v>Chứng chỉ Kiểm toán viên</v>
      </c>
    </row>
    <row r="146" spans="1:4" x14ac:dyDescent="0.25">
      <c r="A146" s="4" t="str">
        <f ca="1">IFERROR(__xludf.DUMMYFUNCTION("""COMPUTED_VALUE"""),"2_ABaOnufIkEPykhVLDqIlgF0tFhHu12sA2Rwi-po4uhYldD-aiqGE5dmkYkZuQI1Ohg")</f>
        <v>2_ABaOnufIkEPykhVLDqIlgF0tFhHu12sA2Rwi-po4uhYldD-aiqGE5dmkYkZuQI1Ohg</v>
      </c>
      <c r="B146" s="4" t="str">
        <f ca="1">IFERROR(__xludf.DUMMYFUNCTION("""COMPUTED_VALUE"""),"Đại học")</f>
        <v>Đại học</v>
      </c>
      <c r="C146" s="4" t="str">
        <f ca="1">IFERROR(__xludf.DUMMYFUNCTION("""COMPUTED_VALUE"""),"2_ABaOnudF_8-fVhfZi-xapxvWW6GMHaN6Xgm17JeyYJhdEnb9AC9uHpTD5c3jr0u5Kg")</f>
        <v>2_ABaOnudF_8-fVhfZi-xapxvWW6GMHaN6Xgm17JeyYJhdEnb9AC9uHpTD5c3jr0u5Kg</v>
      </c>
      <c r="D146" s="4" t="str">
        <f ca="1">IFERROR(__xludf.DUMMYFUNCTION("""COMPUTED_VALUE"""),"Đại học")</f>
        <v>Đại học</v>
      </c>
    </row>
    <row r="147" spans="1:4" x14ac:dyDescent="0.25">
      <c r="A147" s="4" t="str">
        <f ca="1">IFERROR(__xludf.DUMMYFUNCTION("""COMPUTED_VALUE"""),"2_ABaOnuf4tSTSshwdtWNaIwcvRUMAQ9CHQNKYoVJFYZacwbT8DOhSkK-F3EbE25Jrpg")</f>
        <v>2_ABaOnuf4tSTSshwdtWNaIwcvRUMAQ9CHQNKYoVJFYZacwbT8DOhSkK-F3EbE25Jrpg</v>
      </c>
      <c r="B147" s="4" t="str">
        <f ca="1">IFERROR(__xludf.DUMMYFUNCTION("""COMPUTED_VALUE"""),"Đại học")</f>
        <v>Đại học</v>
      </c>
      <c r="C147" s="4" t="str">
        <f ca="1">IFERROR(__xludf.DUMMYFUNCTION("""COMPUTED_VALUE"""),"2_ABaOnudF_8-fVhfZi-xapxvWW6GMHaN6Xgm17JeyYJhdEnb9AC9uHpTD5c3jr0u5Kg")</f>
        <v>2_ABaOnudF_8-fVhfZi-xapxvWW6GMHaN6Xgm17JeyYJhdEnb9AC9uHpTD5c3jr0u5Kg</v>
      </c>
      <c r="D147" s="4" t="str">
        <f ca="1">IFERROR(__xludf.DUMMYFUNCTION("""COMPUTED_VALUE"""),"Chứng chỉ Kiểm toán viên")</f>
        <v>Chứng chỉ Kiểm toán viên</v>
      </c>
    </row>
    <row r="148" spans="1:4" x14ac:dyDescent="0.25">
      <c r="A148" s="4" t="str">
        <f ca="1">IFERROR(__xludf.DUMMYFUNCTION("""COMPUTED_VALUE"""),"2_ABaOnudEO1tpjUItWTUW1egQibOcBG9L4IeuYYC3HLSmZg6eg-XGv9jkeAt5xgYzZw")</f>
        <v>2_ABaOnudEO1tpjUItWTUW1egQibOcBG9L4IeuYYC3HLSmZg6eg-XGv9jkeAt5xgYzZw</v>
      </c>
      <c r="B148" s="4" t="str">
        <f ca="1">IFERROR(__xludf.DUMMYFUNCTION("""COMPUTED_VALUE"""),"Đại học")</f>
        <v>Đại học</v>
      </c>
      <c r="C148" s="4" t="str">
        <f ca="1">IFERROR(__xludf.DUMMYFUNCTION("""COMPUTED_VALUE"""),"2_ABaOnucEmXsG_9QnKpMNE3adukyoJGxtDkxYM7ZongMrTnr-hTLzDVWMLaOOqJAsoA")</f>
        <v>2_ABaOnucEmXsG_9QnKpMNE3adukyoJGxtDkxYM7ZongMrTnr-hTLzDVWMLaOOqJAsoA</v>
      </c>
      <c r="D148" s="4" t="str">
        <f ca="1">IFERROR(__xludf.DUMMYFUNCTION("""COMPUTED_VALUE"""),"Đại học")</f>
        <v>Đại học</v>
      </c>
    </row>
    <row r="149" spans="1:4" x14ac:dyDescent="0.25">
      <c r="A149" s="4" t="str">
        <f ca="1">IFERROR(__xludf.DUMMYFUNCTION("""COMPUTED_VALUE"""),"2_ABaOnueF3k4EzhIcVJyp7-J8RrTYyDJp2aG5sl7ACRGTvwgb3lA5YIeVXaqVY1cv3w")</f>
        <v>2_ABaOnueF3k4EzhIcVJyp7-J8RrTYyDJp2aG5sl7ACRGTvwgb3lA5YIeVXaqVY1cv3w</v>
      </c>
      <c r="B149" s="4" t="str">
        <f ca="1">IFERROR(__xludf.DUMMYFUNCTION("""COMPUTED_VALUE"""),"Đại học")</f>
        <v>Đại học</v>
      </c>
      <c r="C149" s="4" t="str">
        <f ca="1">IFERROR(__xludf.DUMMYFUNCTION("""COMPUTED_VALUE"""),"2_ABaOnucZpyerIaWHJH2Cbs18hSWLL0jfa1NIQkM147xGuGuJCODiV2uRBGb9lMx20g")</f>
        <v>2_ABaOnucZpyerIaWHJH2Cbs18hSWLL0jfa1NIQkM147xGuGuJCODiV2uRBGb9lMx20g</v>
      </c>
      <c r="D149" s="4" t="str">
        <f ca="1">IFERROR(__xludf.DUMMYFUNCTION("""COMPUTED_VALUE"""),"Đại học")</f>
        <v>Đại học</v>
      </c>
    </row>
    <row r="150" spans="1:4" x14ac:dyDescent="0.25">
      <c r="A150" s="4" t="str">
        <f ca="1">IFERROR(__xludf.DUMMYFUNCTION("""COMPUTED_VALUE"""),"2_ABaOnucAmYot99kmh2OObroaCLPPkfbteHs3kqG2nF2kUFDNaRsu2799r3Sm2gH89A")</f>
        <v>2_ABaOnucAmYot99kmh2OObroaCLPPkfbteHs3kqG2nF2kUFDNaRsu2799r3Sm2gH89A</v>
      </c>
      <c r="B150" s="4" t="str">
        <f ca="1">IFERROR(__xludf.DUMMYFUNCTION("""COMPUTED_VALUE"""),"Sau đại học")</f>
        <v>Sau đại học</v>
      </c>
      <c r="C150" s="4" t="str">
        <f ca="1">IFERROR(__xludf.DUMMYFUNCTION("""COMPUTED_VALUE"""),"2_ABaOnucZpyerIaWHJH2Cbs18hSWLL0jfa1NIQkM147xGuGuJCODiV2uRBGb9lMx20g")</f>
        <v>2_ABaOnucZpyerIaWHJH2Cbs18hSWLL0jfa1NIQkM147xGuGuJCODiV2uRBGb9lMx20g</v>
      </c>
      <c r="D150" s="4" t="str">
        <f ca="1">IFERROR(__xludf.DUMMYFUNCTION("""COMPUTED_VALUE"""),"Chứng chỉ Kiểm toán viên")</f>
        <v>Chứng chỉ Kiểm toán viên</v>
      </c>
    </row>
    <row r="151" spans="1:4" x14ac:dyDescent="0.25">
      <c r="A151" s="4" t="str">
        <f ca="1">IFERROR(__xludf.DUMMYFUNCTION("""COMPUTED_VALUE"""),"2_ABaOnucWC0ts1durzmH22INJ-ANeAHphI6sK8RbnLl1sBr2Te0mjnPTvwlehOhnGxQ")</f>
        <v>2_ABaOnucWC0ts1durzmH22INJ-ANeAHphI6sK8RbnLl1sBr2Te0mjnPTvwlehOhnGxQ</v>
      </c>
      <c r="B151" s="4" t="str">
        <f ca="1">IFERROR(__xludf.DUMMYFUNCTION("""COMPUTED_VALUE"""),"Đại học, Chứng chỉ Kiểm toán viên")</f>
        <v>Đại học, Chứng chỉ Kiểm toán viên</v>
      </c>
      <c r="C151" s="4" t="str">
        <f ca="1">IFERROR(__xludf.DUMMYFUNCTION("""COMPUTED_VALUE"""),"2_ABaOnufmHl-zPsFviApoaTyhGIC8L7KdTEPiNsVdEga0I4rrO2AUm8MftFEaYsqcAQ")</f>
        <v>2_ABaOnufmHl-zPsFviApoaTyhGIC8L7KdTEPiNsVdEga0I4rrO2AUm8MftFEaYsqcAQ</v>
      </c>
      <c r="D151" s="4" t="str">
        <f ca="1">IFERROR(__xludf.DUMMYFUNCTION("""COMPUTED_VALUE"""),"Đại học")</f>
        <v>Đại học</v>
      </c>
    </row>
    <row r="152" spans="1:4" x14ac:dyDescent="0.25">
      <c r="A152" s="4" t="str">
        <f ca="1">IFERROR(__xludf.DUMMYFUNCTION("""COMPUTED_VALUE"""),"2_ABaOnuedGQCj3TFex_fd5KmBzFR0y8jFYq_fCe93HfAbJ6FappwCn1qY6K3HDDCSEQ")</f>
        <v>2_ABaOnuedGQCj3TFex_fd5KmBzFR0y8jFYq_fCe93HfAbJ6FappwCn1qY6K3HDDCSEQ</v>
      </c>
      <c r="B152" s="4" t="str">
        <f ca="1">IFERROR(__xludf.DUMMYFUNCTION("""COMPUTED_VALUE"""),"Đại học")</f>
        <v>Đại học</v>
      </c>
      <c r="C152" s="4" t="str">
        <f ca="1">IFERROR(__xludf.DUMMYFUNCTION("""COMPUTED_VALUE"""),"2_ABaOnufmHl-zPsFviApoaTyhGIC8L7KdTEPiNsVdEga0I4rrO2AUm8MftFEaYsqcAQ")</f>
        <v>2_ABaOnufmHl-zPsFviApoaTyhGIC8L7KdTEPiNsVdEga0I4rrO2AUm8MftFEaYsqcAQ</v>
      </c>
      <c r="D152" s="4" t="str">
        <f ca="1">IFERROR(__xludf.DUMMYFUNCTION("""COMPUTED_VALUE"""),"Chứng chỉ Kiểm toán viên")</f>
        <v>Chứng chỉ Kiểm toán viên</v>
      </c>
    </row>
    <row r="153" spans="1:4" x14ac:dyDescent="0.25">
      <c r="A153" s="4" t="str">
        <f ca="1">IFERROR(__xludf.DUMMYFUNCTION("""COMPUTED_VALUE"""),"2_ABaOnucSm3MP-sTG_02saomuy81VrMW2Z_7WCEpRL2KGpcG0RRCuVb7cCgP7m1pIQg")</f>
        <v>2_ABaOnucSm3MP-sTG_02saomuy81VrMW2Z_7WCEpRL2KGpcG0RRCuVb7cCgP7m1pIQg</v>
      </c>
      <c r="B153" s="4" t="str">
        <f ca="1">IFERROR(__xludf.DUMMYFUNCTION("""COMPUTED_VALUE"""),"Đại học")</f>
        <v>Đại học</v>
      </c>
      <c r="C153" s="4" t="str">
        <f ca="1">IFERROR(__xludf.DUMMYFUNCTION("""COMPUTED_VALUE"""),"2_ABaOnudP3-LTxoKk3JQBi0KS4pQDA69k7rj0brQGzR9_vCZRCXPhqiiVSQqlSl2sew")</f>
        <v>2_ABaOnudP3-LTxoKk3JQBi0KS4pQDA69k7rj0brQGzR9_vCZRCXPhqiiVSQqlSl2sew</v>
      </c>
      <c r="D153" s="4" t="str">
        <f ca="1">IFERROR(__xludf.DUMMYFUNCTION("""COMPUTED_VALUE"""),"Chứng chỉ Kiểm toán viên")</f>
        <v>Chứng chỉ Kiểm toán viên</v>
      </c>
    </row>
    <row r="154" spans="1:4" x14ac:dyDescent="0.25">
      <c r="A154" s="4" t="str">
        <f ca="1">IFERROR(__xludf.DUMMYFUNCTION("""COMPUTED_VALUE"""),"2_ABaOnuf29bXxvnwZOmYl0OVjYxHjUMzUi5TfsXfiyTWLPY1SblDLPHMZt0pXn576mQ")</f>
        <v>2_ABaOnuf29bXxvnwZOmYl0OVjYxHjUMzUi5TfsXfiyTWLPY1SblDLPHMZt0pXn576mQ</v>
      </c>
      <c r="B154" s="4" t="str">
        <f ca="1">IFERROR(__xludf.DUMMYFUNCTION("""COMPUTED_VALUE"""),"Sau đại học, Chứng chỉ Kiểm toán viên")</f>
        <v>Sau đại học, Chứng chỉ Kiểm toán viên</v>
      </c>
      <c r="C154" s="4" t="str">
        <f ca="1">IFERROR(__xludf.DUMMYFUNCTION("""COMPUTED_VALUE"""),"2_ABaOnuf_CVE19b9qsbbvu01CRtp_hSARYbHmpHPOUg7_vTKJUZZ2SgP2ln0tTx6E9Q")</f>
        <v>2_ABaOnuf_CVE19b9qsbbvu01CRtp_hSARYbHmpHPOUg7_vTKJUZZ2SgP2ln0tTx6E9Q</v>
      </c>
      <c r="D154" s="4" t="str">
        <f ca="1">IFERROR(__xludf.DUMMYFUNCTION("""COMPUTED_VALUE"""),"Đại học")</f>
        <v>Đại học</v>
      </c>
    </row>
    <row r="155" spans="1:4" x14ac:dyDescent="0.25">
      <c r="A155" s="4" t="str">
        <f ca="1">IFERROR(__xludf.DUMMYFUNCTION("""COMPUTED_VALUE"""),"2_ABaOnue8XtsPEN1FLiloaodipYsL-UGEFhY2oO9NheDS3zgplMyWID1p4tuqz1PqdA")</f>
        <v>2_ABaOnue8XtsPEN1FLiloaodipYsL-UGEFhY2oO9NheDS3zgplMyWID1p4tuqz1PqdA</v>
      </c>
      <c r="B155" s="4" t="str">
        <f ca="1">IFERROR(__xludf.DUMMYFUNCTION("""COMPUTED_VALUE"""),"Sau đại học, Chứng chỉ Kiểm toán viên, ")</f>
        <v xml:space="preserve">Sau đại học, Chứng chỉ Kiểm toán viên, </v>
      </c>
      <c r="C155" s="4" t="str">
        <f ca="1">IFERROR(__xludf.DUMMYFUNCTION("""COMPUTED_VALUE"""),"2_ABaOnudU-wsksC-Xfbub-KsZptBrPOFnHKKe_ITwUDsNb3g8xaVHTy0Qk1Nt9v449A")</f>
        <v>2_ABaOnudU-wsksC-Xfbub-KsZptBrPOFnHKKe_ITwUDsNb3g8xaVHTy0Qk1Nt9v449A</v>
      </c>
      <c r="D155" s="4" t="str">
        <f ca="1">IFERROR(__xludf.DUMMYFUNCTION("""COMPUTED_VALUE"""),"Đại học")</f>
        <v>Đại học</v>
      </c>
    </row>
    <row r="156" spans="1:4" x14ac:dyDescent="0.25">
      <c r="A156" s="4" t="str">
        <f ca="1">IFERROR(__xludf.DUMMYFUNCTION("""COMPUTED_VALUE"""),"2_ABaOnuegTjXg4vcZz4Zupraq1BSOrgF2glXAUZzLVUtnO95V5vPro37BrbsgcGNnNA")</f>
        <v>2_ABaOnuegTjXg4vcZz4Zupraq1BSOrgF2glXAUZzLVUtnO95V5vPro37BrbsgcGNnNA</v>
      </c>
      <c r="B156" s="4" t="str">
        <f ca="1">IFERROR(__xludf.DUMMYFUNCTION("""COMPUTED_VALUE"""),"Sau đại học, Chứng chỉ Kiểm toán viên")</f>
        <v>Sau đại học, Chứng chỉ Kiểm toán viên</v>
      </c>
      <c r="C156" s="4" t="str">
        <f ca="1">IFERROR(__xludf.DUMMYFUNCTION("""COMPUTED_VALUE"""),"2_ABaOnueEQVwqmUJxnCrrL_r7gGiyA_Qga0qmIzQ721MMecYFLjkQsYpErpIL3h4Ygw")</f>
        <v>2_ABaOnueEQVwqmUJxnCrrL_r7gGiyA_Qga0qmIzQ721MMecYFLjkQsYpErpIL3h4Ygw</v>
      </c>
      <c r="D156" s="4" t="str">
        <f ca="1">IFERROR(__xludf.DUMMYFUNCTION("""COMPUTED_VALUE"""),"Chứng chỉ Kiểm toán viên")</f>
        <v>Chứng chỉ Kiểm toán viên</v>
      </c>
    </row>
    <row r="157" spans="1:4" x14ac:dyDescent="0.25">
      <c r="A157" s="4" t="str">
        <f ca="1">IFERROR(__xludf.DUMMYFUNCTION("""COMPUTED_VALUE"""),"2_ABaOnufYVRtqXs6wjYD7jeUNIfodvNKX25A53923oqgDYGaC_eje4W2dFMn6ChjX7w")</f>
        <v>2_ABaOnufYVRtqXs6wjYD7jeUNIfodvNKX25A53923oqgDYGaC_eje4W2dFMn6ChjX7w</v>
      </c>
      <c r="B157" s="4" t="str">
        <f ca="1">IFERROR(__xludf.DUMMYFUNCTION("""COMPUTED_VALUE"""),"Sau đại học")</f>
        <v>Sau đại học</v>
      </c>
      <c r="C157" s="4" t="str">
        <f ca="1">IFERROR(__xludf.DUMMYFUNCTION("""COMPUTED_VALUE"""),"2_ABaOnufNAvwOsgtdhiLrDc40zARBacD9KSUSVynMJyDAfi0VnwzzoN8nxC7JFnA58w")</f>
        <v>2_ABaOnufNAvwOsgtdhiLrDc40zARBacD9KSUSVynMJyDAfi0VnwzzoN8nxC7JFnA58w</v>
      </c>
      <c r="D157" s="4" t="str">
        <f ca="1">IFERROR(__xludf.DUMMYFUNCTION("""COMPUTED_VALUE"""),"Đại học")</f>
        <v>Đại học</v>
      </c>
    </row>
    <row r="158" spans="1:4" x14ac:dyDescent="0.25">
      <c r="A158" s="4" t="str">
        <f ca="1">IFERROR(__xludf.DUMMYFUNCTION("""COMPUTED_VALUE"""),"2_ABaOnue1Ps20AruLvk3m9FeDvLiIYQbdTNybAhn5VlUA_xgeFH6qRVlqvUNVv4DPTg")</f>
        <v>2_ABaOnue1Ps20AruLvk3m9FeDvLiIYQbdTNybAhn5VlUA_xgeFH6qRVlqvUNVv4DPTg</v>
      </c>
      <c r="B158" s="4" t="str">
        <f ca="1">IFERROR(__xludf.DUMMYFUNCTION("""COMPUTED_VALUE"""),"Đại học")</f>
        <v>Đại học</v>
      </c>
      <c r="C158" s="4" t="str">
        <f ca="1">IFERROR(__xludf.DUMMYFUNCTION("""COMPUTED_VALUE"""),"2_ABaOnuebOaMazIyY906RW6KaWDxsOQQGYU7cEzWZN0IbRW9Cn4o7iyU-IO3PiZtsEw")</f>
        <v>2_ABaOnuebOaMazIyY906RW6KaWDxsOQQGYU7cEzWZN0IbRW9Cn4o7iyU-IO3PiZtsEw</v>
      </c>
      <c r="D158" s="4" t="str">
        <f ca="1">IFERROR(__xludf.DUMMYFUNCTION("""COMPUTED_VALUE"""),"Sau đại học")</f>
        <v>Sau đại học</v>
      </c>
    </row>
    <row r="159" spans="1:4" x14ac:dyDescent="0.25">
      <c r="A159" s="4" t="str">
        <f ca="1">IFERROR(__xludf.DUMMYFUNCTION("""COMPUTED_VALUE"""),"2_ABaOnucszigOkvYfk7HZgARYtITyEHncKCrUMWjPdZGvmFgKRQR3VFFvL-HgFIUbtA")</f>
        <v>2_ABaOnucszigOkvYfk7HZgARYtITyEHncKCrUMWjPdZGvmFgKRQR3VFFvL-HgFIUbtA</v>
      </c>
      <c r="B159" s="4" t="str">
        <f ca="1">IFERROR(__xludf.DUMMYFUNCTION("""COMPUTED_VALUE"""),"Đại học")</f>
        <v>Đại học</v>
      </c>
      <c r="C159" s="4" t="str">
        <f ca="1">IFERROR(__xludf.DUMMYFUNCTION("""COMPUTED_VALUE"""),"2_ABaOnuebOaMazIyY906RW6KaWDxsOQQGYU7cEzWZN0IbRW9Cn4o7iyU-IO3PiZtsEw")</f>
        <v>2_ABaOnuebOaMazIyY906RW6KaWDxsOQQGYU7cEzWZN0IbRW9Cn4o7iyU-IO3PiZtsEw</v>
      </c>
      <c r="D159" s="4" t="str">
        <f ca="1">IFERROR(__xludf.DUMMYFUNCTION("""COMPUTED_VALUE"""),"Chứng chỉ Kiểm toán viên")</f>
        <v>Chứng chỉ Kiểm toán viên</v>
      </c>
    </row>
    <row r="160" spans="1:4" x14ac:dyDescent="0.25">
      <c r="A160" s="4" t="str">
        <f ca="1">IFERROR(__xludf.DUMMYFUNCTION("""COMPUTED_VALUE"""),"2_ABaOnue0__VOLh37DSVTsZ_t9rzfzCtd731ZsyMeHjRK721cz6AJ86KmOy-JFgpAUA")</f>
        <v>2_ABaOnue0__VOLh37DSVTsZ_t9rzfzCtd731ZsyMeHjRK721cz6AJ86KmOy-JFgpAUA</v>
      </c>
      <c r="B160" s="4" t="str">
        <f ca="1">IFERROR(__xludf.DUMMYFUNCTION("""COMPUTED_VALUE"""),"Đại học")</f>
        <v>Đại học</v>
      </c>
      <c r="C160" s="4" t="str">
        <f ca="1">IFERROR(__xludf.DUMMYFUNCTION("""COMPUTED_VALUE"""),"2_ABaOnucIDC4-vhG2QLphsVCbRIO2CxV6qWjca7PGks5FXSFW3F-2ABuVnNxvxHpRBA")</f>
        <v>2_ABaOnucIDC4-vhG2QLphsVCbRIO2CxV6qWjca7PGks5FXSFW3F-2ABuVnNxvxHpRBA</v>
      </c>
      <c r="D160" s="4" t="str">
        <f ca="1">IFERROR(__xludf.DUMMYFUNCTION("""COMPUTED_VALUE"""),"Đại học")</f>
        <v>Đại học</v>
      </c>
    </row>
    <row r="161" spans="1:4" x14ac:dyDescent="0.25">
      <c r="A161" s="4" t="str">
        <f ca="1">IFERROR(__xludf.DUMMYFUNCTION("""COMPUTED_VALUE"""),"2_ABaOnudV0R_UzYhv-N_GIvN3JNzbPOTQ1XPhVMCe2z4Kd55zpvWhCa1Aqn16YVfVKQ")</f>
        <v>2_ABaOnudV0R_UzYhv-N_GIvN3JNzbPOTQ1XPhVMCe2z4Kd55zpvWhCa1Aqn16YVfVKQ</v>
      </c>
      <c r="B161" s="4" t="str">
        <f ca="1">IFERROR(__xludf.DUMMYFUNCTION("""COMPUTED_VALUE"""),"Sau đại học, Chứng chỉ Kiểm toán viên")</f>
        <v>Sau đại học, Chứng chỉ Kiểm toán viên</v>
      </c>
      <c r="C161" s="4" t="str">
        <f ca="1">IFERROR(__xludf.DUMMYFUNCTION("""COMPUTED_VALUE"""),"2_ABaOnuf3P3QZ4dx8nQZAjxZZEppKOjctnwuUflpZPCscFVGYNj9FF1NJIb81sMOHOA")</f>
        <v>2_ABaOnuf3P3QZ4dx8nQZAjxZZEppKOjctnwuUflpZPCscFVGYNj9FF1NJIb81sMOHOA</v>
      </c>
      <c r="D161" s="4" t="str">
        <f ca="1">IFERROR(__xludf.DUMMYFUNCTION("""COMPUTED_VALUE"""),"Đại học")</f>
        <v>Đại học</v>
      </c>
    </row>
    <row r="162" spans="1:4" x14ac:dyDescent="0.25">
      <c r="A162" s="4" t="str">
        <f ca="1">IFERROR(__xludf.DUMMYFUNCTION("""COMPUTED_VALUE"""),"2_ABaOnucYdPZ3xsBb4G8yeB68xbKCD0p7mJibL7R11Ymy-cs90apTZN28sm0DVQ94rA")</f>
        <v>2_ABaOnucYdPZ3xsBb4G8yeB68xbKCD0p7mJibL7R11Ymy-cs90apTZN28sm0DVQ94rA</v>
      </c>
      <c r="B162" s="4" t="str">
        <f ca="1">IFERROR(__xludf.DUMMYFUNCTION("""COMPUTED_VALUE"""),"Đại học")</f>
        <v>Đại học</v>
      </c>
      <c r="C162" s="4" t="str">
        <f ca="1">IFERROR(__xludf.DUMMYFUNCTION("""COMPUTED_VALUE"""),"2_ABaOnuctZEcVsc96Hq-iYrTRfBB9A9BNv-WB0ATTbEXA6_g25Z4MWA7l3rB5vZ9Csg")</f>
        <v>2_ABaOnuctZEcVsc96Hq-iYrTRfBB9A9BNv-WB0ATTbEXA6_g25Z4MWA7l3rB5vZ9Csg</v>
      </c>
      <c r="D162" s="4" t="str">
        <f ca="1">IFERROR(__xludf.DUMMYFUNCTION("""COMPUTED_VALUE"""),"Đại học")</f>
        <v>Đại học</v>
      </c>
    </row>
    <row r="163" spans="1:4" x14ac:dyDescent="0.25">
      <c r="A163" s="4" t="str">
        <f ca="1">IFERROR(__xludf.DUMMYFUNCTION("""COMPUTED_VALUE"""),"2_ABaOnucggZvIBVqC6kpZXIUJevUActLZ2-wSa1V_C4G-meWJPVWVjpwM-uVSyVdEUA")</f>
        <v>2_ABaOnucggZvIBVqC6kpZXIUJevUActLZ2-wSa1V_C4G-meWJPVWVjpwM-uVSyVdEUA</v>
      </c>
      <c r="B163" s="4" t="str">
        <f ca="1">IFERROR(__xludf.DUMMYFUNCTION("""COMPUTED_VALUE"""),"Đại học")</f>
        <v>Đại học</v>
      </c>
      <c r="C163" s="4" t="str">
        <f ca="1">IFERROR(__xludf.DUMMYFUNCTION("""COMPUTED_VALUE"""),"2_ABaOnuegQdyy5RLJkcZaMFHYIG4hVj1wgM5wHyLmXg1-20QdZda5LAkZhmttvh9D-w")</f>
        <v>2_ABaOnuegQdyy5RLJkcZaMFHYIG4hVj1wgM5wHyLmXg1-20QdZda5LAkZhmttvh9D-w</v>
      </c>
      <c r="D163" s="4" t="str">
        <f ca="1">IFERROR(__xludf.DUMMYFUNCTION("""COMPUTED_VALUE"""),"Đại học")</f>
        <v>Đại học</v>
      </c>
    </row>
    <row r="164" spans="1:4" x14ac:dyDescent="0.25">
      <c r="A164" s="4" t="str">
        <f ca="1">IFERROR(__xludf.DUMMYFUNCTION("""COMPUTED_VALUE"""),"2_ABaOnucFSdnblF-kZiyQboJBz9LG34LkWzdyQOCCNPCptUD_d6hptYor0D5Dsilgyg")</f>
        <v>2_ABaOnucFSdnblF-kZiyQboJBz9LG34LkWzdyQOCCNPCptUD_d6hptYor0D5Dsilgyg</v>
      </c>
      <c r="B164" s="4" t="str">
        <f ca="1">IFERROR(__xludf.DUMMYFUNCTION("""COMPUTED_VALUE"""),"Đại học")</f>
        <v>Đại học</v>
      </c>
      <c r="C164" s="4" t="str">
        <f ca="1">IFERROR(__xludf.DUMMYFUNCTION("""COMPUTED_VALUE"""),"2_ABaOnuegQdyy5RLJkcZaMFHYIG4hVj1wgM5wHyLmXg1-20QdZda5LAkZhmttvh9D-w")</f>
        <v>2_ABaOnuegQdyy5RLJkcZaMFHYIG4hVj1wgM5wHyLmXg1-20QdZda5LAkZhmttvh9D-w</v>
      </c>
      <c r="D164" s="4" t="str">
        <f ca="1">IFERROR(__xludf.DUMMYFUNCTION("""COMPUTED_VALUE"""),"Chứng chỉ Kiểm toán viên")</f>
        <v>Chứng chỉ Kiểm toán viên</v>
      </c>
    </row>
    <row r="165" spans="1:4" x14ac:dyDescent="0.25">
      <c r="A165" s="4" t="str">
        <f ca="1">IFERROR(__xludf.DUMMYFUNCTION("""COMPUTED_VALUE"""),"2_ABaOnufAnlJ1AmtHAiegxvBm6OyMu5u02mXQIclfWHAMthNvglWJUMYfrpWerPyxtg")</f>
        <v>2_ABaOnufAnlJ1AmtHAiegxvBm6OyMu5u02mXQIclfWHAMthNvglWJUMYfrpWerPyxtg</v>
      </c>
      <c r="B165" s="4" t="str">
        <f ca="1">IFERROR(__xludf.DUMMYFUNCTION("""COMPUTED_VALUE"""),"Đại học")</f>
        <v>Đại học</v>
      </c>
      <c r="C165" s="4" t="str">
        <f ca="1">IFERROR(__xludf.DUMMYFUNCTION("""COMPUTED_VALUE"""),"2_ABaOnufIg5iKBXebJh-TkpKFmOx6DwuX55kxdbxR-IAEKUcNRCJesvNJru3nZg2X5w")</f>
        <v>2_ABaOnufIg5iKBXebJh-TkpKFmOx6DwuX55kxdbxR-IAEKUcNRCJesvNJru3nZg2X5w</v>
      </c>
      <c r="D165" s="4" t="str">
        <f ca="1">IFERROR(__xludf.DUMMYFUNCTION("""COMPUTED_VALUE"""),"Đại học")</f>
        <v>Đại học</v>
      </c>
    </row>
    <row r="166" spans="1:4" x14ac:dyDescent="0.25">
      <c r="A166" s="4" t="str">
        <f ca="1">IFERROR(__xludf.DUMMYFUNCTION("""COMPUTED_VALUE"""),"2_ABaOnueiSg_uN2CAHPLVH3ndePrnEn1yTIZuQVIk_9ZuBlIJsAYo9UFNPNFYXFkC8g")</f>
        <v>2_ABaOnueiSg_uN2CAHPLVH3ndePrnEn1yTIZuQVIk_9ZuBlIJsAYo9UFNPNFYXFkC8g</v>
      </c>
      <c r="B166" s="4" t="str">
        <f ca="1">IFERROR(__xludf.DUMMYFUNCTION("""COMPUTED_VALUE"""),"Đại học")</f>
        <v>Đại học</v>
      </c>
      <c r="C166" s="4" t="str">
        <f ca="1">IFERROR(__xludf.DUMMYFUNCTION("""COMPUTED_VALUE"""),"2_ABaOnucxEDVCNl1L2x5hzcgQDCGw6zug99ffJAoaHOWUTUZNkeX3SlsqMOJIA8igsg")</f>
        <v>2_ABaOnucxEDVCNl1L2x5hzcgQDCGw6zug99ffJAoaHOWUTUZNkeX3SlsqMOJIA8igsg</v>
      </c>
      <c r="D166" s="4" t="str">
        <f ca="1">IFERROR(__xludf.DUMMYFUNCTION("""COMPUTED_VALUE"""),"Sau đại học")</f>
        <v>Sau đại học</v>
      </c>
    </row>
    <row r="167" spans="1:4" x14ac:dyDescent="0.25">
      <c r="A167" s="4" t="str">
        <f ca="1">IFERROR(__xludf.DUMMYFUNCTION("""COMPUTED_VALUE"""),"2_ABaOnueYpTwVnPWxgJV4clEulXsixuoPKvj1cpnEg9giAsTI2mONwAP8Bvxz_H5QrA")</f>
        <v>2_ABaOnueYpTwVnPWxgJV4clEulXsixuoPKvj1cpnEg9giAsTI2mONwAP8Bvxz_H5QrA</v>
      </c>
      <c r="B167" s="4" t="str">
        <f ca="1">IFERROR(__xludf.DUMMYFUNCTION("""COMPUTED_VALUE"""),"Đại học")</f>
        <v>Đại học</v>
      </c>
      <c r="C167" s="4" t="str">
        <f ca="1">IFERROR(__xludf.DUMMYFUNCTION("""COMPUTED_VALUE"""),"2_ABaOnucxEDVCNl1L2x5hzcgQDCGw6zug99ffJAoaHOWUTUZNkeX3SlsqMOJIA8igsg")</f>
        <v>2_ABaOnucxEDVCNl1L2x5hzcgQDCGw6zug99ffJAoaHOWUTUZNkeX3SlsqMOJIA8igsg</v>
      </c>
      <c r="D167" s="4" t="str">
        <f ca="1">IFERROR(__xludf.DUMMYFUNCTION("""COMPUTED_VALUE"""),"Chứng chỉ Kiểm toán viên")</f>
        <v>Chứng chỉ Kiểm toán viên</v>
      </c>
    </row>
    <row r="168" spans="1:4" x14ac:dyDescent="0.25">
      <c r="A168" s="4" t="str">
        <f ca="1">IFERROR(__xludf.DUMMYFUNCTION("""COMPUTED_VALUE"""),"2_ABaOnueQC6bJhyNcD9CkzNmEqeM6wtmrWvF1Us0qALWlx94nS4iU1XzSOP1nmrGH_Q")</f>
        <v>2_ABaOnueQC6bJhyNcD9CkzNmEqeM6wtmrWvF1Us0qALWlx94nS4iU1XzSOP1nmrGH_Q</v>
      </c>
      <c r="B168" s="4" t="str">
        <f ca="1">IFERROR(__xludf.DUMMYFUNCTION("""COMPUTED_VALUE"""),"Đại học, Chứng chỉ Kiểm toán viên")</f>
        <v>Đại học, Chứng chỉ Kiểm toán viên</v>
      </c>
      <c r="C168" s="4" t="str">
        <f ca="1">IFERROR(__xludf.DUMMYFUNCTION("""COMPUTED_VALUE"""),"2_ABaOnuc9WSHDnhytzcbIP_DVu6oPajOCP74aMDtauKdrY6jJqKg0dApPoLNYPPm1Ew")</f>
        <v>2_ABaOnuc9WSHDnhytzcbIP_DVu6oPajOCP74aMDtauKdrY6jJqKg0dApPoLNYPPm1Ew</v>
      </c>
      <c r="D168" s="4" t="str">
        <f ca="1">IFERROR(__xludf.DUMMYFUNCTION("""COMPUTED_VALUE"""),"Đại học")</f>
        <v>Đại học</v>
      </c>
    </row>
    <row r="169" spans="1:4" x14ac:dyDescent="0.25">
      <c r="A169" s="4" t="str">
        <f ca="1">IFERROR(__xludf.DUMMYFUNCTION("""COMPUTED_VALUE"""),"2_ABaOnuforek-qAt9KEM-7ZL6e5EYv6LNVqINAUif0CeGdP2sTHB7Lfxrt5JC2_I6kw")</f>
        <v>2_ABaOnuforek-qAt9KEM-7ZL6e5EYv6LNVqINAUif0CeGdP2sTHB7Lfxrt5JC2_I6kw</v>
      </c>
      <c r="B169" s="4" t="str">
        <f ca="1">IFERROR(__xludf.DUMMYFUNCTION("""COMPUTED_VALUE"""),"Sau đại học, Chứng chỉ Kiểm toán viên")</f>
        <v>Sau đại học, Chứng chỉ Kiểm toán viên</v>
      </c>
      <c r="C169" s="4" t="str">
        <f ca="1">IFERROR(__xludf.DUMMYFUNCTION("""COMPUTED_VALUE"""),"2_ABaOnuc9WSHDnhytzcbIP_DVu6oPajOCP74aMDtauKdrY6jJqKg0dApPoLNYPPm1Ew")</f>
        <v>2_ABaOnuc9WSHDnhytzcbIP_DVu6oPajOCP74aMDtauKdrY6jJqKg0dApPoLNYPPm1Ew</v>
      </c>
      <c r="D169" s="4" t="str">
        <f ca="1">IFERROR(__xludf.DUMMYFUNCTION("""COMPUTED_VALUE"""),"Chứng chỉ Kiểm toán viên")</f>
        <v>Chứng chỉ Kiểm toán viên</v>
      </c>
    </row>
    <row r="170" spans="1:4" x14ac:dyDescent="0.25">
      <c r="A170" s="4" t="str">
        <f ca="1">IFERROR(__xludf.DUMMYFUNCTION("""COMPUTED_VALUE"""),"2_ABaOnucCAAnJ7ot2nyxboW5B2C66rmW61Q54k3dS9B9F9sLKzS1Af9G52cbDz1aVOQ")</f>
        <v>2_ABaOnucCAAnJ7ot2nyxboW5B2C66rmW61Q54k3dS9B9F9sLKzS1Af9G52cbDz1aVOQ</v>
      </c>
      <c r="B170" s="4" t="str">
        <f ca="1">IFERROR(__xludf.DUMMYFUNCTION("""COMPUTED_VALUE"""),"Đại học, Chứng chỉ Kiểm toán viên")</f>
        <v>Đại học, Chứng chỉ Kiểm toán viên</v>
      </c>
      <c r="C170" s="4" t="str">
        <f ca="1">IFERROR(__xludf.DUMMYFUNCTION("""COMPUTED_VALUE"""),"2_ABaOnudZ0jDVAMcOSVj1LAoCpUPhjklXa8GXMvfstD4_cy5mHBXdZoD-Db-xWO84EQ")</f>
        <v>2_ABaOnudZ0jDVAMcOSVj1LAoCpUPhjklXa8GXMvfstD4_cy5mHBXdZoD-Db-xWO84EQ</v>
      </c>
      <c r="D170" s="4" t="str">
        <f ca="1">IFERROR(__xludf.DUMMYFUNCTION("""COMPUTED_VALUE"""),"Sau đại học")</f>
        <v>Sau đại học</v>
      </c>
    </row>
    <row r="171" spans="1:4" x14ac:dyDescent="0.25">
      <c r="A171" s="4" t="str">
        <f ca="1">IFERROR(__xludf.DUMMYFUNCTION("""COMPUTED_VALUE"""),"2_ABaOnudRsFL46SOy8d6cEW922fR64LNLAn3buHCuiLZzCaLaMYBXhoEYYesxwZYtuA")</f>
        <v>2_ABaOnudRsFL46SOy8d6cEW922fR64LNLAn3buHCuiLZzCaLaMYBXhoEYYesxwZYtuA</v>
      </c>
      <c r="B171" s="4" t="str">
        <f ca="1">IFERROR(__xludf.DUMMYFUNCTION("""COMPUTED_VALUE"""),"Đại học")</f>
        <v>Đại học</v>
      </c>
      <c r="C171" s="4" t="str">
        <f ca="1">IFERROR(__xludf.DUMMYFUNCTION("""COMPUTED_VALUE"""),"2_ABaOnudDrKQXWnJVkkYdcZTMq8FJcfqJM_InhZbJtIJ9vGNvqQQ690FnlL1aNA-kkg")</f>
        <v>2_ABaOnudDrKQXWnJVkkYdcZTMq8FJcfqJM_InhZbJtIJ9vGNvqQQ690FnlL1aNA-kkg</v>
      </c>
      <c r="D171" s="4" t="str">
        <f ca="1">IFERROR(__xludf.DUMMYFUNCTION("""COMPUTED_VALUE"""),"Đại học")</f>
        <v>Đại học</v>
      </c>
    </row>
    <row r="172" spans="1:4" x14ac:dyDescent="0.25">
      <c r="A172" s="4" t="str">
        <f ca="1">IFERROR(__xludf.DUMMYFUNCTION("""COMPUTED_VALUE"""),"2_ABaOnufhhi1UFZ1ZCphat963AzXBT1msdESN3lIgnHYES-BllcAS6S-CyLQMYXvWsQ")</f>
        <v>2_ABaOnufhhi1UFZ1ZCphat963AzXBT1msdESN3lIgnHYES-BllcAS6S-CyLQMYXvWsQ</v>
      </c>
      <c r="B172" s="4" t="str">
        <f ca="1">IFERROR(__xludf.DUMMYFUNCTION("""COMPUTED_VALUE"""),"Đại học, Chứng chỉ Kiểm toán viên")</f>
        <v>Đại học, Chứng chỉ Kiểm toán viên</v>
      </c>
      <c r="C172" s="4" t="str">
        <f ca="1">IFERROR(__xludf.DUMMYFUNCTION("""COMPUTED_VALUE"""),"2_ABaOnufWXmUOvqROsQmiHxGlYQ52hVEbipLsZz4nf5PpLDBdVcw8LRtWHXveMwQxrA")</f>
        <v>2_ABaOnufWXmUOvqROsQmiHxGlYQ52hVEbipLsZz4nf5PpLDBdVcw8LRtWHXveMwQxrA</v>
      </c>
      <c r="D172" s="4" t="str">
        <f ca="1">IFERROR(__xludf.DUMMYFUNCTION("""COMPUTED_VALUE"""),"Đại học")</f>
        <v>Đại học</v>
      </c>
    </row>
    <row r="173" spans="1:4" x14ac:dyDescent="0.25">
      <c r="A173" s="4" t="str">
        <f ca="1">IFERROR(__xludf.DUMMYFUNCTION("""COMPUTED_VALUE"""),"2_ABaOnudKea7DRA01AdPGVTQ8XFXNodHuCIhR_NHT4Pkb0dXnSWxyIxosxBulKZVfbw")</f>
        <v>2_ABaOnudKea7DRA01AdPGVTQ8XFXNodHuCIhR_NHT4Pkb0dXnSWxyIxosxBulKZVfbw</v>
      </c>
      <c r="B173" s="4" t="str">
        <f ca="1">IFERROR(__xludf.DUMMYFUNCTION("""COMPUTED_VALUE"""),"Đại học")</f>
        <v>Đại học</v>
      </c>
      <c r="C173" s="4" t="str">
        <f ca="1">IFERROR(__xludf.DUMMYFUNCTION("""COMPUTED_VALUE"""),"2_ABaOnud10x28Pm0G6DLI4iu1oMm0V5TQP09bEMcLz5vFIERD4HkNHKgrxaGfdC8SZA")</f>
        <v>2_ABaOnud10x28Pm0G6DLI4iu1oMm0V5TQP09bEMcLz5vFIERD4HkNHKgrxaGfdC8SZA</v>
      </c>
      <c r="D173" s="4" t="str">
        <f ca="1">IFERROR(__xludf.DUMMYFUNCTION("""COMPUTED_VALUE"""),"Sau đại học")</f>
        <v>Sau đại học</v>
      </c>
    </row>
    <row r="174" spans="1:4" x14ac:dyDescent="0.25">
      <c r="A174" s="4" t="str">
        <f ca="1">IFERROR(__xludf.DUMMYFUNCTION("""COMPUTED_VALUE"""),"2_ABaOnucHSRT4C7WCM_kY8dPv1aDwK21E2Pd9cyKnqwhXGTOfX231t9TC1eRVrr_YWQ")</f>
        <v>2_ABaOnucHSRT4C7WCM_kY8dPv1aDwK21E2Pd9cyKnqwhXGTOfX231t9TC1eRVrr_YWQ</v>
      </c>
      <c r="B174" s="4" t="str">
        <f ca="1">IFERROR(__xludf.DUMMYFUNCTION("""COMPUTED_VALUE"""),"Đại học")</f>
        <v>Đại học</v>
      </c>
      <c r="C174" s="4" t="str">
        <f ca="1">IFERROR(__xludf.DUMMYFUNCTION("""COMPUTED_VALUE"""),"2_ABaOnueLUopueOCrSzLxs6GQlSKfpxTqWRjCRL1LOFg41ak1zJkEdkVb-Ub495N88g")</f>
        <v>2_ABaOnueLUopueOCrSzLxs6GQlSKfpxTqWRjCRL1LOFg41ak1zJkEdkVb-Ub495N88g</v>
      </c>
      <c r="D174" s="4" t="str">
        <f ca="1">IFERROR(__xludf.DUMMYFUNCTION("""COMPUTED_VALUE"""),"Đại học")</f>
        <v>Đại học</v>
      </c>
    </row>
    <row r="175" spans="1:4" x14ac:dyDescent="0.25">
      <c r="A175" s="4" t="str">
        <f ca="1">IFERROR(__xludf.DUMMYFUNCTION("""COMPUTED_VALUE"""),"2_ABaOnueLwvwKoQpjBchUAbH5EWh7K-h0m84IPdB5pnTp7dWYtbLUSZI8XizsqLOCZg")</f>
        <v>2_ABaOnueLwvwKoQpjBchUAbH5EWh7K-h0m84IPdB5pnTp7dWYtbLUSZI8XizsqLOCZg</v>
      </c>
      <c r="B175" s="4" t="str">
        <f ca="1">IFERROR(__xludf.DUMMYFUNCTION("""COMPUTED_VALUE"""),"Đại học")</f>
        <v>Đại học</v>
      </c>
      <c r="C175" s="4" t="str">
        <f ca="1">IFERROR(__xludf.DUMMYFUNCTION("""COMPUTED_VALUE"""),"2_ABaOnueLUopueOCrSzLxs6GQlSKfpxTqWRjCRL1LOFg41ak1zJkEdkVb-Ub495N88g")</f>
        <v>2_ABaOnueLUopueOCrSzLxs6GQlSKfpxTqWRjCRL1LOFg41ak1zJkEdkVb-Ub495N88g</v>
      </c>
      <c r="D175" s="4" t="str">
        <f ca="1">IFERROR(__xludf.DUMMYFUNCTION("""COMPUTED_VALUE"""),"Chứng chỉ Kiểm toán viên")</f>
        <v>Chứng chỉ Kiểm toán viên</v>
      </c>
    </row>
    <row r="176" spans="1:4" x14ac:dyDescent="0.25">
      <c r="A176" s="4" t="str">
        <f ca="1">IFERROR(__xludf.DUMMYFUNCTION("""COMPUTED_VALUE"""),"2_ABaOnudISkihHw6vNiZHrMlUeH01OQ41ulmUDG67Z5NNMSQsjCfa6JZbKseek7XH2Q")</f>
        <v>2_ABaOnudISkihHw6vNiZHrMlUeH01OQ41ulmUDG67Z5NNMSQsjCfa6JZbKseek7XH2Q</v>
      </c>
      <c r="B176" s="4" t="str">
        <f ca="1">IFERROR(__xludf.DUMMYFUNCTION("""COMPUTED_VALUE"""),"Đại học")</f>
        <v>Đại học</v>
      </c>
      <c r="C176" s="4" t="str">
        <f ca="1">IFERROR(__xludf.DUMMYFUNCTION("""COMPUTED_VALUE"""),"2_ABaOnudVsm4DWHCIq-14Ku6rvcuZiG8SrbmjZCdqmDMOgsJX3PJaHkmdkMrUWbR9UA")</f>
        <v>2_ABaOnudVsm4DWHCIq-14Ku6rvcuZiG8SrbmjZCdqmDMOgsJX3PJaHkmdkMrUWbR9UA</v>
      </c>
      <c r="D176" s="4" t="str">
        <f ca="1">IFERROR(__xludf.DUMMYFUNCTION("""COMPUTED_VALUE"""),"Sau đại học")</f>
        <v>Sau đại học</v>
      </c>
    </row>
    <row r="177" spans="1:4" x14ac:dyDescent="0.25">
      <c r="A177" s="4" t="str">
        <f ca="1">IFERROR(__xludf.DUMMYFUNCTION("""COMPUTED_VALUE"""),"2_ABaOnuc5NXblHS-x7ctcvuWpBS7nhqouuY2VWg859WtjopA2EhxwObUvBVlpz04MSA")</f>
        <v>2_ABaOnuc5NXblHS-x7ctcvuWpBS7nhqouuY2VWg859WtjopA2EhxwObUvBVlpz04MSA</v>
      </c>
      <c r="B177" s="4" t="str">
        <f ca="1">IFERROR(__xludf.DUMMYFUNCTION("""COMPUTED_VALUE"""),"Đại học")</f>
        <v>Đại học</v>
      </c>
      <c r="C177" s="4" t="str">
        <f ca="1">IFERROR(__xludf.DUMMYFUNCTION("""COMPUTED_VALUE"""),"2_ABaOnufPBQveeoH4-ZsDW036yZUkqIcwNIPWcCUmADJe-ZPyMs9m8McjepkI0ymUxA")</f>
        <v>2_ABaOnufPBQveeoH4-ZsDW036yZUkqIcwNIPWcCUmADJe-ZPyMs9m8McjepkI0ymUxA</v>
      </c>
      <c r="D177" s="4" t="str">
        <f ca="1">IFERROR(__xludf.DUMMYFUNCTION("""COMPUTED_VALUE"""),"Đại học")</f>
        <v>Đại học</v>
      </c>
    </row>
    <row r="178" spans="1:4" x14ac:dyDescent="0.25">
      <c r="A178" s="4" t="str">
        <f ca="1">IFERROR(__xludf.DUMMYFUNCTION("""COMPUTED_VALUE"""),"2_ABaOnucQsjBh8AtEgxqSwEqgCeO-omrWe4aCWu6BvgE5yKyAsGtdsDWVrQBgfaloqg")</f>
        <v>2_ABaOnucQsjBh8AtEgxqSwEqgCeO-omrWe4aCWu6BvgE5yKyAsGtdsDWVrQBgfaloqg</v>
      </c>
      <c r="B178" s="4" t="str">
        <f ca="1">IFERROR(__xludf.DUMMYFUNCTION("""COMPUTED_VALUE"""),"Đại học")</f>
        <v>Đại học</v>
      </c>
      <c r="C178" s="4" t="str">
        <f ca="1">IFERROR(__xludf.DUMMYFUNCTION("""COMPUTED_VALUE"""),"2_ABaOnufg3HpxBUyB1lCQTxaoUOOox1QJY0VmxmKYcMq0Ql3pmiweqCfEA7d4Rzse7w")</f>
        <v>2_ABaOnufg3HpxBUyB1lCQTxaoUOOox1QJY0VmxmKYcMq0Ql3pmiweqCfEA7d4Rzse7w</v>
      </c>
      <c r="D178" s="4" t="str">
        <f ca="1">IFERROR(__xludf.DUMMYFUNCTION("""COMPUTED_VALUE"""),"Đại học")</f>
        <v>Đại học</v>
      </c>
    </row>
    <row r="179" spans="1:4" x14ac:dyDescent="0.25">
      <c r="A179" s="4" t="str">
        <f ca="1">IFERROR(__xludf.DUMMYFUNCTION("""COMPUTED_VALUE"""),"2_ABaOnueglxXdlr6dipsAHl9L1ft9orzN-BSJ1JHwYwidjdyTJHBhUUJUmUm5h4207g")</f>
        <v>2_ABaOnueglxXdlr6dipsAHl9L1ft9orzN-BSJ1JHwYwidjdyTJHBhUUJUmUm5h4207g</v>
      </c>
      <c r="B179" s="4" t="str">
        <f ca="1">IFERROR(__xludf.DUMMYFUNCTION("""COMPUTED_VALUE"""),"Đại học, Chứng chỉ Kiểm toán viên")</f>
        <v>Đại học, Chứng chỉ Kiểm toán viên</v>
      </c>
      <c r="C179" s="4" t="str">
        <f ca="1">IFERROR(__xludf.DUMMYFUNCTION("""COMPUTED_VALUE"""),"2_ABaOnudLOmhestiZbu0JWWK1xczx8cb6OcRewLFE8z2K13aRj-uH5aD6WtoYvHtOCQ")</f>
        <v>2_ABaOnudLOmhestiZbu0JWWK1xczx8cb6OcRewLFE8z2K13aRj-uH5aD6WtoYvHtOCQ</v>
      </c>
      <c r="D179" s="4" t="str">
        <f ca="1">IFERROR(__xludf.DUMMYFUNCTION("""COMPUTED_VALUE"""),"Đại học")</f>
        <v>Đại học</v>
      </c>
    </row>
    <row r="180" spans="1:4" x14ac:dyDescent="0.25">
      <c r="A180" s="4" t="str">
        <f ca="1">IFERROR(__xludf.DUMMYFUNCTION("""COMPUTED_VALUE"""),"2_ABaOnudkR8tcc2hu7euSFiuTrCZWvGURYXFCzSsRg5LBgG_cxMxl3P23WdTmxOE4Gw")</f>
        <v>2_ABaOnudkR8tcc2hu7euSFiuTrCZWvGURYXFCzSsRg5LBgG_cxMxl3P23WdTmxOE4Gw</v>
      </c>
      <c r="B180" s="4" t="str">
        <f ca="1">IFERROR(__xludf.DUMMYFUNCTION("""COMPUTED_VALUE"""),"Đại học")</f>
        <v>Đại học</v>
      </c>
      <c r="C180" s="4" t="str">
        <f ca="1">IFERROR(__xludf.DUMMYFUNCTION("""COMPUTED_VALUE"""),"2_ABaOnuc_XAYPyWMinAA20sqI11do8PUXRysQsr1HVJv80SXswJnSgg501OkhQjRD7w")</f>
        <v>2_ABaOnuc_XAYPyWMinAA20sqI11do8PUXRysQsr1HVJv80SXswJnSgg501OkhQjRD7w</v>
      </c>
      <c r="D180" s="4" t="str">
        <f ca="1">IFERROR(__xludf.DUMMYFUNCTION("""COMPUTED_VALUE"""),"Đại học")</f>
        <v>Đại học</v>
      </c>
    </row>
    <row r="181" spans="1:4" x14ac:dyDescent="0.25">
      <c r="A181" s="4" t="str">
        <f ca="1">IFERROR(__xludf.DUMMYFUNCTION("""COMPUTED_VALUE"""),"2_ABaOnudO8cs_kB7XjY9fOSozilZqVN5hPRZQ7mGTJHMLe7-B-OWd0JsHtV1GpyKE_g")</f>
        <v>2_ABaOnudO8cs_kB7XjY9fOSozilZqVN5hPRZQ7mGTJHMLe7-B-OWd0JsHtV1GpyKE_g</v>
      </c>
      <c r="B181" s="4" t="str">
        <f ca="1">IFERROR(__xludf.DUMMYFUNCTION("""COMPUTED_VALUE"""),"Đại học")</f>
        <v>Đại học</v>
      </c>
      <c r="C181" s="4" t="str">
        <f ca="1">IFERROR(__xludf.DUMMYFUNCTION("""COMPUTED_VALUE"""),"2_ABaOnufAbN6ZYt6eBZeKSuC8VgkuHfBwSqlWozHs8jS9yiE3imCviUxAFgAvcJi-SA")</f>
        <v>2_ABaOnufAbN6ZYt6eBZeKSuC8VgkuHfBwSqlWozHs8jS9yiE3imCviUxAFgAvcJi-SA</v>
      </c>
      <c r="D181" s="4" t="str">
        <f ca="1">IFERROR(__xludf.DUMMYFUNCTION("""COMPUTED_VALUE"""),"Đại học")</f>
        <v>Đại học</v>
      </c>
    </row>
    <row r="182" spans="1:4" x14ac:dyDescent="0.25">
      <c r="A182" s="4" t="str">
        <f ca="1">IFERROR(__xludf.DUMMYFUNCTION("""COMPUTED_VALUE"""),"2_ABaOnucmxG6fd84j3FMtpW5OSvk5rZjsbTaA71fGy2zFmuwlavgw3fIZXAlk7gleGA")</f>
        <v>2_ABaOnucmxG6fd84j3FMtpW5OSvk5rZjsbTaA71fGy2zFmuwlavgw3fIZXAlk7gleGA</v>
      </c>
      <c r="B182" s="4" t="str">
        <f ca="1">IFERROR(__xludf.DUMMYFUNCTION("""COMPUTED_VALUE"""),"Đại học, Chứng chỉ Kiểm toán viên")</f>
        <v>Đại học, Chứng chỉ Kiểm toán viên</v>
      </c>
      <c r="C182" s="4" t="str">
        <f ca="1">IFERROR(__xludf.DUMMYFUNCTION("""COMPUTED_VALUE"""),"2_ABaOnufeyLNB_yRP4FjpgN55ddcJweeaBC6YAqUJNpJtwHiACH4QERPnpl-LkI7wig")</f>
        <v>2_ABaOnufeyLNB_yRP4FjpgN55ddcJweeaBC6YAqUJNpJtwHiACH4QERPnpl-LkI7wig</v>
      </c>
      <c r="D182" s="4" t="str">
        <f ca="1">IFERROR(__xludf.DUMMYFUNCTION("""COMPUTED_VALUE"""),"Đại học")</f>
        <v>Đại học</v>
      </c>
    </row>
    <row r="183" spans="1:4" x14ac:dyDescent="0.25">
      <c r="A183" s="4" t="str">
        <f ca="1">IFERROR(__xludf.DUMMYFUNCTION("""COMPUTED_VALUE"""),"2_ABaOnuf_WR2WnWrk-22sSlYUnRG0Op1RTan6nQsv-bEwp5o7h5GLHaVsGn-YpA1wSQ")</f>
        <v>2_ABaOnuf_WR2WnWrk-22sSlYUnRG0Op1RTan6nQsv-bEwp5o7h5GLHaVsGn-YpA1wSQ</v>
      </c>
      <c r="B183" s="4" t="str">
        <f ca="1">IFERROR(__xludf.DUMMYFUNCTION("""COMPUTED_VALUE"""),"Đại học, Sau đại học, Chứng chỉ Kiểm toán viên")</f>
        <v>Đại học, Sau đại học, Chứng chỉ Kiểm toán viên</v>
      </c>
      <c r="C183" s="4" t="str">
        <f ca="1">IFERROR(__xludf.DUMMYFUNCTION("""COMPUTED_VALUE"""),"2_ABaOnucbAK09S5Yq_6OZVcXxpmXOSIxt6DRw3Z7ah5Z7BH9OlvW3I9CHlrI2Xgj7oQ")</f>
        <v>2_ABaOnucbAK09S5Yq_6OZVcXxpmXOSIxt6DRw3Z7ah5Z7BH9OlvW3I9CHlrI2Xgj7oQ</v>
      </c>
      <c r="D183" s="4" t="str">
        <f ca="1">IFERROR(__xludf.DUMMYFUNCTION("""COMPUTED_VALUE"""),"Đại học")</f>
        <v>Đại học</v>
      </c>
    </row>
    <row r="184" spans="1:4" x14ac:dyDescent="0.25">
      <c r="A184" s="4" t="str">
        <f ca="1">IFERROR(__xludf.DUMMYFUNCTION("""COMPUTED_VALUE"""),"2_ABaOnudlnL_UFdgJTlC1C01TMXDSXrFdZau16uXZAyobhMxc4Fjhslf5JjaXDMugTA")</f>
        <v>2_ABaOnudlnL_UFdgJTlC1C01TMXDSXrFdZau16uXZAyobhMxc4Fjhslf5JjaXDMugTA</v>
      </c>
      <c r="B184" s="4" t="str">
        <f ca="1">IFERROR(__xludf.DUMMYFUNCTION("""COMPUTED_VALUE"""),"Đại học")</f>
        <v>Đại học</v>
      </c>
      <c r="C184" s="4" t="str">
        <f ca="1">IFERROR(__xludf.DUMMYFUNCTION("""COMPUTED_VALUE"""),"2_ABaOnuf_VDEBAkk4JitGOtVngfvbp4Xq5tTN9Uhpk5qtTmACU5XCPt6K3HEfqGEKRQ")</f>
        <v>2_ABaOnuf_VDEBAkk4JitGOtVngfvbp4Xq5tTN9Uhpk5qtTmACU5XCPt6K3HEfqGEKRQ</v>
      </c>
      <c r="D184" s="4" t="str">
        <f ca="1">IFERROR(__xludf.DUMMYFUNCTION("""COMPUTED_VALUE"""),"Đại học")</f>
        <v>Đại học</v>
      </c>
    </row>
    <row r="185" spans="1:4" x14ac:dyDescent="0.25">
      <c r="A185" s="4" t="str">
        <f ca="1">IFERROR(__xludf.DUMMYFUNCTION("""COMPUTED_VALUE"""),"2_ABaOnudqDTtVjqijuVgphY4xSM0je2Z5siUQFj76hTrVmLqvT6_4JszAKn7SCENWUg")</f>
        <v>2_ABaOnudqDTtVjqijuVgphY4xSM0je2Z5siUQFj76hTrVmLqvT6_4JszAKn7SCENWUg</v>
      </c>
      <c r="B185" s="4" t="str">
        <f ca="1">IFERROR(__xludf.DUMMYFUNCTION("""COMPUTED_VALUE"""),"Đại học")</f>
        <v>Đại học</v>
      </c>
      <c r="C185" s="4" t="str">
        <f ca="1">IFERROR(__xludf.DUMMYFUNCTION("""COMPUTED_VALUE"""),"2_ABaOnucWSPMCPT6SqMw4fskrD5US8NrS0kJ5a6ekQcqu27YPR3Xuqug3J6T0KyXDCA")</f>
        <v>2_ABaOnucWSPMCPT6SqMw4fskrD5US8NrS0kJ5a6ekQcqu27YPR3Xuqug3J6T0KyXDCA</v>
      </c>
      <c r="D185" s="4" t="str">
        <f ca="1">IFERROR(__xludf.DUMMYFUNCTION("""COMPUTED_VALUE"""),"Đại học")</f>
        <v>Đại học</v>
      </c>
    </row>
    <row r="186" spans="1:4" x14ac:dyDescent="0.25">
      <c r="A186" s="4" t="str">
        <f ca="1">IFERROR(__xludf.DUMMYFUNCTION("""COMPUTED_VALUE"""),"2_ABaOnudRMzUXkimlaDZf1-SJ0o_NV7dZyFE0zbAykcWDUpciVVD3R3W8YKLRLb2Y2Q")</f>
        <v>2_ABaOnudRMzUXkimlaDZf1-SJ0o_NV7dZyFE0zbAykcWDUpciVVD3R3W8YKLRLb2Y2Q</v>
      </c>
      <c r="B186" s="4" t="str">
        <f ca="1">IFERROR(__xludf.DUMMYFUNCTION("""COMPUTED_VALUE"""),"Đại học")</f>
        <v>Đại học</v>
      </c>
      <c r="C186" s="4" t="str">
        <f ca="1">IFERROR(__xludf.DUMMYFUNCTION("""COMPUTED_VALUE"""),"2_ABaOnudKRM7IjBeVPN_FmB3wbsWNPK9hlkSvU1gEpx9vWXvQivRFDfAbUr32capK_g")</f>
        <v>2_ABaOnudKRM7IjBeVPN_FmB3wbsWNPK9hlkSvU1gEpx9vWXvQivRFDfAbUr32capK_g</v>
      </c>
      <c r="D186" s="4" t="str">
        <f ca="1">IFERROR(__xludf.DUMMYFUNCTION("""COMPUTED_VALUE"""),"Sau đại học")</f>
        <v>Sau đại học</v>
      </c>
    </row>
    <row r="187" spans="1:4" x14ac:dyDescent="0.25">
      <c r="A187" s="4" t="str">
        <f ca="1">IFERROR(__xludf.DUMMYFUNCTION("""COMPUTED_VALUE"""),"2_ABaOnudPFLyO3oznsQkPRU29906ib8pT-RMRjpAHD9d8LyIZrMU5z5pZjvCUzxz2iQ")</f>
        <v>2_ABaOnudPFLyO3oznsQkPRU29906ib8pT-RMRjpAHD9d8LyIZrMU5z5pZjvCUzxz2iQ</v>
      </c>
      <c r="B187" s="4" t="str">
        <f ca="1">IFERROR(__xludf.DUMMYFUNCTION("""COMPUTED_VALUE"""),"Đại học, Chứng chỉ Kiểm toán viên")</f>
        <v>Đại học, Chứng chỉ Kiểm toán viên</v>
      </c>
      <c r="C187" s="4" t="str">
        <f ca="1">IFERROR(__xludf.DUMMYFUNCTION("""COMPUTED_VALUE"""),"2_ABaOnudKRM7IjBeVPN_FmB3wbsWNPK9hlkSvU1gEpx9vWXvQivRFDfAbUr32capK_g")</f>
        <v>2_ABaOnudKRM7IjBeVPN_FmB3wbsWNPK9hlkSvU1gEpx9vWXvQivRFDfAbUr32capK_g</v>
      </c>
      <c r="D187" s="4" t="str">
        <f ca="1">IFERROR(__xludf.DUMMYFUNCTION("""COMPUTED_VALUE"""),"Chứng chỉ Kiểm toán viên")</f>
        <v>Chứng chỉ Kiểm toán viên</v>
      </c>
    </row>
    <row r="188" spans="1:4" x14ac:dyDescent="0.25">
      <c r="A188" s="4" t="str">
        <f ca="1">IFERROR(__xludf.DUMMYFUNCTION("""COMPUTED_VALUE"""),"2_ABaOnudrtyzQtvB0idXLxSEepEA0Av4q8vBkQrYOY-0Cn51ZfXhcC_69S0XtZWOE1w")</f>
        <v>2_ABaOnudrtyzQtvB0idXLxSEepEA0Av4q8vBkQrYOY-0Cn51ZfXhcC_69S0XtZWOE1w</v>
      </c>
      <c r="B188" s="4" t="str">
        <f ca="1">IFERROR(__xludf.DUMMYFUNCTION("""COMPUTED_VALUE"""),"Đại học")</f>
        <v>Đại học</v>
      </c>
      <c r="C188" s="4" t="str">
        <f ca="1">IFERROR(__xludf.DUMMYFUNCTION("""COMPUTED_VALUE"""),"2_ABaOnue5qCmDXb49GinuhSE-cxwx_yg2mc-os7DdFa5NVFp-GNR33xgiyky8l3cYMw")</f>
        <v>2_ABaOnue5qCmDXb49GinuhSE-cxwx_yg2mc-os7DdFa5NVFp-GNR33xgiyky8l3cYMw</v>
      </c>
      <c r="D188" s="4" t="str">
        <f ca="1">IFERROR(__xludf.DUMMYFUNCTION("""COMPUTED_VALUE"""),"Đại học")</f>
        <v>Đại học</v>
      </c>
    </row>
    <row r="189" spans="1:4" x14ac:dyDescent="0.25">
      <c r="A189" s="4" t="str">
        <f ca="1">IFERROR(__xludf.DUMMYFUNCTION("""COMPUTED_VALUE"""),"2_ABaOnud_vXqHv2ohU5l249_5MltQLdQT9SaYBWwhXjBXWsz6Ix73KwbPKC6ajqCxVQ")</f>
        <v>2_ABaOnud_vXqHv2ohU5l249_5MltQLdQT9SaYBWwhXjBXWsz6Ix73KwbPKC6ajqCxVQ</v>
      </c>
      <c r="B189" s="4" t="str">
        <f ca="1">IFERROR(__xludf.DUMMYFUNCTION("""COMPUTED_VALUE"""),"Đại học")</f>
        <v>Đại học</v>
      </c>
      <c r="C189" s="4" t="str">
        <f ca="1">IFERROR(__xludf.DUMMYFUNCTION("""COMPUTED_VALUE"""),"2_ABaOnufzcp1Ius7mZDR3KxarzQnZ3WUKkD2CduU5C-KcBi7FoCZHS6FQXSM-B6EwtA")</f>
        <v>2_ABaOnufzcp1Ius7mZDR3KxarzQnZ3WUKkD2CduU5C-KcBi7FoCZHS6FQXSM-B6EwtA</v>
      </c>
      <c r="D189" s="4" t="str">
        <f ca="1">IFERROR(__xludf.DUMMYFUNCTION("""COMPUTED_VALUE"""),"Đại học")</f>
        <v>Đại học</v>
      </c>
    </row>
    <row r="190" spans="1:4" x14ac:dyDescent="0.25">
      <c r="A190" s="4" t="str">
        <f ca="1">IFERROR(__xludf.DUMMYFUNCTION("""COMPUTED_VALUE"""),"2_ABaOnucEto2lScf5mXtY3IMBYYfQXGCD5mDF5lpfVv_crY3jO6uXl1L3SQaU70-dGg")</f>
        <v>2_ABaOnucEto2lScf5mXtY3IMBYYfQXGCD5mDF5lpfVv_crY3jO6uXl1L3SQaU70-dGg</v>
      </c>
      <c r="B190" s="4" t="str">
        <f ca="1">IFERROR(__xludf.DUMMYFUNCTION("""COMPUTED_VALUE"""),"Đại học")</f>
        <v>Đại học</v>
      </c>
      <c r="C190" s="4" t="str">
        <f ca="1">IFERROR(__xludf.DUMMYFUNCTION("""COMPUTED_VALUE"""),"2_ABaOnufXtaN050RerUEcsEGezg_qgXEc_0Dx1NWwCSUwodMWLNHup-A4SywzK1E4DQ")</f>
        <v>2_ABaOnufXtaN050RerUEcsEGezg_qgXEc_0Dx1NWwCSUwodMWLNHup-A4SywzK1E4DQ</v>
      </c>
      <c r="D190" s="4" t="str">
        <f ca="1">IFERROR(__xludf.DUMMYFUNCTION("""COMPUTED_VALUE"""),"Sau đại học")</f>
        <v>Sau đại học</v>
      </c>
    </row>
    <row r="191" spans="1:4" x14ac:dyDescent="0.25">
      <c r="A191" s="4" t="str">
        <f ca="1">IFERROR(__xludf.DUMMYFUNCTION("""COMPUTED_VALUE"""),"2_ABaOnuc7JTef1UUBnS22MEGDZ9VlPqkCKxzTxWwwcYwLyhIBU-xpXQcjKsSkA6xTZQ")</f>
        <v>2_ABaOnuc7JTef1UUBnS22MEGDZ9VlPqkCKxzTxWwwcYwLyhIBU-xpXQcjKsSkA6xTZQ</v>
      </c>
      <c r="B191" s="4" t="str">
        <f ca="1">IFERROR(__xludf.DUMMYFUNCTION("""COMPUTED_VALUE"""),"Đại học, Sau đại học, Chứng chỉ Kiểm toán viên")</f>
        <v>Đại học, Sau đại học, Chứng chỉ Kiểm toán viên</v>
      </c>
      <c r="C191" s="4" t="str">
        <f ca="1">IFERROR(__xludf.DUMMYFUNCTION("""COMPUTED_VALUE"""),"2_ABaOnucgp3Xo3xPYBHJ2froKgrKNZsLaYkiQcHWPw_t2p43IFbbRMeJJBd3CBb5j9A")</f>
        <v>2_ABaOnucgp3Xo3xPYBHJ2froKgrKNZsLaYkiQcHWPw_t2p43IFbbRMeJJBd3CBb5j9A</v>
      </c>
      <c r="D191" s="4" t="str">
        <f ca="1">IFERROR(__xludf.DUMMYFUNCTION("""COMPUTED_VALUE"""),"Sau đại học")</f>
        <v>Sau đại học</v>
      </c>
    </row>
    <row r="192" spans="1:4" x14ac:dyDescent="0.25">
      <c r="A192" s="4" t="str">
        <f ca="1">IFERROR(__xludf.DUMMYFUNCTION("""COMPUTED_VALUE"""),"2_ABaOnudoYY7Ebm6N6lSNhTEfnY12iUjWPnIh5dPid7ourqhQ5C3sOznf7te18TIp5w")</f>
        <v>2_ABaOnudoYY7Ebm6N6lSNhTEfnY12iUjWPnIh5dPid7ourqhQ5C3sOznf7te18TIp5w</v>
      </c>
      <c r="B192" s="4" t="str">
        <f ca="1">IFERROR(__xludf.DUMMYFUNCTION("""COMPUTED_VALUE"""),"Đại học, Chứng chỉ Kiểm toán viên")</f>
        <v>Đại học, Chứng chỉ Kiểm toán viên</v>
      </c>
      <c r="C192" s="4" t="str">
        <f ca="1">IFERROR(__xludf.DUMMYFUNCTION("""COMPUTED_VALUE"""),"2_ABaOnucgp3Xo3xPYBHJ2froKgrKNZsLaYkiQcHWPw_t2p43IFbbRMeJJBd3CBb5j9A")</f>
        <v>2_ABaOnucgp3Xo3xPYBHJ2froKgrKNZsLaYkiQcHWPw_t2p43IFbbRMeJJBd3CBb5j9A</v>
      </c>
      <c r="D192" s="4" t="str">
        <f ca="1">IFERROR(__xludf.DUMMYFUNCTION("""COMPUTED_VALUE"""),"Chứng chỉ Kiểm toán viên")</f>
        <v>Chứng chỉ Kiểm toán viên</v>
      </c>
    </row>
    <row r="193" spans="1:4" x14ac:dyDescent="0.25">
      <c r="A193" s="4" t="str">
        <f ca="1">IFERROR(__xludf.DUMMYFUNCTION("""COMPUTED_VALUE"""),"2_ABaOnucRqAulTlhaELwP19sWEhT5cozg5sb1fESvoNKFFifIofvdocM1G1A-RL2IAA")</f>
        <v>2_ABaOnucRqAulTlhaELwP19sWEhT5cozg5sb1fESvoNKFFifIofvdocM1G1A-RL2IAA</v>
      </c>
      <c r="B193" s="4" t="str">
        <f ca="1">IFERROR(__xludf.DUMMYFUNCTION("""COMPUTED_VALUE"""),"Đại học")</f>
        <v>Đại học</v>
      </c>
      <c r="C193" s="4" t="str">
        <f ca="1">IFERROR(__xludf.DUMMYFUNCTION("""COMPUTED_VALUE"""),"2_ABaOnucrz_snzSlsGIdvyILNvz8ThCPx5BATwydbOWlfhryvIr48XrFPd2wOCdoceA")</f>
        <v>2_ABaOnucrz_snzSlsGIdvyILNvz8ThCPx5BATwydbOWlfhryvIr48XrFPd2wOCdoceA</v>
      </c>
      <c r="D193" s="4" t="str">
        <f ca="1">IFERROR(__xludf.DUMMYFUNCTION("""COMPUTED_VALUE"""),"Sau đại học")</f>
        <v>Sau đại học</v>
      </c>
    </row>
    <row r="194" spans="1:4" x14ac:dyDescent="0.25">
      <c r="A194" s="4" t="str">
        <f ca="1">IFERROR(__xludf.DUMMYFUNCTION("""COMPUTED_VALUE"""),"2_ABaOnucSRo1e0XoA2YLVLGExpossp0Kgp0NKt6T_9d5TvAyBroqPLFi3Iayyd1CIrw")</f>
        <v>2_ABaOnucSRo1e0XoA2YLVLGExpossp0Kgp0NKt6T_9d5TvAyBroqPLFi3Iayyd1CIrw</v>
      </c>
      <c r="B194" s="4" t="str">
        <f ca="1">IFERROR(__xludf.DUMMYFUNCTION("""COMPUTED_VALUE"""),"Đại học")</f>
        <v>Đại học</v>
      </c>
      <c r="C194" s="4" t="str">
        <f ca="1">IFERROR(__xludf.DUMMYFUNCTION("""COMPUTED_VALUE"""),"2_ABaOnucrz_snzSlsGIdvyILNvz8ThCPx5BATwydbOWlfhryvIr48XrFPd2wOCdoceA")</f>
        <v>2_ABaOnucrz_snzSlsGIdvyILNvz8ThCPx5BATwydbOWlfhryvIr48XrFPd2wOCdoceA</v>
      </c>
      <c r="D194" s="4" t="str">
        <f ca="1">IFERROR(__xludf.DUMMYFUNCTION("""COMPUTED_VALUE"""),"Chứng chỉ Kiểm toán viên")</f>
        <v>Chứng chỉ Kiểm toán viên</v>
      </c>
    </row>
    <row r="195" spans="1:4" x14ac:dyDescent="0.25">
      <c r="A195" s="4" t="str">
        <f ca="1">IFERROR(__xludf.DUMMYFUNCTION("""COMPUTED_VALUE"""),"2_ABaOnudyalm5PVL7T8gzfLb2sn8y8lAqHODkZ4lt3iIye_FEO2zak0Ks0vgVeTPNUw")</f>
        <v>2_ABaOnudyalm5PVL7T8gzfLb2sn8y8lAqHODkZ4lt3iIye_FEO2zak0Ks0vgVeTPNUw</v>
      </c>
      <c r="B195" s="4" t="str">
        <f ca="1">IFERROR(__xludf.DUMMYFUNCTION("""COMPUTED_VALUE"""),"Đại học")</f>
        <v>Đại học</v>
      </c>
      <c r="C195" s="4" t="str">
        <f ca="1">IFERROR(__xludf.DUMMYFUNCTION("""COMPUTED_VALUE"""),"2_ABaOnudGR8o1qGRolISHF5_MZBlJ50DAzJOlkGJLgiph1gNztZG5pndRsoUXmu89Yw")</f>
        <v>2_ABaOnudGR8o1qGRolISHF5_MZBlJ50DAzJOlkGJLgiph1gNztZG5pndRsoUXmu89Yw</v>
      </c>
      <c r="D195" s="4" t="str">
        <f ca="1">IFERROR(__xludf.DUMMYFUNCTION("""COMPUTED_VALUE"""),"Đại học")</f>
        <v>Đại học</v>
      </c>
    </row>
    <row r="196" spans="1:4" x14ac:dyDescent="0.25">
      <c r="A196" s="4" t="str">
        <f ca="1">IFERROR(__xludf.DUMMYFUNCTION("""COMPUTED_VALUE"""),"2_ABaOnueeh31U_Moz8E9GGD6Zpl27KzFcRRJvvFu1ZQKizVTbP7HKRlwaiDULQN7HTg")</f>
        <v>2_ABaOnueeh31U_Moz8E9GGD6Zpl27KzFcRRJvvFu1ZQKizVTbP7HKRlwaiDULQN7HTg</v>
      </c>
      <c r="B196" s="4" t="str">
        <f ca="1">IFERROR(__xludf.DUMMYFUNCTION("""COMPUTED_VALUE"""),"Đại học")</f>
        <v>Đại học</v>
      </c>
      <c r="C196" s="4" t="str">
        <f ca="1">IFERROR(__xludf.DUMMYFUNCTION("""COMPUTED_VALUE"""),"2_ABaOnudGR8o1qGRolISHF5_MZBlJ50DAzJOlkGJLgiph1gNztZG5pndRsoUXmu89Yw")</f>
        <v>2_ABaOnudGR8o1qGRolISHF5_MZBlJ50DAzJOlkGJLgiph1gNztZG5pndRsoUXmu89Yw</v>
      </c>
      <c r="D196" s="4" t="str">
        <f ca="1">IFERROR(__xludf.DUMMYFUNCTION("""COMPUTED_VALUE"""),"Chứng chỉ Kiểm toán viên")</f>
        <v>Chứng chỉ Kiểm toán viên</v>
      </c>
    </row>
    <row r="197" spans="1:4" x14ac:dyDescent="0.25">
      <c r="A197" s="4" t="str">
        <f ca="1">IFERROR(__xludf.DUMMYFUNCTION("""COMPUTED_VALUE"""),"2_ABaOnucFOSeexVUor87puzsEhrLdMp25FWKORAH4rHAgSzz3WGeC4lAt8wJuvOMiLA")</f>
        <v>2_ABaOnucFOSeexVUor87puzsEhrLdMp25FWKORAH4rHAgSzz3WGeC4lAt8wJuvOMiLA</v>
      </c>
      <c r="B197" s="4" t="str">
        <f ca="1">IFERROR(__xludf.DUMMYFUNCTION("""COMPUTED_VALUE"""),"Đại học")</f>
        <v>Đại học</v>
      </c>
      <c r="C197" s="4" t="str">
        <f ca="1">IFERROR(__xludf.DUMMYFUNCTION("""COMPUTED_VALUE"""),"2_ABaOnucZG5LGxu5ksGSej0vZqn6skhalMyqzLAJCL-yxYsDp_vw5oJ92sdDF2jSPjg")</f>
        <v>2_ABaOnucZG5LGxu5ksGSej0vZqn6skhalMyqzLAJCL-yxYsDp_vw5oJ92sdDF2jSPjg</v>
      </c>
      <c r="D197" s="4" t="str">
        <f ca="1">IFERROR(__xludf.DUMMYFUNCTION("""COMPUTED_VALUE"""),"Đại học")</f>
        <v>Đại học</v>
      </c>
    </row>
    <row r="198" spans="1:4" x14ac:dyDescent="0.25">
      <c r="A198" s="4" t="str">
        <f ca="1">IFERROR(__xludf.DUMMYFUNCTION("""COMPUTED_VALUE"""),"2_ABaOnufqFr4-MvNeVPkqx2Qnmgq5hIx_fogc-tb8zCdt7lhX6D0PDEv4h5Qb39EoiA")</f>
        <v>2_ABaOnufqFr4-MvNeVPkqx2Qnmgq5hIx_fogc-tb8zCdt7lhX6D0PDEv4h5Qb39EoiA</v>
      </c>
      <c r="B198" s="4" t="str">
        <f ca="1">IFERROR(__xludf.DUMMYFUNCTION("""COMPUTED_VALUE"""),"Đại học")</f>
        <v>Đại học</v>
      </c>
      <c r="C198" s="4" t="str">
        <f ca="1">IFERROR(__xludf.DUMMYFUNCTION("""COMPUTED_VALUE"""),"2_ABaOnucZG5LGxu5ksGSej0vZqn6skhalMyqzLAJCL-yxYsDp_vw5oJ92sdDF2jSPjg")</f>
        <v>2_ABaOnucZG5LGxu5ksGSej0vZqn6skhalMyqzLAJCL-yxYsDp_vw5oJ92sdDF2jSPjg</v>
      </c>
      <c r="D198" s="4" t="str">
        <f ca="1">IFERROR(__xludf.DUMMYFUNCTION("""COMPUTED_VALUE"""),"Chứng chỉ Kiểm toán viên")</f>
        <v>Chứng chỉ Kiểm toán viên</v>
      </c>
    </row>
    <row r="199" spans="1:4" x14ac:dyDescent="0.25">
      <c r="A199" s="4" t="str">
        <f ca="1">IFERROR(__xludf.DUMMYFUNCTION("""COMPUTED_VALUE"""),"2_ABaOnufbcAoSbeX9jFy7S6ag0wxyY2WvrgRCqHB_FXT-srbpxFGtN8CgnwPdNMcRWg")</f>
        <v>2_ABaOnufbcAoSbeX9jFy7S6ag0wxyY2WvrgRCqHB_FXT-srbpxFGtN8CgnwPdNMcRWg</v>
      </c>
      <c r="B199" s="4" t="str">
        <f ca="1">IFERROR(__xludf.DUMMYFUNCTION("""COMPUTED_VALUE"""),"Đại học")</f>
        <v>Đại học</v>
      </c>
      <c r="C199" s="4" t="str">
        <f ca="1">IFERROR(__xludf.DUMMYFUNCTION("""COMPUTED_VALUE"""),"2_ABaOnudTHuHOFpZsAaRB97EixMtgKd2paGfbHbst8acxAgXLbB67F8KYEdOA5CQ_ig")</f>
        <v>2_ABaOnudTHuHOFpZsAaRB97EixMtgKd2paGfbHbst8acxAgXLbB67F8KYEdOA5CQ_ig</v>
      </c>
      <c r="D199" s="4" t="str">
        <f ca="1">IFERROR(__xludf.DUMMYFUNCTION("""COMPUTED_VALUE"""),"Đại học")</f>
        <v>Đại học</v>
      </c>
    </row>
    <row r="200" spans="1:4" x14ac:dyDescent="0.25">
      <c r="A200" s="4" t="str">
        <f ca="1">IFERROR(__xludf.DUMMYFUNCTION("""COMPUTED_VALUE"""),"2_ABaOnucqUb39Xrwr08zpPHJIvpwd8L4lx73rglzK-pS-nDd_BjuEVHh3-Nea95obeA")</f>
        <v>2_ABaOnucqUb39Xrwr08zpPHJIvpwd8L4lx73rglzK-pS-nDd_BjuEVHh3-Nea95obeA</v>
      </c>
      <c r="B200" s="4" t="str">
        <f ca="1">IFERROR(__xludf.DUMMYFUNCTION("""COMPUTED_VALUE"""),"Đại học, Chứng chỉ Kiểm toán viên")</f>
        <v>Đại học, Chứng chỉ Kiểm toán viên</v>
      </c>
      <c r="C200" s="4" t="str">
        <f ca="1">IFERROR(__xludf.DUMMYFUNCTION("""COMPUTED_VALUE"""),"2_ABaOnudTHuHOFpZsAaRB97EixMtgKd2paGfbHbst8acxAgXLbB67F8KYEdOA5CQ_ig")</f>
        <v>2_ABaOnudTHuHOFpZsAaRB97EixMtgKd2paGfbHbst8acxAgXLbB67F8KYEdOA5CQ_ig</v>
      </c>
      <c r="D200" s="4" t="str">
        <f ca="1">IFERROR(__xludf.DUMMYFUNCTION("""COMPUTED_VALUE"""),"Chứng chỉ Kiểm toán viên")</f>
        <v>Chứng chỉ Kiểm toán viên</v>
      </c>
    </row>
    <row r="201" spans="1:4" x14ac:dyDescent="0.25">
      <c r="A201" s="4" t="str">
        <f ca="1">IFERROR(__xludf.DUMMYFUNCTION("""COMPUTED_VALUE"""),"2_ABaOnufuJcYc2otwpXTlwKK2OORwJ4IUAI1VVtXjotbUOWVI-rbBVNv2mdhFJjD-hg")</f>
        <v>2_ABaOnufuJcYc2otwpXTlwKK2OORwJ4IUAI1VVtXjotbUOWVI-rbBVNv2mdhFJjD-hg</v>
      </c>
      <c r="B201" s="4" t="str">
        <f ca="1">IFERROR(__xludf.DUMMYFUNCTION("""COMPUTED_VALUE"""),"Đại học")</f>
        <v>Đại học</v>
      </c>
      <c r="C201" s="4" t="str">
        <f ca="1">IFERROR(__xludf.DUMMYFUNCTION("""COMPUTED_VALUE"""),"2_ABaOnud_KTt6NuyQPIbBIh-bejolHqnTwkSqjgNQbC9x3sJmpvMCFoLqJjwGN3C5lA")</f>
        <v>2_ABaOnud_KTt6NuyQPIbBIh-bejolHqnTwkSqjgNQbC9x3sJmpvMCFoLqJjwGN3C5lA</v>
      </c>
      <c r="D201" s="4" t="str">
        <f ca="1">IFERROR(__xludf.DUMMYFUNCTION("""COMPUTED_VALUE"""),"Đại học")</f>
        <v>Đại học</v>
      </c>
    </row>
    <row r="202" spans="1:4" x14ac:dyDescent="0.25">
      <c r="A202" s="4" t="str">
        <f ca="1">IFERROR(__xludf.DUMMYFUNCTION("""COMPUTED_VALUE"""),"2_ABaOnucNSgEmYMlyVSp9kZ5ILKtly3t1b6ZhTxJBSXzeZO0YartwFZCAsORytMivWA")</f>
        <v>2_ABaOnucNSgEmYMlyVSp9kZ5ILKtly3t1b6ZhTxJBSXzeZO0YartwFZCAsORytMivWA</v>
      </c>
      <c r="B202" s="4" t="str">
        <f ca="1">IFERROR(__xludf.DUMMYFUNCTION("""COMPUTED_VALUE"""),"Sau đại học")</f>
        <v>Sau đại học</v>
      </c>
      <c r="C202" s="4" t="str">
        <f ca="1">IFERROR(__xludf.DUMMYFUNCTION("""COMPUTED_VALUE"""),"2_ABaOnud_KTt6NuyQPIbBIh-bejolHqnTwkSqjgNQbC9x3sJmpvMCFoLqJjwGN3C5lA")</f>
        <v>2_ABaOnud_KTt6NuyQPIbBIh-bejolHqnTwkSqjgNQbC9x3sJmpvMCFoLqJjwGN3C5lA</v>
      </c>
      <c r="D202" s="4" t="str">
        <f ca="1">IFERROR(__xludf.DUMMYFUNCTION("""COMPUTED_VALUE"""),"Chứng chỉ Kiểm toán viên")</f>
        <v>Chứng chỉ Kiểm toán viên</v>
      </c>
    </row>
    <row r="203" spans="1:4" x14ac:dyDescent="0.25">
      <c r="A203" s="4" t="str">
        <f ca="1">IFERROR(__xludf.DUMMYFUNCTION("""COMPUTED_VALUE"""),"2_ABaOnudOy0cVsoLsRwcHa3gpu2A7ytGs9uzHCBL9AC98X6AHj0M6FdoehECJ6Qt2RA")</f>
        <v>2_ABaOnudOy0cVsoLsRwcHa3gpu2A7ytGs9uzHCBL9AC98X6AHj0M6FdoehECJ6Qt2RA</v>
      </c>
      <c r="B203" s="4" t="str">
        <f ca="1">IFERROR(__xludf.DUMMYFUNCTION("""COMPUTED_VALUE"""),"Đại học, Chứng chỉ Kiểm toán viên")</f>
        <v>Đại học, Chứng chỉ Kiểm toán viên</v>
      </c>
      <c r="C203" s="4" t="str">
        <f ca="1">IFERROR(__xludf.DUMMYFUNCTION("""COMPUTED_VALUE"""),"2_ABaOnuctCswvYisuPI4CLYnVeIyyf3C1AhYpsuogRu459ZZmJp7F6RyCbAuZxt1_ng")</f>
        <v>2_ABaOnuctCswvYisuPI4CLYnVeIyyf3C1AhYpsuogRu459ZZmJp7F6RyCbAuZxt1_ng</v>
      </c>
      <c r="D203" s="4" t="str">
        <f ca="1">IFERROR(__xludf.DUMMYFUNCTION("""COMPUTED_VALUE"""),"Đại học")</f>
        <v>Đại học</v>
      </c>
    </row>
    <row r="204" spans="1:4" x14ac:dyDescent="0.25">
      <c r="A204" s="4" t="str">
        <f ca="1">IFERROR(__xludf.DUMMYFUNCTION("""COMPUTED_VALUE"""),"2_ABaOnudzuuGZ7T-_sNF35rWJzl6wbTngPcGI0DkwcXjCwpgEPH2iF2ZdJSR_8JDKcg")</f>
        <v>2_ABaOnudzuuGZ7T-_sNF35rWJzl6wbTngPcGI0DkwcXjCwpgEPH2iF2ZdJSR_8JDKcg</v>
      </c>
      <c r="B204" s="4" t="str">
        <f ca="1">IFERROR(__xludf.DUMMYFUNCTION("""COMPUTED_VALUE"""),"Đại học")</f>
        <v>Đại học</v>
      </c>
      <c r="C204" s="4" t="str">
        <f ca="1">IFERROR(__xludf.DUMMYFUNCTION("""COMPUTED_VALUE"""),"2_ABaOnuctCswvYisuPI4CLYnVeIyyf3C1AhYpsuogRu459ZZmJp7F6RyCbAuZxt1_ng")</f>
        <v>2_ABaOnuctCswvYisuPI4CLYnVeIyyf3C1AhYpsuogRu459ZZmJp7F6RyCbAuZxt1_ng</v>
      </c>
      <c r="D204" s="4" t="str">
        <f ca="1">IFERROR(__xludf.DUMMYFUNCTION("""COMPUTED_VALUE"""),"Chứng chỉ Kiểm toán viên")</f>
        <v>Chứng chỉ Kiểm toán viên</v>
      </c>
    </row>
    <row r="205" spans="1:4" x14ac:dyDescent="0.25">
      <c r="A205" s="4" t="str">
        <f ca="1">IFERROR(__xludf.DUMMYFUNCTION("""COMPUTED_VALUE"""),"2_ABaOnueilSWqhhOp-3rNgFFAD_30D0agdhegyHPUefYCRQNIwuu9rHSJ7XSstzbd5A")</f>
        <v>2_ABaOnueilSWqhhOp-3rNgFFAD_30D0agdhegyHPUefYCRQNIwuu9rHSJ7XSstzbd5A</v>
      </c>
      <c r="B205" s="4" t="str">
        <f ca="1">IFERROR(__xludf.DUMMYFUNCTION("""COMPUTED_VALUE"""),"Đại học, Chứng chỉ Kiểm toán viên")</f>
        <v>Đại học, Chứng chỉ Kiểm toán viên</v>
      </c>
      <c r="C205" s="4" t="str">
        <f ca="1">IFERROR(__xludf.DUMMYFUNCTION("""COMPUTED_VALUE"""),"2_ABaOnueZwKBBz1Mnavw6UNBhT3bQU89TgcyAx-Rvl1-Vjzueuhr2-Fpz-KxF-t7MSg")</f>
        <v>2_ABaOnueZwKBBz1Mnavw6UNBhT3bQU89TgcyAx-Rvl1-Vjzueuhr2-Fpz-KxF-t7MSg</v>
      </c>
      <c r="D205" s="4" t="str">
        <f ca="1">IFERROR(__xludf.DUMMYFUNCTION("""COMPUTED_VALUE"""),"Chứng chỉ Kiểm toán viên")</f>
        <v>Chứng chỉ Kiểm toán viên</v>
      </c>
    </row>
    <row r="206" spans="1:4" x14ac:dyDescent="0.25">
      <c r="A206" s="4" t="str">
        <f ca="1">IFERROR(__xludf.DUMMYFUNCTION("""COMPUTED_VALUE"""),"2_ABaOnucBkT9j2m24FVk76mcsIYf2gTO0x0ihs9mZ74TLNvd2b8xABkm8A8jSyMfygQ")</f>
        <v>2_ABaOnucBkT9j2m24FVk76mcsIYf2gTO0x0ihs9mZ74TLNvd2b8xABkm8A8jSyMfygQ</v>
      </c>
      <c r="B206" s="4" t="str">
        <f ca="1">IFERROR(__xludf.DUMMYFUNCTION("""COMPUTED_VALUE"""),"Đại học")</f>
        <v>Đại học</v>
      </c>
      <c r="C206" s="4" t="str">
        <f ca="1">IFERROR(__xludf.DUMMYFUNCTION("""COMPUTED_VALUE"""),"2_ABaOnufgl81iTDK40lZ7A5RMNm1_cIEtYnVeqDlkQlN5GmTIuJtp7_bpw13KdVv_Hg")</f>
        <v>2_ABaOnufgl81iTDK40lZ7A5RMNm1_cIEtYnVeqDlkQlN5GmTIuJtp7_bpw13KdVv_Hg</v>
      </c>
      <c r="D206" s="4" t="str">
        <f ca="1">IFERROR(__xludf.DUMMYFUNCTION("""COMPUTED_VALUE"""),"Đại học")</f>
        <v>Đại học</v>
      </c>
    </row>
    <row r="207" spans="1:4" x14ac:dyDescent="0.25">
      <c r="A207" s="4" t="str">
        <f ca="1">IFERROR(__xludf.DUMMYFUNCTION("""COMPUTED_VALUE"""),"2_ABaOnucq_hKaSTEE6oBHjh6Zl9uhXLmmZJMw9cAcbJCIkacC1nh87rcWB_sySHV8NA")</f>
        <v>2_ABaOnucq_hKaSTEE6oBHjh6Zl9uhXLmmZJMw9cAcbJCIkacC1nh87rcWB_sySHV8NA</v>
      </c>
      <c r="B207" s="4" t="str">
        <f ca="1">IFERROR(__xludf.DUMMYFUNCTION("""COMPUTED_VALUE"""),"Chứng chỉ Kiểm toán viên")</f>
        <v>Chứng chỉ Kiểm toán viên</v>
      </c>
      <c r="C207" s="4" t="str">
        <f ca="1">IFERROR(__xludf.DUMMYFUNCTION("""COMPUTED_VALUE"""),"2_ABaOnufgl81iTDK40lZ7A5RMNm1_cIEtYnVeqDlkQlN5GmTIuJtp7_bpw13KdVv_Hg")</f>
        <v>2_ABaOnufgl81iTDK40lZ7A5RMNm1_cIEtYnVeqDlkQlN5GmTIuJtp7_bpw13KdVv_Hg</v>
      </c>
      <c r="D207" s="4" t="str">
        <f ca="1">IFERROR(__xludf.DUMMYFUNCTION("""COMPUTED_VALUE"""),"Chứng chỉ Kiểm toán viên")</f>
        <v>Chứng chỉ Kiểm toán viên</v>
      </c>
    </row>
    <row r="208" spans="1:4" x14ac:dyDescent="0.25">
      <c r="A208" s="4" t="str">
        <f ca="1">IFERROR(__xludf.DUMMYFUNCTION("""COMPUTED_VALUE"""),"2_ABaOnuc8ceYDsHsmAWg_woJjF-D3TPb3Os1upny20H0A0pABbmGI_Ov8gw_AHabMqg")</f>
        <v>2_ABaOnuc8ceYDsHsmAWg_woJjF-D3TPb3Os1upny20H0A0pABbmGI_Ov8gw_AHabMqg</v>
      </c>
      <c r="B208" s="4" t="str">
        <f ca="1">IFERROR(__xludf.DUMMYFUNCTION("""COMPUTED_VALUE"""),"Đại học")</f>
        <v>Đại học</v>
      </c>
      <c r="C208" s="4" t="str">
        <f ca="1">IFERROR(__xludf.DUMMYFUNCTION("""COMPUTED_VALUE"""),"2_ABaOnucRhKbc0vCMpk1yC5w1WeMhmQurIsXTpc8VNKZY8j_BlwAs4DhonNbP4AcShA")</f>
        <v>2_ABaOnucRhKbc0vCMpk1yC5w1WeMhmQurIsXTpc8VNKZY8j_BlwAs4DhonNbP4AcShA</v>
      </c>
      <c r="D208" s="4" t="str">
        <f ca="1">IFERROR(__xludf.DUMMYFUNCTION("""COMPUTED_VALUE"""),"Đại học")</f>
        <v>Đại học</v>
      </c>
    </row>
    <row r="209" spans="1:4" x14ac:dyDescent="0.25">
      <c r="A209" s="4" t="str">
        <f ca="1">IFERROR(__xludf.DUMMYFUNCTION("""COMPUTED_VALUE"""),"2_ABaOnucXXwWCs8k6mcYcJd57gJsq-AqLFRVqwD2_ATm5X5Sme1om0D6qu4yyN5GZww")</f>
        <v>2_ABaOnucXXwWCs8k6mcYcJd57gJsq-AqLFRVqwD2_ATm5X5Sme1om0D6qu4yyN5GZww</v>
      </c>
      <c r="B209" s="4" t="str">
        <f ca="1">IFERROR(__xludf.DUMMYFUNCTION("""COMPUTED_VALUE"""),"Đại học")</f>
        <v>Đại học</v>
      </c>
      <c r="C209" s="4" t="str">
        <f ca="1">IFERROR(__xludf.DUMMYFUNCTION("""COMPUTED_VALUE"""),"2_ABaOnudtH3MUy0n9fC5waN_oE_Gc3fmrFJjW1tT-YDA1qwu7b5TB7IwYJ06H7U5fTQ")</f>
        <v>2_ABaOnudtH3MUy0n9fC5waN_oE_Gc3fmrFJjW1tT-YDA1qwu7b5TB7IwYJ06H7U5fTQ</v>
      </c>
      <c r="D209" s="4" t="str">
        <f ca="1">IFERROR(__xludf.DUMMYFUNCTION("""COMPUTED_VALUE"""),"Đại học")</f>
        <v>Đại học</v>
      </c>
    </row>
    <row r="210" spans="1:4" x14ac:dyDescent="0.25">
      <c r="A210" s="4" t="str">
        <f ca="1">IFERROR(__xludf.DUMMYFUNCTION("""COMPUTED_VALUE"""),"2_ABaOnudfU3PNDx45YJxtQ7oeqmM80D_zcYGyr_M7XBXyvRSssKEGWiXNRlBd_rm7QQ")</f>
        <v>2_ABaOnudfU3PNDx45YJxtQ7oeqmM80D_zcYGyr_M7XBXyvRSssKEGWiXNRlBd_rm7QQ</v>
      </c>
      <c r="B210" s="4" t="str">
        <f ca="1">IFERROR(__xludf.DUMMYFUNCTION("""COMPUTED_VALUE"""),"Đại học")</f>
        <v>Đại học</v>
      </c>
      <c r="C210" s="4" t="str">
        <f ca="1">IFERROR(__xludf.DUMMYFUNCTION("""COMPUTED_VALUE"""),"2_ABaOnufIkEPykhVLDqIlgF0tFhHu12sA2Rwi-po4uhYldD-aiqGE5dmkYkZuQI1Ohg")</f>
        <v>2_ABaOnufIkEPykhVLDqIlgF0tFhHu12sA2Rwi-po4uhYldD-aiqGE5dmkYkZuQI1Ohg</v>
      </c>
      <c r="D210" s="4" t="str">
        <f ca="1">IFERROR(__xludf.DUMMYFUNCTION("""COMPUTED_VALUE"""),"Đại học")</f>
        <v>Đại học</v>
      </c>
    </row>
    <row r="211" spans="1:4" x14ac:dyDescent="0.25">
      <c r="A211" s="4" t="str">
        <f ca="1">IFERROR(__xludf.DUMMYFUNCTION("""COMPUTED_VALUE"""),"2_ABaOnueO95EMb31VbGRMuadrDBh4wZOc_5Ueit2NYRXr3JFPimm59jR_kJnu5ZIGhg")</f>
        <v>2_ABaOnueO95EMb31VbGRMuadrDBh4wZOc_5Ueit2NYRXr3JFPimm59jR_kJnu5ZIGhg</v>
      </c>
      <c r="B211" s="4" t="str">
        <f ca="1">IFERROR(__xludf.DUMMYFUNCTION("""COMPUTED_VALUE"""),"Đại học")</f>
        <v>Đại học</v>
      </c>
      <c r="C211" s="4" t="str">
        <f ca="1">IFERROR(__xludf.DUMMYFUNCTION("""COMPUTED_VALUE"""),"2_ABaOnuf4tSTSshwdtWNaIwcvRUMAQ9CHQNKYoVJFYZacwbT8DOhSkK-F3EbE25Jrpg")</f>
        <v>2_ABaOnuf4tSTSshwdtWNaIwcvRUMAQ9CHQNKYoVJFYZacwbT8DOhSkK-F3EbE25Jrpg</v>
      </c>
      <c r="D211" s="4" t="str">
        <f ca="1">IFERROR(__xludf.DUMMYFUNCTION("""COMPUTED_VALUE"""),"Đại học")</f>
        <v>Đại học</v>
      </c>
    </row>
    <row r="212" spans="1:4" x14ac:dyDescent="0.25">
      <c r="A212" s="4" t="str">
        <f ca="1">IFERROR(__xludf.DUMMYFUNCTION("""COMPUTED_VALUE"""),"2_ABaOnufYcz0AqZOKWOzZV5yJtuqVuoF21OyxQ9Ua-p4J9uXpsX1DGEgsNogHKaS_KA")</f>
        <v>2_ABaOnufYcz0AqZOKWOzZV5yJtuqVuoF21OyxQ9Ua-p4J9uXpsX1DGEgsNogHKaS_KA</v>
      </c>
      <c r="B212" s="4" t="str">
        <f ca="1">IFERROR(__xludf.DUMMYFUNCTION("""COMPUTED_VALUE"""),"Chứng chỉ Kiểm toán viên")</f>
        <v>Chứng chỉ Kiểm toán viên</v>
      </c>
      <c r="C212" s="4" t="str">
        <f ca="1">IFERROR(__xludf.DUMMYFUNCTION("""COMPUTED_VALUE"""),"2_ABaOnudEO1tpjUItWTUW1egQibOcBG9L4IeuYYC3HLSmZg6eg-XGv9jkeAt5xgYzZw")</f>
        <v>2_ABaOnudEO1tpjUItWTUW1egQibOcBG9L4IeuYYC3HLSmZg6eg-XGv9jkeAt5xgYzZw</v>
      </c>
      <c r="D212" s="4" t="str">
        <f ca="1">IFERROR(__xludf.DUMMYFUNCTION("""COMPUTED_VALUE"""),"Đại học")</f>
        <v>Đại học</v>
      </c>
    </row>
    <row r="213" spans="1:4" x14ac:dyDescent="0.25">
      <c r="A213" s="4" t="str">
        <f ca="1">IFERROR(__xludf.DUMMYFUNCTION("""COMPUTED_VALUE"""),"2_ABaOnuf2s6e_JMvdHxbni_ldA8qqlJlF1kC6W3mwnMlD00EG5ON1vtO3FjPSoiI8ig")</f>
        <v>2_ABaOnuf2s6e_JMvdHxbni_ldA8qqlJlF1kC6W3mwnMlD00EG5ON1vtO3FjPSoiI8ig</v>
      </c>
      <c r="B213" s="4" t="str">
        <f ca="1">IFERROR(__xludf.DUMMYFUNCTION("""COMPUTED_VALUE"""),"Đại học")</f>
        <v>Đại học</v>
      </c>
      <c r="C213" s="4" t="str">
        <f ca="1">IFERROR(__xludf.DUMMYFUNCTION("""COMPUTED_VALUE"""),"2_ABaOnueF3k4EzhIcVJyp7-J8RrTYyDJp2aG5sl7ACRGTvwgb3lA5YIeVXaqVY1cv3w")</f>
        <v>2_ABaOnueF3k4EzhIcVJyp7-J8RrTYyDJp2aG5sl7ACRGTvwgb3lA5YIeVXaqVY1cv3w</v>
      </c>
      <c r="D213" s="4" t="str">
        <f ca="1">IFERROR(__xludf.DUMMYFUNCTION("""COMPUTED_VALUE"""),"Đại học")</f>
        <v>Đại học</v>
      </c>
    </row>
    <row r="214" spans="1:4" x14ac:dyDescent="0.25">
      <c r="A214" s="4" t="str">
        <f ca="1">IFERROR(__xludf.DUMMYFUNCTION("""COMPUTED_VALUE"""),"2_ABaOnucfEIQvCcesXbmB2OFb5LJIF8CbHwYuMQ5V309-94FHA8LRCZJtNXjUP045YA")</f>
        <v>2_ABaOnucfEIQvCcesXbmB2OFb5LJIF8CbHwYuMQ5V309-94FHA8LRCZJtNXjUP045YA</v>
      </c>
      <c r="B214" s="4" t="str">
        <f ca="1">IFERROR(__xludf.DUMMYFUNCTION("""COMPUTED_VALUE"""),"Chứng chỉ Kiểm toán viên")</f>
        <v>Chứng chỉ Kiểm toán viên</v>
      </c>
      <c r="C214" s="4" t="str">
        <f ca="1">IFERROR(__xludf.DUMMYFUNCTION("""COMPUTED_VALUE"""),"2_ABaOnucAmYot99kmh2OObroaCLPPkfbteHs3kqG2nF2kUFDNaRsu2799r3Sm2gH89A")</f>
        <v>2_ABaOnucAmYot99kmh2OObroaCLPPkfbteHs3kqG2nF2kUFDNaRsu2799r3Sm2gH89A</v>
      </c>
      <c r="D214" s="4" t="str">
        <f ca="1">IFERROR(__xludf.DUMMYFUNCTION("""COMPUTED_VALUE"""),"Sau đại học")</f>
        <v>Sau đại học</v>
      </c>
    </row>
    <row r="215" spans="1:4" x14ac:dyDescent="0.25">
      <c r="A215" s="4" t="str">
        <f ca="1">IFERROR(__xludf.DUMMYFUNCTION("""COMPUTED_VALUE"""),"2_ABaOnucbWPDPZfVC0RJcvTc7pij321C9BXzBDatv3Np9v96B0komf-2u2mBviBJ8eg")</f>
        <v>2_ABaOnucbWPDPZfVC0RJcvTc7pij321C9BXzBDatv3Np9v96B0komf-2u2mBviBJ8eg</v>
      </c>
      <c r="B215" s="4" t="str">
        <f ca="1">IFERROR(__xludf.DUMMYFUNCTION("""COMPUTED_VALUE"""),"Đại học, Chứng chỉ Kiểm toán viên")</f>
        <v>Đại học, Chứng chỉ Kiểm toán viên</v>
      </c>
      <c r="C215" s="4" t="str">
        <f ca="1">IFERROR(__xludf.DUMMYFUNCTION("""COMPUTED_VALUE"""),"2_ABaOnucWC0ts1durzmH22INJ-ANeAHphI6sK8RbnLl1sBr2Te0mjnPTvwlehOhnGxQ")</f>
        <v>2_ABaOnucWC0ts1durzmH22INJ-ANeAHphI6sK8RbnLl1sBr2Te0mjnPTvwlehOhnGxQ</v>
      </c>
      <c r="D215" s="4" t="str">
        <f ca="1">IFERROR(__xludf.DUMMYFUNCTION("""COMPUTED_VALUE"""),"Đại học")</f>
        <v>Đại học</v>
      </c>
    </row>
    <row r="216" spans="1:4" x14ac:dyDescent="0.25">
      <c r="A216" s="4" t="str">
        <f ca="1">IFERROR(__xludf.DUMMYFUNCTION("""COMPUTED_VALUE"""),"2_ABaOnuf2ZqkzcbQypGSg4WJcli-1b62ps-Xbiv6mxQcW4kks9JdWqnfRLCMmmOlU-g")</f>
        <v>2_ABaOnuf2ZqkzcbQypGSg4WJcli-1b62ps-Xbiv6mxQcW4kks9JdWqnfRLCMmmOlU-g</v>
      </c>
      <c r="B216" s="4" t="str">
        <f ca="1">IFERROR(__xludf.DUMMYFUNCTION("""COMPUTED_VALUE"""),"Đại học")</f>
        <v>Đại học</v>
      </c>
      <c r="C216" s="4" t="str">
        <f ca="1">IFERROR(__xludf.DUMMYFUNCTION("""COMPUTED_VALUE"""),"2_ABaOnucWC0ts1durzmH22INJ-ANeAHphI6sK8RbnLl1sBr2Te0mjnPTvwlehOhnGxQ")</f>
        <v>2_ABaOnucWC0ts1durzmH22INJ-ANeAHphI6sK8RbnLl1sBr2Te0mjnPTvwlehOhnGxQ</v>
      </c>
      <c r="D216" s="4" t="str">
        <f ca="1">IFERROR(__xludf.DUMMYFUNCTION("""COMPUTED_VALUE"""),"Chứng chỉ Kiểm toán viên")</f>
        <v>Chứng chỉ Kiểm toán viên</v>
      </c>
    </row>
    <row r="217" spans="1:4" x14ac:dyDescent="0.25">
      <c r="A217" s="4" t="str">
        <f ca="1">IFERROR(__xludf.DUMMYFUNCTION("""COMPUTED_VALUE"""),"2_ABaOnuewUN5OU20ggRt8leEryojaV106C7aQe-n-czchKUzht1XBdyT_LX27riDWlw")</f>
        <v>2_ABaOnuewUN5OU20ggRt8leEryojaV106C7aQe-n-czchKUzht1XBdyT_LX27riDWlw</v>
      </c>
      <c r="B217" s="4" t="str">
        <f ca="1">IFERROR(__xludf.DUMMYFUNCTION("""COMPUTED_VALUE"""),"Đại học")</f>
        <v>Đại học</v>
      </c>
      <c r="C217" s="4" t="str">
        <f ca="1">IFERROR(__xludf.DUMMYFUNCTION("""COMPUTED_VALUE"""),"2_ABaOnuedGQCj3TFex_fd5KmBzFR0y8jFYq_fCe93HfAbJ6FappwCn1qY6K3HDDCSEQ")</f>
        <v>2_ABaOnuedGQCj3TFex_fd5KmBzFR0y8jFYq_fCe93HfAbJ6FappwCn1qY6K3HDDCSEQ</v>
      </c>
      <c r="D217" s="4" t="str">
        <f ca="1">IFERROR(__xludf.DUMMYFUNCTION("""COMPUTED_VALUE"""),"Đại học")</f>
        <v>Đại học</v>
      </c>
    </row>
    <row r="218" spans="1:4" x14ac:dyDescent="0.25">
      <c r="A218" s="4" t="str">
        <f ca="1">IFERROR(__xludf.DUMMYFUNCTION("""COMPUTED_VALUE"""),"2_ABaOnufFzf2rxQNBi6krZxGfdG-_xG-xSMfySqdgLjRoh1lqUeblAVXVH8uanpJKOg")</f>
        <v>2_ABaOnufFzf2rxQNBi6krZxGfdG-_xG-xSMfySqdgLjRoh1lqUeblAVXVH8uanpJKOg</v>
      </c>
      <c r="B218" s="4" t="str">
        <f ca="1">IFERROR(__xludf.DUMMYFUNCTION("""COMPUTED_VALUE"""),"Đại học")</f>
        <v>Đại học</v>
      </c>
      <c r="C218" s="4" t="str">
        <f ca="1">IFERROR(__xludf.DUMMYFUNCTION("""COMPUTED_VALUE"""),"2_ABaOnucSm3MP-sTG_02saomuy81VrMW2Z_7WCEpRL2KGpcG0RRCuVb7cCgP7m1pIQg")</f>
        <v>2_ABaOnucSm3MP-sTG_02saomuy81VrMW2Z_7WCEpRL2KGpcG0RRCuVb7cCgP7m1pIQg</v>
      </c>
      <c r="D218" s="4" t="str">
        <f ca="1">IFERROR(__xludf.DUMMYFUNCTION("""COMPUTED_VALUE"""),"Đại học")</f>
        <v>Đại học</v>
      </c>
    </row>
    <row r="219" spans="1:4" x14ac:dyDescent="0.25">
      <c r="A219" s="4" t="str">
        <f ca="1">IFERROR(__xludf.DUMMYFUNCTION("""COMPUTED_VALUE"""),"2_ABaOnuce8fPmajMbzKwaK8LzJ1yy0pab-SXEvFeCmvLlGp_WUrvGJQaHZDJDLPlwgg")</f>
        <v>2_ABaOnuce8fPmajMbzKwaK8LzJ1yy0pab-SXEvFeCmvLlGp_WUrvGJQaHZDJDLPlwgg</v>
      </c>
      <c r="B219" s="4" t="str">
        <f ca="1">IFERROR(__xludf.DUMMYFUNCTION("""COMPUTED_VALUE"""),"Chứng chỉ Kiểm toán viên")</f>
        <v>Chứng chỉ Kiểm toán viên</v>
      </c>
      <c r="C219" s="4" t="str">
        <f ca="1">IFERROR(__xludf.DUMMYFUNCTION("""COMPUTED_VALUE"""),"2_ABaOnuf29bXxvnwZOmYl0OVjYxHjUMzUi5TfsXfiyTWLPY1SblDLPHMZt0pXn576mQ")</f>
        <v>2_ABaOnuf29bXxvnwZOmYl0OVjYxHjUMzUi5TfsXfiyTWLPY1SblDLPHMZt0pXn576mQ</v>
      </c>
      <c r="D219" s="4" t="str">
        <f ca="1">IFERROR(__xludf.DUMMYFUNCTION("""COMPUTED_VALUE"""),"Sau đại học")</f>
        <v>Sau đại học</v>
      </c>
    </row>
    <row r="220" spans="1:4" x14ac:dyDescent="0.25">
      <c r="A220" s="4" t="str">
        <f ca="1">IFERROR(__xludf.DUMMYFUNCTION("""COMPUTED_VALUE"""),"2_ABaOnudaVjG5Fr9L4rt8V6gBeL-u3ImGkiPqiRyX2poN-9XRZOJgdmmUMF7q40ioGw")</f>
        <v>2_ABaOnudaVjG5Fr9L4rt8V6gBeL-u3ImGkiPqiRyX2poN-9XRZOJgdmmUMF7q40ioGw</v>
      </c>
      <c r="B220" s="4" t="str">
        <f ca="1">IFERROR(__xludf.DUMMYFUNCTION("""COMPUTED_VALUE"""),"Đại học")</f>
        <v>Đại học</v>
      </c>
      <c r="C220" s="4" t="str">
        <f ca="1">IFERROR(__xludf.DUMMYFUNCTION("""COMPUTED_VALUE"""),"2_ABaOnuf29bXxvnwZOmYl0OVjYxHjUMzUi5TfsXfiyTWLPY1SblDLPHMZt0pXn576mQ")</f>
        <v>2_ABaOnuf29bXxvnwZOmYl0OVjYxHjUMzUi5TfsXfiyTWLPY1SblDLPHMZt0pXn576mQ</v>
      </c>
      <c r="D220" s="4" t="str">
        <f ca="1">IFERROR(__xludf.DUMMYFUNCTION("""COMPUTED_VALUE"""),"Chứng chỉ Kiểm toán viên")</f>
        <v>Chứng chỉ Kiểm toán viên</v>
      </c>
    </row>
    <row r="221" spans="1:4" x14ac:dyDescent="0.25">
      <c r="A221" s="4" t="str">
        <f ca="1">IFERROR(__xludf.DUMMYFUNCTION("""COMPUTED_VALUE"""),"2_ABaOnufQwxuGTBQZ_YU-NWnFhMHli7LnbUvg2wF1KFBcJhGoj2pgl6GmWYam8MoC5Q")</f>
        <v>2_ABaOnufQwxuGTBQZ_YU-NWnFhMHli7LnbUvg2wF1KFBcJhGoj2pgl6GmWYam8MoC5Q</v>
      </c>
      <c r="B221" s="4" t="str">
        <f ca="1">IFERROR(__xludf.DUMMYFUNCTION("""COMPUTED_VALUE"""),"Đại học, Chứng chỉ Kiểm toán viên")</f>
        <v>Đại học, Chứng chỉ Kiểm toán viên</v>
      </c>
      <c r="C221" s="4" t="str">
        <f ca="1">IFERROR(__xludf.DUMMYFUNCTION("""COMPUTED_VALUE"""),"2_ABaOnue8XtsPEN1FLiloaodipYsL-UGEFhY2oO9NheDS3zgplMyWID1p4tuqz1PqdA")</f>
        <v>2_ABaOnue8XtsPEN1FLiloaodipYsL-UGEFhY2oO9NheDS3zgplMyWID1p4tuqz1PqdA</v>
      </c>
      <c r="D221" s="4" t="str">
        <f ca="1">IFERROR(__xludf.DUMMYFUNCTION("""COMPUTED_VALUE"""),"Sau đại học")</f>
        <v>Sau đại học</v>
      </c>
    </row>
    <row r="222" spans="1:4" x14ac:dyDescent="0.25">
      <c r="A222" s="4" t="str">
        <f ca="1">IFERROR(__xludf.DUMMYFUNCTION("""COMPUTED_VALUE"""),"2_ABaOnuez_FqABTYkUXjUMgBeeRMffd1mHlNhnFNFbP4fqbVAEM3DDrFlITd8xnwbRw")</f>
        <v>2_ABaOnuez_FqABTYkUXjUMgBeeRMffd1mHlNhnFNFbP4fqbVAEM3DDrFlITd8xnwbRw</v>
      </c>
      <c r="B222" s="4" t="str">
        <f ca="1">IFERROR(__xludf.DUMMYFUNCTION("""COMPUTED_VALUE"""),"Sau đại học")</f>
        <v>Sau đại học</v>
      </c>
      <c r="C222" s="4" t="str">
        <f ca="1">IFERROR(__xludf.DUMMYFUNCTION("""COMPUTED_VALUE"""),"2_ABaOnue8XtsPEN1FLiloaodipYsL-UGEFhY2oO9NheDS3zgplMyWID1p4tuqz1PqdA")</f>
        <v>2_ABaOnue8XtsPEN1FLiloaodipYsL-UGEFhY2oO9NheDS3zgplMyWID1p4tuqz1PqdA</v>
      </c>
      <c r="D222" s="4" t="str">
        <f ca="1">IFERROR(__xludf.DUMMYFUNCTION("""COMPUTED_VALUE"""),"Chứng chỉ Kiểm toán viên")</f>
        <v>Chứng chỉ Kiểm toán viên</v>
      </c>
    </row>
    <row r="223" spans="1:4" x14ac:dyDescent="0.25">
      <c r="A223" s="4" t="str">
        <f ca="1">IFERROR(__xludf.DUMMYFUNCTION("""COMPUTED_VALUE"""),"2_ABaOnufmH9HtjTktwfrop1Ys25IX-nAAdeSb4ZeQsZkOLrZzzyYUTAJ0kNSS9x-RIA")</f>
        <v>2_ABaOnufmH9HtjTktwfrop1Ys25IX-nAAdeSb4ZeQsZkOLrZzzyYUTAJ0kNSS9x-RIA</v>
      </c>
      <c r="B223" s="4" t="str">
        <f ca="1">IFERROR(__xludf.DUMMYFUNCTION("""COMPUTED_VALUE"""),"Đại học")</f>
        <v>Đại học</v>
      </c>
      <c r="C223" s="4" t="str">
        <f ca="1">IFERROR(__xludf.DUMMYFUNCTION("""COMPUTED_VALUE"""),"2_ABaOnuegTjXg4vcZz4Zupraq1BSOrgF2glXAUZzLVUtnO95V5vPro37BrbsgcGNnNA")</f>
        <v>2_ABaOnuegTjXg4vcZz4Zupraq1BSOrgF2glXAUZzLVUtnO95V5vPro37BrbsgcGNnNA</v>
      </c>
      <c r="D223" s="4" t="str">
        <f ca="1">IFERROR(__xludf.DUMMYFUNCTION("""COMPUTED_VALUE"""),"Sau đại học")</f>
        <v>Sau đại học</v>
      </c>
    </row>
    <row r="224" spans="1:4" x14ac:dyDescent="0.25">
      <c r="A224" s="4" t="str">
        <f ca="1">IFERROR(__xludf.DUMMYFUNCTION("""COMPUTED_VALUE"""),"2_ABaOnucGFIuC2oJUcBM-0X0dLbNAF24SxYtMjTPuxJXRQiaDqnzyxXCaOJxHldJyVw")</f>
        <v>2_ABaOnucGFIuC2oJUcBM-0X0dLbNAF24SxYtMjTPuxJXRQiaDqnzyxXCaOJxHldJyVw</v>
      </c>
      <c r="B224" s="4" t="str">
        <f ca="1">IFERROR(__xludf.DUMMYFUNCTION("""COMPUTED_VALUE"""),"Sau đại học")</f>
        <v>Sau đại học</v>
      </c>
      <c r="C224" s="4" t="str">
        <f ca="1">IFERROR(__xludf.DUMMYFUNCTION("""COMPUTED_VALUE"""),"2_ABaOnuegTjXg4vcZz4Zupraq1BSOrgF2glXAUZzLVUtnO95V5vPro37BrbsgcGNnNA")</f>
        <v>2_ABaOnuegTjXg4vcZz4Zupraq1BSOrgF2glXAUZzLVUtnO95V5vPro37BrbsgcGNnNA</v>
      </c>
      <c r="D224" s="4" t="str">
        <f ca="1">IFERROR(__xludf.DUMMYFUNCTION("""COMPUTED_VALUE"""),"Chứng chỉ Kiểm toán viên")</f>
        <v>Chứng chỉ Kiểm toán viên</v>
      </c>
    </row>
    <row r="225" spans="1:4" x14ac:dyDescent="0.25">
      <c r="A225" s="4" t="str">
        <f ca="1">IFERROR(__xludf.DUMMYFUNCTION("""COMPUTED_VALUE"""),"2_ABaOnucUnBFBhOhyBsBhYWPtBTb35F8gkZ8Lx4PQ8BsCzUN_A_2Nxdc1E5-kYNwx0Q")</f>
        <v>2_ABaOnucUnBFBhOhyBsBhYWPtBTb35F8gkZ8Lx4PQ8BsCzUN_A_2Nxdc1E5-kYNwx0Q</v>
      </c>
      <c r="B225" s="4" t="str">
        <f ca="1">IFERROR(__xludf.DUMMYFUNCTION("""COMPUTED_VALUE"""),"Đại học")</f>
        <v>Đại học</v>
      </c>
      <c r="C225" s="4" t="str">
        <f ca="1">IFERROR(__xludf.DUMMYFUNCTION("""COMPUTED_VALUE"""),"2_ABaOnufYVRtqXs6wjYD7jeUNIfodvNKX25A53923oqgDYGaC_eje4W2dFMn6ChjX7w")</f>
        <v>2_ABaOnufYVRtqXs6wjYD7jeUNIfodvNKX25A53923oqgDYGaC_eje4W2dFMn6ChjX7w</v>
      </c>
      <c r="D225" s="4" t="str">
        <f ca="1">IFERROR(__xludf.DUMMYFUNCTION("""COMPUTED_VALUE"""),"Sau đại học")</f>
        <v>Sau đại học</v>
      </c>
    </row>
    <row r="226" spans="1:4" x14ac:dyDescent="0.25">
      <c r="A226" s="4" t="str">
        <f ca="1">IFERROR(__xludf.DUMMYFUNCTION("""COMPUTED_VALUE"""),"2_ABaOnufW5dnieuD5gzGcbWlDfJjm73Y7LNl7KCJmiXqFRMBsznHgMGtwNJRgBcmVNg")</f>
        <v>2_ABaOnufW5dnieuD5gzGcbWlDfJjm73Y7LNl7KCJmiXqFRMBsznHgMGtwNJRgBcmVNg</v>
      </c>
      <c r="B226" s="4" t="str">
        <f ca="1">IFERROR(__xludf.DUMMYFUNCTION("""COMPUTED_VALUE"""),"Đại học")</f>
        <v>Đại học</v>
      </c>
      <c r="C226" s="4" t="str">
        <f ca="1">IFERROR(__xludf.DUMMYFUNCTION("""COMPUTED_VALUE"""),"2_ABaOnue1Ps20AruLvk3m9FeDvLiIYQbdTNybAhn5VlUA_xgeFH6qRVlqvUNVv4DPTg")</f>
        <v>2_ABaOnue1Ps20AruLvk3m9FeDvLiIYQbdTNybAhn5VlUA_xgeFH6qRVlqvUNVv4DPTg</v>
      </c>
      <c r="D226" s="4" t="str">
        <f ca="1">IFERROR(__xludf.DUMMYFUNCTION("""COMPUTED_VALUE"""),"Đại học")</f>
        <v>Đại học</v>
      </c>
    </row>
    <row r="227" spans="1:4" x14ac:dyDescent="0.25">
      <c r="A227" s="4" t="str">
        <f ca="1">IFERROR(__xludf.DUMMYFUNCTION("""COMPUTED_VALUE"""),"2_ABaOnufgq5aEynvSUutougHaeXkq867agdzcmPyvMpgdST8Yx0XDLNK56nO0kjmaUQ")</f>
        <v>2_ABaOnufgq5aEynvSUutougHaeXkq867agdzcmPyvMpgdST8Yx0XDLNK56nO0kjmaUQ</v>
      </c>
      <c r="B227" s="4" t="str">
        <f ca="1">IFERROR(__xludf.DUMMYFUNCTION("""COMPUTED_VALUE"""),"Sau đại học, Chứng chỉ Kiểm toán viên")</f>
        <v>Sau đại học, Chứng chỉ Kiểm toán viên</v>
      </c>
      <c r="C227" s="4" t="str">
        <f ca="1">IFERROR(__xludf.DUMMYFUNCTION("""COMPUTED_VALUE"""),"2_ABaOnucszigOkvYfk7HZgARYtITyEHncKCrUMWjPdZGvmFgKRQR3VFFvL-HgFIUbtA")</f>
        <v>2_ABaOnucszigOkvYfk7HZgARYtITyEHncKCrUMWjPdZGvmFgKRQR3VFFvL-HgFIUbtA</v>
      </c>
      <c r="D227" s="4" t="str">
        <f ca="1">IFERROR(__xludf.DUMMYFUNCTION("""COMPUTED_VALUE"""),"Đại học")</f>
        <v>Đại học</v>
      </c>
    </row>
    <row r="228" spans="1:4" x14ac:dyDescent="0.25">
      <c r="A228" s="4" t="str">
        <f ca="1">IFERROR(__xludf.DUMMYFUNCTION("""COMPUTED_VALUE"""),"2_ABaOnudukx-f59PlkQ_6249HQD2IOEyUcXal4SB0NoYn4sTuKDAFrgGvxH5pA9CHhA")</f>
        <v>2_ABaOnudukx-f59PlkQ_6249HQD2IOEyUcXal4SB0NoYn4sTuKDAFrgGvxH5pA9CHhA</v>
      </c>
      <c r="B228" s="4" t="str">
        <f ca="1">IFERROR(__xludf.DUMMYFUNCTION("""COMPUTED_VALUE"""),"Đại học")</f>
        <v>Đại học</v>
      </c>
      <c r="C228" s="4" t="str">
        <f ca="1">IFERROR(__xludf.DUMMYFUNCTION("""COMPUTED_VALUE"""),"2_ABaOnue0__VOLh37DSVTsZ_t9rzfzCtd731ZsyMeHjRK721cz6AJ86KmOy-JFgpAUA")</f>
        <v>2_ABaOnue0__VOLh37DSVTsZ_t9rzfzCtd731ZsyMeHjRK721cz6AJ86KmOy-JFgpAUA</v>
      </c>
      <c r="D228" s="4" t="str">
        <f ca="1">IFERROR(__xludf.DUMMYFUNCTION("""COMPUTED_VALUE"""),"Đại học")</f>
        <v>Đại học</v>
      </c>
    </row>
    <row r="229" spans="1:4" x14ac:dyDescent="0.25">
      <c r="A229" s="4" t="str">
        <f ca="1">IFERROR(__xludf.DUMMYFUNCTION("""COMPUTED_VALUE"""),"2_ABaOnufmzWwDlecrezw1FSOgGijAvZTJQd_e0KoDIigQBeDQ_5naCWqjONPeWINmXg")</f>
        <v>2_ABaOnufmzWwDlecrezw1FSOgGijAvZTJQd_e0KoDIigQBeDQ_5naCWqjONPeWINmXg</v>
      </c>
      <c r="B229" s="4" t="str">
        <f ca="1">IFERROR(__xludf.DUMMYFUNCTION("""COMPUTED_VALUE"""),"Đại học")</f>
        <v>Đại học</v>
      </c>
      <c r="C229" s="4" t="str">
        <f ca="1">IFERROR(__xludf.DUMMYFUNCTION("""COMPUTED_VALUE"""),"2_ABaOnudV0R_UzYhv-N_GIvN3JNzbPOTQ1XPhVMCe2z4Kd55zpvWhCa1Aqn16YVfVKQ")</f>
        <v>2_ABaOnudV0R_UzYhv-N_GIvN3JNzbPOTQ1XPhVMCe2z4Kd55zpvWhCa1Aqn16YVfVKQ</v>
      </c>
      <c r="D229" s="4" t="str">
        <f ca="1">IFERROR(__xludf.DUMMYFUNCTION("""COMPUTED_VALUE"""),"Sau đại học")</f>
        <v>Sau đại học</v>
      </c>
    </row>
    <row r="230" spans="1:4" x14ac:dyDescent="0.25">
      <c r="A230" s="4" t="str">
        <f ca="1">IFERROR(__xludf.DUMMYFUNCTION("""COMPUTED_VALUE"""),"2_ABaOnudVf1WqnT5AZm_zCnbm29iC3Hp_zMRRJAtofPOh-nM2Dbb7SmgWq49lSDXyNA")</f>
        <v>2_ABaOnudVf1WqnT5AZm_zCnbm29iC3Hp_zMRRJAtofPOh-nM2Dbb7SmgWq49lSDXyNA</v>
      </c>
      <c r="B230" s="4" t="str">
        <f ca="1">IFERROR(__xludf.DUMMYFUNCTION("""COMPUTED_VALUE"""),"Đại học")</f>
        <v>Đại học</v>
      </c>
      <c r="C230" s="4" t="str">
        <f ca="1">IFERROR(__xludf.DUMMYFUNCTION("""COMPUTED_VALUE"""),"2_ABaOnudV0R_UzYhv-N_GIvN3JNzbPOTQ1XPhVMCe2z4Kd55zpvWhCa1Aqn16YVfVKQ")</f>
        <v>2_ABaOnudV0R_UzYhv-N_GIvN3JNzbPOTQ1XPhVMCe2z4Kd55zpvWhCa1Aqn16YVfVKQ</v>
      </c>
      <c r="D230" s="4" t="str">
        <f ca="1">IFERROR(__xludf.DUMMYFUNCTION("""COMPUTED_VALUE"""),"Chứng chỉ Kiểm toán viên")</f>
        <v>Chứng chỉ Kiểm toán viên</v>
      </c>
    </row>
    <row r="231" spans="1:4" x14ac:dyDescent="0.25">
      <c r="A231" s="4" t="str">
        <f ca="1">IFERROR(__xludf.DUMMYFUNCTION("""COMPUTED_VALUE"""),"2_ABaOnuf0MlrmlEpHOXfohsbbuXDMIrHUxUI7pl0j2LQOAaxBOyIlwjU_wkMkwrqyUQ")</f>
        <v>2_ABaOnuf0MlrmlEpHOXfohsbbuXDMIrHUxUI7pl0j2LQOAaxBOyIlwjU_wkMkwrqyUQ</v>
      </c>
      <c r="B231" s="4" t="str">
        <f ca="1">IFERROR(__xludf.DUMMYFUNCTION("""COMPUTED_VALUE"""),"Đại học")</f>
        <v>Đại học</v>
      </c>
      <c r="C231" s="4" t="str">
        <f ca="1">IFERROR(__xludf.DUMMYFUNCTION("""COMPUTED_VALUE"""),"2_ABaOnucYdPZ3xsBb4G8yeB68xbKCD0p7mJibL7R11Ymy-cs90apTZN28sm0DVQ94rA")</f>
        <v>2_ABaOnucYdPZ3xsBb4G8yeB68xbKCD0p7mJibL7R11Ymy-cs90apTZN28sm0DVQ94rA</v>
      </c>
      <c r="D231" s="4" t="str">
        <f ca="1">IFERROR(__xludf.DUMMYFUNCTION("""COMPUTED_VALUE"""),"Đại học")</f>
        <v>Đại học</v>
      </c>
    </row>
    <row r="232" spans="1:4" x14ac:dyDescent="0.25">
      <c r="A232" s="4" t="str">
        <f ca="1">IFERROR(__xludf.DUMMYFUNCTION("""COMPUTED_VALUE"""),"2_ABaOnudqhMlFsL7lIMWSnHL6E2S5zQ_58efo7bioiyb8mc-ZTZVn0j6zxx8uRVE4jg")</f>
        <v>2_ABaOnudqhMlFsL7lIMWSnHL6E2S5zQ_58efo7bioiyb8mc-ZTZVn0j6zxx8uRVE4jg</v>
      </c>
      <c r="B232" s="4" t="str">
        <f ca="1">IFERROR(__xludf.DUMMYFUNCTION("""COMPUTED_VALUE"""),"Đại học")</f>
        <v>Đại học</v>
      </c>
      <c r="C232" s="4" t="str">
        <f ca="1">IFERROR(__xludf.DUMMYFUNCTION("""COMPUTED_VALUE"""),"2_ABaOnucggZvIBVqC6kpZXIUJevUActLZ2-wSa1V_C4G-meWJPVWVjpwM-uVSyVdEUA")</f>
        <v>2_ABaOnucggZvIBVqC6kpZXIUJevUActLZ2-wSa1V_C4G-meWJPVWVjpwM-uVSyVdEUA</v>
      </c>
      <c r="D232" s="4" t="str">
        <f ca="1">IFERROR(__xludf.DUMMYFUNCTION("""COMPUTED_VALUE"""),"Đại học")</f>
        <v>Đại học</v>
      </c>
    </row>
    <row r="233" spans="1:4" x14ac:dyDescent="0.25">
      <c r="A233" s="4" t="str">
        <f ca="1">IFERROR(__xludf.DUMMYFUNCTION("""COMPUTED_VALUE"""),"2_ABaOnuc7hEl-Cqdwgcr_d1DtNdjAHSEmK8jlBJoJefJ5TcbbXqyrR4uzcc1aj3l_ig")</f>
        <v>2_ABaOnuc7hEl-Cqdwgcr_d1DtNdjAHSEmK8jlBJoJefJ5TcbbXqyrR4uzcc1aj3l_ig</v>
      </c>
      <c r="B233" s="4" t="str">
        <f ca="1">IFERROR(__xludf.DUMMYFUNCTION("""COMPUTED_VALUE"""),"Đại học")</f>
        <v>Đại học</v>
      </c>
      <c r="C233" s="4" t="str">
        <f ca="1">IFERROR(__xludf.DUMMYFUNCTION("""COMPUTED_VALUE"""),"2_ABaOnucFSdnblF-kZiyQboJBz9LG34LkWzdyQOCCNPCptUD_d6hptYor0D5Dsilgyg")</f>
        <v>2_ABaOnucFSdnblF-kZiyQboJBz9LG34LkWzdyQOCCNPCptUD_d6hptYor0D5Dsilgyg</v>
      </c>
      <c r="D233" s="4" t="str">
        <f ca="1">IFERROR(__xludf.DUMMYFUNCTION("""COMPUTED_VALUE"""),"Đại học")</f>
        <v>Đại học</v>
      </c>
    </row>
    <row r="234" spans="1:4" x14ac:dyDescent="0.25">
      <c r="A234" s="4" t="str">
        <f ca="1">IFERROR(__xludf.DUMMYFUNCTION("""COMPUTED_VALUE"""),"2_ABaOnudRaaa9IVdY3gt0h08KNkSanoKFWW5rdWdDkqBejJ6eyfj28UOTLQbqz_dfSQ")</f>
        <v>2_ABaOnudRaaa9IVdY3gt0h08KNkSanoKFWW5rdWdDkqBejJ6eyfj28UOTLQbqz_dfSQ</v>
      </c>
      <c r="B234" s="4" t="str">
        <f ca="1">IFERROR(__xludf.DUMMYFUNCTION("""COMPUTED_VALUE"""),"Sau đại học")</f>
        <v>Sau đại học</v>
      </c>
      <c r="C234" s="4" t="str">
        <f ca="1">IFERROR(__xludf.DUMMYFUNCTION("""COMPUTED_VALUE"""),"2_ABaOnufAnlJ1AmtHAiegxvBm6OyMu5u02mXQIclfWHAMthNvglWJUMYfrpWerPyxtg")</f>
        <v>2_ABaOnufAnlJ1AmtHAiegxvBm6OyMu5u02mXQIclfWHAMthNvglWJUMYfrpWerPyxtg</v>
      </c>
      <c r="D234" s="4" t="str">
        <f ca="1">IFERROR(__xludf.DUMMYFUNCTION("""COMPUTED_VALUE"""),"Đại học")</f>
        <v>Đại học</v>
      </c>
    </row>
    <row r="235" spans="1:4" x14ac:dyDescent="0.25">
      <c r="A235" s="4" t="str">
        <f ca="1">IFERROR(__xludf.DUMMYFUNCTION("""COMPUTED_VALUE"""),"2_ABaOnucDvBwFvDVv_JwFYIPUHj35ynQPeknKIfwaIv9wOUzJhMC8zL-qryqpfSzXaA")</f>
        <v>2_ABaOnucDvBwFvDVv_JwFYIPUHj35ynQPeknKIfwaIv9wOUzJhMC8zL-qryqpfSzXaA</v>
      </c>
      <c r="B235" s="4" t="str">
        <f ca="1">IFERROR(__xludf.DUMMYFUNCTION("""COMPUTED_VALUE"""),"Đại học")</f>
        <v>Đại học</v>
      </c>
      <c r="C235" s="4" t="str">
        <f ca="1">IFERROR(__xludf.DUMMYFUNCTION("""COMPUTED_VALUE"""),"2_ABaOnueiSg_uN2CAHPLVH3ndePrnEn1yTIZuQVIk_9ZuBlIJsAYo9UFNPNFYXFkC8g")</f>
        <v>2_ABaOnueiSg_uN2CAHPLVH3ndePrnEn1yTIZuQVIk_9ZuBlIJsAYo9UFNPNFYXFkC8g</v>
      </c>
      <c r="D235" s="4" t="str">
        <f ca="1">IFERROR(__xludf.DUMMYFUNCTION("""COMPUTED_VALUE"""),"Đại học")</f>
        <v>Đại học</v>
      </c>
    </row>
    <row r="236" spans="1:4" x14ac:dyDescent="0.25">
      <c r="A236" s="4" t="str">
        <f ca="1">IFERROR(__xludf.DUMMYFUNCTION("""COMPUTED_VALUE"""),"2_ABaOnudmGJ2t2hP6UPbQAQi2gSJTVtgV4nWGJw5-eeYg4nIIxiZIBm2-v7NItHYpQw")</f>
        <v>2_ABaOnudmGJ2t2hP6UPbQAQi2gSJTVtgV4nWGJw5-eeYg4nIIxiZIBm2-v7NItHYpQw</v>
      </c>
      <c r="B236" s="4" t="str">
        <f ca="1">IFERROR(__xludf.DUMMYFUNCTION("""COMPUTED_VALUE"""),"Đại học, Chứng chỉ Kiểm toán viên")</f>
        <v>Đại học, Chứng chỉ Kiểm toán viên</v>
      </c>
      <c r="C236" s="4" t="str">
        <f ca="1">IFERROR(__xludf.DUMMYFUNCTION("""COMPUTED_VALUE"""),"2_ABaOnueYpTwVnPWxgJV4clEulXsixuoPKvj1cpnEg9giAsTI2mONwAP8Bvxz_H5QrA")</f>
        <v>2_ABaOnueYpTwVnPWxgJV4clEulXsixuoPKvj1cpnEg9giAsTI2mONwAP8Bvxz_H5QrA</v>
      </c>
      <c r="D236" s="4" t="str">
        <f ca="1">IFERROR(__xludf.DUMMYFUNCTION("""COMPUTED_VALUE"""),"Đại học")</f>
        <v>Đại học</v>
      </c>
    </row>
    <row r="237" spans="1:4" x14ac:dyDescent="0.25">
      <c r="A237" s="4" t="str">
        <f ca="1">IFERROR(__xludf.DUMMYFUNCTION("""COMPUTED_VALUE"""),"2_ABaOnufLFttHUvAA8TpUlBsy8MB6o2cA-8LEuWQ6f-VoAvrfo4rNYJvNGIz0RCF70Q")</f>
        <v>2_ABaOnufLFttHUvAA8TpUlBsy8MB6o2cA-8LEuWQ6f-VoAvrfo4rNYJvNGIz0RCF70Q</v>
      </c>
      <c r="B237" s="4" t="str">
        <f ca="1">IFERROR(__xludf.DUMMYFUNCTION("""COMPUTED_VALUE"""),"Sau đại học")</f>
        <v>Sau đại học</v>
      </c>
      <c r="C237" s="4" t="str">
        <f ca="1">IFERROR(__xludf.DUMMYFUNCTION("""COMPUTED_VALUE"""),"2_ABaOnueQC6bJhyNcD9CkzNmEqeM6wtmrWvF1Us0qALWlx94nS4iU1XzSOP1nmrGH_Q")</f>
        <v>2_ABaOnueQC6bJhyNcD9CkzNmEqeM6wtmrWvF1Us0qALWlx94nS4iU1XzSOP1nmrGH_Q</v>
      </c>
      <c r="D237" s="4" t="str">
        <f ca="1">IFERROR(__xludf.DUMMYFUNCTION("""COMPUTED_VALUE"""),"Đại học")</f>
        <v>Đại học</v>
      </c>
    </row>
    <row r="238" spans="1:4" x14ac:dyDescent="0.25">
      <c r="A238" s="4" t="str">
        <f ca="1">IFERROR(__xludf.DUMMYFUNCTION("""COMPUTED_VALUE"""),"2_ABaOnueLS5FNdJ4cqgIOW_p7oatCLFBlcuPlqEvSv4hyWpxWj52FLwgjroRuetAQzg")</f>
        <v>2_ABaOnueLS5FNdJ4cqgIOW_p7oatCLFBlcuPlqEvSv4hyWpxWj52FLwgjroRuetAQzg</v>
      </c>
      <c r="B238" s="4" t="str">
        <f ca="1">IFERROR(__xludf.DUMMYFUNCTION("""COMPUTED_VALUE"""),"Đại học")</f>
        <v>Đại học</v>
      </c>
      <c r="C238" s="4" t="str">
        <f ca="1">IFERROR(__xludf.DUMMYFUNCTION("""COMPUTED_VALUE"""),"2_ABaOnueQC6bJhyNcD9CkzNmEqeM6wtmrWvF1Us0qALWlx94nS4iU1XzSOP1nmrGH_Q")</f>
        <v>2_ABaOnueQC6bJhyNcD9CkzNmEqeM6wtmrWvF1Us0qALWlx94nS4iU1XzSOP1nmrGH_Q</v>
      </c>
      <c r="D238" s="4" t="str">
        <f ca="1">IFERROR(__xludf.DUMMYFUNCTION("""COMPUTED_VALUE"""),"Chứng chỉ Kiểm toán viên")</f>
        <v>Chứng chỉ Kiểm toán viên</v>
      </c>
    </row>
    <row r="239" spans="1:4" x14ac:dyDescent="0.25">
      <c r="A239" s="4" t="str">
        <f ca="1">IFERROR(__xludf.DUMMYFUNCTION("""COMPUTED_VALUE"""),"2_ABaOnudggPCeqad4ZK_vlCaIGdIRR_CemQNAdqZ853UFprSOHSfK2GWgDe4DciECgA")</f>
        <v>2_ABaOnudggPCeqad4ZK_vlCaIGdIRR_CemQNAdqZ853UFprSOHSfK2GWgDe4DciECgA</v>
      </c>
      <c r="B239" s="4" t="str">
        <f ca="1">IFERROR(__xludf.DUMMYFUNCTION("""COMPUTED_VALUE"""),"Đại học")</f>
        <v>Đại học</v>
      </c>
      <c r="C239" s="4" t="str">
        <f ca="1">IFERROR(__xludf.DUMMYFUNCTION("""COMPUTED_VALUE"""),"2_ABaOnuforek-qAt9KEM-7ZL6e5EYv6LNVqINAUif0CeGdP2sTHB7Lfxrt5JC2_I6kw")</f>
        <v>2_ABaOnuforek-qAt9KEM-7ZL6e5EYv6LNVqINAUif0CeGdP2sTHB7Lfxrt5JC2_I6kw</v>
      </c>
      <c r="D239" s="4" t="str">
        <f ca="1">IFERROR(__xludf.DUMMYFUNCTION("""COMPUTED_VALUE"""),"Sau đại học")</f>
        <v>Sau đại học</v>
      </c>
    </row>
    <row r="240" spans="1:4" x14ac:dyDescent="0.25">
      <c r="A240" s="4" t="str">
        <f ca="1">IFERROR(__xludf.DUMMYFUNCTION("""COMPUTED_VALUE"""),"2_ABaOnudecEAZt3l2HMuyZG3Khw7HO3l4X8xVLSGI-Z7s87CKwJ4AnbyBTPNNLbHUOQ")</f>
        <v>2_ABaOnudecEAZt3l2HMuyZG3Khw7HO3l4X8xVLSGI-Z7s87CKwJ4AnbyBTPNNLbHUOQ</v>
      </c>
      <c r="B240" s="4" t="str">
        <f ca="1">IFERROR(__xludf.DUMMYFUNCTION("""COMPUTED_VALUE"""),"Đại học")</f>
        <v>Đại học</v>
      </c>
      <c r="C240" s="4" t="str">
        <f ca="1">IFERROR(__xludf.DUMMYFUNCTION("""COMPUTED_VALUE"""),"2_ABaOnuforek-qAt9KEM-7ZL6e5EYv6LNVqINAUif0CeGdP2sTHB7Lfxrt5JC2_I6kw")</f>
        <v>2_ABaOnuforek-qAt9KEM-7ZL6e5EYv6LNVqINAUif0CeGdP2sTHB7Lfxrt5JC2_I6kw</v>
      </c>
      <c r="D240" s="4" t="str">
        <f ca="1">IFERROR(__xludf.DUMMYFUNCTION("""COMPUTED_VALUE"""),"Chứng chỉ Kiểm toán viên")</f>
        <v>Chứng chỉ Kiểm toán viên</v>
      </c>
    </row>
    <row r="241" spans="1:4" x14ac:dyDescent="0.25">
      <c r="A241" s="4" t="str">
        <f ca="1">IFERROR(__xludf.DUMMYFUNCTION("""COMPUTED_VALUE"""),"2_ABaOnueVqNDggpvcT69sVVlDDeQASz-oIcq8oJ3eALku6D7i2BW9QrQuCA25Z3UQhg")</f>
        <v>2_ABaOnueVqNDggpvcT69sVVlDDeQASz-oIcq8oJ3eALku6D7i2BW9QrQuCA25Z3UQhg</v>
      </c>
      <c r="B241" s="4" t="str">
        <f ca="1">IFERROR(__xludf.DUMMYFUNCTION("""COMPUTED_VALUE"""),"Đại học")</f>
        <v>Đại học</v>
      </c>
      <c r="C241" s="4" t="str">
        <f ca="1">IFERROR(__xludf.DUMMYFUNCTION("""COMPUTED_VALUE"""),"2_ABaOnucCAAnJ7ot2nyxboW5B2C66rmW61Q54k3dS9B9F9sLKzS1Af9G52cbDz1aVOQ")</f>
        <v>2_ABaOnucCAAnJ7ot2nyxboW5B2C66rmW61Q54k3dS9B9F9sLKzS1Af9G52cbDz1aVOQ</v>
      </c>
      <c r="D241" s="4" t="str">
        <f ca="1">IFERROR(__xludf.DUMMYFUNCTION("""COMPUTED_VALUE"""),"Đại học")</f>
        <v>Đại học</v>
      </c>
    </row>
    <row r="242" spans="1:4" x14ac:dyDescent="0.25">
      <c r="A242" s="4" t="str">
        <f ca="1">IFERROR(__xludf.DUMMYFUNCTION("""COMPUTED_VALUE"""),"2_ABaOnufmAW83-bF71z0NzYksjV2YNWKjAsK5Fz6cPuuaxkItN6fDPen_V8LN9sk5qw")</f>
        <v>2_ABaOnufmAW83-bF71z0NzYksjV2YNWKjAsK5Fz6cPuuaxkItN6fDPen_V8LN9sk5qw</v>
      </c>
      <c r="B242" s="4" t="str">
        <f ca="1">IFERROR(__xludf.DUMMYFUNCTION("""COMPUTED_VALUE"""),"Đại học")</f>
        <v>Đại học</v>
      </c>
      <c r="C242" s="4" t="str">
        <f ca="1">IFERROR(__xludf.DUMMYFUNCTION("""COMPUTED_VALUE"""),"2_ABaOnucCAAnJ7ot2nyxboW5B2C66rmW61Q54k3dS9B9F9sLKzS1Af9G52cbDz1aVOQ")</f>
        <v>2_ABaOnucCAAnJ7ot2nyxboW5B2C66rmW61Q54k3dS9B9F9sLKzS1Af9G52cbDz1aVOQ</v>
      </c>
      <c r="D242" s="4" t="str">
        <f ca="1">IFERROR(__xludf.DUMMYFUNCTION("""COMPUTED_VALUE"""),"Chứng chỉ Kiểm toán viên")</f>
        <v>Chứng chỉ Kiểm toán viên</v>
      </c>
    </row>
    <row r="243" spans="1:4" x14ac:dyDescent="0.25">
      <c r="A243" s="4" t="str">
        <f ca="1">IFERROR(__xludf.DUMMYFUNCTION("""COMPUTED_VALUE"""),"2_ABaOnudipEFllMRWiBsNyVWbNaPwszaFLRS_iXw73B0KLJcO9Og5a2sRwPvQxm5FjA")</f>
        <v>2_ABaOnudipEFllMRWiBsNyVWbNaPwszaFLRS_iXw73B0KLJcO9Og5a2sRwPvQxm5FjA</v>
      </c>
      <c r="B243" s="4" t="str">
        <f ca="1">IFERROR(__xludf.DUMMYFUNCTION("""COMPUTED_VALUE"""),"Đại học")</f>
        <v>Đại học</v>
      </c>
      <c r="C243" s="4" t="str">
        <f ca="1">IFERROR(__xludf.DUMMYFUNCTION("""COMPUTED_VALUE"""),"2_ABaOnudRsFL46SOy8d6cEW922fR64LNLAn3buHCuiLZzCaLaMYBXhoEYYesxwZYtuA")</f>
        <v>2_ABaOnudRsFL46SOy8d6cEW922fR64LNLAn3buHCuiLZzCaLaMYBXhoEYYesxwZYtuA</v>
      </c>
      <c r="D243" s="4" t="str">
        <f ca="1">IFERROR(__xludf.DUMMYFUNCTION("""COMPUTED_VALUE"""),"Đại học")</f>
        <v>Đại học</v>
      </c>
    </row>
    <row r="244" spans="1:4" x14ac:dyDescent="0.25">
      <c r="A244" s="4" t="str">
        <f ca="1">IFERROR(__xludf.DUMMYFUNCTION("""COMPUTED_VALUE"""),"2_ABaOnudKMXRkdarDVJBjW_L9pEZ-EILs6T33CNURikezejCLMZ4JTwPMFS4CPLnzsQ")</f>
        <v>2_ABaOnudKMXRkdarDVJBjW_L9pEZ-EILs6T33CNURikezejCLMZ4JTwPMFS4CPLnzsQ</v>
      </c>
      <c r="B244" s="4" t="str">
        <f ca="1">IFERROR(__xludf.DUMMYFUNCTION("""COMPUTED_VALUE"""),"Đại học")</f>
        <v>Đại học</v>
      </c>
      <c r="C244" s="4" t="str">
        <f ca="1">IFERROR(__xludf.DUMMYFUNCTION("""COMPUTED_VALUE"""),"2_ABaOnufhhi1UFZ1ZCphat963AzXBT1msdESN3lIgnHYES-BllcAS6S-CyLQMYXvWsQ")</f>
        <v>2_ABaOnufhhi1UFZ1ZCphat963AzXBT1msdESN3lIgnHYES-BllcAS6S-CyLQMYXvWsQ</v>
      </c>
      <c r="D244" s="4" t="str">
        <f ca="1">IFERROR(__xludf.DUMMYFUNCTION("""COMPUTED_VALUE"""),"Đại học")</f>
        <v>Đại học</v>
      </c>
    </row>
    <row r="245" spans="1:4" x14ac:dyDescent="0.25">
      <c r="A245" s="4" t="str">
        <f ca="1">IFERROR(__xludf.DUMMYFUNCTION("""COMPUTED_VALUE"""),"2_ABaOnuf8SMGlzcMhzPdlvc0jUW9V5O8Tfa4zL5wD87axUq8FmY9xg1JQQhFOlB5HkA")</f>
        <v>2_ABaOnuf8SMGlzcMhzPdlvc0jUW9V5O8Tfa4zL5wD87axUq8FmY9xg1JQQhFOlB5HkA</v>
      </c>
      <c r="B245" s="4" t="str">
        <f ca="1">IFERROR(__xludf.DUMMYFUNCTION("""COMPUTED_VALUE"""),"Chứng chỉ Kiểm toán viên")</f>
        <v>Chứng chỉ Kiểm toán viên</v>
      </c>
      <c r="C245" s="4" t="str">
        <f ca="1">IFERROR(__xludf.DUMMYFUNCTION("""COMPUTED_VALUE"""),"2_ABaOnufhhi1UFZ1ZCphat963AzXBT1msdESN3lIgnHYES-BllcAS6S-CyLQMYXvWsQ")</f>
        <v>2_ABaOnufhhi1UFZ1ZCphat963AzXBT1msdESN3lIgnHYES-BllcAS6S-CyLQMYXvWsQ</v>
      </c>
      <c r="D245" s="4" t="str">
        <f ca="1">IFERROR(__xludf.DUMMYFUNCTION("""COMPUTED_VALUE"""),"Chứng chỉ Kiểm toán viên")</f>
        <v>Chứng chỉ Kiểm toán viên</v>
      </c>
    </row>
    <row r="246" spans="1:4" x14ac:dyDescent="0.25">
      <c r="A246" s="4" t="str">
        <f ca="1">IFERROR(__xludf.DUMMYFUNCTION("""COMPUTED_VALUE"""),"2_ABaOnuef7VoJeUrVMwlD-vbliphrDgebVzMONIUsnt08pfsRQPUKH9NnhbHDLsIgyw")</f>
        <v>2_ABaOnuef7VoJeUrVMwlD-vbliphrDgebVzMONIUsnt08pfsRQPUKH9NnhbHDLsIgyw</v>
      </c>
      <c r="B246" s="4" t="str">
        <f ca="1">IFERROR(__xludf.DUMMYFUNCTION("""COMPUTED_VALUE"""),"Đại học")</f>
        <v>Đại học</v>
      </c>
      <c r="C246" s="4" t="str">
        <f ca="1">IFERROR(__xludf.DUMMYFUNCTION("""COMPUTED_VALUE"""),"2_ABaOnudKea7DRA01AdPGVTQ8XFXNodHuCIhR_NHT4Pkb0dXnSWxyIxosxBulKZVfbw")</f>
        <v>2_ABaOnudKea7DRA01AdPGVTQ8XFXNodHuCIhR_NHT4Pkb0dXnSWxyIxosxBulKZVfbw</v>
      </c>
      <c r="D246" s="4" t="str">
        <f ca="1">IFERROR(__xludf.DUMMYFUNCTION("""COMPUTED_VALUE"""),"Đại học")</f>
        <v>Đại học</v>
      </c>
    </row>
    <row r="247" spans="1:4" x14ac:dyDescent="0.25">
      <c r="A247" s="4" t="str">
        <f ca="1">IFERROR(__xludf.DUMMYFUNCTION("""COMPUTED_VALUE"""),"2_ABaOnufSLC4RuwKq8cKyKrQt5kajqmggPdeF32g-mi1XM6ShWzAioW9qmbR6eUhzjA")</f>
        <v>2_ABaOnufSLC4RuwKq8cKyKrQt5kajqmggPdeF32g-mi1XM6ShWzAioW9qmbR6eUhzjA</v>
      </c>
      <c r="B247" s="4" t="str">
        <f ca="1">IFERROR(__xludf.DUMMYFUNCTION("""COMPUTED_VALUE"""),"Đại học")</f>
        <v>Đại học</v>
      </c>
      <c r="C247" s="4" t="str">
        <f ca="1">IFERROR(__xludf.DUMMYFUNCTION("""COMPUTED_VALUE"""),"2_ABaOnucHSRT4C7WCM_kY8dPv1aDwK21E2Pd9cyKnqwhXGTOfX231t9TC1eRVrr_YWQ")</f>
        <v>2_ABaOnucHSRT4C7WCM_kY8dPv1aDwK21E2Pd9cyKnqwhXGTOfX231t9TC1eRVrr_YWQ</v>
      </c>
      <c r="D247" s="4" t="str">
        <f ca="1">IFERROR(__xludf.DUMMYFUNCTION("""COMPUTED_VALUE"""),"Đại học")</f>
        <v>Đại học</v>
      </c>
    </row>
    <row r="248" spans="1:4" x14ac:dyDescent="0.25">
      <c r="A248" s="4" t="str">
        <f ca="1">IFERROR(__xludf.DUMMYFUNCTION("""COMPUTED_VALUE"""),"2_ABaOnufQrWGg5oNW--E64j0ZxxwNOcch5DAh5mdUgpnXKoJk1kf6KydbbhcNGOruoQ")</f>
        <v>2_ABaOnufQrWGg5oNW--E64j0ZxxwNOcch5DAh5mdUgpnXKoJk1kf6KydbbhcNGOruoQ</v>
      </c>
      <c r="B248" s="4" t="str">
        <f ca="1">IFERROR(__xludf.DUMMYFUNCTION("""COMPUTED_VALUE"""),"Đại học")</f>
        <v>Đại học</v>
      </c>
      <c r="C248" s="4" t="str">
        <f ca="1">IFERROR(__xludf.DUMMYFUNCTION("""COMPUTED_VALUE"""),"2_ABaOnueLwvwKoQpjBchUAbH5EWh7K-h0m84IPdB5pnTp7dWYtbLUSZI8XizsqLOCZg")</f>
        <v>2_ABaOnueLwvwKoQpjBchUAbH5EWh7K-h0m84IPdB5pnTp7dWYtbLUSZI8XizsqLOCZg</v>
      </c>
      <c r="D248" s="4" t="str">
        <f ca="1">IFERROR(__xludf.DUMMYFUNCTION("""COMPUTED_VALUE"""),"Đại học")</f>
        <v>Đại học</v>
      </c>
    </row>
    <row r="249" spans="1:4" x14ac:dyDescent="0.25">
      <c r="A249" s="4" t="str">
        <f ca="1">IFERROR(__xludf.DUMMYFUNCTION("""COMPUTED_VALUE"""),"2_ABaOnucUEZ2q3JyQTIRC_7K16Z-LznaCzza_BgDPieuB2CiJZX91FZ5bzYnTsE0OVw")</f>
        <v>2_ABaOnucUEZ2q3JyQTIRC_7K16Z-LznaCzza_BgDPieuB2CiJZX91FZ5bzYnTsE0OVw</v>
      </c>
      <c r="B249" s="4" t="str">
        <f ca="1">IFERROR(__xludf.DUMMYFUNCTION("""COMPUTED_VALUE"""),"Đại học")</f>
        <v>Đại học</v>
      </c>
      <c r="C249" s="4" t="str">
        <f ca="1">IFERROR(__xludf.DUMMYFUNCTION("""COMPUTED_VALUE"""),"2_ABaOnudISkihHw6vNiZHrMlUeH01OQ41ulmUDG67Z5NNMSQsjCfa6JZbKseek7XH2Q")</f>
        <v>2_ABaOnudISkihHw6vNiZHrMlUeH01OQ41ulmUDG67Z5NNMSQsjCfa6JZbKseek7XH2Q</v>
      </c>
      <c r="D249" s="4" t="str">
        <f ca="1">IFERROR(__xludf.DUMMYFUNCTION("""COMPUTED_VALUE"""),"Đại học")</f>
        <v>Đại học</v>
      </c>
    </row>
    <row r="250" spans="1:4" x14ac:dyDescent="0.25">
      <c r="A250" s="4" t="str">
        <f ca="1">IFERROR(__xludf.DUMMYFUNCTION("""COMPUTED_VALUE"""),"2_ABaOnuciMApyeHd0OQsDWh4P0ONL1WGL4US31-CGtNNaZf7Bsqw7SR5_aVDw4PvXiA")</f>
        <v>2_ABaOnuciMApyeHd0OQsDWh4P0ONL1WGL4US31-CGtNNaZf7Bsqw7SR5_aVDw4PvXiA</v>
      </c>
      <c r="B250" s="4" t="str">
        <f ca="1">IFERROR(__xludf.DUMMYFUNCTION("""COMPUTED_VALUE"""),"Đại học")</f>
        <v>Đại học</v>
      </c>
      <c r="C250" s="4" t="str">
        <f ca="1">IFERROR(__xludf.DUMMYFUNCTION("""COMPUTED_VALUE"""),"2_ABaOnuc5NXblHS-x7ctcvuWpBS7nhqouuY2VWg859WtjopA2EhxwObUvBVlpz04MSA")</f>
        <v>2_ABaOnuc5NXblHS-x7ctcvuWpBS7nhqouuY2VWg859WtjopA2EhxwObUvBVlpz04MSA</v>
      </c>
      <c r="D250" s="4" t="str">
        <f ca="1">IFERROR(__xludf.DUMMYFUNCTION("""COMPUTED_VALUE"""),"Đại học")</f>
        <v>Đại học</v>
      </c>
    </row>
    <row r="251" spans="1:4" x14ac:dyDescent="0.25">
      <c r="A251" s="4" t="str">
        <f ca="1">IFERROR(__xludf.DUMMYFUNCTION("""COMPUTED_VALUE"""),"2_ABaOnucNtQVBC9oOl2HgzDtPH1cUpWZHOVc8MovdeZFx6zkGkYtQnLMASqfkhR7cAQ")</f>
        <v>2_ABaOnucNtQVBC9oOl2HgzDtPH1cUpWZHOVc8MovdeZFx6zkGkYtQnLMASqfkhR7cAQ</v>
      </c>
      <c r="B251" s="4" t="str">
        <f ca="1">IFERROR(__xludf.DUMMYFUNCTION("""COMPUTED_VALUE"""),"Đại học, Chứng chỉ Kiểm toán viên")</f>
        <v>Đại học, Chứng chỉ Kiểm toán viên</v>
      </c>
      <c r="C251" s="4" t="str">
        <f ca="1">IFERROR(__xludf.DUMMYFUNCTION("""COMPUTED_VALUE"""),"2_ABaOnucQsjBh8AtEgxqSwEqgCeO-omrWe4aCWu6BvgE5yKyAsGtdsDWVrQBgfaloqg")</f>
        <v>2_ABaOnucQsjBh8AtEgxqSwEqgCeO-omrWe4aCWu6BvgE5yKyAsGtdsDWVrQBgfaloqg</v>
      </c>
      <c r="D251" s="4" t="str">
        <f ca="1">IFERROR(__xludf.DUMMYFUNCTION("""COMPUTED_VALUE"""),"Đại học")</f>
        <v>Đại học</v>
      </c>
    </row>
    <row r="252" spans="1:4" x14ac:dyDescent="0.25">
      <c r="A252" s="4" t="str">
        <f ca="1">IFERROR(__xludf.DUMMYFUNCTION("""COMPUTED_VALUE"""),"2_ABaOnueztdKG_lIcLhOh6RDQZ9NfEOi6XEY1NFr64NFcLQmShexdNSsY55ttRZbQ2w")</f>
        <v>2_ABaOnueztdKG_lIcLhOh6RDQZ9NfEOi6XEY1NFr64NFcLQmShexdNSsY55ttRZbQ2w</v>
      </c>
      <c r="B252" s="4" t="str">
        <f ca="1">IFERROR(__xludf.DUMMYFUNCTION("""COMPUTED_VALUE"""),"Đại học, Chứng chỉ Kiểm toán viên")</f>
        <v>Đại học, Chứng chỉ Kiểm toán viên</v>
      </c>
      <c r="C252" s="4" t="str">
        <f ca="1">IFERROR(__xludf.DUMMYFUNCTION("""COMPUTED_VALUE"""),"2_ABaOnueglxXdlr6dipsAHl9L1ft9orzN-BSJ1JHwYwidjdyTJHBhUUJUmUm5h4207g")</f>
        <v>2_ABaOnueglxXdlr6dipsAHl9L1ft9orzN-BSJ1JHwYwidjdyTJHBhUUJUmUm5h4207g</v>
      </c>
      <c r="D252" s="4" t="str">
        <f ca="1">IFERROR(__xludf.DUMMYFUNCTION("""COMPUTED_VALUE"""),"Đại học")</f>
        <v>Đại học</v>
      </c>
    </row>
    <row r="253" spans="1:4" x14ac:dyDescent="0.25">
      <c r="A253" s="4" t="str">
        <f ca="1">IFERROR(__xludf.DUMMYFUNCTION("""COMPUTED_VALUE"""),"2_ABaOnueY3lMvvSlH7Kh634YkSU3yJaJfiE4db6O1JO5CSYAVcI9vYYc0Aia_w2mdxA")</f>
        <v>2_ABaOnueY3lMvvSlH7Kh634YkSU3yJaJfiE4db6O1JO5CSYAVcI9vYYc0Aia_w2mdxA</v>
      </c>
      <c r="B253" s="4" t="str">
        <f ca="1">IFERROR(__xludf.DUMMYFUNCTION("""COMPUTED_VALUE"""),"Đại học, Chứng chỉ Kiểm toán viên")</f>
        <v>Đại học, Chứng chỉ Kiểm toán viên</v>
      </c>
      <c r="C253" s="4" t="str">
        <f ca="1">IFERROR(__xludf.DUMMYFUNCTION("""COMPUTED_VALUE"""),"2_ABaOnueglxXdlr6dipsAHl9L1ft9orzN-BSJ1JHwYwidjdyTJHBhUUJUmUm5h4207g")</f>
        <v>2_ABaOnueglxXdlr6dipsAHl9L1ft9orzN-BSJ1JHwYwidjdyTJHBhUUJUmUm5h4207g</v>
      </c>
      <c r="D253" s="4" t="str">
        <f ca="1">IFERROR(__xludf.DUMMYFUNCTION("""COMPUTED_VALUE"""),"Chứng chỉ Kiểm toán viên")</f>
        <v>Chứng chỉ Kiểm toán viên</v>
      </c>
    </row>
    <row r="254" spans="1:4" x14ac:dyDescent="0.25">
      <c r="A254" s="4" t="str">
        <f ca="1">IFERROR(__xludf.DUMMYFUNCTION("""COMPUTED_VALUE"""),"2_ABaOnuccSTO0IM7xBW6vFJfOQnz6tokJp-G_MGcdQUZ2Gg0HK9Hy856xZGMSWqe6Zg")</f>
        <v>2_ABaOnuccSTO0IM7xBW6vFJfOQnz6tokJp-G_MGcdQUZ2Gg0HK9Hy856xZGMSWqe6Zg</v>
      </c>
      <c r="B254" s="4" t="str">
        <f ca="1">IFERROR(__xludf.DUMMYFUNCTION("""COMPUTED_VALUE"""),"Đại học")</f>
        <v>Đại học</v>
      </c>
      <c r="C254" s="4" t="str">
        <f ca="1">IFERROR(__xludf.DUMMYFUNCTION("""COMPUTED_VALUE"""),"2_ABaOnudkR8tcc2hu7euSFiuTrCZWvGURYXFCzSsRg5LBgG_cxMxl3P23WdTmxOE4Gw")</f>
        <v>2_ABaOnudkR8tcc2hu7euSFiuTrCZWvGURYXFCzSsRg5LBgG_cxMxl3P23WdTmxOE4Gw</v>
      </c>
      <c r="D254" s="4" t="str">
        <f ca="1">IFERROR(__xludf.DUMMYFUNCTION("""COMPUTED_VALUE"""),"Đại học")</f>
        <v>Đại học</v>
      </c>
    </row>
    <row r="255" spans="1:4" x14ac:dyDescent="0.25">
      <c r="A255" s="4" t="str">
        <f ca="1">IFERROR(__xludf.DUMMYFUNCTION("""COMPUTED_VALUE"""),"2_ABaOnucoJxAgOU4kDxaIAsz3DcJ6iElxTZl5IwFlkpajP4_odzjUgeizqPNbzfuAtA")</f>
        <v>2_ABaOnucoJxAgOU4kDxaIAsz3DcJ6iElxTZl5IwFlkpajP4_odzjUgeizqPNbzfuAtA</v>
      </c>
      <c r="B255" s="4" t="str">
        <f ca="1">IFERROR(__xludf.DUMMYFUNCTION("""COMPUTED_VALUE"""),"Đại học")</f>
        <v>Đại học</v>
      </c>
      <c r="C255" s="4" t="str">
        <f ca="1">IFERROR(__xludf.DUMMYFUNCTION("""COMPUTED_VALUE"""),"2_ABaOnudO8cs_kB7XjY9fOSozilZqVN5hPRZQ7mGTJHMLe7-B-OWd0JsHtV1GpyKE_g")</f>
        <v>2_ABaOnudO8cs_kB7XjY9fOSozilZqVN5hPRZQ7mGTJHMLe7-B-OWd0JsHtV1GpyKE_g</v>
      </c>
      <c r="D255" s="4" t="str">
        <f ca="1">IFERROR(__xludf.DUMMYFUNCTION("""COMPUTED_VALUE"""),"Đại học")</f>
        <v>Đại học</v>
      </c>
    </row>
    <row r="256" spans="1:4" x14ac:dyDescent="0.25">
      <c r="A256" s="4" t="str">
        <f ca="1">IFERROR(__xludf.DUMMYFUNCTION("""COMPUTED_VALUE"""),"2_ABaOnufmNsk3VuRZ3tZwe531kZ4cOBisf_K3bCAHGFmIvMUFm_vSJ1i0Be2lhSvnfg")</f>
        <v>2_ABaOnufmNsk3VuRZ3tZwe531kZ4cOBisf_K3bCAHGFmIvMUFm_vSJ1i0Be2lhSvnfg</v>
      </c>
      <c r="B256" s="4" t="str">
        <f ca="1">IFERROR(__xludf.DUMMYFUNCTION("""COMPUTED_VALUE"""),"Đại học")</f>
        <v>Đại học</v>
      </c>
      <c r="C256" s="4" t="str">
        <f ca="1">IFERROR(__xludf.DUMMYFUNCTION("""COMPUTED_VALUE"""),"2_ABaOnucmxG6fd84j3FMtpW5OSvk5rZjsbTaA71fGy2zFmuwlavgw3fIZXAlk7gleGA")</f>
        <v>2_ABaOnucmxG6fd84j3FMtpW5OSvk5rZjsbTaA71fGy2zFmuwlavgw3fIZXAlk7gleGA</v>
      </c>
      <c r="D256" s="4" t="str">
        <f ca="1">IFERROR(__xludf.DUMMYFUNCTION("""COMPUTED_VALUE"""),"Đại học")</f>
        <v>Đại học</v>
      </c>
    </row>
    <row r="257" spans="1:4" x14ac:dyDescent="0.25">
      <c r="A257" s="4" t="str">
        <f ca="1">IFERROR(__xludf.DUMMYFUNCTION("""COMPUTED_VALUE"""),"2_ABaOnuf1C4oQ8HoMxYFN281hN92o8mJ3IfM7hQOCWzwhYoOKsffBJ8gVKwoiN9l4Cg")</f>
        <v>2_ABaOnuf1C4oQ8HoMxYFN281hN92o8mJ3IfM7hQOCWzwhYoOKsffBJ8gVKwoiN9l4Cg</v>
      </c>
      <c r="B257" s="4" t="str">
        <f ca="1">IFERROR(__xludf.DUMMYFUNCTION("""COMPUTED_VALUE"""),"Đại học, Chứng chỉ Kiểm toán viên")</f>
        <v>Đại học, Chứng chỉ Kiểm toán viên</v>
      </c>
      <c r="C257" s="4" t="str">
        <f ca="1">IFERROR(__xludf.DUMMYFUNCTION("""COMPUTED_VALUE"""),"2_ABaOnucmxG6fd84j3FMtpW5OSvk5rZjsbTaA71fGy2zFmuwlavgw3fIZXAlk7gleGA")</f>
        <v>2_ABaOnucmxG6fd84j3FMtpW5OSvk5rZjsbTaA71fGy2zFmuwlavgw3fIZXAlk7gleGA</v>
      </c>
      <c r="D257" s="4" t="str">
        <f ca="1">IFERROR(__xludf.DUMMYFUNCTION("""COMPUTED_VALUE"""),"Chứng chỉ Kiểm toán viên")</f>
        <v>Chứng chỉ Kiểm toán viên</v>
      </c>
    </row>
    <row r="258" spans="1:4" x14ac:dyDescent="0.25">
      <c r="A258" s="4" t="str">
        <f ca="1">IFERROR(__xludf.DUMMYFUNCTION("""COMPUTED_VALUE"""),"2_ABaOnuduZOLkovZqbsPI9_Co2TKWVimhKh8rXCN8rHHrX_bzPxTcIKjgyV2ehhlwMw")</f>
        <v>2_ABaOnuduZOLkovZqbsPI9_Co2TKWVimhKh8rXCN8rHHrX_bzPxTcIKjgyV2ehhlwMw</v>
      </c>
      <c r="B258" s="4" t="str">
        <f ca="1">IFERROR(__xludf.DUMMYFUNCTION("""COMPUTED_VALUE"""),"Đại học")</f>
        <v>Đại học</v>
      </c>
      <c r="C258" s="4" t="str">
        <f ca="1">IFERROR(__xludf.DUMMYFUNCTION("""COMPUTED_VALUE"""),"2_ABaOnuf_WR2WnWrk-22sSlYUnRG0Op1RTan6nQsv-bEwp5o7h5GLHaVsGn-YpA1wSQ")</f>
        <v>2_ABaOnuf_WR2WnWrk-22sSlYUnRG0Op1RTan6nQsv-bEwp5o7h5GLHaVsGn-YpA1wSQ</v>
      </c>
      <c r="D258" s="4" t="str">
        <f ca="1">IFERROR(__xludf.DUMMYFUNCTION("""COMPUTED_VALUE"""),"Đại học")</f>
        <v>Đại học</v>
      </c>
    </row>
    <row r="259" spans="1:4" x14ac:dyDescent="0.25">
      <c r="A259" s="4" t="str">
        <f ca="1">IFERROR(__xludf.DUMMYFUNCTION("""COMPUTED_VALUE"""),"2_ABaOnucZO-uw1NB878ykvR2rYpcAT-pOVAn0sr-sz9R6TbJ9vFMK4xMQ7gDwoSR1mg")</f>
        <v>2_ABaOnucZO-uw1NB878ykvR2rYpcAT-pOVAn0sr-sz9R6TbJ9vFMK4xMQ7gDwoSR1mg</v>
      </c>
      <c r="B259" s="4" t="str">
        <f ca="1">IFERROR(__xludf.DUMMYFUNCTION("""COMPUTED_VALUE"""),"Đại học")</f>
        <v>Đại học</v>
      </c>
      <c r="C259" s="4" t="str">
        <f ca="1">IFERROR(__xludf.DUMMYFUNCTION("""COMPUTED_VALUE"""),"2_ABaOnuf_WR2WnWrk-22sSlYUnRG0Op1RTan6nQsv-bEwp5o7h5GLHaVsGn-YpA1wSQ")</f>
        <v>2_ABaOnuf_WR2WnWrk-22sSlYUnRG0Op1RTan6nQsv-bEwp5o7h5GLHaVsGn-YpA1wSQ</v>
      </c>
      <c r="D259" s="4" t="str">
        <f ca="1">IFERROR(__xludf.DUMMYFUNCTION("""COMPUTED_VALUE"""),"Sau đại học")</f>
        <v>Sau đại học</v>
      </c>
    </row>
    <row r="260" spans="1:4" x14ac:dyDescent="0.25">
      <c r="A260" s="4" t="str">
        <f ca="1">IFERROR(__xludf.DUMMYFUNCTION("""COMPUTED_VALUE"""),"2_ABaOnucznX7wqgBtDq2y-eiAsZ9IiPPsAMW0kJr-s9KyLS3pWfYo5P9arKSIuYn6-Q")</f>
        <v>2_ABaOnucznX7wqgBtDq2y-eiAsZ9IiPPsAMW0kJr-s9KyLS3pWfYo5P9arKSIuYn6-Q</v>
      </c>
      <c r="B260" s="4" t="str">
        <f ca="1">IFERROR(__xludf.DUMMYFUNCTION("""COMPUTED_VALUE"""),"Đại học")</f>
        <v>Đại học</v>
      </c>
      <c r="C260" s="4" t="str">
        <f ca="1">IFERROR(__xludf.DUMMYFUNCTION("""COMPUTED_VALUE"""),"2_ABaOnuf_WR2WnWrk-22sSlYUnRG0Op1RTan6nQsv-bEwp5o7h5GLHaVsGn-YpA1wSQ")</f>
        <v>2_ABaOnuf_WR2WnWrk-22sSlYUnRG0Op1RTan6nQsv-bEwp5o7h5GLHaVsGn-YpA1wSQ</v>
      </c>
      <c r="D260" s="4" t="str">
        <f ca="1">IFERROR(__xludf.DUMMYFUNCTION("""COMPUTED_VALUE"""),"Chứng chỉ Kiểm toán viên")</f>
        <v>Chứng chỉ Kiểm toán viên</v>
      </c>
    </row>
    <row r="261" spans="1:4" x14ac:dyDescent="0.25">
      <c r="A261" s="4" t="str">
        <f ca="1">IFERROR(__xludf.DUMMYFUNCTION("""COMPUTED_VALUE"""),"2_ABaOnudmuCKavSLXe8_k2uyiIa7JXgxxBH5mdvnQ7VvLJtjPqTU95byWXaghJkjMyg")</f>
        <v>2_ABaOnudmuCKavSLXe8_k2uyiIa7JXgxxBH5mdvnQ7VvLJtjPqTU95byWXaghJkjMyg</v>
      </c>
      <c r="B261" s="4" t="str">
        <f ca="1">IFERROR(__xludf.DUMMYFUNCTION("""COMPUTED_VALUE"""),"Đại học, Chứng chỉ Kiểm toán viên")</f>
        <v>Đại học, Chứng chỉ Kiểm toán viên</v>
      </c>
      <c r="C261" s="4" t="str">
        <f ca="1">IFERROR(__xludf.DUMMYFUNCTION("""COMPUTED_VALUE"""),"2_ABaOnudlnL_UFdgJTlC1C01TMXDSXrFdZau16uXZAyobhMxc4Fjhslf5JjaXDMugTA")</f>
        <v>2_ABaOnudlnL_UFdgJTlC1C01TMXDSXrFdZau16uXZAyobhMxc4Fjhslf5JjaXDMugTA</v>
      </c>
      <c r="D261" s="4" t="str">
        <f ca="1">IFERROR(__xludf.DUMMYFUNCTION("""COMPUTED_VALUE"""),"Đại học")</f>
        <v>Đại học</v>
      </c>
    </row>
    <row r="262" spans="1:4" x14ac:dyDescent="0.25">
      <c r="A262" s="4" t="str">
        <f ca="1">IFERROR(__xludf.DUMMYFUNCTION("""COMPUTED_VALUE"""),"2_ABaOnufK9tm-ip__mC-MmWZw8ScSM-Jda_OigXNT6LkHsE_lWfeRJymLp9crgizTCw")</f>
        <v>2_ABaOnufK9tm-ip__mC-MmWZw8ScSM-Jda_OigXNT6LkHsE_lWfeRJymLp9crgizTCw</v>
      </c>
      <c r="B262" s="4" t="str">
        <f ca="1">IFERROR(__xludf.DUMMYFUNCTION("""COMPUTED_VALUE"""),"Đại học")</f>
        <v>Đại học</v>
      </c>
      <c r="C262" s="4" t="str">
        <f ca="1">IFERROR(__xludf.DUMMYFUNCTION("""COMPUTED_VALUE"""),"2_ABaOnudqDTtVjqijuVgphY4xSM0je2Z5siUQFj76hTrVmLqvT6_4JszAKn7SCENWUg")</f>
        <v>2_ABaOnudqDTtVjqijuVgphY4xSM0je2Z5siUQFj76hTrVmLqvT6_4JszAKn7SCENWUg</v>
      </c>
      <c r="D262" s="4" t="str">
        <f ca="1">IFERROR(__xludf.DUMMYFUNCTION("""COMPUTED_VALUE"""),"Đại học")</f>
        <v>Đại học</v>
      </c>
    </row>
    <row r="263" spans="1:4" x14ac:dyDescent="0.25">
      <c r="A263" s="4" t="str">
        <f ca="1">IFERROR(__xludf.DUMMYFUNCTION("""COMPUTED_VALUE"""),"2_ABaOnueFw_EhznaHu_nv29gzOK4XOTb9Xj4TIWHiZOa6XZG31d5QcVukNO_C_uJbWA")</f>
        <v>2_ABaOnueFw_EhznaHu_nv29gzOK4XOTb9Xj4TIWHiZOa6XZG31d5QcVukNO_C_uJbWA</v>
      </c>
      <c r="B263" s="4" t="str">
        <f ca="1">IFERROR(__xludf.DUMMYFUNCTION("""COMPUTED_VALUE"""),"Đại học")</f>
        <v>Đại học</v>
      </c>
      <c r="C263" s="4" t="str">
        <f ca="1">IFERROR(__xludf.DUMMYFUNCTION("""COMPUTED_VALUE"""),"2_ABaOnudRMzUXkimlaDZf1-SJ0o_NV7dZyFE0zbAykcWDUpciVVD3R3W8YKLRLb2Y2Q")</f>
        <v>2_ABaOnudRMzUXkimlaDZf1-SJ0o_NV7dZyFE0zbAykcWDUpciVVD3R3W8YKLRLb2Y2Q</v>
      </c>
      <c r="D263" s="4" t="str">
        <f ca="1">IFERROR(__xludf.DUMMYFUNCTION("""COMPUTED_VALUE"""),"Đại học")</f>
        <v>Đại học</v>
      </c>
    </row>
    <row r="264" spans="1:4" x14ac:dyDescent="0.25">
      <c r="A264" s="4" t="str">
        <f ca="1">IFERROR(__xludf.DUMMYFUNCTION("""COMPUTED_VALUE"""),"2_ABaOnucZdxGZXPxjqZI8C9Zntk50-3YJOzaQE9FhltzwKicxKT1EVfnT1TyFcoRzJg")</f>
        <v>2_ABaOnucZdxGZXPxjqZI8C9Zntk50-3YJOzaQE9FhltzwKicxKT1EVfnT1TyFcoRzJg</v>
      </c>
      <c r="B264" s="4" t="str">
        <f ca="1">IFERROR(__xludf.DUMMYFUNCTION("""COMPUTED_VALUE"""),"Đại học")</f>
        <v>Đại học</v>
      </c>
      <c r="C264" s="4" t="str">
        <f ca="1">IFERROR(__xludf.DUMMYFUNCTION("""COMPUTED_VALUE"""),"2_ABaOnudPFLyO3oznsQkPRU29906ib8pT-RMRjpAHD9d8LyIZrMU5z5pZjvCUzxz2iQ")</f>
        <v>2_ABaOnudPFLyO3oznsQkPRU29906ib8pT-RMRjpAHD9d8LyIZrMU5z5pZjvCUzxz2iQ</v>
      </c>
      <c r="D264" s="4" t="str">
        <f ca="1">IFERROR(__xludf.DUMMYFUNCTION("""COMPUTED_VALUE"""),"Đại học")</f>
        <v>Đại học</v>
      </c>
    </row>
    <row r="265" spans="1:4" x14ac:dyDescent="0.25">
      <c r="A265" s="4" t="str">
        <f ca="1">IFERROR(__xludf.DUMMYFUNCTION("""COMPUTED_VALUE"""),"2_ABaOnucyBknW7WYWAmUce_V5yD0i9i3kI0IMIqYa5kFkwPU9WJVg1lclaSkaAefcow")</f>
        <v>2_ABaOnucyBknW7WYWAmUce_V5yD0i9i3kI0IMIqYa5kFkwPU9WJVg1lclaSkaAefcow</v>
      </c>
      <c r="B265" s="4" t="str">
        <f ca="1">IFERROR(__xludf.DUMMYFUNCTION("""COMPUTED_VALUE"""),"Sau đại học")</f>
        <v>Sau đại học</v>
      </c>
      <c r="C265" s="4" t="str">
        <f ca="1">IFERROR(__xludf.DUMMYFUNCTION("""COMPUTED_VALUE"""),"2_ABaOnudPFLyO3oznsQkPRU29906ib8pT-RMRjpAHD9d8LyIZrMU5z5pZjvCUzxz2iQ")</f>
        <v>2_ABaOnudPFLyO3oznsQkPRU29906ib8pT-RMRjpAHD9d8LyIZrMU5z5pZjvCUzxz2iQ</v>
      </c>
      <c r="D265" s="4" t="str">
        <f ca="1">IFERROR(__xludf.DUMMYFUNCTION("""COMPUTED_VALUE"""),"Chứng chỉ Kiểm toán viên")</f>
        <v>Chứng chỉ Kiểm toán viên</v>
      </c>
    </row>
    <row r="266" spans="1:4" x14ac:dyDescent="0.25">
      <c r="A266" s="4" t="str">
        <f ca="1">IFERROR(__xludf.DUMMYFUNCTION("""COMPUTED_VALUE"""),"2_ABaOnufdh5uEK306utqfkoTRyQJWTcCUAPGiEQ_WdhOIx3Zn2Xp0d0ci0YQoFULiDA")</f>
        <v>2_ABaOnufdh5uEK306utqfkoTRyQJWTcCUAPGiEQ_WdhOIx3Zn2Xp0d0ci0YQoFULiDA</v>
      </c>
      <c r="B266" s="4" t="str">
        <f ca="1">IFERROR(__xludf.DUMMYFUNCTION("""COMPUTED_VALUE"""),"Đại học, Chứng chỉ Kiểm toán viên")</f>
        <v>Đại học, Chứng chỉ Kiểm toán viên</v>
      </c>
      <c r="C266" s="4" t="str">
        <f ca="1">IFERROR(__xludf.DUMMYFUNCTION("""COMPUTED_VALUE"""),"2_ABaOnudrtyzQtvB0idXLxSEepEA0Av4q8vBkQrYOY-0Cn51ZfXhcC_69S0XtZWOE1w")</f>
        <v>2_ABaOnudrtyzQtvB0idXLxSEepEA0Av4q8vBkQrYOY-0Cn51ZfXhcC_69S0XtZWOE1w</v>
      </c>
      <c r="D266" s="4" t="str">
        <f ca="1">IFERROR(__xludf.DUMMYFUNCTION("""COMPUTED_VALUE"""),"Đại học")</f>
        <v>Đại học</v>
      </c>
    </row>
    <row r="267" spans="1:4" x14ac:dyDescent="0.25">
      <c r="A267" s="4" t="str">
        <f ca="1">IFERROR(__xludf.DUMMYFUNCTION("""COMPUTED_VALUE"""),"2_ABaOnueRSYjBref_ZMiM-RmBx88D2_x7eWxX3uq6kCSxZ4JqzD-P7C7hVR38t1dY-w")</f>
        <v>2_ABaOnueRSYjBref_ZMiM-RmBx88D2_x7eWxX3uq6kCSxZ4JqzD-P7C7hVR38t1dY-w</v>
      </c>
      <c r="B267" s="4" t="str">
        <f ca="1">IFERROR(__xludf.DUMMYFUNCTION("""COMPUTED_VALUE"""),"Sau đại học, Chứng chỉ Kiểm toán viên")</f>
        <v>Sau đại học, Chứng chỉ Kiểm toán viên</v>
      </c>
      <c r="C267" s="4" t="str">
        <f ca="1">IFERROR(__xludf.DUMMYFUNCTION("""COMPUTED_VALUE"""),"2_ABaOnud_vXqHv2ohU5l249_5MltQLdQT9SaYBWwhXjBXWsz6Ix73KwbPKC6ajqCxVQ")</f>
        <v>2_ABaOnud_vXqHv2ohU5l249_5MltQLdQT9SaYBWwhXjBXWsz6Ix73KwbPKC6ajqCxVQ</v>
      </c>
      <c r="D267" s="4" t="str">
        <f ca="1">IFERROR(__xludf.DUMMYFUNCTION("""COMPUTED_VALUE"""),"Đại học")</f>
        <v>Đại học</v>
      </c>
    </row>
    <row r="268" spans="1:4" x14ac:dyDescent="0.25">
      <c r="A268" s="4" t="str">
        <f ca="1">IFERROR(__xludf.DUMMYFUNCTION("""COMPUTED_VALUE"""),"2_ABaOnudfj1_-vIBuMT8jo5HTVljRF1QUq4mjRCc1YkqIAQZgDKinKGPGZuNlQyTvRg")</f>
        <v>2_ABaOnudfj1_-vIBuMT8jo5HTVljRF1QUq4mjRCc1YkqIAQZgDKinKGPGZuNlQyTvRg</v>
      </c>
      <c r="B268" s="4" t="str">
        <f ca="1">IFERROR(__xludf.DUMMYFUNCTION("""COMPUTED_VALUE"""),"Đại học")</f>
        <v>Đại học</v>
      </c>
      <c r="C268" s="4" t="str">
        <f ca="1">IFERROR(__xludf.DUMMYFUNCTION("""COMPUTED_VALUE"""),"2_ABaOnucEto2lScf5mXtY3IMBYYfQXGCD5mDF5lpfVv_crY3jO6uXl1L3SQaU70-dGg")</f>
        <v>2_ABaOnucEto2lScf5mXtY3IMBYYfQXGCD5mDF5lpfVv_crY3jO6uXl1L3SQaU70-dGg</v>
      </c>
      <c r="D268" s="4" t="str">
        <f ca="1">IFERROR(__xludf.DUMMYFUNCTION("""COMPUTED_VALUE"""),"Đại học")</f>
        <v>Đại học</v>
      </c>
    </row>
    <row r="269" spans="1:4" x14ac:dyDescent="0.25">
      <c r="A269" s="4" t="str">
        <f ca="1">IFERROR(__xludf.DUMMYFUNCTION("""COMPUTED_VALUE"""),"2_ABaOnufQSwHhGgutlCTL1fBbGWuTt0mbTQkosYsxqs5SsqStc75RSoa3SeCpYMLa0Q")</f>
        <v>2_ABaOnufQSwHhGgutlCTL1fBbGWuTt0mbTQkosYsxqs5SsqStc75RSoa3SeCpYMLa0Q</v>
      </c>
      <c r="B269" s="4" t="str">
        <f ca="1">IFERROR(__xludf.DUMMYFUNCTION("""COMPUTED_VALUE"""),"Đại học, Chứng chỉ Kiểm toán viên")</f>
        <v>Đại học, Chứng chỉ Kiểm toán viên</v>
      </c>
      <c r="C269" s="4" t="str">
        <f ca="1">IFERROR(__xludf.DUMMYFUNCTION("""COMPUTED_VALUE"""),"2_ABaOnuc7JTef1UUBnS22MEGDZ9VlPqkCKxzTxWwwcYwLyhIBU-xpXQcjKsSkA6xTZQ")</f>
        <v>2_ABaOnuc7JTef1UUBnS22MEGDZ9VlPqkCKxzTxWwwcYwLyhIBU-xpXQcjKsSkA6xTZQ</v>
      </c>
      <c r="D269" s="4" t="str">
        <f ca="1">IFERROR(__xludf.DUMMYFUNCTION("""COMPUTED_VALUE"""),"Đại học")</f>
        <v>Đại học</v>
      </c>
    </row>
    <row r="270" spans="1:4" x14ac:dyDescent="0.25">
      <c r="A270" s="4" t="str">
        <f ca="1">IFERROR(__xludf.DUMMYFUNCTION("""COMPUTED_VALUE"""),"2_ABaOnucgsOo2WjbS49zeYT9SlnqI1EjK0F26WcqqpPDofrimuRsrCjQcI59mXGVl1A")</f>
        <v>2_ABaOnucgsOo2WjbS49zeYT9SlnqI1EjK0F26WcqqpPDofrimuRsrCjQcI59mXGVl1A</v>
      </c>
      <c r="B270" s="4" t="str">
        <f ca="1">IFERROR(__xludf.DUMMYFUNCTION("""COMPUTED_VALUE"""),"Đại học")</f>
        <v>Đại học</v>
      </c>
      <c r="C270" s="4" t="str">
        <f ca="1">IFERROR(__xludf.DUMMYFUNCTION("""COMPUTED_VALUE"""),"2_ABaOnuc7JTef1UUBnS22MEGDZ9VlPqkCKxzTxWwwcYwLyhIBU-xpXQcjKsSkA6xTZQ")</f>
        <v>2_ABaOnuc7JTef1UUBnS22MEGDZ9VlPqkCKxzTxWwwcYwLyhIBU-xpXQcjKsSkA6xTZQ</v>
      </c>
      <c r="D270" s="4" t="str">
        <f ca="1">IFERROR(__xludf.DUMMYFUNCTION("""COMPUTED_VALUE"""),"Sau đại học")</f>
        <v>Sau đại học</v>
      </c>
    </row>
    <row r="271" spans="1:4" x14ac:dyDescent="0.25">
      <c r="A271" s="4" t="str">
        <f ca="1">IFERROR(__xludf.DUMMYFUNCTION("""COMPUTED_VALUE"""),"2_ABaOnuf4tgTnzyjSw4y9CUg-V58broQB9XinXXas9xtEKvPpkQrd_LEaeHprnMQTqw")</f>
        <v>2_ABaOnuf4tgTnzyjSw4y9CUg-V58broQB9XinXXas9xtEKvPpkQrd_LEaeHprnMQTqw</v>
      </c>
      <c r="B271" s="4" t="str">
        <f ca="1">IFERROR(__xludf.DUMMYFUNCTION("""COMPUTED_VALUE"""),"Đại học, Chứng chỉ Kiểm toán viên")</f>
        <v>Đại học, Chứng chỉ Kiểm toán viên</v>
      </c>
      <c r="C271" s="4" t="str">
        <f ca="1">IFERROR(__xludf.DUMMYFUNCTION("""COMPUTED_VALUE"""),"2_ABaOnuc7JTef1UUBnS22MEGDZ9VlPqkCKxzTxWwwcYwLyhIBU-xpXQcjKsSkA6xTZQ")</f>
        <v>2_ABaOnuc7JTef1UUBnS22MEGDZ9VlPqkCKxzTxWwwcYwLyhIBU-xpXQcjKsSkA6xTZQ</v>
      </c>
      <c r="D271" s="4" t="str">
        <f ca="1">IFERROR(__xludf.DUMMYFUNCTION("""COMPUTED_VALUE"""),"Chứng chỉ Kiểm toán viên")</f>
        <v>Chứng chỉ Kiểm toán viên</v>
      </c>
    </row>
    <row r="272" spans="1:4" x14ac:dyDescent="0.25">
      <c r="A272" s="4" t="str">
        <f ca="1">IFERROR(__xludf.DUMMYFUNCTION("""COMPUTED_VALUE"""),"2_ABaOnudh4RDVG1vCpZPa-WqBr76PuIk4nb2Re-zREiEv8xPNQIprzwF8hFgRlVoLPw")</f>
        <v>2_ABaOnudh4RDVG1vCpZPa-WqBr76PuIk4nb2Re-zREiEv8xPNQIprzwF8hFgRlVoLPw</v>
      </c>
      <c r="B272" s="4" t="str">
        <f ca="1">IFERROR(__xludf.DUMMYFUNCTION("""COMPUTED_VALUE"""),"Đại học")</f>
        <v>Đại học</v>
      </c>
      <c r="C272" s="4" t="str">
        <f ca="1">IFERROR(__xludf.DUMMYFUNCTION("""COMPUTED_VALUE"""),"2_ABaOnudoYY7Ebm6N6lSNhTEfnY12iUjWPnIh5dPid7ourqhQ5C3sOznf7te18TIp5w")</f>
        <v>2_ABaOnudoYY7Ebm6N6lSNhTEfnY12iUjWPnIh5dPid7ourqhQ5C3sOznf7te18TIp5w</v>
      </c>
      <c r="D272" s="4" t="str">
        <f ca="1">IFERROR(__xludf.DUMMYFUNCTION("""COMPUTED_VALUE"""),"Đại học")</f>
        <v>Đại học</v>
      </c>
    </row>
    <row r="273" spans="1:4" x14ac:dyDescent="0.25">
      <c r="A273" s="4" t="str">
        <f ca="1">IFERROR(__xludf.DUMMYFUNCTION("""COMPUTED_VALUE"""),"2_ABaOnue6OeCXsMeGHJk_FgNaDIkd9Q8BFTfdMf1Ii2xd60VnwJtxR0CE4FYotTUVDg")</f>
        <v>2_ABaOnue6OeCXsMeGHJk_FgNaDIkd9Q8BFTfdMf1Ii2xd60VnwJtxR0CE4FYotTUVDg</v>
      </c>
      <c r="B273" s="4" t="str">
        <f ca="1">IFERROR(__xludf.DUMMYFUNCTION("""COMPUTED_VALUE"""),"Đại học")</f>
        <v>Đại học</v>
      </c>
      <c r="C273" s="4" t="str">
        <f ca="1">IFERROR(__xludf.DUMMYFUNCTION("""COMPUTED_VALUE"""),"2_ABaOnudoYY7Ebm6N6lSNhTEfnY12iUjWPnIh5dPid7ourqhQ5C3sOznf7te18TIp5w")</f>
        <v>2_ABaOnudoYY7Ebm6N6lSNhTEfnY12iUjWPnIh5dPid7ourqhQ5C3sOznf7te18TIp5w</v>
      </c>
      <c r="D273" s="4" t="str">
        <f ca="1">IFERROR(__xludf.DUMMYFUNCTION("""COMPUTED_VALUE"""),"Chứng chỉ Kiểm toán viên")</f>
        <v>Chứng chỉ Kiểm toán viên</v>
      </c>
    </row>
    <row r="274" spans="1:4" x14ac:dyDescent="0.25">
      <c r="A274" s="4" t="str">
        <f ca="1">IFERROR(__xludf.DUMMYFUNCTION("""COMPUTED_VALUE"""),"2_ABaOnudIZe6f8bQ1XU-jJXyLc02WZh3PO-WnYGX6xsLQAmBnzK3OzE88p_DNnwY5ow")</f>
        <v>2_ABaOnudIZe6f8bQ1XU-jJXyLc02WZh3PO-WnYGX6xsLQAmBnzK3OzE88p_DNnwY5ow</v>
      </c>
      <c r="B274" s="4" t="str">
        <f ca="1">IFERROR(__xludf.DUMMYFUNCTION("""COMPUTED_VALUE"""),"Đại học")</f>
        <v>Đại học</v>
      </c>
      <c r="C274" s="4" t="str">
        <f ca="1">IFERROR(__xludf.DUMMYFUNCTION("""COMPUTED_VALUE"""),"2_ABaOnucRqAulTlhaELwP19sWEhT5cozg5sb1fESvoNKFFifIofvdocM1G1A-RL2IAA")</f>
        <v>2_ABaOnucRqAulTlhaELwP19sWEhT5cozg5sb1fESvoNKFFifIofvdocM1G1A-RL2IAA</v>
      </c>
      <c r="D274" s="4" t="str">
        <f ca="1">IFERROR(__xludf.DUMMYFUNCTION("""COMPUTED_VALUE"""),"Đại học")</f>
        <v>Đại học</v>
      </c>
    </row>
    <row r="275" spans="1:4" x14ac:dyDescent="0.25">
      <c r="A275" s="4" t="str">
        <f ca="1">IFERROR(__xludf.DUMMYFUNCTION("""COMPUTED_VALUE"""),"2_ABaOnue2HABtx0WRQtA7xlCXViz1CSUETEmCfnPoW9G25tiWzuwuJp4sRAjUEoyvBg")</f>
        <v>2_ABaOnue2HABtx0WRQtA7xlCXViz1CSUETEmCfnPoW9G25tiWzuwuJp4sRAjUEoyvBg</v>
      </c>
      <c r="B275" s="4" t="str">
        <f ca="1">IFERROR(__xludf.DUMMYFUNCTION("""COMPUTED_VALUE"""),"Đại học")</f>
        <v>Đại học</v>
      </c>
      <c r="C275" s="4" t="str">
        <f ca="1">IFERROR(__xludf.DUMMYFUNCTION("""COMPUTED_VALUE"""),"2_ABaOnucSRo1e0XoA2YLVLGExpossp0Kgp0NKt6T_9d5TvAyBroqPLFi3Iayyd1CIrw")</f>
        <v>2_ABaOnucSRo1e0XoA2YLVLGExpossp0Kgp0NKt6T_9d5TvAyBroqPLFi3Iayyd1CIrw</v>
      </c>
      <c r="D275" s="4" t="str">
        <f ca="1">IFERROR(__xludf.DUMMYFUNCTION("""COMPUTED_VALUE"""),"Đại học")</f>
        <v>Đại học</v>
      </c>
    </row>
    <row r="276" spans="1:4" x14ac:dyDescent="0.25">
      <c r="A276" s="4" t="str">
        <f ca="1">IFERROR(__xludf.DUMMYFUNCTION("""COMPUTED_VALUE"""),"2_ABaOnud8sXjMTLlvtM42E34qpPXrleR7qiTHoD0hOhMfiCfiRagJ-1xJWWy_lUNrVw")</f>
        <v>2_ABaOnud8sXjMTLlvtM42E34qpPXrleR7qiTHoD0hOhMfiCfiRagJ-1xJWWy_lUNrVw</v>
      </c>
      <c r="B276" s="4" t="str">
        <f ca="1">IFERROR(__xludf.DUMMYFUNCTION("""COMPUTED_VALUE"""),"Đại học, Chứng chỉ Kiểm toán viên")</f>
        <v>Đại học, Chứng chỉ Kiểm toán viên</v>
      </c>
      <c r="C276" s="4" t="str">
        <f ca="1">IFERROR(__xludf.DUMMYFUNCTION("""COMPUTED_VALUE"""),"2_ABaOnudyalm5PVL7T8gzfLb2sn8y8lAqHODkZ4lt3iIye_FEO2zak0Ks0vgVeTPNUw")</f>
        <v>2_ABaOnudyalm5PVL7T8gzfLb2sn8y8lAqHODkZ4lt3iIye_FEO2zak0Ks0vgVeTPNUw</v>
      </c>
      <c r="D276" s="4" t="str">
        <f ca="1">IFERROR(__xludf.DUMMYFUNCTION("""COMPUTED_VALUE"""),"Đại học")</f>
        <v>Đại học</v>
      </c>
    </row>
    <row r="277" spans="1:4" x14ac:dyDescent="0.25">
      <c r="A277" s="4" t="str">
        <f ca="1">IFERROR(__xludf.DUMMYFUNCTION("""COMPUTED_VALUE"""),"2_ABaOnudbyOXN5MXY5BfuGdeRnlKv8ruZ8arWbk3yWjakKuKPn8fV89G7y_WmncxywQ")</f>
        <v>2_ABaOnudbyOXN5MXY5BfuGdeRnlKv8ruZ8arWbk3yWjakKuKPn8fV89G7y_WmncxywQ</v>
      </c>
      <c r="B277" s="4" t="str">
        <f ca="1">IFERROR(__xludf.DUMMYFUNCTION("""COMPUTED_VALUE"""),"Chứng chỉ Kiểm toán viên")</f>
        <v>Chứng chỉ Kiểm toán viên</v>
      </c>
      <c r="C277" s="4" t="str">
        <f ca="1">IFERROR(__xludf.DUMMYFUNCTION("""COMPUTED_VALUE"""),"2_ABaOnueeh31U_Moz8E9GGD6Zpl27KzFcRRJvvFu1ZQKizVTbP7HKRlwaiDULQN7HTg")</f>
        <v>2_ABaOnueeh31U_Moz8E9GGD6Zpl27KzFcRRJvvFu1ZQKizVTbP7HKRlwaiDULQN7HTg</v>
      </c>
      <c r="D277" s="4" t="str">
        <f ca="1">IFERROR(__xludf.DUMMYFUNCTION("""COMPUTED_VALUE"""),"Đại học")</f>
        <v>Đại học</v>
      </c>
    </row>
    <row r="278" spans="1:4" x14ac:dyDescent="0.25">
      <c r="A278" s="4" t="str">
        <f ca="1">IFERROR(__xludf.DUMMYFUNCTION("""COMPUTED_VALUE"""),"2_ABaOnud6RTAPF3iMUB4uY0LQsXFZcnXb-Oq-C6BEY4Cl9wS5nM2t87Qgjk5ZLja3iA")</f>
        <v>2_ABaOnud6RTAPF3iMUB4uY0LQsXFZcnXb-Oq-C6BEY4Cl9wS5nM2t87Qgjk5ZLja3iA</v>
      </c>
      <c r="B278" s="4" t="str">
        <f ca="1">IFERROR(__xludf.DUMMYFUNCTION("""COMPUTED_VALUE"""),"Đại học")</f>
        <v>Đại học</v>
      </c>
      <c r="C278" s="4" t="str">
        <f ca="1">IFERROR(__xludf.DUMMYFUNCTION("""COMPUTED_VALUE"""),"2_ABaOnucFOSeexVUor87puzsEhrLdMp25FWKORAH4rHAgSzz3WGeC4lAt8wJuvOMiLA")</f>
        <v>2_ABaOnucFOSeexVUor87puzsEhrLdMp25FWKORAH4rHAgSzz3WGeC4lAt8wJuvOMiLA</v>
      </c>
      <c r="D278" s="4" t="str">
        <f ca="1">IFERROR(__xludf.DUMMYFUNCTION("""COMPUTED_VALUE"""),"Đại học")</f>
        <v>Đại học</v>
      </c>
    </row>
    <row r="279" spans="1:4" x14ac:dyDescent="0.25">
      <c r="A279" s="4" t="str">
        <f ca="1">IFERROR(__xludf.DUMMYFUNCTION("""COMPUTED_VALUE"""),"2_ABaOnuc_r0IZg5KiApdS6XT7t6LDBzniozfcLPTOmm-NEzoNiGF-d0UJwmBsXVKJzg")</f>
        <v>2_ABaOnuc_r0IZg5KiApdS6XT7t6LDBzniozfcLPTOmm-NEzoNiGF-d0UJwmBsXVKJzg</v>
      </c>
      <c r="B279" s="4" t="str">
        <f ca="1">IFERROR(__xludf.DUMMYFUNCTION("""COMPUTED_VALUE"""),"Chứng chỉ Kiểm toán viên")</f>
        <v>Chứng chỉ Kiểm toán viên</v>
      </c>
      <c r="C279" s="4" t="str">
        <f ca="1">IFERROR(__xludf.DUMMYFUNCTION("""COMPUTED_VALUE"""),"2_ABaOnufqFr4-MvNeVPkqx2Qnmgq5hIx_fogc-tb8zCdt7lhX6D0PDEv4h5Qb39EoiA")</f>
        <v>2_ABaOnufqFr4-MvNeVPkqx2Qnmgq5hIx_fogc-tb8zCdt7lhX6D0PDEv4h5Qb39EoiA</v>
      </c>
      <c r="D279" s="4" t="str">
        <f ca="1">IFERROR(__xludf.DUMMYFUNCTION("""COMPUTED_VALUE"""),"Đại học")</f>
        <v>Đại học</v>
      </c>
    </row>
    <row r="280" spans="1:4" x14ac:dyDescent="0.25">
      <c r="A280" s="4" t="str">
        <f ca="1">IFERROR(__xludf.DUMMYFUNCTION("""COMPUTED_VALUE"""),"2_ABaOnuclFzlD0bi3qO3re-Zsfq0hYrusmyFiDI2-34xfmN5eBI7kGuoMiYe_jRFriw")</f>
        <v>2_ABaOnuclFzlD0bi3qO3re-Zsfq0hYrusmyFiDI2-34xfmN5eBI7kGuoMiYe_jRFriw</v>
      </c>
      <c r="B280" s="4" t="str">
        <f ca="1">IFERROR(__xludf.DUMMYFUNCTION("""COMPUTED_VALUE"""),"Đại học")</f>
        <v>Đại học</v>
      </c>
      <c r="C280" s="4" t="str">
        <f ca="1">IFERROR(__xludf.DUMMYFUNCTION("""COMPUTED_VALUE"""),"2_ABaOnufbcAoSbeX9jFy7S6ag0wxyY2WvrgRCqHB_FXT-srbpxFGtN8CgnwPdNMcRWg")</f>
        <v>2_ABaOnufbcAoSbeX9jFy7S6ag0wxyY2WvrgRCqHB_FXT-srbpxFGtN8CgnwPdNMcRWg</v>
      </c>
      <c r="D280" s="4" t="str">
        <f ca="1">IFERROR(__xludf.DUMMYFUNCTION("""COMPUTED_VALUE"""),"Đại học")</f>
        <v>Đại học</v>
      </c>
    </row>
    <row r="281" spans="1:4" x14ac:dyDescent="0.25">
      <c r="A281" s="4" t="str">
        <f ca="1">IFERROR(__xludf.DUMMYFUNCTION("""COMPUTED_VALUE"""),"2_ABaOnuesH_uKuzatCs6sIxyFIbgnPAzYiKlMChqGalx5z9MuO60YMWodETgCf2d23Q")</f>
        <v>2_ABaOnuesH_uKuzatCs6sIxyFIbgnPAzYiKlMChqGalx5z9MuO60YMWodETgCf2d23Q</v>
      </c>
      <c r="B281" s="4" t="str">
        <f ca="1">IFERROR(__xludf.DUMMYFUNCTION("""COMPUTED_VALUE"""),"Đại học")</f>
        <v>Đại học</v>
      </c>
      <c r="C281" s="4" t="str">
        <f ca="1">IFERROR(__xludf.DUMMYFUNCTION("""COMPUTED_VALUE"""),"2_ABaOnucqUb39Xrwr08zpPHJIvpwd8L4lx73rglzK-pS-nDd_BjuEVHh3-Nea95obeA")</f>
        <v>2_ABaOnucqUb39Xrwr08zpPHJIvpwd8L4lx73rglzK-pS-nDd_BjuEVHh3-Nea95obeA</v>
      </c>
      <c r="D281" s="4" t="str">
        <f ca="1">IFERROR(__xludf.DUMMYFUNCTION("""COMPUTED_VALUE"""),"Đại học")</f>
        <v>Đại học</v>
      </c>
    </row>
    <row r="282" spans="1:4" x14ac:dyDescent="0.25">
      <c r="A282" s="4" t="str">
        <f ca="1">IFERROR(__xludf.DUMMYFUNCTION("""COMPUTED_VALUE"""),"2_ABaOnuefQplRP1WG8nV3Jh1Q0ICu29SPTfAjTWuFY6QDqsPALazHdgyEluBFQ1ijaQ")</f>
        <v>2_ABaOnuefQplRP1WG8nV3Jh1Q0ICu29SPTfAjTWuFY6QDqsPALazHdgyEluBFQ1ijaQ</v>
      </c>
      <c r="B282" s="4" t="str">
        <f ca="1">IFERROR(__xludf.DUMMYFUNCTION("""COMPUTED_VALUE"""),"Chứng chỉ Kiểm toán viên")</f>
        <v>Chứng chỉ Kiểm toán viên</v>
      </c>
      <c r="C282" s="4" t="str">
        <f ca="1">IFERROR(__xludf.DUMMYFUNCTION("""COMPUTED_VALUE"""),"2_ABaOnucqUb39Xrwr08zpPHJIvpwd8L4lx73rglzK-pS-nDd_BjuEVHh3-Nea95obeA")</f>
        <v>2_ABaOnucqUb39Xrwr08zpPHJIvpwd8L4lx73rglzK-pS-nDd_BjuEVHh3-Nea95obeA</v>
      </c>
      <c r="D282" s="4" t="str">
        <f ca="1">IFERROR(__xludf.DUMMYFUNCTION("""COMPUTED_VALUE"""),"Chứng chỉ Kiểm toán viên")</f>
        <v>Chứng chỉ Kiểm toán viên</v>
      </c>
    </row>
    <row r="283" spans="1:4" x14ac:dyDescent="0.25">
      <c r="A283" s="4" t="str">
        <f ca="1">IFERROR(__xludf.DUMMYFUNCTION("""COMPUTED_VALUE"""),"2_ABaOnufPee2hWDnGITvr4tLCpNkh1g3MjM33jkkysdHIEQEFq-bM_p-nicv1lqpx8Q")</f>
        <v>2_ABaOnufPee2hWDnGITvr4tLCpNkh1g3MjM33jkkysdHIEQEFq-bM_p-nicv1lqpx8Q</v>
      </c>
      <c r="B283" s="4" t="str">
        <f ca="1">IFERROR(__xludf.DUMMYFUNCTION("""COMPUTED_VALUE"""),"Đại học")</f>
        <v>Đại học</v>
      </c>
      <c r="C283" s="4" t="str">
        <f ca="1">IFERROR(__xludf.DUMMYFUNCTION("""COMPUTED_VALUE"""),"2_ABaOnufuJcYc2otwpXTlwKK2OORwJ4IUAI1VVtXjotbUOWVI-rbBVNv2mdhFJjD-hg")</f>
        <v>2_ABaOnufuJcYc2otwpXTlwKK2OORwJ4IUAI1VVtXjotbUOWVI-rbBVNv2mdhFJjD-hg</v>
      </c>
      <c r="D283" s="4" t="str">
        <f ca="1">IFERROR(__xludf.DUMMYFUNCTION("""COMPUTED_VALUE"""),"Đại học")</f>
        <v>Đại học</v>
      </c>
    </row>
    <row r="284" spans="1:4" x14ac:dyDescent="0.25">
      <c r="A284" s="4" t="str">
        <f ca="1">IFERROR(__xludf.DUMMYFUNCTION("""COMPUTED_VALUE"""),"2_ABaOnufiY9V_a0Y-0oblmAaSnQa0fgZgN1_S9L9ONUvaSFLbYnr5XLVIjQqmZ8hQIA")</f>
        <v>2_ABaOnufiY9V_a0Y-0oblmAaSnQa0fgZgN1_S9L9ONUvaSFLbYnr5XLVIjQqmZ8hQIA</v>
      </c>
      <c r="B284" s="4" t="str">
        <f ca="1">IFERROR(__xludf.DUMMYFUNCTION("""COMPUTED_VALUE"""),"Chứng chỉ Kiểm toán viên, ACCA")</f>
        <v>Chứng chỉ Kiểm toán viên, ACCA</v>
      </c>
      <c r="C284" s="4" t="str">
        <f ca="1">IFERROR(__xludf.DUMMYFUNCTION("""COMPUTED_VALUE"""),"2_ABaOnucNSgEmYMlyVSp9kZ5ILKtly3t1b6ZhTxJBSXzeZO0YartwFZCAsORytMivWA")</f>
        <v>2_ABaOnucNSgEmYMlyVSp9kZ5ILKtly3t1b6ZhTxJBSXzeZO0YartwFZCAsORytMivWA</v>
      </c>
      <c r="D284" s="4" t="str">
        <f ca="1">IFERROR(__xludf.DUMMYFUNCTION("""COMPUTED_VALUE"""),"Sau đại học")</f>
        <v>Sau đại học</v>
      </c>
    </row>
    <row r="285" spans="1:4" x14ac:dyDescent="0.25">
      <c r="A285" s="4" t="str">
        <f ca="1">IFERROR(__xludf.DUMMYFUNCTION("""COMPUTED_VALUE"""),"2_ABaOnueaj9jX9_S4p9Ls6VKwaP557zAJuJ_QwuH4yGeEupfLFMS2CtwhmoSMWOZTWw")</f>
        <v>2_ABaOnueaj9jX9_S4p9Ls6VKwaP557zAJuJ_QwuH4yGeEupfLFMS2CtwhmoSMWOZTWw</v>
      </c>
      <c r="B285" s="4" t="str">
        <f ca="1">IFERROR(__xludf.DUMMYFUNCTION("""COMPUTED_VALUE"""),"Chứng chỉ Kiểm toán viên")</f>
        <v>Chứng chỉ Kiểm toán viên</v>
      </c>
      <c r="C285" s="4" t="str">
        <f ca="1">IFERROR(__xludf.DUMMYFUNCTION("""COMPUTED_VALUE"""),"2_ABaOnudOy0cVsoLsRwcHa3gpu2A7ytGs9uzHCBL9AC98X6AHj0M6FdoehECJ6Qt2RA")</f>
        <v>2_ABaOnudOy0cVsoLsRwcHa3gpu2A7ytGs9uzHCBL9AC98X6AHj0M6FdoehECJ6Qt2RA</v>
      </c>
      <c r="D285" s="4" t="str">
        <f ca="1">IFERROR(__xludf.DUMMYFUNCTION("""COMPUTED_VALUE"""),"Đại học")</f>
        <v>Đại học</v>
      </c>
    </row>
    <row r="286" spans="1:4" x14ac:dyDescent="0.25">
      <c r="A286" s="4" t="str">
        <f ca="1">IFERROR(__xludf.DUMMYFUNCTION("""COMPUTED_VALUE"""),"2_ABaOnudkKTdyZTLB1oX0xueY1fsbuzSm-nfxBN9UHlyf1MT6vPZI2b2nawNgB7E7Fg")</f>
        <v>2_ABaOnudkKTdyZTLB1oX0xueY1fsbuzSm-nfxBN9UHlyf1MT6vPZI2b2nawNgB7E7Fg</v>
      </c>
      <c r="B286" s="4" t="str">
        <f ca="1">IFERROR(__xludf.DUMMYFUNCTION("""COMPUTED_VALUE"""),"Chứng chỉ Kiểm toán viên")</f>
        <v>Chứng chỉ Kiểm toán viên</v>
      </c>
      <c r="C286" s="4" t="str">
        <f ca="1">IFERROR(__xludf.DUMMYFUNCTION("""COMPUTED_VALUE"""),"2_ABaOnudOy0cVsoLsRwcHa3gpu2A7ytGs9uzHCBL9AC98X6AHj0M6FdoehECJ6Qt2RA")</f>
        <v>2_ABaOnudOy0cVsoLsRwcHa3gpu2A7ytGs9uzHCBL9AC98X6AHj0M6FdoehECJ6Qt2RA</v>
      </c>
      <c r="D286" s="4" t="str">
        <f ca="1">IFERROR(__xludf.DUMMYFUNCTION("""COMPUTED_VALUE"""),"Chứng chỉ Kiểm toán viên")</f>
        <v>Chứng chỉ Kiểm toán viên</v>
      </c>
    </row>
    <row r="287" spans="1:4" x14ac:dyDescent="0.25">
      <c r="A287" s="4" t="str">
        <f ca="1">IFERROR(__xludf.DUMMYFUNCTION("""COMPUTED_VALUE"""),"2_ABaOnud6tPRYXHVIOnG01LrPqCweKFfrGTOWRIpNsNv5JEB26hn3sbboEjPZKsSXrQ")</f>
        <v>2_ABaOnud6tPRYXHVIOnG01LrPqCweKFfrGTOWRIpNsNv5JEB26hn3sbboEjPZKsSXrQ</v>
      </c>
      <c r="B287" s="4" t="str">
        <f ca="1">IFERROR(__xludf.DUMMYFUNCTION("""COMPUTED_VALUE"""),"Đại học")</f>
        <v>Đại học</v>
      </c>
      <c r="C287" s="4" t="str">
        <f ca="1">IFERROR(__xludf.DUMMYFUNCTION("""COMPUTED_VALUE"""),"2_ABaOnudzuuGZ7T-_sNF35rWJzl6wbTngPcGI0DkwcXjCwpgEPH2iF2ZdJSR_8JDKcg")</f>
        <v>2_ABaOnudzuuGZ7T-_sNF35rWJzl6wbTngPcGI0DkwcXjCwpgEPH2iF2ZdJSR_8JDKcg</v>
      </c>
      <c r="D287" s="4" t="str">
        <f ca="1">IFERROR(__xludf.DUMMYFUNCTION("""COMPUTED_VALUE"""),"Đại học")</f>
        <v>Đại học</v>
      </c>
    </row>
    <row r="288" spans="1:4" x14ac:dyDescent="0.25">
      <c r="A288" s="4" t="str">
        <f ca="1">IFERROR(__xludf.DUMMYFUNCTION("""COMPUTED_VALUE"""),"2_ABaOnuctB6MGnfnivUt5PsPuFNqxieJpfPOMrrqK6GfEeQvTpIQ5Bj-VIwBp8OjNgA")</f>
        <v>2_ABaOnuctB6MGnfnivUt5PsPuFNqxieJpfPOMrrqK6GfEeQvTpIQ5Bj-VIwBp8OjNgA</v>
      </c>
      <c r="B288" s="4" t="str">
        <f ca="1">IFERROR(__xludf.DUMMYFUNCTION("""COMPUTED_VALUE"""),"Đại học")</f>
        <v>Đại học</v>
      </c>
      <c r="C288" s="4" t="str">
        <f ca="1">IFERROR(__xludf.DUMMYFUNCTION("""COMPUTED_VALUE"""),"2_ABaOnueilSWqhhOp-3rNgFFAD_30D0agdhegyHPUefYCRQNIwuu9rHSJ7XSstzbd5A")</f>
        <v>2_ABaOnueilSWqhhOp-3rNgFFAD_30D0agdhegyHPUefYCRQNIwuu9rHSJ7XSstzbd5A</v>
      </c>
      <c r="D288" s="4" t="str">
        <f ca="1">IFERROR(__xludf.DUMMYFUNCTION("""COMPUTED_VALUE"""),"Đại học")</f>
        <v>Đại học</v>
      </c>
    </row>
    <row r="289" spans="1:4" x14ac:dyDescent="0.25">
      <c r="A289" s="4" t="str">
        <f ca="1">IFERROR(__xludf.DUMMYFUNCTION("""COMPUTED_VALUE"""),"2_ABaOnufTb0fNV0ZPji5z61ynmpPE3TPD3ILMAY75w8u55_Fahm3LgT1urtK0bA19eg")</f>
        <v>2_ABaOnufTb0fNV0ZPji5z61ynmpPE3TPD3ILMAY75w8u55_Fahm3LgT1urtK0bA19eg</v>
      </c>
      <c r="B289" s="4" t="str">
        <f ca="1">IFERROR(__xludf.DUMMYFUNCTION("""COMPUTED_VALUE"""),"Đại học, Chứng chỉ Kiểm toán viên")</f>
        <v>Đại học, Chứng chỉ Kiểm toán viên</v>
      </c>
      <c r="C289" s="4" t="str">
        <f ca="1">IFERROR(__xludf.DUMMYFUNCTION("""COMPUTED_VALUE"""),"2_ABaOnueilSWqhhOp-3rNgFFAD_30D0agdhegyHPUefYCRQNIwuu9rHSJ7XSstzbd5A")</f>
        <v>2_ABaOnueilSWqhhOp-3rNgFFAD_30D0agdhegyHPUefYCRQNIwuu9rHSJ7XSstzbd5A</v>
      </c>
      <c r="D289" s="4" t="str">
        <f ca="1">IFERROR(__xludf.DUMMYFUNCTION("""COMPUTED_VALUE"""),"Chứng chỉ Kiểm toán viên")</f>
        <v>Chứng chỉ Kiểm toán viên</v>
      </c>
    </row>
    <row r="290" spans="1:4" x14ac:dyDescent="0.25">
      <c r="A290" s="4" t="str">
        <f ca="1">IFERROR(__xludf.DUMMYFUNCTION("""COMPUTED_VALUE"""),"2_ABaOnueaSfiY9135AribLX3QtfFQxEfxvyenXje-Z4AxBoKtMx-SMn8QGaCfb7sTPg")</f>
        <v>2_ABaOnueaSfiY9135AribLX3QtfFQxEfxvyenXje-Z4AxBoKtMx-SMn8QGaCfb7sTPg</v>
      </c>
      <c r="B290" s="4" t="str">
        <f ca="1">IFERROR(__xludf.DUMMYFUNCTION("""COMPUTED_VALUE"""),"Chứng chỉ Kiểm toán viên, ACCA")</f>
        <v>Chứng chỉ Kiểm toán viên, ACCA</v>
      </c>
      <c r="C290" s="4" t="str">
        <f ca="1">IFERROR(__xludf.DUMMYFUNCTION("""COMPUTED_VALUE"""),"2_ABaOnucBkT9j2m24FVk76mcsIYf2gTO0x0ihs9mZ74TLNvd2b8xABkm8A8jSyMfygQ")</f>
        <v>2_ABaOnucBkT9j2m24FVk76mcsIYf2gTO0x0ihs9mZ74TLNvd2b8xABkm8A8jSyMfygQ</v>
      </c>
      <c r="D290" s="4" t="str">
        <f ca="1">IFERROR(__xludf.DUMMYFUNCTION("""COMPUTED_VALUE"""),"Đại học")</f>
        <v>Đại học</v>
      </c>
    </row>
    <row r="291" spans="1:4" x14ac:dyDescent="0.25">
      <c r="A291" s="4" t="str">
        <f ca="1">IFERROR(__xludf.DUMMYFUNCTION("""COMPUTED_VALUE"""),"2_ABaOnuf8qvbem50f6kku92OgAh17AqnDKnQ8WSEXvpYI7fRQA34vpIdSEzSNcbf4Fg")</f>
        <v>2_ABaOnuf8qvbem50f6kku92OgAh17AqnDKnQ8WSEXvpYI7fRQA34vpIdSEzSNcbf4Fg</v>
      </c>
      <c r="B291" s="4" t="str">
        <f ca="1">IFERROR(__xludf.DUMMYFUNCTION("""COMPUTED_VALUE"""),"Đại học")</f>
        <v>Đại học</v>
      </c>
      <c r="C291" s="4" t="str">
        <f ca="1">IFERROR(__xludf.DUMMYFUNCTION("""COMPUTED_VALUE"""),"2_ABaOnucq_hKaSTEE6oBHjh6Zl9uhXLmmZJMw9cAcbJCIkacC1nh87rcWB_sySHV8NA")</f>
        <v>2_ABaOnucq_hKaSTEE6oBHjh6Zl9uhXLmmZJMw9cAcbJCIkacC1nh87rcWB_sySHV8NA</v>
      </c>
      <c r="D291" s="4" t="str">
        <f ca="1">IFERROR(__xludf.DUMMYFUNCTION("""COMPUTED_VALUE"""),"Chứng chỉ Kiểm toán viên")</f>
        <v>Chứng chỉ Kiểm toán viên</v>
      </c>
    </row>
    <row r="292" spans="1:4" x14ac:dyDescent="0.25">
      <c r="A292" s="4" t="str">
        <f ca="1">IFERROR(__xludf.DUMMYFUNCTION("""COMPUTED_VALUE"""),"2_ABaOnudNFkLU2YT34xJXurre5AyhdZAfK-cB0tvZQ4ffgbZkog9lq-pJOjuBB0Hvfw")</f>
        <v>2_ABaOnudNFkLU2YT34xJXurre5AyhdZAfK-cB0tvZQ4ffgbZkog9lq-pJOjuBB0Hvfw</v>
      </c>
      <c r="B292" s="4" t="str">
        <f ca="1">IFERROR(__xludf.DUMMYFUNCTION("""COMPUTED_VALUE"""),"Sau đại học, Chứng chỉ Kiểm toán viên")</f>
        <v>Sau đại học, Chứng chỉ Kiểm toán viên</v>
      </c>
      <c r="C292" s="4" t="str">
        <f ca="1">IFERROR(__xludf.DUMMYFUNCTION("""COMPUTED_VALUE"""),"2_ABaOnuc8ceYDsHsmAWg_woJjF-D3TPb3Os1upny20H0A0pABbmGI_Ov8gw_AHabMqg")</f>
        <v>2_ABaOnuc8ceYDsHsmAWg_woJjF-D3TPb3Os1upny20H0A0pABbmGI_Ov8gw_AHabMqg</v>
      </c>
      <c r="D292" s="4" t="str">
        <f ca="1">IFERROR(__xludf.DUMMYFUNCTION("""COMPUTED_VALUE"""),"Đại học")</f>
        <v>Đại học</v>
      </c>
    </row>
    <row r="293" spans="1:4" x14ac:dyDescent="0.25">
      <c r="A293" s="4" t="str">
        <f ca="1">IFERROR(__xludf.DUMMYFUNCTION("""COMPUTED_VALUE"""),"2_ABaOnufCwbzvLV-e_L_G2RE6l4RGx6Q1Yx8hfPAz3zkX5VxaAK-C2O4aw6vu64hRoA")</f>
        <v>2_ABaOnufCwbzvLV-e_L_G2RE6l4RGx6Q1Yx8hfPAz3zkX5VxaAK-C2O4aw6vu64hRoA</v>
      </c>
      <c r="B293" s="4" t="str">
        <f ca="1">IFERROR(__xludf.DUMMYFUNCTION("""COMPUTED_VALUE"""),"Đại học, Sau đại học, Chứng chỉ Kiểm toán viên")</f>
        <v>Đại học, Sau đại học, Chứng chỉ Kiểm toán viên</v>
      </c>
      <c r="C293" s="4" t="str">
        <f ca="1">IFERROR(__xludf.DUMMYFUNCTION("""COMPUTED_VALUE"""),"2_ABaOnucXXwWCs8k6mcYcJd57gJsq-AqLFRVqwD2_ATm5X5Sme1om0D6qu4yyN5GZww")</f>
        <v>2_ABaOnucXXwWCs8k6mcYcJd57gJsq-AqLFRVqwD2_ATm5X5Sme1om0D6qu4yyN5GZww</v>
      </c>
      <c r="D293" s="4" t="str">
        <f ca="1">IFERROR(__xludf.DUMMYFUNCTION("""COMPUTED_VALUE"""),"Đại học")</f>
        <v>Đại học</v>
      </c>
    </row>
    <row r="294" spans="1:4" x14ac:dyDescent="0.25">
      <c r="A294" s="4" t="str">
        <f ca="1">IFERROR(__xludf.DUMMYFUNCTION("""COMPUTED_VALUE"""),"2_ABaOnuf5YsaqOjMPA-z8FtZ-Jczon3Lpmdy0tvRGWLj8AVMiohdFT0F-LmudV5-0wg")</f>
        <v>2_ABaOnuf5YsaqOjMPA-z8FtZ-Jczon3Lpmdy0tvRGWLj8AVMiohdFT0F-LmudV5-0wg</v>
      </c>
      <c r="B294" s="4" t="str">
        <f ca="1">IFERROR(__xludf.DUMMYFUNCTION("""COMPUTED_VALUE"""),"Đại học")</f>
        <v>Đại học</v>
      </c>
      <c r="C294" s="4" t="str">
        <f ca="1">IFERROR(__xludf.DUMMYFUNCTION("""COMPUTED_VALUE"""),"2_ABaOnudfU3PNDx45YJxtQ7oeqmM80D_zcYGyr_M7XBXyvRSssKEGWiXNRlBd_rm7QQ")</f>
        <v>2_ABaOnudfU3PNDx45YJxtQ7oeqmM80D_zcYGyr_M7XBXyvRSssKEGWiXNRlBd_rm7QQ</v>
      </c>
      <c r="D294" s="4" t="str">
        <f ca="1">IFERROR(__xludf.DUMMYFUNCTION("""COMPUTED_VALUE"""),"Đại học")</f>
        <v>Đại học</v>
      </c>
    </row>
    <row r="295" spans="1:4" x14ac:dyDescent="0.25">
      <c r="A295" s="4" t="str">
        <f ca="1">IFERROR(__xludf.DUMMYFUNCTION("""COMPUTED_VALUE"""),"2_ABaOnuf79l40f0TG4q-fWxPivlMnpEe8jcPRnmBSbj_4SgD8fUkKX-2ib06gokzCWg")</f>
        <v>2_ABaOnuf79l40f0TG4q-fWxPivlMnpEe8jcPRnmBSbj_4SgD8fUkKX-2ib06gokzCWg</v>
      </c>
      <c r="B295" s="4" t="str">
        <f ca="1">IFERROR(__xludf.DUMMYFUNCTION("""COMPUTED_VALUE"""),"Đại học, Chứng chỉ Kiểm toán viên")</f>
        <v>Đại học, Chứng chỉ Kiểm toán viên</v>
      </c>
      <c r="C295" s="4" t="str">
        <f ca="1">IFERROR(__xludf.DUMMYFUNCTION("""COMPUTED_VALUE"""),"2_ABaOnueO95EMb31VbGRMuadrDBh4wZOc_5Ueit2NYRXr3JFPimm59jR_kJnu5ZIGhg")</f>
        <v>2_ABaOnueO95EMb31VbGRMuadrDBh4wZOc_5Ueit2NYRXr3JFPimm59jR_kJnu5ZIGhg</v>
      </c>
      <c r="D295" s="4" t="str">
        <f ca="1">IFERROR(__xludf.DUMMYFUNCTION("""COMPUTED_VALUE"""),"Đại học")</f>
        <v>Đại học</v>
      </c>
    </row>
    <row r="296" spans="1:4" x14ac:dyDescent="0.25">
      <c r="A296" s="4" t="str">
        <f ca="1">IFERROR(__xludf.DUMMYFUNCTION("""COMPUTED_VALUE"""),"2_ABaOnufJ-kEyaVWPMlPbUxPW80CG6caJ1B2pVqSm7gwDlx8KsvbB2j-ItkCipq_FLQ")</f>
        <v>2_ABaOnufJ-kEyaVWPMlPbUxPW80CG6caJ1B2pVqSm7gwDlx8KsvbB2j-ItkCipq_FLQ</v>
      </c>
      <c r="B296" s="4" t="str">
        <f ca="1">IFERROR(__xludf.DUMMYFUNCTION("""COMPUTED_VALUE"""),"Đại học")</f>
        <v>Đại học</v>
      </c>
      <c r="C296" s="4" t="str">
        <f ca="1">IFERROR(__xludf.DUMMYFUNCTION("""COMPUTED_VALUE"""),"2_ABaOnufYcz0AqZOKWOzZV5yJtuqVuoF21OyxQ9Ua-p4J9uXpsX1DGEgsNogHKaS_KA")</f>
        <v>2_ABaOnufYcz0AqZOKWOzZV5yJtuqVuoF21OyxQ9Ua-p4J9uXpsX1DGEgsNogHKaS_KA</v>
      </c>
      <c r="D296" s="4" t="str">
        <f ca="1">IFERROR(__xludf.DUMMYFUNCTION("""COMPUTED_VALUE"""),"Chứng chỉ Kiểm toán viên")</f>
        <v>Chứng chỉ Kiểm toán viên</v>
      </c>
    </row>
    <row r="297" spans="1:4" x14ac:dyDescent="0.25">
      <c r="A297" s="4" t="str">
        <f ca="1">IFERROR(__xludf.DUMMYFUNCTION("""COMPUTED_VALUE"""),"2_ABaOnudUby3sjEBnd2yM2s8W_HDzB1RVQ06vzQO9h0I4YV00T8vknLCQmjbQXWGTyw")</f>
        <v>2_ABaOnudUby3sjEBnd2yM2s8W_HDzB1RVQ06vzQO9h0I4YV00T8vknLCQmjbQXWGTyw</v>
      </c>
      <c r="B297" s="4" t="str">
        <f ca="1">IFERROR(__xludf.DUMMYFUNCTION("""COMPUTED_VALUE"""),"Đại học, Chứng chỉ Kiểm toán viên")</f>
        <v>Đại học, Chứng chỉ Kiểm toán viên</v>
      </c>
      <c r="C297" s="4" t="str">
        <f ca="1">IFERROR(__xludf.DUMMYFUNCTION("""COMPUTED_VALUE"""),"2_ABaOnuf2s6e_JMvdHxbni_ldA8qqlJlF1kC6W3mwnMlD00EG5ON1vtO3FjPSoiI8ig")</f>
        <v>2_ABaOnuf2s6e_JMvdHxbni_ldA8qqlJlF1kC6W3mwnMlD00EG5ON1vtO3FjPSoiI8ig</v>
      </c>
      <c r="D297" s="4" t="str">
        <f ca="1">IFERROR(__xludf.DUMMYFUNCTION("""COMPUTED_VALUE"""),"Đại học")</f>
        <v>Đại học</v>
      </c>
    </row>
    <row r="298" spans="1:4" x14ac:dyDescent="0.25">
      <c r="A298" s="4" t="str">
        <f ca="1">IFERROR(__xludf.DUMMYFUNCTION("""COMPUTED_VALUE"""),"2_ABaOnue918EYuWCZrWIOO2hhj8gWNs3L4q7Ppv9I2GJ16xd3tEIF3NoSQCFMTvnFxw")</f>
        <v>2_ABaOnue918EYuWCZrWIOO2hhj8gWNs3L4q7Ppv9I2GJ16xd3tEIF3NoSQCFMTvnFxw</v>
      </c>
      <c r="B298" s="4" t="str">
        <f ca="1">IFERROR(__xludf.DUMMYFUNCTION("""COMPUTED_VALUE"""),"Đại học")</f>
        <v>Đại học</v>
      </c>
      <c r="C298" s="4" t="str">
        <f ca="1">IFERROR(__xludf.DUMMYFUNCTION("""COMPUTED_VALUE"""),"2_ABaOnucfEIQvCcesXbmB2OFb5LJIF8CbHwYuMQ5V309-94FHA8LRCZJtNXjUP045YA")</f>
        <v>2_ABaOnucfEIQvCcesXbmB2OFb5LJIF8CbHwYuMQ5V309-94FHA8LRCZJtNXjUP045YA</v>
      </c>
      <c r="D298" s="4" t="str">
        <f ca="1">IFERROR(__xludf.DUMMYFUNCTION("""COMPUTED_VALUE"""),"Chứng chỉ Kiểm toán viên")</f>
        <v>Chứng chỉ Kiểm toán viên</v>
      </c>
    </row>
    <row r="299" spans="1:4" x14ac:dyDescent="0.25">
      <c r="A299" s="4" t="str">
        <f ca="1">IFERROR(__xludf.DUMMYFUNCTION("""COMPUTED_VALUE"""),"2_ABaOnucfCMHBBrbmqUqpFa5GEoWgeXse8bdY7TySmpZZrryFOqX6tanSOXSqx4SAAA")</f>
        <v>2_ABaOnucfCMHBBrbmqUqpFa5GEoWgeXse8bdY7TySmpZZrryFOqX6tanSOXSqx4SAAA</v>
      </c>
      <c r="B299" s="4" t="str">
        <f ca="1">IFERROR(__xludf.DUMMYFUNCTION("""COMPUTED_VALUE"""),"Đại học")</f>
        <v>Đại học</v>
      </c>
      <c r="C299" s="4" t="str">
        <f ca="1">IFERROR(__xludf.DUMMYFUNCTION("""COMPUTED_VALUE"""),"2_ABaOnucbWPDPZfVC0RJcvTc7pij321C9BXzBDatv3Np9v96B0komf-2u2mBviBJ8eg")</f>
        <v>2_ABaOnucbWPDPZfVC0RJcvTc7pij321C9BXzBDatv3Np9v96B0komf-2u2mBviBJ8eg</v>
      </c>
      <c r="D299" s="4" t="str">
        <f ca="1">IFERROR(__xludf.DUMMYFUNCTION("""COMPUTED_VALUE"""),"Đại học")</f>
        <v>Đại học</v>
      </c>
    </row>
    <row r="300" spans="1:4" x14ac:dyDescent="0.25">
      <c r="A300" s="4" t="str">
        <f ca="1">IFERROR(__xludf.DUMMYFUNCTION("""COMPUTED_VALUE"""),"2_ABaOnufqYP-tRhCFjVt1lUNEGP2A_gSRVZCUW4ZSvCpvSrlaYv77FQSFr36bc5TNSQ")</f>
        <v>2_ABaOnufqYP-tRhCFjVt1lUNEGP2A_gSRVZCUW4ZSvCpvSrlaYv77FQSFr36bc5TNSQ</v>
      </c>
      <c r="B300" s="4" t="str">
        <f ca="1">IFERROR(__xludf.DUMMYFUNCTION("""COMPUTED_VALUE"""),"Đại học")</f>
        <v>Đại học</v>
      </c>
      <c r="C300" s="4" t="str">
        <f ca="1">IFERROR(__xludf.DUMMYFUNCTION("""COMPUTED_VALUE"""),"2_ABaOnucbWPDPZfVC0RJcvTc7pij321C9BXzBDatv3Np9v96B0komf-2u2mBviBJ8eg")</f>
        <v>2_ABaOnucbWPDPZfVC0RJcvTc7pij321C9BXzBDatv3Np9v96B0komf-2u2mBviBJ8eg</v>
      </c>
      <c r="D300" s="4" t="str">
        <f ca="1">IFERROR(__xludf.DUMMYFUNCTION("""COMPUTED_VALUE"""),"Chứng chỉ Kiểm toán viên")</f>
        <v>Chứng chỉ Kiểm toán viên</v>
      </c>
    </row>
    <row r="301" spans="1:4" x14ac:dyDescent="0.25">
      <c r="A301" s="4" t="str">
        <f ca="1">IFERROR(__xludf.DUMMYFUNCTION("""COMPUTED_VALUE"""),"2_ABaOnucHJRAz23q6eabtRDl688hntyg-pzvcakq91A5IdMO2eNYe7Bah5iC8kss6dQ")</f>
        <v>2_ABaOnucHJRAz23q6eabtRDl688hntyg-pzvcakq91A5IdMO2eNYe7Bah5iC8kss6dQ</v>
      </c>
      <c r="B301" s="4" t="str">
        <f ca="1">IFERROR(__xludf.DUMMYFUNCTION("""COMPUTED_VALUE"""),"Sau đại học")</f>
        <v>Sau đại học</v>
      </c>
      <c r="C301" s="4" t="str">
        <f ca="1">IFERROR(__xludf.DUMMYFUNCTION("""COMPUTED_VALUE"""),"2_ABaOnuf2ZqkzcbQypGSg4WJcli-1b62ps-Xbiv6mxQcW4kks9JdWqnfRLCMmmOlU-g")</f>
        <v>2_ABaOnuf2ZqkzcbQypGSg4WJcli-1b62ps-Xbiv6mxQcW4kks9JdWqnfRLCMmmOlU-g</v>
      </c>
      <c r="D301" s="4" t="str">
        <f ca="1">IFERROR(__xludf.DUMMYFUNCTION("""COMPUTED_VALUE"""),"Đại học")</f>
        <v>Đại học</v>
      </c>
    </row>
    <row r="302" spans="1:4" x14ac:dyDescent="0.25">
      <c r="A302" s="4" t="str">
        <f ca="1">IFERROR(__xludf.DUMMYFUNCTION("""COMPUTED_VALUE"""),"2_ABaOnud_jTSKZML68vcVFtTbnQfk_uFoZKG54JfwElB-TDVqo_Fht4hmX5dBPmNDcg")</f>
        <v>2_ABaOnud_jTSKZML68vcVFtTbnQfk_uFoZKG54JfwElB-TDVqo_Fht4hmX5dBPmNDcg</v>
      </c>
      <c r="B302" s="4" t="str">
        <f ca="1">IFERROR(__xludf.DUMMYFUNCTION("""COMPUTED_VALUE"""),"Đại học, Chứng chỉ Kiểm toán viên")</f>
        <v>Đại học, Chứng chỉ Kiểm toán viên</v>
      </c>
      <c r="C302" s="4" t="str">
        <f ca="1">IFERROR(__xludf.DUMMYFUNCTION("""COMPUTED_VALUE"""),"2_ABaOnuewUN5OU20ggRt8leEryojaV106C7aQe-n-czchKUzht1XBdyT_LX27riDWlw")</f>
        <v>2_ABaOnuewUN5OU20ggRt8leEryojaV106C7aQe-n-czchKUzht1XBdyT_LX27riDWlw</v>
      </c>
      <c r="D302" s="4" t="str">
        <f ca="1">IFERROR(__xludf.DUMMYFUNCTION("""COMPUTED_VALUE"""),"Đại học")</f>
        <v>Đại học</v>
      </c>
    </row>
    <row r="303" spans="1:4" x14ac:dyDescent="0.25">
      <c r="A303" s="4" t="str">
        <f ca="1">IFERROR(__xludf.DUMMYFUNCTION("""COMPUTED_VALUE"""),"2_ABaOnuecps7flrtik3QB928UfB6HhebOGNq4AnQZabQr-AUlDg6KPd61G7FDLenrZQ")</f>
        <v>2_ABaOnuecps7flrtik3QB928UfB6HhebOGNq4AnQZabQr-AUlDg6KPd61G7FDLenrZQ</v>
      </c>
      <c r="B303" s="4" t="str">
        <f ca="1">IFERROR(__xludf.DUMMYFUNCTION("""COMPUTED_VALUE"""),"Đại học")</f>
        <v>Đại học</v>
      </c>
      <c r="C303" s="4" t="str">
        <f ca="1">IFERROR(__xludf.DUMMYFUNCTION("""COMPUTED_VALUE"""),"2_ABaOnufFzf2rxQNBi6krZxGfdG-_xG-xSMfySqdgLjRoh1lqUeblAVXVH8uanpJKOg")</f>
        <v>2_ABaOnufFzf2rxQNBi6krZxGfdG-_xG-xSMfySqdgLjRoh1lqUeblAVXVH8uanpJKOg</v>
      </c>
      <c r="D303" s="4" t="str">
        <f ca="1">IFERROR(__xludf.DUMMYFUNCTION("""COMPUTED_VALUE"""),"Đại học")</f>
        <v>Đại học</v>
      </c>
    </row>
    <row r="304" spans="1:4" x14ac:dyDescent="0.25">
      <c r="A304" s="4" t="str">
        <f ca="1">IFERROR(__xludf.DUMMYFUNCTION("""COMPUTED_VALUE"""),"2_ABaOnue7CRHZZstcoh9bTqeFyQt6EQFZx5azMTEv0x7sLmcVpbfRW-AVC07SLTxYhA")</f>
        <v>2_ABaOnue7CRHZZstcoh9bTqeFyQt6EQFZx5azMTEv0x7sLmcVpbfRW-AVC07SLTxYhA</v>
      </c>
      <c r="B304" s="4" t="str">
        <f ca="1">IFERROR(__xludf.DUMMYFUNCTION("""COMPUTED_VALUE"""),"Đại học")</f>
        <v>Đại học</v>
      </c>
      <c r="C304" s="4" t="str">
        <f ca="1">IFERROR(__xludf.DUMMYFUNCTION("""COMPUTED_VALUE"""),"2_ABaOnuce8fPmajMbzKwaK8LzJ1yy0pab-SXEvFeCmvLlGp_WUrvGJQaHZDJDLPlwgg")</f>
        <v>2_ABaOnuce8fPmajMbzKwaK8LzJ1yy0pab-SXEvFeCmvLlGp_WUrvGJQaHZDJDLPlwgg</v>
      </c>
      <c r="D304" s="4" t="str">
        <f ca="1">IFERROR(__xludf.DUMMYFUNCTION("""COMPUTED_VALUE"""),"Chứng chỉ Kiểm toán viên")</f>
        <v>Chứng chỉ Kiểm toán viên</v>
      </c>
    </row>
    <row r="305" spans="1:4" x14ac:dyDescent="0.25">
      <c r="A305" s="4" t="str">
        <f ca="1">IFERROR(__xludf.DUMMYFUNCTION("""COMPUTED_VALUE"""),"2_ABaOnue35h1Oq0NGwk5PrAIA7hwVJhOKCSE-gvDn0_06Z3ip82g-5EisXRr0fiBvZA")</f>
        <v>2_ABaOnue35h1Oq0NGwk5PrAIA7hwVJhOKCSE-gvDn0_06Z3ip82g-5EisXRr0fiBvZA</v>
      </c>
      <c r="B305" s="4" t="str">
        <f ca="1">IFERROR(__xludf.DUMMYFUNCTION("""COMPUTED_VALUE"""),"Đại học")</f>
        <v>Đại học</v>
      </c>
      <c r="C305" s="4" t="str">
        <f ca="1">IFERROR(__xludf.DUMMYFUNCTION("""COMPUTED_VALUE"""),"2_ABaOnudaVjG5Fr9L4rt8V6gBeL-u3ImGkiPqiRyX2poN-9XRZOJgdmmUMF7q40ioGw")</f>
        <v>2_ABaOnudaVjG5Fr9L4rt8V6gBeL-u3ImGkiPqiRyX2poN-9XRZOJgdmmUMF7q40ioGw</v>
      </c>
      <c r="D305" s="4" t="str">
        <f ca="1">IFERROR(__xludf.DUMMYFUNCTION("""COMPUTED_VALUE"""),"Đại học")</f>
        <v>Đại học</v>
      </c>
    </row>
    <row r="306" spans="1:4" x14ac:dyDescent="0.25">
      <c r="A306" s="4" t="str">
        <f ca="1">IFERROR(__xludf.DUMMYFUNCTION("""COMPUTED_VALUE"""),"2_ABaOnueYyPW8Ju6BVI-vp_vq_-qFTLYk1Gqq4Ndz_SM3OVwWEbThjpWMIQq7zEY1KA")</f>
        <v>2_ABaOnueYyPW8Ju6BVI-vp_vq_-qFTLYk1Gqq4Ndz_SM3OVwWEbThjpWMIQq7zEY1KA</v>
      </c>
      <c r="B306" s="4" t="str">
        <f ca="1">IFERROR(__xludf.DUMMYFUNCTION("""COMPUTED_VALUE"""),"Đại học")</f>
        <v>Đại học</v>
      </c>
      <c r="C306" s="4" t="str">
        <f ca="1">IFERROR(__xludf.DUMMYFUNCTION("""COMPUTED_VALUE"""),"2_ABaOnufQwxuGTBQZ_YU-NWnFhMHli7LnbUvg2wF1KFBcJhGoj2pgl6GmWYam8MoC5Q")</f>
        <v>2_ABaOnufQwxuGTBQZ_YU-NWnFhMHli7LnbUvg2wF1KFBcJhGoj2pgl6GmWYam8MoC5Q</v>
      </c>
      <c r="D306" s="4" t="str">
        <f ca="1">IFERROR(__xludf.DUMMYFUNCTION("""COMPUTED_VALUE"""),"Đại học")</f>
        <v>Đại học</v>
      </c>
    </row>
    <row r="307" spans="1:4" x14ac:dyDescent="0.25">
      <c r="A307" s="4" t="str">
        <f ca="1">IFERROR(__xludf.DUMMYFUNCTION("""COMPUTED_VALUE"""),"2_ABaOnueRKm3rrs0C05mTN7AP3FPwC5kWNMlXcIDFzBoYaCBr2Tqo-ZuJFxokyK7LXQ")</f>
        <v>2_ABaOnueRKm3rrs0C05mTN7AP3FPwC5kWNMlXcIDFzBoYaCBr2Tqo-ZuJFxokyK7LXQ</v>
      </c>
      <c r="B307" s="4" t="str">
        <f ca="1">IFERROR(__xludf.DUMMYFUNCTION("""COMPUTED_VALUE"""),"Chứng chỉ Kiểm toán viên")</f>
        <v>Chứng chỉ Kiểm toán viên</v>
      </c>
      <c r="C307" s="4" t="str">
        <f ca="1">IFERROR(__xludf.DUMMYFUNCTION("""COMPUTED_VALUE"""),"2_ABaOnufQwxuGTBQZ_YU-NWnFhMHli7LnbUvg2wF1KFBcJhGoj2pgl6GmWYam8MoC5Q")</f>
        <v>2_ABaOnufQwxuGTBQZ_YU-NWnFhMHli7LnbUvg2wF1KFBcJhGoj2pgl6GmWYam8MoC5Q</v>
      </c>
      <c r="D307" s="4" t="str">
        <f ca="1">IFERROR(__xludf.DUMMYFUNCTION("""COMPUTED_VALUE"""),"Chứng chỉ Kiểm toán viên")</f>
        <v>Chứng chỉ Kiểm toán viên</v>
      </c>
    </row>
    <row r="308" spans="1:4" x14ac:dyDescent="0.25">
      <c r="A308" s="4" t="str">
        <f ca="1">IFERROR(__xludf.DUMMYFUNCTION("""COMPUTED_VALUE"""),"2_ABaOnuc6jm_xjaEqBpl6WqyUZSOZ3xaeatzewu1k3JgNf48WfJpFenR4OxnipNsR_w")</f>
        <v>2_ABaOnuc6jm_xjaEqBpl6WqyUZSOZ3xaeatzewu1k3JgNf48WfJpFenR4OxnipNsR_w</v>
      </c>
      <c r="B308" s="4" t="str">
        <f ca="1">IFERROR(__xludf.DUMMYFUNCTION("""COMPUTED_VALUE"""),"Đại học, Chứng chỉ Kiểm toán viên")</f>
        <v>Đại học, Chứng chỉ Kiểm toán viên</v>
      </c>
      <c r="C308" s="4" t="str">
        <f ca="1">IFERROR(__xludf.DUMMYFUNCTION("""COMPUTED_VALUE"""),"2_ABaOnuez_FqABTYkUXjUMgBeeRMffd1mHlNhnFNFbP4fqbVAEM3DDrFlITd8xnwbRw")</f>
        <v>2_ABaOnuez_FqABTYkUXjUMgBeeRMffd1mHlNhnFNFbP4fqbVAEM3DDrFlITd8xnwbRw</v>
      </c>
      <c r="D308" s="4" t="str">
        <f ca="1">IFERROR(__xludf.DUMMYFUNCTION("""COMPUTED_VALUE"""),"Sau đại học")</f>
        <v>Sau đại học</v>
      </c>
    </row>
    <row r="309" spans="1:4" x14ac:dyDescent="0.25">
      <c r="A309" s="4" t="str">
        <f ca="1">IFERROR(__xludf.DUMMYFUNCTION("""COMPUTED_VALUE"""),"2_ABaOnucIZ4jDDwFKIb5iEEzidhIqGxMAtZ3nDBwqoOGivuEoM-wJ66R7AqohMwlDIw")</f>
        <v>2_ABaOnucIZ4jDDwFKIb5iEEzidhIqGxMAtZ3nDBwqoOGivuEoM-wJ66R7AqohMwlDIw</v>
      </c>
      <c r="B309" s="4" t="str">
        <f ca="1">IFERROR(__xludf.DUMMYFUNCTION("""COMPUTED_VALUE"""),"Đại học")</f>
        <v>Đại học</v>
      </c>
      <c r="C309" s="4" t="str">
        <f ca="1">IFERROR(__xludf.DUMMYFUNCTION("""COMPUTED_VALUE"""),"2_ABaOnufmH9HtjTktwfrop1Ys25IX-nAAdeSb4ZeQsZkOLrZzzyYUTAJ0kNSS9x-RIA")</f>
        <v>2_ABaOnufmH9HtjTktwfrop1Ys25IX-nAAdeSb4ZeQsZkOLrZzzyYUTAJ0kNSS9x-RIA</v>
      </c>
      <c r="D309" s="4" t="str">
        <f ca="1">IFERROR(__xludf.DUMMYFUNCTION("""COMPUTED_VALUE"""),"Đại học")</f>
        <v>Đại học</v>
      </c>
    </row>
    <row r="310" spans="1:4" x14ac:dyDescent="0.25">
      <c r="A310" s="4" t="str">
        <f ca="1">IFERROR(__xludf.DUMMYFUNCTION("""COMPUTED_VALUE"""),"2_ABaOnucvyKlY3k4ihxwVirzjRJ7H7eoFQT-dx_2ZFqtU7hv62HolSdF5TcIECBzVGQ")</f>
        <v>2_ABaOnucvyKlY3k4ihxwVirzjRJ7H7eoFQT-dx_2ZFqtU7hv62HolSdF5TcIECBzVGQ</v>
      </c>
      <c r="B310" s="4" t="str">
        <f ca="1">IFERROR(__xludf.DUMMYFUNCTION("""COMPUTED_VALUE"""),"Sau đại học")</f>
        <v>Sau đại học</v>
      </c>
      <c r="C310" s="4" t="str">
        <f ca="1">IFERROR(__xludf.DUMMYFUNCTION("""COMPUTED_VALUE"""),"2_ABaOnucGFIuC2oJUcBM-0X0dLbNAF24SxYtMjTPuxJXRQiaDqnzyxXCaOJxHldJyVw")</f>
        <v>2_ABaOnucGFIuC2oJUcBM-0X0dLbNAF24SxYtMjTPuxJXRQiaDqnzyxXCaOJxHldJyVw</v>
      </c>
      <c r="D310" s="4" t="str">
        <f ca="1">IFERROR(__xludf.DUMMYFUNCTION("""COMPUTED_VALUE"""),"Sau đại học")</f>
        <v>Sau đại học</v>
      </c>
    </row>
    <row r="311" spans="1:4" x14ac:dyDescent="0.25">
      <c r="A311" s="4" t="str">
        <f ca="1">IFERROR(__xludf.DUMMYFUNCTION("""COMPUTED_VALUE"""),"2_ABaOnufTKf7GMtPJz-OrAgUepRmoAB-I2MVZNtEb5wWLpjk1t9blBiMLVQ7Loo2Uuw")</f>
        <v>2_ABaOnufTKf7GMtPJz-OrAgUepRmoAB-I2MVZNtEb5wWLpjk1t9blBiMLVQ7Loo2Uuw</v>
      </c>
      <c r="B311" s="4" t="str">
        <f ca="1">IFERROR(__xludf.DUMMYFUNCTION("""COMPUTED_VALUE"""),"Đại học")</f>
        <v>Đại học</v>
      </c>
      <c r="C311" s="4" t="str">
        <f ca="1">IFERROR(__xludf.DUMMYFUNCTION("""COMPUTED_VALUE"""),"2_ABaOnucUnBFBhOhyBsBhYWPtBTb35F8gkZ8Lx4PQ8BsCzUN_A_2Nxdc1E5-kYNwx0Q")</f>
        <v>2_ABaOnucUnBFBhOhyBsBhYWPtBTb35F8gkZ8Lx4PQ8BsCzUN_A_2Nxdc1E5-kYNwx0Q</v>
      </c>
      <c r="D311" s="4" t="str">
        <f ca="1">IFERROR(__xludf.DUMMYFUNCTION("""COMPUTED_VALUE"""),"Đại học")</f>
        <v>Đại học</v>
      </c>
    </row>
    <row r="312" spans="1:4" x14ac:dyDescent="0.25">
      <c r="A312" s="4" t="str">
        <f ca="1">IFERROR(__xludf.DUMMYFUNCTION("""COMPUTED_VALUE"""),"2_ABaOnudq0L_Nd91iiAAVXy9aOD8wGuWVrPrOeTLYm-F6fRs9XCdxoD24eCkEqCR6tQ")</f>
        <v>2_ABaOnudq0L_Nd91iiAAVXy9aOD8wGuWVrPrOeTLYm-F6fRs9XCdxoD24eCkEqCR6tQ</v>
      </c>
      <c r="B312" s="4" t="str">
        <f ca="1">IFERROR(__xludf.DUMMYFUNCTION("""COMPUTED_VALUE"""),"Đại học")</f>
        <v>Đại học</v>
      </c>
      <c r="C312" s="4" t="str">
        <f ca="1">IFERROR(__xludf.DUMMYFUNCTION("""COMPUTED_VALUE"""),"2_ABaOnufW5dnieuD5gzGcbWlDfJjm73Y7LNl7KCJmiXqFRMBsznHgMGtwNJRgBcmVNg")</f>
        <v>2_ABaOnufW5dnieuD5gzGcbWlDfJjm73Y7LNl7KCJmiXqFRMBsznHgMGtwNJRgBcmVNg</v>
      </c>
      <c r="D312" s="4" t="str">
        <f ca="1">IFERROR(__xludf.DUMMYFUNCTION("""COMPUTED_VALUE"""),"Đại học")</f>
        <v>Đại học</v>
      </c>
    </row>
    <row r="313" spans="1:4" x14ac:dyDescent="0.25">
      <c r="A313" s="4" t="str">
        <f ca="1">IFERROR(__xludf.DUMMYFUNCTION("""COMPUTED_VALUE"""),"2_ABaOnucpkhg2HQysTOKpMTOCRpQDPhJYIDuqBaWJbGcVQWAH3U1nrjmH05KzX-mxNA")</f>
        <v>2_ABaOnucpkhg2HQysTOKpMTOCRpQDPhJYIDuqBaWJbGcVQWAH3U1nrjmH05KzX-mxNA</v>
      </c>
      <c r="B313" s="4" t="str">
        <f ca="1">IFERROR(__xludf.DUMMYFUNCTION("""COMPUTED_VALUE"""),"Đại học")</f>
        <v>Đại học</v>
      </c>
      <c r="C313" s="4" t="str">
        <f ca="1">IFERROR(__xludf.DUMMYFUNCTION("""COMPUTED_VALUE"""),"2_ABaOnufgq5aEynvSUutougHaeXkq867agdzcmPyvMpgdST8Yx0XDLNK56nO0kjmaUQ")</f>
        <v>2_ABaOnufgq5aEynvSUutougHaeXkq867agdzcmPyvMpgdST8Yx0XDLNK56nO0kjmaUQ</v>
      </c>
      <c r="D313" s="4" t="str">
        <f ca="1">IFERROR(__xludf.DUMMYFUNCTION("""COMPUTED_VALUE"""),"Sau đại học")</f>
        <v>Sau đại học</v>
      </c>
    </row>
    <row r="314" spans="1:4" x14ac:dyDescent="0.25">
      <c r="A314" s="4" t="str">
        <f ca="1">IFERROR(__xludf.DUMMYFUNCTION("""COMPUTED_VALUE"""),"2_ABaOnue1AX6wugWjqBnAKHBavYvU8I3gtFUGgZAP5kP8iawKoXNqi7PXqG6SXgSfXw")</f>
        <v>2_ABaOnue1AX6wugWjqBnAKHBavYvU8I3gtFUGgZAP5kP8iawKoXNqi7PXqG6SXgSfXw</v>
      </c>
      <c r="B314" s="4" t="str">
        <f ca="1">IFERROR(__xludf.DUMMYFUNCTION("""COMPUTED_VALUE"""),"Đại học")</f>
        <v>Đại học</v>
      </c>
      <c r="C314" s="4" t="str">
        <f ca="1">IFERROR(__xludf.DUMMYFUNCTION("""COMPUTED_VALUE"""),"2_ABaOnufgq5aEynvSUutougHaeXkq867agdzcmPyvMpgdST8Yx0XDLNK56nO0kjmaUQ")</f>
        <v>2_ABaOnufgq5aEynvSUutougHaeXkq867agdzcmPyvMpgdST8Yx0XDLNK56nO0kjmaUQ</v>
      </c>
      <c r="D314" s="4" t="str">
        <f ca="1">IFERROR(__xludf.DUMMYFUNCTION("""COMPUTED_VALUE"""),"Chứng chỉ Kiểm toán viên")</f>
        <v>Chứng chỉ Kiểm toán viên</v>
      </c>
    </row>
    <row r="315" spans="1:4" x14ac:dyDescent="0.25">
      <c r="A315" s="4" t="str">
        <f ca="1">IFERROR(__xludf.DUMMYFUNCTION("""COMPUTED_VALUE"""),"2_ABaOnudBEfL0hTsAruygt-61p35C78821DcLHfC9VvbkKwJjuTBP8fX6KyBCWNkfWw")</f>
        <v>2_ABaOnudBEfL0hTsAruygt-61p35C78821DcLHfC9VvbkKwJjuTBP8fX6KyBCWNkfWw</v>
      </c>
      <c r="B315" s="4" t="str">
        <f ca="1">IFERROR(__xludf.DUMMYFUNCTION("""COMPUTED_VALUE"""),"Đại học, Chứng chỉ Kiểm toán viên")</f>
        <v>Đại học, Chứng chỉ Kiểm toán viên</v>
      </c>
      <c r="C315" s="4" t="str">
        <f ca="1">IFERROR(__xludf.DUMMYFUNCTION("""COMPUTED_VALUE"""),"2_ABaOnudukx-f59PlkQ_6249HQD2IOEyUcXal4SB0NoYn4sTuKDAFrgGvxH5pA9CHhA")</f>
        <v>2_ABaOnudukx-f59PlkQ_6249HQD2IOEyUcXal4SB0NoYn4sTuKDAFrgGvxH5pA9CHhA</v>
      </c>
      <c r="D315" s="4" t="str">
        <f ca="1">IFERROR(__xludf.DUMMYFUNCTION("""COMPUTED_VALUE"""),"Đại học")</f>
        <v>Đại học</v>
      </c>
    </row>
    <row r="316" spans="1:4" x14ac:dyDescent="0.25">
      <c r="A316" s="4" t="str">
        <f ca="1">IFERROR(__xludf.DUMMYFUNCTION("""COMPUTED_VALUE"""),"2_ABaOnufvPofGhNLX47_vFOXoX7BmBiuWT7ClWhOlP1KLu6PnBvUx5TsAUX7USRuI1w")</f>
        <v>2_ABaOnufvPofGhNLX47_vFOXoX7BmBiuWT7ClWhOlP1KLu6PnBvUx5TsAUX7USRuI1w</v>
      </c>
      <c r="B316" s="4" t="str">
        <f ca="1">IFERROR(__xludf.DUMMYFUNCTION("""COMPUTED_VALUE"""),"Đại học")</f>
        <v>Đại học</v>
      </c>
      <c r="C316" s="4" t="str">
        <f ca="1">IFERROR(__xludf.DUMMYFUNCTION("""COMPUTED_VALUE"""),"2_ABaOnufmzWwDlecrezw1FSOgGijAvZTJQd_e0KoDIigQBeDQ_5naCWqjONPeWINmXg")</f>
        <v>2_ABaOnufmzWwDlecrezw1FSOgGijAvZTJQd_e0KoDIigQBeDQ_5naCWqjONPeWINmXg</v>
      </c>
      <c r="D316" s="4" t="str">
        <f ca="1">IFERROR(__xludf.DUMMYFUNCTION("""COMPUTED_VALUE"""),"Đại học")</f>
        <v>Đại học</v>
      </c>
    </row>
    <row r="317" spans="1:4" x14ac:dyDescent="0.25">
      <c r="A317" s="4" t="str">
        <f ca="1">IFERROR(__xludf.DUMMYFUNCTION("""COMPUTED_VALUE"""),"2_ABaOnufysT3lqf5Lj_ltueig0H7jDGcPS3qWPo1ZAkI1bLTw5OoI5trbFXEeiAgrTQ")</f>
        <v>2_ABaOnufysT3lqf5Lj_ltueig0H7jDGcPS3qWPo1ZAkI1bLTw5OoI5trbFXEeiAgrTQ</v>
      </c>
      <c r="B317" s="4" t="str">
        <f ca="1">IFERROR(__xludf.DUMMYFUNCTION("""COMPUTED_VALUE"""),"Đại học")</f>
        <v>Đại học</v>
      </c>
      <c r="C317" s="4" t="str">
        <f ca="1">IFERROR(__xludf.DUMMYFUNCTION("""COMPUTED_VALUE"""),"2_ABaOnudVf1WqnT5AZm_zCnbm29iC3Hp_zMRRJAtofPOh-nM2Dbb7SmgWq49lSDXyNA")</f>
        <v>2_ABaOnudVf1WqnT5AZm_zCnbm29iC3Hp_zMRRJAtofPOh-nM2Dbb7SmgWq49lSDXyNA</v>
      </c>
      <c r="D317" s="4" t="str">
        <f ca="1">IFERROR(__xludf.DUMMYFUNCTION("""COMPUTED_VALUE"""),"Đại học")</f>
        <v>Đại học</v>
      </c>
    </row>
    <row r="318" spans="1:4" x14ac:dyDescent="0.25">
      <c r="A318" s="4" t="str">
        <f ca="1">IFERROR(__xludf.DUMMYFUNCTION("""COMPUTED_VALUE"""),"2_ABaOnucNcYNWs4IPPkrkb4qWZSkrna9iCPmaIUMEqMPqcA9j0IJgtBB64WCblYwgCg")</f>
        <v>2_ABaOnucNcYNWs4IPPkrkb4qWZSkrna9iCPmaIUMEqMPqcA9j0IJgtBB64WCblYwgCg</v>
      </c>
      <c r="B318" s="4" t="str">
        <f ca="1">IFERROR(__xludf.DUMMYFUNCTION("""COMPUTED_VALUE"""),"Đại học, Sau đại học")</f>
        <v>Đại học, Sau đại học</v>
      </c>
      <c r="C318" s="4" t="str">
        <f ca="1">IFERROR(__xludf.DUMMYFUNCTION("""COMPUTED_VALUE"""),"2_ABaOnuf0MlrmlEpHOXfohsbbuXDMIrHUxUI7pl0j2LQOAaxBOyIlwjU_wkMkwrqyUQ")</f>
        <v>2_ABaOnuf0MlrmlEpHOXfohsbbuXDMIrHUxUI7pl0j2LQOAaxBOyIlwjU_wkMkwrqyUQ</v>
      </c>
      <c r="D318" s="4" t="str">
        <f ca="1">IFERROR(__xludf.DUMMYFUNCTION("""COMPUTED_VALUE"""),"Đại học")</f>
        <v>Đại học</v>
      </c>
    </row>
    <row r="319" spans="1:4" x14ac:dyDescent="0.25">
      <c r="A319" s="4" t="str">
        <f ca="1">IFERROR(__xludf.DUMMYFUNCTION("""COMPUTED_VALUE"""),"2_ABaOnuflnqiAbEsVlajlj3MahuL-H4DAe3pAUcf1s__dgzUFddmPZY7XINNM7JN8Bw")</f>
        <v>2_ABaOnuflnqiAbEsVlajlj3MahuL-H4DAe3pAUcf1s__dgzUFddmPZY7XINNM7JN8Bw</v>
      </c>
      <c r="B319" s="4" t="str">
        <f ca="1">IFERROR(__xludf.DUMMYFUNCTION("""COMPUTED_VALUE"""),"Sau đại học, Chứng chỉ Kiểm toán viên")</f>
        <v>Sau đại học, Chứng chỉ Kiểm toán viên</v>
      </c>
      <c r="C319" s="4" t="str">
        <f ca="1">IFERROR(__xludf.DUMMYFUNCTION("""COMPUTED_VALUE"""),"2_ABaOnudqhMlFsL7lIMWSnHL6E2S5zQ_58efo7bioiyb8mc-ZTZVn0j6zxx8uRVE4jg")</f>
        <v>2_ABaOnudqhMlFsL7lIMWSnHL6E2S5zQ_58efo7bioiyb8mc-ZTZVn0j6zxx8uRVE4jg</v>
      </c>
      <c r="D319" s="4" t="str">
        <f ca="1">IFERROR(__xludf.DUMMYFUNCTION("""COMPUTED_VALUE"""),"Đại học")</f>
        <v>Đại học</v>
      </c>
    </row>
    <row r="320" spans="1:4" x14ac:dyDescent="0.25">
      <c r="A320" s="4" t="str">
        <f ca="1">IFERROR(__xludf.DUMMYFUNCTION("""COMPUTED_VALUE"""),"2_ABaOnudSVDBKCSmnhXN0XzhVD-TDBVYP93DBBa-OMI4HuUMi7mzuZ9IwMxV8tnJIOg")</f>
        <v>2_ABaOnudSVDBKCSmnhXN0XzhVD-TDBVYP93DBBa-OMI4HuUMi7mzuZ9IwMxV8tnJIOg</v>
      </c>
      <c r="B320" s="4" t="str">
        <f ca="1">IFERROR(__xludf.DUMMYFUNCTION("""COMPUTED_VALUE"""),"Đại học")</f>
        <v>Đại học</v>
      </c>
      <c r="C320" s="4" t="str">
        <f ca="1">IFERROR(__xludf.DUMMYFUNCTION("""COMPUTED_VALUE"""),"2_ABaOnuc7hEl-Cqdwgcr_d1DtNdjAHSEmK8jlBJoJefJ5TcbbXqyrR4uzcc1aj3l_ig")</f>
        <v>2_ABaOnuc7hEl-Cqdwgcr_d1DtNdjAHSEmK8jlBJoJefJ5TcbbXqyrR4uzcc1aj3l_ig</v>
      </c>
      <c r="D320" s="4" t="str">
        <f ca="1">IFERROR(__xludf.DUMMYFUNCTION("""COMPUTED_VALUE"""),"Đại học")</f>
        <v>Đại học</v>
      </c>
    </row>
    <row r="321" spans="1:4" x14ac:dyDescent="0.25">
      <c r="A321" s="4" t="str">
        <f ca="1">IFERROR(__xludf.DUMMYFUNCTION("""COMPUTED_VALUE"""),"2_ABaOnuffpPbQLTKPaWrTzQYLWNqG-1mouBmH1tVS9x8SS4shmSwDkRwcmHZu4V-_JQ")</f>
        <v>2_ABaOnuffpPbQLTKPaWrTzQYLWNqG-1mouBmH1tVS9x8SS4shmSwDkRwcmHZu4V-_JQ</v>
      </c>
      <c r="B321" s="4" t="str">
        <f ca="1">IFERROR(__xludf.DUMMYFUNCTION("""COMPUTED_VALUE"""),"Chứng chỉ Kiểm toán viên")</f>
        <v>Chứng chỉ Kiểm toán viên</v>
      </c>
      <c r="C321" s="4" t="str">
        <f ca="1">IFERROR(__xludf.DUMMYFUNCTION("""COMPUTED_VALUE"""),"2_ABaOnudRaaa9IVdY3gt0h08KNkSanoKFWW5rdWdDkqBejJ6eyfj28UOTLQbqz_dfSQ")</f>
        <v>2_ABaOnudRaaa9IVdY3gt0h08KNkSanoKFWW5rdWdDkqBejJ6eyfj28UOTLQbqz_dfSQ</v>
      </c>
      <c r="D321" s="4" t="str">
        <f ca="1">IFERROR(__xludf.DUMMYFUNCTION("""COMPUTED_VALUE"""),"Sau đại học")</f>
        <v>Sau đại học</v>
      </c>
    </row>
    <row r="322" spans="1:4" x14ac:dyDescent="0.25">
      <c r="A322" s="4" t="str">
        <f ca="1">IFERROR(__xludf.DUMMYFUNCTION("""COMPUTED_VALUE"""),"2_ABaOnuckC40G_iSdNXlaCng0MY-8g9t4d9NebCtb4EvG0XZP0w0pduD20CR5RHOqqw")</f>
        <v>2_ABaOnuckC40G_iSdNXlaCng0MY-8g9t4d9NebCtb4EvG0XZP0w0pduD20CR5RHOqqw</v>
      </c>
      <c r="B322" s="4" t="str">
        <f ca="1">IFERROR(__xludf.DUMMYFUNCTION("""COMPUTED_VALUE"""),"Đại học")</f>
        <v>Đại học</v>
      </c>
      <c r="C322" s="4" t="str">
        <f ca="1">IFERROR(__xludf.DUMMYFUNCTION("""COMPUTED_VALUE"""),"2_ABaOnucDvBwFvDVv_JwFYIPUHj35ynQPeknKIfwaIv9wOUzJhMC8zL-qryqpfSzXaA")</f>
        <v>2_ABaOnucDvBwFvDVv_JwFYIPUHj35ynQPeknKIfwaIv9wOUzJhMC8zL-qryqpfSzXaA</v>
      </c>
      <c r="D322" s="4" t="str">
        <f ca="1">IFERROR(__xludf.DUMMYFUNCTION("""COMPUTED_VALUE"""),"Đại học")</f>
        <v>Đại học</v>
      </c>
    </row>
    <row r="323" spans="1:4" x14ac:dyDescent="0.25">
      <c r="A323" s="4" t="str">
        <f ca="1">IFERROR(__xludf.DUMMYFUNCTION("""COMPUTED_VALUE"""),"2_ABaOnuf_HCtJq16zWlqWUGsrc6p5gkFvWOY731rDJPuobu-D9mJuTOEi9hWURf9O5w")</f>
        <v>2_ABaOnuf_HCtJq16zWlqWUGsrc6p5gkFvWOY731rDJPuobu-D9mJuTOEi9hWURf9O5w</v>
      </c>
      <c r="B323" s="4" t="str">
        <f ca="1">IFERROR(__xludf.DUMMYFUNCTION("""COMPUTED_VALUE"""),"Đại học")</f>
        <v>Đại học</v>
      </c>
      <c r="C323" s="4" t="str">
        <f ca="1">IFERROR(__xludf.DUMMYFUNCTION("""COMPUTED_VALUE"""),"2_ABaOnudmGJ2t2hP6UPbQAQi2gSJTVtgV4nWGJw5-eeYg4nIIxiZIBm2-v7NItHYpQw")</f>
        <v>2_ABaOnudmGJ2t2hP6UPbQAQi2gSJTVtgV4nWGJw5-eeYg4nIIxiZIBm2-v7NItHYpQw</v>
      </c>
      <c r="D323" s="4" t="str">
        <f ca="1">IFERROR(__xludf.DUMMYFUNCTION("""COMPUTED_VALUE"""),"Đại học")</f>
        <v>Đại học</v>
      </c>
    </row>
    <row r="324" spans="1:4" x14ac:dyDescent="0.25">
      <c r="A324" s="4" t="str">
        <f ca="1">IFERROR(__xludf.DUMMYFUNCTION("""COMPUTED_VALUE"""),"2_ABaOnue6qDfYgD1fVLZ0YpwYl7f0ZN-VPYj1qmLZMPlkTGRN3a4PRAoaAluxdqKchQ")</f>
        <v>2_ABaOnue6qDfYgD1fVLZ0YpwYl7f0ZN-VPYj1qmLZMPlkTGRN3a4PRAoaAluxdqKchQ</v>
      </c>
      <c r="B324" s="4" t="str">
        <f ca="1">IFERROR(__xludf.DUMMYFUNCTION("""COMPUTED_VALUE"""),"Chứng chỉ Kiểm toán viên")</f>
        <v>Chứng chỉ Kiểm toán viên</v>
      </c>
      <c r="C324" s="4" t="str">
        <f ca="1">IFERROR(__xludf.DUMMYFUNCTION("""COMPUTED_VALUE"""),"2_ABaOnudmGJ2t2hP6UPbQAQi2gSJTVtgV4nWGJw5-eeYg4nIIxiZIBm2-v7NItHYpQw")</f>
        <v>2_ABaOnudmGJ2t2hP6UPbQAQi2gSJTVtgV4nWGJw5-eeYg4nIIxiZIBm2-v7NItHYpQw</v>
      </c>
      <c r="D324" s="4" t="str">
        <f ca="1">IFERROR(__xludf.DUMMYFUNCTION("""COMPUTED_VALUE"""),"Chứng chỉ Kiểm toán viên")</f>
        <v>Chứng chỉ Kiểm toán viên</v>
      </c>
    </row>
    <row r="325" spans="1:4" x14ac:dyDescent="0.25">
      <c r="A325" s="4" t="str">
        <f ca="1">IFERROR(__xludf.DUMMYFUNCTION("""COMPUTED_VALUE"""),"2_ABaOnucHcHvqjSuWuNXqqBVO87TvuzJQ-OaA90MYhfCJzji2iAsF7w7HgDSM1pUw9Q")</f>
        <v>2_ABaOnucHcHvqjSuWuNXqqBVO87TvuzJQ-OaA90MYhfCJzji2iAsF7w7HgDSM1pUw9Q</v>
      </c>
      <c r="B325" s="4" t="str">
        <f ca="1">IFERROR(__xludf.DUMMYFUNCTION("""COMPUTED_VALUE"""),"Đại học, Chứng chỉ Kiểm toán viên")</f>
        <v>Đại học, Chứng chỉ Kiểm toán viên</v>
      </c>
      <c r="C325" s="4" t="str">
        <f ca="1">IFERROR(__xludf.DUMMYFUNCTION("""COMPUTED_VALUE"""),"2_ABaOnufLFttHUvAA8TpUlBsy8MB6o2cA-8LEuWQ6f-VoAvrfo4rNYJvNGIz0RCF70Q")</f>
        <v>2_ABaOnufLFttHUvAA8TpUlBsy8MB6o2cA-8LEuWQ6f-VoAvrfo4rNYJvNGIz0RCF70Q</v>
      </c>
      <c r="D325" s="4" t="str">
        <f ca="1">IFERROR(__xludf.DUMMYFUNCTION("""COMPUTED_VALUE"""),"Sau đại học")</f>
        <v>Sau đại học</v>
      </c>
    </row>
    <row r="326" spans="1:4" x14ac:dyDescent="0.25">
      <c r="A326" s="4" t="str">
        <f ca="1">IFERROR(__xludf.DUMMYFUNCTION("""COMPUTED_VALUE"""),"2_ABaOnufFgDeuOcY6GTO_GBI7DJ91AguhXmrMszqT7JVwqQXqLQ6VEgiviuSjNH3hyw")</f>
        <v>2_ABaOnufFgDeuOcY6GTO_GBI7DJ91AguhXmrMszqT7JVwqQXqLQ6VEgiviuSjNH3hyw</v>
      </c>
      <c r="B326" s="4" t="str">
        <f ca="1">IFERROR(__xludf.DUMMYFUNCTION("""COMPUTED_VALUE"""),"Đại học, Chứng chỉ Kiểm toán viên")</f>
        <v>Đại học, Chứng chỉ Kiểm toán viên</v>
      </c>
      <c r="C326" s="4" t="str">
        <f ca="1">IFERROR(__xludf.DUMMYFUNCTION("""COMPUTED_VALUE"""),"2_ABaOnueLS5FNdJ4cqgIOW_p7oatCLFBlcuPlqEvSv4hyWpxWj52FLwgjroRuetAQzg")</f>
        <v>2_ABaOnueLS5FNdJ4cqgIOW_p7oatCLFBlcuPlqEvSv4hyWpxWj52FLwgjroRuetAQzg</v>
      </c>
      <c r="D326" s="4" t="str">
        <f ca="1">IFERROR(__xludf.DUMMYFUNCTION("""COMPUTED_VALUE"""),"Đại học")</f>
        <v>Đại học</v>
      </c>
    </row>
    <row r="327" spans="1:4" x14ac:dyDescent="0.25">
      <c r="A327" s="4" t="str">
        <f ca="1">IFERROR(__xludf.DUMMYFUNCTION("""COMPUTED_VALUE"""),"2_ABaOnucDXjCTBqoxc3iLyQ-ZsU56hLkIappDnk8CSwMwXKXB_sdTr0IvyMIuT0egXw")</f>
        <v>2_ABaOnucDXjCTBqoxc3iLyQ-ZsU56hLkIappDnk8CSwMwXKXB_sdTr0IvyMIuT0egXw</v>
      </c>
      <c r="B327" s="4" t="str">
        <f ca="1">IFERROR(__xludf.DUMMYFUNCTION("""COMPUTED_VALUE"""),"Đại học")</f>
        <v>Đại học</v>
      </c>
      <c r="C327" s="4" t="str">
        <f ca="1">IFERROR(__xludf.DUMMYFUNCTION("""COMPUTED_VALUE"""),"2_ABaOnudggPCeqad4ZK_vlCaIGdIRR_CemQNAdqZ853UFprSOHSfK2GWgDe4DciECgA")</f>
        <v>2_ABaOnudggPCeqad4ZK_vlCaIGdIRR_CemQNAdqZ853UFprSOHSfK2GWgDe4DciECgA</v>
      </c>
      <c r="D327" s="4" t="str">
        <f ca="1">IFERROR(__xludf.DUMMYFUNCTION("""COMPUTED_VALUE"""),"Đại học")</f>
        <v>Đại học</v>
      </c>
    </row>
    <row r="328" spans="1:4" x14ac:dyDescent="0.25">
      <c r="A328" s="4" t="str">
        <f ca="1">IFERROR(__xludf.DUMMYFUNCTION("""COMPUTED_VALUE"""),"2_ABaOnudw__1wigM79SiINEzvqfIccZNXypCbVodBDsA705Mxb8Jwg1HKCeB7t4yZbw")</f>
        <v>2_ABaOnudw__1wigM79SiINEzvqfIccZNXypCbVodBDsA705Mxb8Jwg1HKCeB7t4yZbw</v>
      </c>
      <c r="B328" s="4" t="str">
        <f ca="1">IFERROR(__xludf.DUMMYFUNCTION("""COMPUTED_VALUE"""),"Đại học")</f>
        <v>Đại học</v>
      </c>
      <c r="C328" s="4" t="str">
        <f ca="1">IFERROR(__xludf.DUMMYFUNCTION("""COMPUTED_VALUE"""),"2_ABaOnudecEAZt3l2HMuyZG3Khw7HO3l4X8xVLSGI-Z7s87CKwJ4AnbyBTPNNLbHUOQ")</f>
        <v>2_ABaOnudecEAZt3l2HMuyZG3Khw7HO3l4X8xVLSGI-Z7s87CKwJ4AnbyBTPNNLbHUOQ</v>
      </c>
      <c r="D328" s="4" t="str">
        <f ca="1">IFERROR(__xludf.DUMMYFUNCTION("""COMPUTED_VALUE"""),"Đại học")</f>
        <v>Đại học</v>
      </c>
    </row>
    <row r="329" spans="1:4" x14ac:dyDescent="0.25">
      <c r="A329" s="4" t="str">
        <f ca="1">IFERROR(__xludf.DUMMYFUNCTION("""COMPUTED_VALUE"""),"2_ABaOnuecomaMOvFfHS70Q4Api7HoCdYZmw9gp2tDDJV1S7_Cn9evFTXsXNJlFukzlQ")</f>
        <v>2_ABaOnuecomaMOvFfHS70Q4Api7HoCdYZmw9gp2tDDJV1S7_Cn9evFTXsXNJlFukzlQ</v>
      </c>
      <c r="B329" s="4" t="str">
        <f ca="1">IFERROR(__xludf.DUMMYFUNCTION("""COMPUTED_VALUE"""),"Đại học")</f>
        <v>Đại học</v>
      </c>
      <c r="C329" s="4" t="str">
        <f ca="1">IFERROR(__xludf.DUMMYFUNCTION("""COMPUTED_VALUE"""),"2_ABaOnueVqNDggpvcT69sVVlDDeQASz-oIcq8oJ3eALku6D7i2BW9QrQuCA25Z3UQhg")</f>
        <v>2_ABaOnueVqNDggpvcT69sVVlDDeQASz-oIcq8oJ3eALku6D7i2BW9QrQuCA25Z3UQhg</v>
      </c>
      <c r="D329" s="4" t="str">
        <f ca="1">IFERROR(__xludf.DUMMYFUNCTION("""COMPUTED_VALUE"""),"Đại học")</f>
        <v>Đại học</v>
      </c>
    </row>
    <row r="330" spans="1:4" x14ac:dyDescent="0.25">
      <c r="A330" s="4" t="str">
        <f ca="1">IFERROR(__xludf.DUMMYFUNCTION("""COMPUTED_VALUE"""),"2_ABaOnuci1JL6-K-xnl5lEbrBCMWRGsqY6A2N53EGGOPt1mjvUoCIzKWdIrBZCubZvQ")</f>
        <v>2_ABaOnuci1JL6-K-xnl5lEbrBCMWRGsqY6A2N53EGGOPt1mjvUoCIzKWdIrBZCubZvQ</v>
      </c>
      <c r="B330" s="4" t="str">
        <f ca="1">IFERROR(__xludf.DUMMYFUNCTION("""COMPUTED_VALUE"""),"Đại học")</f>
        <v>Đại học</v>
      </c>
      <c r="C330" s="4" t="str">
        <f ca="1">IFERROR(__xludf.DUMMYFUNCTION("""COMPUTED_VALUE"""),"2_ABaOnufmAW83-bF71z0NzYksjV2YNWKjAsK5Fz6cPuuaxkItN6fDPen_V8LN9sk5qw")</f>
        <v>2_ABaOnufmAW83-bF71z0NzYksjV2YNWKjAsK5Fz6cPuuaxkItN6fDPen_V8LN9sk5qw</v>
      </c>
      <c r="D330" s="4" t="str">
        <f ca="1">IFERROR(__xludf.DUMMYFUNCTION("""COMPUTED_VALUE"""),"Đại học")</f>
        <v>Đại học</v>
      </c>
    </row>
    <row r="331" spans="1:4" x14ac:dyDescent="0.25">
      <c r="A331" s="4" t="str">
        <f ca="1">IFERROR(__xludf.DUMMYFUNCTION("""COMPUTED_VALUE"""),"2_ABaOnue9vcYUrMmZcFR2JwFrCzwOwiRY5EcHQM6zZQWKz0wDDtRche3IxSqz8kuQSg")</f>
        <v>2_ABaOnue9vcYUrMmZcFR2JwFrCzwOwiRY5EcHQM6zZQWKz0wDDtRche3IxSqz8kuQSg</v>
      </c>
      <c r="B331" s="4" t="str">
        <f ca="1">IFERROR(__xludf.DUMMYFUNCTION("""COMPUTED_VALUE"""),"Đại học, Chứng chỉ Kiểm toán viên")</f>
        <v>Đại học, Chứng chỉ Kiểm toán viên</v>
      </c>
      <c r="C331" s="4" t="str">
        <f ca="1">IFERROR(__xludf.DUMMYFUNCTION("""COMPUTED_VALUE"""),"2_ABaOnudipEFllMRWiBsNyVWbNaPwszaFLRS_iXw73B0KLJcO9Og5a2sRwPvQxm5FjA")</f>
        <v>2_ABaOnudipEFllMRWiBsNyVWbNaPwszaFLRS_iXw73B0KLJcO9Og5a2sRwPvQxm5FjA</v>
      </c>
      <c r="D331" s="4" t="str">
        <f ca="1">IFERROR(__xludf.DUMMYFUNCTION("""COMPUTED_VALUE"""),"Đại học")</f>
        <v>Đại học</v>
      </c>
    </row>
    <row r="332" spans="1:4" x14ac:dyDescent="0.25">
      <c r="A332" s="4" t="str">
        <f ca="1">IFERROR(__xludf.DUMMYFUNCTION("""COMPUTED_VALUE"""),"2_ABaOnud_yioWDoZWkVCh99dxDM0y90g3YYAOg7sRqJIsr7BqcuiaP3mLcEnaML-1LQ")</f>
        <v>2_ABaOnud_yioWDoZWkVCh99dxDM0y90g3YYAOg7sRqJIsr7BqcuiaP3mLcEnaML-1LQ</v>
      </c>
      <c r="B332" s="4" t="str">
        <f ca="1">IFERROR(__xludf.DUMMYFUNCTION("""COMPUTED_VALUE"""),"Đại học")</f>
        <v>Đại học</v>
      </c>
      <c r="C332" s="4" t="str">
        <f ca="1">IFERROR(__xludf.DUMMYFUNCTION("""COMPUTED_VALUE"""),"2_ABaOnudKMXRkdarDVJBjW_L9pEZ-EILs6T33CNURikezejCLMZ4JTwPMFS4CPLnzsQ")</f>
        <v>2_ABaOnudKMXRkdarDVJBjW_L9pEZ-EILs6T33CNURikezejCLMZ4JTwPMFS4CPLnzsQ</v>
      </c>
      <c r="D332" s="4" t="str">
        <f ca="1">IFERROR(__xludf.DUMMYFUNCTION("""COMPUTED_VALUE"""),"Đại học")</f>
        <v>Đại học</v>
      </c>
    </row>
    <row r="333" spans="1:4" x14ac:dyDescent="0.25">
      <c r="A333" s="4" t="str">
        <f ca="1">IFERROR(__xludf.DUMMYFUNCTION("""COMPUTED_VALUE"""),"2_ABaOnuebg5yMZjzdEnQpObFvxbWeI3XLxpzYzaVfP35sld6hpT3p-uiQ0QQHeUZDcw")</f>
        <v>2_ABaOnuebg5yMZjzdEnQpObFvxbWeI3XLxpzYzaVfP35sld6hpT3p-uiQ0QQHeUZDcw</v>
      </c>
      <c r="B333" s="4" t="str">
        <f ca="1">IFERROR(__xludf.DUMMYFUNCTION("""COMPUTED_VALUE"""),"Sau đại học, Chứng chỉ Kiểm toán viên")</f>
        <v>Sau đại học, Chứng chỉ Kiểm toán viên</v>
      </c>
      <c r="C333" s="4" t="str">
        <f ca="1">IFERROR(__xludf.DUMMYFUNCTION("""COMPUTED_VALUE"""),"2_ABaOnuf8SMGlzcMhzPdlvc0jUW9V5O8Tfa4zL5wD87axUq8FmY9xg1JQQhFOlB5HkA")</f>
        <v>2_ABaOnuf8SMGlzcMhzPdlvc0jUW9V5O8Tfa4zL5wD87axUq8FmY9xg1JQQhFOlB5HkA</v>
      </c>
      <c r="D333" s="4" t="str">
        <f ca="1">IFERROR(__xludf.DUMMYFUNCTION("""COMPUTED_VALUE"""),"Chứng chỉ Kiểm toán viên")</f>
        <v>Chứng chỉ Kiểm toán viên</v>
      </c>
    </row>
    <row r="334" spans="1:4" x14ac:dyDescent="0.25">
      <c r="A334" s="4" t="str">
        <f ca="1">IFERROR(__xludf.DUMMYFUNCTION("""COMPUTED_VALUE"""),"2_ABaOnucBOeV4AvywcNhyBiBtuyKDmr2HVm9oCZMouAW71aNYENRisDHNThGuXX5fUg")</f>
        <v>2_ABaOnucBOeV4AvywcNhyBiBtuyKDmr2HVm9oCZMouAW71aNYENRisDHNThGuXX5fUg</v>
      </c>
      <c r="B334" s="4" t="str">
        <f ca="1">IFERROR(__xludf.DUMMYFUNCTION("""COMPUTED_VALUE"""),"Đại học, Chứng chỉ Kiểm toán viên")</f>
        <v>Đại học, Chứng chỉ Kiểm toán viên</v>
      </c>
      <c r="C334" s="4" t="str">
        <f ca="1">IFERROR(__xludf.DUMMYFUNCTION("""COMPUTED_VALUE"""),"2_ABaOnuef7VoJeUrVMwlD-vbliphrDgebVzMONIUsnt08pfsRQPUKH9NnhbHDLsIgyw")</f>
        <v>2_ABaOnuef7VoJeUrVMwlD-vbliphrDgebVzMONIUsnt08pfsRQPUKH9NnhbHDLsIgyw</v>
      </c>
      <c r="D334" s="4" t="str">
        <f ca="1">IFERROR(__xludf.DUMMYFUNCTION("""COMPUTED_VALUE"""),"Đại học")</f>
        <v>Đại học</v>
      </c>
    </row>
    <row r="335" spans="1:4" x14ac:dyDescent="0.25">
      <c r="A335" s="4" t="str">
        <f ca="1">IFERROR(__xludf.DUMMYFUNCTION("""COMPUTED_VALUE"""),"2_ABaOnufUZjRTVGJhZeA1IrlY5KywAaUxYVytD5t5ienfy6n1GJTUyo700pQoXrbwpw")</f>
        <v>2_ABaOnufUZjRTVGJhZeA1IrlY5KywAaUxYVytD5t5ienfy6n1GJTUyo700pQoXrbwpw</v>
      </c>
      <c r="B335" s="4" t="str">
        <f ca="1">IFERROR(__xludf.DUMMYFUNCTION("""COMPUTED_VALUE"""),"Đại học, Chứng chỉ Kiểm toán viên")</f>
        <v>Đại học, Chứng chỉ Kiểm toán viên</v>
      </c>
      <c r="C335" s="4" t="str">
        <f ca="1">IFERROR(__xludf.DUMMYFUNCTION("""COMPUTED_VALUE"""),"2_ABaOnufSLC4RuwKq8cKyKrQt5kajqmggPdeF32g-mi1XM6ShWzAioW9qmbR6eUhzjA")</f>
        <v>2_ABaOnufSLC4RuwKq8cKyKrQt5kajqmggPdeF32g-mi1XM6ShWzAioW9qmbR6eUhzjA</v>
      </c>
      <c r="D335" s="4" t="str">
        <f ca="1">IFERROR(__xludf.DUMMYFUNCTION("""COMPUTED_VALUE"""),"Đại học")</f>
        <v>Đại học</v>
      </c>
    </row>
    <row r="336" spans="1:4" x14ac:dyDescent="0.25">
      <c r="A336" s="4" t="str">
        <f ca="1">IFERROR(__xludf.DUMMYFUNCTION("""COMPUTED_VALUE"""),"2_ABaOnucoHSIP4go9E4u2DHmTRymkYsKTs5lgie1ni6REiPKNRySiMHM4IRF9pkbpEw")</f>
        <v>2_ABaOnucoHSIP4go9E4u2DHmTRymkYsKTs5lgie1ni6REiPKNRySiMHM4IRF9pkbpEw</v>
      </c>
      <c r="B336" s="4" t="str">
        <f ca="1">IFERROR(__xludf.DUMMYFUNCTION("""COMPUTED_VALUE"""),"Đại học")</f>
        <v>Đại học</v>
      </c>
      <c r="C336" s="4" t="str">
        <f ca="1">IFERROR(__xludf.DUMMYFUNCTION("""COMPUTED_VALUE"""),"2_ABaOnufQrWGg5oNW--E64j0ZxxwNOcch5DAh5mdUgpnXKoJk1kf6KydbbhcNGOruoQ")</f>
        <v>2_ABaOnufQrWGg5oNW--E64j0ZxxwNOcch5DAh5mdUgpnXKoJk1kf6KydbbhcNGOruoQ</v>
      </c>
      <c r="D336" s="4" t="str">
        <f ca="1">IFERROR(__xludf.DUMMYFUNCTION("""COMPUTED_VALUE"""),"Đại học")</f>
        <v>Đại học</v>
      </c>
    </row>
    <row r="337" spans="1:4" x14ac:dyDescent="0.25">
      <c r="A337" s="4" t="str">
        <f ca="1">IFERROR(__xludf.DUMMYFUNCTION("""COMPUTED_VALUE"""),"2_ABaOnufDYc2sANdj4Re2BeT2uYjbckWHpqijC-9epoCl65qYJS10ebgpQ4FLOm20PQ")</f>
        <v>2_ABaOnufDYc2sANdj4Re2BeT2uYjbckWHpqijC-9epoCl65qYJS10ebgpQ4FLOm20PQ</v>
      </c>
      <c r="B337" s="4" t="str">
        <f ca="1">IFERROR(__xludf.DUMMYFUNCTION("""COMPUTED_VALUE"""),"Đại học")</f>
        <v>Đại học</v>
      </c>
      <c r="C337" s="4" t="str">
        <f ca="1">IFERROR(__xludf.DUMMYFUNCTION("""COMPUTED_VALUE"""),"2_ABaOnucUEZ2q3JyQTIRC_7K16Z-LznaCzza_BgDPieuB2CiJZX91FZ5bzYnTsE0OVw")</f>
        <v>2_ABaOnucUEZ2q3JyQTIRC_7K16Z-LznaCzza_BgDPieuB2CiJZX91FZ5bzYnTsE0OVw</v>
      </c>
      <c r="D337" s="4" t="str">
        <f ca="1">IFERROR(__xludf.DUMMYFUNCTION("""COMPUTED_VALUE"""),"Đại học")</f>
        <v>Đại học</v>
      </c>
    </row>
    <row r="338" spans="1:4" x14ac:dyDescent="0.25">
      <c r="A338" s="4" t="str">
        <f ca="1">IFERROR(__xludf.DUMMYFUNCTION("""COMPUTED_VALUE"""),"2_ABaOnudeE8zE_fG6m3Ito0GmxMTyHWBcNTzZju7FSx5T_K2mMtsmChV9uP1Dv9YZQg")</f>
        <v>2_ABaOnudeE8zE_fG6m3Ito0GmxMTyHWBcNTzZju7FSx5T_K2mMtsmChV9uP1Dv9YZQg</v>
      </c>
      <c r="B338" s="4" t="str">
        <f ca="1">IFERROR(__xludf.DUMMYFUNCTION("""COMPUTED_VALUE"""),"Đại học, Chứng chỉ Kiểm toán viên")</f>
        <v>Đại học, Chứng chỉ Kiểm toán viên</v>
      </c>
      <c r="C338" s="4" t="str">
        <f ca="1">IFERROR(__xludf.DUMMYFUNCTION("""COMPUTED_VALUE"""),"2_ABaOnuciMApyeHd0OQsDWh4P0ONL1WGL4US31-CGtNNaZf7Bsqw7SR5_aVDw4PvXiA")</f>
        <v>2_ABaOnuciMApyeHd0OQsDWh4P0ONL1WGL4US31-CGtNNaZf7Bsqw7SR5_aVDw4PvXiA</v>
      </c>
      <c r="D338" s="4" t="str">
        <f ca="1">IFERROR(__xludf.DUMMYFUNCTION("""COMPUTED_VALUE"""),"Đại học")</f>
        <v>Đại học</v>
      </c>
    </row>
    <row r="339" spans="1:4" x14ac:dyDescent="0.25">
      <c r="A339" s="4" t="str">
        <f ca="1">IFERROR(__xludf.DUMMYFUNCTION("""COMPUTED_VALUE"""),"2_ABaOnuej__WEYTq6X3aFkPBYskeEX2bjd77oZWngA_W57p5ywpov7moi7h0JUMr59w")</f>
        <v>2_ABaOnuej__WEYTq6X3aFkPBYskeEX2bjd77oZWngA_W57p5ywpov7moi7h0JUMr59w</v>
      </c>
      <c r="B339" s="4" t="str">
        <f ca="1">IFERROR(__xludf.DUMMYFUNCTION("""COMPUTED_VALUE"""),"Đại học, Chứng chỉ Kiểm toán viên")</f>
        <v>Đại học, Chứng chỉ Kiểm toán viên</v>
      </c>
      <c r="C339" s="4" t="str">
        <f ca="1">IFERROR(__xludf.DUMMYFUNCTION("""COMPUTED_VALUE"""),"2_ABaOnucNtQVBC9oOl2HgzDtPH1cUpWZHOVc8MovdeZFx6zkGkYtQnLMASqfkhR7cAQ")</f>
        <v>2_ABaOnucNtQVBC9oOl2HgzDtPH1cUpWZHOVc8MovdeZFx6zkGkYtQnLMASqfkhR7cAQ</v>
      </c>
      <c r="D339" s="4" t="str">
        <f ca="1">IFERROR(__xludf.DUMMYFUNCTION("""COMPUTED_VALUE"""),"Đại học")</f>
        <v>Đại học</v>
      </c>
    </row>
    <row r="340" spans="1:4" x14ac:dyDescent="0.25">
      <c r="A340" s="4" t="str">
        <f ca="1">IFERROR(__xludf.DUMMYFUNCTION("""COMPUTED_VALUE"""),"2_ABaOnudoWzG9mvAdY-NpMGraQx3ujzc_f12oQD6R7Km6XGNKB6MeHCi6kxY79IpG7A")</f>
        <v>2_ABaOnudoWzG9mvAdY-NpMGraQx3ujzc_f12oQD6R7Km6XGNKB6MeHCi6kxY79IpG7A</v>
      </c>
      <c r="B340" s="4" t="str">
        <f ca="1">IFERROR(__xludf.DUMMYFUNCTION("""COMPUTED_VALUE"""),"Đại học")</f>
        <v>Đại học</v>
      </c>
      <c r="C340" s="4" t="str">
        <f ca="1">IFERROR(__xludf.DUMMYFUNCTION("""COMPUTED_VALUE"""),"2_ABaOnucNtQVBC9oOl2HgzDtPH1cUpWZHOVc8MovdeZFx6zkGkYtQnLMASqfkhR7cAQ")</f>
        <v>2_ABaOnucNtQVBC9oOl2HgzDtPH1cUpWZHOVc8MovdeZFx6zkGkYtQnLMASqfkhR7cAQ</v>
      </c>
      <c r="D340" s="4" t="str">
        <f ca="1">IFERROR(__xludf.DUMMYFUNCTION("""COMPUTED_VALUE"""),"Chứng chỉ Kiểm toán viên")</f>
        <v>Chứng chỉ Kiểm toán viên</v>
      </c>
    </row>
    <row r="341" spans="1:4" x14ac:dyDescent="0.25">
      <c r="A341" s="4" t="str">
        <f ca="1">IFERROR(__xludf.DUMMYFUNCTION("""COMPUTED_VALUE"""),"2_ABaOnucg9jZ80v_phyVMVyDmO3CI5NOFIsgu24-5q7YCTjdAEs10HkoYzsKmLqzdMw")</f>
        <v>2_ABaOnucg9jZ80v_phyVMVyDmO3CI5NOFIsgu24-5q7YCTjdAEs10HkoYzsKmLqzdMw</v>
      </c>
      <c r="B341" s="4" t="str">
        <f ca="1">IFERROR(__xludf.DUMMYFUNCTION("""COMPUTED_VALUE"""),"Đại học, Chứng chỉ Kiểm toán viên")</f>
        <v>Đại học, Chứng chỉ Kiểm toán viên</v>
      </c>
      <c r="C341" s="4" t="str">
        <f ca="1">IFERROR(__xludf.DUMMYFUNCTION("""COMPUTED_VALUE"""),"2_ABaOnueztdKG_lIcLhOh6RDQZ9NfEOi6XEY1NFr64NFcLQmShexdNSsY55ttRZbQ2w")</f>
        <v>2_ABaOnueztdKG_lIcLhOh6RDQZ9NfEOi6XEY1NFr64NFcLQmShexdNSsY55ttRZbQ2w</v>
      </c>
      <c r="D341" s="4" t="str">
        <f ca="1">IFERROR(__xludf.DUMMYFUNCTION("""COMPUTED_VALUE"""),"Đại học")</f>
        <v>Đại học</v>
      </c>
    </row>
    <row r="342" spans="1:4" x14ac:dyDescent="0.25">
      <c r="A342" s="4" t="str">
        <f ca="1">IFERROR(__xludf.DUMMYFUNCTION("""COMPUTED_VALUE"""),"2_ABaOnucZELGJePmkYzAg6u6jBV7jgq5acu9xnS1D0DJ2vwrWPd80C9QuCrJPGa6LsQ")</f>
        <v>2_ABaOnucZELGJePmkYzAg6u6jBV7jgq5acu9xnS1D0DJ2vwrWPd80C9QuCrJPGa6LsQ</v>
      </c>
      <c r="B342" s="4" t="str">
        <f ca="1">IFERROR(__xludf.DUMMYFUNCTION("""COMPUTED_VALUE"""),"Đại học, Chứng chỉ Kiểm toán viên")</f>
        <v>Đại học, Chứng chỉ Kiểm toán viên</v>
      </c>
      <c r="C342" s="4" t="str">
        <f ca="1">IFERROR(__xludf.DUMMYFUNCTION("""COMPUTED_VALUE"""),"2_ABaOnueztdKG_lIcLhOh6RDQZ9NfEOi6XEY1NFr64NFcLQmShexdNSsY55ttRZbQ2w")</f>
        <v>2_ABaOnueztdKG_lIcLhOh6RDQZ9NfEOi6XEY1NFr64NFcLQmShexdNSsY55ttRZbQ2w</v>
      </c>
      <c r="D342" s="4" t="str">
        <f ca="1">IFERROR(__xludf.DUMMYFUNCTION("""COMPUTED_VALUE"""),"Chứng chỉ Kiểm toán viên")</f>
        <v>Chứng chỉ Kiểm toán viên</v>
      </c>
    </row>
    <row r="343" spans="1:4" x14ac:dyDescent="0.25">
      <c r="A343" s="4" t="str">
        <f ca="1">IFERROR(__xludf.DUMMYFUNCTION("""COMPUTED_VALUE"""),"2_ABaOnueFiPfp85S9OlAkhbT4CTj33u8aj8r1SaHOrOqZ0IGJUhY0Nb-eEP7dLJvzkw")</f>
        <v>2_ABaOnueFiPfp85S9OlAkhbT4CTj33u8aj8r1SaHOrOqZ0IGJUhY0Nb-eEP7dLJvzkw</v>
      </c>
      <c r="B343" s="4" t="str">
        <f ca="1">IFERROR(__xludf.DUMMYFUNCTION("""COMPUTED_VALUE"""),"Đại học")</f>
        <v>Đại học</v>
      </c>
      <c r="C343" s="4" t="str">
        <f ca="1">IFERROR(__xludf.DUMMYFUNCTION("""COMPUTED_VALUE"""),"2_ABaOnueY3lMvvSlH7Kh634YkSU3yJaJfiE4db6O1JO5CSYAVcI9vYYc0Aia_w2mdxA")</f>
        <v>2_ABaOnueY3lMvvSlH7Kh634YkSU3yJaJfiE4db6O1JO5CSYAVcI9vYYc0Aia_w2mdxA</v>
      </c>
      <c r="D343" s="4" t="str">
        <f ca="1">IFERROR(__xludf.DUMMYFUNCTION("""COMPUTED_VALUE"""),"Đại học")</f>
        <v>Đại học</v>
      </c>
    </row>
    <row r="344" spans="1:4" x14ac:dyDescent="0.25">
      <c r="A344" s="4" t="str">
        <f ca="1">IFERROR(__xludf.DUMMYFUNCTION("""COMPUTED_VALUE"""),"2_ABaOnueSWC-TMxg5CfqFtNJiZZEiXgfBs7wtSN6-ELiAy5S5xi251BXwru19KyJkWg")</f>
        <v>2_ABaOnueSWC-TMxg5CfqFtNJiZZEiXgfBs7wtSN6-ELiAy5S5xi251BXwru19KyJkWg</v>
      </c>
      <c r="B344" s="4" t="str">
        <f ca="1">IFERROR(__xludf.DUMMYFUNCTION("""COMPUTED_VALUE"""),"Đại học, Chứng chỉ Kiểm toán viên")</f>
        <v>Đại học, Chứng chỉ Kiểm toán viên</v>
      </c>
      <c r="C344" s="4" t="str">
        <f ca="1">IFERROR(__xludf.DUMMYFUNCTION("""COMPUTED_VALUE"""),"2_ABaOnueY3lMvvSlH7Kh634YkSU3yJaJfiE4db6O1JO5CSYAVcI9vYYc0Aia_w2mdxA")</f>
        <v>2_ABaOnueY3lMvvSlH7Kh634YkSU3yJaJfiE4db6O1JO5CSYAVcI9vYYc0Aia_w2mdxA</v>
      </c>
      <c r="D344" s="4" t="str">
        <f ca="1">IFERROR(__xludf.DUMMYFUNCTION("""COMPUTED_VALUE"""),"Chứng chỉ Kiểm toán viên")</f>
        <v>Chứng chỉ Kiểm toán viên</v>
      </c>
    </row>
    <row r="345" spans="1:4" x14ac:dyDescent="0.25">
      <c r="A345" s="4" t="str">
        <f ca="1">IFERROR(__xludf.DUMMYFUNCTION("""COMPUTED_VALUE"""),"2_ABaOnud4AAJk3AcULkGmRy9-5HMA0M3v76fKj8Hrel6kPY7jFwdx_yndciBVAB0ipg")</f>
        <v>2_ABaOnud4AAJk3AcULkGmRy9-5HMA0M3v76fKj8Hrel6kPY7jFwdx_yndciBVAB0ipg</v>
      </c>
      <c r="B345" s="4" t="str">
        <f ca="1">IFERROR(__xludf.DUMMYFUNCTION("""COMPUTED_VALUE"""),"Đại học")</f>
        <v>Đại học</v>
      </c>
      <c r="C345" s="4" t="str">
        <f ca="1">IFERROR(__xludf.DUMMYFUNCTION("""COMPUTED_VALUE"""),"2_ABaOnuccSTO0IM7xBW6vFJfOQnz6tokJp-G_MGcdQUZ2Gg0HK9Hy856xZGMSWqe6Zg")</f>
        <v>2_ABaOnuccSTO0IM7xBW6vFJfOQnz6tokJp-G_MGcdQUZ2Gg0HK9Hy856xZGMSWqe6Zg</v>
      </c>
      <c r="D345" s="4" t="str">
        <f ca="1">IFERROR(__xludf.DUMMYFUNCTION("""COMPUTED_VALUE"""),"Đại học")</f>
        <v>Đại học</v>
      </c>
    </row>
    <row r="346" spans="1:4" x14ac:dyDescent="0.25">
      <c r="A346" s="4" t="str">
        <f ca="1">IFERROR(__xludf.DUMMYFUNCTION("""COMPUTED_VALUE"""),"2_ABaOnueIrOuq0aSCK-32nLumgZtYhF-uKRsk0VYaDBsmgESoSzH0U8LksPU8Ae1eaQ")</f>
        <v>2_ABaOnueIrOuq0aSCK-32nLumgZtYhF-uKRsk0VYaDBsmgESoSzH0U8LksPU8Ae1eaQ</v>
      </c>
      <c r="B346" s="4" t="str">
        <f ca="1">IFERROR(__xludf.DUMMYFUNCTION("""COMPUTED_VALUE"""),"Đại học")</f>
        <v>Đại học</v>
      </c>
      <c r="C346" s="4" t="str">
        <f ca="1">IFERROR(__xludf.DUMMYFUNCTION("""COMPUTED_VALUE"""),"2_ABaOnucoJxAgOU4kDxaIAsz3DcJ6iElxTZl5IwFlkpajP4_odzjUgeizqPNbzfuAtA")</f>
        <v>2_ABaOnucoJxAgOU4kDxaIAsz3DcJ6iElxTZl5IwFlkpajP4_odzjUgeizqPNbzfuAtA</v>
      </c>
      <c r="D346" s="4" t="str">
        <f ca="1">IFERROR(__xludf.DUMMYFUNCTION("""COMPUTED_VALUE"""),"Đại học")</f>
        <v>Đại học</v>
      </c>
    </row>
    <row r="347" spans="1:4" x14ac:dyDescent="0.25">
      <c r="A347" s="4" t="str">
        <f ca="1">IFERROR(__xludf.DUMMYFUNCTION("""COMPUTED_VALUE"""),"2_ABaOnud_N6aWpZKfHf6Ac85a9FIjTRxzl0JC2biSR54f0t0cSE_CSyERPa2nMo515Q")</f>
        <v>2_ABaOnud_N6aWpZKfHf6Ac85a9FIjTRxzl0JC2biSR54f0t0cSE_CSyERPa2nMo515Q</v>
      </c>
      <c r="B347" s="4" t="str">
        <f ca="1">IFERROR(__xludf.DUMMYFUNCTION("""COMPUTED_VALUE"""),"Đại học")</f>
        <v>Đại học</v>
      </c>
      <c r="C347" s="4" t="str">
        <f ca="1">IFERROR(__xludf.DUMMYFUNCTION("""COMPUTED_VALUE"""),"2_ABaOnufmNsk3VuRZ3tZwe531kZ4cOBisf_K3bCAHGFmIvMUFm_vSJ1i0Be2lhSvnfg")</f>
        <v>2_ABaOnufmNsk3VuRZ3tZwe531kZ4cOBisf_K3bCAHGFmIvMUFm_vSJ1i0Be2lhSvnfg</v>
      </c>
      <c r="D347" s="4" t="str">
        <f ca="1">IFERROR(__xludf.DUMMYFUNCTION("""COMPUTED_VALUE"""),"Đại học")</f>
        <v>Đại học</v>
      </c>
    </row>
    <row r="348" spans="1:4" x14ac:dyDescent="0.25">
      <c r="A348" s="4" t="str">
        <f ca="1">IFERROR(__xludf.DUMMYFUNCTION("""COMPUTED_VALUE"""),"2_ABaOnud22sBYK8AyF2Ay87Isrwnc6PTtcYr3i1w9-w7sAaj0OlmFTiSrQuz0sAzqvQ")</f>
        <v>2_ABaOnud22sBYK8AyF2Ay87Isrwnc6PTtcYr3i1w9-w7sAaj0OlmFTiSrQuz0sAzqvQ</v>
      </c>
      <c r="B348" s="4" t="str">
        <f ca="1">IFERROR(__xludf.DUMMYFUNCTION("""COMPUTED_VALUE"""),"Chứng chỉ Kiểm toán viên")</f>
        <v>Chứng chỉ Kiểm toán viên</v>
      </c>
      <c r="C348" s="4" t="str">
        <f ca="1">IFERROR(__xludf.DUMMYFUNCTION("""COMPUTED_VALUE"""),"2_ABaOnuf1C4oQ8HoMxYFN281hN92o8mJ3IfM7hQOCWzwhYoOKsffBJ8gVKwoiN9l4Cg")</f>
        <v>2_ABaOnuf1C4oQ8HoMxYFN281hN92o8mJ3IfM7hQOCWzwhYoOKsffBJ8gVKwoiN9l4Cg</v>
      </c>
      <c r="D348" s="4" t="str">
        <f ca="1">IFERROR(__xludf.DUMMYFUNCTION("""COMPUTED_VALUE"""),"Đại học")</f>
        <v>Đại học</v>
      </c>
    </row>
    <row r="349" spans="1:4" x14ac:dyDescent="0.25">
      <c r="A349" s="4" t="str">
        <f ca="1">IFERROR(__xludf.DUMMYFUNCTION("""COMPUTED_VALUE"""),"2_ABaOnueKfogQOHIPAtQdnMQogkpt7IKfP6lV1x7PYl2-XUhteKPRE0cl0igZ188h_w")</f>
        <v>2_ABaOnueKfogQOHIPAtQdnMQogkpt7IKfP6lV1x7PYl2-XUhteKPRE0cl0igZ188h_w</v>
      </c>
      <c r="B349" s="4" t="str">
        <f ca="1">IFERROR(__xludf.DUMMYFUNCTION("""COMPUTED_VALUE"""),"Đại học, Chứng chỉ Kiểm toán viên")</f>
        <v>Đại học, Chứng chỉ Kiểm toán viên</v>
      </c>
      <c r="C349" s="4" t="str">
        <f ca="1">IFERROR(__xludf.DUMMYFUNCTION("""COMPUTED_VALUE"""),"2_ABaOnuf1C4oQ8HoMxYFN281hN92o8mJ3IfM7hQOCWzwhYoOKsffBJ8gVKwoiN9l4Cg")</f>
        <v>2_ABaOnuf1C4oQ8HoMxYFN281hN92o8mJ3IfM7hQOCWzwhYoOKsffBJ8gVKwoiN9l4Cg</v>
      </c>
      <c r="D349" s="4" t="str">
        <f ca="1">IFERROR(__xludf.DUMMYFUNCTION("""COMPUTED_VALUE"""),"Chứng chỉ Kiểm toán viên")</f>
        <v>Chứng chỉ Kiểm toán viên</v>
      </c>
    </row>
    <row r="350" spans="1:4" x14ac:dyDescent="0.25">
      <c r="A350" s="4" t="str">
        <f ca="1">IFERROR(__xludf.DUMMYFUNCTION("""COMPUTED_VALUE"""),"2_ABaOnueG5VHL9rb8yg0lH8vXnUf5GnJz6KxyjgYbF874iHI3cW_VtQSHCKJ8MvG_jA")</f>
        <v>2_ABaOnueG5VHL9rb8yg0lH8vXnUf5GnJz6KxyjgYbF874iHI3cW_VtQSHCKJ8MvG_jA</v>
      </c>
      <c r="B350" s="4" t="str">
        <f ca="1">IFERROR(__xludf.DUMMYFUNCTION("""COMPUTED_VALUE"""),"Sau đại học")</f>
        <v>Sau đại học</v>
      </c>
      <c r="C350" s="4" t="str">
        <f ca="1">IFERROR(__xludf.DUMMYFUNCTION("""COMPUTED_VALUE"""),"2_ABaOnuduZOLkovZqbsPI9_Co2TKWVimhKh8rXCN8rHHrX_bzPxTcIKjgyV2ehhlwMw")</f>
        <v>2_ABaOnuduZOLkovZqbsPI9_Co2TKWVimhKh8rXCN8rHHrX_bzPxTcIKjgyV2ehhlwMw</v>
      </c>
      <c r="D350" s="4" t="str">
        <f ca="1">IFERROR(__xludf.DUMMYFUNCTION("""COMPUTED_VALUE"""),"Đại học")</f>
        <v>Đại học</v>
      </c>
    </row>
    <row r="351" spans="1:4" x14ac:dyDescent="0.25">
      <c r="A351" s="4" t="str">
        <f ca="1">IFERROR(__xludf.DUMMYFUNCTION("""COMPUTED_VALUE"""),"2_ABaOnudOFcrQZSkuzXfeWJunmXGFwxs71a7uwmBHxfaO96u8Ox-l1ZQaX-s9gl4Fdg")</f>
        <v>2_ABaOnudOFcrQZSkuzXfeWJunmXGFwxs71a7uwmBHxfaO96u8Ox-l1ZQaX-s9gl4Fdg</v>
      </c>
      <c r="B351" s="4" t="str">
        <f ca="1">IFERROR(__xludf.DUMMYFUNCTION("""COMPUTED_VALUE"""),"Đại học")</f>
        <v>Đại học</v>
      </c>
      <c r="C351" s="4" t="str">
        <f ca="1">IFERROR(__xludf.DUMMYFUNCTION("""COMPUTED_VALUE"""),"2_ABaOnucZO-uw1NB878ykvR2rYpcAT-pOVAn0sr-sz9R6TbJ9vFMK4xMQ7gDwoSR1mg")</f>
        <v>2_ABaOnucZO-uw1NB878ykvR2rYpcAT-pOVAn0sr-sz9R6TbJ9vFMK4xMQ7gDwoSR1mg</v>
      </c>
      <c r="D351" s="4" t="str">
        <f ca="1">IFERROR(__xludf.DUMMYFUNCTION("""COMPUTED_VALUE"""),"Đại học")</f>
        <v>Đại học</v>
      </c>
    </row>
    <row r="352" spans="1:4" x14ac:dyDescent="0.25">
      <c r="A352" s="4" t="str">
        <f ca="1">IFERROR(__xludf.DUMMYFUNCTION("""COMPUTED_VALUE"""),"2_ABaOnucpxf5OmfC2HXwLK4T5cYVHjfq9NYB9FaaJXsiQTgv20PRHNdZkicMMJzlQ5w")</f>
        <v>2_ABaOnucpxf5OmfC2HXwLK4T5cYVHjfq9NYB9FaaJXsiQTgv20PRHNdZkicMMJzlQ5w</v>
      </c>
      <c r="B352" s="4" t="str">
        <f ca="1">IFERROR(__xludf.DUMMYFUNCTION("""COMPUTED_VALUE"""),"Đại học, Chứng chỉ Kiểm toán viên")</f>
        <v>Đại học, Chứng chỉ Kiểm toán viên</v>
      </c>
      <c r="C352" s="4" t="str">
        <f ca="1">IFERROR(__xludf.DUMMYFUNCTION("""COMPUTED_VALUE"""),"2_ABaOnucznX7wqgBtDq2y-eiAsZ9IiPPsAMW0kJr-s9KyLS3pWfYo5P9arKSIuYn6-Q")</f>
        <v>2_ABaOnucznX7wqgBtDq2y-eiAsZ9IiPPsAMW0kJr-s9KyLS3pWfYo5P9arKSIuYn6-Q</v>
      </c>
      <c r="D352" s="4" t="str">
        <f ca="1">IFERROR(__xludf.DUMMYFUNCTION("""COMPUTED_VALUE"""),"Đại học")</f>
        <v>Đại học</v>
      </c>
    </row>
    <row r="353" spans="1:4" x14ac:dyDescent="0.25">
      <c r="A353" s="4" t="str">
        <f ca="1">IFERROR(__xludf.DUMMYFUNCTION("""COMPUTED_VALUE"""),"2_ABaOnudDPU_ZXVCLOt_cKMNL_Q2-CJFKS2ISd8IqMqYaC3l7uzwVhI5yQ6YQb4aYUQ")</f>
        <v>2_ABaOnudDPU_ZXVCLOt_cKMNL_Q2-CJFKS2ISd8IqMqYaC3l7uzwVhI5yQ6YQb4aYUQ</v>
      </c>
      <c r="B353" s="4" t="str">
        <f ca="1">IFERROR(__xludf.DUMMYFUNCTION("""COMPUTED_VALUE"""),"Đại học, Chứng chỉ Kiểm toán viên")</f>
        <v>Đại học, Chứng chỉ Kiểm toán viên</v>
      </c>
      <c r="C353" s="4" t="str">
        <f ca="1">IFERROR(__xludf.DUMMYFUNCTION("""COMPUTED_VALUE"""),"2_ABaOnudmuCKavSLXe8_k2uyiIa7JXgxxBH5mdvnQ7VvLJtjPqTU95byWXaghJkjMyg")</f>
        <v>2_ABaOnudmuCKavSLXe8_k2uyiIa7JXgxxBH5mdvnQ7VvLJtjPqTU95byWXaghJkjMyg</v>
      </c>
      <c r="D353" s="4" t="str">
        <f ca="1">IFERROR(__xludf.DUMMYFUNCTION("""COMPUTED_VALUE"""),"Đại học")</f>
        <v>Đại học</v>
      </c>
    </row>
    <row r="354" spans="1:4" x14ac:dyDescent="0.25">
      <c r="A354" s="4" t="str">
        <f ca="1">IFERROR(__xludf.DUMMYFUNCTION("""COMPUTED_VALUE"""),"2_ABaOnucPVco0tds1s-4ahGy9x5Gl2eYIF0GI03VyjHPtsrMoYcUKKS-Coyom3YvwMw")</f>
        <v>2_ABaOnucPVco0tds1s-4ahGy9x5Gl2eYIF0GI03VyjHPtsrMoYcUKKS-Coyom3YvwMw</v>
      </c>
      <c r="B354" s="4" t="str">
        <f ca="1">IFERROR(__xludf.DUMMYFUNCTION("""COMPUTED_VALUE"""),"Đại học")</f>
        <v>Đại học</v>
      </c>
      <c r="C354" s="4" t="str">
        <f ca="1">IFERROR(__xludf.DUMMYFUNCTION("""COMPUTED_VALUE"""),"2_ABaOnudmuCKavSLXe8_k2uyiIa7JXgxxBH5mdvnQ7VvLJtjPqTU95byWXaghJkjMyg")</f>
        <v>2_ABaOnudmuCKavSLXe8_k2uyiIa7JXgxxBH5mdvnQ7VvLJtjPqTU95byWXaghJkjMyg</v>
      </c>
      <c r="D354" s="4" t="str">
        <f ca="1">IFERROR(__xludf.DUMMYFUNCTION("""COMPUTED_VALUE"""),"Chứng chỉ Kiểm toán viên")</f>
        <v>Chứng chỉ Kiểm toán viên</v>
      </c>
    </row>
    <row r="355" spans="1:4" x14ac:dyDescent="0.25">
      <c r="A355" s="4" t="str">
        <f ca="1">IFERROR(__xludf.DUMMYFUNCTION("""COMPUTED_VALUE"""),"2_ABaOnue4lUCc-SKU7ApguLITE3VoNpxgvfFv4XU6WVUT4iEa4roX6aV6wMpl7vlnrw")</f>
        <v>2_ABaOnue4lUCc-SKU7ApguLITE3VoNpxgvfFv4XU6WVUT4iEa4roX6aV6wMpl7vlnrw</v>
      </c>
      <c r="B355" s="4" t="str">
        <f ca="1">IFERROR(__xludf.DUMMYFUNCTION("""COMPUTED_VALUE"""),"Đại học")</f>
        <v>Đại học</v>
      </c>
      <c r="C355" s="4" t="str">
        <f ca="1">IFERROR(__xludf.DUMMYFUNCTION("""COMPUTED_VALUE"""),"2_ABaOnufK9tm-ip__mC-MmWZw8ScSM-Jda_OigXNT6LkHsE_lWfeRJymLp9crgizTCw")</f>
        <v>2_ABaOnufK9tm-ip__mC-MmWZw8ScSM-Jda_OigXNT6LkHsE_lWfeRJymLp9crgizTCw</v>
      </c>
      <c r="D355" s="4" t="str">
        <f ca="1">IFERROR(__xludf.DUMMYFUNCTION("""COMPUTED_VALUE"""),"Đại học")</f>
        <v>Đại học</v>
      </c>
    </row>
    <row r="356" spans="1:4" x14ac:dyDescent="0.25">
      <c r="A356" s="4" t="str">
        <f ca="1">IFERROR(__xludf.DUMMYFUNCTION("""COMPUTED_VALUE"""),"2_ABaOnueFyqfMj3Wll0KnlMas7fIwxVNNJnDNykGwbxsM_mqs-OR9h-jjPn0uJkpIgA")</f>
        <v>2_ABaOnueFyqfMj3Wll0KnlMas7fIwxVNNJnDNykGwbxsM_mqs-OR9h-jjPn0uJkpIgA</v>
      </c>
      <c r="B356" s="4" t="str">
        <f ca="1">IFERROR(__xludf.DUMMYFUNCTION("""COMPUTED_VALUE"""),"Đại học")</f>
        <v>Đại học</v>
      </c>
      <c r="C356" s="4" t="str">
        <f ca="1">IFERROR(__xludf.DUMMYFUNCTION("""COMPUTED_VALUE"""),"2_ABaOnueFw_EhznaHu_nv29gzOK4XOTb9Xj4TIWHiZOa6XZG31d5QcVukNO_C_uJbWA")</f>
        <v>2_ABaOnueFw_EhznaHu_nv29gzOK4XOTb9Xj4TIWHiZOa6XZG31d5QcVukNO_C_uJbWA</v>
      </c>
      <c r="D356" s="4" t="str">
        <f ca="1">IFERROR(__xludf.DUMMYFUNCTION("""COMPUTED_VALUE"""),"Đại học")</f>
        <v>Đại học</v>
      </c>
    </row>
    <row r="357" spans="1:4" x14ac:dyDescent="0.25">
      <c r="A357" s="4" t="str">
        <f ca="1">IFERROR(__xludf.DUMMYFUNCTION("""COMPUTED_VALUE"""),"2_ABaOnucMgKw54L21THfrUb4MDt6d7QjyJ_iNiOoq_-fjEgA2ovBfe6xHte4AosUoHA")</f>
        <v>2_ABaOnucMgKw54L21THfrUb4MDt6d7QjyJ_iNiOoq_-fjEgA2ovBfe6xHte4AosUoHA</v>
      </c>
      <c r="B357" s="4" t="str">
        <f ca="1">IFERROR(__xludf.DUMMYFUNCTION("""COMPUTED_VALUE"""),"Đại học")</f>
        <v>Đại học</v>
      </c>
      <c r="C357" s="4" t="str">
        <f ca="1">IFERROR(__xludf.DUMMYFUNCTION("""COMPUTED_VALUE"""),"2_ABaOnucZdxGZXPxjqZI8C9Zntk50-3YJOzaQE9FhltzwKicxKT1EVfnT1TyFcoRzJg")</f>
        <v>2_ABaOnucZdxGZXPxjqZI8C9Zntk50-3YJOzaQE9FhltzwKicxKT1EVfnT1TyFcoRzJg</v>
      </c>
      <c r="D357" s="4" t="str">
        <f ca="1">IFERROR(__xludf.DUMMYFUNCTION("""COMPUTED_VALUE"""),"Đại học")</f>
        <v>Đại học</v>
      </c>
    </row>
    <row r="358" spans="1:4" x14ac:dyDescent="0.25">
      <c r="A358" s="4" t="str">
        <f ca="1">IFERROR(__xludf.DUMMYFUNCTION("""COMPUTED_VALUE"""),"2_ABaOnufAUSi9hSkzcMbuQ0nNb9dEFlMIRB7qqWRregRMdgrLA9UbpcyXbNdOV3vOjg")</f>
        <v>2_ABaOnufAUSi9hSkzcMbuQ0nNb9dEFlMIRB7qqWRregRMdgrLA9UbpcyXbNdOV3vOjg</v>
      </c>
      <c r="B358" s="4" t="str">
        <f ca="1">IFERROR(__xludf.DUMMYFUNCTION("""COMPUTED_VALUE"""),"Đại học")</f>
        <v>Đại học</v>
      </c>
      <c r="C358" s="4" t="str">
        <f ca="1">IFERROR(__xludf.DUMMYFUNCTION("""COMPUTED_VALUE"""),"2_ABaOnucyBknW7WYWAmUce_V5yD0i9i3kI0IMIqYa5kFkwPU9WJVg1lclaSkaAefcow")</f>
        <v>2_ABaOnucyBknW7WYWAmUce_V5yD0i9i3kI0IMIqYa5kFkwPU9WJVg1lclaSkaAefcow</v>
      </c>
      <c r="D358" s="4" t="str">
        <f ca="1">IFERROR(__xludf.DUMMYFUNCTION("""COMPUTED_VALUE"""),"Sau đại học")</f>
        <v>Sau đại học</v>
      </c>
    </row>
    <row r="359" spans="1:4" x14ac:dyDescent="0.25">
      <c r="A359" s="4" t="str">
        <f ca="1">IFERROR(__xludf.DUMMYFUNCTION("""COMPUTED_VALUE"""),"2_ABaOnufFqJ5m4pf7Jd0KD4DvulUTkM_ZXHvrzsZwHo0R543W7rA1Q5JMoTlKBwo96A")</f>
        <v>2_ABaOnufFqJ5m4pf7Jd0KD4DvulUTkM_ZXHvrzsZwHo0R543W7rA1Q5JMoTlKBwo96A</v>
      </c>
      <c r="B359" s="4" t="str">
        <f ca="1">IFERROR(__xludf.DUMMYFUNCTION("""COMPUTED_VALUE"""),"Đại học")</f>
        <v>Đại học</v>
      </c>
      <c r="C359" s="4" t="str">
        <f ca="1">IFERROR(__xludf.DUMMYFUNCTION("""COMPUTED_VALUE"""),"2_ABaOnufdh5uEK306utqfkoTRyQJWTcCUAPGiEQ_WdhOIx3Zn2Xp0d0ci0YQoFULiDA")</f>
        <v>2_ABaOnufdh5uEK306utqfkoTRyQJWTcCUAPGiEQ_WdhOIx3Zn2Xp0d0ci0YQoFULiDA</v>
      </c>
      <c r="D359" s="4" t="str">
        <f ca="1">IFERROR(__xludf.DUMMYFUNCTION("""COMPUTED_VALUE"""),"Đại học")</f>
        <v>Đại học</v>
      </c>
    </row>
    <row r="360" spans="1:4" x14ac:dyDescent="0.25">
      <c r="A360" s="4" t="str">
        <f ca="1">IFERROR(__xludf.DUMMYFUNCTION("""COMPUTED_VALUE"""),"2_ABaOnufE2VmLsCRbL1rU-YkhC-3Q3mPMVIsH3kSYNvvNo4FVUcTFFvJhSFtBevfJww")</f>
        <v>2_ABaOnufE2VmLsCRbL1rU-YkhC-3Q3mPMVIsH3kSYNvvNo4FVUcTFFvJhSFtBevfJww</v>
      </c>
      <c r="B360" s="4" t="str">
        <f ca="1">IFERROR(__xludf.DUMMYFUNCTION("""COMPUTED_VALUE"""),"Đại học")</f>
        <v>Đại học</v>
      </c>
      <c r="C360" s="4" t="str">
        <f ca="1">IFERROR(__xludf.DUMMYFUNCTION("""COMPUTED_VALUE"""),"2_ABaOnufdh5uEK306utqfkoTRyQJWTcCUAPGiEQ_WdhOIx3Zn2Xp0d0ci0YQoFULiDA")</f>
        <v>2_ABaOnufdh5uEK306utqfkoTRyQJWTcCUAPGiEQ_WdhOIx3Zn2Xp0d0ci0YQoFULiDA</v>
      </c>
      <c r="D360" s="4" t="str">
        <f ca="1">IFERROR(__xludf.DUMMYFUNCTION("""COMPUTED_VALUE"""),"Chứng chỉ Kiểm toán viên")</f>
        <v>Chứng chỉ Kiểm toán viên</v>
      </c>
    </row>
    <row r="361" spans="1:4" x14ac:dyDescent="0.25">
      <c r="A361" s="4" t="str">
        <f ca="1">IFERROR(__xludf.DUMMYFUNCTION("""COMPUTED_VALUE"""),"2_ABaOnueDypGDWrHutsW06OqZvqb19x1KQ3Qd5qZrCYoEfec6gjXFuIoZWOqejQ24UQ")</f>
        <v>2_ABaOnueDypGDWrHutsW06OqZvqb19x1KQ3Qd5qZrCYoEfec6gjXFuIoZWOqejQ24UQ</v>
      </c>
      <c r="B361" s="4" t="str">
        <f ca="1">IFERROR(__xludf.DUMMYFUNCTION("""COMPUTED_VALUE"""),"Đại học")</f>
        <v>Đại học</v>
      </c>
      <c r="C361" s="4" t="str">
        <f ca="1">IFERROR(__xludf.DUMMYFUNCTION("""COMPUTED_VALUE"""),"2_ABaOnueRSYjBref_ZMiM-RmBx88D2_x7eWxX3uq6kCSxZ4JqzD-P7C7hVR38t1dY-w")</f>
        <v>2_ABaOnueRSYjBref_ZMiM-RmBx88D2_x7eWxX3uq6kCSxZ4JqzD-P7C7hVR38t1dY-w</v>
      </c>
      <c r="D361" s="4" t="str">
        <f ca="1">IFERROR(__xludf.DUMMYFUNCTION("""COMPUTED_VALUE"""),"Sau đại học")</f>
        <v>Sau đại học</v>
      </c>
    </row>
    <row r="362" spans="1:4" x14ac:dyDescent="0.25">
      <c r="A362" s="4" t="str">
        <f ca="1">IFERROR(__xludf.DUMMYFUNCTION("""COMPUTED_VALUE"""),"2_ABaOnufX357BkiS16G9tRQpMtlYED2Z_4wzqb226alUrjtghCUwMFyJliMj-304OLg")</f>
        <v>2_ABaOnufX357BkiS16G9tRQpMtlYED2Z_4wzqb226alUrjtghCUwMFyJliMj-304OLg</v>
      </c>
      <c r="B362" s="4" t="str">
        <f ca="1">IFERROR(__xludf.DUMMYFUNCTION("""COMPUTED_VALUE"""),"Đại học")</f>
        <v>Đại học</v>
      </c>
      <c r="C362" s="4" t="str">
        <f ca="1">IFERROR(__xludf.DUMMYFUNCTION("""COMPUTED_VALUE"""),"2_ABaOnueRSYjBref_ZMiM-RmBx88D2_x7eWxX3uq6kCSxZ4JqzD-P7C7hVR38t1dY-w")</f>
        <v>2_ABaOnueRSYjBref_ZMiM-RmBx88D2_x7eWxX3uq6kCSxZ4JqzD-P7C7hVR38t1dY-w</v>
      </c>
      <c r="D362" s="4" t="str">
        <f ca="1">IFERROR(__xludf.DUMMYFUNCTION("""COMPUTED_VALUE"""),"Chứng chỉ Kiểm toán viên")</f>
        <v>Chứng chỉ Kiểm toán viên</v>
      </c>
    </row>
    <row r="363" spans="1:4" x14ac:dyDescent="0.25">
      <c r="A363" s="4" t="str">
        <f ca="1">IFERROR(__xludf.DUMMYFUNCTION("""COMPUTED_VALUE"""),"2_ABaOnudoK_H8JtG-4Er3CreW9XzlzA02gch3IragytjjURgnTxrZaEUpY3phk8dOvg")</f>
        <v>2_ABaOnudoK_H8JtG-4Er3CreW9XzlzA02gch3IragytjjURgnTxrZaEUpY3phk8dOvg</v>
      </c>
      <c r="B363" s="4" t="str">
        <f ca="1">IFERROR(__xludf.DUMMYFUNCTION("""COMPUTED_VALUE"""),"Sau đại học")</f>
        <v>Sau đại học</v>
      </c>
      <c r="C363" s="4" t="str">
        <f ca="1">IFERROR(__xludf.DUMMYFUNCTION("""COMPUTED_VALUE"""),"2_ABaOnudfj1_-vIBuMT8jo5HTVljRF1QUq4mjRCc1YkqIAQZgDKinKGPGZuNlQyTvRg")</f>
        <v>2_ABaOnudfj1_-vIBuMT8jo5HTVljRF1QUq4mjRCc1YkqIAQZgDKinKGPGZuNlQyTvRg</v>
      </c>
      <c r="D363" s="4" t="str">
        <f ca="1">IFERROR(__xludf.DUMMYFUNCTION("""COMPUTED_VALUE"""),"Đại học")</f>
        <v>Đại học</v>
      </c>
    </row>
    <row r="364" spans="1:4" x14ac:dyDescent="0.25">
      <c r="A364" s="4" t="str">
        <f ca="1">IFERROR(__xludf.DUMMYFUNCTION("""COMPUTED_VALUE"""),"2_ABaOnudoC9R42iHKecmHBD6xvdex1YndsYFx8qYtUpZocWTGzLHGd2rwKBlEWlJi0w")</f>
        <v>2_ABaOnudoC9R42iHKecmHBD6xvdex1YndsYFx8qYtUpZocWTGzLHGd2rwKBlEWlJi0w</v>
      </c>
      <c r="B364" s="4" t="str">
        <f ca="1">IFERROR(__xludf.DUMMYFUNCTION("""COMPUTED_VALUE"""),"Đại học, Chứng chỉ Kiểm toán viên")</f>
        <v>Đại học, Chứng chỉ Kiểm toán viên</v>
      </c>
      <c r="C364" s="4" t="str">
        <f ca="1">IFERROR(__xludf.DUMMYFUNCTION("""COMPUTED_VALUE"""),"2_ABaOnufQSwHhGgutlCTL1fBbGWuTt0mbTQkosYsxqs5SsqStc75RSoa3SeCpYMLa0Q")</f>
        <v>2_ABaOnufQSwHhGgutlCTL1fBbGWuTt0mbTQkosYsxqs5SsqStc75RSoa3SeCpYMLa0Q</v>
      </c>
      <c r="D364" s="4" t="str">
        <f ca="1">IFERROR(__xludf.DUMMYFUNCTION("""COMPUTED_VALUE"""),"Đại học")</f>
        <v>Đại học</v>
      </c>
    </row>
    <row r="365" spans="1:4" x14ac:dyDescent="0.25">
      <c r="A365" s="4" t="str">
        <f ca="1">IFERROR(__xludf.DUMMYFUNCTION("""COMPUTED_VALUE"""),"2_ABaOnuek74IvFzkpRkAdk4WMZxAviIcUxwa30GmrPSDAoXjCYQdy2BXVsLRcn-ZMgQ")</f>
        <v>2_ABaOnuek74IvFzkpRkAdk4WMZxAviIcUxwa30GmrPSDAoXjCYQdy2BXVsLRcn-ZMgQ</v>
      </c>
      <c r="B365" s="4" t="str">
        <f ca="1">IFERROR(__xludf.DUMMYFUNCTION("""COMPUTED_VALUE"""),"Chứng chỉ Kiểm toán viên")</f>
        <v>Chứng chỉ Kiểm toán viên</v>
      </c>
      <c r="C365" s="4" t="str">
        <f ca="1">IFERROR(__xludf.DUMMYFUNCTION("""COMPUTED_VALUE"""),"2_ABaOnufQSwHhGgutlCTL1fBbGWuTt0mbTQkosYsxqs5SsqStc75RSoa3SeCpYMLa0Q")</f>
        <v>2_ABaOnufQSwHhGgutlCTL1fBbGWuTt0mbTQkosYsxqs5SsqStc75RSoa3SeCpYMLa0Q</v>
      </c>
      <c r="D365" s="4" t="str">
        <f ca="1">IFERROR(__xludf.DUMMYFUNCTION("""COMPUTED_VALUE"""),"Chứng chỉ Kiểm toán viên")</f>
        <v>Chứng chỉ Kiểm toán viên</v>
      </c>
    </row>
    <row r="366" spans="1:4" x14ac:dyDescent="0.25">
      <c r="A366" s="4" t="str">
        <f ca="1">IFERROR(__xludf.DUMMYFUNCTION("""COMPUTED_VALUE"""),"2_ABaOnuclt8Nv5IuYDVfx3o5fI2MlZv7JWKUUKbLt-A6083uLDPlKDw1-rTCuBUaTmA")</f>
        <v>2_ABaOnuclt8Nv5IuYDVfx3o5fI2MlZv7JWKUUKbLt-A6083uLDPlKDw1-rTCuBUaTmA</v>
      </c>
      <c r="B366" s="4" t="str">
        <f ca="1">IFERROR(__xludf.DUMMYFUNCTION("""COMPUTED_VALUE"""),"Đại học")</f>
        <v>Đại học</v>
      </c>
      <c r="C366" s="4" t="str">
        <f ca="1">IFERROR(__xludf.DUMMYFUNCTION("""COMPUTED_VALUE"""),"2_ABaOnucgsOo2WjbS49zeYT9SlnqI1EjK0F26WcqqpPDofrimuRsrCjQcI59mXGVl1A")</f>
        <v>2_ABaOnucgsOo2WjbS49zeYT9SlnqI1EjK0F26WcqqpPDofrimuRsrCjQcI59mXGVl1A</v>
      </c>
      <c r="D366" s="4" t="str">
        <f ca="1">IFERROR(__xludf.DUMMYFUNCTION("""COMPUTED_VALUE"""),"Đại học")</f>
        <v>Đại học</v>
      </c>
    </row>
    <row r="367" spans="1:4" x14ac:dyDescent="0.25">
      <c r="A367" s="4" t="str">
        <f ca="1">IFERROR(__xludf.DUMMYFUNCTION("""COMPUTED_VALUE"""),"2_ABaOnud7_JNrqISxbZ5Zd-gXYgJJljD8q9HmAdko7XgiefrELoshj3QrHTvJP1IRnA")</f>
        <v>2_ABaOnud7_JNrqISxbZ5Zd-gXYgJJljD8q9HmAdko7XgiefrELoshj3QrHTvJP1IRnA</v>
      </c>
      <c r="B367" s="4" t="str">
        <f ca="1">IFERROR(__xludf.DUMMYFUNCTION("""COMPUTED_VALUE"""),"Chứng chỉ Kiểm toán viên")</f>
        <v>Chứng chỉ Kiểm toán viên</v>
      </c>
      <c r="C367" s="4" t="str">
        <f ca="1">IFERROR(__xludf.DUMMYFUNCTION("""COMPUTED_VALUE"""),"2_ABaOnuf4tgTnzyjSw4y9CUg-V58broQB9XinXXas9xtEKvPpkQrd_LEaeHprnMQTqw")</f>
        <v>2_ABaOnuf4tgTnzyjSw4y9CUg-V58broQB9XinXXas9xtEKvPpkQrd_LEaeHprnMQTqw</v>
      </c>
      <c r="D367" s="4" t="str">
        <f ca="1">IFERROR(__xludf.DUMMYFUNCTION("""COMPUTED_VALUE"""),"Đại học")</f>
        <v>Đại học</v>
      </c>
    </row>
    <row r="368" spans="1:4" x14ac:dyDescent="0.25">
      <c r="A368" s="4" t="str">
        <f ca="1">IFERROR(__xludf.DUMMYFUNCTION("""COMPUTED_VALUE"""),"2_ABaOnudtetm6WAgp2qqGmb57dVgAU4zxGUBxGNioQ9ET0-f-7ojTfneBy5VIXP3-RQ")</f>
        <v>2_ABaOnudtetm6WAgp2qqGmb57dVgAU4zxGUBxGNioQ9ET0-f-7ojTfneBy5VIXP3-RQ</v>
      </c>
      <c r="B368" s="4" t="str">
        <f ca="1">IFERROR(__xludf.DUMMYFUNCTION("""COMPUTED_VALUE"""),"Đại học")</f>
        <v>Đại học</v>
      </c>
      <c r="C368" s="4" t="str">
        <f ca="1">IFERROR(__xludf.DUMMYFUNCTION("""COMPUTED_VALUE"""),"2_ABaOnuf4tgTnzyjSw4y9CUg-V58broQB9XinXXas9xtEKvPpkQrd_LEaeHprnMQTqw")</f>
        <v>2_ABaOnuf4tgTnzyjSw4y9CUg-V58broQB9XinXXas9xtEKvPpkQrd_LEaeHprnMQTqw</v>
      </c>
      <c r="D368" s="4" t="str">
        <f ca="1">IFERROR(__xludf.DUMMYFUNCTION("""COMPUTED_VALUE"""),"Chứng chỉ Kiểm toán viên")</f>
        <v>Chứng chỉ Kiểm toán viên</v>
      </c>
    </row>
    <row r="369" spans="1:4" x14ac:dyDescent="0.25">
      <c r="A369" s="4" t="str">
        <f ca="1">IFERROR(__xludf.DUMMYFUNCTION("""COMPUTED_VALUE"""),"2_ABaOnudYJjOJzveRwnZBVEn7MJysQSfba9Shxqnod0l8XgV3Cqoqr7mk26ptwrLaTA")</f>
        <v>2_ABaOnudYJjOJzveRwnZBVEn7MJysQSfba9Shxqnod0l8XgV3Cqoqr7mk26ptwrLaTA</v>
      </c>
      <c r="B369" s="4" t="str">
        <f ca="1">IFERROR(__xludf.DUMMYFUNCTION("""COMPUTED_VALUE"""),"Đại học")</f>
        <v>Đại học</v>
      </c>
      <c r="C369" s="4" t="str">
        <f ca="1">IFERROR(__xludf.DUMMYFUNCTION("""COMPUTED_VALUE"""),"2_ABaOnudh4RDVG1vCpZPa-WqBr76PuIk4nb2Re-zREiEv8xPNQIprzwF8hFgRlVoLPw")</f>
        <v>2_ABaOnudh4RDVG1vCpZPa-WqBr76PuIk4nb2Re-zREiEv8xPNQIprzwF8hFgRlVoLPw</v>
      </c>
      <c r="D369" s="4" t="str">
        <f ca="1">IFERROR(__xludf.DUMMYFUNCTION("""COMPUTED_VALUE"""),"Đại học")</f>
        <v>Đại học</v>
      </c>
    </row>
    <row r="370" spans="1:4" x14ac:dyDescent="0.25">
      <c r="A370" s="4" t="str">
        <f ca="1">IFERROR(__xludf.DUMMYFUNCTION("""COMPUTED_VALUE"""),"2_ABaOnueyDYixaLOYemKFne1WBgGqlRSdblGJXcf4LiocZ4MwKYIICbimrI44U8FNZQ")</f>
        <v>2_ABaOnueyDYixaLOYemKFne1WBgGqlRSdblGJXcf4LiocZ4MwKYIICbimrI44U8FNZQ</v>
      </c>
      <c r="B370" s="4" t="str">
        <f ca="1">IFERROR(__xludf.DUMMYFUNCTION("""COMPUTED_VALUE"""),"Đại học")</f>
        <v>Đại học</v>
      </c>
      <c r="C370" s="4" t="str">
        <f ca="1">IFERROR(__xludf.DUMMYFUNCTION("""COMPUTED_VALUE"""),"2_ABaOnue6OeCXsMeGHJk_FgNaDIkd9Q8BFTfdMf1Ii2xd60VnwJtxR0CE4FYotTUVDg")</f>
        <v>2_ABaOnue6OeCXsMeGHJk_FgNaDIkd9Q8BFTfdMf1Ii2xd60VnwJtxR0CE4FYotTUVDg</v>
      </c>
      <c r="D370" s="4" t="str">
        <f ca="1">IFERROR(__xludf.DUMMYFUNCTION("""COMPUTED_VALUE"""),"Đại học")</f>
        <v>Đại học</v>
      </c>
    </row>
    <row r="371" spans="1:4" x14ac:dyDescent="0.25">
      <c r="A371" s="4" t="str">
        <f ca="1">IFERROR(__xludf.DUMMYFUNCTION("""COMPUTED_VALUE"""),"2_ABaOnufmCMo2zDjK41YPf0KsBUlA9DU6XEp7NMIDVPDt3oI5vIVZ_OR4qVthmf3Ypg")</f>
        <v>2_ABaOnufmCMo2zDjK41YPf0KsBUlA9DU6XEp7NMIDVPDt3oI5vIVZ_OR4qVthmf3Ypg</v>
      </c>
      <c r="B371" s="4" t="str">
        <f ca="1">IFERROR(__xludf.DUMMYFUNCTION("""COMPUTED_VALUE"""),"Đại học, Chứng chỉ Kiểm toán viên")</f>
        <v>Đại học, Chứng chỉ Kiểm toán viên</v>
      </c>
      <c r="C371" s="4" t="str">
        <f ca="1">IFERROR(__xludf.DUMMYFUNCTION("""COMPUTED_VALUE"""),"2_ABaOnudIZe6f8bQ1XU-jJXyLc02WZh3PO-WnYGX6xsLQAmBnzK3OzE88p_DNnwY5ow")</f>
        <v>2_ABaOnudIZe6f8bQ1XU-jJXyLc02WZh3PO-WnYGX6xsLQAmBnzK3OzE88p_DNnwY5ow</v>
      </c>
      <c r="D371" s="4" t="str">
        <f ca="1">IFERROR(__xludf.DUMMYFUNCTION("""COMPUTED_VALUE"""),"Đại học")</f>
        <v>Đại học</v>
      </c>
    </row>
    <row r="372" spans="1:4" x14ac:dyDescent="0.25">
      <c r="A372" s="4" t="str">
        <f ca="1">IFERROR(__xludf.DUMMYFUNCTION("""COMPUTED_VALUE"""),"2_ABaOnucBr02U_Vd5udq5coz3rWWGfVuX6Asfmdjy34IF3d01xF_iCbn6Q5yT2Sz_SQ")</f>
        <v>2_ABaOnucBr02U_Vd5udq5coz3rWWGfVuX6Asfmdjy34IF3d01xF_iCbn6Q5yT2Sz_SQ</v>
      </c>
      <c r="B372" s="4" t="str">
        <f ca="1">IFERROR(__xludf.DUMMYFUNCTION("""COMPUTED_VALUE"""),"Đại học, Chứng chỉ Kiểm toán viên")</f>
        <v>Đại học, Chứng chỉ Kiểm toán viên</v>
      </c>
      <c r="C372" s="4" t="str">
        <f ca="1">IFERROR(__xludf.DUMMYFUNCTION("""COMPUTED_VALUE"""),"2_ABaOnue2HABtx0WRQtA7xlCXViz1CSUETEmCfnPoW9G25tiWzuwuJp4sRAjUEoyvBg")</f>
        <v>2_ABaOnue2HABtx0WRQtA7xlCXViz1CSUETEmCfnPoW9G25tiWzuwuJp4sRAjUEoyvBg</v>
      </c>
      <c r="D372" s="4" t="str">
        <f ca="1">IFERROR(__xludf.DUMMYFUNCTION("""COMPUTED_VALUE"""),"Đại học")</f>
        <v>Đại học</v>
      </c>
    </row>
    <row r="373" spans="1:4" x14ac:dyDescent="0.25">
      <c r="A373" s="4" t="str">
        <f ca="1">IFERROR(__xludf.DUMMYFUNCTION("""COMPUTED_VALUE"""),"2_ABaOnudJbERJtPcppNeETO8GP15KbdNY4p6v5uqMk1ySBq312cHJzmmHaHuh4QKbjQ")</f>
        <v>2_ABaOnudJbERJtPcppNeETO8GP15KbdNY4p6v5uqMk1ySBq312cHJzmmHaHuh4QKbjQ</v>
      </c>
      <c r="B373" s="4" t="str">
        <f ca="1">IFERROR(__xludf.DUMMYFUNCTION("""COMPUTED_VALUE"""),"Đại học")</f>
        <v>Đại học</v>
      </c>
      <c r="C373" s="4" t="str">
        <f ca="1">IFERROR(__xludf.DUMMYFUNCTION("""COMPUTED_VALUE"""),"2_ABaOnud8sXjMTLlvtM42E34qpPXrleR7qiTHoD0hOhMfiCfiRagJ-1xJWWy_lUNrVw")</f>
        <v>2_ABaOnud8sXjMTLlvtM42E34qpPXrleR7qiTHoD0hOhMfiCfiRagJ-1xJWWy_lUNrVw</v>
      </c>
      <c r="D373" s="4" t="str">
        <f ca="1">IFERROR(__xludf.DUMMYFUNCTION("""COMPUTED_VALUE"""),"Đại học")</f>
        <v>Đại học</v>
      </c>
    </row>
    <row r="374" spans="1:4" x14ac:dyDescent="0.25">
      <c r="A374" s="4" t="str">
        <f ca="1">IFERROR(__xludf.DUMMYFUNCTION("""COMPUTED_VALUE"""),"2_ABaOnucCT-Y3K3NzFiccQYfQ5PhBCw2ebva2tUuq7304nis96ZI9_RXYmJvJFN7SCA")</f>
        <v>2_ABaOnucCT-Y3K3NzFiccQYfQ5PhBCw2ebva2tUuq7304nis96ZI9_RXYmJvJFN7SCA</v>
      </c>
      <c r="B374" s="4" t="str">
        <f ca="1">IFERROR(__xludf.DUMMYFUNCTION("""COMPUTED_VALUE"""),"Đại học")</f>
        <v>Đại học</v>
      </c>
      <c r="C374" s="4" t="str">
        <f ca="1">IFERROR(__xludf.DUMMYFUNCTION("""COMPUTED_VALUE"""),"2_ABaOnud8sXjMTLlvtM42E34qpPXrleR7qiTHoD0hOhMfiCfiRagJ-1xJWWy_lUNrVw")</f>
        <v>2_ABaOnud8sXjMTLlvtM42E34qpPXrleR7qiTHoD0hOhMfiCfiRagJ-1xJWWy_lUNrVw</v>
      </c>
      <c r="D374" s="4" t="str">
        <f ca="1">IFERROR(__xludf.DUMMYFUNCTION("""COMPUTED_VALUE"""),"Chứng chỉ Kiểm toán viên")</f>
        <v>Chứng chỉ Kiểm toán viên</v>
      </c>
    </row>
    <row r="375" spans="1:4" x14ac:dyDescent="0.25">
      <c r="A375" s="4" t="str">
        <f ca="1">IFERROR(__xludf.DUMMYFUNCTION("""COMPUTED_VALUE"""),"2_ABaOnufxP9wORSfcThAe0xyAGyBOjdBLAeBfYJzxn14iF23gS5xFmv2eUUVKFH5y0w")</f>
        <v>2_ABaOnufxP9wORSfcThAe0xyAGyBOjdBLAeBfYJzxn14iF23gS5xFmv2eUUVKFH5y0w</v>
      </c>
      <c r="B375" s="4" t="str">
        <f ca="1">IFERROR(__xludf.DUMMYFUNCTION("""COMPUTED_VALUE"""),"Đại học")</f>
        <v>Đại học</v>
      </c>
      <c r="C375" s="4" t="str">
        <f ca="1">IFERROR(__xludf.DUMMYFUNCTION("""COMPUTED_VALUE"""),"2_ABaOnudbyOXN5MXY5BfuGdeRnlKv8ruZ8arWbk3yWjakKuKPn8fV89G7y_WmncxywQ")</f>
        <v>2_ABaOnudbyOXN5MXY5BfuGdeRnlKv8ruZ8arWbk3yWjakKuKPn8fV89G7y_WmncxywQ</v>
      </c>
      <c r="D375" s="4" t="str">
        <f ca="1">IFERROR(__xludf.DUMMYFUNCTION("""COMPUTED_VALUE"""),"Chứng chỉ Kiểm toán viên")</f>
        <v>Chứng chỉ Kiểm toán viên</v>
      </c>
    </row>
    <row r="376" spans="1:4" x14ac:dyDescent="0.25">
      <c r="A376" s="4" t="str">
        <f ca="1">IFERROR(__xludf.DUMMYFUNCTION("""COMPUTED_VALUE"""),"2_ABaOnufsLYnGyDc-avkLmhuMw-pB7ErK6Obi3-fhUef98HtACWqwpRzTXtnam_cgtQ")</f>
        <v>2_ABaOnufsLYnGyDc-avkLmhuMw-pB7ErK6Obi3-fhUef98HtACWqwpRzTXtnam_cgtQ</v>
      </c>
      <c r="B376" s="4" t="str">
        <f ca="1">IFERROR(__xludf.DUMMYFUNCTION("""COMPUTED_VALUE"""),"Đại học")</f>
        <v>Đại học</v>
      </c>
      <c r="C376" s="4" t="str">
        <f ca="1">IFERROR(__xludf.DUMMYFUNCTION("""COMPUTED_VALUE"""),"2_ABaOnud6RTAPF3iMUB4uY0LQsXFZcnXb-Oq-C6BEY4Cl9wS5nM2t87Qgjk5ZLja3iA")</f>
        <v>2_ABaOnud6RTAPF3iMUB4uY0LQsXFZcnXb-Oq-C6BEY4Cl9wS5nM2t87Qgjk5ZLja3iA</v>
      </c>
      <c r="D376" s="4" t="str">
        <f ca="1">IFERROR(__xludf.DUMMYFUNCTION("""COMPUTED_VALUE"""),"Đại học")</f>
        <v>Đại học</v>
      </c>
    </row>
    <row r="377" spans="1:4" x14ac:dyDescent="0.25">
      <c r="A377" s="4" t="str">
        <f ca="1">IFERROR(__xludf.DUMMYFUNCTION("""COMPUTED_VALUE"""),"2_ABaOnufQrCx3Mdjy8dgmL-9go9_OUcULgi4TJG8VFJ4xjNa0VtraUT9_4ZNlPCGZ9A")</f>
        <v>2_ABaOnufQrCx3Mdjy8dgmL-9go9_OUcULgi4TJG8VFJ4xjNa0VtraUT9_4ZNlPCGZ9A</v>
      </c>
      <c r="B377" s="4" t="str">
        <f ca="1">IFERROR(__xludf.DUMMYFUNCTION("""COMPUTED_VALUE"""),"Đại học, Chứng chỉ Kiểm toán viên")</f>
        <v>Đại học, Chứng chỉ Kiểm toán viên</v>
      </c>
      <c r="C377" s="4" t="str">
        <f ca="1">IFERROR(__xludf.DUMMYFUNCTION("""COMPUTED_VALUE"""),"2_ABaOnuc_r0IZg5KiApdS6XT7t6LDBzniozfcLPTOmm-NEzoNiGF-d0UJwmBsXVKJzg")</f>
        <v>2_ABaOnuc_r0IZg5KiApdS6XT7t6LDBzniozfcLPTOmm-NEzoNiGF-d0UJwmBsXVKJzg</v>
      </c>
      <c r="D377" s="4" t="str">
        <f ca="1">IFERROR(__xludf.DUMMYFUNCTION("""COMPUTED_VALUE"""),"Chứng chỉ Kiểm toán viên")</f>
        <v>Chứng chỉ Kiểm toán viên</v>
      </c>
    </row>
    <row r="378" spans="1:4" x14ac:dyDescent="0.25">
      <c r="A378" s="4" t="str">
        <f ca="1">IFERROR(__xludf.DUMMYFUNCTION("""COMPUTED_VALUE"""),"2_ABaOnueKScmk2gGLafZxJ_lstyiZcabWjIMc5JOmWLoeNY1lhnkwPpCymneunfyHUw")</f>
        <v>2_ABaOnueKScmk2gGLafZxJ_lstyiZcabWjIMc5JOmWLoeNY1lhnkwPpCymneunfyHUw</v>
      </c>
      <c r="B378" s="4" t="str">
        <f ca="1">IFERROR(__xludf.DUMMYFUNCTION("""COMPUTED_VALUE"""),"Đại học, Chứng chỉ Kiểm toán viên")</f>
        <v>Đại học, Chứng chỉ Kiểm toán viên</v>
      </c>
      <c r="C378" s="4" t="str">
        <f ca="1">IFERROR(__xludf.DUMMYFUNCTION("""COMPUTED_VALUE"""),"2_ABaOnuclFzlD0bi3qO3re-Zsfq0hYrusmyFiDI2-34xfmN5eBI7kGuoMiYe_jRFriw")</f>
        <v>2_ABaOnuclFzlD0bi3qO3re-Zsfq0hYrusmyFiDI2-34xfmN5eBI7kGuoMiYe_jRFriw</v>
      </c>
      <c r="D378" s="4" t="str">
        <f ca="1">IFERROR(__xludf.DUMMYFUNCTION("""COMPUTED_VALUE"""),"Đại học")</f>
        <v>Đại học</v>
      </c>
    </row>
    <row r="379" spans="1:4" x14ac:dyDescent="0.25">
      <c r="A379" s="4" t="str">
        <f ca="1">IFERROR(__xludf.DUMMYFUNCTION("""COMPUTED_VALUE"""),"2_ABaOnufOqWsQGQmxcFW_U-lY3EZ8aAnzFqmsFbbt1GvgJOLcmIbOzmdLEA3DC5B_dA")</f>
        <v>2_ABaOnufOqWsQGQmxcFW_U-lY3EZ8aAnzFqmsFbbt1GvgJOLcmIbOzmdLEA3DC5B_dA</v>
      </c>
      <c r="B379" s="4" t="str">
        <f ca="1">IFERROR(__xludf.DUMMYFUNCTION("""COMPUTED_VALUE"""),"Đại học")</f>
        <v>Đại học</v>
      </c>
      <c r="C379" s="4" t="str">
        <f ca="1">IFERROR(__xludf.DUMMYFUNCTION("""COMPUTED_VALUE"""),"2_ABaOnuesH_uKuzatCs6sIxyFIbgnPAzYiKlMChqGalx5z9MuO60YMWodETgCf2d23Q")</f>
        <v>2_ABaOnuesH_uKuzatCs6sIxyFIbgnPAzYiKlMChqGalx5z9MuO60YMWodETgCf2d23Q</v>
      </c>
      <c r="D379" s="4" t="str">
        <f ca="1">IFERROR(__xludf.DUMMYFUNCTION("""COMPUTED_VALUE"""),"Đại học")</f>
        <v>Đại học</v>
      </c>
    </row>
    <row r="380" spans="1:4" x14ac:dyDescent="0.25">
      <c r="A380" s="4" t="str">
        <f ca="1">IFERROR(__xludf.DUMMYFUNCTION("""COMPUTED_VALUE"""),"2_ABaOnucG-vCTufKPb8JIEPFemA2A6FXhBGay1c6tPBaFo4NQlhmKTe-2Dq_xYy6fDA")</f>
        <v>2_ABaOnucG-vCTufKPb8JIEPFemA2A6FXhBGay1c6tPBaFo4NQlhmKTe-2Dq_xYy6fDA</v>
      </c>
      <c r="B380" s="4" t="str">
        <f ca="1">IFERROR(__xludf.DUMMYFUNCTION("""COMPUTED_VALUE"""),"Đại học")</f>
        <v>Đại học</v>
      </c>
      <c r="C380" s="4" t="str">
        <f ca="1">IFERROR(__xludf.DUMMYFUNCTION("""COMPUTED_VALUE"""),"2_ABaOnuefQplRP1WG8nV3Jh1Q0ICu29SPTfAjTWuFY6QDqsPALazHdgyEluBFQ1ijaQ")</f>
        <v>2_ABaOnuefQplRP1WG8nV3Jh1Q0ICu29SPTfAjTWuFY6QDqsPALazHdgyEluBFQ1ijaQ</v>
      </c>
      <c r="D380" s="4" t="str">
        <f ca="1">IFERROR(__xludf.DUMMYFUNCTION("""COMPUTED_VALUE"""),"Chứng chỉ Kiểm toán viên")</f>
        <v>Chứng chỉ Kiểm toán viên</v>
      </c>
    </row>
    <row r="381" spans="1:4" x14ac:dyDescent="0.25">
      <c r="A381" s="4" t="str">
        <f ca="1">IFERROR(__xludf.DUMMYFUNCTION("""COMPUTED_VALUE"""),"2_ABaOnudDmtmf4rUtjjofWsf4BJEH-dV6tQevU7oEvXDONg1LA_Pmz3x7v-D7gQ3TLg")</f>
        <v>2_ABaOnudDmtmf4rUtjjofWsf4BJEH-dV6tQevU7oEvXDONg1LA_Pmz3x7v-D7gQ3TLg</v>
      </c>
      <c r="B381" s="4" t="str">
        <f ca="1">IFERROR(__xludf.DUMMYFUNCTION("""COMPUTED_VALUE"""),"Đại học")</f>
        <v>Đại học</v>
      </c>
      <c r="C381" s="4" t="str">
        <f ca="1">IFERROR(__xludf.DUMMYFUNCTION("""COMPUTED_VALUE"""),"2_ABaOnufPee2hWDnGITvr4tLCpNkh1g3MjM33jkkysdHIEQEFq-bM_p-nicv1lqpx8Q")</f>
        <v>2_ABaOnufPee2hWDnGITvr4tLCpNkh1g3MjM33jkkysdHIEQEFq-bM_p-nicv1lqpx8Q</v>
      </c>
      <c r="D381" s="4" t="str">
        <f ca="1">IFERROR(__xludf.DUMMYFUNCTION("""COMPUTED_VALUE"""),"Đại học")</f>
        <v>Đại học</v>
      </c>
    </row>
    <row r="382" spans="1:4" x14ac:dyDescent="0.25">
      <c r="A382" s="4" t="str">
        <f ca="1">IFERROR(__xludf.DUMMYFUNCTION("""COMPUTED_VALUE"""),"2_ABaOnucPlE4Fo45oRZuFPeCoq-qRnwVMtRFoD7UxONZaIO0a6LbhMZJ4t_GYncHvzA")</f>
        <v>2_ABaOnucPlE4Fo45oRZuFPeCoq-qRnwVMtRFoD7UxONZaIO0a6LbhMZJ4t_GYncHvzA</v>
      </c>
      <c r="B382" s="4" t="str">
        <f ca="1">IFERROR(__xludf.DUMMYFUNCTION("""COMPUTED_VALUE"""),"Chứng chỉ Kiểm toán viên")</f>
        <v>Chứng chỉ Kiểm toán viên</v>
      </c>
      <c r="C382" s="4" t="str">
        <f ca="1">IFERROR(__xludf.DUMMYFUNCTION("""COMPUTED_VALUE"""),"2_ABaOnufiY9V_a0Y-0oblmAaSnQa0fgZgN1_S9L9ONUvaSFLbYnr5XLVIjQqmZ8hQIA")</f>
        <v>2_ABaOnufiY9V_a0Y-0oblmAaSnQa0fgZgN1_S9L9ONUvaSFLbYnr5XLVIjQqmZ8hQIA</v>
      </c>
      <c r="D382" s="4" t="str">
        <f ca="1">IFERROR(__xludf.DUMMYFUNCTION("""COMPUTED_VALUE"""),"Chứng chỉ Kiểm toán viên")</f>
        <v>Chứng chỉ Kiểm toán viên</v>
      </c>
    </row>
    <row r="383" spans="1:4" x14ac:dyDescent="0.25">
      <c r="A383" s="4" t="str">
        <f ca="1">IFERROR(__xludf.DUMMYFUNCTION("""COMPUTED_VALUE"""),"2_ABaOnudSljC7v0GY7d6G_ObwKkfbT-Rx7nM0dT7wThxqTcXxRSc-IckjQulmZImPyw")</f>
        <v>2_ABaOnudSljC7v0GY7d6G_ObwKkfbT-Rx7nM0dT7wThxqTcXxRSc-IckjQulmZImPyw</v>
      </c>
      <c r="B383" s="4" t="str">
        <f ca="1">IFERROR(__xludf.DUMMYFUNCTION("""COMPUTED_VALUE"""),"Đại học")</f>
        <v>Đại học</v>
      </c>
      <c r="C383" s="4" t="str">
        <f ca="1">IFERROR(__xludf.DUMMYFUNCTION("""COMPUTED_VALUE"""),"2_ABaOnufiY9V_a0Y-0oblmAaSnQa0fgZgN1_S9L9ONUvaSFLbYnr5XLVIjQqmZ8hQIA")</f>
        <v>2_ABaOnufiY9V_a0Y-0oblmAaSnQa0fgZgN1_S9L9ONUvaSFLbYnr5XLVIjQqmZ8hQIA</v>
      </c>
      <c r="D383" s="4" t="str">
        <f ca="1">IFERROR(__xludf.DUMMYFUNCTION("""COMPUTED_VALUE"""),"ACCA")</f>
        <v>ACCA</v>
      </c>
    </row>
    <row r="384" spans="1:4" x14ac:dyDescent="0.25">
      <c r="A384" s="4" t="str">
        <f ca="1">IFERROR(__xludf.DUMMYFUNCTION("""COMPUTED_VALUE"""),"2_ABaOnueKUj2W4um7LFpnJSYi5rTuVHXCm7nqdfp_44SQkn0vfxAX_J_6TRQ63V1iXA")</f>
        <v>2_ABaOnueKUj2W4um7LFpnJSYi5rTuVHXCm7nqdfp_44SQkn0vfxAX_J_6TRQ63V1iXA</v>
      </c>
      <c r="B384" s="4" t="str">
        <f ca="1">IFERROR(__xludf.DUMMYFUNCTION("""COMPUTED_VALUE"""),"Đại học")</f>
        <v>Đại học</v>
      </c>
      <c r="C384" s="4" t="str">
        <f ca="1">IFERROR(__xludf.DUMMYFUNCTION("""COMPUTED_VALUE"""),"2_ABaOnueaj9jX9_S4p9Ls6VKwaP557zAJuJ_QwuH4yGeEupfLFMS2CtwhmoSMWOZTWw")</f>
        <v>2_ABaOnueaj9jX9_S4p9Ls6VKwaP557zAJuJ_QwuH4yGeEupfLFMS2CtwhmoSMWOZTWw</v>
      </c>
      <c r="D384" s="4" t="str">
        <f ca="1">IFERROR(__xludf.DUMMYFUNCTION("""COMPUTED_VALUE"""),"Chứng chỉ Kiểm toán viên")</f>
        <v>Chứng chỉ Kiểm toán viên</v>
      </c>
    </row>
    <row r="385" spans="1:4" x14ac:dyDescent="0.25">
      <c r="A385" s="4" t="str">
        <f ca="1">IFERROR(__xludf.DUMMYFUNCTION("""COMPUTED_VALUE"""),"2_ABaOnuejT-sbbTpyUYyOyneuxngX9EzKQF8VeleIzWe1zfheVswm96be_Y3EtpJadA")</f>
        <v>2_ABaOnuejT-sbbTpyUYyOyneuxngX9EzKQF8VeleIzWe1zfheVswm96be_Y3EtpJadA</v>
      </c>
      <c r="B385" s="4" t="str">
        <f ca="1">IFERROR(__xludf.DUMMYFUNCTION("""COMPUTED_VALUE"""),"Đại học")</f>
        <v>Đại học</v>
      </c>
      <c r="C385" s="4" t="str">
        <f ca="1">IFERROR(__xludf.DUMMYFUNCTION("""COMPUTED_VALUE"""),"2_ABaOnudkKTdyZTLB1oX0xueY1fsbuzSm-nfxBN9UHlyf1MT6vPZI2b2nawNgB7E7Fg")</f>
        <v>2_ABaOnudkKTdyZTLB1oX0xueY1fsbuzSm-nfxBN9UHlyf1MT6vPZI2b2nawNgB7E7Fg</v>
      </c>
      <c r="D385" s="4" t="str">
        <f ca="1">IFERROR(__xludf.DUMMYFUNCTION("""COMPUTED_VALUE"""),"Chứng chỉ Kiểm toán viên")</f>
        <v>Chứng chỉ Kiểm toán viên</v>
      </c>
    </row>
    <row r="386" spans="1:4" x14ac:dyDescent="0.25">
      <c r="A386" s="4" t="str">
        <f ca="1">IFERROR(__xludf.DUMMYFUNCTION("""COMPUTED_VALUE"""),"2_ABaOnucsF8AaRSpnBXQLS8xhm_yX5nnBppaPkrVsO440H4lTRLEVFGYEaEkPOJlOcA")</f>
        <v>2_ABaOnucsF8AaRSpnBXQLS8xhm_yX5nnBppaPkrVsO440H4lTRLEVFGYEaEkPOJlOcA</v>
      </c>
      <c r="B386" s="4" t="str">
        <f ca="1">IFERROR(__xludf.DUMMYFUNCTION("""COMPUTED_VALUE"""),"Đại học")</f>
        <v>Đại học</v>
      </c>
      <c r="C386" s="4" t="str">
        <f ca="1">IFERROR(__xludf.DUMMYFUNCTION("""COMPUTED_VALUE"""),"2_ABaOnud6tPRYXHVIOnG01LrPqCweKFfrGTOWRIpNsNv5JEB26hn3sbboEjPZKsSXrQ")</f>
        <v>2_ABaOnud6tPRYXHVIOnG01LrPqCweKFfrGTOWRIpNsNv5JEB26hn3sbboEjPZKsSXrQ</v>
      </c>
      <c r="D386" s="4" t="str">
        <f ca="1">IFERROR(__xludf.DUMMYFUNCTION("""COMPUTED_VALUE"""),"Đại học")</f>
        <v>Đại học</v>
      </c>
    </row>
    <row r="387" spans="1:4" x14ac:dyDescent="0.25">
      <c r="A387" s="4" t="str">
        <f ca="1">IFERROR(__xludf.DUMMYFUNCTION("""COMPUTED_VALUE"""),"2_ABaOnuc9fqoK5aA_mhYFulb-Lf0m-tFeLTNGJz_pUuUNOyEfsi4NdwZVkms7XJ-sxQ")</f>
        <v>2_ABaOnuc9fqoK5aA_mhYFulb-Lf0m-tFeLTNGJz_pUuUNOyEfsi4NdwZVkms7XJ-sxQ</v>
      </c>
      <c r="B387" s="4" t="str">
        <f ca="1">IFERROR(__xludf.DUMMYFUNCTION("""COMPUTED_VALUE"""),"Đại học")</f>
        <v>Đại học</v>
      </c>
      <c r="C387" s="4" t="str">
        <f ca="1">IFERROR(__xludf.DUMMYFUNCTION("""COMPUTED_VALUE"""),"2_ABaOnuctB6MGnfnivUt5PsPuFNqxieJpfPOMrrqK6GfEeQvTpIQ5Bj-VIwBp8OjNgA")</f>
        <v>2_ABaOnuctB6MGnfnivUt5PsPuFNqxieJpfPOMrrqK6GfEeQvTpIQ5Bj-VIwBp8OjNgA</v>
      </c>
      <c r="D387" s="4" t="str">
        <f ca="1">IFERROR(__xludf.DUMMYFUNCTION("""COMPUTED_VALUE"""),"Đại học")</f>
        <v>Đại học</v>
      </c>
    </row>
    <row r="388" spans="1:4" x14ac:dyDescent="0.25">
      <c r="A388" s="4" t="str">
        <f ca="1">IFERROR(__xludf.DUMMYFUNCTION("""COMPUTED_VALUE"""),"2_ABaOnuflDJT1A5lelTO5klJy2FviWhReOpR2LncdFxr0nxpx-whtpbMjgggXxGXd-Q")</f>
        <v>2_ABaOnuflDJT1A5lelTO5klJy2FviWhReOpR2LncdFxr0nxpx-whtpbMjgggXxGXd-Q</v>
      </c>
      <c r="B388" s="4" t="str">
        <f ca="1">IFERROR(__xludf.DUMMYFUNCTION("""COMPUTED_VALUE"""),"Đại học")</f>
        <v>Đại học</v>
      </c>
      <c r="C388" s="4" t="str">
        <f ca="1">IFERROR(__xludf.DUMMYFUNCTION("""COMPUTED_VALUE"""),"2_ABaOnufTb0fNV0ZPji5z61ynmpPE3TPD3ILMAY75w8u55_Fahm3LgT1urtK0bA19eg")</f>
        <v>2_ABaOnufTb0fNV0ZPji5z61ynmpPE3TPD3ILMAY75w8u55_Fahm3LgT1urtK0bA19eg</v>
      </c>
      <c r="D388" s="4" t="str">
        <f ca="1">IFERROR(__xludf.DUMMYFUNCTION("""COMPUTED_VALUE"""),"Đại học")</f>
        <v>Đại học</v>
      </c>
    </row>
    <row r="389" spans="1:4" x14ac:dyDescent="0.25">
      <c r="A389" s="4" t="str">
        <f ca="1">IFERROR(__xludf.DUMMYFUNCTION("""COMPUTED_VALUE"""),"2_ABaOnudfRzH1B_hh_vPKS7-DGMlvQhrNKu_ngJetMAwDHKVz5G5zaqmGBm7fkXHItg")</f>
        <v>2_ABaOnudfRzH1B_hh_vPKS7-DGMlvQhrNKu_ngJetMAwDHKVz5G5zaqmGBm7fkXHItg</v>
      </c>
      <c r="B389" s="4" t="str">
        <f ca="1">IFERROR(__xludf.DUMMYFUNCTION("""COMPUTED_VALUE"""),"Đại học")</f>
        <v>Đại học</v>
      </c>
      <c r="C389" s="4" t="str">
        <f ca="1">IFERROR(__xludf.DUMMYFUNCTION("""COMPUTED_VALUE"""),"2_ABaOnufTb0fNV0ZPji5z61ynmpPE3TPD3ILMAY75w8u55_Fahm3LgT1urtK0bA19eg")</f>
        <v>2_ABaOnufTb0fNV0ZPji5z61ynmpPE3TPD3ILMAY75w8u55_Fahm3LgT1urtK0bA19eg</v>
      </c>
      <c r="D389" s="4" t="str">
        <f ca="1">IFERROR(__xludf.DUMMYFUNCTION("""COMPUTED_VALUE"""),"Chứng chỉ Kiểm toán viên")</f>
        <v>Chứng chỉ Kiểm toán viên</v>
      </c>
    </row>
    <row r="390" spans="1:4" x14ac:dyDescent="0.25">
      <c r="A390" s="4" t="str">
        <f ca="1">IFERROR(__xludf.DUMMYFUNCTION("""COMPUTED_VALUE"""),"2_ABaOnuceQJklTe4WRk_5mq0zhZELLJ5_EdFmAyCpA84BmO8v2Imj6Dc-MnX2jfGYFg")</f>
        <v>2_ABaOnuceQJklTe4WRk_5mq0zhZELLJ5_EdFmAyCpA84BmO8v2Imj6Dc-MnX2jfGYFg</v>
      </c>
      <c r="B390" s="4" t="str">
        <f ca="1">IFERROR(__xludf.DUMMYFUNCTION("""COMPUTED_VALUE"""),"Đại học")</f>
        <v>Đại học</v>
      </c>
      <c r="C390" s="4" t="str">
        <f ca="1">IFERROR(__xludf.DUMMYFUNCTION("""COMPUTED_VALUE"""),"2_ABaOnueaSfiY9135AribLX3QtfFQxEfxvyenXje-Z4AxBoKtMx-SMn8QGaCfb7sTPg")</f>
        <v>2_ABaOnueaSfiY9135AribLX3QtfFQxEfxvyenXje-Z4AxBoKtMx-SMn8QGaCfb7sTPg</v>
      </c>
      <c r="D390" s="4" t="str">
        <f ca="1">IFERROR(__xludf.DUMMYFUNCTION("""COMPUTED_VALUE"""),"Chứng chỉ Kiểm toán viên")</f>
        <v>Chứng chỉ Kiểm toán viên</v>
      </c>
    </row>
    <row r="391" spans="1:4" x14ac:dyDescent="0.25">
      <c r="A391" s="4" t="str">
        <f ca="1">IFERROR(__xludf.DUMMYFUNCTION("""COMPUTED_VALUE"""),"2_ABaOnufNXe_9JWsoIU0b36zyuxdwqQVYmyasMk7i7qKeg6jjLp7_B--D39rsuQIeVQ")</f>
        <v>2_ABaOnufNXe_9JWsoIU0b36zyuxdwqQVYmyasMk7i7qKeg6jjLp7_B--D39rsuQIeVQ</v>
      </c>
      <c r="B391" s="4" t="str">
        <f ca="1">IFERROR(__xludf.DUMMYFUNCTION("""COMPUTED_VALUE"""),"Đại học")</f>
        <v>Đại học</v>
      </c>
      <c r="C391" s="4" t="str">
        <f ca="1">IFERROR(__xludf.DUMMYFUNCTION("""COMPUTED_VALUE"""),"2_ABaOnueaSfiY9135AribLX3QtfFQxEfxvyenXje-Z4AxBoKtMx-SMn8QGaCfb7sTPg")</f>
        <v>2_ABaOnueaSfiY9135AribLX3QtfFQxEfxvyenXje-Z4AxBoKtMx-SMn8QGaCfb7sTPg</v>
      </c>
      <c r="D391" s="4" t="str">
        <f ca="1">IFERROR(__xludf.DUMMYFUNCTION("""COMPUTED_VALUE"""),"ACCA")</f>
        <v>ACCA</v>
      </c>
    </row>
    <row r="392" spans="1:4" x14ac:dyDescent="0.25">
      <c r="A392" s="4" t="str">
        <f ca="1">IFERROR(__xludf.DUMMYFUNCTION("""COMPUTED_VALUE"""),"2_ABaOnucYGgw_UizGiE2nLZzrADEX-PxWXQdCcA5-SkNyfwi3HSntog1Nbk4l71h8bg")</f>
        <v>2_ABaOnucYGgw_UizGiE2nLZzrADEX-PxWXQdCcA5-SkNyfwi3HSntog1Nbk4l71h8bg</v>
      </c>
      <c r="B392" s="4" t="str">
        <f ca="1">IFERROR(__xludf.DUMMYFUNCTION("""COMPUTED_VALUE"""),"Đại học")</f>
        <v>Đại học</v>
      </c>
      <c r="C392" s="4" t="str">
        <f ca="1">IFERROR(__xludf.DUMMYFUNCTION("""COMPUTED_VALUE"""),"2_ABaOnuf8qvbem50f6kku92OgAh17AqnDKnQ8WSEXvpYI7fRQA34vpIdSEzSNcbf4Fg")</f>
        <v>2_ABaOnuf8qvbem50f6kku92OgAh17AqnDKnQ8WSEXvpYI7fRQA34vpIdSEzSNcbf4Fg</v>
      </c>
      <c r="D392" s="4" t="str">
        <f ca="1">IFERROR(__xludf.DUMMYFUNCTION("""COMPUTED_VALUE"""),"Đại học")</f>
        <v>Đại học</v>
      </c>
    </row>
    <row r="393" spans="1:4" x14ac:dyDescent="0.25">
      <c r="A393" s="4" t="str">
        <f ca="1">IFERROR(__xludf.DUMMYFUNCTION("""COMPUTED_VALUE"""),"2_ABaOnuf2jlIDXBMKMH-8brXWU65TiexmEd640HCrVy3Rn6mk6D-cWaS26e_ASrD-Kw")</f>
        <v>2_ABaOnuf2jlIDXBMKMH-8brXWU65TiexmEd640HCrVy3Rn6mk6D-cWaS26e_ASrD-Kw</v>
      </c>
      <c r="B393" s="4" t="str">
        <f ca="1">IFERROR(__xludf.DUMMYFUNCTION("""COMPUTED_VALUE"""),"Sau đại học")</f>
        <v>Sau đại học</v>
      </c>
      <c r="C393" s="4" t="str">
        <f ca="1">IFERROR(__xludf.DUMMYFUNCTION("""COMPUTED_VALUE"""),"2_ABaOnudNFkLU2YT34xJXurre5AyhdZAfK-cB0tvZQ4ffgbZkog9lq-pJOjuBB0Hvfw")</f>
        <v>2_ABaOnudNFkLU2YT34xJXurre5AyhdZAfK-cB0tvZQ4ffgbZkog9lq-pJOjuBB0Hvfw</v>
      </c>
      <c r="D393" s="4" t="str">
        <f ca="1">IFERROR(__xludf.DUMMYFUNCTION("""COMPUTED_VALUE"""),"Sau đại học")</f>
        <v>Sau đại học</v>
      </c>
    </row>
    <row r="394" spans="1:4" x14ac:dyDescent="0.25">
      <c r="A394" s="4" t="str">
        <f ca="1">IFERROR(__xludf.DUMMYFUNCTION("""COMPUTED_VALUE"""),"2_ABaOnufn-XR8XSb799PIHdr-edk_mO8qkV-MN01hWx9-_BaVhPuONqBITfQx-_shjg")</f>
        <v>2_ABaOnufn-XR8XSb799PIHdr-edk_mO8qkV-MN01hWx9-_BaVhPuONqBITfQx-_shjg</v>
      </c>
      <c r="B394" s="4" t="str">
        <f ca="1">IFERROR(__xludf.DUMMYFUNCTION("""COMPUTED_VALUE"""),"Đại học")</f>
        <v>Đại học</v>
      </c>
      <c r="C394" s="4" t="str">
        <f ca="1">IFERROR(__xludf.DUMMYFUNCTION("""COMPUTED_VALUE"""),"2_ABaOnudNFkLU2YT34xJXurre5AyhdZAfK-cB0tvZQ4ffgbZkog9lq-pJOjuBB0Hvfw")</f>
        <v>2_ABaOnudNFkLU2YT34xJXurre5AyhdZAfK-cB0tvZQ4ffgbZkog9lq-pJOjuBB0Hvfw</v>
      </c>
      <c r="D394" s="4" t="str">
        <f ca="1">IFERROR(__xludf.DUMMYFUNCTION("""COMPUTED_VALUE"""),"Chứng chỉ Kiểm toán viên")</f>
        <v>Chứng chỉ Kiểm toán viên</v>
      </c>
    </row>
    <row r="395" spans="1:4" x14ac:dyDescent="0.25">
      <c r="A395" s="4" t="str">
        <f ca="1">IFERROR(__xludf.DUMMYFUNCTION("""COMPUTED_VALUE"""),"2_ABaOnueQ-9IMiO_EHTuy6LzSX41RjJOFeh1BK9GUKIZ2KyRfsLQe8TTX6XiGeAc39g")</f>
        <v>2_ABaOnueQ-9IMiO_EHTuy6LzSX41RjJOFeh1BK9GUKIZ2KyRfsLQe8TTX6XiGeAc39g</v>
      </c>
      <c r="B395" s="4" t="str">
        <f ca="1">IFERROR(__xludf.DUMMYFUNCTION("""COMPUTED_VALUE"""),"Đại học")</f>
        <v>Đại học</v>
      </c>
      <c r="C395" s="4" t="str">
        <f ca="1">IFERROR(__xludf.DUMMYFUNCTION("""COMPUTED_VALUE"""),"2_ABaOnufCwbzvLV-e_L_G2RE6l4RGx6Q1Yx8hfPAz3zkX5VxaAK-C2O4aw6vu64hRoA")</f>
        <v>2_ABaOnufCwbzvLV-e_L_G2RE6l4RGx6Q1Yx8hfPAz3zkX5VxaAK-C2O4aw6vu64hRoA</v>
      </c>
      <c r="D395" s="4" t="str">
        <f ca="1">IFERROR(__xludf.DUMMYFUNCTION("""COMPUTED_VALUE"""),"Đại học")</f>
        <v>Đại học</v>
      </c>
    </row>
    <row r="396" spans="1:4" x14ac:dyDescent="0.25">
      <c r="A396" s="4" t="str">
        <f ca="1">IFERROR(__xludf.DUMMYFUNCTION("""COMPUTED_VALUE"""),"2_ABaOnuc5AbAQRdh-CEmLLicbbVtC9JbXIEqk_1a8iyo7EEFxkBt4R98w36k51gf3yw")</f>
        <v>2_ABaOnuc5AbAQRdh-CEmLLicbbVtC9JbXIEqk_1a8iyo7EEFxkBt4R98w36k51gf3yw</v>
      </c>
      <c r="B396" s="4" t="str">
        <f ca="1">IFERROR(__xludf.DUMMYFUNCTION("""COMPUTED_VALUE"""),"Chứng chỉ Kiểm toán viên")</f>
        <v>Chứng chỉ Kiểm toán viên</v>
      </c>
      <c r="C396" s="4" t="str">
        <f ca="1">IFERROR(__xludf.DUMMYFUNCTION("""COMPUTED_VALUE"""),"2_ABaOnufCwbzvLV-e_L_G2RE6l4RGx6Q1Yx8hfPAz3zkX5VxaAK-C2O4aw6vu64hRoA")</f>
        <v>2_ABaOnufCwbzvLV-e_L_G2RE6l4RGx6Q1Yx8hfPAz3zkX5VxaAK-C2O4aw6vu64hRoA</v>
      </c>
      <c r="D396" s="4" t="str">
        <f ca="1">IFERROR(__xludf.DUMMYFUNCTION("""COMPUTED_VALUE"""),"Sau đại học")</f>
        <v>Sau đại học</v>
      </c>
    </row>
    <row r="397" spans="1:4" x14ac:dyDescent="0.25">
      <c r="A397" s="4" t="str">
        <f ca="1">IFERROR(__xludf.DUMMYFUNCTION("""COMPUTED_VALUE"""),"2_ABaOnucLCnzmBUTFhMMk55iemSEzHomR4dLz7lw2JNzHXPk1tXhMc2UyhyCy_6NdOw")</f>
        <v>2_ABaOnucLCnzmBUTFhMMk55iemSEzHomR4dLz7lw2JNzHXPk1tXhMc2UyhyCy_6NdOw</v>
      </c>
      <c r="B397" s="4" t="str">
        <f ca="1">IFERROR(__xludf.DUMMYFUNCTION("""COMPUTED_VALUE"""),"Sau đại học, Chứng chỉ Kiểm toán viên")</f>
        <v>Sau đại học, Chứng chỉ Kiểm toán viên</v>
      </c>
      <c r="C397" s="4" t="str">
        <f ca="1">IFERROR(__xludf.DUMMYFUNCTION("""COMPUTED_VALUE"""),"2_ABaOnufCwbzvLV-e_L_G2RE6l4RGx6Q1Yx8hfPAz3zkX5VxaAK-C2O4aw6vu64hRoA")</f>
        <v>2_ABaOnufCwbzvLV-e_L_G2RE6l4RGx6Q1Yx8hfPAz3zkX5VxaAK-C2O4aw6vu64hRoA</v>
      </c>
      <c r="D397" s="4" t="str">
        <f ca="1">IFERROR(__xludf.DUMMYFUNCTION("""COMPUTED_VALUE"""),"Chứng chỉ Kiểm toán viên")</f>
        <v>Chứng chỉ Kiểm toán viên</v>
      </c>
    </row>
    <row r="398" spans="1:4" x14ac:dyDescent="0.25">
      <c r="A398" s="4" t="str">
        <f ca="1">IFERROR(__xludf.DUMMYFUNCTION("""COMPUTED_VALUE"""),"2_ABaOnucCLWWkfAZ1dxY4Alqc4hg90zV9B8i6OxISmskr8zprwfp2WyX3tt0WhzQLdA")</f>
        <v>2_ABaOnucCLWWkfAZ1dxY4Alqc4hg90zV9B8i6OxISmskr8zprwfp2WyX3tt0WhzQLdA</v>
      </c>
      <c r="B398" s="4" t="str">
        <f ca="1">IFERROR(__xludf.DUMMYFUNCTION("""COMPUTED_VALUE"""),"Đại học")</f>
        <v>Đại học</v>
      </c>
      <c r="C398" s="4" t="str">
        <f ca="1">IFERROR(__xludf.DUMMYFUNCTION("""COMPUTED_VALUE"""),"2_ABaOnuf5YsaqOjMPA-z8FtZ-Jczon3Lpmdy0tvRGWLj8AVMiohdFT0F-LmudV5-0wg")</f>
        <v>2_ABaOnuf5YsaqOjMPA-z8FtZ-Jczon3Lpmdy0tvRGWLj8AVMiohdFT0F-LmudV5-0wg</v>
      </c>
      <c r="D398" s="4" t="str">
        <f ca="1">IFERROR(__xludf.DUMMYFUNCTION("""COMPUTED_VALUE"""),"Đại học")</f>
        <v>Đại học</v>
      </c>
    </row>
    <row r="399" spans="1:4" x14ac:dyDescent="0.25">
      <c r="A399" s="4" t="str">
        <f ca="1">IFERROR(__xludf.DUMMYFUNCTION("""COMPUTED_VALUE"""),"2_ABaOnufyIxjF_fQIkse1s3ORYRvj0v5MwK2kcLfmJzr3gfh8R_E1mia-9BWU29Afvw")</f>
        <v>2_ABaOnufyIxjF_fQIkse1s3ORYRvj0v5MwK2kcLfmJzr3gfh8R_E1mia-9BWU29Afvw</v>
      </c>
      <c r="B399" s="4" t="str">
        <f ca="1">IFERROR(__xludf.DUMMYFUNCTION("""COMPUTED_VALUE"""),"Đại học")</f>
        <v>Đại học</v>
      </c>
      <c r="C399" s="4" t="str">
        <f ca="1">IFERROR(__xludf.DUMMYFUNCTION("""COMPUTED_VALUE"""),"2_ABaOnuf79l40f0TG4q-fWxPivlMnpEe8jcPRnmBSbj_4SgD8fUkKX-2ib06gokzCWg")</f>
        <v>2_ABaOnuf79l40f0TG4q-fWxPivlMnpEe8jcPRnmBSbj_4SgD8fUkKX-2ib06gokzCWg</v>
      </c>
      <c r="D399" s="4" t="str">
        <f ca="1">IFERROR(__xludf.DUMMYFUNCTION("""COMPUTED_VALUE"""),"Đại học")</f>
        <v>Đại học</v>
      </c>
    </row>
    <row r="400" spans="1:4" x14ac:dyDescent="0.25">
      <c r="A400" s="4" t="str">
        <f ca="1">IFERROR(__xludf.DUMMYFUNCTION("""COMPUTED_VALUE"""),"2_ABaOnudL7bJWKnYF_Ilp2ZNtbJjmkYLJpHvYGAf7eY0ftT0uLxN62YQuozwU8pedhQ")</f>
        <v>2_ABaOnudL7bJWKnYF_Ilp2ZNtbJjmkYLJpHvYGAf7eY0ftT0uLxN62YQuozwU8pedhQ</v>
      </c>
      <c r="B400" s="4" t="str">
        <f ca="1">IFERROR(__xludf.DUMMYFUNCTION("""COMPUTED_VALUE"""),"Đại học")</f>
        <v>Đại học</v>
      </c>
      <c r="C400" s="4" t="str">
        <f ca="1">IFERROR(__xludf.DUMMYFUNCTION("""COMPUTED_VALUE"""),"2_ABaOnuf79l40f0TG4q-fWxPivlMnpEe8jcPRnmBSbj_4SgD8fUkKX-2ib06gokzCWg")</f>
        <v>2_ABaOnuf79l40f0TG4q-fWxPivlMnpEe8jcPRnmBSbj_4SgD8fUkKX-2ib06gokzCWg</v>
      </c>
      <c r="D400" s="4" t="str">
        <f ca="1">IFERROR(__xludf.DUMMYFUNCTION("""COMPUTED_VALUE"""),"Chứng chỉ Kiểm toán viên")</f>
        <v>Chứng chỉ Kiểm toán viên</v>
      </c>
    </row>
    <row r="401" spans="1:4" x14ac:dyDescent="0.25">
      <c r="A401" s="4" t="str">
        <f ca="1">IFERROR(__xludf.DUMMYFUNCTION("""COMPUTED_VALUE"""),"2_ABaOnufZgAlxlkXRBKHMZCD2LfcQtMgmjQO6EmZR31BUEvwV16lGm8iuhToF1MG3Ig")</f>
        <v>2_ABaOnufZgAlxlkXRBKHMZCD2LfcQtMgmjQO6EmZR31BUEvwV16lGm8iuhToF1MG3Ig</v>
      </c>
      <c r="B401" s="4" t="str">
        <f ca="1">IFERROR(__xludf.DUMMYFUNCTION("""COMPUTED_VALUE"""),"Đại học")</f>
        <v>Đại học</v>
      </c>
      <c r="C401" s="4" t="str">
        <f ca="1">IFERROR(__xludf.DUMMYFUNCTION("""COMPUTED_VALUE"""),"2_ABaOnufJ-kEyaVWPMlPbUxPW80CG6caJ1B2pVqSm7gwDlx8KsvbB2j-ItkCipq_FLQ")</f>
        <v>2_ABaOnufJ-kEyaVWPMlPbUxPW80CG6caJ1B2pVqSm7gwDlx8KsvbB2j-ItkCipq_FLQ</v>
      </c>
      <c r="D401" s="4" t="str">
        <f ca="1">IFERROR(__xludf.DUMMYFUNCTION("""COMPUTED_VALUE"""),"Đại học")</f>
        <v>Đại học</v>
      </c>
    </row>
    <row r="402" spans="1:4" x14ac:dyDescent="0.25">
      <c r="A402" s="4" t="str">
        <f ca="1">IFERROR(__xludf.DUMMYFUNCTION("""COMPUTED_VALUE"""),"2_ABaOnufBmzV-mn7YcEy4qKRRESuYqw_bq22T-KB5R0CKxo70_UwePpADldBA2ZUkRQ")</f>
        <v>2_ABaOnufBmzV-mn7YcEy4qKRRESuYqw_bq22T-KB5R0CKxo70_UwePpADldBA2ZUkRQ</v>
      </c>
      <c r="B402" s="4" t="str">
        <f ca="1">IFERROR(__xludf.DUMMYFUNCTION("""COMPUTED_VALUE"""),"Đại học")</f>
        <v>Đại học</v>
      </c>
      <c r="C402" s="4" t="str">
        <f ca="1">IFERROR(__xludf.DUMMYFUNCTION("""COMPUTED_VALUE"""),"2_ABaOnudUby3sjEBnd2yM2s8W_HDzB1RVQ06vzQO9h0I4YV00T8vknLCQmjbQXWGTyw")</f>
        <v>2_ABaOnudUby3sjEBnd2yM2s8W_HDzB1RVQ06vzQO9h0I4YV00T8vknLCQmjbQXWGTyw</v>
      </c>
      <c r="D402" s="4" t="str">
        <f ca="1">IFERROR(__xludf.DUMMYFUNCTION("""COMPUTED_VALUE"""),"Đại học")</f>
        <v>Đại học</v>
      </c>
    </row>
    <row r="403" spans="1:4" x14ac:dyDescent="0.25">
      <c r="A403" s="4" t="str">
        <f ca="1">IFERROR(__xludf.DUMMYFUNCTION("""COMPUTED_VALUE"""),"2_ABaOnufSyYPh_N1SwsdnLmdtDK7wQXof1C9_VxQofBbAW5WtucKp_4DcuXQ1g4mDcg")</f>
        <v>2_ABaOnufSyYPh_N1SwsdnLmdtDK7wQXof1C9_VxQofBbAW5WtucKp_4DcuXQ1g4mDcg</v>
      </c>
      <c r="B403" s="4" t="str">
        <f ca="1">IFERROR(__xludf.DUMMYFUNCTION("""COMPUTED_VALUE"""),"Sau đại học")</f>
        <v>Sau đại học</v>
      </c>
      <c r="C403" s="4" t="str">
        <f ca="1">IFERROR(__xludf.DUMMYFUNCTION("""COMPUTED_VALUE"""),"2_ABaOnudUby3sjEBnd2yM2s8W_HDzB1RVQ06vzQO9h0I4YV00T8vknLCQmjbQXWGTyw")</f>
        <v>2_ABaOnudUby3sjEBnd2yM2s8W_HDzB1RVQ06vzQO9h0I4YV00T8vknLCQmjbQXWGTyw</v>
      </c>
      <c r="D403" s="4" t="str">
        <f ca="1">IFERROR(__xludf.DUMMYFUNCTION("""COMPUTED_VALUE"""),"Chứng chỉ Kiểm toán viên")</f>
        <v>Chứng chỉ Kiểm toán viên</v>
      </c>
    </row>
    <row r="404" spans="1:4" x14ac:dyDescent="0.25">
      <c r="A404" s="4" t="str">
        <f ca="1">IFERROR(__xludf.DUMMYFUNCTION("""COMPUTED_VALUE"""),"2_ABaOnudWN1SN3y7bUfwM83n4sv3K5VH7q4lapd0qOI_RhJLpn8NaU_lL61z54QVdsg")</f>
        <v>2_ABaOnudWN1SN3y7bUfwM83n4sv3K5VH7q4lapd0qOI_RhJLpn8NaU_lL61z54QVdsg</v>
      </c>
      <c r="B404" s="4" t="str">
        <f ca="1">IFERROR(__xludf.DUMMYFUNCTION("""COMPUTED_VALUE"""),"Sau đại học")</f>
        <v>Sau đại học</v>
      </c>
      <c r="C404" s="4" t="str">
        <f ca="1">IFERROR(__xludf.DUMMYFUNCTION("""COMPUTED_VALUE"""),"2_ABaOnue918EYuWCZrWIOO2hhj8gWNs3L4q7Ppv9I2GJ16xd3tEIF3NoSQCFMTvnFxw")</f>
        <v>2_ABaOnue918EYuWCZrWIOO2hhj8gWNs3L4q7Ppv9I2GJ16xd3tEIF3NoSQCFMTvnFxw</v>
      </c>
      <c r="D404" s="4" t="str">
        <f ca="1">IFERROR(__xludf.DUMMYFUNCTION("""COMPUTED_VALUE"""),"Đại học")</f>
        <v>Đại học</v>
      </c>
    </row>
    <row r="405" spans="1:4" x14ac:dyDescent="0.25">
      <c r="A405" s="4" t="str">
        <f ca="1">IFERROR(__xludf.DUMMYFUNCTION("""COMPUTED_VALUE"""),"2_ABaOnufuXpeFK9t7_oxCNg34Ctr4HFU7-0uODJREg4OO-GQI-ZbfhcmOmLo-kvscVA")</f>
        <v>2_ABaOnufuXpeFK9t7_oxCNg34Ctr4HFU7-0uODJREg4OO-GQI-ZbfhcmOmLo-kvscVA</v>
      </c>
      <c r="B405" s="4" t="str">
        <f ca="1">IFERROR(__xludf.DUMMYFUNCTION("""COMPUTED_VALUE"""),"Đại học, Chứng chỉ Kiểm toán viên")</f>
        <v>Đại học, Chứng chỉ Kiểm toán viên</v>
      </c>
      <c r="C405" s="4" t="str">
        <f ca="1">IFERROR(__xludf.DUMMYFUNCTION("""COMPUTED_VALUE"""),"2_ABaOnucfCMHBBrbmqUqpFa5GEoWgeXse8bdY7TySmpZZrryFOqX6tanSOXSqx4SAAA")</f>
        <v>2_ABaOnucfCMHBBrbmqUqpFa5GEoWgeXse8bdY7TySmpZZrryFOqX6tanSOXSqx4SAAA</v>
      </c>
      <c r="D405" s="4" t="str">
        <f ca="1">IFERROR(__xludf.DUMMYFUNCTION("""COMPUTED_VALUE"""),"Đại học")</f>
        <v>Đại học</v>
      </c>
    </row>
    <row r="406" spans="1:4" x14ac:dyDescent="0.25">
      <c r="A406" s="4" t="str">
        <f ca="1">IFERROR(__xludf.DUMMYFUNCTION("""COMPUTED_VALUE"""),"2_ABaOnudRmOmZjfTau4Jnh_JBiGvsw0UPNztTEldlHSAvjLCGqXHw_9os_wxZNXi9Kg")</f>
        <v>2_ABaOnudRmOmZjfTau4Jnh_JBiGvsw0UPNztTEldlHSAvjLCGqXHw_9os_wxZNXi9Kg</v>
      </c>
      <c r="B406" s="4" t="str">
        <f ca="1">IFERROR(__xludf.DUMMYFUNCTION("""COMPUTED_VALUE"""),"Đại học")</f>
        <v>Đại học</v>
      </c>
      <c r="C406" s="4" t="str">
        <f ca="1">IFERROR(__xludf.DUMMYFUNCTION("""COMPUTED_VALUE"""),"2_ABaOnufqYP-tRhCFjVt1lUNEGP2A_gSRVZCUW4ZSvCpvSrlaYv77FQSFr36bc5TNSQ")</f>
        <v>2_ABaOnufqYP-tRhCFjVt1lUNEGP2A_gSRVZCUW4ZSvCpvSrlaYv77FQSFr36bc5TNSQ</v>
      </c>
      <c r="D406" s="4" t="str">
        <f ca="1">IFERROR(__xludf.DUMMYFUNCTION("""COMPUTED_VALUE"""),"Đại học")</f>
        <v>Đại học</v>
      </c>
    </row>
    <row r="407" spans="1:4" x14ac:dyDescent="0.25">
      <c r="A407" s="4" t="str">
        <f ca="1">IFERROR(__xludf.DUMMYFUNCTION("""COMPUTED_VALUE"""),"2_ABaOnue8hXEU_a_AuGl4l6AiOPpqu1-3M76dyezoDDDy2THQyXkDBmAr1Ik8IEWBSQ")</f>
        <v>2_ABaOnue8hXEU_a_AuGl4l6AiOPpqu1-3M76dyezoDDDy2THQyXkDBmAr1Ik8IEWBSQ</v>
      </c>
      <c r="B407" s="4" t="str">
        <f ca="1">IFERROR(__xludf.DUMMYFUNCTION("""COMPUTED_VALUE"""),"Đại học")</f>
        <v>Đại học</v>
      </c>
      <c r="C407" s="4" t="str">
        <f ca="1">IFERROR(__xludf.DUMMYFUNCTION("""COMPUTED_VALUE"""),"2_ABaOnucHJRAz23q6eabtRDl688hntyg-pzvcakq91A5IdMO2eNYe7Bah5iC8kss6dQ")</f>
        <v>2_ABaOnucHJRAz23q6eabtRDl688hntyg-pzvcakq91A5IdMO2eNYe7Bah5iC8kss6dQ</v>
      </c>
      <c r="D407" s="4" t="str">
        <f ca="1">IFERROR(__xludf.DUMMYFUNCTION("""COMPUTED_VALUE"""),"Sau đại học")</f>
        <v>Sau đại học</v>
      </c>
    </row>
    <row r="408" spans="1:4" x14ac:dyDescent="0.25">
      <c r="A408" s="4" t="str">
        <f ca="1">IFERROR(__xludf.DUMMYFUNCTION("""COMPUTED_VALUE"""),"2_ABaOnufyiOiS4asgWlB29aHSCPu_ZYRatqFHQzw2SnNryF09PWmea9NOXWPklBoupA")</f>
        <v>2_ABaOnufyiOiS4asgWlB29aHSCPu_ZYRatqFHQzw2SnNryF09PWmea9NOXWPklBoupA</v>
      </c>
      <c r="B408" s="4" t="str">
        <f ca="1">IFERROR(__xludf.DUMMYFUNCTION("""COMPUTED_VALUE"""),"Đại học")</f>
        <v>Đại học</v>
      </c>
      <c r="C408" s="4" t="str">
        <f ca="1">IFERROR(__xludf.DUMMYFUNCTION("""COMPUTED_VALUE"""),"2_ABaOnud_jTSKZML68vcVFtTbnQfk_uFoZKG54JfwElB-TDVqo_Fht4hmX5dBPmNDcg")</f>
        <v>2_ABaOnud_jTSKZML68vcVFtTbnQfk_uFoZKG54JfwElB-TDVqo_Fht4hmX5dBPmNDcg</v>
      </c>
      <c r="D408" s="4" t="str">
        <f ca="1">IFERROR(__xludf.DUMMYFUNCTION("""COMPUTED_VALUE"""),"Đại học")</f>
        <v>Đại học</v>
      </c>
    </row>
    <row r="409" spans="1:4" x14ac:dyDescent="0.25">
      <c r="A409" s="4" t="str">
        <f ca="1">IFERROR(__xludf.DUMMYFUNCTION("""COMPUTED_VALUE"""),"2_ABaOnucqdNEnni7-6s9URouV29NA8i3x__qYzZmfk1gXwnjzGJegMqIaXo2Pm9W7Qg")</f>
        <v>2_ABaOnucqdNEnni7-6s9URouV29NA8i3x__qYzZmfk1gXwnjzGJegMqIaXo2Pm9W7Qg</v>
      </c>
      <c r="B409" s="4" t="str">
        <f ca="1">IFERROR(__xludf.DUMMYFUNCTION("""COMPUTED_VALUE"""),"Đại học")</f>
        <v>Đại học</v>
      </c>
      <c r="C409" s="4" t="str">
        <f ca="1">IFERROR(__xludf.DUMMYFUNCTION("""COMPUTED_VALUE"""),"2_ABaOnud_jTSKZML68vcVFtTbnQfk_uFoZKG54JfwElB-TDVqo_Fht4hmX5dBPmNDcg")</f>
        <v>2_ABaOnud_jTSKZML68vcVFtTbnQfk_uFoZKG54JfwElB-TDVqo_Fht4hmX5dBPmNDcg</v>
      </c>
      <c r="D409" s="4" t="str">
        <f ca="1">IFERROR(__xludf.DUMMYFUNCTION("""COMPUTED_VALUE"""),"Chứng chỉ Kiểm toán viên")</f>
        <v>Chứng chỉ Kiểm toán viên</v>
      </c>
    </row>
    <row r="410" spans="1:4" x14ac:dyDescent="0.25">
      <c r="A410" s="4" t="str">
        <f ca="1">IFERROR(__xludf.DUMMYFUNCTION("""COMPUTED_VALUE"""),"2_ABaOnuf8P_qfFKgyGlTXCCnI5RUVuxOJzWOIvxGfbpbPCrO9UURyQQdNqbGrwKxv-A")</f>
        <v>2_ABaOnuf8P_qfFKgyGlTXCCnI5RUVuxOJzWOIvxGfbpbPCrO9UURyQQdNqbGrwKxv-A</v>
      </c>
      <c r="B410" s="4" t="str">
        <f ca="1">IFERROR(__xludf.DUMMYFUNCTION("""COMPUTED_VALUE"""),"Đại học")</f>
        <v>Đại học</v>
      </c>
      <c r="C410" s="4" t="str">
        <f ca="1">IFERROR(__xludf.DUMMYFUNCTION("""COMPUTED_VALUE"""),"2_ABaOnuecps7flrtik3QB928UfB6HhebOGNq4AnQZabQr-AUlDg6KPd61G7FDLenrZQ")</f>
        <v>2_ABaOnuecps7flrtik3QB928UfB6HhebOGNq4AnQZabQr-AUlDg6KPd61G7FDLenrZQ</v>
      </c>
      <c r="D410" s="4" t="str">
        <f ca="1">IFERROR(__xludf.DUMMYFUNCTION("""COMPUTED_VALUE"""),"Đại học")</f>
        <v>Đại học</v>
      </c>
    </row>
    <row r="411" spans="1:4" x14ac:dyDescent="0.25">
      <c r="A411" s="4" t="str">
        <f ca="1">IFERROR(__xludf.DUMMYFUNCTION("""COMPUTED_VALUE"""),"2_ABaOnuccyZKmZhKVKjHaYT69MdBxb493pnj6fmojFPPtowSp5YQF9ZInOmgrjC4wpg")</f>
        <v>2_ABaOnuccyZKmZhKVKjHaYT69MdBxb493pnj6fmojFPPtowSp5YQF9ZInOmgrjC4wpg</v>
      </c>
      <c r="B411" s="4" t="str">
        <f ca="1">IFERROR(__xludf.DUMMYFUNCTION("""COMPUTED_VALUE"""),"Đại học, Chứng chỉ Kiểm toán viên")</f>
        <v>Đại học, Chứng chỉ Kiểm toán viên</v>
      </c>
      <c r="C411" s="4" t="str">
        <f ca="1">IFERROR(__xludf.DUMMYFUNCTION("""COMPUTED_VALUE"""),"2_ABaOnue7CRHZZstcoh9bTqeFyQt6EQFZx5azMTEv0x7sLmcVpbfRW-AVC07SLTxYhA")</f>
        <v>2_ABaOnue7CRHZZstcoh9bTqeFyQt6EQFZx5azMTEv0x7sLmcVpbfRW-AVC07SLTxYhA</v>
      </c>
      <c r="D411" s="4" t="str">
        <f ca="1">IFERROR(__xludf.DUMMYFUNCTION("""COMPUTED_VALUE"""),"Đại học")</f>
        <v>Đại học</v>
      </c>
    </row>
    <row r="412" spans="1:4" x14ac:dyDescent="0.25">
      <c r="A412" s="4" t="str">
        <f ca="1">IFERROR(__xludf.DUMMYFUNCTION("""COMPUTED_VALUE"""),"2_ABaOnueg37T0BNf0SctjrA1FcopBKURMmt6pL3OsH6x-OCIYt6ogL2sFHHW_BzP_QA")</f>
        <v>2_ABaOnueg37T0BNf0SctjrA1FcopBKURMmt6pL3OsH6x-OCIYt6ogL2sFHHW_BzP_QA</v>
      </c>
      <c r="B412" s="4" t="str">
        <f ca="1">IFERROR(__xludf.DUMMYFUNCTION("""COMPUTED_VALUE"""),"Đại học")</f>
        <v>Đại học</v>
      </c>
      <c r="C412" s="4" t="str">
        <f ca="1">IFERROR(__xludf.DUMMYFUNCTION("""COMPUTED_VALUE"""),"2_ABaOnue35h1Oq0NGwk5PrAIA7hwVJhOKCSE-gvDn0_06Z3ip82g-5EisXRr0fiBvZA")</f>
        <v>2_ABaOnue35h1Oq0NGwk5PrAIA7hwVJhOKCSE-gvDn0_06Z3ip82g-5EisXRr0fiBvZA</v>
      </c>
      <c r="D412" s="4" t="str">
        <f ca="1">IFERROR(__xludf.DUMMYFUNCTION("""COMPUTED_VALUE"""),"Đại học")</f>
        <v>Đại học</v>
      </c>
    </row>
    <row r="413" spans="1:4" x14ac:dyDescent="0.25">
      <c r="A413" s="4" t="str">
        <f ca="1">IFERROR(__xludf.DUMMYFUNCTION("""COMPUTED_VALUE"""),"2_ABaOnucbcPcNF1dSoLPnr738eUdFrWNykWtceCfv5riG7HIJEYuXbU3Slw1-3KSmLw")</f>
        <v>2_ABaOnucbcPcNF1dSoLPnr738eUdFrWNykWtceCfv5riG7HIJEYuXbU3Slw1-3KSmLw</v>
      </c>
      <c r="B413" s="4" t="str">
        <f ca="1">IFERROR(__xludf.DUMMYFUNCTION("""COMPUTED_VALUE"""),"Đại học")</f>
        <v>Đại học</v>
      </c>
      <c r="C413" s="4" t="str">
        <f ca="1">IFERROR(__xludf.DUMMYFUNCTION("""COMPUTED_VALUE"""),"2_ABaOnueYyPW8Ju6BVI-vp_vq_-qFTLYk1Gqq4Ndz_SM3OVwWEbThjpWMIQq7zEY1KA")</f>
        <v>2_ABaOnueYyPW8Ju6BVI-vp_vq_-qFTLYk1Gqq4Ndz_SM3OVwWEbThjpWMIQq7zEY1KA</v>
      </c>
      <c r="D413" s="4" t="str">
        <f ca="1">IFERROR(__xludf.DUMMYFUNCTION("""COMPUTED_VALUE"""),"Đại học")</f>
        <v>Đại học</v>
      </c>
    </row>
    <row r="414" spans="1:4" x14ac:dyDescent="0.25">
      <c r="A414" s="4" t="str">
        <f ca="1">IFERROR(__xludf.DUMMYFUNCTION("""COMPUTED_VALUE"""),"2_ABaOnufAY9hXgQYr8xhvuNf0eSUKYrPdmcfHiwizpErkCpdNQq6g1zN31qoy73xFnw")</f>
        <v>2_ABaOnufAY9hXgQYr8xhvuNf0eSUKYrPdmcfHiwizpErkCpdNQq6g1zN31qoy73xFnw</v>
      </c>
      <c r="B414" s="4" t="str">
        <f ca="1">IFERROR(__xludf.DUMMYFUNCTION("""COMPUTED_VALUE"""),"Sau đại học, Chứng chỉ Kiểm toán viên")</f>
        <v>Sau đại học, Chứng chỉ Kiểm toán viên</v>
      </c>
      <c r="C414" s="4" t="str">
        <f ca="1">IFERROR(__xludf.DUMMYFUNCTION("""COMPUTED_VALUE"""),"2_ABaOnueRKm3rrs0C05mTN7AP3FPwC5kWNMlXcIDFzBoYaCBr2Tqo-ZuJFxokyK7LXQ")</f>
        <v>2_ABaOnueRKm3rrs0C05mTN7AP3FPwC5kWNMlXcIDFzBoYaCBr2Tqo-ZuJFxokyK7LXQ</v>
      </c>
      <c r="D414" s="4" t="str">
        <f ca="1">IFERROR(__xludf.DUMMYFUNCTION("""COMPUTED_VALUE"""),"Chứng chỉ Kiểm toán viên")</f>
        <v>Chứng chỉ Kiểm toán viên</v>
      </c>
    </row>
    <row r="415" spans="1:4" x14ac:dyDescent="0.25">
      <c r="A415" s="4" t="str">
        <f ca="1">IFERROR(__xludf.DUMMYFUNCTION("""COMPUTED_VALUE"""),"2_ABaOnufpaMypZWNLwUNtrsdG9wOwfX_e8Ryksjqfn_40nq5sUoVBzTH4odYzLMFEPQ")</f>
        <v>2_ABaOnufpaMypZWNLwUNtrsdG9wOwfX_e8Ryksjqfn_40nq5sUoVBzTH4odYzLMFEPQ</v>
      </c>
      <c r="B415" s="4" t="str">
        <f ca="1">IFERROR(__xludf.DUMMYFUNCTION("""COMPUTED_VALUE"""),"Đại học, Chứng chỉ Kiểm toán viên")</f>
        <v>Đại học, Chứng chỉ Kiểm toán viên</v>
      </c>
      <c r="C415" s="4" t="str">
        <f ca="1">IFERROR(__xludf.DUMMYFUNCTION("""COMPUTED_VALUE"""),"2_ABaOnuc6jm_xjaEqBpl6WqyUZSOZ3xaeatzewu1k3JgNf48WfJpFenR4OxnipNsR_w")</f>
        <v>2_ABaOnuc6jm_xjaEqBpl6WqyUZSOZ3xaeatzewu1k3JgNf48WfJpFenR4OxnipNsR_w</v>
      </c>
      <c r="D415" s="4" t="str">
        <f ca="1">IFERROR(__xludf.DUMMYFUNCTION("""COMPUTED_VALUE"""),"Đại học")</f>
        <v>Đại học</v>
      </c>
    </row>
    <row r="416" spans="1:4" x14ac:dyDescent="0.25">
      <c r="A416" s="4" t="str">
        <f ca="1">IFERROR(__xludf.DUMMYFUNCTION("""COMPUTED_VALUE"""),"2_ABaOnudkJ_HODyOVLE8j21aWbRu8bM88KVGXhVLew4WgkyAYycePZ-cjoxEvRjnBhA")</f>
        <v>2_ABaOnudkJ_HODyOVLE8j21aWbRu8bM88KVGXhVLew4WgkyAYycePZ-cjoxEvRjnBhA</v>
      </c>
      <c r="B416" s="4" t="str">
        <f ca="1">IFERROR(__xludf.DUMMYFUNCTION("""COMPUTED_VALUE"""),"Đại học")</f>
        <v>Đại học</v>
      </c>
      <c r="C416" s="4" t="str">
        <f ca="1">IFERROR(__xludf.DUMMYFUNCTION("""COMPUTED_VALUE"""),"2_ABaOnuc6jm_xjaEqBpl6WqyUZSOZ3xaeatzewu1k3JgNf48WfJpFenR4OxnipNsR_w")</f>
        <v>2_ABaOnuc6jm_xjaEqBpl6WqyUZSOZ3xaeatzewu1k3JgNf48WfJpFenR4OxnipNsR_w</v>
      </c>
      <c r="D416" s="4" t="str">
        <f ca="1">IFERROR(__xludf.DUMMYFUNCTION("""COMPUTED_VALUE"""),"Chứng chỉ Kiểm toán viên")</f>
        <v>Chứng chỉ Kiểm toán viên</v>
      </c>
    </row>
    <row r="417" spans="1:4" x14ac:dyDescent="0.25">
      <c r="A417" s="4" t="str">
        <f ca="1">IFERROR(__xludf.DUMMYFUNCTION("""COMPUTED_VALUE"""),"2_ABaOnuccOcbT15nSrZK9wSYm3-Xnw52-zIK0o6Jn-P7nwS8tj70N8m-3PLgq_1VOJQ")</f>
        <v>2_ABaOnuccOcbT15nSrZK9wSYm3-Xnw52-zIK0o6Jn-P7nwS8tj70N8m-3PLgq_1VOJQ</v>
      </c>
      <c r="B417" s="4" t="str">
        <f ca="1">IFERROR(__xludf.DUMMYFUNCTION("""COMPUTED_VALUE"""),"Đại học")</f>
        <v>Đại học</v>
      </c>
      <c r="C417" s="4" t="str">
        <f ca="1">IFERROR(__xludf.DUMMYFUNCTION("""COMPUTED_VALUE"""),"2_ABaOnucIZ4jDDwFKIb5iEEzidhIqGxMAtZ3nDBwqoOGivuEoM-wJ66R7AqohMwlDIw")</f>
        <v>2_ABaOnucIZ4jDDwFKIb5iEEzidhIqGxMAtZ3nDBwqoOGivuEoM-wJ66R7AqohMwlDIw</v>
      </c>
      <c r="D417" s="4" t="str">
        <f ca="1">IFERROR(__xludf.DUMMYFUNCTION("""COMPUTED_VALUE"""),"Đại học")</f>
        <v>Đại học</v>
      </c>
    </row>
    <row r="418" spans="1:4" x14ac:dyDescent="0.25">
      <c r="A418" s="4" t="str">
        <f ca="1">IFERROR(__xludf.DUMMYFUNCTION("""COMPUTED_VALUE"""),"2_ABaOnue6Y2P65uS6BHGJKRdRTX7dYvoTjA0haTb9pFuAGGU5zmoyiGVdQMtdVsywvw")</f>
        <v>2_ABaOnue6Y2P65uS6BHGJKRdRTX7dYvoTjA0haTb9pFuAGGU5zmoyiGVdQMtdVsywvw</v>
      </c>
      <c r="B418" s="4" t="str">
        <f ca="1">IFERROR(__xludf.DUMMYFUNCTION("""COMPUTED_VALUE"""),"Đại học, Chứng chỉ Kiểm toán viên")</f>
        <v>Đại học, Chứng chỉ Kiểm toán viên</v>
      </c>
      <c r="C418" s="4" t="str">
        <f ca="1">IFERROR(__xludf.DUMMYFUNCTION("""COMPUTED_VALUE"""),"2_ABaOnucvyKlY3k4ihxwVirzjRJ7H7eoFQT-dx_2ZFqtU7hv62HolSdF5TcIECBzVGQ")</f>
        <v>2_ABaOnucvyKlY3k4ihxwVirzjRJ7H7eoFQT-dx_2ZFqtU7hv62HolSdF5TcIECBzVGQ</v>
      </c>
      <c r="D418" s="4" t="str">
        <f ca="1">IFERROR(__xludf.DUMMYFUNCTION("""COMPUTED_VALUE"""),"Sau đại học")</f>
        <v>Sau đại học</v>
      </c>
    </row>
    <row r="419" spans="1:4" x14ac:dyDescent="0.25">
      <c r="A419" s="4" t="str">
        <f ca="1">IFERROR(__xludf.DUMMYFUNCTION("""COMPUTED_VALUE"""),"2_ABaOnudwvaAiKShBfMiFhCTXXum2w89Yo9FgZqjhtLgDdbcJ8TTj57MP5q0p2QFEaw")</f>
        <v>2_ABaOnudwvaAiKShBfMiFhCTXXum2w89Yo9FgZqjhtLgDdbcJ8TTj57MP5q0p2QFEaw</v>
      </c>
      <c r="B419" s="4" t="str">
        <f ca="1">IFERROR(__xludf.DUMMYFUNCTION("""COMPUTED_VALUE"""),"Đại học")</f>
        <v>Đại học</v>
      </c>
      <c r="C419" s="4" t="str">
        <f ca="1">IFERROR(__xludf.DUMMYFUNCTION("""COMPUTED_VALUE"""),"2_ABaOnufTKf7GMtPJz-OrAgUepRmoAB-I2MVZNtEb5wWLpjk1t9blBiMLVQ7Loo2Uuw")</f>
        <v>2_ABaOnufTKf7GMtPJz-OrAgUepRmoAB-I2MVZNtEb5wWLpjk1t9blBiMLVQ7Loo2Uuw</v>
      </c>
      <c r="D419" s="4" t="str">
        <f ca="1">IFERROR(__xludf.DUMMYFUNCTION("""COMPUTED_VALUE"""),"Đại học")</f>
        <v>Đại học</v>
      </c>
    </row>
    <row r="420" spans="1:4" x14ac:dyDescent="0.25">
      <c r="A420" s="4" t="str">
        <f ca="1">IFERROR(__xludf.DUMMYFUNCTION("""COMPUTED_VALUE"""),"2_ABaOnudpHMHZx2hQqFFuf85APU0QppZZu6uw3IxB_b_l3TvmI6spk_p2hM4GmTE7YA")</f>
        <v>2_ABaOnudpHMHZx2hQqFFuf85APU0QppZZu6uw3IxB_b_l3TvmI6spk_p2hM4GmTE7YA</v>
      </c>
      <c r="B420" s="4" t="str">
        <f ca="1">IFERROR(__xludf.DUMMYFUNCTION("""COMPUTED_VALUE"""),"Sau đại học, Chứng chỉ Kiểm toán viên")</f>
        <v>Sau đại học, Chứng chỉ Kiểm toán viên</v>
      </c>
      <c r="C420" s="4" t="str">
        <f ca="1">IFERROR(__xludf.DUMMYFUNCTION("""COMPUTED_VALUE"""),"2_ABaOnudq0L_Nd91iiAAVXy9aOD8wGuWVrPrOeTLYm-F6fRs9XCdxoD24eCkEqCR6tQ")</f>
        <v>2_ABaOnudq0L_Nd91iiAAVXy9aOD8wGuWVrPrOeTLYm-F6fRs9XCdxoD24eCkEqCR6tQ</v>
      </c>
      <c r="D420" s="4" t="str">
        <f ca="1">IFERROR(__xludf.DUMMYFUNCTION("""COMPUTED_VALUE"""),"Đại học")</f>
        <v>Đại học</v>
      </c>
    </row>
    <row r="421" spans="1:4" x14ac:dyDescent="0.25">
      <c r="A421" s="4" t="str">
        <f ca="1">IFERROR(__xludf.DUMMYFUNCTION("""COMPUTED_VALUE"""),"2_ABaOnufk7xZB8zUWsVgzW8BGiVBK-tdnxfms2fvqn6_S5hLX4SwQjgsN08m463wbkQ")</f>
        <v>2_ABaOnufk7xZB8zUWsVgzW8BGiVBK-tdnxfms2fvqn6_S5hLX4SwQjgsN08m463wbkQ</v>
      </c>
      <c r="B421" s="4" t="str">
        <f ca="1">IFERROR(__xludf.DUMMYFUNCTION("""COMPUTED_VALUE"""),"Đại học")</f>
        <v>Đại học</v>
      </c>
      <c r="C421" s="4" t="str">
        <f ca="1">IFERROR(__xludf.DUMMYFUNCTION("""COMPUTED_VALUE"""),"2_ABaOnucpkhg2HQysTOKpMTOCRpQDPhJYIDuqBaWJbGcVQWAH3U1nrjmH05KzX-mxNA")</f>
        <v>2_ABaOnucpkhg2HQysTOKpMTOCRpQDPhJYIDuqBaWJbGcVQWAH3U1nrjmH05KzX-mxNA</v>
      </c>
      <c r="D421" s="4" t="str">
        <f ca="1">IFERROR(__xludf.DUMMYFUNCTION("""COMPUTED_VALUE"""),"Đại học")</f>
        <v>Đại học</v>
      </c>
    </row>
    <row r="422" spans="1:4" x14ac:dyDescent="0.25">
      <c r="A422" s="4" t="str">
        <f ca="1">IFERROR(__xludf.DUMMYFUNCTION("""COMPUTED_VALUE"""),"2_ABaOnucfMp-l3mswDAhQJIYQX9BodAxKHsdXzQxd4vDzofAwcJzH_BIeUnmZPK7eug")</f>
        <v>2_ABaOnucfMp-l3mswDAhQJIYQX9BodAxKHsdXzQxd4vDzofAwcJzH_BIeUnmZPK7eug</v>
      </c>
      <c r="B422" s="4" t="str">
        <f ca="1">IFERROR(__xludf.DUMMYFUNCTION("""COMPUTED_VALUE"""),"Đại học")</f>
        <v>Đại học</v>
      </c>
      <c r="C422" s="4" t="str">
        <f ca="1">IFERROR(__xludf.DUMMYFUNCTION("""COMPUTED_VALUE"""),"2_ABaOnue1AX6wugWjqBnAKHBavYvU8I3gtFUGgZAP5kP8iawKoXNqi7PXqG6SXgSfXw")</f>
        <v>2_ABaOnue1AX6wugWjqBnAKHBavYvU8I3gtFUGgZAP5kP8iawKoXNqi7PXqG6SXgSfXw</v>
      </c>
      <c r="D422" s="4" t="str">
        <f ca="1">IFERROR(__xludf.DUMMYFUNCTION("""COMPUTED_VALUE"""),"Đại học")</f>
        <v>Đại học</v>
      </c>
    </row>
    <row r="423" spans="1:4" x14ac:dyDescent="0.25">
      <c r="A423" s="4" t="str">
        <f ca="1">IFERROR(__xludf.DUMMYFUNCTION("""COMPUTED_VALUE"""),"2_ABaOnufniMNDYlogDrKQhEPfEwY1Eb5DGXkHnkULaqCq6_UGRzY2xQBxj6zt8oMgsA")</f>
        <v>2_ABaOnufniMNDYlogDrKQhEPfEwY1Eb5DGXkHnkULaqCq6_UGRzY2xQBxj6zt8oMgsA</v>
      </c>
      <c r="B423" s="4" t="str">
        <f ca="1">IFERROR(__xludf.DUMMYFUNCTION("""COMPUTED_VALUE"""),"Đại học")</f>
        <v>Đại học</v>
      </c>
      <c r="C423" s="4" t="str">
        <f ca="1">IFERROR(__xludf.DUMMYFUNCTION("""COMPUTED_VALUE"""),"2_ABaOnudBEfL0hTsAruygt-61p35C78821DcLHfC9VvbkKwJjuTBP8fX6KyBCWNkfWw")</f>
        <v>2_ABaOnudBEfL0hTsAruygt-61p35C78821DcLHfC9VvbkKwJjuTBP8fX6KyBCWNkfWw</v>
      </c>
      <c r="D423" s="4" t="str">
        <f ca="1">IFERROR(__xludf.DUMMYFUNCTION("""COMPUTED_VALUE"""),"Đại học")</f>
        <v>Đại học</v>
      </c>
    </row>
    <row r="424" spans="1:4" x14ac:dyDescent="0.25">
      <c r="A424" s="4" t="str">
        <f ca="1">IFERROR(__xludf.DUMMYFUNCTION("""COMPUTED_VALUE"""),"2_ABaOnuffNYnkbc0mHkU_bVK4AIB6qT4JhJ4DfcIswmu2Erbl6NvXc9KTK4uCBo5jzg")</f>
        <v>2_ABaOnuffNYnkbc0mHkU_bVK4AIB6qT4JhJ4DfcIswmu2Erbl6NvXc9KTK4uCBo5jzg</v>
      </c>
      <c r="B424" s="4" t="str">
        <f ca="1">IFERROR(__xludf.DUMMYFUNCTION("""COMPUTED_VALUE"""),"Đại học")</f>
        <v>Đại học</v>
      </c>
      <c r="C424" s="4" t="str">
        <f ca="1">IFERROR(__xludf.DUMMYFUNCTION("""COMPUTED_VALUE"""),"2_ABaOnudBEfL0hTsAruygt-61p35C78821DcLHfC9VvbkKwJjuTBP8fX6KyBCWNkfWw")</f>
        <v>2_ABaOnudBEfL0hTsAruygt-61p35C78821DcLHfC9VvbkKwJjuTBP8fX6KyBCWNkfWw</v>
      </c>
      <c r="D424" s="4" t="str">
        <f ca="1">IFERROR(__xludf.DUMMYFUNCTION("""COMPUTED_VALUE"""),"Chứng chỉ Kiểm toán viên")</f>
        <v>Chứng chỉ Kiểm toán viên</v>
      </c>
    </row>
    <row r="425" spans="1:4" x14ac:dyDescent="0.25">
      <c r="A425" s="4" t="str">
        <f ca="1">IFERROR(__xludf.DUMMYFUNCTION("""COMPUTED_VALUE"""),"2_ABaOnucA0OysRpYZbd8dtCD9KYzybiY2QhGIeaqnO1fcfeuBc-5gPh5PkbFJHHRmmw")</f>
        <v>2_ABaOnucA0OysRpYZbd8dtCD9KYzybiY2QhGIeaqnO1fcfeuBc-5gPh5PkbFJHHRmmw</v>
      </c>
      <c r="B425" s="4" t="str">
        <f ca="1">IFERROR(__xludf.DUMMYFUNCTION("""COMPUTED_VALUE"""),"Đại học")</f>
        <v>Đại học</v>
      </c>
      <c r="C425" s="4" t="str">
        <f ca="1">IFERROR(__xludf.DUMMYFUNCTION("""COMPUTED_VALUE"""),"2_ABaOnufvPofGhNLX47_vFOXoX7BmBiuWT7ClWhOlP1KLu6PnBvUx5TsAUX7USRuI1w")</f>
        <v>2_ABaOnufvPofGhNLX47_vFOXoX7BmBiuWT7ClWhOlP1KLu6PnBvUx5TsAUX7USRuI1w</v>
      </c>
      <c r="D425" s="4" t="str">
        <f ca="1">IFERROR(__xludf.DUMMYFUNCTION("""COMPUTED_VALUE"""),"Đại học")</f>
        <v>Đại học</v>
      </c>
    </row>
    <row r="426" spans="1:4" x14ac:dyDescent="0.25">
      <c r="A426" s="4" t="str">
        <f ca="1">IFERROR(__xludf.DUMMYFUNCTION("""COMPUTED_VALUE"""),"2_ABaOnucOggw-y2pnkOumlEmnkgW0Pv9fEG1_PceDLJsQhPZmzYN3XOFEMiviVMsSdg")</f>
        <v>2_ABaOnucOggw-y2pnkOumlEmnkgW0Pv9fEG1_PceDLJsQhPZmzYN3XOFEMiviVMsSdg</v>
      </c>
      <c r="B426" s="4" t="str">
        <f ca="1">IFERROR(__xludf.DUMMYFUNCTION("""COMPUTED_VALUE"""),"Đại học")</f>
        <v>Đại học</v>
      </c>
      <c r="C426" s="4" t="str">
        <f ca="1">IFERROR(__xludf.DUMMYFUNCTION("""COMPUTED_VALUE"""),"2_ABaOnufysT3lqf5Lj_ltueig0H7jDGcPS3qWPo1ZAkI1bLTw5OoI5trbFXEeiAgrTQ")</f>
        <v>2_ABaOnufysT3lqf5Lj_ltueig0H7jDGcPS3qWPo1ZAkI1bLTw5OoI5trbFXEeiAgrTQ</v>
      </c>
      <c r="D426" s="4" t="str">
        <f ca="1">IFERROR(__xludf.DUMMYFUNCTION("""COMPUTED_VALUE"""),"Đại học")</f>
        <v>Đại học</v>
      </c>
    </row>
    <row r="427" spans="1:4" x14ac:dyDescent="0.25">
      <c r="A427" s="4" t="str">
        <f ca="1">IFERROR(__xludf.DUMMYFUNCTION("""COMPUTED_VALUE"""),"2_ABaOnufWsn99Os3xds0eH7AyprLgnVOy3np-tcu1BeUUZZbo_BVEbNKLqFKQ4GfxIQ")</f>
        <v>2_ABaOnufWsn99Os3xds0eH7AyprLgnVOy3np-tcu1BeUUZZbo_BVEbNKLqFKQ4GfxIQ</v>
      </c>
      <c r="B427" s="4" t="str">
        <f ca="1">IFERROR(__xludf.DUMMYFUNCTION("""COMPUTED_VALUE"""),"Đại học")</f>
        <v>Đại học</v>
      </c>
      <c r="C427" s="4" t="str">
        <f ca="1">IFERROR(__xludf.DUMMYFUNCTION("""COMPUTED_VALUE"""),"2_ABaOnucNcYNWs4IPPkrkb4qWZSkrna9iCPmaIUMEqMPqcA9j0IJgtBB64WCblYwgCg")</f>
        <v>2_ABaOnucNcYNWs4IPPkrkb4qWZSkrna9iCPmaIUMEqMPqcA9j0IJgtBB64WCblYwgCg</v>
      </c>
      <c r="D427" s="4" t="str">
        <f ca="1">IFERROR(__xludf.DUMMYFUNCTION("""COMPUTED_VALUE"""),"Đại học")</f>
        <v>Đại học</v>
      </c>
    </row>
    <row r="428" spans="1:4" x14ac:dyDescent="0.25">
      <c r="A428" s="4" t="str">
        <f ca="1">IFERROR(__xludf.DUMMYFUNCTION("""COMPUTED_VALUE"""),"2_ABaOnucziRKEYJBAV63hZ6yXdTI8LWmu54khDOytHobsq9fjHLPk-XOgQy-JSa9aZA")</f>
        <v>2_ABaOnucziRKEYJBAV63hZ6yXdTI8LWmu54khDOytHobsq9fjHLPk-XOgQy-JSa9aZA</v>
      </c>
      <c r="B428" s="4" t="str">
        <f ca="1">IFERROR(__xludf.DUMMYFUNCTION("""COMPUTED_VALUE"""),"Đại học, Chứng chỉ Kiểm toán viên")</f>
        <v>Đại học, Chứng chỉ Kiểm toán viên</v>
      </c>
      <c r="C428" s="4" t="str">
        <f ca="1">IFERROR(__xludf.DUMMYFUNCTION("""COMPUTED_VALUE"""),"2_ABaOnucNcYNWs4IPPkrkb4qWZSkrna9iCPmaIUMEqMPqcA9j0IJgtBB64WCblYwgCg")</f>
        <v>2_ABaOnucNcYNWs4IPPkrkb4qWZSkrna9iCPmaIUMEqMPqcA9j0IJgtBB64WCblYwgCg</v>
      </c>
      <c r="D428" s="4" t="str">
        <f ca="1">IFERROR(__xludf.DUMMYFUNCTION("""COMPUTED_VALUE"""),"Sau đại học")</f>
        <v>Sau đại học</v>
      </c>
    </row>
    <row r="429" spans="1:4" x14ac:dyDescent="0.25">
      <c r="A429" s="4" t="str">
        <f ca="1">IFERROR(__xludf.DUMMYFUNCTION("""COMPUTED_VALUE"""),"2_ABaOnuf1e8drvjandk0OUhbu1ZOhihzUuCs28XCMeBCu2gs564MsnZLoKYTBKLFUUg")</f>
        <v>2_ABaOnuf1e8drvjandk0OUhbu1ZOhihzUuCs28XCMeBCu2gs564MsnZLoKYTBKLFUUg</v>
      </c>
      <c r="B429" s="4" t="str">
        <f ca="1">IFERROR(__xludf.DUMMYFUNCTION("""COMPUTED_VALUE"""),"Chứng chỉ Kiểm toán viên")</f>
        <v>Chứng chỉ Kiểm toán viên</v>
      </c>
      <c r="C429" s="4" t="str">
        <f ca="1">IFERROR(__xludf.DUMMYFUNCTION("""COMPUTED_VALUE"""),"2_ABaOnuflnqiAbEsVlajlj3MahuL-H4DAe3pAUcf1s__dgzUFddmPZY7XINNM7JN8Bw")</f>
        <v>2_ABaOnuflnqiAbEsVlajlj3MahuL-H4DAe3pAUcf1s__dgzUFddmPZY7XINNM7JN8Bw</v>
      </c>
      <c r="D429" s="4" t="str">
        <f ca="1">IFERROR(__xludf.DUMMYFUNCTION("""COMPUTED_VALUE"""),"Sau đại học")</f>
        <v>Sau đại học</v>
      </c>
    </row>
    <row r="430" spans="1:4" x14ac:dyDescent="0.25">
      <c r="A430" s="4" t="str">
        <f ca="1">IFERROR(__xludf.DUMMYFUNCTION("""COMPUTED_VALUE"""),"2_ABaOnucZpKlazoMPrWnBNj9Ce05Cyvep2VSQnd2F5mYNaNvUQ7INasjd4s-eYLG-LQ")</f>
        <v>2_ABaOnucZpKlazoMPrWnBNj9Ce05Cyvep2VSQnd2F5mYNaNvUQ7INasjd4s-eYLG-LQ</v>
      </c>
      <c r="B430" s="4" t="str">
        <f ca="1">IFERROR(__xludf.DUMMYFUNCTION("""COMPUTED_VALUE"""),"Đại học, Sau đại học")</f>
        <v>Đại học, Sau đại học</v>
      </c>
      <c r="C430" s="4" t="str">
        <f ca="1">IFERROR(__xludf.DUMMYFUNCTION("""COMPUTED_VALUE"""),"2_ABaOnuflnqiAbEsVlajlj3MahuL-H4DAe3pAUcf1s__dgzUFddmPZY7XINNM7JN8Bw")</f>
        <v>2_ABaOnuflnqiAbEsVlajlj3MahuL-H4DAe3pAUcf1s__dgzUFddmPZY7XINNM7JN8Bw</v>
      </c>
      <c r="D430" s="4" t="str">
        <f ca="1">IFERROR(__xludf.DUMMYFUNCTION("""COMPUTED_VALUE"""),"Chứng chỉ Kiểm toán viên")</f>
        <v>Chứng chỉ Kiểm toán viên</v>
      </c>
    </row>
    <row r="431" spans="1:4" x14ac:dyDescent="0.25">
      <c r="A431" s="4" t="str">
        <f ca="1">IFERROR(__xludf.DUMMYFUNCTION("""COMPUTED_VALUE"""),"2_ABaOnucq6sKsPc-1eR9UkT-saB-F4ken_BaaUy__baJ9_pZD-sssoNxSqskQEOIQgA")</f>
        <v>2_ABaOnucq6sKsPc-1eR9UkT-saB-F4ken_BaaUy__baJ9_pZD-sssoNxSqskQEOIQgA</v>
      </c>
      <c r="B431" s="4" t="str">
        <f ca="1">IFERROR(__xludf.DUMMYFUNCTION("""COMPUTED_VALUE"""),"Đại học, Chứng chỉ Kiểm toán viên")</f>
        <v>Đại học, Chứng chỉ Kiểm toán viên</v>
      </c>
      <c r="C431" s="4" t="str">
        <f ca="1">IFERROR(__xludf.DUMMYFUNCTION("""COMPUTED_VALUE"""),"2_ABaOnudSVDBKCSmnhXN0XzhVD-TDBVYP93DBBa-OMI4HuUMi7mzuZ9IwMxV8tnJIOg")</f>
        <v>2_ABaOnudSVDBKCSmnhXN0XzhVD-TDBVYP93DBBa-OMI4HuUMi7mzuZ9IwMxV8tnJIOg</v>
      </c>
      <c r="D431" s="4" t="str">
        <f ca="1">IFERROR(__xludf.DUMMYFUNCTION("""COMPUTED_VALUE"""),"Đại học")</f>
        <v>Đại học</v>
      </c>
    </row>
    <row r="432" spans="1:4" x14ac:dyDescent="0.25">
      <c r="A432" s="4" t="str">
        <f ca="1">IFERROR(__xludf.DUMMYFUNCTION("""COMPUTED_VALUE"""),"2_ABaOnuemS3IoxT9PdPt5vvoyHyNIN0hOC0OpmRt71oUt_do4fRxLsA3v-7VfzkXXuw")</f>
        <v>2_ABaOnuemS3IoxT9PdPt5vvoyHyNIN0hOC0OpmRt71oUt_do4fRxLsA3v-7VfzkXXuw</v>
      </c>
      <c r="B432" s="4" t="str">
        <f ca="1">IFERROR(__xludf.DUMMYFUNCTION("""COMPUTED_VALUE"""),"Đại học")</f>
        <v>Đại học</v>
      </c>
      <c r="C432" s="4" t="str">
        <f ca="1">IFERROR(__xludf.DUMMYFUNCTION("""COMPUTED_VALUE"""),"2_ABaOnuffpPbQLTKPaWrTzQYLWNqG-1mouBmH1tVS9x8SS4shmSwDkRwcmHZu4V-_JQ")</f>
        <v>2_ABaOnuffpPbQLTKPaWrTzQYLWNqG-1mouBmH1tVS9x8SS4shmSwDkRwcmHZu4V-_JQ</v>
      </c>
      <c r="D432" s="4" t="str">
        <f ca="1">IFERROR(__xludf.DUMMYFUNCTION("""COMPUTED_VALUE"""),"Chứng chỉ Kiểm toán viên")</f>
        <v>Chứng chỉ Kiểm toán viên</v>
      </c>
    </row>
    <row r="433" spans="1:4" x14ac:dyDescent="0.25">
      <c r="A433" s="4" t="str">
        <f ca="1">IFERROR(__xludf.DUMMYFUNCTION("""COMPUTED_VALUE"""),"2_ABaOnudBTmnl-puIV-xCJCHXvbceeWgsBCM17F2woL4U8FWlevDFJsQ6GdqVlTkA3A")</f>
        <v>2_ABaOnudBTmnl-puIV-xCJCHXvbceeWgsBCM17F2woL4U8FWlevDFJsQ6GdqVlTkA3A</v>
      </c>
      <c r="B433" s="4" t="str">
        <f ca="1">IFERROR(__xludf.DUMMYFUNCTION("""COMPUTED_VALUE"""),"Đại học")</f>
        <v>Đại học</v>
      </c>
      <c r="C433" s="4" t="str">
        <f ca="1">IFERROR(__xludf.DUMMYFUNCTION("""COMPUTED_VALUE"""),"2_ABaOnuckC40G_iSdNXlaCng0MY-8g9t4d9NebCtb4EvG0XZP0w0pduD20CR5RHOqqw")</f>
        <v>2_ABaOnuckC40G_iSdNXlaCng0MY-8g9t4d9NebCtb4EvG0XZP0w0pduD20CR5RHOqqw</v>
      </c>
      <c r="D433" s="4" t="str">
        <f ca="1">IFERROR(__xludf.DUMMYFUNCTION("""COMPUTED_VALUE"""),"Đại học")</f>
        <v>Đại học</v>
      </c>
    </row>
    <row r="434" spans="1:4" x14ac:dyDescent="0.25">
      <c r="A434" s="4" t="str">
        <f ca="1">IFERROR(__xludf.DUMMYFUNCTION("""COMPUTED_VALUE"""),"2_ABaOnueeuHQo7pqCPeM_X2JF8bC8U2OPrlTaqMbnfK0x219TyFdG88SCsolyG-ygsw")</f>
        <v>2_ABaOnueeuHQo7pqCPeM_X2JF8bC8U2OPrlTaqMbnfK0x219TyFdG88SCsolyG-ygsw</v>
      </c>
      <c r="B434" s="4" t="str">
        <f ca="1">IFERROR(__xludf.DUMMYFUNCTION("""COMPUTED_VALUE"""),"Đại học, Chứng chỉ Kiểm toán viên")</f>
        <v>Đại học, Chứng chỉ Kiểm toán viên</v>
      </c>
      <c r="C434" s="4" t="str">
        <f ca="1">IFERROR(__xludf.DUMMYFUNCTION("""COMPUTED_VALUE"""),"2_ABaOnuf_HCtJq16zWlqWUGsrc6p5gkFvWOY731rDJPuobu-D9mJuTOEi9hWURf9O5w")</f>
        <v>2_ABaOnuf_HCtJq16zWlqWUGsrc6p5gkFvWOY731rDJPuobu-D9mJuTOEi9hWURf9O5w</v>
      </c>
      <c r="D434" s="4" t="str">
        <f ca="1">IFERROR(__xludf.DUMMYFUNCTION("""COMPUTED_VALUE"""),"Đại học")</f>
        <v>Đại học</v>
      </c>
    </row>
    <row r="435" spans="1:4" x14ac:dyDescent="0.25">
      <c r="A435" s="4" t="str">
        <f ca="1">IFERROR(__xludf.DUMMYFUNCTION("""COMPUTED_VALUE"""),"2_ABaOnufn7alQBiUpsIhX8oc0NrttTjlfofn7vHIzJnH_F8jrm35BvTngBSv9AfI2ew")</f>
        <v>2_ABaOnufn7alQBiUpsIhX8oc0NrttTjlfofn7vHIzJnH_F8jrm35BvTngBSv9AfI2ew</v>
      </c>
      <c r="B435" s="4" t="str">
        <f ca="1">IFERROR(__xludf.DUMMYFUNCTION("""COMPUTED_VALUE"""),"Đại học")</f>
        <v>Đại học</v>
      </c>
      <c r="C435" s="4" t="str">
        <f ca="1">IFERROR(__xludf.DUMMYFUNCTION("""COMPUTED_VALUE"""),"2_ABaOnue6qDfYgD1fVLZ0YpwYl7f0ZN-VPYj1qmLZMPlkTGRN3a4PRAoaAluxdqKchQ")</f>
        <v>2_ABaOnue6qDfYgD1fVLZ0YpwYl7f0ZN-VPYj1qmLZMPlkTGRN3a4PRAoaAluxdqKchQ</v>
      </c>
      <c r="D435" s="4" t="str">
        <f ca="1">IFERROR(__xludf.DUMMYFUNCTION("""COMPUTED_VALUE"""),"Chứng chỉ Kiểm toán viên")</f>
        <v>Chứng chỉ Kiểm toán viên</v>
      </c>
    </row>
    <row r="436" spans="1:4" x14ac:dyDescent="0.25">
      <c r="A436" s="4" t="str">
        <f ca="1">IFERROR(__xludf.DUMMYFUNCTION("""COMPUTED_VALUE"""),"2_ABaOnue9Sfk_ARL8Acxcc1GH303alOxOXW2BbBT1iAXZkvTdhCqwqEZEiTkP8ir84Q")</f>
        <v>2_ABaOnue9Sfk_ARL8Acxcc1GH303alOxOXW2BbBT1iAXZkvTdhCqwqEZEiTkP8ir84Q</v>
      </c>
      <c r="B436" s="4" t="str">
        <f ca="1">IFERROR(__xludf.DUMMYFUNCTION("""COMPUTED_VALUE"""),"Đại học, Chứng chỉ Kiểm toán viên")</f>
        <v>Đại học, Chứng chỉ Kiểm toán viên</v>
      </c>
      <c r="C436" s="4" t="str">
        <f ca="1">IFERROR(__xludf.DUMMYFUNCTION("""COMPUTED_VALUE"""),"2_ABaOnucHcHvqjSuWuNXqqBVO87TvuzJQ-OaA90MYhfCJzji2iAsF7w7HgDSM1pUw9Q")</f>
        <v>2_ABaOnucHcHvqjSuWuNXqqBVO87TvuzJQ-OaA90MYhfCJzji2iAsF7w7HgDSM1pUw9Q</v>
      </c>
      <c r="D436" s="4" t="str">
        <f ca="1">IFERROR(__xludf.DUMMYFUNCTION("""COMPUTED_VALUE"""),"Đại học")</f>
        <v>Đại học</v>
      </c>
    </row>
    <row r="437" spans="1:4" x14ac:dyDescent="0.25">
      <c r="A437" s="4" t="str">
        <f ca="1">IFERROR(__xludf.DUMMYFUNCTION("""COMPUTED_VALUE"""),"2_ABaOnuePuL4ECkeAX_dS6b2FzAh3-6qClggNcOitlMczUB7y8ZC_DuQb3r2-K8iWYQ")</f>
        <v>2_ABaOnuePuL4ECkeAX_dS6b2FzAh3-6qClggNcOitlMczUB7y8ZC_DuQb3r2-K8iWYQ</v>
      </c>
      <c r="B437" s="4" t="str">
        <f ca="1">IFERROR(__xludf.DUMMYFUNCTION("""COMPUTED_VALUE"""),"Đại học, Chứng chỉ Kiểm toán viên")</f>
        <v>Đại học, Chứng chỉ Kiểm toán viên</v>
      </c>
      <c r="C437" s="4" t="str">
        <f ca="1">IFERROR(__xludf.DUMMYFUNCTION("""COMPUTED_VALUE"""),"2_ABaOnucHcHvqjSuWuNXqqBVO87TvuzJQ-OaA90MYhfCJzji2iAsF7w7HgDSM1pUw9Q")</f>
        <v>2_ABaOnucHcHvqjSuWuNXqqBVO87TvuzJQ-OaA90MYhfCJzji2iAsF7w7HgDSM1pUw9Q</v>
      </c>
      <c r="D437" s="4" t="str">
        <f ca="1">IFERROR(__xludf.DUMMYFUNCTION("""COMPUTED_VALUE"""),"Chứng chỉ Kiểm toán viên")</f>
        <v>Chứng chỉ Kiểm toán viên</v>
      </c>
    </row>
    <row r="438" spans="1:4" x14ac:dyDescent="0.25">
      <c r="A438" s="4" t="str">
        <f ca="1">IFERROR(__xludf.DUMMYFUNCTION("""COMPUTED_VALUE"""),"2_ABaOnufjSgRjFt87F1rSVv96V2dbA75lorsqMqonV85BQyP9g8_c4OBqOtbFUjj5zQ")</f>
        <v>2_ABaOnufjSgRjFt87F1rSVv96V2dbA75lorsqMqonV85BQyP9g8_c4OBqOtbFUjj5zQ</v>
      </c>
      <c r="B438" s="4" t="str">
        <f ca="1">IFERROR(__xludf.DUMMYFUNCTION("""COMPUTED_VALUE"""),"Đại học")</f>
        <v>Đại học</v>
      </c>
      <c r="C438" s="4" t="str">
        <f ca="1">IFERROR(__xludf.DUMMYFUNCTION("""COMPUTED_VALUE"""),"2_ABaOnufFgDeuOcY6GTO_GBI7DJ91AguhXmrMszqT7JVwqQXqLQ6VEgiviuSjNH3hyw")</f>
        <v>2_ABaOnufFgDeuOcY6GTO_GBI7DJ91AguhXmrMszqT7JVwqQXqLQ6VEgiviuSjNH3hyw</v>
      </c>
      <c r="D438" s="4" t="str">
        <f ca="1">IFERROR(__xludf.DUMMYFUNCTION("""COMPUTED_VALUE"""),"Đại học")</f>
        <v>Đại học</v>
      </c>
    </row>
    <row r="439" spans="1:4" x14ac:dyDescent="0.25">
      <c r="A439" s="4" t="str">
        <f ca="1">IFERROR(__xludf.DUMMYFUNCTION("""COMPUTED_VALUE"""),"2_ABaOnueBT04UTXPvfx89cSwMskCCLnVMpyLfrn2eN2Sa37vzP8rdxv37GC_2_kx-oQ")</f>
        <v>2_ABaOnueBT04UTXPvfx89cSwMskCCLnVMpyLfrn2eN2Sa37vzP8rdxv37GC_2_kx-oQ</v>
      </c>
      <c r="B439" s="4" t="str">
        <f ca="1">IFERROR(__xludf.DUMMYFUNCTION("""COMPUTED_VALUE"""),"Đại học, Chứng chỉ Kiểm toán viên")</f>
        <v>Đại học, Chứng chỉ Kiểm toán viên</v>
      </c>
      <c r="C439" s="4" t="str">
        <f ca="1">IFERROR(__xludf.DUMMYFUNCTION("""COMPUTED_VALUE"""),"2_ABaOnufFgDeuOcY6GTO_GBI7DJ91AguhXmrMszqT7JVwqQXqLQ6VEgiviuSjNH3hyw")</f>
        <v>2_ABaOnufFgDeuOcY6GTO_GBI7DJ91AguhXmrMszqT7JVwqQXqLQ6VEgiviuSjNH3hyw</v>
      </c>
      <c r="D439" s="4" t="str">
        <f ca="1">IFERROR(__xludf.DUMMYFUNCTION("""COMPUTED_VALUE"""),"Chứng chỉ Kiểm toán viên")</f>
        <v>Chứng chỉ Kiểm toán viên</v>
      </c>
    </row>
    <row r="440" spans="1:4" x14ac:dyDescent="0.25">
      <c r="A440" s="4" t="str">
        <f ca="1">IFERROR(__xludf.DUMMYFUNCTION("""COMPUTED_VALUE"""),"2_ABaOnudv_qpoWl_O4BCwDWXMPOzwiFpIpp9e5vghM-CpM86QG0O2yo_jODXqybl08g")</f>
        <v>2_ABaOnudv_qpoWl_O4BCwDWXMPOzwiFpIpp9e5vghM-CpM86QG0O2yo_jODXqybl08g</v>
      </c>
      <c r="B440" s="4" t="str">
        <f ca="1">IFERROR(__xludf.DUMMYFUNCTION("""COMPUTED_VALUE"""),"Đại học, Chứng chỉ Kiểm toán viên")</f>
        <v>Đại học, Chứng chỉ Kiểm toán viên</v>
      </c>
      <c r="C440" s="4" t="str">
        <f ca="1">IFERROR(__xludf.DUMMYFUNCTION("""COMPUTED_VALUE"""),"2_ABaOnucDXjCTBqoxc3iLyQ-ZsU56hLkIappDnk8CSwMwXKXB_sdTr0IvyMIuT0egXw")</f>
        <v>2_ABaOnucDXjCTBqoxc3iLyQ-ZsU56hLkIappDnk8CSwMwXKXB_sdTr0IvyMIuT0egXw</v>
      </c>
      <c r="D440" s="4" t="str">
        <f ca="1">IFERROR(__xludf.DUMMYFUNCTION("""COMPUTED_VALUE"""),"Đại học")</f>
        <v>Đại học</v>
      </c>
    </row>
    <row r="441" spans="1:4" x14ac:dyDescent="0.25">
      <c r="A441" s="4" t="str">
        <f ca="1">IFERROR(__xludf.DUMMYFUNCTION("""COMPUTED_VALUE"""),"2_ABaOnufHd7a8re6gnHLacJWg8iHZ5K_32njKPB8hifivkLUsxyCQ_fxt8gRQEP5fdA")</f>
        <v>2_ABaOnufHd7a8re6gnHLacJWg8iHZ5K_32njKPB8hifivkLUsxyCQ_fxt8gRQEP5fdA</v>
      </c>
      <c r="B441" s="4" t="str">
        <f ca="1">IFERROR(__xludf.DUMMYFUNCTION("""COMPUTED_VALUE"""),"Đại học")</f>
        <v>Đại học</v>
      </c>
      <c r="C441" s="4" t="str">
        <f ca="1">IFERROR(__xludf.DUMMYFUNCTION("""COMPUTED_VALUE"""),"2_ABaOnudw__1wigM79SiINEzvqfIccZNXypCbVodBDsA705Mxb8Jwg1HKCeB7t4yZbw")</f>
        <v>2_ABaOnudw__1wigM79SiINEzvqfIccZNXypCbVodBDsA705Mxb8Jwg1HKCeB7t4yZbw</v>
      </c>
      <c r="D441" s="4" t="str">
        <f ca="1">IFERROR(__xludf.DUMMYFUNCTION("""COMPUTED_VALUE"""),"Đại học")</f>
        <v>Đại học</v>
      </c>
    </row>
    <row r="442" spans="1:4" x14ac:dyDescent="0.25">
      <c r="A442" s="4" t="str">
        <f ca="1">IFERROR(__xludf.DUMMYFUNCTION("""COMPUTED_VALUE"""),"2_ABaOnudIqHL_P7N72pR0qyK2E3wt40zEiHcQoZCgh-2sjCnW_l8EX5D3X3bmIUYCvQ")</f>
        <v>2_ABaOnudIqHL_P7N72pR0qyK2E3wt40zEiHcQoZCgh-2sjCnW_l8EX5D3X3bmIUYCvQ</v>
      </c>
      <c r="B442" s="4" t="str">
        <f ca="1">IFERROR(__xludf.DUMMYFUNCTION("""COMPUTED_VALUE"""),"Đại học, Chứng chỉ Kiểm toán viên")</f>
        <v>Đại học, Chứng chỉ Kiểm toán viên</v>
      </c>
      <c r="C442" s="4" t="str">
        <f ca="1">IFERROR(__xludf.DUMMYFUNCTION("""COMPUTED_VALUE"""),"2_ABaOnuecomaMOvFfHS70Q4Api7HoCdYZmw9gp2tDDJV1S7_Cn9evFTXsXNJlFukzlQ")</f>
        <v>2_ABaOnuecomaMOvFfHS70Q4Api7HoCdYZmw9gp2tDDJV1S7_Cn9evFTXsXNJlFukzlQ</v>
      </c>
      <c r="D442" s="4" t="str">
        <f ca="1">IFERROR(__xludf.DUMMYFUNCTION("""COMPUTED_VALUE"""),"Đại học")</f>
        <v>Đại học</v>
      </c>
    </row>
    <row r="443" spans="1:4" x14ac:dyDescent="0.25">
      <c r="A443" s="4" t="str">
        <f ca="1">IFERROR(__xludf.DUMMYFUNCTION("""COMPUTED_VALUE"""),"2_ABaOnuesrrdpCZeOdO5X2HuNaH_AGqGC8IC_NRLBqHdwMIUQxBo_gTmRy71x6GzAhA")</f>
        <v>2_ABaOnuesrrdpCZeOdO5X2HuNaH_AGqGC8IC_NRLBqHdwMIUQxBo_gTmRy71x6GzAhA</v>
      </c>
      <c r="B443" s="4" t="str">
        <f ca="1">IFERROR(__xludf.DUMMYFUNCTION("""COMPUTED_VALUE"""),"Sau đại học")</f>
        <v>Sau đại học</v>
      </c>
      <c r="C443" s="4" t="str">
        <f ca="1">IFERROR(__xludf.DUMMYFUNCTION("""COMPUTED_VALUE"""),"2_ABaOnuci1JL6-K-xnl5lEbrBCMWRGsqY6A2N53EGGOPt1mjvUoCIzKWdIrBZCubZvQ")</f>
        <v>2_ABaOnuci1JL6-K-xnl5lEbrBCMWRGsqY6A2N53EGGOPt1mjvUoCIzKWdIrBZCubZvQ</v>
      </c>
      <c r="D443" s="4" t="str">
        <f ca="1">IFERROR(__xludf.DUMMYFUNCTION("""COMPUTED_VALUE"""),"Đại học")</f>
        <v>Đại học</v>
      </c>
    </row>
    <row r="444" spans="1:4" x14ac:dyDescent="0.25">
      <c r="A444" s="4" t="str">
        <f ca="1">IFERROR(__xludf.DUMMYFUNCTION("""COMPUTED_VALUE"""),"2_ABaOnucGOOmoMwihfPxSX-GNXAWhA_NCDc-GJyNqm2deQMnvZTKqocMjINDWpzvlPQ")</f>
        <v>2_ABaOnucGOOmoMwihfPxSX-GNXAWhA_NCDc-GJyNqm2deQMnvZTKqocMjINDWpzvlPQ</v>
      </c>
      <c r="B444" s="4" t="str">
        <f ca="1">IFERROR(__xludf.DUMMYFUNCTION("""COMPUTED_VALUE"""),"Đại học, Chứng chỉ Kiểm toán viên")</f>
        <v>Đại học, Chứng chỉ Kiểm toán viên</v>
      </c>
      <c r="C444" s="4" t="str">
        <f ca="1">IFERROR(__xludf.DUMMYFUNCTION("""COMPUTED_VALUE"""),"2_ABaOnue9vcYUrMmZcFR2JwFrCzwOwiRY5EcHQM6zZQWKz0wDDtRche3IxSqz8kuQSg")</f>
        <v>2_ABaOnue9vcYUrMmZcFR2JwFrCzwOwiRY5EcHQM6zZQWKz0wDDtRche3IxSqz8kuQSg</v>
      </c>
      <c r="D444" s="4" t="str">
        <f ca="1">IFERROR(__xludf.DUMMYFUNCTION("""COMPUTED_VALUE"""),"Đại học")</f>
        <v>Đại học</v>
      </c>
    </row>
    <row r="445" spans="1:4" x14ac:dyDescent="0.25">
      <c r="A445" s="4" t="str">
        <f ca="1">IFERROR(__xludf.DUMMYFUNCTION("""COMPUTED_VALUE"""),"2_ABaOnue7xRTI6oZlFtRICv7f-UTj6o-C7hPA7XndhQV9UaXI20kUm6SrKCWkwk3pgQ")</f>
        <v>2_ABaOnue7xRTI6oZlFtRICv7f-UTj6o-C7hPA7XndhQV9UaXI20kUm6SrKCWkwk3pgQ</v>
      </c>
      <c r="B445" s="4" t="str">
        <f ca="1">IFERROR(__xludf.DUMMYFUNCTION("""COMPUTED_VALUE"""),"Chứng chỉ Kiểm toán viên")</f>
        <v>Chứng chỉ Kiểm toán viên</v>
      </c>
      <c r="C445" s="4" t="str">
        <f ca="1">IFERROR(__xludf.DUMMYFUNCTION("""COMPUTED_VALUE"""),"2_ABaOnue9vcYUrMmZcFR2JwFrCzwOwiRY5EcHQM6zZQWKz0wDDtRche3IxSqz8kuQSg")</f>
        <v>2_ABaOnue9vcYUrMmZcFR2JwFrCzwOwiRY5EcHQM6zZQWKz0wDDtRche3IxSqz8kuQSg</v>
      </c>
      <c r="D445" s="4" t="str">
        <f ca="1">IFERROR(__xludf.DUMMYFUNCTION("""COMPUTED_VALUE"""),"Chứng chỉ Kiểm toán viên")</f>
        <v>Chứng chỉ Kiểm toán viên</v>
      </c>
    </row>
    <row r="446" spans="1:4" x14ac:dyDescent="0.25">
      <c r="A446" s="4" t="str">
        <f ca="1">IFERROR(__xludf.DUMMYFUNCTION("""COMPUTED_VALUE"""),"2_ABaOnudJr6k9KkEX8fgcLoy5XuObQ-JteDBzspwydfro8wTA1rKrhcSfChYlvmvXpw")</f>
        <v>2_ABaOnudJr6k9KkEX8fgcLoy5XuObQ-JteDBzspwydfro8wTA1rKrhcSfChYlvmvXpw</v>
      </c>
      <c r="B446" s="4" t="str">
        <f ca="1">IFERROR(__xludf.DUMMYFUNCTION("""COMPUTED_VALUE"""),"Đại học")</f>
        <v>Đại học</v>
      </c>
      <c r="C446" s="4" t="str">
        <f ca="1">IFERROR(__xludf.DUMMYFUNCTION("""COMPUTED_VALUE"""),"2_ABaOnud_yioWDoZWkVCh99dxDM0y90g3YYAOg7sRqJIsr7BqcuiaP3mLcEnaML-1LQ")</f>
        <v>2_ABaOnud_yioWDoZWkVCh99dxDM0y90g3YYAOg7sRqJIsr7BqcuiaP3mLcEnaML-1LQ</v>
      </c>
      <c r="D446" s="4" t="str">
        <f ca="1">IFERROR(__xludf.DUMMYFUNCTION("""COMPUTED_VALUE"""),"Đại học")</f>
        <v>Đại học</v>
      </c>
    </row>
    <row r="447" spans="1:4" x14ac:dyDescent="0.25">
      <c r="A447" s="4" t="str">
        <f ca="1">IFERROR(__xludf.DUMMYFUNCTION("""COMPUTED_VALUE"""),"2_ABaOnucJbME7G6Cjqqd1eZMXGFPMCtEe86LoMwkXbnIcNe17JU8h_u4KmnK0AlbHEw")</f>
        <v>2_ABaOnucJbME7G6Cjqqd1eZMXGFPMCtEe86LoMwkXbnIcNe17JU8h_u4KmnK0AlbHEw</v>
      </c>
      <c r="B447" s="4" t="str">
        <f ca="1">IFERROR(__xludf.DUMMYFUNCTION("""COMPUTED_VALUE"""),"Đại học, Chứng chỉ Kiểm toán viên")</f>
        <v>Đại học, Chứng chỉ Kiểm toán viên</v>
      </c>
      <c r="C447" s="4" t="str">
        <f ca="1">IFERROR(__xludf.DUMMYFUNCTION("""COMPUTED_VALUE"""),"2_ABaOnuebg5yMZjzdEnQpObFvxbWeI3XLxpzYzaVfP35sld6hpT3p-uiQ0QQHeUZDcw")</f>
        <v>2_ABaOnuebg5yMZjzdEnQpObFvxbWeI3XLxpzYzaVfP35sld6hpT3p-uiQ0QQHeUZDcw</v>
      </c>
      <c r="D447" s="4" t="str">
        <f ca="1">IFERROR(__xludf.DUMMYFUNCTION("""COMPUTED_VALUE"""),"Sau đại học")</f>
        <v>Sau đại học</v>
      </c>
    </row>
    <row r="448" spans="1:4" x14ac:dyDescent="0.25">
      <c r="A448" s="4" t="str">
        <f ca="1">IFERROR(__xludf.DUMMYFUNCTION("""COMPUTED_VALUE"""),"2_ABaOnuei1zEw8MCa0lES_JYSOguVD5bhhgCN1Aqpc2YWz0rENBQn30wvalCaaISMqQ")</f>
        <v>2_ABaOnuei1zEw8MCa0lES_JYSOguVD5bhhgCN1Aqpc2YWz0rENBQn30wvalCaaISMqQ</v>
      </c>
      <c r="B448" s="4" t="str">
        <f ca="1">IFERROR(__xludf.DUMMYFUNCTION("""COMPUTED_VALUE"""),"Đại học")</f>
        <v>Đại học</v>
      </c>
      <c r="C448" s="4" t="str">
        <f ca="1">IFERROR(__xludf.DUMMYFUNCTION("""COMPUTED_VALUE"""),"2_ABaOnuebg5yMZjzdEnQpObFvxbWeI3XLxpzYzaVfP35sld6hpT3p-uiQ0QQHeUZDcw")</f>
        <v>2_ABaOnuebg5yMZjzdEnQpObFvxbWeI3XLxpzYzaVfP35sld6hpT3p-uiQ0QQHeUZDcw</v>
      </c>
      <c r="D448" s="4" t="str">
        <f ca="1">IFERROR(__xludf.DUMMYFUNCTION("""COMPUTED_VALUE"""),"Chứng chỉ Kiểm toán viên")</f>
        <v>Chứng chỉ Kiểm toán viên</v>
      </c>
    </row>
    <row r="449" spans="1:4" x14ac:dyDescent="0.25">
      <c r="A449" s="4" t="str">
        <f ca="1">IFERROR(__xludf.DUMMYFUNCTION("""COMPUTED_VALUE"""),"2_ABaOnufRzaX7k3sGPiikskIUAH3KrTwCLJmjTifJRKlI5lzzUa1P40F4MohWkgZLNA")</f>
        <v>2_ABaOnufRzaX7k3sGPiikskIUAH3KrTwCLJmjTifJRKlI5lzzUa1P40F4MohWkgZLNA</v>
      </c>
      <c r="B449" s="4" t="str">
        <f ca="1">IFERROR(__xludf.DUMMYFUNCTION("""COMPUTED_VALUE"""),"Đại học")</f>
        <v>Đại học</v>
      </c>
      <c r="C449" s="4" t="str">
        <f ca="1">IFERROR(__xludf.DUMMYFUNCTION("""COMPUTED_VALUE"""),"2_ABaOnucBOeV4AvywcNhyBiBtuyKDmr2HVm9oCZMouAW71aNYENRisDHNThGuXX5fUg")</f>
        <v>2_ABaOnucBOeV4AvywcNhyBiBtuyKDmr2HVm9oCZMouAW71aNYENRisDHNThGuXX5fUg</v>
      </c>
      <c r="D449" s="4" t="str">
        <f ca="1">IFERROR(__xludf.DUMMYFUNCTION("""COMPUTED_VALUE"""),"Đại học")</f>
        <v>Đại học</v>
      </c>
    </row>
    <row r="450" spans="1:4" x14ac:dyDescent="0.25">
      <c r="A450" s="4" t="str">
        <f ca="1">IFERROR(__xludf.DUMMYFUNCTION("""COMPUTED_VALUE"""),"2_ABaOnueMzdNPcTuhzdRQXA_4tJJhDynAkZeJn69BDhiDrS7Xo-CAZ9Oy7IiB2bm3Dg")</f>
        <v>2_ABaOnueMzdNPcTuhzdRQXA_4tJJhDynAkZeJn69BDhiDrS7Xo-CAZ9Oy7IiB2bm3Dg</v>
      </c>
      <c r="B450" s="4" t="str">
        <f ca="1">IFERROR(__xludf.DUMMYFUNCTION("""COMPUTED_VALUE"""),"Đại học, Chứng chỉ Kiểm toán viên")</f>
        <v>Đại học, Chứng chỉ Kiểm toán viên</v>
      </c>
      <c r="C450" s="4" t="str">
        <f ca="1">IFERROR(__xludf.DUMMYFUNCTION("""COMPUTED_VALUE"""),"2_ABaOnucBOeV4AvywcNhyBiBtuyKDmr2HVm9oCZMouAW71aNYENRisDHNThGuXX5fUg")</f>
        <v>2_ABaOnucBOeV4AvywcNhyBiBtuyKDmr2HVm9oCZMouAW71aNYENRisDHNThGuXX5fUg</v>
      </c>
      <c r="D450" s="4" t="str">
        <f ca="1">IFERROR(__xludf.DUMMYFUNCTION("""COMPUTED_VALUE"""),"Chứng chỉ Kiểm toán viên")</f>
        <v>Chứng chỉ Kiểm toán viên</v>
      </c>
    </row>
    <row r="451" spans="1:4" x14ac:dyDescent="0.25">
      <c r="A451" s="4" t="str">
        <f ca="1">IFERROR(__xludf.DUMMYFUNCTION("""COMPUTED_VALUE"""),"2_ABaOnucSSB0dH81T1-WgkqBDOqwdjtCS8BUb8pbANcEnXRDTm7JZiXErabSU2jyG9g")</f>
        <v>2_ABaOnucSSB0dH81T1-WgkqBDOqwdjtCS8BUb8pbANcEnXRDTm7JZiXErabSU2jyG9g</v>
      </c>
      <c r="B451" s="4" t="str">
        <f ca="1">IFERROR(__xludf.DUMMYFUNCTION("""COMPUTED_VALUE"""),"Đại học")</f>
        <v>Đại học</v>
      </c>
      <c r="C451" s="4" t="str">
        <f ca="1">IFERROR(__xludf.DUMMYFUNCTION("""COMPUTED_VALUE"""),"2_ABaOnufUZjRTVGJhZeA1IrlY5KywAaUxYVytD5t5ienfy6n1GJTUyo700pQoXrbwpw")</f>
        <v>2_ABaOnufUZjRTVGJhZeA1IrlY5KywAaUxYVytD5t5ienfy6n1GJTUyo700pQoXrbwpw</v>
      </c>
      <c r="D451" s="4" t="str">
        <f ca="1">IFERROR(__xludf.DUMMYFUNCTION("""COMPUTED_VALUE"""),"Đại học")</f>
        <v>Đại học</v>
      </c>
    </row>
    <row r="452" spans="1:4" x14ac:dyDescent="0.25">
      <c r="A452" s="4" t="str">
        <f ca="1">IFERROR(__xludf.DUMMYFUNCTION("""COMPUTED_VALUE"""),"2_ABaOnueqxBu5affu5ngdT3G37n_RweGzRnMzG8i36DqzDumxaKkS7grpkRWOpej2xA")</f>
        <v>2_ABaOnueqxBu5affu5ngdT3G37n_RweGzRnMzG8i36DqzDumxaKkS7grpkRWOpej2xA</v>
      </c>
      <c r="B452" s="4" t="str">
        <f ca="1">IFERROR(__xludf.DUMMYFUNCTION("""COMPUTED_VALUE"""),"Đại học")</f>
        <v>Đại học</v>
      </c>
      <c r="C452" s="4" t="str">
        <f ca="1">IFERROR(__xludf.DUMMYFUNCTION("""COMPUTED_VALUE"""),"2_ABaOnufUZjRTVGJhZeA1IrlY5KywAaUxYVytD5t5ienfy6n1GJTUyo700pQoXrbwpw")</f>
        <v>2_ABaOnufUZjRTVGJhZeA1IrlY5KywAaUxYVytD5t5ienfy6n1GJTUyo700pQoXrbwpw</v>
      </c>
      <c r="D452" s="4" t="str">
        <f ca="1">IFERROR(__xludf.DUMMYFUNCTION("""COMPUTED_VALUE"""),"Chứng chỉ Kiểm toán viên")</f>
        <v>Chứng chỉ Kiểm toán viên</v>
      </c>
    </row>
    <row r="453" spans="1:4" x14ac:dyDescent="0.25">
      <c r="A453" s="4" t="str">
        <f ca="1">IFERROR(__xludf.DUMMYFUNCTION("""COMPUTED_VALUE"""),"2_ABaOnucUYRtqz7MaW4LEB4O8jlVTuA4_R81eEpAyjmiuznfwk5Zo-cHGNRd78UB0Fw")</f>
        <v>2_ABaOnucUYRtqz7MaW4LEB4O8jlVTuA4_R81eEpAyjmiuznfwk5Zo-cHGNRd78UB0Fw</v>
      </c>
      <c r="B453" s="4" t="str">
        <f ca="1">IFERROR(__xludf.DUMMYFUNCTION("""COMPUTED_VALUE"""),"Đại học")</f>
        <v>Đại học</v>
      </c>
      <c r="C453" s="4" t="str">
        <f ca="1">IFERROR(__xludf.DUMMYFUNCTION("""COMPUTED_VALUE"""),"2_ABaOnucoHSIP4go9E4u2DHmTRymkYsKTs5lgie1ni6REiPKNRySiMHM4IRF9pkbpEw")</f>
        <v>2_ABaOnucoHSIP4go9E4u2DHmTRymkYsKTs5lgie1ni6REiPKNRySiMHM4IRF9pkbpEw</v>
      </c>
      <c r="D453" s="4" t="str">
        <f ca="1">IFERROR(__xludf.DUMMYFUNCTION("""COMPUTED_VALUE"""),"Đại học")</f>
        <v>Đại học</v>
      </c>
    </row>
    <row r="454" spans="1:4" x14ac:dyDescent="0.25">
      <c r="A454" s="4" t="str">
        <f ca="1">IFERROR(__xludf.DUMMYFUNCTION("""COMPUTED_VALUE"""),"2_ABaOnudL4XQgDGSzdZsXtSbaTAoxYRXyy2Gw__TiaxilGvpuoGa4SwL9vKUf6dThmg")</f>
        <v>2_ABaOnudL4XQgDGSzdZsXtSbaTAoxYRXyy2Gw__TiaxilGvpuoGa4SwL9vKUf6dThmg</v>
      </c>
      <c r="B454" s="4" t="str">
        <f ca="1">IFERROR(__xludf.DUMMYFUNCTION("""COMPUTED_VALUE"""),"Đại học")</f>
        <v>Đại học</v>
      </c>
      <c r="C454" s="4" t="str">
        <f ca="1">IFERROR(__xludf.DUMMYFUNCTION("""COMPUTED_VALUE"""),"2_ABaOnufDYc2sANdj4Re2BeT2uYjbckWHpqijC-9epoCl65qYJS10ebgpQ4FLOm20PQ")</f>
        <v>2_ABaOnufDYc2sANdj4Re2BeT2uYjbckWHpqijC-9epoCl65qYJS10ebgpQ4FLOm20PQ</v>
      </c>
      <c r="D454" s="4" t="str">
        <f ca="1">IFERROR(__xludf.DUMMYFUNCTION("""COMPUTED_VALUE"""),"Đại học")</f>
        <v>Đại học</v>
      </c>
    </row>
    <row r="455" spans="1:4" x14ac:dyDescent="0.25">
      <c r="A455" s="4" t="str">
        <f ca="1">IFERROR(__xludf.DUMMYFUNCTION("""COMPUTED_VALUE"""),"2_ABaOnuecD4dDYHJjOB1MpDwb3IS-z6NHyCnxWZVZoNHNKCdySFhlH7RZq_dzSQdqrQ")</f>
        <v>2_ABaOnuecD4dDYHJjOB1MpDwb3IS-z6NHyCnxWZVZoNHNKCdySFhlH7RZq_dzSQdqrQ</v>
      </c>
      <c r="B455" s="4" t="str">
        <f ca="1">IFERROR(__xludf.DUMMYFUNCTION("""COMPUTED_VALUE"""),"Chứng chỉ Kiểm toán viên")</f>
        <v>Chứng chỉ Kiểm toán viên</v>
      </c>
      <c r="C455" s="4" t="str">
        <f ca="1">IFERROR(__xludf.DUMMYFUNCTION("""COMPUTED_VALUE"""),"2_ABaOnudeE8zE_fG6m3Ito0GmxMTyHWBcNTzZju7FSx5T_K2mMtsmChV9uP1Dv9YZQg")</f>
        <v>2_ABaOnudeE8zE_fG6m3Ito0GmxMTyHWBcNTzZju7FSx5T_K2mMtsmChV9uP1Dv9YZQg</v>
      </c>
      <c r="D455" s="4" t="str">
        <f ca="1">IFERROR(__xludf.DUMMYFUNCTION("""COMPUTED_VALUE"""),"Đại học")</f>
        <v>Đại học</v>
      </c>
    </row>
    <row r="456" spans="1:4" x14ac:dyDescent="0.25">
      <c r="A456" s="4" t="str">
        <f ca="1">IFERROR(__xludf.DUMMYFUNCTION("""COMPUTED_VALUE"""),"2_ABaOnudEAcaN4lI3TQNFN3Hw8Y_bj5-4aij7W5NmM0CUnZBBXpnPzd9FxCXZZ5_wvA")</f>
        <v>2_ABaOnudEAcaN4lI3TQNFN3Hw8Y_bj5-4aij7W5NmM0CUnZBBXpnPzd9FxCXZZ5_wvA</v>
      </c>
      <c r="B456" s="4" t="str">
        <f ca="1">IFERROR(__xludf.DUMMYFUNCTION("""COMPUTED_VALUE"""),"Đại học")</f>
        <v>Đại học</v>
      </c>
      <c r="C456" s="4" t="str">
        <f ca="1">IFERROR(__xludf.DUMMYFUNCTION("""COMPUTED_VALUE"""),"2_ABaOnudeE8zE_fG6m3Ito0GmxMTyHWBcNTzZju7FSx5T_K2mMtsmChV9uP1Dv9YZQg")</f>
        <v>2_ABaOnudeE8zE_fG6m3Ito0GmxMTyHWBcNTzZju7FSx5T_K2mMtsmChV9uP1Dv9YZQg</v>
      </c>
      <c r="D456" s="4" t="str">
        <f ca="1">IFERROR(__xludf.DUMMYFUNCTION("""COMPUTED_VALUE"""),"Chứng chỉ Kiểm toán viên")</f>
        <v>Chứng chỉ Kiểm toán viên</v>
      </c>
    </row>
    <row r="457" spans="1:4" x14ac:dyDescent="0.25">
      <c r="A457" s="4" t="str">
        <f ca="1">IFERROR(__xludf.DUMMYFUNCTION("""COMPUTED_VALUE"""),"2_ABaOnueDOV5LPKNuTDAxxmwNvMdDGJTr3eigPIZ6WV6NKxZUq75E9qXb5AxYVIgv9g")</f>
        <v>2_ABaOnueDOV5LPKNuTDAxxmwNvMdDGJTr3eigPIZ6WV6NKxZUq75E9qXb5AxYVIgv9g</v>
      </c>
      <c r="B457" s="4" t="str">
        <f ca="1">IFERROR(__xludf.DUMMYFUNCTION("""COMPUTED_VALUE"""),"Đại học")</f>
        <v>Đại học</v>
      </c>
      <c r="C457" s="4" t="str">
        <f ca="1">IFERROR(__xludf.DUMMYFUNCTION("""COMPUTED_VALUE"""),"2_ABaOnuej__WEYTq6X3aFkPBYskeEX2bjd77oZWngA_W57p5ywpov7moi7h0JUMr59w")</f>
        <v>2_ABaOnuej__WEYTq6X3aFkPBYskeEX2bjd77oZWngA_W57p5ywpov7moi7h0JUMr59w</v>
      </c>
      <c r="D457" s="4" t="str">
        <f ca="1">IFERROR(__xludf.DUMMYFUNCTION("""COMPUTED_VALUE"""),"Đại học")</f>
        <v>Đại học</v>
      </c>
    </row>
    <row r="458" spans="1:4" x14ac:dyDescent="0.25">
      <c r="A458" s="4" t="str">
        <f ca="1">IFERROR(__xludf.DUMMYFUNCTION("""COMPUTED_VALUE"""),"2_ABaOnuf8-IPmq5NYY9fCIkkGwROWVSuUyBxX9EPpA-rglII6EI8BawZZmKtp3TWXDw")</f>
        <v>2_ABaOnuf8-IPmq5NYY9fCIkkGwROWVSuUyBxX9EPpA-rglII6EI8BawZZmKtp3TWXDw</v>
      </c>
      <c r="B458" s="4" t="str">
        <f ca="1">IFERROR(__xludf.DUMMYFUNCTION("""COMPUTED_VALUE"""),"Chứng chỉ Kiểm toán viên")</f>
        <v>Chứng chỉ Kiểm toán viên</v>
      </c>
      <c r="C458" s="4" t="str">
        <f ca="1">IFERROR(__xludf.DUMMYFUNCTION("""COMPUTED_VALUE"""),"2_ABaOnuej__WEYTq6X3aFkPBYskeEX2bjd77oZWngA_W57p5ywpov7moi7h0JUMr59w")</f>
        <v>2_ABaOnuej__WEYTq6X3aFkPBYskeEX2bjd77oZWngA_W57p5ywpov7moi7h0JUMr59w</v>
      </c>
      <c r="D458" s="4" t="str">
        <f ca="1">IFERROR(__xludf.DUMMYFUNCTION("""COMPUTED_VALUE"""),"Chứng chỉ Kiểm toán viên")</f>
        <v>Chứng chỉ Kiểm toán viên</v>
      </c>
    </row>
    <row r="459" spans="1:4" x14ac:dyDescent="0.25">
      <c r="A459" s="4" t="str">
        <f ca="1">IFERROR(__xludf.DUMMYFUNCTION("""COMPUTED_VALUE"""),"2_ABaOnueMdh95UH9muICAdIHGqMpXr0pSVjVGz6BRITF6ZedUFqV7HhgaTrchSTUY1g")</f>
        <v>2_ABaOnueMdh95UH9muICAdIHGqMpXr0pSVjVGz6BRITF6ZedUFqV7HhgaTrchSTUY1g</v>
      </c>
      <c r="B459" s="4" t="str">
        <f ca="1">IFERROR(__xludf.DUMMYFUNCTION("""COMPUTED_VALUE"""),"Đại học, Chứng chỉ Kiểm toán viên")</f>
        <v>Đại học, Chứng chỉ Kiểm toán viên</v>
      </c>
      <c r="C459" s="4" t="str">
        <f ca="1">IFERROR(__xludf.DUMMYFUNCTION("""COMPUTED_VALUE"""),"2_ABaOnudoWzG9mvAdY-NpMGraQx3ujzc_f12oQD6R7Km6XGNKB6MeHCi6kxY79IpG7A")</f>
        <v>2_ABaOnudoWzG9mvAdY-NpMGraQx3ujzc_f12oQD6R7Km6XGNKB6MeHCi6kxY79IpG7A</v>
      </c>
      <c r="D459" s="4" t="str">
        <f ca="1">IFERROR(__xludf.DUMMYFUNCTION("""COMPUTED_VALUE"""),"Đại học")</f>
        <v>Đại học</v>
      </c>
    </row>
    <row r="460" spans="1:4" x14ac:dyDescent="0.25">
      <c r="A460" s="4" t="str">
        <f ca="1">IFERROR(__xludf.DUMMYFUNCTION("""COMPUTED_VALUE"""),"2_ABaOnufJmsrUP33GtAD8cAYowxZjq4P86dAtzwCaHe9416lZSf2uwJtfwY9i4RJbfw")</f>
        <v>2_ABaOnufJmsrUP33GtAD8cAYowxZjq4P86dAtzwCaHe9416lZSf2uwJtfwY9i4RJbfw</v>
      </c>
      <c r="B460" s="4" t="str">
        <f ca="1">IFERROR(__xludf.DUMMYFUNCTION("""COMPUTED_VALUE"""),"Đại học, Sau đại học, Chứng chỉ Kiểm toán viên")</f>
        <v>Đại học, Sau đại học, Chứng chỉ Kiểm toán viên</v>
      </c>
      <c r="C460" s="4" t="str">
        <f ca="1">IFERROR(__xludf.DUMMYFUNCTION("""COMPUTED_VALUE"""),"2_ABaOnucg9jZ80v_phyVMVyDmO3CI5NOFIsgu24-5q7YCTjdAEs10HkoYzsKmLqzdMw")</f>
        <v>2_ABaOnucg9jZ80v_phyVMVyDmO3CI5NOFIsgu24-5q7YCTjdAEs10HkoYzsKmLqzdMw</v>
      </c>
      <c r="D460" s="4" t="str">
        <f ca="1">IFERROR(__xludf.DUMMYFUNCTION("""COMPUTED_VALUE"""),"Đại học")</f>
        <v>Đại học</v>
      </c>
    </row>
    <row r="461" spans="1:4" x14ac:dyDescent="0.25">
      <c r="A461" s="4" t="str">
        <f ca="1">IFERROR(__xludf.DUMMYFUNCTION("""COMPUTED_VALUE"""),"2_ABaOnufRDPheS0KUnS1FcmTHcEcFb4WoUvbyNZee8npxgN8zALMvqnjfqULIYkPHcw")</f>
        <v>2_ABaOnufRDPheS0KUnS1FcmTHcEcFb4WoUvbyNZee8npxgN8zALMvqnjfqULIYkPHcw</v>
      </c>
      <c r="B461" s="4" t="str">
        <f ca="1">IFERROR(__xludf.DUMMYFUNCTION("""COMPUTED_VALUE"""),"Sau đại học, Chứng chỉ Kiểm toán viên")</f>
        <v>Sau đại học, Chứng chỉ Kiểm toán viên</v>
      </c>
      <c r="C461" s="4" t="str">
        <f ca="1">IFERROR(__xludf.DUMMYFUNCTION("""COMPUTED_VALUE"""),"2_ABaOnucg9jZ80v_phyVMVyDmO3CI5NOFIsgu24-5q7YCTjdAEs10HkoYzsKmLqzdMw")</f>
        <v>2_ABaOnucg9jZ80v_phyVMVyDmO3CI5NOFIsgu24-5q7YCTjdAEs10HkoYzsKmLqzdMw</v>
      </c>
      <c r="D461" s="4" t="str">
        <f ca="1">IFERROR(__xludf.DUMMYFUNCTION("""COMPUTED_VALUE"""),"Chứng chỉ Kiểm toán viên")</f>
        <v>Chứng chỉ Kiểm toán viên</v>
      </c>
    </row>
    <row r="462" spans="1:4" x14ac:dyDescent="0.25">
      <c r="A462" s="4" t="str">
        <f ca="1">IFERROR(__xludf.DUMMYFUNCTION("""COMPUTED_VALUE"""),"2_ABaOnufjcwTSAfYLOP2r-r4E4PhaHYqGU-5hCFjuaPd_no68o3I6Q6uZ1pqbpCfTFA")</f>
        <v>2_ABaOnufjcwTSAfYLOP2r-r4E4PhaHYqGU-5hCFjuaPd_no68o3I6Q6uZ1pqbpCfTFA</v>
      </c>
      <c r="B462" s="4" t="str">
        <f ca="1">IFERROR(__xludf.DUMMYFUNCTION("""COMPUTED_VALUE"""),"Đại học, Sau đại học, Chứng chỉ Kiểm toán viên")</f>
        <v>Đại học, Sau đại học, Chứng chỉ Kiểm toán viên</v>
      </c>
      <c r="C462" s="4" t="str">
        <f ca="1">IFERROR(__xludf.DUMMYFUNCTION("""COMPUTED_VALUE"""),"2_ABaOnucZELGJePmkYzAg6u6jBV7jgq5acu9xnS1D0DJ2vwrWPd80C9QuCrJPGa6LsQ")</f>
        <v>2_ABaOnucZELGJePmkYzAg6u6jBV7jgq5acu9xnS1D0DJ2vwrWPd80C9QuCrJPGa6LsQ</v>
      </c>
      <c r="D462" s="4" t="str">
        <f ca="1">IFERROR(__xludf.DUMMYFUNCTION("""COMPUTED_VALUE"""),"Đại học")</f>
        <v>Đại học</v>
      </c>
    </row>
    <row r="463" spans="1:4" x14ac:dyDescent="0.25">
      <c r="A463" s="4" t="str">
        <f ca="1">IFERROR(__xludf.DUMMYFUNCTION("""COMPUTED_VALUE"""),"2_ABaOnud63cwB6AUzG6BqafTRQqWGLpdR9hlWpdLM91JM7sRGspSehJ8dNpJQbi1HZw")</f>
        <v>2_ABaOnud63cwB6AUzG6BqafTRQqWGLpdR9hlWpdLM91JM7sRGspSehJ8dNpJQbi1HZw</v>
      </c>
      <c r="B463" s="4" t="str">
        <f ca="1">IFERROR(__xludf.DUMMYFUNCTION("""COMPUTED_VALUE"""),"Sau đại học")</f>
        <v>Sau đại học</v>
      </c>
      <c r="C463" s="4" t="str">
        <f ca="1">IFERROR(__xludf.DUMMYFUNCTION("""COMPUTED_VALUE"""),"2_ABaOnucZELGJePmkYzAg6u6jBV7jgq5acu9xnS1D0DJ2vwrWPd80C9QuCrJPGa6LsQ")</f>
        <v>2_ABaOnucZELGJePmkYzAg6u6jBV7jgq5acu9xnS1D0DJ2vwrWPd80C9QuCrJPGa6LsQ</v>
      </c>
      <c r="D463" s="4" t="str">
        <f ca="1">IFERROR(__xludf.DUMMYFUNCTION("""COMPUTED_VALUE"""),"Chứng chỉ Kiểm toán viên")</f>
        <v>Chứng chỉ Kiểm toán viên</v>
      </c>
    </row>
    <row r="464" spans="1:4" x14ac:dyDescent="0.25">
      <c r="A464" s="4" t="str">
        <f ca="1">IFERROR(__xludf.DUMMYFUNCTION("""COMPUTED_VALUE"""),"2_ABaOnuc7SI58yXn7dTwdClNGCykQCRuegeRKCtxgl3cXaZXMa8uyoaNsI70n_XV5VQ")</f>
        <v>2_ABaOnuc7SI58yXn7dTwdClNGCykQCRuegeRKCtxgl3cXaZXMa8uyoaNsI70n_XV5VQ</v>
      </c>
      <c r="B464" s="4" t="str">
        <f ca="1">IFERROR(__xludf.DUMMYFUNCTION("""COMPUTED_VALUE"""),"Sau đại học, Chứng chỉ Kiểm toán viên")</f>
        <v>Sau đại học, Chứng chỉ Kiểm toán viên</v>
      </c>
      <c r="C464" s="4" t="str">
        <f ca="1">IFERROR(__xludf.DUMMYFUNCTION("""COMPUTED_VALUE"""),"2_ABaOnueFiPfp85S9OlAkhbT4CTj33u8aj8r1SaHOrOqZ0IGJUhY0Nb-eEP7dLJvzkw")</f>
        <v>2_ABaOnueFiPfp85S9OlAkhbT4CTj33u8aj8r1SaHOrOqZ0IGJUhY0Nb-eEP7dLJvzkw</v>
      </c>
      <c r="D464" s="4" t="str">
        <f ca="1">IFERROR(__xludf.DUMMYFUNCTION("""COMPUTED_VALUE"""),"Đại học")</f>
        <v>Đại học</v>
      </c>
    </row>
    <row r="465" spans="1:4" x14ac:dyDescent="0.25">
      <c r="A465" s="4" t="str">
        <f ca="1">IFERROR(__xludf.DUMMYFUNCTION("""COMPUTED_VALUE"""),"2_ABaOnuc-LZ0pDeGoLMtumTgc252-llMaPmYdO4G1AlCvrohPAv7brCWAwRyhepA4GA")</f>
        <v>2_ABaOnuc-LZ0pDeGoLMtumTgc252-llMaPmYdO4G1AlCvrohPAv7brCWAwRyhepA4GA</v>
      </c>
      <c r="B465" s="4" t="str">
        <f ca="1">IFERROR(__xludf.DUMMYFUNCTION("""COMPUTED_VALUE"""),"Đại học")</f>
        <v>Đại học</v>
      </c>
      <c r="C465" s="4" t="str">
        <f ca="1">IFERROR(__xludf.DUMMYFUNCTION("""COMPUTED_VALUE"""),"2_ABaOnueSWC-TMxg5CfqFtNJiZZEiXgfBs7wtSN6-ELiAy5S5xi251BXwru19KyJkWg")</f>
        <v>2_ABaOnueSWC-TMxg5CfqFtNJiZZEiXgfBs7wtSN6-ELiAy5S5xi251BXwru19KyJkWg</v>
      </c>
      <c r="D465" s="4" t="str">
        <f ca="1">IFERROR(__xludf.DUMMYFUNCTION("""COMPUTED_VALUE"""),"Đại học")</f>
        <v>Đại học</v>
      </c>
    </row>
    <row r="466" spans="1:4" x14ac:dyDescent="0.25">
      <c r="A466" s="4" t="str">
        <f ca="1">IFERROR(__xludf.DUMMYFUNCTION("""COMPUTED_VALUE"""),"2_ABaOnudv97NUnWhhHYcBU6fztOUs10OItLrDUi6xJ9XO3162IuChkHXnaH3ORULBCg")</f>
        <v>2_ABaOnudv97NUnWhhHYcBU6fztOUs10OItLrDUi6xJ9XO3162IuChkHXnaH3ORULBCg</v>
      </c>
      <c r="B466" s="4" t="str">
        <f ca="1">IFERROR(__xludf.DUMMYFUNCTION("""COMPUTED_VALUE"""),"Đại học")</f>
        <v>Đại học</v>
      </c>
      <c r="C466" s="4" t="str">
        <f ca="1">IFERROR(__xludf.DUMMYFUNCTION("""COMPUTED_VALUE"""),"2_ABaOnueSWC-TMxg5CfqFtNJiZZEiXgfBs7wtSN6-ELiAy5S5xi251BXwru19KyJkWg")</f>
        <v>2_ABaOnueSWC-TMxg5CfqFtNJiZZEiXgfBs7wtSN6-ELiAy5S5xi251BXwru19KyJkWg</v>
      </c>
      <c r="D466" s="4" t="str">
        <f ca="1">IFERROR(__xludf.DUMMYFUNCTION("""COMPUTED_VALUE"""),"Chứng chỉ Kiểm toán viên")</f>
        <v>Chứng chỉ Kiểm toán viên</v>
      </c>
    </row>
    <row r="467" spans="1:4" x14ac:dyDescent="0.25">
      <c r="A467" s="4" t="str">
        <f ca="1">IFERROR(__xludf.DUMMYFUNCTION("""COMPUTED_VALUE"""),"2_ABaOnufht28RKhoR9yPYAMVnOAS8PuikplIAgdoXm0fsrKz7GEHU-WrvLMAssl-FZg")</f>
        <v>2_ABaOnufht28RKhoR9yPYAMVnOAS8PuikplIAgdoXm0fsrKz7GEHU-WrvLMAssl-FZg</v>
      </c>
      <c r="B467" s="4" t="str">
        <f ca="1">IFERROR(__xludf.DUMMYFUNCTION("""COMPUTED_VALUE"""),"Đại học")</f>
        <v>Đại học</v>
      </c>
      <c r="C467" s="4" t="str">
        <f ca="1">IFERROR(__xludf.DUMMYFUNCTION("""COMPUTED_VALUE"""),"2_ABaOnud4AAJk3AcULkGmRy9-5HMA0M3v76fKj8Hrel6kPY7jFwdx_yndciBVAB0ipg")</f>
        <v>2_ABaOnud4AAJk3AcULkGmRy9-5HMA0M3v76fKj8Hrel6kPY7jFwdx_yndciBVAB0ipg</v>
      </c>
      <c r="D467" s="4" t="str">
        <f ca="1">IFERROR(__xludf.DUMMYFUNCTION("""COMPUTED_VALUE"""),"Đại học")</f>
        <v>Đại học</v>
      </c>
    </row>
    <row r="468" spans="1:4" x14ac:dyDescent="0.25">
      <c r="A468" s="4" t="str">
        <f ca="1">IFERROR(__xludf.DUMMYFUNCTION("""COMPUTED_VALUE"""),"2_ABaOnudX3h1FRo9_NO2Y8mEOTy_0uQh2YXuzz9_q64I9ffrYHwO80K6DecN4cW6MVQ")</f>
        <v>2_ABaOnudX3h1FRo9_NO2Y8mEOTy_0uQh2YXuzz9_q64I9ffrYHwO80K6DecN4cW6MVQ</v>
      </c>
      <c r="B468" s="4" t="str">
        <f ca="1">IFERROR(__xludf.DUMMYFUNCTION("""COMPUTED_VALUE"""),"Đại học")</f>
        <v>Đại học</v>
      </c>
      <c r="C468" s="4" t="str">
        <f ca="1">IFERROR(__xludf.DUMMYFUNCTION("""COMPUTED_VALUE"""),"2_ABaOnueIrOuq0aSCK-32nLumgZtYhF-uKRsk0VYaDBsmgESoSzH0U8LksPU8Ae1eaQ")</f>
        <v>2_ABaOnueIrOuq0aSCK-32nLumgZtYhF-uKRsk0VYaDBsmgESoSzH0U8LksPU8Ae1eaQ</v>
      </c>
      <c r="D468" s="4" t="str">
        <f ca="1">IFERROR(__xludf.DUMMYFUNCTION("""COMPUTED_VALUE"""),"Đại học")</f>
        <v>Đại học</v>
      </c>
    </row>
    <row r="469" spans="1:4" x14ac:dyDescent="0.25">
      <c r="A469" s="4" t="str">
        <f ca="1">IFERROR(__xludf.DUMMYFUNCTION("""COMPUTED_VALUE"""),"2_ABaOnudg3Q-VPpM0vdXH0_ixtMHXg6s_vPbMeYlpfU46ObUR4vLqXKhoPlr3mqTePQ")</f>
        <v>2_ABaOnudg3Q-VPpM0vdXH0_ixtMHXg6s_vPbMeYlpfU46ObUR4vLqXKhoPlr3mqTePQ</v>
      </c>
      <c r="B469" s="4" t="str">
        <f ca="1">IFERROR(__xludf.DUMMYFUNCTION("""COMPUTED_VALUE"""),"Đại học")</f>
        <v>Đại học</v>
      </c>
      <c r="C469" s="4" t="str">
        <f ca="1">IFERROR(__xludf.DUMMYFUNCTION("""COMPUTED_VALUE"""),"2_ABaOnud_N6aWpZKfHf6Ac85a9FIjTRxzl0JC2biSR54f0t0cSE_CSyERPa2nMo515Q")</f>
        <v>2_ABaOnud_N6aWpZKfHf6Ac85a9FIjTRxzl0JC2biSR54f0t0cSE_CSyERPa2nMo515Q</v>
      </c>
      <c r="D469" s="4" t="str">
        <f ca="1">IFERROR(__xludf.DUMMYFUNCTION("""COMPUTED_VALUE"""),"Đại học")</f>
        <v>Đại học</v>
      </c>
    </row>
    <row r="470" spans="1:4" x14ac:dyDescent="0.25">
      <c r="A470" s="4" t="str">
        <f ca="1">IFERROR(__xludf.DUMMYFUNCTION("""COMPUTED_VALUE"""),"2_ABaOnucEIhV9vFxOVNZ45FTk8Zao0xQo8G-rFgi3KuOAX29F9-pSPJtYwvy67BYf2g")</f>
        <v>2_ABaOnucEIhV9vFxOVNZ45FTk8Zao0xQo8G-rFgi3KuOAX29F9-pSPJtYwvy67BYf2g</v>
      </c>
      <c r="B470" s="4" t="str">
        <f ca="1">IFERROR(__xludf.DUMMYFUNCTION("""COMPUTED_VALUE"""),"Đại học")</f>
        <v>Đại học</v>
      </c>
      <c r="C470" s="4" t="str">
        <f ca="1">IFERROR(__xludf.DUMMYFUNCTION("""COMPUTED_VALUE"""),"2_ABaOnud22sBYK8AyF2Ay87Isrwnc6PTtcYr3i1w9-w7sAaj0OlmFTiSrQuz0sAzqvQ")</f>
        <v>2_ABaOnud22sBYK8AyF2Ay87Isrwnc6PTtcYr3i1w9-w7sAaj0OlmFTiSrQuz0sAzqvQ</v>
      </c>
      <c r="D470" s="4" t="str">
        <f ca="1">IFERROR(__xludf.DUMMYFUNCTION("""COMPUTED_VALUE"""),"Chứng chỉ Kiểm toán viên")</f>
        <v>Chứng chỉ Kiểm toán viên</v>
      </c>
    </row>
    <row r="471" spans="1:4" x14ac:dyDescent="0.25">
      <c r="A471" s="4" t="str">
        <f ca="1">IFERROR(__xludf.DUMMYFUNCTION("""COMPUTED_VALUE"""),"2_ABaOnue-jQ-1d9z-pV75tfLrn9KUV6LqB72mU3z66HF18lgjhdm_rOZiEGfvJOW6Ug")</f>
        <v>2_ABaOnue-jQ-1d9z-pV75tfLrn9KUV6LqB72mU3z66HF18lgjhdm_rOZiEGfvJOW6Ug</v>
      </c>
      <c r="B471" s="4" t="str">
        <f ca="1">IFERROR(__xludf.DUMMYFUNCTION("""COMPUTED_VALUE"""),"Đại học")</f>
        <v>Đại học</v>
      </c>
      <c r="C471" s="4" t="str">
        <f ca="1">IFERROR(__xludf.DUMMYFUNCTION("""COMPUTED_VALUE"""),"2_ABaOnueKfogQOHIPAtQdnMQogkpt7IKfP6lV1x7PYl2-XUhteKPRE0cl0igZ188h_w")</f>
        <v>2_ABaOnueKfogQOHIPAtQdnMQogkpt7IKfP6lV1x7PYl2-XUhteKPRE0cl0igZ188h_w</v>
      </c>
      <c r="D471" s="4" t="str">
        <f ca="1">IFERROR(__xludf.DUMMYFUNCTION("""COMPUTED_VALUE"""),"Đại học")</f>
        <v>Đại học</v>
      </c>
    </row>
    <row r="472" spans="1:4" x14ac:dyDescent="0.25">
      <c r="A472" s="4" t="str">
        <f ca="1">IFERROR(__xludf.DUMMYFUNCTION("""COMPUTED_VALUE"""),"2_ABaOnudS0GwpMbYjKBfJvlxn8I11hJWDteJ54DzwIzOvHJBdqK5rGFNEDJ9fJfqZnQ")</f>
        <v>2_ABaOnudS0GwpMbYjKBfJvlxn8I11hJWDteJ54DzwIzOvHJBdqK5rGFNEDJ9fJfqZnQ</v>
      </c>
      <c r="B472" s="4" t="str">
        <f ca="1">IFERROR(__xludf.DUMMYFUNCTION("""COMPUTED_VALUE"""),"Đại học")</f>
        <v>Đại học</v>
      </c>
      <c r="C472" s="4" t="str">
        <f ca="1">IFERROR(__xludf.DUMMYFUNCTION("""COMPUTED_VALUE"""),"2_ABaOnueKfogQOHIPAtQdnMQogkpt7IKfP6lV1x7PYl2-XUhteKPRE0cl0igZ188h_w")</f>
        <v>2_ABaOnueKfogQOHIPAtQdnMQogkpt7IKfP6lV1x7PYl2-XUhteKPRE0cl0igZ188h_w</v>
      </c>
      <c r="D472" s="4" t="str">
        <f ca="1">IFERROR(__xludf.DUMMYFUNCTION("""COMPUTED_VALUE"""),"Chứng chỉ Kiểm toán viên")</f>
        <v>Chứng chỉ Kiểm toán viên</v>
      </c>
    </row>
    <row r="473" spans="1:4" x14ac:dyDescent="0.25">
      <c r="A473" s="4" t="str">
        <f ca="1">IFERROR(__xludf.DUMMYFUNCTION("""COMPUTED_VALUE"""),"2_ABaOnuehj6LNehqVAiRqgiaXF_3zexhvWT0udhd5AopMRdJTottVkpPsA-TN9wEDQQ")</f>
        <v>2_ABaOnuehj6LNehqVAiRqgiaXF_3zexhvWT0udhd5AopMRdJTottVkpPsA-TN9wEDQQ</v>
      </c>
      <c r="B473" s="4" t="str">
        <f ca="1">IFERROR(__xludf.DUMMYFUNCTION("""COMPUTED_VALUE"""),"Sau đại học")</f>
        <v>Sau đại học</v>
      </c>
      <c r="C473" s="4" t="str">
        <f ca="1">IFERROR(__xludf.DUMMYFUNCTION("""COMPUTED_VALUE"""),"2_ABaOnueG5VHL9rb8yg0lH8vXnUf5GnJz6KxyjgYbF874iHI3cW_VtQSHCKJ8MvG_jA")</f>
        <v>2_ABaOnueG5VHL9rb8yg0lH8vXnUf5GnJz6KxyjgYbF874iHI3cW_VtQSHCKJ8MvG_jA</v>
      </c>
      <c r="D473" s="4" t="str">
        <f ca="1">IFERROR(__xludf.DUMMYFUNCTION("""COMPUTED_VALUE"""),"Sau đại học")</f>
        <v>Sau đại học</v>
      </c>
    </row>
    <row r="474" spans="1:4" x14ac:dyDescent="0.25">
      <c r="A474" s="4" t="str">
        <f ca="1">IFERROR(__xludf.DUMMYFUNCTION("""COMPUTED_VALUE"""),"2_ABaOnucfuz1ZFt_J4Bsxv674Em_HzIh9cNSDcbiMpaFspeHe1jLSQVbHHoiEkg3Xig")</f>
        <v>2_ABaOnucfuz1ZFt_J4Bsxv674Em_HzIh9cNSDcbiMpaFspeHe1jLSQVbHHoiEkg3Xig</v>
      </c>
      <c r="B474" s="4" t="str">
        <f ca="1">IFERROR(__xludf.DUMMYFUNCTION("""COMPUTED_VALUE"""),"Đại học, Chứng chỉ Kiểm toán viên")</f>
        <v>Đại học, Chứng chỉ Kiểm toán viên</v>
      </c>
      <c r="C474" s="4" t="str">
        <f ca="1">IFERROR(__xludf.DUMMYFUNCTION("""COMPUTED_VALUE"""),"2_ABaOnudOFcrQZSkuzXfeWJunmXGFwxs71a7uwmBHxfaO96u8Ox-l1ZQaX-s9gl4Fdg")</f>
        <v>2_ABaOnudOFcrQZSkuzXfeWJunmXGFwxs71a7uwmBHxfaO96u8Ox-l1ZQaX-s9gl4Fdg</v>
      </c>
      <c r="D474" s="4" t="str">
        <f ca="1">IFERROR(__xludf.DUMMYFUNCTION("""COMPUTED_VALUE"""),"Đại học")</f>
        <v>Đại học</v>
      </c>
    </row>
    <row r="475" spans="1:4" x14ac:dyDescent="0.25">
      <c r="A475" s="4" t="str">
        <f ca="1">IFERROR(__xludf.DUMMYFUNCTION("""COMPUTED_VALUE"""),"2_ABaOnudZIcMxSHOXF82cuAFR5Wfa7lmY1ZIORR64a5ywfC3r48CkzKNQWSb7irxSuA")</f>
        <v>2_ABaOnudZIcMxSHOXF82cuAFR5Wfa7lmY1ZIORR64a5ywfC3r48CkzKNQWSb7irxSuA</v>
      </c>
      <c r="B475" s="4" t="str">
        <f ca="1">IFERROR(__xludf.DUMMYFUNCTION("""COMPUTED_VALUE"""),"Đại học")</f>
        <v>Đại học</v>
      </c>
      <c r="C475" s="4" t="str">
        <f ca="1">IFERROR(__xludf.DUMMYFUNCTION("""COMPUTED_VALUE"""),"2_ABaOnucpxf5OmfC2HXwLK4T5cYVHjfq9NYB9FaaJXsiQTgv20PRHNdZkicMMJzlQ5w")</f>
        <v>2_ABaOnucpxf5OmfC2HXwLK4T5cYVHjfq9NYB9FaaJXsiQTgv20PRHNdZkicMMJzlQ5w</v>
      </c>
      <c r="D475" s="4" t="str">
        <f ca="1">IFERROR(__xludf.DUMMYFUNCTION("""COMPUTED_VALUE"""),"Đại học")</f>
        <v>Đại học</v>
      </c>
    </row>
    <row r="476" spans="1:4" x14ac:dyDescent="0.25">
      <c r="A476" s="4" t="str">
        <f ca="1">IFERROR(__xludf.DUMMYFUNCTION("""COMPUTED_VALUE"""),"2_ABaOnudnF6vxlTKZ7SgFO-Dk3XyxG8nJtZ_NMTaT_CWbI0m82jZKNoi6sVge1sBO8A")</f>
        <v>2_ABaOnudnF6vxlTKZ7SgFO-Dk3XyxG8nJtZ_NMTaT_CWbI0m82jZKNoi6sVge1sBO8A</v>
      </c>
      <c r="B476" s="4" t="str">
        <f ca="1">IFERROR(__xludf.DUMMYFUNCTION("""COMPUTED_VALUE"""),"Đại học")</f>
        <v>Đại học</v>
      </c>
      <c r="C476" s="4" t="str">
        <f ca="1">IFERROR(__xludf.DUMMYFUNCTION("""COMPUTED_VALUE"""),"2_ABaOnucpxf5OmfC2HXwLK4T5cYVHjfq9NYB9FaaJXsiQTgv20PRHNdZkicMMJzlQ5w")</f>
        <v>2_ABaOnucpxf5OmfC2HXwLK4T5cYVHjfq9NYB9FaaJXsiQTgv20PRHNdZkicMMJzlQ5w</v>
      </c>
      <c r="D476" s="4" t="str">
        <f ca="1">IFERROR(__xludf.DUMMYFUNCTION("""COMPUTED_VALUE"""),"Chứng chỉ Kiểm toán viên")</f>
        <v>Chứng chỉ Kiểm toán viên</v>
      </c>
    </row>
    <row r="477" spans="1:4" x14ac:dyDescent="0.25">
      <c r="A477" s="4" t="str">
        <f ca="1">IFERROR(__xludf.DUMMYFUNCTION("""COMPUTED_VALUE"""),"2_ABaOnufU7sFjWvsipRjkIkVZZipYV2JT-0ZPtRGpTRXB8_0fWsGET_q0sr9LCXeKHQ")</f>
        <v>2_ABaOnufU7sFjWvsipRjkIkVZZipYV2JT-0ZPtRGpTRXB8_0fWsGET_q0sr9LCXeKHQ</v>
      </c>
      <c r="B477" s="4" t="str">
        <f ca="1">IFERROR(__xludf.DUMMYFUNCTION("""COMPUTED_VALUE"""),"Sau đại học")</f>
        <v>Sau đại học</v>
      </c>
      <c r="C477" s="4" t="str">
        <f ca="1">IFERROR(__xludf.DUMMYFUNCTION("""COMPUTED_VALUE"""),"2_ABaOnudDPU_ZXVCLOt_cKMNL_Q2-CJFKS2ISd8IqMqYaC3l7uzwVhI5yQ6YQb4aYUQ")</f>
        <v>2_ABaOnudDPU_ZXVCLOt_cKMNL_Q2-CJFKS2ISd8IqMqYaC3l7uzwVhI5yQ6YQb4aYUQ</v>
      </c>
      <c r="D477" s="4" t="str">
        <f ca="1">IFERROR(__xludf.DUMMYFUNCTION("""COMPUTED_VALUE"""),"Đại học")</f>
        <v>Đại học</v>
      </c>
    </row>
    <row r="478" spans="1:4" x14ac:dyDescent="0.25">
      <c r="A478" s="4" t="str">
        <f ca="1">IFERROR(__xludf.DUMMYFUNCTION("""COMPUTED_VALUE"""),"2_ABaOnuf8bPxcIFhpCv8tZSNk-h3C0lpT1TqooginyE2ic51pswMtG4VpDEnyqj-Odw")</f>
        <v>2_ABaOnuf8bPxcIFhpCv8tZSNk-h3C0lpT1TqooginyE2ic51pswMtG4VpDEnyqj-Odw</v>
      </c>
      <c r="B478" s="4" t="str">
        <f ca="1">IFERROR(__xludf.DUMMYFUNCTION("""COMPUTED_VALUE"""),"Đại học, Chứng chỉ Kiểm toán viên")</f>
        <v>Đại học, Chứng chỉ Kiểm toán viên</v>
      </c>
      <c r="C478" s="4" t="str">
        <f ca="1">IFERROR(__xludf.DUMMYFUNCTION("""COMPUTED_VALUE"""),"2_ABaOnudDPU_ZXVCLOt_cKMNL_Q2-CJFKS2ISd8IqMqYaC3l7uzwVhI5yQ6YQb4aYUQ")</f>
        <v>2_ABaOnudDPU_ZXVCLOt_cKMNL_Q2-CJFKS2ISd8IqMqYaC3l7uzwVhI5yQ6YQb4aYUQ</v>
      </c>
      <c r="D478" s="4" t="str">
        <f ca="1">IFERROR(__xludf.DUMMYFUNCTION("""COMPUTED_VALUE"""),"Chứng chỉ Kiểm toán viên")</f>
        <v>Chứng chỉ Kiểm toán viên</v>
      </c>
    </row>
    <row r="479" spans="1:4" x14ac:dyDescent="0.25">
      <c r="A479" s="4" t="str">
        <f ca="1">IFERROR(__xludf.DUMMYFUNCTION("""COMPUTED_VALUE"""),"2_ABaOnudjC74wCD-aDa0OYSi450084PeQLsSADHI-HtkSedBEqm1tTq1xakawLlo42w")</f>
        <v>2_ABaOnudjC74wCD-aDa0OYSi450084PeQLsSADHI-HtkSedBEqm1tTq1xakawLlo42w</v>
      </c>
      <c r="B479" s="4" t="str">
        <f ca="1">IFERROR(__xludf.DUMMYFUNCTION("""COMPUTED_VALUE"""),"Đại học")</f>
        <v>Đại học</v>
      </c>
      <c r="C479" s="4" t="str">
        <f ca="1">IFERROR(__xludf.DUMMYFUNCTION("""COMPUTED_VALUE"""),"2_ABaOnucPVco0tds1s-4ahGy9x5Gl2eYIF0GI03VyjHPtsrMoYcUKKS-Coyom3YvwMw")</f>
        <v>2_ABaOnucPVco0tds1s-4ahGy9x5Gl2eYIF0GI03VyjHPtsrMoYcUKKS-Coyom3YvwMw</v>
      </c>
      <c r="D479" s="4" t="str">
        <f ca="1">IFERROR(__xludf.DUMMYFUNCTION("""COMPUTED_VALUE"""),"Đại học")</f>
        <v>Đại học</v>
      </c>
    </row>
    <row r="480" spans="1:4" x14ac:dyDescent="0.25">
      <c r="A480" s="4" t="str">
        <f ca="1">IFERROR(__xludf.DUMMYFUNCTION("""COMPUTED_VALUE"""),"2_ABaOnuf_g-udsFYUm002u-m8Ege-vL8AQi3fsIMSIu3GNg8tk7nUoR5M8xp5GbkiRg")</f>
        <v>2_ABaOnuf_g-udsFYUm002u-m8Ege-vL8AQi3fsIMSIu3GNg8tk7nUoR5M8xp5GbkiRg</v>
      </c>
      <c r="B480" s="4" t="str">
        <f ca="1">IFERROR(__xludf.DUMMYFUNCTION("""COMPUTED_VALUE"""),"Đại học")</f>
        <v>Đại học</v>
      </c>
      <c r="C480" s="4" t="str">
        <f ca="1">IFERROR(__xludf.DUMMYFUNCTION("""COMPUTED_VALUE"""),"2_ABaOnue4lUCc-SKU7ApguLITE3VoNpxgvfFv4XU6WVUT4iEa4roX6aV6wMpl7vlnrw")</f>
        <v>2_ABaOnue4lUCc-SKU7ApguLITE3VoNpxgvfFv4XU6WVUT4iEa4roX6aV6wMpl7vlnrw</v>
      </c>
      <c r="D480" s="4" t="str">
        <f ca="1">IFERROR(__xludf.DUMMYFUNCTION("""COMPUTED_VALUE"""),"Đại học")</f>
        <v>Đại học</v>
      </c>
    </row>
    <row r="481" spans="1:4" x14ac:dyDescent="0.25">
      <c r="A481" s="4" t="str">
        <f ca="1">IFERROR(__xludf.DUMMYFUNCTION("""COMPUTED_VALUE"""),"2_ABaOnudUqMN6almPB8156Vr-p0HhSaneel22vBtTc_NDdoxmbQDdtpCKcOYe2Icpxg")</f>
        <v>2_ABaOnudUqMN6almPB8156Vr-p0HhSaneel22vBtTc_NDdoxmbQDdtpCKcOYe2Icpxg</v>
      </c>
      <c r="B481" s="4" t="str">
        <f ca="1">IFERROR(__xludf.DUMMYFUNCTION("""COMPUTED_VALUE"""),"Đại học, Chứng chỉ Kiểm toán viên")</f>
        <v>Đại học, Chứng chỉ Kiểm toán viên</v>
      </c>
      <c r="C481" s="4" t="str">
        <f ca="1">IFERROR(__xludf.DUMMYFUNCTION("""COMPUTED_VALUE"""),"2_ABaOnueFyqfMj3Wll0KnlMas7fIwxVNNJnDNykGwbxsM_mqs-OR9h-jjPn0uJkpIgA")</f>
        <v>2_ABaOnueFyqfMj3Wll0KnlMas7fIwxVNNJnDNykGwbxsM_mqs-OR9h-jjPn0uJkpIgA</v>
      </c>
      <c r="D481" s="4" t="str">
        <f ca="1">IFERROR(__xludf.DUMMYFUNCTION("""COMPUTED_VALUE"""),"Đại học")</f>
        <v>Đại học</v>
      </c>
    </row>
    <row r="482" spans="1:4" x14ac:dyDescent="0.25">
      <c r="A482" s="4" t="str">
        <f ca="1">IFERROR(__xludf.DUMMYFUNCTION("""COMPUTED_VALUE"""),"2_ABaOnuf5wRqK6oC5rc0v2nm8LCxdQu1KZKxRApIIiH8EC8N54Ei76yQ8fHj4lNiPpg")</f>
        <v>2_ABaOnuf5wRqK6oC5rc0v2nm8LCxdQu1KZKxRApIIiH8EC8N54Ei76yQ8fHj4lNiPpg</v>
      </c>
      <c r="B482" s="4" t="str">
        <f ca="1">IFERROR(__xludf.DUMMYFUNCTION("""COMPUTED_VALUE"""),"Đại học")</f>
        <v>Đại học</v>
      </c>
      <c r="C482" s="4" t="str">
        <f ca="1">IFERROR(__xludf.DUMMYFUNCTION("""COMPUTED_VALUE"""),"2_ABaOnucMgKw54L21THfrUb4MDt6d7QjyJ_iNiOoq_-fjEgA2ovBfe6xHte4AosUoHA")</f>
        <v>2_ABaOnucMgKw54L21THfrUb4MDt6d7QjyJ_iNiOoq_-fjEgA2ovBfe6xHte4AosUoHA</v>
      </c>
      <c r="D482" s="4" t="str">
        <f ca="1">IFERROR(__xludf.DUMMYFUNCTION("""COMPUTED_VALUE"""),"Đại học")</f>
        <v>Đại học</v>
      </c>
    </row>
    <row r="483" spans="1:4" x14ac:dyDescent="0.25">
      <c r="A483" s="4" t="str">
        <f ca="1">IFERROR(__xludf.DUMMYFUNCTION("""COMPUTED_VALUE"""),"2_ABaOnucYh3l8pE1C--7rOk3I965tSC6rNOpFN1mv-lc1Q0rID4synoj2Lh3CqEujHA")</f>
        <v>2_ABaOnucYh3l8pE1C--7rOk3I965tSC6rNOpFN1mv-lc1Q0rID4synoj2Lh3CqEujHA</v>
      </c>
      <c r="B483" s="4" t="str">
        <f ca="1">IFERROR(__xludf.DUMMYFUNCTION("""COMPUTED_VALUE"""),"Đại học")</f>
        <v>Đại học</v>
      </c>
      <c r="C483" s="4" t="str">
        <f ca="1">IFERROR(__xludf.DUMMYFUNCTION("""COMPUTED_VALUE"""),"2_ABaOnufAUSi9hSkzcMbuQ0nNb9dEFlMIRB7qqWRregRMdgrLA9UbpcyXbNdOV3vOjg")</f>
        <v>2_ABaOnufAUSi9hSkzcMbuQ0nNb9dEFlMIRB7qqWRregRMdgrLA9UbpcyXbNdOV3vOjg</v>
      </c>
      <c r="D483" s="4" t="str">
        <f ca="1">IFERROR(__xludf.DUMMYFUNCTION("""COMPUTED_VALUE"""),"Đại học")</f>
        <v>Đại học</v>
      </c>
    </row>
    <row r="484" spans="1:4" x14ac:dyDescent="0.25">
      <c r="A484" s="4" t="str">
        <f ca="1">IFERROR(__xludf.DUMMYFUNCTION("""COMPUTED_VALUE"""),"2_ABaOnudn-HrR9yQBjYdZl4hFIu0M66LZDgEATxaZMOieMj9_bxtrvKoL-Mf53J9E3A")</f>
        <v>2_ABaOnudn-HrR9yQBjYdZl4hFIu0M66LZDgEATxaZMOieMj9_bxtrvKoL-Mf53J9E3A</v>
      </c>
      <c r="B484" s="4" t="str">
        <f ca="1">IFERROR(__xludf.DUMMYFUNCTION("""COMPUTED_VALUE"""),"Đại học")</f>
        <v>Đại học</v>
      </c>
      <c r="C484" s="4" t="str">
        <f ca="1">IFERROR(__xludf.DUMMYFUNCTION("""COMPUTED_VALUE"""),"2_ABaOnufFqJ5m4pf7Jd0KD4DvulUTkM_ZXHvrzsZwHo0R543W7rA1Q5JMoTlKBwo96A")</f>
        <v>2_ABaOnufFqJ5m4pf7Jd0KD4DvulUTkM_ZXHvrzsZwHo0R543W7rA1Q5JMoTlKBwo96A</v>
      </c>
      <c r="D484" s="4" t="str">
        <f ca="1">IFERROR(__xludf.DUMMYFUNCTION("""COMPUTED_VALUE"""),"Đại học")</f>
        <v>Đại học</v>
      </c>
    </row>
    <row r="485" spans="1:4" x14ac:dyDescent="0.25">
      <c r="A485" s="4" t="str">
        <f ca="1">IFERROR(__xludf.DUMMYFUNCTION("""COMPUTED_VALUE"""),"2_ABaOnue98bKsNQSXkGDd4w9ydCBVzJelpDEZSXPF-gkih5nz2ob8GrOm7ggzb-Zggg")</f>
        <v>2_ABaOnue98bKsNQSXkGDd4w9ydCBVzJelpDEZSXPF-gkih5nz2ob8GrOm7ggzb-Zggg</v>
      </c>
      <c r="B485" s="4" t="str">
        <f ca="1">IFERROR(__xludf.DUMMYFUNCTION("""COMPUTED_VALUE"""),"Đại học")</f>
        <v>Đại học</v>
      </c>
      <c r="C485" s="4" t="str">
        <f ca="1">IFERROR(__xludf.DUMMYFUNCTION("""COMPUTED_VALUE"""),"2_ABaOnufE2VmLsCRbL1rU-YkhC-3Q3mPMVIsH3kSYNvvNo4FVUcTFFvJhSFtBevfJww")</f>
        <v>2_ABaOnufE2VmLsCRbL1rU-YkhC-3Q3mPMVIsH3kSYNvvNo4FVUcTFFvJhSFtBevfJww</v>
      </c>
      <c r="D485" s="4" t="str">
        <f ca="1">IFERROR(__xludf.DUMMYFUNCTION("""COMPUTED_VALUE"""),"Đại học")</f>
        <v>Đại học</v>
      </c>
    </row>
    <row r="486" spans="1:4" x14ac:dyDescent="0.25">
      <c r="A486" s="4" t="str">
        <f ca="1">IFERROR(__xludf.DUMMYFUNCTION("""COMPUTED_VALUE"""),"2_ABaOnudn_dWnZTlPIJ-VrMWrjLtr69DvG3wAeuOO_Llr632I3QMc6Gearp60vDg2kw")</f>
        <v>2_ABaOnudn_dWnZTlPIJ-VrMWrjLtr69DvG3wAeuOO_Llr632I3QMc6Gearp60vDg2kw</v>
      </c>
      <c r="B486" s="4" t="str">
        <f ca="1">IFERROR(__xludf.DUMMYFUNCTION("""COMPUTED_VALUE"""),"Đại học")</f>
        <v>Đại học</v>
      </c>
      <c r="C486" s="4" t="str">
        <f ca="1">IFERROR(__xludf.DUMMYFUNCTION("""COMPUTED_VALUE"""),"2_ABaOnueDypGDWrHutsW06OqZvqb19x1KQ3Qd5qZrCYoEfec6gjXFuIoZWOqejQ24UQ")</f>
        <v>2_ABaOnueDypGDWrHutsW06OqZvqb19x1KQ3Qd5qZrCYoEfec6gjXFuIoZWOqejQ24UQ</v>
      </c>
      <c r="D486" s="4" t="str">
        <f ca="1">IFERROR(__xludf.DUMMYFUNCTION("""COMPUTED_VALUE"""),"Đại học")</f>
        <v>Đại học</v>
      </c>
    </row>
    <row r="487" spans="1:4" x14ac:dyDescent="0.25">
      <c r="A487" s="4" t="str">
        <f ca="1">IFERROR(__xludf.DUMMYFUNCTION("""COMPUTED_VALUE"""),"2_ABaOnud_kLicEz72ziEpYCk038TqHwYdjuxjXF8Q_inJ659k65x3dHKZEEYjYbeJ8Q")</f>
        <v>2_ABaOnud_kLicEz72ziEpYCk038TqHwYdjuxjXF8Q_inJ659k65x3dHKZEEYjYbeJ8Q</v>
      </c>
      <c r="B487" s="4" t="str">
        <f ca="1">IFERROR(__xludf.DUMMYFUNCTION("""COMPUTED_VALUE"""),"Đại học, Chứng chỉ Kiểm toán viên")</f>
        <v>Đại học, Chứng chỉ Kiểm toán viên</v>
      </c>
      <c r="C487" s="4" t="str">
        <f ca="1">IFERROR(__xludf.DUMMYFUNCTION("""COMPUTED_VALUE"""),"2_ABaOnufX357BkiS16G9tRQpMtlYED2Z_4wzqb226alUrjtghCUwMFyJliMj-304OLg")</f>
        <v>2_ABaOnufX357BkiS16G9tRQpMtlYED2Z_4wzqb226alUrjtghCUwMFyJliMj-304OLg</v>
      </c>
      <c r="D487" s="4" t="str">
        <f ca="1">IFERROR(__xludf.DUMMYFUNCTION("""COMPUTED_VALUE"""),"Đại học")</f>
        <v>Đại học</v>
      </c>
    </row>
    <row r="488" spans="1:4" x14ac:dyDescent="0.25">
      <c r="A488" s="4" t="str">
        <f ca="1">IFERROR(__xludf.DUMMYFUNCTION("""COMPUTED_VALUE"""),"2_ABaOnuf6CuCMhcweqAE8IMbAfXaHJ6Z-rl6YW4p1zfQsLlGeOi-6Eo6-hM-FIYXKkA")</f>
        <v>2_ABaOnuf6CuCMhcweqAE8IMbAfXaHJ6Z-rl6YW4p1zfQsLlGeOi-6Eo6-hM-FIYXKkA</v>
      </c>
      <c r="B488" s="4" t="str">
        <f ca="1">IFERROR(__xludf.DUMMYFUNCTION("""COMPUTED_VALUE"""),"Đại học, Chứng chỉ Kiểm toán viên")</f>
        <v>Đại học, Chứng chỉ Kiểm toán viên</v>
      </c>
      <c r="C488" s="4" t="str">
        <f ca="1">IFERROR(__xludf.DUMMYFUNCTION("""COMPUTED_VALUE"""),"2_ABaOnudoK_H8JtG-4Er3CreW9XzlzA02gch3IragytjjURgnTxrZaEUpY3phk8dOvg")</f>
        <v>2_ABaOnudoK_H8JtG-4Er3CreW9XzlzA02gch3IragytjjURgnTxrZaEUpY3phk8dOvg</v>
      </c>
      <c r="D488" s="4" t="str">
        <f ca="1">IFERROR(__xludf.DUMMYFUNCTION("""COMPUTED_VALUE"""),"Sau đại học")</f>
        <v>Sau đại học</v>
      </c>
    </row>
    <row r="489" spans="1:4" x14ac:dyDescent="0.25">
      <c r="A489" s="4" t="str">
        <f ca="1">IFERROR(__xludf.DUMMYFUNCTION("""COMPUTED_VALUE"""),"2_ABaOnuf13TgQh_Nwkq34e0p4ClukSdURs-l9JDmkzf_Q0UUvXblC3F_aiwqzog2-XQ")</f>
        <v>2_ABaOnuf13TgQh_Nwkq34e0p4ClukSdURs-l9JDmkzf_Q0UUvXblC3F_aiwqzog2-XQ</v>
      </c>
      <c r="B489" s="4" t="str">
        <f ca="1">IFERROR(__xludf.DUMMYFUNCTION("""COMPUTED_VALUE"""),"Đại học")</f>
        <v>Đại học</v>
      </c>
      <c r="C489" s="4" t="str">
        <f ca="1">IFERROR(__xludf.DUMMYFUNCTION("""COMPUTED_VALUE"""),"2_ABaOnudoC9R42iHKecmHBD6xvdex1YndsYFx8qYtUpZocWTGzLHGd2rwKBlEWlJi0w")</f>
        <v>2_ABaOnudoC9R42iHKecmHBD6xvdex1YndsYFx8qYtUpZocWTGzLHGd2rwKBlEWlJi0w</v>
      </c>
      <c r="D489" s="4" t="str">
        <f ca="1">IFERROR(__xludf.DUMMYFUNCTION("""COMPUTED_VALUE"""),"Đại học")</f>
        <v>Đại học</v>
      </c>
    </row>
    <row r="490" spans="1:4" x14ac:dyDescent="0.25">
      <c r="A490" s="4" t="str">
        <f ca="1">IFERROR(__xludf.DUMMYFUNCTION("""COMPUTED_VALUE"""),"2_ABaOnueqXSLTBJfE1JmzEQBWnh517cpkvkxgfdvMq0oQG57JLWoeJaKxo0SW6AIXsQ")</f>
        <v>2_ABaOnueqXSLTBJfE1JmzEQBWnh517cpkvkxgfdvMq0oQG57JLWoeJaKxo0SW6AIXsQ</v>
      </c>
      <c r="B490" s="4" t="str">
        <f ca="1">IFERROR(__xludf.DUMMYFUNCTION("""COMPUTED_VALUE"""),"Đại học, Chứng chỉ Kiểm toán viên")</f>
        <v>Đại học, Chứng chỉ Kiểm toán viên</v>
      </c>
      <c r="C490" s="4" t="str">
        <f ca="1">IFERROR(__xludf.DUMMYFUNCTION("""COMPUTED_VALUE"""),"2_ABaOnudoC9R42iHKecmHBD6xvdex1YndsYFx8qYtUpZocWTGzLHGd2rwKBlEWlJi0w")</f>
        <v>2_ABaOnudoC9R42iHKecmHBD6xvdex1YndsYFx8qYtUpZocWTGzLHGd2rwKBlEWlJi0w</v>
      </c>
      <c r="D490" s="4" t="str">
        <f ca="1">IFERROR(__xludf.DUMMYFUNCTION("""COMPUTED_VALUE"""),"Chứng chỉ Kiểm toán viên")</f>
        <v>Chứng chỉ Kiểm toán viên</v>
      </c>
    </row>
    <row r="491" spans="1:4" x14ac:dyDescent="0.25">
      <c r="A491" s="4" t="str">
        <f ca="1">IFERROR(__xludf.DUMMYFUNCTION("""COMPUTED_VALUE"""),"2_ABaOnueYUtcgBS0PRx1DJ9HckuBkP63T6227XoSoT9FJb0mI7ELULWom9sGcAec_Vw")</f>
        <v>2_ABaOnueYUtcgBS0PRx1DJ9HckuBkP63T6227XoSoT9FJb0mI7ELULWom9sGcAec_Vw</v>
      </c>
      <c r="B491" s="4" t="str">
        <f ca="1">IFERROR(__xludf.DUMMYFUNCTION("""COMPUTED_VALUE"""),"Sau đại học")</f>
        <v>Sau đại học</v>
      </c>
      <c r="C491" s="4" t="str">
        <f ca="1">IFERROR(__xludf.DUMMYFUNCTION("""COMPUTED_VALUE"""),"2_ABaOnuek74IvFzkpRkAdk4WMZxAviIcUxwa30GmrPSDAoXjCYQdy2BXVsLRcn-ZMgQ")</f>
        <v>2_ABaOnuek74IvFzkpRkAdk4WMZxAviIcUxwa30GmrPSDAoXjCYQdy2BXVsLRcn-ZMgQ</v>
      </c>
      <c r="D491" s="4" t="str">
        <f ca="1">IFERROR(__xludf.DUMMYFUNCTION("""COMPUTED_VALUE"""),"Chứng chỉ Kiểm toán viên")</f>
        <v>Chứng chỉ Kiểm toán viên</v>
      </c>
    </row>
    <row r="492" spans="1:4" x14ac:dyDescent="0.25">
      <c r="A492" s="4" t="str">
        <f ca="1">IFERROR(__xludf.DUMMYFUNCTION("""COMPUTED_VALUE"""),"2_ABaOnuckqrd4Wv1tlE-a1kSWO2k8b6o9ArAJyiAOSbzuNRR65NoSXWmsD5wviwjN4g")</f>
        <v>2_ABaOnuckqrd4Wv1tlE-a1kSWO2k8b6o9ArAJyiAOSbzuNRR65NoSXWmsD5wviwjN4g</v>
      </c>
      <c r="B492" s="4" t="str">
        <f ca="1">IFERROR(__xludf.DUMMYFUNCTION("""COMPUTED_VALUE"""),"Đại học")</f>
        <v>Đại học</v>
      </c>
      <c r="C492" s="4" t="str">
        <f ca="1">IFERROR(__xludf.DUMMYFUNCTION("""COMPUTED_VALUE"""),"2_ABaOnuclt8Nv5IuYDVfx3o5fI2MlZv7JWKUUKbLt-A6083uLDPlKDw1-rTCuBUaTmA")</f>
        <v>2_ABaOnuclt8Nv5IuYDVfx3o5fI2MlZv7JWKUUKbLt-A6083uLDPlKDw1-rTCuBUaTmA</v>
      </c>
      <c r="D492" s="4" t="str">
        <f ca="1">IFERROR(__xludf.DUMMYFUNCTION("""COMPUTED_VALUE"""),"Đại học")</f>
        <v>Đại học</v>
      </c>
    </row>
    <row r="493" spans="1:4" x14ac:dyDescent="0.25">
      <c r="A493" s="4" t="str">
        <f ca="1">IFERROR(__xludf.DUMMYFUNCTION("""COMPUTED_VALUE"""),"2_ABaOnueS4zy-taODEG7tTip6Iq7-1nR6co0id-5NIMShbiCUJpPF6pnE0Y5phX14-g")</f>
        <v>2_ABaOnueS4zy-taODEG7tTip6Iq7-1nR6co0id-5NIMShbiCUJpPF6pnE0Y5phX14-g</v>
      </c>
      <c r="B493" s="4" t="str">
        <f ca="1">IFERROR(__xludf.DUMMYFUNCTION("""COMPUTED_VALUE"""),"Đại học")</f>
        <v>Đại học</v>
      </c>
      <c r="C493" s="4" t="str">
        <f ca="1">IFERROR(__xludf.DUMMYFUNCTION("""COMPUTED_VALUE"""),"2_ABaOnud7_JNrqISxbZ5Zd-gXYgJJljD8q9HmAdko7XgiefrELoshj3QrHTvJP1IRnA")</f>
        <v>2_ABaOnud7_JNrqISxbZ5Zd-gXYgJJljD8q9HmAdko7XgiefrELoshj3QrHTvJP1IRnA</v>
      </c>
      <c r="D493" s="4" t="str">
        <f ca="1">IFERROR(__xludf.DUMMYFUNCTION("""COMPUTED_VALUE"""),"Chứng chỉ Kiểm toán viên")</f>
        <v>Chứng chỉ Kiểm toán viên</v>
      </c>
    </row>
    <row r="494" spans="1:4" x14ac:dyDescent="0.25">
      <c r="A494" s="4" t="str">
        <f ca="1">IFERROR(__xludf.DUMMYFUNCTION("""COMPUTED_VALUE"""),"2_ABaOnudeqtNYw6KIkFXb3lEz1QudLyvL9JODI4oE_eoef0At1sN2ZTsUvL7SuSdZWQ")</f>
        <v>2_ABaOnudeqtNYw6KIkFXb3lEz1QudLyvL9JODI4oE_eoef0At1sN2ZTsUvL7SuSdZWQ</v>
      </c>
      <c r="B494" s="4" t="str">
        <f ca="1">IFERROR(__xludf.DUMMYFUNCTION("""COMPUTED_VALUE"""),"Chứng chỉ Kiểm toán viên")</f>
        <v>Chứng chỉ Kiểm toán viên</v>
      </c>
      <c r="C494" s="4" t="str">
        <f ca="1">IFERROR(__xludf.DUMMYFUNCTION("""COMPUTED_VALUE"""),"2_ABaOnudtetm6WAgp2qqGmb57dVgAU4zxGUBxGNioQ9ET0-f-7ojTfneBy5VIXP3-RQ")</f>
        <v>2_ABaOnudtetm6WAgp2qqGmb57dVgAU4zxGUBxGNioQ9ET0-f-7ojTfneBy5VIXP3-RQ</v>
      </c>
      <c r="D494" s="4" t="str">
        <f ca="1">IFERROR(__xludf.DUMMYFUNCTION("""COMPUTED_VALUE"""),"Đại học")</f>
        <v>Đại học</v>
      </c>
    </row>
    <row r="495" spans="1:4" x14ac:dyDescent="0.25">
      <c r="A495" s="4" t="str">
        <f ca="1">IFERROR(__xludf.DUMMYFUNCTION("""COMPUTED_VALUE"""),"2_ABaOnudZTYAXLv9QOgvar0G6YbfA-MQQvG_rBipk0Th75t1dyQq-qGXSF8P8tc9aGA")</f>
        <v>2_ABaOnudZTYAXLv9QOgvar0G6YbfA-MQQvG_rBipk0Th75t1dyQq-qGXSF8P8tc9aGA</v>
      </c>
      <c r="B495" s="4" t="str">
        <f ca="1">IFERROR(__xludf.DUMMYFUNCTION("""COMPUTED_VALUE"""),"Đại học, Chứng chỉ Kiểm toán viên")</f>
        <v>Đại học, Chứng chỉ Kiểm toán viên</v>
      </c>
      <c r="C495" s="4" t="str">
        <f ca="1">IFERROR(__xludf.DUMMYFUNCTION("""COMPUTED_VALUE"""),"2_ABaOnudYJjOJzveRwnZBVEn7MJysQSfba9Shxqnod0l8XgV3Cqoqr7mk26ptwrLaTA")</f>
        <v>2_ABaOnudYJjOJzveRwnZBVEn7MJysQSfba9Shxqnod0l8XgV3Cqoqr7mk26ptwrLaTA</v>
      </c>
      <c r="D495" s="4" t="str">
        <f ca="1">IFERROR(__xludf.DUMMYFUNCTION("""COMPUTED_VALUE"""),"Đại học")</f>
        <v>Đại học</v>
      </c>
    </row>
    <row r="496" spans="1:4" x14ac:dyDescent="0.25">
      <c r="A496" s="4" t="str">
        <f ca="1">IFERROR(__xludf.DUMMYFUNCTION("""COMPUTED_VALUE"""),"2_ABaOnue-AnDlbZvX6V7uRBLZ2u9BMoLgnvpR10_ias5trm9A7mO5ChGktySoFfArjw")</f>
        <v>2_ABaOnue-AnDlbZvX6V7uRBLZ2u9BMoLgnvpR10_ias5trm9A7mO5ChGktySoFfArjw</v>
      </c>
      <c r="B496" s="4" t="str">
        <f ca="1">IFERROR(__xludf.DUMMYFUNCTION("""COMPUTED_VALUE"""),"Đại học, Chứng chỉ Kiểm toán viên")</f>
        <v>Đại học, Chứng chỉ Kiểm toán viên</v>
      </c>
      <c r="C496" s="4" t="str">
        <f ca="1">IFERROR(__xludf.DUMMYFUNCTION("""COMPUTED_VALUE"""),"2_ABaOnueyDYixaLOYemKFne1WBgGqlRSdblGJXcf4LiocZ4MwKYIICbimrI44U8FNZQ")</f>
        <v>2_ABaOnueyDYixaLOYemKFne1WBgGqlRSdblGJXcf4LiocZ4MwKYIICbimrI44U8FNZQ</v>
      </c>
      <c r="D496" s="4" t="str">
        <f ca="1">IFERROR(__xludf.DUMMYFUNCTION("""COMPUTED_VALUE"""),"Đại học")</f>
        <v>Đại học</v>
      </c>
    </row>
    <row r="497" spans="1:4" x14ac:dyDescent="0.25">
      <c r="A497" s="4" t="str">
        <f ca="1">IFERROR(__xludf.DUMMYFUNCTION("""COMPUTED_VALUE"""),"2_ABaOnuewTbfxSxsb_rHfmQufzlus4Tbn0CGN2Dv4fWph8wPAe2hixbuZlECUnemYCw")</f>
        <v>2_ABaOnuewTbfxSxsb_rHfmQufzlus4Tbn0CGN2Dv4fWph8wPAe2hixbuZlECUnemYCw</v>
      </c>
      <c r="B497" s="4" t="str">
        <f ca="1">IFERROR(__xludf.DUMMYFUNCTION("""COMPUTED_VALUE"""),"Đại học, Chứng chỉ Kiểm toán viên")</f>
        <v>Đại học, Chứng chỉ Kiểm toán viên</v>
      </c>
      <c r="C497" s="4" t="str">
        <f ca="1">IFERROR(__xludf.DUMMYFUNCTION("""COMPUTED_VALUE"""),"2_ABaOnufmCMo2zDjK41YPf0KsBUlA9DU6XEp7NMIDVPDt3oI5vIVZ_OR4qVthmf3Ypg")</f>
        <v>2_ABaOnufmCMo2zDjK41YPf0KsBUlA9DU6XEp7NMIDVPDt3oI5vIVZ_OR4qVthmf3Ypg</v>
      </c>
      <c r="D497" s="4" t="str">
        <f ca="1">IFERROR(__xludf.DUMMYFUNCTION("""COMPUTED_VALUE"""),"Đại học")</f>
        <v>Đại học</v>
      </c>
    </row>
    <row r="498" spans="1:4" x14ac:dyDescent="0.25">
      <c r="A498" s="4" t="str">
        <f ca="1">IFERROR(__xludf.DUMMYFUNCTION("""COMPUTED_VALUE"""),"2_ABaOnufVFEa0-eUsUF24_stY6OCf9W1XLo8ngtZubGcE3GXMtJK3KXwrQs2Z0J11nA")</f>
        <v>2_ABaOnufVFEa0-eUsUF24_stY6OCf9W1XLo8ngtZubGcE3GXMtJK3KXwrQs2Z0J11nA</v>
      </c>
      <c r="B498" s="4" t="str">
        <f ca="1">IFERROR(__xludf.DUMMYFUNCTION("""COMPUTED_VALUE"""),"Sau đại học, Chứng chỉ Kiểm toán viên")</f>
        <v>Sau đại học, Chứng chỉ Kiểm toán viên</v>
      </c>
      <c r="C498" s="4" t="str">
        <f ca="1">IFERROR(__xludf.DUMMYFUNCTION("""COMPUTED_VALUE"""),"2_ABaOnufmCMo2zDjK41YPf0KsBUlA9DU6XEp7NMIDVPDt3oI5vIVZ_OR4qVthmf3Ypg")</f>
        <v>2_ABaOnufmCMo2zDjK41YPf0KsBUlA9DU6XEp7NMIDVPDt3oI5vIVZ_OR4qVthmf3Ypg</v>
      </c>
      <c r="D498" s="4" t="str">
        <f ca="1">IFERROR(__xludf.DUMMYFUNCTION("""COMPUTED_VALUE"""),"Chứng chỉ Kiểm toán viên")</f>
        <v>Chứng chỉ Kiểm toán viên</v>
      </c>
    </row>
    <row r="499" spans="1:4" x14ac:dyDescent="0.25">
      <c r="A499" s="4" t="str">
        <f ca="1">IFERROR(__xludf.DUMMYFUNCTION("""COMPUTED_VALUE"""),"2_ABaOnufymi_MW_0w3CZR-saaf-E7uRshpGJdwwYDa22eInaLlBaZSdj4Lju1db5THQ")</f>
        <v>2_ABaOnufymi_MW_0w3CZR-saaf-E7uRshpGJdwwYDa22eInaLlBaZSdj4Lju1db5THQ</v>
      </c>
      <c r="B499" s="4" t="str">
        <f ca="1">IFERROR(__xludf.DUMMYFUNCTION("""COMPUTED_VALUE"""),"Sau đại học, Chứng chỉ Kiểm toán viên")</f>
        <v>Sau đại học, Chứng chỉ Kiểm toán viên</v>
      </c>
      <c r="C499" s="4" t="str">
        <f ca="1">IFERROR(__xludf.DUMMYFUNCTION("""COMPUTED_VALUE"""),"2_ABaOnucBr02U_Vd5udq5coz3rWWGfVuX6Asfmdjy34IF3d01xF_iCbn6Q5yT2Sz_SQ")</f>
        <v>2_ABaOnucBr02U_Vd5udq5coz3rWWGfVuX6Asfmdjy34IF3d01xF_iCbn6Q5yT2Sz_SQ</v>
      </c>
      <c r="D499" s="4" t="str">
        <f ca="1">IFERROR(__xludf.DUMMYFUNCTION("""COMPUTED_VALUE"""),"Đại học")</f>
        <v>Đại học</v>
      </c>
    </row>
    <row r="500" spans="1:4" x14ac:dyDescent="0.25">
      <c r="A500" s="4" t="str">
        <f ca="1">IFERROR(__xludf.DUMMYFUNCTION("""COMPUTED_VALUE"""),"2_ABaOnueIbKw1JUPlwfDtE1O8rK9xCbFMv6OAg-lmNlQ83hGGCUijNqUmRIjRGarCVg")</f>
        <v>2_ABaOnueIbKw1JUPlwfDtE1O8rK9xCbFMv6OAg-lmNlQ83hGGCUijNqUmRIjRGarCVg</v>
      </c>
      <c r="B500" s="4" t="str">
        <f ca="1">IFERROR(__xludf.DUMMYFUNCTION("""COMPUTED_VALUE"""),"Đại học, Chứng chỉ Kiểm toán viên")</f>
        <v>Đại học, Chứng chỉ Kiểm toán viên</v>
      </c>
      <c r="C500" s="4" t="str">
        <f ca="1">IFERROR(__xludf.DUMMYFUNCTION("""COMPUTED_VALUE"""),"2_ABaOnucBr02U_Vd5udq5coz3rWWGfVuX6Asfmdjy34IF3d01xF_iCbn6Q5yT2Sz_SQ")</f>
        <v>2_ABaOnucBr02U_Vd5udq5coz3rWWGfVuX6Asfmdjy34IF3d01xF_iCbn6Q5yT2Sz_SQ</v>
      </c>
      <c r="D500" s="4" t="str">
        <f ca="1">IFERROR(__xludf.DUMMYFUNCTION("""COMPUTED_VALUE"""),"Chứng chỉ Kiểm toán viên")</f>
        <v>Chứng chỉ Kiểm toán viên</v>
      </c>
    </row>
    <row r="501" spans="1:4" x14ac:dyDescent="0.25">
      <c r="A501" s="4" t="str">
        <f ca="1">IFERROR(__xludf.DUMMYFUNCTION("""COMPUTED_VALUE"""),"2_ABaOnueOBZ4TJrNcvPpwsQkAhTkMYHpSvAI5929Xa7uuwIFxcMzbpvqXiKwbhAxIlg")</f>
        <v>2_ABaOnueOBZ4TJrNcvPpwsQkAhTkMYHpSvAI5929Xa7uuwIFxcMzbpvqXiKwbhAxIlg</v>
      </c>
      <c r="B501" s="4" t="str">
        <f ca="1">IFERROR(__xludf.DUMMYFUNCTION("""COMPUTED_VALUE"""),"Đại học, Chứng chỉ Kiểm toán viên")</f>
        <v>Đại học, Chứng chỉ Kiểm toán viên</v>
      </c>
      <c r="C501" s="4" t="str">
        <f ca="1">IFERROR(__xludf.DUMMYFUNCTION("""COMPUTED_VALUE"""),"2_ABaOnudJbERJtPcppNeETO8GP15KbdNY4p6v5uqMk1ySBq312cHJzmmHaHuh4QKbjQ")</f>
        <v>2_ABaOnudJbERJtPcppNeETO8GP15KbdNY4p6v5uqMk1ySBq312cHJzmmHaHuh4QKbjQ</v>
      </c>
      <c r="D501" s="4" t="str">
        <f ca="1">IFERROR(__xludf.DUMMYFUNCTION("""COMPUTED_VALUE"""),"Đại học")</f>
        <v>Đại học</v>
      </c>
    </row>
    <row r="502" spans="1:4" x14ac:dyDescent="0.25">
      <c r="A502" s="4" t="str">
        <f ca="1">IFERROR(__xludf.DUMMYFUNCTION("""COMPUTED_VALUE"""),"2_ABaOnuet9ndsnsQNKhLeH9qwNM8ZJ2GelGS9uVkrTTxC4hiXGC_mOuINBRlsPfJwGw")</f>
        <v>2_ABaOnuet9ndsnsQNKhLeH9qwNM8ZJ2GelGS9uVkrTTxC4hiXGC_mOuINBRlsPfJwGw</v>
      </c>
      <c r="B502" s="4" t="str">
        <f ca="1">IFERROR(__xludf.DUMMYFUNCTION("""COMPUTED_VALUE"""),"Đại học")</f>
        <v>Đại học</v>
      </c>
      <c r="C502" s="4" t="str">
        <f ca="1">IFERROR(__xludf.DUMMYFUNCTION("""COMPUTED_VALUE"""),"2_ABaOnucCT-Y3K3NzFiccQYfQ5PhBCw2ebva2tUuq7304nis96ZI9_RXYmJvJFN7SCA")</f>
        <v>2_ABaOnucCT-Y3K3NzFiccQYfQ5PhBCw2ebva2tUuq7304nis96ZI9_RXYmJvJFN7SCA</v>
      </c>
      <c r="D502" s="4" t="str">
        <f ca="1">IFERROR(__xludf.DUMMYFUNCTION("""COMPUTED_VALUE"""),"Đại học")</f>
        <v>Đại học</v>
      </c>
    </row>
    <row r="503" spans="1:4" x14ac:dyDescent="0.25">
      <c r="A503" s="4" t="str">
        <f ca="1">IFERROR(__xludf.DUMMYFUNCTION("""COMPUTED_VALUE"""),"2_ABaOnudlahXWe7PkCCoSHDFke-RzbSTCkGp5irleizVvUK_yn4UrR9hAeXEtIvm0lQ")</f>
        <v>2_ABaOnudlahXWe7PkCCoSHDFke-RzbSTCkGp5irleizVvUK_yn4UrR9hAeXEtIvm0lQ</v>
      </c>
      <c r="B503" s="4" t="str">
        <f ca="1">IFERROR(__xludf.DUMMYFUNCTION("""COMPUTED_VALUE"""),"Đại học")</f>
        <v>Đại học</v>
      </c>
      <c r="C503" s="4" t="str">
        <f ca="1">IFERROR(__xludf.DUMMYFUNCTION("""COMPUTED_VALUE"""),"2_ABaOnufxP9wORSfcThAe0xyAGyBOjdBLAeBfYJzxn14iF23gS5xFmv2eUUVKFH5y0w")</f>
        <v>2_ABaOnufxP9wORSfcThAe0xyAGyBOjdBLAeBfYJzxn14iF23gS5xFmv2eUUVKFH5y0w</v>
      </c>
      <c r="D503" s="4" t="str">
        <f ca="1">IFERROR(__xludf.DUMMYFUNCTION("""COMPUTED_VALUE"""),"Đại học")</f>
        <v>Đại học</v>
      </c>
    </row>
    <row r="504" spans="1:4" x14ac:dyDescent="0.25">
      <c r="A504" s="4" t="str">
        <f ca="1">IFERROR(__xludf.DUMMYFUNCTION("""COMPUTED_VALUE"""),"2_ABaOnuelio088KE_UJSKAHr4XZzn0h-tZ6vrFZv0W3q5YNGC5AjK6BjV1L34NUhwgQ")</f>
        <v>2_ABaOnuelio088KE_UJSKAHr4XZzn0h-tZ6vrFZv0W3q5YNGC5AjK6BjV1L34NUhwgQ</v>
      </c>
      <c r="B504" s="4" t="str">
        <f ca="1">IFERROR(__xludf.DUMMYFUNCTION("""COMPUTED_VALUE"""),"Đại học, Chứng chỉ Kiểm toán viên")</f>
        <v>Đại học, Chứng chỉ Kiểm toán viên</v>
      </c>
      <c r="C504" s="4" t="str">
        <f ca="1">IFERROR(__xludf.DUMMYFUNCTION("""COMPUTED_VALUE"""),"2_ABaOnufsLYnGyDc-avkLmhuMw-pB7ErK6Obi3-fhUef98HtACWqwpRzTXtnam_cgtQ")</f>
        <v>2_ABaOnufsLYnGyDc-avkLmhuMw-pB7ErK6Obi3-fhUef98HtACWqwpRzTXtnam_cgtQ</v>
      </c>
      <c r="D504" s="4" t="str">
        <f ca="1">IFERROR(__xludf.DUMMYFUNCTION("""COMPUTED_VALUE"""),"Đại học")</f>
        <v>Đại học</v>
      </c>
    </row>
    <row r="505" spans="1:4" x14ac:dyDescent="0.25">
      <c r="A505" s="4" t="str">
        <f ca="1">IFERROR(__xludf.DUMMYFUNCTION("""COMPUTED_VALUE"""),"2_ABaOnufpS8oja-YYrfTqCo9jumb-FRaoYDYA_Lw5BpziYH3bXx7jqCsC9eBuYhEYVg")</f>
        <v>2_ABaOnufpS8oja-YYrfTqCo9jumb-FRaoYDYA_Lw5BpziYH3bXx7jqCsC9eBuYhEYVg</v>
      </c>
      <c r="B505" s="4" t="str">
        <f ca="1">IFERROR(__xludf.DUMMYFUNCTION("""COMPUTED_VALUE"""),"Đại học, Chứng chỉ Kiểm toán viên")</f>
        <v>Đại học, Chứng chỉ Kiểm toán viên</v>
      </c>
      <c r="C505" s="4" t="str">
        <f ca="1">IFERROR(__xludf.DUMMYFUNCTION("""COMPUTED_VALUE"""),"2_ABaOnufQrCx3Mdjy8dgmL-9go9_OUcULgi4TJG8VFJ4xjNa0VtraUT9_4ZNlPCGZ9A")</f>
        <v>2_ABaOnufQrCx3Mdjy8dgmL-9go9_OUcULgi4TJG8VFJ4xjNa0VtraUT9_4ZNlPCGZ9A</v>
      </c>
      <c r="D505" s="4" t="str">
        <f ca="1">IFERROR(__xludf.DUMMYFUNCTION("""COMPUTED_VALUE"""),"Đại học")</f>
        <v>Đại học</v>
      </c>
    </row>
    <row r="506" spans="1:4" x14ac:dyDescent="0.25">
      <c r="A506" s="4" t="str">
        <f ca="1">IFERROR(__xludf.DUMMYFUNCTION("""COMPUTED_VALUE"""),"2_ABaOnufKOUCkK6Bg7a63ptOL5IHf0-lylGU1oKkqd6PUWbymBhnRt3xVSseRIItPjw")</f>
        <v>2_ABaOnufKOUCkK6Bg7a63ptOL5IHf0-lylGU1oKkqd6PUWbymBhnRt3xVSseRIItPjw</v>
      </c>
      <c r="B506" s="4" t="str">
        <f ca="1">IFERROR(__xludf.DUMMYFUNCTION("""COMPUTED_VALUE"""),"Đại học, Chứng chỉ Kiểm toán viên")</f>
        <v>Đại học, Chứng chỉ Kiểm toán viên</v>
      </c>
      <c r="C506" s="4" t="str">
        <f ca="1">IFERROR(__xludf.DUMMYFUNCTION("""COMPUTED_VALUE"""),"2_ABaOnufQrCx3Mdjy8dgmL-9go9_OUcULgi4TJG8VFJ4xjNa0VtraUT9_4ZNlPCGZ9A")</f>
        <v>2_ABaOnufQrCx3Mdjy8dgmL-9go9_OUcULgi4TJG8VFJ4xjNa0VtraUT9_4ZNlPCGZ9A</v>
      </c>
      <c r="D506" s="4" t="str">
        <f ca="1">IFERROR(__xludf.DUMMYFUNCTION("""COMPUTED_VALUE"""),"Chứng chỉ Kiểm toán viên")</f>
        <v>Chứng chỉ Kiểm toán viên</v>
      </c>
    </row>
    <row r="507" spans="1:4" x14ac:dyDescent="0.25">
      <c r="A507" s="4" t="str">
        <f ca="1">IFERROR(__xludf.DUMMYFUNCTION("""COMPUTED_VALUE"""),"2_ABaOnud4sNi0FsjFppNCQc-6op_dERgf0vohJ43DeAsXlFbnjSfuVpkeZjz7pBwizw")</f>
        <v>2_ABaOnud4sNi0FsjFppNCQc-6op_dERgf0vohJ43DeAsXlFbnjSfuVpkeZjz7pBwizw</v>
      </c>
      <c r="B507" s="4" t="str">
        <f ca="1">IFERROR(__xludf.DUMMYFUNCTION("""COMPUTED_VALUE"""),"Đại học")</f>
        <v>Đại học</v>
      </c>
      <c r="C507" s="4" t="str">
        <f ca="1">IFERROR(__xludf.DUMMYFUNCTION("""COMPUTED_VALUE"""),"2_ABaOnueKScmk2gGLafZxJ_lstyiZcabWjIMc5JOmWLoeNY1lhnkwPpCymneunfyHUw")</f>
        <v>2_ABaOnueKScmk2gGLafZxJ_lstyiZcabWjIMc5JOmWLoeNY1lhnkwPpCymneunfyHUw</v>
      </c>
      <c r="D507" s="4" t="str">
        <f ca="1">IFERROR(__xludf.DUMMYFUNCTION("""COMPUTED_VALUE"""),"Đại học")</f>
        <v>Đại học</v>
      </c>
    </row>
    <row r="508" spans="1:4" x14ac:dyDescent="0.25">
      <c r="A508" s="4" t="str">
        <f ca="1">IFERROR(__xludf.DUMMYFUNCTION("""COMPUTED_VALUE"""),"2_ABaOnuf4oqG_6MgRdYM6C_S6BDERd-YnPn8UF8l2J3N3IHmxSsqNDYsgsrgXKPF9Qg")</f>
        <v>2_ABaOnuf4oqG_6MgRdYM6C_S6BDERd-YnPn8UF8l2J3N3IHmxSsqNDYsgsrgXKPF9Qg</v>
      </c>
      <c r="B508" s="4" t="str">
        <f ca="1">IFERROR(__xludf.DUMMYFUNCTION("""COMPUTED_VALUE"""),"Đại học")</f>
        <v>Đại học</v>
      </c>
      <c r="C508" s="4" t="str">
        <f ca="1">IFERROR(__xludf.DUMMYFUNCTION("""COMPUTED_VALUE"""),"2_ABaOnueKScmk2gGLafZxJ_lstyiZcabWjIMc5JOmWLoeNY1lhnkwPpCymneunfyHUw")</f>
        <v>2_ABaOnueKScmk2gGLafZxJ_lstyiZcabWjIMc5JOmWLoeNY1lhnkwPpCymneunfyHUw</v>
      </c>
      <c r="D508" s="4" t="str">
        <f ca="1">IFERROR(__xludf.DUMMYFUNCTION("""COMPUTED_VALUE"""),"Chứng chỉ Kiểm toán viên")</f>
        <v>Chứng chỉ Kiểm toán viên</v>
      </c>
    </row>
    <row r="509" spans="1:4" x14ac:dyDescent="0.25">
      <c r="A509" s="4" t="str">
        <f ca="1">IFERROR(__xludf.DUMMYFUNCTION("""COMPUTED_VALUE"""),"2_ABaOnudmNS6v31kI7W66-4XEAhyMF-lGeQx6qN-gqd-F83bAPeQobIDlZTGZvea_FA")</f>
        <v>2_ABaOnudmNS6v31kI7W66-4XEAhyMF-lGeQx6qN-gqd-F83bAPeQobIDlZTGZvea_FA</v>
      </c>
      <c r="B509" s="4" t="str">
        <f ca="1">IFERROR(__xludf.DUMMYFUNCTION("""COMPUTED_VALUE"""),"Đại học")</f>
        <v>Đại học</v>
      </c>
      <c r="C509" s="4" t="str">
        <f ca="1">IFERROR(__xludf.DUMMYFUNCTION("""COMPUTED_VALUE"""),"2_ABaOnufOqWsQGQmxcFW_U-lY3EZ8aAnzFqmsFbbt1GvgJOLcmIbOzmdLEA3DC5B_dA")</f>
        <v>2_ABaOnufOqWsQGQmxcFW_U-lY3EZ8aAnzFqmsFbbt1GvgJOLcmIbOzmdLEA3DC5B_dA</v>
      </c>
      <c r="D509" s="4" t="str">
        <f ca="1">IFERROR(__xludf.DUMMYFUNCTION("""COMPUTED_VALUE"""),"Đại học")</f>
        <v>Đại học</v>
      </c>
    </row>
    <row r="510" spans="1:4" x14ac:dyDescent="0.25">
      <c r="A510" s="4" t="str">
        <f ca="1">IFERROR(__xludf.DUMMYFUNCTION("""COMPUTED_VALUE"""),"2_ABaOnuf91L_vXRkzXTho4mVW9iqHSE-4zpqEUHj_y1BN0TLzmhsLF-PHM3AG9Zgakg")</f>
        <v>2_ABaOnuf91L_vXRkzXTho4mVW9iqHSE-4zpqEUHj_y1BN0TLzmhsLF-PHM3AG9Zgakg</v>
      </c>
      <c r="B510" s="4" t="str">
        <f ca="1">IFERROR(__xludf.DUMMYFUNCTION("""COMPUTED_VALUE"""),"Đại học")</f>
        <v>Đại học</v>
      </c>
      <c r="C510" s="4" t="str">
        <f ca="1">IFERROR(__xludf.DUMMYFUNCTION("""COMPUTED_VALUE"""),"2_ABaOnucG-vCTufKPb8JIEPFemA2A6FXhBGay1c6tPBaFo4NQlhmKTe-2Dq_xYy6fDA")</f>
        <v>2_ABaOnucG-vCTufKPb8JIEPFemA2A6FXhBGay1c6tPBaFo4NQlhmKTe-2Dq_xYy6fDA</v>
      </c>
      <c r="D510" s="4" t="str">
        <f ca="1">IFERROR(__xludf.DUMMYFUNCTION("""COMPUTED_VALUE"""),"Đại học")</f>
        <v>Đại học</v>
      </c>
    </row>
    <row r="511" spans="1:4" x14ac:dyDescent="0.25">
      <c r="A511" s="4" t="str">
        <f ca="1">IFERROR(__xludf.DUMMYFUNCTION("""COMPUTED_VALUE"""),"2_ABaOnudh5f96jFAdQ9Kfq88Fawgxqf1sHt07jKBcEV0-oqeTWMBi60W6O_dmP03NhQ")</f>
        <v>2_ABaOnudh5f96jFAdQ9Kfq88Fawgxqf1sHt07jKBcEV0-oqeTWMBi60W6O_dmP03NhQ</v>
      </c>
      <c r="B511" s="4" t="str">
        <f ca="1">IFERROR(__xludf.DUMMYFUNCTION("""COMPUTED_VALUE"""),"Đại học")</f>
        <v>Đại học</v>
      </c>
      <c r="C511" s="4" t="str">
        <f ca="1">IFERROR(__xludf.DUMMYFUNCTION("""COMPUTED_VALUE"""),"2_ABaOnudDmtmf4rUtjjofWsf4BJEH-dV6tQevU7oEvXDONg1LA_Pmz3x7v-D7gQ3TLg")</f>
        <v>2_ABaOnudDmtmf4rUtjjofWsf4BJEH-dV6tQevU7oEvXDONg1LA_Pmz3x7v-D7gQ3TLg</v>
      </c>
      <c r="D511" s="4" t="str">
        <f ca="1">IFERROR(__xludf.DUMMYFUNCTION("""COMPUTED_VALUE"""),"Đại học")</f>
        <v>Đại học</v>
      </c>
    </row>
    <row r="512" spans="1:4" x14ac:dyDescent="0.25">
      <c r="A512" s="4"/>
      <c r="B512" s="4"/>
      <c r="C512" s="4" t="str">
        <f ca="1">IFERROR(__xludf.DUMMYFUNCTION("""COMPUTED_VALUE"""),"2_ABaOnucPlE4Fo45oRZuFPeCoq-qRnwVMtRFoD7UxONZaIO0a6LbhMZJ4t_GYncHvzA")</f>
        <v>2_ABaOnucPlE4Fo45oRZuFPeCoq-qRnwVMtRFoD7UxONZaIO0a6LbhMZJ4t_GYncHvzA</v>
      </c>
      <c r="D512" s="4" t="str">
        <f ca="1">IFERROR(__xludf.DUMMYFUNCTION("""COMPUTED_VALUE"""),"Chứng chỉ Kiểm toán viên")</f>
        <v>Chứng chỉ Kiểm toán viên</v>
      </c>
    </row>
    <row r="513" spans="1:4" x14ac:dyDescent="0.25">
      <c r="A513" s="4"/>
      <c r="B513" s="4"/>
      <c r="C513" s="4" t="str">
        <f ca="1">IFERROR(__xludf.DUMMYFUNCTION("""COMPUTED_VALUE"""),"2_ABaOnudSljC7v0GY7d6G_ObwKkfbT-Rx7nM0dT7wThxqTcXxRSc-IckjQulmZImPyw")</f>
        <v>2_ABaOnudSljC7v0GY7d6G_ObwKkfbT-Rx7nM0dT7wThxqTcXxRSc-IckjQulmZImPyw</v>
      </c>
      <c r="D513" s="4" t="str">
        <f ca="1">IFERROR(__xludf.DUMMYFUNCTION("""COMPUTED_VALUE"""),"Đại học")</f>
        <v>Đại học</v>
      </c>
    </row>
    <row r="514" spans="1:4" x14ac:dyDescent="0.25">
      <c r="A514" s="4"/>
      <c r="B514" s="4"/>
      <c r="C514" s="4" t="str">
        <f ca="1">IFERROR(__xludf.DUMMYFUNCTION("""COMPUTED_VALUE"""),"2_ABaOnueKUj2W4um7LFpnJSYi5rTuVHXCm7nqdfp_44SQkn0vfxAX_J_6TRQ63V1iXA")</f>
        <v>2_ABaOnueKUj2W4um7LFpnJSYi5rTuVHXCm7nqdfp_44SQkn0vfxAX_J_6TRQ63V1iXA</v>
      </c>
      <c r="D514" s="4" t="str">
        <f ca="1">IFERROR(__xludf.DUMMYFUNCTION("""COMPUTED_VALUE"""),"Đại học")</f>
        <v>Đại học</v>
      </c>
    </row>
    <row r="515" spans="1:4" x14ac:dyDescent="0.25">
      <c r="A515" s="4"/>
      <c r="B515" s="4"/>
      <c r="C515" s="4" t="str">
        <f ca="1">IFERROR(__xludf.DUMMYFUNCTION("""COMPUTED_VALUE"""),"2_ABaOnuejT-sbbTpyUYyOyneuxngX9EzKQF8VeleIzWe1zfheVswm96be_Y3EtpJadA")</f>
        <v>2_ABaOnuejT-sbbTpyUYyOyneuxngX9EzKQF8VeleIzWe1zfheVswm96be_Y3EtpJadA</v>
      </c>
      <c r="D515" s="4" t="str">
        <f ca="1">IFERROR(__xludf.DUMMYFUNCTION("""COMPUTED_VALUE"""),"Đại học")</f>
        <v>Đại học</v>
      </c>
    </row>
    <row r="516" spans="1:4" x14ac:dyDescent="0.25">
      <c r="A516" s="4"/>
      <c r="B516" s="4"/>
      <c r="C516" s="4" t="str">
        <f ca="1">IFERROR(__xludf.DUMMYFUNCTION("""COMPUTED_VALUE"""),"2_ABaOnucsF8AaRSpnBXQLS8xhm_yX5nnBppaPkrVsO440H4lTRLEVFGYEaEkPOJlOcA")</f>
        <v>2_ABaOnucsF8AaRSpnBXQLS8xhm_yX5nnBppaPkrVsO440H4lTRLEVFGYEaEkPOJlOcA</v>
      </c>
      <c r="D516" s="4" t="str">
        <f ca="1">IFERROR(__xludf.DUMMYFUNCTION("""COMPUTED_VALUE"""),"Đại học")</f>
        <v>Đại học</v>
      </c>
    </row>
    <row r="517" spans="1:4" x14ac:dyDescent="0.25">
      <c r="A517" s="4"/>
      <c r="B517" s="4"/>
      <c r="C517" s="4" t="str">
        <f ca="1">IFERROR(__xludf.DUMMYFUNCTION("""COMPUTED_VALUE"""),"2_ABaOnuc9fqoK5aA_mhYFulb-Lf0m-tFeLTNGJz_pUuUNOyEfsi4NdwZVkms7XJ-sxQ")</f>
        <v>2_ABaOnuc9fqoK5aA_mhYFulb-Lf0m-tFeLTNGJz_pUuUNOyEfsi4NdwZVkms7XJ-sxQ</v>
      </c>
      <c r="D517" s="4" t="str">
        <f ca="1">IFERROR(__xludf.DUMMYFUNCTION("""COMPUTED_VALUE"""),"Đại học")</f>
        <v>Đại học</v>
      </c>
    </row>
    <row r="518" spans="1:4" x14ac:dyDescent="0.25">
      <c r="A518" s="4"/>
      <c r="B518" s="4"/>
      <c r="C518" s="4" t="str">
        <f ca="1">IFERROR(__xludf.DUMMYFUNCTION("""COMPUTED_VALUE"""),"2_ABaOnuflDJT1A5lelTO5klJy2FviWhReOpR2LncdFxr0nxpx-whtpbMjgggXxGXd-Q")</f>
        <v>2_ABaOnuflDJT1A5lelTO5klJy2FviWhReOpR2LncdFxr0nxpx-whtpbMjgggXxGXd-Q</v>
      </c>
      <c r="D518" s="4" t="str">
        <f ca="1">IFERROR(__xludf.DUMMYFUNCTION("""COMPUTED_VALUE"""),"Đại học")</f>
        <v>Đại học</v>
      </c>
    </row>
    <row r="519" spans="1:4" x14ac:dyDescent="0.25">
      <c r="A519" s="4"/>
      <c r="B519" s="4"/>
      <c r="C519" s="4" t="str">
        <f ca="1">IFERROR(__xludf.DUMMYFUNCTION("""COMPUTED_VALUE"""),"2_ABaOnudfRzH1B_hh_vPKS7-DGMlvQhrNKu_ngJetMAwDHKVz5G5zaqmGBm7fkXHItg")</f>
        <v>2_ABaOnudfRzH1B_hh_vPKS7-DGMlvQhrNKu_ngJetMAwDHKVz5G5zaqmGBm7fkXHItg</v>
      </c>
      <c r="D519" s="4" t="str">
        <f ca="1">IFERROR(__xludf.DUMMYFUNCTION("""COMPUTED_VALUE"""),"Đại học")</f>
        <v>Đại học</v>
      </c>
    </row>
    <row r="520" spans="1:4" x14ac:dyDescent="0.25">
      <c r="A520" s="4"/>
      <c r="B520" s="4"/>
      <c r="C520" s="4" t="str">
        <f ca="1">IFERROR(__xludf.DUMMYFUNCTION("""COMPUTED_VALUE"""),"2_ABaOnuceQJklTe4WRk_5mq0zhZELLJ5_EdFmAyCpA84BmO8v2Imj6Dc-MnX2jfGYFg")</f>
        <v>2_ABaOnuceQJklTe4WRk_5mq0zhZELLJ5_EdFmAyCpA84BmO8v2Imj6Dc-MnX2jfGYFg</v>
      </c>
      <c r="D520" s="4" t="str">
        <f ca="1">IFERROR(__xludf.DUMMYFUNCTION("""COMPUTED_VALUE"""),"Đại học")</f>
        <v>Đại học</v>
      </c>
    </row>
    <row r="521" spans="1:4" x14ac:dyDescent="0.25">
      <c r="A521" s="4"/>
      <c r="B521" s="4"/>
      <c r="C521" s="4" t="str">
        <f ca="1">IFERROR(__xludf.DUMMYFUNCTION("""COMPUTED_VALUE"""),"2_ABaOnufNXe_9JWsoIU0b36zyuxdwqQVYmyasMk7i7qKeg6jjLp7_B--D39rsuQIeVQ")</f>
        <v>2_ABaOnufNXe_9JWsoIU0b36zyuxdwqQVYmyasMk7i7qKeg6jjLp7_B--D39rsuQIeVQ</v>
      </c>
      <c r="D521" s="4" t="str">
        <f ca="1">IFERROR(__xludf.DUMMYFUNCTION("""COMPUTED_VALUE"""),"Đại học")</f>
        <v>Đại học</v>
      </c>
    </row>
    <row r="522" spans="1:4" x14ac:dyDescent="0.25">
      <c r="A522" s="4"/>
      <c r="B522" s="4"/>
      <c r="C522" s="4" t="str">
        <f ca="1">IFERROR(__xludf.DUMMYFUNCTION("""COMPUTED_VALUE"""),"2_ABaOnucYGgw_UizGiE2nLZzrADEX-PxWXQdCcA5-SkNyfwi3HSntog1Nbk4l71h8bg")</f>
        <v>2_ABaOnucYGgw_UizGiE2nLZzrADEX-PxWXQdCcA5-SkNyfwi3HSntog1Nbk4l71h8bg</v>
      </c>
      <c r="D522" s="4" t="str">
        <f ca="1">IFERROR(__xludf.DUMMYFUNCTION("""COMPUTED_VALUE"""),"Đại học")</f>
        <v>Đại học</v>
      </c>
    </row>
    <row r="523" spans="1:4" x14ac:dyDescent="0.25">
      <c r="A523" s="4"/>
      <c r="B523" s="4"/>
      <c r="C523" s="4" t="str">
        <f ca="1">IFERROR(__xludf.DUMMYFUNCTION("""COMPUTED_VALUE"""),"2_ABaOnuf2jlIDXBMKMH-8brXWU65TiexmEd640HCrVy3Rn6mk6D-cWaS26e_ASrD-Kw")</f>
        <v>2_ABaOnuf2jlIDXBMKMH-8brXWU65TiexmEd640HCrVy3Rn6mk6D-cWaS26e_ASrD-Kw</v>
      </c>
      <c r="D523" s="4" t="str">
        <f ca="1">IFERROR(__xludf.DUMMYFUNCTION("""COMPUTED_VALUE"""),"Sau đại học")</f>
        <v>Sau đại học</v>
      </c>
    </row>
    <row r="524" spans="1:4" x14ac:dyDescent="0.25">
      <c r="A524" s="4"/>
      <c r="B524" s="4"/>
      <c r="C524" s="4" t="str">
        <f ca="1">IFERROR(__xludf.DUMMYFUNCTION("""COMPUTED_VALUE"""),"2_ABaOnufn-XR8XSb799PIHdr-edk_mO8qkV-MN01hWx9-_BaVhPuONqBITfQx-_shjg")</f>
        <v>2_ABaOnufn-XR8XSb799PIHdr-edk_mO8qkV-MN01hWx9-_BaVhPuONqBITfQx-_shjg</v>
      </c>
      <c r="D524" s="4" t="str">
        <f ca="1">IFERROR(__xludf.DUMMYFUNCTION("""COMPUTED_VALUE"""),"Đại học")</f>
        <v>Đại học</v>
      </c>
    </row>
    <row r="525" spans="1:4" x14ac:dyDescent="0.25">
      <c r="A525" s="4"/>
      <c r="B525" s="4"/>
      <c r="C525" s="4" t="str">
        <f ca="1">IFERROR(__xludf.DUMMYFUNCTION("""COMPUTED_VALUE"""),"2_ABaOnueQ-9IMiO_EHTuy6LzSX41RjJOFeh1BK9GUKIZ2KyRfsLQe8TTX6XiGeAc39g")</f>
        <v>2_ABaOnueQ-9IMiO_EHTuy6LzSX41RjJOFeh1BK9GUKIZ2KyRfsLQe8TTX6XiGeAc39g</v>
      </c>
      <c r="D525" s="4" t="str">
        <f ca="1">IFERROR(__xludf.DUMMYFUNCTION("""COMPUTED_VALUE"""),"Đại học")</f>
        <v>Đại học</v>
      </c>
    </row>
    <row r="526" spans="1:4" x14ac:dyDescent="0.25">
      <c r="A526" s="4"/>
      <c r="B526" s="4"/>
      <c r="C526" s="4" t="str">
        <f ca="1">IFERROR(__xludf.DUMMYFUNCTION("""COMPUTED_VALUE"""),"2_ABaOnuc5AbAQRdh-CEmLLicbbVtC9JbXIEqk_1a8iyo7EEFxkBt4R98w36k51gf3yw")</f>
        <v>2_ABaOnuc5AbAQRdh-CEmLLicbbVtC9JbXIEqk_1a8iyo7EEFxkBt4R98w36k51gf3yw</v>
      </c>
      <c r="D526" s="4" t="str">
        <f ca="1">IFERROR(__xludf.DUMMYFUNCTION("""COMPUTED_VALUE"""),"Chứng chỉ Kiểm toán viên")</f>
        <v>Chứng chỉ Kiểm toán viên</v>
      </c>
    </row>
    <row r="527" spans="1:4" x14ac:dyDescent="0.25">
      <c r="A527" s="4"/>
      <c r="B527" s="4"/>
      <c r="C527" s="4" t="str">
        <f ca="1">IFERROR(__xludf.DUMMYFUNCTION("""COMPUTED_VALUE"""),"2_ABaOnucLCnzmBUTFhMMk55iemSEzHomR4dLz7lw2JNzHXPk1tXhMc2UyhyCy_6NdOw")</f>
        <v>2_ABaOnucLCnzmBUTFhMMk55iemSEzHomR4dLz7lw2JNzHXPk1tXhMc2UyhyCy_6NdOw</v>
      </c>
      <c r="D527" s="4" t="str">
        <f ca="1">IFERROR(__xludf.DUMMYFUNCTION("""COMPUTED_VALUE"""),"Sau đại học")</f>
        <v>Sau đại học</v>
      </c>
    </row>
    <row r="528" spans="1:4" x14ac:dyDescent="0.25">
      <c r="A528" s="4"/>
      <c r="B528" s="4"/>
      <c r="C528" s="4" t="str">
        <f ca="1">IFERROR(__xludf.DUMMYFUNCTION("""COMPUTED_VALUE"""),"2_ABaOnucLCnzmBUTFhMMk55iemSEzHomR4dLz7lw2JNzHXPk1tXhMc2UyhyCy_6NdOw")</f>
        <v>2_ABaOnucLCnzmBUTFhMMk55iemSEzHomR4dLz7lw2JNzHXPk1tXhMc2UyhyCy_6NdOw</v>
      </c>
      <c r="D528" s="4" t="str">
        <f ca="1">IFERROR(__xludf.DUMMYFUNCTION("""COMPUTED_VALUE"""),"Chứng chỉ Kiểm toán viên")</f>
        <v>Chứng chỉ Kiểm toán viên</v>
      </c>
    </row>
    <row r="529" spans="1:4" x14ac:dyDescent="0.25">
      <c r="A529" s="4"/>
      <c r="B529" s="4"/>
      <c r="C529" s="4" t="str">
        <f ca="1">IFERROR(__xludf.DUMMYFUNCTION("""COMPUTED_VALUE"""),"2_ABaOnucCLWWkfAZ1dxY4Alqc4hg90zV9B8i6OxISmskr8zprwfp2WyX3tt0WhzQLdA")</f>
        <v>2_ABaOnucCLWWkfAZ1dxY4Alqc4hg90zV9B8i6OxISmskr8zprwfp2WyX3tt0WhzQLdA</v>
      </c>
      <c r="D529" s="4" t="str">
        <f ca="1">IFERROR(__xludf.DUMMYFUNCTION("""COMPUTED_VALUE"""),"Đại học")</f>
        <v>Đại học</v>
      </c>
    </row>
    <row r="530" spans="1:4" x14ac:dyDescent="0.25">
      <c r="A530" s="4"/>
      <c r="B530" s="4"/>
      <c r="C530" s="4" t="str">
        <f ca="1">IFERROR(__xludf.DUMMYFUNCTION("""COMPUTED_VALUE"""),"2_ABaOnufyIxjF_fQIkse1s3ORYRvj0v5MwK2kcLfmJzr3gfh8R_E1mia-9BWU29Afvw")</f>
        <v>2_ABaOnufyIxjF_fQIkse1s3ORYRvj0v5MwK2kcLfmJzr3gfh8R_E1mia-9BWU29Afvw</v>
      </c>
      <c r="D530" s="4" t="str">
        <f ca="1">IFERROR(__xludf.DUMMYFUNCTION("""COMPUTED_VALUE"""),"Đại học")</f>
        <v>Đại học</v>
      </c>
    </row>
    <row r="531" spans="1:4" x14ac:dyDescent="0.25">
      <c r="A531" s="4"/>
      <c r="B531" s="4"/>
      <c r="C531" s="4" t="str">
        <f ca="1">IFERROR(__xludf.DUMMYFUNCTION("""COMPUTED_VALUE"""),"2_ABaOnudL7bJWKnYF_Ilp2ZNtbJjmkYLJpHvYGAf7eY0ftT0uLxN62YQuozwU8pedhQ")</f>
        <v>2_ABaOnudL7bJWKnYF_Ilp2ZNtbJjmkYLJpHvYGAf7eY0ftT0uLxN62YQuozwU8pedhQ</v>
      </c>
      <c r="D531" s="4" t="str">
        <f ca="1">IFERROR(__xludf.DUMMYFUNCTION("""COMPUTED_VALUE"""),"Đại học")</f>
        <v>Đại học</v>
      </c>
    </row>
    <row r="532" spans="1:4" x14ac:dyDescent="0.25">
      <c r="A532" s="4"/>
      <c r="B532" s="4"/>
      <c r="C532" s="4" t="str">
        <f ca="1">IFERROR(__xludf.DUMMYFUNCTION("""COMPUTED_VALUE"""),"2_ABaOnufZgAlxlkXRBKHMZCD2LfcQtMgmjQO6EmZR31BUEvwV16lGm8iuhToF1MG3Ig")</f>
        <v>2_ABaOnufZgAlxlkXRBKHMZCD2LfcQtMgmjQO6EmZR31BUEvwV16lGm8iuhToF1MG3Ig</v>
      </c>
      <c r="D532" s="4" t="str">
        <f ca="1">IFERROR(__xludf.DUMMYFUNCTION("""COMPUTED_VALUE"""),"Đại học")</f>
        <v>Đại học</v>
      </c>
    </row>
    <row r="533" spans="1:4" x14ac:dyDescent="0.25">
      <c r="A533" s="4"/>
      <c r="B533" s="4"/>
      <c r="C533" s="4" t="str">
        <f ca="1">IFERROR(__xludf.DUMMYFUNCTION("""COMPUTED_VALUE"""),"2_ABaOnufBmzV-mn7YcEy4qKRRESuYqw_bq22T-KB5R0CKxo70_UwePpADldBA2ZUkRQ")</f>
        <v>2_ABaOnufBmzV-mn7YcEy4qKRRESuYqw_bq22T-KB5R0CKxo70_UwePpADldBA2ZUkRQ</v>
      </c>
      <c r="D533" s="4" t="str">
        <f ca="1">IFERROR(__xludf.DUMMYFUNCTION("""COMPUTED_VALUE"""),"Đại học")</f>
        <v>Đại học</v>
      </c>
    </row>
    <row r="534" spans="1:4" x14ac:dyDescent="0.25">
      <c r="A534" s="4"/>
      <c r="B534" s="4"/>
      <c r="C534" s="4" t="str">
        <f ca="1">IFERROR(__xludf.DUMMYFUNCTION("""COMPUTED_VALUE"""),"2_ABaOnufSyYPh_N1SwsdnLmdtDK7wQXof1C9_VxQofBbAW5WtucKp_4DcuXQ1g4mDcg")</f>
        <v>2_ABaOnufSyYPh_N1SwsdnLmdtDK7wQXof1C9_VxQofBbAW5WtucKp_4DcuXQ1g4mDcg</v>
      </c>
      <c r="D534" s="4" t="str">
        <f ca="1">IFERROR(__xludf.DUMMYFUNCTION("""COMPUTED_VALUE"""),"Sau đại học")</f>
        <v>Sau đại học</v>
      </c>
    </row>
    <row r="535" spans="1:4" x14ac:dyDescent="0.25">
      <c r="A535" s="4"/>
      <c r="B535" s="4"/>
      <c r="C535" s="4" t="str">
        <f ca="1">IFERROR(__xludf.DUMMYFUNCTION("""COMPUTED_VALUE"""),"2_ABaOnudWN1SN3y7bUfwM83n4sv3K5VH7q4lapd0qOI_RhJLpn8NaU_lL61z54QVdsg")</f>
        <v>2_ABaOnudWN1SN3y7bUfwM83n4sv3K5VH7q4lapd0qOI_RhJLpn8NaU_lL61z54QVdsg</v>
      </c>
      <c r="D535" s="4" t="str">
        <f ca="1">IFERROR(__xludf.DUMMYFUNCTION("""COMPUTED_VALUE"""),"Sau đại học")</f>
        <v>Sau đại học</v>
      </c>
    </row>
    <row r="536" spans="1:4" x14ac:dyDescent="0.25">
      <c r="A536" s="4"/>
      <c r="B536" s="4"/>
      <c r="C536" s="4" t="str">
        <f ca="1">IFERROR(__xludf.DUMMYFUNCTION("""COMPUTED_VALUE"""),"2_ABaOnufuXpeFK9t7_oxCNg34Ctr4HFU7-0uODJREg4OO-GQI-ZbfhcmOmLo-kvscVA")</f>
        <v>2_ABaOnufuXpeFK9t7_oxCNg34Ctr4HFU7-0uODJREg4OO-GQI-ZbfhcmOmLo-kvscVA</v>
      </c>
      <c r="D536" s="4" t="str">
        <f ca="1">IFERROR(__xludf.DUMMYFUNCTION("""COMPUTED_VALUE"""),"Đại học")</f>
        <v>Đại học</v>
      </c>
    </row>
    <row r="537" spans="1:4" x14ac:dyDescent="0.25">
      <c r="A537" s="4"/>
      <c r="B537" s="4"/>
      <c r="C537" s="4" t="str">
        <f ca="1">IFERROR(__xludf.DUMMYFUNCTION("""COMPUTED_VALUE"""),"2_ABaOnufuXpeFK9t7_oxCNg34Ctr4HFU7-0uODJREg4OO-GQI-ZbfhcmOmLo-kvscVA")</f>
        <v>2_ABaOnufuXpeFK9t7_oxCNg34Ctr4HFU7-0uODJREg4OO-GQI-ZbfhcmOmLo-kvscVA</v>
      </c>
      <c r="D537" s="4" t="str">
        <f ca="1">IFERROR(__xludf.DUMMYFUNCTION("""COMPUTED_VALUE"""),"Chứng chỉ Kiểm toán viên")</f>
        <v>Chứng chỉ Kiểm toán viên</v>
      </c>
    </row>
    <row r="538" spans="1:4" x14ac:dyDescent="0.25">
      <c r="A538" s="4"/>
      <c r="B538" s="4"/>
      <c r="C538" s="4" t="str">
        <f ca="1">IFERROR(__xludf.DUMMYFUNCTION("""COMPUTED_VALUE"""),"2_ABaOnudRmOmZjfTau4Jnh_JBiGvsw0UPNztTEldlHSAvjLCGqXHw_9os_wxZNXi9Kg")</f>
        <v>2_ABaOnudRmOmZjfTau4Jnh_JBiGvsw0UPNztTEldlHSAvjLCGqXHw_9os_wxZNXi9Kg</v>
      </c>
      <c r="D538" s="4" t="str">
        <f ca="1">IFERROR(__xludf.DUMMYFUNCTION("""COMPUTED_VALUE"""),"Đại học")</f>
        <v>Đại học</v>
      </c>
    </row>
    <row r="539" spans="1:4" x14ac:dyDescent="0.25">
      <c r="A539" s="4"/>
      <c r="B539" s="4"/>
      <c r="C539" s="4" t="str">
        <f ca="1">IFERROR(__xludf.DUMMYFUNCTION("""COMPUTED_VALUE"""),"2_ABaOnue8hXEU_a_AuGl4l6AiOPpqu1-3M76dyezoDDDy2THQyXkDBmAr1Ik8IEWBSQ")</f>
        <v>2_ABaOnue8hXEU_a_AuGl4l6AiOPpqu1-3M76dyezoDDDy2THQyXkDBmAr1Ik8IEWBSQ</v>
      </c>
      <c r="D539" s="4" t="str">
        <f ca="1">IFERROR(__xludf.DUMMYFUNCTION("""COMPUTED_VALUE"""),"Đại học")</f>
        <v>Đại học</v>
      </c>
    </row>
    <row r="540" spans="1:4" x14ac:dyDescent="0.25">
      <c r="A540" s="4"/>
      <c r="B540" s="4"/>
      <c r="C540" s="4" t="str">
        <f ca="1">IFERROR(__xludf.DUMMYFUNCTION("""COMPUTED_VALUE"""),"2_ABaOnufyiOiS4asgWlB29aHSCPu_ZYRatqFHQzw2SnNryF09PWmea9NOXWPklBoupA")</f>
        <v>2_ABaOnufyiOiS4asgWlB29aHSCPu_ZYRatqFHQzw2SnNryF09PWmea9NOXWPklBoupA</v>
      </c>
      <c r="D540" s="4" t="str">
        <f ca="1">IFERROR(__xludf.DUMMYFUNCTION("""COMPUTED_VALUE"""),"Đại học")</f>
        <v>Đại học</v>
      </c>
    </row>
    <row r="541" spans="1:4" x14ac:dyDescent="0.25">
      <c r="A541" s="4"/>
      <c r="B541" s="4"/>
      <c r="C541" s="4" t="str">
        <f ca="1">IFERROR(__xludf.DUMMYFUNCTION("""COMPUTED_VALUE"""),"2_ABaOnucqdNEnni7-6s9URouV29NA8i3x__qYzZmfk1gXwnjzGJegMqIaXo2Pm9W7Qg")</f>
        <v>2_ABaOnucqdNEnni7-6s9URouV29NA8i3x__qYzZmfk1gXwnjzGJegMqIaXo2Pm9W7Qg</v>
      </c>
      <c r="D541" s="4" t="str">
        <f ca="1">IFERROR(__xludf.DUMMYFUNCTION("""COMPUTED_VALUE"""),"Đại học")</f>
        <v>Đại học</v>
      </c>
    </row>
    <row r="542" spans="1:4" x14ac:dyDescent="0.25">
      <c r="A542" s="4"/>
      <c r="B542" s="4"/>
      <c r="C542" s="4" t="str">
        <f ca="1">IFERROR(__xludf.DUMMYFUNCTION("""COMPUTED_VALUE"""),"2_ABaOnuf8P_qfFKgyGlTXCCnI5RUVuxOJzWOIvxGfbpbPCrO9UURyQQdNqbGrwKxv-A")</f>
        <v>2_ABaOnuf8P_qfFKgyGlTXCCnI5RUVuxOJzWOIvxGfbpbPCrO9UURyQQdNqbGrwKxv-A</v>
      </c>
      <c r="D542" s="4" t="str">
        <f ca="1">IFERROR(__xludf.DUMMYFUNCTION("""COMPUTED_VALUE"""),"Đại học")</f>
        <v>Đại học</v>
      </c>
    </row>
    <row r="543" spans="1:4" x14ac:dyDescent="0.25">
      <c r="A543" s="4"/>
      <c r="B543" s="4"/>
      <c r="C543" s="4" t="str">
        <f ca="1">IFERROR(__xludf.DUMMYFUNCTION("""COMPUTED_VALUE"""),"2_ABaOnuccyZKmZhKVKjHaYT69MdBxb493pnj6fmojFPPtowSp5YQF9ZInOmgrjC4wpg")</f>
        <v>2_ABaOnuccyZKmZhKVKjHaYT69MdBxb493pnj6fmojFPPtowSp5YQF9ZInOmgrjC4wpg</v>
      </c>
      <c r="D543" s="4" t="str">
        <f ca="1">IFERROR(__xludf.DUMMYFUNCTION("""COMPUTED_VALUE"""),"Đại học")</f>
        <v>Đại học</v>
      </c>
    </row>
    <row r="544" spans="1:4" x14ac:dyDescent="0.25">
      <c r="A544" s="4"/>
      <c r="B544" s="4"/>
      <c r="C544" s="4" t="str">
        <f ca="1">IFERROR(__xludf.DUMMYFUNCTION("""COMPUTED_VALUE"""),"2_ABaOnuccyZKmZhKVKjHaYT69MdBxb493pnj6fmojFPPtowSp5YQF9ZInOmgrjC4wpg")</f>
        <v>2_ABaOnuccyZKmZhKVKjHaYT69MdBxb493pnj6fmojFPPtowSp5YQF9ZInOmgrjC4wpg</v>
      </c>
      <c r="D544" s="4" t="str">
        <f ca="1">IFERROR(__xludf.DUMMYFUNCTION("""COMPUTED_VALUE"""),"Chứng chỉ Kiểm toán viên")</f>
        <v>Chứng chỉ Kiểm toán viên</v>
      </c>
    </row>
    <row r="545" spans="1:4" x14ac:dyDescent="0.25">
      <c r="A545" s="4"/>
      <c r="B545" s="4"/>
      <c r="C545" s="4" t="str">
        <f ca="1">IFERROR(__xludf.DUMMYFUNCTION("""COMPUTED_VALUE"""),"2_ABaOnueg37T0BNf0SctjrA1FcopBKURMmt6pL3OsH6x-OCIYt6ogL2sFHHW_BzP_QA")</f>
        <v>2_ABaOnueg37T0BNf0SctjrA1FcopBKURMmt6pL3OsH6x-OCIYt6ogL2sFHHW_BzP_QA</v>
      </c>
      <c r="D545" s="4" t="str">
        <f ca="1">IFERROR(__xludf.DUMMYFUNCTION("""COMPUTED_VALUE"""),"Đại học")</f>
        <v>Đại học</v>
      </c>
    </row>
    <row r="546" spans="1:4" x14ac:dyDescent="0.25">
      <c r="A546" s="4"/>
      <c r="B546" s="4"/>
      <c r="C546" s="4" t="str">
        <f ca="1">IFERROR(__xludf.DUMMYFUNCTION("""COMPUTED_VALUE"""),"2_ABaOnucbcPcNF1dSoLPnr738eUdFrWNykWtceCfv5riG7HIJEYuXbU3Slw1-3KSmLw")</f>
        <v>2_ABaOnucbcPcNF1dSoLPnr738eUdFrWNykWtceCfv5riG7HIJEYuXbU3Slw1-3KSmLw</v>
      </c>
      <c r="D546" s="4" t="str">
        <f ca="1">IFERROR(__xludf.DUMMYFUNCTION("""COMPUTED_VALUE"""),"Đại học")</f>
        <v>Đại học</v>
      </c>
    </row>
    <row r="547" spans="1:4" x14ac:dyDescent="0.25">
      <c r="A547" s="4"/>
      <c r="B547" s="4"/>
      <c r="C547" s="4" t="str">
        <f ca="1">IFERROR(__xludf.DUMMYFUNCTION("""COMPUTED_VALUE"""),"2_ABaOnufAY9hXgQYr8xhvuNf0eSUKYrPdmcfHiwizpErkCpdNQq6g1zN31qoy73xFnw")</f>
        <v>2_ABaOnufAY9hXgQYr8xhvuNf0eSUKYrPdmcfHiwizpErkCpdNQq6g1zN31qoy73xFnw</v>
      </c>
      <c r="D547" s="4" t="str">
        <f ca="1">IFERROR(__xludf.DUMMYFUNCTION("""COMPUTED_VALUE"""),"Sau đại học")</f>
        <v>Sau đại học</v>
      </c>
    </row>
    <row r="548" spans="1:4" x14ac:dyDescent="0.25">
      <c r="A548" s="4"/>
      <c r="B548" s="4"/>
      <c r="C548" s="4" t="str">
        <f ca="1">IFERROR(__xludf.DUMMYFUNCTION("""COMPUTED_VALUE"""),"2_ABaOnufAY9hXgQYr8xhvuNf0eSUKYrPdmcfHiwizpErkCpdNQq6g1zN31qoy73xFnw")</f>
        <v>2_ABaOnufAY9hXgQYr8xhvuNf0eSUKYrPdmcfHiwizpErkCpdNQq6g1zN31qoy73xFnw</v>
      </c>
      <c r="D548" s="4" t="str">
        <f ca="1">IFERROR(__xludf.DUMMYFUNCTION("""COMPUTED_VALUE"""),"Chứng chỉ Kiểm toán viên")</f>
        <v>Chứng chỉ Kiểm toán viên</v>
      </c>
    </row>
    <row r="549" spans="1:4" x14ac:dyDescent="0.25">
      <c r="A549" s="4"/>
      <c r="B549" s="4"/>
      <c r="C549" s="4" t="str">
        <f ca="1">IFERROR(__xludf.DUMMYFUNCTION("""COMPUTED_VALUE"""),"2_ABaOnufpaMypZWNLwUNtrsdG9wOwfX_e8Ryksjqfn_40nq5sUoVBzTH4odYzLMFEPQ")</f>
        <v>2_ABaOnufpaMypZWNLwUNtrsdG9wOwfX_e8Ryksjqfn_40nq5sUoVBzTH4odYzLMFEPQ</v>
      </c>
      <c r="D549" s="4" t="str">
        <f ca="1">IFERROR(__xludf.DUMMYFUNCTION("""COMPUTED_VALUE"""),"Đại học")</f>
        <v>Đại học</v>
      </c>
    </row>
    <row r="550" spans="1:4" x14ac:dyDescent="0.25">
      <c r="A550" s="4"/>
      <c r="B550" s="4"/>
      <c r="C550" s="4" t="str">
        <f ca="1">IFERROR(__xludf.DUMMYFUNCTION("""COMPUTED_VALUE"""),"2_ABaOnufpaMypZWNLwUNtrsdG9wOwfX_e8Ryksjqfn_40nq5sUoVBzTH4odYzLMFEPQ")</f>
        <v>2_ABaOnufpaMypZWNLwUNtrsdG9wOwfX_e8Ryksjqfn_40nq5sUoVBzTH4odYzLMFEPQ</v>
      </c>
      <c r="D550" s="4" t="str">
        <f ca="1">IFERROR(__xludf.DUMMYFUNCTION("""COMPUTED_VALUE"""),"Chứng chỉ Kiểm toán viên")</f>
        <v>Chứng chỉ Kiểm toán viên</v>
      </c>
    </row>
    <row r="551" spans="1:4" x14ac:dyDescent="0.25">
      <c r="A551" s="4"/>
      <c r="B551" s="4"/>
      <c r="C551" s="4" t="str">
        <f ca="1">IFERROR(__xludf.DUMMYFUNCTION("""COMPUTED_VALUE"""),"2_ABaOnudkJ_HODyOVLE8j21aWbRu8bM88KVGXhVLew4WgkyAYycePZ-cjoxEvRjnBhA")</f>
        <v>2_ABaOnudkJ_HODyOVLE8j21aWbRu8bM88KVGXhVLew4WgkyAYycePZ-cjoxEvRjnBhA</v>
      </c>
      <c r="D551" s="4" t="str">
        <f ca="1">IFERROR(__xludf.DUMMYFUNCTION("""COMPUTED_VALUE"""),"Đại học")</f>
        <v>Đại học</v>
      </c>
    </row>
    <row r="552" spans="1:4" x14ac:dyDescent="0.25">
      <c r="A552" s="4"/>
      <c r="B552" s="4"/>
      <c r="C552" s="4" t="str">
        <f ca="1">IFERROR(__xludf.DUMMYFUNCTION("""COMPUTED_VALUE"""),"2_ABaOnuccOcbT15nSrZK9wSYm3-Xnw52-zIK0o6Jn-P7nwS8tj70N8m-3PLgq_1VOJQ")</f>
        <v>2_ABaOnuccOcbT15nSrZK9wSYm3-Xnw52-zIK0o6Jn-P7nwS8tj70N8m-3PLgq_1VOJQ</v>
      </c>
      <c r="D552" s="4" t="str">
        <f ca="1">IFERROR(__xludf.DUMMYFUNCTION("""COMPUTED_VALUE"""),"Đại học")</f>
        <v>Đại học</v>
      </c>
    </row>
    <row r="553" spans="1:4" x14ac:dyDescent="0.25">
      <c r="A553" s="4"/>
      <c r="B553" s="4"/>
      <c r="C553" s="4" t="str">
        <f ca="1">IFERROR(__xludf.DUMMYFUNCTION("""COMPUTED_VALUE"""),"2_ABaOnue6Y2P65uS6BHGJKRdRTX7dYvoTjA0haTb9pFuAGGU5zmoyiGVdQMtdVsywvw")</f>
        <v>2_ABaOnue6Y2P65uS6BHGJKRdRTX7dYvoTjA0haTb9pFuAGGU5zmoyiGVdQMtdVsywvw</v>
      </c>
      <c r="D553" s="4" t="str">
        <f ca="1">IFERROR(__xludf.DUMMYFUNCTION("""COMPUTED_VALUE"""),"Đại học")</f>
        <v>Đại học</v>
      </c>
    </row>
    <row r="554" spans="1:4" x14ac:dyDescent="0.25">
      <c r="A554" s="4"/>
      <c r="B554" s="4"/>
      <c r="C554" s="4" t="str">
        <f ca="1">IFERROR(__xludf.DUMMYFUNCTION("""COMPUTED_VALUE"""),"2_ABaOnue6Y2P65uS6BHGJKRdRTX7dYvoTjA0haTb9pFuAGGU5zmoyiGVdQMtdVsywvw")</f>
        <v>2_ABaOnue6Y2P65uS6BHGJKRdRTX7dYvoTjA0haTb9pFuAGGU5zmoyiGVdQMtdVsywvw</v>
      </c>
      <c r="D554" s="4" t="str">
        <f ca="1">IFERROR(__xludf.DUMMYFUNCTION("""COMPUTED_VALUE"""),"Chứng chỉ Kiểm toán viên")</f>
        <v>Chứng chỉ Kiểm toán viên</v>
      </c>
    </row>
    <row r="555" spans="1:4" x14ac:dyDescent="0.25">
      <c r="A555" s="4"/>
      <c r="B555" s="4"/>
      <c r="C555" s="4" t="str">
        <f ca="1">IFERROR(__xludf.DUMMYFUNCTION("""COMPUTED_VALUE"""),"2_ABaOnudwvaAiKShBfMiFhCTXXum2w89Yo9FgZqjhtLgDdbcJ8TTj57MP5q0p2QFEaw")</f>
        <v>2_ABaOnudwvaAiKShBfMiFhCTXXum2w89Yo9FgZqjhtLgDdbcJ8TTj57MP5q0p2QFEaw</v>
      </c>
      <c r="D555" s="4" t="str">
        <f ca="1">IFERROR(__xludf.DUMMYFUNCTION("""COMPUTED_VALUE"""),"Đại học")</f>
        <v>Đại học</v>
      </c>
    </row>
    <row r="556" spans="1:4" x14ac:dyDescent="0.25">
      <c r="A556" s="4"/>
      <c r="B556" s="4"/>
      <c r="C556" s="4" t="str">
        <f ca="1">IFERROR(__xludf.DUMMYFUNCTION("""COMPUTED_VALUE"""),"2_ABaOnudpHMHZx2hQqFFuf85APU0QppZZu6uw3IxB_b_l3TvmI6spk_p2hM4GmTE7YA")</f>
        <v>2_ABaOnudpHMHZx2hQqFFuf85APU0QppZZu6uw3IxB_b_l3TvmI6spk_p2hM4GmTE7YA</v>
      </c>
      <c r="D556" s="4" t="str">
        <f ca="1">IFERROR(__xludf.DUMMYFUNCTION("""COMPUTED_VALUE"""),"Sau đại học")</f>
        <v>Sau đại học</v>
      </c>
    </row>
    <row r="557" spans="1:4" x14ac:dyDescent="0.25">
      <c r="A557" s="4"/>
      <c r="B557" s="4"/>
      <c r="C557" s="4" t="str">
        <f ca="1">IFERROR(__xludf.DUMMYFUNCTION("""COMPUTED_VALUE"""),"2_ABaOnudpHMHZx2hQqFFuf85APU0QppZZu6uw3IxB_b_l3TvmI6spk_p2hM4GmTE7YA")</f>
        <v>2_ABaOnudpHMHZx2hQqFFuf85APU0QppZZu6uw3IxB_b_l3TvmI6spk_p2hM4GmTE7YA</v>
      </c>
      <c r="D557" s="4" t="str">
        <f ca="1">IFERROR(__xludf.DUMMYFUNCTION("""COMPUTED_VALUE"""),"Chứng chỉ Kiểm toán viên")</f>
        <v>Chứng chỉ Kiểm toán viên</v>
      </c>
    </row>
    <row r="558" spans="1:4" x14ac:dyDescent="0.25">
      <c r="A558" s="4"/>
      <c r="B558" s="4"/>
      <c r="C558" s="4" t="str">
        <f ca="1">IFERROR(__xludf.DUMMYFUNCTION("""COMPUTED_VALUE"""),"2_ABaOnufk7xZB8zUWsVgzW8BGiVBK-tdnxfms2fvqn6_S5hLX4SwQjgsN08m463wbkQ")</f>
        <v>2_ABaOnufk7xZB8zUWsVgzW8BGiVBK-tdnxfms2fvqn6_S5hLX4SwQjgsN08m463wbkQ</v>
      </c>
      <c r="D558" s="4" t="str">
        <f ca="1">IFERROR(__xludf.DUMMYFUNCTION("""COMPUTED_VALUE"""),"Đại học")</f>
        <v>Đại học</v>
      </c>
    </row>
    <row r="559" spans="1:4" x14ac:dyDescent="0.25">
      <c r="A559" s="4"/>
      <c r="B559" s="4"/>
      <c r="C559" s="4" t="str">
        <f ca="1">IFERROR(__xludf.DUMMYFUNCTION("""COMPUTED_VALUE"""),"2_ABaOnucfMp-l3mswDAhQJIYQX9BodAxKHsdXzQxd4vDzofAwcJzH_BIeUnmZPK7eug")</f>
        <v>2_ABaOnucfMp-l3mswDAhQJIYQX9BodAxKHsdXzQxd4vDzofAwcJzH_BIeUnmZPK7eug</v>
      </c>
      <c r="D559" s="4" t="str">
        <f ca="1">IFERROR(__xludf.DUMMYFUNCTION("""COMPUTED_VALUE"""),"Đại học")</f>
        <v>Đại học</v>
      </c>
    </row>
    <row r="560" spans="1:4" x14ac:dyDescent="0.25">
      <c r="A560" s="4"/>
      <c r="B560" s="4"/>
      <c r="C560" s="4" t="str">
        <f ca="1">IFERROR(__xludf.DUMMYFUNCTION("""COMPUTED_VALUE"""),"2_ABaOnufniMNDYlogDrKQhEPfEwY1Eb5DGXkHnkULaqCq6_UGRzY2xQBxj6zt8oMgsA")</f>
        <v>2_ABaOnufniMNDYlogDrKQhEPfEwY1Eb5DGXkHnkULaqCq6_UGRzY2xQBxj6zt8oMgsA</v>
      </c>
      <c r="D560" s="4" t="str">
        <f ca="1">IFERROR(__xludf.DUMMYFUNCTION("""COMPUTED_VALUE"""),"Đại học")</f>
        <v>Đại học</v>
      </c>
    </row>
    <row r="561" spans="1:4" x14ac:dyDescent="0.25">
      <c r="A561" s="4"/>
      <c r="B561" s="4"/>
      <c r="C561" s="4" t="str">
        <f ca="1">IFERROR(__xludf.DUMMYFUNCTION("""COMPUTED_VALUE"""),"2_ABaOnuffNYnkbc0mHkU_bVK4AIB6qT4JhJ4DfcIswmu2Erbl6NvXc9KTK4uCBo5jzg")</f>
        <v>2_ABaOnuffNYnkbc0mHkU_bVK4AIB6qT4JhJ4DfcIswmu2Erbl6NvXc9KTK4uCBo5jzg</v>
      </c>
      <c r="D561" s="4" t="str">
        <f ca="1">IFERROR(__xludf.DUMMYFUNCTION("""COMPUTED_VALUE"""),"Đại học")</f>
        <v>Đại học</v>
      </c>
    </row>
    <row r="562" spans="1:4" x14ac:dyDescent="0.25">
      <c r="A562" s="4"/>
      <c r="B562" s="4"/>
      <c r="C562" s="4" t="str">
        <f ca="1">IFERROR(__xludf.DUMMYFUNCTION("""COMPUTED_VALUE"""),"2_ABaOnucA0OysRpYZbd8dtCD9KYzybiY2QhGIeaqnO1fcfeuBc-5gPh5PkbFJHHRmmw")</f>
        <v>2_ABaOnucA0OysRpYZbd8dtCD9KYzybiY2QhGIeaqnO1fcfeuBc-5gPh5PkbFJHHRmmw</v>
      </c>
      <c r="D562" s="4" t="str">
        <f ca="1">IFERROR(__xludf.DUMMYFUNCTION("""COMPUTED_VALUE"""),"Đại học")</f>
        <v>Đại học</v>
      </c>
    </row>
    <row r="563" spans="1:4" x14ac:dyDescent="0.25">
      <c r="A563" s="4"/>
      <c r="B563" s="4"/>
      <c r="C563" s="4" t="str">
        <f ca="1">IFERROR(__xludf.DUMMYFUNCTION("""COMPUTED_VALUE"""),"2_ABaOnucOggw-y2pnkOumlEmnkgW0Pv9fEG1_PceDLJsQhPZmzYN3XOFEMiviVMsSdg")</f>
        <v>2_ABaOnucOggw-y2pnkOumlEmnkgW0Pv9fEG1_PceDLJsQhPZmzYN3XOFEMiviVMsSdg</v>
      </c>
      <c r="D563" s="4" t="str">
        <f ca="1">IFERROR(__xludf.DUMMYFUNCTION("""COMPUTED_VALUE"""),"Đại học")</f>
        <v>Đại học</v>
      </c>
    </row>
    <row r="564" spans="1:4" x14ac:dyDescent="0.25">
      <c r="A564" s="4"/>
      <c r="B564" s="4"/>
      <c r="C564" s="4" t="str">
        <f ca="1">IFERROR(__xludf.DUMMYFUNCTION("""COMPUTED_VALUE"""),"2_ABaOnufWsn99Os3xds0eH7AyprLgnVOy3np-tcu1BeUUZZbo_BVEbNKLqFKQ4GfxIQ")</f>
        <v>2_ABaOnufWsn99Os3xds0eH7AyprLgnVOy3np-tcu1BeUUZZbo_BVEbNKLqFKQ4GfxIQ</v>
      </c>
      <c r="D564" s="4" t="str">
        <f ca="1">IFERROR(__xludf.DUMMYFUNCTION("""COMPUTED_VALUE"""),"Đại học")</f>
        <v>Đại học</v>
      </c>
    </row>
    <row r="565" spans="1:4" x14ac:dyDescent="0.25">
      <c r="A565" s="4"/>
      <c r="B565" s="4"/>
      <c r="C565" s="4" t="str">
        <f ca="1">IFERROR(__xludf.DUMMYFUNCTION("""COMPUTED_VALUE"""),"2_ABaOnucziRKEYJBAV63hZ6yXdTI8LWmu54khDOytHobsq9fjHLPk-XOgQy-JSa9aZA")</f>
        <v>2_ABaOnucziRKEYJBAV63hZ6yXdTI8LWmu54khDOytHobsq9fjHLPk-XOgQy-JSa9aZA</v>
      </c>
      <c r="D565" s="4" t="str">
        <f ca="1">IFERROR(__xludf.DUMMYFUNCTION("""COMPUTED_VALUE"""),"Đại học")</f>
        <v>Đại học</v>
      </c>
    </row>
    <row r="566" spans="1:4" x14ac:dyDescent="0.25">
      <c r="A566" s="4"/>
      <c r="B566" s="4"/>
      <c r="C566" s="4" t="str">
        <f ca="1">IFERROR(__xludf.DUMMYFUNCTION("""COMPUTED_VALUE"""),"2_ABaOnucziRKEYJBAV63hZ6yXdTI8LWmu54khDOytHobsq9fjHLPk-XOgQy-JSa9aZA")</f>
        <v>2_ABaOnucziRKEYJBAV63hZ6yXdTI8LWmu54khDOytHobsq9fjHLPk-XOgQy-JSa9aZA</v>
      </c>
      <c r="D566" s="4" t="str">
        <f ca="1">IFERROR(__xludf.DUMMYFUNCTION("""COMPUTED_VALUE"""),"Chứng chỉ Kiểm toán viên")</f>
        <v>Chứng chỉ Kiểm toán viên</v>
      </c>
    </row>
    <row r="567" spans="1:4" x14ac:dyDescent="0.25">
      <c r="A567" s="4"/>
      <c r="B567" s="4"/>
      <c r="C567" s="4" t="str">
        <f ca="1">IFERROR(__xludf.DUMMYFUNCTION("""COMPUTED_VALUE"""),"2_ABaOnuf1e8drvjandk0OUhbu1ZOhihzUuCs28XCMeBCu2gs564MsnZLoKYTBKLFUUg")</f>
        <v>2_ABaOnuf1e8drvjandk0OUhbu1ZOhihzUuCs28XCMeBCu2gs564MsnZLoKYTBKLFUUg</v>
      </c>
      <c r="D567" s="4" t="str">
        <f ca="1">IFERROR(__xludf.DUMMYFUNCTION("""COMPUTED_VALUE"""),"Chứng chỉ Kiểm toán viên")</f>
        <v>Chứng chỉ Kiểm toán viên</v>
      </c>
    </row>
    <row r="568" spans="1:4" x14ac:dyDescent="0.25">
      <c r="A568" s="4"/>
      <c r="B568" s="4"/>
      <c r="C568" s="4" t="str">
        <f ca="1">IFERROR(__xludf.DUMMYFUNCTION("""COMPUTED_VALUE"""),"2_ABaOnucZpKlazoMPrWnBNj9Ce05Cyvep2VSQnd2F5mYNaNvUQ7INasjd4s-eYLG-LQ")</f>
        <v>2_ABaOnucZpKlazoMPrWnBNj9Ce05Cyvep2VSQnd2F5mYNaNvUQ7INasjd4s-eYLG-LQ</v>
      </c>
      <c r="D568" s="4" t="str">
        <f ca="1">IFERROR(__xludf.DUMMYFUNCTION("""COMPUTED_VALUE"""),"Đại học")</f>
        <v>Đại học</v>
      </c>
    </row>
    <row r="569" spans="1:4" x14ac:dyDescent="0.25">
      <c r="A569" s="4"/>
      <c r="B569" s="4"/>
      <c r="C569" s="4" t="str">
        <f ca="1">IFERROR(__xludf.DUMMYFUNCTION("""COMPUTED_VALUE"""),"2_ABaOnucZpKlazoMPrWnBNj9Ce05Cyvep2VSQnd2F5mYNaNvUQ7INasjd4s-eYLG-LQ")</f>
        <v>2_ABaOnucZpKlazoMPrWnBNj9Ce05Cyvep2VSQnd2F5mYNaNvUQ7INasjd4s-eYLG-LQ</v>
      </c>
      <c r="D569" s="4" t="str">
        <f ca="1">IFERROR(__xludf.DUMMYFUNCTION("""COMPUTED_VALUE"""),"Sau đại học")</f>
        <v>Sau đại học</v>
      </c>
    </row>
    <row r="570" spans="1:4" x14ac:dyDescent="0.25">
      <c r="A570" s="4"/>
      <c r="B570" s="4"/>
      <c r="C570" s="4" t="str">
        <f ca="1">IFERROR(__xludf.DUMMYFUNCTION("""COMPUTED_VALUE"""),"2_ABaOnucq6sKsPc-1eR9UkT-saB-F4ken_BaaUy__baJ9_pZD-sssoNxSqskQEOIQgA")</f>
        <v>2_ABaOnucq6sKsPc-1eR9UkT-saB-F4ken_BaaUy__baJ9_pZD-sssoNxSqskQEOIQgA</v>
      </c>
      <c r="D570" s="4" t="str">
        <f ca="1">IFERROR(__xludf.DUMMYFUNCTION("""COMPUTED_VALUE"""),"Đại học")</f>
        <v>Đại học</v>
      </c>
    </row>
    <row r="571" spans="1:4" x14ac:dyDescent="0.25">
      <c r="A571" s="4"/>
      <c r="B571" s="4"/>
      <c r="C571" s="4" t="str">
        <f ca="1">IFERROR(__xludf.DUMMYFUNCTION("""COMPUTED_VALUE"""),"2_ABaOnucq6sKsPc-1eR9UkT-saB-F4ken_BaaUy__baJ9_pZD-sssoNxSqskQEOIQgA")</f>
        <v>2_ABaOnucq6sKsPc-1eR9UkT-saB-F4ken_BaaUy__baJ9_pZD-sssoNxSqskQEOIQgA</v>
      </c>
      <c r="D571" s="4" t="str">
        <f ca="1">IFERROR(__xludf.DUMMYFUNCTION("""COMPUTED_VALUE"""),"Chứng chỉ Kiểm toán viên")</f>
        <v>Chứng chỉ Kiểm toán viên</v>
      </c>
    </row>
    <row r="572" spans="1:4" x14ac:dyDescent="0.25">
      <c r="A572" s="4"/>
      <c r="B572" s="4"/>
      <c r="C572" s="4" t="str">
        <f ca="1">IFERROR(__xludf.DUMMYFUNCTION("""COMPUTED_VALUE"""),"2_ABaOnuemS3IoxT9PdPt5vvoyHyNIN0hOC0OpmRt71oUt_do4fRxLsA3v-7VfzkXXuw")</f>
        <v>2_ABaOnuemS3IoxT9PdPt5vvoyHyNIN0hOC0OpmRt71oUt_do4fRxLsA3v-7VfzkXXuw</v>
      </c>
      <c r="D572" s="4" t="str">
        <f ca="1">IFERROR(__xludf.DUMMYFUNCTION("""COMPUTED_VALUE"""),"Đại học")</f>
        <v>Đại học</v>
      </c>
    </row>
    <row r="573" spans="1:4" x14ac:dyDescent="0.25">
      <c r="A573" s="4"/>
      <c r="B573" s="4"/>
      <c r="C573" s="4" t="str">
        <f ca="1">IFERROR(__xludf.DUMMYFUNCTION("""COMPUTED_VALUE"""),"2_ABaOnudBTmnl-puIV-xCJCHXvbceeWgsBCM17F2woL4U8FWlevDFJsQ6GdqVlTkA3A")</f>
        <v>2_ABaOnudBTmnl-puIV-xCJCHXvbceeWgsBCM17F2woL4U8FWlevDFJsQ6GdqVlTkA3A</v>
      </c>
      <c r="D573" s="4" t="str">
        <f ca="1">IFERROR(__xludf.DUMMYFUNCTION("""COMPUTED_VALUE"""),"Đại học")</f>
        <v>Đại học</v>
      </c>
    </row>
    <row r="574" spans="1:4" x14ac:dyDescent="0.25">
      <c r="A574" s="4"/>
      <c r="B574" s="4"/>
      <c r="C574" s="4" t="str">
        <f ca="1">IFERROR(__xludf.DUMMYFUNCTION("""COMPUTED_VALUE"""),"2_ABaOnueeuHQo7pqCPeM_X2JF8bC8U2OPrlTaqMbnfK0x219TyFdG88SCsolyG-ygsw")</f>
        <v>2_ABaOnueeuHQo7pqCPeM_X2JF8bC8U2OPrlTaqMbnfK0x219TyFdG88SCsolyG-ygsw</v>
      </c>
      <c r="D574" s="4" t="str">
        <f ca="1">IFERROR(__xludf.DUMMYFUNCTION("""COMPUTED_VALUE"""),"Đại học")</f>
        <v>Đại học</v>
      </c>
    </row>
    <row r="575" spans="1:4" x14ac:dyDescent="0.25">
      <c r="A575" s="4"/>
      <c r="B575" s="4"/>
      <c r="C575" s="4" t="str">
        <f ca="1">IFERROR(__xludf.DUMMYFUNCTION("""COMPUTED_VALUE"""),"2_ABaOnueeuHQo7pqCPeM_X2JF8bC8U2OPrlTaqMbnfK0x219TyFdG88SCsolyG-ygsw")</f>
        <v>2_ABaOnueeuHQo7pqCPeM_X2JF8bC8U2OPrlTaqMbnfK0x219TyFdG88SCsolyG-ygsw</v>
      </c>
      <c r="D575" s="4" t="str">
        <f ca="1">IFERROR(__xludf.DUMMYFUNCTION("""COMPUTED_VALUE"""),"Chứng chỉ Kiểm toán viên")</f>
        <v>Chứng chỉ Kiểm toán viên</v>
      </c>
    </row>
    <row r="576" spans="1:4" x14ac:dyDescent="0.25">
      <c r="A576" s="4"/>
      <c r="B576" s="4"/>
      <c r="C576" s="4" t="str">
        <f ca="1">IFERROR(__xludf.DUMMYFUNCTION("""COMPUTED_VALUE"""),"2_ABaOnufn7alQBiUpsIhX8oc0NrttTjlfofn7vHIzJnH_F8jrm35BvTngBSv9AfI2ew")</f>
        <v>2_ABaOnufn7alQBiUpsIhX8oc0NrttTjlfofn7vHIzJnH_F8jrm35BvTngBSv9AfI2ew</v>
      </c>
      <c r="D576" s="4" t="str">
        <f ca="1">IFERROR(__xludf.DUMMYFUNCTION("""COMPUTED_VALUE"""),"Đại học")</f>
        <v>Đại học</v>
      </c>
    </row>
    <row r="577" spans="1:4" x14ac:dyDescent="0.25">
      <c r="A577" s="4"/>
      <c r="B577" s="4"/>
      <c r="C577" s="4" t="str">
        <f ca="1">IFERROR(__xludf.DUMMYFUNCTION("""COMPUTED_VALUE"""),"2_ABaOnue9Sfk_ARL8Acxcc1GH303alOxOXW2BbBT1iAXZkvTdhCqwqEZEiTkP8ir84Q")</f>
        <v>2_ABaOnue9Sfk_ARL8Acxcc1GH303alOxOXW2BbBT1iAXZkvTdhCqwqEZEiTkP8ir84Q</v>
      </c>
      <c r="D577" s="4" t="str">
        <f ca="1">IFERROR(__xludf.DUMMYFUNCTION("""COMPUTED_VALUE"""),"Đại học")</f>
        <v>Đại học</v>
      </c>
    </row>
    <row r="578" spans="1:4" x14ac:dyDescent="0.25">
      <c r="A578" s="4"/>
      <c r="B578" s="4"/>
      <c r="C578" s="4" t="str">
        <f ca="1">IFERROR(__xludf.DUMMYFUNCTION("""COMPUTED_VALUE"""),"2_ABaOnue9Sfk_ARL8Acxcc1GH303alOxOXW2BbBT1iAXZkvTdhCqwqEZEiTkP8ir84Q")</f>
        <v>2_ABaOnue9Sfk_ARL8Acxcc1GH303alOxOXW2BbBT1iAXZkvTdhCqwqEZEiTkP8ir84Q</v>
      </c>
      <c r="D578" s="4" t="str">
        <f ca="1">IFERROR(__xludf.DUMMYFUNCTION("""COMPUTED_VALUE"""),"Chứng chỉ Kiểm toán viên")</f>
        <v>Chứng chỉ Kiểm toán viên</v>
      </c>
    </row>
    <row r="579" spans="1:4" x14ac:dyDescent="0.25">
      <c r="A579" s="4"/>
      <c r="B579" s="4"/>
      <c r="C579" s="4" t="str">
        <f ca="1">IFERROR(__xludf.DUMMYFUNCTION("""COMPUTED_VALUE"""),"2_ABaOnuePuL4ECkeAX_dS6b2FzAh3-6qClggNcOitlMczUB7y8ZC_DuQb3r2-K8iWYQ")</f>
        <v>2_ABaOnuePuL4ECkeAX_dS6b2FzAh3-6qClggNcOitlMczUB7y8ZC_DuQb3r2-K8iWYQ</v>
      </c>
      <c r="D579" s="4" t="str">
        <f ca="1">IFERROR(__xludf.DUMMYFUNCTION("""COMPUTED_VALUE"""),"Đại học")</f>
        <v>Đại học</v>
      </c>
    </row>
    <row r="580" spans="1:4" x14ac:dyDescent="0.25">
      <c r="A580" s="4"/>
      <c r="B580" s="4"/>
      <c r="C580" s="4" t="str">
        <f ca="1">IFERROR(__xludf.DUMMYFUNCTION("""COMPUTED_VALUE"""),"2_ABaOnuePuL4ECkeAX_dS6b2FzAh3-6qClggNcOitlMczUB7y8ZC_DuQb3r2-K8iWYQ")</f>
        <v>2_ABaOnuePuL4ECkeAX_dS6b2FzAh3-6qClggNcOitlMczUB7y8ZC_DuQb3r2-K8iWYQ</v>
      </c>
      <c r="D580" s="4" t="str">
        <f ca="1">IFERROR(__xludf.DUMMYFUNCTION("""COMPUTED_VALUE"""),"Chứng chỉ Kiểm toán viên")</f>
        <v>Chứng chỉ Kiểm toán viên</v>
      </c>
    </row>
    <row r="581" spans="1:4" x14ac:dyDescent="0.25">
      <c r="A581" s="4"/>
      <c r="B581" s="4"/>
      <c r="C581" s="4" t="str">
        <f ca="1">IFERROR(__xludf.DUMMYFUNCTION("""COMPUTED_VALUE"""),"2_ABaOnufjSgRjFt87F1rSVv96V2dbA75lorsqMqonV85BQyP9g8_c4OBqOtbFUjj5zQ")</f>
        <v>2_ABaOnufjSgRjFt87F1rSVv96V2dbA75lorsqMqonV85BQyP9g8_c4OBqOtbFUjj5zQ</v>
      </c>
      <c r="D581" s="4" t="str">
        <f ca="1">IFERROR(__xludf.DUMMYFUNCTION("""COMPUTED_VALUE"""),"Đại học")</f>
        <v>Đại học</v>
      </c>
    </row>
    <row r="582" spans="1:4" x14ac:dyDescent="0.25">
      <c r="A582" s="4"/>
      <c r="B582" s="4"/>
      <c r="C582" s="4" t="str">
        <f ca="1">IFERROR(__xludf.DUMMYFUNCTION("""COMPUTED_VALUE"""),"2_ABaOnueBT04UTXPvfx89cSwMskCCLnVMpyLfrn2eN2Sa37vzP8rdxv37GC_2_kx-oQ")</f>
        <v>2_ABaOnueBT04UTXPvfx89cSwMskCCLnVMpyLfrn2eN2Sa37vzP8rdxv37GC_2_kx-oQ</v>
      </c>
      <c r="D582" s="4" t="str">
        <f ca="1">IFERROR(__xludf.DUMMYFUNCTION("""COMPUTED_VALUE"""),"Đại học")</f>
        <v>Đại học</v>
      </c>
    </row>
    <row r="583" spans="1:4" x14ac:dyDescent="0.25">
      <c r="A583" s="4"/>
      <c r="B583" s="4"/>
      <c r="C583" s="4" t="str">
        <f ca="1">IFERROR(__xludf.DUMMYFUNCTION("""COMPUTED_VALUE"""),"2_ABaOnueBT04UTXPvfx89cSwMskCCLnVMpyLfrn2eN2Sa37vzP8rdxv37GC_2_kx-oQ")</f>
        <v>2_ABaOnueBT04UTXPvfx89cSwMskCCLnVMpyLfrn2eN2Sa37vzP8rdxv37GC_2_kx-oQ</v>
      </c>
      <c r="D583" s="4" t="str">
        <f ca="1">IFERROR(__xludf.DUMMYFUNCTION("""COMPUTED_VALUE"""),"Chứng chỉ Kiểm toán viên")</f>
        <v>Chứng chỉ Kiểm toán viên</v>
      </c>
    </row>
    <row r="584" spans="1:4" x14ac:dyDescent="0.25">
      <c r="A584" s="4"/>
      <c r="B584" s="4"/>
      <c r="C584" s="4" t="str">
        <f ca="1">IFERROR(__xludf.DUMMYFUNCTION("""COMPUTED_VALUE"""),"2_ABaOnudv_qpoWl_O4BCwDWXMPOzwiFpIpp9e5vghM-CpM86QG0O2yo_jODXqybl08g")</f>
        <v>2_ABaOnudv_qpoWl_O4BCwDWXMPOzwiFpIpp9e5vghM-CpM86QG0O2yo_jODXqybl08g</v>
      </c>
      <c r="D584" s="4" t="str">
        <f ca="1">IFERROR(__xludf.DUMMYFUNCTION("""COMPUTED_VALUE"""),"Đại học")</f>
        <v>Đại học</v>
      </c>
    </row>
    <row r="585" spans="1:4" x14ac:dyDescent="0.25">
      <c r="A585" s="4"/>
      <c r="B585" s="4"/>
      <c r="C585" s="4" t="str">
        <f ca="1">IFERROR(__xludf.DUMMYFUNCTION("""COMPUTED_VALUE"""),"2_ABaOnudv_qpoWl_O4BCwDWXMPOzwiFpIpp9e5vghM-CpM86QG0O2yo_jODXqybl08g")</f>
        <v>2_ABaOnudv_qpoWl_O4BCwDWXMPOzwiFpIpp9e5vghM-CpM86QG0O2yo_jODXqybl08g</v>
      </c>
      <c r="D585" s="4" t="str">
        <f ca="1">IFERROR(__xludf.DUMMYFUNCTION("""COMPUTED_VALUE"""),"Chứng chỉ Kiểm toán viên")</f>
        <v>Chứng chỉ Kiểm toán viên</v>
      </c>
    </row>
    <row r="586" spans="1:4" x14ac:dyDescent="0.25">
      <c r="A586" s="4"/>
      <c r="B586" s="4"/>
      <c r="C586" s="4" t="str">
        <f ca="1">IFERROR(__xludf.DUMMYFUNCTION("""COMPUTED_VALUE"""),"2_ABaOnufHd7a8re6gnHLacJWg8iHZ5K_32njKPB8hifivkLUsxyCQ_fxt8gRQEP5fdA")</f>
        <v>2_ABaOnufHd7a8re6gnHLacJWg8iHZ5K_32njKPB8hifivkLUsxyCQ_fxt8gRQEP5fdA</v>
      </c>
      <c r="D586" s="4" t="str">
        <f ca="1">IFERROR(__xludf.DUMMYFUNCTION("""COMPUTED_VALUE"""),"Đại học")</f>
        <v>Đại học</v>
      </c>
    </row>
    <row r="587" spans="1:4" x14ac:dyDescent="0.25">
      <c r="A587" s="4"/>
      <c r="B587" s="4"/>
      <c r="C587" s="4" t="str">
        <f ca="1">IFERROR(__xludf.DUMMYFUNCTION("""COMPUTED_VALUE"""),"2_ABaOnudIqHL_P7N72pR0qyK2E3wt40zEiHcQoZCgh-2sjCnW_l8EX5D3X3bmIUYCvQ")</f>
        <v>2_ABaOnudIqHL_P7N72pR0qyK2E3wt40zEiHcQoZCgh-2sjCnW_l8EX5D3X3bmIUYCvQ</v>
      </c>
      <c r="D587" s="4" t="str">
        <f ca="1">IFERROR(__xludf.DUMMYFUNCTION("""COMPUTED_VALUE"""),"Đại học")</f>
        <v>Đại học</v>
      </c>
    </row>
    <row r="588" spans="1:4" x14ac:dyDescent="0.25">
      <c r="A588" s="4"/>
      <c r="B588" s="4"/>
      <c r="C588" s="4" t="str">
        <f ca="1">IFERROR(__xludf.DUMMYFUNCTION("""COMPUTED_VALUE"""),"2_ABaOnudIqHL_P7N72pR0qyK2E3wt40zEiHcQoZCgh-2sjCnW_l8EX5D3X3bmIUYCvQ")</f>
        <v>2_ABaOnudIqHL_P7N72pR0qyK2E3wt40zEiHcQoZCgh-2sjCnW_l8EX5D3X3bmIUYCvQ</v>
      </c>
      <c r="D588" s="4" t="str">
        <f ca="1">IFERROR(__xludf.DUMMYFUNCTION("""COMPUTED_VALUE"""),"Chứng chỉ Kiểm toán viên")</f>
        <v>Chứng chỉ Kiểm toán viên</v>
      </c>
    </row>
    <row r="589" spans="1:4" x14ac:dyDescent="0.25">
      <c r="A589" s="4"/>
      <c r="B589" s="4"/>
      <c r="C589" s="4" t="str">
        <f ca="1">IFERROR(__xludf.DUMMYFUNCTION("""COMPUTED_VALUE"""),"2_ABaOnuesrrdpCZeOdO5X2HuNaH_AGqGC8IC_NRLBqHdwMIUQxBo_gTmRy71x6GzAhA")</f>
        <v>2_ABaOnuesrrdpCZeOdO5X2HuNaH_AGqGC8IC_NRLBqHdwMIUQxBo_gTmRy71x6GzAhA</v>
      </c>
      <c r="D589" s="4" t="str">
        <f ca="1">IFERROR(__xludf.DUMMYFUNCTION("""COMPUTED_VALUE"""),"Sau đại học")</f>
        <v>Sau đại học</v>
      </c>
    </row>
    <row r="590" spans="1:4" x14ac:dyDescent="0.25">
      <c r="A590" s="4"/>
      <c r="B590" s="4"/>
      <c r="C590" s="4" t="str">
        <f ca="1">IFERROR(__xludf.DUMMYFUNCTION("""COMPUTED_VALUE"""),"2_ABaOnucGOOmoMwihfPxSX-GNXAWhA_NCDc-GJyNqm2deQMnvZTKqocMjINDWpzvlPQ")</f>
        <v>2_ABaOnucGOOmoMwihfPxSX-GNXAWhA_NCDc-GJyNqm2deQMnvZTKqocMjINDWpzvlPQ</v>
      </c>
      <c r="D590" s="4" t="str">
        <f ca="1">IFERROR(__xludf.DUMMYFUNCTION("""COMPUTED_VALUE"""),"Đại học")</f>
        <v>Đại học</v>
      </c>
    </row>
    <row r="591" spans="1:4" x14ac:dyDescent="0.25">
      <c r="A591" s="4"/>
      <c r="B591" s="4"/>
      <c r="C591" s="4" t="str">
        <f ca="1">IFERROR(__xludf.DUMMYFUNCTION("""COMPUTED_VALUE"""),"2_ABaOnucGOOmoMwihfPxSX-GNXAWhA_NCDc-GJyNqm2deQMnvZTKqocMjINDWpzvlPQ")</f>
        <v>2_ABaOnucGOOmoMwihfPxSX-GNXAWhA_NCDc-GJyNqm2deQMnvZTKqocMjINDWpzvlPQ</v>
      </c>
      <c r="D591" s="4" t="str">
        <f ca="1">IFERROR(__xludf.DUMMYFUNCTION("""COMPUTED_VALUE"""),"Chứng chỉ Kiểm toán viên")</f>
        <v>Chứng chỉ Kiểm toán viên</v>
      </c>
    </row>
    <row r="592" spans="1:4" x14ac:dyDescent="0.25">
      <c r="A592" s="4"/>
      <c r="B592" s="4"/>
      <c r="C592" s="4" t="str">
        <f ca="1">IFERROR(__xludf.DUMMYFUNCTION("""COMPUTED_VALUE"""),"2_ABaOnue7xRTI6oZlFtRICv7f-UTj6o-C7hPA7XndhQV9UaXI20kUm6SrKCWkwk3pgQ")</f>
        <v>2_ABaOnue7xRTI6oZlFtRICv7f-UTj6o-C7hPA7XndhQV9UaXI20kUm6SrKCWkwk3pgQ</v>
      </c>
      <c r="D592" s="4" t="str">
        <f ca="1">IFERROR(__xludf.DUMMYFUNCTION("""COMPUTED_VALUE"""),"Chứng chỉ Kiểm toán viên")</f>
        <v>Chứng chỉ Kiểm toán viên</v>
      </c>
    </row>
    <row r="593" spans="1:4" x14ac:dyDescent="0.25">
      <c r="A593" s="4"/>
      <c r="B593" s="4"/>
      <c r="C593" s="4" t="str">
        <f ca="1">IFERROR(__xludf.DUMMYFUNCTION("""COMPUTED_VALUE"""),"2_ABaOnudJr6k9KkEX8fgcLoy5XuObQ-JteDBzspwydfro8wTA1rKrhcSfChYlvmvXpw")</f>
        <v>2_ABaOnudJr6k9KkEX8fgcLoy5XuObQ-JteDBzspwydfro8wTA1rKrhcSfChYlvmvXpw</v>
      </c>
      <c r="D593" s="4" t="str">
        <f ca="1">IFERROR(__xludf.DUMMYFUNCTION("""COMPUTED_VALUE"""),"Đại học")</f>
        <v>Đại học</v>
      </c>
    </row>
    <row r="594" spans="1:4" x14ac:dyDescent="0.25">
      <c r="A594" s="4"/>
      <c r="B594" s="4"/>
      <c r="C594" s="4" t="str">
        <f ca="1">IFERROR(__xludf.DUMMYFUNCTION("""COMPUTED_VALUE"""),"2_ABaOnucJbME7G6Cjqqd1eZMXGFPMCtEe86LoMwkXbnIcNe17JU8h_u4KmnK0AlbHEw")</f>
        <v>2_ABaOnucJbME7G6Cjqqd1eZMXGFPMCtEe86LoMwkXbnIcNe17JU8h_u4KmnK0AlbHEw</v>
      </c>
      <c r="D594" s="4" t="str">
        <f ca="1">IFERROR(__xludf.DUMMYFUNCTION("""COMPUTED_VALUE"""),"Đại học")</f>
        <v>Đại học</v>
      </c>
    </row>
    <row r="595" spans="1:4" x14ac:dyDescent="0.25">
      <c r="A595" s="4"/>
      <c r="B595" s="4"/>
      <c r="C595" s="4" t="str">
        <f ca="1">IFERROR(__xludf.DUMMYFUNCTION("""COMPUTED_VALUE"""),"2_ABaOnucJbME7G6Cjqqd1eZMXGFPMCtEe86LoMwkXbnIcNe17JU8h_u4KmnK0AlbHEw")</f>
        <v>2_ABaOnucJbME7G6Cjqqd1eZMXGFPMCtEe86LoMwkXbnIcNe17JU8h_u4KmnK0AlbHEw</v>
      </c>
      <c r="D595" s="4" t="str">
        <f ca="1">IFERROR(__xludf.DUMMYFUNCTION("""COMPUTED_VALUE"""),"Chứng chỉ Kiểm toán viên")</f>
        <v>Chứng chỉ Kiểm toán viên</v>
      </c>
    </row>
    <row r="596" spans="1:4" x14ac:dyDescent="0.25">
      <c r="A596" s="4"/>
      <c r="B596" s="4"/>
      <c r="C596" s="4" t="str">
        <f ca="1">IFERROR(__xludf.DUMMYFUNCTION("""COMPUTED_VALUE"""),"2_ABaOnuei1zEw8MCa0lES_JYSOguVD5bhhgCN1Aqpc2YWz0rENBQn30wvalCaaISMqQ")</f>
        <v>2_ABaOnuei1zEw8MCa0lES_JYSOguVD5bhhgCN1Aqpc2YWz0rENBQn30wvalCaaISMqQ</v>
      </c>
      <c r="D596" s="4" t="str">
        <f ca="1">IFERROR(__xludf.DUMMYFUNCTION("""COMPUTED_VALUE"""),"Đại học")</f>
        <v>Đại học</v>
      </c>
    </row>
    <row r="597" spans="1:4" x14ac:dyDescent="0.25">
      <c r="A597" s="4"/>
      <c r="B597" s="4"/>
      <c r="C597" s="4" t="str">
        <f ca="1">IFERROR(__xludf.DUMMYFUNCTION("""COMPUTED_VALUE"""),"2_ABaOnufRzaX7k3sGPiikskIUAH3KrTwCLJmjTifJRKlI5lzzUa1P40F4MohWkgZLNA")</f>
        <v>2_ABaOnufRzaX7k3sGPiikskIUAH3KrTwCLJmjTifJRKlI5lzzUa1P40F4MohWkgZLNA</v>
      </c>
      <c r="D597" s="4" t="str">
        <f ca="1">IFERROR(__xludf.DUMMYFUNCTION("""COMPUTED_VALUE"""),"Đại học")</f>
        <v>Đại học</v>
      </c>
    </row>
    <row r="598" spans="1:4" x14ac:dyDescent="0.25">
      <c r="A598" s="4"/>
      <c r="B598" s="4"/>
      <c r="C598" s="4" t="str">
        <f ca="1">IFERROR(__xludf.DUMMYFUNCTION("""COMPUTED_VALUE"""),"2_ABaOnueMzdNPcTuhzdRQXA_4tJJhDynAkZeJn69BDhiDrS7Xo-CAZ9Oy7IiB2bm3Dg")</f>
        <v>2_ABaOnueMzdNPcTuhzdRQXA_4tJJhDynAkZeJn69BDhiDrS7Xo-CAZ9Oy7IiB2bm3Dg</v>
      </c>
      <c r="D598" s="4" t="str">
        <f ca="1">IFERROR(__xludf.DUMMYFUNCTION("""COMPUTED_VALUE"""),"Đại học")</f>
        <v>Đại học</v>
      </c>
    </row>
    <row r="599" spans="1:4" x14ac:dyDescent="0.25">
      <c r="A599" s="4"/>
      <c r="B599" s="4"/>
      <c r="C599" s="4" t="str">
        <f ca="1">IFERROR(__xludf.DUMMYFUNCTION("""COMPUTED_VALUE"""),"2_ABaOnueMzdNPcTuhzdRQXA_4tJJhDynAkZeJn69BDhiDrS7Xo-CAZ9Oy7IiB2bm3Dg")</f>
        <v>2_ABaOnueMzdNPcTuhzdRQXA_4tJJhDynAkZeJn69BDhiDrS7Xo-CAZ9Oy7IiB2bm3Dg</v>
      </c>
      <c r="D599" s="4" t="str">
        <f ca="1">IFERROR(__xludf.DUMMYFUNCTION("""COMPUTED_VALUE"""),"Chứng chỉ Kiểm toán viên")</f>
        <v>Chứng chỉ Kiểm toán viên</v>
      </c>
    </row>
    <row r="600" spans="1:4" x14ac:dyDescent="0.25">
      <c r="A600" s="4"/>
      <c r="B600" s="4"/>
      <c r="C600" s="4" t="str">
        <f ca="1">IFERROR(__xludf.DUMMYFUNCTION("""COMPUTED_VALUE"""),"2_ABaOnucSSB0dH81T1-WgkqBDOqwdjtCS8BUb8pbANcEnXRDTm7JZiXErabSU2jyG9g")</f>
        <v>2_ABaOnucSSB0dH81T1-WgkqBDOqwdjtCS8BUb8pbANcEnXRDTm7JZiXErabSU2jyG9g</v>
      </c>
      <c r="D600" s="4" t="str">
        <f ca="1">IFERROR(__xludf.DUMMYFUNCTION("""COMPUTED_VALUE"""),"Đại học")</f>
        <v>Đại học</v>
      </c>
    </row>
    <row r="601" spans="1:4" x14ac:dyDescent="0.25">
      <c r="A601" s="4"/>
      <c r="B601" s="4"/>
      <c r="C601" s="4" t="str">
        <f ca="1">IFERROR(__xludf.DUMMYFUNCTION("""COMPUTED_VALUE"""),"2_ABaOnueqxBu5affu5ngdT3G37n_RweGzRnMzG8i36DqzDumxaKkS7grpkRWOpej2xA")</f>
        <v>2_ABaOnueqxBu5affu5ngdT3G37n_RweGzRnMzG8i36DqzDumxaKkS7grpkRWOpej2xA</v>
      </c>
      <c r="D601" s="4" t="str">
        <f ca="1">IFERROR(__xludf.DUMMYFUNCTION("""COMPUTED_VALUE"""),"Đại học")</f>
        <v>Đại học</v>
      </c>
    </row>
    <row r="602" spans="1:4" x14ac:dyDescent="0.25">
      <c r="A602" s="4"/>
      <c r="B602" s="4"/>
      <c r="C602" s="4" t="str">
        <f ca="1">IFERROR(__xludf.DUMMYFUNCTION("""COMPUTED_VALUE"""),"2_ABaOnucUYRtqz7MaW4LEB4O8jlVTuA4_R81eEpAyjmiuznfwk5Zo-cHGNRd78UB0Fw")</f>
        <v>2_ABaOnucUYRtqz7MaW4LEB4O8jlVTuA4_R81eEpAyjmiuznfwk5Zo-cHGNRd78UB0Fw</v>
      </c>
      <c r="D602" s="4" t="str">
        <f ca="1">IFERROR(__xludf.DUMMYFUNCTION("""COMPUTED_VALUE"""),"Đại học")</f>
        <v>Đại học</v>
      </c>
    </row>
    <row r="603" spans="1:4" x14ac:dyDescent="0.25">
      <c r="A603" s="4"/>
      <c r="B603" s="4"/>
      <c r="C603" s="4" t="str">
        <f ca="1">IFERROR(__xludf.DUMMYFUNCTION("""COMPUTED_VALUE"""),"2_ABaOnudL4XQgDGSzdZsXtSbaTAoxYRXyy2Gw__TiaxilGvpuoGa4SwL9vKUf6dThmg")</f>
        <v>2_ABaOnudL4XQgDGSzdZsXtSbaTAoxYRXyy2Gw__TiaxilGvpuoGa4SwL9vKUf6dThmg</v>
      </c>
      <c r="D603" s="4" t="str">
        <f ca="1">IFERROR(__xludf.DUMMYFUNCTION("""COMPUTED_VALUE"""),"Đại học")</f>
        <v>Đại học</v>
      </c>
    </row>
    <row r="604" spans="1:4" x14ac:dyDescent="0.25">
      <c r="A604" s="4"/>
      <c r="B604" s="4"/>
      <c r="C604" s="4" t="str">
        <f ca="1">IFERROR(__xludf.DUMMYFUNCTION("""COMPUTED_VALUE"""),"2_ABaOnuecD4dDYHJjOB1MpDwb3IS-z6NHyCnxWZVZoNHNKCdySFhlH7RZq_dzSQdqrQ")</f>
        <v>2_ABaOnuecD4dDYHJjOB1MpDwb3IS-z6NHyCnxWZVZoNHNKCdySFhlH7RZq_dzSQdqrQ</v>
      </c>
      <c r="D604" s="4" t="str">
        <f ca="1">IFERROR(__xludf.DUMMYFUNCTION("""COMPUTED_VALUE"""),"Chứng chỉ Kiểm toán viên")</f>
        <v>Chứng chỉ Kiểm toán viên</v>
      </c>
    </row>
    <row r="605" spans="1:4" x14ac:dyDescent="0.25">
      <c r="A605" s="4"/>
      <c r="B605" s="4"/>
      <c r="C605" s="4" t="str">
        <f ca="1">IFERROR(__xludf.DUMMYFUNCTION("""COMPUTED_VALUE"""),"2_ABaOnudEAcaN4lI3TQNFN3Hw8Y_bj5-4aij7W5NmM0CUnZBBXpnPzd9FxCXZZ5_wvA")</f>
        <v>2_ABaOnudEAcaN4lI3TQNFN3Hw8Y_bj5-4aij7W5NmM0CUnZBBXpnPzd9FxCXZZ5_wvA</v>
      </c>
      <c r="D605" s="4" t="str">
        <f ca="1">IFERROR(__xludf.DUMMYFUNCTION("""COMPUTED_VALUE"""),"Đại học")</f>
        <v>Đại học</v>
      </c>
    </row>
    <row r="606" spans="1:4" x14ac:dyDescent="0.25">
      <c r="A606" s="4"/>
      <c r="B606" s="4"/>
      <c r="C606" s="4" t="str">
        <f ca="1">IFERROR(__xludf.DUMMYFUNCTION("""COMPUTED_VALUE"""),"2_ABaOnueDOV5LPKNuTDAxxmwNvMdDGJTr3eigPIZ6WV6NKxZUq75E9qXb5AxYVIgv9g")</f>
        <v>2_ABaOnueDOV5LPKNuTDAxxmwNvMdDGJTr3eigPIZ6WV6NKxZUq75E9qXb5AxYVIgv9g</v>
      </c>
      <c r="D606" s="4" t="str">
        <f ca="1">IFERROR(__xludf.DUMMYFUNCTION("""COMPUTED_VALUE"""),"Đại học")</f>
        <v>Đại học</v>
      </c>
    </row>
    <row r="607" spans="1:4" x14ac:dyDescent="0.25">
      <c r="A607" s="4"/>
      <c r="B607" s="4"/>
      <c r="C607" s="4" t="str">
        <f ca="1">IFERROR(__xludf.DUMMYFUNCTION("""COMPUTED_VALUE"""),"2_ABaOnuf8-IPmq5NYY9fCIkkGwROWVSuUyBxX9EPpA-rglII6EI8BawZZmKtp3TWXDw")</f>
        <v>2_ABaOnuf8-IPmq5NYY9fCIkkGwROWVSuUyBxX9EPpA-rglII6EI8BawZZmKtp3TWXDw</v>
      </c>
      <c r="D607" s="4" t="str">
        <f ca="1">IFERROR(__xludf.DUMMYFUNCTION("""COMPUTED_VALUE"""),"Chứng chỉ Kiểm toán viên")</f>
        <v>Chứng chỉ Kiểm toán viên</v>
      </c>
    </row>
    <row r="608" spans="1:4" x14ac:dyDescent="0.25">
      <c r="A608" s="4"/>
      <c r="B608" s="4"/>
      <c r="C608" s="4" t="str">
        <f ca="1">IFERROR(__xludf.DUMMYFUNCTION("""COMPUTED_VALUE"""),"2_ABaOnueMdh95UH9muICAdIHGqMpXr0pSVjVGz6BRITF6ZedUFqV7HhgaTrchSTUY1g")</f>
        <v>2_ABaOnueMdh95UH9muICAdIHGqMpXr0pSVjVGz6BRITF6ZedUFqV7HhgaTrchSTUY1g</v>
      </c>
      <c r="D608" s="4" t="str">
        <f ca="1">IFERROR(__xludf.DUMMYFUNCTION("""COMPUTED_VALUE"""),"Đại học")</f>
        <v>Đại học</v>
      </c>
    </row>
    <row r="609" spans="1:4" x14ac:dyDescent="0.25">
      <c r="A609" s="4"/>
      <c r="B609" s="4"/>
      <c r="C609" s="4" t="str">
        <f ca="1">IFERROR(__xludf.DUMMYFUNCTION("""COMPUTED_VALUE"""),"2_ABaOnueMdh95UH9muICAdIHGqMpXr0pSVjVGz6BRITF6ZedUFqV7HhgaTrchSTUY1g")</f>
        <v>2_ABaOnueMdh95UH9muICAdIHGqMpXr0pSVjVGz6BRITF6ZedUFqV7HhgaTrchSTUY1g</v>
      </c>
      <c r="D609" s="4" t="str">
        <f ca="1">IFERROR(__xludf.DUMMYFUNCTION("""COMPUTED_VALUE"""),"Chứng chỉ Kiểm toán viên")</f>
        <v>Chứng chỉ Kiểm toán viên</v>
      </c>
    </row>
    <row r="610" spans="1:4" x14ac:dyDescent="0.25">
      <c r="A610" s="4"/>
      <c r="B610" s="4"/>
      <c r="C610" s="4" t="str">
        <f ca="1">IFERROR(__xludf.DUMMYFUNCTION("""COMPUTED_VALUE"""),"2_ABaOnufJmsrUP33GtAD8cAYowxZjq4P86dAtzwCaHe9416lZSf2uwJtfwY9i4RJbfw")</f>
        <v>2_ABaOnufJmsrUP33GtAD8cAYowxZjq4P86dAtzwCaHe9416lZSf2uwJtfwY9i4RJbfw</v>
      </c>
      <c r="D610" s="4" t="str">
        <f ca="1">IFERROR(__xludf.DUMMYFUNCTION("""COMPUTED_VALUE"""),"Đại học")</f>
        <v>Đại học</v>
      </c>
    </row>
    <row r="611" spans="1:4" x14ac:dyDescent="0.25">
      <c r="A611" s="4"/>
      <c r="B611" s="4"/>
      <c r="C611" s="4" t="str">
        <f ca="1">IFERROR(__xludf.DUMMYFUNCTION("""COMPUTED_VALUE"""),"2_ABaOnufJmsrUP33GtAD8cAYowxZjq4P86dAtzwCaHe9416lZSf2uwJtfwY9i4RJbfw")</f>
        <v>2_ABaOnufJmsrUP33GtAD8cAYowxZjq4P86dAtzwCaHe9416lZSf2uwJtfwY9i4RJbfw</v>
      </c>
      <c r="D611" s="4" t="str">
        <f ca="1">IFERROR(__xludf.DUMMYFUNCTION("""COMPUTED_VALUE"""),"Sau đại học")</f>
        <v>Sau đại học</v>
      </c>
    </row>
    <row r="612" spans="1:4" x14ac:dyDescent="0.25">
      <c r="A612" s="4"/>
      <c r="B612" s="4"/>
      <c r="C612" s="4" t="str">
        <f ca="1">IFERROR(__xludf.DUMMYFUNCTION("""COMPUTED_VALUE"""),"2_ABaOnufJmsrUP33GtAD8cAYowxZjq4P86dAtzwCaHe9416lZSf2uwJtfwY9i4RJbfw")</f>
        <v>2_ABaOnufJmsrUP33GtAD8cAYowxZjq4P86dAtzwCaHe9416lZSf2uwJtfwY9i4RJbfw</v>
      </c>
      <c r="D612" s="4" t="str">
        <f ca="1">IFERROR(__xludf.DUMMYFUNCTION("""COMPUTED_VALUE"""),"Chứng chỉ Kiểm toán viên")</f>
        <v>Chứng chỉ Kiểm toán viên</v>
      </c>
    </row>
    <row r="613" spans="1:4" x14ac:dyDescent="0.25">
      <c r="A613" s="4"/>
      <c r="B613" s="4"/>
      <c r="C613" s="4" t="str">
        <f ca="1">IFERROR(__xludf.DUMMYFUNCTION("""COMPUTED_VALUE"""),"2_ABaOnufRDPheS0KUnS1FcmTHcEcFb4WoUvbyNZee8npxgN8zALMvqnjfqULIYkPHcw")</f>
        <v>2_ABaOnufRDPheS0KUnS1FcmTHcEcFb4WoUvbyNZee8npxgN8zALMvqnjfqULIYkPHcw</v>
      </c>
      <c r="D613" s="4" t="str">
        <f ca="1">IFERROR(__xludf.DUMMYFUNCTION("""COMPUTED_VALUE"""),"Sau đại học")</f>
        <v>Sau đại học</v>
      </c>
    </row>
    <row r="614" spans="1:4" x14ac:dyDescent="0.25">
      <c r="A614" s="4"/>
      <c r="B614" s="4"/>
      <c r="C614" s="4" t="str">
        <f ca="1">IFERROR(__xludf.DUMMYFUNCTION("""COMPUTED_VALUE"""),"2_ABaOnufRDPheS0KUnS1FcmTHcEcFb4WoUvbyNZee8npxgN8zALMvqnjfqULIYkPHcw")</f>
        <v>2_ABaOnufRDPheS0KUnS1FcmTHcEcFb4WoUvbyNZee8npxgN8zALMvqnjfqULIYkPHcw</v>
      </c>
      <c r="D614" s="4" t="str">
        <f ca="1">IFERROR(__xludf.DUMMYFUNCTION("""COMPUTED_VALUE"""),"Chứng chỉ Kiểm toán viên")</f>
        <v>Chứng chỉ Kiểm toán viên</v>
      </c>
    </row>
    <row r="615" spans="1:4" x14ac:dyDescent="0.25">
      <c r="A615" s="4"/>
      <c r="B615" s="4"/>
      <c r="C615" s="4" t="str">
        <f ca="1">IFERROR(__xludf.DUMMYFUNCTION("""COMPUTED_VALUE"""),"2_ABaOnufjcwTSAfYLOP2r-r4E4PhaHYqGU-5hCFjuaPd_no68o3I6Q6uZ1pqbpCfTFA")</f>
        <v>2_ABaOnufjcwTSAfYLOP2r-r4E4PhaHYqGU-5hCFjuaPd_no68o3I6Q6uZ1pqbpCfTFA</v>
      </c>
      <c r="D615" s="4" t="str">
        <f ca="1">IFERROR(__xludf.DUMMYFUNCTION("""COMPUTED_VALUE"""),"Đại học")</f>
        <v>Đại học</v>
      </c>
    </row>
    <row r="616" spans="1:4" x14ac:dyDescent="0.25">
      <c r="A616" s="4"/>
      <c r="B616" s="4"/>
      <c r="C616" s="4" t="str">
        <f ca="1">IFERROR(__xludf.DUMMYFUNCTION("""COMPUTED_VALUE"""),"2_ABaOnufjcwTSAfYLOP2r-r4E4PhaHYqGU-5hCFjuaPd_no68o3I6Q6uZ1pqbpCfTFA")</f>
        <v>2_ABaOnufjcwTSAfYLOP2r-r4E4PhaHYqGU-5hCFjuaPd_no68o3I6Q6uZ1pqbpCfTFA</v>
      </c>
      <c r="D616" s="4" t="str">
        <f ca="1">IFERROR(__xludf.DUMMYFUNCTION("""COMPUTED_VALUE"""),"Sau đại học")</f>
        <v>Sau đại học</v>
      </c>
    </row>
    <row r="617" spans="1:4" x14ac:dyDescent="0.25">
      <c r="A617" s="4"/>
      <c r="B617" s="4"/>
      <c r="C617" s="4" t="str">
        <f ca="1">IFERROR(__xludf.DUMMYFUNCTION("""COMPUTED_VALUE"""),"2_ABaOnufjcwTSAfYLOP2r-r4E4PhaHYqGU-5hCFjuaPd_no68o3I6Q6uZ1pqbpCfTFA")</f>
        <v>2_ABaOnufjcwTSAfYLOP2r-r4E4PhaHYqGU-5hCFjuaPd_no68o3I6Q6uZ1pqbpCfTFA</v>
      </c>
      <c r="D617" s="4" t="str">
        <f ca="1">IFERROR(__xludf.DUMMYFUNCTION("""COMPUTED_VALUE"""),"Chứng chỉ Kiểm toán viên")</f>
        <v>Chứng chỉ Kiểm toán viên</v>
      </c>
    </row>
    <row r="618" spans="1:4" x14ac:dyDescent="0.25">
      <c r="A618" s="4"/>
      <c r="B618" s="4"/>
      <c r="C618" s="4" t="str">
        <f ca="1">IFERROR(__xludf.DUMMYFUNCTION("""COMPUTED_VALUE"""),"2_ABaOnud63cwB6AUzG6BqafTRQqWGLpdR9hlWpdLM91JM7sRGspSehJ8dNpJQbi1HZw")</f>
        <v>2_ABaOnud63cwB6AUzG6BqafTRQqWGLpdR9hlWpdLM91JM7sRGspSehJ8dNpJQbi1HZw</v>
      </c>
      <c r="D618" s="4" t="str">
        <f ca="1">IFERROR(__xludf.DUMMYFUNCTION("""COMPUTED_VALUE"""),"Sau đại học")</f>
        <v>Sau đại học</v>
      </c>
    </row>
    <row r="619" spans="1:4" x14ac:dyDescent="0.25">
      <c r="A619" s="4"/>
      <c r="B619" s="4"/>
      <c r="C619" s="4" t="str">
        <f ca="1">IFERROR(__xludf.DUMMYFUNCTION("""COMPUTED_VALUE"""),"2_ABaOnuc7SI58yXn7dTwdClNGCykQCRuegeRKCtxgl3cXaZXMa8uyoaNsI70n_XV5VQ")</f>
        <v>2_ABaOnuc7SI58yXn7dTwdClNGCykQCRuegeRKCtxgl3cXaZXMa8uyoaNsI70n_XV5VQ</v>
      </c>
      <c r="D619" s="4" t="str">
        <f ca="1">IFERROR(__xludf.DUMMYFUNCTION("""COMPUTED_VALUE"""),"Sau đại học")</f>
        <v>Sau đại học</v>
      </c>
    </row>
    <row r="620" spans="1:4" x14ac:dyDescent="0.25">
      <c r="A620" s="4"/>
      <c r="B620" s="4"/>
      <c r="C620" s="4" t="str">
        <f ca="1">IFERROR(__xludf.DUMMYFUNCTION("""COMPUTED_VALUE"""),"2_ABaOnuc7SI58yXn7dTwdClNGCykQCRuegeRKCtxgl3cXaZXMa8uyoaNsI70n_XV5VQ")</f>
        <v>2_ABaOnuc7SI58yXn7dTwdClNGCykQCRuegeRKCtxgl3cXaZXMa8uyoaNsI70n_XV5VQ</v>
      </c>
      <c r="D620" s="4" t="str">
        <f ca="1">IFERROR(__xludf.DUMMYFUNCTION("""COMPUTED_VALUE"""),"Chứng chỉ Kiểm toán viên")</f>
        <v>Chứng chỉ Kiểm toán viên</v>
      </c>
    </row>
    <row r="621" spans="1:4" x14ac:dyDescent="0.25">
      <c r="A621" s="4"/>
      <c r="B621" s="4"/>
      <c r="C621" s="4" t="str">
        <f ca="1">IFERROR(__xludf.DUMMYFUNCTION("""COMPUTED_VALUE"""),"2_ABaOnuc-LZ0pDeGoLMtumTgc252-llMaPmYdO4G1AlCvrohPAv7brCWAwRyhepA4GA")</f>
        <v>2_ABaOnuc-LZ0pDeGoLMtumTgc252-llMaPmYdO4G1AlCvrohPAv7brCWAwRyhepA4GA</v>
      </c>
      <c r="D621" s="4" t="str">
        <f ca="1">IFERROR(__xludf.DUMMYFUNCTION("""COMPUTED_VALUE"""),"Đại học")</f>
        <v>Đại học</v>
      </c>
    </row>
    <row r="622" spans="1:4" x14ac:dyDescent="0.25">
      <c r="A622" s="4"/>
      <c r="B622" s="4"/>
      <c r="C622" s="4" t="str">
        <f ca="1">IFERROR(__xludf.DUMMYFUNCTION("""COMPUTED_VALUE"""),"2_ABaOnudv97NUnWhhHYcBU6fztOUs10OItLrDUi6xJ9XO3162IuChkHXnaH3ORULBCg")</f>
        <v>2_ABaOnudv97NUnWhhHYcBU6fztOUs10OItLrDUi6xJ9XO3162IuChkHXnaH3ORULBCg</v>
      </c>
      <c r="D622" s="4" t="str">
        <f ca="1">IFERROR(__xludf.DUMMYFUNCTION("""COMPUTED_VALUE"""),"Đại học")</f>
        <v>Đại học</v>
      </c>
    </row>
    <row r="623" spans="1:4" x14ac:dyDescent="0.25">
      <c r="A623" s="4"/>
      <c r="B623" s="4"/>
      <c r="C623" s="4" t="str">
        <f ca="1">IFERROR(__xludf.DUMMYFUNCTION("""COMPUTED_VALUE"""),"2_ABaOnufht28RKhoR9yPYAMVnOAS8PuikplIAgdoXm0fsrKz7GEHU-WrvLMAssl-FZg")</f>
        <v>2_ABaOnufht28RKhoR9yPYAMVnOAS8PuikplIAgdoXm0fsrKz7GEHU-WrvLMAssl-FZg</v>
      </c>
      <c r="D623" s="4" t="str">
        <f ca="1">IFERROR(__xludf.DUMMYFUNCTION("""COMPUTED_VALUE"""),"Đại học")</f>
        <v>Đại học</v>
      </c>
    </row>
    <row r="624" spans="1:4" x14ac:dyDescent="0.25">
      <c r="A624" s="4"/>
      <c r="B624" s="4"/>
      <c r="C624" s="4" t="str">
        <f ca="1">IFERROR(__xludf.DUMMYFUNCTION("""COMPUTED_VALUE"""),"2_ABaOnudX3h1FRo9_NO2Y8mEOTy_0uQh2YXuzz9_q64I9ffrYHwO80K6DecN4cW6MVQ")</f>
        <v>2_ABaOnudX3h1FRo9_NO2Y8mEOTy_0uQh2YXuzz9_q64I9ffrYHwO80K6DecN4cW6MVQ</v>
      </c>
      <c r="D624" s="4" t="str">
        <f ca="1">IFERROR(__xludf.DUMMYFUNCTION("""COMPUTED_VALUE"""),"Đại học")</f>
        <v>Đại học</v>
      </c>
    </row>
    <row r="625" spans="1:4" x14ac:dyDescent="0.25">
      <c r="A625" s="4"/>
      <c r="B625" s="4"/>
      <c r="C625" s="4" t="str">
        <f ca="1">IFERROR(__xludf.DUMMYFUNCTION("""COMPUTED_VALUE"""),"2_ABaOnudg3Q-VPpM0vdXH0_ixtMHXg6s_vPbMeYlpfU46ObUR4vLqXKhoPlr3mqTePQ")</f>
        <v>2_ABaOnudg3Q-VPpM0vdXH0_ixtMHXg6s_vPbMeYlpfU46ObUR4vLqXKhoPlr3mqTePQ</v>
      </c>
      <c r="D625" s="4" t="str">
        <f ca="1">IFERROR(__xludf.DUMMYFUNCTION("""COMPUTED_VALUE"""),"Đại học")</f>
        <v>Đại học</v>
      </c>
    </row>
    <row r="626" spans="1:4" x14ac:dyDescent="0.25">
      <c r="A626" s="4"/>
      <c r="B626" s="4"/>
      <c r="C626" s="4" t="str">
        <f ca="1">IFERROR(__xludf.DUMMYFUNCTION("""COMPUTED_VALUE"""),"2_ABaOnucEIhV9vFxOVNZ45FTk8Zao0xQo8G-rFgi3KuOAX29F9-pSPJtYwvy67BYf2g")</f>
        <v>2_ABaOnucEIhV9vFxOVNZ45FTk8Zao0xQo8G-rFgi3KuOAX29F9-pSPJtYwvy67BYf2g</v>
      </c>
      <c r="D626" s="4" t="str">
        <f ca="1">IFERROR(__xludf.DUMMYFUNCTION("""COMPUTED_VALUE"""),"Đại học")</f>
        <v>Đại học</v>
      </c>
    </row>
    <row r="627" spans="1:4" x14ac:dyDescent="0.25">
      <c r="A627" s="4"/>
      <c r="B627" s="4"/>
      <c r="C627" s="4" t="str">
        <f ca="1">IFERROR(__xludf.DUMMYFUNCTION("""COMPUTED_VALUE"""),"2_ABaOnue-jQ-1d9z-pV75tfLrn9KUV6LqB72mU3z66HF18lgjhdm_rOZiEGfvJOW6Ug")</f>
        <v>2_ABaOnue-jQ-1d9z-pV75tfLrn9KUV6LqB72mU3z66HF18lgjhdm_rOZiEGfvJOW6Ug</v>
      </c>
      <c r="D627" s="4" t="str">
        <f ca="1">IFERROR(__xludf.DUMMYFUNCTION("""COMPUTED_VALUE"""),"Đại học")</f>
        <v>Đại học</v>
      </c>
    </row>
    <row r="628" spans="1:4" x14ac:dyDescent="0.25">
      <c r="A628" s="4"/>
      <c r="B628" s="4"/>
      <c r="C628" s="4" t="str">
        <f ca="1">IFERROR(__xludf.DUMMYFUNCTION("""COMPUTED_VALUE"""),"2_ABaOnudS0GwpMbYjKBfJvlxn8I11hJWDteJ54DzwIzOvHJBdqK5rGFNEDJ9fJfqZnQ")</f>
        <v>2_ABaOnudS0GwpMbYjKBfJvlxn8I11hJWDteJ54DzwIzOvHJBdqK5rGFNEDJ9fJfqZnQ</v>
      </c>
      <c r="D628" s="4" t="str">
        <f ca="1">IFERROR(__xludf.DUMMYFUNCTION("""COMPUTED_VALUE"""),"Đại học")</f>
        <v>Đại học</v>
      </c>
    </row>
    <row r="629" spans="1:4" x14ac:dyDescent="0.25">
      <c r="A629" s="4"/>
      <c r="B629" s="4"/>
      <c r="C629" s="4" t="str">
        <f ca="1">IFERROR(__xludf.DUMMYFUNCTION("""COMPUTED_VALUE"""),"2_ABaOnuehj6LNehqVAiRqgiaXF_3zexhvWT0udhd5AopMRdJTottVkpPsA-TN9wEDQQ")</f>
        <v>2_ABaOnuehj6LNehqVAiRqgiaXF_3zexhvWT0udhd5AopMRdJTottVkpPsA-TN9wEDQQ</v>
      </c>
      <c r="D629" s="4" t="str">
        <f ca="1">IFERROR(__xludf.DUMMYFUNCTION("""COMPUTED_VALUE"""),"Sau đại học")</f>
        <v>Sau đại học</v>
      </c>
    </row>
    <row r="630" spans="1:4" x14ac:dyDescent="0.25">
      <c r="A630" s="4"/>
      <c r="B630" s="4"/>
      <c r="C630" s="4" t="str">
        <f ca="1">IFERROR(__xludf.DUMMYFUNCTION("""COMPUTED_VALUE"""),"2_ABaOnucfuz1ZFt_J4Bsxv674Em_HzIh9cNSDcbiMpaFspeHe1jLSQVbHHoiEkg3Xig")</f>
        <v>2_ABaOnucfuz1ZFt_J4Bsxv674Em_HzIh9cNSDcbiMpaFspeHe1jLSQVbHHoiEkg3Xig</v>
      </c>
      <c r="D630" s="4" t="str">
        <f ca="1">IFERROR(__xludf.DUMMYFUNCTION("""COMPUTED_VALUE"""),"Đại học")</f>
        <v>Đại học</v>
      </c>
    </row>
    <row r="631" spans="1:4" x14ac:dyDescent="0.25">
      <c r="A631" s="4"/>
      <c r="B631" s="4"/>
      <c r="C631" s="4" t="str">
        <f ca="1">IFERROR(__xludf.DUMMYFUNCTION("""COMPUTED_VALUE"""),"2_ABaOnucfuz1ZFt_J4Bsxv674Em_HzIh9cNSDcbiMpaFspeHe1jLSQVbHHoiEkg3Xig")</f>
        <v>2_ABaOnucfuz1ZFt_J4Bsxv674Em_HzIh9cNSDcbiMpaFspeHe1jLSQVbHHoiEkg3Xig</v>
      </c>
      <c r="D631" s="4" t="str">
        <f ca="1">IFERROR(__xludf.DUMMYFUNCTION("""COMPUTED_VALUE"""),"Chứng chỉ Kiểm toán viên")</f>
        <v>Chứng chỉ Kiểm toán viên</v>
      </c>
    </row>
    <row r="632" spans="1:4" x14ac:dyDescent="0.25">
      <c r="A632" s="4"/>
      <c r="B632" s="4"/>
      <c r="C632" s="4" t="str">
        <f ca="1">IFERROR(__xludf.DUMMYFUNCTION("""COMPUTED_VALUE"""),"2_ABaOnudZIcMxSHOXF82cuAFR5Wfa7lmY1ZIORR64a5ywfC3r48CkzKNQWSb7irxSuA")</f>
        <v>2_ABaOnudZIcMxSHOXF82cuAFR5Wfa7lmY1ZIORR64a5ywfC3r48CkzKNQWSb7irxSuA</v>
      </c>
      <c r="D632" s="4" t="str">
        <f ca="1">IFERROR(__xludf.DUMMYFUNCTION("""COMPUTED_VALUE"""),"Đại học")</f>
        <v>Đại học</v>
      </c>
    </row>
    <row r="633" spans="1:4" x14ac:dyDescent="0.25">
      <c r="A633" s="4"/>
      <c r="B633" s="4"/>
      <c r="C633" s="4" t="str">
        <f ca="1">IFERROR(__xludf.DUMMYFUNCTION("""COMPUTED_VALUE"""),"2_ABaOnudnF6vxlTKZ7SgFO-Dk3XyxG8nJtZ_NMTaT_CWbI0m82jZKNoi6sVge1sBO8A")</f>
        <v>2_ABaOnudnF6vxlTKZ7SgFO-Dk3XyxG8nJtZ_NMTaT_CWbI0m82jZKNoi6sVge1sBO8A</v>
      </c>
      <c r="D633" s="4" t="str">
        <f ca="1">IFERROR(__xludf.DUMMYFUNCTION("""COMPUTED_VALUE"""),"Đại học")</f>
        <v>Đại học</v>
      </c>
    </row>
    <row r="634" spans="1:4" x14ac:dyDescent="0.25">
      <c r="A634" s="4"/>
      <c r="B634" s="4"/>
      <c r="C634" s="4" t="str">
        <f ca="1">IFERROR(__xludf.DUMMYFUNCTION("""COMPUTED_VALUE"""),"2_ABaOnufU7sFjWvsipRjkIkVZZipYV2JT-0ZPtRGpTRXB8_0fWsGET_q0sr9LCXeKHQ")</f>
        <v>2_ABaOnufU7sFjWvsipRjkIkVZZipYV2JT-0ZPtRGpTRXB8_0fWsGET_q0sr9LCXeKHQ</v>
      </c>
      <c r="D634" s="4" t="str">
        <f ca="1">IFERROR(__xludf.DUMMYFUNCTION("""COMPUTED_VALUE"""),"Sau đại học")</f>
        <v>Sau đại học</v>
      </c>
    </row>
    <row r="635" spans="1:4" x14ac:dyDescent="0.25">
      <c r="A635" s="4"/>
      <c r="B635" s="4"/>
      <c r="C635" s="4" t="str">
        <f ca="1">IFERROR(__xludf.DUMMYFUNCTION("""COMPUTED_VALUE"""),"2_ABaOnuf8bPxcIFhpCv8tZSNk-h3C0lpT1TqooginyE2ic51pswMtG4VpDEnyqj-Odw")</f>
        <v>2_ABaOnuf8bPxcIFhpCv8tZSNk-h3C0lpT1TqooginyE2ic51pswMtG4VpDEnyqj-Odw</v>
      </c>
      <c r="D635" s="4" t="str">
        <f ca="1">IFERROR(__xludf.DUMMYFUNCTION("""COMPUTED_VALUE"""),"Đại học")</f>
        <v>Đại học</v>
      </c>
    </row>
    <row r="636" spans="1:4" x14ac:dyDescent="0.25">
      <c r="A636" s="4"/>
      <c r="B636" s="4"/>
      <c r="C636" s="4" t="str">
        <f ca="1">IFERROR(__xludf.DUMMYFUNCTION("""COMPUTED_VALUE"""),"2_ABaOnuf8bPxcIFhpCv8tZSNk-h3C0lpT1TqooginyE2ic51pswMtG4VpDEnyqj-Odw")</f>
        <v>2_ABaOnuf8bPxcIFhpCv8tZSNk-h3C0lpT1TqooginyE2ic51pswMtG4VpDEnyqj-Odw</v>
      </c>
      <c r="D636" s="4" t="str">
        <f ca="1">IFERROR(__xludf.DUMMYFUNCTION("""COMPUTED_VALUE"""),"Chứng chỉ Kiểm toán viên")</f>
        <v>Chứng chỉ Kiểm toán viên</v>
      </c>
    </row>
    <row r="637" spans="1:4" x14ac:dyDescent="0.25">
      <c r="A637" s="4"/>
      <c r="B637" s="4"/>
      <c r="C637" s="4" t="str">
        <f ca="1">IFERROR(__xludf.DUMMYFUNCTION("""COMPUTED_VALUE"""),"2_ABaOnudjC74wCD-aDa0OYSi450084PeQLsSADHI-HtkSedBEqm1tTq1xakawLlo42w")</f>
        <v>2_ABaOnudjC74wCD-aDa0OYSi450084PeQLsSADHI-HtkSedBEqm1tTq1xakawLlo42w</v>
      </c>
      <c r="D637" s="4" t="str">
        <f ca="1">IFERROR(__xludf.DUMMYFUNCTION("""COMPUTED_VALUE"""),"Đại học")</f>
        <v>Đại học</v>
      </c>
    </row>
    <row r="638" spans="1:4" x14ac:dyDescent="0.25">
      <c r="A638" s="4"/>
      <c r="B638" s="4"/>
      <c r="C638" s="4" t="str">
        <f ca="1">IFERROR(__xludf.DUMMYFUNCTION("""COMPUTED_VALUE"""),"2_ABaOnuf_g-udsFYUm002u-m8Ege-vL8AQi3fsIMSIu3GNg8tk7nUoR5M8xp5GbkiRg")</f>
        <v>2_ABaOnuf_g-udsFYUm002u-m8Ege-vL8AQi3fsIMSIu3GNg8tk7nUoR5M8xp5GbkiRg</v>
      </c>
      <c r="D638" s="4" t="str">
        <f ca="1">IFERROR(__xludf.DUMMYFUNCTION("""COMPUTED_VALUE"""),"Đại học")</f>
        <v>Đại học</v>
      </c>
    </row>
    <row r="639" spans="1:4" x14ac:dyDescent="0.25">
      <c r="A639" s="4"/>
      <c r="B639" s="4"/>
      <c r="C639" s="4" t="str">
        <f ca="1">IFERROR(__xludf.DUMMYFUNCTION("""COMPUTED_VALUE"""),"2_ABaOnudUqMN6almPB8156Vr-p0HhSaneel22vBtTc_NDdoxmbQDdtpCKcOYe2Icpxg")</f>
        <v>2_ABaOnudUqMN6almPB8156Vr-p0HhSaneel22vBtTc_NDdoxmbQDdtpCKcOYe2Icpxg</v>
      </c>
      <c r="D639" s="4" t="str">
        <f ca="1">IFERROR(__xludf.DUMMYFUNCTION("""COMPUTED_VALUE"""),"Đại học")</f>
        <v>Đại học</v>
      </c>
    </row>
    <row r="640" spans="1:4" x14ac:dyDescent="0.25">
      <c r="A640" s="4"/>
      <c r="B640" s="4"/>
      <c r="C640" s="4" t="str">
        <f ca="1">IFERROR(__xludf.DUMMYFUNCTION("""COMPUTED_VALUE"""),"2_ABaOnudUqMN6almPB8156Vr-p0HhSaneel22vBtTc_NDdoxmbQDdtpCKcOYe2Icpxg")</f>
        <v>2_ABaOnudUqMN6almPB8156Vr-p0HhSaneel22vBtTc_NDdoxmbQDdtpCKcOYe2Icpxg</v>
      </c>
      <c r="D640" s="4" t="str">
        <f ca="1">IFERROR(__xludf.DUMMYFUNCTION("""COMPUTED_VALUE"""),"Chứng chỉ Kiểm toán viên")</f>
        <v>Chứng chỉ Kiểm toán viên</v>
      </c>
    </row>
    <row r="641" spans="1:4" x14ac:dyDescent="0.25">
      <c r="A641" s="4"/>
      <c r="B641" s="4"/>
      <c r="C641" s="4" t="str">
        <f ca="1">IFERROR(__xludf.DUMMYFUNCTION("""COMPUTED_VALUE"""),"2_ABaOnuf5wRqK6oC5rc0v2nm8LCxdQu1KZKxRApIIiH8EC8N54Ei76yQ8fHj4lNiPpg")</f>
        <v>2_ABaOnuf5wRqK6oC5rc0v2nm8LCxdQu1KZKxRApIIiH8EC8N54Ei76yQ8fHj4lNiPpg</v>
      </c>
      <c r="D641" s="4" t="str">
        <f ca="1">IFERROR(__xludf.DUMMYFUNCTION("""COMPUTED_VALUE"""),"Đại học")</f>
        <v>Đại học</v>
      </c>
    </row>
    <row r="642" spans="1:4" x14ac:dyDescent="0.25">
      <c r="A642" s="4"/>
      <c r="B642" s="4"/>
      <c r="C642" s="4" t="str">
        <f ca="1">IFERROR(__xludf.DUMMYFUNCTION("""COMPUTED_VALUE"""),"2_ABaOnucYh3l8pE1C--7rOk3I965tSC6rNOpFN1mv-lc1Q0rID4synoj2Lh3CqEujHA")</f>
        <v>2_ABaOnucYh3l8pE1C--7rOk3I965tSC6rNOpFN1mv-lc1Q0rID4synoj2Lh3CqEujHA</v>
      </c>
      <c r="D642" s="4" t="str">
        <f ca="1">IFERROR(__xludf.DUMMYFUNCTION("""COMPUTED_VALUE"""),"Đại học")</f>
        <v>Đại học</v>
      </c>
    </row>
    <row r="643" spans="1:4" x14ac:dyDescent="0.25">
      <c r="A643" s="4"/>
      <c r="B643" s="4"/>
      <c r="C643" s="4" t="str">
        <f ca="1">IFERROR(__xludf.DUMMYFUNCTION("""COMPUTED_VALUE"""),"2_ABaOnudn-HrR9yQBjYdZl4hFIu0M66LZDgEATxaZMOieMj9_bxtrvKoL-Mf53J9E3A")</f>
        <v>2_ABaOnudn-HrR9yQBjYdZl4hFIu0M66LZDgEATxaZMOieMj9_bxtrvKoL-Mf53J9E3A</v>
      </c>
      <c r="D643" s="4" t="str">
        <f ca="1">IFERROR(__xludf.DUMMYFUNCTION("""COMPUTED_VALUE"""),"Đại học")</f>
        <v>Đại học</v>
      </c>
    </row>
    <row r="644" spans="1:4" x14ac:dyDescent="0.25">
      <c r="A644" s="4"/>
      <c r="B644" s="4"/>
      <c r="C644" s="4" t="str">
        <f ca="1">IFERROR(__xludf.DUMMYFUNCTION("""COMPUTED_VALUE"""),"2_ABaOnue98bKsNQSXkGDd4w9ydCBVzJelpDEZSXPF-gkih5nz2ob8GrOm7ggzb-Zggg")</f>
        <v>2_ABaOnue98bKsNQSXkGDd4w9ydCBVzJelpDEZSXPF-gkih5nz2ob8GrOm7ggzb-Zggg</v>
      </c>
      <c r="D644" s="4" t="str">
        <f ca="1">IFERROR(__xludf.DUMMYFUNCTION("""COMPUTED_VALUE"""),"Đại học")</f>
        <v>Đại học</v>
      </c>
    </row>
    <row r="645" spans="1:4" x14ac:dyDescent="0.25">
      <c r="A645" s="4"/>
      <c r="B645" s="4"/>
      <c r="C645" s="4" t="str">
        <f ca="1">IFERROR(__xludf.DUMMYFUNCTION("""COMPUTED_VALUE"""),"2_ABaOnudn_dWnZTlPIJ-VrMWrjLtr69DvG3wAeuOO_Llr632I3QMc6Gearp60vDg2kw")</f>
        <v>2_ABaOnudn_dWnZTlPIJ-VrMWrjLtr69DvG3wAeuOO_Llr632I3QMc6Gearp60vDg2kw</v>
      </c>
      <c r="D645" s="4" t="str">
        <f ca="1">IFERROR(__xludf.DUMMYFUNCTION("""COMPUTED_VALUE"""),"Đại học")</f>
        <v>Đại học</v>
      </c>
    </row>
    <row r="646" spans="1:4" x14ac:dyDescent="0.25">
      <c r="A646" s="4"/>
      <c r="B646" s="4"/>
      <c r="C646" s="4" t="str">
        <f ca="1">IFERROR(__xludf.DUMMYFUNCTION("""COMPUTED_VALUE"""),"2_ABaOnud_kLicEz72ziEpYCk038TqHwYdjuxjXF8Q_inJ659k65x3dHKZEEYjYbeJ8Q")</f>
        <v>2_ABaOnud_kLicEz72ziEpYCk038TqHwYdjuxjXF8Q_inJ659k65x3dHKZEEYjYbeJ8Q</v>
      </c>
      <c r="D646" s="4" t="str">
        <f ca="1">IFERROR(__xludf.DUMMYFUNCTION("""COMPUTED_VALUE"""),"Đại học")</f>
        <v>Đại học</v>
      </c>
    </row>
    <row r="647" spans="1:4" x14ac:dyDescent="0.25">
      <c r="A647" s="4"/>
      <c r="B647" s="4"/>
      <c r="C647" s="4" t="str">
        <f ca="1">IFERROR(__xludf.DUMMYFUNCTION("""COMPUTED_VALUE"""),"2_ABaOnud_kLicEz72ziEpYCk038TqHwYdjuxjXF8Q_inJ659k65x3dHKZEEYjYbeJ8Q")</f>
        <v>2_ABaOnud_kLicEz72ziEpYCk038TqHwYdjuxjXF8Q_inJ659k65x3dHKZEEYjYbeJ8Q</v>
      </c>
      <c r="D647" s="4" t="str">
        <f ca="1">IFERROR(__xludf.DUMMYFUNCTION("""COMPUTED_VALUE"""),"Chứng chỉ Kiểm toán viên")</f>
        <v>Chứng chỉ Kiểm toán viên</v>
      </c>
    </row>
    <row r="648" spans="1:4" x14ac:dyDescent="0.25">
      <c r="A648" s="4"/>
      <c r="B648" s="4"/>
      <c r="C648" s="4" t="str">
        <f ca="1">IFERROR(__xludf.DUMMYFUNCTION("""COMPUTED_VALUE"""),"2_ABaOnuf6CuCMhcweqAE8IMbAfXaHJ6Z-rl6YW4p1zfQsLlGeOi-6Eo6-hM-FIYXKkA")</f>
        <v>2_ABaOnuf6CuCMhcweqAE8IMbAfXaHJ6Z-rl6YW4p1zfQsLlGeOi-6Eo6-hM-FIYXKkA</v>
      </c>
      <c r="D648" s="4" t="str">
        <f ca="1">IFERROR(__xludf.DUMMYFUNCTION("""COMPUTED_VALUE"""),"Đại học")</f>
        <v>Đại học</v>
      </c>
    </row>
    <row r="649" spans="1:4" x14ac:dyDescent="0.25">
      <c r="A649" s="4"/>
      <c r="B649" s="4"/>
      <c r="C649" s="4" t="str">
        <f ca="1">IFERROR(__xludf.DUMMYFUNCTION("""COMPUTED_VALUE"""),"2_ABaOnuf6CuCMhcweqAE8IMbAfXaHJ6Z-rl6YW4p1zfQsLlGeOi-6Eo6-hM-FIYXKkA")</f>
        <v>2_ABaOnuf6CuCMhcweqAE8IMbAfXaHJ6Z-rl6YW4p1zfQsLlGeOi-6Eo6-hM-FIYXKkA</v>
      </c>
      <c r="D649" s="4" t="str">
        <f ca="1">IFERROR(__xludf.DUMMYFUNCTION("""COMPUTED_VALUE"""),"Chứng chỉ Kiểm toán viên")</f>
        <v>Chứng chỉ Kiểm toán viên</v>
      </c>
    </row>
    <row r="650" spans="1:4" x14ac:dyDescent="0.25">
      <c r="A650" s="4"/>
      <c r="B650" s="4"/>
      <c r="C650" s="4" t="str">
        <f ca="1">IFERROR(__xludf.DUMMYFUNCTION("""COMPUTED_VALUE"""),"2_ABaOnuf13TgQh_Nwkq34e0p4ClukSdURs-l9JDmkzf_Q0UUvXblC3F_aiwqzog2-XQ")</f>
        <v>2_ABaOnuf13TgQh_Nwkq34e0p4ClukSdURs-l9JDmkzf_Q0UUvXblC3F_aiwqzog2-XQ</v>
      </c>
      <c r="D650" s="4" t="str">
        <f ca="1">IFERROR(__xludf.DUMMYFUNCTION("""COMPUTED_VALUE"""),"Đại học")</f>
        <v>Đại học</v>
      </c>
    </row>
    <row r="651" spans="1:4" x14ac:dyDescent="0.25">
      <c r="A651" s="4"/>
      <c r="B651" s="4"/>
      <c r="C651" s="4" t="str">
        <f ca="1">IFERROR(__xludf.DUMMYFUNCTION("""COMPUTED_VALUE"""),"2_ABaOnueqXSLTBJfE1JmzEQBWnh517cpkvkxgfdvMq0oQG57JLWoeJaKxo0SW6AIXsQ")</f>
        <v>2_ABaOnueqXSLTBJfE1JmzEQBWnh517cpkvkxgfdvMq0oQG57JLWoeJaKxo0SW6AIXsQ</v>
      </c>
      <c r="D651" s="4" t="str">
        <f ca="1">IFERROR(__xludf.DUMMYFUNCTION("""COMPUTED_VALUE"""),"Đại học")</f>
        <v>Đại học</v>
      </c>
    </row>
    <row r="652" spans="1:4" x14ac:dyDescent="0.25">
      <c r="A652" s="4"/>
      <c r="B652" s="4"/>
      <c r="C652" s="4" t="str">
        <f ca="1">IFERROR(__xludf.DUMMYFUNCTION("""COMPUTED_VALUE"""),"2_ABaOnueqXSLTBJfE1JmzEQBWnh517cpkvkxgfdvMq0oQG57JLWoeJaKxo0SW6AIXsQ")</f>
        <v>2_ABaOnueqXSLTBJfE1JmzEQBWnh517cpkvkxgfdvMq0oQG57JLWoeJaKxo0SW6AIXsQ</v>
      </c>
      <c r="D652" s="4" t="str">
        <f ca="1">IFERROR(__xludf.DUMMYFUNCTION("""COMPUTED_VALUE"""),"Chứng chỉ Kiểm toán viên")</f>
        <v>Chứng chỉ Kiểm toán viên</v>
      </c>
    </row>
    <row r="653" spans="1:4" x14ac:dyDescent="0.25">
      <c r="A653" s="4"/>
      <c r="B653" s="4"/>
      <c r="C653" s="4" t="str">
        <f ca="1">IFERROR(__xludf.DUMMYFUNCTION("""COMPUTED_VALUE"""),"2_ABaOnueYUtcgBS0PRx1DJ9HckuBkP63T6227XoSoT9FJb0mI7ELULWom9sGcAec_Vw")</f>
        <v>2_ABaOnueYUtcgBS0PRx1DJ9HckuBkP63T6227XoSoT9FJb0mI7ELULWom9sGcAec_Vw</v>
      </c>
      <c r="D653" s="4" t="str">
        <f ca="1">IFERROR(__xludf.DUMMYFUNCTION("""COMPUTED_VALUE"""),"Sau đại học")</f>
        <v>Sau đại học</v>
      </c>
    </row>
    <row r="654" spans="1:4" x14ac:dyDescent="0.25">
      <c r="A654" s="4"/>
      <c r="B654" s="4"/>
      <c r="C654" s="4" t="str">
        <f ca="1">IFERROR(__xludf.DUMMYFUNCTION("""COMPUTED_VALUE"""),"2_ABaOnuckqrd4Wv1tlE-a1kSWO2k8b6o9ArAJyiAOSbzuNRR65NoSXWmsD5wviwjN4g")</f>
        <v>2_ABaOnuckqrd4Wv1tlE-a1kSWO2k8b6o9ArAJyiAOSbzuNRR65NoSXWmsD5wviwjN4g</v>
      </c>
      <c r="D654" s="4" t="str">
        <f ca="1">IFERROR(__xludf.DUMMYFUNCTION("""COMPUTED_VALUE"""),"Đại học")</f>
        <v>Đại học</v>
      </c>
    </row>
    <row r="655" spans="1:4" x14ac:dyDescent="0.25">
      <c r="A655" s="4"/>
      <c r="B655" s="4"/>
      <c r="C655" s="4" t="str">
        <f ca="1">IFERROR(__xludf.DUMMYFUNCTION("""COMPUTED_VALUE"""),"2_ABaOnueS4zy-taODEG7tTip6Iq7-1nR6co0id-5NIMShbiCUJpPF6pnE0Y5phX14-g")</f>
        <v>2_ABaOnueS4zy-taODEG7tTip6Iq7-1nR6co0id-5NIMShbiCUJpPF6pnE0Y5phX14-g</v>
      </c>
      <c r="D655" s="4" t="str">
        <f ca="1">IFERROR(__xludf.DUMMYFUNCTION("""COMPUTED_VALUE"""),"Đại học")</f>
        <v>Đại học</v>
      </c>
    </row>
    <row r="656" spans="1:4" x14ac:dyDescent="0.25">
      <c r="A656" s="4"/>
      <c r="B656" s="4"/>
      <c r="C656" s="4" t="str">
        <f ca="1">IFERROR(__xludf.DUMMYFUNCTION("""COMPUTED_VALUE"""),"2_ABaOnudeqtNYw6KIkFXb3lEz1QudLyvL9JODI4oE_eoef0At1sN2ZTsUvL7SuSdZWQ")</f>
        <v>2_ABaOnudeqtNYw6KIkFXb3lEz1QudLyvL9JODI4oE_eoef0At1sN2ZTsUvL7SuSdZWQ</v>
      </c>
      <c r="D656" s="4" t="str">
        <f ca="1">IFERROR(__xludf.DUMMYFUNCTION("""COMPUTED_VALUE"""),"Chứng chỉ Kiểm toán viên")</f>
        <v>Chứng chỉ Kiểm toán viên</v>
      </c>
    </row>
    <row r="657" spans="1:4" x14ac:dyDescent="0.25">
      <c r="A657" s="4"/>
      <c r="B657" s="4"/>
      <c r="C657" s="4" t="str">
        <f ca="1">IFERROR(__xludf.DUMMYFUNCTION("""COMPUTED_VALUE"""),"2_ABaOnudZTYAXLv9QOgvar0G6YbfA-MQQvG_rBipk0Th75t1dyQq-qGXSF8P8tc9aGA")</f>
        <v>2_ABaOnudZTYAXLv9QOgvar0G6YbfA-MQQvG_rBipk0Th75t1dyQq-qGXSF8P8tc9aGA</v>
      </c>
      <c r="D657" s="4" t="str">
        <f ca="1">IFERROR(__xludf.DUMMYFUNCTION("""COMPUTED_VALUE"""),"Đại học")</f>
        <v>Đại học</v>
      </c>
    </row>
    <row r="658" spans="1:4" x14ac:dyDescent="0.25">
      <c r="A658" s="4"/>
      <c r="B658" s="4"/>
      <c r="C658" s="4" t="str">
        <f ca="1">IFERROR(__xludf.DUMMYFUNCTION("""COMPUTED_VALUE"""),"2_ABaOnudZTYAXLv9QOgvar0G6YbfA-MQQvG_rBipk0Th75t1dyQq-qGXSF8P8tc9aGA")</f>
        <v>2_ABaOnudZTYAXLv9QOgvar0G6YbfA-MQQvG_rBipk0Th75t1dyQq-qGXSF8P8tc9aGA</v>
      </c>
      <c r="D658" s="4" t="str">
        <f ca="1">IFERROR(__xludf.DUMMYFUNCTION("""COMPUTED_VALUE"""),"Chứng chỉ Kiểm toán viên")</f>
        <v>Chứng chỉ Kiểm toán viên</v>
      </c>
    </row>
    <row r="659" spans="1:4" x14ac:dyDescent="0.25">
      <c r="A659" s="4"/>
      <c r="B659" s="4"/>
      <c r="C659" s="4" t="str">
        <f ca="1">IFERROR(__xludf.DUMMYFUNCTION("""COMPUTED_VALUE"""),"2_ABaOnue-AnDlbZvX6V7uRBLZ2u9BMoLgnvpR10_ias5trm9A7mO5ChGktySoFfArjw")</f>
        <v>2_ABaOnue-AnDlbZvX6V7uRBLZ2u9BMoLgnvpR10_ias5trm9A7mO5ChGktySoFfArjw</v>
      </c>
      <c r="D659" s="4" t="str">
        <f ca="1">IFERROR(__xludf.DUMMYFUNCTION("""COMPUTED_VALUE"""),"Đại học")</f>
        <v>Đại học</v>
      </c>
    </row>
    <row r="660" spans="1:4" x14ac:dyDescent="0.25">
      <c r="A660" s="4"/>
      <c r="B660" s="4"/>
      <c r="C660" s="4" t="str">
        <f ca="1">IFERROR(__xludf.DUMMYFUNCTION("""COMPUTED_VALUE"""),"2_ABaOnue-AnDlbZvX6V7uRBLZ2u9BMoLgnvpR10_ias5trm9A7mO5ChGktySoFfArjw")</f>
        <v>2_ABaOnue-AnDlbZvX6V7uRBLZ2u9BMoLgnvpR10_ias5trm9A7mO5ChGktySoFfArjw</v>
      </c>
      <c r="D660" s="4" t="str">
        <f ca="1">IFERROR(__xludf.DUMMYFUNCTION("""COMPUTED_VALUE"""),"Chứng chỉ Kiểm toán viên")</f>
        <v>Chứng chỉ Kiểm toán viên</v>
      </c>
    </row>
    <row r="661" spans="1:4" x14ac:dyDescent="0.25">
      <c r="A661" s="4"/>
      <c r="B661" s="4"/>
      <c r="C661" s="4" t="str">
        <f ca="1">IFERROR(__xludf.DUMMYFUNCTION("""COMPUTED_VALUE"""),"2_ABaOnuewTbfxSxsb_rHfmQufzlus4Tbn0CGN2Dv4fWph8wPAe2hixbuZlECUnemYCw")</f>
        <v>2_ABaOnuewTbfxSxsb_rHfmQufzlus4Tbn0CGN2Dv4fWph8wPAe2hixbuZlECUnemYCw</v>
      </c>
      <c r="D661" s="4" t="str">
        <f ca="1">IFERROR(__xludf.DUMMYFUNCTION("""COMPUTED_VALUE"""),"Đại học")</f>
        <v>Đại học</v>
      </c>
    </row>
    <row r="662" spans="1:4" x14ac:dyDescent="0.25">
      <c r="A662" s="4"/>
      <c r="B662" s="4"/>
      <c r="C662" s="4" t="str">
        <f ca="1">IFERROR(__xludf.DUMMYFUNCTION("""COMPUTED_VALUE"""),"2_ABaOnuewTbfxSxsb_rHfmQufzlus4Tbn0CGN2Dv4fWph8wPAe2hixbuZlECUnemYCw")</f>
        <v>2_ABaOnuewTbfxSxsb_rHfmQufzlus4Tbn0CGN2Dv4fWph8wPAe2hixbuZlECUnemYCw</v>
      </c>
      <c r="D662" s="4" t="str">
        <f ca="1">IFERROR(__xludf.DUMMYFUNCTION("""COMPUTED_VALUE"""),"Chứng chỉ Kiểm toán viên")</f>
        <v>Chứng chỉ Kiểm toán viên</v>
      </c>
    </row>
    <row r="663" spans="1:4" x14ac:dyDescent="0.25">
      <c r="A663" s="4"/>
      <c r="B663" s="4"/>
      <c r="C663" s="4" t="str">
        <f ca="1">IFERROR(__xludf.DUMMYFUNCTION("""COMPUTED_VALUE"""),"2_ABaOnufVFEa0-eUsUF24_stY6OCf9W1XLo8ngtZubGcE3GXMtJK3KXwrQs2Z0J11nA")</f>
        <v>2_ABaOnufVFEa0-eUsUF24_stY6OCf9W1XLo8ngtZubGcE3GXMtJK3KXwrQs2Z0J11nA</v>
      </c>
      <c r="D663" s="4" t="str">
        <f ca="1">IFERROR(__xludf.DUMMYFUNCTION("""COMPUTED_VALUE"""),"Sau đại học")</f>
        <v>Sau đại học</v>
      </c>
    </row>
    <row r="664" spans="1:4" x14ac:dyDescent="0.25">
      <c r="A664" s="4"/>
      <c r="B664" s="4"/>
      <c r="C664" s="4" t="str">
        <f ca="1">IFERROR(__xludf.DUMMYFUNCTION("""COMPUTED_VALUE"""),"2_ABaOnufVFEa0-eUsUF24_stY6OCf9W1XLo8ngtZubGcE3GXMtJK3KXwrQs2Z0J11nA")</f>
        <v>2_ABaOnufVFEa0-eUsUF24_stY6OCf9W1XLo8ngtZubGcE3GXMtJK3KXwrQs2Z0J11nA</v>
      </c>
      <c r="D664" s="4" t="str">
        <f ca="1">IFERROR(__xludf.DUMMYFUNCTION("""COMPUTED_VALUE"""),"Chứng chỉ Kiểm toán viên")</f>
        <v>Chứng chỉ Kiểm toán viên</v>
      </c>
    </row>
    <row r="665" spans="1:4" x14ac:dyDescent="0.25">
      <c r="A665" s="4"/>
      <c r="B665" s="4"/>
      <c r="C665" s="4" t="str">
        <f ca="1">IFERROR(__xludf.DUMMYFUNCTION("""COMPUTED_VALUE"""),"2_ABaOnufymi_MW_0w3CZR-saaf-E7uRshpGJdwwYDa22eInaLlBaZSdj4Lju1db5THQ")</f>
        <v>2_ABaOnufymi_MW_0w3CZR-saaf-E7uRshpGJdwwYDa22eInaLlBaZSdj4Lju1db5THQ</v>
      </c>
      <c r="D665" s="4" t="str">
        <f ca="1">IFERROR(__xludf.DUMMYFUNCTION("""COMPUTED_VALUE"""),"Sau đại học")</f>
        <v>Sau đại học</v>
      </c>
    </row>
    <row r="666" spans="1:4" x14ac:dyDescent="0.25">
      <c r="A666" s="4"/>
      <c r="B666" s="4"/>
      <c r="C666" s="4" t="str">
        <f ca="1">IFERROR(__xludf.DUMMYFUNCTION("""COMPUTED_VALUE"""),"2_ABaOnufymi_MW_0w3CZR-saaf-E7uRshpGJdwwYDa22eInaLlBaZSdj4Lju1db5THQ")</f>
        <v>2_ABaOnufymi_MW_0w3CZR-saaf-E7uRshpGJdwwYDa22eInaLlBaZSdj4Lju1db5THQ</v>
      </c>
      <c r="D666" s="4" t="str">
        <f ca="1">IFERROR(__xludf.DUMMYFUNCTION("""COMPUTED_VALUE"""),"Chứng chỉ Kiểm toán viên")</f>
        <v>Chứng chỉ Kiểm toán viên</v>
      </c>
    </row>
    <row r="667" spans="1:4" x14ac:dyDescent="0.25">
      <c r="A667" s="4"/>
      <c r="B667" s="4"/>
      <c r="C667" s="4" t="str">
        <f ca="1">IFERROR(__xludf.DUMMYFUNCTION("""COMPUTED_VALUE"""),"2_ABaOnueIbKw1JUPlwfDtE1O8rK9xCbFMv6OAg-lmNlQ83hGGCUijNqUmRIjRGarCVg")</f>
        <v>2_ABaOnueIbKw1JUPlwfDtE1O8rK9xCbFMv6OAg-lmNlQ83hGGCUijNqUmRIjRGarCVg</v>
      </c>
      <c r="D667" s="4" t="str">
        <f ca="1">IFERROR(__xludf.DUMMYFUNCTION("""COMPUTED_VALUE"""),"Đại học")</f>
        <v>Đại học</v>
      </c>
    </row>
    <row r="668" spans="1:4" x14ac:dyDescent="0.25">
      <c r="A668" s="4"/>
      <c r="B668" s="4"/>
      <c r="C668" s="4" t="str">
        <f ca="1">IFERROR(__xludf.DUMMYFUNCTION("""COMPUTED_VALUE"""),"2_ABaOnueIbKw1JUPlwfDtE1O8rK9xCbFMv6OAg-lmNlQ83hGGCUijNqUmRIjRGarCVg")</f>
        <v>2_ABaOnueIbKw1JUPlwfDtE1O8rK9xCbFMv6OAg-lmNlQ83hGGCUijNqUmRIjRGarCVg</v>
      </c>
      <c r="D668" s="4" t="str">
        <f ca="1">IFERROR(__xludf.DUMMYFUNCTION("""COMPUTED_VALUE"""),"Chứng chỉ Kiểm toán viên")</f>
        <v>Chứng chỉ Kiểm toán viên</v>
      </c>
    </row>
    <row r="669" spans="1:4" x14ac:dyDescent="0.25">
      <c r="A669" s="4"/>
      <c r="B669" s="4"/>
      <c r="C669" s="4" t="str">
        <f ca="1">IFERROR(__xludf.DUMMYFUNCTION("""COMPUTED_VALUE"""),"2_ABaOnueOBZ4TJrNcvPpwsQkAhTkMYHpSvAI5929Xa7uuwIFxcMzbpvqXiKwbhAxIlg")</f>
        <v>2_ABaOnueOBZ4TJrNcvPpwsQkAhTkMYHpSvAI5929Xa7uuwIFxcMzbpvqXiKwbhAxIlg</v>
      </c>
      <c r="D669" s="4" t="str">
        <f ca="1">IFERROR(__xludf.DUMMYFUNCTION("""COMPUTED_VALUE"""),"Đại học")</f>
        <v>Đại học</v>
      </c>
    </row>
    <row r="670" spans="1:4" x14ac:dyDescent="0.25">
      <c r="A670" s="4"/>
      <c r="B670" s="4"/>
      <c r="C670" s="4" t="str">
        <f ca="1">IFERROR(__xludf.DUMMYFUNCTION("""COMPUTED_VALUE"""),"2_ABaOnueOBZ4TJrNcvPpwsQkAhTkMYHpSvAI5929Xa7uuwIFxcMzbpvqXiKwbhAxIlg")</f>
        <v>2_ABaOnueOBZ4TJrNcvPpwsQkAhTkMYHpSvAI5929Xa7uuwIFxcMzbpvqXiKwbhAxIlg</v>
      </c>
      <c r="D670" s="4" t="str">
        <f ca="1">IFERROR(__xludf.DUMMYFUNCTION("""COMPUTED_VALUE"""),"Chứng chỉ Kiểm toán viên")</f>
        <v>Chứng chỉ Kiểm toán viên</v>
      </c>
    </row>
    <row r="671" spans="1:4" x14ac:dyDescent="0.25">
      <c r="A671" s="4"/>
      <c r="B671" s="4"/>
      <c r="C671" s="4" t="str">
        <f ca="1">IFERROR(__xludf.DUMMYFUNCTION("""COMPUTED_VALUE"""),"2_ABaOnuet9ndsnsQNKhLeH9qwNM8ZJ2GelGS9uVkrTTxC4hiXGC_mOuINBRlsPfJwGw")</f>
        <v>2_ABaOnuet9ndsnsQNKhLeH9qwNM8ZJ2GelGS9uVkrTTxC4hiXGC_mOuINBRlsPfJwGw</v>
      </c>
      <c r="D671" s="4" t="str">
        <f ca="1">IFERROR(__xludf.DUMMYFUNCTION("""COMPUTED_VALUE"""),"Đại học")</f>
        <v>Đại học</v>
      </c>
    </row>
    <row r="672" spans="1:4" x14ac:dyDescent="0.25">
      <c r="A672" s="4"/>
      <c r="B672" s="4"/>
      <c r="C672" s="4" t="str">
        <f ca="1">IFERROR(__xludf.DUMMYFUNCTION("""COMPUTED_VALUE"""),"2_ABaOnudlahXWe7PkCCoSHDFke-RzbSTCkGp5irleizVvUK_yn4UrR9hAeXEtIvm0lQ")</f>
        <v>2_ABaOnudlahXWe7PkCCoSHDFke-RzbSTCkGp5irleizVvUK_yn4UrR9hAeXEtIvm0lQ</v>
      </c>
      <c r="D672" s="4" t="str">
        <f ca="1">IFERROR(__xludf.DUMMYFUNCTION("""COMPUTED_VALUE"""),"Đại học")</f>
        <v>Đại học</v>
      </c>
    </row>
    <row r="673" spans="1:4" x14ac:dyDescent="0.25">
      <c r="A673" s="4"/>
      <c r="B673" s="4"/>
      <c r="C673" s="4" t="str">
        <f ca="1">IFERROR(__xludf.DUMMYFUNCTION("""COMPUTED_VALUE"""),"2_ABaOnuelio088KE_UJSKAHr4XZzn0h-tZ6vrFZv0W3q5YNGC5AjK6BjV1L34NUhwgQ")</f>
        <v>2_ABaOnuelio088KE_UJSKAHr4XZzn0h-tZ6vrFZv0W3q5YNGC5AjK6BjV1L34NUhwgQ</v>
      </c>
      <c r="D673" s="4" t="str">
        <f ca="1">IFERROR(__xludf.DUMMYFUNCTION("""COMPUTED_VALUE"""),"Đại học")</f>
        <v>Đại học</v>
      </c>
    </row>
    <row r="674" spans="1:4" x14ac:dyDescent="0.25">
      <c r="A674" s="4"/>
      <c r="B674" s="4"/>
      <c r="C674" s="4" t="str">
        <f ca="1">IFERROR(__xludf.DUMMYFUNCTION("""COMPUTED_VALUE"""),"2_ABaOnuelio088KE_UJSKAHr4XZzn0h-tZ6vrFZv0W3q5YNGC5AjK6BjV1L34NUhwgQ")</f>
        <v>2_ABaOnuelio088KE_UJSKAHr4XZzn0h-tZ6vrFZv0W3q5YNGC5AjK6BjV1L34NUhwgQ</v>
      </c>
      <c r="D674" s="4" t="str">
        <f ca="1">IFERROR(__xludf.DUMMYFUNCTION("""COMPUTED_VALUE"""),"Chứng chỉ Kiểm toán viên")</f>
        <v>Chứng chỉ Kiểm toán viên</v>
      </c>
    </row>
    <row r="675" spans="1:4" x14ac:dyDescent="0.25">
      <c r="A675" s="4"/>
      <c r="B675" s="4"/>
      <c r="C675" s="4" t="str">
        <f ca="1">IFERROR(__xludf.DUMMYFUNCTION("""COMPUTED_VALUE"""),"2_ABaOnufpS8oja-YYrfTqCo9jumb-FRaoYDYA_Lw5BpziYH3bXx7jqCsC9eBuYhEYVg")</f>
        <v>2_ABaOnufpS8oja-YYrfTqCo9jumb-FRaoYDYA_Lw5BpziYH3bXx7jqCsC9eBuYhEYVg</v>
      </c>
      <c r="D675" s="4" t="str">
        <f ca="1">IFERROR(__xludf.DUMMYFUNCTION("""COMPUTED_VALUE"""),"Đại học")</f>
        <v>Đại học</v>
      </c>
    </row>
    <row r="676" spans="1:4" x14ac:dyDescent="0.25">
      <c r="A676" s="4"/>
      <c r="B676" s="4"/>
      <c r="C676" s="4" t="str">
        <f ca="1">IFERROR(__xludf.DUMMYFUNCTION("""COMPUTED_VALUE"""),"2_ABaOnufpS8oja-YYrfTqCo9jumb-FRaoYDYA_Lw5BpziYH3bXx7jqCsC9eBuYhEYVg")</f>
        <v>2_ABaOnufpS8oja-YYrfTqCo9jumb-FRaoYDYA_Lw5BpziYH3bXx7jqCsC9eBuYhEYVg</v>
      </c>
      <c r="D676" s="4" t="str">
        <f ca="1">IFERROR(__xludf.DUMMYFUNCTION("""COMPUTED_VALUE"""),"Chứng chỉ Kiểm toán viên")</f>
        <v>Chứng chỉ Kiểm toán viên</v>
      </c>
    </row>
    <row r="677" spans="1:4" x14ac:dyDescent="0.25">
      <c r="A677" s="4"/>
      <c r="B677" s="4"/>
      <c r="C677" s="4" t="str">
        <f ca="1">IFERROR(__xludf.DUMMYFUNCTION("""COMPUTED_VALUE"""),"2_ABaOnufKOUCkK6Bg7a63ptOL5IHf0-lylGU1oKkqd6PUWbymBhnRt3xVSseRIItPjw")</f>
        <v>2_ABaOnufKOUCkK6Bg7a63ptOL5IHf0-lylGU1oKkqd6PUWbymBhnRt3xVSseRIItPjw</v>
      </c>
      <c r="D677" s="4" t="str">
        <f ca="1">IFERROR(__xludf.DUMMYFUNCTION("""COMPUTED_VALUE"""),"Đại học")</f>
        <v>Đại học</v>
      </c>
    </row>
    <row r="678" spans="1:4" x14ac:dyDescent="0.25">
      <c r="A678" s="4"/>
      <c r="B678" s="4"/>
      <c r="C678" s="4" t="str">
        <f ca="1">IFERROR(__xludf.DUMMYFUNCTION("""COMPUTED_VALUE"""),"2_ABaOnufKOUCkK6Bg7a63ptOL5IHf0-lylGU1oKkqd6PUWbymBhnRt3xVSseRIItPjw")</f>
        <v>2_ABaOnufKOUCkK6Bg7a63ptOL5IHf0-lylGU1oKkqd6PUWbymBhnRt3xVSseRIItPjw</v>
      </c>
      <c r="D678" s="4" t="str">
        <f ca="1">IFERROR(__xludf.DUMMYFUNCTION("""COMPUTED_VALUE"""),"Chứng chỉ Kiểm toán viên")</f>
        <v>Chứng chỉ Kiểm toán viên</v>
      </c>
    </row>
    <row r="679" spans="1:4" x14ac:dyDescent="0.25">
      <c r="A679" s="4"/>
      <c r="B679" s="4"/>
      <c r="C679" s="4" t="str">
        <f ca="1">IFERROR(__xludf.DUMMYFUNCTION("""COMPUTED_VALUE"""),"2_ABaOnud4sNi0FsjFppNCQc-6op_dERgf0vohJ43DeAsXlFbnjSfuVpkeZjz7pBwizw")</f>
        <v>2_ABaOnud4sNi0FsjFppNCQc-6op_dERgf0vohJ43DeAsXlFbnjSfuVpkeZjz7pBwizw</v>
      </c>
      <c r="D679" s="4" t="str">
        <f ca="1">IFERROR(__xludf.DUMMYFUNCTION("""COMPUTED_VALUE"""),"Đại học")</f>
        <v>Đại học</v>
      </c>
    </row>
    <row r="680" spans="1:4" x14ac:dyDescent="0.25">
      <c r="A680" s="4"/>
      <c r="B680" s="4"/>
      <c r="C680" s="4" t="str">
        <f ca="1">IFERROR(__xludf.DUMMYFUNCTION("""COMPUTED_VALUE"""),"2_ABaOnuf4oqG_6MgRdYM6C_S6BDERd-YnPn8UF8l2J3N3IHmxSsqNDYsgsrgXKPF9Qg")</f>
        <v>2_ABaOnuf4oqG_6MgRdYM6C_S6BDERd-YnPn8UF8l2J3N3IHmxSsqNDYsgsrgXKPF9Qg</v>
      </c>
      <c r="D680" s="4" t="str">
        <f ca="1">IFERROR(__xludf.DUMMYFUNCTION("""COMPUTED_VALUE"""),"Đại học")</f>
        <v>Đại học</v>
      </c>
    </row>
    <row r="681" spans="1:4" x14ac:dyDescent="0.25">
      <c r="A681" s="4"/>
      <c r="B681" s="4"/>
      <c r="C681" s="4" t="str">
        <f ca="1">IFERROR(__xludf.DUMMYFUNCTION("""COMPUTED_VALUE"""),"2_ABaOnudmNS6v31kI7W66-4XEAhyMF-lGeQx6qN-gqd-F83bAPeQobIDlZTGZvea_FA")</f>
        <v>2_ABaOnudmNS6v31kI7W66-4XEAhyMF-lGeQx6qN-gqd-F83bAPeQobIDlZTGZvea_FA</v>
      </c>
      <c r="D681" s="4" t="str">
        <f ca="1">IFERROR(__xludf.DUMMYFUNCTION("""COMPUTED_VALUE"""),"Đại học")</f>
        <v>Đại học</v>
      </c>
    </row>
    <row r="682" spans="1:4" x14ac:dyDescent="0.25">
      <c r="A682" s="4"/>
      <c r="B682" s="4"/>
      <c r="C682" s="4" t="str">
        <f ca="1">IFERROR(__xludf.DUMMYFUNCTION("""COMPUTED_VALUE"""),"2_ABaOnuf91L_vXRkzXTho4mVW9iqHSE-4zpqEUHj_y1BN0TLzmhsLF-PHM3AG9Zgakg")</f>
        <v>2_ABaOnuf91L_vXRkzXTho4mVW9iqHSE-4zpqEUHj_y1BN0TLzmhsLF-PHM3AG9Zgakg</v>
      </c>
      <c r="D682" s="4" t="str">
        <f ca="1">IFERROR(__xludf.DUMMYFUNCTION("""COMPUTED_VALUE"""),"Đại học")</f>
        <v>Đại học</v>
      </c>
    </row>
    <row r="683" spans="1:4" x14ac:dyDescent="0.25">
      <c r="A683" s="4"/>
      <c r="B683" s="4"/>
      <c r="C683" s="4" t="str">
        <f ca="1">IFERROR(__xludf.DUMMYFUNCTION("""COMPUTED_VALUE"""),"2_ABaOnudh5f96jFAdQ9Kfq88Fawgxqf1sHt07jKBcEV0-oqeTWMBi60W6O_dmP03NhQ")</f>
        <v>2_ABaOnudh5f96jFAdQ9Kfq88Fawgxqf1sHt07jKBcEV0-oqeTWMBi60W6O_dmP03NhQ</v>
      </c>
      <c r="D683" s="4" t="str">
        <f ca="1">IFERROR(__xludf.DUMMYFUNCTION("""COMPUTED_VALUE"""),"Đại học")</f>
        <v>Đại học</v>
      </c>
    </row>
    <row r="684" spans="1:4" x14ac:dyDescent="0.25">
      <c r="A684" s="4"/>
      <c r="B684" s="4"/>
    </row>
    <row r="685" spans="1:4" x14ac:dyDescent="0.25">
      <c r="A685" s="4"/>
      <c r="B685" s="4"/>
    </row>
    <row r="686" spans="1:4" x14ac:dyDescent="0.25">
      <c r="A686" s="4"/>
      <c r="B686" s="4"/>
    </row>
    <row r="687" spans="1:4" x14ac:dyDescent="0.25">
      <c r="A687" s="4"/>
      <c r="B687" s="4"/>
    </row>
    <row r="688" spans="1:4" x14ac:dyDescent="0.25">
      <c r="A688" s="4"/>
      <c r="B688" s="4"/>
    </row>
    <row r="689" spans="1:2" x14ac:dyDescent="0.25">
      <c r="A689" s="4"/>
      <c r="B689" s="4"/>
    </row>
    <row r="690" spans="1:2" x14ac:dyDescent="0.25">
      <c r="A690" s="4"/>
      <c r="B690" s="4"/>
    </row>
    <row r="691" spans="1:2" x14ac:dyDescent="0.25">
      <c r="A691" s="4"/>
      <c r="B691" s="4"/>
    </row>
    <row r="692" spans="1:2" x14ac:dyDescent="0.25">
      <c r="A692" s="4"/>
      <c r="B692" s="4"/>
    </row>
    <row r="693" spans="1:2" x14ac:dyDescent="0.25">
      <c r="A693" s="4"/>
      <c r="B693" s="4"/>
    </row>
    <row r="694" spans="1:2" x14ac:dyDescent="0.25">
      <c r="A694" s="4"/>
      <c r="B694" s="4"/>
    </row>
    <row r="695" spans="1:2" x14ac:dyDescent="0.25">
      <c r="A695" s="4"/>
      <c r="B695" s="4"/>
    </row>
    <row r="696" spans="1:2" x14ac:dyDescent="0.25">
      <c r="A696" s="4"/>
      <c r="B696" s="4"/>
    </row>
    <row r="697" spans="1:2" x14ac:dyDescent="0.25">
      <c r="A697" s="4"/>
      <c r="B697" s="4"/>
    </row>
    <row r="698" spans="1:2" x14ac:dyDescent="0.25">
      <c r="A698" s="4"/>
      <c r="B698" s="4"/>
    </row>
    <row r="699" spans="1:2" x14ac:dyDescent="0.25">
      <c r="A699" s="4"/>
      <c r="B699" s="4"/>
    </row>
    <row r="700" spans="1:2" x14ac:dyDescent="0.25">
      <c r="A700" s="4"/>
      <c r="B700" s="4"/>
    </row>
    <row r="701" spans="1:2" x14ac:dyDescent="0.25">
      <c r="A701" s="4"/>
      <c r="B701" s="4"/>
    </row>
    <row r="702" spans="1:2" x14ac:dyDescent="0.25">
      <c r="A702" s="4"/>
      <c r="B702" s="4"/>
    </row>
    <row r="703" spans="1:2" x14ac:dyDescent="0.25">
      <c r="A703" s="4"/>
      <c r="B703" s="4"/>
    </row>
    <row r="704" spans="1:2" x14ac:dyDescent="0.25">
      <c r="A704" s="4"/>
      <c r="B704" s="4"/>
    </row>
    <row r="705" spans="1:2" x14ac:dyDescent="0.25">
      <c r="A705" s="4"/>
      <c r="B705" s="4"/>
    </row>
    <row r="706" spans="1:2" x14ac:dyDescent="0.25">
      <c r="A706" s="4"/>
      <c r="B706" s="4"/>
    </row>
    <row r="707" spans="1:2" x14ac:dyDescent="0.25">
      <c r="A707" s="4"/>
      <c r="B707" s="4"/>
    </row>
    <row r="708" spans="1:2" x14ac:dyDescent="0.25">
      <c r="A708" s="4"/>
      <c r="B708" s="4"/>
    </row>
    <row r="709" spans="1:2" x14ac:dyDescent="0.25">
      <c r="A709" s="4"/>
      <c r="B709" s="4"/>
    </row>
    <row r="710" spans="1:2" x14ac:dyDescent="0.25">
      <c r="A710" s="4"/>
      <c r="B710" s="4"/>
    </row>
    <row r="711" spans="1:2" x14ac:dyDescent="0.25">
      <c r="A711" s="4"/>
      <c r="B711" s="4"/>
    </row>
    <row r="712" spans="1:2" x14ac:dyDescent="0.25">
      <c r="A712" s="4"/>
      <c r="B712" s="4"/>
    </row>
    <row r="713" spans="1:2" x14ac:dyDescent="0.25">
      <c r="A713" s="4"/>
      <c r="B713" s="4"/>
    </row>
    <row r="714" spans="1:2" x14ac:dyDescent="0.25">
      <c r="A714" s="4"/>
      <c r="B714" s="4"/>
    </row>
    <row r="715" spans="1:2" x14ac:dyDescent="0.25">
      <c r="A715" s="4"/>
      <c r="B715" s="4"/>
    </row>
    <row r="716" spans="1:2" x14ac:dyDescent="0.25">
      <c r="A716" s="4"/>
      <c r="B716" s="4"/>
    </row>
    <row r="717" spans="1:2" x14ac:dyDescent="0.25">
      <c r="A717" s="4"/>
      <c r="B717" s="4"/>
    </row>
    <row r="718" spans="1:2" x14ac:dyDescent="0.25">
      <c r="A718" s="4"/>
      <c r="B718" s="4"/>
    </row>
    <row r="719" spans="1:2" x14ac:dyDescent="0.25">
      <c r="A719" s="4"/>
      <c r="B719" s="4"/>
    </row>
    <row r="720" spans="1:2" x14ac:dyDescent="0.25">
      <c r="A720" s="4"/>
      <c r="B720" s="4"/>
    </row>
    <row r="721" spans="1:2" x14ac:dyDescent="0.25">
      <c r="A721" s="4"/>
      <c r="B721" s="4"/>
    </row>
    <row r="722" spans="1:2" x14ac:dyDescent="0.25">
      <c r="A722" s="4"/>
      <c r="B722" s="4"/>
    </row>
    <row r="723" spans="1:2" x14ac:dyDescent="0.25">
      <c r="A723" s="4"/>
      <c r="B723" s="4"/>
    </row>
    <row r="724" spans="1:2" x14ac:dyDescent="0.25">
      <c r="A724" s="4"/>
      <c r="B724" s="4"/>
    </row>
    <row r="725" spans="1:2" x14ac:dyDescent="0.25">
      <c r="A725" s="4"/>
      <c r="B725" s="4"/>
    </row>
    <row r="726" spans="1:2" x14ac:dyDescent="0.25">
      <c r="A726" s="4"/>
      <c r="B726" s="4"/>
    </row>
    <row r="727" spans="1:2" x14ac:dyDescent="0.25">
      <c r="A727" s="4"/>
      <c r="B727" s="4"/>
    </row>
    <row r="728" spans="1:2" x14ac:dyDescent="0.25">
      <c r="A728" s="4"/>
      <c r="B728" s="4"/>
    </row>
    <row r="729" spans="1:2" x14ac:dyDescent="0.25">
      <c r="A729" s="4"/>
      <c r="B729" s="4"/>
    </row>
    <row r="730" spans="1:2" x14ac:dyDescent="0.25">
      <c r="A730" s="4"/>
      <c r="B730" s="4"/>
    </row>
    <row r="731" spans="1:2" x14ac:dyDescent="0.25">
      <c r="A731" s="4"/>
      <c r="B731" s="4"/>
    </row>
    <row r="732" spans="1:2" x14ac:dyDescent="0.25">
      <c r="A732" s="4"/>
      <c r="B732" s="4"/>
    </row>
    <row r="733" spans="1:2" x14ac:dyDescent="0.25">
      <c r="A733" s="4"/>
      <c r="B733" s="4"/>
    </row>
    <row r="734" spans="1:2" x14ac:dyDescent="0.25">
      <c r="A734" s="4"/>
      <c r="B734" s="4"/>
    </row>
    <row r="735" spans="1:2" x14ac:dyDescent="0.25">
      <c r="A735" s="4"/>
      <c r="B735" s="4"/>
    </row>
    <row r="736" spans="1:2" x14ac:dyDescent="0.25">
      <c r="A736" s="4"/>
      <c r="B736" s="4"/>
    </row>
    <row r="737" spans="1:2" x14ac:dyDescent="0.25">
      <c r="A737" s="4"/>
      <c r="B737" s="4"/>
    </row>
    <row r="738" spans="1:2" x14ac:dyDescent="0.25">
      <c r="A738" s="4"/>
      <c r="B738" s="4"/>
    </row>
    <row r="739" spans="1:2" x14ac:dyDescent="0.25">
      <c r="A739" s="4"/>
      <c r="B739" s="4"/>
    </row>
    <row r="740" spans="1:2" x14ac:dyDescent="0.25">
      <c r="A740" s="4"/>
      <c r="B740" s="4"/>
    </row>
    <row r="741" spans="1:2" x14ac:dyDescent="0.25">
      <c r="A741" s="4"/>
      <c r="B741" s="4"/>
    </row>
    <row r="742" spans="1:2" x14ac:dyDescent="0.25">
      <c r="A742" s="4"/>
      <c r="B742" s="4"/>
    </row>
    <row r="743" spans="1:2" x14ac:dyDescent="0.25">
      <c r="A743" s="4"/>
      <c r="B743" s="4"/>
    </row>
    <row r="744" spans="1:2" x14ac:dyDescent="0.25">
      <c r="A744" s="4"/>
      <c r="B744" s="4"/>
    </row>
    <row r="745" spans="1:2" x14ac:dyDescent="0.25">
      <c r="A745" s="4"/>
      <c r="B745" s="4"/>
    </row>
    <row r="746" spans="1:2" x14ac:dyDescent="0.25">
      <c r="A746" s="4"/>
      <c r="B746" s="4"/>
    </row>
    <row r="747" spans="1:2" x14ac:dyDescent="0.25">
      <c r="A747" s="4"/>
      <c r="B747" s="4"/>
    </row>
    <row r="748" spans="1:2" x14ac:dyDescent="0.25">
      <c r="A748" s="4"/>
      <c r="B748" s="4"/>
    </row>
    <row r="749" spans="1:2" x14ac:dyDescent="0.25">
      <c r="A749" s="4"/>
      <c r="B749" s="4"/>
    </row>
    <row r="750" spans="1:2" x14ac:dyDescent="0.25">
      <c r="A750" s="4"/>
      <c r="B750" s="4"/>
    </row>
    <row r="751" spans="1:2" x14ac:dyDescent="0.25">
      <c r="A751" s="4"/>
      <c r="B751" s="4"/>
    </row>
    <row r="752" spans="1:2" x14ac:dyDescent="0.25">
      <c r="A752" s="4"/>
      <c r="B752" s="4"/>
    </row>
    <row r="753" spans="1:2" x14ac:dyDescent="0.25">
      <c r="A753" s="4"/>
      <c r="B753" s="4"/>
    </row>
    <row r="754" spans="1:2" x14ac:dyDescent="0.25">
      <c r="A754" s="4"/>
      <c r="B754" s="4"/>
    </row>
    <row r="755" spans="1:2" x14ac:dyDescent="0.25">
      <c r="A755" s="4"/>
      <c r="B755" s="4"/>
    </row>
    <row r="756" spans="1:2" x14ac:dyDescent="0.25">
      <c r="A756" s="4"/>
      <c r="B756" s="4"/>
    </row>
    <row r="757" spans="1:2" x14ac:dyDescent="0.25">
      <c r="A757" s="4"/>
      <c r="B757" s="4"/>
    </row>
    <row r="758" spans="1:2" x14ac:dyDescent="0.25">
      <c r="A758" s="4"/>
      <c r="B758" s="4"/>
    </row>
    <row r="759" spans="1:2" x14ac:dyDescent="0.25">
      <c r="A759" s="4"/>
      <c r="B759" s="4"/>
    </row>
    <row r="760" spans="1:2" x14ac:dyDescent="0.25">
      <c r="A760" s="4"/>
      <c r="B760" s="4"/>
    </row>
    <row r="761" spans="1:2" x14ac:dyDescent="0.25">
      <c r="A761" s="4"/>
      <c r="B761" s="4"/>
    </row>
    <row r="762" spans="1:2" x14ac:dyDescent="0.25">
      <c r="A762" s="4"/>
      <c r="B762" s="4"/>
    </row>
    <row r="763" spans="1:2" x14ac:dyDescent="0.25">
      <c r="A763" s="4"/>
      <c r="B763" s="4"/>
    </row>
    <row r="764" spans="1:2" x14ac:dyDescent="0.25">
      <c r="A764" s="4"/>
      <c r="B764" s="4"/>
    </row>
    <row r="765" spans="1:2" x14ac:dyDescent="0.25">
      <c r="A765" s="4"/>
      <c r="B765" s="4"/>
    </row>
    <row r="766" spans="1:2" x14ac:dyDescent="0.25">
      <c r="A766" s="4"/>
      <c r="B766" s="4"/>
    </row>
    <row r="767" spans="1:2" x14ac:dyDescent="0.25">
      <c r="A767" s="4"/>
      <c r="B767" s="4"/>
    </row>
    <row r="768" spans="1:2" x14ac:dyDescent="0.25">
      <c r="A768" s="4"/>
      <c r="B768" s="4"/>
    </row>
    <row r="769" spans="1:2" x14ac:dyDescent="0.25">
      <c r="A769" s="4"/>
      <c r="B769" s="4"/>
    </row>
    <row r="770" spans="1:2" x14ac:dyDescent="0.25">
      <c r="A770" s="4"/>
      <c r="B770" s="4"/>
    </row>
    <row r="771" spans="1:2" x14ac:dyDescent="0.25">
      <c r="A771" s="4"/>
      <c r="B771" s="4"/>
    </row>
    <row r="772" spans="1:2" x14ac:dyDescent="0.25">
      <c r="A772" s="4"/>
      <c r="B772" s="4"/>
    </row>
    <row r="773" spans="1:2" x14ac:dyDescent="0.25">
      <c r="A773" s="4"/>
      <c r="B773" s="4"/>
    </row>
    <row r="774" spans="1:2" x14ac:dyDescent="0.25">
      <c r="A774" s="4"/>
      <c r="B774" s="4"/>
    </row>
    <row r="775" spans="1:2" x14ac:dyDescent="0.25">
      <c r="A775" s="4"/>
      <c r="B775" s="4"/>
    </row>
    <row r="776" spans="1:2" x14ac:dyDescent="0.25">
      <c r="A776" s="4"/>
      <c r="B776" s="4"/>
    </row>
    <row r="777" spans="1:2" x14ac:dyDescent="0.25">
      <c r="A777" s="4"/>
      <c r="B777" s="4"/>
    </row>
    <row r="778" spans="1:2" x14ac:dyDescent="0.25">
      <c r="A778" s="4"/>
      <c r="B778" s="4"/>
    </row>
    <row r="779" spans="1:2" x14ac:dyDescent="0.25">
      <c r="A779" s="4"/>
      <c r="B779" s="4"/>
    </row>
    <row r="780" spans="1:2" x14ac:dyDescent="0.25">
      <c r="A780" s="4"/>
      <c r="B780" s="4"/>
    </row>
    <row r="781" spans="1:2" x14ac:dyDescent="0.25">
      <c r="A781" s="4"/>
      <c r="B781" s="4"/>
    </row>
    <row r="782" spans="1:2" x14ac:dyDescent="0.25">
      <c r="A782" s="4"/>
      <c r="B782" s="4"/>
    </row>
    <row r="783" spans="1:2" x14ac:dyDescent="0.25">
      <c r="A783" s="4"/>
      <c r="B783" s="4"/>
    </row>
    <row r="784" spans="1:2" x14ac:dyDescent="0.25">
      <c r="A784" s="4"/>
      <c r="B784" s="4"/>
    </row>
    <row r="785" spans="1:2" x14ac:dyDescent="0.25">
      <c r="A785" s="4"/>
      <c r="B785" s="4"/>
    </row>
    <row r="786" spans="1:2" x14ac:dyDescent="0.25">
      <c r="A786" s="4"/>
      <c r="B786" s="4"/>
    </row>
    <row r="787" spans="1:2" x14ac:dyDescent="0.25">
      <c r="A787" s="4"/>
      <c r="B787" s="4"/>
    </row>
    <row r="788" spans="1:2" x14ac:dyDescent="0.25">
      <c r="A788" s="4"/>
      <c r="B788" s="4"/>
    </row>
    <row r="789" spans="1:2" x14ac:dyDescent="0.25">
      <c r="A789" s="4"/>
      <c r="B789" s="4"/>
    </row>
    <row r="790" spans="1:2" x14ac:dyDescent="0.25">
      <c r="A790" s="4"/>
      <c r="B790" s="4"/>
    </row>
    <row r="791" spans="1:2" x14ac:dyDescent="0.25">
      <c r="A791" s="4"/>
      <c r="B791" s="4"/>
    </row>
    <row r="792" spans="1:2" x14ac:dyDescent="0.25">
      <c r="A792" s="4"/>
      <c r="B792" s="4"/>
    </row>
    <row r="793" spans="1:2" x14ac:dyDescent="0.25">
      <c r="A793" s="4"/>
      <c r="B793" s="4"/>
    </row>
    <row r="794" spans="1:2" x14ac:dyDescent="0.25">
      <c r="A794" s="4"/>
      <c r="B794" s="4"/>
    </row>
    <row r="795" spans="1:2" x14ac:dyDescent="0.25">
      <c r="A795" s="4"/>
      <c r="B795" s="4"/>
    </row>
    <row r="796" spans="1:2" x14ac:dyDescent="0.25">
      <c r="A796" s="4"/>
      <c r="B796" s="4"/>
    </row>
    <row r="797" spans="1:2" x14ac:dyDescent="0.25">
      <c r="A797" s="4"/>
      <c r="B797" s="4"/>
    </row>
    <row r="798" spans="1:2" x14ac:dyDescent="0.25">
      <c r="A798" s="4"/>
      <c r="B798" s="4"/>
    </row>
    <row r="799" spans="1:2" x14ac:dyDescent="0.25">
      <c r="A799" s="4"/>
      <c r="B799" s="4"/>
    </row>
    <row r="800" spans="1:2" x14ac:dyDescent="0.25">
      <c r="A800" s="4"/>
      <c r="B800" s="4"/>
    </row>
    <row r="801" spans="1:2" x14ac:dyDescent="0.25">
      <c r="A801" s="4"/>
      <c r="B801" s="4"/>
    </row>
    <row r="802" spans="1:2" x14ac:dyDescent="0.25">
      <c r="A802" s="4"/>
      <c r="B802" s="4"/>
    </row>
    <row r="803" spans="1:2" x14ac:dyDescent="0.25">
      <c r="A803" s="4"/>
      <c r="B803" s="4"/>
    </row>
    <row r="804" spans="1:2" x14ac:dyDescent="0.25">
      <c r="A804" s="4"/>
      <c r="B804" s="4"/>
    </row>
    <row r="805" spans="1:2" x14ac:dyDescent="0.25">
      <c r="A805" s="4"/>
      <c r="B805" s="4"/>
    </row>
    <row r="806" spans="1:2" x14ac:dyDescent="0.25">
      <c r="A806" s="4"/>
      <c r="B806" s="4"/>
    </row>
    <row r="807" spans="1:2" x14ac:dyDescent="0.25">
      <c r="A807" s="4"/>
      <c r="B807" s="4"/>
    </row>
    <row r="808" spans="1:2" x14ac:dyDescent="0.25">
      <c r="A808" s="4"/>
      <c r="B808" s="4"/>
    </row>
    <row r="809" spans="1:2" x14ac:dyDescent="0.25">
      <c r="A809" s="4"/>
      <c r="B809" s="4"/>
    </row>
    <row r="810" spans="1:2" x14ac:dyDescent="0.25">
      <c r="A810" s="4"/>
      <c r="B810" s="4"/>
    </row>
    <row r="811" spans="1:2" x14ac:dyDescent="0.25">
      <c r="A811" s="4"/>
      <c r="B811" s="4"/>
    </row>
    <row r="812" spans="1:2" x14ac:dyDescent="0.25">
      <c r="A812" s="4"/>
      <c r="B812" s="4"/>
    </row>
    <row r="813" spans="1:2" x14ac:dyDescent="0.25">
      <c r="A813" s="4"/>
      <c r="B813" s="4"/>
    </row>
    <row r="814" spans="1:2" x14ac:dyDescent="0.25">
      <c r="A814" s="4"/>
      <c r="B814" s="4"/>
    </row>
    <row r="815" spans="1:2" x14ac:dyDescent="0.25">
      <c r="A815" s="4"/>
      <c r="B815" s="4"/>
    </row>
    <row r="816" spans="1:2" x14ac:dyDescent="0.25">
      <c r="A816" s="4"/>
      <c r="B816" s="4"/>
    </row>
    <row r="817" spans="1:2" x14ac:dyDescent="0.25">
      <c r="A817" s="4"/>
      <c r="B817" s="4"/>
    </row>
    <row r="818" spans="1:2" x14ac:dyDescent="0.25">
      <c r="A818" s="4"/>
      <c r="B818" s="4"/>
    </row>
    <row r="819" spans="1:2" x14ac:dyDescent="0.25">
      <c r="A819" s="4"/>
      <c r="B819" s="4"/>
    </row>
    <row r="820" spans="1:2" x14ac:dyDescent="0.25">
      <c r="A820" s="4"/>
      <c r="B820" s="4"/>
    </row>
    <row r="821" spans="1:2" x14ac:dyDescent="0.25">
      <c r="A821" s="4"/>
      <c r="B821" s="4"/>
    </row>
    <row r="822" spans="1:2" x14ac:dyDescent="0.25">
      <c r="A822" s="4"/>
      <c r="B822" s="4"/>
    </row>
    <row r="823" spans="1:2" x14ac:dyDescent="0.25">
      <c r="A823" s="4"/>
      <c r="B823" s="4"/>
    </row>
    <row r="824" spans="1:2" x14ac:dyDescent="0.25">
      <c r="A824" s="4"/>
      <c r="B824" s="4"/>
    </row>
    <row r="825" spans="1:2" x14ac:dyDescent="0.25">
      <c r="A825" s="4"/>
      <c r="B825" s="4"/>
    </row>
    <row r="826" spans="1:2" x14ac:dyDescent="0.25">
      <c r="A826" s="4"/>
      <c r="B826" s="4"/>
    </row>
    <row r="827" spans="1:2" x14ac:dyDescent="0.25">
      <c r="A827" s="4"/>
      <c r="B827" s="4"/>
    </row>
    <row r="828" spans="1:2" x14ac:dyDescent="0.25">
      <c r="A828" s="4"/>
      <c r="B828" s="4"/>
    </row>
    <row r="829" spans="1:2" x14ac:dyDescent="0.25">
      <c r="A829" s="4"/>
      <c r="B829" s="4"/>
    </row>
    <row r="830" spans="1:2" x14ac:dyDescent="0.25">
      <c r="A830" s="4"/>
      <c r="B830" s="4"/>
    </row>
    <row r="831" spans="1:2" x14ac:dyDescent="0.25">
      <c r="A831" s="4"/>
      <c r="B831" s="4"/>
    </row>
    <row r="832" spans="1:2" x14ac:dyDescent="0.25">
      <c r="A832" s="4"/>
      <c r="B832" s="4"/>
    </row>
    <row r="833" spans="1:2" x14ac:dyDescent="0.25">
      <c r="A833" s="4"/>
      <c r="B833" s="4"/>
    </row>
    <row r="834" spans="1:2" x14ac:dyDescent="0.25">
      <c r="A834" s="4"/>
      <c r="B834" s="4"/>
    </row>
    <row r="835" spans="1:2" x14ac:dyDescent="0.25">
      <c r="A835" s="4"/>
      <c r="B835" s="4"/>
    </row>
    <row r="836" spans="1:2" x14ac:dyDescent="0.25">
      <c r="A836" s="4"/>
      <c r="B836" s="4"/>
    </row>
    <row r="837" spans="1:2" x14ac:dyDescent="0.25">
      <c r="A837" s="4"/>
      <c r="B837" s="4"/>
    </row>
    <row r="838" spans="1:2" x14ac:dyDescent="0.25">
      <c r="A838" s="4"/>
      <c r="B838" s="4"/>
    </row>
    <row r="839" spans="1:2" x14ac:dyDescent="0.25">
      <c r="A839" s="4"/>
      <c r="B839" s="4"/>
    </row>
    <row r="840" spans="1:2" x14ac:dyDescent="0.25">
      <c r="A840" s="4"/>
      <c r="B840" s="4"/>
    </row>
    <row r="841" spans="1:2" x14ac:dyDescent="0.25">
      <c r="A841" s="4"/>
      <c r="B841" s="4"/>
    </row>
    <row r="842" spans="1:2" x14ac:dyDescent="0.25">
      <c r="A842" s="4"/>
      <c r="B842" s="4"/>
    </row>
    <row r="843" spans="1:2" x14ac:dyDescent="0.25">
      <c r="A843" s="4"/>
      <c r="B843" s="4"/>
    </row>
    <row r="844" spans="1:2" x14ac:dyDescent="0.25">
      <c r="A844" s="4"/>
      <c r="B844" s="4"/>
    </row>
    <row r="845" spans="1:2" x14ac:dyDescent="0.25">
      <c r="A845" s="4"/>
      <c r="B845" s="4"/>
    </row>
    <row r="846" spans="1:2" x14ac:dyDescent="0.25">
      <c r="A846" s="4"/>
      <c r="B846" s="4"/>
    </row>
    <row r="847" spans="1:2" x14ac:dyDescent="0.25">
      <c r="A847" s="4"/>
      <c r="B847" s="4"/>
    </row>
    <row r="848" spans="1:2" x14ac:dyDescent="0.25">
      <c r="A848" s="4"/>
      <c r="B848" s="4"/>
    </row>
    <row r="849" spans="1:2" x14ac:dyDescent="0.25">
      <c r="A849" s="4"/>
      <c r="B849" s="4"/>
    </row>
    <row r="850" spans="1:2" x14ac:dyDescent="0.25">
      <c r="A850" s="4"/>
      <c r="B850" s="4"/>
    </row>
    <row r="851" spans="1:2" x14ac:dyDescent="0.25">
      <c r="A851" s="4"/>
      <c r="B851" s="4"/>
    </row>
    <row r="852" spans="1:2" x14ac:dyDescent="0.25">
      <c r="A852" s="4"/>
      <c r="B852" s="4"/>
    </row>
    <row r="853" spans="1:2" x14ac:dyDescent="0.25">
      <c r="A853" s="4"/>
      <c r="B853" s="4"/>
    </row>
    <row r="854" spans="1:2" x14ac:dyDescent="0.25">
      <c r="A854" s="4"/>
      <c r="B854" s="4"/>
    </row>
    <row r="855" spans="1:2" x14ac:dyDescent="0.25">
      <c r="A855" s="4"/>
      <c r="B855" s="4"/>
    </row>
    <row r="856" spans="1:2" x14ac:dyDescent="0.25">
      <c r="A856" s="4"/>
      <c r="B856" s="4"/>
    </row>
    <row r="857" spans="1:2" x14ac:dyDescent="0.25">
      <c r="A857" s="4"/>
      <c r="B857" s="4"/>
    </row>
    <row r="858" spans="1:2" x14ac:dyDescent="0.25">
      <c r="A858" s="4"/>
      <c r="B858" s="4"/>
    </row>
    <row r="859" spans="1:2" x14ac:dyDescent="0.25">
      <c r="A859" s="4"/>
      <c r="B859" s="4"/>
    </row>
    <row r="860" spans="1:2" x14ac:dyDescent="0.25">
      <c r="A860" s="4"/>
      <c r="B860" s="4"/>
    </row>
    <row r="861" spans="1:2" x14ac:dyDescent="0.25">
      <c r="A861" s="4"/>
      <c r="B861" s="4"/>
    </row>
    <row r="862" spans="1:2" x14ac:dyDescent="0.25">
      <c r="A862" s="4"/>
      <c r="B862" s="4"/>
    </row>
    <row r="863" spans="1:2" x14ac:dyDescent="0.25">
      <c r="A863" s="4"/>
      <c r="B863" s="4"/>
    </row>
    <row r="864" spans="1:2" x14ac:dyDescent="0.25">
      <c r="A864" s="4"/>
      <c r="B864" s="4"/>
    </row>
    <row r="865" spans="1:2" x14ac:dyDescent="0.25">
      <c r="A865" s="4"/>
      <c r="B865" s="4"/>
    </row>
    <row r="866" spans="1:2" x14ac:dyDescent="0.25">
      <c r="A866" s="4"/>
      <c r="B866" s="4"/>
    </row>
    <row r="867" spans="1:2" x14ac:dyDescent="0.25">
      <c r="A867" s="4"/>
      <c r="B867" s="4"/>
    </row>
    <row r="868" spans="1:2" x14ac:dyDescent="0.25">
      <c r="A868" s="4"/>
      <c r="B868" s="4"/>
    </row>
    <row r="869" spans="1:2" x14ac:dyDescent="0.25">
      <c r="A869" s="4"/>
      <c r="B869" s="4"/>
    </row>
    <row r="870" spans="1:2" x14ac:dyDescent="0.25">
      <c r="A870" s="4"/>
      <c r="B870" s="4"/>
    </row>
    <row r="871" spans="1:2" x14ac:dyDescent="0.25">
      <c r="A871" s="4"/>
      <c r="B871" s="4"/>
    </row>
    <row r="872" spans="1:2" x14ac:dyDescent="0.25">
      <c r="A872" s="4"/>
      <c r="B872" s="4"/>
    </row>
    <row r="873" spans="1:2" x14ac:dyDescent="0.25">
      <c r="A873" s="4"/>
      <c r="B873" s="4"/>
    </row>
    <row r="874" spans="1:2" x14ac:dyDescent="0.25">
      <c r="A874" s="4"/>
      <c r="B874" s="4"/>
    </row>
    <row r="875" spans="1:2" x14ac:dyDescent="0.25">
      <c r="A875" s="4"/>
      <c r="B875" s="4"/>
    </row>
    <row r="876" spans="1:2" x14ac:dyDescent="0.25">
      <c r="A876" s="4"/>
      <c r="B876" s="4"/>
    </row>
    <row r="877" spans="1:2" x14ac:dyDescent="0.25">
      <c r="A877" s="4"/>
      <c r="B877" s="4"/>
    </row>
    <row r="878" spans="1:2" x14ac:dyDescent="0.25">
      <c r="A878" s="4"/>
      <c r="B878" s="4"/>
    </row>
    <row r="879" spans="1:2" x14ac:dyDescent="0.25">
      <c r="A879" s="4"/>
      <c r="B879" s="4"/>
    </row>
    <row r="880" spans="1:2" x14ac:dyDescent="0.25">
      <c r="A880" s="4"/>
      <c r="B880" s="4"/>
    </row>
    <row r="881" spans="1:2" x14ac:dyDescent="0.25">
      <c r="A881" s="4"/>
      <c r="B881" s="4"/>
    </row>
    <row r="882" spans="1:2" x14ac:dyDescent="0.25">
      <c r="A882" s="4"/>
      <c r="B882" s="4"/>
    </row>
    <row r="883" spans="1:2" x14ac:dyDescent="0.25">
      <c r="A883" s="4"/>
      <c r="B883" s="4"/>
    </row>
    <row r="884" spans="1:2" x14ac:dyDescent="0.25">
      <c r="A884" s="4"/>
      <c r="B884" s="4"/>
    </row>
    <row r="885" spans="1:2" x14ac:dyDescent="0.25">
      <c r="A885" s="4"/>
      <c r="B885" s="4"/>
    </row>
    <row r="886" spans="1:2" x14ac:dyDescent="0.25">
      <c r="A886" s="4"/>
      <c r="B886" s="4"/>
    </row>
    <row r="887" spans="1:2" x14ac:dyDescent="0.25">
      <c r="A887" s="4"/>
      <c r="B887" s="4"/>
    </row>
    <row r="888" spans="1:2" x14ac:dyDescent="0.25">
      <c r="A888" s="4"/>
      <c r="B888" s="4"/>
    </row>
    <row r="889" spans="1:2" x14ac:dyDescent="0.25">
      <c r="A889" s="4"/>
      <c r="B889" s="4"/>
    </row>
    <row r="890" spans="1:2" x14ac:dyDescent="0.25">
      <c r="A890" s="4"/>
      <c r="B890" s="4"/>
    </row>
    <row r="891" spans="1:2" x14ac:dyDescent="0.25">
      <c r="A891" s="4"/>
      <c r="B891" s="4"/>
    </row>
    <row r="892" spans="1:2" x14ac:dyDescent="0.25">
      <c r="A892" s="4"/>
      <c r="B892" s="4"/>
    </row>
    <row r="893" spans="1:2" x14ac:dyDescent="0.25">
      <c r="A893" s="4"/>
      <c r="B893" s="4"/>
    </row>
    <row r="894" spans="1:2" x14ac:dyDescent="0.25">
      <c r="A894" s="4"/>
      <c r="B894" s="4"/>
    </row>
    <row r="895" spans="1:2" x14ac:dyDescent="0.25">
      <c r="A895" s="4"/>
      <c r="B895" s="4"/>
    </row>
    <row r="896" spans="1:2" x14ac:dyDescent="0.25">
      <c r="A896" s="4"/>
      <c r="B896" s="4"/>
    </row>
    <row r="897" spans="1:2" x14ac:dyDescent="0.25">
      <c r="A897" s="4"/>
      <c r="B897" s="4"/>
    </row>
    <row r="898" spans="1:2" x14ac:dyDescent="0.25">
      <c r="A898" s="4"/>
      <c r="B898" s="4"/>
    </row>
    <row r="899" spans="1:2" x14ac:dyDescent="0.25">
      <c r="A899" s="4"/>
      <c r="B899" s="4"/>
    </row>
    <row r="900" spans="1:2" x14ac:dyDescent="0.25">
      <c r="A900" s="4"/>
      <c r="B900" s="4"/>
    </row>
    <row r="901" spans="1:2" x14ac:dyDescent="0.25">
      <c r="A901" s="4"/>
      <c r="B901" s="4"/>
    </row>
    <row r="902" spans="1:2" x14ac:dyDescent="0.25">
      <c r="A902" s="4"/>
      <c r="B902" s="4"/>
    </row>
    <row r="903" spans="1:2" x14ac:dyDescent="0.25">
      <c r="A903" s="4"/>
      <c r="B903" s="4"/>
    </row>
    <row r="904" spans="1:2" x14ac:dyDescent="0.25">
      <c r="A904" s="4"/>
      <c r="B904" s="4"/>
    </row>
    <row r="905" spans="1:2" x14ac:dyDescent="0.25">
      <c r="A905" s="4"/>
      <c r="B905" s="4"/>
    </row>
    <row r="906" spans="1:2" x14ac:dyDescent="0.25">
      <c r="A906" s="4"/>
      <c r="B906" s="4"/>
    </row>
    <row r="907" spans="1:2" x14ac:dyDescent="0.25">
      <c r="A907" s="4"/>
      <c r="B907" s="4"/>
    </row>
    <row r="908" spans="1:2" x14ac:dyDescent="0.25">
      <c r="A908" s="4"/>
      <c r="B908" s="4"/>
    </row>
    <row r="909" spans="1:2" x14ac:dyDescent="0.25">
      <c r="A909" s="4"/>
      <c r="B909" s="4"/>
    </row>
    <row r="910" spans="1:2" x14ac:dyDescent="0.25">
      <c r="A910" s="4"/>
      <c r="B910" s="4"/>
    </row>
    <row r="911" spans="1:2" x14ac:dyDescent="0.25">
      <c r="A911" s="4"/>
      <c r="B911" s="4"/>
    </row>
    <row r="912" spans="1:2" x14ac:dyDescent="0.25">
      <c r="A912" s="4"/>
      <c r="B912" s="4"/>
    </row>
    <row r="913" spans="1:2" x14ac:dyDescent="0.25">
      <c r="A913" s="4"/>
      <c r="B913" s="4"/>
    </row>
    <row r="914" spans="1:2" x14ac:dyDescent="0.25">
      <c r="A914" s="4"/>
      <c r="B914" s="4"/>
    </row>
    <row r="915" spans="1:2" x14ac:dyDescent="0.25">
      <c r="A915" s="4"/>
      <c r="B915" s="4"/>
    </row>
    <row r="916" spans="1:2" x14ac:dyDescent="0.25">
      <c r="A916" s="4"/>
      <c r="B916" s="4"/>
    </row>
    <row r="917" spans="1:2" x14ac:dyDescent="0.25">
      <c r="A917" s="4"/>
      <c r="B917" s="4"/>
    </row>
    <row r="918" spans="1:2" x14ac:dyDescent="0.25">
      <c r="A918" s="4"/>
      <c r="B918" s="4"/>
    </row>
    <row r="919" spans="1:2" x14ac:dyDescent="0.25">
      <c r="A919" s="4"/>
      <c r="B919" s="4"/>
    </row>
    <row r="920" spans="1:2" x14ac:dyDescent="0.25">
      <c r="A920" s="4"/>
      <c r="B920" s="4"/>
    </row>
    <row r="921" spans="1:2" x14ac:dyDescent="0.25">
      <c r="A921" s="4"/>
      <c r="B921" s="4"/>
    </row>
    <row r="922" spans="1:2" x14ac:dyDescent="0.25">
      <c r="A922" s="4"/>
      <c r="B922" s="4"/>
    </row>
    <row r="923" spans="1:2" x14ac:dyDescent="0.25">
      <c r="A923" s="4"/>
      <c r="B923" s="4"/>
    </row>
    <row r="924" spans="1:2" x14ac:dyDescent="0.25">
      <c r="A924" s="4"/>
      <c r="B924" s="4"/>
    </row>
    <row r="925" spans="1:2" x14ac:dyDescent="0.25">
      <c r="A925" s="4"/>
      <c r="B925" s="4"/>
    </row>
    <row r="926" spans="1:2" x14ac:dyDescent="0.25">
      <c r="A926" s="4"/>
      <c r="B926" s="4"/>
    </row>
    <row r="927" spans="1:2" x14ac:dyDescent="0.25">
      <c r="A927" s="4"/>
      <c r="B927" s="4"/>
    </row>
    <row r="928" spans="1:2" x14ac:dyDescent="0.25">
      <c r="A928" s="4"/>
      <c r="B928" s="4"/>
    </row>
    <row r="929" spans="1:2" x14ac:dyDescent="0.25">
      <c r="A929" s="4"/>
      <c r="B929" s="4"/>
    </row>
    <row r="930" spans="1:2" x14ac:dyDescent="0.25">
      <c r="A930" s="4"/>
      <c r="B930" s="4"/>
    </row>
    <row r="931" spans="1:2" x14ac:dyDescent="0.25">
      <c r="A931" s="4"/>
      <c r="B931" s="4"/>
    </row>
    <row r="932" spans="1:2" x14ac:dyDescent="0.25">
      <c r="A932" s="4"/>
      <c r="B932" s="4"/>
    </row>
    <row r="933" spans="1:2" x14ac:dyDescent="0.25">
      <c r="A933" s="4"/>
      <c r="B933" s="4"/>
    </row>
    <row r="934" spans="1:2" x14ac:dyDescent="0.25">
      <c r="A934" s="4"/>
      <c r="B934" s="4"/>
    </row>
    <row r="935" spans="1:2" x14ac:dyDescent="0.25">
      <c r="A935" s="4"/>
      <c r="B935" s="4"/>
    </row>
    <row r="936" spans="1:2" x14ac:dyDescent="0.25">
      <c r="A936" s="4"/>
      <c r="B936" s="4"/>
    </row>
    <row r="937" spans="1:2" x14ac:dyDescent="0.25">
      <c r="A937" s="4"/>
      <c r="B937" s="4"/>
    </row>
    <row r="938" spans="1:2" x14ac:dyDescent="0.25">
      <c r="A938" s="4"/>
      <c r="B938" s="4"/>
    </row>
    <row r="939" spans="1:2" x14ac:dyDescent="0.25">
      <c r="A939" s="4"/>
      <c r="B939" s="4"/>
    </row>
    <row r="940" spans="1:2" x14ac:dyDescent="0.25">
      <c r="A940" s="4"/>
      <c r="B940" s="4"/>
    </row>
    <row r="941" spans="1:2" x14ac:dyDescent="0.25">
      <c r="A941" s="4"/>
      <c r="B941" s="4"/>
    </row>
    <row r="942" spans="1:2" x14ac:dyDescent="0.25">
      <c r="A942" s="4"/>
      <c r="B942" s="4"/>
    </row>
    <row r="943" spans="1:2" x14ac:dyDescent="0.25">
      <c r="A943" s="4"/>
      <c r="B943" s="4"/>
    </row>
    <row r="944" spans="1:2" x14ac:dyDescent="0.25">
      <c r="A944" s="4"/>
      <c r="B944" s="4"/>
    </row>
    <row r="945" spans="1:2" x14ac:dyDescent="0.25">
      <c r="A945" s="4"/>
      <c r="B945" s="4"/>
    </row>
    <row r="946" spans="1:2" x14ac:dyDescent="0.25">
      <c r="A946" s="4"/>
      <c r="B946" s="4"/>
    </row>
    <row r="947" spans="1:2" x14ac:dyDescent="0.25">
      <c r="A947" s="4"/>
      <c r="B947" s="4"/>
    </row>
    <row r="948" spans="1:2" x14ac:dyDescent="0.25">
      <c r="A948" s="4"/>
      <c r="B948" s="4"/>
    </row>
    <row r="949" spans="1:2" x14ac:dyDescent="0.25">
      <c r="A949" s="4"/>
      <c r="B949" s="4"/>
    </row>
    <row r="950" spans="1:2" x14ac:dyDescent="0.25">
      <c r="A950" s="4"/>
      <c r="B950" s="4"/>
    </row>
    <row r="951" spans="1:2" x14ac:dyDescent="0.25">
      <c r="A951" s="4"/>
      <c r="B951" s="4"/>
    </row>
    <row r="952" spans="1:2" x14ac:dyDescent="0.25">
      <c r="A952" s="4"/>
      <c r="B952" s="4"/>
    </row>
    <row r="953" spans="1:2" x14ac:dyDescent="0.25">
      <c r="A953" s="4"/>
      <c r="B953" s="4"/>
    </row>
    <row r="954" spans="1:2" x14ac:dyDescent="0.25">
      <c r="A954" s="4"/>
      <c r="B954" s="4"/>
    </row>
    <row r="955" spans="1:2" x14ac:dyDescent="0.25">
      <c r="A955" s="4"/>
      <c r="B955" s="4"/>
    </row>
    <row r="956" spans="1:2" x14ac:dyDescent="0.25">
      <c r="A956" s="4"/>
      <c r="B956" s="4"/>
    </row>
    <row r="957" spans="1:2" x14ac:dyDescent="0.25">
      <c r="A957" s="4"/>
      <c r="B957" s="4"/>
    </row>
    <row r="958" spans="1:2" x14ac:dyDescent="0.25">
      <c r="A958" s="4"/>
      <c r="B958" s="4"/>
    </row>
    <row r="959" spans="1:2" x14ac:dyDescent="0.25">
      <c r="A959" s="4"/>
      <c r="B959" s="4"/>
    </row>
    <row r="960" spans="1:2" x14ac:dyDescent="0.25">
      <c r="A960" s="4"/>
      <c r="B960" s="4"/>
    </row>
    <row r="961" spans="1:2" x14ac:dyDescent="0.25">
      <c r="A961" s="4"/>
      <c r="B961" s="4"/>
    </row>
    <row r="962" spans="1:2" x14ac:dyDescent="0.25">
      <c r="A962" s="4"/>
      <c r="B962" s="4"/>
    </row>
    <row r="963" spans="1:2" x14ac:dyDescent="0.25">
      <c r="A963" s="4"/>
      <c r="B963" s="4"/>
    </row>
    <row r="964" spans="1:2" x14ac:dyDescent="0.25">
      <c r="A964" s="4"/>
      <c r="B964" s="4"/>
    </row>
    <row r="965" spans="1:2" x14ac:dyDescent="0.25">
      <c r="A965" s="4"/>
      <c r="B965" s="4"/>
    </row>
    <row r="966" spans="1:2" x14ac:dyDescent="0.25">
      <c r="A966" s="4"/>
      <c r="B966" s="4"/>
    </row>
    <row r="967" spans="1:2" x14ac:dyDescent="0.25">
      <c r="A967" s="4"/>
      <c r="B967" s="4"/>
    </row>
    <row r="968" spans="1:2" x14ac:dyDescent="0.25">
      <c r="A968" s="4"/>
      <c r="B968" s="4"/>
    </row>
    <row r="969" spans="1:2" x14ac:dyDescent="0.25">
      <c r="A969" s="4"/>
      <c r="B969" s="4"/>
    </row>
    <row r="970" spans="1:2" x14ac:dyDescent="0.25">
      <c r="A970" s="4"/>
      <c r="B970" s="4"/>
    </row>
    <row r="971" spans="1:2" x14ac:dyDescent="0.25">
      <c r="A971" s="4"/>
      <c r="B971" s="4"/>
    </row>
    <row r="972" spans="1:2" x14ac:dyDescent="0.25">
      <c r="A972" s="4"/>
      <c r="B972" s="4"/>
    </row>
    <row r="973" spans="1:2" x14ac:dyDescent="0.25">
      <c r="A973" s="4"/>
      <c r="B973" s="4"/>
    </row>
    <row r="974" spans="1:2" x14ac:dyDescent="0.25">
      <c r="A974" s="4"/>
      <c r="B974" s="4"/>
    </row>
    <row r="975" spans="1:2" x14ac:dyDescent="0.25">
      <c r="A975" s="4"/>
      <c r="B975" s="4"/>
    </row>
    <row r="976" spans="1:2" x14ac:dyDescent="0.25">
      <c r="A976" s="4"/>
      <c r="B976" s="4"/>
    </row>
    <row r="977" spans="1:2" x14ac:dyDescent="0.25">
      <c r="A977" s="4"/>
      <c r="B977" s="4"/>
    </row>
    <row r="978" spans="1:2" x14ac:dyDescent="0.25">
      <c r="A978" s="4"/>
      <c r="B978" s="4"/>
    </row>
    <row r="979" spans="1:2" x14ac:dyDescent="0.25">
      <c r="A979" s="4"/>
      <c r="B979" s="4"/>
    </row>
    <row r="980" spans="1:2" x14ac:dyDescent="0.25">
      <c r="A980" s="4"/>
      <c r="B980" s="4"/>
    </row>
    <row r="981" spans="1:2" x14ac:dyDescent="0.25">
      <c r="A981" s="4"/>
      <c r="B981" s="4"/>
    </row>
    <row r="982" spans="1:2" x14ac:dyDescent="0.25">
      <c r="A982" s="4"/>
      <c r="B982" s="4"/>
    </row>
    <row r="983" spans="1:2" x14ac:dyDescent="0.25">
      <c r="A983" s="4"/>
      <c r="B983" s="4"/>
    </row>
    <row r="984" spans="1:2" x14ac:dyDescent="0.25">
      <c r="A984" s="4"/>
      <c r="B984" s="4"/>
    </row>
    <row r="985" spans="1:2" x14ac:dyDescent="0.25">
      <c r="A985" s="4"/>
      <c r="B985" s="4"/>
    </row>
    <row r="986" spans="1:2" x14ac:dyDescent="0.25">
      <c r="A986" s="4"/>
      <c r="B986" s="4"/>
    </row>
    <row r="987" spans="1:2" x14ac:dyDescent="0.25">
      <c r="A987" s="4"/>
      <c r="B987" s="4"/>
    </row>
    <row r="988" spans="1:2" x14ac:dyDescent="0.25">
      <c r="A988" s="4"/>
      <c r="B988" s="4"/>
    </row>
    <row r="989" spans="1:2" x14ac:dyDescent="0.25">
      <c r="A989" s="4"/>
      <c r="B989" s="4"/>
    </row>
    <row r="990" spans="1:2" x14ac:dyDescent="0.25">
      <c r="A990" s="4"/>
      <c r="B990" s="4"/>
    </row>
    <row r="991" spans="1:2" x14ac:dyDescent="0.25">
      <c r="A991" s="4"/>
      <c r="B991" s="4"/>
    </row>
    <row r="992" spans="1:2" x14ac:dyDescent="0.25">
      <c r="A992" s="4"/>
      <c r="B992" s="4"/>
    </row>
    <row r="993" spans="1:2" x14ac:dyDescent="0.25">
      <c r="A993" s="4"/>
      <c r="B993" s="4"/>
    </row>
    <row r="994" spans="1:2" x14ac:dyDescent="0.25">
      <c r="A994" s="4"/>
      <c r="B994" s="4"/>
    </row>
    <row r="995" spans="1:2" x14ac:dyDescent="0.25">
      <c r="A995" s="4"/>
      <c r="B995" s="4"/>
    </row>
    <row r="996" spans="1:2" x14ac:dyDescent="0.25">
      <c r="A996" s="4"/>
      <c r="B996" s="4"/>
    </row>
    <row r="997" spans="1:2" x14ac:dyDescent="0.25">
      <c r="A997" s="4"/>
      <c r="B997" s="4"/>
    </row>
    <row r="998" spans="1:2" x14ac:dyDescent="0.25">
      <c r="A998" s="4"/>
      <c r="B998" s="4"/>
    </row>
    <row r="999" spans="1:2" x14ac:dyDescent="0.25">
      <c r="A999" s="4"/>
      <c r="B999" s="4"/>
    </row>
    <row r="1000" spans="1:2" x14ac:dyDescent="0.25">
      <c r="A1000" s="4"/>
      <c r="B1000"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511"/>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56.44140625" customWidth="1"/>
    <col min="2" max="2" width="30.88671875" customWidth="1"/>
    <col min="3" max="3" width="8.21875" customWidth="1"/>
    <col min="4" max="4" width="21.77734375" customWidth="1"/>
    <col min="5" max="5" width="29.44140625" customWidth="1"/>
    <col min="6" max="6" width="22.77734375" customWidth="1"/>
  </cols>
  <sheetData>
    <row r="1" spans="1:10" x14ac:dyDescent="0.25">
      <c r="A1" s="6" t="s">
        <v>1588</v>
      </c>
      <c r="B1" s="6" t="s">
        <v>1589</v>
      </c>
      <c r="C1" s="6" t="s">
        <v>2</v>
      </c>
      <c r="D1" s="6" t="s">
        <v>1578</v>
      </c>
      <c r="E1" s="6" t="s">
        <v>1590</v>
      </c>
      <c r="F1" s="6" t="s">
        <v>1591</v>
      </c>
      <c r="G1" s="6"/>
      <c r="H1" s="6"/>
    </row>
    <row r="2" spans="1:10" x14ac:dyDescent="0.25">
      <c r="A2" s="7" t="str">
        <f ca="1">IFERROR(__xludf.DUMMYFUNCTION("QUERY(
  {
    CHOOSECOLS(data, 68, 2, 3, 5, 6, 7), 
    ARRAYFORMULA(XLOOKUP(CHOOSECOLS(data, 68), fixed_name!A:A, fixed_name!B:B))
  },
  ""SELECT Col7, Col2, Col3, Col4, Col5, Col6 ORDER BY Col7 ASC""
)"),"#N/A")</f>
        <v>#N/A</v>
      </c>
      <c r="B2" s="7" t="str">
        <f ca="1">IFERROR(__xludf.DUMMYFUNCTION("""COMPUTED_VALUE"""),"Lê Trọng Đức")</f>
        <v>Lê Trọng Đức</v>
      </c>
      <c r="C2" s="7" t="str">
        <f ca="1">IFERROR(__xludf.DUMMYFUNCTION("""COMPUTED_VALUE"""),"Nam")</f>
        <v>Nam</v>
      </c>
      <c r="D2" s="7" t="str">
        <f ca="1">IFERROR(__xludf.DUMMYFUNCTION("""COMPUTED_VALUE"""),"Đại học")</f>
        <v>Đại học</v>
      </c>
      <c r="E2" s="7" t="str">
        <f ca="1">IFERROR(__xludf.DUMMYFUNCTION("""COMPUTED_VALUE"""),"Trên 5 đến 10 năm")</f>
        <v>Trên 5 đến 10 năm</v>
      </c>
      <c r="F2" s="7" t="str">
        <f ca="1">IFERROR(__xludf.DUMMYFUNCTION("""COMPUTED_VALUE"""),"Kiểm toán viên/Trưởng nhóm")</f>
        <v>Kiểm toán viên/Trưởng nhóm</v>
      </c>
      <c r="G2" s="7"/>
    </row>
    <row r="3" spans="1:10" x14ac:dyDescent="0.25">
      <c r="A3" s="8" t="str">
        <f ca="1">IFERROR(__xludf.DUMMYFUNCTION("""COMPUTED_VALUE"""),"#N/A")</f>
        <v>#N/A</v>
      </c>
      <c r="B3" s="8" t="str">
        <f ca="1">IFERROR(__xludf.DUMMYFUNCTION("""COMPUTED_VALUE"""),"Phan Thị Thanh Thủy")</f>
        <v>Phan Thị Thanh Thủy</v>
      </c>
      <c r="C3" s="8" t="str">
        <f ca="1">IFERROR(__xludf.DUMMYFUNCTION("""COMPUTED_VALUE"""),"Nữ")</f>
        <v>Nữ</v>
      </c>
      <c r="D3" s="8" t="str">
        <f ca="1">IFERROR(__xludf.DUMMYFUNCTION("""COMPUTED_VALUE"""),"Đại học, Chứng chỉ Kiểm toán viên")</f>
        <v>Đại học, Chứng chỉ Kiểm toán viên</v>
      </c>
      <c r="E3" s="8" t="str">
        <f ca="1">IFERROR(__xludf.DUMMYFUNCTION("""COMPUTED_VALUE"""),"Trên 15 đến 20 năm")</f>
        <v>Trên 15 đến 20 năm</v>
      </c>
      <c r="F3" s="8" t="str">
        <f ca="1">IFERROR(__xludf.DUMMYFUNCTION("""COMPUTED_VALUE"""),"Ban giám đốc")</f>
        <v>Ban giám đốc</v>
      </c>
      <c r="G3" s="8"/>
      <c r="H3" s="8"/>
      <c r="I3" s="8"/>
      <c r="J3" s="8"/>
    </row>
    <row r="4" spans="1:10" x14ac:dyDescent="0.25">
      <c r="A4" s="4" t="str">
        <f ca="1">IFERROR(__xludf.DUMMYFUNCTION("""COMPUTED_VALUE"""),"#N/A")</f>
        <v>#N/A</v>
      </c>
      <c r="B4" s="4" t="str">
        <f ca="1">IFERROR(__xludf.DUMMYFUNCTION("""COMPUTED_VALUE"""),"Đặng Thị Thu Thúy")</f>
        <v>Đặng Thị Thu Thúy</v>
      </c>
      <c r="C4" s="4" t="str">
        <f ca="1">IFERROR(__xludf.DUMMYFUNCTION("""COMPUTED_VALUE"""),"Nữ")</f>
        <v>Nữ</v>
      </c>
      <c r="D4" s="4" t="str">
        <f ca="1">IFERROR(__xludf.DUMMYFUNCTION("""COMPUTED_VALUE"""),"Đại học, Chứng chỉ Kiểm toán viên")</f>
        <v>Đại học, Chứng chỉ Kiểm toán viên</v>
      </c>
      <c r="E4" s="4" t="str">
        <f ca="1">IFERROR(__xludf.DUMMYFUNCTION("""COMPUTED_VALUE"""),"Trên 5 đến 10 năm")</f>
        <v>Trên 5 đến 10 năm</v>
      </c>
      <c r="F4" s="4" t="str">
        <f ca="1">IFERROR(__xludf.DUMMYFUNCTION("""COMPUTED_VALUE"""),"Kiểm toán viên/Trưởng nhóm")</f>
        <v>Kiểm toán viên/Trưởng nhóm</v>
      </c>
    </row>
    <row r="5" spans="1:10" x14ac:dyDescent="0.25">
      <c r="A5" s="4" t="str">
        <f ca="1">IFERROR(__xludf.DUMMYFUNCTION("""COMPUTED_VALUE"""),"#N/A")</f>
        <v>#N/A</v>
      </c>
      <c r="B5" s="4" t="str">
        <f ca="1">IFERROR(__xludf.DUMMYFUNCTION("""COMPUTED_VALUE"""),"Lê Huỳnh Hoàng Phúc")</f>
        <v>Lê Huỳnh Hoàng Phúc</v>
      </c>
      <c r="C5" s="4" t="str">
        <f ca="1">IFERROR(__xludf.DUMMYFUNCTION("""COMPUTED_VALUE"""),"Nam")</f>
        <v>Nam</v>
      </c>
      <c r="D5" s="4" t="str">
        <f ca="1">IFERROR(__xludf.DUMMYFUNCTION("""COMPUTED_VALUE"""),"Đại học, Chứng chỉ Kiểm toán viên")</f>
        <v>Đại học, Chứng chỉ Kiểm toán viên</v>
      </c>
      <c r="E5" s="4" t="str">
        <f ca="1">IFERROR(__xludf.DUMMYFUNCTION("""COMPUTED_VALUE"""),"Trên 5 đến 10 năm")</f>
        <v>Trên 5 đến 10 năm</v>
      </c>
      <c r="F5" s="4" t="str">
        <f ca="1">IFERROR(__xludf.DUMMYFUNCTION("""COMPUTED_VALUE"""),"Kiểm toán viên/Trưởng nhóm")</f>
        <v>Kiểm toán viên/Trưởng nhóm</v>
      </c>
    </row>
    <row r="6" spans="1:10" x14ac:dyDescent="0.25">
      <c r="A6" s="4" t="str">
        <f ca="1">IFERROR(__xludf.DUMMYFUNCTION("""COMPUTED_VALUE"""),"#N/A")</f>
        <v>#N/A</v>
      </c>
      <c r="B6" s="4" t="str">
        <f ca="1">IFERROR(__xludf.DUMMYFUNCTION("""COMPUTED_VALUE"""),"NGUYỄN THỊ THU HUYỀN")</f>
        <v>NGUYỄN THỊ THU HUYỀN</v>
      </c>
      <c r="C6" s="4" t="str">
        <f ca="1">IFERROR(__xludf.DUMMYFUNCTION("""COMPUTED_VALUE"""),"Nữ")</f>
        <v>Nữ</v>
      </c>
      <c r="D6" s="4" t="str">
        <f ca="1">IFERROR(__xludf.DUMMYFUNCTION("""COMPUTED_VALUE"""),"Đại học")</f>
        <v>Đại học</v>
      </c>
      <c r="E6" s="4" t="str">
        <f ca="1">IFERROR(__xludf.DUMMYFUNCTION("""COMPUTED_VALUE"""),"Trên 5 đến 10 năm")</f>
        <v>Trên 5 đến 10 năm</v>
      </c>
      <c r="F6" s="4" t="str">
        <f ca="1">IFERROR(__xludf.DUMMYFUNCTION("""COMPUTED_VALUE"""),"Trợ lý kiểm toán")</f>
        <v>Trợ lý kiểm toán</v>
      </c>
    </row>
    <row r="7" spans="1:10" x14ac:dyDescent="0.25">
      <c r="A7" s="4" t="str">
        <f ca="1">IFERROR(__xludf.DUMMYFUNCTION("""COMPUTED_VALUE"""),"#N/A")</f>
        <v>#N/A</v>
      </c>
      <c r="B7" s="4" t="str">
        <f ca="1">IFERROR(__xludf.DUMMYFUNCTION("""COMPUTED_VALUE"""),"TRẦN DƯƠNG MINH LONG")</f>
        <v>TRẦN DƯƠNG MINH LONG</v>
      </c>
      <c r="C7" s="4" t="str">
        <f ca="1">IFERROR(__xludf.DUMMYFUNCTION("""COMPUTED_VALUE"""),"Nam")</f>
        <v>Nam</v>
      </c>
      <c r="D7" s="4" t="str">
        <f ca="1">IFERROR(__xludf.DUMMYFUNCTION("""COMPUTED_VALUE"""),"Đại học")</f>
        <v>Đại học</v>
      </c>
      <c r="E7" s="4" t="str">
        <f ca="1">IFERROR(__xludf.DUMMYFUNCTION("""COMPUTED_VALUE"""),"Trên 5 đến 10 năm")</f>
        <v>Trên 5 đến 10 năm</v>
      </c>
      <c r="F7" s="4" t="str">
        <f ca="1">IFERROR(__xludf.DUMMYFUNCTION("""COMPUTED_VALUE"""),"Kiểm toán viên/Trưởng nhóm")</f>
        <v>Kiểm toán viên/Trưởng nhóm</v>
      </c>
    </row>
    <row r="8" spans="1:10" x14ac:dyDescent="0.25">
      <c r="A8" s="4" t="str">
        <f ca="1">IFERROR(__xludf.DUMMYFUNCTION("""COMPUTED_VALUE"""),"#N/A")</f>
        <v>#N/A</v>
      </c>
      <c r="B8" s="4" t="str">
        <f ca="1">IFERROR(__xludf.DUMMYFUNCTION("""COMPUTED_VALUE"""),"Trâm Lê")</f>
        <v>Trâm Lê</v>
      </c>
      <c r="C8" s="4" t="str">
        <f ca="1">IFERROR(__xludf.DUMMYFUNCTION("""COMPUTED_VALUE"""),"Nữ")</f>
        <v>Nữ</v>
      </c>
      <c r="D8" s="4" t="str">
        <f ca="1">IFERROR(__xludf.DUMMYFUNCTION("""COMPUTED_VALUE"""),"Đại học")</f>
        <v>Đại học</v>
      </c>
      <c r="E8" s="4" t="str">
        <f ca="1">IFERROR(__xludf.DUMMYFUNCTION("""COMPUTED_VALUE"""),"Từ 3 đến 5 năm")</f>
        <v>Từ 3 đến 5 năm</v>
      </c>
      <c r="F8" s="4" t="str">
        <f ca="1">IFERROR(__xludf.DUMMYFUNCTION("""COMPUTED_VALUE"""),"Kiểm toán viên/Trưởng nhóm")</f>
        <v>Kiểm toán viên/Trưởng nhóm</v>
      </c>
    </row>
    <row r="9" spans="1:10" x14ac:dyDescent="0.25">
      <c r="A9" s="4" t="str">
        <f ca="1">IFERROR(__xludf.DUMMYFUNCTION("""COMPUTED_VALUE"""),"#N/A")</f>
        <v>#N/A</v>
      </c>
      <c r="B9" s="4" t="str">
        <f ca="1">IFERROR(__xludf.DUMMYFUNCTION("""COMPUTED_VALUE"""),"Lê Mai Thiện Tín")</f>
        <v>Lê Mai Thiện Tín</v>
      </c>
      <c r="C9" s="4" t="str">
        <f ca="1">IFERROR(__xludf.DUMMYFUNCTION("""COMPUTED_VALUE"""),"Nam")</f>
        <v>Nam</v>
      </c>
      <c r="D9" s="4" t="str">
        <f ca="1">IFERROR(__xludf.DUMMYFUNCTION("""COMPUTED_VALUE"""),"Đại học")</f>
        <v>Đại học</v>
      </c>
      <c r="E9" s="4" t="str">
        <f ca="1">IFERROR(__xludf.DUMMYFUNCTION("""COMPUTED_VALUE"""),"Trên 5 đến 10 năm")</f>
        <v>Trên 5 đến 10 năm</v>
      </c>
      <c r="F9" s="4" t="str">
        <f ca="1">IFERROR(__xludf.DUMMYFUNCTION("""COMPUTED_VALUE"""),"Kiểm toán viên/Trưởng nhóm")</f>
        <v>Kiểm toán viên/Trưởng nhóm</v>
      </c>
    </row>
    <row r="10" spans="1:10" x14ac:dyDescent="0.25">
      <c r="A10" s="4" t="str">
        <f ca="1">IFERROR(__xludf.DUMMYFUNCTION("""COMPUTED_VALUE"""),"#N/A")</f>
        <v>#N/A</v>
      </c>
      <c r="B10" s="4" t="str">
        <f ca="1">IFERROR(__xludf.DUMMYFUNCTION("""COMPUTED_VALUE"""),"Ngô Quang Tới ")</f>
        <v xml:space="preserve">Ngô Quang Tới </v>
      </c>
      <c r="C10" s="4" t="str">
        <f ca="1">IFERROR(__xludf.DUMMYFUNCTION("""COMPUTED_VALUE"""),"Nam")</f>
        <v>Nam</v>
      </c>
      <c r="D10" s="4" t="str">
        <f ca="1">IFERROR(__xludf.DUMMYFUNCTION("""COMPUTED_VALUE"""),"Đại học")</f>
        <v>Đại học</v>
      </c>
      <c r="E10" s="4" t="str">
        <f ca="1">IFERROR(__xludf.DUMMYFUNCTION("""COMPUTED_VALUE"""),"Từ 3 đến 5 năm")</f>
        <v>Từ 3 đến 5 năm</v>
      </c>
      <c r="F10" s="4" t="str">
        <f ca="1">IFERROR(__xludf.DUMMYFUNCTION("""COMPUTED_VALUE"""),"Trợ lý kiểm toán")</f>
        <v>Trợ lý kiểm toán</v>
      </c>
    </row>
    <row r="11" spans="1:10" x14ac:dyDescent="0.25">
      <c r="A11" s="4" t="str">
        <f ca="1">IFERROR(__xludf.DUMMYFUNCTION("""COMPUTED_VALUE"""),"Công ty CP Du lịch Thành Thành Công")</f>
        <v>Công ty CP Du lịch Thành Thành Công</v>
      </c>
      <c r="B11" s="4" t="str">
        <f ca="1">IFERROR(__xludf.DUMMYFUNCTION("""COMPUTED_VALUE"""),"Hà Thị Mỹ Duyên")</f>
        <v>Hà Thị Mỹ Duyên</v>
      </c>
      <c r="C11" s="4" t="str">
        <f ca="1">IFERROR(__xludf.DUMMYFUNCTION("""COMPUTED_VALUE"""),"Nữ")</f>
        <v>Nữ</v>
      </c>
      <c r="D11" s="4" t="str">
        <f ca="1">IFERROR(__xludf.DUMMYFUNCTION("""COMPUTED_VALUE"""),"Đại học")</f>
        <v>Đại học</v>
      </c>
      <c r="E11" s="4" t="str">
        <f ca="1">IFERROR(__xludf.DUMMYFUNCTION("""COMPUTED_VALUE"""),"Từ 3 đến 5 năm")</f>
        <v>Từ 3 đến 5 năm</v>
      </c>
      <c r="F11" s="4" t="str">
        <f ca="1">IFERROR(__xludf.DUMMYFUNCTION("""COMPUTED_VALUE"""),"Kiểm toán viên/Trưởng nhóm")</f>
        <v>Kiểm toán viên/Trưởng nhóm</v>
      </c>
    </row>
    <row r="12" spans="1:10" x14ac:dyDescent="0.25">
      <c r="A12" s="4" t="str">
        <f ca="1">IFERROR(__xludf.DUMMYFUNCTION("""COMPUTED_VALUE"""),"Công ty CP Thực phẩm Agrex Saigon")</f>
        <v>Công ty CP Thực phẩm Agrex Saigon</v>
      </c>
      <c r="B12" s="4" t="str">
        <f ca="1">IFERROR(__xludf.DUMMYFUNCTION("""COMPUTED_VALUE"""),"NGUYỄN THỊ CẨM HỒNG")</f>
        <v>NGUYỄN THỊ CẨM HỒNG</v>
      </c>
      <c r="C12" s="4" t="str">
        <f ca="1">IFERROR(__xludf.DUMMYFUNCTION("""COMPUTED_VALUE"""),"Nữ")</f>
        <v>Nữ</v>
      </c>
      <c r="D12" s="4" t="str">
        <f ca="1">IFERROR(__xludf.DUMMYFUNCTION("""COMPUTED_VALUE"""),"Sau đại học, Chứng chỉ Kiểm toán viên")</f>
        <v>Sau đại học, Chứng chỉ Kiểm toán viên</v>
      </c>
      <c r="E12" s="4" t="str">
        <f ca="1">IFERROR(__xludf.DUMMYFUNCTION("""COMPUTED_VALUE"""),"Trên 15 đến 20 năm")</f>
        <v>Trên 15 đến 20 năm</v>
      </c>
      <c r="F12" s="4" t="str">
        <f ca="1">IFERROR(__xludf.DUMMYFUNCTION("""COMPUTED_VALUE"""),"Kiểm toán viên/Trưởng nhóm")</f>
        <v>Kiểm toán viên/Trưởng nhóm</v>
      </c>
    </row>
    <row r="13" spans="1:10" x14ac:dyDescent="0.25">
      <c r="A13" s="4" t="str">
        <f ca="1">IFERROR(__xludf.DUMMYFUNCTION("""COMPUTED_VALUE"""),"Công ty Shinhan Finance Việt Nam")</f>
        <v>Công ty Shinhan Finance Việt Nam</v>
      </c>
      <c r="B13" s="4" t="str">
        <f ca="1">IFERROR(__xludf.DUMMYFUNCTION("""COMPUTED_VALUE"""),"Lương Thế Quyền")</f>
        <v>Lương Thế Quyền</v>
      </c>
      <c r="C13" s="4" t="str">
        <f ca="1">IFERROR(__xludf.DUMMYFUNCTION("""COMPUTED_VALUE"""),"Nam")</f>
        <v>Nam</v>
      </c>
      <c r="D13" s="4" t="str">
        <f ca="1">IFERROR(__xludf.DUMMYFUNCTION("""COMPUTED_VALUE"""),"Đại học")</f>
        <v>Đại học</v>
      </c>
      <c r="E13" s="4" t="str">
        <f ca="1">IFERROR(__xludf.DUMMYFUNCTION("""COMPUTED_VALUE"""),"Trên 15 đến 20 năm")</f>
        <v>Trên 15 đến 20 năm</v>
      </c>
      <c r="F13" s="4" t="str">
        <f ca="1">IFERROR(__xludf.DUMMYFUNCTION("""COMPUTED_VALUE"""),"Trưởng phòng")</f>
        <v>Trưởng phòng</v>
      </c>
    </row>
    <row r="14" spans="1:10" x14ac:dyDescent="0.25">
      <c r="A14" s="4" t="str">
        <f ca="1">IFERROR(__xludf.DUMMYFUNCTION("""COMPUTED_VALUE"""),"Công ty TNHH CAF Việt Nam")</f>
        <v>Công ty TNHH CAF Việt Nam</v>
      </c>
      <c r="B14" s="4" t="str">
        <f ca="1">IFERROR(__xludf.DUMMYFUNCTION("""COMPUTED_VALUE"""),"Bùi Sĩ Tuân")</f>
        <v>Bùi Sĩ Tuân</v>
      </c>
      <c r="C14" s="4" t="str">
        <f ca="1">IFERROR(__xludf.DUMMYFUNCTION("""COMPUTED_VALUE"""),"Nam")</f>
        <v>Nam</v>
      </c>
      <c r="D14" s="4" t="str">
        <f ca="1">IFERROR(__xludf.DUMMYFUNCTION("""COMPUTED_VALUE"""),"Đại học")</f>
        <v>Đại học</v>
      </c>
      <c r="E14" s="4" t="str">
        <f ca="1">IFERROR(__xludf.DUMMYFUNCTION("""COMPUTED_VALUE"""),"Từ 3 đến 5 năm")</f>
        <v>Từ 3 đến 5 năm</v>
      </c>
      <c r="F14" s="4" t="str">
        <f ca="1">IFERROR(__xludf.DUMMYFUNCTION("""COMPUTED_VALUE"""),"Kiểm toán viên/Trưởng nhóm")</f>
        <v>Kiểm toán viên/Trưởng nhóm</v>
      </c>
    </row>
    <row r="15" spans="1:10" x14ac:dyDescent="0.25">
      <c r="A15" s="4" t="str">
        <f ca="1">IFERROR(__xludf.DUMMYFUNCTION("""COMPUTED_VALUE"""),"Công ty TNHH CAF Việt Nam")</f>
        <v>Công ty TNHH CAF Việt Nam</v>
      </c>
      <c r="B15" s="4" t="str">
        <f ca="1">IFERROR(__xludf.DUMMYFUNCTION("""COMPUTED_VALUE"""),"Huỳnh Huy Cường")</f>
        <v>Huỳnh Huy Cường</v>
      </c>
      <c r="C15" s="4" t="str">
        <f ca="1">IFERROR(__xludf.DUMMYFUNCTION("""COMPUTED_VALUE"""),"Nam")</f>
        <v>Nam</v>
      </c>
      <c r="D15" s="4" t="str">
        <f ca="1">IFERROR(__xludf.DUMMYFUNCTION("""COMPUTED_VALUE"""),"Đại học")</f>
        <v>Đại học</v>
      </c>
      <c r="E15" s="4" t="str">
        <f ca="1">IFERROR(__xludf.DUMMYFUNCTION("""COMPUTED_VALUE"""),"Trên 15 đến 20 năm")</f>
        <v>Trên 15 đến 20 năm</v>
      </c>
      <c r="F15" s="4" t="str">
        <f ca="1">IFERROR(__xludf.DUMMYFUNCTION("""COMPUTED_VALUE"""),"Ban giám đốc")</f>
        <v>Ban giám đốc</v>
      </c>
    </row>
    <row r="16" spans="1:10" x14ac:dyDescent="0.25">
      <c r="A16" s="4" t="str">
        <f ca="1">IFERROR(__xludf.DUMMYFUNCTION("""COMPUTED_VALUE"""),"Công ty TNHH CAF Việt Nam")</f>
        <v>Công ty TNHH CAF Việt Nam</v>
      </c>
      <c r="B16" s="4" t="str">
        <f ca="1">IFERROR(__xludf.DUMMYFUNCTION("""COMPUTED_VALUE"""),"Trần Viết Tú")</f>
        <v>Trần Viết Tú</v>
      </c>
      <c r="C16" s="4" t="str">
        <f ca="1">IFERROR(__xludf.DUMMYFUNCTION("""COMPUTED_VALUE"""),"Nam")</f>
        <v>Nam</v>
      </c>
      <c r="D16" s="4" t="str">
        <f ca="1">IFERROR(__xludf.DUMMYFUNCTION("""COMPUTED_VALUE"""),"Chứng chỉ Kiểm toán viên")</f>
        <v>Chứng chỉ Kiểm toán viên</v>
      </c>
      <c r="E16" s="4" t="str">
        <f ca="1">IFERROR(__xludf.DUMMYFUNCTION("""COMPUTED_VALUE"""),"Trên 10 đến 15 năm")</f>
        <v>Trên 10 đến 15 năm</v>
      </c>
      <c r="F16" s="4" t="str">
        <f ca="1">IFERROR(__xludf.DUMMYFUNCTION("""COMPUTED_VALUE"""),"Ban giám đốc")</f>
        <v>Ban giám đốc</v>
      </c>
    </row>
    <row r="17" spans="1:6" x14ac:dyDescent="0.25">
      <c r="A17" s="4" t="str">
        <f ca="1">IFERROR(__xludf.DUMMYFUNCTION("""COMPUTED_VALUE"""),"Công ty TNHH CAF Việt Nam")</f>
        <v>Công ty TNHH CAF Việt Nam</v>
      </c>
      <c r="B17" s="4" t="str">
        <f ca="1">IFERROR(__xludf.DUMMYFUNCTION("""COMPUTED_VALUE"""),"Nguyễn Xuân Dũng")</f>
        <v>Nguyễn Xuân Dũng</v>
      </c>
      <c r="C17" s="4" t="str">
        <f ca="1">IFERROR(__xludf.DUMMYFUNCTION("""COMPUTED_VALUE"""),"Nam")</f>
        <v>Nam</v>
      </c>
      <c r="D17" s="4" t="str">
        <f ca="1">IFERROR(__xludf.DUMMYFUNCTION("""COMPUTED_VALUE"""),"Sau đại học")</f>
        <v>Sau đại học</v>
      </c>
      <c r="E17" s="4" t="str">
        <f ca="1">IFERROR(__xludf.DUMMYFUNCTION("""COMPUTED_VALUE"""),"Trên 20 năm")</f>
        <v>Trên 20 năm</v>
      </c>
      <c r="F17" s="4" t="str">
        <f ca="1">IFERROR(__xludf.DUMMYFUNCTION("""COMPUTED_VALUE"""),"Ban giám đốc")</f>
        <v>Ban giám đốc</v>
      </c>
    </row>
    <row r="18" spans="1:6" x14ac:dyDescent="0.25">
      <c r="A18" s="4" t="str">
        <f ca="1">IFERROR(__xludf.DUMMYFUNCTION("""COMPUTED_VALUE"""),"Công ty TNHH Crowe Việt Nam")</f>
        <v>Công ty TNHH Crowe Việt Nam</v>
      </c>
      <c r="B18" s="4" t="str">
        <f ca="1">IFERROR(__xludf.DUMMYFUNCTION("""COMPUTED_VALUE"""),"Nguyễn Văn Tuân")</f>
        <v>Nguyễn Văn Tuân</v>
      </c>
      <c r="C18" s="4" t="str">
        <f ca="1">IFERROR(__xludf.DUMMYFUNCTION("""COMPUTED_VALUE"""),"Nam")</f>
        <v>Nam</v>
      </c>
      <c r="D18" s="4" t="str">
        <f ca="1">IFERROR(__xludf.DUMMYFUNCTION("""COMPUTED_VALUE"""),"Đại học")</f>
        <v>Đại học</v>
      </c>
      <c r="E18" s="4" t="str">
        <f ca="1">IFERROR(__xludf.DUMMYFUNCTION("""COMPUTED_VALUE"""),"Trên 10 đến 15 năm")</f>
        <v>Trên 10 đến 15 năm</v>
      </c>
      <c r="F18" s="4" t="str">
        <f ca="1">IFERROR(__xludf.DUMMYFUNCTION("""COMPUTED_VALUE"""),"Trưởng phòng")</f>
        <v>Trưởng phòng</v>
      </c>
    </row>
    <row r="19" spans="1:6" x14ac:dyDescent="0.25">
      <c r="A19" s="4" t="str">
        <f ca="1">IFERROR(__xludf.DUMMYFUNCTION("""COMPUTED_VALUE"""),"Công ty TNHH Crowe Việt Nam")</f>
        <v>Công ty TNHH Crowe Việt Nam</v>
      </c>
      <c r="B19" s="4" t="str">
        <f ca="1">IFERROR(__xludf.DUMMYFUNCTION("""COMPUTED_VALUE"""),"Phạm Mạnh Tuấn")</f>
        <v>Phạm Mạnh Tuấn</v>
      </c>
      <c r="C19" s="4" t="str">
        <f ca="1">IFERROR(__xludf.DUMMYFUNCTION("""COMPUTED_VALUE"""),"Nam")</f>
        <v>Nam</v>
      </c>
      <c r="D19" s="4" t="str">
        <f ca="1">IFERROR(__xludf.DUMMYFUNCTION("""COMPUTED_VALUE"""),"Chứng chỉ Kiểm toán viên")</f>
        <v>Chứng chỉ Kiểm toán viên</v>
      </c>
      <c r="E19" s="4" t="str">
        <f ca="1">IFERROR(__xludf.DUMMYFUNCTION("""COMPUTED_VALUE"""),"Trên 10 đến 15 năm")</f>
        <v>Trên 10 đến 15 năm</v>
      </c>
      <c r="F19" s="4" t="str">
        <f ca="1">IFERROR(__xludf.DUMMYFUNCTION("""COMPUTED_VALUE"""),"Trưởng phòng")</f>
        <v>Trưởng phòng</v>
      </c>
    </row>
    <row r="20" spans="1:6" x14ac:dyDescent="0.25">
      <c r="A20" s="4" t="str">
        <f ca="1">IFERROR(__xludf.DUMMYFUNCTION("""COMPUTED_VALUE"""),"Công ty TNHH Crowe Việt Nam")</f>
        <v>Công ty TNHH Crowe Việt Nam</v>
      </c>
      <c r="B20" s="4" t="str">
        <f ca="1">IFERROR(__xludf.DUMMYFUNCTION("""COMPUTED_VALUE"""),"Lê Minh Ngọc")</f>
        <v>Lê Minh Ngọc</v>
      </c>
      <c r="C20" s="4" t="str">
        <f ca="1">IFERROR(__xludf.DUMMYFUNCTION("""COMPUTED_VALUE"""),"Nữ")</f>
        <v>Nữ</v>
      </c>
      <c r="D20" s="4" t="str">
        <f ca="1">IFERROR(__xludf.DUMMYFUNCTION("""COMPUTED_VALUE"""),"Đại học, Chứng chỉ Kiểm toán viên")</f>
        <v>Đại học, Chứng chỉ Kiểm toán viên</v>
      </c>
      <c r="E20" s="4" t="str">
        <f ca="1">IFERROR(__xludf.DUMMYFUNCTION("""COMPUTED_VALUE"""),"Trên 5 đến 10 năm")</f>
        <v>Trên 5 đến 10 năm</v>
      </c>
      <c r="F20" s="4" t="str">
        <f ca="1">IFERROR(__xludf.DUMMYFUNCTION("""COMPUTED_VALUE"""),"Kiểm toán viên/Trưởng nhóm")</f>
        <v>Kiểm toán viên/Trưởng nhóm</v>
      </c>
    </row>
    <row r="21" spans="1:6" x14ac:dyDescent="0.25">
      <c r="A21" s="4" t="str">
        <f ca="1">IFERROR(__xludf.DUMMYFUNCTION("""COMPUTED_VALUE"""),"Công ty TNHH Crowe Việt Nam")</f>
        <v>Công ty TNHH Crowe Việt Nam</v>
      </c>
      <c r="B21" s="4" t="str">
        <f ca="1">IFERROR(__xludf.DUMMYFUNCTION("""COMPUTED_VALUE"""),"Trần Thị Gia Ngọc")</f>
        <v>Trần Thị Gia Ngọc</v>
      </c>
      <c r="C21" s="4" t="str">
        <f ca="1">IFERROR(__xludf.DUMMYFUNCTION("""COMPUTED_VALUE"""),"Nữ")</f>
        <v>Nữ</v>
      </c>
      <c r="D21" s="4" t="str">
        <f ca="1">IFERROR(__xludf.DUMMYFUNCTION("""COMPUTED_VALUE"""),"Đại học")</f>
        <v>Đại học</v>
      </c>
      <c r="E21" s="4" t="str">
        <f ca="1">IFERROR(__xludf.DUMMYFUNCTION("""COMPUTED_VALUE"""),"Trên 15 đến 20 năm")</f>
        <v>Trên 15 đến 20 năm</v>
      </c>
      <c r="F21" s="4" t="str">
        <f ca="1">IFERROR(__xludf.DUMMYFUNCTION("""COMPUTED_VALUE"""),"Ban giám đốc")</f>
        <v>Ban giám đốc</v>
      </c>
    </row>
    <row r="22" spans="1:6" x14ac:dyDescent="0.25">
      <c r="A22" s="4" t="str">
        <f ca="1">IFERROR(__xludf.DUMMYFUNCTION("""COMPUTED_VALUE"""),"Công ty TNHH dịch vụ kiểm toán và tư vấn kế toán Bắc Đẩu")</f>
        <v>Công ty TNHH dịch vụ kiểm toán và tư vấn kế toán Bắc Đẩu</v>
      </c>
      <c r="B22" s="4"/>
      <c r="C22" s="4" t="str">
        <f ca="1">IFERROR(__xludf.DUMMYFUNCTION("""COMPUTED_VALUE"""),"Nam")</f>
        <v>Nam</v>
      </c>
      <c r="D22" s="4" t="str">
        <f ca="1">IFERROR(__xludf.DUMMYFUNCTION("""COMPUTED_VALUE"""),"Chứng chỉ Kiểm toán viên")</f>
        <v>Chứng chỉ Kiểm toán viên</v>
      </c>
      <c r="E22" s="4" t="str">
        <f ca="1">IFERROR(__xludf.DUMMYFUNCTION("""COMPUTED_VALUE"""),"Trên 20 năm")</f>
        <v>Trên 20 năm</v>
      </c>
      <c r="F22" s="4" t="str">
        <f ca="1">IFERROR(__xludf.DUMMYFUNCTION("""COMPUTED_VALUE"""),"Ban giám đốc")</f>
        <v>Ban giám đốc</v>
      </c>
    </row>
    <row r="23" spans="1:6" x14ac:dyDescent="0.25">
      <c r="A23" s="4" t="str">
        <f ca="1">IFERROR(__xludf.DUMMYFUNCTION("""COMPUTED_VALUE"""),"Công ty TNHH dịch vụ kiểm toán và tư vấn kế toán Bắc Đẩu")</f>
        <v>Công ty TNHH dịch vụ kiểm toán và tư vấn kế toán Bắc Đẩu</v>
      </c>
      <c r="B23" s="4" t="str">
        <f ca="1">IFERROR(__xludf.DUMMYFUNCTION("""COMPUTED_VALUE"""),"Hồ Luận Ngữ")</f>
        <v>Hồ Luận Ngữ</v>
      </c>
      <c r="C23" s="4" t="str">
        <f ca="1">IFERROR(__xludf.DUMMYFUNCTION("""COMPUTED_VALUE"""),"Nam")</f>
        <v>Nam</v>
      </c>
      <c r="D23" s="4" t="str">
        <f ca="1">IFERROR(__xludf.DUMMYFUNCTION("""COMPUTED_VALUE"""),"Đại học")</f>
        <v>Đại học</v>
      </c>
      <c r="E23" s="4" t="str">
        <f ca="1">IFERROR(__xludf.DUMMYFUNCTION("""COMPUTED_VALUE"""),"Trên 15 đến 20 năm")</f>
        <v>Trên 15 đến 20 năm</v>
      </c>
      <c r="F23" s="4" t="str">
        <f ca="1">IFERROR(__xludf.DUMMYFUNCTION("""COMPUTED_VALUE"""),"Kiểm toán viên/Trưởng nhóm")</f>
        <v>Kiểm toán viên/Trưởng nhóm</v>
      </c>
    </row>
    <row r="24" spans="1:6" x14ac:dyDescent="0.25">
      <c r="A24" s="4" t="str">
        <f ca="1">IFERROR(__xludf.DUMMYFUNCTION("""COMPUTED_VALUE"""),"Công ty TNHH dịch vụ kiểm toán và tư vấn kế toán Bắc Đẩu")</f>
        <v>Công ty TNHH dịch vụ kiểm toán và tư vấn kế toán Bắc Đẩu</v>
      </c>
      <c r="B24" s="4" t="str">
        <f ca="1">IFERROR(__xludf.DUMMYFUNCTION("""COMPUTED_VALUE"""),"Vòng Kỳ Yến")</f>
        <v>Vòng Kỳ Yến</v>
      </c>
      <c r="C24" s="4" t="str">
        <f ca="1">IFERROR(__xludf.DUMMYFUNCTION("""COMPUTED_VALUE"""),"Nữ")</f>
        <v>Nữ</v>
      </c>
      <c r="D24" s="4" t="str">
        <f ca="1">IFERROR(__xludf.DUMMYFUNCTION("""COMPUTED_VALUE"""),"Chứng chỉ Kiểm toán viên")</f>
        <v>Chứng chỉ Kiểm toán viên</v>
      </c>
      <c r="E24" s="4" t="str">
        <f ca="1">IFERROR(__xludf.DUMMYFUNCTION("""COMPUTED_VALUE"""),"Trên 10 đến 15 năm")</f>
        <v>Trên 10 đến 15 năm</v>
      </c>
      <c r="F24" s="4" t="str">
        <f ca="1">IFERROR(__xludf.DUMMYFUNCTION("""COMPUTED_VALUE"""),"Kiểm toán viên/Trưởng nhóm")</f>
        <v>Kiểm toán viên/Trưởng nhóm</v>
      </c>
    </row>
    <row r="25" spans="1:6" x14ac:dyDescent="0.25">
      <c r="A25" s="4" t="str">
        <f ca="1">IFERROR(__xludf.DUMMYFUNCTION("""COMPUTED_VALUE"""),"Công ty TNHH Dịch vụ Tư vấn và Kiểm toán FPF")</f>
        <v>Công ty TNHH Dịch vụ Tư vấn và Kiểm toán FPF</v>
      </c>
      <c r="B25" s="4" t="str">
        <f ca="1">IFERROR(__xludf.DUMMYFUNCTION("""COMPUTED_VALUE"""),"Trần Văn Tài")</f>
        <v>Trần Văn Tài</v>
      </c>
      <c r="C25" s="4" t="str">
        <f ca="1">IFERROR(__xludf.DUMMYFUNCTION("""COMPUTED_VALUE"""),"Nam")</f>
        <v>Nam</v>
      </c>
      <c r="D25" s="4" t="str">
        <f ca="1">IFERROR(__xludf.DUMMYFUNCTION("""COMPUTED_VALUE"""),"Chứng chỉ Kiểm toán viên")</f>
        <v>Chứng chỉ Kiểm toán viên</v>
      </c>
      <c r="E25" s="4" t="str">
        <f ca="1">IFERROR(__xludf.DUMMYFUNCTION("""COMPUTED_VALUE"""),"Trên 10 đến 15 năm")</f>
        <v>Trên 10 đến 15 năm</v>
      </c>
      <c r="F25" s="4" t="str">
        <f ca="1">IFERROR(__xludf.DUMMYFUNCTION("""COMPUTED_VALUE"""),"Kiểm toán viên/Trưởng nhóm")</f>
        <v>Kiểm toán viên/Trưởng nhóm</v>
      </c>
    </row>
    <row r="26" spans="1:6" x14ac:dyDescent="0.25">
      <c r="A26" s="4" t="str">
        <f ca="1">IFERROR(__xludf.DUMMYFUNCTION("""COMPUTED_VALUE"""),"Công ty TNHH Dịch vụ Tư vấn và Kiểm toán FPF")</f>
        <v>Công ty TNHH Dịch vụ Tư vấn và Kiểm toán FPF</v>
      </c>
      <c r="B26" s="4" t="str">
        <f ca="1">IFERROR(__xludf.DUMMYFUNCTION("""COMPUTED_VALUE"""),"Lý Công Thành")</f>
        <v>Lý Công Thành</v>
      </c>
      <c r="C26" s="4" t="str">
        <f ca="1">IFERROR(__xludf.DUMMYFUNCTION("""COMPUTED_VALUE"""),"Nam")</f>
        <v>Nam</v>
      </c>
      <c r="D26" s="4" t="str">
        <f ca="1">IFERROR(__xludf.DUMMYFUNCTION("""COMPUTED_VALUE"""),"Chứng chỉ Kiểm toán viên")</f>
        <v>Chứng chỉ Kiểm toán viên</v>
      </c>
      <c r="E26" s="4" t="str">
        <f ca="1">IFERROR(__xludf.DUMMYFUNCTION("""COMPUTED_VALUE"""),"Trên 5 đến 10 năm")</f>
        <v>Trên 5 đến 10 năm</v>
      </c>
      <c r="F26" s="4" t="str">
        <f ca="1">IFERROR(__xludf.DUMMYFUNCTION("""COMPUTED_VALUE"""),"Ban giám đốc")</f>
        <v>Ban giám đốc</v>
      </c>
    </row>
    <row r="27" spans="1:6" x14ac:dyDescent="0.25">
      <c r="A27" s="4" t="str">
        <f ca="1">IFERROR(__xludf.DUMMYFUNCTION("""COMPUTED_VALUE"""),"Công ty TNHH Dịch vụ Tư vấn và Kiểm toán FPF")</f>
        <v>Công ty TNHH Dịch vụ Tư vấn và Kiểm toán FPF</v>
      </c>
      <c r="B27" s="4" t="str">
        <f ca="1">IFERROR(__xludf.DUMMYFUNCTION("""COMPUTED_VALUE"""),"VÕ THỊ XUÂN MAI")</f>
        <v>VÕ THỊ XUÂN MAI</v>
      </c>
      <c r="C27" s="4" t="str">
        <f ca="1">IFERROR(__xludf.DUMMYFUNCTION("""COMPUTED_VALUE"""),"Nữ")</f>
        <v>Nữ</v>
      </c>
      <c r="D27" s="4" t="str">
        <f ca="1">IFERROR(__xludf.DUMMYFUNCTION("""COMPUTED_VALUE"""),"Đại học, Chứng chỉ Kiểm toán viên")</f>
        <v>Đại học, Chứng chỉ Kiểm toán viên</v>
      </c>
      <c r="E27" s="4" t="str">
        <f ca="1">IFERROR(__xludf.DUMMYFUNCTION("""COMPUTED_VALUE"""),"Trên 15 đến 20 năm")</f>
        <v>Trên 15 đến 20 năm</v>
      </c>
      <c r="F27" s="4" t="str">
        <f ca="1">IFERROR(__xludf.DUMMYFUNCTION("""COMPUTED_VALUE"""),"Ban giám đốc")</f>
        <v>Ban giám đốc</v>
      </c>
    </row>
    <row r="28" spans="1:6" x14ac:dyDescent="0.25">
      <c r="A28" s="4" t="str">
        <f ca="1">IFERROR(__xludf.DUMMYFUNCTION("""COMPUTED_VALUE"""),"Công ty TNHH Ernst &amp; Young Việt Nam")</f>
        <v>Công ty TNHH Ernst &amp; Young Việt Nam</v>
      </c>
      <c r="B28" s="4" t="str">
        <f ca="1">IFERROR(__xludf.DUMMYFUNCTION("""COMPUTED_VALUE"""),"Lê Trung Hiếu")</f>
        <v>Lê Trung Hiếu</v>
      </c>
      <c r="C28" s="4" t="str">
        <f ca="1">IFERROR(__xludf.DUMMYFUNCTION("""COMPUTED_VALUE"""),"Nam")</f>
        <v>Nam</v>
      </c>
      <c r="D28" s="4" t="str">
        <f ca="1">IFERROR(__xludf.DUMMYFUNCTION("""COMPUTED_VALUE"""),"Đại học, Chứng chỉ Kiểm toán viên, CPA Aus")</f>
        <v>Đại học, Chứng chỉ Kiểm toán viên, CPA Aus</v>
      </c>
      <c r="E28" s="4" t="str">
        <f ca="1">IFERROR(__xludf.DUMMYFUNCTION("""COMPUTED_VALUE"""),"Trên 5 đến 10 năm")</f>
        <v>Trên 5 đến 10 năm</v>
      </c>
      <c r="F28" s="4" t="str">
        <f ca="1">IFERROR(__xludf.DUMMYFUNCTION("""COMPUTED_VALUE"""),"Trưởng phòng")</f>
        <v>Trưởng phòng</v>
      </c>
    </row>
    <row r="29" spans="1:6" x14ac:dyDescent="0.25">
      <c r="A29" s="4" t="str">
        <f ca="1">IFERROR(__xludf.DUMMYFUNCTION("""COMPUTED_VALUE"""),"Công ty TNHH Ernst &amp; Young Việt Nam")</f>
        <v>Công ty TNHH Ernst &amp; Young Việt Nam</v>
      </c>
      <c r="B29" s="4" t="str">
        <f ca="1">IFERROR(__xludf.DUMMYFUNCTION("""COMPUTED_VALUE"""),"Trần Thảo Linh")</f>
        <v>Trần Thảo Linh</v>
      </c>
      <c r="C29" s="4" t="str">
        <f ca="1">IFERROR(__xludf.DUMMYFUNCTION("""COMPUTED_VALUE"""),"Nữ")</f>
        <v>Nữ</v>
      </c>
      <c r="D29" s="4" t="str">
        <f ca="1">IFERROR(__xludf.DUMMYFUNCTION("""COMPUTED_VALUE"""),"Đại học")</f>
        <v>Đại học</v>
      </c>
      <c r="E29" s="4" t="str">
        <f ca="1">IFERROR(__xludf.DUMMYFUNCTION("""COMPUTED_VALUE"""),"Từ 3 đến 5 năm")</f>
        <v>Từ 3 đến 5 năm</v>
      </c>
      <c r="F29" s="4" t="str">
        <f ca="1">IFERROR(__xludf.DUMMYFUNCTION("""COMPUTED_VALUE"""),"Trợ lý kiểm toán")</f>
        <v>Trợ lý kiểm toán</v>
      </c>
    </row>
    <row r="30" spans="1:6" x14ac:dyDescent="0.25">
      <c r="A30" s="4" t="str">
        <f ca="1">IFERROR(__xludf.DUMMYFUNCTION("""COMPUTED_VALUE"""),"Công ty TNHH Grant Thornton (Việt Nam)")</f>
        <v>Công ty TNHH Grant Thornton (Việt Nam)</v>
      </c>
      <c r="B30" s="4" t="str">
        <f ca="1">IFERROR(__xludf.DUMMYFUNCTION("""COMPUTED_VALUE"""),"Trần Duy Dân")</f>
        <v>Trần Duy Dân</v>
      </c>
      <c r="C30" s="4" t="str">
        <f ca="1">IFERROR(__xludf.DUMMYFUNCTION("""COMPUTED_VALUE"""),"Nam")</f>
        <v>Nam</v>
      </c>
      <c r="D30" s="4" t="str">
        <f ca="1">IFERROR(__xludf.DUMMYFUNCTION("""COMPUTED_VALUE"""),"Đại học")</f>
        <v>Đại học</v>
      </c>
      <c r="E30" s="4" t="str">
        <f ca="1">IFERROR(__xludf.DUMMYFUNCTION("""COMPUTED_VALUE"""),"Trên 5 đến 10 năm")</f>
        <v>Trên 5 đến 10 năm</v>
      </c>
      <c r="F30" s="4" t="str">
        <f ca="1">IFERROR(__xludf.DUMMYFUNCTION("""COMPUTED_VALUE"""),"Kiểm toán viên/Trưởng nhóm")</f>
        <v>Kiểm toán viên/Trưởng nhóm</v>
      </c>
    </row>
    <row r="31" spans="1:6" x14ac:dyDescent="0.25">
      <c r="A31" s="4" t="str">
        <f ca="1">IFERROR(__xludf.DUMMYFUNCTION("""COMPUTED_VALUE"""),"Công ty TNHH Grant Thornton (Việt Nam)")</f>
        <v>Công ty TNHH Grant Thornton (Việt Nam)</v>
      </c>
      <c r="B31" s="4" t="str">
        <f ca="1">IFERROR(__xludf.DUMMYFUNCTION("""COMPUTED_VALUE"""),"Nguyễn Địch Dũng")</f>
        <v>Nguyễn Địch Dũng</v>
      </c>
      <c r="C31" s="4" t="str">
        <f ca="1">IFERROR(__xludf.DUMMYFUNCTION("""COMPUTED_VALUE"""),"Nam")</f>
        <v>Nam</v>
      </c>
      <c r="D31" s="4" t="str">
        <f ca="1">IFERROR(__xludf.DUMMYFUNCTION("""COMPUTED_VALUE"""),"Chứng chỉ Kiểm toán viên")</f>
        <v>Chứng chỉ Kiểm toán viên</v>
      </c>
      <c r="E31" s="4" t="str">
        <f ca="1">IFERROR(__xludf.DUMMYFUNCTION("""COMPUTED_VALUE"""),"Trên 15 đến 20 năm")</f>
        <v>Trên 15 đến 20 năm</v>
      </c>
      <c r="F31" s="4" t="str">
        <f ca="1">IFERROR(__xludf.DUMMYFUNCTION("""COMPUTED_VALUE"""),"Ban giám đốc")</f>
        <v>Ban giám đốc</v>
      </c>
    </row>
    <row r="32" spans="1:6" x14ac:dyDescent="0.25">
      <c r="A32" s="4" t="str">
        <f ca="1">IFERROR(__xludf.DUMMYFUNCTION("""COMPUTED_VALUE"""),"Công ty TNHH Grant Thornton (Việt Nam)")</f>
        <v>Công ty TNHH Grant Thornton (Việt Nam)</v>
      </c>
      <c r="B32" s="4" t="str">
        <f ca="1">IFERROR(__xludf.DUMMYFUNCTION("""COMPUTED_VALUE"""),"Nguyễn Thị Hương")</f>
        <v>Nguyễn Thị Hương</v>
      </c>
      <c r="C32" s="4" t="str">
        <f ca="1">IFERROR(__xludf.DUMMYFUNCTION("""COMPUTED_VALUE"""),"Nữ")</f>
        <v>Nữ</v>
      </c>
      <c r="D32" s="4" t="str">
        <f ca="1">IFERROR(__xludf.DUMMYFUNCTION("""COMPUTED_VALUE"""),"Chứng chỉ Kiểm toán viên, ACCA")</f>
        <v>Chứng chỉ Kiểm toán viên, ACCA</v>
      </c>
      <c r="E32" s="4" t="str">
        <f ca="1">IFERROR(__xludf.DUMMYFUNCTION("""COMPUTED_VALUE"""),"Trên 15 đến 20 năm")</f>
        <v>Trên 15 đến 20 năm</v>
      </c>
      <c r="F32" s="4" t="str">
        <f ca="1">IFERROR(__xludf.DUMMYFUNCTION("""COMPUTED_VALUE"""),"Trưởng phòng")</f>
        <v>Trưởng phòng</v>
      </c>
    </row>
    <row r="33" spans="1:6" x14ac:dyDescent="0.25">
      <c r="A33" s="4" t="str">
        <f ca="1">IFERROR(__xludf.DUMMYFUNCTION("""COMPUTED_VALUE"""),"Công ty TNHH Grant Thornton (Việt Nam)")</f>
        <v>Công ty TNHH Grant Thornton (Việt Nam)</v>
      </c>
      <c r="B33" s="4" t="str">
        <f ca="1">IFERROR(__xludf.DUMMYFUNCTION("""COMPUTED_VALUE"""),"Nguyễn Văn Chương")</f>
        <v>Nguyễn Văn Chương</v>
      </c>
      <c r="C33" s="4" t="str">
        <f ca="1">IFERROR(__xludf.DUMMYFUNCTION("""COMPUTED_VALUE"""),"Nam")</f>
        <v>Nam</v>
      </c>
      <c r="D33" s="4" t="str">
        <f ca="1">IFERROR(__xludf.DUMMYFUNCTION("""COMPUTED_VALUE"""),"Chứng chỉ Kiểm toán viên")</f>
        <v>Chứng chỉ Kiểm toán viên</v>
      </c>
      <c r="E33" s="4" t="str">
        <f ca="1">IFERROR(__xludf.DUMMYFUNCTION("""COMPUTED_VALUE"""),"Trên 5 đến 10 năm")</f>
        <v>Trên 5 đến 10 năm</v>
      </c>
      <c r="F33" s="4" t="str">
        <f ca="1">IFERROR(__xludf.DUMMYFUNCTION("""COMPUTED_VALUE"""),"Trưởng phòng")</f>
        <v>Trưởng phòng</v>
      </c>
    </row>
    <row r="34" spans="1:6" x14ac:dyDescent="0.25">
      <c r="A34" s="4" t="str">
        <f ca="1">IFERROR(__xludf.DUMMYFUNCTION("""COMPUTED_VALUE"""),"Công ty TNHH Grant Thornton (Việt Nam)")</f>
        <v>Công ty TNHH Grant Thornton (Việt Nam)</v>
      </c>
      <c r="B34" s="4" t="str">
        <f ca="1">IFERROR(__xludf.DUMMYFUNCTION("""COMPUTED_VALUE"""),"Trần Anh Văn")</f>
        <v>Trần Anh Văn</v>
      </c>
      <c r="C34" s="4" t="str">
        <f ca="1">IFERROR(__xludf.DUMMYFUNCTION("""COMPUTED_VALUE"""),"Nam")</f>
        <v>Nam</v>
      </c>
      <c r="D34" s="4" t="str">
        <f ca="1">IFERROR(__xludf.DUMMYFUNCTION("""COMPUTED_VALUE"""),"Chứng chỉ Kiểm toán viên, ACCA")</f>
        <v>Chứng chỉ Kiểm toán viên, ACCA</v>
      </c>
      <c r="E34" s="4" t="str">
        <f ca="1">IFERROR(__xludf.DUMMYFUNCTION("""COMPUTED_VALUE"""),"Trên 15 đến 20 năm")</f>
        <v>Trên 15 đến 20 năm</v>
      </c>
      <c r="F34" s="4" t="str">
        <f ca="1">IFERROR(__xludf.DUMMYFUNCTION("""COMPUTED_VALUE"""),"Ban giám đốc")</f>
        <v>Ban giám đốc</v>
      </c>
    </row>
    <row r="35" spans="1:6" x14ac:dyDescent="0.25">
      <c r="A35" s="4" t="str">
        <f ca="1">IFERROR(__xludf.DUMMYFUNCTION("""COMPUTED_VALUE"""),"Công ty TNHH Grant Thornton (Việt Nam)")</f>
        <v>Công ty TNHH Grant Thornton (Việt Nam)</v>
      </c>
      <c r="B35" s="4" t="str">
        <f ca="1">IFERROR(__xludf.DUMMYFUNCTION("""COMPUTED_VALUE"""),"Hoàng Thị Liên")</f>
        <v>Hoàng Thị Liên</v>
      </c>
      <c r="C35" s="4" t="str">
        <f ca="1">IFERROR(__xludf.DUMMYFUNCTION("""COMPUTED_VALUE"""),"Nữ")</f>
        <v>Nữ</v>
      </c>
      <c r="D35" s="4" t="str">
        <f ca="1">IFERROR(__xludf.DUMMYFUNCTION("""COMPUTED_VALUE"""),"Đại học")</f>
        <v>Đại học</v>
      </c>
      <c r="E35" s="4" t="str">
        <f ca="1">IFERROR(__xludf.DUMMYFUNCTION("""COMPUTED_VALUE"""),"Trên 10 đến 15 năm")</f>
        <v>Trên 10 đến 15 năm</v>
      </c>
      <c r="F35" s="4" t="str">
        <f ca="1">IFERROR(__xludf.DUMMYFUNCTION("""COMPUTED_VALUE"""),"Trưởng phòng")</f>
        <v>Trưởng phòng</v>
      </c>
    </row>
    <row r="36" spans="1:6" x14ac:dyDescent="0.25">
      <c r="A36" s="4" t="str">
        <f ca="1">IFERROR(__xludf.DUMMYFUNCTION("""COMPUTED_VALUE"""),"Công ty TNHH Grant Thornton (Việt Nam)")</f>
        <v>Công ty TNHH Grant Thornton (Việt Nam)</v>
      </c>
      <c r="B36" s="4" t="str">
        <f ca="1">IFERROR(__xludf.DUMMYFUNCTION("""COMPUTED_VALUE"""),"Lê Quảng Hòa")</f>
        <v>Lê Quảng Hòa</v>
      </c>
      <c r="C36" s="4" t="str">
        <f ca="1">IFERROR(__xludf.DUMMYFUNCTION("""COMPUTED_VALUE"""),"Nam")</f>
        <v>Nam</v>
      </c>
      <c r="D36" s="4" t="str">
        <f ca="1">IFERROR(__xludf.DUMMYFUNCTION("""COMPUTED_VALUE"""),"Đại học, Chứng chỉ Kiểm toán viên")</f>
        <v>Đại học, Chứng chỉ Kiểm toán viên</v>
      </c>
      <c r="E36" s="4" t="str">
        <f ca="1">IFERROR(__xludf.DUMMYFUNCTION("""COMPUTED_VALUE"""),"Trên 15 đến 20 năm")</f>
        <v>Trên 15 đến 20 năm</v>
      </c>
      <c r="F36" s="4" t="str">
        <f ca="1">IFERROR(__xludf.DUMMYFUNCTION("""COMPUTED_VALUE"""),"Trưởng phòng")</f>
        <v>Trưởng phòng</v>
      </c>
    </row>
    <row r="37" spans="1:6" x14ac:dyDescent="0.25">
      <c r="A37" s="4" t="str">
        <f ca="1">IFERROR(__xludf.DUMMYFUNCTION("""COMPUTED_VALUE"""),"Công ty TNHH Grant Thornton (Việt Nam)")</f>
        <v>Công ty TNHH Grant Thornton (Việt Nam)</v>
      </c>
      <c r="B37" s="4" t="str">
        <f ca="1">IFERROR(__xludf.DUMMYFUNCTION("""COMPUTED_VALUE"""),"Võ thị thơm")</f>
        <v>Võ thị thơm</v>
      </c>
      <c r="C37" s="4" t="str">
        <f ca="1">IFERROR(__xludf.DUMMYFUNCTION("""COMPUTED_VALUE"""),"Nữ")</f>
        <v>Nữ</v>
      </c>
      <c r="D37" s="4" t="str">
        <f ca="1">IFERROR(__xludf.DUMMYFUNCTION("""COMPUTED_VALUE"""),"Đại học")</f>
        <v>Đại học</v>
      </c>
      <c r="E37" s="4" t="str">
        <f ca="1">IFERROR(__xludf.DUMMYFUNCTION("""COMPUTED_VALUE"""),"Trên 5 đến 10 năm")</f>
        <v>Trên 5 đến 10 năm</v>
      </c>
      <c r="F37" s="4" t="str">
        <f ca="1">IFERROR(__xludf.DUMMYFUNCTION("""COMPUTED_VALUE"""),"Trưởng phòng")</f>
        <v>Trưởng phòng</v>
      </c>
    </row>
    <row r="38" spans="1:6" x14ac:dyDescent="0.25">
      <c r="A38" s="4" t="str">
        <f ca="1">IFERROR(__xludf.DUMMYFUNCTION("""COMPUTED_VALUE"""),"Công ty TNHH Hãng Kiểm toán AASC")</f>
        <v>Công ty TNHH Hãng Kiểm toán AASC</v>
      </c>
      <c r="B38" s="4" t="str">
        <f ca="1">IFERROR(__xludf.DUMMYFUNCTION("""COMPUTED_VALUE"""),"Huỳnh Ái Vi")</f>
        <v>Huỳnh Ái Vi</v>
      </c>
      <c r="C38" s="4" t="str">
        <f ca="1">IFERROR(__xludf.DUMMYFUNCTION("""COMPUTED_VALUE"""),"Nữ")</f>
        <v>Nữ</v>
      </c>
      <c r="D38" s="4" t="str">
        <f ca="1">IFERROR(__xludf.DUMMYFUNCTION("""COMPUTED_VALUE"""),"Đại học")</f>
        <v>Đại học</v>
      </c>
      <c r="E38" s="4" t="str">
        <f ca="1">IFERROR(__xludf.DUMMYFUNCTION("""COMPUTED_VALUE"""),"Từ 3 đến 5 năm")</f>
        <v>Từ 3 đến 5 năm</v>
      </c>
      <c r="F38" s="4" t="str">
        <f ca="1">IFERROR(__xludf.DUMMYFUNCTION("""COMPUTED_VALUE"""),"Trợ lý kiểm toán")</f>
        <v>Trợ lý kiểm toán</v>
      </c>
    </row>
    <row r="39" spans="1:6" x14ac:dyDescent="0.25">
      <c r="A39" s="4" t="str">
        <f ca="1">IFERROR(__xludf.DUMMYFUNCTION("""COMPUTED_VALUE"""),"Công ty TNHH Hãng Kiểm toán AASC")</f>
        <v>Công ty TNHH Hãng Kiểm toán AASC</v>
      </c>
      <c r="B39" s="4"/>
      <c r="C39" s="4" t="str">
        <f ca="1">IFERROR(__xludf.DUMMYFUNCTION("""COMPUTED_VALUE"""),"Nam")</f>
        <v>Nam</v>
      </c>
      <c r="D39" s="4" t="str">
        <f ca="1">IFERROR(__xludf.DUMMYFUNCTION("""COMPUTED_VALUE"""),"Sau đại học, Chứng chỉ Kiểm toán viên, ")</f>
        <v xml:space="preserve">Sau đại học, Chứng chỉ Kiểm toán viên, </v>
      </c>
      <c r="E39" s="4" t="str">
        <f ca="1">IFERROR(__xludf.DUMMYFUNCTION("""COMPUTED_VALUE"""),"Trên 20 năm")</f>
        <v>Trên 20 năm</v>
      </c>
      <c r="F39" s="4" t="str">
        <f ca="1">IFERROR(__xludf.DUMMYFUNCTION("""COMPUTED_VALUE"""),"Trưởng phòng")</f>
        <v>Trưởng phòng</v>
      </c>
    </row>
    <row r="40" spans="1:6" x14ac:dyDescent="0.25">
      <c r="A40" s="4" t="str">
        <f ca="1">IFERROR(__xludf.DUMMYFUNCTION("""COMPUTED_VALUE"""),"Công ty TNHH Hãng Kiểm toán AASC")</f>
        <v>Công ty TNHH Hãng Kiểm toán AASC</v>
      </c>
      <c r="B40" s="4"/>
      <c r="C40" s="4" t="str">
        <f ca="1">IFERROR(__xludf.DUMMYFUNCTION("""COMPUTED_VALUE"""),"Nữ")</f>
        <v>Nữ</v>
      </c>
      <c r="D40" s="4" t="str">
        <f ca="1">IFERROR(__xludf.DUMMYFUNCTION("""COMPUTED_VALUE"""),"Sau đại học")</f>
        <v>Sau đại học</v>
      </c>
      <c r="E40" s="4" t="str">
        <f ca="1">IFERROR(__xludf.DUMMYFUNCTION("""COMPUTED_VALUE"""),"Từ 3 đến 5 năm")</f>
        <v>Từ 3 đến 5 năm</v>
      </c>
      <c r="F40" s="4" t="str">
        <f ca="1">IFERROR(__xludf.DUMMYFUNCTION("""COMPUTED_VALUE"""),"Trợ lý kiểm toán")</f>
        <v>Trợ lý kiểm toán</v>
      </c>
    </row>
    <row r="41" spans="1:6" x14ac:dyDescent="0.25">
      <c r="A41" s="4" t="str">
        <f ca="1">IFERROR(__xludf.DUMMYFUNCTION("""COMPUTED_VALUE"""),"Công ty TNHH Hãng Kiểm toán AASC")</f>
        <v>Công ty TNHH Hãng Kiểm toán AASC</v>
      </c>
      <c r="B41" s="4"/>
      <c r="C41" s="4" t="str">
        <f ca="1">IFERROR(__xludf.DUMMYFUNCTION("""COMPUTED_VALUE"""),"Nữ")</f>
        <v>Nữ</v>
      </c>
      <c r="D41" s="4" t="str">
        <f ca="1">IFERROR(__xludf.DUMMYFUNCTION("""COMPUTED_VALUE"""),"Đại học")</f>
        <v>Đại học</v>
      </c>
      <c r="E41" s="4" t="str">
        <f ca="1">IFERROR(__xludf.DUMMYFUNCTION("""COMPUTED_VALUE"""),"Từ 3 đến 5 năm")</f>
        <v>Từ 3 đến 5 năm</v>
      </c>
      <c r="F41" s="4" t="str">
        <f ca="1">IFERROR(__xludf.DUMMYFUNCTION("""COMPUTED_VALUE"""),"Trợ lý kiểm toán")</f>
        <v>Trợ lý kiểm toán</v>
      </c>
    </row>
    <row r="42" spans="1:6" x14ac:dyDescent="0.25">
      <c r="A42" s="4" t="str">
        <f ca="1">IFERROR(__xludf.DUMMYFUNCTION("""COMPUTED_VALUE"""),"Công ty TNHH Hãng Kiểm toán AASC")</f>
        <v>Công ty TNHH Hãng Kiểm toán AASC</v>
      </c>
      <c r="B42" s="4"/>
      <c r="C42" s="4" t="str">
        <f ca="1">IFERROR(__xludf.DUMMYFUNCTION("""COMPUTED_VALUE"""),"Nam")</f>
        <v>Nam</v>
      </c>
      <c r="D42" s="4" t="str">
        <f ca="1">IFERROR(__xludf.DUMMYFUNCTION("""COMPUTED_VALUE"""),"Đại học")</f>
        <v>Đại học</v>
      </c>
      <c r="E42" s="4" t="str">
        <f ca="1">IFERROR(__xludf.DUMMYFUNCTION("""COMPUTED_VALUE"""),"Trên 5 đến 10 năm")</f>
        <v>Trên 5 đến 10 năm</v>
      </c>
      <c r="F42" s="4" t="str">
        <f ca="1">IFERROR(__xludf.DUMMYFUNCTION("""COMPUTED_VALUE"""),"Kiểm toán viên/Trưởng nhóm")</f>
        <v>Kiểm toán viên/Trưởng nhóm</v>
      </c>
    </row>
    <row r="43" spans="1:6" x14ac:dyDescent="0.25">
      <c r="A43" s="4" t="str">
        <f ca="1">IFERROR(__xludf.DUMMYFUNCTION("""COMPUTED_VALUE"""),"Công ty TNHH Hãng Kiểm toán AASC")</f>
        <v>Công ty TNHH Hãng Kiểm toán AASC</v>
      </c>
      <c r="B43" s="4" t="str">
        <f ca="1">IFERROR(__xludf.DUMMYFUNCTION("""COMPUTED_VALUE"""),"ĐỖ KHẮC THANH")</f>
        <v>ĐỖ KHẮC THANH</v>
      </c>
      <c r="C43" s="4" t="str">
        <f ca="1">IFERROR(__xludf.DUMMYFUNCTION("""COMPUTED_VALUE"""),"Nam")</f>
        <v>Nam</v>
      </c>
      <c r="D43" s="4" t="str">
        <f ca="1">IFERROR(__xludf.DUMMYFUNCTION("""COMPUTED_VALUE"""),"Đại học, Chứng chỉ Kiểm toán viên")</f>
        <v>Đại học, Chứng chỉ Kiểm toán viên</v>
      </c>
      <c r="E43" s="4" t="str">
        <f ca="1">IFERROR(__xludf.DUMMYFUNCTION("""COMPUTED_VALUE"""),"Trên 20 năm")</f>
        <v>Trên 20 năm</v>
      </c>
      <c r="F43" s="4" t="str">
        <f ca="1">IFERROR(__xludf.DUMMYFUNCTION("""COMPUTED_VALUE"""),"Ban giám đốc")</f>
        <v>Ban giám đốc</v>
      </c>
    </row>
    <row r="44" spans="1:6" x14ac:dyDescent="0.25">
      <c r="A44" s="4" t="str">
        <f ca="1">IFERROR(__xludf.DUMMYFUNCTION("""COMPUTED_VALUE"""),"Công ty TNHH Hãng Kiểm toán ACCA Việt Nam")</f>
        <v>Công ty TNHH Hãng Kiểm toán ACCA Việt Nam</v>
      </c>
      <c r="B44" s="4" t="str">
        <f ca="1">IFERROR(__xludf.DUMMYFUNCTION("""COMPUTED_VALUE"""),"Phạm Tuấn Việt")</f>
        <v>Phạm Tuấn Việt</v>
      </c>
      <c r="C44" s="4" t="str">
        <f ca="1">IFERROR(__xludf.DUMMYFUNCTION("""COMPUTED_VALUE"""),"Nam")</f>
        <v>Nam</v>
      </c>
      <c r="D44" s="4" t="str">
        <f ca="1">IFERROR(__xludf.DUMMYFUNCTION("""COMPUTED_VALUE"""),"Đại học, Sau đại học, Chứng chỉ Kiểm toán viên")</f>
        <v>Đại học, Sau đại học, Chứng chỉ Kiểm toán viên</v>
      </c>
      <c r="E44" s="4" t="str">
        <f ca="1">IFERROR(__xludf.DUMMYFUNCTION("""COMPUTED_VALUE"""),"Trên 10 đến 15 năm")</f>
        <v>Trên 10 đến 15 năm</v>
      </c>
      <c r="F44" s="4" t="str">
        <f ca="1">IFERROR(__xludf.DUMMYFUNCTION("""COMPUTED_VALUE"""),"Kiểm toán viên/Trưởng nhóm")</f>
        <v>Kiểm toán viên/Trưởng nhóm</v>
      </c>
    </row>
    <row r="45" spans="1:6" x14ac:dyDescent="0.25">
      <c r="A45" s="4" t="str">
        <f ca="1">IFERROR(__xludf.DUMMYFUNCTION("""COMPUTED_VALUE"""),"Công ty TNHH Hãng kiểm toán AMA")</f>
        <v>Công ty TNHH Hãng kiểm toán AMA</v>
      </c>
      <c r="B45" s="4" t="str">
        <f ca="1">IFERROR(__xludf.DUMMYFUNCTION("""COMPUTED_VALUE"""),"Trần Khắc Đại")</f>
        <v>Trần Khắc Đại</v>
      </c>
      <c r="C45" s="4" t="str">
        <f ca="1">IFERROR(__xludf.DUMMYFUNCTION("""COMPUTED_VALUE"""),"Nam")</f>
        <v>Nam</v>
      </c>
      <c r="D45" s="4" t="str">
        <f ca="1">IFERROR(__xludf.DUMMYFUNCTION("""COMPUTED_VALUE"""),"Đại học, Chứng chỉ Kiểm toán viên")</f>
        <v>Đại học, Chứng chỉ Kiểm toán viên</v>
      </c>
      <c r="E45" s="4" t="str">
        <f ca="1">IFERROR(__xludf.DUMMYFUNCTION("""COMPUTED_VALUE"""),"Trên 15 đến 20 năm")</f>
        <v>Trên 15 đến 20 năm</v>
      </c>
      <c r="F45" s="4" t="str">
        <f ca="1">IFERROR(__xludf.DUMMYFUNCTION("""COMPUTED_VALUE"""),"Ban giám đốc")</f>
        <v>Ban giám đốc</v>
      </c>
    </row>
    <row r="46" spans="1:6" x14ac:dyDescent="0.25">
      <c r="A46" s="4" t="str">
        <f ca="1">IFERROR(__xludf.DUMMYFUNCTION("""COMPUTED_VALUE"""),"Công ty TNHH Hãng kiểm toán AMA")</f>
        <v>Công ty TNHH Hãng kiểm toán AMA</v>
      </c>
      <c r="B46" s="4" t="str">
        <f ca="1">IFERROR(__xludf.DUMMYFUNCTION("""COMPUTED_VALUE"""),"Nguyễn Thế Anh")</f>
        <v>Nguyễn Thế Anh</v>
      </c>
      <c r="C46" s="4" t="str">
        <f ca="1">IFERROR(__xludf.DUMMYFUNCTION("""COMPUTED_VALUE"""),"Nam")</f>
        <v>Nam</v>
      </c>
      <c r="D46" s="4" t="str">
        <f ca="1">IFERROR(__xludf.DUMMYFUNCTION("""COMPUTED_VALUE"""),"Đại học")</f>
        <v>Đại học</v>
      </c>
      <c r="E46" s="4" t="str">
        <f ca="1">IFERROR(__xludf.DUMMYFUNCTION("""COMPUTED_VALUE"""),"Trên 15 đến 20 năm")</f>
        <v>Trên 15 đến 20 năm</v>
      </c>
      <c r="F46" s="4" t="str">
        <f ca="1">IFERROR(__xludf.DUMMYFUNCTION("""COMPUTED_VALUE"""),"Ban giám đốc")</f>
        <v>Ban giám đốc</v>
      </c>
    </row>
    <row r="47" spans="1:6" x14ac:dyDescent="0.25">
      <c r="A47" s="4" t="str">
        <f ca="1">IFERROR(__xludf.DUMMYFUNCTION("""COMPUTED_VALUE"""),"Công ty TNHH Hãng Kiểm toán và Tư vấn AUD Việt Nam")</f>
        <v>Công ty TNHH Hãng Kiểm toán và Tư vấn AUD Việt Nam</v>
      </c>
      <c r="B47" s="4" t="str">
        <f ca="1">IFERROR(__xludf.DUMMYFUNCTION("""COMPUTED_VALUE"""),"Nguyễn Thế Phương")</f>
        <v>Nguyễn Thế Phương</v>
      </c>
      <c r="C47" s="4" t="str">
        <f ca="1">IFERROR(__xludf.DUMMYFUNCTION("""COMPUTED_VALUE"""),"Nam")</f>
        <v>Nam</v>
      </c>
      <c r="D47" s="4" t="str">
        <f ca="1">IFERROR(__xludf.DUMMYFUNCTION("""COMPUTED_VALUE"""),"Sau đại học, Chứng chỉ Kiểm toán viên")</f>
        <v>Sau đại học, Chứng chỉ Kiểm toán viên</v>
      </c>
      <c r="E47" s="4" t="str">
        <f ca="1">IFERROR(__xludf.DUMMYFUNCTION("""COMPUTED_VALUE"""),"Trên 10 đến 15 năm")</f>
        <v>Trên 10 đến 15 năm</v>
      </c>
      <c r="F47" s="4" t="str">
        <f ca="1">IFERROR(__xludf.DUMMYFUNCTION("""COMPUTED_VALUE"""),"Trưởng phòng")</f>
        <v>Trưởng phòng</v>
      </c>
    </row>
    <row r="48" spans="1:6" x14ac:dyDescent="0.25">
      <c r="A48" s="4" t="str">
        <f ca="1">IFERROR(__xludf.DUMMYFUNCTION("""COMPUTED_VALUE"""),"Công ty TNHH Hãng Kiểm toán và Tư vấn AUD Việt Nam")</f>
        <v>Công ty TNHH Hãng Kiểm toán và Tư vấn AUD Việt Nam</v>
      </c>
      <c r="B48" s="4" t="str">
        <f ca="1">IFERROR(__xludf.DUMMYFUNCTION("""COMPUTED_VALUE"""),"Ngô Hoàng Tùng")</f>
        <v>Ngô Hoàng Tùng</v>
      </c>
      <c r="C48" s="4" t="str">
        <f ca="1">IFERROR(__xludf.DUMMYFUNCTION("""COMPUTED_VALUE"""),"Nam")</f>
        <v>Nam</v>
      </c>
      <c r="D48" s="4" t="str">
        <f ca="1">IFERROR(__xludf.DUMMYFUNCTION("""COMPUTED_VALUE"""),"Đại học, Chứng chỉ Kiểm toán viên")</f>
        <v>Đại học, Chứng chỉ Kiểm toán viên</v>
      </c>
      <c r="E48" s="4" t="str">
        <f ca="1">IFERROR(__xludf.DUMMYFUNCTION("""COMPUTED_VALUE"""),"Trên 10 đến 15 năm")</f>
        <v>Trên 10 đến 15 năm</v>
      </c>
      <c r="F48" s="4" t="str">
        <f ca="1">IFERROR(__xludf.DUMMYFUNCTION("""COMPUTED_VALUE"""),"Trưởng phòng")</f>
        <v>Trưởng phòng</v>
      </c>
    </row>
    <row r="49" spans="1:6" x14ac:dyDescent="0.25">
      <c r="A49" s="4" t="str">
        <f ca="1">IFERROR(__xludf.DUMMYFUNCTION("""COMPUTED_VALUE"""),"Công ty TNHH Hãng Kiểm toán và Tư vấn AUD Việt Nam")</f>
        <v>Công ty TNHH Hãng Kiểm toán và Tư vấn AUD Việt Nam</v>
      </c>
      <c r="B49" s="4" t="str">
        <f ca="1">IFERROR(__xludf.DUMMYFUNCTION("""COMPUTED_VALUE"""),"Dương Minh Tuấn")</f>
        <v>Dương Minh Tuấn</v>
      </c>
      <c r="C49" s="4" t="str">
        <f ca="1">IFERROR(__xludf.DUMMYFUNCTION("""COMPUTED_VALUE"""),"Nam")</f>
        <v>Nam</v>
      </c>
      <c r="D49" s="4" t="str">
        <f ca="1">IFERROR(__xludf.DUMMYFUNCTION("""COMPUTED_VALUE"""),"Sau đại học")</f>
        <v>Sau đại học</v>
      </c>
      <c r="E49" s="4" t="str">
        <f ca="1">IFERROR(__xludf.DUMMYFUNCTION("""COMPUTED_VALUE"""),"Từ 3 đến 5 năm")</f>
        <v>Từ 3 đến 5 năm</v>
      </c>
      <c r="F49" s="4" t="str">
        <f ca="1">IFERROR(__xludf.DUMMYFUNCTION("""COMPUTED_VALUE"""),"Trợ lý kiểm toán")</f>
        <v>Trợ lý kiểm toán</v>
      </c>
    </row>
    <row r="50" spans="1:6" x14ac:dyDescent="0.25">
      <c r="A50" s="4" t="str">
        <f ca="1">IFERROR(__xludf.DUMMYFUNCTION("""COMPUTED_VALUE"""),"Công ty TNHH Indochina Link Việt Nam")</f>
        <v>Công ty TNHH Indochina Link Việt Nam</v>
      </c>
      <c r="B50" s="4" t="str">
        <f ca="1">IFERROR(__xludf.DUMMYFUNCTION("""COMPUTED_VALUE"""),"Nguyễn Ngọc Tân")</f>
        <v>Nguyễn Ngọc Tân</v>
      </c>
      <c r="C50" s="4" t="str">
        <f ca="1">IFERROR(__xludf.DUMMYFUNCTION("""COMPUTED_VALUE"""),"Nam")</f>
        <v>Nam</v>
      </c>
      <c r="D50" s="4" t="str">
        <f ca="1">IFERROR(__xludf.DUMMYFUNCTION("""COMPUTED_VALUE"""),"Đại học, Chứng chỉ Kiểm toán viên")</f>
        <v>Đại học, Chứng chỉ Kiểm toán viên</v>
      </c>
      <c r="E50" s="4" t="str">
        <f ca="1">IFERROR(__xludf.DUMMYFUNCTION("""COMPUTED_VALUE"""),"Trên 10 đến 15 năm")</f>
        <v>Trên 10 đến 15 năm</v>
      </c>
      <c r="F50" s="4" t="str">
        <f ca="1">IFERROR(__xludf.DUMMYFUNCTION("""COMPUTED_VALUE"""),"Ban giám đốc")</f>
        <v>Ban giám đốc</v>
      </c>
    </row>
    <row r="51" spans="1:6" x14ac:dyDescent="0.25">
      <c r="A51" s="4" t="str">
        <f ca="1">IFERROR(__xludf.DUMMYFUNCTION("""COMPUTED_VALUE"""),"Công ty TNHH Kiểm toán &amp; Tư vấn RSM Việt Nam")</f>
        <v>Công ty TNHH Kiểm toán &amp; Tư vấn RSM Việt Nam</v>
      </c>
      <c r="B51" s="4" t="str">
        <f ca="1">IFERROR(__xludf.DUMMYFUNCTION("""COMPUTED_VALUE"""),"Trần Nam Giang")</f>
        <v>Trần Nam Giang</v>
      </c>
      <c r="C51" s="4" t="str">
        <f ca="1">IFERROR(__xludf.DUMMYFUNCTION("""COMPUTED_VALUE"""),"Nam")</f>
        <v>Nam</v>
      </c>
      <c r="D51" s="4" t="str">
        <f ca="1">IFERROR(__xludf.DUMMYFUNCTION("""COMPUTED_VALUE"""),"Đại học, Kế toán trưởng")</f>
        <v>Đại học, Kế toán trưởng</v>
      </c>
      <c r="E51" s="4" t="str">
        <f ca="1">IFERROR(__xludf.DUMMYFUNCTION("""COMPUTED_VALUE"""),"Trên 5 đến 10 năm")</f>
        <v>Trên 5 đến 10 năm</v>
      </c>
      <c r="F51" s="4" t="str">
        <f ca="1">IFERROR(__xludf.DUMMYFUNCTION("""COMPUTED_VALUE"""),"Kiểm toán viên/Trưởng nhóm")</f>
        <v>Kiểm toán viên/Trưởng nhóm</v>
      </c>
    </row>
    <row r="52" spans="1:6" x14ac:dyDescent="0.25">
      <c r="A52" s="4" t="str">
        <f ca="1">IFERROR(__xludf.DUMMYFUNCTION("""COMPUTED_VALUE"""),"Công ty TNHH Kiểm toán &amp; Tư vấn RSM Việt Nam")</f>
        <v>Công ty TNHH Kiểm toán &amp; Tư vấn RSM Việt Nam</v>
      </c>
      <c r="B52" s="4" t="str">
        <f ca="1">IFERROR(__xludf.DUMMYFUNCTION("""COMPUTED_VALUE"""),"Phan Hoài Nam")</f>
        <v>Phan Hoài Nam</v>
      </c>
      <c r="C52" s="4" t="str">
        <f ca="1">IFERROR(__xludf.DUMMYFUNCTION("""COMPUTED_VALUE"""),"Nam")</f>
        <v>Nam</v>
      </c>
      <c r="D52" s="4" t="str">
        <f ca="1">IFERROR(__xludf.DUMMYFUNCTION("""COMPUTED_VALUE"""),"Sau đại học, Chứng chỉ Kiểm toán viên")</f>
        <v>Sau đại học, Chứng chỉ Kiểm toán viên</v>
      </c>
      <c r="E52" s="4" t="str">
        <f ca="1">IFERROR(__xludf.DUMMYFUNCTION("""COMPUTED_VALUE"""),"Trên 10 đến 15 năm")</f>
        <v>Trên 10 đến 15 năm</v>
      </c>
      <c r="F52" s="4" t="str">
        <f ca="1">IFERROR(__xludf.DUMMYFUNCTION("""COMPUTED_VALUE"""),"Trưởng phòng")</f>
        <v>Trưởng phòng</v>
      </c>
    </row>
    <row r="53" spans="1:6" x14ac:dyDescent="0.25">
      <c r="A53" s="4" t="str">
        <f ca="1">IFERROR(__xludf.DUMMYFUNCTION("""COMPUTED_VALUE"""),"Công ty TNHH Kiểm toán &amp; Tư vấn RSM Việt Nam")</f>
        <v>Công ty TNHH Kiểm toán &amp; Tư vấn RSM Việt Nam</v>
      </c>
      <c r="B53" s="4"/>
      <c r="C53" s="4" t="str">
        <f ca="1">IFERROR(__xludf.DUMMYFUNCTION("""COMPUTED_VALUE"""),"Nam")</f>
        <v>Nam</v>
      </c>
      <c r="D53" s="4" t="str">
        <f ca="1">IFERROR(__xludf.DUMMYFUNCTION("""COMPUTED_VALUE"""),"Sau đại học, Chứng chỉ Kiểm toán viên")</f>
        <v>Sau đại học, Chứng chỉ Kiểm toán viên</v>
      </c>
      <c r="E53" s="4" t="str">
        <f ca="1">IFERROR(__xludf.DUMMYFUNCTION("""COMPUTED_VALUE"""),"Trên 15 đến 20 năm")</f>
        <v>Trên 15 đến 20 năm</v>
      </c>
      <c r="F53" s="4" t="str">
        <f ca="1">IFERROR(__xludf.DUMMYFUNCTION("""COMPUTED_VALUE"""),"Trưởng phòng")</f>
        <v>Trưởng phòng</v>
      </c>
    </row>
    <row r="54" spans="1:6" x14ac:dyDescent="0.25">
      <c r="A54" s="4" t="str">
        <f ca="1">IFERROR(__xludf.DUMMYFUNCTION("""COMPUTED_VALUE"""),"Công ty TNHH Kiểm toán &amp; Tư vấn RSM Việt Nam")</f>
        <v>Công ty TNHH Kiểm toán &amp; Tư vấn RSM Việt Nam</v>
      </c>
      <c r="B54" s="4" t="str">
        <f ca="1">IFERROR(__xludf.DUMMYFUNCTION("""COMPUTED_VALUE"""),"NGÔ ĐÌNH HUY")</f>
        <v>NGÔ ĐÌNH HUY</v>
      </c>
      <c r="C54" s="4" t="str">
        <f ca="1">IFERROR(__xludf.DUMMYFUNCTION("""COMPUTED_VALUE"""),"Nam")</f>
        <v>Nam</v>
      </c>
      <c r="D54" s="4" t="str">
        <f ca="1">IFERROR(__xludf.DUMMYFUNCTION("""COMPUTED_VALUE"""),"Đại học")</f>
        <v>Đại học</v>
      </c>
      <c r="E54" s="4" t="str">
        <f ca="1">IFERROR(__xludf.DUMMYFUNCTION("""COMPUTED_VALUE"""),"Trên 5 đến 10 năm")</f>
        <v>Trên 5 đến 10 năm</v>
      </c>
      <c r="F54" s="4" t="str">
        <f ca="1">IFERROR(__xludf.DUMMYFUNCTION("""COMPUTED_VALUE"""),"Kiểm toán viên/Trưởng nhóm")</f>
        <v>Kiểm toán viên/Trưởng nhóm</v>
      </c>
    </row>
    <row r="55" spans="1:6" x14ac:dyDescent="0.25">
      <c r="A55" s="4" t="str">
        <f ca="1">IFERROR(__xludf.DUMMYFUNCTION("""COMPUTED_VALUE"""),"Công ty TNHH Kiểm toán &amp; Tư vấn RSM Việt Nam")</f>
        <v>Công ty TNHH Kiểm toán &amp; Tư vấn RSM Việt Nam</v>
      </c>
      <c r="B55" s="4" t="str">
        <f ca="1">IFERROR(__xludf.DUMMYFUNCTION("""COMPUTED_VALUE"""),"NGUYỄN QUỐC CƯỜNG")</f>
        <v>NGUYỄN QUỐC CƯỜNG</v>
      </c>
      <c r="C55" s="4" t="str">
        <f ca="1">IFERROR(__xludf.DUMMYFUNCTION("""COMPUTED_VALUE"""),"Nam")</f>
        <v>Nam</v>
      </c>
      <c r="D55" s="4" t="str">
        <f ca="1">IFERROR(__xludf.DUMMYFUNCTION("""COMPUTED_VALUE"""),"Đại học, Chứng chỉ Kiểm toán viên")</f>
        <v>Đại học, Chứng chỉ Kiểm toán viên</v>
      </c>
      <c r="E55" s="4" t="str">
        <f ca="1">IFERROR(__xludf.DUMMYFUNCTION("""COMPUTED_VALUE"""),"Trên 10 đến 15 năm")</f>
        <v>Trên 10 đến 15 năm</v>
      </c>
      <c r="F55" s="4" t="str">
        <f ca="1">IFERROR(__xludf.DUMMYFUNCTION("""COMPUTED_VALUE"""),"Trưởng phòng")</f>
        <v>Trưởng phòng</v>
      </c>
    </row>
    <row r="56" spans="1:6" x14ac:dyDescent="0.25">
      <c r="A56" s="4" t="str">
        <f ca="1">IFERROR(__xludf.DUMMYFUNCTION("""COMPUTED_VALUE"""),"Công ty TNHH Kiểm toán &amp; Tư vấn RSM Việt Nam")</f>
        <v>Công ty TNHH Kiểm toán &amp; Tư vấn RSM Việt Nam</v>
      </c>
      <c r="B56" s="4" t="str">
        <f ca="1">IFERROR(__xludf.DUMMYFUNCTION("""COMPUTED_VALUE"""),"Dang Thi Hong Loan")</f>
        <v>Dang Thi Hong Loan</v>
      </c>
      <c r="C56" s="4" t="str">
        <f ca="1">IFERROR(__xludf.DUMMYFUNCTION("""COMPUTED_VALUE"""),"Nữ")</f>
        <v>Nữ</v>
      </c>
      <c r="D56" s="4" t="str">
        <f ca="1">IFERROR(__xludf.DUMMYFUNCTION("""COMPUTED_VALUE"""),"Đại học, Chứng chỉ Kiểm toán viên")</f>
        <v>Đại học, Chứng chỉ Kiểm toán viên</v>
      </c>
      <c r="E56" s="4" t="str">
        <f ca="1">IFERROR(__xludf.DUMMYFUNCTION("""COMPUTED_VALUE"""),"Trên 20 năm")</f>
        <v>Trên 20 năm</v>
      </c>
      <c r="F56" s="4" t="str">
        <f ca="1">IFERROR(__xludf.DUMMYFUNCTION("""COMPUTED_VALUE"""),"Ban giám đốc")</f>
        <v>Ban giám đốc</v>
      </c>
    </row>
    <row r="57" spans="1:6" x14ac:dyDescent="0.25">
      <c r="A57" s="4" t="str">
        <f ca="1">IFERROR(__xludf.DUMMYFUNCTION("""COMPUTED_VALUE"""),"Công ty TNHH Kiểm toán &amp; Tư vấn RSM Việt Nam")</f>
        <v>Công ty TNHH Kiểm toán &amp; Tư vấn RSM Việt Nam</v>
      </c>
      <c r="B57" s="4"/>
      <c r="C57" s="4" t="str">
        <f ca="1">IFERROR(__xludf.DUMMYFUNCTION("""COMPUTED_VALUE"""),"Nữ")</f>
        <v>Nữ</v>
      </c>
      <c r="D57" s="4" t="str">
        <f ca="1">IFERROR(__xludf.DUMMYFUNCTION("""COMPUTED_VALUE"""),"Đại học, Chứng chỉ Kiểm toán viên")</f>
        <v>Đại học, Chứng chỉ Kiểm toán viên</v>
      </c>
      <c r="E57" s="4" t="str">
        <f ca="1">IFERROR(__xludf.DUMMYFUNCTION("""COMPUTED_VALUE"""),"Trên 5 đến 10 năm")</f>
        <v>Trên 5 đến 10 năm</v>
      </c>
      <c r="F57" s="4" t="str">
        <f ca="1">IFERROR(__xludf.DUMMYFUNCTION("""COMPUTED_VALUE"""),"Trưởng phòng")</f>
        <v>Trưởng phòng</v>
      </c>
    </row>
    <row r="58" spans="1:6" x14ac:dyDescent="0.25">
      <c r="A58" s="4" t="str">
        <f ca="1">IFERROR(__xludf.DUMMYFUNCTION("""COMPUTED_VALUE"""),"Công ty TNHH Kiểm toán &amp; Tư vấn RSM Việt Nam")</f>
        <v>Công ty TNHH Kiểm toán &amp; Tư vấn RSM Việt Nam</v>
      </c>
      <c r="B58" s="4" t="str">
        <f ca="1">IFERROR(__xludf.DUMMYFUNCTION("""COMPUTED_VALUE"""),"Nguyễn Thế Vinh")</f>
        <v>Nguyễn Thế Vinh</v>
      </c>
      <c r="C58" s="4" t="str">
        <f ca="1">IFERROR(__xludf.DUMMYFUNCTION("""COMPUTED_VALUE"""),"Nam")</f>
        <v>Nam</v>
      </c>
      <c r="D58" s="4" t="str">
        <f ca="1">IFERROR(__xludf.DUMMYFUNCTION("""COMPUTED_VALUE"""),"Đại học")</f>
        <v>Đại học</v>
      </c>
      <c r="E58" s="4" t="str">
        <f ca="1">IFERROR(__xludf.DUMMYFUNCTION("""COMPUTED_VALUE"""),"Từ 3 đến 5 năm")</f>
        <v>Từ 3 đến 5 năm</v>
      </c>
      <c r="F58" s="4" t="str">
        <f ca="1">IFERROR(__xludf.DUMMYFUNCTION("""COMPUTED_VALUE"""),"Kiểm toán viên/Trưởng nhóm")</f>
        <v>Kiểm toán viên/Trưởng nhóm</v>
      </c>
    </row>
    <row r="59" spans="1:6" x14ac:dyDescent="0.25">
      <c r="A59" s="4" t="str">
        <f ca="1">IFERROR(__xludf.DUMMYFUNCTION("""COMPUTED_VALUE"""),"Công ty TNHH Kiểm toán - Thẩm định giá và Tư vấn ECOVIS AFA VIỆT NAM")</f>
        <v>Công ty TNHH Kiểm toán - Thẩm định giá và Tư vấn ECOVIS AFA VIỆT NAM</v>
      </c>
      <c r="B59" s="4" t="str">
        <f ca="1">IFERROR(__xludf.DUMMYFUNCTION("""COMPUTED_VALUE"""),"NGUYỄN PHÚC HƯNG")</f>
        <v>NGUYỄN PHÚC HƯNG</v>
      </c>
      <c r="C59" s="4" t="str">
        <f ca="1">IFERROR(__xludf.DUMMYFUNCTION("""COMPUTED_VALUE"""),"Nam")</f>
        <v>Nam</v>
      </c>
      <c r="D59" s="4" t="str">
        <f ca="1">IFERROR(__xludf.DUMMYFUNCTION("""COMPUTED_VALUE"""),"Đại học")</f>
        <v>Đại học</v>
      </c>
      <c r="E59" s="4" t="str">
        <f ca="1">IFERROR(__xludf.DUMMYFUNCTION("""COMPUTED_VALUE"""),"Từ 3 đến 5 năm")</f>
        <v>Từ 3 đến 5 năm</v>
      </c>
      <c r="F59" s="4" t="str">
        <f ca="1">IFERROR(__xludf.DUMMYFUNCTION("""COMPUTED_VALUE"""),"Trợ lý kiểm toán")</f>
        <v>Trợ lý kiểm toán</v>
      </c>
    </row>
    <row r="60" spans="1:6" x14ac:dyDescent="0.25">
      <c r="A60" s="4" t="str">
        <f ca="1">IFERROR(__xludf.DUMMYFUNCTION("""COMPUTED_VALUE"""),"Công ty TNHH Kiểm toán - Thẩm định giá và Tư vấn ECOVIS AFA VIỆT NAM")</f>
        <v>Công ty TNHH Kiểm toán - Thẩm định giá và Tư vấn ECOVIS AFA VIỆT NAM</v>
      </c>
      <c r="B60" s="4" t="str">
        <f ca="1">IFERROR(__xludf.DUMMYFUNCTION("""COMPUTED_VALUE"""),"Lê Mai Trúc")</f>
        <v>Lê Mai Trúc</v>
      </c>
      <c r="C60" s="4" t="str">
        <f ca="1">IFERROR(__xludf.DUMMYFUNCTION("""COMPUTED_VALUE"""),"Nữ")</f>
        <v>Nữ</v>
      </c>
      <c r="D60" s="4" t="str">
        <f ca="1">IFERROR(__xludf.DUMMYFUNCTION("""COMPUTED_VALUE"""),"Đại học")</f>
        <v>Đại học</v>
      </c>
      <c r="E60" s="4" t="str">
        <f ca="1">IFERROR(__xludf.DUMMYFUNCTION("""COMPUTED_VALUE"""),"Từ 3 đến 5 năm")</f>
        <v>Từ 3 đến 5 năm</v>
      </c>
      <c r="F60" s="4" t="str">
        <f ca="1">IFERROR(__xludf.DUMMYFUNCTION("""COMPUTED_VALUE"""),"Trợ lý kiểm toán")</f>
        <v>Trợ lý kiểm toán</v>
      </c>
    </row>
    <row r="61" spans="1:6" x14ac:dyDescent="0.25">
      <c r="A61" s="4" t="str">
        <f ca="1">IFERROR(__xludf.DUMMYFUNCTION("""COMPUTED_VALUE"""),"Công ty TNHH Kiểm toán - Thẩm định giá và Tư vấn ECOVIS AFA VIỆT NAM")</f>
        <v>Công ty TNHH Kiểm toán - Thẩm định giá và Tư vấn ECOVIS AFA VIỆT NAM</v>
      </c>
      <c r="B61" s="4" t="str">
        <f ca="1">IFERROR(__xludf.DUMMYFUNCTION("""COMPUTED_VALUE"""),"Kim Văn Việt")</f>
        <v>Kim Văn Việt</v>
      </c>
      <c r="C61" s="4" t="str">
        <f ca="1">IFERROR(__xludf.DUMMYFUNCTION("""COMPUTED_VALUE"""),"Nam")</f>
        <v>Nam</v>
      </c>
      <c r="D61" s="4" t="str">
        <f ca="1">IFERROR(__xludf.DUMMYFUNCTION("""COMPUTED_VALUE"""),"Đại học, Chứng chỉ Kiểm toán viên")</f>
        <v>Đại học, Chứng chỉ Kiểm toán viên</v>
      </c>
      <c r="E61" s="4" t="str">
        <f ca="1">IFERROR(__xludf.DUMMYFUNCTION("""COMPUTED_VALUE"""),"Trên 15 đến 20 năm")</f>
        <v>Trên 15 đến 20 năm</v>
      </c>
      <c r="F61" s="4" t="str">
        <f ca="1">IFERROR(__xludf.DUMMYFUNCTION("""COMPUTED_VALUE"""),"Trưởng phòng")</f>
        <v>Trưởng phòng</v>
      </c>
    </row>
    <row r="62" spans="1:6" x14ac:dyDescent="0.25">
      <c r="A62" s="4" t="str">
        <f ca="1">IFERROR(__xludf.DUMMYFUNCTION("""COMPUTED_VALUE"""),"Công ty TNHH Kiểm toán - Thẩm định giá và Tư vấn ECOVIS AFA VIỆT NAM")</f>
        <v>Công ty TNHH Kiểm toán - Thẩm định giá và Tư vấn ECOVIS AFA VIỆT NAM</v>
      </c>
      <c r="B62" s="4" t="str">
        <f ca="1">IFERROR(__xludf.DUMMYFUNCTION("""COMPUTED_VALUE"""),"Nguyễn Quỳnh Nga")</f>
        <v>Nguyễn Quỳnh Nga</v>
      </c>
      <c r="C62" s="4" t="str">
        <f ca="1">IFERROR(__xludf.DUMMYFUNCTION("""COMPUTED_VALUE"""),"Nữ")</f>
        <v>Nữ</v>
      </c>
      <c r="D62" s="4" t="str">
        <f ca="1">IFERROR(__xludf.DUMMYFUNCTION("""COMPUTED_VALUE"""),"Đại học")</f>
        <v>Đại học</v>
      </c>
      <c r="E62" s="4" t="str">
        <f ca="1">IFERROR(__xludf.DUMMYFUNCTION("""COMPUTED_VALUE"""),"Từ 3 đến 5 năm")</f>
        <v>Từ 3 đến 5 năm</v>
      </c>
      <c r="F62" s="4" t="str">
        <f ca="1">IFERROR(__xludf.DUMMYFUNCTION("""COMPUTED_VALUE"""),"Trợ lý kiểm toán")</f>
        <v>Trợ lý kiểm toán</v>
      </c>
    </row>
    <row r="63" spans="1:6" x14ac:dyDescent="0.25">
      <c r="A63" s="4" t="str">
        <f ca="1">IFERROR(__xludf.DUMMYFUNCTION("""COMPUTED_VALUE"""),"Công ty TNHH Kiểm toán - Thẩm định giá và Tư vấn ECOVIS AFA VIỆT NAM")</f>
        <v>Công ty TNHH Kiểm toán - Thẩm định giá và Tư vấn ECOVIS AFA VIỆT NAM</v>
      </c>
      <c r="B63" s="4" t="str">
        <f ca="1">IFERROR(__xludf.DUMMYFUNCTION("""COMPUTED_VALUE"""),"Lê Văn Hoàng")</f>
        <v>Lê Văn Hoàng</v>
      </c>
      <c r="C63" s="4" t="str">
        <f ca="1">IFERROR(__xludf.DUMMYFUNCTION("""COMPUTED_VALUE"""),"Nam")</f>
        <v>Nam</v>
      </c>
      <c r="D63" s="4" t="str">
        <f ca="1">IFERROR(__xludf.DUMMYFUNCTION("""COMPUTED_VALUE"""),"Đại học, Chứng chỉ Kiểm toán viên")</f>
        <v>Đại học, Chứng chỉ Kiểm toán viên</v>
      </c>
      <c r="E63" s="4" t="str">
        <f ca="1">IFERROR(__xludf.DUMMYFUNCTION("""COMPUTED_VALUE"""),"Trên 5 đến 10 năm")</f>
        <v>Trên 5 đến 10 năm</v>
      </c>
      <c r="F63" s="4" t="str">
        <f ca="1">IFERROR(__xludf.DUMMYFUNCTION("""COMPUTED_VALUE"""),"Kiểm toán viên/Trưởng nhóm")</f>
        <v>Kiểm toán viên/Trưởng nhóm</v>
      </c>
    </row>
    <row r="64" spans="1:6" x14ac:dyDescent="0.25">
      <c r="A64" s="4" t="str">
        <f ca="1">IFERROR(__xludf.DUMMYFUNCTION("""COMPUTED_VALUE"""),"Công ty TNHH Kiểm toán - Tư vấn Đất Việt")</f>
        <v>Công ty TNHH Kiểm toán - Tư vấn Đất Việt</v>
      </c>
      <c r="B64" s="4" t="str">
        <f ca="1">IFERROR(__xludf.DUMMYFUNCTION("""COMPUTED_VALUE"""),"Vương Nguyễn Quỳnh Như")</f>
        <v>Vương Nguyễn Quỳnh Như</v>
      </c>
      <c r="C64" s="4" t="str">
        <f ca="1">IFERROR(__xludf.DUMMYFUNCTION("""COMPUTED_VALUE"""),"Nữ")</f>
        <v>Nữ</v>
      </c>
      <c r="D64" s="4" t="str">
        <f ca="1">IFERROR(__xludf.DUMMYFUNCTION("""COMPUTED_VALUE"""),"Đại học, Chứng chỉ Kiểm toán viên")</f>
        <v>Đại học, Chứng chỉ Kiểm toán viên</v>
      </c>
      <c r="E64" s="4" t="str">
        <f ca="1">IFERROR(__xludf.DUMMYFUNCTION("""COMPUTED_VALUE"""),"Trên 5 đến 10 năm")</f>
        <v>Trên 5 đến 10 năm</v>
      </c>
      <c r="F64" s="4" t="str">
        <f ca="1">IFERROR(__xludf.DUMMYFUNCTION("""COMPUTED_VALUE"""),"Kiểm toán viên/Trưởng nhóm")</f>
        <v>Kiểm toán viên/Trưởng nhóm</v>
      </c>
    </row>
    <row r="65" spans="1:6" x14ac:dyDescent="0.25">
      <c r="A65" s="4" t="str">
        <f ca="1">IFERROR(__xludf.DUMMYFUNCTION("""COMPUTED_VALUE"""),"Công ty TNHH Kiểm toán - Tư vấn Đất Việt")</f>
        <v>Công ty TNHH Kiểm toán - Tư vấn Đất Việt</v>
      </c>
      <c r="B65" s="4" t="str">
        <f ca="1">IFERROR(__xludf.DUMMYFUNCTION("""COMPUTED_VALUE"""),"Nguyễn Cao Hoài Thu")</f>
        <v>Nguyễn Cao Hoài Thu</v>
      </c>
      <c r="C65" s="4" t="str">
        <f ca="1">IFERROR(__xludf.DUMMYFUNCTION("""COMPUTED_VALUE"""),"Nữ")</f>
        <v>Nữ</v>
      </c>
      <c r="D65" s="4" t="str">
        <f ca="1">IFERROR(__xludf.DUMMYFUNCTION("""COMPUTED_VALUE"""),"Đại học, Chứng chỉ Kiểm toán viên")</f>
        <v>Đại học, Chứng chỉ Kiểm toán viên</v>
      </c>
      <c r="E65" s="4" t="str">
        <f ca="1">IFERROR(__xludf.DUMMYFUNCTION("""COMPUTED_VALUE"""),"Trên 20 năm")</f>
        <v>Trên 20 năm</v>
      </c>
      <c r="F65" s="4" t="str">
        <f ca="1">IFERROR(__xludf.DUMMYFUNCTION("""COMPUTED_VALUE"""),"Ban giám đốc")</f>
        <v>Ban giám đốc</v>
      </c>
    </row>
    <row r="66" spans="1:6" x14ac:dyDescent="0.25">
      <c r="A66" s="4" t="str">
        <f ca="1">IFERROR(__xludf.DUMMYFUNCTION("""COMPUTED_VALUE"""),"Công ty TNHH Kiểm toán - Tư vấn Đất Việt")</f>
        <v>Công ty TNHH Kiểm toán - Tư vấn Đất Việt</v>
      </c>
      <c r="B66" s="4" t="str">
        <f ca="1">IFERROR(__xludf.DUMMYFUNCTION("""COMPUTED_VALUE"""),"Lê Đức Anh Dũng")</f>
        <v>Lê Đức Anh Dũng</v>
      </c>
      <c r="C66" s="4" t="str">
        <f ca="1">IFERROR(__xludf.DUMMYFUNCTION("""COMPUTED_VALUE"""),"Nam")</f>
        <v>Nam</v>
      </c>
      <c r="D66" s="4" t="str">
        <f ca="1">IFERROR(__xludf.DUMMYFUNCTION("""COMPUTED_VALUE"""),"Đại học")</f>
        <v>Đại học</v>
      </c>
      <c r="E66" s="4" t="str">
        <f ca="1">IFERROR(__xludf.DUMMYFUNCTION("""COMPUTED_VALUE"""),"Từ 3 đến 5 năm")</f>
        <v>Từ 3 đến 5 năm</v>
      </c>
      <c r="F66" s="4" t="str">
        <f ca="1">IFERROR(__xludf.DUMMYFUNCTION("""COMPUTED_VALUE"""),"Trợ lý kiểm toán")</f>
        <v>Trợ lý kiểm toán</v>
      </c>
    </row>
    <row r="67" spans="1:6" x14ac:dyDescent="0.25">
      <c r="A67" s="4" t="str">
        <f ca="1">IFERROR(__xludf.DUMMYFUNCTION("""COMPUTED_VALUE"""),"Công ty TNHH Kiểm toán - Tư vấn Đất Việt")</f>
        <v>Công ty TNHH Kiểm toán - Tư vấn Đất Việt</v>
      </c>
      <c r="B67" s="4" t="str">
        <f ca="1">IFERROR(__xludf.DUMMYFUNCTION("""COMPUTED_VALUE"""),"Nguyễn Lê Hồng Phương")</f>
        <v>Nguyễn Lê Hồng Phương</v>
      </c>
      <c r="C67" s="4" t="str">
        <f ca="1">IFERROR(__xludf.DUMMYFUNCTION("""COMPUTED_VALUE"""),"Nữ")</f>
        <v>Nữ</v>
      </c>
      <c r="D67" s="4" t="str">
        <f ca="1">IFERROR(__xludf.DUMMYFUNCTION("""COMPUTED_VALUE"""),"Đại học")</f>
        <v>Đại học</v>
      </c>
      <c r="E67" s="4" t="str">
        <f ca="1">IFERROR(__xludf.DUMMYFUNCTION("""COMPUTED_VALUE"""),"Từ 3 đến 5 năm")</f>
        <v>Từ 3 đến 5 năm</v>
      </c>
      <c r="F67" s="4" t="str">
        <f ca="1">IFERROR(__xludf.DUMMYFUNCTION("""COMPUTED_VALUE"""),"Trợ lý kiểm toán")</f>
        <v>Trợ lý kiểm toán</v>
      </c>
    </row>
    <row r="68" spans="1:6" x14ac:dyDescent="0.25">
      <c r="A68" s="4" t="str">
        <f ca="1">IFERROR(__xludf.DUMMYFUNCTION("""COMPUTED_VALUE"""),"Công ty TNHH Kiểm toán - Tư vấn Đất Việt")</f>
        <v>Công ty TNHH Kiểm toán - Tư vấn Đất Việt</v>
      </c>
      <c r="B68" s="4" t="str">
        <f ca="1">IFERROR(__xludf.DUMMYFUNCTION("""COMPUTED_VALUE"""),"Nguyễn Thị Thơm")</f>
        <v>Nguyễn Thị Thơm</v>
      </c>
      <c r="C68" s="4" t="str">
        <f ca="1">IFERROR(__xludf.DUMMYFUNCTION("""COMPUTED_VALUE"""),"Nữ")</f>
        <v>Nữ</v>
      </c>
      <c r="D68" s="4" t="str">
        <f ca="1">IFERROR(__xludf.DUMMYFUNCTION("""COMPUTED_VALUE"""),"Đại học, Chứng chỉ Kiểm toán viên")</f>
        <v>Đại học, Chứng chỉ Kiểm toán viên</v>
      </c>
      <c r="E68" s="4" t="str">
        <f ca="1">IFERROR(__xludf.DUMMYFUNCTION("""COMPUTED_VALUE"""),"Trên 20 năm")</f>
        <v>Trên 20 năm</v>
      </c>
      <c r="F68" s="4" t="str">
        <f ca="1">IFERROR(__xludf.DUMMYFUNCTION("""COMPUTED_VALUE"""),"Ban giám đốc")</f>
        <v>Ban giám đốc</v>
      </c>
    </row>
    <row r="69" spans="1:6" x14ac:dyDescent="0.25">
      <c r="A69" s="4" t="str">
        <f ca="1">IFERROR(__xludf.DUMMYFUNCTION("""COMPUTED_VALUE"""),"Công ty TNHH Kiểm toán - Tư vấn Đất Việt")</f>
        <v>Công ty TNHH Kiểm toán - Tư vấn Đất Việt</v>
      </c>
      <c r="B69" s="4" t="str">
        <f ca="1">IFERROR(__xludf.DUMMYFUNCTION("""COMPUTED_VALUE"""),"Kim Ngân")</f>
        <v>Kim Ngân</v>
      </c>
      <c r="C69" s="4" t="str">
        <f ca="1">IFERROR(__xludf.DUMMYFUNCTION("""COMPUTED_VALUE"""),"Nữ")</f>
        <v>Nữ</v>
      </c>
      <c r="D69" s="4" t="str">
        <f ca="1">IFERROR(__xludf.DUMMYFUNCTION("""COMPUTED_VALUE"""),"Đại học")</f>
        <v>Đại học</v>
      </c>
      <c r="E69" s="4" t="str">
        <f ca="1">IFERROR(__xludf.DUMMYFUNCTION("""COMPUTED_VALUE"""),"Từ 3 đến 5 năm")</f>
        <v>Từ 3 đến 5 năm</v>
      </c>
      <c r="F69" s="4" t="str">
        <f ca="1">IFERROR(__xludf.DUMMYFUNCTION("""COMPUTED_VALUE"""),"Trợ lý kiểm toán")</f>
        <v>Trợ lý kiểm toán</v>
      </c>
    </row>
    <row r="70" spans="1:6" x14ac:dyDescent="0.25">
      <c r="A70" s="4" t="str">
        <f ca="1">IFERROR(__xludf.DUMMYFUNCTION("""COMPUTED_VALUE"""),"Công ty TNHH Kiểm toán - Tư vấn Đất Việt")</f>
        <v>Công ty TNHH Kiểm toán - Tư vấn Đất Việt</v>
      </c>
      <c r="B70" s="4" t="str">
        <f ca="1">IFERROR(__xludf.DUMMYFUNCTION("""COMPUTED_VALUE"""),"Nguyễn Nam Anh")</f>
        <v>Nguyễn Nam Anh</v>
      </c>
      <c r="C70" s="4" t="str">
        <f ca="1">IFERROR(__xludf.DUMMYFUNCTION("""COMPUTED_VALUE"""),"Nam")</f>
        <v>Nam</v>
      </c>
      <c r="D70" s="4" t="str">
        <f ca="1">IFERROR(__xludf.DUMMYFUNCTION("""COMPUTED_VALUE"""),"Đại học, Chứng chỉ Kiểm toán viên")</f>
        <v>Đại học, Chứng chỉ Kiểm toán viên</v>
      </c>
      <c r="E70" s="4" t="str">
        <f ca="1">IFERROR(__xludf.DUMMYFUNCTION("""COMPUTED_VALUE"""),"Trên 10 đến 15 năm")</f>
        <v>Trên 10 đến 15 năm</v>
      </c>
      <c r="F70" s="4" t="str">
        <f ca="1">IFERROR(__xludf.DUMMYFUNCTION("""COMPUTED_VALUE"""),"Kiểm toán viên/Trưởng nhóm")</f>
        <v>Kiểm toán viên/Trưởng nhóm</v>
      </c>
    </row>
    <row r="71" spans="1:6" x14ac:dyDescent="0.25">
      <c r="A71" s="4" t="str">
        <f ca="1">IFERROR(__xludf.DUMMYFUNCTION("""COMPUTED_VALUE"""),"Công ty TNHH Kiểm toán - Tư vấn Đất Việt")</f>
        <v>Công ty TNHH Kiểm toán - Tư vấn Đất Việt</v>
      </c>
      <c r="B71" s="4" t="str">
        <f ca="1">IFERROR(__xludf.DUMMYFUNCTION("""COMPUTED_VALUE"""),"LÊ THỊ BÍCH NGỌC")</f>
        <v>LÊ THỊ BÍCH NGỌC</v>
      </c>
      <c r="C71" s="4" t="str">
        <f ca="1">IFERROR(__xludf.DUMMYFUNCTION("""COMPUTED_VALUE"""),"Nữ")</f>
        <v>Nữ</v>
      </c>
      <c r="D71" s="4" t="str">
        <f ca="1">IFERROR(__xludf.DUMMYFUNCTION("""COMPUTED_VALUE"""),"Đại học, Chứng chỉ Kiểm toán viên")</f>
        <v>Đại học, Chứng chỉ Kiểm toán viên</v>
      </c>
      <c r="E71" s="4" t="str">
        <f ca="1">IFERROR(__xludf.DUMMYFUNCTION("""COMPUTED_VALUE"""),"Trên 20 năm")</f>
        <v>Trên 20 năm</v>
      </c>
      <c r="F71" s="4" t="str">
        <f ca="1">IFERROR(__xludf.DUMMYFUNCTION("""COMPUTED_VALUE"""),"Kiểm toán viên/Trưởng nhóm")</f>
        <v>Kiểm toán viên/Trưởng nhóm</v>
      </c>
    </row>
    <row r="72" spans="1:6" x14ac:dyDescent="0.25">
      <c r="A72" s="4" t="str">
        <f ca="1">IFERROR(__xludf.DUMMYFUNCTION("""COMPUTED_VALUE"""),"Công ty TNHH Kiểm toán - Tư vấn Đất Việt")</f>
        <v>Công ty TNHH Kiểm toán - Tư vấn Đất Việt</v>
      </c>
      <c r="B72" s="4" t="str">
        <f ca="1">IFERROR(__xludf.DUMMYFUNCTION("""COMPUTED_VALUE"""),"Nguyễn Thị Yén Xuân ")</f>
        <v xml:space="preserve">Nguyễn Thị Yén Xuân </v>
      </c>
      <c r="C72" s="4" t="str">
        <f ca="1">IFERROR(__xludf.DUMMYFUNCTION("""COMPUTED_VALUE"""),"Nữ")</f>
        <v>Nữ</v>
      </c>
      <c r="D72" s="4" t="str">
        <f ca="1">IFERROR(__xludf.DUMMYFUNCTION("""COMPUTED_VALUE"""),"Đại học")</f>
        <v>Đại học</v>
      </c>
      <c r="E72" s="4" t="str">
        <f ca="1">IFERROR(__xludf.DUMMYFUNCTION("""COMPUTED_VALUE"""),"Trên 5 đến 10 năm")</f>
        <v>Trên 5 đến 10 năm</v>
      </c>
      <c r="F72" s="4" t="str">
        <f ca="1">IFERROR(__xludf.DUMMYFUNCTION("""COMPUTED_VALUE"""),"Trợ lý kiểm toán")</f>
        <v>Trợ lý kiểm toán</v>
      </c>
    </row>
    <row r="73" spans="1:6" x14ac:dyDescent="0.25">
      <c r="A73" s="4" t="str">
        <f ca="1">IFERROR(__xludf.DUMMYFUNCTION("""COMPUTED_VALUE"""),"Công ty TNHH Kiểm toán - Tư vấn Đất Việt")</f>
        <v>Công ty TNHH Kiểm toán - Tư vấn Đất Việt</v>
      </c>
      <c r="B73" s="4" t="str">
        <f ca="1">IFERROR(__xludf.DUMMYFUNCTION("""COMPUTED_VALUE"""),"Phạm Thị Ánh Dương")</f>
        <v>Phạm Thị Ánh Dương</v>
      </c>
      <c r="C73" s="4" t="str">
        <f ca="1">IFERROR(__xludf.DUMMYFUNCTION("""COMPUTED_VALUE"""),"Nữ")</f>
        <v>Nữ</v>
      </c>
      <c r="D73" s="4" t="str">
        <f ca="1">IFERROR(__xludf.DUMMYFUNCTION("""COMPUTED_VALUE"""),"Đại học")</f>
        <v>Đại học</v>
      </c>
      <c r="E73" s="4" t="str">
        <f ca="1">IFERROR(__xludf.DUMMYFUNCTION("""COMPUTED_VALUE"""),"Trên 15 đến 20 năm")</f>
        <v>Trên 15 đến 20 năm</v>
      </c>
      <c r="F73" s="4" t="str">
        <f ca="1">IFERROR(__xludf.DUMMYFUNCTION("""COMPUTED_VALUE"""),"Trưởng phòng")</f>
        <v>Trưởng phòng</v>
      </c>
    </row>
    <row r="74" spans="1:6" x14ac:dyDescent="0.25">
      <c r="A74" s="4" t="str">
        <f ca="1">IFERROR(__xludf.DUMMYFUNCTION("""COMPUTED_VALUE"""),"Công ty TNHH Kiểm toán - Tư vấn Đất Việt")</f>
        <v>Công ty TNHH Kiểm toán - Tư vấn Đất Việt</v>
      </c>
      <c r="B74" s="4" t="str">
        <f ca="1">IFERROR(__xludf.DUMMYFUNCTION("""COMPUTED_VALUE"""),"Trần Văn Hưng")</f>
        <v>Trần Văn Hưng</v>
      </c>
      <c r="C74" s="4" t="str">
        <f ca="1">IFERROR(__xludf.DUMMYFUNCTION("""COMPUTED_VALUE"""),"Nam")</f>
        <v>Nam</v>
      </c>
      <c r="D74" s="4" t="str">
        <f ca="1">IFERROR(__xludf.DUMMYFUNCTION("""COMPUTED_VALUE"""),"Đại học")</f>
        <v>Đại học</v>
      </c>
      <c r="E74" s="4" t="str">
        <f ca="1">IFERROR(__xludf.DUMMYFUNCTION("""COMPUTED_VALUE"""),"Từ 3 đến 5 năm")</f>
        <v>Từ 3 đến 5 năm</v>
      </c>
      <c r="F74" s="4" t="str">
        <f ca="1">IFERROR(__xludf.DUMMYFUNCTION("""COMPUTED_VALUE"""),"Trợ lý kiểm toán")</f>
        <v>Trợ lý kiểm toán</v>
      </c>
    </row>
    <row r="75" spans="1:6" x14ac:dyDescent="0.25">
      <c r="A75" s="4" t="str">
        <f ca="1">IFERROR(__xludf.DUMMYFUNCTION("""COMPUTED_VALUE"""),"Công ty TNHH Kiểm toán - Tư vấn Đất Việt")</f>
        <v>Công ty TNHH Kiểm toán - Tư vấn Đất Việt</v>
      </c>
      <c r="B75" s="4" t="str">
        <f ca="1">IFERROR(__xludf.DUMMYFUNCTION("""COMPUTED_VALUE"""),"Chu Ngọc Tuấn ")</f>
        <v xml:space="preserve">Chu Ngọc Tuấn </v>
      </c>
      <c r="C75" s="4" t="str">
        <f ca="1">IFERROR(__xludf.DUMMYFUNCTION("""COMPUTED_VALUE"""),"Nam")</f>
        <v>Nam</v>
      </c>
      <c r="D75" s="4" t="str">
        <f ca="1">IFERROR(__xludf.DUMMYFUNCTION("""COMPUTED_VALUE"""),"Đại học, Chứng chỉ Kiểm toán viên")</f>
        <v>Đại học, Chứng chỉ Kiểm toán viên</v>
      </c>
      <c r="E75" s="4" t="str">
        <f ca="1">IFERROR(__xludf.DUMMYFUNCTION("""COMPUTED_VALUE"""),"Trên 15 đến 20 năm")</f>
        <v>Trên 15 đến 20 năm</v>
      </c>
      <c r="F75" s="4" t="str">
        <f ca="1">IFERROR(__xludf.DUMMYFUNCTION("""COMPUTED_VALUE"""),"Ban giám đốc")</f>
        <v>Ban giám đốc</v>
      </c>
    </row>
    <row r="76" spans="1:6" x14ac:dyDescent="0.25">
      <c r="A76" s="4" t="str">
        <f ca="1">IFERROR(__xludf.DUMMYFUNCTION("""COMPUTED_VALUE"""),"Công ty TNHH Kiểm toán - Tư vấn định giá ACC_Việt Nam")</f>
        <v>Công ty TNHH Kiểm toán - Tư vấn định giá ACC_Việt Nam</v>
      </c>
      <c r="B76" s="4"/>
      <c r="C76" s="4" t="str">
        <f ca="1">IFERROR(__xludf.DUMMYFUNCTION("""COMPUTED_VALUE"""),"Nữ")</f>
        <v>Nữ</v>
      </c>
      <c r="D76" s="4" t="str">
        <f ca="1">IFERROR(__xludf.DUMMYFUNCTION("""COMPUTED_VALUE"""),"Đại học")</f>
        <v>Đại học</v>
      </c>
      <c r="E76" s="4" t="str">
        <f ca="1">IFERROR(__xludf.DUMMYFUNCTION("""COMPUTED_VALUE"""),"Trên 5 đến 10 năm")</f>
        <v>Trên 5 đến 10 năm</v>
      </c>
      <c r="F76" s="4" t="str">
        <f ca="1">IFERROR(__xludf.DUMMYFUNCTION("""COMPUTED_VALUE"""),"Kiểm toán viên/Trưởng nhóm")</f>
        <v>Kiểm toán viên/Trưởng nhóm</v>
      </c>
    </row>
    <row r="77" spans="1:6" x14ac:dyDescent="0.25">
      <c r="A77" s="4" t="str">
        <f ca="1">IFERROR(__xludf.DUMMYFUNCTION("""COMPUTED_VALUE"""),"Công ty TNHH Kiểm toán AACS")</f>
        <v>Công ty TNHH Kiểm toán AACS</v>
      </c>
      <c r="B77" s="4" t="str">
        <f ca="1">IFERROR(__xludf.DUMMYFUNCTION("""COMPUTED_VALUE"""),"Nguyễn Thanh Tùng")</f>
        <v>Nguyễn Thanh Tùng</v>
      </c>
      <c r="C77" s="4" t="str">
        <f ca="1">IFERROR(__xludf.DUMMYFUNCTION("""COMPUTED_VALUE"""),"Nam")</f>
        <v>Nam</v>
      </c>
      <c r="D77" s="4" t="str">
        <f ca="1">IFERROR(__xludf.DUMMYFUNCTION("""COMPUTED_VALUE"""),"Sau đại học, Chứng chỉ Kiểm toán viên")</f>
        <v>Sau đại học, Chứng chỉ Kiểm toán viên</v>
      </c>
      <c r="E77" s="4" t="str">
        <f ca="1">IFERROR(__xludf.DUMMYFUNCTION("""COMPUTED_VALUE"""),"Trên 10 đến 15 năm")</f>
        <v>Trên 10 đến 15 năm</v>
      </c>
      <c r="F77" s="4" t="str">
        <f ca="1">IFERROR(__xludf.DUMMYFUNCTION("""COMPUTED_VALUE"""),"Ban giám đốc")</f>
        <v>Ban giám đốc</v>
      </c>
    </row>
    <row r="78" spans="1:6" x14ac:dyDescent="0.25">
      <c r="A78" s="4" t="str">
        <f ca="1">IFERROR(__xludf.DUMMYFUNCTION("""COMPUTED_VALUE"""),"Công ty TNHH Kiểm toán AACS")</f>
        <v>Công ty TNHH Kiểm toán AACS</v>
      </c>
      <c r="B78" s="4" t="str">
        <f ca="1">IFERROR(__xludf.DUMMYFUNCTION("""COMPUTED_VALUE"""),"Lê Bá Duẩn")</f>
        <v>Lê Bá Duẩn</v>
      </c>
      <c r="C78" s="4" t="str">
        <f ca="1">IFERROR(__xludf.DUMMYFUNCTION("""COMPUTED_VALUE"""),"Nam")</f>
        <v>Nam</v>
      </c>
      <c r="D78" s="4" t="str">
        <f ca="1">IFERROR(__xludf.DUMMYFUNCTION("""COMPUTED_VALUE"""),"Đại học")</f>
        <v>Đại học</v>
      </c>
      <c r="E78" s="4" t="str">
        <f ca="1">IFERROR(__xludf.DUMMYFUNCTION("""COMPUTED_VALUE"""),"Từ 3 đến 5 năm")</f>
        <v>Từ 3 đến 5 năm</v>
      </c>
      <c r="F78" s="4" t="str">
        <f ca="1">IFERROR(__xludf.DUMMYFUNCTION("""COMPUTED_VALUE"""),"Trợ lý kiểm toán")</f>
        <v>Trợ lý kiểm toán</v>
      </c>
    </row>
    <row r="79" spans="1:6" x14ac:dyDescent="0.25">
      <c r="A79" s="4" t="str">
        <f ca="1">IFERROR(__xludf.DUMMYFUNCTION("""COMPUTED_VALUE"""),"Công ty TNHH Kiểm toán AACS")</f>
        <v>Công ty TNHH Kiểm toán AACS</v>
      </c>
      <c r="B79" s="4" t="str">
        <f ca="1">IFERROR(__xludf.DUMMYFUNCTION("""COMPUTED_VALUE"""),"Phạm Ngọc Khánh Vy")</f>
        <v>Phạm Ngọc Khánh Vy</v>
      </c>
      <c r="C79" s="4" t="str">
        <f ca="1">IFERROR(__xludf.DUMMYFUNCTION("""COMPUTED_VALUE"""),"Nữ")</f>
        <v>Nữ</v>
      </c>
      <c r="D79" s="4" t="str">
        <f ca="1">IFERROR(__xludf.DUMMYFUNCTION("""COMPUTED_VALUE"""),"Đại học")</f>
        <v>Đại học</v>
      </c>
      <c r="E79" s="4" t="str">
        <f ca="1">IFERROR(__xludf.DUMMYFUNCTION("""COMPUTED_VALUE"""),"Từ 3 đến 5 năm")</f>
        <v>Từ 3 đến 5 năm</v>
      </c>
      <c r="F79" s="4" t="str">
        <f ca="1">IFERROR(__xludf.DUMMYFUNCTION("""COMPUTED_VALUE"""),"Trợ lý kiểm toán")</f>
        <v>Trợ lý kiểm toán</v>
      </c>
    </row>
    <row r="80" spans="1:6" x14ac:dyDescent="0.25">
      <c r="A80" s="4" t="str">
        <f ca="1">IFERROR(__xludf.DUMMYFUNCTION("""COMPUTED_VALUE"""),"Công ty TNHH Kiểm toán AACS")</f>
        <v>Công ty TNHH Kiểm toán AACS</v>
      </c>
      <c r="B80" s="4" t="str">
        <f ca="1">IFERROR(__xludf.DUMMYFUNCTION("""COMPUTED_VALUE"""),"PHAN THỊ MỸ HƯỜNG")</f>
        <v>PHAN THỊ MỸ HƯỜNG</v>
      </c>
      <c r="C80" s="4" t="str">
        <f ca="1">IFERROR(__xludf.DUMMYFUNCTION("""COMPUTED_VALUE"""),"Nữ")</f>
        <v>Nữ</v>
      </c>
      <c r="D80" s="4" t="str">
        <f ca="1">IFERROR(__xludf.DUMMYFUNCTION("""COMPUTED_VALUE"""),"Đại học")</f>
        <v>Đại học</v>
      </c>
      <c r="E80" s="4" t="str">
        <f ca="1">IFERROR(__xludf.DUMMYFUNCTION("""COMPUTED_VALUE"""),"Từ 3 đến 5 năm")</f>
        <v>Từ 3 đến 5 năm</v>
      </c>
      <c r="F80" s="4" t="str">
        <f ca="1">IFERROR(__xludf.DUMMYFUNCTION("""COMPUTED_VALUE"""),"Trợ lý kiểm toán")</f>
        <v>Trợ lý kiểm toán</v>
      </c>
    </row>
    <row r="81" spans="1:6" x14ac:dyDescent="0.25">
      <c r="A81" s="4" t="str">
        <f ca="1">IFERROR(__xludf.DUMMYFUNCTION("""COMPUTED_VALUE"""),"Công ty TNHH Kiểm toán AACS")</f>
        <v>Công ty TNHH Kiểm toán AACS</v>
      </c>
      <c r="B81" s="4"/>
      <c r="C81" s="4" t="str">
        <f ca="1">IFERROR(__xludf.DUMMYFUNCTION("""COMPUTED_VALUE"""),"Nữ")</f>
        <v>Nữ</v>
      </c>
      <c r="D81" s="4" t="str">
        <f ca="1">IFERROR(__xludf.DUMMYFUNCTION("""COMPUTED_VALUE"""),"Đại học")</f>
        <v>Đại học</v>
      </c>
      <c r="E81" s="4" t="str">
        <f ca="1">IFERROR(__xludf.DUMMYFUNCTION("""COMPUTED_VALUE"""),"Từ 3 đến 5 năm")</f>
        <v>Từ 3 đến 5 năm</v>
      </c>
      <c r="F81" s="4" t="str">
        <f ca="1">IFERROR(__xludf.DUMMYFUNCTION("""COMPUTED_VALUE"""),"Trợ lý kiểm toán")</f>
        <v>Trợ lý kiểm toán</v>
      </c>
    </row>
    <row r="82" spans="1:6" x14ac:dyDescent="0.25">
      <c r="A82" s="4" t="str">
        <f ca="1">IFERROR(__xludf.DUMMYFUNCTION("""COMPUTED_VALUE"""),"Công ty TNHH Kiểm toán AACS")</f>
        <v>Công ty TNHH Kiểm toán AACS</v>
      </c>
      <c r="B82" s="4" t="str">
        <f ca="1">IFERROR(__xludf.DUMMYFUNCTION("""COMPUTED_VALUE"""),"Nguyễn Ngọc Hân")</f>
        <v>Nguyễn Ngọc Hân</v>
      </c>
      <c r="C82" s="4" t="str">
        <f ca="1">IFERROR(__xludf.DUMMYFUNCTION("""COMPUTED_VALUE"""),"Nữ")</f>
        <v>Nữ</v>
      </c>
      <c r="D82" s="4" t="str">
        <f ca="1">IFERROR(__xludf.DUMMYFUNCTION("""COMPUTED_VALUE"""),"Đại học, Chứng chỉ Kiểm toán viên")</f>
        <v>Đại học, Chứng chỉ Kiểm toán viên</v>
      </c>
      <c r="E82" s="4" t="str">
        <f ca="1">IFERROR(__xludf.DUMMYFUNCTION("""COMPUTED_VALUE"""),"Trên 15 đến 20 năm")</f>
        <v>Trên 15 đến 20 năm</v>
      </c>
      <c r="F82" s="4" t="str">
        <f ca="1">IFERROR(__xludf.DUMMYFUNCTION("""COMPUTED_VALUE"""),"Ban giám đốc")</f>
        <v>Ban giám đốc</v>
      </c>
    </row>
    <row r="83" spans="1:6" x14ac:dyDescent="0.25">
      <c r="A83" s="4" t="str">
        <f ca="1">IFERROR(__xludf.DUMMYFUNCTION("""COMPUTED_VALUE"""),"Công ty TNHH Kiểm toán AACS")</f>
        <v>Công ty TNHH Kiểm toán AACS</v>
      </c>
      <c r="B83" s="4" t="str">
        <f ca="1">IFERROR(__xludf.DUMMYFUNCTION("""COMPUTED_VALUE"""),"Phạm Thị Thu Hà")</f>
        <v>Phạm Thị Thu Hà</v>
      </c>
      <c r="C83" s="4" t="str">
        <f ca="1">IFERROR(__xludf.DUMMYFUNCTION("""COMPUTED_VALUE"""),"Nữ")</f>
        <v>Nữ</v>
      </c>
      <c r="D83" s="4" t="str">
        <f ca="1">IFERROR(__xludf.DUMMYFUNCTION("""COMPUTED_VALUE"""),"Đại học")</f>
        <v>Đại học</v>
      </c>
      <c r="E83" s="4" t="str">
        <f ca="1">IFERROR(__xludf.DUMMYFUNCTION("""COMPUTED_VALUE"""),"Từ 3 đến 5 năm")</f>
        <v>Từ 3 đến 5 năm</v>
      </c>
      <c r="F83" s="4" t="str">
        <f ca="1">IFERROR(__xludf.DUMMYFUNCTION("""COMPUTED_VALUE"""),"Trợ lý kiểm toán")</f>
        <v>Trợ lý kiểm toán</v>
      </c>
    </row>
    <row r="84" spans="1:6" x14ac:dyDescent="0.25">
      <c r="A84" s="4" t="str">
        <f ca="1">IFERROR(__xludf.DUMMYFUNCTION("""COMPUTED_VALUE"""),"Công ty TNHH Kiểm toán AACS")</f>
        <v>Công ty TNHH Kiểm toán AACS</v>
      </c>
      <c r="B84" s="4" t="str">
        <f ca="1">IFERROR(__xludf.DUMMYFUNCTION("""COMPUTED_VALUE"""),"Lữ Thị Trúc Phương")</f>
        <v>Lữ Thị Trúc Phương</v>
      </c>
      <c r="C84" s="4" t="str">
        <f ca="1">IFERROR(__xludf.DUMMYFUNCTION("""COMPUTED_VALUE"""),"Nữ")</f>
        <v>Nữ</v>
      </c>
      <c r="D84" s="4" t="str">
        <f ca="1">IFERROR(__xludf.DUMMYFUNCTION("""COMPUTED_VALUE"""),"Đại học")</f>
        <v>Đại học</v>
      </c>
      <c r="E84" s="4" t="str">
        <f ca="1">IFERROR(__xludf.DUMMYFUNCTION("""COMPUTED_VALUE"""),"Từ 3 đến 5 năm")</f>
        <v>Từ 3 đến 5 năm</v>
      </c>
      <c r="F84" s="4" t="str">
        <f ca="1">IFERROR(__xludf.DUMMYFUNCTION("""COMPUTED_VALUE"""),"Trợ lý kiểm toán")</f>
        <v>Trợ lý kiểm toán</v>
      </c>
    </row>
    <row r="85" spans="1:6" x14ac:dyDescent="0.25">
      <c r="A85" s="4" t="str">
        <f ca="1">IFERROR(__xludf.DUMMYFUNCTION("""COMPUTED_VALUE"""),"Công ty TNHH Kiểm toán AACS")</f>
        <v>Công ty TNHH Kiểm toán AACS</v>
      </c>
      <c r="B85" s="4" t="str">
        <f ca="1">IFERROR(__xludf.DUMMYFUNCTION("""COMPUTED_VALUE"""),"Chành Thị Thúy Vy")</f>
        <v>Chành Thị Thúy Vy</v>
      </c>
      <c r="C85" s="4" t="str">
        <f ca="1">IFERROR(__xludf.DUMMYFUNCTION("""COMPUTED_VALUE"""),"Nữ")</f>
        <v>Nữ</v>
      </c>
      <c r="D85" s="4" t="str">
        <f ca="1">IFERROR(__xludf.DUMMYFUNCTION("""COMPUTED_VALUE"""),"Đại học")</f>
        <v>Đại học</v>
      </c>
      <c r="E85" s="4" t="str">
        <f ca="1">IFERROR(__xludf.DUMMYFUNCTION("""COMPUTED_VALUE"""),"Từ 3 đến 5 năm")</f>
        <v>Từ 3 đến 5 năm</v>
      </c>
      <c r="F85" s="4" t="str">
        <f ca="1">IFERROR(__xludf.DUMMYFUNCTION("""COMPUTED_VALUE"""),"Trợ lý kiểm toán")</f>
        <v>Trợ lý kiểm toán</v>
      </c>
    </row>
    <row r="86" spans="1:6" x14ac:dyDescent="0.25">
      <c r="A86" s="4" t="str">
        <f ca="1">IFERROR(__xludf.DUMMYFUNCTION("""COMPUTED_VALUE"""),"Công ty TNHH Kiểm toán AACS")</f>
        <v>Công ty TNHH Kiểm toán AACS</v>
      </c>
      <c r="B86" s="4" t="str">
        <f ca="1">IFERROR(__xludf.DUMMYFUNCTION("""COMPUTED_VALUE"""),"Nguyễn Nam Tài")</f>
        <v>Nguyễn Nam Tài</v>
      </c>
      <c r="C86" s="4" t="str">
        <f ca="1">IFERROR(__xludf.DUMMYFUNCTION("""COMPUTED_VALUE"""),"Nam")</f>
        <v>Nam</v>
      </c>
      <c r="D86" s="4" t="str">
        <f ca="1">IFERROR(__xludf.DUMMYFUNCTION("""COMPUTED_VALUE"""),"Sau đại học, Chứng chỉ Kiểm toán viên")</f>
        <v>Sau đại học, Chứng chỉ Kiểm toán viên</v>
      </c>
      <c r="E86" s="4" t="str">
        <f ca="1">IFERROR(__xludf.DUMMYFUNCTION("""COMPUTED_VALUE"""),"Trên 10 đến 15 năm")</f>
        <v>Trên 10 đến 15 năm</v>
      </c>
      <c r="F86" s="4" t="str">
        <f ca="1">IFERROR(__xludf.DUMMYFUNCTION("""COMPUTED_VALUE"""),"Ban giám đốc")</f>
        <v>Ban giám đốc</v>
      </c>
    </row>
    <row r="87" spans="1:6" x14ac:dyDescent="0.25">
      <c r="A87" s="4" t="str">
        <f ca="1">IFERROR(__xludf.DUMMYFUNCTION("""COMPUTED_VALUE"""),"Công ty TNHH Kiểm toán AFC Việt Nam")</f>
        <v>Công ty TNHH Kiểm toán AFC Việt Nam</v>
      </c>
      <c r="B87" s="4" t="str">
        <f ca="1">IFERROR(__xludf.DUMMYFUNCTION("""COMPUTED_VALUE"""),"Trang Đắc Nha")</f>
        <v>Trang Đắc Nha</v>
      </c>
      <c r="C87" s="4" t="str">
        <f ca="1">IFERROR(__xludf.DUMMYFUNCTION("""COMPUTED_VALUE"""),"Nam")</f>
        <v>Nam</v>
      </c>
      <c r="D87" s="4" t="str">
        <f ca="1">IFERROR(__xludf.DUMMYFUNCTION("""COMPUTED_VALUE"""),"Đại học, Chứng chỉ Kiểm toán viên")</f>
        <v>Đại học, Chứng chỉ Kiểm toán viên</v>
      </c>
      <c r="E87" s="4" t="str">
        <f ca="1">IFERROR(__xludf.DUMMYFUNCTION("""COMPUTED_VALUE"""),"Trên 20 năm")</f>
        <v>Trên 20 năm</v>
      </c>
      <c r="F87" s="4" t="str">
        <f ca="1">IFERROR(__xludf.DUMMYFUNCTION("""COMPUTED_VALUE"""),"Ban giám đốc")</f>
        <v>Ban giám đốc</v>
      </c>
    </row>
    <row r="88" spans="1:6" x14ac:dyDescent="0.25">
      <c r="A88" s="4" t="str">
        <f ca="1">IFERROR(__xludf.DUMMYFUNCTION("""COMPUTED_VALUE"""),"Công ty TNHH Kiểm toán AFC Việt Nam")</f>
        <v>Công ty TNHH Kiểm toán AFC Việt Nam</v>
      </c>
      <c r="B88" s="4" t="str">
        <f ca="1">IFERROR(__xludf.DUMMYFUNCTION("""COMPUTED_VALUE"""),"Nguyễn Thị Thùy Trang")</f>
        <v>Nguyễn Thị Thùy Trang</v>
      </c>
      <c r="C88" s="4" t="str">
        <f ca="1">IFERROR(__xludf.DUMMYFUNCTION("""COMPUTED_VALUE"""),"Nữ")</f>
        <v>Nữ</v>
      </c>
      <c r="D88" s="4" t="str">
        <f ca="1">IFERROR(__xludf.DUMMYFUNCTION("""COMPUTED_VALUE"""),"Đại học, Chứng chỉ Kiểm toán viên")</f>
        <v>Đại học, Chứng chỉ Kiểm toán viên</v>
      </c>
      <c r="E88" s="4" t="str">
        <f ca="1">IFERROR(__xludf.DUMMYFUNCTION("""COMPUTED_VALUE"""),"Trên 15 đến 20 năm")</f>
        <v>Trên 15 đến 20 năm</v>
      </c>
      <c r="F88" s="4" t="str">
        <f ca="1">IFERROR(__xludf.DUMMYFUNCTION("""COMPUTED_VALUE"""),"Kiểm toán viên/Trưởng nhóm")</f>
        <v>Kiểm toán viên/Trưởng nhóm</v>
      </c>
    </row>
    <row r="89" spans="1:6" x14ac:dyDescent="0.25">
      <c r="A89" s="4" t="str">
        <f ca="1">IFERROR(__xludf.DUMMYFUNCTION("""COMPUTED_VALUE"""),"Công ty TNHH Kiểm toán AFC Việt Nam")</f>
        <v>Công ty TNHH Kiểm toán AFC Việt Nam</v>
      </c>
      <c r="B89" s="4" t="str">
        <f ca="1">IFERROR(__xludf.DUMMYFUNCTION("""COMPUTED_VALUE"""),"Nguyễn Ngọc Thùy Dung")</f>
        <v>Nguyễn Ngọc Thùy Dung</v>
      </c>
      <c r="C89" s="4" t="str">
        <f ca="1">IFERROR(__xludf.DUMMYFUNCTION("""COMPUTED_VALUE"""),"Nữ")</f>
        <v>Nữ</v>
      </c>
      <c r="D89" s="4" t="str">
        <f ca="1">IFERROR(__xludf.DUMMYFUNCTION("""COMPUTED_VALUE"""),"Đại học")</f>
        <v>Đại học</v>
      </c>
      <c r="E89" s="4" t="str">
        <f ca="1">IFERROR(__xludf.DUMMYFUNCTION("""COMPUTED_VALUE"""),"Trên 15 đến 20 năm")</f>
        <v>Trên 15 đến 20 năm</v>
      </c>
      <c r="F89" s="4" t="str">
        <f ca="1">IFERROR(__xludf.DUMMYFUNCTION("""COMPUTED_VALUE"""),"Ban giám đốc")</f>
        <v>Ban giám đốc</v>
      </c>
    </row>
    <row r="90" spans="1:6" x14ac:dyDescent="0.25">
      <c r="A90" s="4" t="str">
        <f ca="1">IFERROR(__xludf.DUMMYFUNCTION("""COMPUTED_VALUE"""),"Công ty TNHH Kiểm toán AFC Việt Nam")</f>
        <v>Công ty TNHH Kiểm toán AFC Việt Nam</v>
      </c>
      <c r="B90" s="4" t="str">
        <f ca="1">IFERROR(__xludf.DUMMYFUNCTION("""COMPUTED_VALUE"""),"Nguyễn Trịnh Hoài Thư ")</f>
        <v xml:space="preserve">Nguyễn Trịnh Hoài Thư </v>
      </c>
      <c r="C90" s="4" t="str">
        <f ca="1">IFERROR(__xludf.DUMMYFUNCTION("""COMPUTED_VALUE"""),"Nữ")</f>
        <v>Nữ</v>
      </c>
      <c r="D90" s="4" t="str">
        <f ca="1">IFERROR(__xludf.DUMMYFUNCTION("""COMPUTED_VALUE"""),"Đại học")</f>
        <v>Đại học</v>
      </c>
      <c r="E90" s="4" t="str">
        <f ca="1">IFERROR(__xludf.DUMMYFUNCTION("""COMPUTED_VALUE"""),"Từ 3 đến 5 năm")</f>
        <v>Từ 3 đến 5 năm</v>
      </c>
      <c r="F90" s="4" t="str">
        <f ca="1">IFERROR(__xludf.DUMMYFUNCTION("""COMPUTED_VALUE"""),"Trợ lý kiểm toán")</f>
        <v>Trợ lý kiểm toán</v>
      </c>
    </row>
    <row r="91" spans="1:6" x14ac:dyDescent="0.25">
      <c r="A91" s="4" t="str">
        <f ca="1">IFERROR(__xludf.DUMMYFUNCTION("""COMPUTED_VALUE"""),"Công ty TNHH Kiểm toán AFC Việt Nam")</f>
        <v>Công ty TNHH Kiểm toán AFC Việt Nam</v>
      </c>
      <c r="B91" s="4" t="str">
        <f ca="1">IFERROR(__xludf.DUMMYFUNCTION("""COMPUTED_VALUE"""),"Nhật Huy")</f>
        <v>Nhật Huy</v>
      </c>
      <c r="C91" s="4" t="str">
        <f ca="1">IFERROR(__xludf.DUMMYFUNCTION("""COMPUTED_VALUE"""),"Nam")</f>
        <v>Nam</v>
      </c>
      <c r="D91" s="4" t="str">
        <f ca="1">IFERROR(__xludf.DUMMYFUNCTION("""COMPUTED_VALUE"""),"Chứng chỉ Kiểm toán viên")</f>
        <v>Chứng chỉ Kiểm toán viên</v>
      </c>
      <c r="E91" s="4" t="str">
        <f ca="1">IFERROR(__xludf.DUMMYFUNCTION("""COMPUTED_VALUE"""),"Trên 10 đến 15 năm")</f>
        <v>Trên 10 đến 15 năm</v>
      </c>
      <c r="F91" s="4" t="str">
        <f ca="1">IFERROR(__xludf.DUMMYFUNCTION("""COMPUTED_VALUE"""),"Kiểm toán viên/Trưởng nhóm")</f>
        <v>Kiểm toán viên/Trưởng nhóm</v>
      </c>
    </row>
    <row r="92" spans="1:6" x14ac:dyDescent="0.25">
      <c r="A92" s="4" t="str">
        <f ca="1">IFERROR(__xludf.DUMMYFUNCTION("""COMPUTED_VALUE"""),"Công ty TNHH Kiểm toán AFC Việt Nam")</f>
        <v>Công ty TNHH Kiểm toán AFC Việt Nam</v>
      </c>
      <c r="B92" s="4" t="str">
        <f ca="1">IFERROR(__xludf.DUMMYFUNCTION("""COMPUTED_VALUE"""),"Nguyễn Thị Ngọc Dung")</f>
        <v>Nguyễn Thị Ngọc Dung</v>
      </c>
      <c r="C92" s="4" t="str">
        <f ca="1">IFERROR(__xludf.DUMMYFUNCTION("""COMPUTED_VALUE"""),"Nữ")</f>
        <v>Nữ</v>
      </c>
      <c r="D92" s="4" t="str">
        <f ca="1">IFERROR(__xludf.DUMMYFUNCTION("""COMPUTED_VALUE"""),"Đại học")</f>
        <v>Đại học</v>
      </c>
      <c r="E92" s="4" t="str">
        <f ca="1">IFERROR(__xludf.DUMMYFUNCTION("""COMPUTED_VALUE"""),"Trên 5 đến 10 năm")</f>
        <v>Trên 5 đến 10 năm</v>
      </c>
      <c r="F92" s="4" t="str">
        <f ca="1">IFERROR(__xludf.DUMMYFUNCTION("""COMPUTED_VALUE"""),"Trợ lý kiểm toán")</f>
        <v>Trợ lý kiểm toán</v>
      </c>
    </row>
    <row r="93" spans="1:6" x14ac:dyDescent="0.25">
      <c r="A93" s="4" t="str">
        <f ca="1">IFERROR(__xludf.DUMMYFUNCTION("""COMPUTED_VALUE"""),"Công ty TNHH Kiểm toán AFC Việt Nam")</f>
        <v>Công ty TNHH Kiểm toán AFC Việt Nam</v>
      </c>
      <c r="B93" s="4" t="str">
        <f ca="1">IFERROR(__xludf.DUMMYFUNCTION("""COMPUTED_VALUE"""),"Trần Nhựt Duy")</f>
        <v>Trần Nhựt Duy</v>
      </c>
      <c r="C93" s="4" t="str">
        <f ca="1">IFERROR(__xludf.DUMMYFUNCTION("""COMPUTED_VALUE"""),"Nam")</f>
        <v>Nam</v>
      </c>
      <c r="D93" s="4" t="str">
        <f ca="1">IFERROR(__xludf.DUMMYFUNCTION("""COMPUTED_VALUE"""),"Đại học")</f>
        <v>Đại học</v>
      </c>
      <c r="E93" s="4" t="str">
        <f ca="1">IFERROR(__xludf.DUMMYFUNCTION("""COMPUTED_VALUE"""),"Từ 3 đến 5 năm")</f>
        <v>Từ 3 đến 5 năm</v>
      </c>
      <c r="F93" s="4" t="str">
        <f ca="1">IFERROR(__xludf.DUMMYFUNCTION("""COMPUTED_VALUE"""),"Trợ lý kiểm toán")</f>
        <v>Trợ lý kiểm toán</v>
      </c>
    </row>
    <row r="94" spans="1:6" x14ac:dyDescent="0.25">
      <c r="A94" s="4" t="str">
        <f ca="1">IFERROR(__xludf.DUMMYFUNCTION("""COMPUTED_VALUE"""),"Công ty TNHH Kiểm toán AFC Việt Nam")</f>
        <v>Công ty TNHH Kiểm toán AFC Việt Nam</v>
      </c>
      <c r="B94" s="4" t="str">
        <f ca="1">IFERROR(__xludf.DUMMYFUNCTION("""COMPUTED_VALUE"""),"LÂM HOÀI NHÂN")</f>
        <v>LÂM HOÀI NHÂN</v>
      </c>
      <c r="C94" s="4" t="str">
        <f ca="1">IFERROR(__xludf.DUMMYFUNCTION("""COMPUTED_VALUE"""),"Nam")</f>
        <v>Nam</v>
      </c>
      <c r="D94" s="4" t="str">
        <f ca="1">IFERROR(__xludf.DUMMYFUNCTION("""COMPUTED_VALUE"""),"Chứng chỉ Kiểm toán viên")</f>
        <v>Chứng chỉ Kiểm toán viên</v>
      </c>
      <c r="E94" s="4" t="str">
        <f ca="1">IFERROR(__xludf.DUMMYFUNCTION("""COMPUTED_VALUE"""),"Trên 5 đến 10 năm")</f>
        <v>Trên 5 đến 10 năm</v>
      </c>
      <c r="F94" s="4" t="str">
        <f ca="1">IFERROR(__xludf.DUMMYFUNCTION("""COMPUTED_VALUE"""),"Kiểm toán viên/Trưởng nhóm")</f>
        <v>Kiểm toán viên/Trưởng nhóm</v>
      </c>
    </row>
    <row r="95" spans="1:6" x14ac:dyDescent="0.25">
      <c r="A95" s="4" t="str">
        <f ca="1">IFERROR(__xludf.DUMMYFUNCTION("""COMPUTED_VALUE"""),"Công ty TNHH Kiểm toán AFC Việt Nam")</f>
        <v>Công ty TNHH Kiểm toán AFC Việt Nam</v>
      </c>
      <c r="B95" s="4" t="str">
        <f ca="1">IFERROR(__xludf.DUMMYFUNCTION("""COMPUTED_VALUE"""),"Phan Anh Duy")</f>
        <v>Phan Anh Duy</v>
      </c>
      <c r="C95" s="4" t="str">
        <f ca="1">IFERROR(__xludf.DUMMYFUNCTION("""COMPUTED_VALUE"""),"Nam")</f>
        <v>Nam</v>
      </c>
      <c r="D95" s="4" t="str">
        <f ca="1">IFERROR(__xludf.DUMMYFUNCTION("""COMPUTED_VALUE"""),"Sau đại học")</f>
        <v>Sau đại học</v>
      </c>
      <c r="E95" s="4" t="str">
        <f ca="1">IFERROR(__xludf.DUMMYFUNCTION("""COMPUTED_VALUE"""),"Từ 3 đến 5 năm")</f>
        <v>Từ 3 đến 5 năm</v>
      </c>
      <c r="F95" s="4" t="str">
        <f ca="1">IFERROR(__xludf.DUMMYFUNCTION("""COMPUTED_VALUE"""),"Trợ lý kiểm toán")</f>
        <v>Trợ lý kiểm toán</v>
      </c>
    </row>
    <row r="96" spans="1:6" x14ac:dyDescent="0.25">
      <c r="A96" s="4" t="str">
        <f ca="1">IFERROR(__xludf.DUMMYFUNCTION("""COMPUTED_VALUE"""),"Công ty TNHH Kiểm toán AFC Việt Nam")</f>
        <v>Công ty TNHH Kiểm toán AFC Việt Nam</v>
      </c>
      <c r="B96" s="4" t="str">
        <f ca="1">IFERROR(__xludf.DUMMYFUNCTION("""COMPUTED_VALUE"""),"Phạm Kim Ngân")</f>
        <v>Phạm Kim Ngân</v>
      </c>
      <c r="C96" s="4" t="str">
        <f ca="1">IFERROR(__xludf.DUMMYFUNCTION("""COMPUTED_VALUE"""),"Nữ")</f>
        <v>Nữ</v>
      </c>
      <c r="D96" s="4" t="str">
        <f ca="1">IFERROR(__xludf.DUMMYFUNCTION("""COMPUTED_VALUE"""),"Đại học")</f>
        <v>Đại học</v>
      </c>
      <c r="E96" s="4" t="str">
        <f ca="1">IFERROR(__xludf.DUMMYFUNCTION("""COMPUTED_VALUE"""),"Từ 3 đến 5 năm")</f>
        <v>Từ 3 đến 5 năm</v>
      </c>
      <c r="F96" s="4" t="str">
        <f ca="1">IFERROR(__xludf.DUMMYFUNCTION("""COMPUTED_VALUE"""),"Trợ lý kiểm toán")</f>
        <v>Trợ lý kiểm toán</v>
      </c>
    </row>
    <row r="97" spans="1:6" x14ac:dyDescent="0.25">
      <c r="A97" s="4" t="str">
        <f ca="1">IFERROR(__xludf.DUMMYFUNCTION("""COMPUTED_VALUE"""),"Công ty TNHH Kiểm toán AFC Việt Nam")</f>
        <v>Công ty TNHH Kiểm toán AFC Việt Nam</v>
      </c>
      <c r="B97" s="4" t="str">
        <f ca="1">IFERROR(__xludf.DUMMYFUNCTION("""COMPUTED_VALUE"""),"Trần Diệp Yến Nhi")</f>
        <v>Trần Diệp Yến Nhi</v>
      </c>
      <c r="C97" s="4" t="str">
        <f ca="1">IFERROR(__xludf.DUMMYFUNCTION("""COMPUTED_VALUE"""),"Nữ")</f>
        <v>Nữ</v>
      </c>
      <c r="D97" s="4" t="str">
        <f ca="1">IFERROR(__xludf.DUMMYFUNCTION("""COMPUTED_VALUE"""),"Đại học")</f>
        <v>Đại học</v>
      </c>
      <c r="E97" s="4" t="str">
        <f ca="1">IFERROR(__xludf.DUMMYFUNCTION("""COMPUTED_VALUE"""),"Từ 3 đến 5 năm")</f>
        <v>Từ 3 đến 5 năm</v>
      </c>
      <c r="F97" s="4" t="str">
        <f ca="1">IFERROR(__xludf.DUMMYFUNCTION("""COMPUTED_VALUE"""),"Trợ lý kiểm toán")</f>
        <v>Trợ lý kiểm toán</v>
      </c>
    </row>
    <row r="98" spans="1:6" x14ac:dyDescent="0.25">
      <c r="A98" s="4" t="str">
        <f ca="1">IFERROR(__xludf.DUMMYFUNCTION("""COMPUTED_VALUE"""),"Công ty TNHH Kiểm toán AFC Việt Nam")</f>
        <v>Công ty TNHH Kiểm toán AFC Việt Nam</v>
      </c>
      <c r="B98" s="4"/>
      <c r="C98" s="4" t="str">
        <f ca="1">IFERROR(__xludf.DUMMYFUNCTION("""COMPUTED_VALUE"""),"Nữ")</f>
        <v>Nữ</v>
      </c>
      <c r="D98" s="4" t="str">
        <f ca="1">IFERROR(__xludf.DUMMYFUNCTION("""COMPUTED_VALUE"""),"Đại học")</f>
        <v>Đại học</v>
      </c>
      <c r="E98" s="4" t="str">
        <f ca="1">IFERROR(__xludf.DUMMYFUNCTION("""COMPUTED_VALUE"""),"Từ 3 đến 5 năm")</f>
        <v>Từ 3 đến 5 năm</v>
      </c>
      <c r="F98" s="4" t="str">
        <f ca="1">IFERROR(__xludf.DUMMYFUNCTION("""COMPUTED_VALUE"""),"Trợ lý kiểm toán")</f>
        <v>Trợ lý kiểm toán</v>
      </c>
    </row>
    <row r="99" spans="1:6" x14ac:dyDescent="0.25">
      <c r="A99" s="4" t="str">
        <f ca="1">IFERROR(__xludf.DUMMYFUNCTION("""COMPUTED_VALUE"""),"Công ty TNHH Kiểm toán AFC Việt Nam")</f>
        <v>Công ty TNHH Kiểm toán AFC Việt Nam</v>
      </c>
      <c r="B99" s="4" t="str">
        <f ca="1">IFERROR(__xludf.DUMMYFUNCTION("""COMPUTED_VALUE"""),"Trương Tấn Đạt")</f>
        <v>Trương Tấn Đạt</v>
      </c>
      <c r="C99" s="4" t="str">
        <f ca="1">IFERROR(__xludf.DUMMYFUNCTION("""COMPUTED_VALUE"""),"Nam")</f>
        <v>Nam</v>
      </c>
      <c r="D99" s="4" t="str">
        <f ca="1">IFERROR(__xludf.DUMMYFUNCTION("""COMPUTED_VALUE"""),"Đại học")</f>
        <v>Đại học</v>
      </c>
      <c r="E99" s="4" t="str">
        <f ca="1">IFERROR(__xludf.DUMMYFUNCTION("""COMPUTED_VALUE"""),"Từ 3 đến 5 năm")</f>
        <v>Từ 3 đến 5 năm</v>
      </c>
      <c r="F99" s="4" t="str">
        <f ca="1">IFERROR(__xludf.DUMMYFUNCTION("""COMPUTED_VALUE"""),"Trợ lý kiểm toán")</f>
        <v>Trợ lý kiểm toán</v>
      </c>
    </row>
    <row r="100" spans="1:6" x14ac:dyDescent="0.25">
      <c r="A100" s="4" t="str">
        <f ca="1">IFERROR(__xludf.DUMMYFUNCTION("""COMPUTED_VALUE"""),"Công ty TNHH Kiểm toán AFC Việt Nam")</f>
        <v>Công ty TNHH Kiểm toán AFC Việt Nam</v>
      </c>
      <c r="B100" s="4" t="str">
        <f ca="1">IFERROR(__xludf.DUMMYFUNCTION("""COMPUTED_VALUE"""),"Mai Hoàng Sang")</f>
        <v>Mai Hoàng Sang</v>
      </c>
      <c r="C100" s="4" t="str">
        <f ca="1">IFERROR(__xludf.DUMMYFUNCTION("""COMPUTED_VALUE"""),"Nam")</f>
        <v>Nam</v>
      </c>
      <c r="D100" s="4" t="str">
        <f ca="1">IFERROR(__xludf.DUMMYFUNCTION("""COMPUTED_VALUE"""),"Đại học")</f>
        <v>Đại học</v>
      </c>
      <c r="E100" s="4" t="str">
        <f ca="1">IFERROR(__xludf.DUMMYFUNCTION("""COMPUTED_VALUE"""),"Từ 3 đến 5 năm")</f>
        <v>Từ 3 đến 5 năm</v>
      </c>
      <c r="F100" s="4" t="str">
        <f ca="1">IFERROR(__xludf.DUMMYFUNCTION("""COMPUTED_VALUE"""),"Trợ lý kiểm toán")</f>
        <v>Trợ lý kiểm toán</v>
      </c>
    </row>
    <row r="101" spans="1:6" x14ac:dyDescent="0.25">
      <c r="A101" s="4" t="str">
        <f ca="1">IFERROR(__xludf.DUMMYFUNCTION("""COMPUTED_VALUE"""),"Công ty TNHH Kiểm toán AFC Việt Nam")</f>
        <v>Công ty TNHH Kiểm toán AFC Việt Nam</v>
      </c>
      <c r="B101" s="4" t="str">
        <f ca="1">IFERROR(__xludf.DUMMYFUNCTION("""COMPUTED_VALUE"""),"Phạm Thành Sơn Tây")</f>
        <v>Phạm Thành Sơn Tây</v>
      </c>
      <c r="C101" s="4" t="str">
        <f ca="1">IFERROR(__xludf.DUMMYFUNCTION("""COMPUTED_VALUE"""),"Nam")</f>
        <v>Nam</v>
      </c>
      <c r="D101" s="4" t="str">
        <f ca="1">IFERROR(__xludf.DUMMYFUNCTION("""COMPUTED_VALUE"""),"Đại học")</f>
        <v>Đại học</v>
      </c>
      <c r="E101" s="4" t="str">
        <f ca="1">IFERROR(__xludf.DUMMYFUNCTION("""COMPUTED_VALUE"""),"Từ 3 đến 5 năm")</f>
        <v>Từ 3 đến 5 năm</v>
      </c>
      <c r="F101" s="4" t="str">
        <f ca="1">IFERROR(__xludf.DUMMYFUNCTION("""COMPUTED_VALUE"""),"Trợ lý kiểm toán")</f>
        <v>Trợ lý kiểm toán</v>
      </c>
    </row>
    <row r="102" spans="1:6" x14ac:dyDescent="0.25">
      <c r="A102" s="4" t="str">
        <f ca="1">IFERROR(__xludf.DUMMYFUNCTION("""COMPUTED_VALUE"""),"Công ty TNHH Kiểm toán AFC Việt Nam")</f>
        <v>Công ty TNHH Kiểm toán AFC Việt Nam</v>
      </c>
      <c r="B102" s="4"/>
      <c r="C102" s="4" t="str">
        <f ca="1">IFERROR(__xludf.DUMMYFUNCTION("""COMPUTED_VALUE"""),"Nam")</f>
        <v>Nam</v>
      </c>
      <c r="D102" s="4" t="str">
        <f ca="1">IFERROR(__xludf.DUMMYFUNCTION("""COMPUTED_VALUE"""),"Đại học")</f>
        <v>Đại học</v>
      </c>
      <c r="E102" s="4" t="str">
        <f ca="1">IFERROR(__xludf.DUMMYFUNCTION("""COMPUTED_VALUE"""),"Trên 10 đến 15 năm")</f>
        <v>Trên 10 đến 15 năm</v>
      </c>
      <c r="F102" s="4" t="str">
        <f ca="1">IFERROR(__xludf.DUMMYFUNCTION("""COMPUTED_VALUE"""),"Kiểm toán viên/Trưởng nhóm")</f>
        <v>Kiểm toán viên/Trưởng nhóm</v>
      </c>
    </row>
    <row r="103" spans="1:6" x14ac:dyDescent="0.25">
      <c r="A103" s="4" t="str">
        <f ca="1">IFERROR(__xludf.DUMMYFUNCTION("""COMPUTED_VALUE"""),"Công ty TNHH Kiểm toán AFC Việt Nam")</f>
        <v>Công ty TNHH Kiểm toán AFC Việt Nam</v>
      </c>
      <c r="B103" s="4" t="str">
        <f ca="1">IFERROR(__xludf.DUMMYFUNCTION("""COMPUTED_VALUE"""),"Võ Anh Thư")</f>
        <v>Võ Anh Thư</v>
      </c>
      <c r="C103" s="4" t="str">
        <f ca="1">IFERROR(__xludf.DUMMYFUNCTION("""COMPUTED_VALUE"""),"Nữ")</f>
        <v>Nữ</v>
      </c>
      <c r="D103" s="4" t="str">
        <f ca="1">IFERROR(__xludf.DUMMYFUNCTION("""COMPUTED_VALUE"""),"Đại học")</f>
        <v>Đại học</v>
      </c>
      <c r="E103" s="4" t="str">
        <f ca="1">IFERROR(__xludf.DUMMYFUNCTION("""COMPUTED_VALUE"""),"Từ 3 đến 5 năm")</f>
        <v>Từ 3 đến 5 năm</v>
      </c>
      <c r="F103" s="4" t="str">
        <f ca="1">IFERROR(__xludf.DUMMYFUNCTION("""COMPUTED_VALUE"""),"Trợ lý kiểm toán")</f>
        <v>Trợ lý kiểm toán</v>
      </c>
    </row>
    <row r="104" spans="1:6" x14ac:dyDescent="0.25">
      <c r="A104" s="4" t="str">
        <f ca="1">IFERROR(__xludf.DUMMYFUNCTION("""COMPUTED_VALUE"""),"Công ty TNHH Kiểm toán AFC Việt Nam")</f>
        <v>Công ty TNHH Kiểm toán AFC Việt Nam</v>
      </c>
      <c r="B104" s="4" t="str">
        <f ca="1">IFERROR(__xludf.DUMMYFUNCTION("""COMPUTED_VALUE"""),"Đỗ Phan Ánh Uyên ")</f>
        <v xml:space="preserve">Đỗ Phan Ánh Uyên </v>
      </c>
      <c r="C104" s="4" t="str">
        <f ca="1">IFERROR(__xludf.DUMMYFUNCTION("""COMPUTED_VALUE"""),"Nữ")</f>
        <v>Nữ</v>
      </c>
      <c r="D104" s="4" t="str">
        <f ca="1">IFERROR(__xludf.DUMMYFUNCTION("""COMPUTED_VALUE"""),"Đại học")</f>
        <v>Đại học</v>
      </c>
      <c r="E104" s="4" t="str">
        <f ca="1">IFERROR(__xludf.DUMMYFUNCTION("""COMPUTED_VALUE"""),"Từ 3 đến 5 năm")</f>
        <v>Từ 3 đến 5 năm</v>
      </c>
      <c r="F104" s="4" t="str">
        <f ca="1">IFERROR(__xludf.DUMMYFUNCTION("""COMPUTED_VALUE"""),"Trợ lý kiểm toán")</f>
        <v>Trợ lý kiểm toán</v>
      </c>
    </row>
    <row r="105" spans="1:6" x14ac:dyDescent="0.25">
      <c r="A105" s="4" t="str">
        <f ca="1">IFERROR(__xludf.DUMMYFUNCTION("""COMPUTED_VALUE"""),"Công ty TNHH Kiểm toán AFC Việt Nam")</f>
        <v>Công ty TNHH Kiểm toán AFC Việt Nam</v>
      </c>
      <c r="B105" s="4" t="str">
        <f ca="1">IFERROR(__xludf.DUMMYFUNCTION("""COMPUTED_VALUE"""),"Huỳnh Quế Trâm")</f>
        <v>Huỳnh Quế Trâm</v>
      </c>
      <c r="C105" s="4" t="str">
        <f ca="1">IFERROR(__xludf.DUMMYFUNCTION("""COMPUTED_VALUE"""),"Nữ")</f>
        <v>Nữ</v>
      </c>
      <c r="D105" s="4" t="str">
        <f ca="1">IFERROR(__xludf.DUMMYFUNCTION("""COMPUTED_VALUE"""),"Đại học")</f>
        <v>Đại học</v>
      </c>
      <c r="E105" s="4" t="str">
        <f ca="1">IFERROR(__xludf.DUMMYFUNCTION("""COMPUTED_VALUE"""),"Từ 3 đến 5 năm")</f>
        <v>Từ 3 đến 5 năm</v>
      </c>
      <c r="F105" s="4" t="str">
        <f ca="1">IFERROR(__xludf.DUMMYFUNCTION("""COMPUTED_VALUE"""),"Trợ lý kiểm toán")</f>
        <v>Trợ lý kiểm toán</v>
      </c>
    </row>
    <row r="106" spans="1:6" x14ac:dyDescent="0.25">
      <c r="A106" s="4" t="str">
        <f ca="1">IFERROR(__xludf.DUMMYFUNCTION("""COMPUTED_VALUE"""),"Công ty TNHH Kiểm toán AFC Việt Nam")</f>
        <v>Công ty TNHH Kiểm toán AFC Việt Nam</v>
      </c>
      <c r="B106" s="4" t="str">
        <f ca="1">IFERROR(__xludf.DUMMYFUNCTION("""COMPUTED_VALUE"""),"Nguyễn Hoàng Oanh")</f>
        <v>Nguyễn Hoàng Oanh</v>
      </c>
      <c r="C106" s="4" t="str">
        <f ca="1">IFERROR(__xludf.DUMMYFUNCTION("""COMPUTED_VALUE"""),"Nữ")</f>
        <v>Nữ</v>
      </c>
      <c r="D106" s="4" t="str">
        <f ca="1">IFERROR(__xludf.DUMMYFUNCTION("""COMPUTED_VALUE"""),"Đại học")</f>
        <v>Đại học</v>
      </c>
      <c r="E106" s="4" t="str">
        <f ca="1">IFERROR(__xludf.DUMMYFUNCTION("""COMPUTED_VALUE"""),"Trên 5 đến 10 năm")</f>
        <v>Trên 5 đến 10 năm</v>
      </c>
      <c r="F106" s="4" t="str">
        <f ca="1">IFERROR(__xludf.DUMMYFUNCTION("""COMPUTED_VALUE"""),"Trợ lý kiểm toán")</f>
        <v>Trợ lý kiểm toán</v>
      </c>
    </row>
    <row r="107" spans="1:6" x14ac:dyDescent="0.25">
      <c r="A107" s="4" t="str">
        <f ca="1">IFERROR(__xludf.DUMMYFUNCTION("""COMPUTED_VALUE"""),"Công ty TNHH Kiểm toán AGS")</f>
        <v>Công ty TNHH Kiểm toán AGS</v>
      </c>
      <c r="B107" s="4"/>
      <c r="C107" s="4" t="str">
        <f ca="1">IFERROR(__xludf.DUMMYFUNCTION("""COMPUTED_VALUE"""),"Nữ")</f>
        <v>Nữ</v>
      </c>
      <c r="D107" s="4" t="str">
        <f ca="1">IFERROR(__xludf.DUMMYFUNCTION("""COMPUTED_VALUE"""),"Đại học")</f>
        <v>Đại học</v>
      </c>
      <c r="E107" s="4" t="str">
        <f ca="1">IFERROR(__xludf.DUMMYFUNCTION("""COMPUTED_VALUE"""),"Trên 5 đến 10 năm")</f>
        <v>Trên 5 đến 10 năm</v>
      </c>
      <c r="F107" s="4" t="str">
        <f ca="1">IFERROR(__xludf.DUMMYFUNCTION("""COMPUTED_VALUE"""),"Kiểm toán viên/Trưởng nhóm")</f>
        <v>Kiểm toán viên/Trưởng nhóm</v>
      </c>
    </row>
    <row r="108" spans="1:6" x14ac:dyDescent="0.25">
      <c r="A108" s="4" t="str">
        <f ca="1">IFERROR(__xludf.DUMMYFUNCTION("""COMPUTED_VALUE"""),"Công ty TNHH Kiểm toán An Việt")</f>
        <v>Công ty TNHH Kiểm toán An Việt</v>
      </c>
      <c r="B108" s="4" t="str">
        <f ca="1">IFERROR(__xludf.DUMMYFUNCTION("""COMPUTED_VALUE"""),"Hoàng Thiên Nga")</f>
        <v>Hoàng Thiên Nga</v>
      </c>
      <c r="C108" s="4" t="str">
        <f ca="1">IFERROR(__xludf.DUMMYFUNCTION("""COMPUTED_VALUE"""),"Nữ")</f>
        <v>Nữ</v>
      </c>
      <c r="D108" s="4" t="str">
        <f ca="1">IFERROR(__xludf.DUMMYFUNCTION("""COMPUTED_VALUE"""),"Đại học, Chứng chỉ Kiểm toán viên")</f>
        <v>Đại học, Chứng chỉ Kiểm toán viên</v>
      </c>
      <c r="E108" s="4" t="str">
        <f ca="1">IFERROR(__xludf.DUMMYFUNCTION("""COMPUTED_VALUE"""),"Trên 15 đến 20 năm")</f>
        <v>Trên 15 đến 20 năm</v>
      </c>
      <c r="F108" s="4" t="str">
        <f ca="1">IFERROR(__xludf.DUMMYFUNCTION("""COMPUTED_VALUE"""),"Ban giám đốc")</f>
        <v>Ban giám đốc</v>
      </c>
    </row>
    <row r="109" spans="1:6" x14ac:dyDescent="0.25">
      <c r="A109" s="4" t="str">
        <f ca="1">IFERROR(__xludf.DUMMYFUNCTION("""COMPUTED_VALUE"""),"Công ty TNHH Kiểm toán An Việt")</f>
        <v>Công ty TNHH Kiểm toán An Việt</v>
      </c>
      <c r="B109" s="4" t="str">
        <f ca="1">IFERROR(__xludf.DUMMYFUNCTION("""COMPUTED_VALUE"""),"Đoàn Ngọc Tuân")</f>
        <v>Đoàn Ngọc Tuân</v>
      </c>
      <c r="C109" s="4" t="str">
        <f ca="1">IFERROR(__xludf.DUMMYFUNCTION("""COMPUTED_VALUE"""),"Nam")</f>
        <v>Nam</v>
      </c>
      <c r="D109" s="4" t="str">
        <f ca="1">IFERROR(__xludf.DUMMYFUNCTION("""COMPUTED_VALUE"""),"Đại học, Chứng chỉ Kiểm toán viên")</f>
        <v>Đại học, Chứng chỉ Kiểm toán viên</v>
      </c>
      <c r="E109" s="4" t="str">
        <f ca="1">IFERROR(__xludf.DUMMYFUNCTION("""COMPUTED_VALUE"""),"Trên 5 đến 10 năm")</f>
        <v>Trên 5 đến 10 năm</v>
      </c>
      <c r="F109" s="4" t="str">
        <f ca="1">IFERROR(__xludf.DUMMYFUNCTION("""COMPUTED_VALUE"""),"Kiểm toán viên/Trưởng nhóm")</f>
        <v>Kiểm toán viên/Trưởng nhóm</v>
      </c>
    </row>
    <row r="110" spans="1:6" x14ac:dyDescent="0.25">
      <c r="A110" s="4" t="str">
        <f ca="1">IFERROR(__xludf.DUMMYFUNCTION("""COMPUTED_VALUE"""),"Công ty TNHH Kiểm toán An Việt")</f>
        <v>Công ty TNHH Kiểm toán An Việt</v>
      </c>
      <c r="B110" s="4" t="str">
        <f ca="1">IFERROR(__xludf.DUMMYFUNCTION("""COMPUTED_VALUE"""),"NGÔ VIỆT THANH")</f>
        <v>NGÔ VIỆT THANH</v>
      </c>
      <c r="C110" s="4" t="str">
        <f ca="1">IFERROR(__xludf.DUMMYFUNCTION("""COMPUTED_VALUE"""),"Nam")</f>
        <v>Nam</v>
      </c>
      <c r="D110" s="4" t="str">
        <f ca="1">IFERROR(__xludf.DUMMYFUNCTION("""COMPUTED_VALUE"""),"Sau đại học, Chứng chỉ Kiểm toán viên, CPA Australia, IAP")</f>
        <v>Sau đại học, Chứng chỉ Kiểm toán viên, CPA Australia, IAP</v>
      </c>
      <c r="E110" s="4" t="str">
        <f ca="1">IFERROR(__xludf.DUMMYFUNCTION("""COMPUTED_VALUE"""),"Trên 20 năm")</f>
        <v>Trên 20 năm</v>
      </c>
      <c r="F110" s="4" t="str">
        <f ca="1">IFERROR(__xludf.DUMMYFUNCTION("""COMPUTED_VALUE"""),"Ban giám đốc")</f>
        <v>Ban giám đốc</v>
      </c>
    </row>
    <row r="111" spans="1:6" x14ac:dyDescent="0.25">
      <c r="A111" s="4" t="str">
        <f ca="1">IFERROR(__xludf.DUMMYFUNCTION("""COMPUTED_VALUE"""),"Công ty TNHH Kiểm toán An Việt")</f>
        <v>Công ty TNHH Kiểm toán An Việt</v>
      </c>
      <c r="B111" s="4" t="str">
        <f ca="1">IFERROR(__xludf.DUMMYFUNCTION("""COMPUTED_VALUE"""),"Nguyễn Thương")</f>
        <v>Nguyễn Thương</v>
      </c>
      <c r="C111" s="4" t="str">
        <f ca="1">IFERROR(__xludf.DUMMYFUNCTION("""COMPUTED_VALUE"""),"Nam")</f>
        <v>Nam</v>
      </c>
      <c r="D111" s="4" t="str">
        <f ca="1">IFERROR(__xludf.DUMMYFUNCTION("""COMPUTED_VALUE"""),"Đại học, Chứng chỉ Kiểm toán viên")</f>
        <v>Đại học, Chứng chỉ Kiểm toán viên</v>
      </c>
      <c r="E111" s="4" t="str">
        <f ca="1">IFERROR(__xludf.DUMMYFUNCTION("""COMPUTED_VALUE"""),"Trên 20 năm")</f>
        <v>Trên 20 năm</v>
      </c>
      <c r="F111" s="4" t="str">
        <f ca="1">IFERROR(__xludf.DUMMYFUNCTION("""COMPUTED_VALUE"""),"Ban giám đốc")</f>
        <v>Ban giám đốc</v>
      </c>
    </row>
    <row r="112" spans="1:6" x14ac:dyDescent="0.25">
      <c r="A112" s="4" t="str">
        <f ca="1">IFERROR(__xludf.DUMMYFUNCTION("""COMPUTED_VALUE"""),"Công ty TNHH Kiểm toán An Việt")</f>
        <v>Công ty TNHH Kiểm toán An Việt</v>
      </c>
      <c r="B112" s="4" t="str">
        <f ca="1">IFERROR(__xludf.DUMMYFUNCTION("""COMPUTED_VALUE"""),"Trần Thị Trang")</f>
        <v>Trần Thị Trang</v>
      </c>
      <c r="C112" s="4" t="str">
        <f ca="1">IFERROR(__xludf.DUMMYFUNCTION("""COMPUTED_VALUE"""),"Nữ")</f>
        <v>Nữ</v>
      </c>
      <c r="D112" s="4" t="str">
        <f ca="1">IFERROR(__xludf.DUMMYFUNCTION("""COMPUTED_VALUE"""),"Đại học, Chứng chỉ Kiểm toán viên")</f>
        <v>Đại học, Chứng chỉ Kiểm toán viên</v>
      </c>
      <c r="E112" s="4" t="str">
        <f ca="1">IFERROR(__xludf.DUMMYFUNCTION("""COMPUTED_VALUE"""),"Trên 15 đến 20 năm")</f>
        <v>Trên 15 đến 20 năm</v>
      </c>
      <c r="F112" s="4" t="str">
        <f ca="1">IFERROR(__xludf.DUMMYFUNCTION("""COMPUTED_VALUE"""),"Trưởng phòng")</f>
        <v>Trưởng phòng</v>
      </c>
    </row>
    <row r="113" spans="1:6" x14ac:dyDescent="0.25">
      <c r="A113" s="4" t="str">
        <f ca="1">IFERROR(__xludf.DUMMYFUNCTION("""COMPUTED_VALUE"""),"Công ty TNHH Kiểm toán An Việt")</f>
        <v>Công ty TNHH Kiểm toán An Việt</v>
      </c>
      <c r="B113" s="4" t="str">
        <f ca="1">IFERROR(__xludf.DUMMYFUNCTION("""COMPUTED_VALUE"""),"Phạm Thị Thanh Minh")</f>
        <v>Phạm Thị Thanh Minh</v>
      </c>
      <c r="C113" s="4" t="str">
        <f ca="1">IFERROR(__xludf.DUMMYFUNCTION("""COMPUTED_VALUE"""),"Nữ")</f>
        <v>Nữ</v>
      </c>
      <c r="D113" s="4" t="str">
        <f ca="1">IFERROR(__xludf.DUMMYFUNCTION("""COMPUTED_VALUE"""),"Chứng chỉ Kiểm toán viên")</f>
        <v>Chứng chỉ Kiểm toán viên</v>
      </c>
      <c r="E113" s="4" t="str">
        <f ca="1">IFERROR(__xludf.DUMMYFUNCTION("""COMPUTED_VALUE"""),"Trên 15 đến 20 năm")</f>
        <v>Trên 15 đến 20 năm</v>
      </c>
      <c r="F113" s="4" t="str">
        <f ca="1">IFERROR(__xludf.DUMMYFUNCTION("""COMPUTED_VALUE"""),"Trưởng phòng")</f>
        <v>Trưởng phòng</v>
      </c>
    </row>
    <row r="114" spans="1:6" x14ac:dyDescent="0.25">
      <c r="A114" s="4" t="str">
        <f ca="1">IFERROR(__xludf.DUMMYFUNCTION("""COMPUTED_VALUE"""),"Công ty TNHH Kiểm toán An Việt")</f>
        <v>Công ty TNHH Kiểm toán An Việt</v>
      </c>
      <c r="B114" s="4" t="str">
        <f ca="1">IFERROR(__xludf.DUMMYFUNCTION("""COMPUTED_VALUE"""),"Nguyễn Thị Thúy")</f>
        <v>Nguyễn Thị Thúy</v>
      </c>
      <c r="C114" s="4" t="str">
        <f ca="1">IFERROR(__xludf.DUMMYFUNCTION("""COMPUTED_VALUE"""),"Nữ")</f>
        <v>Nữ</v>
      </c>
      <c r="D114" s="4" t="str">
        <f ca="1">IFERROR(__xludf.DUMMYFUNCTION("""COMPUTED_VALUE"""),"Chứng chỉ Kiểm toán viên")</f>
        <v>Chứng chỉ Kiểm toán viên</v>
      </c>
      <c r="E114" s="4" t="str">
        <f ca="1">IFERROR(__xludf.DUMMYFUNCTION("""COMPUTED_VALUE"""),"Trên 5 đến 10 năm")</f>
        <v>Trên 5 đến 10 năm</v>
      </c>
      <c r="F114" s="4" t="str">
        <f ca="1">IFERROR(__xludf.DUMMYFUNCTION("""COMPUTED_VALUE"""),"Kiểm toán viên/Trưởng nhóm")</f>
        <v>Kiểm toán viên/Trưởng nhóm</v>
      </c>
    </row>
    <row r="115" spans="1:6" x14ac:dyDescent="0.25">
      <c r="A115" s="4" t="str">
        <f ca="1">IFERROR(__xludf.DUMMYFUNCTION("""COMPUTED_VALUE"""),"Công ty TNHH Kiểm toán An Việt")</f>
        <v>Công ty TNHH Kiểm toán An Việt</v>
      </c>
      <c r="B115" s="4" t="str">
        <f ca="1">IFERROR(__xludf.DUMMYFUNCTION("""COMPUTED_VALUE"""),"Hoàng Tiến Đạt")</f>
        <v>Hoàng Tiến Đạt</v>
      </c>
      <c r="C115" s="4" t="str">
        <f ca="1">IFERROR(__xludf.DUMMYFUNCTION("""COMPUTED_VALUE"""),"Nam")</f>
        <v>Nam</v>
      </c>
      <c r="D115" s="4" t="str">
        <f ca="1">IFERROR(__xludf.DUMMYFUNCTION("""COMPUTED_VALUE"""),"Chứng chỉ Kiểm toán viên")</f>
        <v>Chứng chỉ Kiểm toán viên</v>
      </c>
      <c r="E115" s="4" t="str">
        <f ca="1">IFERROR(__xludf.DUMMYFUNCTION("""COMPUTED_VALUE"""),"Trên 15 đến 20 năm")</f>
        <v>Trên 15 đến 20 năm</v>
      </c>
      <c r="F115" s="4" t="str">
        <f ca="1">IFERROR(__xludf.DUMMYFUNCTION("""COMPUTED_VALUE"""),"Kiểm toán viên/Trưởng nhóm")</f>
        <v>Kiểm toán viên/Trưởng nhóm</v>
      </c>
    </row>
    <row r="116" spans="1:6" x14ac:dyDescent="0.25">
      <c r="A116" s="4" t="str">
        <f ca="1">IFERROR(__xludf.DUMMYFUNCTION("""COMPUTED_VALUE"""),"Công ty TNHH Kiểm toán AS")</f>
        <v>Công ty TNHH Kiểm toán AS</v>
      </c>
      <c r="B116" s="4" t="str">
        <f ca="1">IFERROR(__xludf.DUMMYFUNCTION("""COMPUTED_VALUE"""),"Nguyễn Quang Huy")</f>
        <v>Nguyễn Quang Huy</v>
      </c>
      <c r="C116" s="4" t="str">
        <f ca="1">IFERROR(__xludf.DUMMYFUNCTION("""COMPUTED_VALUE"""),"Nam")</f>
        <v>Nam</v>
      </c>
      <c r="D116" s="4" t="str">
        <f ca="1">IFERROR(__xludf.DUMMYFUNCTION("""COMPUTED_VALUE"""),"Đại học, Chứng chỉ Kiểm toán viên")</f>
        <v>Đại học, Chứng chỉ Kiểm toán viên</v>
      </c>
      <c r="E116" s="4" t="str">
        <f ca="1">IFERROR(__xludf.DUMMYFUNCTION("""COMPUTED_VALUE"""),"Trên 5 đến 10 năm")</f>
        <v>Trên 5 đến 10 năm</v>
      </c>
      <c r="F116" s="4" t="str">
        <f ca="1">IFERROR(__xludf.DUMMYFUNCTION("""COMPUTED_VALUE"""),"Kiểm toán viên/Trưởng nhóm")</f>
        <v>Kiểm toán viên/Trưởng nhóm</v>
      </c>
    </row>
    <row r="117" spans="1:6" x14ac:dyDescent="0.25">
      <c r="A117" s="4" t="str">
        <f ca="1">IFERROR(__xludf.DUMMYFUNCTION("""COMPUTED_VALUE"""),"Công ty TNHH Kiểm toán AS")</f>
        <v>Công ty TNHH Kiểm toán AS</v>
      </c>
      <c r="B117" s="4" t="str">
        <f ca="1">IFERROR(__xludf.DUMMYFUNCTION("""COMPUTED_VALUE"""),"Trương Nhật Hồng")</f>
        <v>Trương Nhật Hồng</v>
      </c>
      <c r="C117" s="4" t="str">
        <f ca="1">IFERROR(__xludf.DUMMYFUNCTION("""COMPUTED_VALUE"""),"Nữ")</f>
        <v>Nữ</v>
      </c>
      <c r="D117" s="4" t="str">
        <f ca="1">IFERROR(__xludf.DUMMYFUNCTION("""COMPUTED_VALUE"""),"Đại học, Chứng chỉ Kiểm toán viên")</f>
        <v>Đại học, Chứng chỉ Kiểm toán viên</v>
      </c>
      <c r="E117" s="4" t="str">
        <f ca="1">IFERROR(__xludf.DUMMYFUNCTION("""COMPUTED_VALUE"""),"Từ 3 đến 5 năm")</f>
        <v>Từ 3 đến 5 năm</v>
      </c>
      <c r="F117" s="4" t="str">
        <f ca="1">IFERROR(__xludf.DUMMYFUNCTION("""COMPUTED_VALUE"""),"Kiểm toán viên/Trưởng nhóm")</f>
        <v>Kiểm toán viên/Trưởng nhóm</v>
      </c>
    </row>
    <row r="118" spans="1:6" x14ac:dyDescent="0.25">
      <c r="A118" s="4" t="str">
        <f ca="1">IFERROR(__xludf.DUMMYFUNCTION("""COMPUTED_VALUE"""),"Công ty TNHH Kiểm toán AS")</f>
        <v>Công ty TNHH Kiểm toán AS</v>
      </c>
      <c r="B118" s="4" t="str">
        <f ca="1">IFERROR(__xludf.DUMMYFUNCTION("""COMPUTED_VALUE"""),"Trịnh Hồng Cơ")</f>
        <v>Trịnh Hồng Cơ</v>
      </c>
      <c r="C118" s="4" t="str">
        <f ca="1">IFERROR(__xludf.DUMMYFUNCTION("""COMPUTED_VALUE"""),"Nam")</f>
        <v>Nam</v>
      </c>
      <c r="D118" s="4" t="str">
        <f ca="1">IFERROR(__xludf.DUMMYFUNCTION("""COMPUTED_VALUE"""),"Đại học, Chứng chỉ Kiểm toán viên")</f>
        <v>Đại học, Chứng chỉ Kiểm toán viên</v>
      </c>
      <c r="E118" s="4" t="str">
        <f ca="1">IFERROR(__xludf.DUMMYFUNCTION("""COMPUTED_VALUE"""),"Trên 5 đến 10 năm")</f>
        <v>Trên 5 đến 10 năm</v>
      </c>
      <c r="F118" s="4" t="str">
        <f ca="1">IFERROR(__xludf.DUMMYFUNCTION("""COMPUTED_VALUE"""),"Kiểm toán viên/Trưởng nhóm")</f>
        <v>Kiểm toán viên/Trưởng nhóm</v>
      </c>
    </row>
    <row r="119" spans="1:6" x14ac:dyDescent="0.25">
      <c r="A119" s="4" t="str">
        <f ca="1">IFERROR(__xludf.DUMMYFUNCTION("""COMPUTED_VALUE"""),"Công ty TNHH Kiểm toán AS")</f>
        <v>Công ty TNHH Kiểm toán AS</v>
      </c>
      <c r="B119" s="4" t="str">
        <f ca="1">IFERROR(__xludf.DUMMYFUNCTION("""COMPUTED_VALUE"""),"NGUYỄN THANH VŨ")</f>
        <v>NGUYỄN THANH VŨ</v>
      </c>
      <c r="C119" s="4" t="str">
        <f ca="1">IFERROR(__xludf.DUMMYFUNCTION("""COMPUTED_VALUE"""),"Nam")</f>
        <v>Nam</v>
      </c>
      <c r="D119" s="4" t="str">
        <f ca="1">IFERROR(__xludf.DUMMYFUNCTION("""COMPUTED_VALUE"""),"Đại học, Chứng chỉ Kiểm toán viên")</f>
        <v>Đại học, Chứng chỉ Kiểm toán viên</v>
      </c>
      <c r="E119" s="4" t="str">
        <f ca="1">IFERROR(__xludf.DUMMYFUNCTION("""COMPUTED_VALUE"""),"Trên 10 đến 15 năm")</f>
        <v>Trên 10 đến 15 năm</v>
      </c>
      <c r="F119" s="4" t="str">
        <f ca="1">IFERROR(__xludf.DUMMYFUNCTION("""COMPUTED_VALUE"""),"Kiểm toán viên/Trưởng nhóm")</f>
        <v>Kiểm toán viên/Trưởng nhóm</v>
      </c>
    </row>
    <row r="120" spans="1:6" x14ac:dyDescent="0.25">
      <c r="A120" s="4" t="str">
        <f ca="1">IFERROR(__xludf.DUMMYFUNCTION("""COMPUTED_VALUE"""),"Công ty TNHH Kiểm toán AS")</f>
        <v>Công ty TNHH Kiểm toán AS</v>
      </c>
      <c r="B120" s="4" t="str">
        <f ca="1">IFERROR(__xludf.DUMMYFUNCTION("""COMPUTED_VALUE"""),"Âu Thùy Linh")</f>
        <v>Âu Thùy Linh</v>
      </c>
      <c r="C120" s="4" t="str">
        <f ca="1">IFERROR(__xludf.DUMMYFUNCTION("""COMPUTED_VALUE"""),"Nữ")</f>
        <v>Nữ</v>
      </c>
      <c r="D120" s="4" t="str">
        <f ca="1">IFERROR(__xludf.DUMMYFUNCTION("""COMPUTED_VALUE"""),"Đại học, Chứng chỉ Kiểm toán viên")</f>
        <v>Đại học, Chứng chỉ Kiểm toán viên</v>
      </c>
      <c r="E120" s="4" t="str">
        <f ca="1">IFERROR(__xludf.DUMMYFUNCTION("""COMPUTED_VALUE"""),"Trên 5 đến 10 năm")</f>
        <v>Trên 5 đến 10 năm</v>
      </c>
      <c r="F120" s="4" t="str">
        <f ca="1">IFERROR(__xludf.DUMMYFUNCTION("""COMPUTED_VALUE"""),"Kiểm toán viên/Trưởng nhóm")</f>
        <v>Kiểm toán viên/Trưởng nhóm</v>
      </c>
    </row>
    <row r="121" spans="1:6" x14ac:dyDescent="0.25">
      <c r="A121" s="4" t="str">
        <f ca="1">IFERROR(__xludf.DUMMYFUNCTION("""COMPUTED_VALUE"""),"Công ty TNHH Kiểm toán AS")</f>
        <v>Công ty TNHH Kiểm toán AS</v>
      </c>
      <c r="B121" s="4" t="str">
        <f ca="1">IFERROR(__xludf.DUMMYFUNCTION("""COMPUTED_VALUE"""),"Võ Phan Sử")</f>
        <v>Võ Phan Sử</v>
      </c>
      <c r="C121" s="4" t="str">
        <f ca="1">IFERROR(__xludf.DUMMYFUNCTION("""COMPUTED_VALUE"""),"Nam")</f>
        <v>Nam</v>
      </c>
      <c r="D121" s="4" t="str">
        <f ca="1">IFERROR(__xludf.DUMMYFUNCTION("""COMPUTED_VALUE"""),"Đại học, Chứng chỉ Kiểm toán viên")</f>
        <v>Đại học, Chứng chỉ Kiểm toán viên</v>
      </c>
      <c r="E121" s="4" t="str">
        <f ca="1">IFERROR(__xludf.DUMMYFUNCTION("""COMPUTED_VALUE"""),"Trên 20 năm")</f>
        <v>Trên 20 năm</v>
      </c>
      <c r="F121" s="4" t="str">
        <f ca="1">IFERROR(__xludf.DUMMYFUNCTION("""COMPUTED_VALUE"""),"Ban giám đốc")</f>
        <v>Ban giám đốc</v>
      </c>
    </row>
    <row r="122" spans="1:6" x14ac:dyDescent="0.25">
      <c r="A122" s="4" t="str">
        <f ca="1">IFERROR(__xludf.DUMMYFUNCTION("""COMPUTED_VALUE"""),"Công ty TNHH Kiểm toán AS")</f>
        <v>Công ty TNHH Kiểm toán AS</v>
      </c>
      <c r="B122" s="4" t="str">
        <f ca="1">IFERROR(__xludf.DUMMYFUNCTION("""COMPUTED_VALUE"""),"Lê Mậu Phương")</f>
        <v>Lê Mậu Phương</v>
      </c>
      <c r="C122" s="4" t="str">
        <f ca="1">IFERROR(__xludf.DUMMYFUNCTION("""COMPUTED_VALUE"""),"Nam")</f>
        <v>Nam</v>
      </c>
      <c r="D122" s="4" t="str">
        <f ca="1">IFERROR(__xludf.DUMMYFUNCTION("""COMPUTED_VALUE"""),"Đại học, Chứng chỉ Kiểm toán viên")</f>
        <v>Đại học, Chứng chỉ Kiểm toán viên</v>
      </c>
      <c r="E122" s="4" t="str">
        <f ca="1">IFERROR(__xludf.DUMMYFUNCTION("""COMPUTED_VALUE"""),"Trên 10 đến 15 năm")</f>
        <v>Trên 10 đến 15 năm</v>
      </c>
      <c r="F122" s="4" t="str">
        <f ca="1">IFERROR(__xludf.DUMMYFUNCTION("""COMPUTED_VALUE"""),"Kiểm toán viên/Trưởng nhóm")</f>
        <v>Kiểm toán viên/Trưởng nhóm</v>
      </c>
    </row>
    <row r="123" spans="1:6" x14ac:dyDescent="0.25">
      <c r="A123" s="4" t="str">
        <f ca="1">IFERROR(__xludf.DUMMYFUNCTION("""COMPUTED_VALUE"""),"Công ty TNHH Kiểm toán AS")</f>
        <v>Công ty TNHH Kiểm toán AS</v>
      </c>
      <c r="B123" s="4" t="str">
        <f ca="1">IFERROR(__xludf.DUMMYFUNCTION("""COMPUTED_VALUE"""),"Nguyễn Việt Thái ")</f>
        <v xml:space="preserve">Nguyễn Việt Thái </v>
      </c>
      <c r="C123" s="4" t="str">
        <f ca="1">IFERROR(__xludf.DUMMYFUNCTION("""COMPUTED_VALUE"""),"Nam")</f>
        <v>Nam</v>
      </c>
      <c r="D123" s="4" t="str">
        <f ca="1">IFERROR(__xludf.DUMMYFUNCTION("""COMPUTED_VALUE"""),"Đại học")</f>
        <v>Đại học</v>
      </c>
      <c r="E123" s="4" t="str">
        <f ca="1">IFERROR(__xludf.DUMMYFUNCTION("""COMPUTED_VALUE"""),"Từ 3 đến 5 năm")</f>
        <v>Từ 3 đến 5 năm</v>
      </c>
      <c r="F123" s="4" t="str">
        <f ca="1">IFERROR(__xludf.DUMMYFUNCTION("""COMPUTED_VALUE"""),"Trợ lý kiểm toán")</f>
        <v>Trợ lý kiểm toán</v>
      </c>
    </row>
    <row r="124" spans="1:6" x14ac:dyDescent="0.25">
      <c r="A124" s="4" t="str">
        <f ca="1">IFERROR(__xludf.DUMMYFUNCTION("""COMPUTED_VALUE"""),"Công ty TNHH Kiểm toán AS")</f>
        <v>Công ty TNHH Kiểm toán AS</v>
      </c>
      <c r="B124" s="4" t="str">
        <f ca="1">IFERROR(__xludf.DUMMYFUNCTION("""COMPUTED_VALUE"""),"Lê Anh Tuấn")</f>
        <v>Lê Anh Tuấn</v>
      </c>
      <c r="C124" s="4" t="str">
        <f ca="1">IFERROR(__xludf.DUMMYFUNCTION("""COMPUTED_VALUE"""),"Nam")</f>
        <v>Nam</v>
      </c>
      <c r="D124" s="4" t="str">
        <f ca="1">IFERROR(__xludf.DUMMYFUNCTION("""COMPUTED_VALUE"""),"Sau đại học")</f>
        <v>Sau đại học</v>
      </c>
      <c r="E124" s="4" t="str">
        <f ca="1">IFERROR(__xludf.DUMMYFUNCTION("""COMPUTED_VALUE"""),"Trên 5 đến 10 năm")</f>
        <v>Trên 5 đến 10 năm</v>
      </c>
      <c r="F124" s="4" t="str">
        <f ca="1">IFERROR(__xludf.DUMMYFUNCTION("""COMPUTED_VALUE"""),"Kiểm toán viên/Trưởng nhóm")</f>
        <v>Kiểm toán viên/Trưởng nhóm</v>
      </c>
    </row>
    <row r="125" spans="1:6" x14ac:dyDescent="0.25">
      <c r="A125" s="4" t="str">
        <f ca="1">IFERROR(__xludf.DUMMYFUNCTION("""COMPUTED_VALUE"""),"Công ty TNHH Kiểm toán AVN Việt Nam")</f>
        <v>Công ty TNHH Kiểm toán AVN Việt Nam</v>
      </c>
      <c r="B125" s="4" t="str">
        <f ca="1">IFERROR(__xludf.DUMMYFUNCTION("""COMPUTED_VALUE"""),"Nguyễn Trần Trường Anh")</f>
        <v>Nguyễn Trần Trường Anh</v>
      </c>
      <c r="C125" s="4" t="str">
        <f ca="1">IFERROR(__xludf.DUMMYFUNCTION("""COMPUTED_VALUE"""),"Nam")</f>
        <v>Nam</v>
      </c>
      <c r="D125" s="4" t="str">
        <f ca="1">IFERROR(__xludf.DUMMYFUNCTION("""COMPUTED_VALUE"""),"Đại học")</f>
        <v>Đại học</v>
      </c>
      <c r="E125" s="4" t="str">
        <f ca="1">IFERROR(__xludf.DUMMYFUNCTION("""COMPUTED_VALUE"""),"Từ 3 đến 5 năm")</f>
        <v>Từ 3 đến 5 năm</v>
      </c>
      <c r="F125" s="4" t="str">
        <f ca="1">IFERROR(__xludf.DUMMYFUNCTION("""COMPUTED_VALUE"""),"Trợ lý kiểm toán")</f>
        <v>Trợ lý kiểm toán</v>
      </c>
    </row>
    <row r="126" spans="1:6" x14ac:dyDescent="0.25">
      <c r="A126" s="4" t="str">
        <f ca="1">IFERROR(__xludf.DUMMYFUNCTION("""COMPUTED_VALUE"""),"Công ty TNHH Kiểm toán AVN Việt Nam")</f>
        <v>Công ty TNHH Kiểm toán AVN Việt Nam</v>
      </c>
      <c r="B126" s="4" t="str">
        <f ca="1">IFERROR(__xludf.DUMMYFUNCTION("""COMPUTED_VALUE"""),"Nguyễn Thị Trang")</f>
        <v>Nguyễn Thị Trang</v>
      </c>
      <c r="C126" s="4" t="str">
        <f ca="1">IFERROR(__xludf.DUMMYFUNCTION("""COMPUTED_VALUE"""),"Nữ")</f>
        <v>Nữ</v>
      </c>
      <c r="D126" s="4" t="str">
        <f ca="1">IFERROR(__xludf.DUMMYFUNCTION("""COMPUTED_VALUE"""),"Đại học")</f>
        <v>Đại học</v>
      </c>
      <c r="E126" s="4" t="str">
        <f ca="1">IFERROR(__xludf.DUMMYFUNCTION("""COMPUTED_VALUE"""),"Từ 3 đến 5 năm")</f>
        <v>Từ 3 đến 5 năm</v>
      </c>
      <c r="F126" s="4" t="str">
        <f ca="1">IFERROR(__xludf.DUMMYFUNCTION("""COMPUTED_VALUE"""),"Trợ lý kiểm toán")</f>
        <v>Trợ lý kiểm toán</v>
      </c>
    </row>
    <row r="127" spans="1:6" x14ac:dyDescent="0.25">
      <c r="A127" s="4" t="str">
        <f ca="1">IFERROR(__xludf.DUMMYFUNCTION("""COMPUTED_VALUE"""),"Công ty TNHH Kiểm toán AVN Việt Nam")</f>
        <v>Công ty TNHH Kiểm toán AVN Việt Nam</v>
      </c>
      <c r="B127" s="4"/>
      <c r="C127" s="4" t="str">
        <f ca="1">IFERROR(__xludf.DUMMYFUNCTION("""COMPUTED_VALUE"""),"Nữ")</f>
        <v>Nữ</v>
      </c>
      <c r="D127" s="4" t="str">
        <f ca="1">IFERROR(__xludf.DUMMYFUNCTION("""COMPUTED_VALUE"""),"Đại học, Chứng chỉ Kiểm toán viên")</f>
        <v>Đại học, Chứng chỉ Kiểm toán viên</v>
      </c>
      <c r="E127" s="4" t="str">
        <f ca="1">IFERROR(__xludf.DUMMYFUNCTION("""COMPUTED_VALUE"""),"Trên 5 đến 10 năm")</f>
        <v>Trên 5 đến 10 năm</v>
      </c>
      <c r="F127" s="4" t="str">
        <f ca="1">IFERROR(__xludf.DUMMYFUNCTION("""COMPUTED_VALUE"""),"Kiểm toán viên/Trưởng nhóm")</f>
        <v>Kiểm toán viên/Trưởng nhóm</v>
      </c>
    </row>
    <row r="128" spans="1:6" x14ac:dyDescent="0.25">
      <c r="A128" s="4" t="str">
        <f ca="1">IFERROR(__xludf.DUMMYFUNCTION("""COMPUTED_VALUE"""),"Công ty TNHH Kiểm toán AVN Việt Nam")</f>
        <v>Công ty TNHH Kiểm toán AVN Việt Nam</v>
      </c>
      <c r="B128" s="4" t="str">
        <f ca="1">IFERROR(__xludf.DUMMYFUNCTION("""COMPUTED_VALUE"""),"Nguyễn Hữu Huy")</f>
        <v>Nguyễn Hữu Huy</v>
      </c>
      <c r="C128" s="4" t="str">
        <f ca="1">IFERROR(__xludf.DUMMYFUNCTION("""COMPUTED_VALUE"""),"Nam")</f>
        <v>Nam</v>
      </c>
      <c r="D128" s="4" t="str">
        <f ca="1">IFERROR(__xludf.DUMMYFUNCTION("""COMPUTED_VALUE"""),"Đại học, Chứng chỉ Kiểm toán viên")</f>
        <v>Đại học, Chứng chỉ Kiểm toán viên</v>
      </c>
      <c r="E128" s="4" t="str">
        <f ca="1">IFERROR(__xludf.DUMMYFUNCTION("""COMPUTED_VALUE"""),"Trên 10 đến 15 năm")</f>
        <v>Trên 10 đến 15 năm</v>
      </c>
      <c r="F128" s="4" t="str">
        <f ca="1">IFERROR(__xludf.DUMMYFUNCTION("""COMPUTED_VALUE"""),"Kiểm toán viên/Trưởng nhóm")</f>
        <v>Kiểm toán viên/Trưởng nhóm</v>
      </c>
    </row>
    <row r="129" spans="1:6" x14ac:dyDescent="0.25">
      <c r="A129" s="4" t="str">
        <f ca="1">IFERROR(__xludf.DUMMYFUNCTION("""COMPUTED_VALUE"""),"Công ty TNHH Kiểm toán AVN Việt Nam")</f>
        <v>Công ty TNHH Kiểm toán AVN Việt Nam</v>
      </c>
      <c r="B129" s="4" t="str">
        <f ca="1">IFERROR(__xludf.DUMMYFUNCTION("""COMPUTED_VALUE"""),"Minh Tấn")</f>
        <v>Minh Tấn</v>
      </c>
      <c r="C129" s="4" t="str">
        <f ca="1">IFERROR(__xludf.DUMMYFUNCTION("""COMPUTED_VALUE"""),"Nam")</f>
        <v>Nam</v>
      </c>
      <c r="D129" s="4" t="str">
        <f ca="1">IFERROR(__xludf.DUMMYFUNCTION("""COMPUTED_VALUE"""),"Đại học")</f>
        <v>Đại học</v>
      </c>
      <c r="E129" s="4" t="str">
        <f ca="1">IFERROR(__xludf.DUMMYFUNCTION("""COMPUTED_VALUE"""),"Từ 3 đến 5 năm")</f>
        <v>Từ 3 đến 5 năm</v>
      </c>
      <c r="F129" s="4" t="str">
        <f ca="1">IFERROR(__xludf.DUMMYFUNCTION("""COMPUTED_VALUE"""),"Trợ lý kiểm toán")</f>
        <v>Trợ lý kiểm toán</v>
      </c>
    </row>
    <row r="130" spans="1:6" x14ac:dyDescent="0.25">
      <c r="A130" s="4" t="str">
        <f ca="1">IFERROR(__xludf.DUMMYFUNCTION("""COMPUTED_VALUE"""),"Công ty TNHH Kiểm toán AVN Việt Nam")</f>
        <v>Công ty TNHH Kiểm toán AVN Việt Nam</v>
      </c>
      <c r="B130" s="4" t="str">
        <f ca="1">IFERROR(__xludf.DUMMYFUNCTION("""COMPUTED_VALUE"""),"Nguyễn Thuý Vân Quỳnh")</f>
        <v>Nguyễn Thuý Vân Quỳnh</v>
      </c>
      <c r="C130" s="4" t="str">
        <f ca="1">IFERROR(__xludf.DUMMYFUNCTION("""COMPUTED_VALUE"""),"Nữ")</f>
        <v>Nữ</v>
      </c>
      <c r="D130" s="4" t="str">
        <f ca="1">IFERROR(__xludf.DUMMYFUNCTION("""COMPUTED_VALUE"""),"Đại học")</f>
        <v>Đại học</v>
      </c>
      <c r="E130" s="4" t="str">
        <f ca="1">IFERROR(__xludf.DUMMYFUNCTION("""COMPUTED_VALUE"""),"Từ 3 đến 5 năm")</f>
        <v>Từ 3 đến 5 năm</v>
      </c>
      <c r="F130" s="4" t="str">
        <f ca="1">IFERROR(__xludf.DUMMYFUNCTION("""COMPUTED_VALUE"""),"Trợ lý kiểm toán")</f>
        <v>Trợ lý kiểm toán</v>
      </c>
    </row>
    <row r="131" spans="1:6" x14ac:dyDescent="0.25">
      <c r="A131" s="4" t="str">
        <f ca="1">IFERROR(__xludf.DUMMYFUNCTION("""COMPUTED_VALUE"""),"Công ty TNHH Kiểm toán AVN Việt Nam")</f>
        <v>Công ty TNHH Kiểm toán AVN Việt Nam</v>
      </c>
      <c r="B131" s="4" t="str">
        <f ca="1">IFERROR(__xludf.DUMMYFUNCTION("""COMPUTED_VALUE"""),"Lê Nguyễn Nhật Hào")</f>
        <v>Lê Nguyễn Nhật Hào</v>
      </c>
      <c r="C131" s="4" t="str">
        <f ca="1">IFERROR(__xludf.DUMMYFUNCTION("""COMPUTED_VALUE"""),"Nam")</f>
        <v>Nam</v>
      </c>
      <c r="D131" s="4" t="str">
        <f ca="1">IFERROR(__xludf.DUMMYFUNCTION("""COMPUTED_VALUE"""),"Đại học")</f>
        <v>Đại học</v>
      </c>
      <c r="E131" s="4" t="str">
        <f ca="1">IFERROR(__xludf.DUMMYFUNCTION("""COMPUTED_VALUE"""),"Từ 3 đến 5 năm")</f>
        <v>Từ 3 đến 5 năm</v>
      </c>
      <c r="F131" s="4" t="str">
        <f ca="1">IFERROR(__xludf.DUMMYFUNCTION("""COMPUTED_VALUE"""),"Trợ lý kiểm toán")</f>
        <v>Trợ lý kiểm toán</v>
      </c>
    </row>
    <row r="132" spans="1:6" x14ac:dyDescent="0.25">
      <c r="A132" s="4" t="str">
        <f ca="1">IFERROR(__xludf.DUMMYFUNCTION("""COMPUTED_VALUE"""),"Công ty TNHH Kiểm toán AVN Việt Nam")</f>
        <v>Công ty TNHH Kiểm toán AVN Việt Nam</v>
      </c>
      <c r="B132" s="4" t="str">
        <f ca="1">IFERROR(__xludf.DUMMYFUNCTION("""COMPUTED_VALUE"""),"Trần Thị Thảo")</f>
        <v>Trần Thị Thảo</v>
      </c>
      <c r="C132" s="4" t="str">
        <f ca="1">IFERROR(__xludf.DUMMYFUNCTION("""COMPUTED_VALUE"""),"Nữ")</f>
        <v>Nữ</v>
      </c>
      <c r="D132" s="4" t="str">
        <f ca="1">IFERROR(__xludf.DUMMYFUNCTION("""COMPUTED_VALUE"""),"Đại học")</f>
        <v>Đại học</v>
      </c>
      <c r="E132" s="4" t="str">
        <f ca="1">IFERROR(__xludf.DUMMYFUNCTION("""COMPUTED_VALUE"""),"Trên 5 đến 10 năm")</f>
        <v>Trên 5 đến 10 năm</v>
      </c>
      <c r="F132" s="4" t="str">
        <f ca="1">IFERROR(__xludf.DUMMYFUNCTION("""COMPUTED_VALUE"""),"Kiểm toán viên/Trưởng nhóm")</f>
        <v>Kiểm toán viên/Trưởng nhóm</v>
      </c>
    </row>
    <row r="133" spans="1:6" x14ac:dyDescent="0.25">
      <c r="A133" s="4" t="str">
        <f ca="1">IFERROR(__xludf.DUMMYFUNCTION("""COMPUTED_VALUE"""),"Công ty TNHH Kiểm toán AVN Việt Nam")</f>
        <v>Công ty TNHH Kiểm toán AVN Việt Nam</v>
      </c>
      <c r="B133" s="4" t="str">
        <f ca="1">IFERROR(__xludf.DUMMYFUNCTION("""COMPUTED_VALUE"""),"Nguyễn Thị Thanh Vân")</f>
        <v>Nguyễn Thị Thanh Vân</v>
      </c>
      <c r="C133" s="4" t="str">
        <f ca="1">IFERROR(__xludf.DUMMYFUNCTION("""COMPUTED_VALUE"""),"Nữ")</f>
        <v>Nữ</v>
      </c>
      <c r="D133" s="4" t="str">
        <f ca="1">IFERROR(__xludf.DUMMYFUNCTION("""COMPUTED_VALUE"""),"Đại học")</f>
        <v>Đại học</v>
      </c>
      <c r="E133" s="4" t="str">
        <f ca="1">IFERROR(__xludf.DUMMYFUNCTION("""COMPUTED_VALUE"""),"Từ 3 đến 5 năm")</f>
        <v>Từ 3 đến 5 năm</v>
      </c>
      <c r="F133" s="4" t="str">
        <f ca="1">IFERROR(__xludf.DUMMYFUNCTION("""COMPUTED_VALUE"""),"Trợ lý kiểm toán")</f>
        <v>Trợ lý kiểm toán</v>
      </c>
    </row>
    <row r="134" spans="1:6" x14ac:dyDescent="0.25">
      <c r="A134" s="4" t="str">
        <f ca="1">IFERROR(__xludf.DUMMYFUNCTION("""COMPUTED_VALUE"""),"Công ty TNHH Kiểm toán AVN Việt Nam")</f>
        <v>Công ty TNHH Kiểm toán AVN Việt Nam</v>
      </c>
      <c r="B134" s="4" t="str">
        <f ca="1">IFERROR(__xludf.DUMMYFUNCTION("""COMPUTED_VALUE"""),"Hoàng Thủy Tiên")</f>
        <v>Hoàng Thủy Tiên</v>
      </c>
      <c r="C134" s="4" t="str">
        <f ca="1">IFERROR(__xludf.DUMMYFUNCTION("""COMPUTED_VALUE"""),"Nữ")</f>
        <v>Nữ</v>
      </c>
      <c r="D134" s="4" t="str">
        <f ca="1">IFERROR(__xludf.DUMMYFUNCTION("""COMPUTED_VALUE"""),"Đại học")</f>
        <v>Đại học</v>
      </c>
      <c r="E134" s="4" t="str">
        <f ca="1">IFERROR(__xludf.DUMMYFUNCTION("""COMPUTED_VALUE"""),"Từ 3 đến 5 năm")</f>
        <v>Từ 3 đến 5 năm</v>
      </c>
      <c r="F134" s="4" t="str">
        <f ca="1">IFERROR(__xludf.DUMMYFUNCTION("""COMPUTED_VALUE"""),"Trợ lý kiểm toán")</f>
        <v>Trợ lý kiểm toán</v>
      </c>
    </row>
    <row r="135" spans="1:6" x14ac:dyDescent="0.25">
      <c r="A135" s="4" t="str">
        <f ca="1">IFERROR(__xludf.DUMMYFUNCTION("""COMPUTED_VALUE"""),"Công ty TNHH Kiểm toán AVN Việt Nam")</f>
        <v>Công ty TNHH Kiểm toán AVN Việt Nam</v>
      </c>
      <c r="B135" s="4" t="str">
        <f ca="1">IFERROR(__xludf.DUMMYFUNCTION("""COMPUTED_VALUE"""),"Nguyễn Trần Minh Uyên ")</f>
        <v xml:space="preserve">Nguyễn Trần Minh Uyên </v>
      </c>
      <c r="C135" s="4" t="str">
        <f ca="1">IFERROR(__xludf.DUMMYFUNCTION("""COMPUTED_VALUE"""),"Nữ")</f>
        <v>Nữ</v>
      </c>
      <c r="D135" s="4" t="str">
        <f ca="1">IFERROR(__xludf.DUMMYFUNCTION("""COMPUTED_VALUE"""),"Đại học")</f>
        <v>Đại học</v>
      </c>
      <c r="E135" s="4" t="str">
        <f ca="1">IFERROR(__xludf.DUMMYFUNCTION("""COMPUTED_VALUE"""),"Từ 3 đến 5 năm")</f>
        <v>Từ 3 đến 5 năm</v>
      </c>
      <c r="F135" s="4" t="str">
        <f ca="1">IFERROR(__xludf.DUMMYFUNCTION("""COMPUTED_VALUE"""),"Trợ lý kiểm toán")</f>
        <v>Trợ lý kiểm toán</v>
      </c>
    </row>
    <row r="136" spans="1:6" x14ac:dyDescent="0.25">
      <c r="A136" s="4" t="str">
        <f ca="1">IFERROR(__xludf.DUMMYFUNCTION("""COMPUTED_VALUE"""),"Công ty TNHH Kiểm toán AVN Việt Nam")</f>
        <v>Công ty TNHH Kiểm toán AVN Việt Nam</v>
      </c>
      <c r="B136" s="4" t="str">
        <f ca="1">IFERROR(__xludf.DUMMYFUNCTION("""COMPUTED_VALUE"""),"Lưu Huy Hoàng")</f>
        <v>Lưu Huy Hoàng</v>
      </c>
      <c r="C136" s="4" t="str">
        <f ca="1">IFERROR(__xludf.DUMMYFUNCTION("""COMPUTED_VALUE"""),"Nam")</f>
        <v>Nam</v>
      </c>
      <c r="D136" s="4" t="str">
        <f ca="1">IFERROR(__xludf.DUMMYFUNCTION("""COMPUTED_VALUE"""),"Đại học")</f>
        <v>Đại học</v>
      </c>
      <c r="E136" s="4" t="str">
        <f ca="1">IFERROR(__xludf.DUMMYFUNCTION("""COMPUTED_VALUE"""),"Từ 3 đến 5 năm")</f>
        <v>Từ 3 đến 5 năm</v>
      </c>
      <c r="F136" s="4" t="str">
        <f ca="1">IFERROR(__xludf.DUMMYFUNCTION("""COMPUTED_VALUE"""),"Trợ lý kiểm toán")</f>
        <v>Trợ lý kiểm toán</v>
      </c>
    </row>
    <row r="137" spans="1:6" x14ac:dyDescent="0.25">
      <c r="A137" s="4" t="str">
        <f ca="1">IFERROR(__xludf.DUMMYFUNCTION("""COMPUTED_VALUE"""),"Công ty TNHH Kiểm toán AVN Việt Nam")</f>
        <v>Công ty TNHH Kiểm toán AVN Việt Nam</v>
      </c>
      <c r="B137" s="4"/>
      <c r="C137" s="4" t="str">
        <f ca="1">IFERROR(__xludf.DUMMYFUNCTION("""COMPUTED_VALUE"""),"Nữ")</f>
        <v>Nữ</v>
      </c>
      <c r="D137" s="4" t="str">
        <f ca="1">IFERROR(__xludf.DUMMYFUNCTION("""COMPUTED_VALUE"""),"Đại học, Chứng chỉ Kiểm toán viên")</f>
        <v>Đại học, Chứng chỉ Kiểm toán viên</v>
      </c>
      <c r="E137" s="4" t="str">
        <f ca="1">IFERROR(__xludf.DUMMYFUNCTION("""COMPUTED_VALUE"""),"Trên 15 đến 20 năm")</f>
        <v>Trên 15 đến 20 năm</v>
      </c>
      <c r="F137" s="4" t="str">
        <f ca="1">IFERROR(__xludf.DUMMYFUNCTION("""COMPUTED_VALUE"""),"Ban giám đốc")</f>
        <v>Ban giám đốc</v>
      </c>
    </row>
    <row r="138" spans="1:6" x14ac:dyDescent="0.25">
      <c r="A138" s="4" t="str">
        <f ca="1">IFERROR(__xludf.DUMMYFUNCTION("""COMPUTED_VALUE"""),"Công ty TNHH Kiểm toán AVN Việt Nam")</f>
        <v>Công ty TNHH Kiểm toán AVN Việt Nam</v>
      </c>
      <c r="B138" s="4" t="str">
        <f ca="1">IFERROR(__xludf.DUMMYFUNCTION("""COMPUTED_VALUE"""),"Lê Thị Thanh Kim")</f>
        <v>Lê Thị Thanh Kim</v>
      </c>
      <c r="C138" s="4" t="str">
        <f ca="1">IFERROR(__xludf.DUMMYFUNCTION("""COMPUTED_VALUE"""),"Nữ")</f>
        <v>Nữ</v>
      </c>
      <c r="D138" s="4" t="str">
        <f ca="1">IFERROR(__xludf.DUMMYFUNCTION("""COMPUTED_VALUE"""),"Đại học, Chứng chỉ Kiểm toán viên")</f>
        <v>Đại học, Chứng chỉ Kiểm toán viên</v>
      </c>
      <c r="E138" s="4" t="str">
        <f ca="1">IFERROR(__xludf.DUMMYFUNCTION("""COMPUTED_VALUE"""),"Trên 15 đến 20 năm")</f>
        <v>Trên 15 đến 20 năm</v>
      </c>
      <c r="F138" s="4" t="str">
        <f ca="1">IFERROR(__xludf.DUMMYFUNCTION("""COMPUTED_VALUE"""),"Trưởng phòng")</f>
        <v>Trưởng phòng</v>
      </c>
    </row>
    <row r="139" spans="1:6" x14ac:dyDescent="0.25">
      <c r="A139" s="4" t="str">
        <f ca="1">IFERROR(__xludf.DUMMYFUNCTION("""COMPUTED_VALUE"""),"Công ty TNHH Kiểm toán BDO")</f>
        <v>Công ty TNHH Kiểm toán BDO</v>
      </c>
      <c r="B139" s="4" t="str">
        <f ca="1">IFERROR(__xludf.DUMMYFUNCTION("""COMPUTED_VALUE"""),"Phạm Trường Giang")</f>
        <v>Phạm Trường Giang</v>
      </c>
      <c r="C139" s="4" t="str">
        <f ca="1">IFERROR(__xludf.DUMMYFUNCTION("""COMPUTED_VALUE"""),"Nam")</f>
        <v>Nam</v>
      </c>
      <c r="D139" s="4" t="str">
        <f ca="1">IFERROR(__xludf.DUMMYFUNCTION("""COMPUTED_VALUE"""),"Đại học")</f>
        <v>Đại học</v>
      </c>
      <c r="E139" s="4" t="str">
        <f ca="1">IFERROR(__xludf.DUMMYFUNCTION("""COMPUTED_VALUE"""),"Trên 10 đến 15 năm")</f>
        <v>Trên 10 đến 15 năm</v>
      </c>
      <c r="F139" s="4" t="str">
        <f ca="1">IFERROR(__xludf.DUMMYFUNCTION("""COMPUTED_VALUE"""),"Kiểm toán viên/Trưởng nhóm")</f>
        <v>Kiểm toán viên/Trưởng nhóm</v>
      </c>
    </row>
    <row r="140" spans="1:6" x14ac:dyDescent="0.25">
      <c r="A140" s="4" t="str">
        <f ca="1">IFERROR(__xludf.DUMMYFUNCTION("""COMPUTED_VALUE"""),"Công ty TNHH Kiểm toán BDO")</f>
        <v>Công ty TNHH Kiểm toán BDO</v>
      </c>
      <c r="B140" s="4"/>
      <c r="C140" s="4" t="str">
        <f ca="1">IFERROR(__xludf.DUMMYFUNCTION("""COMPUTED_VALUE"""),"Nam")</f>
        <v>Nam</v>
      </c>
      <c r="D140" s="4" t="str">
        <f ca="1">IFERROR(__xludf.DUMMYFUNCTION("""COMPUTED_VALUE"""),"Sau đại học")</f>
        <v>Sau đại học</v>
      </c>
      <c r="E140" s="4" t="str">
        <f ca="1">IFERROR(__xludf.DUMMYFUNCTION("""COMPUTED_VALUE"""),"Từ 3 đến 5 năm")</f>
        <v>Từ 3 đến 5 năm</v>
      </c>
      <c r="F140" s="4" t="str">
        <f ca="1">IFERROR(__xludf.DUMMYFUNCTION("""COMPUTED_VALUE"""),"Trợ lý kiểm toán")</f>
        <v>Trợ lý kiểm toán</v>
      </c>
    </row>
    <row r="141" spans="1:6" x14ac:dyDescent="0.25">
      <c r="A141" s="4" t="str">
        <f ca="1">IFERROR(__xludf.DUMMYFUNCTION("""COMPUTED_VALUE"""),"Công ty TNHH Kiểm toán BDO")</f>
        <v>Công ty TNHH Kiểm toán BDO</v>
      </c>
      <c r="B141" s="4" t="str">
        <f ca="1">IFERROR(__xludf.DUMMYFUNCTION("""COMPUTED_VALUE"""),"Nguyễn Trung Đức")</f>
        <v>Nguyễn Trung Đức</v>
      </c>
      <c r="C141" s="4" t="str">
        <f ca="1">IFERROR(__xludf.DUMMYFUNCTION("""COMPUTED_VALUE"""),"Nam")</f>
        <v>Nam</v>
      </c>
      <c r="D141" s="4" t="str">
        <f ca="1">IFERROR(__xludf.DUMMYFUNCTION("""COMPUTED_VALUE"""),"Đại học")</f>
        <v>Đại học</v>
      </c>
      <c r="E141" s="4" t="str">
        <f ca="1">IFERROR(__xludf.DUMMYFUNCTION("""COMPUTED_VALUE"""),"Từ 3 đến 5 năm")</f>
        <v>Từ 3 đến 5 năm</v>
      </c>
      <c r="F141" s="4" t="str">
        <f ca="1">IFERROR(__xludf.DUMMYFUNCTION("""COMPUTED_VALUE"""),"Trợ lý kiểm toán")</f>
        <v>Trợ lý kiểm toán</v>
      </c>
    </row>
    <row r="142" spans="1:6" x14ac:dyDescent="0.25">
      <c r="A142" s="4" t="str">
        <f ca="1">IFERROR(__xludf.DUMMYFUNCTION("""COMPUTED_VALUE"""),"Công ty TNHH Kiểm toán CPA")</f>
        <v>Công ty TNHH Kiểm toán CPA</v>
      </c>
      <c r="B142" s="4" t="str">
        <f ca="1">IFERROR(__xludf.DUMMYFUNCTION("""COMPUTED_VALUE"""),"Dương Huy Hoàng")</f>
        <v>Dương Huy Hoàng</v>
      </c>
      <c r="C142" s="4" t="str">
        <f ca="1">IFERROR(__xludf.DUMMYFUNCTION("""COMPUTED_VALUE"""),"Nam")</f>
        <v>Nam</v>
      </c>
      <c r="D142" s="4" t="str">
        <f ca="1">IFERROR(__xludf.DUMMYFUNCTION("""COMPUTED_VALUE"""),"Đại học")</f>
        <v>Đại học</v>
      </c>
      <c r="E142" s="4" t="str">
        <f ca="1">IFERROR(__xludf.DUMMYFUNCTION("""COMPUTED_VALUE"""),"Từ 3 đến 5 năm")</f>
        <v>Từ 3 đến 5 năm</v>
      </c>
      <c r="F142" s="4" t="str">
        <f ca="1">IFERROR(__xludf.DUMMYFUNCTION("""COMPUTED_VALUE"""),"Trợ lý kiểm toán")</f>
        <v>Trợ lý kiểm toán</v>
      </c>
    </row>
    <row r="143" spans="1:6" x14ac:dyDescent="0.25">
      <c r="A143" s="4" t="str">
        <f ca="1">IFERROR(__xludf.DUMMYFUNCTION("""COMPUTED_VALUE"""),"Công ty TNHH Kiểm toán CPA")</f>
        <v>Công ty TNHH Kiểm toán CPA</v>
      </c>
      <c r="B143" s="4" t="str">
        <f ca="1">IFERROR(__xludf.DUMMYFUNCTION("""COMPUTED_VALUE"""),"Phạm thị thanh phước")</f>
        <v>Phạm thị thanh phước</v>
      </c>
      <c r="C143" s="4" t="str">
        <f ca="1">IFERROR(__xludf.DUMMYFUNCTION("""COMPUTED_VALUE"""),"Nữ")</f>
        <v>Nữ</v>
      </c>
      <c r="D143" s="4" t="str">
        <f ca="1">IFERROR(__xludf.DUMMYFUNCTION("""COMPUTED_VALUE"""),"Đại học")</f>
        <v>Đại học</v>
      </c>
      <c r="E143" s="4" t="str">
        <f ca="1">IFERROR(__xludf.DUMMYFUNCTION("""COMPUTED_VALUE"""),"Từ 3 đến 5 năm")</f>
        <v>Từ 3 đến 5 năm</v>
      </c>
      <c r="F143" s="4" t="str">
        <f ca="1">IFERROR(__xludf.DUMMYFUNCTION("""COMPUTED_VALUE"""),"Trợ lý kiểm toán")</f>
        <v>Trợ lý kiểm toán</v>
      </c>
    </row>
    <row r="144" spans="1:6" x14ac:dyDescent="0.25">
      <c r="A144" s="4" t="str">
        <f ca="1">IFERROR(__xludf.DUMMYFUNCTION("""COMPUTED_VALUE"""),"Công ty TNHH Kiểm toán CPA")</f>
        <v>Công ty TNHH Kiểm toán CPA</v>
      </c>
      <c r="B144" s="4" t="str">
        <f ca="1">IFERROR(__xludf.DUMMYFUNCTION("""COMPUTED_VALUE"""),"Nguyễn Thị Cẩm Tú")</f>
        <v>Nguyễn Thị Cẩm Tú</v>
      </c>
      <c r="C144" s="4" t="str">
        <f ca="1">IFERROR(__xludf.DUMMYFUNCTION("""COMPUTED_VALUE"""),"Nữ")</f>
        <v>Nữ</v>
      </c>
      <c r="D144" s="4" t="str">
        <f ca="1">IFERROR(__xludf.DUMMYFUNCTION("""COMPUTED_VALUE"""),"Đại học")</f>
        <v>Đại học</v>
      </c>
      <c r="E144" s="4" t="str">
        <f ca="1">IFERROR(__xludf.DUMMYFUNCTION("""COMPUTED_VALUE"""),"Trên 5 đến 10 năm")</f>
        <v>Trên 5 đến 10 năm</v>
      </c>
      <c r="F144" s="4" t="str">
        <f ca="1">IFERROR(__xludf.DUMMYFUNCTION("""COMPUTED_VALUE"""),"Kiểm toán viên/Trưởng nhóm")</f>
        <v>Kiểm toán viên/Trưởng nhóm</v>
      </c>
    </row>
    <row r="145" spans="1:6" x14ac:dyDescent="0.25">
      <c r="A145" s="4" t="str">
        <f ca="1">IFERROR(__xludf.DUMMYFUNCTION("""COMPUTED_VALUE"""),"Công ty TNHH Kiểm toán CPA")</f>
        <v>Công ty TNHH Kiểm toán CPA</v>
      </c>
      <c r="B145" s="4" t="str">
        <f ca="1">IFERROR(__xludf.DUMMYFUNCTION("""COMPUTED_VALUE"""),"Nguyễn Thị Hồng Quyên")</f>
        <v>Nguyễn Thị Hồng Quyên</v>
      </c>
      <c r="C145" s="4" t="str">
        <f ca="1">IFERROR(__xludf.DUMMYFUNCTION("""COMPUTED_VALUE"""),"Nữ")</f>
        <v>Nữ</v>
      </c>
      <c r="D145" s="4" t="str">
        <f ca="1">IFERROR(__xludf.DUMMYFUNCTION("""COMPUTED_VALUE"""),"Chứng chỉ Kiểm toán viên")</f>
        <v>Chứng chỉ Kiểm toán viên</v>
      </c>
      <c r="E145" s="4" t="str">
        <f ca="1">IFERROR(__xludf.DUMMYFUNCTION("""COMPUTED_VALUE"""),"Trên 5 đến 10 năm")</f>
        <v>Trên 5 đến 10 năm</v>
      </c>
      <c r="F145" s="4" t="str">
        <f ca="1">IFERROR(__xludf.DUMMYFUNCTION("""COMPUTED_VALUE"""),"Kiểm toán viên/Trưởng nhóm")</f>
        <v>Kiểm toán viên/Trưởng nhóm</v>
      </c>
    </row>
    <row r="146" spans="1:6" x14ac:dyDescent="0.25">
      <c r="A146" s="4" t="str">
        <f ca="1">IFERROR(__xludf.DUMMYFUNCTION("""COMPUTED_VALUE"""),"Công ty TNHH Kiểm toán CPA")</f>
        <v>Công ty TNHH Kiểm toán CPA</v>
      </c>
      <c r="B146" s="4" t="str">
        <f ca="1">IFERROR(__xludf.DUMMYFUNCTION("""COMPUTED_VALUE"""),"Trương Quỳnh Mai")</f>
        <v>Trương Quỳnh Mai</v>
      </c>
      <c r="C146" s="4" t="str">
        <f ca="1">IFERROR(__xludf.DUMMYFUNCTION("""COMPUTED_VALUE"""),"Nữ")</f>
        <v>Nữ</v>
      </c>
      <c r="D146" s="4" t="str">
        <f ca="1">IFERROR(__xludf.DUMMYFUNCTION("""COMPUTED_VALUE"""),"Đại học")</f>
        <v>Đại học</v>
      </c>
      <c r="E146" s="4" t="str">
        <f ca="1">IFERROR(__xludf.DUMMYFUNCTION("""COMPUTED_VALUE"""),"Từ 3 đến 5 năm")</f>
        <v>Từ 3 đến 5 năm</v>
      </c>
      <c r="F146" s="4" t="str">
        <f ca="1">IFERROR(__xludf.DUMMYFUNCTION("""COMPUTED_VALUE"""),"Trợ lý kiểm toán")</f>
        <v>Trợ lý kiểm toán</v>
      </c>
    </row>
    <row r="147" spans="1:6" x14ac:dyDescent="0.25">
      <c r="A147" s="4" t="str">
        <f ca="1">IFERROR(__xludf.DUMMYFUNCTION("""COMPUTED_VALUE"""),"Công ty TNHH Kiểm toán CPA")</f>
        <v>Công ty TNHH Kiểm toán CPA</v>
      </c>
      <c r="B147" s="4" t="str">
        <f ca="1">IFERROR(__xludf.DUMMYFUNCTION("""COMPUTED_VALUE"""),"Nguyễn Thị Tuyết Diệu")</f>
        <v>Nguyễn Thị Tuyết Diệu</v>
      </c>
      <c r="C147" s="4" t="str">
        <f ca="1">IFERROR(__xludf.DUMMYFUNCTION("""COMPUTED_VALUE"""),"Nữ")</f>
        <v>Nữ</v>
      </c>
      <c r="D147" s="4" t="str">
        <f ca="1">IFERROR(__xludf.DUMMYFUNCTION("""COMPUTED_VALUE"""),"Chứng chỉ Kiểm toán viên")</f>
        <v>Chứng chỉ Kiểm toán viên</v>
      </c>
      <c r="E147" s="4" t="str">
        <f ca="1">IFERROR(__xludf.DUMMYFUNCTION("""COMPUTED_VALUE"""),"Trên 10 đến 15 năm")</f>
        <v>Trên 10 đến 15 năm</v>
      </c>
      <c r="F147" s="4" t="str">
        <f ca="1">IFERROR(__xludf.DUMMYFUNCTION("""COMPUTED_VALUE"""),"Kiểm toán viên/Trưởng nhóm")</f>
        <v>Kiểm toán viên/Trưởng nhóm</v>
      </c>
    </row>
    <row r="148" spans="1:6" x14ac:dyDescent="0.25">
      <c r="A148" s="4" t="str">
        <f ca="1">IFERROR(__xludf.DUMMYFUNCTION("""COMPUTED_VALUE"""),"Công ty TNHH Kiểm toán CPA")</f>
        <v>Công ty TNHH Kiểm toán CPA</v>
      </c>
      <c r="B148" s="4" t="str">
        <f ca="1">IFERROR(__xludf.DUMMYFUNCTION("""COMPUTED_VALUE"""),"Nguyễn Minh Hoàng")</f>
        <v>Nguyễn Minh Hoàng</v>
      </c>
      <c r="C148" s="4" t="str">
        <f ca="1">IFERROR(__xludf.DUMMYFUNCTION("""COMPUTED_VALUE"""),"Nam")</f>
        <v>Nam</v>
      </c>
      <c r="D148" s="4" t="str">
        <f ca="1">IFERROR(__xludf.DUMMYFUNCTION("""COMPUTED_VALUE"""),"Đại học")</f>
        <v>Đại học</v>
      </c>
      <c r="E148" s="4" t="str">
        <f ca="1">IFERROR(__xludf.DUMMYFUNCTION("""COMPUTED_VALUE"""),"Từ 3 đến 5 năm")</f>
        <v>Từ 3 đến 5 năm</v>
      </c>
      <c r="F148" s="4" t="str">
        <f ca="1">IFERROR(__xludf.DUMMYFUNCTION("""COMPUTED_VALUE"""),"Trợ lý kiểm toán")</f>
        <v>Trợ lý kiểm toán</v>
      </c>
    </row>
    <row r="149" spans="1:6" x14ac:dyDescent="0.25">
      <c r="A149" s="4" t="str">
        <f ca="1">IFERROR(__xludf.DUMMYFUNCTION("""COMPUTED_VALUE"""),"Công ty TNHH Kiểm toán CPA VIETNAM")</f>
        <v>Công ty TNHH Kiểm toán CPA VIETNAM</v>
      </c>
      <c r="B149" s="4" t="str">
        <f ca="1">IFERROR(__xludf.DUMMYFUNCTION("""COMPUTED_VALUE"""),"Phạm Thị Bích Thuỷ")</f>
        <v>Phạm Thị Bích Thuỷ</v>
      </c>
      <c r="C149" s="4" t="str">
        <f ca="1">IFERROR(__xludf.DUMMYFUNCTION("""COMPUTED_VALUE"""),"Nữ")</f>
        <v>Nữ</v>
      </c>
      <c r="D149" s="4" t="str">
        <f ca="1">IFERROR(__xludf.DUMMYFUNCTION("""COMPUTED_VALUE"""),"Chứng chỉ Kiểm toán viên")</f>
        <v>Chứng chỉ Kiểm toán viên</v>
      </c>
      <c r="E149" s="4" t="str">
        <f ca="1">IFERROR(__xludf.DUMMYFUNCTION("""COMPUTED_VALUE"""),"Trên 5 đến 10 năm")</f>
        <v>Trên 5 đến 10 năm</v>
      </c>
      <c r="F149" s="4" t="str">
        <f ca="1">IFERROR(__xludf.DUMMYFUNCTION("""COMPUTED_VALUE"""),"Kiểm toán viên/Trưởng nhóm")</f>
        <v>Kiểm toán viên/Trưởng nhóm</v>
      </c>
    </row>
    <row r="150" spans="1:6" x14ac:dyDescent="0.25">
      <c r="A150" s="4" t="str">
        <f ca="1">IFERROR(__xludf.DUMMYFUNCTION("""COMPUTED_VALUE"""),"Công ty TNHH Kiểm toán CPA VIETNAM")</f>
        <v>Công ty TNHH Kiểm toán CPA VIETNAM</v>
      </c>
      <c r="B150" s="4" t="str">
        <f ca="1">IFERROR(__xludf.DUMMYFUNCTION("""COMPUTED_VALUE"""),"Phạm Anh Duy")</f>
        <v>Phạm Anh Duy</v>
      </c>
      <c r="C150" s="4" t="str">
        <f ca="1">IFERROR(__xludf.DUMMYFUNCTION("""COMPUTED_VALUE"""),"Nam")</f>
        <v>Nam</v>
      </c>
      <c r="D150" s="4" t="str">
        <f ca="1">IFERROR(__xludf.DUMMYFUNCTION("""COMPUTED_VALUE"""),"Đại học")</f>
        <v>Đại học</v>
      </c>
      <c r="E150" s="4" t="str">
        <f ca="1">IFERROR(__xludf.DUMMYFUNCTION("""COMPUTED_VALUE"""),"Trên 5 đến 10 năm")</f>
        <v>Trên 5 đến 10 năm</v>
      </c>
      <c r="F150" s="4" t="str">
        <f ca="1">IFERROR(__xludf.DUMMYFUNCTION("""COMPUTED_VALUE"""),"Trợ lý kiểm toán")</f>
        <v>Trợ lý kiểm toán</v>
      </c>
    </row>
    <row r="151" spans="1:6" x14ac:dyDescent="0.25">
      <c r="A151" s="4" t="str">
        <f ca="1">IFERROR(__xludf.DUMMYFUNCTION("""COMPUTED_VALUE"""),"Công ty TNHH Kiểm toán CPA VIETNAM")</f>
        <v>Công ty TNHH Kiểm toán CPA VIETNAM</v>
      </c>
      <c r="B151" s="4" t="str">
        <f ca="1">IFERROR(__xludf.DUMMYFUNCTION("""COMPUTED_VALUE"""),"Vũ Xuân Hùng")</f>
        <v>Vũ Xuân Hùng</v>
      </c>
      <c r="C151" s="4" t="str">
        <f ca="1">IFERROR(__xludf.DUMMYFUNCTION("""COMPUTED_VALUE"""),"Nam")</f>
        <v>Nam</v>
      </c>
      <c r="D151" s="4" t="str">
        <f ca="1">IFERROR(__xludf.DUMMYFUNCTION("""COMPUTED_VALUE"""),"Sau đại học, Chứng chỉ Kiểm toán viên")</f>
        <v>Sau đại học, Chứng chỉ Kiểm toán viên</v>
      </c>
      <c r="E151" s="4" t="str">
        <f ca="1">IFERROR(__xludf.DUMMYFUNCTION("""COMPUTED_VALUE"""),"Trên 10 đến 15 năm")</f>
        <v>Trên 10 đến 15 năm</v>
      </c>
      <c r="F151" s="4" t="str">
        <f ca="1">IFERROR(__xludf.DUMMYFUNCTION("""COMPUTED_VALUE"""),"Kiểm toán viên/Trưởng nhóm")</f>
        <v>Kiểm toán viên/Trưởng nhóm</v>
      </c>
    </row>
    <row r="152" spans="1:6" x14ac:dyDescent="0.25">
      <c r="A152" s="4" t="str">
        <f ca="1">IFERROR(__xludf.DUMMYFUNCTION("""COMPUTED_VALUE"""),"Công ty TNHH Kiểm toán CPA VIETNAM")</f>
        <v>Công ty TNHH Kiểm toán CPA VIETNAM</v>
      </c>
      <c r="B152" s="4" t="str">
        <f ca="1">IFERROR(__xludf.DUMMYFUNCTION("""COMPUTED_VALUE"""),"Nguyễn Hạnh Dung")</f>
        <v>Nguyễn Hạnh Dung</v>
      </c>
      <c r="C152" s="4" t="str">
        <f ca="1">IFERROR(__xludf.DUMMYFUNCTION("""COMPUTED_VALUE"""),"Nữ")</f>
        <v>Nữ</v>
      </c>
      <c r="D152" s="4" t="str">
        <f ca="1">IFERROR(__xludf.DUMMYFUNCTION("""COMPUTED_VALUE"""),"Đại học")</f>
        <v>Đại học</v>
      </c>
      <c r="E152" s="4" t="str">
        <f ca="1">IFERROR(__xludf.DUMMYFUNCTION("""COMPUTED_VALUE"""),"Từ 3 đến 5 năm")</f>
        <v>Từ 3 đến 5 năm</v>
      </c>
      <c r="F152" s="4" t="str">
        <f ca="1">IFERROR(__xludf.DUMMYFUNCTION("""COMPUTED_VALUE"""),"Trợ lý kiểm toán")</f>
        <v>Trợ lý kiểm toán</v>
      </c>
    </row>
    <row r="153" spans="1:6" x14ac:dyDescent="0.25">
      <c r="A153" s="4" t="str">
        <f ca="1">IFERROR(__xludf.DUMMYFUNCTION("""COMPUTED_VALUE"""),"Công ty TNHH Kiểm toán CPA VIETNAM")</f>
        <v>Công ty TNHH Kiểm toán CPA VIETNAM</v>
      </c>
      <c r="B153" s="4"/>
      <c r="C153" s="4" t="str">
        <f ca="1">IFERROR(__xludf.DUMMYFUNCTION("""COMPUTED_VALUE"""),"Nam")</f>
        <v>Nam</v>
      </c>
      <c r="D153" s="4" t="str">
        <f ca="1">IFERROR(__xludf.DUMMYFUNCTION("""COMPUTED_VALUE"""),"Đại học")</f>
        <v>Đại học</v>
      </c>
      <c r="E153" s="4" t="str">
        <f ca="1">IFERROR(__xludf.DUMMYFUNCTION("""COMPUTED_VALUE"""),"Từ 3 đến 5 năm")</f>
        <v>Từ 3 đến 5 năm</v>
      </c>
      <c r="F153" s="4" t="str">
        <f ca="1">IFERROR(__xludf.DUMMYFUNCTION("""COMPUTED_VALUE"""),"Kiểm toán viên/Trưởng nhóm")</f>
        <v>Kiểm toán viên/Trưởng nhóm</v>
      </c>
    </row>
    <row r="154" spans="1:6" x14ac:dyDescent="0.25">
      <c r="A154" s="4" t="str">
        <f ca="1">IFERROR(__xludf.DUMMYFUNCTION("""COMPUTED_VALUE"""),"Công ty TNHH Kiểm toán CPA VIETNAM")</f>
        <v>Công ty TNHH Kiểm toán CPA VIETNAM</v>
      </c>
      <c r="B154" s="4" t="str">
        <f ca="1">IFERROR(__xludf.DUMMYFUNCTION("""COMPUTED_VALUE"""),"Trần Thị Xuân Nguyện ")</f>
        <v xml:space="preserve">Trần Thị Xuân Nguyện </v>
      </c>
      <c r="C154" s="4" t="str">
        <f ca="1">IFERROR(__xludf.DUMMYFUNCTION("""COMPUTED_VALUE"""),"Nữ")</f>
        <v>Nữ</v>
      </c>
      <c r="D154" s="4" t="str">
        <f ca="1">IFERROR(__xludf.DUMMYFUNCTION("""COMPUTED_VALUE"""),"Đại học")</f>
        <v>Đại học</v>
      </c>
      <c r="E154" s="4" t="str">
        <f ca="1">IFERROR(__xludf.DUMMYFUNCTION("""COMPUTED_VALUE"""),"Từ 3 đến 5 năm")</f>
        <v>Từ 3 đến 5 năm</v>
      </c>
      <c r="F154" s="4" t="str">
        <f ca="1">IFERROR(__xludf.DUMMYFUNCTION("""COMPUTED_VALUE"""),"Trợ lý kiểm toán")</f>
        <v>Trợ lý kiểm toán</v>
      </c>
    </row>
    <row r="155" spans="1:6" x14ac:dyDescent="0.25">
      <c r="A155" s="4" t="str">
        <f ca="1">IFERROR(__xludf.DUMMYFUNCTION("""COMPUTED_VALUE"""),"Công ty TNHH Kiểm toán CPA VIETNAM")</f>
        <v>Công ty TNHH Kiểm toán CPA VIETNAM</v>
      </c>
      <c r="B155" s="4" t="str">
        <f ca="1">IFERROR(__xludf.DUMMYFUNCTION("""COMPUTED_VALUE"""),"Lan Khuê")</f>
        <v>Lan Khuê</v>
      </c>
      <c r="C155" s="4" t="str">
        <f ca="1">IFERROR(__xludf.DUMMYFUNCTION("""COMPUTED_VALUE"""),"Nữ")</f>
        <v>Nữ</v>
      </c>
      <c r="D155" s="4" t="str">
        <f ca="1">IFERROR(__xludf.DUMMYFUNCTION("""COMPUTED_VALUE"""),"Đại học")</f>
        <v>Đại học</v>
      </c>
      <c r="E155" s="4" t="str">
        <f ca="1">IFERROR(__xludf.DUMMYFUNCTION("""COMPUTED_VALUE"""),"Từ 3 đến 5 năm")</f>
        <v>Từ 3 đến 5 năm</v>
      </c>
      <c r="F155" s="4" t="str">
        <f ca="1">IFERROR(__xludf.DUMMYFUNCTION("""COMPUTED_VALUE"""),"Trợ lý kiểm toán")</f>
        <v>Trợ lý kiểm toán</v>
      </c>
    </row>
    <row r="156" spans="1:6" x14ac:dyDescent="0.25">
      <c r="A156" s="4" t="str">
        <f ca="1">IFERROR(__xludf.DUMMYFUNCTION("""COMPUTED_VALUE"""),"Công ty TNHH Kiểm toán CPA VIETNAM")</f>
        <v>Công ty TNHH Kiểm toán CPA VIETNAM</v>
      </c>
      <c r="B156" s="4" t="str">
        <f ca="1">IFERROR(__xludf.DUMMYFUNCTION("""COMPUTED_VALUE"""),"Phạm Nguyễn Thảo Uyên")</f>
        <v>Phạm Nguyễn Thảo Uyên</v>
      </c>
      <c r="C156" s="4" t="str">
        <f ca="1">IFERROR(__xludf.DUMMYFUNCTION("""COMPUTED_VALUE"""),"Nữ")</f>
        <v>Nữ</v>
      </c>
      <c r="D156" s="4" t="str">
        <f ca="1">IFERROR(__xludf.DUMMYFUNCTION("""COMPUTED_VALUE"""),"Đại học")</f>
        <v>Đại học</v>
      </c>
      <c r="E156" s="4" t="str">
        <f ca="1">IFERROR(__xludf.DUMMYFUNCTION("""COMPUTED_VALUE"""),"Từ 3 đến 5 năm")</f>
        <v>Từ 3 đến 5 năm</v>
      </c>
      <c r="F156" s="4" t="str">
        <f ca="1">IFERROR(__xludf.DUMMYFUNCTION("""COMPUTED_VALUE"""),"Trợ lý kiểm toán")</f>
        <v>Trợ lý kiểm toán</v>
      </c>
    </row>
    <row r="157" spans="1:6" x14ac:dyDescent="0.25">
      <c r="A157" s="4" t="str">
        <f ca="1">IFERROR(__xludf.DUMMYFUNCTION("""COMPUTED_VALUE"""),"Công ty TNHH Kiểm toán DFK Việt Nam")</f>
        <v>Công ty TNHH Kiểm toán DFK Việt Nam</v>
      </c>
      <c r="B157" s="4" t="str">
        <f ca="1">IFERROR(__xludf.DUMMYFUNCTION("""COMPUTED_VALUE"""),"Phạm Đức Thắng")</f>
        <v>Phạm Đức Thắng</v>
      </c>
      <c r="C157" s="4" t="str">
        <f ca="1">IFERROR(__xludf.DUMMYFUNCTION("""COMPUTED_VALUE"""),"Nam")</f>
        <v>Nam</v>
      </c>
      <c r="D157" s="4" t="str">
        <f ca="1">IFERROR(__xludf.DUMMYFUNCTION("""COMPUTED_VALUE"""),"Sau đại học, Chứng chỉ Kiểm toán viên")</f>
        <v>Sau đại học, Chứng chỉ Kiểm toán viên</v>
      </c>
      <c r="E157" s="4" t="str">
        <f ca="1">IFERROR(__xludf.DUMMYFUNCTION("""COMPUTED_VALUE"""),"Trên 15 đến 20 năm")</f>
        <v>Trên 15 đến 20 năm</v>
      </c>
      <c r="F157" s="4" t="str">
        <f ca="1">IFERROR(__xludf.DUMMYFUNCTION("""COMPUTED_VALUE"""),"Ban giám đốc")</f>
        <v>Ban giám đốc</v>
      </c>
    </row>
    <row r="158" spans="1:6" x14ac:dyDescent="0.25">
      <c r="A158" s="4" t="str">
        <f ca="1">IFERROR(__xludf.DUMMYFUNCTION("""COMPUTED_VALUE"""),"Công ty TNHH Kiểm toán DFK Việt Nam")</f>
        <v>Công ty TNHH Kiểm toán DFK Việt Nam</v>
      </c>
      <c r="B158" s="4" t="str">
        <f ca="1">IFERROR(__xludf.DUMMYFUNCTION("""COMPUTED_VALUE"""),"Lê Huy Bình")</f>
        <v>Lê Huy Bình</v>
      </c>
      <c r="C158" s="4" t="str">
        <f ca="1">IFERROR(__xludf.DUMMYFUNCTION("""COMPUTED_VALUE"""),"Nam")</f>
        <v>Nam</v>
      </c>
      <c r="D158" s="4" t="str">
        <f ca="1">IFERROR(__xludf.DUMMYFUNCTION("""COMPUTED_VALUE"""),"Sau đại học, Chứng chỉ Kiểm toán viên")</f>
        <v>Sau đại học, Chứng chỉ Kiểm toán viên</v>
      </c>
      <c r="E158" s="4" t="str">
        <f ca="1">IFERROR(__xludf.DUMMYFUNCTION("""COMPUTED_VALUE"""),"Trên 10 đến 15 năm")</f>
        <v>Trên 10 đến 15 năm</v>
      </c>
      <c r="F158" s="4" t="str">
        <f ca="1">IFERROR(__xludf.DUMMYFUNCTION("""COMPUTED_VALUE"""),"Trưởng phòng")</f>
        <v>Trưởng phòng</v>
      </c>
    </row>
    <row r="159" spans="1:6" x14ac:dyDescent="0.25">
      <c r="A159" s="4" t="str">
        <f ca="1">IFERROR(__xludf.DUMMYFUNCTION("""COMPUTED_VALUE"""),"Công ty TNHH Kiểm toán DFK Việt Nam")</f>
        <v>Công ty TNHH Kiểm toán DFK Việt Nam</v>
      </c>
      <c r="B159" s="4" t="str">
        <f ca="1">IFERROR(__xludf.DUMMYFUNCTION("""COMPUTED_VALUE"""),"Trịnh Hồng Khánh")</f>
        <v>Trịnh Hồng Khánh</v>
      </c>
      <c r="C159" s="4" t="str">
        <f ca="1">IFERROR(__xludf.DUMMYFUNCTION("""COMPUTED_VALUE"""),"Nam")</f>
        <v>Nam</v>
      </c>
      <c r="D159" s="4" t="str">
        <f ca="1">IFERROR(__xludf.DUMMYFUNCTION("""COMPUTED_VALUE"""),"Đại học, Chứng chỉ Kiểm toán viên")</f>
        <v>Đại học, Chứng chỉ Kiểm toán viên</v>
      </c>
      <c r="E159" s="4" t="str">
        <f ca="1">IFERROR(__xludf.DUMMYFUNCTION("""COMPUTED_VALUE"""),"Trên 15 đến 20 năm")</f>
        <v>Trên 15 đến 20 năm</v>
      </c>
      <c r="F159" s="4" t="str">
        <f ca="1">IFERROR(__xludf.DUMMYFUNCTION("""COMPUTED_VALUE"""),"Ban giám đốc")</f>
        <v>Ban giám đốc</v>
      </c>
    </row>
    <row r="160" spans="1:6" x14ac:dyDescent="0.25">
      <c r="A160" s="4" t="str">
        <f ca="1">IFERROR(__xludf.DUMMYFUNCTION("""COMPUTED_VALUE"""),"Công ty TNHH Kiểm toán DFK Việt Nam")</f>
        <v>Công ty TNHH Kiểm toán DFK Việt Nam</v>
      </c>
      <c r="B160" s="4" t="str">
        <f ca="1">IFERROR(__xludf.DUMMYFUNCTION("""COMPUTED_VALUE"""),"Đào Thị Thu Huyền")</f>
        <v>Đào Thị Thu Huyền</v>
      </c>
      <c r="C160" s="4" t="str">
        <f ca="1">IFERROR(__xludf.DUMMYFUNCTION("""COMPUTED_VALUE"""),"Nữ")</f>
        <v>Nữ</v>
      </c>
      <c r="D160" s="4" t="str">
        <f ca="1">IFERROR(__xludf.DUMMYFUNCTION("""COMPUTED_VALUE"""),"Sau đại học")</f>
        <v>Sau đại học</v>
      </c>
      <c r="E160" s="4" t="str">
        <f ca="1">IFERROR(__xludf.DUMMYFUNCTION("""COMPUTED_VALUE"""),"Từ 3 đến 5 năm")</f>
        <v>Từ 3 đến 5 năm</v>
      </c>
      <c r="F160" s="4" t="str">
        <f ca="1">IFERROR(__xludf.DUMMYFUNCTION("""COMPUTED_VALUE"""),"Trợ lý kiểm toán")</f>
        <v>Trợ lý kiểm toán</v>
      </c>
    </row>
    <row r="161" spans="1:6" x14ac:dyDescent="0.25">
      <c r="A161" s="4" t="str">
        <f ca="1">IFERROR(__xludf.DUMMYFUNCTION("""COMPUTED_VALUE"""),"Công ty TNHH Kiểm toán DFK Việt Nam")</f>
        <v>Công ty TNHH Kiểm toán DFK Việt Nam</v>
      </c>
      <c r="B161" s="4" t="str">
        <f ca="1">IFERROR(__xludf.DUMMYFUNCTION("""COMPUTED_VALUE"""),"Nguyễn Thị Phương Anh")</f>
        <v>Nguyễn Thị Phương Anh</v>
      </c>
      <c r="C161" s="4" t="str">
        <f ca="1">IFERROR(__xludf.DUMMYFUNCTION("""COMPUTED_VALUE"""),"Nữ")</f>
        <v>Nữ</v>
      </c>
      <c r="D161" s="4" t="str">
        <f ca="1">IFERROR(__xludf.DUMMYFUNCTION("""COMPUTED_VALUE"""),"Đại học")</f>
        <v>Đại học</v>
      </c>
      <c r="E161" s="4" t="str">
        <f ca="1">IFERROR(__xludf.DUMMYFUNCTION("""COMPUTED_VALUE"""),"Từ 3 đến 5 năm")</f>
        <v>Từ 3 đến 5 năm</v>
      </c>
      <c r="F161" s="4" t="str">
        <f ca="1">IFERROR(__xludf.DUMMYFUNCTION("""COMPUTED_VALUE"""),"Trợ lý kiểm toán")</f>
        <v>Trợ lý kiểm toán</v>
      </c>
    </row>
    <row r="162" spans="1:6" x14ac:dyDescent="0.25">
      <c r="A162" s="4" t="str">
        <f ca="1">IFERROR(__xludf.DUMMYFUNCTION("""COMPUTED_VALUE"""),"Công ty TNHH Kiểm toán DFK Việt Nam")</f>
        <v>Công ty TNHH Kiểm toán DFK Việt Nam</v>
      </c>
      <c r="B162" s="4" t="str">
        <f ca="1">IFERROR(__xludf.DUMMYFUNCTION("""COMPUTED_VALUE"""),"Lê Thị Huyền Trang")</f>
        <v>Lê Thị Huyền Trang</v>
      </c>
      <c r="C162" s="4" t="str">
        <f ca="1">IFERROR(__xludf.DUMMYFUNCTION("""COMPUTED_VALUE"""),"Nữ")</f>
        <v>Nữ</v>
      </c>
      <c r="D162" s="4" t="str">
        <f ca="1">IFERROR(__xludf.DUMMYFUNCTION("""COMPUTED_VALUE"""),"Sau đại học")</f>
        <v>Sau đại học</v>
      </c>
      <c r="E162" s="4" t="str">
        <f ca="1">IFERROR(__xludf.DUMMYFUNCTION("""COMPUTED_VALUE"""),"Từ 3 đến 5 năm")</f>
        <v>Từ 3 đến 5 năm</v>
      </c>
      <c r="F162" s="4" t="str">
        <f ca="1">IFERROR(__xludf.DUMMYFUNCTION("""COMPUTED_VALUE"""),"Trợ lý kiểm toán")</f>
        <v>Trợ lý kiểm toán</v>
      </c>
    </row>
    <row r="163" spans="1:6" x14ac:dyDescent="0.25">
      <c r="A163" s="4" t="str">
        <f ca="1">IFERROR(__xludf.DUMMYFUNCTION("""COMPUTED_VALUE"""),"Công ty TNHH Kiểm toán DFK Việt Nam")</f>
        <v>Công ty TNHH Kiểm toán DFK Việt Nam</v>
      </c>
      <c r="B163" s="4" t="str">
        <f ca="1">IFERROR(__xludf.DUMMYFUNCTION("""COMPUTED_VALUE"""),"TRẦN NGUYỄN PHÚC GIA")</f>
        <v>TRẦN NGUYỄN PHÚC GIA</v>
      </c>
      <c r="C163" s="4" t="str">
        <f ca="1">IFERROR(__xludf.DUMMYFUNCTION("""COMPUTED_VALUE"""),"Nữ")</f>
        <v>Nữ</v>
      </c>
      <c r="D163" s="4" t="str">
        <f ca="1">IFERROR(__xludf.DUMMYFUNCTION("""COMPUTED_VALUE"""),"Đại học")</f>
        <v>Đại học</v>
      </c>
      <c r="E163" s="4" t="str">
        <f ca="1">IFERROR(__xludf.DUMMYFUNCTION("""COMPUTED_VALUE"""),"Từ 3 đến 5 năm")</f>
        <v>Từ 3 đến 5 năm</v>
      </c>
      <c r="F163" s="4" t="str">
        <f ca="1">IFERROR(__xludf.DUMMYFUNCTION("""COMPUTED_VALUE"""),"Trợ lý kiểm toán")</f>
        <v>Trợ lý kiểm toán</v>
      </c>
    </row>
    <row r="164" spans="1:6" x14ac:dyDescent="0.25">
      <c r="A164" s="4" t="str">
        <f ca="1">IFERROR(__xludf.DUMMYFUNCTION("""COMPUTED_VALUE"""),"Công ty TNHH Kiểm toán DFK Việt Nam")</f>
        <v>Công ty TNHH Kiểm toán DFK Việt Nam</v>
      </c>
      <c r="B164" s="4" t="str">
        <f ca="1">IFERROR(__xludf.DUMMYFUNCTION("""COMPUTED_VALUE"""),"Hoàng Gia")</f>
        <v>Hoàng Gia</v>
      </c>
      <c r="C164" s="4" t="str">
        <f ca="1">IFERROR(__xludf.DUMMYFUNCTION("""COMPUTED_VALUE"""),"Nữ")</f>
        <v>Nữ</v>
      </c>
      <c r="D164" s="4" t="str">
        <f ca="1">IFERROR(__xludf.DUMMYFUNCTION("""COMPUTED_VALUE"""),"Đại học")</f>
        <v>Đại học</v>
      </c>
      <c r="E164" s="4" t="str">
        <f ca="1">IFERROR(__xludf.DUMMYFUNCTION("""COMPUTED_VALUE"""),"Từ 3 đến 5 năm")</f>
        <v>Từ 3 đến 5 năm</v>
      </c>
      <c r="F164" s="4" t="str">
        <f ca="1">IFERROR(__xludf.DUMMYFUNCTION("""COMPUTED_VALUE"""),"Trợ lý kiểm toán")</f>
        <v>Trợ lý kiểm toán</v>
      </c>
    </row>
    <row r="165" spans="1:6" x14ac:dyDescent="0.25">
      <c r="A165" s="4" t="str">
        <f ca="1">IFERROR(__xludf.DUMMYFUNCTION("""COMPUTED_VALUE"""),"Công ty TNHH Kiểm toán DFK Việt Nam")</f>
        <v>Công ty TNHH Kiểm toán DFK Việt Nam</v>
      </c>
      <c r="B165" s="4" t="str">
        <f ca="1">IFERROR(__xludf.DUMMYFUNCTION("""COMPUTED_VALUE"""),"Trần Văn Sâm")</f>
        <v>Trần Văn Sâm</v>
      </c>
      <c r="C165" s="4" t="str">
        <f ca="1">IFERROR(__xludf.DUMMYFUNCTION("""COMPUTED_VALUE"""),"Nam")</f>
        <v>Nam</v>
      </c>
      <c r="D165" s="4" t="str">
        <f ca="1">IFERROR(__xludf.DUMMYFUNCTION("""COMPUTED_VALUE"""),"Đại học")</f>
        <v>Đại học</v>
      </c>
      <c r="E165" s="4" t="str">
        <f ca="1">IFERROR(__xludf.DUMMYFUNCTION("""COMPUTED_VALUE"""),"Từ 3 đến 5 năm")</f>
        <v>Từ 3 đến 5 năm</v>
      </c>
      <c r="F165" s="4" t="str">
        <f ca="1">IFERROR(__xludf.DUMMYFUNCTION("""COMPUTED_VALUE"""),"Trợ lý kiểm toán")</f>
        <v>Trợ lý kiểm toán</v>
      </c>
    </row>
    <row r="166" spans="1:6" x14ac:dyDescent="0.25">
      <c r="A166" s="4" t="str">
        <f ca="1">IFERROR(__xludf.DUMMYFUNCTION("""COMPUTED_VALUE"""),"Công ty TNHH Kiểm toán DFK Việt Nam")</f>
        <v>Công ty TNHH Kiểm toán DFK Việt Nam</v>
      </c>
      <c r="B166" s="4" t="str">
        <f ca="1">IFERROR(__xludf.DUMMYFUNCTION("""COMPUTED_VALUE"""),"Lê Thị Quỳnh Như")</f>
        <v>Lê Thị Quỳnh Như</v>
      </c>
      <c r="C166" s="4" t="str">
        <f ca="1">IFERROR(__xludf.DUMMYFUNCTION("""COMPUTED_VALUE"""),"Nữ")</f>
        <v>Nữ</v>
      </c>
      <c r="D166" s="4" t="str">
        <f ca="1">IFERROR(__xludf.DUMMYFUNCTION("""COMPUTED_VALUE"""),"Đại học")</f>
        <v>Đại học</v>
      </c>
      <c r="E166" s="4" t="str">
        <f ca="1">IFERROR(__xludf.DUMMYFUNCTION("""COMPUTED_VALUE"""),"Từ 3 đến 5 năm")</f>
        <v>Từ 3 đến 5 năm</v>
      </c>
      <c r="F166" s="4" t="str">
        <f ca="1">IFERROR(__xludf.DUMMYFUNCTION("""COMPUTED_VALUE"""),"Trợ lý kiểm toán")</f>
        <v>Trợ lý kiểm toán</v>
      </c>
    </row>
    <row r="167" spans="1:6" x14ac:dyDescent="0.25">
      <c r="A167" s="4" t="str">
        <f ca="1">IFERROR(__xludf.DUMMYFUNCTION("""COMPUTED_VALUE"""),"Công ty TNHH Kiểm toán DTH Việt Nam")</f>
        <v>Công ty TNHH Kiểm toán DTH Việt Nam</v>
      </c>
      <c r="B167" s="4" t="str">
        <f ca="1">IFERROR(__xludf.DUMMYFUNCTION("""COMPUTED_VALUE"""),"Lê Hải Ngân")</f>
        <v>Lê Hải Ngân</v>
      </c>
      <c r="C167" s="4" t="str">
        <f ca="1">IFERROR(__xludf.DUMMYFUNCTION("""COMPUTED_VALUE"""),"Nữ")</f>
        <v>Nữ</v>
      </c>
      <c r="D167" s="4" t="str">
        <f ca="1">IFERROR(__xludf.DUMMYFUNCTION("""COMPUTED_VALUE"""),"Đại học")</f>
        <v>Đại học</v>
      </c>
      <c r="E167" s="4" t="str">
        <f ca="1">IFERROR(__xludf.DUMMYFUNCTION("""COMPUTED_VALUE"""),"Từ 3 đến 5 năm")</f>
        <v>Từ 3 đến 5 năm</v>
      </c>
      <c r="F167" s="4" t="str">
        <f ca="1">IFERROR(__xludf.DUMMYFUNCTION("""COMPUTED_VALUE"""),"Trợ lý kiểm toán")</f>
        <v>Trợ lý kiểm toán</v>
      </c>
    </row>
    <row r="168" spans="1:6" x14ac:dyDescent="0.25">
      <c r="A168" s="4" t="str">
        <f ca="1">IFERROR(__xludf.DUMMYFUNCTION("""COMPUTED_VALUE"""),"Công ty TNHH Kiểm toán ES-(Đổi tên từ Công ty TNHH Kiểm toán ES -Glocal)")</f>
        <v>Công ty TNHH Kiểm toán ES-(Đổi tên từ Công ty TNHH Kiểm toán ES -Glocal)</v>
      </c>
      <c r="B168" s="4" t="str">
        <f ca="1">IFERROR(__xludf.DUMMYFUNCTION("""COMPUTED_VALUE"""),"Phạm Minh Hằng")</f>
        <v>Phạm Minh Hằng</v>
      </c>
      <c r="C168" s="4" t="str">
        <f ca="1">IFERROR(__xludf.DUMMYFUNCTION("""COMPUTED_VALUE"""),"Nữ")</f>
        <v>Nữ</v>
      </c>
      <c r="D168" s="4" t="str">
        <f ca="1">IFERROR(__xludf.DUMMYFUNCTION("""COMPUTED_VALUE"""),"Đại học")</f>
        <v>Đại học</v>
      </c>
      <c r="E168" s="4" t="str">
        <f ca="1">IFERROR(__xludf.DUMMYFUNCTION("""COMPUTED_VALUE"""),"Từ 3 đến 5 năm")</f>
        <v>Từ 3 đến 5 năm</v>
      </c>
      <c r="F168" s="4" t="str">
        <f ca="1">IFERROR(__xludf.DUMMYFUNCTION("""COMPUTED_VALUE"""),"Trợ lý kiểm toán")</f>
        <v>Trợ lý kiểm toán</v>
      </c>
    </row>
    <row r="169" spans="1:6" x14ac:dyDescent="0.25">
      <c r="A169" s="4" t="str">
        <f ca="1">IFERROR(__xludf.DUMMYFUNCTION("""COMPUTED_VALUE"""),"Công ty TNHH Kiểm toán ES-(Đổi tên từ Công ty TNHH Kiểm toán ES -Glocal)")</f>
        <v>Công ty TNHH Kiểm toán ES-(Đổi tên từ Công ty TNHH Kiểm toán ES -Glocal)</v>
      </c>
      <c r="B169" s="4" t="str">
        <f ca="1">IFERROR(__xludf.DUMMYFUNCTION("""COMPUTED_VALUE"""),"hai.nguyen@es.com.vn")</f>
        <v>hai.nguyen@es.com.vn</v>
      </c>
      <c r="C169" s="4" t="str">
        <f ca="1">IFERROR(__xludf.DUMMYFUNCTION("""COMPUTED_VALUE"""),"Nam")</f>
        <v>Nam</v>
      </c>
      <c r="D169" s="4" t="str">
        <f ca="1">IFERROR(__xludf.DUMMYFUNCTION("""COMPUTED_VALUE"""),"Sau đại học, Chứng chỉ Kiểm toán viên")</f>
        <v>Sau đại học, Chứng chỉ Kiểm toán viên</v>
      </c>
      <c r="E169" s="4" t="str">
        <f ca="1">IFERROR(__xludf.DUMMYFUNCTION("""COMPUTED_VALUE"""),"Trên 10 đến 15 năm")</f>
        <v>Trên 10 đến 15 năm</v>
      </c>
      <c r="F169" s="4" t="str">
        <f ca="1">IFERROR(__xludf.DUMMYFUNCTION("""COMPUTED_VALUE"""),"Ban giám đốc")</f>
        <v>Ban giám đốc</v>
      </c>
    </row>
    <row r="170" spans="1:6" x14ac:dyDescent="0.25">
      <c r="A170" s="4" t="str">
        <f ca="1">IFERROR(__xludf.DUMMYFUNCTION("""COMPUTED_VALUE"""),"Công ty TNHH Kiểm toán ES-(Đổi tên từ Công ty TNHH Kiểm toán ES -Glocal)")</f>
        <v>Công ty TNHH Kiểm toán ES-(Đổi tên từ Công ty TNHH Kiểm toán ES -Glocal)</v>
      </c>
      <c r="B170" s="4" t="str">
        <f ca="1">IFERROR(__xludf.DUMMYFUNCTION("""COMPUTED_VALUE"""),"Hoàng Đức")</f>
        <v>Hoàng Đức</v>
      </c>
      <c r="C170" s="4" t="str">
        <f ca="1">IFERROR(__xludf.DUMMYFUNCTION("""COMPUTED_VALUE"""),"Nam")</f>
        <v>Nam</v>
      </c>
      <c r="D170" s="4" t="str">
        <f ca="1">IFERROR(__xludf.DUMMYFUNCTION("""COMPUTED_VALUE"""),"Đại học")</f>
        <v>Đại học</v>
      </c>
      <c r="E170" s="4" t="str">
        <f ca="1">IFERROR(__xludf.DUMMYFUNCTION("""COMPUTED_VALUE"""),"Từ 3 đến 5 năm")</f>
        <v>Từ 3 đến 5 năm</v>
      </c>
      <c r="F170" s="4" t="str">
        <f ca="1">IFERROR(__xludf.DUMMYFUNCTION("""COMPUTED_VALUE"""),"Trợ lý kiểm toán")</f>
        <v>Trợ lý kiểm toán</v>
      </c>
    </row>
    <row r="171" spans="1:6" x14ac:dyDescent="0.25">
      <c r="A171" s="4" t="str">
        <f ca="1">IFERROR(__xludf.DUMMYFUNCTION("""COMPUTED_VALUE"""),"Công ty TNHH Kiểm toán ES-(Đổi tên từ Công ty TNHH Kiểm toán ES -Glocal)")</f>
        <v>Công ty TNHH Kiểm toán ES-(Đổi tên từ Công ty TNHH Kiểm toán ES -Glocal)</v>
      </c>
      <c r="B171" s="4" t="str">
        <f ca="1">IFERROR(__xludf.DUMMYFUNCTION("""COMPUTED_VALUE"""),"Đoàn Thị Nhàn")</f>
        <v>Đoàn Thị Nhàn</v>
      </c>
      <c r="C171" s="4" t="str">
        <f ca="1">IFERROR(__xludf.DUMMYFUNCTION("""COMPUTED_VALUE"""),"Nữ")</f>
        <v>Nữ</v>
      </c>
      <c r="D171" s="4" t="str">
        <f ca="1">IFERROR(__xludf.DUMMYFUNCTION("""COMPUTED_VALUE"""),"Đại học")</f>
        <v>Đại học</v>
      </c>
      <c r="E171" s="4" t="str">
        <f ca="1">IFERROR(__xludf.DUMMYFUNCTION("""COMPUTED_VALUE"""),"Từ 3 đến 5 năm")</f>
        <v>Từ 3 đến 5 năm</v>
      </c>
      <c r="F171" s="4" t="str">
        <f ca="1">IFERROR(__xludf.DUMMYFUNCTION("""COMPUTED_VALUE"""),"Trợ lý kiểm toán")</f>
        <v>Trợ lý kiểm toán</v>
      </c>
    </row>
    <row r="172" spans="1:6" x14ac:dyDescent="0.25">
      <c r="A172" s="4" t="str">
        <f ca="1">IFERROR(__xludf.DUMMYFUNCTION("""COMPUTED_VALUE"""),"Công ty TNHH Kiểm toán ES-(Đổi tên từ Công ty TNHH Kiểm toán ES -Glocal)")</f>
        <v>Công ty TNHH Kiểm toán ES-(Đổi tên từ Công ty TNHH Kiểm toán ES -Glocal)</v>
      </c>
      <c r="B172" s="4" t="str">
        <f ca="1">IFERROR(__xludf.DUMMYFUNCTION("""COMPUTED_VALUE"""),"Nguyễn Diệu Linh")</f>
        <v>Nguyễn Diệu Linh</v>
      </c>
      <c r="C172" s="4" t="str">
        <f ca="1">IFERROR(__xludf.DUMMYFUNCTION("""COMPUTED_VALUE"""),"Nữ")</f>
        <v>Nữ</v>
      </c>
      <c r="D172" s="4" t="str">
        <f ca="1">IFERROR(__xludf.DUMMYFUNCTION("""COMPUTED_VALUE"""),"Đại học")</f>
        <v>Đại học</v>
      </c>
      <c r="E172" s="4" t="str">
        <f ca="1">IFERROR(__xludf.DUMMYFUNCTION("""COMPUTED_VALUE"""),"Từ 3 đến 5 năm")</f>
        <v>Từ 3 đến 5 năm</v>
      </c>
      <c r="F172" s="4" t="str">
        <f ca="1">IFERROR(__xludf.DUMMYFUNCTION("""COMPUTED_VALUE"""),"Trợ lý kiểm toán")</f>
        <v>Trợ lý kiểm toán</v>
      </c>
    </row>
    <row r="173" spans="1:6" x14ac:dyDescent="0.25">
      <c r="A173" s="4" t="str">
        <f ca="1">IFERROR(__xludf.DUMMYFUNCTION("""COMPUTED_VALUE"""),"Công ty TNHH Kiểm toán ES-(Đổi tên từ Công ty TNHH Kiểm toán ES -Glocal)")</f>
        <v>Công ty TNHH Kiểm toán ES-(Đổi tên từ Công ty TNHH Kiểm toán ES -Glocal)</v>
      </c>
      <c r="B173" s="4" t="str">
        <f ca="1">IFERROR(__xludf.DUMMYFUNCTION("""COMPUTED_VALUE"""),"Đỗ Hoàng Mai Hương")</f>
        <v>Đỗ Hoàng Mai Hương</v>
      </c>
      <c r="C173" s="4" t="str">
        <f ca="1">IFERROR(__xludf.DUMMYFUNCTION("""COMPUTED_VALUE"""),"Nữ")</f>
        <v>Nữ</v>
      </c>
      <c r="D173" s="4" t="str">
        <f ca="1">IFERROR(__xludf.DUMMYFUNCTION("""COMPUTED_VALUE"""),"Đại học")</f>
        <v>Đại học</v>
      </c>
      <c r="E173" s="4" t="str">
        <f ca="1">IFERROR(__xludf.DUMMYFUNCTION("""COMPUTED_VALUE"""),"Từ 3 đến 5 năm")</f>
        <v>Từ 3 đến 5 năm</v>
      </c>
      <c r="F173" s="4" t="str">
        <f ca="1">IFERROR(__xludf.DUMMYFUNCTION("""COMPUTED_VALUE"""),"Trợ lý kiểm toán")</f>
        <v>Trợ lý kiểm toán</v>
      </c>
    </row>
    <row r="174" spans="1:6" x14ac:dyDescent="0.25">
      <c r="A174" s="4" t="str">
        <f ca="1">IFERROR(__xludf.DUMMYFUNCTION("""COMPUTED_VALUE"""),"Công ty TNHH Kiểm toán ES-(Đổi tên từ Công ty TNHH Kiểm toán ES -Glocal)")</f>
        <v>Công ty TNHH Kiểm toán ES-(Đổi tên từ Công ty TNHH Kiểm toán ES -Glocal)</v>
      </c>
      <c r="B174" s="4" t="str">
        <f ca="1">IFERROR(__xludf.DUMMYFUNCTION("""COMPUTED_VALUE"""),"Thạch Hoàng Lâm Phúc")</f>
        <v>Thạch Hoàng Lâm Phúc</v>
      </c>
      <c r="C174" s="4" t="str">
        <f ca="1">IFERROR(__xludf.DUMMYFUNCTION("""COMPUTED_VALUE"""),"Nam")</f>
        <v>Nam</v>
      </c>
      <c r="D174" s="4" t="str">
        <f ca="1">IFERROR(__xludf.DUMMYFUNCTION("""COMPUTED_VALUE"""),"Đại học")</f>
        <v>Đại học</v>
      </c>
      <c r="E174" s="4" t="str">
        <f ca="1">IFERROR(__xludf.DUMMYFUNCTION("""COMPUTED_VALUE"""),"Từ 3 đến 5 năm")</f>
        <v>Từ 3 đến 5 năm</v>
      </c>
      <c r="F174" s="4" t="str">
        <f ca="1">IFERROR(__xludf.DUMMYFUNCTION("""COMPUTED_VALUE"""),"Trợ lý kiểm toán")</f>
        <v>Trợ lý kiểm toán</v>
      </c>
    </row>
    <row r="175" spans="1:6" x14ac:dyDescent="0.25">
      <c r="A175" s="4" t="str">
        <f ca="1">IFERROR(__xludf.DUMMYFUNCTION("""COMPUTED_VALUE"""),"Công ty TNHH Kiểm toán FAC")</f>
        <v>Công ty TNHH Kiểm toán FAC</v>
      </c>
      <c r="B175" s="4" t="str">
        <f ca="1">IFERROR(__xludf.DUMMYFUNCTION("""COMPUTED_VALUE"""),"Nguyễn Thành Đại")</f>
        <v>Nguyễn Thành Đại</v>
      </c>
      <c r="C175" s="4" t="str">
        <f ca="1">IFERROR(__xludf.DUMMYFUNCTION("""COMPUTED_VALUE"""),"Nam")</f>
        <v>Nam</v>
      </c>
      <c r="D175" s="4" t="str">
        <f ca="1">IFERROR(__xludf.DUMMYFUNCTION("""COMPUTED_VALUE"""),"Chứng chỉ Kiểm toán viên")</f>
        <v>Chứng chỉ Kiểm toán viên</v>
      </c>
      <c r="E175" s="4" t="str">
        <f ca="1">IFERROR(__xludf.DUMMYFUNCTION("""COMPUTED_VALUE"""),"Trên 5 đến 10 năm")</f>
        <v>Trên 5 đến 10 năm</v>
      </c>
      <c r="F175" s="4" t="str">
        <f ca="1">IFERROR(__xludf.DUMMYFUNCTION("""COMPUTED_VALUE"""),"Kiểm toán viên/Trưởng nhóm")</f>
        <v>Kiểm toán viên/Trưởng nhóm</v>
      </c>
    </row>
    <row r="176" spans="1:6" x14ac:dyDescent="0.25">
      <c r="A176" s="4" t="str">
        <f ca="1">IFERROR(__xludf.DUMMYFUNCTION("""COMPUTED_VALUE"""),"Công ty TNHH Kiểm toán FAC")</f>
        <v>Công ty TNHH Kiểm toán FAC</v>
      </c>
      <c r="B176" s="4" t="str">
        <f ca="1">IFERROR(__xludf.DUMMYFUNCTION("""COMPUTED_VALUE"""),"Nguyễn Quang Thông")</f>
        <v>Nguyễn Quang Thông</v>
      </c>
      <c r="C176" s="4" t="str">
        <f ca="1">IFERROR(__xludf.DUMMYFUNCTION("""COMPUTED_VALUE"""),"Nam")</f>
        <v>Nam</v>
      </c>
      <c r="D176" s="4" t="str">
        <f ca="1">IFERROR(__xludf.DUMMYFUNCTION("""COMPUTED_VALUE"""),"Đại học, Chứng chỉ Kiểm toán viên")</f>
        <v>Đại học, Chứng chỉ Kiểm toán viên</v>
      </c>
      <c r="E176" s="4" t="str">
        <f ca="1">IFERROR(__xludf.DUMMYFUNCTION("""COMPUTED_VALUE"""),"Trên 10 đến 15 năm")</f>
        <v>Trên 10 đến 15 năm</v>
      </c>
      <c r="F176" s="4" t="str">
        <f ca="1">IFERROR(__xludf.DUMMYFUNCTION("""COMPUTED_VALUE"""),"Kiểm toán viên/Trưởng nhóm")</f>
        <v>Kiểm toán viên/Trưởng nhóm</v>
      </c>
    </row>
    <row r="177" spans="1:6" x14ac:dyDescent="0.25">
      <c r="A177" s="4" t="str">
        <f ca="1">IFERROR(__xludf.DUMMYFUNCTION("""COMPUTED_VALUE"""),"Công ty TNHH Kiểm toán FAC")</f>
        <v>Công ty TNHH Kiểm toán FAC</v>
      </c>
      <c r="B177" s="4" t="str">
        <f ca="1">IFERROR(__xludf.DUMMYFUNCTION("""COMPUTED_VALUE"""),"Đào Thị Ngọc Tuyền")</f>
        <v>Đào Thị Ngọc Tuyền</v>
      </c>
      <c r="C177" s="4" t="str">
        <f ca="1">IFERROR(__xludf.DUMMYFUNCTION("""COMPUTED_VALUE"""),"Nữ")</f>
        <v>Nữ</v>
      </c>
      <c r="D177" s="4" t="str">
        <f ca="1">IFERROR(__xludf.DUMMYFUNCTION("""COMPUTED_VALUE"""),"Đại học")</f>
        <v>Đại học</v>
      </c>
      <c r="E177" s="4" t="str">
        <f ca="1">IFERROR(__xludf.DUMMYFUNCTION("""COMPUTED_VALUE"""),"Trên 5 đến 10 năm")</f>
        <v>Trên 5 đến 10 năm</v>
      </c>
      <c r="F177" s="4" t="str">
        <f ca="1">IFERROR(__xludf.DUMMYFUNCTION("""COMPUTED_VALUE"""),"Trợ lý kiểm toán")</f>
        <v>Trợ lý kiểm toán</v>
      </c>
    </row>
    <row r="178" spans="1:6" x14ac:dyDescent="0.25">
      <c r="A178" s="4" t="str">
        <f ca="1">IFERROR(__xludf.DUMMYFUNCTION("""COMPUTED_VALUE"""),"Công ty TNHH Kiểm toán FAC")</f>
        <v>Công ty TNHH Kiểm toán FAC</v>
      </c>
      <c r="B178" s="4"/>
      <c r="C178" s="4" t="str">
        <f ca="1">IFERROR(__xludf.DUMMYFUNCTION("""COMPUTED_VALUE"""),"Nữ")</f>
        <v>Nữ</v>
      </c>
      <c r="D178" s="4" t="str">
        <f ca="1">IFERROR(__xludf.DUMMYFUNCTION("""COMPUTED_VALUE"""),"Đại học")</f>
        <v>Đại học</v>
      </c>
      <c r="E178" s="4" t="str">
        <f ca="1">IFERROR(__xludf.DUMMYFUNCTION("""COMPUTED_VALUE"""),"Trên 10 đến 15 năm")</f>
        <v>Trên 10 đến 15 năm</v>
      </c>
      <c r="F178" s="4" t="str">
        <f ca="1">IFERROR(__xludf.DUMMYFUNCTION("""COMPUTED_VALUE"""),"Trợ lý kiểm toán")</f>
        <v>Trợ lý kiểm toán</v>
      </c>
    </row>
    <row r="179" spans="1:6" x14ac:dyDescent="0.25">
      <c r="A179" s="4" t="str">
        <f ca="1">IFERROR(__xludf.DUMMYFUNCTION("""COMPUTED_VALUE"""),"Công ty TNHH Kiểm toán FAC")</f>
        <v>Công ty TNHH Kiểm toán FAC</v>
      </c>
      <c r="B179" s="4"/>
      <c r="C179" s="4" t="str">
        <f ca="1">IFERROR(__xludf.DUMMYFUNCTION("""COMPUTED_VALUE"""),"Nữ")</f>
        <v>Nữ</v>
      </c>
      <c r="D179" s="4" t="str">
        <f ca="1">IFERROR(__xludf.DUMMYFUNCTION("""COMPUTED_VALUE"""),"Đại học")</f>
        <v>Đại học</v>
      </c>
      <c r="E179" s="4" t="str">
        <f ca="1">IFERROR(__xludf.DUMMYFUNCTION("""COMPUTED_VALUE"""),"Từ 3 đến 5 năm")</f>
        <v>Từ 3 đến 5 năm</v>
      </c>
      <c r="F179" s="4" t="str">
        <f ca="1">IFERROR(__xludf.DUMMYFUNCTION("""COMPUTED_VALUE"""),"Trợ lý kiểm toán")</f>
        <v>Trợ lý kiểm toán</v>
      </c>
    </row>
    <row r="180" spans="1:6" x14ac:dyDescent="0.25">
      <c r="A180" s="4" t="str">
        <f ca="1">IFERROR(__xludf.DUMMYFUNCTION("""COMPUTED_VALUE"""),"Công ty TNHH Kiểm toán FAC")</f>
        <v>Công ty TNHH Kiểm toán FAC</v>
      </c>
      <c r="B180" s="4" t="str">
        <f ca="1">IFERROR(__xludf.DUMMYFUNCTION("""COMPUTED_VALUE"""),"Bùi Thị Trang Đài")</f>
        <v>Bùi Thị Trang Đài</v>
      </c>
      <c r="C180" s="4" t="str">
        <f ca="1">IFERROR(__xludf.DUMMYFUNCTION("""COMPUTED_VALUE"""),"Nữ")</f>
        <v>Nữ</v>
      </c>
      <c r="D180" s="4" t="str">
        <f ca="1">IFERROR(__xludf.DUMMYFUNCTION("""COMPUTED_VALUE"""),"Chứng chỉ Kiểm toán viên")</f>
        <v>Chứng chỉ Kiểm toán viên</v>
      </c>
      <c r="E180" s="4" t="str">
        <f ca="1">IFERROR(__xludf.DUMMYFUNCTION("""COMPUTED_VALUE"""),"Trên 10 đến 15 năm")</f>
        <v>Trên 10 đến 15 năm</v>
      </c>
      <c r="F180" s="4" t="str">
        <f ca="1">IFERROR(__xludf.DUMMYFUNCTION("""COMPUTED_VALUE"""),"Kiểm toán viên/Trưởng nhóm")</f>
        <v>Kiểm toán viên/Trưởng nhóm</v>
      </c>
    </row>
    <row r="181" spans="1:6" x14ac:dyDescent="0.25">
      <c r="A181" s="4" t="str">
        <f ca="1">IFERROR(__xludf.DUMMYFUNCTION("""COMPUTED_VALUE"""),"Công ty TNHH Kiểm toán FAC")</f>
        <v>Công ty TNHH Kiểm toán FAC</v>
      </c>
      <c r="B181" s="4" t="str">
        <f ca="1">IFERROR(__xludf.DUMMYFUNCTION("""COMPUTED_VALUE"""),"Nguyễn Minh Huy")</f>
        <v>Nguyễn Minh Huy</v>
      </c>
      <c r="C181" s="4" t="str">
        <f ca="1">IFERROR(__xludf.DUMMYFUNCTION("""COMPUTED_VALUE"""),"Nam")</f>
        <v>Nam</v>
      </c>
      <c r="D181" s="4" t="str">
        <f ca="1">IFERROR(__xludf.DUMMYFUNCTION("""COMPUTED_VALUE"""),"Đại học, Chứng chỉ Kiểm toán viên")</f>
        <v>Đại học, Chứng chỉ Kiểm toán viên</v>
      </c>
      <c r="E181" s="4" t="str">
        <f ca="1">IFERROR(__xludf.DUMMYFUNCTION("""COMPUTED_VALUE"""),"Trên 15 đến 20 năm")</f>
        <v>Trên 15 đến 20 năm</v>
      </c>
      <c r="F181" s="4" t="str">
        <f ca="1">IFERROR(__xludf.DUMMYFUNCTION("""COMPUTED_VALUE"""),"Ban giám đốc")</f>
        <v>Ban giám đốc</v>
      </c>
    </row>
    <row r="182" spans="1:6" x14ac:dyDescent="0.25">
      <c r="A182" s="4" t="str">
        <f ca="1">IFERROR(__xludf.DUMMYFUNCTION("""COMPUTED_VALUE"""),"Công ty TNHH Kiểm toán FAC")</f>
        <v>Công ty TNHH Kiểm toán FAC</v>
      </c>
      <c r="B182" s="4" t="str">
        <f ca="1">IFERROR(__xludf.DUMMYFUNCTION("""COMPUTED_VALUE"""),"Lê Minh Lưu")</f>
        <v>Lê Minh Lưu</v>
      </c>
      <c r="C182" s="4" t="str">
        <f ca="1">IFERROR(__xludf.DUMMYFUNCTION("""COMPUTED_VALUE"""),"Nam")</f>
        <v>Nam</v>
      </c>
      <c r="D182" s="4" t="str">
        <f ca="1">IFERROR(__xludf.DUMMYFUNCTION("""COMPUTED_VALUE"""),"Đại học, Chứng chỉ Kiểm toán viên")</f>
        <v>Đại học, Chứng chỉ Kiểm toán viên</v>
      </c>
      <c r="E182" s="4" t="str">
        <f ca="1">IFERROR(__xludf.DUMMYFUNCTION("""COMPUTED_VALUE"""),"Trên 20 năm")</f>
        <v>Trên 20 năm</v>
      </c>
      <c r="F182" s="4" t="str">
        <f ca="1">IFERROR(__xludf.DUMMYFUNCTION("""COMPUTED_VALUE"""),"Ban giám đốc")</f>
        <v>Ban giám đốc</v>
      </c>
    </row>
    <row r="183" spans="1:6" x14ac:dyDescent="0.25">
      <c r="A183" s="4" t="str">
        <f ca="1">IFERROR(__xludf.DUMMYFUNCTION("""COMPUTED_VALUE"""),"Công ty TNHH Kiểm toán FAC")</f>
        <v>Công ty TNHH Kiểm toán FAC</v>
      </c>
      <c r="B183" s="4" t="str">
        <f ca="1">IFERROR(__xludf.DUMMYFUNCTION("""COMPUTED_VALUE"""),"Nguyễn Thị Thái Khánh")</f>
        <v>Nguyễn Thị Thái Khánh</v>
      </c>
      <c r="C183" s="4" t="str">
        <f ca="1">IFERROR(__xludf.DUMMYFUNCTION("""COMPUTED_VALUE"""),"Nữ")</f>
        <v>Nữ</v>
      </c>
      <c r="D183" s="4" t="str">
        <f ca="1">IFERROR(__xludf.DUMMYFUNCTION("""COMPUTED_VALUE"""),"Đại học")</f>
        <v>Đại học</v>
      </c>
      <c r="E183" s="4" t="str">
        <f ca="1">IFERROR(__xludf.DUMMYFUNCTION("""COMPUTED_VALUE"""),"Trên 5 đến 10 năm")</f>
        <v>Trên 5 đến 10 năm</v>
      </c>
      <c r="F183" s="4" t="str">
        <f ca="1">IFERROR(__xludf.DUMMYFUNCTION("""COMPUTED_VALUE"""),"Trợ lý kiểm toán")</f>
        <v>Trợ lý kiểm toán</v>
      </c>
    </row>
    <row r="184" spans="1:6" x14ac:dyDescent="0.25">
      <c r="A184" s="4" t="str">
        <f ca="1">IFERROR(__xludf.DUMMYFUNCTION("""COMPUTED_VALUE"""),"Công ty TNHH Kiểm toán FAC")</f>
        <v>Công ty TNHH Kiểm toán FAC</v>
      </c>
      <c r="B184" s="4" t="str">
        <f ca="1">IFERROR(__xludf.DUMMYFUNCTION("""COMPUTED_VALUE"""),"Nguyễn Gia Thành")</f>
        <v>Nguyễn Gia Thành</v>
      </c>
      <c r="C184" s="4" t="str">
        <f ca="1">IFERROR(__xludf.DUMMYFUNCTION("""COMPUTED_VALUE"""),"Nam")</f>
        <v>Nam</v>
      </c>
      <c r="D184" s="4" t="str">
        <f ca="1">IFERROR(__xludf.DUMMYFUNCTION("""COMPUTED_VALUE"""),"Đại học, Chứng chỉ Kiểm toán viên")</f>
        <v>Đại học, Chứng chỉ Kiểm toán viên</v>
      </c>
      <c r="E184" s="4" t="str">
        <f ca="1">IFERROR(__xludf.DUMMYFUNCTION("""COMPUTED_VALUE"""),"Trên 10 đến 15 năm")</f>
        <v>Trên 10 đến 15 năm</v>
      </c>
      <c r="F184" s="4" t="str">
        <f ca="1">IFERROR(__xludf.DUMMYFUNCTION("""COMPUTED_VALUE"""),"Trưởng phòng")</f>
        <v>Trưởng phòng</v>
      </c>
    </row>
    <row r="185" spans="1:6" x14ac:dyDescent="0.25">
      <c r="A185" s="4" t="str">
        <f ca="1">IFERROR(__xludf.DUMMYFUNCTION("""COMPUTED_VALUE"""),"Công ty TNHH Kiểm toán FAC")</f>
        <v>Công ty TNHH Kiểm toán FAC</v>
      </c>
      <c r="B185" s="4" t="str">
        <f ca="1">IFERROR(__xludf.DUMMYFUNCTION("""COMPUTED_VALUE"""),"Nguyễn Huỳnh Chính")</f>
        <v>Nguyễn Huỳnh Chính</v>
      </c>
      <c r="C185" s="4" t="str">
        <f ca="1">IFERROR(__xludf.DUMMYFUNCTION("""COMPUTED_VALUE"""),"Nam")</f>
        <v>Nam</v>
      </c>
      <c r="D185" s="4" t="str">
        <f ca="1">IFERROR(__xludf.DUMMYFUNCTION("""COMPUTED_VALUE"""),"Đại học")</f>
        <v>Đại học</v>
      </c>
      <c r="E185" s="4" t="str">
        <f ca="1">IFERROR(__xludf.DUMMYFUNCTION("""COMPUTED_VALUE"""),"Từ 3 đến 5 năm")</f>
        <v>Từ 3 đến 5 năm</v>
      </c>
      <c r="F185" s="4" t="str">
        <f ca="1">IFERROR(__xludf.DUMMYFUNCTION("""COMPUTED_VALUE"""),"Trợ lý kiểm toán")</f>
        <v>Trợ lý kiểm toán</v>
      </c>
    </row>
    <row r="186" spans="1:6" x14ac:dyDescent="0.25">
      <c r="A186" s="4" t="str">
        <f ca="1">IFERROR(__xludf.DUMMYFUNCTION("""COMPUTED_VALUE"""),"Công ty TNHH Kiểm toán FAC")</f>
        <v>Công ty TNHH Kiểm toán FAC</v>
      </c>
      <c r="B186" s="4" t="str">
        <f ca="1">IFERROR(__xludf.DUMMYFUNCTION("""COMPUTED_VALUE"""),"Phạm Duy Phương")</f>
        <v>Phạm Duy Phương</v>
      </c>
      <c r="C186" s="4" t="str">
        <f ca="1">IFERROR(__xludf.DUMMYFUNCTION("""COMPUTED_VALUE"""),"Nam")</f>
        <v>Nam</v>
      </c>
      <c r="D186" s="4" t="str">
        <f ca="1">IFERROR(__xludf.DUMMYFUNCTION("""COMPUTED_VALUE"""),"Sau đại học")</f>
        <v>Sau đại học</v>
      </c>
      <c r="E186" s="4" t="str">
        <f ca="1">IFERROR(__xludf.DUMMYFUNCTION("""COMPUTED_VALUE"""),"Từ 3 đến 5 năm")</f>
        <v>Từ 3 đến 5 năm</v>
      </c>
      <c r="F186" s="4" t="str">
        <f ca="1">IFERROR(__xludf.DUMMYFUNCTION("""COMPUTED_VALUE"""),"Trợ lý kiểm toán")</f>
        <v>Trợ lý kiểm toán</v>
      </c>
    </row>
    <row r="187" spans="1:6" x14ac:dyDescent="0.25">
      <c r="A187" s="4" t="str">
        <f ca="1">IFERROR(__xludf.DUMMYFUNCTION("""COMPUTED_VALUE"""),"Công ty TNHH Kiểm toán FAC")</f>
        <v>Công ty TNHH Kiểm toán FAC</v>
      </c>
      <c r="B187" s="4" t="str">
        <f ca="1">IFERROR(__xludf.DUMMYFUNCTION("""COMPUTED_VALUE"""),"Đặng Thành Lâm")</f>
        <v>Đặng Thành Lâm</v>
      </c>
      <c r="C187" s="4" t="str">
        <f ca="1">IFERROR(__xludf.DUMMYFUNCTION("""COMPUTED_VALUE"""),"Nam")</f>
        <v>Nam</v>
      </c>
      <c r="D187" s="4" t="str">
        <f ca="1">IFERROR(__xludf.DUMMYFUNCTION("""COMPUTED_VALUE"""),"Đại học, Chứng chỉ Kiểm toán viên")</f>
        <v>Đại học, Chứng chỉ Kiểm toán viên</v>
      </c>
      <c r="E187" s="4" t="str">
        <f ca="1">IFERROR(__xludf.DUMMYFUNCTION("""COMPUTED_VALUE"""),"Trên 10 đến 15 năm")</f>
        <v>Trên 10 đến 15 năm</v>
      </c>
      <c r="F187" s="4" t="str">
        <f ca="1">IFERROR(__xludf.DUMMYFUNCTION("""COMPUTED_VALUE"""),"Trưởng phòng")</f>
        <v>Trưởng phòng</v>
      </c>
    </row>
    <row r="188" spans="1:6" x14ac:dyDescent="0.25">
      <c r="A188" s="4" t="str">
        <f ca="1">IFERROR(__xludf.DUMMYFUNCTION("""COMPUTED_VALUE"""),"Công ty TNHH Kiểm toán FAC")</f>
        <v>Công ty TNHH Kiểm toán FAC</v>
      </c>
      <c r="B188" s="4" t="str">
        <f ca="1">IFERROR(__xludf.DUMMYFUNCTION("""COMPUTED_VALUE"""),"Trần Thị Hoàng Phi")</f>
        <v>Trần Thị Hoàng Phi</v>
      </c>
      <c r="C188" s="4" t="str">
        <f ca="1">IFERROR(__xludf.DUMMYFUNCTION("""COMPUTED_VALUE"""),"Nữ")</f>
        <v>Nữ</v>
      </c>
      <c r="D188" s="4" t="str">
        <f ca="1">IFERROR(__xludf.DUMMYFUNCTION("""COMPUTED_VALUE"""),"Chứng chỉ Kiểm toán viên")</f>
        <v>Chứng chỉ Kiểm toán viên</v>
      </c>
      <c r="E188" s="4" t="str">
        <f ca="1">IFERROR(__xludf.DUMMYFUNCTION("""COMPUTED_VALUE"""),"Trên 5 đến 10 năm")</f>
        <v>Trên 5 đến 10 năm</v>
      </c>
      <c r="F188" s="4" t="str">
        <f ca="1">IFERROR(__xludf.DUMMYFUNCTION("""COMPUTED_VALUE"""),"Kiểm toán viên/Trưởng nhóm")</f>
        <v>Kiểm toán viên/Trưởng nhóm</v>
      </c>
    </row>
    <row r="189" spans="1:6" x14ac:dyDescent="0.25">
      <c r="A189" s="4" t="str">
        <f ca="1">IFERROR(__xludf.DUMMYFUNCTION("""COMPUTED_VALUE"""),"Công ty TNHH Kiểm toán I.T.O")</f>
        <v>Công ty TNHH Kiểm toán I.T.O</v>
      </c>
      <c r="B189" s="4" t="str">
        <f ca="1">IFERROR(__xludf.DUMMYFUNCTION("""COMPUTED_VALUE"""),"Lê Văn Trắng")</f>
        <v>Lê Văn Trắng</v>
      </c>
      <c r="C189" s="4" t="str">
        <f ca="1">IFERROR(__xludf.DUMMYFUNCTION("""COMPUTED_VALUE"""),"Nam")</f>
        <v>Nam</v>
      </c>
      <c r="D189" s="4" t="str">
        <f ca="1">IFERROR(__xludf.DUMMYFUNCTION("""COMPUTED_VALUE"""),"Đại học, Chứng chỉ Kiểm toán viên")</f>
        <v>Đại học, Chứng chỉ Kiểm toán viên</v>
      </c>
      <c r="E189" s="4" t="str">
        <f ca="1">IFERROR(__xludf.DUMMYFUNCTION("""COMPUTED_VALUE"""),"Trên 20 năm")</f>
        <v>Trên 20 năm</v>
      </c>
      <c r="F189" s="4" t="str">
        <f ca="1">IFERROR(__xludf.DUMMYFUNCTION("""COMPUTED_VALUE"""),"Ban giám đốc")</f>
        <v>Ban giám đốc</v>
      </c>
    </row>
    <row r="190" spans="1:6" x14ac:dyDescent="0.25">
      <c r="A190" s="4" t="str">
        <f ca="1">IFERROR(__xludf.DUMMYFUNCTION("""COMPUTED_VALUE"""),"Công ty TNHH Kiểm toán I.T.O")</f>
        <v>Công ty TNHH Kiểm toán I.T.O</v>
      </c>
      <c r="B190" s="4" t="str">
        <f ca="1">IFERROR(__xludf.DUMMYFUNCTION("""COMPUTED_VALUE"""),"Phan Quang Hậu")</f>
        <v>Phan Quang Hậu</v>
      </c>
      <c r="C190" s="4" t="str">
        <f ca="1">IFERROR(__xludf.DUMMYFUNCTION("""COMPUTED_VALUE"""),"Nam")</f>
        <v>Nam</v>
      </c>
      <c r="D190" s="4" t="str">
        <f ca="1">IFERROR(__xludf.DUMMYFUNCTION("""COMPUTED_VALUE"""),"Đại học")</f>
        <v>Đại học</v>
      </c>
      <c r="E190" s="4" t="str">
        <f ca="1">IFERROR(__xludf.DUMMYFUNCTION("""COMPUTED_VALUE"""),"Từ 3 đến 5 năm")</f>
        <v>Từ 3 đến 5 năm</v>
      </c>
      <c r="F190" s="4" t="str">
        <f ca="1">IFERROR(__xludf.DUMMYFUNCTION("""COMPUTED_VALUE"""),"Trợ lý kiểm toán")</f>
        <v>Trợ lý kiểm toán</v>
      </c>
    </row>
    <row r="191" spans="1:6" x14ac:dyDescent="0.25">
      <c r="A191" s="4" t="str">
        <f ca="1">IFERROR(__xludf.DUMMYFUNCTION("""COMPUTED_VALUE"""),"Công ty TNHH Kiểm toán I.T.O")</f>
        <v>Công ty TNHH Kiểm toán I.T.O</v>
      </c>
      <c r="B191" s="4" t="str">
        <f ca="1">IFERROR(__xludf.DUMMYFUNCTION("""COMPUTED_VALUE"""),"Nguyễn Phương Nhung")</f>
        <v>Nguyễn Phương Nhung</v>
      </c>
      <c r="C191" s="4" t="str">
        <f ca="1">IFERROR(__xludf.DUMMYFUNCTION("""COMPUTED_VALUE"""),"Nữ")</f>
        <v>Nữ</v>
      </c>
      <c r="D191" s="4" t="str">
        <f ca="1">IFERROR(__xludf.DUMMYFUNCTION("""COMPUTED_VALUE"""),"Đại học")</f>
        <v>Đại học</v>
      </c>
      <c r="E191" s="4" t="str">
        <f ca="1">IFERROR(__xludf.DUMMYFUNCTION("""COMPUTED_VALUE"""),"Từ 3 đến 5 năm")</f>
        <v>Từ 3 đến 5 năm</v>
      </c>
      <c r="F191" s="4" t="str">
        <f ca="1">IFERROR(__xludf.DUMMYFUNCTION("""COMPUTED_VALUE"""),"Trợ lý kiểm toán")</f>
        <v>Trợ lý kiểm toán</v>
      </c>
    </row>
    <row r="192" spans="1:6" x14ac:dyDescent="0.25">
      <c r="A192" s="4" t="str">
        <f ca="1">IFERROR(__xludf.DUMMYFUNCTION("""COMPUTED_VALUE"""),"Công ty TNHH Kiểm toán I.T.O")</f>
        <v>Công ty TNHH Kiểm toán I.T.O</v>
      </c>
      <c r="B192" s="4" t="str">
        <f ca="1">IFERROR(__xludf.DUMMYFUNCTION("""COMPUTED_VALUE"""),"Nguyễn Hoàng Việt")</f>
        <v>Nguyễn Hoàng Việt</v>
      </c>
      <c r="C192" s="4" t="str">
        <f ca="1">IFERROR(__xludf.DUMMYFUNCTION("""COMPUTED_VALUE"""),"Nam")</f>
        <v>Nam</v>
      </c>
      <c r="D192" s="4" t="str">
        <f ca="1">IFERROR(__xludf.DUMMYFUNCTION("""COMPUTED_VALUE"""),"Đại học")</f>
        <v>Đại học</v>
      </c>
      <c r="E192" s="4" t="str">
        <f ca="1">IFERROR(__xludf.DUMMYFUNCTION("""COMPUTED_VALUE"""),"Từ 3 đến 5 năm")</f>
        <v>Từ 3 đến 5 năm</v>
      </c>
      <c r="F192" s="4" t="str">
        <f ca="1">IFERROR(__xludf.DUMMYFUNCTION("""COMPUTED_VALUE"""),"Trợ lý kiểm toán")</f>
        <v>Trợ lý kiểm toán</v>
      </c>
    </row>
    <row r="193" spans="1:6" x14ac:dyDescent="0.25">
      <c r="A193" s="4" t="str">
        <f ca="1">IFERROR(__xludf.DUMMYFUNCTION("""COMPUTED_VALUE"""),"Công ty TNHH Kiểm toán I.T.O")</f>
        <v>Công ty TNHH Kiểm toán I.T.O</v>
      </c>
      <c r="B193" s="4" t="str">
        <f ca="1">IFERROR(__xludf.DUMMYFUNCTION("""COMPUTED_VALUE"""),"Lê Quỳnh Đan")</f>
        <v>Lê Quỳnh Đan</v>
      </c>
      <c r="C193" s="4" t="str">
        <f ca="1">IFERROR(__xludf.DUMMYFUNCTION("""COMPUTED_VALUE"""),"Nữ")</f>
        <v>Nữ</v>
      </c>
      <c r="D193" s="4" t="str">
        <f ca="1">IFERROR(__xludf.DUMMYFUNCTION("""COMPUTED_VALUE"""),"Đại học")</f>
        <v>Đại học</v>
      </c>
      <c r="E193" s="4" t="str">
        <f ca="1">IFERROR(__xludf.DUMMYFUNCTION("""COMPUTED_VALUE"""),"Từ 3 đến 5 năm")</f>
        <v>Từ 3 đến 5 năm</v>
      </c>
      <c r="F193" s="4" t="str">
        <f ca="1">IFERROR(__xludf.DUMMYFUNCTION("""COMPUTED_VALUE"""),"Trợ lý kiểm toán")</f>
        <v>Trợ lý kiểm toán</v>
      </c>
    </row>
    <row r="194" spans="1:6" x14ac:dyDescent="0.25">
      <c r="A194" s="4" t="str">
        <f ca="1">IFERROR(__xludf.DUMMYFUNCTION("""COMPUTED_VALUE"""),"Công ty TNHH Kiểm toán I.T.O")</f>
        <v>Công ty TNHH Kiểm toán I.T.O</v>
      </c>
      <c r="B194" s="4" t="str">
        <f ca="1">IFERROR(__xludf.DUMMYFUNCTION("""COMPUTED_VALUE"""),"Ngô Thị Nhân Ái")</f>
        <v>Ngô Thị Nhân Ái</v>
      </c>
      <c r="C194" s="4" t="str">
        <f ca="1">IFERROR(__xludf.DUMMYFUNCTION("""COMPUTED_VALUE"""),"Nữ")</f>
        <v>Nữ</v>
      </c>
      <c r="D194" s="4" t="str">
        <f ca="1">IFERROR(__xludf.DUMMYFUNCTION("""COMPUTED_VALUE"""),"Đại học")</f>
        <v>Đại học</v>
      </c>
      <c r="E194" s="4" t="str">
        <f ca="1">IFERROR(__xludf.DUMMYFUNCTION("""COMPUTED_VALUE"""),"Từ 3 đến 5 năm")</f>
        <v>Từ 3 đến 5 năm</v>
      </c>
      <c r="F194" s="4" t="str">
        <f ca="1">IFERROR(__xludf.DUMMYFUNCTION("""COMPUTED_VALUE"""),"Trợ lý kiểm toán")</f>
        <v>Trợ lý kiểm toán</v>
      </c>
    </row>
    <row r="195" spans="1:6" x14ac:dyDescent="0.25">
      <c r="A195" s="4" t="str">
        <f ca="1">IFERROR(__xludf.DUMMYFUNCTION("""COMPUTED_VALUE"""),"Công ty TNHH Kiểm toán I.T.O")</f>
        <v>Công ty TNHH Kiểm toán I.T.O</v>
      </c>
      <c r="B195" s="4" t="str">
        <f ca="1">IFERROR(__xludf.DUMMYFUNCTION("""COMPUTED_VALUE"""),"Lê ngọc nghĩa")</f>
        <v>Lê ngọc nghĩa</v>
      </c>
      <c r="C195" s="4" t="str">
        <f ca="1">IFERROR(__xludf.DUMMYFUNCTION("""COMPUTED_VALUE"""),"Nam")</f>
        <v>Nam</v>
      </c>
      <c r="D195" s="4" t="str">
        <f ca="1">IFERROR(__xludf.DUMMYFUNCTION("""COMPUTED_VALUE"""),"Đại học")</f>
        <v>Đại học</v>
      </c>
      <c r="E195" s="4" t="str">
        <f ca="1">IFERROR(__xludf.DUMMYFUNCTION("""COMPUTED_VALUE"""),"Từ 3 đến 5 năm")</f>
        <v>Từ 3 đến 5 năm</v>
      </c>
      <c r="F195" s="4" t="str">
        <f ca="1">IFERROR(__xludf.DUMMYFUNCTION("""COMPUTED_VALUE"""),"Trợ lý kiểm toán")</f>
        <v>Trợ lý kiểm toán</v>
      </c>
    </row>
    <row r="196" spans="1:6" x14ac:dyDescent="0.25">
      <c r="A196" s="4" t="str">
        <f ca="1">IFERROR(__xludf.DUMMYFUNCTION("""COMPUTED_VALUE"""),"Công ty TNHH Kiểm toán I.T.O")</f>
        <v>Công ty TNHH Kiểm toán I.T.O</v>
      </c>
      <c r="B196" s="4" t="str">
        <f ca="1">IFERROR(__xludf.DUMMYFUNCTION("""COMPUTED_VALUE"""),"Nguyễn Thị Hoài Phương")</f>
        <v>Nguyễn Thị Hoài Phương</v>
      </c>
      <c r="C196" s="4" t="str">
        <f ca="1">IFERROR(__xludf.DUMMYFUNCTION("""COMPUTED_VALUE"""),"Nữ")</f>
        <v>Nữ</v>
      </c>
      <c r="D196" s="4" t="str">
        <f ca="1">IFERROR(__xludf.DUMMYFUNCTION("""COMPUTED_VALUE"""),"Đại học, Chứng chỉ Kiểm toán viên")</f>
        <v>Đại học, Chứng chỉ Kiểm toán viên</v>
      </c>
      <c r="E196" s="4" t="str">
        <f ca="1">IFERROR(__xludf.DUMMYFUNCTION("""COMPUTED_VALUE"""),"Trên 5 đến 10 năm")</f>
        <v>Trên 5 đến 10 năm</v>
      </c>
      <c r="F196" s="4" t="str">
        <f ca="1">IFERROR(__xludf.DUMMYFUNCTION("""COMPUTED_VALUE"""),"Kiểm toán viên/Trưởng nhóm")</f>
        <v>Kiểm toán viên/Trưởng nhóm</v>
      </c>
    </row>
    <row r="197" spans="1:6" x14ac:dyDescent="0.25">
      <c r="A197" s="4" t="str">
        <f ca="1">IFERROR(__xludf.DUMMYFUNCTION("""COMPUTED_VALUE"""),"Công ty TNHH Kiểm toán I.T.O")</f>
        <v>Công ty TNHH Kiểm toán I.T.O</v>
      </c>
      <c r="B197" s="4" t="str">
        <f ca="1">IFERROR(__xludf.DUMMYFUNCTION("""COMPUTED_VALUE"""),"Vương Võ Thu Hà")</f>
        <v>Vương Võ Thu Hà</v>
      </c>
      <c r="C197" s="4" t="str">
        <f ca="1">IFERROR(__xludf.DUMMYFUNCTION("""COMPUTED_VALUE"""),"Nữ")</f>
        <v>Nữ</v>
      </c>
      <c r="D197" s="4" t="str">
        <f ca="1">IFERROR(__xludf.DUMMYFUNCTION("""COMPUTED_VALUE"""),"Đại học")</f>
        <v>Đại học</v>
      </c>
      <c r="E197" s="4" t="str">
        <f ca="1">IFERROR(__xludf.DUMMYFUNCTION("""COMPUTED_VALUE"""),"Từ 3 đến 5 năm")</f>
        <v>Từ 3 đến 5 năm</v>
      </c>
      <c r="F197" s="4" t="str">
        <f ca="1">IFERROR(__xludf.DUMMYFUNCTION("""COMPUTED_VALUE"""),"Trợ lý kiểm toán")</f>
        <v>Trợ lý kiểm toán</v>
      </c>
    </row>
    <row r="198" spans="1:6" x14ac:dyDescent="0.25">
      <c r="A198" s="4" t="str">
        <f ca="1">IFERROR(__xludf.DUMMYFUNCTION("""COMPUTED_VALUE"""),"Công ty TNHH Kiểm toán I.T.O")</f>
        <v>Công ty TNHH Kiểm toán I.T.O</v>
      </c>
      <c r="B198" s="4" t="str">
        <f ca="1">IFERROR(__xludf.DUMMYFUNCTION("""COMPUTED_VALUE"""),"LÊ THỊ MỸ LINH")</f>
        <v>LÊ THỊ MỸ LINH</v>
      </c>
      <c r="C198" s="4" t="str">
        <f ca="1">IFERROR(__xludf.DUMMYFUNCTION("""COMPUTED_VALUE"""),"Nữ")</f>
        <v>Nữ</v>
      </c>
      <c r="D198" s="4" t="str">
        <f ca="1">IFERROR(__xludf.DUMMYFUNCTION("""COMPUTED_VALUE"""),"Đại học, Chứng chỉ Kiểm toán viên")</f>
        <v>Đại học, Chứng chỉ Kiểm toán viên</v>
      </c>
      <c r="E198" s="4" t="str">
        <f ca="1">IFERROR(__xludf.DUMMYFUNCTION("""COMPUTED_VALUE"""),"Trên 15 đến 20 năm")</f>
        <v>Trên 15 đến 20 năm</v>
      </c>
      <c r="F198" s="4" t="str">
        <f ca="1">IFERROR(__xludf.DUMMYFUNCTION("""COMPUTED_VALUE"""),"Trưởng phòng")</f>
        <v>Trưởng phòng</v>
      </c>
    </row>
    <row r="199" spans="1:6" x14ac:dyDescent="0.25">
      <c r="A199" s="4" t="str">
        <f ca="1">IFERROR(__xludf.DUMMYFUNCTION("""COMPUTED_VALUE"""),"Công ty TNHH Kiểm toán I.T.O")</f>
        <v>Công ty TNHH Kiểm toán I.T.O</v>
      </c>
      <c r="B199" s="4" t="str">
        <f ca="1">IFERROR(__xludf.DUMMYFUNCTION("""COMPUTED_VALUE"""),"Phạm Xuân Duy")</f>
        <v>Phạm Xuân Duy</v>
      </c>
      <c r="C199" s="4" t="str">
        <f ca="1">IFERROR(__xludf.DUMMYFUNCTION("""COMPUTED_VALUE"""),"Nam")</f>
        <v>Nam</v>
      </c>
      <c r="D199" s="4" t="str">
        <f ca="1">IFERROR(__xludf.DUMMYFUNCTION("""COMPUTED_VALUE"""),"Đại học")</f>
        <v>Đại học</v>
      </c>
      <c r="E199" s="4" t="str">
        <f ca="1">IFERROR(__xludf.DUMMYFUNCTION("""COMPUTED_VALUE"""),"Trên 5 đến 10 năm")</f>
        <v>Trên 5 đến 10 năm</v>
      </c>
      <c r="F199" s="4" t="str">
        <f ca="1">IFERROR(__xludf.DUMMYFUNCTION("""COMPUTED_VALUE"""),"Kiểm toán viên/Trưởng nhóm")</f>
        <v>Kiểm toán viên/Trưởng nhóm</v>
      </c>
    </row>
    <row r="200" spans="1:6" x14ac:dyDescent="0.25">
      <c r="A200" s="4" t="str">
        <f ca="1">IFERROR(__xludf.DUMMYFUNCTION("""COMPUTED_VALUE"""),"Công ty TNHH Kiểm toán I.T.O")</f>
        <v>Công ty TNHH Kiểm toán I.T.O</v>
      </c>
      <c r="B200" s="4" t="str">
        <f ca="1">IFERROR(__xludf.DUMMYFUNCTION("""COMPUTED_VALUE"""),"Nguyễn Thị Trà My")</f>
        <v>Nguyễn Thị Trà My</v>
      </c>
      <c r="C200" s="4" t="str">
        <f ca="1">IFERROR(__xludf.DUMMYFUNCTION("""COMPUTED_VALUE"""),"Nữ")</f>
        <v>Nữ</v>
      </c>
      <c r="D200" s="4" t="str">
        <f ca="1">IFERROR(__xludf.DUMMYFUNCTION("""COMPUTED_VALUE"""),"Đại học")</f>
        <v>Đại học</v>
      </c>
      <c r="E200" s="4" t="str">
        <f ca="1">IFERROR(__xludf.DUMMYFUNCTION("""COMPUTED_VALUE"""),"Từ 3 đến 5 năm")</f>
        <v>Từ 3 đến 5 năm</v>
      </c>
      <c r="F200" s="4" t="str">
        <f ca="1">IFERROR(__xludf.DUMMYFUNCTION("""COMPUTED_VALUE"""),"Trợ lý kiểm toán")</f>
        <v>Trợ lý kiểm toán</v>
      </c>
    </row>
    <row r="201" spans="1:6" x14ac:dyDescent="0.25">
      <c r="A201" s="4" t="str">
        <f ca="1">IFERROR(__xludf.DUMMYFUNCTION("""COMPUTED_VALUE"""),"Công ty TNHH Kiểm toán I.T.O")</f>
        <v>Công ty TNHH Kiểm toán I.T.O</v>
      </c>
      <c r="B201" s="4" t="str">
        <f ca="1">IFERROR(__xludf.DUMMYFUNCTION("""COMPUTED_VALUE"""),"Nguyễn Thành Việt")</f>
        <v>Nguyễn Thành Việt</v>
      </c>
      <c r="C201" s="4" t="str">
        <f ca="1">IFERROR(__xludf.DUMMYFUNCTION("""COMPUTED_VALUE"""),"Nam")</f>
        <v>Nam</v>
      </c>
      <c r="D201" s="4" t="str">
        <f ca="1">IFERROR(__xludf.DUMMYFUNCTION("""COMPUTED_VALUE"""),"Đại học")</f>
        <v>Đại học</v>
      </c>
      <c r="E201" s="4" t="str">
        <f ca="1">IFERROR(__xludf.DUMMYFUNCTION("""COMPUTED_VALUE"""),"Trên 15 đến 20 năm")</f>
        <v>Trên 15 đến 20 năm</v>
      </c>
      <c r="F201" s="4" t="str">
        <f ca="1">IFERROR(__xludf.DUMMYFUNCTION("""COMPUTED_VALUE"""),"Ban giám đốc")</f>
        <v>Ban giám đốc</v>
      </c>
    </row>
    <row r="202" spans="1:6" x14ac:dyDescent="0.25">
      <c r="A202" s="4" t="str">
        <f ca="1">IFERROR(__xludf.DUMMYFUNCTION("""COMPUTED_VALUE"""),"Công ty TNHH Kiểm toán IVC")</f>
        <v>Công ty TNHH Kiểm toán IVC</v>
      </c>
      <c r="B202" s="4" t="str">
        <f ca="1">IFERROR(__xludf.DUMMYFUNCTION("""COMPUTED_VALUE"""),"Lương Tuấn Trung")</f>
        <v>Lương Tuấn Trung</v>
      </c>
      <c r="C202" s="4" t="str">
        <f ca="1">IFERROR(__xludf.DUMMYFUNCTION("""COMPUTED_VALUE"""),"Nam")</f>
        <v>Nam</v>
      </c>
      <c r="D202" s="4" t="str">
        <f ca="1">IFERROR(__xludf.DUMMYFUNCTION("""COMPUTED_VALUE"""),"Đại học")</f>
        <v>Đại học</v>
      </c>
      <c r="E202" s="4" t="str">
        <f ca="1">IFERROR(__xludf.DUMMYFUNCTION("""COMPUTED_VALUE"""),"Từ 3 đến 5 năm")</f>
        <v>Từ 3 đến 5 năm</v>
      </c>
      <c r="F202" s="4" t="str">
        <f ca="1">IFERROR(__xludf.DUMMYFUNCTION("""COMPUTED_VALUE"""),"Trợ lý kiểm toán")</f>
        <v>Trợ lý kiểm toán</v>
      </c>
    </row>
    <row r="203" spans="1:6" x14ac:dyDescent="0.25">
      <c r="A203" s="4" t="str">
        <f ca="1">IFERROR(__xludf.DUMMYFUNCTION("""COMPUTED_VALUE"""),"Công ty TNHH Kiểm toán IVC")</f>
        <v>Công ty TNHH Kiểm toán IVC</v>
      </c>
      <c r="B203" s="4" t="str">
        <f ca="1">IFERROR(__xludf.DUMMYFUNCTION("""COMPUTED_VALUE"""),"Đỗ Quang Minh")</f>
        <v>Đỗ Quang Minh</v>
      </c>
      <c r="C203" s="4" t="str">
        <f ca="1">IFERROR(__xludf.DUMMYFUNCTION("""COMPUTED_VALUE"""),"Nam")</f>
        <v>Nam</v>
      </c>
      <c r="D203" s="4" t="str">
        <f ca="1">IFERROR(__xludf.DUMMYFUNCTION("""COMPUTED_VALUE"""),"Đại học")</f>
        <v>Đại học</v>
      </c>
      <c r="E203" s="4" t="str">
        <f ca="1">IFERROR(__xludf.DUMMYFUNCTION("""COMPUTED_VALUE"""),"Từ 3 đến 5 năm")</f>
        <v>Từ 3 đến 5 năm</v>
      </c>
      <c r="F203" s="4" t="str">
        <f ca="1">IFERROR(__xludf.DUMMYFUNCTION("""COMPUTED_VALUE"""),"Trợ lý kiểm toán")</f>
        <v>Trợ lý kiểm toán</v>
      </c>
    </row>
    <row r="204" spans="1:6" x14ac:dyDescent="0.25">
      <c r="A204" s="4" t="str">
        <f ca="1">IFERROR(__xludf.DUMMYFUNCTION("""COMPUTED_VALUE"""),"Công ty TNHH Kiểm toán IVC")</f>
        <v>Công ty TNHH Kiểm toán IVC</v>
      </c>
      <c r="B204" s="4" t="str">
        <f ca="1">IFERROR(__xludf.DUMMYFUNCTION("""COMPUTED_VALUE"""),"Lê Đức Minh")</f>
        <v>Lê Đức Minh</v>
      </c>
      <c r="C204" s="4" t="str">
        <f ca="1">IFERROR(__xludf.DUMMYFUNCTION("""COMPUTED_VALUE"""),"Nam")</f>
        <v>Nam</v>
      </c>
      <c r="D204" s="4" t="str">
        <f ca="1">IFERROR(__xludf.DUMMYFUNCTION("""COMPUTED_VALUE"""),"Đại học")</f>
        <v>Đại học</v>
      </c>
      <c r="E204" s="4" t="str">
        <f ca="1">IFERROR(__xludf.DUMMYFUNCTION("""COMPUTED_VALUE"""),"Từ 3 đến 5 năm")</f>
        <v>Từ 3 đến 5 năm</v>
      </c>
      <c r="F204" s="4" t="str">
        <f ca="1">IFERROR(__xludf.DUMMYFUNCTION("""COMPUTED_VALUE"""),"Trợ lý kiểm toán")</f>
        <v>Trợ lý kiểm toán</v>
      </c>
    </row>
    <row r="205" spans="1:6" x14ac:dyDescent="0.25">
      <c r="A205" s="4" t="str">
        <f ca="1">IFERROR(__xludf.DUMMYFUNCTION("""COMPUTED_VALUE"""),"Công ty TNHH Kiểm toán IVC")</f>
        <v>Công ty TNHH Kiểm toán IVC</v>
      </c>
      <c r="B205" s="4" t="str">
        <f ca="1">IFERROR(__xludf.DUMMYFUNCTION("""COMPUTED_VALUE"""),"Đỗ Khánh Ly")</f>
        <v>Đỗ Khánh Ly</v>
      </c>
      <c r="C205" s="4" t="str">
        <f ca="1">IFERROR(__xludf.DUMMYFUNCTION("""COMPUTED_VALUE"""),"Nữ")</f>
        <v>Nữ</v>
      </c>
      <c r="D205" s="4" t="str">
        <f ca="1">IFERROR(__xludf.DUMMYFUNCTION("""COMPUTED_VALUE"""),"Đại học")</f>
        <v>Đại học</v>
      </c>
      <c r="E205" s="4" t="str">
        <f ca="1">IFERROR(__xludf.DUMMYFUNCTION("""COMPUTED_VALUE"""),"Từ 3 đến 5 năm")</f>
        <v>Từ 3 đến 5 năm</v>
      </c>
      <c r="F205" s="4" t="str">
        <f ca="1">IFERROR(__xludf.DUMMYFUNCTION("""COMPUTED_VALUE"""),"Trợ lý kiểm toán")</f>
        <v>Trợ lý kiểm toán</v>
      </c>
    </row>
    <row r="206" spans="1:6" x14ac:dyDescent="0.25">
      <c r="A206" s="4" t="str">
        <f ca="1">IFERROR(__xludf.DUMMYFUNCTION("""COMPUTED_VALUE"""),"Công ty TNHH Kiểm toán IVC")</f>
        <v>Công ty TNHH Kiểm toán IVC</v>
      </c>
      <c r="B206" s="4" t="str">
        <f ca="1">IFERROR(__xludf.DUMMYFUNCTION("""COMPUTED_VALUE"""),"Phạm Như Quỳnh")</f>
        <v>Phạm Như Quỳnh</v>
      </c>
      <c r="C206" s="4" t="str">
        <f ca="1">IFERROR(__xludf.DUMMYFUNCTION("""COMPUTED_VALUE"""),"Nữ")</f>
        <v>Nữ</v>
      </c>
      <c r="D206" s="4" t="str">
        <f ca="1">IFERROR(__xludf.DUMMYFUNCTION("""COMPUTED_VALUE"""),"Đại học")</f>
        <v>Đại học</v>
      </c>
      <c r="E206" s="4" t="str">
        <f ca="1">IFERROR(__xludf.DUMMYFUNCTION("""COMPUTED_VALUE"""),"Từ 3 đến 5 năm")</f>
        <v>Từ 3 đến 5 năm</v>
      </c>
      <c r="F206" s="4" t="str">
        <f ca="1">IFERROR(__xludf.DUMMYFUNCTION("""COMPUTED_VALUE"""),"Trợ lý kiểm toán")</f>
        <v>Trợ lý kiểm toán</v>
      </c>
    </row>
    <row r="207" spans="1:6" x14ac:dyDescent="0.25">
      <c r="A207" s="4" t="str">
        <f ca="1">IFERROR(__xludf.DUMMYFUNCTION("""COMPUTED_VALUE"""),"Công ty TNHH Kiểm toán IVC")</f>
        <v>Công ty TNHH Kiểm toán IVC</v>
      </c>
      <c r="B207" s="4" t="str">
        <f ca="1">IFERROR(__xludf.DUMMYFUNCTION("""COMPUTED_VALUE"""),"Hoàng Phúc Kỷ")</f>
        <v>Hoàng Phúc Kỷ</v>
      </c>
      <c r="C207" s="4" t="str">
        <f ca="1">IFERROR(__xludf.DUMMYFUNCTION("""COMPUTED_VALUE"""),"Nam")</f>
        <v>Nam</v>
      </c>
      <c r="D207" s="4" t="str">
        <f ca="1">IFERROR(__xludf.DUMMYFUNCTION("""COMPUTED_VALUE"""),"Đại học")</f>
        <v>Đại học</v>
      </c>
      <c r="E207" s="4" t="str">
        <f ca="1">IFERROR(__xludf.DUMMYFUNCTION("""COMPUTED_VALUE"""),"Từ 3 đến 5 năm")</f>
        <v>Từ 3 đến 5 năm</v>
      </c>
      <c r="F207" s="4" t="str">
        <f ca="1">IFERROR(__xludf.DUMMYFUNCTION("""COMPUTED_VALUE"""),"Trợ lý kiểm toán")</f>
        <v>Trợ lý kiểm toán</v>
      </c>
    </row>
    <row r="208" spans="1:6" x14ac:dyDescent="0.25">
      <c r="A208" s="4" t="str">
        <f ca="1">IFERROR(__xludf.DUMMYFUNCTION("""COMPUTED_VALUE"""),"Công ty TNHH Kiểm toán IVC")</f>
        <v>Công ty TNHH Kiểm toán IVC</v>
      </c>
      <c r="B208" s="4" t="str">
        <f ca="1">IFERROR(__xludf.DUMMYFUNCTION("""COMPUTED_VALUE"""),"Nguyễn Trọng Đại Thắng")</f>
        <v>Nguyễn Trọng Đại Thắng</v>
      </c>
      <c r="C208" s="4" t="str">
        <f ca="1">IFERROR(__xludf.DUMMYFUNCTION("""COMPUTED_VALUE"""),"Nam")</f>
        <v>Nam</v>
      </c>
      <c r="D208" s="4" t="str">
        <f ca="1">IFERROR(__xludf.DUMMYFUNCTION("""COMPUTED_VALUE"""),"Đại học")</f>
        <v>Đại học</v>
      </c>
      <c r="E208" s="4" t="str">
        <f ca="1">IFERROR(__xludf.DUMMYFUNCTION("""COMPUTED_VALUE"""),"Từ 3 đến 5 năm")</f>
        <v>Từ 3 đến 5 năm</v>
      </c>
      <c r="F208" s="4" t="str">
        <f ca="1">IFERROR(__xludf.DUMMYFUNCTION("""COMPUTED_VALUE"""),"Trợ lý kiểm toán")</f>
        <v>Trợ lý kiểm toán</v>
      </c>
    </row>
    <row r="209" spans="1:6" x14ac:dyDescent="0.25">
      <c r="A209" s="4" t="str">
        <f ca="1">IFERROR(__xludf.DUMMYFUNCTION("""COMPUTED_VALUE"""),"Công ty TNHH Kiểm toán IVC")</f>
        <v>Công ty TNHH Kiểm toán IVC</v>
      </c>
      <c r="B209" s="4" t="str">
        <f ca="1">IFERROR(__xludf.DUMMYFUNCTION("""COMPUTED_VALUE"""),"Đỗ Trần Quốc Anh")</f>
        <v>Đỗ Trần Quốc Anh</v>
      </c>
      <c r="C209" s="4" t="str">
        <f ca="1">IFERROR(__xludf.DUMMYFUNCTION("""COMPUTED_VALUE"""),"Nam")</f>
        <v>Nam</v>
      </c>
      <c r="D209" s="4" t="str">
        <f ca="1">IFERROR(__xludf.DUMMYFUNCTION("""COMPUTED_VALUE"""),"Sau đại học")</f>
        <v>Sau đại học</v>
      </c>
      <c r="E209" s="4" t="str">
        <f ca="1">IFERROR(__xludf.DUMMYFUNCTION("""COMPUTED_VALUE"""),"Từ 3 đến 5 năm")</f>
        <v>Từ 3 đến 5 năm</v>
      </c>
      <c r="F209" s="4" t="str">
        <f ca="1">IFERROR(__xludf.DUMMYFUNCTION("""COMPUTED_VALUE"""),"Trợ lý kiểm toán")</f>
        <v>Trợ lý kiểm toán</v>
      </c>
    </row>
    <row r="210" spans="1:6" x14ac:dyDescent="0.25">
      <c r="A210" s="4" t="str">
        <f ca="1">IFERROR(__xludf.DUMMYFUNCTION("""COMPUTED_VALUE"""),"Công ty TNHH Kiểm toán IVC")</f>
        <v>Công ty TNHH Kiểm toán IVC</v>
      </c>
      <c r="B210" s="4" t="str">
        <f ca="1">IFERROR(__xludf.DUMMYFUNCTION("""COMPUTED_VALUE"""),"Nguyễn Huy Hoàng")</f>
        <v>Nguyễn Huy Hoàng</v>
      </c>
      <c r="C210" s="4" t="str">
        <f ca="1">IFERROR(__xludf.DUMMYFUNCTION("""COMPUTED_VALUE"""),"Nam")</f>
        <v>Nam</v>
      </c>
      <c r="D210" s="4" t="str">
        <f ca="1">IFERROR(__xludf.DUMMYFUNCTION("""COMPUTED_VALUE"""),"Đại học, Chứng chỉ Kiểm toán viên")</f>
        <v>Đại học, Chứng chỉ Kiểm toán viên</v>
      </c>
      <c r="E210" s="4" t="str">
        <f ca="1">IFERROR(__xludf.DUMMYFUNCTION("""COMPUTED_VALUE"""),"Trên 10 đến 15 năm")</f>
        <v>Trên 10 đến 15 năm</v>
      </c>
      <c r="F210" s="4" t="str">
        <f ca="1">IFERROR(__xludf.DUMMYFUNCTION("""COMPUTED_VALUE"""),"Ban giám đốc")</f>
        <v>Ban giám đốc</v>
      </c>
    </row>
    <row r="211" spans="1:6" x14ac:dyDescent="0.25">
      <c r="A211" s="4" t="str">
        <f ca="1">IFERROR(__xludf.DUMMYFUNCTION("""COMPUTED_VALUE"""),"Công ty TNHH Kiểm toán KSI Việt Nam")</f>
        <v>Công ty TNHH Kiểm toán KSI Việt Nam</v>
      </c>
      <c r="B211" s="4" t="str">
        <f ca="1">IFERROR(__xludf.DUMMYFUNCTION("""COMPUTED_VALUE"""),"TRỊNH THỊ BÍCH LIÊN")</f>
        <v>TRỊNH THỊ BÍCH LIÊN</v>
      </c>
      <c r="C211" s="4" t="str">
        <f ca="1">IFERROR(__xludf.DUMMYFUNCTION("""COMPUTED_VALUE"""),"Nữ")</f>
        <v>Nữ</v>
      </c>
      <c r="D211" s="4" t="str">
        <f ca="1">IFERROR(__xludf.DUMMYFUNCTION("""COMPUTED_VALUE"""),"Đại học")</f>
        <v>Đại học</v>
      </c>
      <c r="E211" s="4" t="str">
        <f ca="1">IFERROR(__xludf.DUMMYFUNCTION("""COMPUTED_VALUE"""),"Trên 15 đến 20 năm")</f>
        <v>Trên 15 đến 20 năm</v>
      </c>
      <c r="F211" s="4" t="str">
        <f ca="1">IFERROR(__xludf.DUMMYFUNCTION("""COMPUTED_VALUE"""),"Ban giám đốc")</f>
        <v>Ban giám đốc</v>
      </c>
    </row>
    <row r="212" spans="1:6" x14ac:dyDescent="0.25">
      <c r="A212" s="4" t="str">
        <f ca="1">IFERROR(__xludf.DUMMYFUNCTION("""COMPUTED_VALUE"""),"Công ty TNHH Kiểm toán KSI Việt Nam")</f>
        <v>Công ty TNHH Kiểm toán KSI Việt Nam</v>
      </c>
      <c r="B212" s="4" t="str">
        <f ca="1">IFERROR(__xludf.DUMMYFUNCTION("""COMPUTED_VALUE"""),"Nguyễn Văn Hậu")</f>
        <v>Nguyễn Văn Hậu</v>
      </c>
      <c r="C212" s="4" t="str">
        <f ca="1">IFERROR(__xludf.DUMMYFUNCTION("""COMPUTED_VALUE"""),"Nam")</f>
        <v>Nam</v>
      </c>
      <c r="D212" s="4" t="str">
        <f ca="1">IFERROR(__xludf.DUMMYFUNCTION("""COMPUTED_VALUE"""),"Sau đại học")</f>
        <v>Sau đại học</v>
      </c>
      <c r="E212" s="4" t="str">
        <f ca="1">IFERROR(__xludf.DUMMYFUNCTION("""COMPUTED_VALUE"""),"Trên 20 năm")</f>
        <v>Trên 20 năm</v>
      </c>
      <c r="F212" s="4" t="str">
        <f ca="1">IFERROR(__xludf.DUMMYFUNCTION("""COMPUTED_VALUE"""),"Ban giám đốc")</f>
        <v>Ban giám đốc</v>
      </c>
    </row>
    <row r="213" spans="1:6" x14ac:dyDescent="0.25">
      <c r="A213" s="4" t="str">
        <f ca="1">IFERROR(__xludf.DUMMYFUNCTION("""COMPUTED_VALUE"""),"Công ty TNHH Kiểm toán KSI Việt Nam")</f>
        <v>Công ty TNHH Kiểm toán KSI Việt Nam</v>
      </c>
      <c r="B213" s="4" t="str">
        <f ca="1">IFERROR(__xludf.DUMMYFUNCTION("""COMPUTED_VALUE"""),"Võ Đoàn thiên Thanh")</f>
        <v>Võ Đoàn thiên Thanh</v>
      </c>
      <c r="C213" s="4" t="str">
        <f ca="1">IFERROR(__xludf.DUMMYFUNCTION("""COMPUTED_VALUE"""),"Nữ")</f>
        <v>Nữ</v>
      </c>
      <c r="D213" s="4" t="str">
        <f ca="1">IFERROR(__xludf.DUMMYFUNCTION("""COMPUTED_VALUE"""),"Sau đại học, Chứng chỉ Kiểm toán viên")</f>
        <v>Sau đại học, Chứng chỉ Kiểm toán viên</v>
      </c>
      <c r="E213" s="4" t="str">
        <f ca="1">IFERROR(__xludf.DUMMYFUNCTION("""COMPUTED_VALUE"""),"Trên 10 đến 15 năm")</f>
        <v>Trên 10 đến 15 năm</v>
      </c>
      <c r="F213" s="4" t="str">
        <f ca="1">IFERROR(__xludf.DUMMYFUNCTION("""COMPUTED_VALUE"""),"Kiểm toán viên/Trưởng nhóm")</f>
        <v>Kiểm toán viên/Trưởng nhóm</v>
      </c>
    </row>
    <row r="214" spans="1:6" x14ac:dyDescent="0.25">
      <c r="A214" s="4" t="str">
        <f ca="1">IFERROR(__xludf.DUMMYFUNCTION("""COMPUTED_VALUE"""),"Công ty TNHH Kiểm toán KSI Việt Nam")</f>
        <v>Công ty TNHH Kiểm toán KSI Việt Nam</v>
      </c>
      <c r="B214" s="4" t="str">
        <f ca="1">IFERROR(__xludf.DUMMYFUNCTION("""COMPUTED_VALUE"""),"Trần Thị Mỹ Duyên")</f>
        <v>Trần Thị Mỹ Duyên</v>
      </c>
      <c r="C214" s="4" t="str">
        <f ca="1">IFERROR(__xludf.DUMMYFUNCTION("""COMPUTED_VALUE"""),"Nữ")</f>
        <v>Nữ</v>
      </c>
      <c r="D214" s="4" t="str">
        <f ca="1">IFERROR(__xludf.DUMMYFUNCTION("""COMPUTED_VALUE"""),"Đại học")</f>
        <v>Đại học</v>
      </c>
      <c r="E214" s="4" t="str">
        <f ca="1">IFERROR(__xludf.DUMMYFUNCTION("""COMPUTED_VALUE"""),"Từ 3 đến 5 năm")</f>
        <v>Từ 3 đến 5 năm</v>
      </c>
      <c r="F214" s="4" t="str">
        <f ca="1">IFERROR(__xludf.DUMMYFUNCTION("""COMPUTED_VALUE"""),"Trợ lý kiểm toán")</f>
        <v>Trợ lý kiểm toán</v>
      </c>
    </row>
    <row r="215" spans="1:6" x14ac:dyDescent="0.25">
      <c r="A215" s="4" t="str">
        <f ca="1">IFERROR(__xludf.DUMMYFUNCTION("""COMPUTED_VALUE"""),"Công ty TNHH Kiểm toán KSI Việt Nam")</f>
        <v>Công ty TNHH Kiểm toán KSI Việt Nam</v>
      </c>
      <c r="B215" s="4" t="str">
        <f ca="1">IFERROR(__xludf.DUMMYFUNCTION("""COMPUTED_VALUE"""),"Phạm Thị Thanh Trà")</f>
        <v>Phạm Thị Thanh Trà</v>
      </c>
      <c r="C215" s="4" t="str">
        <f ca="1">IFERROR(__xludf.DUMMYFUNCTION("""COMPUTED_VALUE"""),"Nữ")</f>
        <v>Nữ</v>
      </c>
      <c r="D215" s="4" t="str">
        <f ca="1">IFERROR(__xludf.DUMMYFUNCTION("""COMPUTED_VALUE"""),"Đại học")</f>
        <v>Đại học</v>
      </c>
      <c r="E215" s="4" t="str">
        <f ca="1">IFERROR(__xludf.DUMMYFUNCTION("""COMPUTED_VALUE"""),"Từ 3 đến 5 năm")</f>
        <v>Từ 3 đến 5 năm</v>
      </c>
      <c r="F215" s="4" t="str">
        <f ca="1">IFERROR(__xludf.DUMMYFUNCTION("""COMPUTED_VALUE"""),"Trợ lý kiểm toán")</f>
        <v>Trợ lý kiểm toán</v>
      </c>
    </row>
    <row r="216" spans="1:6" x14ac:dyDescent="0.25">
      <c r="A216" s="4" t="str">
        <f ca="1">IFERROR(__xludf.DUMMYFUNCTION("""COMPUTED_VALUE"""),"Công ty TNHH Kiểm toán KSI Việt Nam")</f>
        <v>Công ty TNHH Kiểm toán KSI Việt Nam</v>
      </c>
      <c r="B216" s="4" t="str">
        <f ca="1">IFERROR(__xludf.DUMMYFUNCTION("""COMPUTED_VALUE"""),"Nguyễn Thu Giang")</f>
        <v>Nguyễn Thu Giang</v>
      </c>
      <c r="C216" s="4" t="str">
        <f ca="1">IFERROR(__xludf.DUMMYFUNCTION("""COMPUTED_VALUE"""),"Nữ")</f>
        <v>Nữ</v>
      </c>
      <c r="D216" s="4" t="str">
        <f ca="1">IFERROR(__xludf.DUMMYFUNCTION("""COMPUTED_VALUE"""),"Đại học")</f>
        <v>Đại học</v>
      </c>
      <c r="E216" s="4" t="str">
        <f ca="1">IFERROR(__xludf.DUMMYFUNCTION("""COMPUTED_VALUE"""),"Trên 5 đến 10 năm")</f>
        <v>Trên 5 đến 10 năm</v>
      </c>
      <c r="F216" s="4" t="str">
        <f ca="1">IFERROR(__xludf.DUMMYFUNCTION("""COMPUTED_VALUE"""),"Trợ lý kiểm toán")</f>
        <v>Trợ lý kiểm toán</v>
      </c>
    </row>
    <row r="217" spans="1:6" x14ac:dyDescent="0.25">
      <c r="A217" s="4" t="str">
        <f ca="1">IFERROR(__xludf.DUMMYFUNCTION("""COMPUTED_VALUE"""),"Công ty TNHH Kiểm toán KTC")</f>
        <v>Công ty TNHH Kiểm toán KTC</v>
      </c>
      <c r="B217" s="4" t="str">
        <f ca="1">IFERROR(__xludf.DUMMYFUNCTION("""COMPUTED_VALUE"""),"Võ Tuấn anh")</f>
        <v>Võ Tuấn anh</v>
      </c>
      <c r="C217" s="4" t="str">
        <f ca="1">IFERROR(__xludf.DUMMYFUNCTION("""COMPUTED_VALUE"""),"Nam")</f>
        <v>Nam</v>
      </c>
      <c r="D217" s="4" t="str">
        <f ca="1">IFERROR(__xludf.DUMMYFUNCTION("""COMPUTED_VALUE"""),"Đại học, Chứng chỉ Kiểm toán viên")</f>
        <v>Đại học, Chứng chỉ Kiểm toán viên</v>
      </c>
      <c r="E217" s="4" t="str">
        <f ca="1">IFERROR(__xludf.DUMMYFUNCTION("""COMPUTED_VALUE"""),"Trên 15 đến 20 năm")</f>
        <v>Trên 15 đến 20 năm</v>
      </c>
      <c r="F217" s="4" t="str">
        <f ca="1">IFERROR(__xludf.DUMMYFUNCTION("""COMPUTED_VALUE"""),"Trưởng phòng")</f>
        <v>Trưởng phòng</v>
      </c>
    </row>
    <row r="218" spans="1:6" x14ac:dyDescent="0.25">
      <c r="A218" s="4" t="str">
        <f ca="1">IFERROR(__xludf.DUMMYFUNCTION("""COMPUTED_VALUE"""),"Công ty TNHH Kiểm toán KTC")</f>
        <v>Công ty TNHH Kiểm toán KTC</v>
      </c>
      <c r="B218" s="4" t="str">
        <f ca="1">IFERROR(__xludf.DUMMYFUNCTION("""COMPUTED_VALUE"""),"Võ Thị Mỹ Hân")</f>
        <v>Võ Thị Mỹ Hân</v>
      </c>
      <c r="C218" s="4" t="str">
        <f ca="1">IFERROR(__xludf.DUMMYFUNCTION("""COMPUTED_VALUE"""),"Nữ")</f>
        <v>Nữ</v>
      </c>
      <c r="D218" s="4" t="str">
        <f ca="1">IFERROR(__xludf.DUMMYFUNCTION("""COMPUTED_VALUE"""),"Đại học")</f>
        <v>Đại học</v>
      </c>
      <c r="E218" s="4" t="str">
        <f ca="1">IFERROR(__xludf.DUMMYFUNCTION("""COMPUTED_VALUE"""),"Từ 3 đến 5 năm")</f>
        <v>Từ 3 đến 5 năm</v>
      </c>
      <c r="F218" s="4" t="str">
        <f ca="1">IFERROR(__xludf.DUMMYFUNCTION("""COMPUTED_VALUE"""),"Trợ lý kiểm toán")</f>
        <v>Trợ lý kiểm toán</v>
      </c>
    </row>
    <row r="219" spans="1:6" x14ac:dyDescent="0.25">
      <c r="A219" s="4" t="str">
        <f ca="1">IFERROR(__xludf.DUMMYFUNCTION("""COMPUTED_VALUE"""),"Công ty TNHH Kiểm toán KTC")</f>
        <v>Công ty TNHH Kiểm toán KTC</v>
      </c>
      <c r="B219" s="4" t="str">
        <f ca="1">IFERROR(__xludf.DUMMYFUNCTION("""COMPUTED_VALUE"""),"Nguyễn Thị Ý Nhi")</f>
        <v>Nguyễn Thị Ý Nhi</v>
      </c>
      <c r="C219" s="4" t="str">
        <f ca="1">IFERROR(__xludf.DUMMYFUNCTION("""COMPUTED_VALUE"""),"Nữ")</f>
        <v>Nữ</v>
      </c>
      <c r="D219" s="4" t="str">
        <f ca="1">IFERROR(__xludf.DUMMYFUNCTION("""COMPUTED_VALUE"""),"Đại học")</f>
        <v>Đại học</v>
      </c>
      <c r="E219" s="4" t="str">
        <f ca="1">IFERROR(__xludf.DUMMYFUNCTION("""COMPUTED_VALUE"""),"Từ 3 đến 5 năm")</f>
        <v>Từ 3 đến 5 năm</v>
      </c>
      <c r="F219" s="4" t="str">
        <f ca="1">IFERROR(__xludf.DUMMYFUNCTION("""COMPUTED_VALUE"""),"Trợ lý kiểm toán")</f>
        <v>Trợ lý kiểm toán</v>
      </c>
    </row>
    <row r="220" spans="1:6" x14ac:dyDescent="0.25">
      <c r="A220" s="4" t="str">
        <f ca="1">IFERROR(__xludf.DUMMYFUNCTION("""COMPUTED_VALUE"""),"Công ty TNHH Kiểm toán KTC")</f>
        <v>Công ty TNHH Kiểm toán KTC</v>
      </c>
      <c r="B220" s="4" t="str">
        <f ca="1">IFERROR(__xludf.DUMMYFUNCTION("""COMPUTED_VALUE"""),"Trần Thùy Linh")</f>
        <v>Trần Thùy Linh</v>
      </c>
      <c r="C220" s="4" t="str">
        <f ca="1">IFERROR(__xludf.DUMMYFUNCTION("""COMPUTED_VALUE"""),"Nữ")</f>
        <v>Nữ</v>
      </c>
      <c r="D220" s="4" t="str">
        <f ca="1">IFERROR(__xludf.DUMMYFUNCTION("""COMPUTED_VALUE"""),"Đại học, Chứng chỉ Kiểm toán viên")</f>
        <v>Đại học, Chứng chỉ Kiểm toán viên</v>
      </c>
      <c r="E220" s="4" t="str">
        <f ca="1">IFERROR(__xludf.DUMMYFUNCTION("""COMPUTED_VALUE"""),"Trên 5 đến 10 năm")</f>
        <v>Trên 5 đến 10 năm</v>
      </c>
      <c r="F220" s="4" t="str">
        <f ca="1">IFERROR(__xludf.DUMMYFUNCTION("""COMPUTED_VALUE"""),"Trưởng phòng")</f>
        <v>Trưởng phòng</v>
      </c>
    </row>
    <row r="221" spans="1:6" x14ac:dyDescent="0.25">
      <c r="A221" s="4" t="str">
        <f ca="1">IFERROR(__xludf.DUMMYFUNCTION("""COMPUTED_VALUE"""),"Công ty TNHH Kiểm toán KTC")</f>
        <v>Công ty TNHH Kiểm toán KTC</v>
      </c>
      <c r="B221" s="4" t="str">
        <f ca="1">IFERROR(__xludf.DUMMYFUNCTION("""COMPUTED_VALUE"""),"Nguyễn Thị Hải Nga")</f>
        <v>Nguyễn Thị Hải Nga</v>
      </c>
      <c r="C221" s="4" t="str">
        <f ca="1">IFERROR(__xludf.DUMMYFUNCTION("""COMPUTED_VALUE"""),"Nữ")</f>
        <v>Nữ</v>
      </c>
      <c r="D221" s="4" t="str">
        <f ca="1">IFERROR(__xludf.DUMMYFUNCTION("""COMPUTED_VALUE"""),"Đại học")</f>
        <v>Đại học</v>
      </c>
      <c r="E221" s="4" t="str">
        <f ca="1">IFERROR(__xludf.DUMMYFUNCTION("""COMPUTED_VALUE"""),"Từ 3 đến 5 năm")</f>
        <v>Từ 3 đến 5 năm</v>
      </c>
      <c r="F221" s="4" t="str">
        <f ca="1">IFERROR(__xludf.DUMMYFUNCTION("""COMPUTED_VALUE"""),"Trợ lý kiểm toán")</f>
        <v>Trợ lý kiểm toán</v>
      </c>
    </row>
    <row r="222" spans="1:6" x14ac:dyDescent="0.25">
      <c r="A222" s="4" t="str">
        <f ca="1">IFERROR(__xludf.DUMMYFUNCTION("""COMPUTED_VALUE"""),"Công ty TNHH Kiểm toán KTC")</f>
        <v>Công ty TNHH Kiểm toán KTC</v>
      </c>
      <c r="B222" s="4" t="str">
        <f ca="1">IFERROR(__xludf.DUMMYFUNCTION("""COMPUTED_VALUE"""),"Trần Anh Thư")</f>
        <v>Trần Anh Thư</v>
      </c>
      <c r="C222" s="4" t="str">
        <f ca="1">IFERROR(__xludf.DUMMYFUNCTION("""COMPUTED_VALUE"""),"Nữ")</f>
        <v>Nữ</v>
      </c>
      <c r="D222" s="4" t="str">
        <f ca="1">IFERROR(__xludf.DUMMYFUNCTION("""COMPUTED_VALUE"""),"Đại học")</f>
        <v>Đại học</v>
      </c>
      <c r="E222" s="4" t="str">
        <f ca="1">IFERROR(__xludf.DUMMYFUNCTION("""COMPUTED_VALUE"""),"Từ 3 đến 5 năm")</f>
        <v>Từ 3 đến 5 năm</v>
      </c>
      <c r="F222" s="4" t="str">
        <f ca="1">IFERROR(__xludf.DUMMYFUNCTION("""COMPUTED_VALUE"""),"Kiểm toán viên/Trưởng nhóm")</f>
        <v>Kiểm toán viên/Trưởng nhóm</v>
      </c>
    </row>
    <row r="223" spans="1:6" x14ac:dyDescent="0.25">
      <c r="A223" s="4" t="str">
        <f ca="1">IFERROR(__xludf.DUMMYFUNCTION("""COMPUTED_VALUE"""),"Công ty TNHH Kiểm toán KTC")</f>
        <v>Công ty TNHH Kiểm toán KTC</v>
      </c>
      <c r="B223" s="4"/>
      <c r="C223" s="4" t="str">
        <f ca="1">IFERROR(__xludf.DUMMYFUNCTION("""COMPUTED_VALUE"""),"Nam")</f>
        <v>Nam</v>
      </c>
      <c r="D223" s="4" t="str">
        <f ca="1">IFERROR(__xludf.DUMMYFUNCTION("""COMPUTED_VALUE"""),"Đại học, Chứng chỉ Kiểm toán viên")</f>
        <v>Đại học, Chứng chỉ Kiểm toán viên</v>
      </c>
      <c r="E223" s="4" t="str">
        <f ca="1">IFERROR(__xludf.DUMMYFUNCTION("""COMPUTED_VALUE"""),"Trên 5 đến 10 năm")</f>
        <v>Trên 5 đến 10 năm</v>
      </c>
      <c r="F223" s="4" t="str">
        <f ca="1">IFERROR(__xludf.DUMMYFUNCTION("""COMPUTED_VALUE"""),"Trưởng phòng")</f>
        <v>Trưởng phòng</v>
      </c>
    </row>
    <row r="224" spans="1:6" x14ac:dyDescent="0.25">
      <c r="A224" s="4" t="str">
        <f ca="1">IFERROR(__xludf.DUMMYFUNCTION("""COMPUTED_VALUE"""),"Công ty TNHH Kiểm toán KTC")</f>
        <v>Công ty TNHH Kiểm toán KTC</v>
      </c>
      <c r="B224" s="4" t="str">
        <f ca="1">IFERROR(__xludf.DUMMYFUNCTION("""COMPUTED_VALUE"""),"Vũ Thị Thanh Tâm")</f>
        <v>Vũ Thị Thanh Tâm</v>
      </c>
      <c r="C224" s="4" t="str">
        <f ca="1">IFERROR(__xludf.DUMMYFUNCTION("""COMPUTED_VALUE"""),"Nữ")</f>
        <v>Nữ</v>
      </c>
      <c r="D224" s="4" t="str">
        <f ca="1">IFERROR(__xludf.DUMMYFUNCTION("""COMPUTED_VALUE"""),"Sau đại học, Chứng chỉ Kiểm toán viên")</f>
        <v>Sau đại học, Chứng chỉ Kiểm toán viên</v>
      </c>
      <c r="E224" s="4" t="str">
        <f ca="1">IFERROR(__xludf.DUMMYFUNCTION("""COMPUTED_VALUE"""),"Trên 20 năm")</f>
        <v>Trên 20 năm</v>
      </c>
      <c r="F224" s="4" t="str">
        <f ca="1">IFERROR(__xludf.DUMMYFUNCTION("""COMPUTED_VALUE"""),"Ban giám đốc")</f>
        <v>Ban giám đốc</v>
      </c>
    </row>
    <row r="225" spans="1:6" x14ac:dyDescent="0.25">
      <c r="A225" s="4" t="str">
        <f ca="1">IFERROR(__xludf.DUMMYFUNCTION("""COMPUTED_VALUE"""),"Công ty TNHH Kiểm toán Mỹ")</f>
        <v>Công ty TNHH Kiểm toán Mỹ</v>
      </c>
      <c r="B225" s="4" t="str">
        <f ca="1">IFERROR(__xludf.DUMMYFUNCTION("""COMPUTED_VALUE"""),"Bùi Văn Long")</f>
        <v>Bùi Văn Long</v>
      </c>
      <c r="C225" s="4" t="str">
        <f ca="1">IFERROR(__xludf.DUMMYFUNCTION("""COMPUTED_VALUE"""),"Nam")</f>
        <v>Nam</v>
      </c>
      <c r="D225" s="4" t="str">
        <f ca="1">IFERROR(__xludf.DUMMYFUNCTION("""COMPUTED_VALUE"""),"Đại học")</f>
        <v>Đại học</v>
      </c>
      <c r="E225" s="4" t="str">
        <f ca="1">IFERROR(__xludf.DUMMYFUNCTION("""COMPUTED_VALUE"""),"Từ 3 đến 5 năm")</f>
        <v>Từ 3 đến 5 năm</v>
      </c>
      <c r="F225" s="4" t="str">
        <f ca="1">IFERROR(__xludf.DUMMYFUNCTION("""COMPUTED_VALUE"""),"Trợ lý kiểm toán")</f>
        <v>Trợ lý kiểm toán</v>
      </c>
    </row>
    <row r="226" spans="1:6" x14ac:dyDescent="0.25">
      <c r="A226" s="4" t="str">
        <f ca="1">IFERROR(__xludf.DUMMYFUNCTION("""COMPUTED_VALUE"""),"Công ty TNHH Kiểm toán Nhân Tâm Việt")</f>
        <v>Công ty TNHH Kiểm toán Nhân Tâm Việt</v>
      </c>
      <c r="B226" s="4" t="str">
        <f ca="1">IFERROR(__xludf.DUMMYFUNCTION("""COMPUTED_VALUE"""),"Huỳnh Hữu Phước")</f>
        <v>Huỳnh Hữu Phước</v>
      </c>
      <c r="C226" s="4" t="str">
        <f ca="1">IFERROR(__xludf.DUMMYFUNCTION("""COMPUTED_VALUE"""),"Nam")</f>
        <v>Nam</v>
      </c>
      <c r="D226" s="4" t="str">
        <f ca="1">IFERROR(__xludf.DUMMYFUNCTION("""COMPUTED_VALUE"""),"Đại học")</f>
        <v>Đại học</v>
      </c>
      <c r="E226" s="4" t="str">
        <f ca="1">IFERROR(__xludf.DUMMYFUNCTION("""COMPUTED_VALUE"""),"Trên 20 năm")</f>
        <v>Trên 20 năm</v>
      </c>
      <c r="F226" s="4" t="str">
        <f ca="1">IFERROR(__xludf.DUMMYFUNCTION("""COMPUTED_VALUE"""),"Ban giám đốc")</f>
        <v>Ban giám đốc</v>
      </c>
    </row>
    <row r="227" spans="1:6" x14ac:dyDescent="0.25">
      <c r="A227" s="4" t="str">
        <f ca="1">IFERROR(__xludf.DUMMYFUNCTION("""COMPUTED_VALUE"""),"Công ty TNHH Kiểm toán Nhân Tâm Việt")</f>
        <v>Công ty TNHH Kiểm toán Nhân Tâm Việt</v>
      </c>
      <c r="B227" s="4"/>
      <c r="C227" s="4" t="str">
        <f ca="1">IFERROR(__xludf.DUMMYFUNCTION("""COMPUTED_VALUE"""),"Nam")</f>
        <v>Nam</v>
      </c>
      <c r="D227" s="4" t="str">
        <f ca="1">IFERROR(__xludf.DUMMYFUNCTION("""COMPUTED_VALUE"""),"Đại học")</f>
        <v>Đại học</v>
      </c>
      <c r="E227" s="4" t="str">
        <f ca="1">IFERROR(__xludf.DUMMYFUNCTION("""COMPUTED_VALUE"""),"Từ 3 đến 5 năm")</f>
        <v>Từ 3 đến 5 năm</v>
      </c>
      <c r="F227" s="4" t="str">
        <f ca="1">IFERROR(__xludf.DUMMYFUNCTION("""COMPUTED_VALUE"""),"Trợ lý kiểm toán")</f>
        <v>Trợ lý kiểm toán</v>
      </c>
    </row>
    <row r="228" spans="1:6" x14ac:dyDescent="0.25">
      <c r="A228" s="4" t="str">
        <f ca="1">IFERROR(__xludf.DUMMYFUNCTION("""COMPUTED_VALUE"""),"Công ty TNHH Kiểm toán Nhân Tâm Việt")</f>
        <v>Công ty TNHH Kiểm toán Nhân Tâm Việt</v>
      </c>
      <c r="B228" s="4" t="str">
        <f ca="1">IFERROR(__xludf.DUMMYFUNCTION("""COMPUTED_VALUE"""),"Nguyễn Đoàn Phương Uyên")</f>
        <v>Nguyễn Đoàn Phương Uyên</v>
      </c>
      <c r="C228" s="4" t="str">
        <f ca="1">IFERROR(__xludf.DUMMYFUNCTION("""COMPUTED_VALUE"""),"Nữ")</f>
        <v>Nữ</v>
      </c>
      <c r="D228" s="4" t="str">
        <f ca="1">IFERROR(__xludf.DUMMYFUNCTION("""COMPUTED_VALUE"""),"Đại học")</f>
        <v>Đại học</v>
      </c>
      <c r="E228" s="4" t="str">
        <f ca="1">IFERROR(__xludf.DUMMYFUNCTION("""COMPUTED_VALUE"""),"Từ 3 đến 5 năm")</f>
        <v>Từ 3 đến 5 năm</v>
      </c>
      <c r="F228" s="4" t="str">
        <f ca="1">IFERROR(__xludf.DUMMYFUNCTION("""COMPUTED_VALUE"""),"Trợ lý kiểm toán")</f>
        <v>Trợ lý kiểm toán</v>
      </c>
    </row>
    <row r="229" spans="1:6" x14ac:dyDescent="0.25">
      <c r="A229" s="4" t="str">
        <f ca="1">IFERROR(__xludf.DUMMYFUNCTION("""COMPUTED_VALUE"""),"Công ty TNHH Kiểm toán Nhân Tâm Việt")</f>
        <v>Công ty TNHH Kiểm toán Nhân Tâm Việt</v>
      </c>
      <c r="B229" s="4" t="str">
        <f ca="1">IFERROR(__xludf.DUMMYFUNCTION("""COMPUTED_VALUE"""),"Trịnh Thanh Sang ")</f>
        <v xml:space="preserve">Trịnh Thanh Sang </v>
      </c>
      <c r="C229" s="4" t="str">
        <f ca="1">IFERROR(__xludf.DUMMYFUNCTION("""COMPUTED_VALUE"""),"Nam")</f>
        <v>Nam</v>
      </c>
      <c r="D229" s="4" t="str">
        <f ca="1">IFERROR(__xludf.DUMMYFUNCTION("""COMPUTED_VALUE"""),"Đại học")</f>
        <v>Đại học</v>
      </c>
      <c r="E229" s="4" t="str">
        <f ca="1">IFERROR(__xludf.DUMMYFUNCTION("""COMPUTED_VALUE"""),"Trên 5 đến 10 năm")</f>
        <v>Trên 5 đến 10 năm</v>
      </c>
      <c r="F229" s="4" t="str">
        <f ca="1">IFERROR(__xludf.DUMMYFUNCTION("""COMPUTED_VALUE"""),"Kiểm toán viên/Trưởng nhóm")</f>
        <v>Kiểm toán viên/Trưởng nhóm</v>
      </c>
    </row>
    <row r="230" spans="1:6" x14ac:dyDescent="0.25">
      <c r="A230" s="4" t="str">
        <f ca="1">IFERROR(__xludf.DUMMYFUNCTION("""COMPUTED_VALUE"""),"Công ty TNHH Kiểm toán Nhân Tâm Việt")</f>
        <v>Công ty TNHH Kiểm toán Nhân Tâm Việt</v>
      </c>
      <c r="B230" s="4" t="str">
        <f ca="1">IFERROR(__xludf.DUMMYFUNCTION("""COMPUTED_VALUE"""),"Nguyễn Thị Huyền Trang")</f>
        <v>Nguyễn Thị Huyền Trang</v>
      </c>
      <c r="C230" s="4" t="str">
        <f ca="1">IFERROR(__xludf.DUMMYFUNCTION("""COMPUTED_VALUE"""),"Nữ")</f>
        <v>Nữ</v>
      </c>
      <c r="D230" s="4" t="str">
        <f ca="1">IFERROR(__xludf.DUMMYFUNCTION("""COMPUTED_VALUE"""),"Đại học, Chứng chỉ Kiểm toán viên")</f>
        <v>Đại học, Chứng chỉ Kiểm toán viên</v>
      </c>
      <c r="E230" s="4" t="str">
        <f ca="1">IFERROR(__xludf.DUMMYFUNCTION("""COMPUTED_VALUE"""),"Trên 5 đến 10 năm")</f>
        <v>Trên 5 đến 10 năm</v>
      </c>
      <c r="F230" s="4" t="str">
        <f ca="1">IFERROR(__xludf.DUMMYFUNCTION("""COMPUTED_VALUE"""),"Kiểm toán viên/Trưởng nhóm")</f>
        <v>Kiểm toán viên/Trưởng nhóm</v>
      </c>
    </row>
    <row r="231" spans="1:6" x14ac:dyDescent="0.25">
      <c r="A231" s="4" t="str">
        <f ca="1">IFERROR(__xludf.DUMMYFUNCTION("""COMPUTED_VALUE"""),"Công ty TNHH Kiểm toán Nhân Tâm Việt")</f>
        <v>Công ty TNHH Kiểm toán Nhân Tâm Việt</v>
      </c>
      <c r="B231" s="4" t="str">
        <f ca="1">IFERROR(__xludf.DUMMYFUNCTION("""COMPUTED_VALUE"""),"Lê Ẩn Thoa")</f>
        <v>Lê Ẩn Thoa</v>
      </c>
      <c r="C231" s="4" t="str">
        <f ca="1">IFERROR(__xludf.DUMMYFUNCTION("""COMPUTED_VALUE"""),"Nữ")</f>
        <v>Nữ</v>
      </c>
      <c r="D231" s="4" t="str">
        <f ca="1">IFERROR(__xludf.DUMMYFUNCTION("""COMPUTED_VALUE"""),"Đại học, Chứng chỉ Kiểm toán viên")</f>
        <v>Đại học, Chứng chỉ Kiểm toán viên</v>
      </c>
      <c r="E231" s="4" t="str">
        <f ca="1">IFERROR(__xludf.DUMMYFUNCTION("""COMPUTED_VALUE"""),"Trên 5 đến 10 năm")</f>
        <v>Trên 5 đến 10 năm</v>
      </c>
      <c r="F231" s="4" t="str">
        <f ca="1">IFERROR(__xludf.DUMMYFUNCTION("""COMPUTED_VALUE"""),"Kiểm toán viên/Trưởng nhóm")</f>
        <v>Kiểm toán viên/Trưởng nhóm</v>
      </c>
    </row>
    <row r="232" spans="1:6" x14ac:dyDescent="0.25">
      <c r="A232" s="4" t="str">
        <f ca="1">IFERROR(__xludf.DUMMYFUNCTION("""COMPUTED_VALUE"""),"Công ty TNHH Kiểm toán Nhân Tâm Việt")</f>
        <v>Công ty TNHH Kiểm toán Nhân Tâm Việt</v>
      </c>
      <c r="B232" s="4" t="str">
        <f ca="1">IFERROR(__xludf.DUMMYFUNCTION("""COMPUTED_VALUE"""),"Nguyễn Quý Đức")</f>
        <v>Nguyễn Quý Đức</v>
      </c>
      <c r="C232" s="4" t="str">
        <f ca="1">IFERROR(__xludf.DUMMYFUNCTION("""COMPUTED_VALUE"""),"Nam")</f>
        <v>Nam</v>
      </c>
      <c r="D232" s="4" t="str">
        <f ca="1">IFERROR(__xludf.DUMMYFUNCTION("""COMPUTED_VALUE"""),"Đại học")</f>
        <v>Đại học</v>
      </c>
      <c r="E232" s="4" t="str">
        <f ca="1">IFERROR(__xludf.DUMMYFUNCTION("""COMPUTED_VALUE"""),"Từ 3 đến 5 năm")</f>
        <v>Từ 3 đến 5 năm</v>
      </c>
      <c r="F232" s="4" t="str">
        <f ca="1">IFERROR(__xludf.DUMMYFUNCTION("""COMPUTED_VALUE"""),"Trợ lý kiểm toán")</f>
        <v>Trợ lý kiểm toán</v>
      </c>
    </row>
    <row r="233" spans="1:6" x14ac:dyDescent="0.25">
      <c r="A233"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33" s="4" t="str">
        <f ca="1">IFERROR(__xludf.DUMMYFUNCTION("""COMPUTED_VALUE"""),"Đỗ Thị Minh Duyên")</f>
        <v>Đỗ Thị Minh Duyên</v>
      </c>
      <c r="C233" s="4" t="str">
        <f ca="1">IFERROR(__xludf.DUMMYFUNCTION("""COMPUTED_VALUE"""),"Nữ")</f>
        <v>Nữ</v>
      </c>
      <c r="D233" s="4" t="str">
        <f ca="1">IFERROR(__xludf.DUMMYFUNCTION("""COMPUTED_VALUE"""),"Đại học, Chứng chỉ Kiểm toán viên")</f>
        <v>Đại học, Chứng chỉ Kiểm toán viên</v>
      </c>
      <c r="E233" s="4" t="str">
        <f ca="1">IFERROR(__xludf.DUMMYFUNCTION("""COMPUTED_VALUE"""),"Trên 5 đến 10 năm")</f>
        <v>Trên 5 đến 10 năm</v>
      </c>
      <c r="F233" s="4" t="str">
        <f ca="1">IFERROR(__xludf.DUMMYFUNCTION("""COMPUTED_VALUE"""),"Kiểm toán viên/Trưởng nhóm")</f>
        <v>Kiểm toán viên/Trưởng nhóm</v>
      </c>
    </row>
    <row r="234" spans="1:6" x14ac:dyDescent="0.25">
      <c r="A234"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34" s="4"/>
      <c r="C234" s="4" t="str">
        <f ca="1">IFERROR(__xludf.DUMMYFUNCTION("""COMPUTED_VALUE"""),"Nữ")</f>
        <v>Nữ</v>
      </c>
      <c r="D234" s="4" t="str">
        <f ca="1">IFERROR(__xludf.DUMMYFUNCTION("""COMPUTED_VALUE"""),"Đại học, Chứng chỉ Kiểm toán viên")</f>
        <v>Đại học, Chứng chỉ Kiểm toán viên</v>
      </c>
      <c r="E234" s="4" t="str">
        <f ca="1">IFERROR(__xludf.DUMMYFUNCTION("""COMPUTED_VALUE"""),"Trên 10 đến 15 năm")</f>
        <v>Trên 10 đến 15 năm</v>
      </c>
      <c r="F234" s="4" t="str">
        <f ca="1">IFERROR(__xludf.DUMMYFUNCTION("""COMPUTED_VALUE"""),"Kiểm toán viên/Trưởng nhóm")</f>
        <v>Kiểm toán viên/Trưởng nhóm</v>
      </c>
    </row>
    <row r="235" spans="1:6" x14ac:dyDescent="0.25">
      <c r="A235"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35" s="4" t="str">
        <f ca="1">IFERROR(__xludf.DUMMYFUNCTION("""COMPUTED_VALUE"""),"Nguyễn Thị Kim Ngân")</f>
        <v>Nguyễn Thị Kim Ngân</v>
      </c>
      <c r="C235" s="4" t="str">
        <f ca="1">IFERROR(__xludf.DUMMYFUNCTION("""COMPUTED_VALUE"""),"Nữ")</f>
        <v>Nữ</v>
      </c>
      <c r="D235" s="4" t="str">
        <f ca="1">IFERROR(__xludf.DUMMYFUNCTION("""COMPUTED_VALUE"""),"Đại học")</f>
        <v>Đại học</v>
      </c>
      <c r="E235" s="4" t="str">
        <f ca="1">IFERROR(__xludf.DUMMYFUNCTION("""COMPUTED_VALUE"""),"Từ 3 đến 5 năm")</f>
        <v>Từ 3 đến 5 năm</v>
      </c>
      <c r="F235" s="4" t="str">
        <f ca="1">IFERROR(__xludf.DUMMYFUNCTION("""COMPUTED_VALUE"""),"Trợ lý kiểm toán")</f>
        <v>Trợ lý kiểm toán</v>
      </c>
    </row>
    <row r="236" spans="1:6" x14ac:dyDescent="0.25">
      <c r="A236"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36" s="4" t="str">
        <f ca="1">IFERROR(__xludf.DUMMYFUNCTION("""COMPUTED_VALUE"""),"Nguyễn Tiến Cung")</f>
        <v>Nguyễn Tiến Cung</v>
      </c>
      <c r="C236" s="4" t="str">
        <f ca="1">IFERROR(__xludf.DUMMYFUNCTION("""COMPUTED_VALUE"""),"Nam")</f>
        <v>Nam</v>
      </c>
      <c r="D236" s="4" t="str">
        <f ca="1">IFERROR(__xludf.DUMMYFUNCTION("""COMPUTED_VALUE"""),"Đại học")</f>
        <v>Đại học</v>
      </c>
      <c r="E236" s="4" t="str">
        <f ca="1">IFERROR(__xludf.DUMMYFUNCTION("""COMPUTED_VALUE"""),"Trên 10 đến 15 năm")</f>
        <v>Trên 10 đến 15 năm</v>
      </c>
      <c r="F236" s="4" t="str">
        <f ca="1">IFERROR(__xludf.DUMMYFUNCTION("""COMPUTED_VALUE"""),"Trưởng phòng")</f>
        <v>Trưởng phòng</v>
      </c>
    </row>
    <row r="237" spans="1:6" x14ac:dyDescent="0.25">
      <c r="A237"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37" s="4" t="str">
        <f ca="1">IFERROR(__xludf.DUMMYFUNCTION("""COMPUTED_VALUE"""),"Nguyễn Lê Ngọc Ái")</f>
        <v>Nguyễn Lê Ngọc Ái</v>
      </c>
      <c r="C237" s="4" t="str">
        <f ca="1">IFERROR(__xludf.DUMMYFUNCTION("""COMPUTED_VALUE"""),"Nữ")</f>
        <v>Nữ</v>
      </c>
      <c r="D237" s="4" t="str">
        <f ca="1">IFERROR(__xludf.DUMMYFUNCTION("""COMPUTED_VALUE"""),"Đại học")</f>
        <v>Đại học</v>
      </c>
      <c r="E237" s="4" t="str">
        <f ca="1">IFERROR(__xludf.DUMMYFUNCTION("""COMPUTED_VALUE"""),"Từ 3 đến 5 năm")</f>
        <v>Từ 3 đến 5 năm</v>
      </c>
      <c r="F237" s="4" t="str">
        <f ca="1">IFERROR(__xludf.DUMMYFUNCTION("""COMPUTED_VALUE"""),"Trợ lý kiểm toán")</f>
        <v>Trợ lý kiểm toán</v>
      </c>
    </row>
    <row r="238" spans="1:6" x14ac:dyDescent="0.25">
      <c r="A238"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38" s="4" t="str">
        <f ca="1">IFERROR(__xludf.DUMMYFUNCTION("""COMPUTED_VALUE"""),"Trần Văn Quân")</f>
        <v>Trần Văn Quân</v>
      </c>
      <c r="C238" s="4" t="str">
        <f ca="1">IFERROR(__xludf.DUMMYFUNCTION("""COMPUTED_VALUE"""),"Nam")</f>
        <v>Nam</v>
      </c>
      <c r="D238" s="4" t="str">
        <f ca="1">IFERROR(__xludf.DUMMYFUNCTION("""COMPUTED_VALUE"""),"Chứng chỉ Kiểm toán viên")</f>
        <v>Chứng chỉ Kiểm toán viên</v>
      </c>
      <c r="E238" s="4" t="str">
        <f ca="1">IFERROR(__xludf.DUMMYFUNCTION("""COMPUTED_VALUE"""),"Trên 5 đến 10 năm")</f>
        <v>Trên 5 đến 10 năm</v>
      </c>
      <c r="F238" s="4" t="str">
        <f ca="1">IFERROR(__xludf.DUMMYFUNCTION("""COMPUTED_VALUE"""),"Kiểm toán viên/Trưởng nhóm")</f>
        <v>Kiểm toán viên/Trưởng nhóm</v>
      </c>
    </row>
    <row r="239" spans="1:6" x14ac:dyDescent="0.25">
      <c r="A239"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39" s="4" t="str">
        <f ca="1">IFERROR(__xludf.DUMMYFUNCTION("""COMPUTED_VALUE"""),"TRẦN VĂN QUÂN")</f>
        <v>TRẦN VĂN QUÂN</v>
      </c>
      <c r="C239" s="4" t="str">
        <f ca="1">IFERROR(__xludf.DUMMYFUNCTION("""COMPUTED_VALUE"""),"Nam")</f>
        <v>Nam</v>
      </c>
      <c r="D239" s="4" t="str">
        <f ca="1">IFERROR(__xludf.DUMMYFUNCTION("""COMPUTED_VALUE"""),"Đại học")</f>
        <v>Đại học</v>
      </c>
      <c r="E239" s="4" t="str">
        <f ca="1">IFERROR(__xludf.DUMMYFUNCTION("""COMPUTED_VALUE"""),"Từ 3 đến 5 năm")</f>
        <v>Từ 3 đến 5 năm</v>
      </c>
      <c r="F239" s="4" t="str">
        <f ca="1">IFERROR(__xludf.DUMMYFUNCTION("""COMPUTED_VALUE"""),"Kiểm toán viên/Trưởng nhóm")</f>
        <v>Kiểm toán viên/Trưởng nhóm</v>
      </c>
    </row>
    <row r="240" spans="1:6" x14ac:dyDescent="0.25">
      <c r="A240"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0" s="4" t="str">
        <f ca="1">IFERROR(__xludf.DUMMYFUNCTION("""COMPUTED_VALUE"""),"BÙI DUY PHƯƠNG THANH")</f>
        <v>BÙI DUY PHƯƠNG THANH</v>
      </c>
      <c r="C240" s="4" t="str">
        <f ca="1">IFERROR(__xludf.DUMMYFUNCTION("""COMPUTED_VALUE"""),"Nữ")</f>
        <v>Nữ</v>
      </c>
      <c r="D240" s="4" t="str">
        <f ca="1">IFERROR(__xludf.DUMMYFUNCTION("""COMPUTED_VALUE"""),"Đại học")</f>
        <v>Đại học</v>
      </c>
      <c r="E240" s="4" t="str">
        <f ca="1">IFERROR(__xludf.DUMMYFUNCTION("""COMPUTED_VALUE"""),"Trên 15 đến 20 năm")</f>
        <v>Trên 15 đến 20 năm</v>
      </c>
      <c r="F240" s="4" t="str">
        <f ca="1">IFERROR(__xludf.DUMMYFUNCTION("""COMPUTED_VALUE"""),"Trưởng phòng")</f>
        <v>Trưởng phòng</v>
      </c>
    </row>
    <row r="241" spans="1:6" x14ac:dyDescent="0.25">
      <c r="A241"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1" s="4" t="str">
        <f ca="1">IFERROR(__xludf.DUMMYFUNCTION("""COMPUTED_VALUE"""),"Mai Thị Tâm")</f>
        <v>Mai Thị Tâm</v>
      </c>
      <c r="C241" s="4" t="str">
        <f ca="1">IFERROR(__xludf.DUMMYFUNCTION("""COMPUTED_VALUE"""),"Nữ")</f>
        <v>Nữ</v>
      </c>
      <c r="D241" s="4" t="str">
        <f ca="1">IFERROR(__xludf.DUMMYFUNCTION("""COMPUTED_VALUE"""),"Đại học")</f>
        <v>Đại học</v>
      </c>
      <c r="E241" s="4" t="str">
        <f ca="1">IFERROR(__xludf.DUMMYFUNCTION("""COMPUTED_VALUE"""),"Trên 5 đến 10 năm")</f>
        <v>Trên 5 đến 10 năm</v>
      </c>
      <c r="F241" s="4" t="str">
        <f ca="1">IFERROR(__xludf.DUMMYFUNCTION("""COMPUTED_VALUE"""),"Kiểm toán viên/Trưởng nhóm")</f>
        <v>Kiểm toán viên/Trưởng nhóm</v>
      </c>
    </row>
    <row r="242" spans="1:6" x14ac:dyDescent="0.25">
      <c r="A242"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2" s="4" t="str">
        <f ca="1">IFERROR(__xludf.DUMMYFUNCTION("""COMPUTED_VALUE"""),"Lê Khắc Toàn")</f>
        <v>Lê Khắc Toàn</v>
      </c>
      <c r="C242" s="4" t="str">
        <f ca="1">IFERROR(__xludf.DUMMYFUNCTION("""COMPUTED_VALUE"""),"Nam")</f>
        <v>Nam</v>
      </c>
      <c r="D242" s="4" t="str">
        <f ca="1">IFERROR(__xludf.DUMMYFUNCTION("""COMPUTED_VALUE"""),"Đại học")</f>
        <v>Đại học</v>
      </c>
      <c r="E242" s="4" t="str">
        <f ca="1">IFERROR(__xludf.DUMMYFUNCTION("""COMPUTED_VALUE"""),"Từ 3 đến 5 năm")</f>
        <v>Từ 3 đến 5 năm</v>
      </c>
      <c r="F242" s="4" t="str">
        <f ca="1">IFERROR(__xludf.DUMMYFUNCTION("""COMPUTED_VALUE"""),"Trưởng phòng")</f>
        <v>Trưởng phòng</v>
      </c>
    </row>
    <row r="243" spans="1:6" x14ac:dyDescent="0.25">
      <c r="A243"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3" s="4" t="str">
        <f ca="1">IFERROR(__xludf.DUMMYFUNCTION("""COMPUTED_VALUE"""),"Cao Thị Hồng Nga")</f>
        <v>Cao Thị Hồng Nga</v>
      </c>
      <c r="C243" s="4" t="str">
        <f ca="1">IFERROR(__xludf.DUMMYFUNCTION("""COMPUTED_VALUE"""),"Nữ")</f>
        <v>Nữ</v>
      </c>
      <c r="D243" s="4" t="str">
        <f ca="1">IFERROR(__xludf.DUMMYFUNCTION("""COMPUTED_VALUE"""),"Sau đại học, Chứng chỉ Kiểm toán viên")</f>
        <v>Sau đại học, Chứng chỉ Kiểm toán viên</v>
      </c>
      <c r="E243" s="4" t="str">
        <f ca="1">IFERROR(__xludf.DUMMYFUNCTION("""COMPUTED_VALUE"""),"Trên 10 đến 15 năm")</f>
        <v>Trên 10 đến 15 năm</v>
      </c>
      <c r="F243" s="4" t="str">
        <f ca="1">IFERROR(__xludf.DUMMYFUNCTION("""COMPUTED_VALUE"""),"Kiểm toán viên/Trưởng nhóm")</f>
        <v>Kiểm toán viên/Trưởng nhóm</v>
      </c>
    </row>
    <row r="244" spans="1:6" x14ac:dyDescent="0.25">
      <c r="A244"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4" s="4" t="str">
        <f ca="1">IFERROR(__xludf.DUMMYFUNCTION("""COMPUTED_VALUE"""),"Nguyễn Ngọc Tuấn")</f>
        <v>Nguyễn Ngọc Tuấn</v>
      </c>
      <c r="C244" s="4" t="str">
        <f ca="1">IFERROR(__xludf.DUMMYFUNCTION("""COMPUTED_VALUE"""),"Nam")</f>
        <v>Nam</v>
      </c>
      <c r="D244" s="4" t="str">
        <f ca="1">IFERROR(__xludf.DUMMYFUNCTION("""COMPUTED_VALUE"""),"Đại học, Chứng chỉ Kiểm toán viên")</f>
        <v>Đại học, Chứng chỉ Kiểm toán viên</v>
      </c>
      <c r="E244" s="4" t="str">
        <f ca="1">IFERROR(__xludf.DUMMYFUNCTION("""COMPUTED_VALUE"""),"Trên 15 đến 20 năm")</f>
        <v>Trên 15 đến 20 năm</v>
      </c>
      <c r="F244" s="4" t="str">
        <f ca="1">IFERROR(__xludf.DUMMYFUNCTION("""COMPUTED_VALUE"""),"Ban giám đốc")</f>
        <v>Ban giám đốc</v>
      </c>
    </row>
    <row r="245" spans="1:6" x14ac:dyDescent="0.25">
      <c r="A245"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5" s="4" t="str">
        <f ca="1">IFERROR(__xludf.DUMMYFUNCTION("""COMPUTED_VALUE"""),"Nguyễn Anh Duy")</f>
        <v>Nguyễn Anh Duy</v>
      </c>
      <c r="C245" s="4" t="str">
        <f ca="1">IFERROR(__xludf.DUMMYFUNCTION("""COMPUTED_VALUE"""),"Nam")</f>
        <v>Nam</v>
      </c>
      <c r="D245" s="4" t="str">
        <f ca="1">IFERROR(__xludf.DUMMYFUNCTION("""COMPUTED_VALUE"""),"Đại học")</f>
        <v>Đại học</v>
      </c>
      <c r="E245" s="4" t="str">
        <f ca="1">IFERROR(__xludf.DUMMYFUNCTION("""COMPUTED_VALUE"""),"Từ 3 đến 5 năm")</f>
        <v>Từ 3 đến 5 năm</v>
      </c>
      <c r="F245" s="4" t="str">
        <f ca="1">IFERROR(__xludf.DUMMYFUNCTION("""COMPUTED_VALUE"""),"Trợ lý kiểm toán")</f>
        <v>Trợ lý kiểm toán</v>
      </c>
    </row>
    <row r="246" spans="1:6" x14ac:dyDescent="0.25">
      <c r="A246"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6" s="4" t="str">
        <f ca="1">IFERROR(__xludf.DUMMYFUNCTION("""COMPUTED_VALUE"""),"Dương Văn Hưng")</f>
        <v>Dương Văn Hưng</v>
      </c>
      <c r="C246" s="4" t="str">
        <f ca="1">IFERROR(__xludf.DUMMYFUNCTION("""COMPUTED_VALUE"""),"Nam")</f>
        <v>Nam</v>
      </c>
      <c r="D246" s="4" t="str">
        <f ca="1">IFERROR(__xludf.DUMMYFUNCTION("""COMPUTED_VALUE"""),"Đại học")</f>
        <v>Đại học</v>
      </c>
      <c r="E246" s="4" t="str">
        <f ca="1">IFERROR(__xludf.DUMMYFUNCTION("""COMPUTED_VALUE"""),"Trên 15 đến 20 năm")</f>
        <v>Trên 15 đến 20 năm</v>
      </c>
      <c r="F246" s="4" t="str">
        <f ca="1">IFERROR(__xludf.DUMMYFUNCTION("""COMPUTED_VALUE"""),"Trợ lý kiểm toán")</f>
        <v>Trợ lý kiểm toán</v>
      </c>
    </row>
    <row r="247" spans="1:6" x14ac:dyDescent="0.25">
      <c r="A247"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7" s="4" t="str">
        <f ca="1">IFERROR(__xludf.DUMMYFUNCTION("""COMPUTED_VALUE"""),"Nguyễn Văn Tình")</f>
        <v>Nguyễn Văn Tình</v>
      </c>
      <c r="C247" s="4" t="str">
        <f ca="1">IFERROR(__xludf.DUMMYFUNCTION("""COMPUTED_VALUE"""),"Nam")</f>
        <v>Nam</v>
      </c>
      <c r="D247" s="4" t="str">
        <f ca="1">IFERROR(__xludf.DUMMYFUNCTION("""COMPUTED_VALUE"""),"Đại học, Chứng chỉ Kiểm toán viên")</f>
        <v>Đại học, Chứng chỉ Kiểm toán viên</v>
      </c>
      <c r="E247" s="4" t="str">
        <f ca="1">IFERROR(__xludf.DUMMYFUNCTION("""COMPUTED_VALUE"""),"Trên 10 đến 15 năm")</f>
        <v>Trên 10 đến 15 năm</v>
      </c>
      <c r="F247" s="4" t="str">
        <f ca="1">IFERROR(__xludf.DUMMYFUNCTION("""COMPUTED_VALUE"""),"Ban giám đốc")</f>
        <v>Ban giám đốc</v>
      </c>
    </row>
    <row r="248" spans="1:6" x14ac:dyDescent="0.25">
      <c r="A248"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8" s="4" t="str">
        <f ca="1">IFERROR(__xludf.DUMMYFUNCTION("""COMPUTED_VALUE"""),"Phan Đình Âu")</f>
        <v>Phan Đình Âu</v>
      </c>
      <c r="C248" s="4" t="str">
        <f ca="1">IFERROR(__xludf.DUMMYFUNCTION("""COMPUTED_VALUE"""),"Nam")</f>
        <v>Nam</v>
      </c>
      <c r="D248" s="4" t="str">
        <f ca="1">IFERROR(__xludf.DUMMYFUNCTION("""COMPUTED_VALUE"""),"Đại học")</f>
        <v>Đại học</v>
      </c>
      <c r="E248" s="4" t="str">
        <f ca="1">IFERROR(__xludf.DUMMYFUNCTION("""COMPUTED_VALUE"""),"Trên 5 đến 10 năm")</f>
        <v>Trên 5 đến 10 năm</v>
      </c>
      <c r="F248" s="4" t="str">
        <f ca="1">IFERROR(__xludf.DUMMYFUNCTION("""COMPUTED_VALUE"""),"Trợ lý kiểm toán")</f>
        <v>Trợ lý kiểm toán</v>
      </c>
    </row>
    <row r="249" spans="1:6" x14ac:dyDescent="0.25">
      <c r="A249"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49" s="4" t="str">
        <f ca="1">IFERROR(__xludf.DUMMYFUNCTION("""COMPUTED_VALUE"""),"Huỳnh Tuấn Anh")</f>
        <v>Huỳnh Tuấn Anh</v>
      </c>
      <c r="C249" s="4" t="str">
        <f ca="1">IFERROR(__xludf.DUMMYFUNCTION("""COMPUTED_VALUE"""),"Nam")</f>
        <v>Nam</v>
      </c>
      <c r="D249" s="4" t="str">
        <f ca="1">IFERROR(__xludf.DUMMYFUNCTION("""COMPUTED_VALUE"""),"Sau đại học")</f>
        <v>Sau đại học</v>
      </c>
      <c r="E249" s="4" t="str">
        <f ca="1">IFERROR(__xludf.DUMMYFUNCTION("""COMPUTED_VALUE"""),"Từ 3 đến 5 năm")</f>
        <v>Từ 3 đến 5 năm</v>
      </c>
      <c r="F249" s="4" t="str">
        <f ca="1">IFERROR(__xludf.DUMMYFUNCTION("""COMPUTED_VALUE"""),"Trợ lý kiểm toán")</f>
        <v>Trợ lý kiểm toán</v>
      </c>
    </row>
    <row r="250" spans="1:6" x14ac:dyDescent="0.25">
      <c r="A250"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0" s="4" t="str">
        <f ca="1">IFERROR(__xludf.DUMMYFUNCTION("""COMPUTED_VALUE"""),"NGUYỄN VĂN TUYÊN")</f>
        <v>NGUYỄN VĂN TUYÊN</v>
      </c>
      <c r="C250" s="4" t="str">
        <f ca="1">IFERROR(__xludf.DUMMYFUNCTION("""COMPUTED_VALUE"""),"Nam")</f>
        <v>Nam</v>
      </c>
      <c r="D250" s="4" t="str">
        <f ca="1">IFERROR(__xludf.DUMMYFUNCTION("""COMPUTED_VALUE"""),"Đại học")</f>
        <v>Đại học</v>
      </c>
      <c r="E250" s="4" t="str">
        <f ca="1">IFERROR(__xludf.DUMMYFUNCTION("""COMPUTED_VALUE"""),"Trên 15 đến 20 năm")</f>
        <v>Trên 15 đến 20 năm</v>
      </c>
      <c r="F250" s="4" t="str">
        <f ca="1">IFERROR(__xludf.DUMMYFUNCTION("""COMPUTED_VALUE"""),"Trưởng phòng")</f>
        <v>Trưởng phòng</v>
      </c>
    </row>
    <row r="251" spans="1:6" x14ac:dyDescent="0.25">
      <c r="A251"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1" s="4" t="str">
        <f ca="1">IFERROR(__xludf.DUMMYFUNCTION("""COMPUTED_VALUE"""),"NGUYỄN DƯƠNG HOÀNG ANH KHOA")</f>
        <v>NGUYỄN DƯƠNG HOÀNG ANH KHOA</v>
      </c>
      <c r="C251" s="4" t="str">
        <f ca="1">IFERROR(__xludf.DUMMYFUNCTION("""COMPUTED_VALUE"""),"Nam")</f>
        <v>Nam</v>
      </c>
      <c r="D251" s="4" t="str">
        <f ca="1">IFERROR(__xludf.DUMMYFUNCTION("""COMPUTED_VALUE"""),"Sau đại học, Chứng chỉ Kiểm toán viên")</f>
        <v>Sau đại học, Chứng chỉ Kiểm toán viên</v>
      </c>
      <c r="E251" s="4" t="str">
        <f ca="1">IFERROR(__xludf.DUMMYFUNCTION("""COMPUTED_VALUE"""),"Trên 15 đến 20 năm")</f>
        <v>Trên 15 đến 20 năm</v>
      </c>
      <c r="F251" s="4" t="str">
        <f ca="1">IFERROR(__xludf.DUMMYFUNCTION("""COMPUTED_VALUE"""),"Trưởng phòng")</f>
        <v>Trưởng phòng</v>
      </c>
    </row>
    <row r="252" spans="1:6" x14ac:dyDescent="0.25">
      <c r="A252"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2" s="4" t="str">
        <f ca="1">IFERROR(__xludf.DUMMYFUNCTION("""COMPUTED_VALUE"""),"Trần Thị Huyền Trang")</f>
        <v>Trần Thị Huyền Trang</v>
      </c>
      <c r="C252" s="4" t="str">
        <f ca="1">IFERROR(__xludf.DUMMYFUNCTION("""COMPUTED_VALUE"""),"Nữ")</f>
        <v>Nữ</v>
      </c>
      <c r="D252" s="4" t="str">
        <f ca="1">IFERROR(__xludf.DUMMYFUNCTION("""COMPUTED_VALUE"""),"Đại học, Chứng chỉ Kiểm toán viên")</f>
        <v>Đại học, Chứng chỉ Kiểm toán viên</v>
      </c>
      <c r="E252" s="4" t="str">
        <f ca="1">IFERROR(__xludf.DUMMYFUNCTION("""COMPUTED_VALUE"""),"Trên 5 đến 10 năm")</f>
        <v>Trên 5 đến 10 năm</v>
      </c>
      <c r="F252" s="4" t="str">
        <f ca="1">IFERROR(__xludf.DUMMYFUNCTION("""COMPUTED_VALUE"""),"Kiểm toán viên/Trưởng nhóm")</f>
        <v>Kiểm toán viên/Trưởng nhóm</v>
      </c>
    </row>
    <row r="253" spans="1:6" x14ac:dyDescent="0.25">
      <c r="A253"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3" s="4" t="str">
        <f ca="1">IFERROR(__xludf.DUMMYFUNCTION("""COMPUTED_VALUE"""),"Phạm Đức Bảo")</f>
        <v>Phạm Đức Bảo</v>
      </c>
      <c r="C253" s="4" t="str">
        <f ca="1">IFERROR(__xludf.DUMMYFUNCTION("""COMPUTED_VALUE"""),"Nam")</f>
        <v>Nam</v>
      </c>
      <c r="D253" s="4" t="str">
        <f ca="1">IFERROR(__xludf.DUMMYFUNCTION("""COMPUTED_VALUE"""),"Đại học")</f>
        <v>Đại học</v>
      </c>
      <c r="E253" s="4" t="str">
        <f ca="1">IFERROR(__xludf.DUMMYFUNCTION("""COMPUTED_VALUE"""),"Trên 10 đến 15 năm")</f>
        <v>Trên 10 đến 15 năm</v>
      </c>
      <c r="F253" s="4" t="str">
        <f ca="1">IFERROR(__xludf.DUMMYFUNCTION("""COMPUTED_VALUE"""),"Trưởng phòng")</f>
        <v>Trưởng phòng</v>
      </c>
    </row>
    <row r="254" spans="1:6" x14ac:dyDescent="0.25">
      <c r="A254"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4" s="4" t="str">
        <f ca="1">IFERROR(__xludf.DUMMYFUNCTION("""COMPUTED_VALUE"""),"Lã Thị Thu Phương")</f>
        <v>Lã Thị Thu Phương</v>
      </c>
      <c r="C254" s="4" t="str">
        <f ca="1">IFERROR(__xludf.DUMMYFUNCTION("""COMPUTED_VALUE"""),"Nữ")</f>
        <v>Nữ</v>
      </c>
      <c r="D254" s="4" t="str">
        <f ca="1">IFERROR(__xludf.DUMMYFUNCTION("""COMPUTED_VALUE"""),"Đại học")</f>
        <v>Đại học</v>
      </c>
      <c r="E254" s="4" t="str">
        <f ca="1">IFERROR(__xludf.DUMMYFUNCTION("""COMPUTED_VALUE"""),"Từ 3 đến 5 năm")</f>
        <v>Từ 3 đến 5 năm</v>
      </c>
      <c r="F254" s="4" t="str">
        <f ca="1">IFERROR(__xludf.DUMMYFUNCTION("""COMPUTED_VALUE"""),"Trợ lý kiểm toán")</f>
        <v>Trợ lý kiểm toán</v>
      </c>
    </row>
    <row r="255" spans="1:6" x14ac:dyDescent="0.25">
      <c r="A255"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5" s="4" t="str">
        <f ca="1">IFERROR(__xludf.DUMMYFUNCTION("""COMPUTED_VALUE"""),"Lê Khắc Toàn")</f>
        <v>Lê Khắc Toàn</v>
      </c>
      <c r="C255" s="4" t="str">
        <f ca="1">IFERROR(__xludf.DUMMYFUNCTION("""COMPUTED_VALUE"""),"Nam")</f>
        <v>Nam</v>
      </c>
      <c r="D255" s="4" t="str">
        <f ca="1">IFERROR(__xludf.DUMMYFUNCTION("""COMPUTED_VALUE"""),"Chứng chỉ Kiểm toán viên")</f>
        <v>Chứng chỉ Kiểm toán viên</v>
      </c>
      <c r="E255" s="4" t="str">
        <f ca="1">IFERROR(__xludf.DUMMYFUNCTION("""COMPUTED_VALUE"""),"Trên 5 đến 10 năm")</f>
        <v>Trên 5 đến 10 năm</v>
      </c>
      <c r="F255" s="4" t="str">
        <f ca="1">IFERROR(__xludf.DUMMYFUNCTION("""COMPUTED_VALUE"""),"Kiểm toán viên/Trưởng nhóm")</f>
        <v>Kiểm toán viên/Trưởng nhóm</v>
      </c>
    </row>
    <row r="256" spans="1:6" x14ac:dyDescent="0.25">
      <c r="A256"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6" s="4" t="str">
        <f ca="1">IFERROR(__xludf.DUMMYFUNCTION("""COMPUTED_VALUE"""),"Trần Ngọc Triều")</f>
        <v>Trần Ngọc Triều</v>
      </c>
      <c r="C256" s="4" t="str">
        <f ca="1">IFERROR(__xludf.DUMMYFUNCTION("""COMPUTED_VALUE"""),"Nam")</f>
        <v>Nam</v>
      </c>
      <c r="D256" s="4" t="str">
        <f ca="1">IFERROR(__xludf.DUMMYFUNCTION("""COMPUTED_VALUE"""),"Đại học")</f>
        <v>Đại học</v>
      </c>
      <c r="E256" s="4" t="str">
        <f ca="1">IFERROR(__xludf.DUMMYFUNCTION("""COMPUTED_VALUE"""),"Từ 3 đến 5 năm")</f>
        <v>Từ 3 đến 5 năm</v>
      </c>
      <c r="F256" s="4" t="str">
        <f ca="1">IFERROR(__xludf.DUMMYFUNCTION("""COMPUTED_VALUE"""),"Trợ lý kiểm toán")</f>
        <v>Trợ lý kiểm toán</v>
      </c>
    </row>
    <row r="257" spans="1:6" x14ac:dyDescent="0.25">
      <c r="A257"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7" s="4" t="str">
        <f ca="1">IFERROR(__xludf.DUMMYFUNCTION("""COMPUTED_VALUE"""),"Hồ Lê Thùy Dương")</f>
        <v>Hồ Lê Thùy Dương</v>
      </c>
      <c r="C257" s="4" t="str">
        <f ca="1">IFERROR(__xludf.DUMMYFUNCTION("""COMPUTED_VALUE"""),"Nữ")</f>
        <v>Nữ</v>
      </c>
      <c r="D257" s="4" t="str">
        <f ca="1">IFERROR(__xludf.DUMMYFUNCTION("""COMPUTED_VALUE"""),"Đại học")</f>
        <v>Đại học</v>
      </c>
      <c r="E257" s="4" t="str">
        <f ca="1">IFERROR(__xludf.DUMMYFUNCTION("""COMPUTED_VALUE"""),"Từ 3 đến 5 năm")</f>
        <v>Từ 3 đến 5 năm</v>
      </c>
      <c r="F257" s="4" t="str">
        <f ca="1">IFERROR(__xludf.DUMMYFUNCTION("""COMPUTED_VALUE"""),"Trợ lý kiểm toán")</f>
        <v>Trợ lý kiểm toán</v>
      </c>
    </row>
    <row r="258" spans="1:6" x14ac:dyDescent="0.25">
      <c r="A258"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8" s="4" t="str">
        <f ca="1">IFERROR(__xludf.DUMMYFUNCTION("""COMPUTED_VALUE"""),"Bùi Duy Phương Thanh")</f>
        <v>Bùi Duy Phương Thanh</v>
      </c>
      <c r="C258" s="4" t="str">
        <f ca="1">IFERROR(__xludf.DUMMYFUNCTION("""COMPUTED_VALUE"""),"Nữ")</f>
        <v>Nữ</v>
      </c>
      <c r="D258" s="4" t="str">
        <f ca="1">IFERROR(__xludf.DUMMYFUNCTION("""COMPUTED_VALUE"""),"Chứng chỉ Kiểm toán viên")</f>
        <v>Chứng chỉ Kiểm toán viên</v>
      </c>
      <c r="E258" s="4" t="str">
        <f ca="1">IFERROR(__xludf.DUMMYFUNCTION("""COMPUTED_VALUE"""),"Trên 10 đến 15 năm")</f>
        <v>Trên 10 đến 15 năm</v>
      </c>
      <c r="F258" s="4" t="str">
        <f ca="1">IFERROR(__xludf.DUMMYFUNCTION("""COMPUTED_VALUE"""),"Kiểm toán viên/Trưởng nhóm")</f>
        <v>Kiểm toán viên/Trưởng nhóm</v>
      </c>
    </row>
    <row r="259" spans="1:6" x14ac:dyDescent="0.25">
      <c r="A259"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59" s="4" t="str">
        <f ca="1">IFERROR(__xludf.DUMMYFUNCTION("""COMPUTED_VALUE"""),"Nguyễn Hồng Nga")</f>
        <v>Nguyễn Hồng Nga</v>
      </c>
      <c r="C259" s="4" t="str">
        <f ca="1">IFERROR(__xludf.DUMMYFUNCTION("""COMPUTED_VALUE"""),"Nữ")</f>
        <v>Nữ</v>
      </c>
      <c r="D259" s="4" t="str">
        <f ca="1">IFERROR(__xludf.DUMMYFUNCTION("""COMPUTED_VALUE"""),"Đại học, Chứng chỉ Kiểm toán viên")</f>
        <v>Đại học, Chứng chỉ Kiểm toán viên</v>
      </c>
      <c r="E259" s="4" t="str">
        <f ca="1">IFERROR(__xludf.DUMMYFUNCTION("""COMPUTED_VALUE"""),"Trên 20 năm")</f>
        <v>Trên 20 năm</v>
      </c>
      <c r="F259" s="4" t="str">
        <f ca="1">IFERROR(__xludf.DUMMYFUNCTION("""COMPUTED_VALUE"""),"Trưởng phòng")</f>
        <v>Trưởng phòng</v>
      </c>
    </row>
    <row r="260" spans="1:6" x14ac:dyDescent="0.25">
      <c r="A260"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60" s="4" t="str">
        <f ca="1">IFERROR(__xludf.DUMMYFUNCTION("""COMPUTED_VALUE"""),"Lê Mỹ Trang")</f>
        <v>Lê Mỹ Trang</v>
      </c>
      <c r="C260" s="4" t="str">
        <f ca="1">IFERROR(__xludf.DUMMYFUNCTION("""COMPUTED_VALUE"""),"Nữ")</f>
        <v>Nữ</v>
      </c>
      <c r="D260" s="4" t="str">
        <f ca="1">IFERROR(__xludf.DUMMYFUNCTION("""COMPUTED_VALUE"""),"Đại học, Chứng chỉ Kiểm toán viên")</f>
        <v>Đại học, Chứng chỉ Kiểm toán viên</v>
      </c>
      <c r="E260" s="4" t="str">
        <f ca="1">IFERROR(__xludf.DUMMYFUNCTION("""COMPUTED_VALUE"""),"Trên 15 đến 20 năm")</f>
        <v>Trên 15 đến 20 năm</v>
      </c>
      <c r="F260" s="4" t="str">
        <f ca="1">IFERROR(__xludf.DUMMYFUNCTION("""COMPUTED_VALUE"""),"Trưởng phòng")</f>
        <v>Trưởng phòng</v>
      </c>
    </row>
    <row r="261" spans="1:6" x14ac:dyDescent="0.25">
      <c r="A261"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61" s="4" t="str">
        <f ca="1">IFERROR(__xludf.DUMMYFUNCTION("""COMPUTED_VALUE"""),"Nguyễn Bá Phước")</f>
        <v>Nguyễn Bá Phước</v>
      </c>
      <c r="C261" s="4" t="str">
        <f ca="1">IFERROR(__xludf.DUMMYFUNCTION("""COMPUTED_VALUE"""),"Nam")</f>
        <v>Nam</v>
      </c>
      <c r="D261" s="4" t="str">
        <f ca="1">IFERROR(__xludf.DUMMYFUNCTION("""COMPUTED_VALUE"""),"Đại học")</f>
        <v>Đại học</v>
      </c>
      <c r="E261" s="4" t="str">
        <f ca="1">IFERROR(__xludf.DUMMYFUNCTION("""COMPUTED_VALUE"""),"Từ 3 đến 5 năm")</f>
        <v>Từ 3 đến 5 năm</v>
      </c>
      <c r="F261" s="4" t="str">
        <f ca="1">IFERROR(__xludf.DUMMYFUNCTION("""COMPUTED_VALUE"""),"Trợ lý kiểm toán")</f>
        <v>Trợ lý kiểm toán</v>
      </c>
    </row>
    <row r="262" spans="1:6" x14ac:dyDescent="0.25">
      <c r="A262"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62" s="4" t="str">
        <f ca="1">IFERROR(__xludf.DUMMYFUNCTION("""COMPUTED_VALUE"""),"Nguyễn Thị Thu Thủy")</f>
        <v>Nguyễn Thị Thu Thủy</v>
      </c>
      <c r="C262" s="4" t="str">
        <f ca="1">IFERROR(__xludf.DUMMYFUNCTION("""COMPUTED_VALUE"""),"Nữ")</f>
        <v>Nữ</v>
      </c>
      <c r="D262" s="4" t="str">
        <f ca="1">IFERROR(__xludf.DUMMYFUNCTION("""COMPUTED_VALUE"""),"Đại học")</f>
        <v>Đại học</v>
      </c>
      <c r="E262" s="4" t="str">
        <f ca="1">IFERROR(__xludf.DUMMYFUNCTION("""COMPUTED_VALUE"""),"Trên 5 đến 10 năm")</f>
        <v>Trên 5 đến 10 năm</v>
      </c>
      <c r="F262" s="4" t="str">
        <f ca="1">IFERROR(__xludf.DUMMYFUNCTION("""COMPUTED_VALUE"""),"Kiểm toán viên/Trưởng nhóm")</f>
        <v>Kiểm toán viên/Trưởng nhóm</v>
      </c>
    </row>
    <row r="263" spans="1:6" x14ac:dyDescent="0.25">
      <c r="A263" s="4" t="str">
        <f ca="1">IFERROR(__xludf.DUMMYFUNCTION("""COMPUTED_VALUE"""),"Công ty TNHH Kiểm toán NVA (đổi tên từ Công ty TNHH Dịch vụ Tư vấn Tài chính Kế toán và Kiểm toán Nam Việt)")</f>
        <v>Công ty TNHH Kiểm toán NVA (đổi tên từ Công ty TNHH Dịch vụ Tư vấn Tài chính Kế toán và Kiểm toán Nam Việt)</v>
      </c>
      <c r="B263" s="4" t="str">
        <f ca="1">IFERROR(__xludf.DUMMYFUNCTION("""COMPUTED_VALUE"""),"Nguyễn Thị Nguyên Nhung")</f>
        <v>Nguyễn Thị Nguyên Nhung</v>
      </c>
      <c r="C263" s="4" t="str">
        <f ca="1">IFERROR(__xludf.DUMMYFUNCTION("""COMPUTED_VALUE"""),"Nữ")</f>
        <v>Nữ</v>
      </c>
      <c r="D263" s="4" t="str">
        <f ca="1">IFERROR(__xludf.DUMMYFUNCTION("""COMPUTED_VALUE"""),"Đại học, Chứng chỉ Kiểm toán viên")</f>
        <v>Đại học, Chứng chỉ Kiểm toán viên</v>
      </c>
      <c r="E263" s="4" t="str">
        <f ca="1">IFERROR(__xludf.DUMMYFUNCTION("""COMPUTED_VALUE"""),"Trên 15 đến 20 năm")</f>
        <v>Trên 15 đến 20 năm</v>
      </c>
      <c r="F263" s="4" t="str">
        <f ca="1">IFERROR(__xludf.DUMMYFUNCTION("""COMPUTED_VALUE"""),"Ban giám đốc")</f>
        <v>Ban giám đốc</v>
      </c>
    </row>
    <row r="264" spans="1:6" x14ac:dyDescent="0.25">
      <c r="A264" s="4" t="str">
        <f ca="1">IFERROR(__xludf.DUMMYFUNCTION("""COMPUTED_VALUE"""),"Công ty TNHH Kiểm toán Phương Đông")</f>
        <v>Công ty TNHH Kiểm toán Phương Đông</v>
      </c>
      <c r="B264" s="4" t="str">
        <f ca="1">IFERROR(__xludf.DUMMYFUNCTION("""COMPUTED_VALUE"""),"Phạm Tất Thành ")</f>
        <v xml:space="preserve">Phạm Tất Thành </v>
      </c>
      <c r="C264" s="4" t="str">
        <f ca="1">IFERROR(__xludf.DUMMYFUNCTION("""COMPUTED_VALUE"""),"Nam")</f>
        <v>Nam</v>
      </c>
      <c r="D264" s="4" t="str">
        <f ca="1">IFERROR(__xludf.DUMMYFUNCTION("""COMPUTED_VALUE"""),"Đại học, Chứng chỉ Kiểm toán viên")</f>
        <v>Đại học, Chứng chỉ Kiểm toán viên</v>
      </c>
      <c r="E264" s="4" t="str">
        <f ca="1">IFERROR(__xludf.DUMMYFUNCTION("""COMPUTED_VALUE"""),"Trên 20 năm")</f>
        <v>Trên 20 năm</v>
      </c>
      <c r="F264" s="4" t="str">
        <f ca="1">IFERROR(__xludf.DUMMYFUNCTION("""COMPUTED_VALUE"""),"Ban giám đốc")</f>
        <v>Ban giám đốc</v>
      </c>
    </row>
    <row r="265" spans="1:6" x14ac:dyDescent="0.25">
      <c r="A265" s="4" t="str">
        <f ca="1">IFERROR(__xludf.DUMMYFUNCTION("""COMPUTED_VALUE"""),"Công ty TNHH Kiểm toán Quốc tế")</f>
        <v>Công ty TNHH Kiểm toán Quốc tế</v>
      </c>
      <c r="B265" s="4" t="str">
        <f ca="1">IFERROR(__xludf.DUMMYFUNCTION("""COMPUTED_VALUE"""),"Nguyễn Thị Huyền Trang")</f>
        <v>Nguyễn Thị Huyền Trang</v>
      </c>
      <c r="C265" s="4" t="str">
        <f ca="1">IFERROR(__xludf.DUMMYFUNCTION("""COMPUTED_VALUE"""),"Nữ")</f>
        <v>Nữ</v>
      </c>
      <c r="D265" s="4" t="str">
        <f ca="1">IFERROR(__xludf.DUMMYFUNCTION("""COMPUTED_VALUE"""),"Đại học, Chứng chỉ Kiểm toán viên")</f>
        <v>Đại học, Chứng chỉ Kiểm toán viên</v>
      </c>
      <c r="E265" s="4" t="str">
        <f ca="1">IFERROR(__xludf.DUMMYFUNCTION("""COMPUTED_VALUE"""),"Trên 5 đến 10 năm")</f>
        <v>Trên 5 đến 10 năm</v>
      </c>
      <c r="F265" s="4" t="str">
        <f ca="1">IFERROR(__xludf.DUMMYFUNCTION("""COMPUTED_VALUE"""),"Kiểm toán viên/Trưởng nhóm")</f>
        <v>Kiểm toán viên/Trưởng nhóm</v>
      </c>
    </row>
    <row r="266" spans="1:6" x14ac:dyDescent="0.25">
      <c r="A266" s="4" t="str">
        <f ca="1">IFERROR(__xludf.DUMMYFUNCTION("""COMPUTED_VALUE"""),"Công ty TNHH Kiểm toán Quốc tế")</f>
        <v>Công ty TNHH Kiểm toán Quốc tế</v>
      </c>
      <c r="B266" s="4" t="str">
        <f ca="1">IFERROR(__xludf.DUMMYFUNCTION("""COMPUTED_VALUE"""),"Nguyễn Trí Dũng")</f>
        <v>Nguyễn Trí Dũng</v>
      </c>
      <c r="C266" s="4" t="str">
        <f ca="1">IFERROR(__xludf.DUMMYFUNCTION("""COMPUTED_VALUE"""),"Nam")</f>
        <v>Nam</v>
      </c>
      <c r="D266" s="4" t="str">
        <f ca="1">IFERROR(__xludf.DUMMYFUNCTION("""COMPUTED_VALUE"""),"Đại học")</f>
        <v>Đại học</v>
      </c>
      <c r="E266" s="4" t="str">
        <f ca="1">IFERROR(__xludf.DUMMYFUNCTION("""COMPUTED_VALUE"""),"Từ 3 đến 5 năm")</f>
        <v>Từ 3 đến 5 năm</v>
      </c>
      <c r="F266" s="4" t="str">
        <f ca="1">IFERROR(__xludf.DUMMYFUNCTION("""COMPUTED_VALUE"""),"Trợ lý kiểm toán")</f>
        <v>Trợ lý kiểm toán</v>
      </c>
    </row>
    <row r="267" spans="1:6" x14ac:dyDescent="0.25">
      <c r="A267" s="4" t="str">
        <f ca="1">IFERROR(__xludf.DUMMYFUNCTION("""COMPUTED_VALUE"""),"Công ty TNHH Kiểm toán Quốc tế")</f>
        <v>Công ty TNHH Kiểm toán Quốc tế</v>
      </c>
      <c r="B267" s="4"/>
      <c r="C267" s="4" t="str">
        <f ca="1">IFERROR(__xludf.DUMMYFUNCTION("""COMPUTED_VALUE"""),"Nam")</f>
        <v>Nam</v>
      </c>
      <c r="D267" s="4" t="str">
        <f ca="1">IFERROR(__xludf.DUMMYFUNCTION("""COMPUTED_VALUE"""),"Đại học, Chứng chỉ Kiểm toán viên")</f>
        <v>Đại học, Chứng chỉ Kiểm toán viên</v>
      </c>
      <c r="E267" s="4" t="str">
        <f ca="1">IFERROR(__xludf.DUMMYFUNCTION("""COMPUTED_VALUE"""),"Trên 10 đến 15 năm")</f>
        <v>Trên 10 đến 15 năm</v>
      </c>
      <c r="F267" s="4" t="str">
        <f ca="1">IFERROR(__xludf.DUMMYFUNCTION("""COMPUTED_VALUE"""),"Trưởng phòng")</f>
        <v>Trưởng phòng</v>
      </c>
    </row>
    <row r="268" spans="1:6" x14ac:dyDescent="0.25">
      <c r="A268" s="4" t="str">
        <f ca="1">IFERROR(__xludf.DUMMYFUNCTION("""COMPUTED_VALUE"""),"Công ty TNHH Kiểm toán Quốc tế")</f>
        <v>Công ty TNHH Kiểm toán Quốc tế</v>
      </c>
      <c r="B268" s="4" t="str">
        <f ca="1">IFERROR(__xludf.DUMMYFUNCTION("""COMPUTED_VALUE"""),"Đinh Thị Ngọc Anh")</f>
        <v>Đinh Thị Ngọc Anh</v>
      </c>
      <c r="C268" s="4" t="str">
        <f ca="1">IFERROR(__xludf.DUMMYFUNCTION("""COMPUTED_VALUE"""),"Nữ")</f>
        <v>Nữ</v>
      </c>
      <c r="D268" s="4" t="str">
        <f ca="1">IFERROR(__xludf.DUMMYFUNCTION("""COMPUTED_VALUE"""),"Đại học, Chứng chỉ Kiểm toán viên")</f>
        <v>Đại học, Chứng chỉ Kiểm toán viên</v>
      </c>
      <c r="E268" s="4" t="str">
        <f ca="1">IFERROR(__xludf.DUMMYFUNCTION("""COMPUTED_VALUE"""),"Từ 3 đến 5 năm")</f>
        <v>Từ 3 đến 5 năm</v>
      </c>
      <c r="F268" s="4" t="str">
        <f ca="1">IFERROR(__xludf.DUMMYFUNCTION("""COMPUTED_VALUE"""),"Kiểm toán viên/Trưởng nhóm")</f>
        <v>Kiểm toán viên/Trưởng nhóm</v>
      </c>
    </row>
    <row r="269" spans="1:6" x14ac:dyDescent="0.25">
      <c r="A269" s="4" t="str">
        <f ca="1">IFERROR(__xludf.DUMMYFUNCTION("""COMPUTED_VALUE"""),"Công ty TNHH Kiểm toán Quốc tế")</f>
        <v>Công ty TNHH Kiểm toán Quốc tế</v>
      </c>
      <c r="B269" s="4" t="str">
        <f ca="1">IFERROR(__xludf.DUMMYFUNCTION("""COMPUTED_VALUE"""),"Lê Anh Tiên")</f>
        <v>Lê Anh Tiên</v>
      </c>
      <c r="C269" s="4" t="str">
        <f ca="1">IFERROR(__xludf.DUMMYFUNCTION("""COMPUTED_VALUE"""),"Nam")</f>
        <v>Nam</v>
      </c>
      <c r="D269" s="4" t="str">
        <f ca="1">IFERROR(__xludf.DUMMYFUNCTION("""COMPUTED_VALUE"""),"Chứng chỉ Kiểm toán viên")</f>
        <v>Chứng chỉ Kiểm toán viên</v>
      </c>
      <c r="E269" s="4" t="str">
        <f ca="1">IFERROR(__xludf.DUMMYFUNCTION("""COMPUTED_VALUE"""),"Trên 10 đến 15 năm")</f>
        <v>Trên 10 đến 15 năm</v>
      </c>
      <c r="F269" s="4" t="str">
        <f ca="1">IFERROR(__xludf.DUMMYFUNCTION("""COMPUTED_VALUE"""),"Kiểm toán viên/Trưởng nhóm")</f>
        <v>Kiểm toán viên/Trưởng nhóm</v>
      </c>
    </row>
    <row r="270" spans="1:6" x14ac:dyDescent="0.25">
      <c r="A270" s="4" t="str">
        <f ca="1">IFERROR(__xludf.DUMMYFUNCTION("""COMPUTED_VALUE"""),"Công ty TNHH Kiểm toán Quốc tế")</f>
        <v>Công ty TNHH Kiểm toán Quốc tế</v>
      </c>
      <c r="B270" s="4" t="str">
        <f ca="1">IFERROR(__xludf.DUMMYFUNCTION("""COMPUTED_VALUE"""),"Linh")</f>
        <v>Linh</v>
      </c>
      <c r="C270" s="4" t="str">
        <f ca="1">IFERROR(__xludf.DUMMYFUNCTION("""COMPUTED_VALUE"""),"Nữ")</f>
        <v>Nữ</v>
      </c>
      <c r="D270" s="4" t="str">
        <f ca="1">IFERROR(__xludf.DUMMYFUNCTION("""COMPUTED_VALUE"""),"Đại học")</f>
        <v>Đại học</v>
      </c>
      <c r="E270" s="4" t="str">
        <f ca="1">IFERROR(__xludf.DUMMYFUNCTION("""COMPUTED_VALUE"""),"Trên 15 đến 20 năm")</f>
        <v>Trên 15 đến 20 năm</v>
      </c>
      <c r="F270" s="4" t="str">
        <f ca="1">IFERROR(__xludf.DUMMYFUNCTION("""COMPUTED_VALUE"""),"Trưởng phòng")</f>
        <v>Trưởng phòng</v>
      </c>
    </row>
    <row r="271" spans="1:6" x14ac:dyDescent="0.25">
      <c r="A271" s="4" t="str">
        <f ca="1">IFERROR(__xludf.DUMMYFUNCTION("""COMPUTED_VALUE"""),"Công ty TNHH Kiểm toán Quốc tế")</f>
        <v>Công ty TNHH Kiểm toán Quốc tế</v>
      </c>
      <c r="B271" s="4" t="str">
        <f ca="1">IFERROR(__xludf.DUMMYFUNCTION("""COMPUTED_VALUE"""),"Đặng Hữu Việt")</f>
        <v>Đặng Hữu Việt</v>
      </c>
      <c r="C271" s="4" t="str">
        <f ca="1">IFERROR(__xludf.DUMMYFUNCTION("""COMPUTED_VALUE"""),"Nam")</f>
        <v>Nam</v>
      </c>
      <c r="D271" s="4" t="str">
        <f ca="1">IFERROR(__xludf.DUMMYFUNCTION("""COMPUTED_VALUE"""),"Đại học")</f>
        <v>Đại học</v>
      </c>
      <c r="E271" s="4" t="str">
        <f ca="1">IFERROR(__xludf.DUMMYFUNCTION("""COMPUTED_VALUE"""),"Trên 10 đến 15 năm")</f>
        <v>Trên 10 đến 15 năm</v>
      </c>
      <c r="F271" s="4" t="str">
        <f ca="1">IFERROR(__xludf.DUMMYFUNCTION("""COMPUTED_VALUE"""),"Trưởng phòng")</f>
        <v>Trưởng phòng</v>
      </c>
    </row>
    <row r="272" spans="1:6" x14ac:dyDescent="0.25">
      <c r="A272" s="4" t="str">
        <f ca="1">IFERROR(__xludf.DUMMYFUNCTION("""COMPUTED_VALUE"""),"Công ty TNHH Kiểm toán Quốc tế")</f>
        <v>Công ty TNHH Kiểm toán Quốc tế</v>
      </c>
      <c r="B272" s="4" t="str">
        <f ca="1">IFERROR(__xludf.DUMMYFUNCTION("""COMPUTED_VALUE"""),"Nhi Phạm")</f>
        <v>Nhi Phạm</v>
      </c>
      <c r="C272" s="4" t="str">
        <f ca="1">IFERROR(__xludf.DUMMYFUNCTION("""COMPUTED_VALUE"""),"Nữ")</f>
        <v>Nữ</v>
      </c>
      <c r="D272" s="4" t="str">
        <f ca="1">IFERROR(__xludf.DUMMYFUNCTION("""COMPUTED_VALUE"""),"Đại học")</f>
        <v>Đại học</v>
      </c>
      <c r="E272" s="4" t="str">
        <f ca="1">IFERROR(__xludf.DUMMYFUNCTION("""COMPUTED_VALUE"""),"Trên 5 đến 10 năm")</f>
        <v>Trên 5 đến 10 năm</v>
      </c>
      <c r="F272" s="4" t="str">
        <f ca="1">IFERROR(__xludf.DUMMYFUNCTION("""COMPUTED_VALUE"""),"Trợ lý kiểm toán")</f>
        <v>Trợ lý kiểm toán</v>
      </c>
    </row>
    <row r="273" spans="1:6" x14ac:dyDescent="0.25">
      <c r="A273" s="4" t="str">
        <f ca="1">IFERROR(__xludf.DUMMYFUNCTION("""COMPUTED_VALUE"""),"Công ty TNHH Kiểm toán Quốc tế PNT")</f>
        <v>Công ty TNHH Kiểm toán Quốc tế PNT</v>
      </c>
      <c r="B273" s="4" t="str">
        <f ca="1">IFERROR(__xludf.DUMMYFUNCTION("""COMPUTED_VALUE"""),"Lê Ngọc Dũng")</f>
        <v>Lê Ngọc Dũng</v>
      </c>
      <c r="C273" s="4" t="str">
        <f ca="1">IFERROR(__xludf.DUMMYFUNCTION("""COMPUTED_VALUE"""),"Nam")</f>
        <v>Nam</v>
      </c>
      <c r="D273" s="4" t="str">
        <f ca="1">IFERROR(__xludf.DUMMYFUNCTION("""COMPUTED_VALUE"""),"Đại học")</f>
        <v>Đại học</v>
      </c>
      <c r="E273" s="4" t="str">
        <f ca="1">IFERROR(__xludf.DUMMYFUNCTION("""COMPUTED_VALUE"""),"Trên 15 đến 20 năm")</f>
        <v>Trên 15 đến 20 năm</v>
      </c>
      <c r="F273" s="4" t="str">
        <f ca="1">IFERROR(__xludf.DUMMYFUNCTION("""COMPUTED_VALUE"""),"Ban giám đốc")</f>
        <v>Ban giám đốc</v>
      </c>
    </row>
    <row r="274" spans="1:6" x14ac:dyDescent="0.25">
      <c r="A274" s="4" t="str">
        <f ca="1">IFERROR(__xludf.DUMMYFUNCTION("""COMPUTED_VALUE"""),"Công ty TNHH Kiểm toán Quốc tế PNT")</f>
        <v>Công ty TNHH Kiểm toán Quốc tế PNT</v>
      </c>
      <c r="B274" s="4" t="str">
        <f ca="1">IFERROR(__xludf.DUMMYFUNCTION("""COMPUTED_VALUE"""),"Lê Tiến Thành")</f>
        <v>Lê Tiến Thành</v>
      </c>
      <c r="C274" s="4" t="str">
        <f ca="1">IFERROR(__xludf.DUMMYFUNCTION("""COMPUTED_VALUE"""),"Nam")</f>
        <v>Nam</v>
      </c>
      <c r="D274" s="4" t="str">
        <f ca="1">IFERROR(__xludf.DUMMYFUNCTION("""COMPUTED_VALUE"""),"Chứng chỉ Kiểm toán viên")</f>
        <v>Chứng chỉ Kiểm toán viên</v>
      </c>
      <c r="E274" s="4" t="str">
        <f ca="1">IFERROR(__xludf.DUMMYFUNCTION("""COMPUTED_VALUE"""),"Trên 5 đến 10 năm")</f>
        <v>Trên 5 đến 10 năm</v>
      </c>
      <c r="F274" s="4" t="str">
        <f ca="1">IFERROR(__xludf.DUMMYFUNCTION("""COMPUTED_VALUE"""),"Kiểm toán viên/Trưởng nhóm")</f>
        <v>Kiểm toán viên/Trưởng nhóm</v>
      </c>
    </row>
    <row r="275" spans="1:6" x14ac:dyDescent="0.25">
      <c r="A275" s="4" t="str">
        <f ca="1">IFERROR(__xludf.DUMMYFUNCTION("""COMPUTED_VALUE"""),"Công ty TNHH Kiểm toán Quốc tế PNT")</f>
        <v>Công ty TNHH Kiểm toán Quốc tế PNT</v>
      </c>
      <c r="B275" s="4" t="str">
        <f ca="1">IFERROR(__xludf.DUMMYFUNCTION("""COMPUTED_VALUE"""),"Hoàng Khánh Linh")</f>
        <v>Hoàng Khánh Linh</v>
      </c>
      <c r="C275" s="4" t="str">
        <f ca="1">IFERROR(__xludf.DUMMYFUNCTION("""COMPUTED_VALUE"""),"Nữ")</f>
        <v>Nữ</v>
      </c>
      <c r="D275" s="4" t="str">
        <f ca="1">IFERROR(__xludf.DUMMYFUNCTION("""COMPUTED_VALUE"""),"Đại học")</f>
        <v>Đại học</v>
      </c>
      <c r="E275" s="4" t="str">
        <f ca="1">IFERROR(__xludf.DUMMYFUNCTION("""COMPUTED_VALUE"""),"Từ 3 đến 5 năm")</f>
        <v>Từ 3 đến 5 năm</v>
      </c>
      <c r="F275" s="4" t="str">
        <f ca="1">IFERROR(__xludf.DUMMYFUNCTION("""COMPUTED_VALUE"""),"Trợ lý kiểm toán")</f>
        <v>Trợ lý kiểm toán</v>
      </c>
    </row>
    <row r="276" spans="1:6" x14ac:dyDescent="0.25">
      <c r="A276" s="4" t="str">
        <f ca="1">IFERROR(__xludf.DUMMYFUNCTION("""COMPUTED_VALUE"""),"Công ty TNHH Kiểm toán Quốc tế PNT")</f>
        <v>Công ty TNHH Kiểm toán Quốc tế PNT</v>
      </c>
      <c r="B276" s="4" t="str">
        <f ca="1">IFERROR(__xludf.DUMMYFUNCTION("""COMPUTED_VALUE"""),"Phạm Thị Minh Thu")</f>
        <v>Phạm Thị Minh Thu</v>
      </c>
      <c r="C276" s="4" t="str">
        <f ca="1">IFERROR(__xludf.DUMMYFUNCTION("""COMPUTED_VALUE"""),"Nữ")</f>
        <v>Nữ</v>
      </c>
      <c r="D276" s="4" t="str">
        <f ca="1">IFERROR(__xludf.DUMMYFUNCTION("""COMPUTED_VALUE"""),"Đại học")</f>
        <v>Đại học</v>
      </c>
      <c r="E276" s="4" t="str">
        <f ca="1">IFERROR(__xludf.DUMMYFUNCTION("""COMPUTED_VALUE"""),"Từ 3 đến 5 năm")</f>
        <v>Từ 3 đến 5 năm</v>
      </c>
      <c r="F276" s="4" t="str">
        <f ca="1">IFERROR(__xludf.DUMMYFUNCTION("""COMPUTED_VALUE"""),"Trợ lý kiểm toán")</f>
        <v>Trợ lý kiểm toán</v>
      </c>
    </row>
    <row r="277" spans="1:6" x14ac:dyDescent="0.25">
      <c r="A277" s="4" t="str">
        <f ca="1">IFERROR(__xludf.DUMMYFUNCTION("""COMPUTED_VALUE"""),"Công ty TNHH Kiểm toán Quốc tế PNT")</f>
        <v>Công ty TNHH Kiểm toán Quốc tế PNT</v>
      </c>
      <c r="B277" s="4" t="str">
        <f ca="1">IFERROR(__xludf.DUMMYFUNCTION("""COMPUTED_VALUE"""),"Nguyễn Quế Anh")</f>
        <v>Nguyễn Quế Anh</v>
      </c>
      <c r="C277" s="4" t="str">
        <f ca="1">IFERROR(__xludf.DUMMYFUNCTION("""COMPUTED_VALUE"""),"Nữ")</f>
        <v>Nữ</v>
      </c>
      <c r="D277" s="4" t="str">
        <f ca="1">IFERROR(__xludf.DUMMYFUNCTION("""COMPUTED_VALUE"""),"Đại học, Chứng chỉ Kiểm toán viên")</f>
        <v>Đại học, Chứng chỉ Kiểm toán viên</v>
      </c>
      <c r="E277" s="4" t="str">
        <f ca="1">IFERROR(__xludf.DUMMYFUNCTION("""COMPUTED_VALUE"""),"Trên 15 đến 20 năm")</f>
        <v>Trên 15 đến 20 năm</v>
      </c>
      <c r="F277" s="4" t="str">
        <f ca="1">IFERROR(__xludf.DUMMYFUNCTION("""COMPUTED_VALUE"""),"Kiểm toán viên/Trưởng nhóm")</f>
        <v>Kiểm toán viên/Trưởng nhóm</v>
      </c>
    </row>
    <row r="278" spans="1:6" x14ac:dyDescent="0.25">
      <c r="A278" s="4" t="str">
        <f ca="1">IFERROR(__xludf.DUMMYFUNCTION("""COMPUTED_VALUE"""),"Công ty TNHH Kiểm toán Sao Việt")</f>
        <v>Công ty TNHH Kiểm toán Sao Việt</v>
      </c>
      <c r="B278" s="4" t="str">
        <f ca="1">IFERROR(__xludf.DUMMYFUNCTION("""COMPUTED_VALUE"""),"ĐINH TẤN TƯỞNG")</f>
        <v>ĐINH TẤN TƯỞNG</v>
      </c>
      <c r="C278" s="4" t="str">
        <f ca="1">IFERROR(__xludf.DUMMYFUNCTION("""COMPUTED_VALUE"""),"Nam")</f>
        <v>Nam</v>
      </c>
      <c r="D278" s="4" t="str">
        <f ca="1">IFERROR(__xludf.DUMMYFUNCTION("""COMPUTED_VALUE"""),"Sau đại học, Chứng chỉ Kiểm toán viên")</f>
        <v>Sau đại học, Chứng chỉ Kiểm toán viên</v>
      </c>
      <c r="E278" s="4" t="str">
        <f ca="1">IFERROR(__xludf.DUMMYFUNCTION("""COMPUTED_VALUE"""),"Trên 20 năm")</f>
        <v>Trên 20 năm</v>
      </c>
      <c r="F278" s="4" t="str">
        <f ca="1">IFERROR(__xludf.DUMMYFUNCTION("""COMPUTED_VALUE"""),"Ban giám đốc")</f>
        <v>Ban giám đốc</v>
      </c>
    </row>
    <row r="279" spans="1:6" x14ac:dyDescent="0.25">
      <c r="A279" s="4" t="str">
        <f ca="1">IFERROR(__xludf.DUMMYFUNCTION("""COMPUTED_VALUE"""),"Công ty TNHH Kiểm toán Sao Việt")</f>
        <v>Công ty TNHH Kiểm toán Sao Việt</v>
      </c>
      <c r="B279" s="4" t="str">
        <f ca="1">IFERROR(__xludf.DUMMYFUNCTION("""COMPUTED_VALUE"""),"Khanh")</f>
        <v>Khanh</v>
      </c>
      <c r="C279" s="4" t="str">
        <f ca="1">IFERROR(__xludf.DUMMYFUNCTION("""COMPUTED_VALUE"""),"Nữ")</f>
        <v>Nữ</v>
      </c>
      <c r="D279" s="4" t="str">
        <f ca="1">IFERROR(__xludf.DUMMYFUNCTION("""COMPUTED_VALUE"""),"Đại học, Chứng chỉ Kiểm toán viên")</f>
        <v>Đại học, Chứng chỉ Kiểm toán viên</v>
      </c>
      <c r="E279" s="4" t="str">
        <f ca="1">IFERROR(__xludf.DUMMYFUNCTION("""COMPUTED_VALUE"""),"Trên 15 đến 20 năm")</f>
        <v>Trên 15 đến 20 năm</v>
      </c>
      <c r="F279" s="4" t="str">
        <f ca="1">IFERROR(__xludf.DUMMYFUNCTION("""COMPUTED_VALUE"""),"Ban giám đốc")</f>
        <v>Ban giám đốc</v>
      </c>
    </row>
    <row r="280" spans="1:6" x14ac:dyDescent="0.25">
      <c r="A280" s="4" t="str">
        <f ca="1">IFERROR(__xludf.DUMMYFUNCTION("""COMPUTED_VALUE"""),"Công ty TNHH Kiểm toán Sao Việt")</f>
        <v>Công ty TNHH Kiểm toán Sao Việt</v>
      </c>
      <c r="B280" s="4" t="str">
        <f ca="1">IFERROR(__xludf.DUMMYFUNCTION("""COMPUTED_VALUE"""),"Nguyễn Dũng")</f>
        <v>Nguyễn Dũng</v>
      </c>
      <c r="C280" s="4" t="str">
        <f ca="1">IFERROR(__xludf.DUMMYFUNCTION("""COMPUTED_VALUE"""),"Nam")</f>
        <v>Nam</v>
      </c>
      <c r="D280" s="4" t="str">
        <f ca="1">IFERROR(__xludf.DUMMYFUNCTION("""COMPUTED_VALUE"""),"Đại học")</f>
        <v>Đại học</v>
      </c>
      <c r="E280" s="4" t="str">
        <f ca="1">IFERROR(__xludf.DUMMYFUNCTION("""COMPUTED_VALUE"""),"Từ 3 đến 5 năm")</f>
        <v>Từ 3 đến 5 năm</v>
      </c>
      <c r="F280" s="4" t="str">
        <f ca="1">IFERROR(__xludf.DUMMYFUNCTION("""COMPUTED_VALUE"""),"Trợ lý kiểm toán")</f>
        <v>Trợ lý kiểm toán</v>
      </c>
    </row>
    <row r="281" spans="1:6" x14ac:dyDescent="0.25">
      <c r="A281" s="4" t="str">
        <f ca="1">IFERROR(__xludf.DUMMYFUNCTION("""COMPUTED_VALUE"""),"Công ty TNHH Kiểm toán Sao Việt")</f>
        <v>Công ty TNHH Kiểm toán Sao Việt</v>
      </c>
      <c r="B281" s="4" t="str">
        <f ca="1">IFERROR(__xludf.DUMMYFUNCTION("""COMPUTED_VALUE"""),"Nguyễn Hữu Ngân Uyên")</f>
        <v>Nguyễn Hữu Ngân Uyên</v>
      </c>
      <c r="C281" s="4" t="str">
        <f ca="1">IFERROR(__xludf.DUMMYFUNCTION("""COMPUTED_VALUE"""),"Nữ")</f>
        <v>Nữ</v>
      </c>
      <c r="D281" s="4" t="str">
        <f ca="1">IFERROR(__xludf.DUMMYFUNCTION("""COMPUTED_VALUE"""),"Đại học")</f>
        <v>Đại học</v>
      </c>
      <c r="E281" s="4" t="str">
        <f ca="1">IFERROR(__xludf.DUMMYFUNCTION("""COMPUTED_VALUE"""),"Từ 3 đến 5 năm")</f>
        <v>Từ 3 đến 5 năm</v>
      </c>
      <c r="F281" s="4" t="str">
        <f ca="1">IFERROR(__xludf.DUMMYFUNCTION("""COMPUTED_VALUE"""),"Trợ lý kiểm toán")</f>
        <v>Trợ lý kiểm toán</v>
      </c>
    </row>
    <row r="282" spans="1:6" x14ac:dyDescent="0.25">
      <c r="A282" s="4" t="str">
        <f ca="1">IFERROR(__xludf.DUMMYFUNCTION("""COMPUTED_VALUE"""),"Công ty TNHH Kiểm toán Sao Việt")</f>
        <v>Công ty TNHH Kiểm toán Sao Việt</v>
      </c>
      <c r="B282" s="4" t="str">
        <f ca="1">IFERROR(__xludf.DUMMYFUNCTION("""COMPUTED_VALUE"""),"Nguyễn Xuân Ngà")</f>
        <v>Nguyễn Xuân Ngà</v>
      </c>
      <c r="C282" s="4" t="str">
        <f ca="1">IFERROR(__xludf.DUMMYFUNCTION("""COMPUTED_VALUE"""),"Nam")</f>
        <v>Nam</v>
      </c>
      <c r="D282" s="4" t="str">
        <f ca="1">IFERROR(__xludf.DUMMYFUNCTION("""COMPUTED_VALUE"""),"Đại học")</f>
        <v>Đại học</v>
      </c>
      <c r="E282" s="4" t="str">
        <f ca="1">IFERROR(__xludf.DUMMYFUNCTION("""COMPUTED_VALUE"""),"Từ 3 đến 5 năm")</f>
        <v>Từ 3 đến 5 năm</v>
      </c>
      <c r="F282" s="4" t="str">
        <f ca="1">IFERROR(__xludf.DUMMYFUNCTION("""COMPUTED_VALUE"""),"Trợ lý kiểm toán")</f>
        <v>Trợ lý kiểm toán</v>
      </c>
    </row>
    <row r="283" spans="1:6" x14ac:dyDescent="0.25">
      <c r="A283" s="4" t="str">
        <f ca="1">IFERROR(__xludf.DUMMYFUNCTION("""COMPUTED_VALUE"""),"Công ty TNHH Kiểm toán Sao Việt")</f>
        <v>Công ty TNHH Kiểm toán Sao Việt</v>
      </c>
      <c r="B283" s="4" t="str">
        <f ca="1">IFERROR(__xludf.DUMMYFUNCTION("""COMPUTED_VALUE"""),"Nguyễn Thị Bích Ngọc")</f>
        <v>Nguyễn Thị Bích Ngọc</v>
      </c>
      <c r="C283" s="4" t="str">
        <f ca="1">IFERROR(__xludf.DUMMYFUNCTION("""COMPUTED_VALUE"""),"Nữ")</f>
        <v>Nữ</v>
      </c>
      <c r="D283" s="4" t="str">
        <f ca="1">IFERROR(__xludf.DUMMYFUNCTION("""COMPUTED_VALUE"""),"Đại học")</f>
        <v>Đại học</v>
      </c>
      <c r="E283" s="4" t="str">
        <f ca="1">IFERROR(__xludf.DUMMYFUNCTION("""COMPUTED_VALUE"""),"Từ 3 đến 5 năm")</f>
        <v>Từ 3 đến 5 năm</v>
      </c>
      <c r="F283" s="4" t="str">
        <f ca="1">IFERROR(__xludf.DUMMYFUNCTION("""COMPUTED_VALUE"""),"Trợ lý kiểm toán")</f>
        <v>Trợ lý kiểm toán</v>
      </c>
    </row>
    <row r="284" spans="1:6" x14ac:dyDescent="0.25">
      <c r="A284" s="4" t="str">
        <f ca="1">IFERROR(__xludf.DUMMYFUNCTION("""COMPUTED_VALUE"""),"Công ty TNHH Kiểm toán Sao Việt")</f>
        <v>Công ty TNHH Kiểm toán Sao Việt</v>
      </c>
      <c r="B284" s="4" t="str">
        <f ca="1">IFERROR(__xludf.DUMMYFUNCTION("""COMPUTED_VALUE"""),"Nguyễn Tiến Hưng")</f>
        <v>Nguyễn Tiến Hưng</v>
      </c>
      <c r="C284" s="4" t="str">
        <f ca="1">IFERROR(__xludf.DUMMYFUNCTION("""COMPUTED_VALUE"""),"Nam")</f>
        <v>Nam</v>
      </c>
      <c r="D284" s="4" t="str">
        <f ca="1">IFERROR(__xludf.DUMMYFUNCTION("""COMPUTED_VALUE"""),"Đại học, Sau đại học")</f>
        <v>Đại học, Sau đại học</v>
      </c>
      <c r="E284" s="4" t="str">
        <f ca="1">IFERROR(__xludf.DUMMYFUNCTION("""COMPUTED_VALUE"""),"Từ 3 đến 5 năm")</f>
        <v>Từ 3 đến 5 năm</v>
      </c>
      <c r="F284" s="4" t="str">
        <f ca="1">IFERROR(__xludf.DUMMYFUNCTION("""COMPUTED_VALUE"""),"Trợ lý kiểm toán")</f>
        <v>Trợ lý kiểm toán</v>
      </c>
    </row>
    <row r="285" spans="1:6" x14ac:dyDescent="0.25">
      <c r="A285" s="4" t="str">
        <f ca="1">IFERROR(__xludf.DUMMYFUNCTION("""COMPUTED_VALUE"""),"Công ty TNHH Kiểm toán Sao Việt")</f>
        <v>Công ty TNHH Kiểm toán Sao Việt</v>
      </c>
      <c r="B285" s="4" t="str">
        <f ca="1">IFERROR(__xludf.DUMMYFUNCTION("""COMPUTED_VALUE"""),"Phạm Đông Sơn")</f>
        <v>Phạm Đông Sơn</v>
      </c>
      <c r="C285" s="4" t="str">
        <f ca="1">IFERROR(__xludf.DUMMYFUNCTION("""COMPUTED_VALUE"""),"Nam")</f>
        <v>Nam</v>
      </c>
      <c r="D285" s="4" t="str">
        <f ca="1">IFERROR(__xludf.DUMMYFUNCTION("""COMPUTED_VALUE"""),"Đại học, Chứng chỉ Kiểm toán viên")</f>
        <v>Đại học, Chứng chỉ Kiểm toán viên</v>
      </c>
      <c r="E285" s="4" t="str">
        <f ca="1">IFERROR(__xludf.DUMMYFUNCTION("""COMPUTED_VALUE"""),"Trên 20 năm")</f>
        <v>Trên 20 năm</v>
      </c>
      <c r="F285" s="4" t="str">
        <f ca="1">IFERROR(__xludf.DUMMYFUNCTION("""COMPUTED_VALUE"""),"Ban giám đốc")</f>
        <v>Ban giám đốc</v>
      </c>
    </row>
    <row r="286" spans="1:6" x14ac:dyDescent="0.25">
      <c r="A286" s="4" t="str">
        <f ca="1">IFERROR(__xludf.DUMMYFUNCTION("""COMPUTED_VALUE"""),"Công ty TNHH Kiểm toán SCIC Việt Nam")</f>
        <v>Công ty TNHH Kiểm toán SCIC Việt Nam</v>
      </c>
      <c r="B286" s="4" t="str">
        <f ca="1">IFERROR(__xludf.DUMMYFUNCTION("""COMPUTED_VALUE"""),"Phạm Văn Định")</f>
        <v>Phạm Văn Định</v>
      </c>
      <c r="C286" s="4" t="str">
        <f ca="1">IFERROR(__xludf.DUMMYFUNCTION("""COMPUTED_VALUE"""),"Nam")</f>
        <v>Nam</v>
      </c>
      <c r="D286" s="4" t="str">
        <f ca="1">IFERROR(__xludf.DUMMYFUNCTION("""COMPUTED_VALUE"""),"Đại học")</f>
        <v>Đại học</v>
      </c>
      <c r="E286" s="4" t="str">
        <f ca="1">IFERROR(__xludf.DUMMYFUNCTION("""COMPUTED_VALUE"""),"Từ 3 đến 5 năm")</f>
        <v>Từ 3 đến 5 năm</v>
      </c>
      <c r="F286" s="4" t="str">
        <f ca="1">IFERROR(__xludf.DUMMYFUNCTION("""COMPUTED_VALUE"""),"Trợ lý kiểm toán")</f>
        <v>Trợ lý kiểm toán</v>
      </c>
    </row>
    <row r="287" spans="1:6" x14ac:dyDescent="0.25">
      <c r="A287" s="4" t="str">
        <f ca="1">IFERROR(__xludf.DUMMYFUNCTION("""COMPUTED_VALUE"""),"Công ty TNHH Kiểm toán SG-VN")</f>
        <v>Công ty TNHH Kiểm toán SG-VN</v>
      </c>
      <c r="B287" s="4" t="str">
        <f ca="1">IFERROR(__xludf.DUMMYFUNCTION("""COMPUTED_VALUE"""),"Nguyễn Hoàng Phương")</f>
        <v>Nguyễn Hoàng Phương</v>
      </c>
      <c r="C287" s="4" t="str">
        <f ca="1">IFERROR(__xludf.DUMMYFUNCTION("""COMPUTED_VALUE"""),"Nam")</f>
        <v>Nam</v>
      </c>
      <c r="D287" s="4" t="str">
        <f ca="1">IFERROR(__xludf.DUMMYFUNCTION("""COMPUTED_VALUE"""),"Đại học")</f>
        <v>Đại học</v>
      </c>
      <c r="E287" s="4" t="str">
        <f ca="1">IFERROR(__xludf.DUMMYFUNCTION("""COMPUTED_VALUE"""),"Trên 20 năm")</f>
        <v>Trên 20 năm</v>
      </c>
      <c r="F287" s="4" t="str">
        <f ca="1">IFERROR(__xludf.DUMMYFUNCTION("""COMPUTED_VALUE"""),"Ban giám đốc")</f>
        <v>Ban giám đốc</v>
      </c>
    </row>
    <row r="288" spans="1:6" x14ac:dyDescent="0.25">
      <c r="A288" s="4" t="str">
        <f ca="1">IFERROR(__xludf.DUMMYFUNCTION("""COMPUTED_VALUE"""),"Công ty TNHH Kiểm toán SG-VN")</f>
        <v>Công ty TNHH Kiểm toán SG-VN</v>
      </c>
      <c r="B288" s="4" t="str">
        <f ca="1">IFERROR(__xludf.DUMMYFUNCTION("""COMPUTED_VALUE"""),"Nguyễn Thị Phượng Anh")</f>
        <v>Nguyễn Thị Phượng Anh</v>
      </c>
      <c r="C288" s="4" t="str">
        <f ca="1">IFERROR(__xludf.DUMMYFUNCTION("""COMPUTED_VALUE"""),"Nữ")</f>
        <v>Nữ</v>
      </c>
      <c r="D288" s="4" t="str">
        <f ca="1">IFERROR(__xludf.DUMMYFUNCTION("""COMPUTED_VALUE"""),"Đại học")</f>
        <v>Đại học</v>
      </c>
      <c r="E288" s="4" t="str">
        <f ca="1">IFERROR(__xludf.DUMMYFUNCTION("""COMPUTED_VALUE"""),"Trên 15 đến 20 năm")</f>
        <v>Trên 15 đến 20 năm</v>
      </c>
      <c r="F288" s="4" t="str">
        <f ca="1">IFERROR(__xludf.DUMMYFUNCTION("""COMPUTED_VALUE"""),"Trợ lý kiểm toán")</f>
        <v>Trợ lý kiểm toán</v>
      </c>
    </row>
    <row r="289" spans="1:6" x14ac:dyDescent="0.25">
      <c r="A289" s="4" t="str">
        <f ca="1">IFERROR(__xludf.DUMMYFUNCTION("""COMPUTED_VALUE"""),"Công ty TNHH Kiểm toán SG-VN")</f>
        <v>Công ty TNHH Kiểm toán SG-VN</v>
      </c>
      <c r="B289" s="4" t="str">
        <f ca="1">IFERROR(__xludf.DUMMYFUNCTION("""COMPUTED_VALUE"""),"NGUYỄN HỒNG TRÂM")</f>
        <v>NGUYỄN HỒNG TRÂM</v>
      </c>
      <c r="C289" s="4" t="str">
        <f ca="1">IFERROR(__xludf.DUMMYFUNCTION("""COMPUTED_VALUE"""),"Nữ")</f>
        <v>Nữ</v>
      </c>
      <c r="D289" s="4" t="str">
        <f ca="1">IFERROR(__xludf.DUMMYFUNCTION("""COMPUTED_VALUE"""),"Đại học")</f>
        <v>Đại học</v>
      </c>
      <c r="E289" s="4" t="str">
        <f ca="1">IFERROR(__xludf.DUMMYFUNCTION("""COMPUTED_VALUE"""),"Từ 3 đến 5 năm")</f>
        <v>Từ 3 đến 5 năm</v>
      </c>
      <c r="F289" s="4" t="str">
        <f ca="1">IFERROR(__xludf.DUMMYFUNCTION("""COMPUTED_VALUE"""),"Trợ lý kiểm toán")</f>
        <v>Trợ lý kiểm toán</v>
      </c>
    </row>
    <row r="290" spans="1:6" x14ac:dyDescent="0.25">
      <c r="A290" s="4" t="str">
        <f ca="1">IFERROR(__xludf.DUMMYFUNCTION("""COMPUTED_VALUE"""),"Công ty TNHH Kiểm toán SG-VN")</f>
        <v>Công ty TNHH Kiểm toán SG-VN</v>
      </c>
      <c r="B290" s="4" t="str">
        <f ca="1">IFERROR(__xludf.DUMMYFUNCTION("""COMPUTED_VALUE"""),"Nguyễn Thị Minh Anh")</f>
        <v>Nguyễn Thị Minh Anh</v>
      </c>
      <c r="C290" s="4" t="str">
        <f ca="1">IFERROR(__xludf.DUMMYFUNCTION("""COMPUTED_VALUE"""),"Nữ")</f>
        <v>Nữ</v>
      </c>
      <c r="D290" s="4" t="str">
        <f ca="1">IFERROR(__xludf.DUMMYFUNCTION("""COMPUTED_VALUE"""),"Đại học")</f>
        <v>Đại học</v>
      </c>
      <c r="E290" s="4" t="str">
        <f ca="1">IFERROR(__xludf.DUMMYFUNCTION("""COMPUTED_VALUE"""),"Từ 3 đến 5 năm")</f>
        <v>Từ 3 đến 5 năm</v>
      </c>
      <c r="F290" s="4" t="str">
        <f ca="1">IFERROR(__xludf.DUMMYFUNCTION("""COMPUTED_VALUE"""),"Trợ lý kiểm toán")</f>
        <v>Trợ lý kiểm toán</v>
      </c>
    </row>
    <row r="291" spans="1:6" x14ac:dyDescent="0.25">
      <c r="A291" s="4" t="str">
        <f ca="1">IFERROR(__xludf.DUMMYFUNCTION("""COMPUTED_VALUE"""),"Công ty TNHH Kiểm toán SG-VN")</f>
        <v>Công ty TNHH Kiểm toán SG-VN</v>
      </c>
      <c r="B291" s="4" t="str">
        <f ca="1">IFERROR(__xludf.DUMMYFUNCTION("""COMPUTED_VALUE"""),"Trần Lê Kiều Anh")</f>
        <v>Trần Lê Kiều Anh</v>
      </c>
      <c r="C291" s="4" t="str">
        <f ca="1">IFERROR(__xludf.DUMMYFUNCTION("""COMPUTED_VALUE"""),"Nữ")</f>
        <v>Nữ</v>
      </c>
      <c r="D291" s="4" t="str">
        <f ca="1">IFERROR(__xludf.DUMMYFUNCTION("""COMPUTED_VALUE"""),"Đại học")</f>
        <v>Đại học</v>
      </c>
      <c r="E291" s="4" t="str">
        <f ca="1">IFERROR(__xludf.DUMMYFUNCTION("""COMPUTED_VALUE"""),"Từ 3 đến 5 năm")</f>
        <v>Từ 3 đến 5 năm</v>
      </c>
      <c r="F291" s="4" t="str">
        <f ca="1">IFERROR(__xludf.DUMMYFUNCTION("""COMPUTED_VALUE"""),"Trợ lý kiểm toán")</f>
        <v>Trợ lý kiểm toán</v>
      </c>
    </row>
    <row r="292" spans="1:6" x14ac:dyDescent="0.25">
      <c r="A292" s="4" t="str">
        <f ca="1">IFERROR(__xludf.DUMMYFUNCTION("""COMPUTED_VALUE"""),"Công ty TNHH Kiểm toán Thái Bình Dương")</f>
        <v>Công ty TNHH Kiểm toán Thái Bình Dương</v>
      </c>
      <c r="B292" s="4" t="str">
        <f ca="1">IFERROR(__xludf.DUMMYFUNCTION("""COMPUTED_VALUE"""),"Trình Quốc Việt")</f>
        <v>Trình Quốc Việt</v>
      </c>
      <c r="C292" s="4" t="str">
        <f ca="1">IFERROR(__xludf.DUMMYFUNCTION("""COMPUTED_VALUE"""),"Nam")</f>
        <v>Nam</v>
      </c>
      <c r="D292" s="4" t="str">
        <f ca="1">IFERROR(__xludf.DUMMYFUNCTION("""COMPUTED_VALUE"""),"Đại học, Chứng chỉ Kiểm toán viên")</f>
        <v>Đại học, Chứng chỉ Kiểm toán viên</v>
      </c>
      <c r="E292" s="4" t="str">
        <f ca="1">IFERROR(__xludf.DUMMYFUNCTION("""COMPUTED_VALUE"""),"Trên 20 năm")</f>
        <v>Trên 20 năm</v>
      </c>
      <c r="F292" s="4" t="str">
        <f ca="1">IFERROR(__xludf.DUMMYFUNCTION("""COMPUTED_VALUE"""),"Ban giám đốc")</f>
        <v>Ban giám đốc</v>
      </c>
    </row>
    <row r="293" spans="1:6" x14ac:dyDescent="0.25">
      <c r="A293" s="4" t="str">
        <f ca="1">IFERROR(__xludf.DUMMYFUNCTION("""COMPUTED_VALUE"""),"Công ty TNHH Kiểm toán Thái Bình Dương")</f>
        <v>Công ty TNHH Kiểm toán Thái Bình Dương</v>
      </c>
      <c r="B293" s="4" t="str">
        <f ca="1">IFERROR(__xludf.DUMMYFUNCTION("""COMPUTED_VALUE"""),"Nguyễn Thanh Thịnh")</f>
        <v>Nguyễn Thanh Thịnh</v>
      </c>
      <c r="C293" s="4" t="str">
        <f ca="1">IFERROR(__xludf.DUMMYFUNCTION("""COMPUTED_VALUE"""),"Nam")</f>
        <v>Nam</v>
      </c>
      <c r="D293" s="4" t="str">
        <f ca="1">IFERROR(__xludf.DUMMYFUNCTION("""COMPUTED_VALUE"""),"Đại học")</f>
        <v>Đại học</v>
      </c>
      <c r="E293" s="4" t="str">
        <f ca="1">IFERROR(__xludf.DUMMYFUNCTION("""COMPUTED_VALUE"""),"Từ 3 đến 5 năm")</f>
        <v>Từ 3 đến 5 năm</v>
      </c>
      <c r="F293" s="4" t="str">
        <f ca="1">IFERROR(__xludf.DUMMYFUNCTION("""COMPUTED_VALUE"""),"Trợ lý kiểm toán")</f>
        <v>Trợ lý kiểm toán</v>
      </c>
    </row>
    <row r="294" spans="1:6" x14ac:dyDescent="0.25">
      <c r="A294" s="4" t="str">
        <f ca="1">IFERROR(__xludf.DUMMYFUNCTION("""COMPUTED_VALUE"""),"Công ty TNHH Kiểm toán Thái Bình Dương")</f>
        <v>Công ty TNHH Kiểm toán Thái Bình Dương</v>
      </c>
      <c r="B294" s="4" t="str">
        <f ca="1">IFERROR(__xludf.DUMMYFUNCTION("""COMPUTED_VALUE"""),"Phan Thị Tố Trinh")</f>
        <v>Phan Thị Tố Trinh</v>
      </c>
      <c r="C294" s="4" t="str">
        <f ca="1">IFERROR(__xludf.DUMMYFUNCTION("""COMPUTED_VALUE"""),"Nữ")</f>
        <v>Nữ</v>
      </c>
      <c r="D294" s="4" t="str">
        <f ca="1">IFERROR(__xludf.DUMMYFUNCTION("""COMPUTED_VALUE"""),"Đại học")</f>
        <v>Đại học</v>
      </c>
      <c r="E294" s="4" t="str">
        <f ca="1">IFERROR(__xludf.DUMMYFUNCTION("""COMPUTED_VALUE"""),"Trên 10 đến 15 năm")</f>
        <v>Trên 10 đến 15 năm</v>
      </c>
      <c r="F294" s="4" t="str">
        <f ca="1">IFERROR(__xludf.DUMMYFUNCTION("""COMPUTED_VALUE"""),"Ban giám đốc")</f>
        <v>Ban giám đốc</v>
      </c>
    </row>
    <row r="295" spans="1:6" x14ac:dyDescent="0.25">
      <c r="A295" s="4" t="str">
        <f ca="1">IFERROR(__xludf.DUMMYFUNCTION("""COMPUTED_VALUE"""),"Công ty TNHH Kiểm toán Thái Bình Dương")</f>
        <v>Công ty TNHH Kiểm toán Thái Bình Dương</v>
      </c>
      <c r="B295" s="4" t="str">
        <f ca="1">IFERROR(__xludf.DUMMYFUNCTION("""COMPUTED_VALUE"""),"Nguyễn Thành Đức")</f>
        <v>Nguyễn Thành Đức</v>
      </c>
      <c r="C295" s="4" t="str">
        <f ca="1">IFERROR(__xludf.DUMMYFUNCTION("""COMPUTED_VALUE"""),"Nam")</f>
        <v>Nam</v>
      </c>
      <c r="D295" s="4" t="str">
        <f ca="1">IFERROR(__xludf.DUMMYFUNCTION("""COMPUTED_VALUE"""),"Đại học, Chứng chỉ Kiểm toán viên")</f>
        <v>Đại học, Chứng chỉ Kiểm toán viên</v>
      </c>
      <c r="E295" s="4" t="str">
        <f ca="1">IFERROR(__xludf.DUMMYFUNCTION("""COMPUTED_VALUE"""),"Trên 15 đến 20 năm")</f>
        <v>Trên 15 đến 20 năm</v>
      </c>
      <c r="F295" s="4" t="str">
        <f ca="1">IFERROR(__xludf.DUMMYFUNCTION("""COMPUTED_VALUE"""),"Ban giám đốc")</f>
        <v>Ban giám đốc</v>
      </c>
    </row>
    <row r="296" spans="1:6" x14ac:dyDescent="0.25">
      <c r="A296" s="4" t="str">
        <f ca="1">IFERROR(__xludf.DUMMYFUNCTION("""COMPUTED_VALUE"""),"Công ty TNHH Kiểm toán Thái Dương")</f>
        <v>Công ty TNHH Kiểm toán Thái Dương</v>
      </c>
      <c r="B296" s="4" t="str">
        <f ca="1">IFERROR(__xludf.DUMMYFUNCTION("""COMPUTED_VALUE"""),"Lưu Mỹ Huyền")</f>
        <v>Lưu Mỹ Huyền</v>
      </c>
      <c r="C296" s="4" t="str">
        <f ca="1">IFERROR(__xludf.DUMMYFUNCTION("""COMPUTED_VALUE"""),"Nữ")</f>
        <v>Nữ</v>
      </c>
      <c r="D296" s="4" t="str">
        <f ca="1">IFERROR(__xludf.DUMMYFUNCTION("""COMPUTED_VALUE"""),"Đại học")</f>
        <v>Đại học</v>
      </c>
      <c r="E296" s="4" t="str">
        <f ca="1">IFERROR(__xludf.DUMMYFUNCTION("""COMPUTED_VALUE"""),"Từ 3 đến 5 năm")</f>
        <v>Từ 3 đến 5 năm</v>
      </c>
      <c r="F296" s="4" t="str">
        <f ca="1">IFERROR(__xludf.DUMMYFUNCTION("""COMPUTED_VALUE"""),"Trợ lý kiểm toán")</f>
        <v>Trợ lý kiểm toán</v>
      </c>
    </row>
    <row r="297" spans="1:6" x14ac:dyDescent="0.25">
      <c r="A297" s="4" t="str">
        <f ca="1">IFERROR(__xludf.DUMMYFUNCTION("""COMPUTED_VALUE"""),"Công ty TNHH Kiểm toán Thái Dương")</f>
        <v>Công ty TNHH Kiểm toán Thái Dương</v>
      </c>
      <c r="B297" s="4" t="str">
        <f ca="1">IFERROR(__xludf.DUMMYFUNCTION("""COMPUTED_VALUE"""),"Nguyễn Đức Đình Huấn")</f>
        <v>Nguyễn Đức Đình Huấn</v>
      </c>
      <c r="C297" s="4" t="str">
        <f ca="1">IFERROR(__xludf.DUMMYFUNCTION("""COMPUTED_VALUE"""),"Nam")</f>
        <v>Nam</v>
      </c>
      <c r="D297" s="4" t="str">
        <f ca="1">IFERROR(__xludf.DUMMYFUNCTION("""COMPUTED_VALUE"""),"Sau đại học")</f>
        <v>Sau đại học</v>
      </c>
      <c r="E297" s="4" t="str">
        <f ca="1">IFERROR(__xludf.DUMMYFUNCTION("""COMPUTED_VALUE"""),"Trên 10 đến 15 năm")</f>
        <v>Trên 10 đến 15 năm</v>
      </c>
      <c r="F297" s="4" t="str">
        <f ca="1">IFERROR(__xludf.DUMMYFUNCTION("""COMPUTED_VALUE"""),"Kiểm toán viên/Trưởng nhóm")</f>
        <v>Kiểm toán viên/Trưởng nhóm</v>
      </c>
    </row>
    <row r="298" spans="1:6" x14ac:dyDescent="0.25">
      <c r="A298" s="4" t="str">
        <f ca="1">IFERROR(__xludf.DUMMYFUNCTION("""COMPUTED_VALUE"""),"Công ty TNHH Kiểm toán Thăng Long")</f>
        <v>Công ty TNHH Kiểm toán Thăng Long</v>
      </c>
      <c r="B298" s="4" t="str">
        <f ca="1">IFERROR(__xludf.DUMMYFUNCTION("""COMPUTED_VALUE"""),"NGUYỄN VÕ HƯNG THỊNH")</f>
        <v>NGUYỄN VÕ HƯNG THỊNH</v>
      </c>
      <c r="C298" s="4" t="str">
        <f ca="1">IFERROR(__xludf.DUMMYFUNCTION("""COMPUTED_VALUE"""),"Nam")</f>
        <v>Nam</v>
      </c>
      <c r="D298" s="4" t="str">
        <f ca="1">IFERROR(__xludf.DUMMYFUNCTION("""COMPUTED_VALUE"""),"Đại học, Chứng chỉ Kiểm toán viên")</f>
        <v>Đại học, Chứng chỉ Kiểm toán viên</v>
      </c>
      <c r="E298" s="4" t="str">
        <f ca="1">IFERROR(__xludf.DUMMYFUNCTION("""COMPUTED_VALUE"""),"Trên 15 đến 20 năm")</f>
        <v>Trên 15 đến 20 năm</v>
      </c>
      <c r="F298" s="4" t="str">
        <f ca="1">IFERROR(__xludf.DUMMYFUNCTION("""COMPUTED_VALUE"""),"Trưởng phòng")</f>
        <v>Trưởng phòng</v>
      </c>
    </row>
    <row r="299" spans="1:6" x14ac:dyDescent="0.25">
      <c r="A299" s="4" t="str">
        <f ca="1">IFERROR(__xludf.DUMMYFUNCTION("""COMPUTED_VALUE"""),"Công ty TNHH Kiểm toán Thăng Long")</f>
        <v>Công ty TNHH Kiểm toán Thăng Long</v>
      </c>
      <c r="B299" s="4" t="str">
        <f ca="1">IFERROR(__xludf.DUMMYFUNCTION("""COMPUTED_VALUE"""),"Nguyễn Thùy Dung")</f>
        <v>Nguyễn Thùy Dung</v>
      </c>
      <c r="C299" s="4" t="str">
        <f ca="1">IFERROR(__xludf.DUMMYFUNCTION("""COMPUTED_VALUE"""),"Nữ")</f>
        <v>Nữ</v>
      </c>
      <c r="D299" s="4" t="str">
        <f ca="1">IFERROR(__xludf.DUMMYFUNCTION("""COMPUTED_VALUE"""),"Đại học")</f>
        <v>Đại học</v>
      </c>
      <c r="E299" s="4" t="str">
        <f ca="1">IFERROR(__xludf.DUMMYFUNCTION("""COMPUTED_VALUE"""),"Từ 3 đến 5 năm")</f>
        <v>Từ 3 đến 5 năm</v>
      </c>
      <c r="F299" s="4" t="str">
        <f ca="1">IFERROR(__xludf.DUMMYFUNCTION("""COMPUTED_VALUE"""),"Trợ lý kiểm toán")</f>
        <v>Trợ lý kiểm toán</v>
      </c>
    </row>
    <row r="300" spans="1:6" x14ac:dyDescent="0.25">
      <c r="A300" s="4" t="str">
        <f ca="1">IFERROR(__xludf.DUMMYFUNCTION("""COMPUTED_VALUE"""),"Công ty TNHH Kiểm toán Thăng Long")</f>
        <v>Công ty TNHH Kiểm toán Thăng Long</v>
      </c>
      <c r="B300" s="4" t="str">
        <f ca="1">IFERROR(__xludf.DUMMYFUNCTION("""COMPUTED_VALUE"""),"Tran Thi Van")</f>
        <v>Tran Thi Van</v>
      </c>
      <c r="C300" s="4" t="str">
        <f ca="1">IFERROR(__xludf.DUMMYFUNCTION("""COMPUTED_VALUE"""),"Nữ")</f>
        <v>Nữ</v>
      </c>
      <c r="D300" s="4" t="str">
        <f ca="1">IFERROR(__xludf.DUMMYFUNCTION("""COMPUTED_VALUE"""),"Đại học")</f>
        <v>Đại học</v>
      </c>
      <c r="E300" s="4" t="str">
        <f ca="1">IFERROR(__xludf.DUMMYFUNCTION("""COMPUTED_VALUE"""),"Trên 15 đến 20 năm")</f>
        <v>Trên 15 đến 20 năm</v>
      </c>
      <c r="F300" s="4" t="str">
        <f ca="1">IFERROR(__xludf.DUMMYFUNCTION("""COMPUTED_VALUE"""),"Trợ lý kiểm toán")</f>
        <v>Trợ lý kiểm toán</v>
      </c>
    </row>
    <row r="301" spans="1:6" x14ac:dyDescent="0.25">
      <c r="A301" s="4" t="str">
        <f ca="1">IFERROR(__xludf.DUMMYFUNCTION("""COMPUTED_VALUE"""),"Công ty TNHH Kiểm toán Tư vấn Rồng Việt")</f>
        <v>Công ty TNHH Kiểm toán Tư vấn Rồng Việt</v>
      </c>
      <c r="B301" s="4" t="str">
        <f ca="1">IFERROR(__xludf.DUMMYFUNCTION("""COMPUTED_VALUE"""),"Lê Hoàng Tuyên")</f>
        <v>Lê Hoàng Tuyên</v>
      </c>
      <c r="C301" s="4" t="str">
        <f ca="1">IFERROR(__xludf.DUMMYFUNCTION("""COMPUTED_VALUE"""),"Nam")</f>
        <v>Nam</v>
      </c>
      <c r="D301" s="4" t="str">
        <f ca="1">IFERROR(__xludf.DUMMYFUNCTION("""COMPUTED_VALUE"""),"Đại học, Chứng chỉ Kiểm toán viên")</f>
        <v>Đại học, Chứng chỉ Kiểm toán viên</v>
      </c>
      <c r="E301" s="4" t="str">
        <f ca="1">IFERROR(__xludf.DUMMYFUNCTION("""COMPUTED_VALUE"""),"Trên 20 năm")</f>
        <v>Trên 20 năm</v>
      </c>
      <c r="F301" s="4" t="str">
        <f ca="1">IFERROR(__xludf.DUMMYFUNCTION("""COMPUTED_VALUE"""),"Ban giám đốc")</f>
        <v>Ban giám đốc</v>
      </c>
    </row>
    <row r="302" spans="1:6" x14ac:dyDescent="0.25">
      <c r="A302" s="4" t="str">
        <f ca="1">IFERROR(__xludf.DUMMYFUNCTION("""COMPUTED_VALUE"""),"Công ty TNHH Kiểm toán Tư vấn Sáng Lập Á Châu")</f>
        <v>Công ty TNHH Kiểm toán Tư vấn Sáng Lập Á Châu</v>
      </c>
      <c r="B302" s="4" t="str">
        <f ca="1">IFERROR(__xludf.DUMMYFUNCTION("""COMPUTED_VALUE"""),"TRẦN THÀNH CƯỜNG")</f>
        <v>TRẦN THÀNH CƯỜNG</v>
      </c>
      <c r="C302" s="4" t="str">
        <f ca="1">IFERROR(__xludf.DUMMYFUNCTION("""COMPUTED_VALUE"""),"Nam")</f>
        <v>Nam</v>
      </c>
      <c r="D302" s="4" t="str">
        <f ca="1">IFERROR(__xludf.DUMMYFUNCTION("""COMPUTED_VALUE"""),"Sau đại học, Chứng chỉ Kiểm toán viên")</f>
        <v>Sau đại học, Chứng chỉ Kiểm toán viên</v>
      </c>
      <c r="E302" s="4" t="str">
        <f ca="1">IFERROR(__xludf.DUMMYFUNCTION("""COMPUTED_VALUE"""),"Trên 20 năm")</f>
        <v>Trên 20 năm</v>
      </c>
      <c r="F302" s="4" t="str">
        <f ca="1">IFERROR(__xludf.DUMMYFUNCTION("""COMPUTED_VALUE"""),"Kiểm toán viên/Trưởng nhóm")</f>
        <v>Kiểm toán viên/Trưởng nhóm</v>
      </c>
    </row>
    <row r="303" spans="1:6" x14ac:dyDescent="0.25">
      <c r="A303" s="4" t="str">
        <f ca="1">IFERROR(__xludf.DUMMYFUNCTION("""COMPUTED_VALUE"""),"Công ty TNHH Kiểm toán Tư vấn Sáng Lập Á Châu")</f>
        <v>Công ty TNHH Kiểm toán Tư vấn Sáng Lập Á Châu</v>
      </c>
      <c r="B303" s="4" t="str">
        <f ca="1">IFERROR(__xludf.DUMMYFUNCTION("""COMPUTED_VALUE"""),"Trương Thị Ngọc Nhã")</f>
        <v>Trương Thị Ngọc Nhã</v>
      </c>
      <c r="C303" s="4" t="str">
        <f ca="1">IFERROR(__xludf.DUMMYFUNCTION("""COMPUTED_VALUE"""),"Nữ")</f>
        <v>Nữ</v>
      </c>
      <c r="D303" s="4" t="str">
        <f ca="1">IFERROR(__xludf.DUMMYFUNCTION("""COMPUTED_VALUE"""),"Đại học")</f>
        <v>Đại học</v>
      </c>
      <c r="E303" s="4" t="str">
        <f ca="1">IFERROR(__xludf.DUMMYFUNCTION("""COMPUTED_VALUE"""),"Từ 3 đến 5 năm")</f>
        <v>Từ 3 đến 5 năm</v>
      </c>
      <c r="F303" s="4" t="str">
        <f ca="1">IFERROR(__xludf.DUMMYFUNCTION("""COMPUTED_VALUE"""),"Trợ lý kiểm toán")</f>
        <v>Trợ lý kiểm toán</v>
      </c>
    </row>
    <row r="304" spans="1:6" x14ac:dyDescent="0.25">
      <c r="A304" s="4" t="str">
        <f ca="1">IFERROR(__xludf.DUMMYFUNCTION("""COMPUTED_VALUE"""),"Công ty TNHH Kiểm toán Tư vấn Sáng Lập Á Châu")</f>
        <v>Công ty TNHH Kiểm toán Tư vấn Sáng Lập Á Châu</v>
      </c>
      <c r="B304" s="4" t="str">
        <f ca="1">IFERROR(__xludf.DUMMYFUNCTION("""COMPUTED_VALUE"""),"Huỳnh Thị Kim Xuyến")</f>
        <v>Huỳnh Thị Kim Xuyến</v>
      </c>
      <c r="C304" s="4" t="str">
        <f ca="1">IFERROR(__xludf.DUMMYFUNCTION("""COMPUTED_VALUE"""),"Nữ")</f>
        <v>Nữ</v>
      </c>
      <c r="D304" s="4" t="str">
        <f ca="1">IFERROR(__xludf.DUMMYFUNCTION("""COMPUTED_VALUE"""),"Đại học")</f>
        <v>Đại học</v>
      </c>
      <c r="E304" s="4" t="str">
        <f ca="1">IFERROR(__xludf.DUMMYFUNCTION("""COMPUTED_VALUE"""),"Từ 3 đến 5 năm")</f>
        <v>Từ 3 đến 5 năm</v>
      </c>
      <c r="F304" s="4" t="str">
        <f ca="1">IFERROR(__xludf.DUMMYFUNCTION("""COMPUTED_VALUE"""),"Trợ lý kiểm toán")</f>
        <v>Trợ lý kiểm toán</v>
      </c>
    </row>
    <row r="305" spans="1:6" x14ac:dyDescent="0.25">
      <c r="A305" s="4" t="str">
        <f ca="1">IFERROR(__xludf.DUMMYFUNCTION("""COMPUTED_VALUE"""),"Công ty TNHH Kiểm toán Tư vấn Sáng Lập Á Châu")</f>
        <v>Công ty TNHH Kiểm toán Tư vấn Sáng Lập Á Châu</v>
      </c>
      <c r="B305" s="4" t="str">
        <f ca="1">IFERROR(__xludf.DUMMYFUNCTION("""COMPUTED_VALUE"""),"Trần Thị Thảo Ly")</f>
        <v>Trần Thị Thảo Ly</v>
      </c>
      <c r="C305" s="4" t="str">
        <f ca="1">IFERROR(__xludf.DUMMYFUNCTION("""COMPUTED_VALUE"""),"Nữ")</f>
        <v>Nữ</v>
      </c>
      <c r="D305" s="4" t="str">
        <f ca="1">IFERROR(__xludf.DUMMYFUNCTION("""COMPUTED_VALUE"""),"Đại học")</f>
        <v>Đại học</v>
      </c>
      <c r="E305" s="4" t="str">
        <f ca="1">IFERROR(__xludf.DUMMYFUNCTION("""COMPUTED_VALUE"""),"Từ 3 đến 5 năm")</f>
        <v>Từ 3 đến 5 năm</v>
      </c>
      <c r="F305" s="4" t="str">
        <f ca="1">IFERROR(__xludf.DUMMYFUNCTION("""COMPUTED_VALUE"""),"Trợ lý kiểm toán")</f>
        <v>Trợ lý kiểm toán</v>
      </c>
    </row>
    <row r="306" spans="1:6" x14ac:dyDescent="0.25">
      <c r="A306" s="4" t="str">
        <f ca="1">IFERROR(__xludf.DUMMYFUNCTION("""COMPUTED_VALUE"""),"Công ty TNHH Kiểm toán Tư vấn Sáng Lập Á Châu")</f>
        <v>Công ty TNHH Kiểm toán Tư vấn Sáng Lập Á Châu</v>
      </c>
      <c r="B306" s="4" t="str">
        <f ca="1">IFERROR(__xludf.DUMMYFUNCTION("""COMPUTED_VALUE"""),"Phạm Quỳnh Anh ")</f>
        <v xml:space="preserve">Phạm Quỳnh Anh </v>
      </c>
      <c r="C306" s="4" t="str">
        <f ca="1">IFERROR(__xludf.DUMMYFUNCTION("""COMPUTED_VALUE"""),"Nữ")</f>
        <v>Nữ</v>
      </c>
      <c r="D306" s="4" t="str">
        <f ca="1">IFERROR(__xludf.DUMMYFUNCTION("""COMPUTED_VALUE"""),"Đại học")</f>
        <v>Đại học</v>
      </c>
      <c r="E306" s="4" t="str">
        <f ca="1">IFERROR(__xludf.DUMMYFUNCTION("""COMPUTED_VALUE"""),"Từ 3 đến 5 năm")</f>
        <v>Từ 3 đến 5 năm</v>
      </c>
      <c r="F306" s="4" t="str">
        <f ca="1">IFERROR(__xludf.DUMMYFUNCTION("""COMPUTED_VALUE"""),"Trợ lý kiểm toán")</f>
        <v>Trợ lý kiểm toán</v>
      </c>
    </row>
    <row r="307" spans="1:6" x14ac:dyDescent="0.25">
      <c r="A307" s="4" t="str">
        <f ca="1">IFERROR(__xludf.DUMMYFUNCTION("""COMPUTED_VALUE"""),"Công ty TNHH Kiểm toán Tư vấn Sáng Lập Á Châu")</f>
        <v>Công ty TNHH Kiểm toán Tư vấn Sáng Lập Á Châu</v>
      </c>
      <c r="B307" s="4" t="str">
        <f ca="1">IFERROR(__xludf.DUMMYFUNCTION("""COMPUTED_VALUE"""),"Hoàng thị hoa")</f>
        <v>Hoàng thị hoa</v>
      </c>
      <c r="C307" s="4" t="str">
        <f ca="1">IFERROR(__xludf.DUMMYFUNCTION("""COMPUTED_VALUE"""),"Nữ")</f>
        <v>Nữ</v>
      </c>
      <c r="D307" s="4" t="str">
        <f ca="1">IFERROR(__xludf.DUMMYFUNCTION("""COMPUTED_VALUE"""),"Chứng chỉ Kiểm toán viên")</f>
        <v>Chứng chỉ Kiểm toán viên</v>
      </c>
      <c r="E307" s="4" t="str">
        <f ca="1">IFERROR(__xludf.DUMMYFUNCTION("""COMPUTED_VALUE"""),"Trên 5 đến 10 năm")</f>
        <v>Trên 5 đến 10 năm</v>
      </c>
      <c r="F307" s="4" t="str">
        <f ca="1">IFERROR(__xludf.DUMMYFUNCTION("""COMPUTED_VALUE"""),"Trợ lý kiểm toán")</f>
        <v>Trợ lý kiểm toán</v>
      </c>
    </row>
    <row r="308" spans="1:6" x14ac:dyDescent="0.25">
      <c r="A308" s="4" t="str">
        <f ca="1">IFERROR(__xludf.DUMMYFUNCTION("""COMPUTED_VALUE"""),"Công ty TNHH Kiểm toán Tư vấn Sáng Lập Á Châu")</f>
        <v>Công ty TNHH Kiểm toán Tư vấn Sáng Lập Á Châu</v>
      </c>
      <c r="B308" s="4" t="str">
        <f ca="1">IFERROR(__xludf.DUMMYFUNCTION("""COMPUTED_VALUE"""),"Lý Văn Phát")</f>
        <v>Lý Văn Phát</v>
      </c>
      <c r="C308" s="4" t="str">
        <f ca="1">IFERROR(__xludf.DUMMYFUNCTION("""COMPUTED_VALUE"""),"Nam")</f>
        <v>Nam</v>
      </c>
      <c r="D308" s="4" t="str">
        <f ca="1">IFERROR(__xludf.DUMMYFUNCTION("""COMPUTED_VALUE"""),"Đại học")</f>
        <v>Đại học</v>
      </c>
      <c r="E308" s="4" t="str">
        <f ca="1">IFERROR(__xludf.DUMMYFUNCTION("""COMPUTED_VALUE"""),"Từ 3 đến 5 năm")</f>
        <v>Từ 3 đến 5 năm</v>
      </c>
      <c r="F308" s="4" t="str">
        <f ca="1">IFERROR(__xludf.DUMMYFUNCTION("""COMPUTED_VALUE"""),"Trợ lý kiểm toán")</f>
        <v>Trợ lý kiểm toán</v>
      </c>
    </row>
    <row r="309" spans="1:6" x14ac:dyDescent="0.25">
      <c r="A309" s="4" t="str">
        <f ca="1">IFERROR(__xludf.DUMMYFUNCTION("""COMPUTED_VALUE"""),"Công ty TNHH Kiểm toán Tư vấn Sáng Lập Á Châu")</f>
        <v>Công ty TNHH Kiểm toán Tư vấn Sáng Lập Á Châu</v>
      </c>
      <c r="B309" s="4" t="str">
        <f ca="1">IFERROR(__xludf.DUMMYFUNCTION("""COMPUTED_VALUE"""),"Trần minh quốc ")</f>
        <v xml:space="preserve">Trần minh quốc </v>
      </c>
      <c r="C309" s="4" t="str">
        <f ca="1">IFERROR(__xludf.DUMMYFUNCTION("""COMPUTED_VALUE"""),"Nam")</f>
        <v>Nam</v>
      </c>
      <c r="D309" s="4" t="str">
        <f ca="1">IFERROR(__xludf.DUMMYFUNCTION("""COMPUTED_VALUE"""),"Đại học")</f>
        <v>Đại học</v>
      </c>
      <c r="E309" s="4" t="str">
        <f ca="1">IFERROR(__xludf.DUMMYFUNCTION("""COMPUTED_VALUE"""),"Từ 3 đến 5 năm")</f>
        <v>Từ 3 đến 5 năm</v>
      </c>
      <c r="F309" s="4" t="str">
        <f ca="1">IFERROR(__xludf.DUMMYFUNCTION("""COMPUTED_VALUE"""),"Trợ lý kiểm toán")</f>
        <v>Trợ lý kiểm toán</v>
      </c>
    </row>
    <row r="310" spans="1:6" x14ac:dyDescent="0.25">
      <c r="A310" s="4" t="str">
        <f ca="1">IFERROR(__xludf.DUMMYFUNCTION("""COMPUTED_VALUE"""),"Công ty TNHH Kiểm toán Tư vấn Độc Lập")</f>
        <v>Công ty TNHH Kiểm toán Tư vấn Độc Lập</v>
      </c>
      <c r="B310" s="4" t="str">
        <f ca="1">IFERROR(__xludf.DUMMYFUNCTION("""COMPUTED_VALUE"""),"Mai Thanh Hiếu")</f>
        <v>Mai Thanh Hiếu</v>
      </c>
      <c r="C310" s="4" t="str">
        <f ca="1">IFERROR(__xludf.DUMMYFUNCTION("""COMPUTED_VALUE"""),"Nam")</f>
        <v>Nam</v>
      </c>
      <c r="D310" s="4" t="str">
        <f ca="1">IFERROR(__xludf.DUMMYFUNCTION("""COMPUTED_VALUE"""),"Đại học, Sau đại học, Chứng chỉ Kiểm toán viên, Luật sư - Quản tài viên")</f>
        <v>Đại học, Sau đại học, Chứng chỉ Kiểm toán viên, Luật sư - Quản tài viên</v>
      </c>
      <c r="E310" s="4" t="str">
        <f ca="1">IFERROR(__xludf.DUMMYFUNCTION("""COMPUTED_VALUE"""),"Trên 20 năm")</f>
        <v>Trên 20 năm</v>
      </c>
      <c r="F310" s="4" t="str">
        <f ca="1">IFERROR(__xludf.DUMMYFUNCTION("""COMPUTED_VALUE"""),"Ban giám đốc")</f>
        <v>Ban giám đốc</v>
      </c>
    </row>
    <row r="311" spans="1:6" x14ac:dyDescent="0.25">
      <c r="A311" s="4" t="str">
        <f ca="1">IFERROR(__xludf.DUMMYFUNCTION("""COMPUTED_VALUE"""),"Công ty TNHH Kiểm toán U&amp;I")</f>
        <v>Công ty TNHH Kiểm toán U&amp;I</v>
      </c>
      <c r="B311" s="4" t="str">
        <f ca="1">IFERROR(__xludf.DUMMYFUNCTION("""COMPUTED_VALUE"""),"Nguyễn Thị Thùy Uyển")</f>
        <v>Nguyễn Thị Thùy Uyển</v>
      </c>
      <c r="C311" s="4" t="str">
        <f ca="1">IFERROR(__xludf.DUMMYFUNCTION("""COMPUTED_VALUE"""),"Nữ")</f>
        <v>Nữ</v>
      </c>
      <c r="D311" s="4" t="str">
        <f ca="1">IFERROR(__xludf.DUMMYFUNCTION("""COMPUTED_VALUE"""),"Đại học, Chứng chỉ Kiểm toán viên")</f>
        <v>Đại học, Chứng chỉ Kiểm toán viên</v>
      </c>
      <c r="E311" s="4" t="str">
        <f ca="1">IFERROR(__xludf.DUMMYFUNCTION("""COMPUTED_VALUE"""),"Trên 10 đến 15 năm")</f>
        <v>Trên 10 đến 15 năm</v>
      </c>
      <c r="F311" s="4" t="str">
        <f ca="1">IFERROR(__xludf.DUMMYFUNCTION("""COMPUTED_VALUE"""),"Kiểm toán viên/Trưởng nhóm")</f>
        <v>Kiểm toán viên/Trưởng nhóm</v>
      </c>
    </row>
    <row r="312" spans="1:6" x14ac:dyDescent="0.25">
      <c r="A312" s="4" t="str">
        <f ca="1">IFERROR(__xludf.DUMMYFUNCTION("""COMPUTED_VALUE"""),"Công ty TNHH Kiểm toán U&amp;I")</f>
        <v>Công ty TNHH Kiểm toán U&amp;I</v>
      </c>
      <c r="B312" s="4" t="str">
        <f ca="1">IFERROR(__xludf.DUMMYFUNCTION("""COMPUTED_VALUE"""),"Phạm Thị Mỹ Linh")</f>
        <v>Phạm Thị Mỹ Linh</v>
      </c>
      <c r="C312" s="4" t="str">
        <f ca="1">IFERROR(__xludf.DUMMYFUNCTION("""COMPUTED_VALUE"""),"Nữ")</f>
        <v>Nữ</v>
      </c>
      <c r="D312" s="4" t="str">
        <f ca="1">IFERROR(__xludf.DUMMYFUNCTION("""COMPUTED_VALUE"""),"Đại học")</f>
        <v>Đại học</v>
      </c>
      <c r="E312" s="4" t="str">
        <f ca="1">IFERROR(__xludf.DUMMYFUNCTION("""COMPUTED_VALUE"""),"Trên 5 đến 10 năm")</f>
        <v>Trên 5 đến 10 năm</v>
      </c>
      <c r="F312" s="4" t="str">
        <f ca="1">IFERROR(__xludf.DUMMYFUNCTION("""COMPUTED_VALUE"""),"Kiểm toán viên/Trưởng nhóm")</f>
        <v>Kiểm toán viên/Trưởng nhóm</v>
      </c>
    </row>
    <row r="313" spans="1:6" x14ac:dyDescent="0.25">
      <c r="A313" s="4" t="str">
        <f ca="1">IFERROR(__xludf.DUMMYFUNCTION("""COMPUTED_VALUE"""),"Công ty TNHH Kiểm toán U&amp;I")</f>
        <v>Công ty TNHH Kiểm toán U&amp;I</v>
      </c>
      <c r="B313" s="4" t="str">
        <f ca="1">IFERROR(__xludf.DUMMYFUNCTION("""COMPUTED_VALUE"""),"Bùi Thị Thanh Tuyền")</f>
        <v>Bùi Thị Thanh Tuyền</v>
      </c>
      <c r="C313" s="4" t="str">
        <f ca="1">IFERROR(__xludf.DUMMYFUNCTION("""COMPUTED_VALUE"""),"Nữ")</f>
        <v>Nữ</v>
      </c>
      <c r="D313" s="4" t="str">
        <f ca="1">IFERROR(__xludf.DUMMYFUNCTION("""COMPUTED_VALUE"""),"Đại học, Sau đại học")</f>
        <v>Đại học, Sau đại học</v>
      </c>
      <c r="E313" s="4" t="str">
        <f ca="1">IFERROR(__xludf.DUMMYFUNCTION("""COMPUTED_VALUE"""),"Trên 5 đến 10 năm")</f>
        <v>Trên 5 đến 10 năm</v>
      </c>
      <c r="F313" s="4" t="str">
        <f ca="1">IFERROR(__xludf.DUMMYFUNCTION("""COMPUTED_VALUE"""),"Kiểm toán viên/Trưởng nhóm")</f>
        <v>Kiểm toán viên/Trưởng nhóm</v>
      </c>
    </row>
    <row r="314" spans="1:6" x14ac:dyDescent="0.25">
      <c r="A314" s="4" t="str">
        <f ca="1">IFERROR(__xludf.DUMMYFUNCTION("""COMPUTED_VALUE"""),"Công ty TNHH Kiểm toán U&amp;I")</f>
        <v>Công ty TNHH Kiểm toán U&amp;I</v>
      </c>
      <c r="B314" s="4" t="str">
        <f ca="1">IFERROR(__xludf.DUMMYFUNCTION("""COMPUTED_VALUE"""),"NGUYỄN THỊ THÙY LINH")</f>
        <v>NGUYỄN THỊ THÙY LINH</v>
      </c>
      <c r="C314" s="4" t="str">
        <f ca="1">IFERROR(__xludf.DUMMYFUNCTION("""COMPUTED_VALUE"""),"Nữ")</f>
        <v>Nữ</v>
      </c>
      <c r="D314" s="4" t="str">
        <f ca="1">IFERROR(__xludf.DUMMYFUNCTION("""COMPUTED_VALUE"""),"Sau đại học, Chứng chỉ Kiểm toán viên")</f>
        <v>Sau đại học, Chứng chỉ Kiểm toán viên</v>
      </c>
      <c r="E314" s="4" t="str">
        <f ca="1">IFERROR(__xludf.DUMMYFUNCTION("""COMPUTED_VALUE"""),"Trên 10 đến 15 năm")</f>
        <v>Trên 10 đến 15 năm</v>
      </c>
      <c r="F314" s="4" t="str">
        <f ca="1">IFERROR(__xludf.DUMMYFUNCTION("""COMPUTED_VALUE"""),"Trưởng phòng")</f>
        <v>Trưởng phòng</v>
      </c>
    </row>
    <row r="315" spans="1:6" x14ac:dyDescent="0.25">
      <c r="A315" s="4" t="str">
        <f ca="1">IFERROR(__xludf.DUMMYFUNCTION("""COMPUTED_VALUE"""),"Công ty TNHH Kiểm toán U&amp;I")</f>
        <v>Công ty TNHH Kiểm toán U&amp;I</v>
      </c>
      <c r="B315" s="4" t="str">
        <f ca="1">IFERROR(__xludf.DUMMYFUNCTION("""COMPUTED_VALUE"""),"Hà Văn Huy")</f>
        <v>Hà Văn Huy</v>
      </c>
      <c r="C315" s="4" t="str">
        <f ca="1">IFERROR(__xludf.DUMMYFUNCTION("""COMPUTED_VALUE"""),"Nam")</f>
        <v>Nam</v>
      </c>
      <c r="D315" s="4" t="str">
        <f ca="1">IFERROR(__xludf.DUMMYFUNCTION("""COMPUTED_VALUE"""),"Đại học")</f>
        <v>Đại học</v>
      </c>
      <c r="E315" s="4" t="str">
        <f ca="1">IFERROR(__xludf.DUMMYFUNCTION("""COMPUTED_VALUE"""),"Từ 3 đến 5 năm")</f>
        <v>Từ 3 đến 5 năm</v>
      </c>
      <c r="F315" s="4" t="str">
        <f ca="1">IFERROR(__xludf.DUMMYFUNCTION("""COMPUTED_VALUE"""),"Trợ lý kiểm toán")</f>
        <v>Trợ lý kiểm toán</v>
      </c>
    </row>
    <row r="316" spans="1:6" x14ac:dyDescent="0.25">
      <c r="A316" s="4" t="str">
        <f ca="1">IFERROR(__xludf.DUMMYFUNCTION("""COMPUTED_VALUE"""),"Công ty TNHH Kiểm toán U&amp;I")</f>
        <v>Công ty TNHH Kiểm toán U&amp;I</v>
      </c>
      <c r="B316" s="4" t="str">
        <f ca="1">IFERROR(__xludf.DUMMYFUNCTION("""COMPUTED_VALUE"""),"Lê Văn Giáp")</f>
        <v>Lê Văn Giáp</v>
      </c>
      <c r="C316" s="4" t="str">
        <f ca="1">IFERROR(__xludf.DUMMYFUNCTION("""COMPUTED_VALUE"""),"Nam")</f>
        <v>Nam</v>
      </c>
      <c r="D316" s="4" t="str">
        <f ca="1">IFERROR(__xludf.DUMMYFUNCTION("""COMPUTED_VALUE"""),"Đại học, Chứng chỉ Kiểm toán viên")</f>
        <v>Đại học, Chứng chỉ Kiểm toán viên</v>
      </c>
      <c r="E316" s="4" t="str">
        <f ca="1">IFERROR(__xludf.DUMMYFUNCTION("""COMPUTED_VALUE"""),"Trên 10 đến 15 năm")</f>
        <v>Trên 10 đến 15 năm</v>
      </c>
      <c r="F316" s="4" t="str">
        <f ca="1">IFERROR(__xludf.DUMMYFUNCTION("""COMPUTED_VALUE"""),"Kiểm toán viên/Trưởng nhóm")</f>
        <v>Kiểm toán viên/Trưởng nhóm</v>
      </c>
    </row>
    <row r="317" spans="1:6" x14ac:dyDescent="0.25">
      <c r="A317" s="4" t="str">
        <f ca="1">IFERROR(__xludf.DUMMYFUNCTION("""COMPUTED_VALUE"""),"Công ty TNHH Kiểm toán U&amp;I")</f>
        <v>Công ty TNHH Kiểm toán U&amp;I</v>
      </c>
      <c r="B317" s="4" t="str">
        <f ca="1">IFERROR(__xludf.DUMMYFUNCTION("""COMPUTED_VALUE"""),"Trương Nguyễn Anh Phương")</f>
        <v>Trương Nguyễn Anh Phương</v>
      </c>
      <c r="C317" s="4" t="str">
        <f ca="1">IFERROR(__xludf.DUMMYFUNCTION("""COMPUTED_VALUE"""),"Nữ")</f>
        <v>Nữ</v>
      </c>
      <c r="D317" s="4" t="str">
        <f ca="1">IFERROR(__xludf.DUMMYFUNCTION("""COMPUTED_VALUE"""),"Đại học")</f>
        <v>Đại học</v>
      </c>
      <c r="E317" s="4" t="str">
        <f ca="1">IFERROR(__xludf.DUMMYFUNCTION("""COMPUTED_VALUE"""),"Từ 3 đến 5 năm")</f>
        <v>Từ 3 đến 5 năm</v>
      </c>
      <c r="F317" s="4" t="str">
        <f ca="1">IFERROR(__xludf.DUMMYFUNCTION("""COMPUTED_VALUE"""),"Trợ lý kiểm toán")</f>
        <v>Trợ lý kiểm toán</v>
      </c>
    </row>
    <row r="318" spans="1:6" x14ac:dyDescent="0.25">
      <c r="A318" s="4" t="str">
        <f ca="1">IFERROR(__xludf.DUMMYFUNCTION("""COMPUTED_VALUE"""),"Công ty TNHH Kiểm toán U&amp;I")</f>
        <v>Công ty TNHH Kiểm toán U&amp;I</v>
      </c>
      <c r="B318" s="4" t="str">
        <f ca="1">IFERROR(__xludf.DUMMYFUNCTION("""COMPUTED_VALUE"""),"Ngô Lê Đăng Khoa")</f>
        <v>Ngô Lê Đăng Khoa</v>
      </c>
      <c r="C318" s="4" t="str">
        <f ca="1">IFERROR(__xludf.DUMMYFUNCTION("""COMPUTED_VALUE"""),"Nam")</f>
        <v>Nam</v>
      </c>
      <c r="D318" s="4" t="str">
        <f ca="1">IFERROR(__xludf.DUMMYFUNCTION("""COMPUTED_VALUE"""),"Đại học")</f>
        <v>Đại học</v>
      </c>
      <c r="E318" s="4" t="str">
        <f ca="1">IFERROR(__xludf.DUMMYFUNCTION("""COMPUTED_VALUE"""),"Từ 3 đến 5 năm")</f>
        <v>Từ 3 đến 5 năm</v>
      </c>
      <c r="F318" s="4" t="str">
        <f ca="1">IFERROR(__xludf.DUMMYFUNCTION("""COMPUTED_VALUE"""),"Kiểm toán viên/Trưởng nhóm")</f>
        <v>Kiểm toán viên/Trưởng nhóm</v>
      </c>
    </row>
    <row r="319" spans="1:6" x14ac:dyDescent="0.25">
      <c r="A319" s="4" t="str">
        <f ca="1">IFERROR(__xludf.DUMMYFUNCTION("""COMPUTED_VALUE"""),"Công ty TNHH Kiểm toán U&amp;I")</f>
        <v>Công ty TNHH Kiểm toán U&amp;I</v>
      </c>
      <c r="B319" s="4" t="str">
        <f ca="1">IFERROR(__xludf.DUMMYFUNCTION("""COMPUTED_VALUE"""),"Tạ Thị Minh Hòa")</f>
        <v>Tạ Thị Minh Hòa</v>
      </c>
      <c r="C319" s="4" t="str">
        <f ca="1">IFERROR(__xludf.DUMMYFUNCTION("""COMPUTED_VALUE"""),"Nữ")</f>
        <v>Nữ</v>
      </c>
      <c r="D319" s="4" t="str">
        <f ca="1">IFERROR(__xludf.DUMMYFUNCTION("""COMPUTED_VALUE"""),"Đại học")</f>
        <v>Đại học</v>
      </c>
      <c r="E319" s="4" t="str">
        <f ca="1">IFERROR(__xludf.DUMMYFUNCTION("""COMPUTED_VALUE"""),"Trên 10 đến 15 năm")</f>
        <v>Trên 10 đến 15 năm</v>
      </c>
      <c r="F319" s="4" t="str">
        <f ca="1">IFERROR(__xludf.DUMMYFUNCTION("""COMPUTED_VALUE"""),"Kiểm toán viên/Trưởng nhóm")</f>
        <v>Kiểm toán viên/Trưởng nhóm</v>
      </c>
    </row>
    <row r="320" spans="1:6" x14ac:dyDescent="0.25">
      <c r="A320" s="4" t="str">
        <f ca="1">IFERROR(__xludf.DUMMYFUNCTION("""COMPUTED_VALUE"""),"Công ty TNHH Kiểm toán U&amp;I")</f>
        <v>Công ty TNHH Kiểm toán U&amp;I</v>
      </c>
      <c r="B320" s="4" t="str">
        <f ca="1">IFERROR(__xludf.DUMMYFUNCTION("""COMPUTED_VALUE"""),"Phạm Minh Tân")</f>
        <v>Phạm Minh Tân</v>
      </c>
      <c r="C320" s="4" t="str">
        <f ca="1">IFERROR(__xludf.DUMMYFUNCTION("""COMPUTED_VALUE"""),"Nam")</f>
        <v>Nam</v>
      </c>
      <c r="D320" s="4" t="str">
        <f ca="1">IFERROR(__xludf.DUMMYFUNCTION("""COMPUTED_VALUE"""),"Đại học")</f>
        <v>Đại học</v>
      </c>
      <c r="E320" s="4" t="str">
        <f ca="1">IFERROR(__xludf.DUMMYFUNCTION("""COMPUTED_VALUE"""),"Trên 10 đến 15 năm")</f>
        <v>Trên 10 đến 15 năm</v>
      </c>
      <c r="F320" s="4" t="str">
        <f ca="1">IFERROR(__xludf.DUMMYFUNCTION("""COMPUTED_VALUE"""),"Kiểm toán viên/Trưởng nhóm")</f>
        <v>Kiểm toán viên/Trưởng nhóm</v>
      </c>
    </row>
    <row r="321" spans="1:6" x14ac:dyDescent="0.25">
      <c r="A321" s="4" t="str">
        <f ca="1">IFERROR(__xludf.DUMMYFUNCTION("""COMPUTED_VALUE"""),"Công ty TNHH Kiểm toán U&amp;I")</f>
        <v>Công ty TNHH Kiểm toán U&amp;I</v>
      </c>
      <c r="B321" s="4"/>
      <c r="C321" s="4" t="str">
        <f ca="1">IFERROR(__xludf.DUMMYFUNCTION("""COMPUTED_VALUE"""),"Nam")</f>
        <v>Nam</v>
      </c>
      <c r="D321" s="4" t="str">
        <f ca="1">IFERROR(__xludf.DUMMYFUNCTION("""COMPUTED_VALUE"""),"Sau đại học, Chứng chỉ Kiểm toán viên")</f>
        <v>Sau đại học, Chứng chỉ Kiểm toán viên</v>
      </c>
      <c r="E321" s="4" t="str">
        <f ca="1">IFERROR(__xludf.DUMMYFUNCTION("""COMPUTED_VALUE"""),"Trên 20 năm")</f>
        <v>Trên 20 năm</v>
      </c>
      <c r="F321" s="4" t="str">
        <f ca="1">IFERROR(__xludf.DUMMYFUNCTION("""COMPUTED_VALUE"""),"Ban giám đốc")</f>
        <v>Ban giám đốc</v>
      </c>
    </row>
    <row r="322" spans="1:6" x14ac:dyDescent="0.25">
      <c r="A322" s="4" t="str">
        <f ca="1">IFERROR(__xludf.DUMMYFUNCTION("""COMPUTED_VALUE"""),"Công ty TNHH Kiểm toán U&amp;I")</f>
        <v>Công ty TNHH Kiểm toán U&amp;I</v>
      </c>
      <c r="B322" s="4" t="str">
        <f ca="1">IFERROR(__xludf.DUMMYFUNCTION("""COMPUTED_VALUE"""),"Hồ Mành Cón")</f>
        <v>Hồ Mành Cón</v>
      </c>
      <c r="C322" s="4" t="str">
        <f ca="1">IFERROR(__xludf.DUMMYFUNCTION("""COMPUTED_VALUE"""),"Nam")</f>
        <v>Nam</v>
      </c>
      <c r="D322" s="4" t="str">
        <f ca="1">IFERROR(__xludf.DUMMYFUNCTION("""COMPUTED_VALUE"""),"Đại học, Chứng chỉ Kiểm toán viên")</f>
        <v>Đại học, Chứng chỉ Kiểm toán viên</v>
      </c>
      <c r="E322" s="4" t="str">
        <f ca="1">IFERROR(__xludf.DUMMYFUNCTION("""COMPUTED_VALUE"""),"Trên 20 năm")</f>
        <v>Trên 20 năm</v>
      </c>
      <c r="F322" s="4" t="str">
        <f ca="1">IFERROR(__xludf.DUMMYFUNCTION("""COMPUTED_VALUE"""),"Trưởng phòng")</f>
        <v>Trưởng phòng</v>
      </c>
    </row>
    <row r="323" spans="1:6" x14ac:dyDescent="0.25">
      <c r="A323" s="4" t="str">
        <f ca="1">IFERROR(__xludf.DUMMYFUNCTION("""COMPUTED_VALUE"""),"Công ty TNHH Kiểm toán U&amp;I")</f>
        <v>Công ty TNHH Kiểm toán U&amp;I</v>
      </c>
      <c r="B323" s="4" t="str">
        <f ca="1">IFERROR(__xludf.DUMMYFUNCTION("""COMPUTED_VALUE"""),"LÊ ANH TUẤN")</f>
        <v>LÊ ANH TUẤN</v>
      </c>
      <c r="C323" s="4" t="str">
        <f ca="1">IFERROR(__xludf.DUMMYFUNCTION("""COMPUTED_VALUE"""),"Nam")</f>
        <v>Nam</v>
      </c>
      <c r="D323" s="4" t="str">
        <f ca="1">IFERROR(__xludf.DUMMYFUNCTION("""COMPUTED_VALUE"""),"Đại học, Chứng chỉ Kiểm toán viên")</f>
        <v>Đại học, Chứng chỉ Kiểm toán viên</v>
      </c>
      <c r="E323" s="4" t="str">
        <f ca="1">IFERROR(__xludf.DUMMYFUNCTION("""COMPUTED_VALUE"""),"Trên 10 đến 15 năm")</f>
        <v>Trên 10 đến 15 năm</v>
      </c>
      <c r="F323" s="4" t="str">
        <f ca="1">IFERROR(__xludf.DUMMYFUNCTION("""COMPUTED_VALUE"""),"Kiểm toán viên/Trưởng nhóm")</f>
        <v>Kiểm toán viên/Trưởng nhóm</v>
      </c>
    </row>
    <row r="324" spans="1:6" x14ac:dyDescent="0.25">
      <c r="A324" s="4" t="str">
        <f ca="1">IFERROR(__xludf.DUMMYFUNCTION("""COMPUTED_VALUE"""),"Công ty TNHH Kiểm toán U&amp;I")</f>
        <v>Công ty TNHH Kiểm toán U&amp;I</v>
      </c>
      <c r="B324" s="4" t="str">
        <f ca="1">IFERROR(__xludf.DUMMYFUNCTION("""COMPUTED_VALUE"""),"Phạm Hà Vy")</f>
        <v>Phạm Hà Vy</v>
      </c>
      <c r="C324" s="4" t="str">
        <f ca="1">IFERROR(__xludf.DUMMYFUNCTION("""COMPUTED_VALUE"""),"Nữ")</f>
        <v>Nữ</v>
      </c>
      <c r="D324" s="4" t="str">
        <f ca="1">IFERROR(__xludf.DUMMYFUNCTION("""COMPUTED_VALUE"""),"Đại học")</f>
        <v>Đại học</v>
      </c>
      <c r="E324" s="4" t="str">
        <f ca="1">IFERROR(__xludf.DUMMYFUNCTION("""COMPUTED_VALUE"""),"Từ 3 đến 5 năm")</f>
        <v>Từ 3 đến 5 năm</v>
      </c>
      <c r="F324" s="4" t="str">
        <f ca="1">IFERROR(__xludf.DUMMYFUNCTION("""COMPUTED_VALUE"""),"Trợ lý kiểm toán")</f>
        <v>Trợ lý kiểm toán</v>
      </c>
    </row>
    <row r="325" spans="1:6" x14ac:dyDescent="0.25">
      <c r="A325" s="4" t="str">
        <f ca="1">IFERROR(__xludf.DUMMYFUNCTION("""COMPUTED_VALUE"""),"Công ty TNHH Kiểm toán U&amp;I")</f>
        <v>Công ty TNHH Kiểm toán U&amp;I</v>
      </c>
      <c r="B325" s="4" t="str">
        <f ca="1">IFERROR(__xludf.DUMMYFUNCTION("""COMPUTED_VALUE"""),"Trần Thị Thu Hằng")</f>
        <v>Trần Thị Thu Hằng</v>
      </c>
      <c r="C325" s="4" t="str">
        <f ca="1">IFERROR(__xludf.DUMMYFUNCTION("""COMPUTED_VALUE"""),"Nữ")</f>
        <v>Nữ</v>
      </c>
      <c r="D325" s="4" t="str">
        <f ca="1">IFERROR(__xludf.DUMMYFUNCTION("""COMPUTED_VALUE"""),"Đại học")</f>
        <v>Đại học</v>
      </c>
      <c r="E325" s="4" t="str">
        <f ca="1">IFERROR(__xludf.DUMMYFUNCTION("""COMPUTED_VALUE"""),"Từ 3 đến 5 năm")</f>
        <v>Từ 3 đến 5 năm</v>
      </c>
      <c r="F325" s="4" t="str">
        <f ca="1">IFERROR(__xludf.DUMMYFUNCTION("""COMPUTED_VALUE"""),"Trợ lý kiểm toán")</f>
        <v>Trợ lý kiểm toán</v>
      </c>
    </row>
    <row r="326" spans="1:6" x14ac:dyDescent="0.25">
      <c r="A326" s="4" t="str">
        <f ca="1">IFERROR(__xludf.DUMMYFUNCTION("""COMPUTED_VALUE"""),"Công ty TNHH Kiểm toán U&amp;I")</f>
        <v>Công ty TNHH Kiểm toán U&amp;I</v>
      </c>
      <c r="B326" s="4" t="str">
        <f ca="1">IFERROR(__xludf.DUMMYFUNCTION("""COMPUTED_VALUE"""),"Trương Kim Ngân")</f>
        <v>Trương Kim Ngân</v>
      </c>
      <c r="C326" s="4" t="str">
        <f ca="1">IFERROR(__xludf.DUMMYFUNCTION("""COMPUTED_VALUE"""),"Nữ")</f>
        <v>Nữ</v>
      </c>
      <c r="D326" s="4" t="str">
        <f ca="1">IFERROR(__xludf.DUMMYFUNCTION("""COMPUTED_VALUE"""),"Đại học")</f>
        <v>Đại học</v>
      </c>
      <c r="E326" s="4" t="str">
        <f ca="1">IFERROR(__xludf.DUMMYFUNCTION("""COMPUTED_VALUE"""),"Trên 5 đến 10 năm")</f>
        <v>Trên 5 đến 10 năm</v>
      </c>
      <c r="F326" s="4" t="str">
        <f ca="1">IFERROR(__xludf.DUMMYFUNCTION("""COMPUTED_VALUE"""),"Kiểm toán viên/Trưởng nhóm")</f>
        <v>Kiểm toán viên/Trưởng nhóm</v>
      </c>
    </row>
    <row r="327" spans="1:6" x14ac:dyDescent="0.25">
      <c r="A327" s="4" t="str">
        <f ca="1">IFERROR(__xludf.DUMMYFUNCTION("""COMPUTED_VALUE"""),"Công ty TNHH Kiểm toán Việt Nhất")</f>
        <v>Công ty TNHH Kiểm toán Việt Nhất</v>
      </c>
      <c r="B327" s="4" t="str">
        <f ca="1">IFERROR(__xludf.DUMMYFUNCTION("""COMPUTED_VALUE"""),"Nguyễn Nhân Bào")</f>
        <v>Nguyễn Nhân Bào</v>
      </c>
      <c r="C327" s="4" t="str">
        <f ca="1">IFERROR(__xludf.DUMMYFUNCTION("""COMPUTED_VALUE"""),"Nam")</f>
        <v>Nam</v>
      </c>
      <c r="D327" s="4" t="str">
        <f ca="1">IFERROR(__xludf.DUMMYFUNCTION("""COMPUTED_VALUE"""),"Đại học, Sau đại học, Chứng chỉ Kiểm toán viên")</f>
        <v>Đại học, Sau đại học, Chứng chỉ Kiểm toán viên</v>
      </c>
      <c r="E327" s="4" t="str">
        <f ca="1">IFERROR(__xludf.DUMMYFUNCTION("""COMPUTED_VALUE"""),"Trên 20 năm")</f>
        <v>Trên 20 năm</v>
      </c>
      <c r="F327" s="4" t="str">
        <f ca="1">IFERROR(__xludf.DUMMYFUNCTION("""COMPUTED_VALUE"""),"Ban giám đốc")</f>
        <v>Ban giám đốc</v>
      </c>
    </row>
    <row r="328" spans="1:6" x14ac:dyDescent="0.25">
      <c r="A328" s="4" t="str">
        <f ca="1">IFERROR(__xludf.DUMMYFUNCTION("""COMPUTED_VALUE"""),"Công ty TNHH Kiểm toán Việt Úc")</f>
        <v>Công ty TNHH Kiểm toán Việt Úc</v>
      </c>
      <c r="B328" s="4" t="str">
        <f ca="1">IFERROR(__xludf.DUMMYFUNCTION("""COMPUTED_VALUE"""),"Tri nguyen")</f>
        <v>Tri nguyen</v>
      </c>
      <c r="C328" s="4" t="str">
        <f ca="1">IFERROR(__xludf.DUMMYFUNCTION("""COMPUTED_VALUE"""),"Nam")</f>
        <v>Nam</v>
      </c>
      <c r="D328" s="4" t="str">
        <f ca="1">IFERROR(__xludf.DUMMYFUNCTION("""COMPUTED_VALUE"""),"Đại học")</f>
        <v>Đại học</v>
      </c>
      <c r="E328" s="4" t="str">
        <f ca="1">IFERROR(__xludf.DUMMYFUNCTION("""COMPUTED_VALUE"""),"Trên 15 đến 20 năm")</f>
        <v>Trên 15 đến 20 năm</v>
      </c>
      <c r="F328" s="4" t="str">
        <f ca="1">IFERROR(__xludf.DUMMYFUNCTION("""COMPUTED_VALUE"""),"Trưởng phòng")</f>
        <v>Trưởng phòng</v>
      </c>
    </row>
    <row r="329" spans="1:6" x14ac:dyDescent="0.25">
      <c r="A329" s="4" t="str">
        <f ca="1">IFERROR(__xludf.DUMMYFUNCTION("""COMPUTED_VALUE"""),"Công ty TNHH Kiểm toán Việt Úc")</f>
        <v>Công ty TNHH Kiểm toán Việt Úc</v>
      </c>
      <c r="B329" s="4" t="str">
        <f ca="1">IFERROR(__xludf.DUMMYFUNCTION("""COMPUTED_VALUE"""),"Lê Trương Cường")</f>
        <v>Lê Trương Cường</v>
      </c>
      <c r="C329" s="4" t="str">
        <f ca="1">IFERROR(__xludf.DUMMYFUNCTION("""COMPUTED_VALUE"""),"Nam")</f>
        <v>Nam</v>
      </c>
      <c r="D329" s="4" t="str">
        <f ca="1">IFERROR(__xludf.DUMMYFUNCTION("""COMPUTED_VALUE"""),"Đại học, Chứng chỉ Kiểm toán viên")</f>
        <v>Đại học, Chứng chỉ Kiểm toán viên</v>
      </c>
      <c r="E329" s="4" t="str">
        <f ca="1">IFERROR(__xludf.DUMMYFUNCTION("""COMPUTED_VALUE"""),"Trên 10 đến 15 năm")</f>
        <v>Trên 10 đến 15 năm</v>
      </c>
      <c r="F329" s="4" t="str">
        <f ca="1">IFERROR(__xludf.DUMMYFUNCTION("""COMPUTED_VALUE"""),"Ban giám đốc")</f>
        <v>Ban giám đốc</v>
      </c>
    </row>
    <row r="330" spans="1:6" x14ac:dyDescent="0.25">
      <c r="A330" s="4" t="str">
        <f ca="1">IFERROR(__xludf.DUMMYFUNCTION("""COMPUTED_VALUE"""),"Công ty TNHH Kiểm toán Việt Úc")</f>
        <v>Công ty TNHH Kiểm toán Việt Úc</v>
      </c>
      <c r="B330" s="4" t="str">
        <f ca="1">IFERROR(__xludf.DUMMYFUNCTION("""COMPUTED_VALUE"""),"Lê Quý Hưng")</f>
        <v>Lê Quý Hưng</v>
      </c>
      <c r="C330" s="4" t="str">
        <f ca="1">IFERROR(__xludf.DUMMYFUNCTION("""COMPUTED_VALUE"""),"Nam")</f>
        <v>Nam</v>
      </c>
      <c r="D330" s="4" t="str">
        <f ca="1">IFERROR(__xludf.DUMMYFUNCTION("""COMPUTED_VALUE"""),"Đại học")</f>
        <v>Đại học</v>
      </c>
      <c r="E330" s="4" t="str">
        <f ca="1">IFERROR(__xludf.DUMMYFUNCTION("""COMPUTED_VALUE"""),"Từ 3 đến 5 năm")</f>
        <v>Từ 3 đến 5 năm</v>
      </c>
      <c r="F330" s="4" t="str">
        <f ca="1">IFERROR(__xludf.DUMMYFUNCTION("""COMPUTED_VALUE"""),"Kiểm toán viên/Trưởng nhóm")</f>
        <v>Kiểm toán viên/Trưởng nhóm</v>
      </c>
    </row>
    <row r="331" spans="1:6" x14ac:dyDescent="0.25">
      <c r="A331" s="4" t="str">
        <f ca="1">IFERROR(__xludf.DUMMYFUNCTION("""COMPUTED_VALUE"""),"Công ty TNHH Kiểm toán Việt Úc")</f>
        <v>Công ty TNHH Kiểm toán Việt Úc</v>
      </c>
      <c r="B331" s="4" t="str">
        <f ca="1">IFERROR(__xludf.DUMMYFUNCTION("""COMPUTED_VALUE"""),"NGUYỄN THỊ HUỲNH HOA")</f>
        <v>NGUYỄN THỊ HUỲNH HOA</v>
      </c>
      <c r="C331" s="4" t="str">
        <f ca="1">IFERROR(__xludf.DUMMYFUNCTION("""COMPUTED_VALUE"""),"Nữ")</f>
        <v>Nữ</v>
      </c>
      <c r="D331" s="4" t="str">
        <f ca="1">IFERROR(__xludf.DUMMYFUNCTION("""COMPUTED_VALUE"""),"Sau đại học")</f>
        <v>Sau đại học</v>
      </c>
      <c r="E331" s="4" t="str">
        <f ca="1">IFERROR(__xludf.DUMMYFUNCTION("""COMPUTED_VALUE"""),"Trên 5 đến 10 năm")</f>
        <v>Trên 5 đến 10 năm</v>
      </c>
      <c r="F331" s="4" t="str">
        <f ca="1">IFERROR(__xludf.DUMMYFUNCTION("""COMPUTED_VALUE"""),"Kiểm toán viên/Trưởng nhóm")</f>
        <v>Kiểm toán viên/Trưởng nhóm</v>
      </c>
    </row>
    <row r="332" spans="1:6" x14ac:dyDescent="0.25">
      <c r="A332" s="4" t="str">
        <f ca="1">IFERROR(__xludf.DUMMYFUNCTION("""COMPUTED_VALUE"""),"Công ty TNHH Kiểm toán và Dịch vụ Tin học Moore AISC")</f>
        <v>Công ty TNHH Kiểm toán và Dịch vụ Tin học Moore AISC</v>
      </c>
      <c r="B332" s="4" t="str">
        <f ca="1">IFERROR(__xludf.DUMMYFUNCTION("""COMPUTED_VALUE"""),"Nguyễn Như Yến")</f>
        <v>Nguyễn Như Yến</v>
      </c>
      <c r="C332" s="4" t="str">
        <f ca="1">IFERROR(__xludf.DUMMYFUNCTION("""COMPUTED_VALUE"""),"Nữ")</f>
        <v>Nữ</v>
      </c>
      <c r="D332" s="4" t="str">
        <f ca="1">IFERROR(__xludf.DUMMYFUNCTION("""COMPUTED_VALUE"""),"Chứng chỉ Kiểm toán viên")</f>
        <v>Chứng chỉ Kiểm toán viên</v>
      </c>
      <c r="E332" s="4" t="str">
        <f ca="1">IFERROR(__xludf.DUMMYFUNCTION("""COMPUTED_VALUE"""),"Trên 5 đến 10 năm")</f>
        <v>Trên 5 đến 10 năm</v>
      </c>
      <c r="F332" s="4" t="str">
        <f ca="1">IFERROR(__xludf.DUMMYFUNCTION("""COMPUTED_VALUE"""),"Trưởng phòng")</f>
        <v>Trưởng phòng</v>
      </c>
    </row>
    <row r="333" spans="1:6" x14ac:dyDescent="0.25">
      <c r="A333" s="4" t="str">
        <f ca="1">IFERROR(__xludf.DUMMYFUNCTION("""COMPUTED_VALUE"""),"Công ty TNHH Kiểm toán và Dịch vụ Tin học Moore AISC")</f>
        <v>Công ty TNHH Kiểm toán và Dịch vụ Tin học Moore AISC</v>
      </c>
      <c r="B333" s="4"/>
      <c r="C333" s="4" t="str">
        <f ca="1">IFERROR(__xludf.DUMMYFUNCTION("""COMPUTED_VALUE"""),"Nữ")</f>
        <v>Nữ</v>
      </c>
      <c r="D333" s="4" t="str">
        <f ca="1">IFERROR(__xludf.DUMMYFUNCTION("""COMPUTED_VALUE"""),"Sau đại học, Chứng chỉ Kiểm toán viên")</f>
        <v>Sau đại học, Chứng chỉ Kiểm toán viên</v>
      </c>
      <c r="E333" s="4" t="str">
        <f ca="1">IFERROR(__xludf.DUMMYFUNCTION("""COMPUTED_VALUE"""),"Trên 20 năm")</f>
        <v>Trên 20 năm</v>
      </c>
      <c r="F333" s="4" t="str">
        <f ca="1">IFERROR(__xludf.DUMMYFUNCTION("""COMPUTED_VALUE"""),"Ban giám đốc")</f>
        <v>Ban giám đốc</v>
      </c>
    </row>
    <row r="334" spans="1:6" x14ac:dyDescent="0.25">
      <c r="A334" s="4" t="str">
        <f ca="1">IFERROR(__xludf.DUMMYFUNCTION("""COMPUTED_VALUE"""),"Công ty TNHH Kiểm toán và Dịch vụ Tin học Moore AISC")</f>
        <v>Công ty TNHH Kiểm toán và Dịch vụ Tin học Moore AISC</v>
      </c>
      <c r="B334" s="4" t="str">
        <f ca="1">IFERROR(__xludf.DUMMYFUNCTION("""COMPUTED_VALUE"""),"Ngô Thị Thùy Vân")</f>
        <v>Ngô Thị Thùy Vân</v>
      </c>
      <c r="C334" s="4" t="str">
        <f ca="1">IFERROR(__xludf.DUMMYFUNCTION("""COMPUTED_VALUE"""),"Nữ")</f>
        <v>Nữ</v>
      </c>
      <c r="D334" s="4" t="str">
        <f ca="1">IFERROR(__xludf.DUMMYFUNCTION("""COMPUTED_VALUE"""),"Sau đại học")</f>
        <v>Sau đại học</v>
      </c>
      <c r="E334" s="4" t="str">
        <f ca="1">IFERROR(__xludf.DUMMYFUNCTION("""COMPUTED_VALUE"""),"Từ 3 đến 5 năm")</f>
        <v>Từ 3 đến 5 năm</v>
      </c>
      <c r="F334" s="4" t="str">
        <f ca="1">IFERROR(__xludf.DUMMYFUNCTION("""COMPUTED_VALUE"""),"Trợ lý kiểm toán")</f>
        <v>Trợ lý kiểm toán</v>
      </c>
    </row>
    <row r="335" spans="1:6" x14ac:dyDescent="0.25">
      <c r="A335" s="4" t="str">
        <f ca="1">IFERROR(__xludf.DUMMYFUNCTION("""COMPUTED_VALUE"""),"Công ty TNHH Kiểm toán và Dịch vụ Tin học Moore AISC")</f>
        <v>Công ty TNHH Kiểm toán và Dịch vụ Tin học Moore AISC</v>
      </c>
      <c r="B335" s="4" t="str">
        <f ca="1">IFERROR(__xludf.DUMMYFUNCTION("""COMPUTED_VALUE"""),"Võ Thị Xuân Quỳnh")</f>
        <v>Võ Thị Xuân Quỳnh</v>
      </c>
      <c r="C335" s="4" t="str">
        <f ca="1">IFERROR(__xludf.DUMMYFUNCTION("""COMPUTED_VALUE"""),"Nữ")</f>
        <v>Nữ</v>
      </c>
      <c r="D335" s="4" t="str">
        <f ca="1">IFERROR(__xludf.DUMMYFUNCTION("""COMPUTED_VALUE"""),"Đại học, Chứng chỉ Kiểm toán viên")</f>
        <v>Đại học, Chứng chỉ Kiểm toán viên</v>
      </c>
      <c r="E335" s="4" t="str">
        <f ca="1">IFERROR(__xludf.DUMMYFUNCTION("""COMPUTED_VALUE"""),"Trên 10 đến 15 năm")</f>
        <v>Trên 10 đến 15 năm</v>
      </c>
      <c r="F335" s="4" t="str">
        <f ca="1">IFERROR(__xludf.DUMMYFUNCTION("""COMPUTED_VALUE"""),"Trưởng phòng")</f>
        <v>Trưởng phòng</v>
      </c>
    </row>
    <row r="336" spans="1:6" x14ac:dyDescent="0.25">
      <c r="A336" s="4" t="str">
        <f ca="1">IFERROR(__xludf.DUMMYFUNCTION("""COMPUTED_VALUE"""),"Công ty TNHH Kiểm toán và Dịch vụ Tin học Moore AISC")</f>
        <v>Công ty TNHH Kiểm toán và Dịch vụ Tin học Moore AISC</v>
      </c>
      <c r="B336" s="4"/>
      <c r="C336" s="4" t="str">
        <f ca="1">IFERROR(__xludf.DUMMYFUNCTION("""COMPUTED_VALUE"""),"Nữ")</f>
        <v>Nữ</v>
      </c>
      <c r="D336" s="4" t="str">
        <f ca="1">IFERROR(__xludf.DUMMYFUNCTION("""COMPUTED_VALUE"""),"Chứng chỉ Kiểm toán viên")</f>
        <v>Chứng chỉ Kiểm toán viên</v>
      </c>
      <c r="E336" s="4" t="str">
        <f ca="1">IFERROR(__xludf.DUMMYFUNCTION("""COMPUTED_VALUE"""),"Trên 10 đến 15 năm")</f>
        <v>Trên 10 đến 15 năm</v>
      </c>
      <c r="F336" s="4" t="str">
        <f ca="1">IFERROR(__xludf.DUMMYFUNCTION("""COMPUTED_VALUE"""),"Trưởng phòng")</f>
        <v>Trưởng phòng</v>
      </c>
    </row>
    <row r="337" spans="1:6" x14ac:dyDescent="0.25">
      <c r="A337" s="4" t="str">
        <f ca="1">IFERROR(__xludf.DUMMYFUNCTION("""COMPUTED_VALUE"""),"Công ty TNHH Kiểm toán và Dịch vụ Tin học Moore AISC")</f>
        <v>Công ty TNHH Kiểm toán và Dịch vụ Tin học Moore AISC</v>
      </c>
      <c r="B337" s="4" t="str">
        <f ca="1">IFERROR(__xludf.DUMMYFUNCTION("""COMPUTED_VALUE"""),"Hà Thị Thư")</f>
        <v>Hà Thị Thư</v>
      </c>
      <c r="C337" s="4" t="str">
        <f ca="1">IFERROR(__xludf.DUMMYFUNCTION("""COMPUTED_VALUE"""),"Nữ")</f>
        <v>Nữ</v>
      </c>
      <c r="D337" s="4" t="str">
        <f ca="1">IFERROR(__xludf.DUMMYFUNCTION("""COMPUTED_VALUE"""),"Đại học, Chứng chỉ Kiểm toán viên")</f>
        <v>Đại học, Chứng chỉ Kiểm toán viên</v>
      </c>
      <c r="E337" s="4" t="str">
        <f ca="1">IFERROR(__xludf.DUMMYFUNCTION("""COMPUTED_VALUE"""),"Trên 10 đến 15 năm")</f>
        <v>Trên 10 đến 15 năm</v>
      </c>
      <c r="F337" s="4" t="str">
        <f ca="1">IFERROR(__xludf.DUMMYFUNCTION("""COMPUTED_VALUE"""),"Kiểm toán viên/Trưởng nhóm")</f>
        <v>Kiểm toán viên/Trưởng nhóm</v>
      </c>
    </row>
    <row r="338" spans="1:6" x14ac:dyDescent="0.25">
      <c r="A338" s="4" t="str">
        <f ca="1">IFERROR(__xludf.DUMMYFUNCTION("""COMPUTED_VALUE"""),"Công ty TNHH Kiểm toán và Dịch vụ Tin học Moore AISC")</f>
        <v>Công ty TNHH Kiểm toán và Dịch vụ Tin học Moore AISC</v>
      </c>
      <c r="B338" s="4" t="str">
        <f ca="1">IFERROR(__xludf.DUMMYFUNCTION("""COMPUTED_VALUE"""),"Nguyễn Hà Kim Trang")</f>
        <v>Nguyễn Hà Kim Trang</v>
      </c>
      <c r="C338" s="4" t="str">
        <f ca="1">IFERROR(__xludf.DUMMYFUNCTION("""COMPUTED_VALUE"""),"Nữ")</f>
        <v>Nữ</v>
      </c>
      <c r="D338" s="4" t="str">
        <f ca="1">IFERROR(__xludf.DUMMYFUNCTION("""COMPUTED_VALUE"""),"Đại học")</f>
        <v>Đại học</v>
      </c>
      <c r="E338" s="4" t="str">
        <f ca="1">IFERROR(__xludf.DUMMYFUNCTION("""COMPUTED_VALUE"""),"Từ 3 đến 5 năm")</f>
        <v>Từ 3 đến 5 năm</v>
      </c>
      <c r="F338" s="4" t="str">
        <f ca="1">IFERROR(__xludf.DUMMYFUNCTION("""COMPUTED_VALUE"""),"Trợ lý kiểm toán")</f>
        <v>Trợ lý kiểm toán</v>
      </c>
    </row>
    <row r="339" spans="1:6" x14ac:dyDescent="0.25">
      <c r="A339" s="4" t="str">
        <f ca="1">IFERROR(__xludf.DUMMYFUNCTION("""COMPUTED_VALUE"""),"Công ty TNHH Kiểm toán và Dịch vụ Tin học Moore AISC")</f>
        <v>Công ty TNHH Kiểm toán và Dịch vụ Tin học Moore AISC</v>
      </c>
      <c r="B339" s="4" t="str">
        <f ca="1">IFERROR(__xludf.DUMMYFUNCTION("""COMPUTED_VALUE"""),"Đặng Thanh Thuận")</f>
        <v>Đặng Thanh Thuận</v>
      </c>
      <c r="C339" s="4" t="str">
        <f ca="1">IFERROR(__xludf.DUMMYFUNCTION("""COMPUTED_VALUE"""),"Nam")</f>
        <v>Nam</v>
      </c>
      <c r="D339" s="4" t="str">
        <f ca="1">IFERROR(__xludf.DUMMYFUNCTION("""COMPUTED_VALUE"""),"Đại học, Chứng chỉ Kiểm toán viên")</f>
        <v>Đại học, Chứng chỉ Kiểm toán viên</v>
      </c>
      <c r="E339" s="4" t="str">
        <f ca="1">IFERROR(__xludf.DUMMYFUNCTION("""COMPUTED_VALUE"""),"Trên 5 đến 10 năm")</f>
        <v>Trên 5 đến 10 năm</v>
      </c>
      <c r="F339" s="4" t="str">
        <f ca="1">IFERROR(__xludf.DUMMYFUNCTION("""COMPUTED_VALUE"""),"Kiểm toán viên/Trưởng nhóm")</f>
        <v>Kiểm toán viên/Trưởng nhóm</v>
      </c>
    </row>
    <row r="340" spans="1:6" x14ac:dyDescent="0.25">
      <c r="A340" s="4" t="str">
        <f ca="1">IFERROR(__xludf.DUMMYFUNCTION("""COMPUTED_VALUE"""),"Công ty TNHH Kiểm toán và Dịch vụ Tin học Moore AISC")</f>
        <v>Công ty TNHH Kiểm toán và Dịch vụ Tin học Moore AISC</v>
      </c>
      <c r="B340" s="4"/>
      <c r="C340" s="4" t="str">
        <f ca="1">IFERROR(__xludf.DUMMYFUNCTION("""COMPUTED_VALUE"""),"Nam")</f>
        <v>Nam</v>
      </c>
      <c r="D340" s="4" t="str">
        <f ca="1">IFERROR(__xludf.DUMMYFUNCTION("""COMPUTED_VALUE"""),"Đại học")</f>
        <v>Đại học</v>
      </c>
      <c r="E340" s="4" t="str">
        <f ca="1">IFERROR(__xludf.DUMMYFUNCTION("""COMPUTED_VALUE"""),"Từ 3 đến 5 năm")</f>
        <v>Từ 3 đến 5 năm</v>
      </c>
      <c r="F340" s="4" t="str">
        <f ca="1">IFERROR(__xludf.DUMMYFUNCTION("""COMPUTED_VALUE"""),"Trợ lý kiểm toán")</f>
        <v>Trợ lý kiểm toán</v>
      </c>
    </row>
    <row r="341" spans="1:6" x14ac:dyDescent="0.25">
      <c r="A341" s="4" t="str">
        <f ca="1">IFERROR(__xludf.DUMMYFUNCTION("""COMPUTED_VALUE"""),"Công ty TNHH Kiểm toán và Dịch vụ Tin học Moore AISC")</f>
        <v>Công ty TNHH Kiểm toán và Dịch vụ Tin học Moore AISC</v>
      </c>
      <c r="B341" s="4" t="str">
        <f ca="1">IFERROR(__xludf.DUMMYFUNCTION("""COMPUTED_VALUE"""),"Nguyễn Thị Hồng Tiên")</f>
        <v>Nguyễn Thị Hồng Tiên</v>
      </c>
      <c r="C341" s="4" t="str">
        <f ca="1">IFERROR(__xludf.DUMMYFUNCTION("""COMPUTED_VALUE"""),"Nữ")</f>
        <v>Nữ</v>
      </c>
      <c r="D341" s="4" t="str">
        <f ca="1">IFERROR(__xludf.DUMMYFUNCTION("""COMPUTED_VALUE"""),"Đại học")</f>
        <v>Đại học</v>
      </c>
      <c r="E341" s="4" t="str">
        <f ca="1">IFERROR(__xludf.DUMMYFUNCTION("""COMPUTED_VALUE"""),"Từ 3 đến 5 năm")</f>
        <v>Từ 3 đến 5 năm</v>
      </c>
      <c r="F341" s="4" t="str">
        <f ca="1">IFERROR(__xludf.DUMMYFUNCTION("""COMPUTED_VALUE"""),"Trợ lý kiểm toán")</f>
        <v>Trợ lý kiểm toán</v>
      </c>
    </row>
    <row r="342" spans="1:6" x14ac:dyDescent="0.25">
      <c r="A342" s="4" t="str">
        <f ca="1">IFERROR(__xludf.DUMMYFUNCTION("""COMPUTED_VALUE"""),"Công ty TNHH Kiểm toán và Dịch vụ Tin học Moore AISC")</f>
        <v>Công ty TNHH Kiểm toán và Dịch vụ Tin học Moore AISC</v>
      </c>
      <c r="B342" s="4" t="str">
        <f ca="1">IFERROR(__xludf.DUMMYFUNCTION("""COMPUTED_VALUE"""),"Nguyễn Đoan Duy")</f>
        <v>Nguyễn Đoan Duy</v>
      </c>
      <c r="C342" s="4" t="str">
        <f ca="1">IFERROR(__xludf.DUMMYFUNCTION("""COMPUTED_VALUE"""),"Nam")</f>
        <v>Nam</v>
      </c>
      <c r="D342" s="4" t="str">
        <f ca="1">IFERROR(__xludf.DUMMYFUNCTION("""COMPUTED_VALUE"""),"Đại học")</f>
        <v>Đại học</v>
      </c>
      <c r="E342" s="4" t="str">
        <f ca="1">IFERROR(__xludf.DUMMYFUNCTION("""COMPUTED_VALUE"""),"Từ 3 đến 5 năm")</f>
        <v>Từ 3 đến 5 năm</v>
      </c>
      <c r="F342" s="4" t="str">
        <f ca="1">IFERROR(__xludf.DUMMYFUNCTION("""COMPUTED_VALUE"""),"Trợ lý kiểm toán")</f>
        <v>Trợ lý kiểm toán</v>
      </c>
    </row>
    <row r="343" spans="1:6" x14ac:dyDescent="0.25">
      <c r="A343" s="4" t="str">
        <f ca="1">IFERROR(__xludf.DUMMYFUNCTION("""COMPUTED_VALUE"""),"Công ty TNHH Kiểm toán và Dịch vụ Tin học Moore AISC")</f>
        <v>Công ty TNHH Kiểm toán và Dịch vụ Tin học Moore AISC</v>
      </c>
      <c r="B343" s="4" t="str">
        <f ca="1">IFERROR(__xludf.DUMMYFUNCTION("""COMPUTED_VALUE"""),"Nguyễn Thanh Tùng")</f>
        <v>Nguyễn Thanh Tùng</v>
      </c>
      <c r="C343" s="4" t="str">
        <f ca="1">IFERROR(__xludf.DUMMYFUNCTION("""COMPUTED_VALUE"""),"Nam")</f>
        <v>Nam</v>
      </c>
      <c r="D343" s="4" t="str">
        <f ca="1">IFERROR(__xludf.DUMMYFUNCTION("""COMPUTED_VALUE"""),"Đại học, Chứng chỉ Kiểm toán viên")</f>
        <v>Đại học, Chứng chỉ Kiểm toán viên</v>
      </c>
      <c r="E343" s="4" t="str">
        <f ca="1">IFERROR(__xludf.DUMMYFUNCTION("""COMPUTED_VALUE"""),"Trên 10 đến 15 năm")</f>
        <v>Trên 10 đến 15 năm</v>
      </c>
      <c r="F343" s="4" t="str">
        <f ca="1">IFERROR(__xludf.DUMMYFUNCTION("""COMPUTED_VALUE"""),"Trưởng phòng")</f>
        <v>Trưởng phòng</v>
      </c>
    </row>
    <row r="344" spans="1:6" x14ac:dyDescent="0.25">
      <c r="A344" s="4" t="str">
        <f ca="1">IFERROR(__xludf.DUMMYFUNCTION("""COMPUTED_VALUE"""),"Công ty TNHH Kiểm toán và Dịch vụ Tin học Moore AISC")</f>
        <v>Công ty TNHH Kiểm toán và Dịch vụ Tin học Moore AISC</v>
      </c>
      <c r="B344" s="4"/>
      <c r="C344" s="4" t="str">
        <f ca="1">IFERROR(__xludf.DUMMYFUNCTION("""COMPUTED_VALUE"""),"Nữ")</f>
        <v>Nữ</v>
      </c>
      <c r="D344" s="4" t="str">
        <f ca="1">IFERROR(__xludf.DUMMYFUNCTION("""COMPUTED_VALUE"""),"Đại học, Chứng chỉ Kiểm toán viên")</f>
        <v>Đại học, Chứng chỉ Kiểm toán viên</v>
      </c>
      <c r="E344" s="4" t="str">
        <f ca="1">IFERROR(__xludf.DUMMYFUNCTION("""COMPUTED_VALUE"""),"Trên 5 đến 10 năm")</f>
        <v>Trên 5 đến 10 năm</v>
      </c>
      <c r="F344" s="4" t="str">
        <f ca="1">IFERROR(__xludf.DUMMYFUNCTION("""COMPUTED_VALUE"""),"Kiểm toán viên/Trưởng nhóm")</f>
        <v>Kiểm toán viên/Trưởng nhóm</v>
      </c>
    </row>
    <row r="345" spans="1:6" x14ac:dyDescent="0.25">
      <c r="A345" s="4" t="str">
        <f ca="1">IFERROR(__xludf.DUMMYFUNCTION("""COMPUTED_VALUE"""),"Công ty TNHH Kiểm toán và Dịch vụ Tin học Moore AISC")</f>
        <v>Công ty TNHH Kiểm toán và Dịch vụ Tin học Moore AISC</v>
      </c>
      <c r="B345" s="4" t="str">
        <f ca="1">IFERROR(__xludf.DUMMYFUNCTION("""COMPUTED_VALUE"""),"Nguyễn Thị Phượng ")</f>
        <v xml:space="preserve">Nguyễn Thị Phượng </v>
      </c>
      <c r="C345" s="4" t="str">
        <f ca="1">IFERROR(__xludf.DUMMYFUNCTION("""COMPUTED_VALUE"""),"Nữ")</f>
        <v>Nữ</v>
      </c>
      <c r="D345" s="4" t="str">
        <f ca="1">IFERROR(__xludf.DUMMYFUNCTION("""COMPUTED_VALUE"""),"Đại học, Chứng chỉ Kiểm toán viên")</f>
        <v>Đại học, Chứng chỉ Kiểm toán viên</v>
      </c>
      <c r="E345" s="4" t="str">
        <f ca="1">IFERROR(__xludf.DUMMYFUNCTION("""COMPUTED_VALUE"""),"Trên 10 đến 15 năm")</f>
        <v>Trên 10 đến 15 năm</v>
      </c>
      <c r="F345" s="4" t="str">
        <f ca="1">IFERROR(__xludf.DUMMYFUNCTION("""COMPUTED_VALUE"""),"Ban giám đốc")</f>
        <v>Ban giám đốc</v>
      </c>
    </row>
    <row r="346" spans="1:6" x14ac:dyDescent="0.25">
      <c r="A346" s="4" t="str">
        <f ca="1">IFERROR(__xludf.DUMMYFUNCTION("""COMPUTED_VALUE"""),"Công ty TNHH Kiểm toán và Dịch vụ Tin học Moore AISC")</f>
        <v>Công ty TNHH Kiểm toán và Dịch vụ Tin học Moore AISC</v>
      </c>
      <c r="B346" s="4" t="str">
        <f ca="1">IFERROR(__xludf.DUMMYFUNCTION("""COMPUTED_VALUE"""),"Nguyễn Xuân Tiến")</f>
        <v>Nguyễn Xuân Tiến</v>
      </c>
      <c r="C346" s="4" t="str">
        <f ca="1">IFERROR(__xludf.DUMMYFUNCTION("""COMPUTED_VALUE"""),"Nam")</f>
        <v>Nam</v>
      </c>
      <c r="D346" s="4" t="str">
        <f ca="1">IFERROR(__xludf.DUMMYFUNCTION("""COMPUTED_VALUE"""),"Chứng chỉ Kiểm toán viên")</f>
        <v>Chứng chỉ Kiểm toán viên</v>
      </c>
      <c r="E346" s="4" t="str">
        <f ca="1">IFERROR(__xludf.DUMMYFUNCTION("""COMPUTED_VALUE"""),"Trên 5 đến 10 năm")</f>
        <v>Trên 5 đến 10 năm</v>
      </c>
      <c r="F346" s="4" t="str">
        <f ca="1">IFERROR(__xludf.DUMMYFUNCTION("""COMPUTED_VALUE"""),"Kiểm toán viên/Trưởng nhóm")</f>
        <v>Kiểm toán viên/Trưởng nhóm</v>
      </c>
    </row>
    <row r="347" spans="1:6" x14ac:dyDescent="0.25">
      <c r="A347" s="4" t="str">
        <f ca="1">IFERROR(__xludf.DUMMYFUNCTION("""COMPUTED_VALUE"""),"Công ty TNHH Kiểm toán và Dịch vụ Tin học Moore AISC")</f>
        <v>Công ty TNHH Kiểm toán và Dịch vụ Tin học Moore AISC</v>
      </c>
      <c r="B347" s="4" t="str">
        <f ca="1">IFERROR(__xludf.DUMMYFUNCTION("""COMPUTED_VALUE"""),"Nguyễn Trí Luật")</f>
        <v>Nguyễn Trí Luật</v>
      </c>
      <c r="C347" s="4" t="str">
        <f ca="1">IFERROR(__xludf.DUMMYFUNCTION("""COMPUTED_VALUE"""),"Nam")</f>
        <v>Nam</v>
      </c>
      <c r="D347" s="4" t="str">
        <f ca="1">IFERROR(__xludf.DUMMYFUNCTION("""COMPUTED_VALUE"""),"Sau đại học, Chứng chỉ Kiểm toán viên")</f>
        <v>Sau đại học, Chứng chỉ Kiểm toán viên</v>
      </c>
      <c r="E347" s="4" t="str">
        <f ca="1">IFERROR(__xludf.DUMMYFUNCTION("""COMPUTED_VALUE"""),"Trên 5 đến 10 năm")</f>
        <v>Trên 5 đến 10 năm</v>
      </c>
      <c r="F347" s="4" t="str">
        <f ca="1">IFERROR(__xludf.DUMMYFUNCTION("""COMPUTED_VALUE"""),"Kiểm toán viên/Trưởng nhóm")</f>
        <v>Kiểm toán viên/Trưởng nhóm</v>
      </c>
    </row>
    <row r="348" spans="1:6" x14ac:dyDescent="0.25">
      <c r="A348" s="4" t="str">
        <f ca="1">IFERROR(__xludf.DUMMYFUNCTION("""COMPUTED_VALUE"""),"Công ty TNHH Kiểm toán và Dịch vụ Tư vấn Hà Nội")</f>
        <v>Công ty TNHH Kiểm toán và Dịch vụ Tư vấn Hà Nội</v>
      </c>
      <c r="B348" s="4" t="str">
        <f ca="1">IFERROR(__xludf.DUMMYFUNCTION("""COMPUTED_VALUE"""),"Nguyễn Bá Thiện")</f>
        <v>Nguyễn Bá Thiện</v>
      </c>
      <c r="C348" s="4" t="str">
        <f ca="1">IFERROR(__xludf.DUMMYFUNCTION("""COMPUTED_VALUE"""),"Nam")</f>
        <v>Nam</v>
      </c>
      <c r="D348" s="4" t="str">
        <f ca="1">IFERROR(__xludf.DUMMYFUNCTION("""COMPUTED_VALUE"""),"Chứng chỉ Kiểm toán viên")</f>
        <v>Chứng chỉ Kiểm toán viên</v>
      </c>
      <c r="E348" s="4" t="str">
        <f ca="1">IFERROR(__xludf.DUMMYFUNCTION("""COMPUTED_VALUE"""),"Trên 5 đến 10 năm")</f>
        <v>Trên 5 đến 10 năm</v>
      </c>
      <c r="F348" s="4" t="str">
        <f ca="1">IFERROR(__xludf.DUMMYFUNCTION("""COMPUTED_VALUE"""),"Trưởng phòng")</f>
        <v>Trưởng phòng</v>
      </c>
    </row>
    <row r="349" spans="1:6" x14ac:dyDescent="0.25">
      <c r="A349" s="4" t="str">
        <f ca="1">IFERROR(__xludf.DUMMYFUNCTION("""COMPUTED_VALUE"""),"Công ty TNHH Kiểm toán và Kế toán AAC")</f>
        <v>Công ty TNHH Kiểm toán và Kế toán AAC</v>
      </c>
      <c r="B349" s="4" t="str">
        <f ca="1">IFERROR(__xludf.DUMMYFUNCTION("""COMPUTED_VALUE"""),"Nguyễn Văn Thiện")</f>
        <v>Nguyễn Văn Thiện</v>
      </c>
      <c r="C349" s="4" t="str">
        <f ca="1">IFERROR(__xludf.DUMMYFUNCTION("""COMPUTED_VALUE"""),"Nam")</f>
        <v>Nam</v>
      </c>
      <c r="D349" s="4" t="str">
        <f ca="1">IFERROR(__xludf.DUMMYFUNCTION("""COMPUTED_VALUE"""),"Đại học, Chứng chỉ Kiểm toán viên")</f>
        <v>Đại học, Chứng chỉ Kiểm toán viên</v>
      </c>
      <c r="E349" s="4" t="str">
        <f ca="1">IFERROR(__xludf.DUMMYFUNCTION("""COMPUTED_VALUE"""),"Trên 15 đến 20 năm")</f>
        <v>Trên 15 đến 20 năm</v>
      </c>
      <c r="F349" s="4" t="str">
        <f ca="1">IFERROR(__xludf.DUMMYFUNCTION("""COMPUTED_VALUE"""),"Trưởng phòng")</f>
        <v>Trưởng phòng</v>
      </c>
    </row>
    <row r="350" spans="1:6" x14ac:dyDescent="0.25">
      <c r="A350" s="4" t="str">
        <f ca="1">IFERROR(__xludf.DUMMYFUNCTION("""COMPUTED_VALUE"""),"Công ty TNHH Kiểm toán và Kế toán AAC")</f>
        <v>Công ty TNHH Kiểm toán và Kế toán AAC</v>
      </c>
      <c r="B350" s="4"/>
      <c r="C350" s="4" t="str">
        <f ca="1">IFERROR(__xludf.DUMMYFUNCTION("""COMPUTED_VALUE"""),"Nam")</f>
        <v>Nam</v>
      </c>
      <c r="D350" s="4" t="str">
        <f ca="1">IFERROR(__xludf.DUMMYFUNCTION("""COMPUTED_VALUE"""),"Đại học, Chứng chỉ Kiểm toán viên")</f>
        <v>Đại học, Chứng chỉ Kiểm toán viên</v>
      </c>
      <c r="E350" s="4" t="str">
        <f ca="1">IFERROR(__xludf.DUMMYFUNCTION("""COMPUTED_VALUE"""),"Trên 10 đến 15 năm")</f>
        <v>Trên 10 đến 15 năm</v>
      </c>
      <c r="F350" s="4" t="str">
        <f ca="1">IFERROR(__xludf.DUMMYFUNCTION("""COMPUTED_VALUE"""),"Trưởng phòng")</f>
        <v>Trưởng phòng</v>
      </c>
    </row>
    <row r="351" spans="1:6" x14ac:dyDescent="0.25">
      <c r="A351" s="4" t="str">
        <f ca="1">IFERROR(__xludf.DUMMYFUNCTION("""COMPUTED_VALUE"""),"Công ty TNHH Kiểm toán và Kế toán AAC")</f>
        <v>Công ty TNHH Kiểm toán và Kế toán AAC</v>
      </c>
      <c r="B351" s="4" t="str">
        <f ca="1">IFERROR(__xludf.DUMMYFUNCTION("""COMPUTED_VALUE"""),"Thuỷ")</f>
        <v>Thuỷ</v>
      </c>
      <c r="C351" s="4" t="str">
        <f ca="1">IFERROR(__xludf.DUMMYFUNCTION("""COMPUTED_VALUE"""),"Nữ")</f>
        <v>Nữ</v>
      </c>
      <c r="D351" s="4" t="str">
        <f ca="1">IFERROR(__xludf.DUMMYFUNCTION("""COMPUTED_VALUE"""),"Đại học, Chứng chỉ Kiểm toán viên")</f>
        <v>Đại học, Chứng chỉ Kiểm toán viên</v>
      </c>
      <c r="E351" s="4" t="str">
        <f ca="1">IFERROR(__xludf.DUMMYFUNCTION("""COMPUTED_VALUE"""),"Trên 15 đến 20 năm")</f>
        <v>Trên 15 đến 20 năm</v>
      </c>
      <c r="F351" s="4" t="str">
        <f ca="1">IFERROR(__xludf.DUMMYFUNCTION("""COMPUTED_VALUE"""),"Trưởng phòng")</f>
        <v>Trưởng phòng</v>
      </c>
    </row>
    <row r="352" spans="1:6" x14ac:dyDescent="0.25">
      <c r="A352" s="4" t="str">
        <f ca="1">IFERROR(__xludf.DUMMYFUNCTION("""COMPUTED_VALUE"""),"Công ty TNHH Kiểm toán và Kế toán AAC")</f>
        <v>Công ty TNHH Kiểm toán và Kế toán AAC</v>
      </c>
      <c r="B352" s="4"/>
      <c r="C352" s="4" t="str">
        <f ca="1">IFERROR(__xludf.DUMMYFUNCTION("""COMPUTED_VALUE"""),"Nam")</f>
        <v>Nam</v>
      </c>
      <c r="D352" s="4" t="str">
        <f ca="1">IFERROR(__xludf.DUMMYFUNCTION("""COMPUTED_VALUE"""),"Đại học")</f>
        <v>Đại học</v>
      </c>
      <c r="E352" s="4" t="str">
        <f ca="1">IFERROR(__xludf.DUMMYFUNCTION("""COMPUTED_VALUE"""),"Trên 10 đến 15 năm")</f>
        <v>Trên 10 đến 15 năm</v>
      </c>
      <c r="F352" s="4" t="str">
        <f ca="1">IFERROR(__xludf.DUMMYFUNCTION("""COMPUTED_VALUE"""),"Trưởng phòng")</f>
        <v>Trưởng phòng</v>
      </c>
    </row>
    <row r="353" spans="1:6" x14ac:dyDescent="0.25">
      <c r="A353" s="4" t="str">
        <f ca="1">IFERROR(__xludf.DUMMYFUNCTION("""COMPUTED_VALUE"""),"Công ty TNHH Kiểm toán và Kế toán AAC")</f>
        <v>Công ty TNHH Kiểm toán và Kế toán AAC</v>
      </c>
      <c r="B353" s="4" t="str">
        <f ca="1">IFERROR(__xludf.DUMMYFUNCTION("""COMPUTED_VALUE"""),"THÁI ÁNH Nhung")</f>
        <v>THÁI ÁNH Nhung</v>
      </c>
      <c r="C353" s="4" t="str">
        <f ca="1">IFERROR(__xludf.DUMMYFUNCTION("""COMPUTED_VALUE"""),"Nữ")</f>
        <v>Nữ</v>
      </c>
      <c r="D353" s="4" t="str">
        <f ca="1">IFERROR(__xludf.DUMMYFUNCTION("""COMPUTED_VALUE"""),"Đại học, Chứng chỉ Kiểm toán viên")</f>
        <v>Đại học, Chứng chỉ Kiểm toán viên</v>
      </c>
      <c r="E353" s="4" t="str">
        <f ca="1">IFERROR(__xludf.DUMMYFUNCTION("""COMPUTED_VALUE"""),"Trên 10 đến 15 năm")</f>
        <v>Trên 10 đến 15 năm</v>
      </c>
      <c r="F353" s="4" t="str">
        <f ca="1">IFERROR(__xludf.DUMMYFUNCTION("""COMPUTED_VALUE"""),"Kiểm toán viên/Trưởng nhóm")</f>
        <v>Kiểm toán viên/Trưởng nhóm</v>
      </c>
    </row>
    <row r="354" spans="1:6" x14ac:dyDescent="0.25">
      <c r="A354" s="4" t="str">
        <f ca="1">IFERROR(__xludf.DUMMYFUNCTION("""COMPUTED_VALUE"""),"Công ty TNHH Kiểm toán và Kế toán AAC")</f>
        <v>Công ty TNHH Kiểm toán và Kế toán AAC</v>
      </c>
      <c r="B354" s="4" t="str">
        <f ca="1">IFERROR(__xludf.DUMMYFUNCTION("""COMPUTED_VALUE"""),"Đinh Thị Ngọc Thùy")</f>
        <v>Đinh Thị Ngọc Thùy</v>
      </c>
      <c r="C354" s="4" t="str">
        <f ca="1">IFERROR(__xludf.DUMMYFUNCTION("""COMPUTED_VALUE"""),"Nữ")</f>
        <v>Nữ</v>
      </c>
      <c r="D354" s="4" t="str">
        <f ca="1">IFERROR(__xludf.DUMMYFUNCTION("""COMPUTED_VALUE"""),"Đại học, Chứng chỉ Kiểm toán viên")</f>
        <v>Đại học, Chứng chỉ Kiểm toán viên</v>
      </c>
      <c r="E354" s="4" t="str">
        <f ca="1">IFERROR(__xludf.DUMMYFUNCTION("""COMPUTED_VALUE"""),"Trên 20 năm")</f>
        <v>Trên 20 năm</v>
      </c>
      <c r="F354" s="4" t="str">
        <f ca="1">IFERROR(__xludf.DUMMYFUNCTION("""COMPUTED_VALUE"""),"Trưởng phòng")</f>
        <v>Trưởng phòng</v>
      </c>
    </row>
    <row r="355" spans="1:6" x14ac:dyDescent="0.25">
      <c r="A355" s="4" t="str">
        <f ca="1">IFERROR(__xludf.DUMMYFUNCTION("""COMPUTED_VALUE"""),"Công ty TNHH Kiểm toán và Kế toán AAC")</f>
        <v>Công ty TNHH Kiểm toán và Kế toán AAC</v>
      </c>
      <c r="B355" s="4" t="str">
        <f ca="1">IFERROR(__xludf.DUMMYFUNCTION("""COMPUTED_VALUE"""),"Nguyễn THị Diệu")</f>
        <v>Nguyễn THị Diệu</v>
      </c>
      <c r="C355" s="4" t="str">
        <f ca="1">IFERROR(__xludf.DUMMYFUNCTION("""COMPUTED_VALUE"""),"Nữ")</f>
        <v>Nữ</v>
      </c>
      <c r="D355" s="4" t="str">
        <f ca="1">IFERROR(__xludf.DUMMYFUNCTION("""COMPUTED_VALUE"""),"Đại học, Chứng chỉ Kiểm toán viên")</f>
        <v>Đại học, Chứng chỉ Kiểm toán viên</v>
      </c>
      <c r="E355" s="4" t="str">
        <f ca="1">IFERROR(__xludf.DUMMYFUNCTION("""COMPUTED_VALUE"""),"Trên 5 đến 10 năm")</f>
        <v>Trên 5 đến 10 năm</v>
      </c>
      <c r="F355" s="4" t="str">
        <f ca="1">IFERROR(__xludf.DUMMYFUNCTION("""COMPUTED_VALUE"""),"Kiểm toán viên/Trưởng nhóm")</f>
        <v>Kiểm toán viên/Trưởng nhóm</v>
      </c>
    </row>
    <row r="356" spans="1:6" x14ac:dyDescent="0.25">
      <c r="A356" s="4" t="str">
        <f ca="1">IFERROR(__xludf.DUMMYFUNCTION("""COMPUTED_VALUE"""),"Công ty TNHH Kiểm toán và Kế toán AAC")</f>
        <v>Công ty TNHH Kiểm toán và Kế toán AAC</v>
      </c>
      <c r="B356" s="4" t="str">
        <f ca="1">IFERROR(__xludf.DUMMYFUNCTION("""COMPUTED_VALUE"""),"Nguyễn Thị Mai Linh")</f>
        <v>Nguyễn Thị Mai Linh</v>
      </c>
      <c r="C356" s="4" t="str">
        <f ca="1">IFERROR(__xludf.DUMMYFUNCTION("""COMPUTED_VALUE"""),"Nữ")</f>
        <v>Nữ</v>
      </c>
      <c r="D356" s="4" t="str">
        <f ca="1">IFERROR(__xludf.DUMMYFUNCTION("""COMPUTED_VALUE"""),"Sau đại học")</f>
        <v>Sau đại học</v>
      </c>
      <c r="E356" s="4" t="str">
        <f ca="1">IFERROR(__xludf.DUMMYFUNCTION("""COMPUTED_VALUE"""),"Từ 3 đến 5 năm")</f>
        <v>Từ 3 đến 5 năm</v>
      </c>
      <c r="F356" s="4" t="str">
        <f ca="1">IFERROR(__xludf.DUMMYFUNCTION("""COMPUTED_VALUE"""),"Trợ lý kiểm toán")</f>
        <v>Trợ lý kiểm toán</v>
      </c>
    </row>
    <row r="357" spans="1:6" x14ac:dyDescent="0.25">
      <c r="A357" s="4" t="str">
        <f ca="1">IFERROR(__xludf.DUMMYFUNCTION("""COMPUTED_VALUE"""),"Công ty TNHH Kiểm toán và Thẩm định giá Miền Trung (tên cũ Công ty TNHH Kiểm toán - Tư vấn Thuế và Thẩm định giá ATCV)")</f>
        <v>Công ty TNHH Kiểm toán và Thẩm định giá Miền Trung (tên cũ Công ty TNHH Kiểm toán - Tư vấn Thuế và Thẩm định giá ATCV)</v>
      </c>
      <c r="B357" s="4" t="str">
        <f ca="1">IFERROR(__xludf.DUMMYFUNCTION("""COMPUTED_VALUE"""),"Lê VĨnh Phú")</f>
        <v>Lê VĨnh Phú</v>
      </c>
      <c r="C357" s="4" t="str">
        <f ca="1">IFERROR(__xludf.DUMMYFUNCTION("""COMPUTED_VALUE"""),"Nam")</f>
        <v>Nam</v>
      </c>
      <c r="D357" s="4" t="str">
        <f ca="1">IFERROR(__xludf.DUMMYFUNCTION("""COMPUTED_VALUE"""),"Đại học, Chứng chỉ Kiểm toán viên")</f>
        <v>Đại học, Chứng chỉ Kiểm toán viên</v>
      </c>
      <c r="E357" s="4" t="str">
        <f ca="1">IFERROR(__xludf.DUMMYFUNCTION("""COMPUTED_VALUE"""),"Trên 15 đến 20 năm")</f>
        <v>Trên 15 đến 20 năm</v>
      </c>
      <c r="F357" s="4" t="str">
        <f ca="1">IFERROR(__xludf.DUMMYFUNCTION("""COMPUTED_VALUE"""),"Ban giám đốc")</f>
        <v>Ban giám đốc</v>
      </c>
    </row>
    <row r="358" spans="1:6" x14ac:dyDescent="0.25">
      <c r="A358" s="4" t="str">
        <f ca="1">IFERROR(__xludf.DUMMYFUNCTION("""COMPUTED_VALUE"""),"Công ty TNHH Kiểm toán và Tư vấn A&amp;A")</f>
        <v>Công ty TNHH Kiểm toán và Tư vấn A&amp;A</v>
      </c>
      <c r="B358" s="4" t="str">
        <f ca="1">IFERROR(__xludf.DUMMYFUNCTION("""COMPUTED_VALUE"""),"Nguyễn Tấn Trung")</f>
        <v>Nguyễn Tấn Trung</v>
      </c>
      <c r="C358" s="4" t="str">
        <f ca="1">IFERROR(__xludf.DUMMYFUNCTION("""COMPUTED_VALUE"""),"Nam")</f>
        <v>Nam</v>
      </c>
      <c r="D358" s="4" t="str">
        <f ca="1">IFERROR(__xludf.DUMMYFUNCTION("""COMPUTED_VALUE"""),"Đại học")</f>
        <v>Đại học</v>
      </c>
      <c r="E358" s="4" t="str">
        <f ca="1">IFERROR(__xludf.DUMMYFUNCTION("""COMPUTED_VALUE"""),"Từ 3 đến 5 năm")</f>
        <v>Từ 3 đến 5 năm</v>
      </c>
      <c r="F358" s="4" t="str">
        <f ca="1">IFERROR(__xludf.DUMMYFUNCTION("""COMPUTED_VALUE"""),"Trợ lý kiểm toán")</f>
        <v>Trợ lý kiểm toán</v>
      </c>
    </row>
    <row r="359" spans="1:6" x14ac:dyDescent="0.25">
      <c r="A359" s="4" t="str">
        <f ca="1">IFERROR(__xludf.DUMMYFUNCTION("""COMPUTED_VALUE"""),"Công ty TNHH Kiểm toán và Tư vấn A&amp;A")</f>
        <v>Công ty TNHH Kiểm toán và Tư vấn A&amp;A</v>
      </c>
      <c r="B359" s="4" t="str">
        <f ca="1">IFERROR(__xludf.DUMMYFUNCTION("""COMPUTED_VALUE"""),"Tô Đức Lợi")</f>
        <v>Tô Đức Lợi</v>
      </c>
      <c r="C359" s="4" t="str">
        <f ca="1">IFERROR(__xludf.DUMMYFUNCTION("""COMPUTED_VALUE"""),"Nam")</f>
        <v>Nam</v>
      </c>
      <c r="D359" s="4" t="str">
        <f ca="1">IFERROR(__xludf.DUMMYFUNCTION("""COMPUTED_VALUE"""),"Đại học")</f>
        <v>Đại học</v>
      </c>
      <c r="E359" s="4" t="str">
        <f ca="1">IFERROR(__xludf.DUMMYFUNCTION("""COMPUTED_VALUE"""),"Từ 3 đến 5 năm")</f>
        <v>Từ 3 đến 5 năm</v>
      </c>
      <c r="F359" s="4" t="str">
        <f ca="1">IFERROR(__xludf.DUMMYFUNCTION("""COMPUTED_VALUE"""),"Kiểm toán viên/Trưởng nhóm")</f>
        <v>Kiểm toán viên/Trưởng nhóm</v>
      </c>
    </row>
    <row r="360" spans="1:6" x14ac:dyDescent="0.25">
      <c r="A360" s="4" t="str">
        <f ca="1">IFERROR(__xludf.DUMMYFUNCTION("""COMPUTED_VALUE"""),"Công ty TNHH Kiểm toán và Tư vấn A&amp;A")</f>
        <v>Công ty TNHH Kiểm toán và Tư vấn A&amp;A</v>
      </c>
      <c r="B360" s="4" t="str">
        <f ca="1">IFERROR(__xludf.DUMMYFUNCTION("""COMPUTED_VALUE"""),"Nguyễn Thị Cẩm Thu")</f>
        <v>Nguyễn Thị Cẩm Thu</v>
      </c>
      <c r="C360" s="4" t="str">
        <f ca="1">IFERROR(__xludf.DUMMYFUNCTION("""COMPUTED_VALUE"""),"Nữ")</f>
        <v>Nữ</v>
      </c>
      <c r="D360" s="4" t="str">
        <f ca="1">IFERROR(__xludf.DUMMYFUNCTION("""COMPUTED_VALUE"""),"Đại học")</f>
        <v>Đại học</v>
      </c>
      <c r="E360" s="4" t="str">
        <f ca="1">IFERROR(__xludf.DUMMYFUNCTION("""COMPUTED_VALUE"""),"Từ 3 đến 5 năm")</f>
        <v>Từ 3 đến 5 năm</v>
      </c>
      <c r="F360" s="4" t="str">
        <f ca="1">IFERROR(__xludf.DUMMYFUNCTION("""COMPUTED_VALUE"""),"Kiểm toán viên/Trưởng nhóm")</f>
        <v>Kiểm toán viên/Trưởng nhóm</v>
      </c>
    </row>
    <row r="361" spans="1:6" x14ac:dyDescent="0.25">
      <c r="A361" s="4" t="str">
        <f ca="1">IFERROR(__xludf.DUMMYFUNCTION("""COMPUTED_VALUE"""),"Công ty TNHH Kiểm toán và Tư vấn A&amp;C")</f>
        <v>Công ty TNHH Kiểm toán và Tư vấn A&amp;C</v>
      </c>
      <c r="B361" s="4" t="str">
        <f ca="1">IFERROR(__xludf.DUMMYFUNCTION("""COMPUTED_VALUE"""),"Võ Phương Thanh")</f>
        <v>Võ Phương Thanh</v>
      </c>
      <c r="C361" s="4" t="str">
        <f ca="1">IFERROR(__xludf.DUMMYFUNCTION("""COMPUTED_VALUE"""),"Nữ")</f>
        <v>Nữ</v>
      </c>
      <c r="D361" s="4" t="str">
        <f ca="1">IFERROR(__xludf.DUMMYFUNCTION("""COMPUTED_VALUE"""),"Đại học")</f>
        <v>Đại học</v>
      </c>
      <c r="E361" s="4" t="str">
        <f ca="1">IFERROR(__xludf.DUMMYFUNCTION("""COMPUTED_VALUE"""),"Từ 3 đến 5 năm")</f>
        <v>Từ 3 đến 5 năm</v>
      </c>
      <c r="F361" s="4" t="str">
        <f ca="1">IFERROR(__xludf.DUMMYFUNCTION("""COMPUTED_VALUE"""),"Trợ lý kiểm toán")</f>
        <v>Trợ lý kiểm toán</v>
      </c>
    </row>
    <row r="362" spans="1:6" x14ac:dyDescent="0.25">
      <c r="A362" s="4" t="str">
        <f ca="1">IFERROR(__xludf.DUMMYFUNCTION("""COMPUTED_VALUE"""),"Công ty TNHH Kiểm toán và Tư vấn A&amp;C")</f>
        <v>Công ty TNHH Kiểm toán và Tư vấn A&amp;C</v>
      </c>
      <c r="B362" s="4"/>
      <c r="C362" s="4" t="str">
        <f ca="1">IFERROR(__xludf.DUMMYFUNCTION("""COMPUTED_VALUE"""),"Nam")</f>
        <v>Nam</v>
      </c>
      <c r="D362" s="4" t="str">
        <f ca="1">IFERROR(__xludf.DUMMYFUNCTION("""COMPUTED_VALUE"""),"Đại học, Chứng chỉ Kiểm toán viên")</f>
        <v>Đại học, Chứng chỉ Kiểm toán viên</v>
      </c>
      <c r="E362" s="4" t="str">
        <f ca="1">IFERROR(__xludf.DUMMYFUNCTION("""COMPUTED_VALUE"""),"Trên 15 đến 20 năm")</f>
        <v>Trên 15 đến 20 năm</v>
      </c>
      <c r="F362" s="4" t="str">
        <f ca="1">IFERROR(__xludf.DUMMYFUNCTION("""COMPUTED_VALUE"""),"Kiểm toán viên/Trưởng nhóm")</f>
        <v>Kiểm toán viên/Trưởng nhóm</v>
      </c>
    </row>
    <row r="363" spans="1:6" x14ac:dyDescent="0.25">
      <c r="A363" s="4" t="str">
        <f ca="1">IFERROR(__xludf.DUMMYFUNCTION("""COMPUTED_VALUE"""),"Công ty TNHH Kiểm toán và Tư vấn A&amp;C")</f>
        <v>Công ty TNHH Kiểm toán và Tư vấn A&amp;C</v>
      </c>
      <c r="B363" s="4" t="str">
        <f ca="1">IFERROR(__xludf.DUMMYFUNCTION("""COMPUTED_VALUE"""),"Phan Minh Khang")</f>
        <v>Phan Minh Khang</v>
      </c>
      <c r="C363" s="4" t="str">
        <f ca="1">IFERROR(__xludf.DUMMYFUNCTION("""COMPUTED_VALUE"""),"Nam")</f>
        <v>Nam</v>
      </c>
      <c r="D363" s="4" t="str">
        <f ca="1">IFERROR(__xludf.DUMMYFUNCTION("""COMPUTED_VALUE"""),"Sau đại học, Chứng chỉ Kiểm toán viên")</f>
        <v>Sau đại học, Chứng chỉ Kiểm toán viên</v>
      </c>
      <c r="E363" s="4" t="str">
        <f ca="1">IFERROR(__xludf.DUMMYFUNCTION("""COMPUTED_VALUE"""),"Trên 10 đến 15 năm")</f>
        <v>Trên 10 đến 15 năm</v>
      </c>
      <c r="F363" s="4" t="str">
        <f ca="1">IFERROR(__xludf.DUMMYFUNCTION("""COMPUTED_VALUE"""),"Trưởng phòng")</f>
        <v>Trưởng phòng</v>
      </c>
    </row>
    <row r="364" spans="1:6" x14ac:dyDescent="0.25">
      <c r="A364" s="4" t="str">
        <f ca="1">IFERROR(__xludf.DUMMYFUNCTION("""COMPUTED_VALUE"""),"Công ty TNHH Kiểm toán và Tư vấn A&amp;C")</f>
        <v>Công ty TNHH Kiểm toán và Tư vấn A&amp;C</v>
      </c>
      <c r="B364" s="4" t="str">
        <f ca="1">IFERROR(__xludf.DUMMYFUNCTION("""COMPUTED_VALUE"""),"Đào Duy Phúc")</f>
        <v>Đào Duy Phúc</v>
      </c>
      <c r="C364" s="4" t="str">
        <f ca="1">IFERROR(__xludf.DUMMYFUNCTION("""COMPUTED_VALUE"""),"Nam")</f>
        <v>Nam</v>
      </c>
      <c r="D364" s="4" t="str">
        <f ca="1">IFERROR(__xludf.DUMMYFUNCTION("""COMPUTED_VALUE"""),"Đại học")</f>
        <v>Đại học</v>
      </c>
      <c r="E364" s="4" t="str">
        <f ca="1">IFERROR(__xludf.DUMMYFUNCTION("""COMPUTED_VALUE"""),"Từ 3 đến 5 năm")</f>
        <v>Từ 3 đến 5 năm</v>
      </c>
      <c r="F364" s="4" t="str">
        <f ca="1">IFERROR(__xludf.DUMMYFUNCTION("""COMPUTED_VALUE"""),"Trợ lý kiểm toán")</f>
        <v>Trợ lý kiểm toán</v>
      </c>
    </row>
    <row r="365" spans="1:6" x14ac:dyDescent="0.25">
      <c r="A365" s="4" t="str">
        <f ca="1">IFERROR(__xludf.DUMMYFUNCTION("""COMPUTED_VALUE"""),"Công ty TNHH Kiểm toán và Tư vấn A&amp;C")</f>
        <v>Công ty TNHH Kiểm toán và Tư vấn A&amp;C</v>
      </c>
      <c r="B365" s="4"/>
      <c r="C365" s="4" t="str">
        <f ca="1">IFERROR(__xludf.DUMMYFUNCTION("""COMPUTED_VALUE"""),"Nam")</f>
        <v>Nam</v>
      </c>
      <c r="D365" s="4" t="str">
        <f ca="1">IFERROR(__xludf.DUMMYFUNCTION("""COMPUTED_VALUE"""),"Đại học, Chứng chỉ Kiểm toán viên")</f>
        <v>Đại học, Chứng chỉ Kiểm toán viên</v>
      </c>
      <c r="E365" s="4" t="str">
        <f ca="1">IFERROR(__xludf.DUMMYFUNCTION("""COMPUTED_VALUE"""),"Trên 5 đến 10 năm")</f>
        <v>Trên 5 đến 10 năm</v>
      </c>
      <c r="F365" s="4" t="str">
        <f ca="1">IFERROR(__xludf.DUMMYFUNCTION("""COMPUTED_VALUE"""),"Kiểm toán viên/Trưởng nhóm")</f>
        <v>Kiểm toán viên/Trưởng nhóm</v>
      </c>
    </row>
    <row r="366" spans="1:6" x14ac:dyDescent="0.25">
      <c r="A366" s="4" t="str">
        <f ca="1">IFERROR(__xludf.DUMMYFUNCTION("""COMPUTED_VALUE"""),"Công ty TNHH Kiểm toán và Tư vấn A&amp;C")</f>
        <v>Công ty TNHH Kiểm toán và Tư vấn A&amp;C</v>
      </c>
      <c r="B366" s="4" t="str">
        <f ca="1">IFERROR(__xludf.DUMMYFUNCTION("""COMPUTED_VALUE"""),"Nguyễn Lưu Gia Bảo")</f>
        <v>Nguyễn Lưu Gia Bảo</v>
      </c>
      <c r="C366" s="4" t="str">
        <f ca="1">IFERROR(__xludf.DUMMYFUNCTION("""COMPUTED_VALUE"""),"Nam")</f>
        <v>Nam</v>
      </c>
      <c r="D366" s="4" t="str">
        <f ca="1">IFERROR(__xludf.DUMMYFUNCTION("""COMPUTED_VALUE"""),"Đại học")</f>
        <v>Đại học</v>
      </c>
      <c r="E366" s="4" t="str">
        <f ca="1">IFERROR(__xludf.DUMMYFUNCTION("""COMPUTED_VALUE"""),"Từ 3 đến 5 năm")</f>
        <v>Từ 3 đến 5 năm</v>
      </c>
      <c r="F366" s="4" t="str">
        <f ca="1">IFERROR(__xludf.DUMMYFUNCTION("""COMPUTED_VALUE"""),"Trợ lý kiểm toán")</f>
        <v>Trợ lý kiểm toán</v>
      </c>
    </row>
    <row r="367" spans="1:6" x14ac:dyDescent="0.25">
      <c r="A367" s="4" t="str">
        <f ca="1">IFERROR(__xludf.DUMMYFUNCTION("""COMPUTED_VALUE"""),"Công ty TNHH Kiểm toán và Tư vấn A&amp;C")</f>
        <v>Công ty TNHH Kiểm toán và Tư vấn A&amp;C</v>
      </c>
      <c r="B367" s="4" t="str">
        <f ca="1">IFERROR(__xludf.DUMMYFUNCTION("""COMPUTED_VALUE"""),"Trần Thái Huy")</f>
        <v>Trần Thái Huy</v>
      </c>
      <c r="C367" s="4" t="str">
        <f ca="1">IFERROR(__xludf.DUMMYFUNCTION("""COMPUTED_VALUE"""),"Nam")</f>
        <v>Nam</v>
      </c>
      <c r="D367" s="4" t="str">
        <f ca="1">IFERROR(__xludf.DUMMYFUNCTION("""COMPUTED_VALUE"""),"Đại học")</f>
        <v>Đại học</v>
      </c>
      <c r="E367" s="4" t="str">
        <f ca="1">IFERROR(__xludf.DUMMYFUNCTION("""COMPUTED_VALUE"""),"Từ 3 đến 5 năm")</f>
        <v>Từ 3 đến 5 năm</v>
      </c>
      <c r="F367" s="4" t="str">
        <f ca="1">IFERROR(__xludf.DUMMYFUNCTION("""COMPUTED_VALUE"""),"Trợ lý kiểm toán")</f>
        <v>Trợ lý kiểm toán</v>
      </c>
    </row>
    <row r="368" spans="1:6" x14ac:dyDescent="0.25">
      <c r="A368" s="4" t="str">
        <f ca="1">IFERROR(__xludf.DUMMYFUNCTION("""COMPUTED_VALUE"""),"Công ty TNHH Kiểm toán và Tư vấn A&amp;C")</f>
        <v>Công ty TNHH Kiểm toán và Tư vấn A&amp;C</v>
      </c>
      <c r="B368" s="4" t="str">
        <f ca="1">IFERROR(__xludf.DUMMYFUNCTION("""COMPUTED_VALUE"""),"Nguyễn Thị Hải Yến")</f>
        <v>Nguyễn Thị Hải Yến</v>
      </c>
      <c r="C368" s="4" t="str">
        <f ca="1">IFERROR(__xludf.DUMMYFUNCTION("""COMPUTED_VALUE"""),"Nữ")</f>
        <v>Nữ</v>
      </c>
      <c r="D368" s="4" t="str">
        <f ca="1">IFERROR(__xludf.DUMMYFUNCTION("""COMPUTED_VALUE"""),"Đại học")</f>
        <v>Đại học</v>
      </c>
      <c r="E368" s="4" t="str">
        <f ca="1">IFERROR(__xludf.DUMMYFUNCTION("""COMPUTED_VALUE"""),"Trên 5 đến 10 năm")</f>
        <v>Trên 5 đến 10 năm</v>
      </c>
      <c r="F368" s="4" t="str">
        <f ca="1">IFERROR(__xludf.DUMMYFUNCTION("""COMPUTED_VALUE"""),"Kiểm toán viên/Trưởng nhóm")</f>
        <v>Kiểm toán viên/Trưởng nhóm</v>
      </c>
    </row>
    <row r="369" spans="1:6" x14ac:dyDescent="0.25">
      <c r="A369" s="4" t="str">
        <f ca="1">IFERROR(__xludf.DUMMYFUNCTION("""COMPUTED_VALUE"""),"Công ty TNHH Kiểm toán và Tư vấn A&amp;C")</f>
        <v>Công ty TNHH Kiểm toán và Tư vấn A&amp;C</v>
      </c>
      <c r="B369" s="4"/>
      <c r="C369" s="4" t="str">
        <f ca="1">IFERROR(__xludf.DUMMYFUNCTION("""COMPUTED_VALUE"""),"Nữ")</f>
        <v>Nữ</v>
      </c>
      <c r="D369" s="4" t="str">
        <f ca="1">IFERROR(__xludf.DUMMYFUNCTION("""COMPUTED_VALUE"""),"Đại học")</f>
        <v>Đại học</v>
      </c>
      <c r="E369" s="4" t="str">
        <f ca="1">IFERROR(__xludf.DUMMYFUNCTION("""COMPUTED_VALUE"""),"Từ 3 đến 5 năm")</f>
        <v>Từ 3 đến 5 năm</v>
      </c>
      <c r="F369" s="4" t="str">
        <f ca="1">IFERROR(__xludf.DUMMYFUNCTION("""COMPUTED_VALUE"""),"Kiểm toán viên/Trưởng nhóm")</f>
        <v>Kiểm toán viên/Trưởng nhóm</v>
      </c>
    </row>
    <row r="370" spans="1:6" x14ac:dyDescent="0.25">
      <c r="A370" s="4" t="str">
        <f ca="1">IFERROR(__xludf.DUMMYFUNCTION("""COMPUTED_VALUE"""),"Công ty TNHH Kiểm toán và Tư vấn A&amp;C")</f>
        <v>Công ty TNHH Kiểm toán và Tư vấn A&amp;C</v>
      </c>
      <c r="B370" s="4" t="str">
        <f ca="1">IFERROR(__xludf.DUMMYFUNCTION("""COMPUTED_VALUE"""),"Nguyễn Hoàng Phương Anh")</f>
        <v>Nguyễn Hoàng Phương Anh</v>
      </c>
      <c r="C370" s="4" t="str">
        <f ca="1">IFERROR(__xludf.DUMMYFUNCTION("""COMPUTED_VALUE"""),"Nữ")</f>
        <v>Nữ</v>
      </c>
      <c r="D370" s="4" t="str">
        <f ca="1">IFERROR(__xludf.DUMMYFUNCTION("""COMPUTED_VALUE"""),"Đại học")</f>
        <v>Đại học</v>
      </c>
      <c r="E370" s="4" t="str">
        <f ca="1">IFERROR(__xludf.DUMMYFUNCTION("""COMPUTED_VALUE"""),"Từ 3 đến 5 năm")</f>
        <v>Từ 3 đến 5 năm</v>
      </c>
      <c r="F370" s="4" t="str">
        <f ca="1">IFERROR(__xludf.DUMMYFUNCTION("""COMPUTED_VALUE"""),"Trợ lý kiểm toán")</f>
        <v>Trợ lý kiểm toán</v>
      </c>
    </row>
    <row r="371" spans="1:6" x14ac:dyDescent="0.25">
      <c r="A371" s="4" t="str">
        <f ca="1">IFERROR(__xludf.DUMMYFUNCTION("""COMPUTED_VALUE"""),"Công ty TNHH Kiểm toán và Tư vấn A&amp;C")</f>
        <v>Công ty TNHH Kiểm toán và Tư vấn A&amp;C</v>
      </c>
      <c r="B371" s="4" t="str">
        <f ca="1">IFERROR(__xludf.DUMMYFUNCTION("""COMPUTED_VALUE"""),"Nguyễn Quang Nhật")</f>
        <v>Nguyễn Quang Nhật</v>
      </c>
      <c r="C371" s="4" t="str">
        <f ca="1">IFERROR(__xludf.DUMMYFUNCTION("""COMPUTED_VALUE"""),"Nam")</f>
        <v>Nam</v>
      </c>
      <c r="D371" s="4" t="str">
        <f ca="1">IFERROR(__xludf.DUMMYFUNCTION("""COMPUTED_VALUE"""),"Đại học")</f>
        <v>Đại học</v>
      </c>
      <c r="E371" s="4" t="str">
        <f ca="1">IFERROR(__xludf.DUMMYFUNCTION("""COMPUTED_VALUE"""),"Từ 3 đến 5 năm")</f>
        <v>Từ 3 đến 5 năm</v>
      </c>
      <c r="F371" s="4" t="str">
        <f ca="1">IFERROR(__xludf.DUMMYFUNCTION("""COMPUTED_VALUE"""),"Trợ lý kiểm toán")</f>
        <v>Trợ lý kiểm toán</v>
      </c>
    </row>
    <row r="372" spans="1:6" x14ac:dyDescent="0.25">
      <c r="A372" s="4" t="str">
        <f ca="1">IFERROR(__xludf.DUMMYFUNCTION("""COMPUTED_VALUE"""),"Công ty TNHH Kiểm toán và Tư vấn A&amp;C")</f>
        <v>Công ty TNHH Kiểm toán và Tư vấn A&amp;C</v>
      </c>
      <c r="B372" s="4" t="str">
        <f ca="1">IFERROR(__xludf.DUMMYFUNCTION("""COMPUTED_VALUE"""),"Nguyễn Thị Ngọc Hân")</f>
        <v>Nguyễn Thị Ngọc Hân</v>
      </c>
      <c r="C372" s="4" t="str">
        <f ca="1">IFERROR(__xludf.DUMMYFUNCTION("""COMPUTED_VALUE"""),"Nữ")</f>
        <v>Nữ</v>
      </c>
      <c r="D372" s="4" t="str">
        <f ca="1">IFERROR(__xludf.DUMMYFUNCTION("""COMPUTED_VALUE"""),"Đại học")</f>
        <v>Đại học</v>
      </c>
      <c r="E372" s="4" t="str">
        <f ca="1">IFERROR(__xludf.DUMMYFUNCTION("""COMPUTED_VALUE"""),"Từ 3 đến 5 năm")</f>
        <v>Từ 3 đến 5 năm</v>
      </c>
      <c r="F372" s="4" t="str">
        <f ca="1">IFERROR(__xludf.DUMMYFUNCTION("""COMPUTED_VALUE"""),"Kiểm toán viên/Trưởng nhóm")</f>
        <v>Kiểm toán viên/Trưởng nhóm</v>
      </c>
    </row>
    <row r="373" spans="1:6" x14ac:dyDescent="0.25">
      <c r="A373" s="4" t="str">
        <f ca="1">IFERROR(__xludf.DUMMYFUNCTION("""COMPUTED_VALUE"""),"Công ty TNHH Kiểm toán và Tư vấn A&amp;C")</f>
        <v>Công ty TNHH Kiểm toán và Tư vấn A&amp;C</v>
      </c>
      <c r="B373" s="4" t="str">
        <f ca="1">IFERROR(__xludf.DUMMYFUNCTION("""COMPUTED_VALUE"""),"Thiều Thị Bảo Nhi")</f>
        <v>Thiều Thị Bảo Nhi</v>
      </c>
      <c r="C373" s="4" t="str">
        <f ca="1">IFERROR(__xludf.DUMMYFUNCTION("""COMPUTED_VALUE"""),"Nữ")</f>
        <v>Nữ</v>
      </c>
      <c r="D373" s="4" t="str">
        <f ca="1">IFERROR(__xludf.DUMMYFUNCTION("""COMPUTED_VALUE"""),"Đại học, Chứng chỉ Kiểm toán viên")</f>
        <v>Đại học, Chứng chỉ Kiểm toán viên</v>
      </c>
      <c r="E373" s="4" t="str">
        <f ca="1">IFERROR(__xludf.DUMMYFUNCTION("""COMPUTED_VALUE"""),"Trên 5 đến 10 năm")</f>
        <v>Trên 5 đến 10 năm</v>
      </c>
      <c r="F373" s="4" t="str">
        <f ca="1">IFERROR(__xludf.DUMMYFUNCTION("""COMPUTED_VALUE"""),"Trưởng phòng")</f>
        <v>Trưởng phòng</v>
      </c>
    </row>
    <row r="374" spans="1:6" x14ac:dyDescent="0.25">
      <c r="A374" s="4" t="str">
        <f ca="1">IFERROR(__xludf.DUMMYFUNCTION("""COMPUTED_VALUE"""),"Công ty TNHH Kiểm toán và Tư vấn A&amp;C")</f>
        <v>Công ty TNHH Kiểm toán và Tư vấn A&amp;C</v>
      </c>
      <c r="B374" s="4" t="str">
        <f ca="1">IFERROR(__xludf.DUMMYFUNCTION("""COMPUTED_VALUE"""),"Dương Bé Phương")</f>
        <v>Dương Bé Phương</v>
      </c>
      <c r="C374" s="4" t="str">
        <f ca="1">IFERROR(__xludf.DUMMYFUNCTION("""COMPUTED_VALUE"""),"Nữ")</f>
        <v>Nữ</v>
      </c>
      <c r="D374" s="4" t="str">
        <f ca="1">IFERROR(__xludf.DUMMYFUNCTION("""COMPUTED_VALUE"""),"Đại học")</f>
        <v>Đại học</v>
      </c>
      <c r="E374" s="4" t="str">
        <f ca="1">IFERROR(__xludf.DUMMYFUNCTION("""COMPUTED_VALUE"""),"Từ 3 đến 5 năm")</f>
        <v>Từ 3 đến 5 năm</v>
      </c>
      <c r="F374" s="4" t="str">
        <f ca="1">IFERROR(__xludf.DUMMYFUNCTION("""COMPUTED_VALUE"""),"Trợ lý kiểm toán")</f>
        <v>Trợ lý kiểm toán</v>
      </c>
    </row>
    <row r="375" spans="1:6" x14ac:dyDescent="0.25">
      <c r="A375" s="4" t="str">
        <f ca="1">IFERROR(__xludf.DUMMYFUNCTION("""COMPUTED_VALUE"""),"Công ty TNHH Kiểm toán và Tư vấn A&amp;C")</f>
        <v>Công ty TNHH Kiểm toán và Tư vấn A&amp;C</v>
      </c>
      <c r="B375" s="4" t="str">
        <f ca="1">IFERROR(__xludf.DUMMYFUNCTION("""COMPUTED_VALUE"""),"Phó Vĩ Hào")</f>
        <v>Phó Vĩ Hào</v>
      </c>
      <c r="C375" s="4" t="str">
        <f ca="1">IFERROR(__xludf.DUMMYFUNCTION("""COMPUTED_VALUE"""),"Nam")</f>
        <v>Nam</v>
      </c>
      <c r="D375" s="4" t="str">
        <f ca="1">IFERROR(__xludf.DUMMYFUNCTION("""COMPUTED_VALUE"""),"Đại học")</f>
        <v>Đại học</v>
      </c>
      <c r="E375" s="4" t="str">
        <f ca="1">IFERROR(__xludf.DUMMYFUNCTION("""COMPUTED_VALUE"""),"Từ 3 đến 5 năm")</f>
        <v>Từ 3 đến 5 năm</v>
      </c>
      <c r="F375" s="4" t="str">
        <f ca="1">IFERROR(__xludf.DUMMYFUNCTION("""COMPUTED_VALUE"""),"Trợ lý kiểm toán")</f>
        <v>Trợ lý kiểm toán</v>
      </c>
    </row>
    <row r="376" spans="1:6" x14ac:dyDescent="0.25">
      <c r="A376" s="4" t="str">
        <f ca="1">IFERROR(__xludf.DUMMYFUNCTION("""COMPUTED_VALUE"""),"Công ty TNHH Kiểm toán và Tư vấn A&amp;C")</f>
        <v>Công ty TNHH Kiểm toán và Tư vấn A&amp;C</v>
      </c>
      <c r="B376" s="4" t="str">
        <f ca="1">IFERROR(__xludf.DUMMYFUNCTION("""COMPUTED_VALUE"""),"Nguyễn Ngọc Cầm")</f>
        <v>Nguyễn Ngọc Cầm</v>
      </c>
      <c r="C376" s="4" t="str">
        <f ca="1">IFERROR(__xludf.DUMMYFUNCTION("""COMPUTED_VALUE"""),"Nữ")</f>
        <v>Nữ</v>
      </c>
      <c r="D376" s="4" t="str">
        <f ca="1">IFERROR(__xludf.DUMMYFUNCTION("""COMPUTED_VALUE"""),"Đại học")</f>
        <v>Đại học</v>
      </c>
      <c r="E376" s="4" t="str">
        <f ca="1">IFERROR(__xludf.DUMMYFUNCTION("""COMPUTED_VALUE"""),"Từ 3 đến 5 năm")</f>
        <v>Từ 3 đến 5 năm</v>
      </c>
      <c r="F376" s="4" t="str">
        <f ca="1">IFERROR(__xludf.DUMMYFUNCTION("""COMPUTED_VALUE"""),"Trợ lý kiểm toán")</f>
        <v>Trợ lý kiểm toán</v>
      </c>
    </row>
    <row r="377" spans="1:6" x14ac:dyDescent="0.25">
      <c r="A377" s="4" t="str">
        <f ca="1">IFERROR(__xludf.DUMMYFUNCTION("""COMPUTED_VALUE"""),"Công ty TNHH Kiểm toán và Tư vấn A&amp;C")</f>
        <v>Công ty TNHH Kiểm toán và Tư vấn A&amp;C</v>
      </c>
      <c r="B377" s="4" t="str">
        <f ca="1">IFERROR(__xludf.DUMMYFUNCTION("""COMPUTED_VALUE"""),"Nguyễn Quốc Ngữ")</f>
        <v>Nguyễn Quốc Ngữ</v>
      </c>
      <c r="C377" s="4" t="str">
        <f ca="1">IFERROR(__xludf.DUMMYFUNCTION("""COMPUTED_VALUE"""),"Nam")</f>
        <v>Nam</v>
      </c>
      <c r="D377" s="4" t="str">
        <f ca="1">IFERROR(__xludf.DUMMYFUNCTION("""COMPUTED_VALUE"""),"Đại học, Sau đại học, Chứng chỉ Kiểm toán viên")</f>
        <v>Đại học, Sau đại học, Chứng chỉ Kiểm toán viên</v>
      </c>
      <c r="E377" s="4" t="str">
        <f ca="1">IFERROR(__xludf.DUMMYFUNCTION("""COMPUTED_VALUE"""),"Trên 20 năm")</f>
        <v>Trên 20 năm</v>
      </c>
      <c r="F377" s="4" t="str">
        <f ca="1">IFERROR(__xludf.DUMMYFUNCTION("""COMPUTED_VALUE"""),"Ban giám đốc")</f>
        <v>Ban giám đốc</v>
      </c>
    </row>
    <row r="378" spans="1:6" x14ac:dyDescent="0.25">
      <c r="A378" s="4" t="str">
        <f ca="1">IFERROR(__xludf.DUMMYFUNCTION("""COMPUTED_VALUE"""),"Công ty TNHH Kiểm toán và Tư vấn A&amp;C")</f>
        <v>Công ty TNHH Kiểm toán và Tư vấn A&amp;C</v>
      </c>
      <c r="B378" s="4" t="str">
        <f ca="1">IFERROR(__xludf.DUMMYFUNCTION("""COMPUTED_VALUE"""),"Nguyễn Đức Toàn")</f>
        <v>Nguyễn Đức Toàn</v>
      </c>
      <c r="C378" s="4" t="str">
        <f ca="1">IFERROR(__xludf.DUMMYFUNCTION("""COMPUTED_VALUE"""),"Nam")</f>
        <v>Nam</v>
      </c>
      <c r="D378" s="4" t="str">
        <f ca="1">IFERROR(__xludf.DUMMYFUNCTION("""COMPUTED_VALUE"""),"Đại học, Chứng chỉ Kiểm toán viên")</f>
        <v>Đại học, Chứng chỉ Kiểm toán viên</v>
      </c>
      <c r="E378" s="4" t="str">
        <f ca="1">IFERROR(__xludf.DUMMYFUNCTION("""COMPUTED_VALUE"""),"Trên 5 đến 10 năm")</f>
        <v>Trên 5 đến 10 năm</v>
      </c>
      <c r="F378" s="4" t="str">
        <f ca="1">IFERROR(__xludf.DUMMYFUNCTION("""COMPUTED_VALUE"""),"Kiểm toán viên/Trưởng nhóm")</f>
        <v>Kiểm toán viên/Trưởng nhóm</v>
      </c>
    </row>
    <row r="379" spans="1:6" x14ac:dyDescent="0.25">
      <c r="A379" s="4" t="str">
        <f ca="1">IFERROR(__xludf.DUMMYFUNCTION("""COMPUTED_VALUE"""),"Công ty TNHH Kiểm toán và Tư vấn A&amp;C")</f>
        <v>Công ty TNHH Kiểm toán và Tư vấn A&amp;C</v>
      </c>
      <c r="B379" s="4" t="str">
        <f ca="1">IFERROR(__xludf.DUMMYFUNCTION("""COMPUTED_VALUE"""),"Lê Hồ Diễm Trang")</f>
        <v>Lê Hồ Diễm Trang</v>
      </c>
      <c r="C379" s="4" t="str">
        <f ca="1">IFERROR(__xludf.DUMMYFUNCTION("""COMPUTED_VALUE"""),"Nữ")</f>
        <v>Nữ</v>
      </c>
      <c r="D379" s="4" t="str">
        <f ca="1">IFERROR(__xludf.DUMMYFUNCTION("""COMPUTED_VALUE"""),"Đại học")</f>
        <v>Đại học</v>
      </c>
      <c r="E379" s="4" t="str">
        <f ca="1">IFERROR(__xludf.DUMMYFUNCTION("""COMPUTED_VALUE"""),"Từ 3 đến 5 năm")</f>
        <v>Từ 3 đến 5 năm</v>
      </c>
      <c r="F379" s="4" t="str">
        <f ca="1">IFERROR(__xludf.DUMMYFUNCTION("""COMPUTED_VALUE"""),"Kiểm toán viên/Trưởng nhóm")</f>
        <v>Kiểm toán viên/Trưởng nhóm</v>
      </c>
    </row>
    <row r="380" spans="1:6" x14ac:dyDescent="0.25">
      <c r="A380" s="4" t="str">
        <f ca="1">IFERROR(__xludf.DUMMYFUNCTION("""COMPUTED_VALUE"""),"Công ty TNHH Kiểm toán và Tư vấn A&amp;C")</f>
        <v>Công ty TNHH Kiểm toán và Tư vấn A&amp;C</v>
      </c>
      <c r="B380" s="4"/>
      <c r="C380" s="4" t="str">
        <f ca="1">IFERROR(__xludf.DUMMYFUNCTION("""COMPUTED_VALUE"""),"Nữ")</f>
        <v>Nữ</v>
      </c>
      <c r="D380" s="4" t="str">
        <f ca="1">IFERROR(__xludf.DUMMYFUNCTION("""COMPUTED_VALUE"""),"Đại học")</f>
        <v>Đại học</v>
      </c>
      <c r="E380" s="4" t="str">
        <f ca="1">IFERROR(__xludf.DUMMYFUNCTION("""COMPUTED_VALUE"""),"Từ 3 đến 5 năm")</f>
        <v>Từ 3 đến 5 năm</v>
      </c>
      <c r="F380" s="4" t="str">
        <f ca="1">IFERROR(__xludf.DUMMYFUNCTION("""COMPUTED_VALUE"""),"Trợ lý kiểm toán")</f>
        <v>Trợ lý kiểm toán</v>
      </c>
    </row>
    <row r="381" spans="1:6" x14ac:dyDescent="0.25">
      <c r="A381" s="4" t="str">
        <f ca="1">IFERROR(__xludf.DUMMYFUNCTION("""COMPUTED_VALUE"""),"Công ty TNHH Kiểm toán và Tư vấn A&amp;C")</f>
        <v>Công ty TNHH Kiểm toán và Tư vấn A&amp;C</v>
      </c>
      <c r="B381" s="4" t="str">
        <f ca="1">IFERROR(__xludf.DUMMYFUNCTION("""COMPUTED_VALUE"""),"Đoàn Phạm Trang Thư")</f>
        <v>Đoàn Phạm Trang Thư</v>
      </c>
      <c r="C381" s="4" t="str">
        <f ca="1">IFERROR(__xludf.DUMMYFUNCTION("""COMPUTED_VALUE"""),"Nữ")</f>
        <v>Nữ</v>
      </c>
      <c r="D381" s="4" t="str">
        <f ca="1">IFERROR(__xludf.DUMMYFUNCTION("""COMPUTED_VALUE"""),"Đại học")</f>
        <v>Đại học</v>
      </c>
      <c r="E381" s="4" t="str">
        <f ca="1">IFERROR(__xludf.DUMMYFUNCTION("""COMPUTED_VALUE"""),"Từ 3 đến 5 năm")</f>
        <v>Từ 3 đến 5 năm</v>
      </c>
      <c r="F381" s="4" t="str">
        <f ca="1">IFERROR(__xludf.DUMMYFUNCTION("""COMPUTED_VALUE"""),"Trợ lý kiểm toán")</f>
        <v>Trợ lý kiểm toán</v>
      </c>
    </row>
    <row r="382" spans="1:6" x14ac:dyDescent="0.25">
      <c r="A382" s="4" t="str">
        <f ca="1">IFERROR(__xludf.DUMMYFUNCTION("""COMPUTED_VALUE"""),"Công ty TNHH Kiểm toán và Tư vấn A&amp;C")</f>
        <v>Công ty TNHH Kiểm toán và Tư vấn A&amp;C</v>
      </c>
      <c r="B382" s="4" t="str">
        <f ca="1">IFERROR(__xludf.DUMMYFUNCTION("""COMPUTED_VALUE"""),"Nguyễn Quốc Khánh")</f>
        <v>Nguyễn Quốc Khánh</v>
      </c>
      <c r="C382" s="4" t="str">
        <f ca="1">IFERROR(__xludf.DUMMYFUNCTION("""COMPUTED_VALUE"""),"Nam")</f>
        <v>Nam</v>
      </c>
      <c r="D382" s="4" t="str">
        <f ca="1">IFERROR(__xludf.DUMMYFUNCTION("""COMPUTED_VALUE"""),"Đại học")</f>
        <v>Đại học</v>
      </c>
      <c r="E382" s="4" t="str">
        <f ca="1">IFERROR(__xludf.DUMMYFUNCTION("""COMPUTED_VALUE"""),"Từ 3 đến 5 năm")</f>
        <v>Từ 3 đến 5 năm</v>
      </c>
      <c r="F382" s="4" t="str">
        <f ca="1">IFERROR(__xludf.DUMMYFUNCTION("""COMPUTED_VALUE"""),"Kiểm toán viên/Trưởng nhóm")</f>
        <v>Kiểm toán viên/Trưởng nhóm</v>
      </c>
    </row>
    <row r="383" spans="1:6" x14ac:dyDescent="0.25">
      <c r="A383" s="4" t="str">
        <f ca="1">IFERROR(__xludf.DUMMYFUNCTION("""COMPUTED_VALUE"""),"Công ty TNHH Kiểm toán và Tư vấn A&amp;C")</f>
        <v>Công ty TNHH Kiểm toán và Tư vấn A&amp;C</v>
      </c>
      <c r="B383" s="4" t="str">
        <f ca="1">IFERROR(__xludf.DUMMYFUNCTION("""COMPUTED_VALUE"""),"Trương Diễm Phương")</f>
        <v>Trương Diễm Phương</v>
      </c>
      <c r="C383" s="4" t="str">
        <f ca="1">IFERROR(__xludf.DUMMYFUNCTION("""COMPUTED_VALUE"""),"Nữ")</f>
        <v>Nữ</v>
      </c>
      <c r="D383" s="4" t="str">
        <f ca="1">IFERROR(__xludf.DUMMYFUNCTION("""COMPUTED_VALUE"""),"Đại học")</f>
        <v>Đại học</v>
      </c>
      <c r="E383" s="4" t="str">
        <f ca="1">IFERROR(__xludf.DUMMYFUNCTION("""COMPUTED_VALUE"""),"Từ 3 đến 5 năm")</f>
        <v>Từ 3 đến 5 năm</v>
      </c>
      <c r="F383" s="4" t="str">
        <f ca="1">IFERROR(__xludf.DUMMYFUNCTION("""COMPUTED_VALUE"""),"Trợ lý kiểm toán")</f>
        <v>Trợ lý kiểm toán</v>
      </c>
    </row>
    <row r="384" spans="1:6" x14ac:dyDescent="0.25">
      <c r="A384" s="4" t="str">
        <f ca="1">IFERROR(__xludf.DUMMYFUNCTION("""COMPUTED_VALUE"""),"Công ty TNHH Kiểm toán và Tư vấn A&amp;C")</f>
        <v>Công ty TNHH Kiểm toán và Tư vấn A&amp;C</v>
      </c>
      <c r="B384" s="4" t="str">
        <f ca="1">IFERROR(__xludf.DUMMYFUNCTION("""COMPUTED_VALUE"""),"Lê Thị Mỹ Nhân")</f>
        <v>Lê Thị Mỹ Nhân</v>
      </c>
      <c r="C384" s="4" t="str">
        <f ca="1">IFERROR(__xludf.DUMMYFUNCTION("""COMPUTED_VALUE"""),"Nữ")</f>
        <v>Nữ</v>
      </c>
      <c r="D384" s="4" t="str">
        <f ca="1">IFERROR(__xludf.DUMMYFUNCTION("""COMPUTED_VALUE"""),"Đại học, Chứng chỉ Kiểm toán viên")</f>
        <v>Đại học, Chứng chỉ Kiểm toán viên</v>
      </c>
      <c r="E384" s="4" t="str">
        <f ca="1">IFERROR(__xludf.DUMMYFUNCTION("""COMPUTED_VALUE"""),"Trên 5 đến 10 năm")</f>
        <v>Trên 5 đến 10 năm</v>
      </c>
      <c r="F384" s="4" t="str">
        <f ca="1">IFERROR(__xludf.DUMMYFUNCTION("""COMPUTED_VALUE"""),"Kiểm toán viên/Trưởng nhóm")</f>
        <v>Kiểm toán viên/Trưởng nhóm</v>
      </c>
    </row>
    <row r="385" spans="1:6" x14ac:dyDescent="0.25">
      <c r="A385" s="4" t="str">
        <f ca="1">IFERROR(__xludf.DUMMYFUNCTION("""COMPUTED_VALUE"""),"Công ty TNHH Kiểm toán và Tư vấn A&amp;C")</f>
        <v>Công ty TNHH Kiểm toán và Tư vấn A&amp;C</v>
      </c>
      <c r="B385" s="4" t="str">
        <f ca="1">IFERROR(__xludf.DUMMYFUNCTION("""COMPUTED_VALUE"""),"Lê Thị Mai Phương")</f>
        <v>Lê Thị Mai Phương</v>
      </c>
      <c r="C385" s="4" t="str">
        <f ca="1">IFERROR(__xludf.DUMMYFUNCTION("""COMPUTED_VALUE"""),"Nữ")</f>
        <v>Nữ</v>
      </c>
      <c r="D385" s="4" t="str">
        <f ca="1">IFERROR(__xludf.DUMMYFUNCTION("""COMPUTED_VALUE"""),"Đại học")</f>
        <v>Đại học</v>
      </c>
      <c r="E385" s="4" t="str">
        <f ca="1">IFERROR(__xludf.DUMMYFUNCTION("""COMPUTED_VALUE"""),"Từ 3 đến 5 năm")</f>
        <v>Từ 3 đến 5 năm</v>
      </c>
      <c r="F385" s="4" t="str">
        <f ca="1">IFERROR(__xludf.DUMMYFUNCTION("""COMPUTED_VALUE"""),"Trợ lý kiểm toán")</f>
        <v>Trợ lý kiểm toán</v>
      </c>
    </row>
    <row r="386" spans="1:6" x14ac:dyDescent="0.25">
      <c r="A386" s="4" t="str">
        <f ca="1">IFERROR(__xludf.DUMMYFUNCTION("""COMPUTED_VALUE"""),"Công ty TNHH Kiểm toán và Tư vấn A&amp;C")</f>
        <v>Công ty TNHH Kiểm toán và Tư vấn A&amp;C</v>
      </c>
      <c r="B386" s="4" t="str">
        <f ca="1">IFERROR(__xludf.DUMMYFUNCTION("""COMPUTED_VALUE"""),"Nguyễn Hữu Nghi")</f>
        <v>Nguyễn Hữu Nghi</v>
      </c>
      <c r="C386" s="4" t="str">
        <f ca="1">IFERROR(__xludf.DUMMYFUNCTION("""COMPUTED_VALUE"""),"Nam")</f>
        <v>Nam</v>
      </c>
      <c r="D386" s="4" t="str">
        <f ca="1">IFERROR(__xludf.DUMMYFUNCTION("""COMPUTED_VALUE"""),"Đại học, Chứng chỉ Kiểm toán viên")</f>
        <v>Đại học, Chứng chỉ Kiểm toán viên</v>
      </c>
      <c r="E386" s="4" t="str">
        <f ca="1">IFERROR(__xludf.DUMMYFUNCTION("""COMPUTED_VALUE"""),"Trên 15 đến 20 năm")</f>
        <v>Trên 15 đến 20 năm</v>
      </c>
      <c r="F386" s="4" t="str">
        <f ca="1">IFERROR(__xludf.DUMMYFUNCTION("""COMPUTED_VALUE"""),"Kiểm toán viên/Trưởng nhóm")</f>
        <v>Kiểm toán viên/Trưởng nhóm</v>
      </c>
    </row>
    <row r="387" spans="1:6" x14ac:dyDescent="0.25">
      <c r="A387" s="4" t="str">
        <f ca="1">IFERROR(__xludf.DUMMYFUNCTION("""COMPUTED_VALUE"""),"Công ty TNHH Kiểm toán và Tư vấn A&amp;C")</f>
        <v>Công ty TNHH Kiểm toán và Tư vấn A&amp;C</v>
      </c>
      <c r="B387" s="4" t="str">
        <f ca="1">IFERROR(__xludf.DUMMYFUNCTION("""COMPUTED_VALUE"""),"Võ Văn Lễ")</f>
        <v>Võ Văn Lễ</v>
      </c>
      <c r="C387" s="4" t="str">
        <f ca="1">IFERROR(__xludf.DUMMYFUNCTION("""COMPUTED_VALUE"""),"Nam")</f>
        <v>Nam</v>
      </c>
      <c r="D387" s="4" t="str">
        <f ca="1">IFERROR(__xludf.DUMMYFUNCTION("""COMPUTED_VALUE"""),"Đại học")</f>
        <v>Đại học</v>
      </c>
      <c r="E387" s="4" t="str">
        <f ca="1">IFERROR(__xludf.DUMMYFUNCTION("""COMPUTED_VALUE"""),"Trên 5 đến 10 năm")</f>
        <v>Trên 5 đến 10 năm</v>
      </c>
      <c r="F387" s="4" t="str">
        <f ca="1">IFERROR(__xludf.DUMMYFUNCTION("""COMPUTED_VALUE"""),"Kiểm toán viên/Trưởng nhóm")</f>
        <v>Kiểm toán viên/Trưởng nhóm</v>
      </c>
    </row>
    <row r="388" spans="1:6" x14ac:dyDescent="0.25">
      <c r="A388" s="4" t="str">
        <f ca="1">IFERROR(__xludf.DUMMYFUNCTION("""COMPUTED_VALUE"""),"Công ty TNHH Kiểm toán và Tư vấn A&amp;C")</f>
        <v>Công ty TNHH Kiểm toán và Tư vấn A&amp;C</v>
      </c>
      <c r="B388" s="4" t="str">
        <f ca="1">IFERROR(__xludf.DUMMYFUNCTION("""COMPUTED_VALUE"""),"Trần Đức Duy")</f>
        <v>Trần Đức Duy</v>
      </c>
      <c r="C388" s="4" t="str">
        <f ca="1">IFERROR(__xludf.DUMMYFUNCTION("""COMPUTED_VALUE"""),"Nam")</f>
        <v>Nam</v>
      </c>
      <c r="D388" s="4" t="str">
        <f ca="1">IFERROR(__xludf.DUMMYFUNCTION("""COMPUTED_VALUE"""),"Đại học")</f>
        <v>Đại học</v>
      </c>
      <c r="E388" s="4" t="str">
        <f ca="1">IFERROR(__xludf.DUMMYFUNCTION("""COMPUTED_VALUE"""),"Từ 3 đến 5 năm")</f>
        <v>Từ 3 đến 5 năm</v>
      </c>
      <c r="F388" s="4" t="str">
        <f ca="1">IFERROR(__xludf.DUMMYFUNCTION("""COMPUTED_VALUE"""),"Trợ lý kiểm toán")</f>
        <v>Trợ lý kiểm toán</v>
      </c>
    </row>
    <row r="389" spans="1:6" x14ac:dyDescent="0.25">
      <c r="A389" s="4" t="str">
        <f ca="1">IFERROR(__xludf.DUMMYFUNCTION("""COMPUTED_VALUE"""),"Công ty TNHH Kiểm toán và Tư vấn A&amp;C")</f>
        <v>Công ty TNHH Kiểm toán và Tư vấn A&amp;C</v>
      </c>
      <c r="B389" s="4" t="str">
        <f ca="1">IFERROR(__xludf.DUMMYFUNCTION("""COMPUTED_VALUE"""),"Nguyễn Ngọc Tú Anh")</f>
        <v>Nguyễn Ngọc Tú Anh</v>
      </c>
      <c r="C389" s="4" t="str">
        <f ca="1">IFERROR(__xludf.DUMMYFUNCTION("""COMPUTED_VALUE"""),"Nữ")</f>
        <v>Nữ</v>
      </c>
      <c r="D389" s="4" t="str">
        <f ca="1">IFERROR(__xludf.DUMMYFUNCTION("""COMPUTED_VALUE"""),"Đại học")</f>
        <v>Đại học</v>
      </c>
      <c r="E389" s="4" t="str">
        <f ca="1">IFERROR(__xludf.DUMMYFUNCTION("""COMPUTED_VALUE"""),"Từ 3 đến 5 năm")</f>
        <v>Từ 3 đến 5 năm</v>
      </c>
      <c r="F389" s="4" t="str">
        <f ca="1">IFERROR(__xludf.DUMMYFUNCTION("""COMPUTED_VALUE"""),"Trợ lý kiểm toán")</f>
        <v>Trợ lý kiểm toán</v>
      </c>
    </row>
    <row r="390" spans="1:6" x14ac:dyDescent="0.25">
      <c r="A390" s="4" t="str">
        <f ca="1">IFERROR(__xludf.DUMMYFUNCTION("""COMPUTED_VALUE"""),"Công ty TNHH Kiểm toán và Tư vấn Chuẩn Việt")</f>
        <v>Công ty TNHH Kiểm toán và Tư vấn Chuẩn Việt</v>
      </c>
      <c r="B390" s="4" t="str">
        <f ca="1">IFERROR(__xludf.DUMMYFUNCTION("""COMPUTED_VALUE"""),"Nguyễn Thanh Hồng")</f>
        <v>Nguyễn Thanh Hồng</v>
      </c>
      <c r="C390" s="4" t="str">
        <f ca="1">IFERROR(__xludf.DUMMYFUNCTION("""COMPUTED_VALUE"""),"Nam")</f>
        <v>Nam</v>
      </c>
      <c r="D390" s="4" t="str">
        <f ca="1">IFERROR(__xludf.DUMMYFUNCTION("""COMPUTED_VALUE"""),"Sau đại học, Chứng chỉ Kiểm toán viên")</f>
        <v>Sau đại học, Chứng chỉ Kiểm toán viên</v>
      </c>
      <c r="E390" s="4" t="str">
        <f ca="1">IFERROR(__xludf.DUMMYFUNCTION("""COMPUTED_VALUE"""),"Trên 20 năm")</f>
        <v>Trên 20 năm</v>
      </c>
      <c r="F390" s="4" t="str">
        <f ca="1">IFERROR(__xludf.DUMMYFUNCTION("""COMPUTED_VALUE"""),"Ban giám đốc")</f>
        <v>Ban giám đốc</v>
      </c>
    </row>
    <row r="391" spans="1:6" x14ac:dyDescent="0.25">
      <c r="A391" s="4" t="str">
        <f ca="1">IFERROR(__xludf.DUMMYFUNCTION("""COMPUTED_VALUE"""),"Công ty TNHH Kiểm toán và Tư vấn Chuẩn Việt")</f>
        <v>Công ty TNHH Kiểm toán và Tư vấn Chuẩn Việt</v>
      </c>
      <c r="B391" s="4" t="str">
        <f ca="1">IFERROR(__xludf.DUMMYFUNCTION("""COMPUTED_VALUE"""),"Trang Ngọc Quí")</f>
        <v>Trang Ngọc Quí</v>
      </c>
      <c r="C391" s="4" t="str">
        <f ca="1">IFERROR(__xludf.DUMMYFUNCTION("""COMPUTED_VALUE"""),"Nam")</f>
        <v>Nam</v>
      </c>
      <c r="D391" s="4" t="str">
        <f ca="1">IFERROR(__xludf.DUMMYFUNCTION("""COMPUTED_VALUE"""),"Đại học")</f>
        <v>Đại học</v>
      </c>
      <c r="E391" s="4" t="str">
        <f ca="1">IFERROR(__xludf.DUMMYFUNCTION("""COMPUTED_VALUE"""),"Từ 3 đến 5 năm")</f>
        <v>Từ 3 đến 5 năm</v>
      </c>
      <c r="F391" s="4" t="str">
        <f ca="1">IFERROR(__xludf.DUMMYFUNCTION("""COMPUTED_VALUE"""),"Trợ lý kiểm toán")</f>
        <v>Trợ lý kiểm toán</v>
      </c>
    </row>
    <row r="392" spans="1:6" x14ac:dyDescent="0.25">
      <c r="A392" s="4" t="str">
        <f ca="1">IFERROR(__xludf.DUMMYFUNCTION("""COMPUTED_VALUE"""),"Công ty TNHH Kiểm toán và Tư vấn Chuẩn Việt")</f>
        <v>Công ty TNHH Kiểm toán và Tư vấn Chuẩn Việt</v>
      </c>
      <c r="B392" s="4" t="str">
        <f ca="1">IFERROR(__xludf.DUMMYFUNCTION("""COMPUTED_VALUE"""),"Trần Văn Hiệp")</f>
        <v>Trần Văn Hiệp</v>
      </c>
      <c r="C392" s="4" t="str">
        <f ca="1">IFERROR(__xludf.DUMMYFUNCTION("""COMPUTED_VALUE"""),"Nam")</f>
        <v>Nam</v>
      </c>
      <c r="D392" s="4" t="str">
        <f ca="1">IFERROR(__xludf.DUMMYFUNCTION("""COMPUTED_VALUE"""),"Đại học")</f>
        <v>Đại học</v>
      </c>
      <c r="E392" s="4" t="str">
        <f ca="1">IFERROR(__xludf.DUMMYFUNCTION("""COMPUTED_VALUE"""),"Trên 10 đến 15 năm")</f>
        <v>Trên 10 đến 15 năm</v>
      </c>
      <c r="F392" s="4" t="str">
        <f ca="1">IFERROR(__xludf.DUMMYFUNCTION("""COMPUTED_VALUE"""),"Kiểm toán viên/Trưởng nhóm")</f>
        <v>Kiểm toán viên/Trưởng nhóm</v>
      </c>
    </row>
    <row r="393" spans="1:6" x14ac:dyDescent="0.25">
      <c r="A393" s="4" t="str">
        <f ca="1">IFERROR(__xludf.DUMMYFUNCTION("""COMPUTED_VALUE"""),"Công ty TNHH Kiểm toán và Tư vấn Chuẩn Việt")</f>
        <v>Công ty TNHH Kiểm toán và Tư vấn Chuẩn Việt</v>
      </c>
      <c r="B393" s="4" t="str">
        <f ca="1">IFERROR(__xludf.DUMMYFUNCTION("""COMPUTED_VALUE"""),"Nguyễn Thị Hồng Yến")</f>
        <v>Nguyễn Thị Hồng Yến</v>
      </c>
      <c r="C393" s="4" t="str">
        <f ca="1">IFERROR(__xludf.DUMMYFUNCTION("""COMPUTED_VALUE"""),"Nữ")</f>
        <v>Nữ</v>
      </c>
      <c r="D393" s="4" t="str">
        <f ca="1">IFERROR(__xludf.DUMMYFUNCTION("""COMPUTED_VALUE"""),"Chứng chỉ Kiểm toán viên")</f>
        <v>Chứng chỉ Kiểm toán viên</v>
      </c>
      <c r="E393" s="4" t="str">
        <f ca="1">IFERROR(__xludf.DUMMYFUNCTION("""COMPUTED_VALUE"""),"Trên 5 đến 10 năm")</f>
        <v>Trên 5 đến 10 năm</v>
      </c>
      <c r="F393" s="4" t="str">
        <f ca="1">IFERROR(__xludf.DUMMYFUNCTION("""COMPUTED_VALUE"""),"Kiểm toán viên/Trưởng nhóm")</f>
        <v>Kiểm toán viên/Trưởng nhóm</v>
      </c>
    </row>
    <row r="394" spans="1:6" x14ac:dyDescent="0.25">
      <c r="A394" s="4" t="str">
        <f ca="1">IFERROR(__xludf.DUMMYFUNCTION("""COMPUTED_VALUE"""),"Công ty TNHH Kiểm toán và Tư vấn Chuẩn Việt")</f>
        <v>Công ty TNHH Kiểm toán và Tư vấn Chuẩn Việt</v>
      </c>
      <c r="B394" s="4" t="str">
        <f ca="1">IFERROR(__xludf.DUMMYFUNCTION("""COMPUTED_VALUE"""),"Nguyễn Hồng Phúc")</f>
        <v>Nguyễn Hồng Phúc</v>
      </c>
      <c r="C394" s="4" t="str">
        <f ca="1">IFERROR(__xludf.DUMMYFUNCTION("""COMPUTED_VALUE"""),"Nam")</f>
        <v>Nam</v>
      </c>
      <c r="D394" s="4" t="str">
        <f ca="1">IFERROR(__xludf.DUMMYFUNCTION("""COMPUTED_VALUE"""),"Sau đại học, Chứng chỉ Kiểm toán viên")</f>
        <v>Sau đại học, Chứng chỉ Kiểm toán viên</v>
      </c>
      <c r="E394" s="4" t="str">
        <f ca="1">IFERROR(__xludf.DUMMYFUNCTION("""COMPUTED_VALUE"""),"Trên 10 đến 15 năm")</f>
        <v>Trên 10 đến 15 năm</v>
      </c>
      <c r="F394" s="4" t="str">
        <f ca="1">IFERROR(__xludf.DUMMYFUNCTION("""COMPUTED_VALUE"""),"Trưởng phòng")</f>
        <v>Trưởng phòng</v>
      </c>
    </row>
    <row r="395" spans="1:6" x14ac:dyDescent="0.25">
      <c r="A395" s="4" t="str">
        <f ca="1">IFERROR(__xludf.DUMMYFUNCTION("""COMPUTED_VALUE"""),"Công ty TNHH Kiểm toán và Tư vấn Chuẩn Việt")</f>
        <v>Công ty TNHH Kiểm toán và Tư vấn Chuẩn Việt</v>
      </c>
      <c r="B395" s="4" t="str">
        <f ca="1">IFERROR(__xludf.DUMMYFUNCTION("""COMPUTED_VALUE"""),"Nguyễn Thị Kim Ngân")</f>
        <v>Nguyễn Thị Kim Ngân</v>
      </c>
      <c r="C395" s="4" t="str">
        <f ca="1">IFERROR(__xludf.DUMMYFUNCTION("""COMPUTED_VALUE"""),"Nữ")</f>
        <v>Nữ</v>
      </c>
      <c r="D395" s="4" t="str">
        <f ca="1">IFERROR(__xludf.DUMMYFUNCTION("""COMPUTED_VALUE"""),"Đại học")</f>
        <v>Đại học</v>
      </c>
      <c r="E395" s="4" t="str">
        <f ca="1">IFERROR(__xludf.DUMMYFUNCTION("""COMPUTED_VALUE"""),"Từ 3 đến 5 năm")</f>
        <v>Từ 3 đến 5 năm</v>
      </c>
      <c r="F395" s="4" t="str">
        <f ca="1">IFERROR(__xludf.DUMMYFUNCTION("""COMPUTED_VALUE"""),"Trợ lý kiểm toán")</f>
        <v>Trợ lý kiểm toán</v>
      </c>
    </row>
    <row r="396" spans="1:6" x14ac:dyDescent="0.25">
      <c r="A396" s="4" t="str">
        <f ca="1">IFERROR(__xludf.DUMMYFUNCTION("""COMPUTED_VALUE"""),"Công ty TNHH Kiểm toán và Tư vấn Chuẩn Việt")</f>
        <v>Công ty TNHH Kiểm toán và Tư vấn Chuẩn Việt</v>
      </c>
      <c r="B396" s="4" t="str">
        <f ca="1">IFERROR(__xludf.DUMMYFUNCTION("""COMPUTED_VALUE"""),"Nguyễn Thị Hồng Trân")</f>
        <v>Nguyễn Thị Hồng Trân</v>
      </c>
      <c r="C396" s="4" t="str">
        <f ca="1">IFERROR(__xludf.DUMMYFUNCTION("""COMPUTED_VALUE"""),"Nữ")</f>
        <v>Nữ</v>
      </c>
      <c r="D396" s="4" t="str">
        <f ca="1">IFERROR(__xludf.DUMMYFUNCTION("""COMPUTED_VALUE"""),"Đại học")</f>
        <v>Đại học</v>
      </c>
      <c r="E396" s="4" t="str">
        <f ca="1">IFERROR(__xludf.DUMMYFUNCTION("""COMPUTED_VALUE"""),"Trên 5 đến 10 năm")</f>
        <v>Trên 5 đến 10 năm</v>
      </c>
      <c r="F396" s="4" t="str">
        <f ca="1">IFERROR(__xludf.DUMMYFUNCTION("""COMPUTED_VALUE"""),"Trợ lý kiểm toán")</f>
        <v>Trợ lý kiểm toán</v>
      </c>
    </row>
    <row r="397" spans="1:6" x14ac:dyDescent="0.25">
      <c r="A397" s="4" t="str">
        <f ca="1">IFERROR(__xludf.DUMMYFUNCTION("""COMPUTED_VALUE"""),"Công ty TNHH Kiểm toán và Tư vấn Chuẩn Việt")</f>
        <v>Công ty TNHH Kiểm toán và Tư vấn Chuẩn Việt</v>
      </c>
      <c r="B397" s="4" t="str">
        <f ca="1">IFERROR(__xludf.DUMMYFUNCTION("""COMPUTED_VALUE"""),"NGUYỄN ĐAN ANH")</f>
        <v>NGUYỄN ĐAN ANH</v>
      </c>
      <c r="C397" s="4" t="str">
        <f ca="1">IFERROR(__xludf.DUMMYFUNCTION("""COMPUTED_VALUE"""),"Nữ")</f>
        <v>Nữ</v>
      </c>
      <c r="D397" s="4" t="str">
        <f ca="1">IFERROR(__xludf.DUMMYFUNCTION("""COMPUTED_VALUE"""),"Đại học")</f>
        <v>Đại học</v>
      </c>
      <c r="E397" s="4" t="str">
        <f ca="1">IFERROR(__xludf.DUMMYFUNCTION("""COMPUTED_VALUE"""),"Trên 10 đến 15 năm")</f>
        <v>Trên 10 đến 15 năm</v>
      </c>
      <c r="F397" s="4" t="str">
        <f ca="1">IFERROR(__xludf.DUMMYFUNCTION("""COMPUTED_VALUE"""),"Kiểm toán viên/Trưởng nhóm")</f>
        <v>Kiểm toán viên/Trưởng nhóm</v>
      </c>
    </row>
    <row r="398" spans="1:6" x14ac:dyDescent="0.25">
      <c r="A398" s="4" t="str">
        <f ca="1">IFERROR(__xludf.DUMMYFUNCTION("""COMPUTED_VALUE"""),"Công ty TNHH Kiểm toán và Tư vấn Chuẩn Việt")</f>
        <v>Công ty TNHH Kiểm toán và Tư vấn Chuẩn Việt</v>
      </c>
      <c r="B398" s="4"/>
      <c r="C398" s="4" t="str">
        <f ca="1">IFERROR(__xludf.DUMMYFUNCTION("""COMPUTED_VALUE"""),"Nữ")</f>
        <v>Nữ</v>
      </c>
      <c r="D398" s="4" t="str">
        <f ca="1">IFERROR(__xludf.DUMMYFUNCTION("""COMPUTED_VALUE"""),"Đại học")</f>
        <v>Đại học</v>
      </c>
      <c r="E398" s="4" t="str">
        <f ca="1">IFERROR(__xludf.DUMMYFUNCTION("""COMPUTED_VALUE"""),"Trên 5 đến 10 năm")</f>
        <v>Trên 5 đến 10 năm</v>
      </c>
      <c r="F398" s="4" t="str">
        <f ca="1">IFERROR(__xludf.DUMMYFUNCTION("""COMPUTED_VALUE"""),"Kiểm toán viên/Trưởng nhóm")</f>
        <v>Kiểm toán viên/Trưởng nhóm</v>
      </c>
    </row>
    <row r="399" spans="1:6" x14ac:dyDescent="0.25">
      <c r="A399" s="4" t="str">
        <f ca="1">IFERROR(__xludf.DUMMYFUNCTION("""COMPUTED_VALUE"""),"Công ty TNHH Kiểm toán và Tư vấn Chuẩn Việt")</f>
        <v>Công ty TNHH Kiểm toán và Tư vấn Chuẩn Việt</v>
      </c>
      <c r="B399" s="4" t="str">
        <f ca="1">IFERROR(__xludf.DUMMYFUNCTION("""COMPUTED_VALUE"""),"NGUYỄN THỊ TUYẾT VÂN")</f>
        <v>NGUYỄN THỊ TUYẾT VÂN</v>
      </c>
      <c r="C399" s="4" t="str">
        <f ca="1">IFERROR(__xludf.DUMMYFUNCTION("""COMPUTED_VALUE"""),"Nữ")</f>
        <v>Nữ</v>
      </c>
      <c r="D399" s="4" t="str">
        <f ca="1">IFERROR(__xludf.DUMMYFUNCTION("""COMPUTED_VALUE"""),"Đại học")</f>
        <v>Đại học</v>
      </c>
      <c r="E399" s="4" t="str">
        <f ca="1">IFERROR(__xludf.DUMMYFUNCTION("""COMPUTED_VALUE"""),"Trên 15 đến 20 năm")</f>
        <v>Trên 15 đến 20 năm</v>
      </c>
      <c r="F399" s="4" t="str">
        <f ca="1">IFERROR(__xludf.DUMMYFUNCTION("""COMPUTED_VALUE"""),"Ban giám đốc")</f>
        <v>Ban giám đốc</v>
      </c>
    </row>
    <row r="400" spans="1:6" x14ac:dyDescent="0.25">
      <c r="A400" s="4" t="str">
        <f ca="1">IFERROR(__xludf.DUMMYFUNCTION("""COMPUTED_VALUE"""),"Công ty TNHH Kiểm toán và Tư vấn Chuẩn Việt")</f>
        <v>Công ty TNHH Kiểm toán và Tư vấn Chuẩn Việt</v>
      </c>
      <c r="B400" s="4" t="str">
        <f ca="1">IFERROR(__xludf.DUMMYFUNCTION("""COMPUTED_VALUE"""),"Lê Thị Cẩm")</f>
        <v>Lê Thị Cẩm</v>
      </c>
      <c r="C400" s="4" t="str">
        <f ca="1">IFERROR(__xludf.DUMMYFUNCTION("""COMPUTED_VALUE"""),"Nữ")</f>
        <v>Nữ</v>
      </c>
      <c r="D400" s="4" t="str">
        <f ca="1">IFERROR(__xludf.DUMMYFUNCTION("""COMPUTED_VALUE"""),"Đại học")</f>
        <v>Đại học</v>
      </c>
      <c r="E400" s="4" t="str">
        <f ca="1">IFERROR(__xludf.DUMMYFUNCTION("""COMPUTED_VALUE"""),"Trên 5 đến 10 năm")</f>
        <v>Trên 5 đến 10 năm</v>
      </c>
      <c r="F400" s="4" t="str">
        <f ca="1">IFERROR(__xludf.DUMMYFUNCTION("""COMPUTED_VALUE"""),"Kiểm toán viên/Trưởng nhóm")</f>
        <v>Kiểm toán viên/Trưởng nhóm</v>
      </c>
    </row>
    <row r="401" spans="1:6" x14ac:dyDescent="0.25">
      <c r="A401" s="4" t="str">
        <f ca="1">IFERROR(__xludf.DUMMYFUNCTION("""COMPUTED_VALUE"""),"Công ty TNHH Kiểm toán và Tư vấn Chuẩn Việt")</f>
        <v>Công ty TNHH Kiểm toán và Tư vấn Chuẩn Việt</v>
      </c>
      <c r="B401" s="4" t="str">
        <f ca="1">IFERROR(__xludf.DUMMYFUNCTION("""COMPUTED_VALUE"""),"Nguyễn Thúy Hằng")</f>
        <v>Nguyễn Thúy Hằng</v>
      </c>
      <c r="C401" s="4" t="str">
        <f ca="1">IFERROR(__xludf.DUMMYFUNCTION("""COMPUTED_VALUE"""),"Nữ")</f>
        <v>Nữ</v>
      </c>
      <c r="D401" s="4" t="str">
        <f ca="1">IFERROR(__xludf.DUMMYFUNCTION("""COMPUTED_VALUE"""),"Đại học")</f>
        <v>Đại học</v>
      </c>
      <c r="E401" s="4" t="str">
        <f ca="1">IFERROR(__xludf.DUMMYFUNCTION("""COMPUTED_VALUE"""),"Từ 3 đến 5 năm")</f>
        <v>Từ 3 đến 5 năm</v>
      </c>
      <c r="F401" s="4" t="str">
        <f ca="1">IFERROR(__xludf.DUMMYFUNCTION("""COMPUTED_VALUE"""),"Trợ lý kiểm toán")</f>
        <v>Trợ lý kiểm toán</v>
      </c>
    </row>
    <row r="402" spans="1:6" x14ac:dyDescent="0.25">
      <c r="A402" s="4" t="str">
        <f ca="1">IFERROR(__xludf.DUMMYFUNCTION("""COMPUTED_VALUE"""),"Công ty TNHH Kiểm toán và Tư vấn Chuẩn Việt")</f>
        <v>Công ty TNHH Kiểm toán và Tư vấn Chuẩn Việt</v>
      </c>
      <c r="B402" s="4" t="str">
        <f ca="1">IFERROR(__xludf.DUMMYFUNCTION("""COMPUTED_VALUE"""),"Hoàng Thái Tân")</f>
        <v>Hoàng Thái Tân</v>
      </c>
      <c r="C402" s="4" t="str">
        <f ca="1">IFERROR(__xludf.DUMMYFUNCTION("""COMPUTED_VALUE"""),"Nam")</f>
        <v>Nam</v>
      </c>
      <c r="D402" s="4" t="str">
        <f ca="1">IFERROR(__xludf.DUMMYFUNCTION("""COMPUTED_VALUE"""),"Đại học, Chứng chỉ Kiểm toán viên")</f>
        <v>Đại học, Chứng chỉ Kiểm toán viên</v>
      </c>
      <c r="E402" s="4" t="str">
        <f ca="1">IFERROR(__xludf.DUMMYFUNCTION("""COMPUTED_VALUE"""),"Trên 15 đến 20 năm")</f>
        <v>Trên 15 đến 20 năm</v>
      </c>
      <c r="F402" s="4" t="str">
        <f ca="1">IFERROR(__xludf.DUMMYFUNCTION("""COMPUTED_VALUE"""),"Trưởng phòng")</f>
        <v>Trưởng phòng</v>
      </c>
    </row>
    <row r="403" spans="1:6" x14ac:dyDescent="0.25">
      <c r="A403" s="4" t="str">
        <f ca="1">IFERROR(__xludf.DUMMYFUNCTION("""COMPUTED_VALUE"""),"Công ty TNHH Kiểm toán và Tư vấn Chuẩn Việt")</f>
        <v>Công ty TNHH Kiểm toán và Tư vấn Chuẩn Việt</v>
      </c>
      <c r="B403" s="4" t="str">
        <f ca="1">IFERROR(__xludf.DUMMYFUNCTION("""COMPUTED_VALUE"""),"Nguyễn Hải Việt")</f>
        <v>Nguyễn Hải Việt</v>
      </c>
      <c r="C403" s="4" t="str">
        <f ca="1">IFERROR(__xludf.DUMMYFUNCTION("""COMPUTED_VALUE"""),"Nam")</f>
        <v>Nam</v>
      </c>
      <c r="D403" s="4" t="str">
        <f ca="1">IFERROR(__xludf.DUMMYFUNCTION("""COMPUTED_VALUE"""),"Sau đại học")</f>
        <v>Sau đại học</v>
      </c>
      <c r="E403" s="4" t="str">
        <f ca="1">IFERROR(__xludf.DUMMYFUNCTION("""COMPUTED_VALUE"""),"Từ 3 đến 5 năm")</f>
        <v>Từ 3 đến 5 năm</v>
      </c>
      <c r="F403" s="4" t="str">
        <f ca="1">IFERROR(__xludf.DUMMYFUNCTION("""COMPUTED_VALUE"""),"Trợ lý kiểm toán")</f>
        <v>Trợ lý kiểm toán</v>
      </c>
    </row>
    <row r="404" spans="1:6" x14ac:dyDescent="0.25">
      <c r="A404" s="4" t="str">
        <f ca="1">IFERROR(__xludf.DUMMYFUNCTION("""COMPUTED_VALUE"""),"Công ty TNHH Kiểm toán và Tư vấn Chuẩn Việt")</f>
        <v>Công ty TNHH Kiểm toán và Tư vấn Chuẩn Việt</v>
      </c>
      <c r="B404" s="4" t="str">
        <f ca="1">IFERROR(__xludf.DUMMYFUNCTION("""COMPUTED_VALUE"""),"Trần Quốc Bảo")</f>
        <v>Trần Quốc Bảo</v>
      </c>
      <c r="C404" s="4" t="str">
        <f ca="1">IFERROR(__xludf.DUMMYFUNCTION("""COMPUTED_VALUE"""),"Nam")</f>
        <v>Nam</v>
      </c>
      <c r="D404" s="4" t="str">
        <f ca="1">IFERROR(__xludf.DUMMYFUNCTION("""COMPUTED_VALUE"""),"Đại học")</f>
        <v>Đại học</v>
      </c>
      <c r="E404" s="4" t="str">
        <f ca="1">IFERROR(__xludf.DUMMYFUNCTION("""COMPUTED_VALUE"""),"Trên 5 đến 10 năm")</f>
        <v>Trên 5 đến 10 năm</v>
      </c>
      <c r="F404" s="4" t="str">
        <f ca="1">IFERROR(__xludf.DUMMYFUNCTION("""COMPUTED_VALUE"""),"Kiểm toán viên/Trưởng nhóm")</f>
        <v>Kiểm toán viên/Trưởng nhóm</v>
      </c>
    </row>
    <row r="405" spans="1:6" x14ac:dyDescent="0.25">
      <c r="A405" s="4" t="str">
        <f ca="1">IFERROR(__xludf.DUMMYFUNCTION("""COMPUTED_VALUE"""),"Công ty TNHH Kiểm toán và Tư vấn Chuẩn Việt")</f>
        <v>Công ty TNHH Kiểm toán và Tư vấn Chuẩn Việt</v>
      </c>
      <c r="B405" s="4" t="str">
        <f ca="1">IFERROR(__xludf.DUMMYFUNCTION("""COMPUTED_VALUE"""),"Huỳnh Minh Hưng")</f>
        <v>Huỳnh Minh Hưng</v>
      </c>
      <c r="C405" s="4" t="str">
        <f ca="1">IFERROR(__xludf.DUMMYFUNCTION("""COMPUTED_VALUE"""),"Nam")</f>
        <v>Nam</v>
      </c>
      <c r="D405" s="4" t="str">
        <f ca="1">IFERROR(__xludf.DUMMYFUNCTION("""COMPUTED_VALUE"""),"Đại học")</f>
        <v>Đại học</v>
      </c>
      <c r="E405" s="4" t="str">
        <f ca="1">IFERROR(__xludf.DUMMYFUNCTION("""COMPUTED_VALUE"""),"Trên 10 đến 15 năm")</f>
        <v>Trên 10 đến 15 năm</v>
      </c>
      <c r="F405" s="4" t="str">
        <f ca="1">IFERROR(__xludf.DUMMYFUNCTION("""COMPUTED_VALUE"""),"Trưởng phòng")</f>
        <v>Trưởng phòng</v>
      </c>
    </row>
    <row r="406" spans="1:6" x14ac:dyDescent="0.25">
      <c r="A406" s="4" t="str">
        <f ca="1">IFERROR(__xludf.DUMMYFUNCTION("""COMPUTED_VALUE"""),"Công ty TNHH Kiểm toán và Tư vấn Chuẩn Việt")</f>
        <v>Công ty TNHH Kiểm toán và Tư vấn Chuẩn Việt</v>
      </c>
      <c r="B406" s="4" t="str">
        <f ca="1">IFERROR(__xludf.DUMMYFUNCTION("""COMPUTED_VALUE"""),"Nguyễn Thị Thủy")</f>
        <v>Nguyễn Thị Thủy</v>
      </c>
      <c r="C406" s="4" t="str">
        <f ca="1">IFERROR(__xludf.DUMMYFUNCTION("""COMPUTED_VALUE"""),"Nữ")</f>
        <v>Nữ</v>
      </c>
      <c r="D406" s="4" t="str">
        <f ca="1">IFERROR(__xludf.DUMMYFUNCTION("""COMPUTED_VALUE"""),"Đại học")</f>
        <v>Đại học</v>
      </c>
      <c r="E406" s="4" t="str">
        <f ca="1">IFERROR(__xludf.DUMMYFUNCTION("""COMPUTED_VALUE"""),"Trên 5 đến 10 năm")</f>
        <v>Trên 5 đến 10 năm</v>
      </c>
      <c r="F406" s="4" t="str">
        <f ca="1">IFERROR(__xludf.DUMMYFUNCTION("""COMPUTED_VALUE"""),"Kiểm toán viên/Trưởng nhóm")</f>
        <v>Kiểm toán viên/Trưởng nhóm</v>
      </c>
    </row>
    <row r="407" spans="1:6" x14ac:dyDescent="0.25">
      <c r="A407" s="4" t="str">
        <f ca="1">IFERROR(__xludf.DUMMYFUNCTION("""COMPUTED_VALUE"""),"Công ty TNHH Kiểm toán và Tư vấn Chuẩn Việt")</f>
        <v>Công ty TNHH Kiểm toán và Tư vấn Chuẩn Việt</v>
      </c>
      <c r="B407" s="4" t="str">
        <f ca="1">IFERROR(__xludf.DUMMYFUNCTION("""COMPUTED_VALUE"""),"Huỳnh Trúc Lâm")</f>
        <v>Huỳnh Trúc Lâm</v>
      </c>
      <c r="C407" s="4" t="str">
        <f ca="1">IFERROR(__xludf.DUMMYFUNCTION("""COMPUTED_VALUE"""),"Nam")</f>
        <v>Nam</v>
      </c>
      <c r="D407" s="4" t="str">
        <f ca="1">IFERROR(__xludf.DUMMYFUNCTION("""COMPUTED_VALUE"""),"Sau đại học, Chứng chỉ Kiểm toán viên")</f>
        <v>Sau đại học, Chứng chỉ Kiểm toán viên</v>
      </c>
      <c r="E407" s="4" t="str">
        <f ca="1">IFERROR(__xludf.DUMMYFUNCTION("""COMPUTED_VALUE"""),"Trên 20 năm")</f>
        <v>Trên 20 năm</v>
      </c>
      <c r="F407" s="4" t="str">
        <f ca="1">IFERROR(__xludf.DUMMYFUNCTION("""COMPUTED_VALUE"""),"Ban giám đốc")</f>
        <v>Ban giám đốc</v>
      </c>
    </row>
    <row r="408" spans="1:6" x14ac:dyDescent="0.25">
      <c r="A408" s="4" t="str">
        <f ca="1">IFERROR(__xludf.DUMMYFUNCTION("""COMPUTED_VALUE"""),"Công ty TNHH Kiểm toán và Tư vấn Chuẩn Việt")</f>
        <v>Công ty TNHH Kiểm toán và Tư vấn Chuẩn Việt</v>
      </c>
      <c r="B408" s="4" t="str">
        <f ca="1">IFERROR(__xludf.DUMMYFUNCTION("""COMPUTED_VALUE""")," Nguyễn Thị Bích Diễm")</f>
        <v xml:space="preserve"> Nguyễn Thị Bích Diễm</v>
      </c>
      <c r="C408" s="4" t="str">
        <f ca="1">IFERROR(__xludf.DUMMYFUNCTION("""COMPUTED_VALUE"""),"Nữ")</f>
        <v>Nữ</v>
      </c>
      <c r="D408" s="4" t="str">
        <f ca="1">IFERROR(__xludf.DUMMYFUNCTION("""COMPUTED_VALUE"""),"Đại học, Chứng chỉ Kiểm toán viên")</f>
        <v>Đại học, Chứng chỉ Kiểm toán viên</v>
      </c>
      <c r="E408" s="4" t="str">
        <f ca="1">IFERROR(__xludf.DUMMYFUNCTION("""COMPUTED_VALUE"""),"Trên 10 đến 15 năm")</f>
        <v>Trên 10 đến 15 năm</v>
      </c>
      <c r="F408" s="4" t="str">
        <f ca="1">IFERROR(__xludf.DUMMYFUNCTION("""COMPUTED_VALUE"""),"Trưởng phòng")</f>
        <v>Trưởng phòng</v>
      </c>
    </row>
    <row r="409" spans="1:6" x14ac:dyDescent="0.25">
      <c r="A409" s="4" t="str">
        <f ca="1">IFERROR(__xludf.DUMMYFUNCTION("""COMPUTED_VALUE"""),"Công ty TNHH Kiểm toán và Tư vấn Chuẩn Việt")</f>
        <v>Công ty TNHH Kiểm toán và Tư vấn Chuẩn Việt</v>
      </c>
      <c r="B409" s="4"/>
      <c r="C409" s="4" t="str">
        <f ca="1">IFERROR(__xludf.DUMMYFUNCTION("""COMPUTED_VALUE"""),"Nữ")</f>
        <v>Nữ</v>
      </c>
      <c r="D409" s="4" t="str">
        <f ca="1">IFERROR(__xludf.DUMMYFUNCTION("""COMPUTED_VALUE"""),"Đại học, Chứng chỉ Kiểm toán viên")</f>
        <v>Đại học, Chứng chỉ Kiểm toán viên</v>
      </c>
      <c r="E409" s="4" t="str">
        <f ca="1">IFERROR(__xludf.DUMMYFUNCTION("""COMPUTED_VALUE"""),"Trên 5 đến 10 năm")</f>
        <v>Trên 5 đến 10 năm</v>
      </c>
      <c r="F409" s="4" t="str">
        <f ca="1">IFERROR(__xludf.DUMMYFUNCTION("""COMPUTED_VALUE"""),"Kiểm toán viên/Trưởng nhóm")</f>
        <v>Kiểm toán viên/Trưởng nhóm</v>
      </c>
    </row>
    <row r="410" spans="1:6" x14ac:dyDescent="0.25">
      <c r="A410" s="4" t="str">
        <f ca="1">IFERROR(__xludf.DUMMYFUNCTION("""COMPUTED_VALUE"""),"Công ty TNHH Kiểm toán và Tư vấn Chuẩn Việt")</f>
        <v>Công ty TNHH Kiểm toán và Tư vấn Chuẩn Việt</v>
      </c>
      <c r="B410" s="4"/>
      <c r="C410" s="4" t="str">
        <f ca="1">IFERROR(__xludf.DUMMYFUNCTION("""COMPUTED_VALUE"""),"Nữ")</f>
        <v>Nữ</v>
      </c>
      <c r="D410" s="4" t="str">
        <f ca="1">IFERROR(__xludf.DUMMYFUNCTION("""COMPUTED_VALUE"""),"Đại học")</f>
        <v>Đại học</v>
      </c>
      <c r="E410" s="4" t="str">
        <f ca="1">IFERROR(__xludf.DUMMYFUNCTION("""COMPUTED_VALUE"""),"Trên 10 đến 15 năm")</f>
        <v>Trên 10 đến 15 năm</v>
      </c>
      <c r="F410" s="4" t="str">
        <f ca="1">IFERROR(__xludf.DUMMYFUNCTION("""COMPUTED_VALUE"""),"Kiểm toán viên/Trưởng nhóm")</f>
        <v>Kiểm toán viên/Trưởng nhóm</v>
      </c>
    </row>
    <row r="411" spans="1:6" x14ac:dyDescent="0.25">
      <c r="A411" s="4" t="str">
        <f ca="1">IFERROR(__xludf.DUMMYFUNCTION("""COMPUTED_VALUE"""),"Công ty TNHH Kiểm toán và Tư vấn Chuẩn Việt")</f>
        <v>Công ty TNHH Kiểm toán và Tư vấn Chuẩn Việt</v>
      </c>
      <c r="B411" s="4" t="str">
        <f ca="1">IFERROR(__xludf.DUMMYFUNCTION("""COMPUTED_VALUE"""),"Đặng Nguyễn Anh Đào")</f>
        <v>Đặng Nguyễn Anh Đào</v>
      </c>
      <c r="C411" s="4" t="str">
        <f ca="1">IFERROR(__xludf.DUMMYFUNCTION("""COMPUTED_VALUE"""),"Nữ")</f>
        <v>Nữ</v>
      </c>
      <c r="D411" s="4" t="str">
        <f ca="1">IFERROR(__xludf.DUMMYFUNCTION("""COMPUTED_VALUE"""),"Đại học")</f>
        <v>Đại học</v>
      </c>
      <c r="E411" s="4" t="str">
        <f ca="1">IFERROR(__xludf.DUMMYFUNCTION("""COMPUTED_VALUE"""),"Trên 5 đến 10 năm")</f>
        <v>Trên 5 đến 10 năm</v>
      </c>
      <c r="F411" s="4" t="str">
        <f ca="1">IFERROR(__xludf.DUMMYFUNCTION("""COMPUTED_VALUE"""),"Trợ lý kiểm toán")</f>
        <v>Trợ lý kiểm toán</v>
      </c>
    </row>
    <row r="412" spans="1:6" x14ac:dyDescent="0.25">
      <c r="A412" s="4" t="str">
        <f ca="1">IFERROR(__xludf.DUMMYFUNCTION("""COMPUTED_VALUE"""),"Công ty TNHH Kiểm toán và Tư vấn Chuẩn Việt")</f>
        <v>Công ty TNHH Kiểm toán và Tư vấn Chuẩn Việt</v>
      </c>
      <c r="B412" s="4" t="str">
        <f ca="1">IFERROR(__xludf.DUMMYFUNCTION("""COMPUTED_VALUE"""),"Nguyễn Thanh Hồng")</f>
        <v>Nguyễn Thanh Hồng</v>
      </c>
      <c r="C412" s="4" t="str">
        <f ca="1">IFERROR(__xludf.DUMMYFUNCTION("""COMPUTED_VALUE"""),"Nam")</f>
        <v>Nam</v>
      </c>
      <c r="D412" s="4" t="str">
        <f ca="1">IFERROR(__xludf.DUMMYFUNCTION("""COMPUTED_VALUE"""),"Đại học, Sau đại học, Chứng chỉ Kiểm toán viên")</f>
        <v>Đại học, Sau đại học, Chứng chỉ Kiểm toán viên</v>
      </c>
      <c r="E412" s="4" t="str">
        <f ca="1">IFERROR(__xludf.DUMMYFUNCTION("""COMPUTED_VALUE"""),"Trên 20 năm")</f>
        <v>Trên 20 năm</v>
      </c>
      <c r="F412" s="4" t="str">
        <f ca="1">IFERROR(__xludf.DUMMYFUNCTION("""COMPUTED_VALUE"""),"Ban giám đốc")</f>
        <v>Ban giám đốc</v>
      </c>
    </row>
    <row r="413" spans="1:6" x14ac:dyDescent="0.25">
      <c r="A413" s="4" t="str">
        <f ca="1">IFERROR(__xludf.DUMMYFUNCTION("""COMPUTED_VALUE"""),"Công ty TNHH Kiểm toán và Tư vấn Chuẩn Việt")</f>
        <v>Công ty TNHH Kiểm toán và Tư vấn Chuẩn Việt</v>
      </c>
      <c r="B413" s="4" t="str">
        <f ca="1">IFERROR(__xludf.DUMMYFUNCTION("""COMPUTED_VALUE"""),"Nguyễn Thị Thùy Ngân")</f>
        <v>Nguyễn Thị Thùy Ngân</v>
      </c>
      <c r="C413" s="4" t="str">
        <f ca="1">IFERROR(__xludf.DUMMYFUNCTION("""COMPUTED_VALUE"""),"Nữ")</f>
        <v>Nữ</v>
      </c>
      <c r="D413" s="4" t="str">
        <f ca="1">IFERROR(__xludf.DUMMYFUNCTION("""COMPUTED_VALUE"""),"Đại học")</f>
        <v>Đại học</v>
      </c>
      <c r="E413" s="4" t="str">
        <f ca="1">IFERROR(__xludf.DUMMYFUNCTION("""COMPUTED_VALUE"""),"Từ 3 đến 5 năm")</f>
        <v>Từ 3 đến 5 năm</v>
      </c>
      <c r="F413" s="4" t="str">
        <f ca="1">IFERROR(__xludf.DUMMYFUNCTION("""COMPUTED_VALUE"""),"Trợ lý kiểm toán")</f>
        <v>Trợ lý kiểm toán</v>
      </c>
    </row>
    <row r="414" spans="1:6" x14ac:dyDescent="0.25">
      <c r="A414" s="4" t="str">
        <f ca="1">IFERROR(__xludf.DUMMYFUNCTION("""COMPUTED_VALUE"""),"Công ty TNHH Kiểm toán và Tư vấn Chuẩn Việt")</f>
        <v>Công ty TNHH Kiểm toán và Tư vấn Chuẩn Việt</v>
      </c>
      <c r="B414" s="4" t="str">
        <f ca="1">IFERROR(__xludf.DUMMYFUNCTION("""COMPUTED_VALUE"""),"Nguyễn Thị Tuyết Xuân")</f>
        <v>Nguyễn Thị Tuyết Xuân</v>
      </c>
      <c r="C414" s="4" t="str">
        <f ca="1">IFERROR(__xludf.DUMMYFUNCTION("""COMPUTED_VALUE"""),"Nữ")</f>
        <v>Nữ</v>
      </c>
      <c r="D414" s="4" t="str">
        <f ca="1">IFERROR(__xludf.DUMMYFUNCTION("""COMPUTED_VALUE"""),"Đại học")</f>
        <v>Đại học</v>
      </c>
      <c r="E414" s="4" t="str">
        <f ca="1">IFERROR(__xludf.DUMMYFUNCTION("""COMPUTED_VALUE"""),"Từ 3 đến 5 năm")</f>
        <v>Từ 3 đến 5 năm</v>
      </c>
      <c r="F414" s="4" t="str">
        <f ca="1">IFERROR(__xludf.DUMMYFUNCTION("""COMPUTED_VALUE"""),"Trợ lý kiểm toán")</f>
        <v>Trợ lý kiểm toán</v>
      </c>
    </row>
    <row r="415" spans="1:6" x14ac:dyDescent="0.25">
      <c r="A415" s="4" t="str">
        <f ca="1">IFERROR(__xludf.DUMMYFUNCTION("""COMPUTED_VALUE"""),"Công ty TNHH Kiểm toán và Tư vấn Chuẩn Việt")</f>
        <v>Công ty TNHH Kiểm toán và Tư vấn Chuẩn Việt</v>
      </c>
      <c r="B415" s="4" t="str">
        <f ca="1">IFERROR(__xludf.DUMMYFUNCTION("""COMPUTED_VALUE"""),"Nguyễn Hoàng Thanh Thảo")</f>
        <v>Nguyễn Hoàng Thanh Thảo</v>
      </c>
      <c r="C415" s="4" t="str">
        <f ca="1">IFERROR(__xludf.DUMMYFUNCTION("""COMPUTED_VALUE"""),"Nữ")</f>
        <v>Nữ</v>
      </c>
      <c r="D415" s="4" t="str">
        <f ca="1">IFERROR(__xludf.DUMMYFUNCTION("""COMPUTED_VALUE"""),"Đại học")</f>
        <v>Đại học</v>
      </c>
      <c r="E415" s="4" t="str">
        <f ca="1">IFERROR(__xludf.DUMMYFUNCTION("""COMPUTED_VALUE"""),"Trên 5 đến 10 năm")</f>
        <v>Trên 5 đến 10 năm</v>
      </c>
      <c r="F415" s="4" t="str">
        <f ca="1">IFERROR(__xludf.DUMMYFUNCTION("""COMPUTED_VALUE"""),"Kiểm toán viên/Trưởng nhóm")</f>
        <v>Kiểm toán viên/Trưởng nhóm</v>
      </c>
    </row>
    <row r="416" spans="1:6" x14ac:dyDescent="0.25">
      <c r="A416" s="4" t="str">
        <f ca="1">IFERROR(__xludf.DUMMYFUNCTION("""COMPUTED_VALUE"""),"Công ty TNHH Kiểm toán và Tư vấn Chuẩn Việt")</f>
        <v>Công ty TNHH Kiểm toán và Tư vấn Chuẩn Việt</v>
      </c>
      <c r="B416" s="4" t="str">
        <f ca="1">IFERROR(__xludf.DUMMYFUNCTION("""COMPUTED_VALUE"""),"Nguyễn Giàu Sang")</f>
        <v>Nguyễn Giàu Sang</v>
      </c>
      <c r="C416" s="4" t="str">
        <f ca="1">IFERROR(__xludf.DUMMYFUNCTION("""COMPUTED_VALUE"""),"Nam")</f>
        <v>Nam</v>
      </c>
      <c r="D416" s="4" t="str">
        <f ca="1">IFERROR(__xludf.DUMMYFUNCTION("""COMPUTED_VALUE"""),"Đại học")</f>
        <v>Đại học</v>
      </c>
      <c r="E416" s="4" t="str">
        <f ca="1">IFERROR(__xludf.DUMMYFUNCTION("""COMPUTED_VALUE"""),"Từ 3 đến 5 năm")</f>
        <v>Từ 3 đến 5 năm</v>
      </c>
      <c r="F416" s="4" t="str">
        <f ca="1">IFERROR(__xludf.DUMMYFUNCTION("""COMPUTED_VALUE"""),"Trợ lý kiểm toán")</f>
        <v>Trợ lý kiểm toán</v>
      </c>
    </row>
    <row r="417" spans="1:6" x14ac:dyDescent="0.25">
      <c r="A417" s="4" t="str">
        <f ca="1">IFERROR(__xludf.DUMMYFUNCTION("""COMPUTED_VALUE"""),"Công ty TNHH Kiểm toán và Tư vấn Chuẩn Việt")</f>
        <v>Công ty TNHH Kiểm toán và Tư vấn Chuẩn Việt</v>
      </c>
      <c r="B417" s="4" t="str">
        <f ca="1">IFERROR(__xludf.DUMMYFUNCTION("""COMPUTED_VALUE"""),"Thân Trọng Hoàng")</f>
        <v>Thân Trọng Hoàng</v>
      </c>
      <c r="C417" s="4" t="str">
        <f ca="1">IFERROR(__xludf.DUMMYFUNCTION("""COMPUTED_VALUE"""),"Nam")</f>
        <v>Nam</v>
      </c>
      <c r="D417" s="4" t="str">
        <f ca="1">IFERROR(__xludf.DUMMYFUNCTION("""COMPUTED_VALUE"""),"Sau đại học")</f>
        <v>Sau đại học</v>
      </c>
      <c r="E417" s="4" t="str">
        <f ca="1">IFERROR(__xludf.DUMMYFUNCTION("""COMPUTED_VALUE"""),"Từ 3 đến 5 năm")</f>
        <v>Từ 3 đến 5 năm</v>
      </c>
      <c r="F417" s="4" t="str">
        <f ca="1">IFERROR(__xludf.DUMMYFUNCTION("""COMPUTED_VALUE"""),"Trợ lý kiểm toán")</f>
        <v>Trợ lý kiểm toán</v>
      </c>
    </row>
    <row r="418" spans="1:6" x14ac:dyDescent="0.25">
      <c r="A418" s="4" t="str">
        <f ca="1">IFERROR(__xludf.DUMMYFUNCTION("""COMPUTED_VALUE"""),"Công ty TNHH Kiểm toán và Tư vấn Chuẩn Việt")</f>
        <v>Công ty TNHH Kiểm toán và Tư vấn Chuẩn Việt</v>
      </c>
      <c r="B418" s="4" t="str">
        <f ca="1">IFERROR(__xludf.DUMMYFUNCTION("""COMPUTED_VALUE"""),"Nguyễn Thanh Thảo Ly")</f>
        <v>Nguyễn Thanh Thảo Ly</v>
      </c>
      <c r="C418" s="4" t="str">
        <f ca="1">IFERROR(__xludf.DUMMYFUNCTION("""COMPUTED_VALUE"""),"Nữ")</f>
        <v>Nữ</v>
      </c>
      <c r="D418" s="4" t="str">
        <f ca="1">IFERROR(__xludf.DUMMYFUNCTION("""COMPUTED_VALUE"""),"Đại học")</f>
        <v>Đại học</v>
      </c>
      <c r="E418" s="4" t="str">
        <f ca="1">IFERROR(__xludf.DUMMYFUNCTION("""COMPUTED_VALUE"""),"Từ 3 đến 5 năm")</f>
        <v>Từ 3 đến 5 năm</v>
      </c>
      <c r="F418" s="4" t="str">
        <f ca="1">IFERROR(__xludf.DUMMYFUNCTION("""COMPUTED_VALUE"""),"Trợ lý kiểm toán")</f>
        <v>Trợ lý kiểm toán</v>
      </c>
    </row>
    <row r="419" spans="1:6" x14ac:dyDescent="0.25">
      <c r="A419" s="4" t="str">
        <f ca="1">IFERROR(__xludf.DUMMYFUNCTION("""COMPUTED_VALUE"""),"Công ty TNHH Kiểm toán và Tư vấn Chuẩn Việt")</f>
        <v>Công ty TNHH Kiểm toán và Tư vấn Chuẩn Việt</v>
      </c>
      <c r="B419" s="4" t="str">
        <f ca="1">IFERROR(__xludf.DUMMYFUNCTION("""COMPUTED_VALUE"""),"Diệp Mẫn")</f>
        <v>Diệp Mẫn</v>
      </c>
      <c r="C419" s="4" t="str">
        <f ca="1">IFERROR(__xludf.DUMMYFUNCTION("""COMPUTED_VALUE"""),"Nữ")</f>
        <v>Nữ</v>
      </c>
      <c r="D419" s="4" t="str">
        <f ca="1">IFERROR(__xludf.DUMMYFUNCTION("""COMPUTED_VALUE"""),"Đại học, Chứng chỉ Kiểm toán viên")</f>
        <v>Đại học, Chứng chỉ Kiểm toán viên</v>
      </c>
      <c r="E419" s="4" t="str">
        <f ca="1">IFERROR(__xludf.DUMMYFUNCTION("""COMPUTED_VALUE"""),"Trên 5 đến 10 năm")</f>
        <v>Trên 5 đến 10 năm</v>
      </c>
      <c r="F419" s="4" t="str">
        <f ca="1">IFERROR(__xludf.DUMMYFUNCTION("""COMPUTED_VALUE"""),"Kiểm toán viên/Trưởng nhóm")</f>
        <v>Kiểm toán viên/Trưởng nhóm</v>
      </c>
    </row>
    <row r="420" spans="1:6" x14ac:dyDescent="0.25">
      <c r="A420" s="4" t="str">
        <f ca="1">IFERROR(__xludf.DUMMYFUNCTION("""COMPUTED_VALUE"""),"Công ty TNHH Kiểm toán và Tư vấn Chuẩn Việt")</f>
        <v>Công ty TNHH Kiểm toán và Tư vấn Chuẩn Việt</v>
      </c>
      <c r="B420" s="4" t="str">
        <f ca="1">IFERROR(__xludf.DUMMYFUNCTION("""COMPUTED_VALUE"""),"Nguyễn Đoàn Nhật Hạ")</f>
        <v>Nguyễn Đoàn Nhật Hạ</v>
      </c>
      <c r="C420" s="4" t="str">
        <f ca="1">IFERROR(__xludf.DUMMYFUNCTION("""COMPUTED_VALUE"""),"Nữ")</f>
        <v>Nữ</v>
      </c>
      <c r="D420" s="4" t="str">
        <f ca="1">IFERROR(__xludf.DUMMYFUNCTION("""COMPUTED_VALUE"""),"Đại học")</f>
        <v>Đại học</v>
      </c>
      <c r="E420" s="4" t="str">
        <f ca="1">IFERROR(__xludf.DUMMYFUNCTION("""COMPUTED_VALUE"""),"Từ 3 đến 5 năm")</f>
        <v>Từ 3 đến 5 năm</v>
      </c>
      <c r="F420" s="4" t="str">
        <f ca="1">IFERROR(__xludf.DUMMYFUNCTION("""COMPUTED_VALUE"""),"Kiểm toán viên/Trưởng nhóm")</f>
        <v>Kiểm toán viên/Trưởng nhóm</v>
      </c>
    </row>
    <row r="421" spans="1:6" x14ac:dyDescent="0.25">
      <c r="A421" s="4" t="str">
        <f ca="1">IFERROR(__xludf.DUMMYFUNCTION("""COMPUTED_VALUE"""),"Công ty TNHH Kiểm toán và Tư vấn Chuẩn Việt")</f>
        <v>Công ty TNHH Kiểm toán và Tư vấn Chuẩn Việt</v>
      </c>
      <c r="B421" s="4" t="str">
        <f ca="1">IFERROR(__xludf.DUMMYFUNCTION("""COMPUTED_VALUE"""),"Nguyễn Thị Ngọc Nga")</f>
        <v>Nguyễn Thị Ngọc Nga</v>
      </c>
      <c r="C421" s="4" t="str">
        <f ca="1">IFERROR(__xludf.DUMMYFUNCTION("""COMPUTED_VALUE"""),"Nữ")</f>
        <v>Nữ</v>
      </c>
      <c r="D421" s="4" t="str">
        <f ca="1">IFERROR(__xludf.DUMMYFUNCTION("""COMPUTED_VALUE"""),"Đại học, Sau đại học, Chứng chỉ Kiểm toán viên")</f>
        <v>Đại học, Sau đại học, Chứng chỉ Kiểm toán viên</v>
      </c>
      <c r="E421" s="4" t="str">
        <f ca="1">IFERROR(__xludf.DUMMYFUNCTION("""COMPUTED_VALUE"""),"Trên 20 năm")</f>
        <v>Trên 20 năm</v>
      </c>
      <c r="F421" s="4" t="str">
        <f ca="1">IFERROR(__xludf.DUMMYFUNCTION("""COMPUTED_VALUE"""),"Ban giám đốc")</f>
        <v>Ban giám đốc</v>
      </c>
    </row>
    <row r="422" spans="1:6" x14ac:dyDescent="0.25">
      <c r="A422" s="4" t="str">
        <f ca="1">IFERROR(__xludf.DUMMYFUNCTION("""COMPUTED_VALUE"""),"Công ty TNHH Kiểm toán và Tư vấn Chuẩn Việt")</f>
        <v>Công ty TNHH Kiểm toán và Tư vấn Chuẩn Việt</v>
      </c>
      <c r="B422" s="4" t="str">
        <f ca="1">IFERROR(__xludf.DUMMYFUNCTION("""COMPUTED_VALUE"""),"HUỲNH TRÚC LÂM")</f>
        <v>HUỲNH TRÚC LÂM</v>
      </c>
      <c r="C422" s="4" t="str">
        <f ca="1">IFERROR(__xludf.DUMMYFUNCTION("""COMPUTED_VALUE"""),"Nam")</f>
        <v>Nam</v>
      </c>
      <c r="D422" s="4" t="str">
        <f ca="1">IFERROR(__xludf.DUMMYFUNCTION("""COMPUTED_VALUE"""),"Sau đại học, Chứng chỉ Kiểm toán viên")</f>
        <v>Sau đại học, Chứng chỉ Kiểm toán viên</v>
      </c>
      <c r="E422" s="4" t="str">
        <f ca="1">IFERROR(__xludf.DUMMYFUNCTION("""COMPUTED_VALUE"""),"Trên 20 năm")</f>
        <v>Trên 20 năm</v>
      </c>
      <c r="F422" s="4" t="str">
        <f ca="1">IFERROR(__xludf.DUMMYFUNCTION("""COMPUTED_VALUE"""),"Ban giám đốc")</f>
        <v>Ban giám đốc</v>
      </c>
    </row>
    <row r="423" spans="1:6" x14ac:dyDescent="0.25">
      <c r="A423" s="4" t="str">
        <f ca="1">IFERROR(__xludf.DUMMYFUNCTION("""COMPUTED_VALUE"""),"Công ty TNHH Kiểm toán và Tư vấn Chuẩn Việt")</f>
        <v>Công ty TNHH Kiểm toán và Tư vấn Chuẩn Việt</v>
      </c>
      <c r="B423" s="4" t="str">
        <f ca="1">IFERROR(__xludf.DUMMYFUNCTION("""COMPUTED_VALUE"""),"Nguyễn Thị Bích Diễm")</f>
        <v>Nguyễn Thị Bích Diễm</v>
      </c>
      <c r="C423" s="4" t="str">
        <f ca="1">IFERROR(__xludf.DUMMYFUNCTION("""COMPUTED_VALUE"""),"Nữ")</f>
        <v>Nữ</v>
      </c>
      <c r="D423" s="4" t="str">
        <f ca="1">IFERROR(__xludf.DUMMYFUNCTION("""COMPUTED_VALUE"""),"Đại học, Chứng chỉ Kiểm toán viên")</f>
        <v>Đại học, Chứng chỉ Kiểm toán viên</v>
      </c>
      <c r="E423" s="4" t="str">
        <f ca="1">IFERROR(__xludf.DUMMYFUNCTION("""COMPUTED_VALUE"""),"Trên 10 đến 15 năm")</f>
        <v>Trên 10 đến 15 năm</v>
      </c>
      <c r="F423" s="4" t="str">
        <f ca="1">IFERROR(__xludf.DUMMYFUNCTION("""COMPUTED_VALUE"""),"Trưởng phòng")</f>
        <v>Trưởng phòng</v>
      </c>
    </row>
    <row r="424" spans="1:6" x14ac:dyDescent="0.25">
      <c r="A424" s="4" t="str">
        <f ca="1">IFERROR(__xludf.DUMMYFUNCTION("""COMPUTED_VALUE"""),"Công ty TNHH Kiểm toán và Tư vấn Chuẩn Việt")</f>
        <v>Công ty TNHH Kiểm toán và Tư vấn Chuẩn Việt</v>
      </c>
      <c r="B424" s="4"/>
      <c r="C424" s="4" t="str">
        <f ca="1">IFERROR(__xludf.DUMMYFUNCTION("""COMPUTED_VALUE"""),"Nữ")</f>
        <v>Nữ</v>
      </c>
      <c r="D424" s="4" t="str">
        <f ca="1">IFERROR(__xludf.DUMMYFUNCTION("""COMPUTED_VALUE"""),"Đại học, Chứng chỉ Kiểm toán viên")</f>
        <v>Đại học, Chứng chỉ Kiểm toán viên</v>
      </c>
      <c r="E424" s="4" t="str">
        <f ca="1">IFERROR(__xludf.DUMMYFUNCTION("""COMPUTED_VALUE"""),"Trên 5 đến 10 năm")</f>
        <v>Trên 5 đến 10 năm</v>
      </c>
      <c r="F424" s="4" t="str">
        <f ca="1">IFERROR(__xludf.DUMMYFUNCTION("""COMPUTED_VALUE"""),"Kiểm toán viên/Trưởng nhóm")</f>
        <v>Kiểm toán viên/Trưởng nhóm</v>
      </c>
    </row>
    <row r="425" spans="1:6" x14ac:dyDescent="0.25">
      <c r="A425" s="4" t="str">
        <f ca="1">IFERROR(__xludf.DUMMYFUNCTION("""COMPUTED_VALUE"""),"Công ty TNHH Kiểm toán và Tư vấn FTAC (Đổi tên từ Công ty TNHH Tư vấn và Tin học FTAC)")</f>
        <v>Công ty TNHH Kiểm toán và Tư vấn FTAC (Đổi tên từ Công ty TNHH Tư vấn và Tin học FTAC)</v>
      </c>
      <c r="B425" s="4" t="str">
        <f ca="1">IFERROR(__xludf.DUMMYFUNCTION("""COMPUTED_VALUE"""),"Hoàng Bách Việt")</f>
        <v>Hoàng Bách Việt</v>
      </c>
      <c r="C425" s="4" t="str">
        <f ca="1">IFERROR(__xludf.DUMMYFUNCTION("""COMPUTED_VALUE"""),"Nam")</f>
        <v>Nam</v>
      </c>
      <c r="D425" s="4" t="str">
        <f ca="1">IFERROR(__xludf.DUMMYFUNCTION("""COMPUTED_VALUE"""),"Đại học, Chứng chỉ Kiểm toán viên")</f>
        <v>Đại học, Chứng chỉ Kiểm toán viên</v>
      </c>
      <c r="E425" s="4" t="str">
        <f ca="1">IFERROR(__xludf.DUMMYFUNCTION("""COMPUTED_VALUE"""),"Trên 15 đến 20 năm")</f>
        <v>Trên 15 đến 20 năm</v>
      </c>
      <c r="F425" s="4" t="str">
        <f ca="1">IFERROR(__xludf.DUMMYFUNCTION("""COMPUTED_VALUE"""),"Ban giám đốc")</f>
        <v>Ban giám đốc</v>
      </c>
    </row>
    <row r="426" spans="1:6" x14ac:dyDescent="0.25">
      <c r="A426" s="4" t="str">
        <f ca="1">IFERROR(__xludf.DUMMYFUNCTION("""COMPUTED_VALUE"""),"Công ty TNHH Kiểm toán và Tư vấn KMF")</f>
        <v>Công ty TNHH Kiểm toán và Tư vấn KMF</v>
      </c>
      <c r="B426" s="4" t="str">
        <f ca="1">IFERROR(__xludf.DUMMYFUNCTION("""COMPUTED_VALUE"""),"Lê Thị Bích Nga")</f>
        <v>Lê Thị Bích Nga</v>
      </c>
      <c r="C426" s="4" t="str">
        <f ca="1">IFERROR(__xludf.DUMMYFUNCTION("""COMPUTED_VALUE"""),"Nữ")</f>
        <v>Nữ</v>
      </c>
      <c r="D426" s="4" t="str">
        <f ca="1">IFERROR(__xludf.DUMMYFUNCTION("""COMPUTED_VALUE"""),"Sau đại học")</f>
        <v>Sau đại học</v>
      </c>
      <c r="E426" s="4" t="str">
        <f ca="1">IFERROR(__xludf.DUMMYFUNCTION("""COMPUTED_VALUE"""),"Từ 3 đến 5 năm")</f>
        <v>Từ 3 đến 5 năm</v>
      </c>
      <c r="F426" s="4" t="str">
        <f ca="1">IFERROR(__xludf.DUMMYFUNCTION("""COMPUTED_VALUE"""),"Kiểm toán viên/Trưởng nhóm")</f>
        <v>Kiểm toán viên/Trưởng nhóm</v>
      </c>
    </row>
    <row r="427" spans="1:6" x14ac:dyDescent="0.25">
      <c r="A427" s="4" t="str">
        <f ca="1">IFERROR(__xludf.DUMMYFUNCTION("""COMPUTED_VALUE"""),"Công ty TNHH Kiểm toán và Tư vấn Samdo Việt Nam")</f>
        <v>Công ty TNHH Kiểm toán và Tư vấn Samdo Việt Nam</v>
      </c>
      <c r="B427" s="4" t="str">
        <f ca="1">IFERROR(__xludf.DUMMYFUNCTION("""COMPUTED_VALUE"""),"TRƯƠNG THỊ DƯƠNG")</f>
        <v>TRƯƠNG THỊ DƯƠNG</v>
      </c>
      <c r="C427" s="4" t="str">
        <f ca="1">IFERROR(__xludf.DUMMYFUNCTION("""COMPUTED_VALUE"""),"Nữ")</f>
        <v>Nữ</v>
      </c>
      <c r="D427" s="4" t="str">
        <f ca="1">IFERROR(__xludf.DUMMYFUNCTION("""COMPUTED_VALUE"""),"Đại học, Chứng chỉ Kiểm toán viên")</f>
        <v>Đại học, Chứng chỉ Kiểm toán viên</v>
      </c>
      <c r="E427" s="4" t="str">
        <f ca="1">IFERROR(__xludf.DUMMYFUNCTION("""COMPUTED_VALUE"""),"Trên 10 đến 15 năm")</f>
        <v>Trên 10 đến 15 năm</v>
      </c>
      <c r="F427" s="4" t="str">
        <f ca="1">IFERROR(__xludf.DUMMYFUNCTION("""COMPUTED_VALUE"""),"Trưởng phòng")</f>
        <v>Trưởng phòng</v>
      </c>
    </row>
    <row r="428" spans="1:6" x14ac:dyDescent="0.25">
      <c r="A428" s="4" t="str">
        <f ca="1">IFERROR(__xludf.DUMMYFUNCTION("""COMPUTED_VALUE"""),"Công ty TNHH Kiểm toán và Tư vấn Tài chính Toàn Cầu")</f>
        <v>Công ty TNHH Kiểm toán và Tư vấn Tài chính Toàn Cầu</v>
      </c>
      <c r="B428" s="4"/>
      <c r="C428" s="4" t="str">
        <f ca="1">IFERROR(__xludf.DUMMYFUNCTION("""COMPUTED_VALUE"""),"Nữ")</f>
        <v>Nữ</v>
      </c>
      <c r="D428" s="4" t="str">
        <f ca="1">IFERROR(__xludf.DUMMYFUNCTION("""COMPUTED_VALUE"""),"Đại học")</f>
        <v>Đại học</v>
      </c>
      <c r="E428" s="4" t="str">
        <f ca="1">IFERROR(__xludf.DUMMYFUNCTION("""COMPUTED_VALUE"""),"Từ 3 đến 5 năm")</f>
        <v>Từ 3 đến 5 năm</v>
      </c>
      <c r="F428" s="4" t="str">
        <f ca="1">IFERROR(__xludf.DUMMYFUNCTION("""COMPUTED_VALUE"""),"Trợ lý kiểm toán")</f>
        <v>Trợ lý kiểm toán</v>
      </c>
    </row>
    <row r="429" spans="1:6" x14ac:dyDescent="0.25">
      <c r="A429" s="4" t="str">
        <f ca="1">IFERROR(__xludf.DUMMYFUNCTION("""COMPUTED_VALUE"""),"Công ty TNHH Kiểm toán và Tư vấn Tài chính Toàn Cầu")</f>
        <v>Công ty TNHH Kiểm toán và Tư vấn Tài chính Toàn Cầu</v>
      </c>
      <c r="B429" s="4"/>
      <c r="C429" s="4" t="str">
        <f ca="1">IFERROR(__xludf.DUMMYFUNCTION("""COMPUTED_VALUE"""),"Nam")</f>
        <v>Nam</v>
      </c>
      <c r="D429" s="4" t="str">
        <f ca="1">IFERROR(__xludf.DUMMYFUNCTION("""COMPUTED_VALUE"""),"Đại học, Chứng chỉ Kiểm toán viên")</f>
        <v>Đại học, Chứng chỉ Kiểm toán viên</v>
      </c>
      <c r="E429" s="4" t="str">
        <f ca="1">IFERROR(__xludf.DUMMYFUNCTION("""COMPUTED_VALUE"""),"Trên 5 đến 10 năm")</f>
        <v>Trên 5 đến 10 năm</v>
      </c>
      <c r="F429" s="4" t="str">
        <f ca="1">IFERROR(__xludf.DUMMYFUNCTION("""COMPUTED_VALUE"""),"Kiểm toán viên/Trưởng nhóm")</f>
        <v>Kiểm toán viên/Trưởng nhóm</v>
      </c>
    </row>
    <row r="430" spans="1:6" x14ac:dyDescent="0.25">
      <c r="A430" s="4" t="str">
        <f ca="1">IFERROR(__xludf.DUMMYFUNCTION("""COMPUTED_VALUE"""),"Công ty TNHH Kiểm toán và Tư vấn Tài chính Toàn Cầu")</f>
        <v>Công ty TNHH Kiểm toán và Tư vấn Tài chính Toàn Cầu</v>
      </c>
      <c r="B430" s="4"/>
      <c r="C430" s="4" t="str">
        <f ca="1">IFERROR(__xludf.DUMMYFUNCTION("""COMPUTED_VALUE"""),"Nữ")</f>
        <v>Nữ</v>
      </c>
      <c r="D430" s="4" t="str">
        <f ca="1">IFERROR(__xludf.DUMMYFUNCTION("""COMPUTED_VALUE"""),"Đại học")</f>
        <v>Đại học</v>
      </c>
      <c r="E430" s="4" t="str">
        <f ca="1">IFERROR(__xludf.DUMMYFUNCTION("""COMPUTED_VALUE"""),"Từ 3 đến 5 năm")</f>
        <v>Từ 3 đến 5 năm</v>
      </c>
      <c r="F430" s="4" t="str">
        <f ca="1">IFERROR(__xludf.DUMMYFUNCTION("""COMPUTED_VALUE"""),"Trợ lý kiểm toán")</f>
        <v>Trợ lý kiểm toán</v>
      </c>
    </row>
    <row r="431" spans="1:6" x14ac:dyDescent="0.25">
      <c r="A431" s="4" t="str">
        <f ca="1">IFERROR(__xludf.DUMMYFUNCTION("""COMPUTED_VALUE"""),"Công ty TNHH Kiểm toán và Tư vấn Tài chính Toàn Cầu")</f>
        <v>Công ty TNHH Kiểm toán và Tư vấn Tài chính Toàn Cầu</v>
      </c>
      <c r="B431" s="4" t="str">
        <f ca="1">IFERROR(__xludf.DUMMYFUNCTION("""COMPUTED_VALUE"""),"Hồ Ngọc Mỹ Tuyền")</f>
        <v>Hồ Ngọc Mỹ Tuyền</v>
      </c>
      <c r="C431" s="4" t="str">
        <f ca="1">IFERROR(__xludf.DUMMYFUNCTION("""COMPUTED_VALUE"""),"Nữ")</f>
        <v>Nữ</v>
      </c>
      <c r="D431" s="4" t="str">
        <f ca="1">IFERROR(__xludf.DUMMYFUNCTION("""COMPUTED_VALUE"""),"Đại học")</f>
        <v>Đại học</v>
      </c>
      <c r="E431" s="4" t="str">
        <f ca="1">IFERROR(__xludf.DUMMYFUNCTION("""COMPUTED_VALUE"""),"Từ 3 đến 5 năm")</f>
        <v>Từ 3 đến 5 năm</v>
      </c>
      <c r="F431" s="4" t="str">
        <f ca="1">IFERROR(__xludf.DUMMYFUNCTION("""COMPUTED_VALUE"""),"Trợ lý kiểm toán")</f>
        <v>Trợ lý kiểm toán</v>
      </c>
    </row>
    <row r="432" spans="1:6" x14ac:dyDescent="0.25">
      <c r="A432" s="4" t="str">
        <f ca="1">IFERROR(__xludf.DUMMYFUNCTION("""COMPUTED_VALUE"""),"Công ty TNHH Kiểm toán và Tư vấn Tài chính Toàn Cầu")</f>
        <v>Công ty TNHH Kiểm toán và Tư vấn Tài chính Toàn Cầu</v>
      </c>
      <c r="B432" s="4" t="str">
        <f ca="1">IFERROR(__xludf.DUMMYFUNCTION("""COMPUTED_VALUE"""),"Trương Quỳnh Hương")</f>
        <v>Trương Quỳnh Hương</v>
      </c>
      <c r="C432" s="4" t="str">
        <f ca="1">IFERROR(__xludf.DUMMYFUNCTION("""COMPUTED_VALUE"""),"Nữ")</f>
        <v>Nữ</v>
      </c>
      <c r="D432" s="4" t="str">
        <f ca="1">IFERROR(__xludf.DUMMYFUNCTION("""COMPUTED_VALUE"""),"Đại học, Chứng chỉ Kiểm toán viên")</f>
        <v>Đại học, Chứng chỉ Kiểm toán viên</v>
      </c>
      <c r="E432" s="4" t="str">
        <f ca="1">IFERROR(__xludf.DUMMYFUNCTION("""COMPUTED_VALUE"""),"Trên 5 đến 10 năm")</f>
        <v>Trên 5 đến 10 năm</v>
      </c>
      <c r="F432" s="4" t="str">
        <f ca="1">IFERROR(__xludf.DUMMYFUNCTION("""COMPUTED_VALUE"""),"Kiểm toán viên/Trưởng nhóm")</f>
        <v>Kiểm toán viên/Trưởng nhóm</v>
      </c>
    </row>
    <row r="433" spans="1:6" x14ac:dyDescent="0.25">
      <c r="A433" s="4" t="str">
        <f ca="1">IFERROR(__xludf.DUMMYFUNCTION("""COMPUTED_VALUE"""),"Công ty TNHH Kiểm toán và Tư vấn Tâm An (Công ty TNHH Kiểm toán TTP)")</f>
        <v>Công ty TNHH Kiểm toán và Tư vấn Tâm An (Công ty TNHH Kiểm toán TTP)</v>
      </c>
      <c r="B433" s="4" t="str">
        <f ca="1">IFERROR(__xludf.DUMMYFUNCTION("""COMPUTED_VALUE"""),"Trịnh Mỹ Linh")</f>
        <v>Trịnh Mỹ Linh</v>
      </c>
      <c r="C433" s="4" t="str">
        <f ca="1">IFERROR(__xludf.DUMMYFUNCTION("""COMPUTED_VALUE"""),"Nữ")</f>
        <v>Nữ</v>
      </c>
      <c r="D433" s="4" t="str">
        <f ca="1">IFERROR(__xludf.DUMMYFUNCTION("""COMPUTED_VALUE"""),"Sau đại học")</f>
        <v>Sau đại học</v>
      </c>
      <c r="E433" s="4" t="str">
        <f ca="1">IFERROR(__xludf.DUMMYFUNCTION("""COMPUTED_VALUE"""),"Từ 3 đến 5 năm")</f>
        <v>Từ 3 đến 5 năm</v>
      </c>
      <c r="F433" s="4" t="str">
        <f ca="1">IFERROR(__xludf.DUMMYFUNCTION("""COMPUTED_VALUE"""),"Trợ lý kiểm toán")</f>
        <v>Trợ lý kiểm toán</v>
      </c>
    </row>
    <row r="434" spans="1:6" x14ac:dyDescent="0.25">
      <c r="A434" s="4" t="str">
        <f ca="1">IFERROR(__xludf.DUMMYFUNCTION("""COMPUTED_VALUE"""),"Công ty TNHH Kiểm toán và Tư vấn Tâm An (Công ty TNHH Kiểm toán TTP)")</f>
        <v>Công ty TNHH Kiểm toán và Tư vấn Tâm An (Công ty TNHH Kiểm toán TTP)</v>
      </c>
      <c r="B434" s="4" t="str">
        <f ca="1">IFERROR(__xludf.DUMMYFUNCTION("""COMPUTED_VALUE"""),"Nguyễn Minh Hoành")</f>
        <v>Nguyễn Minh Hoành</v>
      </c>
      <c r="C434" s="4" t="str">
        <f ca="1">IFERROR(__xludf.DUMMYFUNCTION("""COMPUTED_VALUE"""),"Nam")</f>
        <v>Nam</v>
      </c>
      <c r="D434" s="4" t="str">
        <f ca="1">IFERROR(__xludf.DUMMYFUNCTION("""COMPUTED_VALUE"""),"Đại học")</f>
        <v>Đại học</v>
      </c>
      <c r="E434" s="4" t="str">
        <f ca="1">IFERROR(__xludf.DUMMYFUNCTION("""COMPUTED_VALUE"""),"Trên 5 đến 10 năm")</f>
        <v>Trên 5 đến 10 năm</v>
      </c>
      <c r="F434" s="4" t="str">
        <f ca="1">IFERROR(__xludf.DUMMYFUNCTION("""COMPUTED_VALUE"""),"Trưởng phòng")</f>
        <v>Trưởng phòng</v>
      </c>
    </row>
    <row r="435" spans="1:6" x14ac:dyDescent="0.25">
      <c r="A435" s="4" t="str">
        <f ca="1">IFERROR(__xludf.DUMMYFUNCTION("""COMPUTED_VALUE"""),"Công ty TNHH Kiểm toán và Tư vấn Tâm An (Công ty TNHH Kiểm toán TTP)")</f>
        <v>Công ty TNHH Kiểm toán và Tư vấn Tâm An (Công ty TNHH Kiểm toán TTP)</v>
      </c>
      <c r="B435" s="4" t="str">
        <f ca="1">IFERROR(__xludf.DUMMYFUNCTION("""COMPUTED_VALUE"""),"Hoàng Thị Khánh Vân")</f>
        <v>Hoàng Thị Khánh Vân</v>
      </c>
      <c r="C435" s="4" t="str">
        <f ca="1">IFERROR(__xludf.DUMMYFUNCTION("""COMPUTED_VALUE"""),"Nữ")</f>
        <v>Nữ</v>
      </c>
      <c r="D435" s="4" t="str">
        <f ca="1">IFERROR(__xludf.DUMMYFUNCTION("""COMPUTED_VALUE"""),"Đại học, Chứng chỉ Kiểm toán viên")</f>
        <v>Đại học, Chứng chỉ Kiểm toán viên</v>
      </c>
      <c r="E435" s="4" t="str">
        <f ca="1">IFERROR(__xludf.DUMMYFUNCTION("""COMPUTED_VALUE"""),"Trên 15 đến 20 năm")</f>
        <v>Trên 15 đến 20 năm</v>
      </c>
      <c r="F435" s="4" t="str">
        <f ca="1">IFERROR(__xludf.DUMMYFUNCTION("""COMPUTED_VALUE"""),"Ban giám đốc")</f>
        <v>Ban giám đốc</v>
      </c>
    </row>
    <row r="436" spans="1:6" x14ac:dyDescent="0.25">
      <c r="A436" s="4" t="str">
        <f ca="1">IFERROR(__xludf.DUMMYFUNCTION("""COMPUTED_VALUE"""),"Công ty TNHH Kiểm toán và Tư vấn Tâm An (Công ty TNHH Kiểm toán TTP)")</f>
        <v>Công ty TNHH Kiểm toán và Tư vấn Tâm An (Công ty TNHH Kiểm toán TTP)</v>
      </c>
      <c r="B436" s="4" t="str">
        <f ca="1">IFERROR(__xludf.DUMMYFUNCTION("""COMPUTED_VALUE"""),"Đinh Quang Tuyến")</f>
        <v>Đinh Quang Tuyến</v>
      </c>
      <c r="C436" s="4" t="str">
        <f ca="1">IFERROR(__xludf.DUMMYFUNCTION("""COMPUTED_VALUE"""),"Nam")</f>
        <v>Nam</v>
      </c>
      <c r="D436" s="4" t="str">
        <f ca="1">IFERROR(__xludf.DUMMYFUNCTION("""COMPUTED_VALUE"""),"Đại học")</f>
        <v>Đại học</v>
      </c>
      <c r="E436" s="4" t="str">
        <f ca="1">IFERROR(__xludf.DUMMYFUNCTION("""COMPUTED_VALUE"""),"Trên 5 đến 10 năm")</f>
        <v>Trên 5 đến 10 năm</v>
      </c>
      <c r="F436" s="4" t="str">
        <f ca="1">IFERROR(__xludf.DUMMYFUNCTION("""COMPUTED_VALUE"""),"Trợ lý kiểm toán")</f>
        <v>Trợ lý kiểm toán</v>
      </c>
    </row>
    <row r="437" spans="1:6" x14ac:dyDescent="0.25">
      <c r="A437" s="4" t="str">
        <f ca="1">IFERROR(__xludf.DUMMYFUNCTION("""COMPUTED_VALUE"""),"Công ty TNHH Kiểm toán và Tư vấn Tâm An (Công ty TNHH Kiểm toán TTP)")</f>
        <v>Công ty TNHH Kiểm toán và Tư vấn Tâm An (Công ty TNHH Kiểm toán TTP)</v>
      </c>
      <c r="B437" s="4" t="str">
        <f ca="1">IFERROR(__xludf.DUMMYFUNCTION("""COMPUTED_VALUE"""),"Trần Thị Hạnh")</f>
        <v>Trần Thị Hạnh</v>
      </c>
      <c r="C437" s="4" t="str">
        <f ca="1">IFERROR(__xludf.DUMMYFUNCTION("""COMPUTED_VALUE"""),"Nữ")</f>
        <v>Nữ</v>
      </c>
      <c r="D437" s="4" t="str">
        <f ca="1">IFERROR(__xludf.DUMMYFUNCTION("""COMPUTED_VALUE"""),"Sau đại học")</f>
        <v>Sau đại học</v>
      </c>
      <c r="E437" s="4" t="str">
        <f ca="1">IFERROR(__xludf.DUMMYFUNCTION("""COMPUTED_VALUE"""),"Trên 15 đến 20 năm")</f>
        <v>Trên 15 đến 20 năm</v>
      </c>
      <c r="F437" s="4" t="str">
        <f ca="1">IFERROR(__xludf.DUMMYFUNCTION("""COMPUTED_VALUE"""),"Kiểm toán viên/Trưởng nhóm")</f>
        <v>Kiểm toán viên/Trưởng nhóm</v>
      </c>
    </row>
    <row r="438" spans="1:6" x14ac:dyDescent="0.25">
      <c r="A438" s="4" t="str">
        <f ca="1">IFERROR(__xludf.DUMMYFUNCTION("""COMPUTED_VALUE"""),"Công ty TNHH Kiểm toán và Tư vấn Tâm An (Công ty TNHH Kiểm toán TTP)")</f>
        <v>Công ty TNHH Kiểm toán và Tư vấn Tâm An (Công ty TNHH Kiểm toán TTP)</v>
      </c>
      <c r="B438" s="4" t="str">
        <f ca="1">IFERROR(__xludf.DUMMYFUNCTION("""COMPUTED_VALUE"""),"Lê Phương Anh")</f>
        <v>Lê Phương Anh</v>
      </c>
      <c r="C438" s="4" t="str">
        <f ca="1">IFERROR(__xludf.DUMMYFUNCTION("""COMPUTED_VALUE"""),"Nữ")</f>
        <v>Nữ</v>
      </c>
      <c r="D438" s="4" t="str">
        <f ca="1">IFERROR(__xludf.DUMMYFUNCTION("""COMPUTED_VALUE"""),"Đại học, Chứng chỉ Kiểm toán viên")</f>
        <v>Đại học, Chứng chỉ Kiểm toán viên</v>
      </c>
      <c r="E438" s="4" t="str">
        <f ca="1">IFERROR(__xludf.DUMMYFUNCTION("""COMPUTED_VALUE"""),"Trên 20 năm")</f>
        <v>Trên 20 năm</v>
      </c>
      <c r="F438" s="4" t="str">
        <f ca="1">IFERROR(__xludf.DUMMYFUNCTION("""COMPUTED_VALUE"""),"Ban giám đốc")</f>
        <v>Ban giám đốc</v>
      </c>
    </row>
    <row r="439" spans="1:6" x14ac:dyDescent="0.25">
      <c r="A439" s="4" t="str">
        <f ca="1">IFERROR(__xludf.DUMMYFUNCTION("""COMPUTED_VALUE"""),"Công ty TNHH Kiểm toán và Tư vấn VSA")</f>
        <v>Công ty TNHH Kiểm toán và Tư vấn VSA</v>
      </c>
      <c r="B439" s="4" t="str">
        <f ca="1">IFERROR(__xludf.DUMMYFUNCTION("""COMPUTED_VALUE"""),"Nguyễn Văn Long")</f>
        <v>Nguyễn Văn Long</v>
      </c>
      <c r="C439" s="4" t="str">
        <f ca="1">IFERROR(__xludf.DUMMYFUNCTION("""COMPUTED_VALUE"""),"Nam")</f>
        <v>Nam</v>
      </c>
      <c r="D439" s="4" t="str">
        <f ca="1">IFERROR(__xludf.DUMMYFUNCTION("""COMPUTED_VALUE"""),"Sau đại học, Chứng chỉ Kiểm toán viên")</f>
        <v>Sau đại học, Chứng chỉ Kiểm toán viên</v>
      </c>
      <c r="E439" s="4" t="str">
        <f ca="1">IFERROR(__xludf.DUMMYFUNCTION("""COMPUTED_VALUE"""),"Trên 10 đến 15 năm")</f>
        <v>Trên 10 đến 15 năm</v>
      </c>
      <c r="F439" s="4" t="str">
        <f ca="1">IFERROR(__xludf.DUMMYFUNCTION("""COMPUTED_VALUE"""),"Ban giám đốc")</f>
        <v>Ban giám đốc</v>
      </c>
    </row>
    <row r="440" spans="1:6" x14ac:dyDescent="0.25">
      <c r="A440" s="4" t="str">
        <f ca="1">IFERROR(__xludf.DUMMYFUNCTION("""COMPUTED_VALUE"""),"Công ty TNHH Kiểm toán và Tư vấn VSA")</f>
        <v>Công ty TNHH Kiểm toán và Tư vấn VSA</v>
      </c>
      <c r="B440" s="4" t="str">
        <f ca="1">IFERROR(__xludf.DUMMYFUNCTION("""COMPUTED_VALUE"""),"Thu Hiền")</f>
        <v>Thu Hiền</v>
      </c>
      <c r="C440" s="4" t="str">
        <f ca="1">IFERROR(__xludf.DUMMYFUNCTION("""COMPUTED_VALUE"""),"Nữ")</f>
        <v>Nữ</v>
      </c>
      <c r="D440" s="4" t="str">
        <f ca="1">IFERROR(__xludf.DUMMYFUNCTION("""COMPUTED_VALUE"""),"Chứng chỉ Kiểm toán viên")</f>
        <v>Chứng chỉ Kiểm toán viên</v>
      </c>
      <c r="E440" s="4" t="str">
        <f ca="1">IFERROR(__xludf.DUMMYFUNCTION("""COMPUTED_VALUE"""),"Trên 5 đến 10 năm")</f>
        <v>Trên 5 đến 10 năm</v>
      </c>
      <c r="F440" s="4" t="str">
        <f ca="1">IFERROR(__xludf.DUMMYFUNCTION("""COMPUTED_VALUE"""),"Kiểm toán viên/Trưởng nhóm")</f>
        <v>Kiểm toán viên/Trưởng nhóm</v>
      </c>
    </row>
    <row r="441" spans="1:6" x14ac:dyDescent="0.25">
      <c r="A441" s="4" t="str">
        <f ca="1">IFERROR(__xludf.DUMMYFUNCTION("""COMPUTED_VALUE"""),"Công ty TNHH Kiểm toán và Định giá GAA (đổi tên từ Công ty TNHH Tư vấn GAA)")</f>
        <v>Công ty TNHH Kiểm toán và Định giá GAA (đổi tên từ Công ty TNHH Tư vấn GAA)</v>
      </c>
      <c r="B441" s="4" t="str">
        <f ca="1">IFERROR(__xludf.DUMMYFUNCTION("""COMPUTED_VALUE"""),"VŨ HUY THẾ")</f>
        <v>VŨ HUY THẾ</v>
      </c>
      <c r="C441" s="4" t="str">
        <f ca="1">IFERROR(__xludf.DUMMYFUNCTION("""COMPUTED_VALUE"""),"Nam")</f>
        <v>Nam</v>
      </c>
      <c r="D441" s="4" t="str">
        <f ca="1">IFERROR(__xludf.DUMMYFUNCTION("""COMPUTED_VALUE"""),"Đại học, Chứng chỉ Kiểm toán viên")</f>
        <v>Đại học, Chứng chỉ Kiểm toán viên</v>
      </c>
      <c r="E441" s="4" t="str">
        <f ca="1">IFERROR(__xludf.DUMMYFUNCTION("""COMPUTED_VALUE"""),"Trên 10 đến 15 năm")</f>
        <v>Trên 10 đến 15 năm</v>
      </c>
      <c r="F441" s="4" t="str">
        <f ca="1">IFERROR(__xludf.DUMMYFUNCTION("""COMPUTED_VALUE"""),"Ban giám đốc")</f>
        <v>Ban giám đốc</v>
      </c>
    </row>
    <row r="442" spans="1:6" x14ac:dyDescent="0.25">
      <c r="A442" s="4" t="str">
        <f ca="1">IFERROR(__xludf.DUMMYFUNCTION("""COMPUTED_VALUE"""),"Công ty TNHH Kiểm toán và Định giá GAA (đổi tên từ Công ty TNHH Tư vấn GAA)")</f>
        <v>Công ty TNHH Kiểm toán và Định giá GAA (đổi tên từ Công ty TNHH Tư vấn GAA)</v>
      </c>
      <c r="B442" s="4" t="str">
        <f ca="1">IFERROR(__xludf.DUMMYFUNCTION("""COMPUTED_VALUE"""),"Lê Thị Kim Oanh ")</f>
        <v xml:space="preserve">Lê Thị Kim Oanh </v>
      </c>
      <c r="C442" s="4" t="str">
        <f ca="1">IFERROR(__xludf.DUMMYFUNCTION("""COMPUTED_VALUE"""),"Nữ")</f>
        <v>Nữ</v>
      </c>
      <c r="D442" s="4" t="str">
        <f ca="1">IFERROR(__xludf.DUMMYFUNCTION("""COMPUTED_VALUE"""),"Sau đại học")</f>
        <v>Sau đại học</v>
      </c>
      <c r="E442" s="4" t="str">
        <f ca="1">IFERROR(__xludf.DUMMYFUNCTION("""COMPUTED_VALUE"""),"Từ 3 đến 5 năm")</f>
        <v>Từ 3 đến 5 năm</v>
      </c>
      <c r="F442" s="4" t="str">
        <f ca="1">IFERROR(__xludf.DUMMYFUNCTION("""COMPUTED_VALUE"""),"Trợ lý kiểm toán")</f>
        <v>Trợ lý kiểm toán</v>
      </c>
    </row>
    <row r="443" spans="1:6" x14ac:dyDescent="0.25">
      <c r="A443" s="4" t="str">
        <f ca="1">IFERROR(__xludf.DUMMYFUNCTION("""COMPUTED_VALUE"""),"Công ty TNHH Kiểm toán và Định giá GAA (đổi tên từ Công ty TNHH Tư vấn GAA)")</f>
        <v>Công ty TNHH Kiểm toán và Định giá GAA (đổi tên từ Công ty TNHH Tư vấn GAA)</v>
      </c>
      <c r="B443" s="4" t="str">
        <f ca="1">IFERROR(__xludf.DUMMYFUNCTION("""COMPUTED_VALUE"""),"Nguyễn Trương Thảo Nguyên")</f>
        <v>Nguyễn Trương Thảo Nguyên</v>
      </c>
      <c r="C443" s="4" t="str">
        <f ca="1">IFERROR(__xludf.DUMMYFUNCTION("""COMPUTED_VALUE"""),"Nữ")</f>
        <v>Nữ</v>
      </c>
      <c r="D443" s="4" t="str">
        <f ca="1">IFERROR(__xludf.DUMMYFUNCTION("""COMPUTED_VALUE"""),"Đại học")</f>
        <v>Đại học</v>
      </c>
      <c r="E443" s="4" t="str">
        <f ca="1">IFERROR(__xludf.DUMMYFUNCTION("""COMPUTED_VALUE"""),"Từ 3 đến 5 năm")</f>
        <v>Từ 3 đến 5 năm</v>
      </c>
      <c r="F443" s="4" t="str">
        <f ca="1">IFERROR(__xludf.DUMMYFUNCTION("""COMPUTED_VALUE"""),"Trợ lý kiểm toán")</f>
        <v>Trợ lý kiểm toán</v>
      </c>
    </row>
    <row r="444" spans="1:6" x14ac:dyDescent="0.25">
      <c r="A444" s="4" t="str">
        <f ca="1">IFERROR(__xludf.DUMMYFUNCTION("""COMPUTED_VALUE"""),"Công ty TNHH Kiểm toán và Định giá GAA (đổi tên từ Công ty TNHH Tư vấn GAA)")</f>
        <v>Công ty TNHH Kiểm toán và Định giá GAA (đổi tên từ Công ty TNHH Tư vấn GAA)</v>
      </c>
      <c r="B444" s="4" t="str">
        <f ca="1">IFERROR(__xludf.DUMMYFUNCTION("""COMPUTED_VALUE"""),"Dương Thị Bảo Ngà")</f>
        <v>Dương Thị Bảo Ngà</v>
      </c>
      <c r="C444" s="4" t="str">
        <f ca="1">IFERROR(__xludf.DUMMYFUNCTION("""COMPUTED_VALUE"""),"Nữ")</f>
        <v>Nữ</v>
      </c>
      <c r="D444" s="4" t="str">
        <f ca="1">IFERROR(__xludf.DUMMYFUNCTION("""COMPUTED_VALUE"""),"Đại học")</f>
        <v>Đại học</v>
      </c>
      <c r="E444" s="4" t="str">
        <f ca="1">IFERROR(__xludf.DUMMYFUNCTION("""COMPUTED_VALUE"""),"Từ 3 đến 5 năm")</f>
        <v>Từ 3 đến 5 năm</v>
      </c>
      <c r="F444" s="4" t="str">
        <f ca="1">IFERROR(__xludf.DUMMYFUNCTION("""COMPUTED_VALUE"""),"Trợ lý kiểm toán")</f>
        <v>Trợ lý kiểm toán</v>
      </c>
    </row>
    <row r="445" spans="1:6" x14ac:dyDescent="0.25">
      <c r="A445" s="4" t="str">
        <f ca="1">IFERROR(__xludf.DUMMYFUNCTION("""COMPUTED_VALUE"""),"Công ty TNHH Kiểm toán và Định giá GAA (đổi tên từ Công ty TNHH Tư vấn GAA)")</f>
        <v>Công ty TNHH Kiểm toán và Định giá GAA (đổi tên từ Công ty TNHH Tư vấn GAA)</v>
      </c>
      <c r="B445" s="4"/>
      <c r="C445" s="4" t="str">
        <f ca="1">IFERROR(__xludf.DUMMYFUNCTION("""COMPUTED_VALUE"""),"Nam")</f>
        <v>Nam</v>
      </c>
      <c r="D445" s="4" t="str">
        <f ca="1">IFERROR(__xludf.DUMMYFUNCTION("""COMPUTED_VALUE"""),"Chứng chỉ Kiểm toán viên")</f>
        <v>Chứng chỉ Kiểm toán viên</v>
      </c>
      <c r="E445" s="4" t="str">
        <f ca="1">IFERROR(__xludf.DUMMYFUNCTION("""COMPUTED_VALUE"""),"Trên 10 đến 15 năm")</f>
        <v>Trên 10 đến 15 năm</v>
      </c>
      <c r="F445" s="4" t="str">
        <f ca="1">IFERROR(__xludf.DUMMYFUNCTION("""COMPUTED_VALUE"""),"Trưởng phòng")</f>
        <v>Trưởng phòng</v>
      </c>
    </row>
    <row r="446" spans="1:6" x14ac:dyDescent="0.25">
      <c r="A446" s="4" t="str">
        <f ca="1">IFERROR(__xludf.DUMMYFUNCTION("""COMPUTED_VALUE"""),"Công ty TNHH Kiểm toán và Định giá GAA (đổi tên từ Công ty TNHH Tư vấn GAA)")</f>
        <v>Công ty TNHH Kiểm toán và Định giá GAA (đổi tên từ Công ty TNHH Tư vấn GAA)</v>
      </c>
      <c r="B446" s="4"/>
      <c r="C446" s="4" t="str">
        <f ca="1">IFERROR(__xludf.DUMMYFUNCTION("""COMPUTED_VALUE"""),"Nữ")</f>
        <v>Nữ</v>
      </c>
      <c r="D446" s="4" t="str">
        <f ca="1">IFERROR(__xludf.DUMMYFUNCTION("""COMPUTED_VALUE"""),"Đại học, Chứng chỉ Kiểm toán viên")</f>
        <v>Đại học, Chứng chỉ Kiểm toán viên</v>
      </c>
      <c r="E446" s="4" t="str">
        <f ca="1">IFERROR(__xludf.DUMMYFUNCTION("""COMPUTED_VALUE"""),"Trên 10 đến 15 năm")</f>
        <v>Trên 10 đến 15 năm</v>
      </c>
      <c r="F446" s="4" t="str">
        <f ca="1">IFERROR(__xludf.DUMMYFUNCTION("""COMPUTED_VALUE"""),"Kiểm toán viên/Trưởng nhóm")</f>
        <v>Kiểm toán viên/Trưởng nhóm</v>
      </c>
    </row>
    <row r="447" spans="1:6" x14ac:dyDescent="0.25">
      <c r="A447" s="4" t="str">
        <f ca="1">IFERROR(__xludf.DUMMYFUNCTION("""COMPUTED_VALUE"""),"Công ty TNHH Kiểm toán và Định giá GAA (đổi tên từ Công ty TNHH Tư vấn GAA)")</f>
        <v>Công ty TNHH Kiểm toán và Định giá GAA (đổi tên từ Công ty TNHH Tư vấn GAA)</v>
      </c>
      <c r="B447" s="4" t="str">
        <f ca="1">IFERROR(__xludf.DUMMYFUNCTION("""COMPUTED_VALUE"""),"Lê Thị Thúy Hường")</f>
        <v>Lê Thị Thúy Hường</v>
      </c>
      <c r="C447" s="4" t="str">
        <f ca="1">IFERROR(__xludf.DUMMYFUNCTION("""COMPUTED_VALUE"""),"Nữ")</f>
        <v>Nữ</v>
      </c>
      <c r="D447" s="4" t="str">
        <f ca="1">IFERROR(__xludf.DUMMYFUNCTION("""COMPUTED_VALUE"""),"Đại học, Chứng chỉ Kiểm toán viên")</f>
        <v>Đại học, Chứng chỉ Kiểm toán viên</v>
      </c>
      <c r="E447" s="4" t="str">
        <f ca="1">IFERROR(__xludf.DUMMYFUNCTION("""COMPUTED_VALUE"""),"Trên 5 đến 10 năm")</f>
        <v>Trên 5 đến 10 năm</v>
      </c>
      <c r="F447" s="4" t="str">
        <f ca="1">IFERROR(__xludf.DUMMYFUNCTION("""COMPUTED_VALUE"""),"Kiểm toán viên/Trưởng nhóm")</f>
        <v>Kiểm toán viên/Trưởng nhóm</v>
      </c>
    </row>
    <row r="448" spans="1:6" x14ac:dyDescent="0.25">
      <c r="A448" s="4" t="str">
        <f ca="1">IFERROR(__xludf.DUMMYFUNCTION("""COMPUTED_VALUE"""),"Công ty TNHH Kiểm toán và Định giá Quốc tế (IAV)")</f>
        <v>Công ty TNHH Kiểm toán và Định giá Quốc tế (IAV)</v>
      </c>
      <c r="B448" s="4" t="str">
        <f ca="1">IFERROR(__xludf.DUMMYFUNCTION("""COMPUTED_VALUE"""),"NGUYỄN VĂN TẦN")</f>
        <v>NGUYỄN VĂN TẦN</v>
      </c>
      <c r="C448" s="4" t="str">
        <f ca="1">IFERROR(__xludf.DUMMYFUNCTION("""COMPUTED_VALUE"""),"Nam")</f>
        <v>Nam</v>
      </c>
      <c r="D448" s="4" t="str">
        <f ca="1">IFERROR(__xludf.DUMMYFUNCTION("""COMPUTED_VALUE"""),"Đại học")</f>
        <v>Đại học</v>
      </c>
      <c r="E448" s="4" t="str">
        <f ca="1">IFERROR(__xludf.DUMMYFUNCTION("""COMPUTED_VALUE"""),"Trên 10 đến 15 năm")</f>
        <v>Trên 10 đến 15 năm</v>
      </c>
      <c r="F448" s="4" t="str">
        <f ca="1">IFERROR(__xludf.DUMMYFUNCTION("""COMPUTED_VALUE"""),"Trưởng phòng")</f>
        <v>Trưởng phòng</v>
      </c>
    </row>
    <row r="449" spans="1:6" x14ac:dyDescent="0.25">
      <c r="A449" s="4" t="str">
        <f ca="1">IFERROR(__xludf.DUMMYFUNCTION("""COMPUTED_VALUE"""),"Công ty TNHH Kiểm toán và Định giá Quốc tế (IAV)")</f>
        <v>Công ty TNHH Kiểm toán và Định giá Quốc tế (IAV)</v>
      </c>
      <c r="B449" s="4" t="str">
        <f ca="1">IFERROR(__xludf.DUMMYFUNCTION("""COMPUTED_VALUE"""),"Lê Thị Hương Giang")</f>
        <v>Lê Thị Hương Giang</v>
      </c>
      <c r="C449" s="4" t="str">
        <f ca="1">IFERROR(__xludf.DUMMYFUNCTION("""COMPUTED_VALUE"""),"Nữ")</f>
        <v>Nữ</v>
      </c>
      <c r="D449" s="4" t="str">
        <f ca="1">IFERROR(__xludf.DUMMYFUNCTION("""COMPUTED_VALUE"""),"Đại học")</f>
        <v>Đại học</v>
      </c>
      <c r="E449" s="4" t="str">
        <f ca="1">IFERROR(__xludf.DUMMYFUNCTION("""COMPUTED_VALUE"""),"Trên 10 đến 15 năm")</f>
        <v>Trên 10 đến 15 năm</v>
      </c>
      <c r="F449" s="4" t="str">
        <f ca="1">IFERROR(__xludf.DUMMYFUNCTION("""COMPUTED_VALUE"""),"Ban giám đốc")</f>
        <v>Ban giám đốc</v>
      </c>
    </row>
    <row r="450" spans="1:6" x14ac:dyDescent="0.25">
      <c r="A450" s="4" t="str">
        <f ca="1">IFERROR(__xludf.DUMMYFUNCTION("""COMPUTED_VALUE"""),"Công ty TNHH Kiểm toán và Định giá Thăng Long - T.D.K")</f>
        <v>Công ty TNHH Kiểm toán và Định giá Thăng Long - T.D.K</v>
      </c>
      <c r="B450" s="4" t="str">
        <f ca="1">IFERROR(__xludf.DUMMYFUNCTION("""COMPUTED_VALUE"""),"Lê Ánh Như Mai")</f>
        <v>Lê Ánh Như Mai</v>
      </c>
      <c r="C450" s="4" t="str">
        <f ca="1">IFERROR(__xludf.DUMMYFUNCTION("""COMPUTED_VALUE"""),"Nữ")</f>
        <v>Nữ</v>
      </c>
      <c r="D450" s="4" t="str">
        <f ca="1">IFERROR(__xludf.DUMMYFUNCTION("""COMPUTED_VALUE"""),"Đại học")</f>
        <v>Đại học</v>
      </c>
      <c r="E450" s="4" t="str">
        <f ca="1">IFERROR(__xludf.DUMMYFUNCTION("""COMPUTED_VALUE"""),"Từ 3 đến 5 năm")</f>
        <v>Từ 3 đến 5 năm</v>
      </c>
      <c r="F450" s="4" t="str">
        <f ca="1">IFERROR(__xludf.DUMMYFUNCTION("""COMPUTED_VALUE"""),"Trợ lý kiểm toán")</f>
        <v>Trợ lý kiểm toán</v>
      </c>
    </row>
    <row r="451" spans="1:6" x14ac:dyDescent="0.25">
      <c r="A451" s="4" t="str">
        <f ca="1">IFERROR(__xludf.DUMMYFUNCTION("""COMPUTED_VALUE"""),"Công ty TNHH Kiểm toán và Định giá Thăng Long - T.D.K")</f>
        <v>Công ty TNHH Kiểm toán và Định giá Thăng Long - T.D.K</v>
      </c>
      <c r="B451" s="4" t="str">
        <f ca="1">IFERROR(__xludf.DUMMYFUNCTION("""COMPUTED_VALUE"""),"Tạ Thị Thu Thúy")</f>
        <v>Tạ Thị Thu Thúy</v>
      </c>
      <c r="C451" s="4" t="str">
        <f ca="1">IFERROR(__xludf.DUMMYFUNCTION("""COMPUTED_VALUE"""),"Nữ")</f>
        <v>Nữ</v>
      </c>
      <c r="D451" s="4" t="str">
        <f ca="1">IFERROR(__xludf.DUMMYFUNCTION("""COMPUTED_VALUE"""),"Đại học")</f>
        <v>Đại học</v>
      </c>
      <c r="E451" s="4" t="str">
        <f ca="1">IFERROR(__xludf.DUMMYFUNCTION("""COMPUTED_VALUE"""),"Trên 15 đến 20 năm")</f>
        <v>Trên 15 đến 20 năm</v>
      </c>
      <c r="F451" s="4" t="str">
        <f ca="1">IFERROR(__xludf.DUMMYFUNCTION("""COMPUTED_VALUE"""),"Trợ lý kiểm toán")</f>
        <v>Trợ lý kiểm toán</v>
      </c>
    </row>
    <row r="452" spans="1:6" x14ac:dyDescent="0.25">
      <c r="A452" s="4" t="str">
        <f ca="1">IFERROR(__xludf.DUMMYFUNCTION("""COMPUTED_VALUE"""),"Công ty TNHH Kiểm toán và Định giá Thăng Long - T.D.K")</f>
        <v>Công ty TNHH Kiểm toán và Định giá Thăng Long - T.D.K</v>
      </c>
      <c r="B452" s="4" t="str">
        <f ca="1">IFERROR(__xludf.DUMMYFUNCTION("""COMPUTED_VALUE"""),"Nguyễn Thị Thu Thảo")</f>
        <v>Nguyễn Thị Thu Thảo</v>
      </c>
      <c r="C452" s="4" t="str">
        <f ca="1">IFERROR(__xludf.DUMMYFUNCTION("""COMPUTED_VALUE"""),"Nữ")</f>
        <v>Nữ</v>
      </c>
      <c r="D452" s="4" t="str">
        <f ca="1">IFERROR(__xludf.DUMMYFUNCTION("""COMPUTED_VALUE"""),"Đại học")</f>
        <v>Đại học</v>
      </c>
      <c r="E452" s="4" t="str">
        <f ca="1">IFERROR(__xludf.DUMMYFUNCTION("""COMPUTED_VALUE"""),"Từ 3 đến 5 năm")</f>
        <v>Từ 3 đến 5 năm</v>
      </c>
      <c r="F452" s="4" t="str">
        <f ca="1">IFERROR(__xludf.DUMMYFUNCTION("""COMPUTED_VALUE"""),"Trợ lý kiểm toán")</f>
        <v>Trợ lý kiểm toán</v>
      </c>
    </row>
    <row r="453" spans="1:6" x14ac:dyDescent="0.25">
      <c r="A453" s="4" t="str">
        <f ca="1">IFERROR(__xludf.DUMMYFUNCTION("""COMPUTED_VALUE"""),"Công ty TNHH Kiểm toán và Định giá Thăng Long - T.D.K")</f>
        <v>Công ty TNHH Kiểm toán và Định giá Thăng Long - T.D.K</v>
      </c>
      <c r="B453" s="4" t="str">
        <f ca="1">IFERROR(__xludf.DUMMYFUNCTION("""COMPUTED_VALUE"""),"Đào Thị Linh Nguyên")</f>
        <v>Đào Thị Linh Nguyên</v>
      </c>
      <c r="C453" s="4" t="str">
        <f ca="1">IFERROR(__xludf.DUMMYFUNCTION("""COMPUTED_VALUE"""),"Nữ")</f>
        <v>Nữ</v>
      </c>
      <c r="D453" s="4" t="str">
        <f ca="1">IFERROR(__xludf.DUMMYFUNCTION("""COMPUTED_VALUE"""),"Đại học, Chứng chỉ Kiểm toán viên")</f>
        <v>Đại học, Chứng chỉ Kiểm toán viên</v>
      </c>
      <c r="E453" s="4" t="str">
        <f ca="1">IFERROR(__xludf.DUMMYFUNCTION("""COMPUTED_VALUE"""),"Trên 10 đến 15 năm")</f>
        <v>Trên 10 đến 15 năm</v>
      </c>
      <c r="F453" s="4" t="str">
        <f ca="1">IFERROR(__xludf.DUMMYFUNCTION("""COMPUTED_VALUE"""),"Kiểm toán viên/Trưởng nhóm")</f>
        <v>Kiểm toán viên/Trưởng nhóm</v>
      </c>
    </row>
    <row r="454" spans="1:6" x14ac:dyDescent="0.25">
      <c r="A454" s="4" t="str">
        <f ca="1">IFERROR(__xludf.DUMMYFUNCTION("""COMPUTED_VALUE"""),"Công ty TNHH Kiểm toán và Định giá Thăng Long - T.D.K")</f>
        <v>Công ty TNHH Kiểm toán và Định giá Thăng Long - T.D.K</v>
      </c>
      <c r="B454" s="4"/>
      <c r="C454" s="4" t="str">
        <f ca="1">IFERROR(__xludf.DUMMYFUNCTION("""COMPUTED_VALUE"""),"Nữ")</f>
        <v>Nữ</v>
      </c>
      <c r="D454" s="4" t="str">
        <f ca="1">IFERROR(__xludf.DUMMYFUNCTION("""COMPUTED_VALUE"""),"Đại học")</f>
        <v>Đại học</v>
      </c>
      <c r="E454" s="4" t="str">
        <f ca="1">IFERROR(__xludf.DUMMYFUNCTION("""COMPUTED_VALUE"""),"Trên 5 đến 10 năm")</f>
        <v>Trên 5 đến 10 năm</v>
      </c>
      <c r="F454" s="4" t="str">
        <f ca="1">IFERROR(__xludf.DUMMYFUNCTION("""COMPUTED_VALUE"""),"Trợ lý kiểm toán")</f>
        <v>Trợ lý kiểm toán</v>
      </c>
    </row>
    <row r="455" spans="1:6" x14ac:dyDescent="0.25">
      <c r="A455" s="4" t="str">
        <f ca="1">IFERROR(__xludf.DUMMYFUNCTION("""COMPUTED_VALUE"""),"Công ty TNHH Kiểm toán và Định giá Thăng Long - T.D.K")</f>
        <v>Công ty TNHH Kiểm toán và Định giá Thăng Long - T.D.K</v>
      </c>
      <c r="B455" s="4" t="str">
        <f ca="1">IFERROR(__xludf.DUMMYFUNCTION("""COMPUTED_VALUE"""),"Hồ Minh Nhật")</f>
        <v>Hồ Minh Nhật</v>
      </c>
      <c r="C455" s="4" t="str">
        <f ca="1">IFERROR(__xludf.DUMMYFUNCTION("""COMPUTED_VALUE"""),"Nam")</f>
        <v>Nam</v>
      </c>
      <c r="D455" s="4" t="str">
        <f ca="1">IFERROR(__xludf.DUMMYFUNCTION("""COMPUTED_VALUE"""),"Đại học")</f>
        <v>Đại học</v>
      </c>
      <c r="E455" s="4" t="str">
        <f ca="1">IFERROR(__xludf.DUMMYFUNCTION("""COMPUTED_VALUE"""),"Trên 10 đến 15 năm")</f>
        <v>Trên 10 đến 15 năm</v>
      </c>
      <c r="F455" s="4" t="str">
        <f ca="1">IFERROR(__xludf.DUMMYFUNCTION("""COMPUTED_VALUE"""),"Trợ lý kiểm toán")</f>
        <v>Trợ lý kiểm toán</v>
      </c>
    </row>
    <row r="456" spans="1:6" x14ac:dyDescent="0.25">
      <c r="A456" s="4" t="str">
        <f ca="1">IFERROR(__xludf.DUMMYFUNCTION("""COMPUTED_VALUE"""),"Công ty TNHH Kiểm toán và Định giá Toàn Cầu")</f>
        <v>Công ty TNHH Kiểm toán và Định giá Toàn Cầu</v>
      </c>
      <c r="B456" s="4" t="str">
        <f ca="1">IFERROR(__xludf.DUMMYFUNCTION("""COMPUTED_VALUE"""),"Nguyễn Minh Dũng")</f>
        <v>Nguyễn Minh Dũng</v>
      </c>
      <c r="C456" s="4" t="str">
        <f ca="1">IFERROR(__xludf.DUMMYFUNCTION("""COMPUTED_VALUE"""),"Nam")</f>
        <v>Nam</v>
      </c>
      <c r="D456" s="4" t="str">
        <f ca="1">IFERROR(__xludf.DUMMYFUNCTION("""COMPUTED_VALUE"""),"Đại học, Chứng chỉ Kiểm toán viên")</f>
        <v>Đại học, Chứng chỉ Kiểm toán viên</v>
      </c>
      <c r="E456" s="4" t="str">
        <f ca="1">IFERROR(__xludf.DUMMYFUNCTION("""COMPUTED_VALUE"""),"Trên 10 đến 15 năm")</f>
        <v>Trên 10 đến 15 năm</v>
      </c>
      <c r="F456" s="4" t="str">
        <f ca="1">IFERROR(__xludf.DUMMYFUNCTION("""COMPUTED_VALUE"""),"Kiểm toán viên/Trưởng nhóm")</f>
        <v>Kiểm toán viên/Trưởng nhóm</v>
      </c>
    </row>
    <row r="457" spans="1:6" x14ac:dyDescent="0.25">
      <c r="A457" s="4" t="str">
        <f ca="1">IFERROR(__xludf.DUMMYFUNCTION("""COMPUTED_VALUE"""),"Công ty TNHH Kiểm toán Đại Tín")</f>
        <v>Công ty TNHH Kiểm toán Đại Tín</v>
      </c>
      <c r="B457" s="4" t="str">
        <f ca="1">IFERROR(__xludf.DUMMYFUNCTION("""COMPUTED_VALUE"""),"PHẠM ĐỨC THUẬN")</f>
        <v>PHẠM ĐỨC THUẬN</v>
      </c>
      <c r="C457" s="4" t="str">
        <f ca="1">IFERROR(__xludf.DUMMYFUNCTION("""COMPUTED_VALUE"""),"Nam")</f>
        <v>Nam</v>
      </c>
      <c r="D457" s="4" t="str">
        <f ca="1">IFERROR(__xludf.DUMMYFUNCTION("""COMPUTED_VALUE"""),"Chứng chỉ Kiểm toán viên")</f>
        <v>Chứng chỉ Kiểm toán viên</v>
      </c>
      <c r="E457" s="4" t="str">
        <f ca="1">IFERROR(__xludf.DUMMYFUNCTION("""COMPUTED_VALUE"""),"Trên 10 đến 15 năm")</f>
        <v>Trên 10 đến 15 năm</v>
      </c>
      <c r="F457" s="4" t="str">
        <f ca="1">IFERROR(__xludf.DUMMYFUNCTION("""COMPUTED_VALUE"""),"Ban giám đốc")</f>
        <v>Ban giám đốc</v>
      </c>
    </row>
    <row r="458" spans="1:6" x14ac:dyDescent="0.25">
      <c r="A458" s="4" t="str">
        <f ca="1">IFERROR(__xludf.DUMMYFUNCTION("""COMPUTED_VALUE"""),"Công ty TNHH Kiểm toán Đại Tín")</f>
        <v>Công ty TNHH Kiểm toán Đại Tín</v>
      </c>
      <c r="B458" s="4" t="str">
        <f ca="1">IFERROR(__xludf.DUMMYFUNCTION("""COMPUTED_VALUE"""),"Nguyễn Hương Giiang")</f>
        <v>Nguyễn Hương Giiang</v>
      </c>
      <c r="C458" s="4" t="str">
        <f ca="1">IFERROR(__xludf.DUMMYFUNCTION("""COMPUTED_VALUE"""),"Nữ")</f>
        <v>Nữ</v>
      </c>
      <c r="D458" s="4" t="str">
        <f ca="1">IFERROR(__xludf.DUMMYFUNCTION("""COMPUTED_VALUE"""),"Đại học")</f>
        <v>Đại học</v>
      </c>
      <c r="E458" s="4" t="str">
        <f ca="1">IFERROR(__xludf.DUMMYFUNCTION("""COMPUTED_VALUE"""),"Từ 3 đến 5 năm")</f>
        <v>Từ 3 đến 5 năm</v>
      </c>
      <c r="F458" s="4" t="str">
        <f ca="1">IFERROR(__xludf.DUMMYFUNCTION("""COMPUTED_VALUE"""),"Trợ lý kiểm toán")</f>
        <v>Trợ lý kiểm toán</v>
      </c>
    </row>
    <row r="459" spans="1:6" x14ac:dyDescent="0.25">
      <c r="A459" s="4" t="str">
        <f ca="1">IFERROR(__xludf.DUMMYFUNCTION("""COMPUTED_VALUE"""),"Công ty TNHH Kiểm toán Đại Tín")</f>
        <v>Công ty TNHH Kiểm toán Đại Tín</v>
      </c>
      <c r="B459" s="4" t="str">
        <f ca="1">IFERROR(__xludf.DUMMYFUNCTION("""COMPUTED_VALUE"""),"Bùi Hoàng Nam")</f>
        <v>Bùi Hoàng Nam</v>
      </c>
      <c r="C459" s="4" t="str">
        <f ca="1">IFERROR(__xludf.DUMMYFUNCTION("""COMPUTED_VALUE"""),"Nam")</f>
        <v>Nam</v>
      </c>
      <c r="D459" s="4" t="str">
        <f ca="1">IFERROR(__xludf.DUMMYFUNCTION("""COMPUTED_VALUE"""),"Đại học")</f>
        <v>Đại học</v>
      </c>
      <c r="E459" s="4" t="str">
        <f ca="1">IFERROR(__xludf.DUMMYFUNCTION("""COMPUTED_VALUE"""),"Trên 5 đến 10 năm")</f>
        <v>Trên 5 đến 10 năm</v>
      </c>
      <c r="F459" s="4" t="str">
        <f ca="1">IFERROR(__xludf.DUMMYFUNCTION("""COMPUTED_VALUE"""),"Trợ lý kiểm toán")</f>
        <v>Trợ lý kiểm toán</v>
      </c>
    </row>
    <row r="460" spans="1:6" x14ac:dyDescent="0.25">
      <c r="A460" s="4" t="str">
        <f ca="1">IFERROR(__xludf.DUMMYFUNCTION("""COMPUTED_VALUE"""),"Công ty TNHH Kiểm toán Đại Tín")</f>
        <v>Công ty TNHH Kiểm toán Đại Tín</v>
      </c>
      <c r="B460" s="4" t="str">
        <f ca="1">IFERROR(__xludf.DUMMYFUNCTION("""COMPUTED_VALUE"""),"PHẠM THỊ NHUNG ")</f>
        <v xml:space="preserve">PHẠM THỊ NHUNG </v>
      </c>
      <c r="C460" s="4" t="str">
        <f ca="1">IFERROR(__xludf.DUMMYFUNCTION("""COMPUTED_VALUE"""),"Nữ")</f>
        <v>Nữ</v>
      </c>
      <c r="D460" s="4" t="str">
        <f ca="1">IFERROR(__xludf.DUMMYFUNCTION("""COMPUTED_VALUE"""),"Chứng chỉ Kiểm toán viên")</f>
        <v>Chứng chỉ Kiểm toán viên</v>
      </c>
      <c r="E460" s="4" t="str">
        <f ca="1">IFERROR(__xludf.DUMMYFUNCTION("""COMPUTED_VALUE"""),"Trên 15 đến 20 năm")</f>
        <v>Trên 15 đến 20 năm</v>
      </c>
      <c r="F460" s="4" t="str">
        <f ca="1">IFERROR(__xludf.DUMMYFUNCTION("""COMPUTED_VALUE"""),"Ban giám đốc")</f>
        <v>Ban giám đốc</v>
      </c>
    </row>
    <row r="461" spans="1:6" x14ac:dyDescent="0.25">
      <c r="A461" s="4" t="str">
        <f ca="1">IFERROR(__xludf.DUMMYFUNCTION("""COMPUTED_VALUE"""),"Công ty TNHH Kiểm toán Đại Tín")</f>
        <v>Công ty TNHH Kiểm toán Đại Tín</v>
      </c>
      <c r="B461" s="4" t="str">
        <f ca="1">IFERROR(__xludf.DUMMYFUNCTION("""COMPUTED_VALUE"""),"Trương Linh")</f>
        <v>Trương Linh</v>
      </c>
      <c r="C461" s="4" t="str">
        <f ca="1">IFERROR(__xludf.DUMMYFUNCTION("""COMPUTED_VALUE"""),"Nam")</f>
        <v>Nam</v>
      </c>
      <c r="D461" s="4" t="str">
        <f ca="1">IFERROR(__xludf.DUMMYFUNCTION("""COMPUTED_VALUE"""),"Đại học")</f>
        <v>Đại học</v>
      </c>
      <c r="E461" s="4" t="str">
        <f ca="1">IFERROR(__xludf.DUMMYFUNCTION("""COMPUTED_VALUE"""),"Trên 5 đến 10 năm")</f>
        <v>Trên 5 đến 10 năm</v>
      </c>
      <c r="F461" s="4" t="str">
        <f ca="1">IFERROR(__xludf.DUMMYFUNCTION("""COMPUTED_VALUE"""),"Trợ lý kiểm toán")</f>
        <v>Trợ lý kiểm toán</v>
      </c>
    </row>
    <row r="462" spans="1:6" x14ac:dyDescent="0.25">
      <c r="A462" s="4" t="str">
        <f ca="1">IFERROR(__xludf.DUMMYFUNCTION("""COMPUTED_VALUE"""),"Công ty TNHH Kiểm toán Đại Tín")</f>
        <v>Công ty TNHH Kiểm toán Đại Tín</v>
      </c>
      <c r="B462" s="4" t="str">
        <f ca="1">IFERROR(__xludf.DUMMYFUNCTION("""COMPUTED_VALUE"""),"LÊ VĂN DANH")</f>
        <v>LÊ VĂN DANH</v>
      </c>
      <c r="C462" s="4" t="str">
        <f ca="1">IFERROR(__xludf.DUMMYFUNCTION("""COMPUTED_VALUE"""),"Nam")</f>
        <v>Nam</v>
      </c>
      <c r="D462" s="4" t="str">
        <f ca="1">IFERROR(__xludf.DUMMYFUNCTION("""COMPUTED_VALUE"""),"Sau đại học, Chứng chỉ Kiểm toán viên")</f>
        <v>Sau đại học, Chứng chỉ Kiểm toán viên</v>
      </c>
      <c r="E462" s="4" t="str">
        <f ca="1">IFERROR(__xludf.DUMMYFUNCTION("""COMPUTED_VALUE"""),"Trên 10 đến 15 năm")</f>
        <v>Trên 10 đến 15 năm</v>
      </c>
      <c r="F462" s="4" t="str">
        <f ca="1">IFERROR(__xludf.DUMMYFUNCTION("""COMPUTED_VALUE"""),"Kiểm toán viên/Trưởng nhóm")</f>
        <v>Kiểm toán viên/Trưởng nhóm</v>
      </c>
    </row>
    <row r="463" spans="1:6" x14ac:dyDescent="0.25">
      <c r="A463" s="4" t="str">
        <f ca="1">IFERROR(__xludf.DUMMYFUNCTION("""COMPUTED_VALUE"""),"Công ty TNHH Kiểm toán Đại Tín")</f>
        <v>Công ty TNHH Kiểm toán Đại Tín</v>
      </c>
      <c r="B463" s="4" t="str">
        <f ca="1">IFERROR(__xludf.DUMMYFUNCTION("""COMPUTED_VALUE"""),"Trương Thanh Thanh")</f>
        <v>Trương Thanh Thanh</v>
      </c>
      <c r="C463" s="4" t="str">
        <f ca="1">IFERROR(__xludf.DUMMYFUNCTION("""COMPUTED_VALUE"""),"Nữ")</f>
        <v>Nữ</v>
      </c>
      <c r="D463" s="4" t="str">
        <f ca="1">IFERROR(__xludf.DUMMYFUNCTION("""COMPUTED_VALUE"""),"Đại học")</f>
        <v>Đại học</v>
      </c>
      <c r="E463" s="4" t="str">
        <f ca="1">IFERROR(__xludf.DUMMYFUNCTION("""COMPUTED_VALUE"""),"Từ 3 đến 5 năm")</f>
        <v>Từ 3 đến 5 năm</v>
      </c>
      <c r="F463" s="4" t="str">
        <f ca="1">IFERROR(__xludf.DUMMYFUNCTION("""COMPUTED_VALUE"""),"Trợ lý kiểm toán")</f>
        <v>Trợ lý kiểm toán</v>
      </c>
    </row>
    <row r="464" spans="1:6" x14ac:dyDescent="0.25">
      <c r="A464" s="4" t="str">
        <f ca="1">IFERROR(__xludf.DUMMYFUNCTION("""COMPUTED_VALUE"""),"Công ty TNHH Kế toán - Kiểm toán - Tư vấn Việt Nam")</f>
        <v>Công ty TNHH Kế toán - Kiểm toán - Tư vấn Việt Nam</v>
      </c>
      <c r="B464" s="4" t="str">
        <f ca="1">IFERROR(__xludf.DUMMYFUNCTION("""COMPUTED_VALUE"""),"Trần Thị Lành")</f>
        <v>Trần Thị Lành</v>
      </c>
      <c r="C464" s="4" t="str">
        <f ca="1">IFERROR(__xludf.DUMMYFUNCTION("""COMPUTED_VALUE"""),"Nữ")</f>
        <v>Nữ</v>
      </c>
      <c r="D464" s="4" t="str">
        <f ca="1">IFERROR(__xludf.DUMMYFUNCTION("""COMPUTED_VALUE"""),"Chứng chỉ Kiểm toán viên")</f>
        <v>Chứng chỉ Kiểm toán viên</v>
      </c>
      <c r="E464" s="4" t="str">
        <f ca="1">IFERROR(__xludf.DUMMYFUNCTION("""COMPUTED_VALUE"""),"Trên 5 đến 10 năm")</f>
        <v>Trên 5 đến 10 năm</v>
      </c>
      <c r="F464" s="4" t="str">
        <f ca="1">IFERROR(__xludf.DUMMYFUNCTION("""COMPUTED_VALUE"""),"Trưởng phòng")</f>
        <v>Trưởng phòng</v>
      </c>
    </row>
    <row r="465" spans="1:6" x14ac:dyDescent="0.25">
      <c r="A465" s="4" t="str">
        <f ca="1">IFERROR(__xludf.DUMMYFUNCTION("""COMPUTED_VALUE"""),"Công Ty TNHH Kế Toán IASS")</f>
        <v>Công Ty TNHH Kế Toán IASS</v>
      </c>
      <c r="B465" s="4" t="str">
        <f ca="1">IFERROR(__xludf.DUMMYFUNCTION("""COMPUTED_VALUE"""),"Trần Hoàng Nhi")</f>
        <v>Trần Hoàng Nhi</v>
      </c>
      <c r="C465" s="4" t="str">
        <f ca="1">IFERROR(__xludf.DUMMYFUNCTION("""COMPUTED_VALUE"""),"Nữ")</f>
        <v>Nữ</v>
      </c>
      <c r="D465" s="4" t="str">
        <f ca="1">IFERROR(__xludf.DUMMYFUNCTION("""COMPUTED_VALUE"""),"Sau đại học")</f>
        <v>Sau đại học</v>
      </c>
      <c r="E465" s="4" t="str">
        <f ca="1">IFERROR(__xludf.DUMMYFUNCTION("""COMPUTED_VALUE"""),"Từ 3 đến 5 năm")</f>
        <v>Từ 3 đến 5 năm</v>
      </c>
      <c r="F465" s="4" t="str">
        <f ca="1">IFERROR(__xludf.DUMMYFUNCTION("""COMPUTED_VALUE"""),"Trợ lý kiểm toán")</f>
        <v>Trợ lý kiểm toán</v>
      </c>
    </row>
    <row r="466" spans="1:6" x14ac:dyDescent="0.25">
      <c r="A466" s="4" t="str">
        <f ca="1">IFERROR(__xludf.DUMMYFUNCTION("""COMPUTED_VALUE"""),"Công ty TNHH Kết nối và Tư vấn Doanh nghiệp")</f>
        <v>Công ty TNHH Kết nối và Tư vấn Doanh nghiệp</v>
      </c>
      <c r="B466" s="4" t="str">
        <f ca="1">IFERROR(__xludf.DUMMYFUNCTION("""COMPUTED_VALUE"""),"Nguyễn Thị Thu Huyền")</f>
        <v>Nguyễn Thị Thu Huyền</v>
      </c>
      <c r="C466" s="4" t="str">
        <f ca="1">IFERROR(__xludf.DUMMYFUNCTION("""COMPUTED_VALUE"""),"Nữ")</f>
        <v>Nữ</v>
      </c>
      <c r="D466" s="4" t="str">
        <f ca="1">IFERROR(__xludf.DUMMYFUNCTION("""COMPUTED_VALUE"""),"Đại học, Chứng chỉ Kiểm toán viên")</f>
        <v>Đại học, Chứng chỉ Kiểm toán viên</v>
      </c>
      <c r="E466" s="4" t="str">
        <f ca="1">IFERROR(__xludf.DUMMYFUNCTION("""COMPUTED_VALUE"""),"Trên 15 đến 20 năm")</f>
        <v>Trên 15 đến 20 năm</v>
      </c>
      <c r="F466" s="4" t="str">
        <f ca="1">IFERROR(__xludf.DUMMYFUNCTION("""COMPUTED_VALUE"""),"Ban giám đốc")</f>
        <v>Ban giám đốc</v>
      </c>
    </row>
    <row r="467" spans="1:6" x14ac:dyDescent="0.25">
      <c r="A467" s="4" t="str">
        <f ca="1">IFERROR(__xludf.DUMMYFUNCTION("""COMPUTED_VALUE"""),"Công ty TNHH MSA Alliance")</f>
        <v>Công ty TNHH MSA Alliance</v>
      </c>
      <c r="B467" s="4" t="str">
        <f ca="1">IFERROR(__xludf.DUMMYFUNCTION("""COMPUTED_VALUE"""),"Phạm Đình Ân")</f>
        <v>Phạm Đình Ân</v>
      </c>
      <c r="C467" s="4" t="str">
        <f ca="1">IFERROR(__xludf.DUMMYFUNCTION("""COMPUTED_VALUE"""),"Nam")</f>
        <v>Nam</v>
      </c>
      <c r="D467" s="4" t="str">
        <f ca="1">IFERROR(__xludf.DUMMYFUNCTION("""COMPUTED_VALUE"""),"Sau đại học")</f>
        <v>Sau đại học</v>
      </c>
      <c r="E467" s="4" t="str">
        <f ca="1">IFERROR(__xludf.DUMMYFUNCTION("""COMPUTED_VALUE"""),"Trên 20 năm")</f>
        <v>Trên 20 năm</v>
      </c>
      <c r="F467" s="4" t="str">
        <f ca="1">IFERROR(__xludf.DUMMYFUNCTION("""COMPUTED_VALUE"""),"Ban giám đốc")</f>
        <v>Ban giám đốc</v>
      </c>
    </row>
    <row r="468" spans="1:6" x14ac:dyDescent="0.25">
      <c r="A468" s="4" t="str">
        <f ca="1">IFERROR(__xludf.DUMMYFUNCTION("""COMPUTED_VALUE"""),"Công ty TNHH NEXIA STT")</f>
        <v>Công ty TNHH NEXIA STT</v>
      </c>
      <c r="B468" s="4" t="str">
        <f ca="1">IFERROR(__xludf.DUMMYFUNCTION("""COMPUTED_VALUE"""),"Lê ĐÌnh Khang")</f>
        <v>Lê ĐÌnh Khang</v>
      </c>
      <c r="C468" s="4" t="str">
        <f ca="1">IFERROR(__xludf.DUMMYFUNCTION("""COMPUTED_VALUE"""),"Nam")</f>
        <v>Nam</v>
      </c>
      <c r="D468" s="4" t="str">
        <f ca="1">IFERROR(__xludf.DUMMYFUNCTION("""COMPUTED_VALUE"""),"Đại học")</f>
        <v>Đại học</v>
      </c>
      <c r="E468" s="4" t="str">
        <f ca="1">IFERROR(__xludf.DUMMYFUNCTION("""COMPUTED_VALUE"""),"Trên 5 đến 10 năm")</f>
        <v>Trên 5 đến 10 năm</v>
      </c>
      <c r="F468" s="4" t="str">
        <f ca="1">IFERROR(__xludf.DUMMYFUNCTION("""COMPUTED_VALUE"""),"Kiểm toán viên/Trưởng nhóm")</f>
        <v>Kiểm toán viên/Trưởng nhóm</v>
      </c>
    </row>
    <row r="469" spans="1:6" x14ac:dyDescent="0.25">
      <c r="A469" s="4" t="str">
        <f ca="1">IFERROR(__xludf.DUMMYFUNCTION("""COMPUTED_VALUE"""),"Công ty TNHH NEXIA STT")</f>
        <v>Công ty TNHH NEXIA STT</v>
      </c>
      <c r="B469" s="4"/>
      <c r="C469" s="4" t="str">
        <f ca="1">IFERROR(__xludf.DUMMYFUNCTION("""COMPUTED_VALUE"""),"Nam")</f>
        <v>Nam</v>
      </c>
      <c r="D469" s="4" t="str">
        <f ca="1">IFERROR(__xludf.DUMMYFUNCTION("""COMPUTED_VALUE"""),"Đại học")</f>
        <v>Đại học</v>
      </c>
      <c r="E469" s="4" t="str">
        <f ca="1">IFERROR(__xludf.DUMMYFUNCTION("""COMPUTED_VALUE"""),"Từ 3 đến 5 năm")</f>
        <v>Từ 3 đến 5 năm</v>
      </c>
      <c r="F469" s="4" t="str">
        <f ca="1">IFERROR(__xludf.DUMMYFUNCTION("""COMPUTED_VALUE"""),"Trợ lý kiểm toán")</f>
        <v>Trợ lý kiểm toán</v>
      </c>
    </row>
    <row r="470" spans="1:6" x14ac:dyDescent="0.25">
      <c r="A470" s="4" t="str">
        <f ca="1">IFERROR(__xludf.DUMMYFUNCTION("""COMPUTED_VALUE"""),"Công ty TNHH NEXIA STT")</f>
        <v>Công ty TNHH NEXIA STT</v>
      </c>
      <c r="B470" s="4" t="str">
        <f ca="1">IFERROR(__xludf.DUMMYFUNCTION("""COMPUTED_VALUE"""),"Thuý Quỳnh")</f>
        <v>Thuý Quỳnh</v>
      </c>
      <c r="C470" s="4" t="str">
        <f ca="1">IFERROR(__xludf.DUMMYFUNCTION("""COMPUTED_VALUE"""),"Nữ")</f>
        <v>Nữ</v>
      </c>
      <c r="D470" s="4" t="str">
        <f ca="1">IFERROR(__xludf.DUMMYFUNCTION("""COMPUTED_VALUE"""),"Đại học")</f>
        <v>Đại học</v>
      </c>
      <c r="E470" s="4" t="str">
        <f ca="1">IFERROR(__xludf.DUMMYFUNCTION("""COMPUTED_VALUE"""),"Từ 3 đến 5 năm")</f>
        <v>Từ 3 đến 5 năm</v>
      </c>
      <c r="F470" s="4" t="str">
        <f ca="1">IFERROR(__xludf.DUMMYFUNCTION("""COMPUTED_VALUE"""),"Kiểm toán viên/Trưởng nhóm")</f>
        <v>Kiểm toán viên/Trưởng nhóm</v>
      </c>
    </row>
    <row r="471" spans="1:6" x14ac:dyDescent="0.25">
      <c r="A471" s="4" t="str">
        <f ca="1">IFERROR(__xludf.DUMMYFUNCTION("""COMPUTED_VALUE"""),"Công ty TNHH NEXIA STT")</f>
        <v>Công ty TNHH NEXIA STT</v>
      </c>
      <c r="B471" s="4" t="str">
        <f ca="1">IFERROR(__xludf.DUMMYFUNCTION("""COMPUTED_VALUE"""),"Đoàn Hà Anh")</f>
        <v>Đoàn Hà Anh</v>
      </c>
      <c r="C471" s="4" t="str">
        <f ca="1">IFERROR(__xludf.DUMMYFUNCTION("""COMPUTED_VALUE"""),"Nữ")</f>
        <v>Nữ</v>
      </c>
      <c r="D471" s="4" t="str">
        <f ca="1">IFERROR(__xludf.DUMMYFUNCTION("""COMPUTED_VALUE"""),"Đại học")</f>
        <v>Đại học</v>
      </c>
      <c r="E471" s="4" t="str">
        <f ca="1">IFERROR(__xludf.DUMMYFUNCTION("""COMPUTED_VALUE"""),"Từ 3 đến 5 năm")</f>
        <v>Từ 3 đến 5 năm</v>
      </c>
      <c r="F471" s="4" t="str">
        <f ca="1">IFERROR(__xludf.DUMMYFUNCTION("""COMPUTED_VALUE"""),"Kiểm toán viên/Trưởng nhóm")</f>
        <v>Kiểm toán viên/Trưởng nhóm</v>
      </c>
    </row>
    <row r="472" spans="1:6" x14ac:dyDescent="0.25">
      <c r="A472" s="4" t="str">
        <f ca="1">IFERROR(__xludf.DUMMYFUNCTION("""COMPUTED_VALUE"""),"Công ty TNHH Parker Russell Việt Nam (đổi tên từ Công ty TNHH Parker Randall Việt Nam)")</f>
        <v>Công ty TNHH Parker Russell Việt Nam (đổi tên từ Công ty TNHH Parker Randall Việt Nam)</v>
      </c>
      <c r="B472" s="4" t="str">
        <f ca="1">IFERROR(__xludf.DUMMYFUNCTION("""COMPUTED_VALUE"""),"Nguyễn Xuân Cương")</f>
        <v>Nguyễn Xuân Cương</v>
      </c>
      <c r="C472" s="4" t="str">
        <f ca="1">IFERROR(__xludf.DUMMYFUNCTION("""COMPUTED_VALUE"""),"Nam")</f>
        <v>Nam</v>
      </c>
      <c r="D472" s="4" t="str">
        <f ca="1">IFERROR(__xludf.DUMMYFUNCTION("""COMPUTED_VALUE"""),"Chứng chỉ Kiểm toán viên")</f>
        <v>Chứng chỉ Kiểm toán viên</v>
      </c>
      <c r="E472" s="4" t="str">
        <f ca="1">IFERROR(__xludf.DUMMYFUNCTION("""COMPUTED_VALUE"""),"Trên 10 đến 15 năm")</f>
        <v>Trên 10 đến 15 năm</v>
      </c>
      <c r="F472" s="4" t="str">
        <f ca="1">IFERROR(__xludf.DUMMYFUNCTION("""COMPUTED_VALUE"""),"Ban giám đốc")</f>
        <v>Ban giám đốc</v>
      </c>
    </row>
    <row r="473" spans="1:6" x14ac:dyDescent="0.25">
      <c r="A473" s="4" t="str">
        <f ca="1">IFERROR(__xludf.DUMMYFUNCTION("""COMPUTED_VALUE"""),"Công ty TNHH Parker Russell Việt Nam (đổi tên từ Công ty TNHH Parker Randall Việt Nam)")</f>
        <v>Công ty TNHH Parker Russell Việt Nam (đổi tên từ Công ty TNHH Parker Randall Việt Nam)</v>
      </c>
      <c r="B473" s="4" t="str">
        <f ca="1">IFERROR(__xludf.DUMMYFUNCTION("""COMPUTED_VALUE"""),"Trần Võ Thanh Sang")</f>
        <v>Trần Võ Thanh Sang</v>
      </c>
      <c r="C473" s="4" t="str">
        <f ca="1">IFERROR(__xludf.DUMMYFUNCTION("""COMPUTED_VALUE"""),"Nam")</f>
        <v>Nam</v>
      </c>
      <c r="D473" s="4" t="str">
        <f ca="1">IFERROR(__xludf.DUMMYFUNCTION("""COMPUTED_VALUE"""),"Đại học")</f>
        <v>Đại học</v>
      </c>
      <c r="E473" s="4" t="str">
        <f ca="1">IFERROR(__xludf.DUMMYFUNCTION("""COMPUTED_VALUE"""),"Trên 5 đến 10 năm")</f>
        <v>Trên 5 đến 10 năm</v>
      </c>
      <c r="F473" s="4" t="str">
        <f ca="1">IFERROR(__xludf.DUMMYFUNCTION("""COMPUTED_VALUE"""),"Kiểm toán viên/Trưởng nhóm")</f>
        <v>Kiểm toán viên/Trưởng nhóm</v>
      </c>
    </row>
    <row r="474" spans="1:6" x14ac:dyDescent="0.25">
      <c r="A474" s="4" t="str">
        <f ca="1">IFERROR(__xludf.DUMMYFUNCTION("""COMPUTED_VALUE"""),"Công ty TNHH PwC (Việt Nam)")</f>
        <v>Công ty TNHH PwC (Việt Nam)</v>
      </c>
      <c r="B474" s="4" t="str">
        <f ca="1">IFERROR(__xludf.DUMMYFUNCTION("""COMPUTED_VALUE"""),"Hồ Đại")</f>
        <v>Hồ Đại</v>
      </c>
      <c r="C474" s="4" t="str">
        <f ca="1">IFERROR(__xludf.DUMMYFUNCTION("""COMPUTED_VALUE"""),"Nam")</f>
        <v>Nam</v>
      </c>
      <c r="D474" s="4" t="str">
        <f ca="1">IFERROR(__xludf.DUMMYFUNCTION("""COMPUTED_VALUE"""),"Sau đại học")</f>
        <v>Sau đại học</v>
      </c>
      <c r="E474" s="4" t="str">
        <f ca="1">IFERROR(__xludf.DUMMYFUNCTION("""COMPUTED_VALUE"""),"Từ 3 đến 5 năm")</f>
        <v>Từ 3 đến 5 năm</v>
      </c>
      <c r="F474" s="4" t="str">
        <f ca="1">IFERROR(__xludf.DUMMYFUNCTION("""COMPUTED_VALUE"""),"Kiểm toán viên/Trưởng nhóm")</f>
        <v>Kiểm toán viên/Trưởng nhóm</v>
      </c>
    </row>
    <row r="475" spans="1:6" x14ac:dyDescent="0.25">
      <c r="A475" s="4" t="str">
        <f ca="1">IFERROR(__xludf.DUMMYFUNCTION("""COMPUTED_VALUE"""),"Công ty TNHH Sankyu (Việt Nam)")</f>
        <v>Công ty TNHH Sankyu (Việt Nam)</v>
      </c>
      <c r="B475" s="4" t="str">
        <f ca="1">IFERROR(__xludf.DUMMYFUNCTION("""COMPUTED_VALUE"""),"Phù Ngọc Thiên Thanh")</f>
        <v>Phù Ngọc Thiên Thanh</v>
      </c>
      <c r="C475" s="4" t="str">
        <f ca="1">IFERROR(__xludf.DUMMYFUNCTION("""COMPUTED_VALUE"""),"Nữ")</f>
        <v>Nữ</v>
      </c>
      <c r="D475" s="4" t="str">
        <f ca="1">IFERROR(__xludf.DUMMYFUNCTION("""COMPUTED_VALUE"""),"Đại học")</f>
        <v>Đại học</v>
      </c>
      <c r="E475" s="4" t="str">
        <f ca="1">IFERROR(__xludf.DUMMYFUNCTION("""COMPUTED_VALUE"""),"Trên 5 đến 10 năm")</f>
        <v>Trên 5 đến 10 năm</v>
      </c>
      <c r="F475" s="4" t="str">
        <f ca="1">IFERROR(__xludf.DUMMYFUNCTION("""COMPUTED_VALUE"""),"Kiểm toán viên/Trưởng nhóm")</f>
        <v>Kiểm toán viên/Trưởng nhóm</v>
      </c>
    </row>
    <row r="476" spans="1:6" x14ac:dyDescent="0.25">
      <c r="A476" s="4" t="str">
        <f ca="1">IFERROR(__xludf.DUMMYFUNCTION("""COMPUTED_VALUE"""),"Công ty TNHH T.L.C.Auditing")</f>
        <v>Công ty TNHH T.L.C.Auditing</v>
      </c>
      <c r="B476" s="4"/>
      <c r="C476" s="4" t="str">
        <f ca="1">IFERROR(__xludf.DUMMYFUNCTION("""COMPUTED_VALUE"""),"Nam")</f>
        <v>Nam</v>
      </c>
      <c r="D476" s="4" t="str">
        <f ca="1">IFERROR(__xludf.DUMMYFUNCTION("""COMPUTED_VALUE"""),"Sau đại học, Chứng chỉ Kiểm toán viên")</f>
        <v>Sau đại học, Chứng chỉ Kiểm toán viên</v>
      </c>
      <c r="E476" s="4" t="str">
        <f ca="1">IFERROR(__xludf.DUMMYFUNCTION("""COMPUTED_VALUE"""),"Trên 15 đến 20 năm")</f>
        <v>Trên 15 đến 20 năm</v>
      </c>
      <c r="F476" s="4" t="str">
        <f ca="1">IFERROR(__xludf.DUMMYFUNCTION("""COMPUTED_VALUE"""),"Ban giám đốc")</f>
        <v>Ban giám đốc</v>
      </c>
    </row>
    <row r="477" spans="1:6" x14ac:dyDescent="0.25">
      <c r="A477" s="4" t="str">
        <f ca="1">IFERROR(__xludf.DUMMYFUNCTION("""COMPUTED_VALUE"""),"Công ty TNHH Tâm Luxury")</f>
        <v>Công ty TNHH Tâm Luxury</v>
      </c>
      <c r="B477" s="4" t="str">
        <f ca="1">IFERROR(__xludf.DUMMYFUNCTION("""COMPUTED_VALUE"""),"Nguyễn Hà Mi")</f>
        <v>Nguyễn Hà Mi</v>
      </c>
      <c r="C477" s="4" t="str">
        <f ca="1">IFERROR(__xludf.DUMMYFUNCTION("""COMPUTED_VALUE"""),"Nữ")</f>
        <v>Nữ</v>
      </c>
      <c r="D477" s="4" t="str">
        <f ca="1">IFERROR(__xludf.DUMMYFUNCTION("""COMPUTED_VALUE"""),"Sau đại học")</f>
        <v>Sau đại học</v>
      </c>
      <c r="E477" s="4" t="str">
        <f ca="1">IFERROR(__xludf.DUMMYFUNCTION("""COMPUTED_VALUE"""),"Trên 5 đến 10 năm")</f>
        <v>Trên 5 đến 10 năm</v>
      </c>
      <c r="F477" s="4" t="str">
        <f ca="1">IFERROR(__xludf.DUMMYFUNCTION("""COMPUTED_VALUE"""),"Kiểm toán viên/Trưởng nhóm")</f>
        <v>Kiểm toán viên/Trưởng nhóm</v>
      </c>
    </row>
    <row r="478" spans="1:6" x14ac:dyDescent="0.25">
      <c r="A478" s="4" t="str">
        <f ca="1">IFERROR(__xludf.DUMMYFUNCTION("""COMPUTED_VALUE"""),"Công ty TNHH Tư vấn Đầu tư, Tài chính, Kế toán, Thuế -Kiểm toán COM.PT")</f>
        <v>Công ty TNHH Tư vấn Đầu tư, Tài chính, Kế toán, Thuế -Kiểm toán COM.PT</v>
      </c>
      <c r="B478" s="4" t="str">
        <f ca="1">IFERROR(__xludf.DUMMYFUNCTION("""COMPUTED_VALUE"""),"Lê Thị Khánh Linh")</f>
        <v>Lê Thị Khánh Linh</v>
      </c>
      <c r="C478" s="4" t="str">
        <f ca="1">IFERROR(__xludf.DUMMYFUNCTION("""COMPUTED_VALUE"""),"Nữ")</f>
        <v>Nữ</v>
      </c>
      <c r="D478" s="4" t="str">
        <f ca="1">IFERROR(__xludf.DUMMYFUNCTION("""COMPUTED_VALUE"""),"Đại học, Chứng chỉ Kiểm toán viên")</f>
        <v>Đại học, Chứng chỉ Kiểm toán viên</v>
      </c>
      <c r="E478" s="4" t="str">
        <f ca="1">IFERROR(__xludf.DUMMYFUNCTION("""COMPUTED_VALUE"""),"Trên 5 đến 10 năm")</f>
        <v>Trên 5 đến 10 năm</v>
      </c>
      <c r="F478" s="4" t="str">
        <f ca="1">IFERROR(__xludf.DUMMYFUNCTION("""COMPUTED_VALUE"""),"Kiểm toán viên/Trưởng nhóm")</f>
        <v>Kiểm toán viên/Trưởng nhóm</v>
      </c>
    </row>
    <row r="479" spans="1:6" x14ac:dyDescent="0.25">
      <c r="A479" s="4" t="str">
        <f ca="1">IFERROR(__xludf.DUMMYFUNCTION("""COMPUTED_VALUE"""),"Công ty TNHH Tư vấn Đầu tư, Tài chính, Kế toán, Thuế -Kiểm toán COM.PT")</f>
        <v>Công ty TNHH Tư vấn Đầu tư, Tài chính, Kế toán, Thuế -Kiểm toán COM.PT</v>
      </c>
      <c r="B479" s="4" t="str">
        <f ca="1">IFERROR(__xludf.DUMMYFUNCTION("""COMPUTED_VALUE"""),"Nguyễn Thị Tường Vi")</f>
        <v>Nguyễn Thị Tường Vi</v>
      </c>
      <c r="C479" s="4" t="str">
        <f ca="1">IFERROR(__xludf.DUMMYFUNCTION("""COMPUTED_VALUE"""),"Nữ")</f>
        <v>Nữ</v>
      </c>
      <c r="D479" s="4" t="str">
        <f ca="1">IFERROR(__xludf.DUMMYFUNCTION("""COMPUTED_VALUE"""),"Đại học")</f>
        <v>Đại học</v>
      </c>
      <c r="E479" s="4" t="str">
        <f ca="1">IFERROR(__xludf.DUMMYFUNCTION("""COMPUTED_VALUE"""),"Trên 10 đến 15 năm")</f>
        <v>Trên 10 đến 15 năm</v>
      </c>
      <c r="F479" s="4" t="str">
        <f ca="1">IFERROR(__xludf.DUMMYFUNCTION("""COMPUTED_VALUE"""),"Kiểm toán viên/Trưởng nhóm")</f>
        <v>Kiểm toán viên/Trưởng nhóm</v>
      </c>
    </row>
    <row r="480" spans="1:6" x14ac:dyDescent="0.25">
      <c r="A480" s="4" t="str">
        <f ca="1">IFERROR(__xludf.DUMMYFUNCTION("""COMPUTED_VALUE"""),"Công ty TNHH Tư vấn Đầu tư, Tài chính, Kế toán, Thuế -Kiểm toán COM.PT")</f>
        <v>Công ty TNHH Tư vấn Đầu tư, Tài chính, Kế toán, Thuế -Kiểm toán COM.PT</v>
      </c>
      <c r="B480" s="4" t="str">
        <f ca="1">IFERROR(__xludf.DUMMYFUNCTION("""COMPUTED_VALUE"""),"Nguyễn Thị Quỳnh Hương")</f>
        <v>Nguyễn Thị Quỳnh Hương</v>
      </c>
      <c r="C480" s="4" t="str">
        <f ca="1">IFERROR(__xludf.DUMMYFUNCTION("""COMPUTED_VALUE"""),"Nữ")</f>
        <v>Nữ</v>
      </c>
      <c r="D480" s="4" t="str">
        <f ca="1">IFERROR(__xludf.DUMMYFUNCTION("""COMPUTED_VALUE"""),"Sau đại học, Chứng chỉ Kiểm toán viên")</f>
        <v>Sau đại học, Chứng chỉ Kiểm toán viên</v>
      </c>
      <c r="E480" s="4" t="str">
        <f ca="1">IFERROR(__xludf.DUMMYFUNCTION("""COMPUTED_VALUE"""),"Trên 20 năm")</f>
        <v>Trên 20 năm</v>
      </c>
      <c r="F480" s="4" t="str">
        <f ca="1">IFERROR(__xludf.DUMMYFUNCTION("""COMPUTED_VALUE"""),"Ban giám đốc")</f>
        <v>Ban giám đốc</v>
      </c>
    </row>
    <row r="481" spans="1:6" x14ac:dyDescent="0.25">
      <c r="A481" s="4" t="str">
        <f ca="1">IFERROR(__xludf.DUMMYFUNCTION("""COMPUTED_VALUE"""),"Học viện Ngân hàng")</f>
        <v>Học viện Ngân hàng</v>
      </c>
      <c r="B481" s="4" t="str">
        <f ca="1">IFERROR(__xludf.DUMMYFUNCTION("""COMPUTED_VALUE"""),"Trịnh Thị Kim Oanh")</f>
        <v>Trịnh Thị Kim Oanh</v>
      </c>
      <c r="C481" s="4" t="str">
        <f ca="1">IFERROR(__xludf.DUMMYFUNCTION("""COMPUTED_VALUE"""),"Nữ")</f>
        <v>Nữ</v>
      </c>
      <c r="D481" s="4" t="str">
        <f ca="1">IFERROR(__xludf.DUMMYFUNCTION("""COMPUTED_VALUE"""),"Đại học")</f>
        <v>Đại học</v>
      </c>
      <c r="E481" s="4" t="str">
        <f ca="1">IFERROR(__xludf.DUMMYFUNCTION("""COMPUTED_VALUE"""),"Từ 3 đến 5 năm")</f>
        <v>Từ 3 đến 5 năm</v>
      </c>
      <c r="F481" s="4" t="str">
        <f ca="1">IFERROR(__xludf.DUMMYFUNCTION("""COMPUTED_VALUE"""),"Trợ lý kiểm toán")</f>
        <v>Trợ lý kiểm toán</v>
      </c>
    </row>
    <row r="482" spans="1:6" x14ac:dyDescent="0.25">
      <c r="A482" s="4" t="str">
        <f ca="1">IFERROR(__xludf.DUMMYFUNCTION("""COMPUTED_VALUE"""),"Học viện Ngân hàng")</f>
        <v>Học viện Ngân hàng</v>
      </c>
      <c r="B482" s="4" t="str">
        <f ca="1">IFERROR(__xludf.DUMMYFUNCTION("""COMPUTED_VALUE"""),"Nguyễn Ngọc Thảo Vân")</f>
        <v>Nguyễn Ngọc Thảo Vân</v>
      </c>
      <c r="C482" s="4" t="str">
        <f ca="1">IFERROR(__xludf.DUMMYFUNCTION("""COMPUTED_VALUE"""),"Nữ")</f>
        <v>Nữ</v>
      </c>
      <c r="D482" s="4" t="str">
        <f ca="1">IFERROR(__xludf.DUMMYFUNCTION("""COMPUTED_VALUE"""),"Đại học")</f>
        <v>Đại học</v>
      </c>
      <c r="E482" s="4" t="str">
        <f ca="1">IFERROR(__xludf.DUMMYFUNCTION("""COMPUTED_VALUE"""),"Từ 3 đến 5 năm")</f>
        <v>Từ 3 đến 5 năm</v>
      </c>
      <c r="F482" s="4" t="str">
        <f ca="1">IFERROR(__xludf.DUMMYFUNCTION("""COMPUTED_VALUE"""),"Trợ lý kiểm toán")</f>
        <v>Trợ lý kiểm toán</v>
      </c>
    </row>
    <row r="483" spans="1:6" x14ac:dyDescent="0.25">
      <c r="A483" s="4" t="str">
        <f ca="1">IFERROR(__xludf.DUMMYFUNCTION("""COMPUTED_VALUE"""),"Học viện tài chính")</f>
        <v>Học viện tài chính</v>
      </c>
      <c r="B483" s="4" t="str">
        <f ca="1">IFERROR(__xludf.DUMMYFUNCTION("""COMPUTED_VALUE"""),"Nguyễn Minh Anh")</f>
        <v>Nguyễn Minh Anh</v>
      </c>
      <c r="C483" s="4" t="str">
        <f ca="1">IFERROR(__xludf.DUMMYFUNCTION("""COMPUTED_VALUE"""),"Nữ")</f>
        <v>Nữ</v>
      </c>
      <c r="D483" s="4" t="str">
        <f ca="1">IFERROR(__xludf.DUMMYFUNCTION("""COMPUTED_VALUE"""),"Đại học")</f>
        <v>Đại học</v>
      </c>
      <c r="E483" s="4" t="str">
        <f ca="1">IFERROR(__xludf.DUMMYFUNCTION("""COMPUTED_VALUE"""),"Từ 3 đến 5 năm")</f>
        <v>Từ 3 đến 5 năm</v>
      </c>
      <c r="F483" s="4" t="str">
        <f ca="1">IFERROR(__xludf.DUMMYFUNCTION("""COMPUTED_VALUE"""),"Trợ lý kiểm toán")</f>
        <v>Trợ lý kiểm toán</v>
      </c>
    </row>
    <row r="484" spans="1:6" x14ac:dyDescent="0.25">
      <c r="A484" s="4" t="str">
        <f ca="1">IFERROR(__xludf.DUMMYFUNCTION("""COMPUTED_VALUE"""),"Học viện Tài chính")</f>
        <v>Học viện Tài chính</v>
      </c>
      <c r="B484" s="4" t="str">
        <f ca="1">IFERROR(__xludf.DUMMYFUNCTION("""COMPUTED_VALUE"""),"Nguyễn Dương Khánh Linh")</f>
        <v>Nguyễn Dương Khánh Linh</v>
      </c>
      <c r="C484" s="4" t="str">
        <f ca="1">IFERROR(__xludf.DUMMYFUNCTION("""COMPUTED_VALUE"""),"Nữ")</f>
        <v>Nữ</v>
      </c>
      <c r="D484" s="4" t="str">
        <f ca="1">IFERROR(__xludf.DUMMYFUNCTION("""COMPUTED_VALUE"""),"Đại học")</f>
        <v>Đại học</v>
      </c>
      <c r="E484" s="4" t="str">
        <f ca="1">IFERROR(__xludf.DUMMYFUNCTION("""COMPUTED_VALUE"""),"Từ 3 đến 5 năm")</f>
        <v>Từ 3 đến 5 năm</v>
      </c>
      <c r="F484" s="4" t="str">
        <f ca="1">IFERROR(__xludf.DUMMYFUNCTION("""COMPUTED_VALUE"""),"Trợ lý kiểm toán")</f>
        <v>Trợ lý kiểm toán</v>
      </c>
    </row>
    <row r="485" spans="1:6" x14ac:dyDescent="0.25">
      <c r="A485" s="4" t="str">
        <f ca="1">IFERROR(__xludf.DUMMYFUNCTION("""COMPUTED_VALUE"""),"Hồ Chí MInh")</f>
        <v>Hồ Chí MInh</v>
      </c>
      <c r="B485" s="4" t="str">
        <f ca="1">IFERROR(__xludf.DUMMYFUNCTION("""COMPUTED_VALUE"""),"Đặng Tiến Đức")</f>
        <v>Đặng Tiến Đức</v>
      </c>
      <c r="C485" s="4" t="str">
        <f ca="1">IFERROR(__xludf.DUMMYFUNCTION("""COMPUTED_VALUE"""),"Nam")</f>
        <v>Nam</v>
      </c>
      <c r="D485" s="4" t="str">
        <f ca="1">IFERROR(__xludf.DUMMYFUNCTION("""COMPUTED_VALUE"""),"Đại học")</f>
        <v>Đại học</v>
      </c>
      <c r="E485" s="4" t="str">
        <f ca="1">IFERROR(__xludf.DUMMYFUNCTION("""COMPUTED_VALUE"""),"Từ 3 đến 5 năm")</f>
        <v>Từ 3 đến 5 năm</v>
      </c>
      <c r="F485" s="4" t="str">
        <f ca="1">IFERROR(__xludf.DUMMYFUNCTION("""COMPUTED_VALUE"""),"Trợ lý kiểm toán")</f>
        <v>Trợ lý kiểm toán</v>
      </c>
    </row>
    <row r="486" spans="1:6" x14ac:dyDescent="0.25">
      <c r="A486" s="4" t="str">
        <f ca="1">IFERROR(__xludf.DUMMYFUNCTION("""COMPUTED_VALUE"""),"ILA VIETNAM")</f>
        <v>ILA VIETNAM</v>
      </c>
      <c r="B486" s="4" t="str">
        <f ca="1">IFERROR(__xludf.DUMMYFUNCTION("""COMPUTED_VALUE"""),"PHẠM VIẾT TIẾN PHÁT")</f>
        <v>PHẠM VIẾT TIẾN PHÁT</v>
      </c>
      <c r="C486" s="4" t="str">
        <f ca="1">IFERROR(__xludf.DUMMYFUNCTION("""COMPUTED_VALUE"""),"Nam")</f>
        <v>Nam</v>
      </c>
      <c r="D486" s="4" t="str">
        <f ca="1">IFERROR(__xludf.DUMMYFUNCTION("""COMPUTED_VALUE"""),"Đại học")</f>
        <v>Đại học</v>
      </c>
      <c r="E486" s="4" t="str">
        <f ca="1">IFERROR(__xludf.DUMMYFUNCTION("""COMPUTED_VALUE"""),"Trên 5 đến 10 năm")</f>
        <v>Trên 5 đến 10 năm</v>
      </c>
      <c r="F486" s="4" t="str">
        <f ca="1">IFERROR(__xludf.DUMMYFUNCTION("""COMPUTED_VALUE"""),"Kiểm toán viên/Trưởng nhóm")</f>
        <v>Kiểm toán viên/Trưởng nhóm</v>
      </c>
    </row>
    <row r="487" spans="1:6" x14ac:dyDescent="0.25">
      <c r="A487" s="4" t="str">
        <f ca="1">IFERROR(__xludf.DUMMYFUNCTION("""COMPUTED_VALUE"""),"Kiểm toán nhà nước")</f>
        <v>Kiểm toán nhà nước</v>
      </c>
      <c r="B487" s="4" t="str">
        <f ca="1">IFERROR(__xludf.DUMMYFUNCTION("""COMPUTED_VALUE"""),"Nguyễn Tiến Mạnh")</f>
        <v>Nguyễn Tiến Mạnh</v>
      </c>
      <c r="C487" s="4" t="str">
        <f ca="1">IFERROR(__xludf.DUMMYFUNCTION("""COMPUTED_VALUE"""),"Nam")</f>
        <v>Nam</v>
      </c>
      <c r="D487" s="4" t="str">
        <f ca="1">IFERROR(__xludf.DUMMYFUNCTION("""COMPUTED_VALUE"""),"Đại học, Chứng chỉ Kiểm toán viên")</f>
        <v>Đại học, Chứng chỉ Kiểm toán viên</v>
      </c>
      <c r="E487" s="4" t="str">
        <f ca="1">IFERROR(__xludf.DUMMYFUNCTION("""COMPUTED_VALUE"""),"Từ 3 đến 5 năm")</f>
        <v>Từ 3 đến 5 năm</v>
      </c>
      <c r="F487" s="4" t="str">
        <f ca="1">IFERROR(__xludf.DUMMYFUNCTION("""COMPUTED_VALUE"""),"Kiểm toán viên/Trưởng nhóm")</f>
        <v>Kiểm toán viên/Trưởng nhóm</v>
      </c>
    </row>
    <row r="488" spans="1:6" x14ac:dyDescent="0.25">
      <c r="A488" s="4" t="str">
        <f ca="1">IFERROR(__xludf.DUMMYFUNCTION("""COMPUTED_VALUE"""),"Kiểm toán nhà nước khu vực XII")</f>
        <v>Kiểm toán nhà nước khu vực XII</v>
      </c>
      <c r="B488" s="4" t="str">
        <f ca="1">IFERROR(__xludf.DUMMYFUNCTION("""COMPUTED_VALUE"""),"Nguyễn Đức Đình Huấn")</f>
        <v>Nguyễn Đức Đình Huấn</v>
      </c>
      <c r="C488" s="4" t="str">
        <f ca="1">IFERROR(__xludf.DUMMYFUNCTION("""COMPUTED_VALUE"""),"Nam")</f>
        <v>Nam</v>
      </c>
      <c r="D488" s="4" t="str">
        <f ca="1">IFERROR(__xludf.DUMMYFUNCTION("""COMPUTED_VALUE"""),"Sau đại học")</f>
        <v>Sau đại học</v>
      </c>
      <c r="E488" s="4" t="str">
        <f ca="1">IFERROR(__xludf.DUMMYFUNCTION("""COMPUTED_VALUE"""),"Trên 10 đến 15 năm")</f>
        <v>Trên 10 đến 15 năm</v>
      </c>
      <c r="F488" s="4" t="str">
        <f ca="1">IFERROR(__xludf.DUMMYFUNCTION("""COMPUTED_VALUE"""),"Trợ lý kiểm toán")</f>
        <v>Trợ lý kiểm toán</v>
      </c>
    </row>
    <row r="489" spans="1:6" x14ac:dyDescent="0.25">
      <c r="A489" s="4" t="str">
        <f ca="1">IFERROR(__xludf.DUMMYFUNCTION("""COMPUTED_VALUE"""),"Kiểm toán nhà nước khu vực XII")</f>
        <v>Kiểm toán nhà nước khu vực XII</v>
      </c>
      <c r="B489" s="4" t="str">
        <f ca="1">IFERROR(__xludf.DUMMYFUNCTION("""COMPUTED_VALUE"""),"Trần Khánh Nam")</f>
        <v>Trần Khánh Nam</v>
      </c>
      <c r="C489" s="4" t="str">
        <f ca="1">IFERROR(__xludf.DUMMYFUNCTION("""COMPUTED_VALUE"""),"Nam")</f>
        <v>Nam</v>
      </c>
      <c r="D489" s="4" t="str">
        <f ca="1">IFERROR(__xludf.DUMMYFUNCTION("""COMPUTED_VALUE"""),"Đại học")</f>
        <v>Đại học</v>
      </c>
      <c r="E489" s="4" t="str">
        <f ca="1">IFERROR(__xludf.DUMMYFUNCTION("""COMPUTED_VALUE"""),"Từ 3 đến 5 năm")</f>
        <v>Từ 3 đến 5 năm</v>
      </c>
      <c r="F489" s="4" t="str">
        <f ca="1">IFERROR(__xludf.DUMMYFUNCTION("""COMPUTED_VALUE"""),"Trợ lý kiểm toán")</f>
        <v>Trợ lý kiểm toán</v>
      </c>
    </row>
    <row r="490" spans="1:6" x14ac:dyDescent="0.25">
      <c r="A490" s="4" t="str">
        <f ca="1">IFERROR(__xludf.DUMMYFUNCTION("""COMPUTED_VALUE"""),"Kiểm toán nhà nước khu vực XII")</f>
        <v>Kiểm toán nhà nước khu vực XII</v>
      </c>
      <c r="B490" s="4" t="str">
        <f ca="1">IFERROR(__xludf.DUMMYFUNCTION("""COMPUTED_VALUE"""),"Nguyễn Tuấn Hùng")</f>
        <v>Nguyễn Tuấn Hùng</v>
      </c>
      <c r="C490" s="4" t="str">
        <f ca="1">IFERROR(__xludf.DUMMYFUNCTION("""COMPUTED_VALUE"""),"Nam")</f>
        <v>Nam</v>
      </c>
      <c r="D490" s="4" t="str">
        <f ca="1">IFERROR(__xludf.DUMMYFUNCTION("""COMPUTED_VALUE"""),"Đại học")</f>
        <v>Đại học</v>
      </c>
      <c r="E490" s="4" t="str">
        <f ca="1">IFERROR(__xludf.DUMMYFUNCTION("""COMPUTED_VALUE"""),"Từ 3 đến 5 năm")</f>
        <v>Từ 3 đến 5 năm</v>
      </c>
      <c r="F490" s="4" t="str">
        <f ca="1">IFERROR(__xludf.DUMMYFUNCTION("""COMPUTED_VALUE"""),"Kiểm toán viên/Trưởng nhóm")</f>
        <v>Kiểm toán viên/Trưởng nhóm</v>
      </c>
    </row>
    <row r="491" spans="1:6" x14ac:dyDescent="0.25">
      <c r="A491" s="4" t="str">
        <f ca="1">IFERROR(__xludf.DUMMYFUNCTION("""COMPUTED_VALUE"""),"KNIGHT FRANK VIETNAM")</f>
        <v>KNIGHT FRANK VIETNAM</v>
      </c>
      <c r="B491" s="4" t="str">
        <f ca="1">IFERROR(__xludf.DUMMYFUNCTION("""COMPUTED_VALUE"""),"CHÂUO")</f>
        <v>CHÂUO</v>
      </c>
      <c r="C491" s="4" t="str">
        <f ca="1">IFERROR(__xludf.DUMMYFUNCTION("""COMPUTED_VALUE"""),"Nữ")</f>
        <v>Nữ</v>
      </c>
      <c r="D491" s="4" t="str">
        <f ca="1">IFERROR(__xludf.DUMMYFUNCTION("""COMPUTED_VALUE"""),"Đại học")</f>
        <v>Đại học</v>
      </c>
      <c r="E491" s="4" t="str">
        <f ca="1">IFERROR(__xludf.DUMMYFUNCTION("""COMPUTED_VALUE"""),"Trên 20 năm")</f>
        <v>Trên 20 năm</v>
      </c>
      <c r="F491" s="4" t="str">
        <f ca="1">IFERROR(__xludf.DUMMYFUNCTION("""COMPUTED_VALUE"""),"Trưởng phòng")</f>
        <v>Trưởng phòng</v>
      </c>
    </row>
    <row r="492" spans="1:6" x14ac:dyDescent="0.25">
      <c r="A492" s="4" t="str">
        <f ca="1">IFERROR(__xludf.DUMMYFUNCTION("""COMPUTED_VALUE"""),"KTNN")</f>
        <v>KTNN</v>
      </c>
      <c r="B492" s="4" t="str">
        <f ca="1">IFERROR(__xludf.DUMMYFUNCTION("""COMPUTED_VALUE"""),"Lê Hoàng Giang ")</f>
        <v xml:space="preserve">Lê Hoàng Giang </v>
      </c>
      <c r="C492" s="4" t="str">
        <f ca="1">IFERROR(__xludf.DUMMYFUNCTION("""COMPUTED_VALUE"""),"Nam")</f>
        <v>Nam</v>
      </c>
      <c r="D492" s="4" t="str">
        <f ca="1">IFERROR(__xludf.DUMMYFUNCTION("""COMPUTED_VALUE"""),"Sau đại học")</f>
        <v>Sau đại học</v>
      </c>
      <c r="E492" s="4" t="str">
        <f ca="1">IFERROR(__xludf.DUMMYFUNCTION("""COMPUTED_VALUE"""),"Trên 5 đến 10 năm")</f>
        <v>Trên 5 đến 10 năm</v>
      </c>
      <c r="F492" s="4" t="str">
        <f ca="1">IFERROR(__xludf.DUMMYFUNCTION("""COMPUTED_VALUE"""),"Kiểm toán viên/Trưởng nhóm")</f>
        <v>Kiểm toán viên/Trưởng nhóm</v>
      </c>
    </row>
    <row r="493" spans="1:6" x14ac:dyDescent="0.25">
      <c r="A493" s="4" t="str">
        <f ca="1">IFERROR(__xludf.DUMMYFUNCTION("""COMPUTED_VALUE"""),"KTNN")</f>
        <v>KTNN</v>
      </c>
      <c r="B493" s="4" t="str">
        <f ca="1">IFERROR(__xludf.DUMMYFUNCTION("""COMPUTED_VALUE"""),"Nguyễn Đức Hoàng")</f>
        <v>Nguyễn Đức Hoàng</v>
      </c>
      <c r="C493" s="4" t="str">
        <f ca="1">IFERROR(__xludf.DUMMYFUNCTION("""COMPUTED_VALUE"""),"Nam")</f>
        <v>Nam</v>
      </c>
      <c r="D493" s="4" t="str">
        <f ca="1">IFERROR(__xludf.DUMMYFUNCTION("""COMPUTED_VALUE"""),"Đại học")</f>
        <v>Đại học</v>
      </c>
      <c r="E493" s="4" t="str">
        <f ca="1">IFERROR(__xludf.DUMMYFUNCTION("""COMPUTED_VALUE"""),"Trên 20 năm")</f>
        <v>Trên 20 năm</v>
      </c>
      <c r="F493" s="4" t="str">
        <f ca="1">IFERROR(__xludf.DUMMYFUNCTION("""COMPUTED_VALUE"""),"Kiểm toán viên/Trưởng nhóm")</f>
        <v>Kiểm toán viên/Trưởng nhóm</v>
      </c>
    </row>
    <row r="494" spans="1:6" x14ac:dyDescent="0.25">
      <c r="A494" s="4" t="str">
        <f ca="1">IFERROR(__xludf.DUMMYFUNCTION("""COMPUTED_VALUE"""),"KTNN khu vực XII")</f>
        <v>KTNN khu vực XII</v>
      </c>
      <c r="B494" s="4"/>
      <c r="C494" s="4" t="str">
        <f ca="1">IFERROR(__xludf.DUMMYFUNCTION("""COMPUTED_VALUE"""),"Nam")</f>
        <v>Nam</v>
      </c>
      <c r="D494" s="4" t="str">
        <f ca="1">IFERROR(__xludf.DUMMYFUNCTION("""COMPUTED_VALUE"""),"Đại học")</f>
        <v>Đại học</v>
      </c>
      <c r="E494" s="4" t="str">
        <f ca="1">IFERROR(__xludf.DUMMYFUNCTION("""COMPUTED_VALUE"""),"Từ 3 đến 5 năm")</f>
        <v>Từ 3 đến 5 năm</v>
      </c>
      <c r="F494" s="4" t="str">
        <f ca="1">IFERROR(__xludf.DUMMYFUNCTION("""COMPUTED_VALUE"""),"Trợ lý kiểm toán")</f>
        <v>Trợ lý kiểm toán</v>
      </c>
    </row>
    <row r="495" spans="1:6" x14ac:dyDescent="0.25">
      <c r="A495" s="4" t="str">
        <f ca="1">IFERROR(__xludf.DUMMYFUNCTION("""COMPUTED_VALUE"""),"KTNN khu vực XII")</f>
        <v>KTNN khu vực XII</v>
      </c>
      <c r="B495" s="4" t="str">
        <f ca="1">IFERROR(__xludf.DUMMYFUNCTION("""COMPUTED_VALUE"""),"Trần Thị Hoài Thương")</f>
        <v>Trần Thị Hoài Thương</v>
      </c>
      <c r="C495" s="4" t="str">
        <f ca="1">IFERROR(__xludf.DUMMYFUNCTION("""COMPUTED_VALUE"""),"Nữ")</f>
        <v>Nữ</v>
      </c>
      <c r="D495" s="4" t="str">
        <f ca="1">IFERROR(__xludf.DUMMYFUNCTION("""COMPUTED_VALUE"""),"Đại học")</f>
        <v>Đại học</v>
      </c>
      <c r="E495" s="4" t="str">
        <f ca="1">IFERROR(__xludf.DUMMYFUNCTION("""COMPUTED_VALUE"""),"Từ 3 đến 5 năm")</f>
        <v>Từ 3 đến 5 năm</v>
      </c>
      <c r="F495" s="4" t="str">
        <f ca="1">IFERROR(__xludf.DUMMYFUNCTION("""COMPUTED_VALUE"""),"Kiểm toán viên/Trưởng nhóm")</f>
        <v>Kiểm toán viên/Trưởng nhóm</v>
      </c>
    </row>
    <row r="496" spans="1:6" x14ac:dyDescent="0.25">
      <c r="A496" s="4" t="str">
        <f ca="1">IFERROR(__xludf.DUMMYFUNCTION("""COMPUTED_VALUE"""),"KTNN khu vực XII")</f>
        <v>KTNN khu vực XII</v>
      </c>
      <c r="B496" s="4" t="str">
        <f ca="1">IFERROR(__xludf.DUMMYFUNCTION("""COMPUTED_VALUE"""),"Đinh Ngọc Ánh")</f>
        <v>Đinh Ngọc Ánh</v>
      </c>
      <c r="C496" s="4" t="str">
        <f ca="1">IFERROR(__xludf.DUMMYFUNCTION("""COMPUTED_VALUE"""),"Nữ")</f>
        <v>Nữ</v>
      </c>
      <c r="D496" s="4" t="str">
        <f ca="1">IFERROR(__xludf.DUMMYFUNCTION("""COMPUTED_VALUE"""),"Đại học")</f>
        <v>Đại học</v>
      </c>
      <c r="E496" s="4" t="str">
        <f ca="1">IFERROR(__xludf.DUMMYFUNCTION("""COMPUTED_VALUE"""),"Từ 3 đến 5 năm")</f>
        <v>Từ 3 đến 5 năm</v>
      </c>
      <c r="F496" s="4" t="str">
        <f ca="1">IFERROR(__xludf.DUMMYFUNCTION("""COMPUTED_VALUE"""),"Kiểm toán viên/Trưởng nhóm")</f>
        <v>Kiểm toán viên/Trưởng nhóm</v>
      </c>
    </row>
    <row r="497" spans="1:6" x14ac:dyDescent="0.25">
      <c r="A497" s="4" t="str">
        <f ca="1">IFERROR(__xludf.DUMMYFUNCTION("""COMPUTED_VALUE"""),"KTNN KV XII")</f>
        <v>KTNN KV XII</v>
      </c>
      <c r="B497" s="4" t="str">
        <f ca="1">IFERROR(__xludf.DUMMYFUNCTION("""COMPUTED_VALUE"""),"Diệp Tuấn Cường")</f>
        <v>Diệp Tuấn Cường</v>
      </c>
      <c r="C497" s="4" t="str">
        <f ca="1">IFERROR(__xludf.DUMMYFUNCTION("""COMPUTED_VALUE"""),"Nam")</f>
        <v>Nam</v>
      </c>
      <c r="D497" s="4" t="str">
        <f ca="1">IFERROR(__xludf.DUMMYFUNCTION("""COMPUTED_VALUE"""),"Đại học")</f>
        <v>Đại học</v>
      </c>
      <c r="E497" s="4" t="str">
        <f ca="1">IFERROR(__xludf.DUMMYFUNCTION("""COMPUTED_VALUE"""),"Trên 5 đến 10 năm")</f>
        <v>Trên 5 đến 10 năm</v>
      </c>
      <c r="F497" s="4" t="str">
        <f ca="1">IFERROR(__xludf.DUMMYFUNCTION("""COMPUTED_VALUE"""),"Kiểm toán viên/Trưởng nhóm")</f>
        <v>Kiểm toán viên/Trưởng nhóm</v>
      </c>
    </row>
    <row r="498" spans="1:6" x14ac:dyDescent="0.25">
      <c r="A498" s="4" t="str">
        <f ca="1">IFERROR(__xludf.DUMMYFUNCTION("""COMPUTED_VALUE"""),"MSA ALLIANCE LLC")</f>
        <v>MSA ALLIANCE LLC</v>
      </c>
      <c r="B498" s="4" t="str">
        <f ca="1">IFERROR(__xludf.DUMMYFUNCTION("""COMPUTED_VALUE"""),"Le Hong Minh")</f>
        <v>Le Hong Minh</v>
      </c>
      <c r="C498" s="4" t="str">
        <f ca="1">IFERROR(__xludf.DUMMYFUNCTION("""COMPUTED_VALUE"""),"Nam")</f>
        <v>Nam</v>
      </c>
      <c r="D498" s="4" t="str">
        <f ca="1">IFERROR(__xludf.DUMMYFUNCTION("""COMPUTED_VALUE"""),"Sau đại học, Chứng chỉ Kiểm toán viên")</f>
        <v>Sau đại học, Chứng chỉ Kiểm toán viên</v>
      </c>
      <c r="E498" s="4" t="str">
        <f ca="1">IFERROR(__xludf.DUMMYFUNCTION("""COMPUTED_VALUE"""),"Trên 20 năm")</f>
        <v>Trên 20 năm</v>
      </c>
      <c r="F498" s="4" t="str">
        <f ca="1">IFERROR(__xludf.DUMMYFUNCTION("""COMPUTED_VALUE"""),"Ban giám đốc")</f>
        <v>Ban giám đốc</v>
      </c>
    </row>
    <row r="499" spans="1:6" x14ac:dyDescent="0.25">
      <c r="A499" s="4" t="str">
        <f ca="1">IFERROR(__xludf.DUMMYFUNCTION("""COMPUTED_VALUE"""),"MSA ALLIANCE LLC")</f>
        <v>MSA ALLIANCE LLC</v>
      </c>
      <c r="B499" s="4" t="str">
        <f ca="1">IFERROR(__xludf.DUMMYFUNCTION("""COMPUTED_VALUE"""),"Phạm Quỳnh Trân")</f>
        <v>Phạm Quỳnh Trân</v>
      </c>
      <c r="C499" s="4" t="str">
        <f ca="1">IFERROR(__xludf.DUMMYFUNCTION("""COMPUTED_VALUE"""),"Nữ")</f>
        <v>Nữ</v>
      </c>
      <c r="D499" s="4" t="str">
        <f ca="1">IFERROR(__xludf.DUMMYFUNCTION("""COMPUTED_VALUE"""),"Đại học")</f>
        <v>Đại học</v>
      </c>
      <c r="E499" s="4" t="str">
        <f ca="1">IFERROR(__xludf.DUMMYFUNCTION("""COMPUTED_VALUE"""),"Trên 10 đến 15 năm")</f>
        <v>Trên 10 đến 15 năm</v>
      </c>
      <c r="F499" s="4" t="str">
        <f ca="1">IFERROR(__xludf.DUMMYFUNCTION("""COMPUTED_VALUE"""),"Trưởng phòng")</f>
        <v>Trưởng phòng</v>
      </c>
    </row>
    <row r="500" spans="1:6" x14ac:dyDescent="0.25">
      <c r="A500" s="4" t="str">
        <f ca="1">IFERROR(__xludf.DUMMYFUNCTION("""COMPUTED_VALUE"""),"NTV")</f>
        <v>NTV</v>
      </c>
      <c r="B500" s="4" t="str">
        <f ca="1">IFERROR(__xludf.DUMMYFUNCTION("""COMPUTED_VALUE"""),"Lê Thị Tường Vũ")</f>
        <v>Lê Thị Tường Vũ</v>
      </c>
      <c r="C500" s="4" t="str">
        <f ca="1">IFERROR(__xludf.DUMMYFUNCTION("""COMPUTED_VALUE"""),"Nữ")</f>
        <v>Nữ</v>
      </c>
      <c r="D500" s="4" t="str">
        <f ca="1">IFERROR(__xludf.DUMMYFUNCTION("""COMPUTED_VALUE"""),"Đại học")</f>
        <v>Đại học</v>
      </c>
      <c r="E500" s="4" t="str">
        <f ca="1">IFERROR(__xludf.DUMMYFUNCTION("""COMPUTED_VALUE"""),"Từ 3 đến 5 năm")</f>
        <v>Từ 3 đến 5 năm</v>
      </c>
      <c r="F500" s="4" t="str">
        <f ca="1">IFERROR(__xludf.DUMMYFUNCTION("""COMPUTED_VALUE"""),"Trợ lý kiểm toán")</f>
        <v>Trợ lý kiểm toán</v>
      </c>
    </row>
    <row r="501" spans="1:6" x14ac:dyDescent="0.25">
      <c r="A501" s="4" t="str">
        <f ca="1">IFERROR(__xludf.DUMMYFUNCTION("""COMPUTED_VALUE"""),"SANKYU VIET NAM CO., LTD")</f>
        <v>SANKYU VIET NAM CO., LTD</v>
      </c>
      <c r="B501" s="4" t="str">
        <f ca="1">IFERROR(__xludf.DUMMYFUNCTION("""COMPUTED_VALUE"""),"Nguyen Thi Bich Tram")</f>
        <v>Nguyen Thi Bich Tram</v>
      </c>
      <c r="C501" s="4" t="str">
        <f ca="1">IFERROR(__xludf.DUMMYFUNCTION("""COMPUTED_VALUE"""),"Nữ")</f>
        <v>Nữ</v>
      </c>
      <c r="D501" s="4" t="str">
        <f ca="1">IFERROR(__xludf.DUMMYFUNCTION("""COMPUTED_VALUE"""),"Sau đại học")</f>
        <v>Sau đại học</v>
      </c>
      <c r="E501" s="4" t="str">
        <f ca="1">IFERROR(__xludf.DUMMYFUNCTION("""COMPUTED_VALUE"""),"Trên 20 năm")</f>
        <v>Trên 20 năm</v>
      </c>
      <c r="F501" s="4" t="str">
        <f ca="1">IFERROR(__xludf.DUMMYFUNCTION("""COMPUTED_VALUE"""),"Trưởng phòng")</f>
        <v>Trưởng phòng</v>
      </c>
    </row>
    <row r="502" spans="1:6" x14ac:dyDescent="0.25">
      <c r="A502" s="4" t="str">
        <f ca="1">IFERROR(__xludf.DUMMYFUNCTION("""COMPUTED_VALUE"""),"Thành phố Hồ Chí Minh")</f>
        <v>Thành phố Hồ Chí Minh</v>
      </c>
      <c r="B502" s="4" t="str">
        <f ca="1">IFERROR(__xludf.DUMMYFUNCTION("""COMPUTED_VALUE"""),"Dỗ Lê Gia Hân")</f>
        <v>Dỗ Lê Gia Hân</v>
      </c>
      <c r="C502" s="4" t="str">
        <f ca="1">IFERROR(__xludf.DUMMYFUNCTION("""COMPUTED_VALUE"""),"Nữ")</f>
        <v>Nữ</v>
      </c>
      <c r="D502" s="4" t="str">
        <f ca="1">IFERROR(__xludf.DUMMYFUNCTION("""COMPUTED_VALUE"""),"Đại học")</f>
        <v>Đại học</v>
      </c>
      <c r="E502" s="4" t="str">
        <f ca="1">IFERROR(__xludf.DUMMYFUNCTION("""COMPUTED_VALUE"""),"Từ 3 đến 5 năm")</f>
        <v>Từ 3 đến 5 năm</v>
      </c>
      <c r="F502" s="4" t="str">
        <f ca="1">IFERROR(__xludf.DUMMYFUNCTION("""COMPUTED_VALUE"""),"Trợ lý kiểm toán")</f>
        <v>Trợ lý kiểm toán</v>
      </c>
    </row>
    <row r="503" spans="1:6" x14ac:dyDescent="0.25">
      <c r="A503" s="4" t="str">
        <f ca="1">IFERROR(__xludf.DUMMYFUNCTION("""COMPUTED_VALUE"""),"Trường Đại học Kinh tế - ĐHQGHN")</f>
        <v>Trường Đại học Kinh tế - ĐHQGHN</v>
      </c>
      <c r="B503" s="4" t="str">
        <f ca="1">IFERROR(__xludf.DUMMYFUNCTION("""COMPUTED_VALUE"""),"Nguyễn Thị Ánh Tuyết")</f>
        <v>Nguyễn Thị Ánh Tuyết</v>
      </c>
      <c r="C503" s="4" t="str">
        <f ca="1">IFERROR(__xludf.DUMMYFUNCTION("""COMPUTED_VALUE"""),"Nữ")</f>
        <v>Nữ</v>
      </c>
      <c r="D503" s="4" t="str">
        <f ca="1">IFERROR(__xludf.DUMMYFUNCTION("""COMPUTED_VALUE"""),"Đại học")</f>
        <v>Đại học</v>
      </c>
      <c r="E503" s="4" t="str">
        <f ca="1">IFERROR(__xludf.DUMMYFUNCTION("""COMPUTED_VALUE"""),"Từ 3 đến 5 năm")</f>
        <v>Từ 3 đến 5 năm</v>
      </c>
      <c r="F503" s="4" t="str">
        <f ca="1">IFERROR(__xludf.DUMMYFUNCTION("""COMPUTED_VALUE"""),"Trợ lý kiểm toán")</f>
        <v>Trợ lý kiểm toán</v>
      </c>
    </row>
    <row r="504" spans="1:6" x14ac:dyDescent="0.25">
      <c r="A504" s="4" t="str">
        <f ca="1">IFERROR(__xludf.DUMMYFUNCTION("""COMPUTED_VALUE"""),"Trường Đại học Ngoại thương")</f>
        <v>Trường Đại học Ngoại thương</v>
      </c>
      <c r="B504" s="4" t="str">
        <f ca="1">IFERROR(__xludf.DUMMYFUNCTION("""COMPUTED_VALUE"""),"Lê Thị Hà Phương")</f>
        <v>Lê Thị Hà Phương</v>
      </c>
      <c r="C504" s="4" t="str">
        <f ca="1">IFERROR(__xludf.DUMMYFUNCTION("""COMPUTED_VALUE"""),"Nữ")</f>
        <v>Nữ</v>
      </c>
      <c r="D504" s="4" t="str">
        <f ca="1">IFERROR(__xludf.DUMMYFUNCTION("""COMPUTED_VALUE"""),"Đại học")</f>
        <v>Đại học</v>
      </c>
      <c r="E504" s="4" t="str">
        <f ca="1">IFERROR(__xludf.DUMMYFUNCTION("""COMPUTED_VALUE"""),"Từ 3 đến 5 năm")</f>
        <v>Từ 3 đến 5 năm</v>
      </c>
      <c r="F504" s="4" t="str">
        <f ca="1">IFERROR(__xludf.DUMMYFUNCTION("""COMPUTED_VALUE"""),"Trợ lý kiểm toán")</f>
        <v>Trợ lý kiểm toán</v>
      </c>
    </row>
    <row r="505" spans="1:6" x14ac:dyDescent="0.25">
      <c r="A505" s="4" t="str">
        <f ca="1">IFERROR(__xludf.DUMMYFUNCTION("""COMPUTED_VALUE"""),"Đại học Kinh tế Quốc Dân")</f>
        <v>Đại học Kinh tế Quốc Dân</v>
      </c>
      <c r="B505" s="4" t="str">
        <f ca="1">IFERROR(__xludf.DUMMYFUNCTION("""COMPUTED_VALUE"""),"Hoàng Thị Thanh Trà")</f>
        <v>Hoàng Thị Thanh Trà</v>
      </c>
      <c r="C505" s="4" t="str">
        <f ca="1">IFERROR(__xludf.DUMMYFUNCTION("""COMPUTED_VALUE"""),"Nữ")</f>
        <v>Nữ</v>
      </c>
      <c r="D505" s="4" t="str">
        <f ca="1">IFERROR(__xludf.DUMMYFUNCTION("""COMPUTED_VALUE"""),"Đại học")</f>
        <v>Đại học</v>
      </c>
      <c r="E505" s="4" t="str">
        <f ca="1">IFERROR(__xludf.DUMMYFUNCTION("""COMPUTED_VALUE"""),"Từ 3 đến 5 năm")</f>
        <v>Từ 3 đến 5 năm</v>
      </c>
      <c r="F505" s="4" t="str">
        <f ca="1">IFERROR(__xludf.DUMMYFUNCTION("""COMPUTED_VALUE"""),"Trợ lý kiểm toán")</f>
        <v>Trợ lý kiểm toán</v>
      </c>
    </row>
    <row r="506" spans="1:6" x14ac:dyDescent="0.25">
      <c r="A506" s="4" t="str">
        <f ca="1">IFERROR(__xludf.DUMMYFUNCTION("""COMPUTED_VALUE"""),"Đại học Kinh tế Quốc dân")</f>
        <v>Đại học Kinh tế Quốc dân</v>
      </c>
      <c r="B506" s="4" t="str">
        <f ca="1">IFERROR(__xludf.DUMMYFUNCTION("""COMPUTED_VALUE"""),"Nguyễn Thị Hồng Gấm")</f>
        <v>Nguyễn Thị Hồng Gấm</v>
      </c>
      <c r="C506" s="4" t="str">
        <f ca="1">IFERROR(__xludf.DUMMYFUNCTION("""COMPUTED_VALUE"""),"Nữ")</f>
        <v>Nữ</v>
      </c>
      <c r="D506" s="4" t="str">
        <f ca="1">IFERROR(__xludf.DUMMYFUNCTION("""COMPUTED_VALUE"""),"Đại học")</f>
        <v>Đại học</v>
      </c>
      <c r="E506" s="4" t="str">
        <f ca="1">IFERROR(__xludf.DUMMYFUNCTION("""COMPUTED_VALUE"""),"Từ 3 đến 5 năm")</f>
        <v>Từ 3 đến 5 năm</v>
      </c>
      <c r="F506" s="4" t="str">
        <f ca="1">IFERROR(__xludf.DUMMYFUNCTION("""COMPUTED_VALUE"""),"Trợ lý kiểm toán")</f>
        <v>Trợ lý kiểm toán</v>
      </c>
    </row>
    <row r="507" spans="1:6" x14ac:dyDescent="0.25">
      <c r="A507" s="4" t="str">
        <f ca="1">IFERROR(__xludf.DUMMYFUNCTION("""COMPUTED_VALUE"""),"Đại học Kinh tế Quốc dân")</f>
        <v>Đại học Kinh tế Quốc dân</v>
      </c>
      <c r="B507" s="4" t="str">
        <f ca="1">IFERROR(__xludf.DUMMYFUNCTION("""COMPUTED_VALUE"""),"Vũ Như Quỳnh")</f>
        <v>Vũ Như Quỳnh</v>
      </c>
      <c r="C507" s="4" t="str">
        <f ca="1">IFERROR(__xludf.DUMMYFUNCTION("""COMPUTED_VALUE"""),"Nữ")</f>
        <v>Nữ</v>
      </c>
      <c r="D507" s="4" t="str">
        <f ca="1">IFERROR(__xludf.DUMMYFUNCTION("""COMPUTED_VALUE"""),"Đại học")</f>
        <v>Đại học</v>
      </c>
      <c r="E507" s="4" t="str">
        <f ca="1">IFERROR(__xludf.DUMMYFUNCTION("""COMPUTED_VALUE"""),"Từ 3 đến 5 năm")</f>
        <v>Từ 3 đến 5 năm</v>
      </c>
      <c r="F507" s="4" t="str">
        <f ca="1">IFERROR(__xludf.DUMMYFUNCTION("""COMPUTED_VALUE"""),"Trợ lý kiểm toán")</f>
        <v>Trợ lý kiểm toán</v>
      </c>
    </row>
    <row r="508" spans="1:6" x14ac:dyDescent="0.25">
      <c r="A508" s="4" t="str">
        <f ca="1">IFERROR(__xludf.DUMMYFUNCTION("""COMPUTED_VALUE"""),"Đại học Kinh tế Quốc dân")</f>
        <v>Đại học Kinh tế Quốc dân</v>
      </c>
      <c r="B508" s="4" t="str">
        <f ca="1">IFERROR(__xludf.DUMMYFUNCTION("""COMPUTED_VALUE"""),"Đỗ Thùy Chinh")</f>
        <v>Đỗ Thùy Chinh</v>
      </c>
      <c r="C508" s="4" t="str">
        <f ca="1">IFERROR(__xludf.DUMMYFUNCTION("""COMPUTED_VALUE"""),"Nữ")</f>
        <v>Nữ</v>
      </c>
      <c r="D508" s="4" t="str">
        <f ca="1">IFERROR(__xludf.DUMMYFUNCTION("""COMPUTED_VALUE"""),"Đại học")</f>
        <v>Đại học</v>
      </c>
      <c r="E508" s="4" t="str">
        <f ca="1">IFERROR(__xludf.DUMMYFUNCTION("""COMPUTED_VALUE"""),"Từ 3 đến 5 năm")</f>
        <v>Từ 3 đến 5 năm</v>
      </c>
      <c r="F508" s="4" t="str">
        <f ca="1">IFERROR(__xludf.DUMMYFUNCTION("""COMPUTED_VALUE"""),"Trợ lý kiểm toán")</f>
        <v>Trợ lý kiểm toán</v>
      </c>
    </row>
    <row r="509" spans="1:6" x14ac:dyDescent="0.25">
      <c r="A509" s="4" t="str">
        <f ca="1">IFERROR(__xludf.DUMMYFUNCTION("""COMPUTED_VALUE"""),"Đại học Kinh tế Quốc dân")</f>
        <v>Đại học Kinh tế Quốc dân</v>
      </c>
      <c r="B509" s="4" t="str">
        <f ca="1">IFERROR(__xludf.DUMMYFUNCTION("""COMPUTED_VALUE"""),"Phạm Thị Lan Anh")</f>
        <v>Phạm Thị Lan Anh</v>
      </c>
      <c r="C509" s="4" t="str">
        <f ca="1">IFERROR(__xludf.DUMMYFUNCTION("""COMPUTED_VALUE"""),"Nữ")</f>
        <v>Nữ</v>
      </c>
      <c r="D509" s="4" t="str">
        <f ca="1">IFERROR(__xludf.DUMMYFUNCTION("""COMPUTED_VALUE"""),"Đại học")</f>
        <v>Đại học</v>
      </c>
      <c r="E509" s="4" t="str">
        <f ca="1">IFERROR(__xludf.DUMMYFUNCTION("""COMPUTED_VALUE"""),"Từ 3 đến 5 năm")</f>
        <v>Từ 3 đến 5 năm</v>
      </c>
      <c r="F509" s="4" t="str">
        <f ca="1">IFERROR(__xludf.DUMMYFUNCTION("""COMPUTED_VALUE"""),"Trợ lý kiểm toán")</f>
        <v>Trợ lý kiểm toán</v>
      </c>
    </row>
    <row r="510" spans="1:6" x14ac:dyDescent="0.25">
      <c r="A510" s="4" t="str">
        <f ca="1">IFERROR(__xludf.DUMMYFUNCTION("""COMPUTED_VALUE"""),"Đại học Kinh tế quốc dân")</f>
        <v>Đại học Kinh tế quốc dân</v>
      </c>
      <c r="B510" s="4" t="str">
        <f ca="1">IFERROR(__xludf.DUMMYFUNCTION("""COMPUTED_VALUE"""),"Nguyễn Vân Anh")</f>
        <v>Nguyễn Vân Anh</v>
      </c>
      <c r="C510" s="4" t="str">
        <f ca="1">IFERROR(__xludf.DUMMYFUNCTION("""COMPUTED_VALUE"""),"Nữ")</f>
        <v>Nữ</v>
      </c>
      <c r="D510" s="4" t="str">
        <f ca="1">IFERROR(__xludf.DUMMYFUNCTION("""COMPUTED_VALUE"""),"Đại học")</f>
        <v>Đại học</v>
      </c>
      <c r="E510" s="4" t="str">
        <f ca="1">IFERROR(__xludf.DUMMYFUNCTION("""COMPUTED_VALUE"""),"Từ 3 đến 5 năm")</f>
        <v>Từ 3 đến 5 năm</v>
      </c>
      <c r="F510" s="4" t="str">
        <f ca="1">IFERROR(__xludf.DUMMYFUNCTION("""COMPUTED_VALUE"""),"Trợ lý kiểm toán")</f>
        <v>Trợ lý kiểm toán</v>
      </c>
    </row>
    <row r="511" spans="1:6" x14ac:dyDescent="0.25">
      <c r="A511" s="4" t="str">
        <f ca="1">IFERROR(__xludf.DUMMYFUNCTION("""COMPUTED_VALUE"""),"Đại học Kinh tế Quốc dân")</f>
        <v>Đại học Kinh tế Quốc dân</v>
      </c>
      <c r="B511" s="4" t="str">
        <f ca="1">IFERROR(__xludf.DUMMYFUNCTION("""COMPUTED_VALUE"""),"Đặng Minh Quân")</f>
        <v>Đặng Minh Quân</v>
      </c>
      <c r="C511" s="4" t="str">
        <f ca="1">IFERROR(__xludf.DUMMYFUNCTION("""COMPUTED_VALUE"""),"Nam")</f>
        <v>Nam</v>
      </c>
      <c r="D511" s="4" t="str">
        <f ca="1">IFERROR(__xludf.DUMMYFUNCTION("""COMPUTED_VALUE"""),"Đại học")</f>
        <v>Đại học</v>
      </c>
      <c r="E511" s="4" t="str">
        <f ca="1">IFERROR(__xludf.DUMMYFUNCTION("""COMPUTED_VALUE"""),"Từ 3 đến 5 năm")</f>
        <v>Từ 3 đến 5 năm</v>
      </c>
      <c r="F511" s="4" t="str">
        <f ca="1">IFERROR(__xludf.DUMMYFUNCTION("""COMPUTED_VALUE"""),"Trợ lý kiểm toán")</f>
        <v>Trợ lý kiểm toán</v>
      </c>
    </row>
  </sheetData>
  <autoFilter ref="A1:F497"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502"/>
  <sheetViews>
    <sheetView workbookViewId="0"/>
  </sheetViews>
  <sheetFormatPr defaultColWidth="12.6640625" defaultRowHeight="15.75" customHeight="1" x14ac:dyDescent="0.25"/>
  <cols>
    <col min="1" max="1" width="80.77734375" customWidth="1"/>
  </cols>
  <sheetData>
    <row r="1" spans="1:2" x14ac:dyDescent="0.25">
      <c r="A1" s="4" t="s">
        <v>67</v>
      </c>
      <c r="B1" s="4" t="s">
        <v>1371</v>
      </c>
    </row>
    <row r="2" spans="1:2" x14ac:dyDescent="0.25">
      <c r="A2" s="4" t="s">
        <v>74</v>
      </c>
      <c r="B2" s="4" t="s">
        <v>70</v>
      </c>
    </row>
    <row r="3" spans="1:2" x14ac:dyDescent="0.25">
      <c r="A3" s="4" t="s">
        <v>80</v>
      </c>
      <c r="B3" s="4" t="s">
        <v>70</v>
      </c>
    </row>
    <row r="4" spans="1:2" x14ac:dyDescent="0.25">
      <c r="A4" s="4" t="s">
        <v>84</v>
      </c>
      <c r="B4" s="4" t="s">
        <v>70</v>
      </c>
    </row>
    <row r="5" spans="1:2" x14ac:dyDescent="0.25">
      <c r="A5" s="4" t="s">
        <v>89</v>
      </c>
      <c r="B5" s="4" t="s">
        <v>70</v>
      </c>
    </row>
    <row r="6" spans="1:2" x14ac:dyDescent="0.25">
      <c r="A6" s="4" t="s">
        <v>92</v>
      </c>
      <c r="B6" s="4" t="s">
        <v>70</v>
      </c>
    </row>
    <row r="7" spans="1:2" x14ac:dyDescent="0.25">
      <c r="A7" s="4" t="s">
        <v>95</v>
      </c>
      <c r="B7" s="4" t="s">
        <v>70</v>
      </c>
    </row>
    <row r="8" spans="1:2" x14ac:dyDescent="0.25">
      <c r="A8" s="4" t="s">
        <v>97</v>
      </c>
      <c r="B8" s="4" t="s">
        <v>70</v>
      </c>
    </row>
    <row r="9" spans="1:2" x14ac:dyDescent="0.25">
      <c r="A9" s="4" t="s">
        <v>100</v>
      </c>
      <c r="B9" s="4" t="s">
        <v>70</v>
      </c>
    </row>
    <row r="10" spans="1:2" x14ac:dyDescent="0.25">
      <c r="A10" s="4" t="s">
        <v>101</v>
      </c>
      <c r="B10" s="4" t="s">
        <v>70</v>
      </c>
    </row>
    <row r="11" spans="1:2" x14ac:dyDescent="0.25">
      <c r="A11" s="4" t="s">
        <v>104</v>
      </c>
      <c r="B11" s="4" t="s">
        <v>70</v>
      </c>
    </row>
    <row r="12" spans="1:2" x14ac:dyDescent="0.25">
      <c r="A12" s="4" t="s">
        <v>107</v>
      </c>
      <c r="B12" s="4" t="s">
        <v>1592</v>
      </c>
    </row>
    <row r="13" spans="1:2" x14ac:dyDescent="0.25">
      <c r="A13" s="4" t="s">
        <v>109</v>
      </c>
      <c r="B13" s="4" t="s">
        <v>1592</v>
      </c>
    </row>
    <row r="14" spans="1:2" x14ac:dyDescent="0.25">
      <c r="A14" s="4" t="s">
        <v>112</v>
      </c>
      <c r="B14" s="4" t="s">
        <v>1592</v>
      </c>
    </row>
    <row r="15" spans="1:2" x14ac:dyDescent="0.25">
      <c r="A15" s="4" t="s">
        <v>114</v>
      </c>
      <c r="B15" s="4" t="s">
        <v>1592</v>
      </c>
    </row>
    <row r="16" spans="1:2" x14ac:dyDescent="0.25">
      <c r="A16" s="4" t="s">
        <v>116</v>
      </c>
      <c r="B16" s="4" t="s">
        <v>1592</v>
      </c>
    </row>
    <row r="17" spans="1:2" x14ac:dyDescent="0.25">
      <c r="A17" s="4" t="s">
        <v>120</v>
      </c>
      <c r="B17" s="4" t="s">
        <v>493</v>
      </c>
    </row>
    <row r="18" spans="1:2" x14ac:dyDescent="0.25">
      <c r="A18" s="4" t="s">
        <v>122</v>
      </c>
      <c r="B18" s="4" t="s">
        <v>1592</v>
      </c>
    </row>
    <row r="19" spans="1:2" x14ac:dyDescent="0.25">
      <c r="A19" s="4" t="s">
        <v>124</v>
      </c>
      <c r="B19" s="4" t="s">
        <v>70</v>
      </c>
    </row>
    <row r="20" spans="1:2" x14ac:dyDescent="0.25">
      <c r="A20" s="4" t="s">
        <v>127</v>
      </c>
      <c r="B20" s="4" t="s">
        <v>1593</v>
      </c>
    </row>
    <row r="21" spans="1:2" x14ac:dyDescent="0.25">
      <c r="A21" s="4" t="s">
        <v>130</v>
      </c>
      <c r="B21" s="4" t="s">
        <v>1592</v>
      </c>
    </row>
    <row r="22" spans="1:2" x14ac:dyDescent="0.25">
      <c r="A22" s="4" t="s">
        <v>132</v>
      </c>
      <c r="B22" s="4" t="s">
        <v>70</v>
      </c>
    </row>
    <row r="23" spans="1:2" x14ac:dyDescent="0.25">
      <c r="A23" s="4" t="s">
        <v>135</v>
      </c>
      <c r="B23" s="4" t="s">
        <v>318</v>
      </c>
    </row>
    <row r="24" spans="1:2" x14ac:dyDescent="0.25">
      <c r="A24" s="4" t="s">
        <v>138</v>
      </c>
      <c r="B24" s="4" t="s">
        <v>169</v>
      </c>
    </row>
    <row r="25" spans="1:2" x14ac:dyDescent="0.25">
      <c r="A25" s="4" t="s">
        <v>142</v>
      </c>
      <c r="B25" s="4" t="s">
        <v>1594</v>
      </c>
    </row>
    <row r="26" spans="1:2" x14ac:dyDescent="0.25">
      <c r="A26" s="4" t="s">
        <v>144</v>
      </c>
      <c r="B26" s="4" t="s">
        <v>318</v>
      </c>
    </row>
    <row r="27" spans="1:2" x14ac:dyDescent="0.25">
      <c r="A27" s="4" t="s">
        <v>146</v>
      </c>
      <c r="B27" s="4" t="s">
        <v>318</v>
      </c>
    </row>
    <row r="28" spans="1:2" x14ac:dyDescent="0.25">
      <c r="A28" s="4" t="s">
        <v>149</v>
      </c>
      <c r="B28" s="4" t="s">
        <v>1595</v>
      </c>
    </row>
    <row r="29" spans="1:2" x14ac:dyDescent="0.25">
      <c r="A29" s="4" t="s">
        <v>152</v>
      </c>
      <c r="B29" s="4" t="s">
        <v>151</v>
      </c>
    </row>
    <row r="30" spans="1:2" x14ac:dyDescent="0.25">
      <c r="A30" s="4" t="s">
        <v>155</v>
      </c>
      <c r="B30" s="4" t="s">
        <v>318</v>
      </c>
    </row>
    <row r="31" spans="1:2" x14ac:dyDescent="0.25">
      <c r="A31" s="4" t="s">
        <v>158</v>
      </c>
      <c r="B31" s="4" t="s">
        <v>151</v>
      </c>
    </row>
    <row r="32" spans="1:2" x14ac:dyDescent="0.25">
      <c r="A32" s="4" t="s">
        <v>161</v>
      </c>
      <c r="B32" s="4" t="s">
        <v>160</v>
      </c>
    </row>
    <row r="33" spans="1:2" x14ac:dyDescent="0.25">
      <c r="A33" s="4" t="s">
        <v>165</v>
      </c>
      <c r="B33" s="4" t="s">
        <v>1596</v>
      </c>
    </row>
    <row r="34" spans="1:2" x14ac:dyDescent="0.25">
      <c r="A34" s="4" t="s">
        <v>167</v>
      </c>
      <c r="B34" s="4" t="s">
        <v>70</v>
      </c>
    </row>
    <row r="35" spans="1:2" x14ac:dyDescent="0.25">
      <c r="A35" s="4" t="s">
        <v>170</v>
      </c>
      <c r="B35" s="4" t="s">
        <v>169</v>
      </c>
    </row>
    <row r="36" spans="1:2" x14ac:dyDescent="0.25">
      <c r="A36" s="4" t="s">
        <v>173</v>
      </c>
      <c r="B36" s="4" t="s">
        <v>172</v>
      </c>
    </row>
    <row r="37" spans="1:2" x14ac:dyDescent="0.25">
      <c r="A37" s="4" t="s">
        <v>176</v>
      </c>
      <c r="B37" s="4" t="s">
        <v>169</v>
      </c>
    </row>
    <row r="38" spans="1:2" x14ac:dyDescent="0.25">
      <c r="A38" s="4" t="s">
        <v>179</v>
      </c>
      <c r="B38" s="4" t="s">
        <v>151</v>
      </c>
    </row>
    <row r="39" spans="1:2" x14ac:dyDescent="0.25">
      <c r="A39" s="4" t="s">
        <v>181</v>
      </c>
      <c r="B39" s="4" t="s">
        <v>151</v>
      </c>
    </row>
    <row r="40" spans="1:2" x14ac:dyDescent="0.25">
      <c r="A40" s="4" t="s">
        <v>182</v>
      </c>
      <c r="B40" s="4" t="s">
        <v>151</v>
      </c>
    </row>
    <row r="41" spans="1:2" x14ac:dyDescent="0.25">
      <c r="A41" s="4" t="s">
        <v>183</v>
      </c>
      <c r="B41" s="4" t="s">
        <v>318</v>
      </c>
    </row>
    <row r="42" spans="1:2" x14ac:dyDescent="0.25">
      <c r="A42" s="4" t="s">
        <v>186</v>
      </c>
      <c r="B42" s="4" t="s">
        <v>344</v>
      </c>
    </row>
    <row r="43" spans="1:2" x14ac:dyDescent="0.25">
      <c r="A43" s="4" t="s">
        <v>190</v>
      </c>
      <c r="B43" s="4" t="s">
        <v>1310</v>
      </c>
    </row>
    <row r="44" spans="1:2" x14ac:dyDescent="0.25">
      <c r="A44" s="4" t="s">
        <v>193</v>
      </c>
      <c r="B44" s="4" t="s">
        <v>151</v>
      </c>
    </row>
    <row r="45" spans="1:2" x14ac:dyDescent="0.25">
      <c r="A45" s="4" t="s">
        <v>196</v>
      </c>
      <c r="B45" s="4" t="s">
        <v>195</v>
      </c>
    </row>
    <row r="46" spans="1:2" x14ac:dyDescent="0.25">
      <c r="A46" s="4" t="s">
        <v>199</v>
      </c>
      <c r="B46" s="4" t="s">
        <v>198</v>
      </c>
    </row>
    <row r="47" spans="1:2" x14ac:dyDescent="0.25">
      <c r="A47" s="4" t="s">
        <v>202</v>
      </c>
      <c r="B47" s="4" t="s">
        <v>1134</v>
      </c>
    </row>
    <row r="48" spans="1:2" x14ac:dyDescent="0.25">
      <c r="A48" s="4" t="s">
        <v>205</v>
      </c>
      <c r="B48" s="4" t="s">
        <v>204</v>
      </c>
    </row>
    <row r="49" spans="1:2" x14ac:dyDescent="0.25">
      <c r="A49" s="4" t="s">
        <v>208</v>
      </c>
      <c r="B49" s="4" t="s">
        <v>213</v>
      </c>
    </row>
    <row r="50" spans="1:2" x14ac:dyDescent="0.25">
      <c r="A50" s="4" t="s">
        <v>211</v>
      </c>
      <c r="B50" s="4" t="s">
        <v>210</v>
      </c>
    </row>
    <row r="51" spans="1:2" x14ac:dyDescent="0.25">
      <c r="A51" s="4" t="s">
        <v>214</v>
      </c>
      <c r="B51" s="4" t="s">
        <v>213</v>
      </c>
    </row>
    <row r="52" spans="1:2" x14ac:dyDescent="0.25">
      <c r="A52" s="4" t="s">
        <v>215</v>
      </c>
      <c r="B52" s="4" t="s">
        <v>213</v>
      </c>
    </row>
    <row r="53" spans="1:2" x14ac:dyDescent="0.25">
      <c r="A53" s="4" t="s">
        <v>218</v>
      </c>
      <c r="B53" s="4" t="s">
        <v>70</v>
      </c>
    </row>
    <row r="54" spans="1:2" x14ac:dyDescent="0.25">
      <c r="A54" s="4" t="s">
        <v>220</v>
      </c>
      <c r="B54" s="4" t="s">
        <v>70</v>
      </c>
    </row>
    <row r="55" spans="1:2" x14ac:dyDescent="0.25">
      <c r="A55" s="4" t="s">
        <v>223</v>
      </c>
      <c r="B55" s="4" t="s">
        <v>236</v>
      </c>
    </row>
    <row r="56" spans="1:2" x14ac:dyDescent="0.25">
      <c r="A56" s="4" t="s">
        <v>226</v>
      </c>
      <c r="B56" s="4" t="s">
        <v>225</v>
      </c>
    </row>
    <row r="57" spans="1:2" x14ac:dyDescent="0.25">
      <c r="A57" s="4" t="s">
        <v>229</v>
      </c>
      <c r="B57" s="4" t="s">
        <v>70</v>
      </c>
    </row>
    <row r="58" spans="1:2" x14ac:dyDescent="0.25">
      <c r="A58" s="4" t="s">
        <v>231</v>
      </c>
      <c r="B58" s="4" t="s">
        <v>225</v>
      </c>
    </row>
    <row r="59" spans="1:2" x14ac:dyDescent="0.25">
      <c r="A59" s="4" t="s">
        <v>233</v>
      </c>
      <c r="B59" s="4" t="s">
        <v>213</v>
      </c>
    </row>
    <row r="60" spans="1:2" x14ac:dyDescent="0.25">
      <c r="A60" s="4" t="s">
        <v>235</v>
      </c>
      <c r="B60" s="4" t="s">
        <v>213</v>
      </c>
    </row>
    <row r="61" spans="1:2" x14ac:dyDescent="0.25">
      <c r="A61" s="4" t="s">
        <v>237</v>
      </c>
      <c r="B61" s="4" t="s">
        <v>236</v>
      </c>
    </row>
    <row r="62" spans="1:2" x14ac:dyDescent="0.25">
      <c r="A62" s="4" t="s">
        <v>240</v>
      </c>
      <c r="B62" s="4" t="s">
        <v>239</v>
      </c>
    </row>
    <row r="63" spans="1:2" x14ac:dyDescent="0.25">
      <c r="A63" s="4" t="s">
        <v>242</v>
      </c>
      <c r="B63" s="4" t="s">
        <v>204</v>
      </c>
    </row>
    <row r="64" spans="1:2" x14ac:dyDescent="0.25">
      <c r="A64" s="4" t="s">
        <v>245</v>
      </c>
      <c r="B64" s="4" t="s">
        <v>244</v>
      </c>
    </row>
    <row r="65" spans="1:2" x14ac:dyDescent="0.25">
      <c r="A65" s="4" t="s">
        <v>247</v>
      </c>
      <c r="B65" s="4" t="s">
        <v>151</v>
      </c>
    </row>
    <row r="66" spans="1:2" x14ac:dyDescent="0.25">
      <c r="A66" s="4" t="s">
        <v>250</v>
      </c>
      <c r="B66" s="4" t="s">
        <v>210</v>
      </c>
    </row>
    <row r="67" spans="1:2" x14ac:dyDescent="0.25">
      <c r="A67" s="4" t="s">
        <v>252</v>
      </c>
      <c r="B67" s="4" t="s">
        <v>239</v>
      </c>
    </row>
    <row r="68" spans="1:2" x14ac:dyDescent="0.25">
      <c r="A68" s="4" t="s">
        <v>254</v>
      </c>
      <c r="B68" s="4" t="s">
        <v>244</v>
      </c>
    </row>
    <row r="69" spans="1:2" x14ac:dyDescent="0.25">
      <c r="A69" s="4" t="s">
        <v>256</v>
      </c>
      <c r="B69" s="4" t="s">
        <v>151</v>
      </c>
    </row>
    <row r="70" spans="1:2" x14ac:dyDescent="0.25">
      <c r="A70" s="4" t="s">
        <v>258</v>
      </c>
      <c r="B70" s="4" t="s">
        <v>239</v>
      </c>
    </row>
    <row r="71" spans="1:2" x14ac:dyDescent="0.25">
      <c r="A71" s="4" t="s">
        <v>261</v>
      </c>
      <c r="B71" s="4" t="s">
        <v>210</v>
      </c>
    </row>
    <row r="72" spans="1:2" x14ac:dyDescent="0.25">
      <c r="A72" s="4" t="s">
        <v>265</v>
      </c>
      <c r="B72" s="4" t="s">
        <v>263</v>
      </c>
    </row>
    <row r="73" spans="1:2" x14ac:dyDescent="0.25">
      <c r="A73" s="4" t="s">
        <v>268</v>
      </c>
      <c r="B73" s="4" t="s">
        <v>244</v>
      </c>
    </row>
    <row r="74" spans="1:2" x14ac:dyDescent="0.25">
      <c r="A74" s="4" t="s">
        <v>270</v>
      </c>
      <c r="B74" s="4" t="s">
        <v>318</v>
      </c>
    </row>
    <row r="75" spans="1:2" x14ac:dyDescent="0.25">
      <c r="A75" s="4" t="s">
        <v>273</v>
      </c>
      <c r="B75" s="4" t="s">
        <v>272</v>
      </c>
    </row>
    <row r="76" spans="1:2" x14ac:dyDescent="0.25">
      <c r="A76" s="4" t="s">
        <v>275</v>
      </c>
      <c r="B76" s="4" t="s">
        <v>239</v>
      </c>
    </row>
    <row r="77" spans="1:2" x14ac:dyDescent="0.25">
      <c r="A77" s="4" t="s">
        <v>277</v>
      </c>
      <c r="B77" s="4" t="s">
        <v>198</v>
      </c>
    </row>
    <row r="78" spans="1:2" x14ac:dyDescent="0.25">
      <c r="A78" s="4" t="s">
        <v>281</v>
      </c>
      <c r="B78" s="4" t="s">
        <v>198</v>
      </c>
    </row>
    <row r="79" spans="1:2" x14ac:dyDescent="0.25">
      <c r="A79" s="4" t="s">
        <v>283</v>
      </c>
      <c r="B79" s="4" t="s">
        <v>198</v>
      </c>
    </row>
    <row r="80" spans="1:2" x14ac:dyDescent="0.25">
      <c r="A80" s="4" t="s">
        <v>285</v>
      </c>
      <c r="B80" s="4" t="s">
        <v>169</v>
      </c>
    </row>
    <row r="81" spans="1:2" x14ac:dyDescent="0.25">
      <c r="A81" s="4" t="s">
        <v>287</v>
      </c>
      <c r="B81" s="4" t="s">
        <v>198</v>
      </c>
    </row>
    <row r="82" spans="1:2" x14ac:dyDescent="0.25">
      <c r="A82" s="4" t="s">
        <v>290</v>
      </c>
      <c r="B82" s="4" t="s">
        <v>289</v>
      </c>
    </row>
    <row r="83" spans="1:2" x14ac:dyDescent="0.25">
      <c r="A83" s="4" t="s">
        <v>293</v>
      </c>
      <c r="B83" s="4" t="s">
        <v>1597</v>
      </c>
    </row>
    <row r="84" spans="1:2" x14ac:dyDescent="0.25">
      <c r="A84" s="4" t="s">
        <v>296</v>
      </c>
      <c r="B84" s="4" t="s">
        <v>295</v>
      </c>
    </row>
    <row r="85" spans="1:2" x14ac:dyDescent="0.25">
      <c r="A85" s="4" t="s">
        <v>299</v>
      </c>
      <c r="B85" s="4" t="s">
        <v>298</v>
      </c>
    </row>
    <row r="86" spans="1:2" x14ac:dyDescent="0.25">
      <c r="A86" s="4" t="s">
        <v>302</v>
      </c>
      <c r="B86" s="4" t="s">
        <v>70</v>
      </c>
    </row>
    <row r="87" spans="1:2" x14ac:dyDescent="0.25">
      <c r="A87" s="4" t="s">
        <v>304</v>
      </c>
      <c r="B87" s="4" t="s">
        <v>151</v>
      </c>
    </row>
    <row r="88" spans="1:2" x14ac:dyDescent="0.25">
      <c r="A88" s="4" t="s">
        <v>307</v>
      </c>
      <c r="B88" s="4" t="s">
        <v>1598</v>
      </c>
    </row>
    <row r="89" spans="1:2" x14ac:dyDescent="0.25">
      <c r="A89" s="4" t="s">
        <v>310</v>
      </c>
      <c r="B89" s="4" t="s">
        <v>236</v>
      </c>
    </row>
    <row r="90" spans="1:2" x14ac:dyDescent="0.25">
      <c r="A90" s="4" t="s">
        <v>313</v>
      </c>
      <c r="B90" s="4" t="s">
        <v>318</v>
      </c>
    </row>
    <row r="91" spans="1:2" x14ac:dyDescent="0.25">
      <c r="A91" s="4" t="s">
        <v>315</v>
      </c>
      <c r="B91" s="4" t="s">
        <v>318</v>
      </c>
    </row>
    <row r="92" spans="1:2" x14ac:dyDescent="0.25">
      <c r="A92" s="4" t="s">
        <v>316</v>
      </c>
      <c r="B92" s="4" t="s">
        <v>318</v>
      </c>
    </row>
    <row r="93" spans="1:2" x14ac:dyDescent="0.25">
      <c r="A93" s="4" t="s">
        <v>319</v>
      </c>
      <c r="B93" s="4" t="s">
        <v>318</v>
      </c>
    </row>
    <row r="94" spans="1:2" x14ac:dyDescent="0.25">
      <c r="A94" s="4" t="s">
        <v>321</v>
      </c>
      <c r="B94" s="4" t="s">
        <v>318</v>
      </c>
    </row>
    <row r="95" spans="1:2" x14ac:dyDescent="0.25">
      <c r="A95" s="4" t="s">
        <v>324</v>
      </c>
      <c r="B95" s="4" t="s">
        <v>318</v>
      </c>
    </row>
    <row r="96" spans="1:2" x14ac:dyDescent="0.25">
      <c r="A96" s="4" t="s">
        <v>326</v>
      </c>
      <c r="B96" s="4" t="s">
        <v>318</v>
      </c>
    </row>
    <row r="97" spans="1:2" x14ac:dyDescent="0.25">
      <c r="A97" s="4" t="s">
        <v>328</v>
      </c>
      <c r="B97" s="4" t="s">
        <v>70</v>
      </c>
    </row>
    <row r="98" spans="1:2" x14ac:dyDescent="0.25">
      <c r="A98" s="4" t="s">
        <v>331</v>
      </c>
      <c r="B98" s="4" t="s">
        <v>70</v>
      </c>
    </row>
    <row r="99" spans="1:2" x14ac:dyDescent="0.25">
      <c r="A99" s="4" t="s">
        <v>332</v>
      </c>
      <c r="B99" s="4" t="s">
        <v>70</v>
      </c>
    </row>
    <row r="100" spans="1:2" x14ac:dyDescent="0.25">
      <c r="A100" s="4" t="s">
        <v>335</v>
      </c>
      <c r="B100" s="4" t="s">
        <v>334</v>
      </c>
    </row>
    <row r="101" spans="1:2" x14ac:dyDescent="0.25">
      <c r="A101" s="4" t="s">
        <v>338</v>
      </c>
      <c r="B101" s="4" t="s">
        <v>318</v>
      </c>
    </row>
    <row r="102" spans="1:2" x14ac:dyDescent="0.25">
      <c r="A102" s="4" t="s">
        <v>340</v>
      </c>
      <c r="B102" s="4" t="s">
        <v>289</v>
      </c>
    </row>
    <row r="103" spans="1:2" x14ac:dyDescent="0.25">
      <c r="A103" s="4" t="s">
        <v>342</v>
      </c>
      <c r="B103" s="4" t="s">
        <v>318</v>
      </c>
    </row>
    <row r="104" spans="1:2" x14ac:dyDescent="0.25">
      <c r="A104" s="4" t="s">
        <v>345</v>
      </c>
      <c r="B104" s="4" t="s">
        <v>344</v>
      </c>
    </row>
    <row r="105" spans="1:2" x14ac:dyDescent="0.25">
      <c r="A105" s="4" t="s">
        <v>348</v>
      </c>
      <c r="B105" s="4" t="s">
        <v>344</v>
      </c>
    </row>
    <row r="106" spans="1:2" x14ac:dyDescent="0.25">
      <c r="A106" s="4" t="s">
        <v>351</v>
      </c>
      <c r="B106" s="4" t="s">
        <v>344</v>
      </c>
    </row>
    <row r="107" spans="1:2" x14ac:dyDescent="0.25">
      <c r="A107" s="4" t="s">
        <v>353</v>
      </c>
      <c r="B107" s="4" t="s">
        <v>344</v>
      </c>
    </row>
    <row r="108" spans="1:2" x14ac:dyDescent="0.25">
      <c r="A108" s="4" t="s">
        <v>355</v>
      </c>
      <c r="B108" s="4" t="s">
        <v>344</v>
      </c>
    </row>
    <row r="109" spans="1:2" x14ac:dyDescent="0.25">
      <c r="A109" s="4" t="s">
        <v>357</v>
      </c>
      <c r="B109" s="4" t="s">
        <v>344</v>
      </c>
    </row>
    <row r="110" spans="1:2" x14ac:dyDescent="0.25">
      <c r="A110" s="4" t="s">
        <v>360</v>
      </c>
      <c r="B110" s="4" t="s">
        <v>1216</v>
      </c>
    </row>
    <row r="111" spans="1:2" x14ac:dyDescent="0.25">
      <c r="A111" s="4" t="s">
        <v>362</v>
      </c>
      <c r="B111" s="4" t="s">
        <v>361</v>
      </c>
    </row>
    <row r="112" spans="1:2" x14ac:dyDescent="0.25">
      <c r="A112" s="4" t="s">
        <v>364</v>
      </c>
      <c r="B112" s="4" t="s">
        <v>361</v>
      </c>
    </row>
    <row r="113" spans="1:2" x14ac:dyDescent="0.25">
      <c r="A113" s="4" t="s">
        <v>366</v>
      </c>
      <c r="B113" s="4" t="s">
        <v>361</v>
      </c>
    </row>
    <row r="114" spans="1:2" x14ac:dyDescent="0.25">
      <c r="A114" s="4" t="s">
        <v>368</v>
      </c>
      <c r="B114" s="4" t="s">
        <v>1310</v>
      </c>
    </row>
    <row r="115" spans="1:2" x14ac:dyDescent="0.25">
      <c r="A115" s="4" t="s">
        <v>371</v>
      </c>
      <c r="B115" s="4" t="s">
        <v>1599</v>
      </c>
    </row>
    <row r="116" spans="1:2" x14ac:dyDescent="0.25">
      <c r="A116" s="4" t="s">
        <v>374</v>
      </c>
      <c r="B116" s="4" t="s">
        <v>1600</v>
      </c>
    </row>
    <row r="117" spans="1:2" x14ac:dyDescent="0.25">
      <c r="A117" s="4" t="s">
        <v>377</v>
      </c>
      <c r="B117" s="4" t="s">
        <v>376</v>
      </c>
    </row>
    <row r="118" spans="1:2" x14ac:dyDescent="0.25">
      <c r="A118" s="4" t="s">
        <v>380</v>
      </c>
      <c r="B118" s="4" t="s">
        <v>379</v>
      </c>
    </row>
    <row r="119" spans="1:2" x14ac:dyDescent="0.25">
      <c r="A119" s="4" t="s">
        <v>383</v>
      </c>
      <c r="B119" s="4" t="s">
        <v>382</v>
      </c>
    </row>
    <row r="120" spans="1:2" x14ac:dyDescent="0.25">
      <c r="A120" s="4" t="s">
        <v>386</v>
      </c>
      <c r="B120" s="4" t="s">
        <v>385</v>
      </c>
    </row>
    <row r="121" spans="1:2" x14ac:dyDescent="0.25">
      <c r="A121" s="4" t="s">
        <v>389</v>
      </c>
      <c r="B121" s="4" t="s">
        <v>396</v>
      </c>
    </row>
    <row r="122" spans="1:2" x14ac:dyDescent="0.25">
      <c r="A122" s="4" t="s">
        <v>391</v>
      </c>
      <c r="B122" s="4" t="s">
        <v>382</v>
      </c>
    </row>
    <row r="123" spans="1:2" x14ac:dyDescent="0.25">
      <c r="A123" s="4" t="s">
        <v>394</v>
      </c>
      <c r="B123" s="4" t="s">
        <v>393</v>
      </c>
    </row>
    <row r="124" spans="1:2" x14ac:dyDescent="0.25">
      <c r="A124" s="4" t="s">
        <v>397</v>
      </c>
      <c r="B124" s="4" t="s">
        <v>396</v>
      </c>
    </row>
    <row r="125" spans="1:2" x14ac:dyDescent="0.25">
      <c r="A125" s="4" t="s">
        <v>399</v>
      </c>
      <c r="B125" s="4" t="s">
        <v>398</v>
      </c>
    </row>
    <row r="126" spans="1:2" x14ac:dyDescent="0.25">
      <c r="A126" s="4" t="s">
        <v>401</v>
      </c>
      <c r="B126" s="4" t="s">
        <v>398</v>
      </c>
    </row>
    <row r="127" spans="1:2" x14ac:dyDescent="0.25">
      <c r="A127" s="4" t="s">
        <v>403</v>
      </c>
      <c r="B127" s="4" t="s">
        <v>398</v>
      </c>
    </row>
    <row r="128" spans="1:2" x14ac:dyDescent="0.25">
      <c r="A128" s="4" t="s">
        <v>405</v>
      </c>
      <c r="B128" s="4" t="s">
        <v>382</v>
      </c>
    </row>
    <row r="129" spans="1:2" x14ac:dyDescent="0.25">
      <c r="A129" s="4" t="s">
        <v>408</v>
      </c>
      <c r="B129" s="4" t="s">
        <v>1277</v>
      </c>
    </row>
    <row r="130" spans="1:2" x14ac:dyDescent="0.25">
      <c r="A130" s="4" t="s">
        <v>411</v>
      </c>
      <c r="B130" s="4" t="s">
        <v>1601</v>
      </c>
    </row>
    <row r="131" spans="1:2" x14ac:dyDescent="0.25">
      <c r="A131" s="4" t="s">
        <v>414</v>
      </c>
      <c r="B131" s="4" t="s">
        <v>413</v>
      </c>
    </row>
    <row r="132" spans="1:2" x14ac:dyDescent="0.25">
      <c r="A132" s="4" t="s">
        <v>417</v>
      </c>
      <c r="B132" s="4" t="s">
        <v>793</v>
      </c>
    </row>
    <row r="133" spans="1:2" x14ac:dyDescent="0.25">
      <c r="A133" s="4" t="s">
        <v>419</v>
      </c>
      <c r="B133" s="4" t="s">
        <v>1602</v>
      </c>
    </row>
    <row r="134" spans="1:2" x14ac:dyDescent="0.25">
      <c r="A134" s="4" t="s">
        <v>422</v>
      </c>
      <c r="B134" s="4" t="s">
        <v>1277</v>
      </c>
    </row>
    <row r="135" spans="1:2" x14ac:dyDescent="0.25">
      <c r="A135" s="4" t="s">
        <v>424</v>
      </c>
      <c r="B135" s="4" t="s">
        <v>423</v>
      </c>
    </row>
    <row r="136" spans="1:2" x14ac:dyDescent="0.25">
      <c r="A136" s="4" t="s">
        <v>427</v>
      </c>
      <c r="B136" s="4" t="s">
        <v>1603</v>
      </c>
    </row>
    <row r="137" spans="1:2" x14ac:dyDescent="0.25">
      <c r="A137" s="4" t="s">
        <v>430</v>
      </c>
      <c r="B137" s="4" t="s">
        <v>1604</v>
      </c>
    </row>
    <row r="138" spans="1:2" x14ac:dyDescent="0.25">
      <c r="A138" s="4" t="s">
        <v>432</v>
      </c>
      <c r="B138" s="4" t="s">
        <v>334</v>
      </c>
    </row>
    <row r="139" spans="1:2" x14ac:dyDescent="0.25">
      <c r="A139" s="4" t="s">
        <v>435</v>
      </c>
      <c r="B139" s="4" t="s">
        <v>1134</v>
      </c>
    </row>
    <row r="140" spans="1:2" x14ac:dyDescent="0.25">
      <c r="A140" s="4" t="s">
        <v>438</v>
      </c>
      <c r="B140" s="4" t="s">
        <v>1216</v>
      </c>
    </row>
    <row r="141" spans="1:2" x14ac:dyDescent="0.25">
      <c r="A141" s="4" t="s">
        <v>441</v>
      </c>
      <c r="B141" s="4" t="s">
        <v>594</v>
      </c>
    </row>
    <row r="142" spans="1:2" x14ac:dyDescent="0.25">
      <c r="A142" s="4" t="s">
        <v>444</v>
      </c>
      <c r="B142" s="4" t="s">
        <v>1605</v>
      </c>
    </row>
    <row r="143" spans="1:2" x14ac:dyDescent="0.25">
      <c r="A143" s="4" t="s">
        <v>447</v>
      </c>
      <c r="B143" s="4" t="s">
        <v>1606</v>
      </c>
    </row>
    <row r="144" spans="1:2" x14ac:dyDescent="0.25">
      <c r="A144" s="4" t="s">
        <v>450</v>
      </c>
      <c r="B144" s="4" t="s">
        <v>423</v>
      </c>
    </row>
    <row r="145" spans="1:2" x14ac:dyDescent="0.25">
      <c r="A145" s="4" t="s">
        <v>453</v>
      </c>
      <c r="B145" s="4" t="s">
        <v>423</v>
      </c>
    </row>
    <row r="146" spans="1:2" x14ac:dyDescent="0.25">
      <c r="A146" s="4" t="s">
        <v>455</v>
      </c>
      <c r="B146" s="4" t="s">
        <v>423</v>
      </c>
    </row>
    <row r="147" spans="1:2" x14ac:dyDescent="0.25">
      <c r="A147" s="4" t="s">
        <v>458</v>
      </c>
      <c r="B147" s="4" t="s">
        <v>1607</v>
      </c>
    </row>
    <row r="148" spans="1:2" x14ac:dyDescent="0.25">
      <c r="A148" s="4" t="s">
        <v>459</v>
      </c>
      <c r="B148" s="4" t="s">
        <v>423</v>
      </c>
    </row>
    <row r="149" spans="1:2" x14ac:dyDescent="0.25">
      <c r="A149" s="4" t="s">
        <v>462</v>
      </c>
      <c r="B149" s="4" t="s">
        <v>1595</v>
      </c>
    </row>
    <row r="150" spans="1:2" x14ac:dyDescent="0.25">
      <c r="A150" s="4" t="s">
        <v>465</v>
      </c>
      <c r="B150" s="4" t="s">
        <v>464</v>
      </c>
    </row>
    <row r="151" spans="1:2" x14ac:dyDescent="0.25">
      <c r="A151" s="4" t="s">
        <v>467</v>
      </c>
      <c r="B151" s="4" t="s">
        <v>1606</v>
      </c>
    </row>
    <row r="152" spans="1:2" x14ac:dyDescent="0.25">
      <c r="A152" s="4" t="s">
        <v>469</v>
      </c>
      <c r="B152" s="4" t="s">
        <v>1606</v>
      </c>
    </row>
    <row r="153" spans="1:2" x14ac:dyDescent="0.25">
      <c r="A153" s="4" t="s">
        <v>472</v>
      </c>
      <c r="B153" s="4" t="s">
        <v>1606</v>
      </c>
    </row>
    <row r="154" spans="1:2" x14ac:dyDescent="0.25">
      <c r="A154" s="4" t="s">
        <v>475</v>
      </c>
      <c r="B154" s="4" t="s">
        <v>334</v>
      </c>
    </row>
    <row r="155" spans="1:2" x14ac:dyDescent="0.25">
      <c r="A155" s="4" t="s">
        <v>478</v>
      </c>
      <c r="B155" s="4" t="s">
        <v>1607</v>
      </c>
    </row>
    <row r="156" spans="1:2" x14ac:dyDescent="0.25">
      <c r="A156" s="4" t="s">
        <v>480</v>
      </c>
      <c r="B156" s="4" t="s">
        <v>1310</v>
      </c>
    </row>
    <row r="157" spans="1:2" x14ac:dyDescent="0.25">
      <c r="A157" s="4" t="s">
        <v>481</v>
      </c>
      <c r="B157" s="4" t="s">
        <v>1607</v>
      </c>
    </row>
    <row r="158" spans="1:2" x14ac:dyDescent="0.25">
      <c r="A158" s="4" t="s">
        <v>482</v>
      </c>
      <c r="B158" s="4" t="s">
        <v>1607</v>
      </c>
    </row>
    <row r="159" spans="1:2" x14ac:dyDescent="0.25">
      <c r="A159" s="4" t="s">
        <v>484</v>
      </c>
      <c r="B159" s="4" t="s">
        <v>1608</v>
      </c>
    </row>
    <row r="160" spans="1:2" x14ac:dyDescent="0.25">
      <c r="A160" s="4" t="s">
        <v>486</v>
      </c>
      <c r="B160" s="4" t="s">
        <v>1607</v>
      </c>
    </row>
    <row r="161" spans="1:2" x14ac:dyDescent="0.25">
      <c r="A161" s="4" t="s">
        <v>488</v>
      </c>
      <c r="B161" s="4" t="s">
        <v>1609</v>
      </c>
    </row>
    <row r="162" spans="1:2" x14ac:dyDescent="0.25">
      <c r="A162" s="4" t="s">
        <v>491</v>
      </c>
      <c r="B162" s="4" t="s">
        <v>493</v>
      </c>
    </row>
    <row r="163" spans="1:2" x14ac:dyDescent="0.25">
      <c r="A163" s="4" t="s">
        <v>494</v>
      </c>
      <c r="B163" s="4" t="s">
        <v>493</v>
      </c>
    </row>
    <row r="164" spans="1:2" x14ac:dyDescent="0.25">
      <c r="A164" s="4" t="s">
        <v>496</v>
      </c>
      <c r="B164" s="4" t="s">
        <v>493</v>
      </c>
    </row>
    <row r="165" spans="1:2" x14ac:dyDescent="0.25">
      <c r="A165" s="4" t="s">
        <v>499</v>
      </c>
      <c r="B165" s="4" t="s">
        <v>493</v>
      </c>
    </row>
    <row r="166" spans="1:2" x14ac:dyDescent="0.25">
      <c r="A166" s="4" t="s">
        <v>501</v>
      </c>
      <c r="B166" s="4" t="s">
        <v>493</v>
      </c>
    </row>
    <row r="167" spans="1:2" x14ac:dyDescent="0.25">
      <c r="A167" s="4" t="s">
        <v>503</v>
      </c>
      <c r="B167" s="4" t="s">
        <v>493</v>
      </c>
    </row>
    <row r="168" spans="1:2" x14ac:dyDescent="0.25">
      <c r="A168" s="4" t="s">
        <v>505</v>
      </c>
      <c r="B168" s="4" t="s">
        <v>493</v>
      </c>
    </row>
    <row r="169" spans="1:2" x14ac:dyDescent="0.25">
      <c r="A169" s="4" t="s">
        <v>508</v>
      </c>
      <c r="B169" s="4" t="s">
        <v>172</v>
      </c>
    </row>
    <row r="170" spans="1:2" x14ac:dyDescent="0.25">
      <c r="A170" s="4" t="s">
        <v>511</v>
      </c>
      <c r="B170" s="4" t="s">
        <v>510</v>
      </c>
    </row>
    <row r="171" spans="1:2" x14ac:dyDescent="0.25">
      <c r="A171" s="4" t="s">
        <v>513</v>
      </c>
      <c r="B171" s="4" t="s">
        <v>334</v>
      </c>
    </row>
    <row r="172" spans="1:2" x14ac:dyDescent="0.25">
      <c r="A172" s="4" t="s">
        <v>515</v>
      </c>
      <c r="B172" s="4" t="s">
        <v>334</v>
      </c>
    </row>
    <row r="173" spans="1:2" x14ac:dyDescent="0.25">
      <c r="A173" s="4" t="s">
        <v>518</v>
      </c>
      <c r="B173" s="4" t="s">
        <v>334</v>
      </c>
    </row>
    <row r="174" spans="1:2" x14ac:dyDescent="0.25">
      <c r="A174" s="4" t="s">
        <v>521</v>
      </c>
      <c r="B174" s="4" t="s">
        <v>334</v>
      </c>
    </row>
    <row r="175" spans="1:2" x14ac:dyDescent="0.25">
      <c r="A175" s="4" t="s">
        <v>523</v>
      </c>
      <c r="B175" s="4" t="s">
        <v>334</v>
      </c>
    </row>
    <row r="176" spans="1:2" x14ac:dyDescent="0.25">
      <c r="A176" s="4" t="s">
        <v>525</v>
      </c>
      <c r="B176" s="4" t="s">
        <v>334</v>
      </c>
    </row>
    <row r="177" spans="1:2" x14ac:dyDescent="0.25">
      <c r="A177" s="4" t="s">
        <v>528</v>
      </c>
      <c r="B177" s="4" t="s">
        <v>334</v>
      </c>
    </row>
    <row r="178" spans="1:2" x14ac:dyDescent="0.25">
      <c r="A178" s="4" t="s">
        <v>530</v>
      </c>
      <c r="B178" s="4" t="s">
        <v>493</v>
      </c>
    </row>
    <row r="179" spans="1:2" x14ac:dyDescent="0.25">
      <c r="A179" s="4" t="s">
        <v>532</v>
      </c>
      <c r="B179" s="4" t="s">
        <v>493</v>
      </c>
    </row>
    <row r="180" spans="1:2" x14ac:dyDescent="0.25">
      <c r="A180" s="4" t="s">
        <v>534</v>
      </c>
      <c r="B180" s="4" t="s">
        <v>70</v>
      </c>
    </row>
    <row r="181" spans="1:2" x14ac:dyDescent="0.25">
      <c r="A181" s="4" t="s">
        <v>536</v>
      </c>
      <c r="B181" s="4" t="s">
        <v>70</v>
      </c>
    </row>
    <row r="182" spans="1:2" x14ac:dyDescent="0.25">
      <c r="A182" s="4" t="s">
        <v>538</v>
      </c>
      <c r="B182" s="4" t="s">
        <v>1595</v>
      </c>
    </row>
    <row r="183" spans="1:2" x14ac:dyDescent="0.25">
      <c r="A183" s="4" t="s">
        <v>540</v>
      </c>
      <c r="B183" s="4" t="s">
        <v>70</v>
      </c>
    </row>
    <row r="184" spans="1:2" x14ac:dyDescent="0.25">
      <c r="A184" s="4" t="s">
        <v>543</v>
      </c>
      <c r="B184" s="4" t="s">
        <v>542</v>
      </c>
    </row>
    <row r="185" spans="1:2" x14ac:dyDescent="0.25">
      <c r="A185" s="4" t="s">
        <v>546</v>
      </c>
      <c r="B185" s="4" t="s">
        <v>334</v>
      </c>
    </row>
    <row r="186" spans="1:2" x14ac:dyDescent="0.25">
      <c r="A186" s="4" t="s">
        <v>549</v>
      </c>
      <c r="B186" s="4" t="s">
        <v>334</v>
      </c>
    </row>
    <row r="187" spans="1:2" x14ac:dyDescent="0.25">
      <c r="A187" s="4" t="s">
        <v>551</v>
      </c>
      <c r="B187" s="4" t="s">
        <v>334</v>
      </c>
    </row>
    <row r="188" spans="1:2" x14ac:dyDescent="0.25">
      <c r="A188" s="4" t="s">
        <v>553</v>
      </c>
      <c r="B188" s="4" t="s">
        <v>334</v>
      </c>
    </row>
    <row r="189" spans="1:2" x14ac:dyDescent="0.25">
      <c r="A189" s="4" t="s">
        <v>555</v>
      </c>
      <c r="B189" s="4" t="s">
        <v>334</v>
      </c>
    </row>
    <row r="190" spans="1:2" x14ac:dyDescent="0.25">
      <c r="A190" s="4" t="s">
        <v>557</v>
      </c>
      <c r="B190" s="4" t="s">
        <v>334</v>
      </c>
    </row>
    <row r="191" spans="1:2" x14ac:dyDescent="0.25">
      <c r="A191" s="4" t="s">
        <v>559</v>
      </c>
      <c r="B191" s="4" t="s">
        <v>334</v>
      </c>
    </row>
    <row r="192" spans="1:2" x14ac:dyDescent="0.25">
      <c r="A192" s="4" t="s">
        <v>562</v>
      </c>
      <c r="B192" s="4" t="s">
        <v>334</v>
      </c>
    </row>
    <row r="193" spans="1:2" x14ac:dyDescent="0.25">
      <c r="A193" s="4" t="s">
        <v>565</v>
      </c>
      <c r="B193" s="4" t="s">
        <v>334</v>
      </c>
    </row>
    <row r="194" spans="1:2" x14ac:dyDescent="0.25">
      <c r="A194" s="4" t="s">
        <v>568</v>
      </c>
      <c r="B194" s="4" t="s">
        <v>1610</v>
      </c>
    </row>
    <row r="195" spans="1:2" x14ac:dyDescent="0.25">
      <c r="A195" s="4" t="s">
        <v>570</v>
      </c>
      <c r="B195" s="4" t="s">
        <v>334</v>
      </c>
    </row>
    <row r="196" spans="1:2" x14ac:dyDescent="0.25">
      <c r="A196" s="4" t="s">
        <v>572</v>
      </c>
      <c r="B196" s="4" t="s">
        <v>334</v>
      </c>
    </row>
    <row r="197" spans="1:2" x14ac:dyDescent="0.25">
      <c r="A197" s="4" t="s">
        <v>575</v>
      </c>
      <c r="B197" s="4" t="s">
        <v>574</v>
      </c>
    </row>
    <row r="198" spans="1:2" x14ac:dyDescent="0.25">
      <c r="A198" s="4" t="s">
        <v>577</v>
      </c>
      <c r="B198" s="4" t="s">
        <v>334</v>
      </c>
    </row>
    <row r="199" spans="1:2" x14ac:dyDescent="0.25">
      <c r="A199" s="4" t="s">
        <v>580</v>
      </c>
      <c r="B199" s="4" t="s">
        <v>334</v>
      </c>
    </row>
    <row r="200" spans="1:2" x14ac:dyDescent="0.25">
      <c r="A200" s="4" t="s">
        <v>582</v>
      </c>
      <c r="B200" s="4" t="s">
        <v>334</v>
      </c>
    </row>
    <row r="201" spans="1:2" x14ac:dyDescent="0.25">
      <c r="A201" s="4" t="s">
        <v>584</v>
      </c>
      <c r="B201" s="4" t="s">
        <v>334</v>
      </c>
    </row>
    <row r="202" spans="1:2" x14ac:dyDescent="0.25">
      <c r="A202" s="4" t="s">
        <v>587</v>
      </c>
      <c r="B202" s="4" t="s">
        <v>1611</v>
      </c>
    </row>
    <row r="203" spans="1:2" x14ac:dyDescent="0.25">
      <c r="A203" s="4" t="s">
        <v>590</v>
      </c>
      <c r="B203" s="4" t="s">
        <v>589</v>
      </c>
    </row>
    <row r="204" spans="1:2" x14ac:dyDescent="0.25">
      <c r="A204" s="4" t="s">
        <v>592</v>
      </c>
      <c r="B204" s="4" t="s">
        <v>1610</v>
      </c>
    </row>
    <row r="205" spans="1:2" x14ac:dyDescent="0.25">
      <c r="A205" s="4" t="s">
        <v>595</v>
      </c>
      <c r="B205" s="4" t="s">
        <v>594</v>
      </c>
    </row>
    <row r="206" spans="1:2" x14ac:dyDescent="0.25">
      <c r="A206" s="4" t="s">
        <v>598</v>
      </c>
      <c r="B206" s="4" t="s">
        <v>1610</v>
      </c>
    </row>
    <row r="207" spans="1:2" x14ac:dyDescent="0.25">
      <c r="A207" s="4" t="s">
        <v>601</v>
      </c>
      <c r="B207" s="4" t="s">
        <v>1612</v>
      </c>
    </row>
    <row r="208" spans="1:2" x14ac:dyDescent="0.25">
      <c r="A208" s="4" t="s">
        <v>603</v>
      </c>
      <c r="B208" s="4" t="s">
        <v>493</v>
      </c>
    </row>
    <row r="209" spans="1:2" x14ac:dyDescent="0.25">
      <c r="A209" s="4" t="s">
        <v>606</v>
      </c>
      <c r="B209" s="4" t="s">
        <v>493</v>
      </c>
    </row>
    <row r="210" spans="1:2" x14ac:dyDescent="0.25">
      <c r="A210" s="4" t="s">
        <v>608</v>
      </c>
      <c r="B210" s="4" t="s">
        <v>594</v>
      </c>
    </row>
    <row r="211" spans="1:2" x14ac:dyDescent="0.25">
      <c r="A211" s="4" t="s">
        <v>611</v>
      </c>
      <c r="B211" s="4" t="s">
        <v>594</v>
      </c>
    </row>
    <row r="212" spans="1:2" x14ac:dyDescent="0.25">
      <c r="A212" s="4" t="s">
        <v>614</v>
      </c>
      <c r="B212" s="4" t="s">
        <v>594</v>
      </c>
    </row>
    <row r="213" spans="1:2" x14ac:dyDescent="0.25">
      <c r="A213" s="4" t="s">
        <v>616</v>
      </c>
      <c r="B213" s="4" t="s">
        <v>1606</v>
      </c>
    </row>
    <row r="214" spans="1:2" x14ac:dyDescent="0.25">
      <c r="A214" s="4" t="s">
        <v>618</v>
      </c>
      <c r="B214" s="4" t="s">
        <v>1606</v>
      </c>
    </row>
    <row r="215" spans="1:2" x14ac:dyDescent="0.25">
      <c r="A215" s="4" t="s">
        <v>621</v>
      </c>
      <c r="B215" s="4" t="s">
        <v>334</v>
      </c>
    </row>
    <row r="216" spans="1:2" x14ac:dyDescent="0.25">
      <c r="A216" s="4" t="s">
        <v>623</v>
      </c>
      <c r="B216" s="4" t="s">
        <v>334</v>
      </c>
    </row>
    <row r="217" spans="1:2" x14ac:dyDescent="0.25">
      <c r="A217" s="4" t="s">
        <v>625</v>
      </c>
      <c r="B217" s="4" t="s">
        <v>594</v>
      </c>
    </row>
    <row r="218" spans="1:2" x14ac:dyDescent="0.25">
      <c r="A218" s="4" t="s">
        <v>627</v>
      </c>
      <c r="B218" s="4" t="s">
        <v>334</v>
      </c>
    </row>
    <row r="219" spans="1:2" x14ac:dyDescent="0.25">
      <c r="A219" s="4" t="s">
        <v>630</v>
      </c>
      <c r="B219" s="4" t="s">
        <v>1613</v>
      </c>
    </row>
    <row r="220" spans="1:2" x14ac:dyDescent="0.25">
      <c r="A220" s="4" t="s">
        <v>633</v>
      </c>
      <c r="B220" s="4" t="s">
        <v>493</v>
      </c>
    </row>
    <row r="221" spans="1:2" x14ac:dyDescent="0.25">
      <c r="A221" s="4" t="s">
        <v>635</v>
      </c>
      <c r="B221" s="4" t="s">
        <v>172</v>
      </c>
    </row>
    <row r="222" spans="1:2" x14ac:dyDescent="0.25">
      <c r="A222" s="4" t="s">
        <v>637</v>
      </c>
      <c r="B222" s="4" t="s">
        <v>172</v>
      </c>
    </row>
    <row r="223" spans="1:2" x14ac:dyDescent="0.25">
      <c r="A223" s="4" t="s">
        <v>639</v>
      </c>
      <c r="B223" s="4" t="s">
        <v>172</v>
      </c>
    </row>
    <row r="224" spans="1:2" x14ac:dyDescent="0.25">
      <c r="A224" s="4" t="s">
        <v>641</v>
      </c>
      <c r="B224" s="4" t="s">
        <v>172</v>
      </c>
    </row>
    <row r="225" spans="1:2" x14ac:dyDescent="0.25">
      <c r="A225" s="4" t="s">
        <v>644</v>
      </c>
      <c r="B225" s="4" t="s">
        <v>172</v>
      </c>
    </row>
    <row r="226" spans="1:2" x14ac:dyDescent="0.25">
      <c r="A226" s="4" t="s">
        <v>646</v>
      </c>
      <c r="B226" s="4" t="s">
        <v>172</v>
      </c>
    </row>
    <row r="227" spans="1:2" x14ac:dyDescent="0.25">
      <c r="A227" s="4" t="s">
        <v>649</v>
      </c>
      <c r="B227" s="4" t="s">
        <v>318</v>
      </c>
    </row>
    <row r="228" spans="1:2" x14ac:dyDescent="0.25">
      <c r="A228" s="4" t="s">
        <v>652</v>
      </c>
      <c r="B228" s="4" t="s">
        <v>172</v>
      </c>
    </row>
    <row r="229" spans="1:2" x14ac:dyDescent="0.25">
      <c r="A229" s="4" t="s">
        <v>654</v>
      </c>
      <c r="B229" s="4" t="s">
        <v>70</v>
      </c>
    </row>
    <row r="230" spans="1:2" x14ac:dyDescent="0.25">
      <c r="A230" s="4" t="s">
        <v>657</v>
      </c>
      <c r="B230" s="4" t="s">
        <v>70</v>
      </c>
    </row>
    <row r="231" spans="1:2" x14ac:dyDescent="0.25">
      <c r="A231" s="4" t="s">
        <v>660</v>
      </c>
      <c r="B231" s="4" t="s">
        <v>334</v>
      </c>
    </row>
    <row r="232" spans="1:2" x14ac:dyDescent="0.25">
      <c r="A232" s="4" t="s">
        <v>663</v>
      </c>
      <c r="B232" s="4" t="s">
        <v>70</v>
      </c>
    </row>
    <row r="233" spans="1:2" x14ac:dyDescent="0.25">
      <c r="A233" s="4" t="s">
        <v>665</v>
      </c>
      <c r="B233" s="4" t="s">
        <v>70</v>
      </c>
    </row>
    <row r="234" spans="1:2" x14ac:dyDescent="0.25">
      <c r="A234" s="4" t="s">
        <v>667</v>
      </c>
      <c r="B234" s="4" t="s">
        <v>70</v>
      </c>
    </row>
    <row r="235" spans="1:2" x14ac:dyDescent="0.25">
      <c r="A235" s="4" t="s">
        <v>669</v>
      </c>
      <c r="B235" s="4" t="s">
        <v>70</v>
      </c>
    </row>
    <row r="236" spans="1:2" x14ac:dyDescent="0.25">
      <c r="A236" s="4" t="s">
        <v>671</v>
      </c>
      <c r="B236" s="4" t="s">
        <v>70</v>
      </c>
    </row>
    <row r="237" spans="1:2" x14ac:dyDescent="0.25">
      <c r="A237" s="4" t="s">
        <v>672</v>
      </c>
      <c r="B237" s="4" t="s">
        <v>542</v>
      </c>
    </row>
    <row r="238" spans="1:2" x14ac:dyDescent="0.25">
      <c r="A238" s="4" t="s">
        <v>675</v>
      </c>
      <c r="B238" s="4" t="s">
        <v>674</v>
      </c>
    </row>
    <row r="239" spans="1:2" x14ac:dyDescent="0.25">
      <c r="A239" s="4" t="s">
        <v>678</v>
      </c>
      <c r="B239" s="4" t="s">
        <v>574</v>
      </c>
    </row>
    <row r="240" spans="1:2" x14ac:dyDescent="0.25">
      <c r="A240" s="4" t="s">
        <v>681</v>
      </c>
      <c r="B240" s="4" t="s">
        <v>1603</v>
      </c>
    </row>
    <row r="241" spans="1:2" x14ac:dyDescent="0.25">
      <c r="A241" s="4" t="s">
        <v>684</v>
      </c>
      <c r="B241" s="4" t="s">
        <v>1603</v>
      </c>
    </row>
    <row r="242" spans="1:2" x14ac:dyDescent="0.25">
      <c r="A242" s="4" t="s">
        <v>687</v>
      </c>
      <c r="B242" s="4" t="s">
        <v>1603</v>
      </c>
    </row>
    <row r="243" spans="1:2" x14ac:dyDescent="0.25">
      <c r="A243" s="4" t="s">
        <v>690</v>
      </c>
      <c r="B243" s="4" t="s">
        <v>1603</v>
      </c>
    </row>
    <row r="244" spans="1:2" x14ac:dyDescent="0.25">
      <c r="A244" s="4" t="s">
        <v>693</v>
      </c>
      <c r="B244" s="4" t="s">
        <v>574</v>
      </c>
    </row>
    <row r="245" spans="1:2" x14ac:dyDescent="0.25">
      <c r="A245" s="4" t="s">
        <v>696</v>
      </c>
      <c r="B245" s="4" t="s">
        <v>1603</v>
      </c>
    </row>
    <row r="246" spans="1:2" x14ac:dyDescent="0.25">
      <c r="A246" s="4" t="s">
        <v>699</v>
      </c>
      <c r="B246" s="4" t="s">
        <v>1603</v>
      </c>
    </row>
    <row r="247" spans="1:2" x14ac:dyDescent="0.25">
      <c r="A247" s="4" t="s">
        <v>701</v>
      </c>
      <c r="B247" s="4" t="s">
        <v>1603</v>
      </c>
    </row>
    <row r="248" spans="1:2" x14ac:dyDescent="0.25">
      <c r="A248" s="4" t="s">
        <v>703</v>
      </c>
      <c r="B248" s="4" t="s">
        <v>574</v>
      </c>
    </row>
    <row r="249" spans="1:2" x14ac:dyDescent="0.25">
      <c r="A249" s="4" t="s">
        <v>706</v>
      </c>
      <c r="B249" s="4" t="s">
        <v>705</v>
      </c>
    </row>
    <row r="250" spans="1:2" x14ac:dyDescent="0.25">
      <c r="A250" s="4" t="s">
        <v>707</v>
      </c>
      <c r="B250" s="4" t="s">
        <v>236</v>
      </c>
    </row>
    <row r="251" spans="1:2" x14ac:dyDescent="0.25">
      <c r="A251" s="4" t="s">
        <v>710</v>
      </c>
      <c r="B251" s="4" t="s">
        <v>236</v>
      </c>
    </row>
    <row r="252" spans="1:2" x14ac:dyDescent="0.25">
      <c r="A252" s="4" t="s">
        <v>712</v>
      </c>
      <c r="B252" s="4" t="s">
        <v>236</v>
      </c>
    </row>
    <row r="253" spans="1:2" x14ac:dyDescent="0.25">
      <c r="A253" s="4" t="s">
        <v>715</v>
      </c>
      <c r="B253" s="4" t="s">
        <v>714</v>
      </c>
    </row>
    <row r="254" spans="1:2" x14ac:dyDescent="0.25">
      <c r="A254" s="4" t="s">
        <v>717</v>
      </c>
      <c r="B254" s="4" t="s">
        <v>70</v>
      </c>
    </row>
    <row r="255" spans="1:2" x14ac:dyDescent="0.25">
      <c r="A255" s="4" t="s">
        <v>719</v>
      </c>
      <c r="B255" s="4" t="s">
        <v>213</v>
      </c>
    </row>
    <row r="256" spans="1:2" x14ac:dyDescent="0.25">
      <c r="A256" s="4" t="s">
        <v>721</v>
      </c>
      <c r="B256" s="4" t="s">
        <v>213</v>
      </c>
    </row>
    <row r="257" spans="1:2" x14ac:dyDescent="0.25">
      <c r="A257" s="4" t="s">
        <v>724</v>
      </c>
      <c r="B257" s="4" t="s">
        <v>714</v>
      </c>
    </row>
    <row r="258" spans="1:2" x14ac:dyDescent="0.25">
      <c r="A258" s="4" t="s">
        <v>726</v>
      </c>
      <c r="B258" s="4" t="s">
        <v>213</v>
      </c>
    </row>
    <row r="259" spans="1:2" x14ac:dyDescent="0.25">
      <c r="A259" s="4" t="s">
        <v>729</v>
      </c>
      <c r="B259" s="4" t="s">
        <v>1614</v>
      </c>
    </row>
    <row r="260" spans="1:2" x14ac:dyDescent="0.25">
      <c r="A260" s="4" t="s">
        <v>731</v>
      </c>
      <c r="B260" s="4" t="s">
        <v>1614</v>
      </c>
    </row>
    <row r="261" spans="1:2" x14ac:dyDescent="0.25">
      <c r="A261" s="4" t="s">
        <v>733</v>
      </c>
      <c r="B261" s="4" t="s">
        <v>210</v>
      </c>
    </row>
    <row r="262" spans="1:2" x14ac:dyDescent="0.25">
      <c r="A262" s="4" t="s">
        <v>736</v>
      </c>
      <c r="B262" s="4" t="s">
        <v>210</v>
      </c>
    </row>
    <row r="263" spans="1:2" x14ac:dyDescent="0.25">
      <c r="A263" s="4" t="s">
        <v>738</v>
      </c>
      <c r="B263" s="4" t="s">
        <v>213</v>
      </c>
    </row>
    <row r="264" spans="1:2" x14ac:dyDescent="0.25">
      <c r="A264" s="4" t="s">
        <v>741</v>
      </c>
      <c r="B264" s="4" t="s">
        <v>210</v>
      </c>
    </row>
    <row r="265" spans="1:2" x14ac:dyDescent="0.25">
      <c r="A265" s="4" t="s">
        <v>742</v>
      </c>
      <c r="B265" s="4" t="s">
        <v>705</v>
      </c>
    </row>
    <row r="266" spans="1:2" x14ac:dyDescent="0.25">
      <c r="A266" s="4" t="s">
        <v>744</v>
      </c>
      <c r="B266" s="4" t="s">
        <v>210</v>
      </c>
    </row>
    <row r="267" spans="1:2" x14ac:dyDescent="0.25">
      <c r="A267" s="4" t="s">
        <v>747</v>
      </c>
      <c r="B267" s="4" t="s">
        <v>210</v>
      </c>
    </row>
    <row r="268" spans="1:2" x14ac:dyDescent="0.25">
      <c r="A268" s="4" t="s">
        <v>750</v>
      </c>
      <c r="B268" s="4" t="s">
        <v>213</v>
      </c>
    </row>
    <row r="269" spans="1:2" x14ac:dyDescent="0.25">
      <c r="A269" s="4" t="s">
        <v>752</v>
      </c>
      <c r="B269" s="4" t="s">
        <v>714</v>
      </c>
    </row>
    <row r="270" spans="1:2" x14ac:dyDescent="0.25">
      <c r="A270" s="4" t="s">
        <v>755</v>
      </c>
      <c r="B270" s="4" t="s">
        <v>1612</v>
      </c>
    </row>
    <row r="271" spans="1:2" x14ac:dyDescent="0.25">
      <c r="A271" s="4" t="s">
        <v>758</v>
      </c>
      <c r="B271" s="4" t="s">
        <v>714</v>
      </c>
    </row>
    <row r="272" spans="1:2" x14ac:dyDescent="0.25">
      <c r="A272" s="4" t="s">
        <v>760</v>
      </c>
      <c r="B272" s="4" t="s">
        <v>574</v>
      </c>
    </row>
    <row r="273" spans="1:2" x14ac:dyDescent="0.25">
      <c r="A273" s="4" t="s">
        <v>762</v>
      </c>
      <c r="B273" s="4" t="s">
        <v>1606</v>
      </c>
    </row>
    <row r="274" spans="1:2" x14ac:dyDescent="0.25">
      <c r="A274" s="4" t="s">
        <v>764</v>
      </c>
      <c r="B274" s="4" t="s">
        <v>1606</v>
      </c>
    </row>
    <row r="275" spans="1:2" x14ac:dyDescent="0.25">
      <c r="A275" s="4" t="s">
        <v>766</v>
      </c>
      <c r="B275" s="4" t="s">
        <v>1606</v>
      </c>
    </row>
    <row r="276" spans="1:2" x14ac:dyDescent="0.25">
      <c r="A276" s="4" t="s">
        <v>768</v>
      </c>
      <c r="B276" s="4" t="s">
        <v>1595</v>
      </c>
    </row>
    <row r="277" spans="1:2" x14ac:dyDescent="0.25">
      <c r="A277" s="4" t="s">
        <v>770</v>
      </c>
      <c r="B277" s="4" t="s">
        <v>1595</v>
      </c>
    </row>
    <row r="278" spans="1:2" x14ac:dyDescent="0.25">
      <c r="A278" s="4" t="s">
        <v>773</v>
      </c>
      <c r="B278" s="4" t="s">
        <v>772</v>
      </c>
    </row>
    <row r="279" spans="1:2" x14ac:dyDescent="0.25">
      <c r="A279" s="4" t="s">
        <v>776</v>
      </c>
      <c r="B279" s="4" t="s">
        <v>772</v>
      </c>
    </row>
    <row r="280" spans="1:2" x14ac:dyDescent="0.25">
      <c r="A280" s="4" t="s">
        <v>779</v>
      </c>
      <c r="B280" s="4" t="s">
        <v>1304</v>
      </c>
    </row>
    <row r="281" spans="1:2" x14ac:dyDescent="0.25">
      <c r="A281" s="4" t="s">
        <v>781</v>
      </c>
      <c r="B281" s="4" t="s">
        <v>705</v>
      </c>
    </row>
    <row r="282" spans="1:2" x14ac:dyDescent="0.25">
      <c r="A282" s="4" t="s">
        <v>784</v>
      </c>
      <c r="B282" s="4" t="s">
        <v>1304</v>
      </c>
    </row>
    <row r="283" spans="1:2" x14ac:dyDescent="0.25">
      <c r="A283" s="4" t="s">
        <v>786</v>
      </c>
      <c r="B283" s="4" t="s">
        <v>213</v>
      </c>
    </row>
    <row r="284" spans="1:2" x14ac:dyDescent="0.25">
      <c r="A284" s="4" t="s">
        <v>789</v>
      </c>
      <c r="B284" s="4" t="s">
        <v>772</v>
      </c>
    </row>
    <row r="285" spans="1:2" x14ac:dyDescent="0.25">
      <c r="A285" s="4" t="s">
        <v>791</v>
      </c>
      <c r="B285" s="4" t="s">
        <v>772</v>
      </c>
    </row>
    <row r="286" spans="1:2" x14ac:dyDescent="0.25">
      <c r="A286" s="4" t="s">
        <v>794</v>
      </c>
      <c r="B286" s="4" t="s">
        <v>793</v>
      </c>
    </row>
    <row r="287" spans="1:2" x14ac:dyDescent="0.25">
      <c r="A287" s="4" t="s">
        <v>796</v>
      </c>
      <c r="B287" s="4" t="s">
        <v>793</v>
      </c>
    </row>
    <row r="288" spans="1:2" x14ac:dyDescent="0.25">
      <c r="A288" s="4" t="s">
        <v>798</v>
      </c>
      <c r="B288" s="4" t="s">
        <v>793</v>
      </c>
    </row>
    <row r="289" spans="1:2" x14ac:dyDescent="0.25">
      <c r="A289" s="4" t="s">
        <v>801</v>
      </c>
      <c r="B289" s="4" t="s">
        <v>793</v>
      </c>
    </row>
    <row r="290" spans="1:2" x14ac:dyDescent="0.25">
      <c r="A290" s="4" t="s">
        <v>804</v>
      </c>
      <c r="B290" s="4" t="s">
        <v>772</v>
      </c>
    </row>
    <row r="291" spans="1:2" x14ac:dyDescent="0.25">
      <c r="A291" s="4" t="s">
        <v>806</v>
      </c>
      <c r="B291" s="4" t="s">
        <v>1606</v>
      </c>
    </row>
    <row r="292" spans="1:2" x14ac:dyDescent="0.25">
      <c r="A292" s="4" t="s">
        <v>809</v>
      </c>
      <c r="B292" s="4" t="s">
        <v>1606</v>
      </c>
    </row>
    <row r="293" spans="1:2" x14ac:dyDescent="0.25">
      <c r="A293" s="4" t="s">
        <v>812</v>
      </c>
      <c r="B293" s="4" t="s">
        <v>70</v>
      </c>
    </row>
    <row r="294" spans="1:2" x14ac:dyDescent="0.25">
      <c r="A294" s="4" t="s">
        <v>815</v>
      </c>
      <c r="B294" s="4" t="s">
        <v>772</v>
      </c>
    </row>
    <row r="295" spans="1:2" x14ac:dyDescent="0.25">
      <c r="A295" s="4" t="s">
        <v>817</v>
      </c>
      <c r="B295" s="4" t="s">
        <v>772</v>
      </c>
    </row>
    <row r="296" spans="1:2" x14ac:dyDescent="0.25">
      <c r="A296" s="4" t="s">
        <v>819</v>
      </c>
      <c r="B296" s="4" t="s">
        <v>213</v>
      </c>
    </row>
    <row r="297" spans="1:2" x14ac:dyDescent="0.25">
      <c r="A297" s="4" t="s">
        <v>821</v>
      </c>
      <c r="B297" s="4" t="s">
        <v>1304</v>
      </c>
    </row>
    <row r="298" spans="1:2" x14ac:dyDescent="0.25">
      <c r="A298" s="4" t="s">
        <v>824</v>
      </c>
      <c r="B298" s="4" t="s">
        <v>1614</v>
      </c>
    </row>
    <row r="299" spans="1:2" x14ac:dyDescent="0.25">
      <c r="A299" s="4" t="s">
        <v>826</v>
      </c>
      <c r="B299" s="4" t="s">
        <v>1614</v>
      </c>
    </row>
    <row r="300" spans="1:2" x14ac:dyDescent="0.25">
      <c r="A300" s="4" t="s">
        <v>829</v>
      </c>
      <c r="B300" s="4" t="s">
        <v>828</v>
      </c>
    </row>
    <row r="301" spans="1:2" x14ac:dyDescent="0.25">
      <c r="A301" s="4" t="s">
        <v>832</v>
      </c>
      <c r="B301" s="4" t="s">
        <v>831</v>
      </c>
    </row>
    <row r="302" spans="1:2" x14ac:dyDescent="0.25">
      <c r="A302" s="4" t="s">
        <v>834</v>
      </c>
      <c r="B302" s="4" t="s">
        <v>423</v>
      </c>
    </row>
    <row r="303" spans="1:2" x14ac:dyDescent="0.25">
      <c r="A303" s="4" t="s">
        <v>836</v>
      </c>
      <c r="B303" s="4" t="s">
        <v>423</v>
      </c>
    </row>
    <row r="304" spans="1:2" x14ac:dyDescent="0.25">
      <c r="A304" s="4" t="s">
        <v>838</v>
      </c>
      <c r="B304" s="4" t="s">
        <v>423</v>
      </c>
    </row>
    <row r="305" spans="1:2" x14ac:dyDescent="0.25">
      <c r="A305" s="4" t="s">
        <v>840</v>
      </c>
      <c r="B305" s="4" t="s">
        <v>423</v>
      </c>
    </row>
    <row r="306" spans="1:2" x14ac:dyDescent="0.25">
      <c r="A306" s="4" t="s">
        <v>843</v>
      </c>
      <c r="B306" s="4" t="s">
        <v>594</v>
      </c>
    </row>
    <row r="307" spans="1:2" x14ac:dyDescent="0.25">
      <c r="A307" s="4" t="s">
        <v>846</v>
      </c>
      <c r="B307" s="4" t="s">
        <v>594</v>
      </c>
    </row>
    <row r="308" spans="1:2" x14ac:dyDescent="0.25">
      <c r="A308" s="4" t="s">
        <v>847</v>
      </c>
      <c r="B308" s="4" t="s">
        <v>213</v>
      </c>
    </row>
    <row r="309" spans="1:2" x14ac:dyDescent="0.25">
      <c r="A309" s="4" t="s">
        <v>850</v>
      </c>
      <c r="B309" s="4" t="s">
        <v>1601</v>
      </c>
    </row>
    <row r="310" spans="1:2" x14ac:dyDescent="0.25">
      <c r="A310" s="4" t="s">
        <v>853</v>
      </c>
      <c r="B310" s="4" t="s">
        <v>594</v>
      </c>
    </row>
    <row r="311" spans="1:2" x14ac:dyDescent="0.25">
      <c r="A311" s="4" t="s">
        <v>855</v>
      </c>
      <c r="B311" s="4" t="s">
        <v>594</v>
      </c>
    </row>
    <row r="312" spans="1:2" x14ac:dyDescent="0.25">
      <c r="A312" s="4" t="s">
        <v>858</v>
      </c>
      <c r="B312" s="4" t="s">
        <v>1595</v>
      </c>
    </row>
    <row r="313" spans="1:2" x14ac:dyDescent="0.25">
      <c r="A313" s="4" t="s">
        <v>860</v>
      </c>
      <c r="B313" s="4" t="s">
        <v>1595</v>
      </c>
    </row>
    <row r="314" spans="1:2" x14ac:dyDescent="0.25">
      <c r="A314" s="4" t="s">
        <v>863</v>
      </c>
      <c r="B314" s="4" t="s">
        <v>1595</v>
      </c>
    </row>
    <row r="315" spans="1:2" x14ac:dyDescent="0.25">
      <c r="A315" s="4" t="s">
        <v>866</v>
      </c>
      <c r="B315" s="4" t="s">
        <v>865</v>
      </c>
    </row>
    <row r="316" spans="1:2" x14ac:dyDescent="0.25">
      <c r="A316" s="4" t="s">
        <v>869</v>
      </c>
      <c r="B316" s="4" t="s">
        <v>272</v>
      </c>
    </row>
    <row r="317" spans="1:2" x14ac:dyDescent="0.25">
      <c r="A317" s="4" t="s">
        <v>871</v>
      </c>
      <c r="B317" s="4" t="s">
        <v>865</v>
      </c>
    </row>
    <row r="318" spans="1:2" x14ac:dyDescent="0.25">
      <c r="A318" s="4" t="s">
        <v>874</v>
      </c>
      <c r="B318" s="4" t="s">
        <v>865</v>
      </c>
    </row>
    <row r="319" spans="1:2" x14ac:dyDescent="0.25">
      <c r="A319" s="4" t="s">
        <v>877</v>
      </c>
      <c r="B319" s="4" t="s">
        <v>865</v>
      </c>
    </row>
    <row r="320" spans="1:2" x14ac:dyDescent="0.25">
      <c r="A320" s="4" t="s">
        <v>879</v>
      </c>
      <c r="B320" s="4" t="s">
        <v>272</v>
      </c>
    </row>
    <row r="321" spans="1:2" x14ac:dyDescent="0.25">
      <c r="A321" s="4" t="s">
        <v>881</v>
      </c>
      <c r="B321" s="4" t="s">
        <v>272</v>
      </c>
    </row>
    <row r="322" spans="1:2" x14ac:dyDescent="0.25">
      <c r="A322" s="4" t="s">
        <v>883</v>
      </c>
      <c r="B322" s="4" t="s">
        <v>865</v>
      </c>
    </row>
    <row r="323" spans="1:2" x14ac:dyDescent="0.25">
      <c r="A323" s="4" t="s">
        <v>886</v>
      </c>
      <c r="B323" s="4" t="s">
        <v>272</v>
      </c>
    </row>
    <row r="324" spans="1:2" x14ac:dyDescent="0.25">
      <c r="A324" s="4" t="s">
        <v>888</v>
      </c>
      <c r="B324" s="4" t="s">
        <v>272</v>
      </c>
    </row>
    <row r="325" spans="1:2" x14ac:dyDescent="0.25">
      <c r="A325" s="4" t="s">
        <v>890</v>
      </c>
      <c r="B325" s="4" t="s">
        <v>865</v>
      </c>
    </row>
    <row r="326" spans="1:2" x14ac:dyDescent="0.25">
      <c r="A326" s="4" t="s">
        <v>892</v>
      </c>
      <c r="B326" s="4" t="s">
        <v>236</v>
      </c>
    </row>
    <row r="327" spans="1:2" x14ac:dyDescent="0.25">
      <c r="A327" s="4" t="s">
        <v>895</v>
      </c>
      <c r="B327" s="4" t="s">
        <v>865</v>
      </c>
    </row>
    <row r="328" spans="1:2" x14ac:dyDescent="0.25">
      <c r="A328" s="4" t="s">
        <v>898</v>
      </c>
      <c r="B328" s="4" t="s">
        <v>865</v>
      </c>
    </row>
    <row r="329" spans="1:2" x14ac:dyDescent="0.25">
      <c r="A329" s="4" t="s">
        <v>901</v>
      </c>
      <c r="B329" s="4" t="s">
        <v>865</v>
      </c>
    </row>
    <row r="330" spans="1:2" x14ac:dyDescent="0.25">
      <c r="A330" s="4" t="s">
        <v>903</v>
      </c>
      <c r="B330" s="4" t="s">
        <v>865</v>
      </c>
    </row>
    <row r="331" spans="1:2" x14ac:dyDescent="0.25">
      <c r="A331" s="4" t="s">
        <v>905</v>
      </c>
      <c r="B331" s="4" t="s">
        <v>714</v>
      </c>
    </row>
    <row r="332" spans="1:2" x14ac:dyDescent="0.25">
      <c r="A332" s="4" t="s">
        <v>908</v>
      </c>
      <c r="B332" s="4" t="s">
        <v>1310</v>
      </c>
    </row>
    <row r="333" spans="1:2" x14ac:dyDescent="0.25">
      <c r="A333" s="4" t="s">
        <v>910</v>
      </c>
      <c r="B333" s="4" t="s">
        <v>865</v>
      </c>
    </row>
    <row r="334" spans="1:2" x14ac:dyDescent="0.25">
      <c r="A334" s="4" t="s">
        <v>912</v>
      </c>
      <c r="B334" s="4" t="s">
        <v>865</v>
      </c>
    </row>
    <row r="335" spans="1:2" x14ac:dyDescent="0.25">
      <c r="A335" s="4" t="s">
        <v>915</v>
      </c>
      <c r="B335" s="4" t="s">
        <v>1310</v>
      </c>
    </row>
    <row r="336" spans="1:2" x14ac:dyDescent="0.25">
      <c r="A336" s="4" t="s">
        <v>917</v>
      </c>
      <c r="B336" s="4" t="s">
        <v>289</v>
      </c>
    </row>
    <row r="337" spans="1:2" x14ac:dyDescent="0.25">
      <c r="A337" s="4" t="s">
        <v>919</v>
      </c>
      <c r="B337" s="4" t="s">
        <v>289</v>
      </c>
    </row>
    <row r="338" spans="1:2" x14ac:dyDescent="0.25">
      <c r="A338" s="4" t="s">
        <v>922</v>
      </c>
      <c r="B338" s="4" t="s">
        <v>289</v>
      </c>
    </row>
    <row r="339" spans="1:2" x14ac:dyDescent="0.25">
      <c r="A339" s="4" t="s">
        <v>924</v>
      </c>
      <c r="B339" s="4" t="s">
        <v>865</v>
      </c>
    </row>
    <row r="340" spans="1:2" x14ac:dyDescent="0.25">
      <c r="A340" s="4" t="s">
        <v>927</v>
      </c>
      <c r="B340" s="4" t="s">
        <v>289</v>
      </c>
    </row>
    <row r="341" spans="1:2" x14ac:dyDescent="0.25">
      <c r="A341" s="4" t="s">
        <v>929</v>
      </c>
      <c r="B341" s="4" t="s">
        <v>289</v>
      </c>
    </row>
    <row r="342" spans="1:2" x14ac:dyDescent="0.25">
      <c r="A342" s="4" t="s">
        <v>932</v>
      </c>
      <c r="B342" s="4" t="s">
        <v>289</v>
      </c>
    </row>
    <row r="343" spans="1:2" x14ac:dyDescent="0.25">
      <c r="A343" s="4" t="s">
        <v>934</v>
      </c>
      <c r="B343" s="4" t="s">
        <v>865</v>
      </c>
    </row>
    <row r="344" spans="1:2" x14ac:dyDescent="0.25">
      <c r="A344" s="4" t="s">
        <v>937</v>
      </c>
      <c r="B344" s="4" t="s">
        <v>714</v>
      </c>
    </row>
    <row r="345" spans="1:2" x14ac:dyDescent="0.25">
      <c r="A345" s="4" t="s">
        <v>939</v>
      </c>
      <c r="B345" s="4" t="s">
        <v>865</v>
      </c>
    </row>
    <row r="346" spans="1:2" x14ac:dyDescent="0.25">
      <c r="A346" s="4" t="s">
        <v>941</v>
      </c>
      <c r="B346" s="4" t="s">
        <v>204</v>
      </c>
    </row>
    <row r="347" spans="1:2" x14ac:dyDescent="0.25">
      <c r="A347" s="4" t="s">
        <v>944</v>
      </c>
      <c r="B347" s="4" t="s">
        <v>204</v>
      </c>
    </row>
    <row r="348" spans="1:2" x14ac:dyDescent="0.25">
      <c r="A348" s="4" t="s">
        <v>946</v>
      </c>
      <c r="B348" s="4" t="s">
        <v>1615</v>
      </c>
    </row>
    <row r="349" spans="1:2" x14ac:dyDescent="0.25">
      <c r="A349" s="4" t="s">
        <v>948</v>
      </c>
      <c r="B349" s="4" t="s">
        <v>204</v>
      </c>
    </row>
    <row r="350" spans="1:2" x14ac:dyDescent="0.25">
      <c r="A350" s="4" t="s">
        <v>951</v>
      </c>
      <c r="B350" s="4" t="s">
        <v>1616</v>
      </c>
    </row>
    <row r="351" spans="1:2" x14ac:dyDescent="0.25">
      <c r="A351" s="4" t="s">
        <v>954</v>
      </c>
      <c r="B351" s="4" t="s">
        <v>1616</v>
      </c>
    </row>
    <row r="352" spans="1:2" x14ac:dyDescent="0.25">
      <c r="A352" s="4" t="s">
        <v>957</v>
      </c>
      <c r="B352" s="4" t="s">
        <v>1616</v>
      </c>
    </row>
    <row r="353" spans="1:2" x14ac:dyDescent="0.25">
      <c r="A353" s="4" t="s">
        <v>960</v>
      </c>
      <c r="B353" s="4" t="s">
        <v>204</v>
      </c>
    </row>
    <row r="354" spans="1:2" x14ac:dyDescent="0.25">
      <c r="A354" s="4" t="s">
        <v>963</v>
      </c>
      <c r="B354" s="4" t="s">
        <v>594</v>
      </c>
    </row>
    <row r="355" spans="1:2" x14ac:dyDescent="0.25">
      <c r="A355" s="4" t="s">
        <v>964</v>
      </c>
      <c r="B355" s="4" t="s">
        <v>594</v>
      </c>
    </row>
    <row r="356" spans="1:2" x14ac:dyDescent="0.25">
      <c r="A356" s="4" t="s">
        <v>966</v>
      </c>
      <c r="B356" s="4" t="s">
        <v>1616</v>
      </c>
    </row>
    <row r="357" spans="1:2" x14ac:dyDescent="0.25">
      <c r="A357" s="4" t="s">
        <v>969</v>
      </c>
      <c r="B357" s="4" t="s">
        <v>594</v>
      </c>
    </row>
    <row r="358" spans="1:2" x14ac:dyDescent="0.25">
      <c r="A358" s="4" t="s">
        <v>971</v>
      </c>
      <c r="B358" s="4" t="s">
        <v>594</v>
      </c>
    </row>
    <row r="359" spans="1:2" x14ac:dyDescent="0.25">
      <c r="A359" s="4" t="s">
        <v>973</v>
      </c>
      <c r="B359" s="4" t="s">
        <v>594</v>
      </c>
    </row>
    <row r="360" spans="1:2" x14ac:dyDescent="0.25">
      <c r="A360" s="4" t="s">
        <v>975</v>
      </c>
      <c r="B360" s="4" t="s">
        <v>204</v>
      </c>
    </row>
    <row r="361" spans="1:2" x14ac:dyDescent="0.25">
      <c r="A361" s="4" t="s">
        <v>978</v>
      </c>
      <c r="B361" s="4" t="s">
        <v>977</v>
      </c>
    </row>
    <row r="362" spans="1:2" x14ac:dyDescent="0.25">
      <c r="A362" s="4" t="s">
        <v>980</v>
      </c>
      <c r="B362" s="4" t="s">
        <v>594</v>
      </c>
    </row>
    <row r="363" spans="1:2" x14ac:dyDescent="0.25">
      <c r="A363" s="4" t="s">
        <v>983</v>
      </c>
      <c r="B363" s="4" t="s">
        <v>1616</v>
      </c>
    </row>
    <row r="364" spans="1:2" x14ac:dyDescent="0.25">
      <c r="A364" s="4" t="s">
        <v>986</v>
      </c>
      <c r="B364" s="4" t="s">
        <v>1616</v>
      </c>
    </row>
    <row r="365" spans="1:2" x14ac:dyDescent="0.25">
      <c r="A365" s="4" t="s">
        <v>988</v>
      </c>
      <c r="B365" s="4" t="s">
        <v>198</v>
      </c>
    </row>
    <row r="366" spans="1:2" x14ac:dyDescent="0.25">
      <c r="A366" s="4" t="s">
        <v>990</v>
      </c>
      <c r="B366" s="4" t="s">
        <v>594</v>
      </c>
    </row>
    <row r="367" spans="1:2" x14ac:dyDescent="0.25">
      <c r="A367" s="4" t="s">
        <v>992</v>
      </c>
      <c r="B367" s="4" t="s">
        <v>198</v>
      </c>
    </row>
    <row r="368" spans="1:2" x14ac:dyDescent="0.25">
      <c r="A368" s="4" t="s">
        <v>995</v>
      </c>
      <c r="B368" s="4" t="s">
        <v>361</v>
      </c>
    </row>
    <row r="369" spans="1:2" x14ac:dyDescent="0.25">
      <c r="A369" s="4" t="s">
        <v>998</v>
      </c>
      <c r="B369" s="4" t="s">
        <v>997</v>
      </c>
    </row>
    <row r="370" spans="1:2" x14ac:dyDescent="0.25">
      <c r="A370" s="4" t="s">
        <v>1001</v>
      </c>
      <c r="B370" s="4" t="s">
        <v>594</v>
      </c>
    </row>
    <row r="371" spans="1:2" x14ac:dyDescent="0.25">
      <c r="A371" s="4" t="s">
        <v>1004</v>
      </c>
      <c r="B371" s="4" t="s">
        <v>361</v>
      </c>
    </row>
    <row r="372" spans="1:2" x14ac:dyDescent="0.25">
      <c r="A372" s="4" t="s">
        <v>1006</v>
      </c>
      <c r="B372" s="4" t="s">
        <v>1606</v>
      </c>
    </row>
    <row r="373" spans="1:2" x14ac:dyDescent="0.25">
      <c r="A373" s="4" t="s">
        <v>1009</v>
      </c>
      <c r="B373" s="4" t="s">
        <v>1606</v>
      </c>
    </row>
    <row r="374" spans="1:2" x14ac:dyDescent="0.25">
      <c r="A374" s="4" t="s">
        <v>1011</v>
      </c>
      <c r="B374" s="4" t="s">
        <v>1606</v>
      </c>
    </row>
    <row r="375" spans="1:2" x14ac:dyDescent="0.25">
      <c r="A375" s="4" t="s">
        <v>1014</v>
      </c>
      <c r="B375" s="4" t="s">
        <v>1013</v>
      </c>
    </row>
    <row r="376" spans="1:2" x14ac:dyDescent="0.25">
      <c r="A376" s="4" t="s">
        <v>1017</v>
      </c>
      <c r="B376" s="4" t="s">
        <v>594</v>
      </c>
    </row>
    <row r="377" spans="1:2" x14ac:dyDescent="0.25">
      <c r="A377" s="4" t="s">
        <v>1019</v>
      </c>
      <c r="B377" s="4" t="s">
        <v>1606</v>
      </c>
    </row>
    <row r="378" spans="1:2" x14ac:dyDescent="0.25">
      <c r="A378" s="4" t="s">
        <v>1022</v>
      </c>
      <c r="B378" s="4" t="s">
        <v>714</v>
      </c>
    </row>
    <row r="379" spans="1:2" x14ac:dyDescent="0.25">
      <c r="A379" s="4" t="s">
        <v>1025</v>
      </c>
      <c r="B379" s="4" t="s">
        <v>1615</v>
      </c>
    </row>
    <row r="380" spans="1:2" x14ac:dyDescent="0.25">
      <c r="A380" s="4" t="s">
        <v>1028</v>
      </c>
      <c r="B380" s="4" t="s">
        <v>594</v>
      </c>
    </row>
    <row r="381" spans="1:2" x14ac:dyDescent="0.25">
      <c r="A381" s="4" t="s">
        <v>1030</v>
      </c>
      <c r="B381" s="4" t="s">
        <v>1606</v>
      </c>
    </row>
    <row r="382" spans="1:2" x14ac:dyDescent="0.25">
      <c r="A382" s="4" t="s">
        <v>1033</v>
      </c>
      <c r="B382" s="4" t="s">
        <v>1615</v>
      </c>
    </row>
    <row r="383" spans="1:2" x14ac:dyDescent="0.25">
      <c r="A383" s="4" t="s">
        <v>1035</v>
      </c>
      <c r="B383" s="4" t="s">
        <v>1013</v>
      </c>
    </row>
    <row r="384" spans="1:2" x14ac:dyDescent="0.25">
      <c r="A384" s="4" t="s">
        <v>1038</v>
      </c>
      <c r="B384" s="4" t="s">
        <v>1037</v>
      </c>
    </row>
    <row r="385" spans="1:2" x14ac:dyDescent="0.25">
      <c r="A385" s="4" t="s">
        <v>1041</v>
      </c>
      <c r="B385" s="4" t="s">
        <v>1040</v>
      </c>
    </row>
    <row r="386" spans="1:2" x14ac:dyDescent="0.25">
      <c r="A386" s="4" t="s">
        <v>1044</v>
      </c>
      <c r="B386" s="4" t="s">
        <v>1043</v>
      </c>
    </row>
    <row r="387" spans="1:2" x14ac:dyDescent="0.25">
      <c r="A387" s="4" t="s">
        <v>1046</v>
      </c>
      <c r="B387" s="4" t="s">
        <v>1013</v>
      </c>
    </row>
    <row r="388" spans="1:2" x14ac:dyDescent="0.25">
      <c r="A388" s="4" t="s">
        <v>1049</v>
      </c>
      <c r="B388" s="4" t="s">
        <v>1048</v>
      </c>
    </row>
    <row r="389" spans="1:2" x14ac:dyDescent="0.25">
      <c r="A389" s="4" t="s">
        <v>1051</v>
      </c>
      <c r="B389" s="4" t="s">
        <v>1013</v>
      </c>
    </row>
    <row r="390" spans="1:2" x14ac:dyDescent="0.25">
      <c r="A390" s="4" t="s">
        <v>1054</v>
      </c>
      <c r="B390" s="4" t="s">
        <v>1053</v>
      </c>
    </row>
    <row r="391" spans="1:2" x14ac:dyDescent="0.25">
      <c r="A391" s="4" t="s">
        <v>1057</v>
      </c>
      <c r="B391" s="4" t="s">
        <v>1056</v>
      </c>
    </row>
    <row r="392" spans="1:2" x14ac:dyDescent="0.25">
      <c r="A392" s="4" t="s">
        <v>1059</v>
      </c>
      <c r="B392" s="4" t="s">
        <v>1013</v>
      </c>
    </row>
    <row r="393" spans="1:2" x14ac:dyDescent="0.25">
      <c r="A393" s="4" t="s">
        <v>1061</v>
      </c>
      <c r="B393" s="4" t="s">
        <v>1606</v>
      </c>
    </row>
    <row r="394" spans="1:2" x14ac:dyDescent="0.25">
      <c r="A394" s="4" t="s">
        <v>1063</v>
      </c>
      <c r="B394" s="4" t="s">
        <v>1048</v>
      </c>
    </row>
    <row r="395" spans="1:2" x14ac:dyDescent="0.25">
      <c r="A395" s="4" t="s">
        <v>1066</v>
      </c>
      <c r="B395" s="4" t="s">
        <v>1606</v>
      </c>
    </row>
    <row r="396" spans="1:2" x14ac:dyDescent="0.25">
      <c r="A396" s="4" t="s">
        <v>1068</v>
      </c>
      <c r="B396" s="4" t="s">
        <v>198</v>
      </c>
    </row>
    <row r="397" spans="1:2" x14ac:dyDescent="0.25">
      <c r="A397" s="4" t="s">
        <v>1071</v>
      </c>
      <c r="B397" s="4" t="s">
        <v>1606</v>
      </c>
    </row>
    <row r="398" spans="1:2" x14ac:dyDescent="0.25">
      <c r="A398" s="4" t="s">
        <v>1073</v>
      </c>
      <c r="B398" s="4" t="s">
        <v>272</v>
      </c>
    </row>
    <row r="399" spans="1:2" x14ac:dyDescent="0.25">
      <c r="A399" s="4" t="s">
        <v>1076</v>
      </c>
      <c r="B399" s="4" t="s">
        <v>1598</v>
      </c>
    </row>
    <row r="400" spans="1:2" x14ac:dyDescent="0.25">
      <c r="A400" s="4" t="s">
        <v>1079</v>
      </c>
      <c r="B400" s="4" t="s">
        <v>289</v>
      </c>
    </row>
    <row r="401" spans="1:2" x14ac:dyDescent="0.25">
      <c r="A401" s="4" t="s">
        <v>1082</v>
      </c>
      <c r="B401" s="4" t="s">
        <v>172</v>
      </c>
    </row>
    <row r="402" spans="1:2" x14ac:dyDescent="0.25">
      <c r="A402" s="4" t="s">
        <v>1085</v>
      </c>
      <c r="B402" s="4" t="s">
        <v>195</v>
      </c>
    </row>
    <row r="403" spans="1:2" x14ac:dyDescent="0.25">
      <c r="A403" s="4" t="s">
        <v>1088</v>
      </c>
      <c r="B403" s="4" t="s">
        <v>1087</v>
      </c>
    </row>
    <row r="404" spans="1:2" x14ac:dyDescent="0.25">
      <c r="A404" s="4" t="s">
        <v>1091</v>
      </c>
      <c r="B404" s="4" t="s">
        <v>236</v>
      </c>
    </row>
    <row r="405" spans="1:2" x14ac:dyDescent="0.25">
      <c r="A405" s="4" t="s">
        <v>1094</v>
      </c>
      <c r="B405" s="4" t="s">
        <v>1617</v>
      </c>
    </row>
    <row r="406" spans="1:2" x14ac:dyDescent="0.25">
      <c r="A406" s="4" t="s">
        <v>1097</v>
      </c>
      <c r="B406" s="4" t="s">
        <v>1617</v>
      </c>
    </row>
    <row r="407" spans="1:2" x14ac:dyDescent="0.25">
      <c r="A407" s="4" t="s">
        <v>1100</v>
      </c>
      <c r="B407" s="4" t="s">
        <v>1618</v>
      </c>
    </row>
    <row r="408" spans="1:2" x14ac:dyDescent="0.25">
      <c r="A408" s="4" t="s">
        <v>1103</v>
      </c>
      <c r="B408" s="4" t="s">
        <v>289</v>
      </c>
    </row>
    <row r="409" spans="1:2" x14ac:dyDescent="0.25">
      <c r="A409" s="4" t="s">
        <v>1106</v>
      </c>
      <c r="B409" s="4" t="s">
        <v>1618</v>
      </c>
    </row>
    <row r="410" spans="1:2" x14ac:dyDescent="0.25">
      <c r="A410" s="4" t="s">
        <v>1109</v>
      </c>
      <c r="B410" s="4" t="s">
        <v>1618</v>
      </c>
    </row>
    <row r="411" spans="1:2" x14ac:dyDescent="0.25">
      <c r="A411" s="4" t="s">
        <v>1112</v>
      </c>
      <c r="B411" s="4" t="s">
        <v>1618</v>
      </c>
    </row>
    <row r="412" spans="1:2" x14ac:dyDescent="0.25">
      <c r="A412" s="4" t="s">
        <v>1114</v>
      </c>
      <c r="B412" s="4" t="s">
        <v>1618</v>
      </c>
    </row>
    <row r="413" spans="1:2" x14ac:dyDescent="0.25">
      <c r="A413" s="4" t="s">
        <v>1117</v>
      </c>
      <c r="B413" s="4" t="s">
        <v>1617</v>
      </c>
    </row>
    <row r="414" spans="1:2" x14ac:dyDescent="0.25">
      <c r="A414" s="4" t="s">
        <v>1120</v>
      </c>
      <c r="B414" s="4" t="s">
        <v>1598</v>
      </c>
    </row>
    <row r="415" spans="1:2" x14ac:dyDescent="0.25">
      <c r="A415" s="4" t="s">
        <v>1123</v>
      </c>
      <c r="B415" s="4" t="s">
        <v>1619</v>
      </c>
    </row>
    <row r="416" spans="1:2" x14ac:dyDescent="0.25">
      <c r="A416" s="4" t="s">
        <v>1126</v>
      </c>
      <c r="B416" s="4" t="s">
        <v>1618</v>
      </c>
    </row>
    <row r="417" spans="1:2" x14ac:dyDescent="0.25">
      <c r="A417" s="4" t="s">
        <v>1129</v>
      </c>
      <c r="B417" s="4" t="s">
        <v>1134</v>
      </c>
    </row>
    <row r="418" spans="1:2" x14ac:dyDescent="0.25">
      <c r="A418" s="4" t="s">
        <v>1132</v>
      </c>
      <c r="B418" s="4" t="s">
        <v>1620</v>
      </c>
    </row>
    <row r="419" spans="1:2" x14ac:dyDescent="0.25">
      <c r="A419" s="4" t="s">
        <v>1135</v>
      </c>
      <c r="B419" s="4" t="s">
        <v>1134</v>
      </c>
    </row>
    <row r="420" spans="1:2" x14ac:dyDescent="0.25">
      <c r="A420" s="4" t="s">
        <v>1137</v>
      </c>
      <c r="B420" s="4" t="s">
        <v>195</v>
      </c>
    </row>
    <row r="421" spans="1:2" x14ac:dyDescent="0.25">
      <c r="A421" s="4" t="s">
        <v>1140</v>
      </c>
      <c r="B421" s="4" t="s">
        <v>1163</v>
      </c>
    </row>
    <row r="422" spans="1:2" x14ac:dyDescent="0.25">
      <c r="A422" s="4" t="s">
        <v>1142</v>
      </c>
      <c r="B422" s="4" t="s">
        <v>195</v>
      </c>
    </row>
    <row r="423" spans="1:2" x14ac:dyDescent="0.25">
      <c r="A423" s="4" t="s">
        <v>1144</v>
      </c>
      <c r="B423" s="4" t="s">
        <v>1134</v>
      </c>
    </row>
    <row r="424" spans="1:2" x14ac:dyDescent="0.25">
      <c r="A424" s="4" t="s">
        <v>1145</v>
      </c>
      <c r="B424" s="4" t="s">
        <v>195</v>
      </c>
    </row>
    <row r="425" spans="1:2" x14ac:dyDescent="0.25">
      <c r="A425" s="4" t="s">
        <v>1147</v>
      </c>
      <c r="B425" s="4" t="s">
        <v>1134</v>
      </c>
    </row>
    <row r="426" spans="1:2" x14ac:dyDescent="0.25">
      <c r="A426" s="4" t="s">
        <v>1149</v>
      </c>
      <c r="B426" s="4" t="s">
        <v>865</v>
      </c>
    </row>
    <row r="427" spans="1:2" x14ac:dyDescent="0.25">
      <c r="A427" s="4" t="s">
        <v>1151</v>
      </c>
      <c r="B427" s="4" t="s">
        <v>1619</v>
      </c>
    </row>
    <row r="428" spans="1:2" x14ac:dyDescent="0.25">
      <c r="A428" s="4" t="s">
        <v>1153</v>
      </c>
      <c r="B428" s="4" t="s">
        <v>213</v>
      </c>
    </row>
    <row r="429" spans="1:2" x14ac:dyDescent="0.25">
      <c r="A429" s="4" t="s">
        <v>1156</v>
      </c>
      <c r="B429" s="4" t="s">
        <v>1605</v>
      </c>
    </row>
    <row r="430" spans="1:2" x14ac:dyDescent="0.25">
      <c r="A430" s="4" t="s">
        <v>1158</v>
      </c>
      <c r="B430" s="4" t="s">
        <v>1134</v>
      </c>
    </row>
    <row r="431" spans="1:2" x14ac:dyDescent="0.25">
      <c r="A431" s="4" t="s">
        <v>1161</v>
      </c>
      <c r="B431" s="4" t="s">
        <v>1160</v>
      </c>
    </row>
    <row r="432" spans="1:2" x14ac:dyDescent="0.25">
      <c r="A432" s="4" t="s">
        <v>1164</v>
      </c>
      <c r="B432" s="4" t="s">
        <v>1163</v>
      </c>
    </row>
    <row r="433" spans="1:2" x14ac:dyDescent="0.25">
      <c r="A433" s="4" t="s">
        <v>1167</v>
      </c>
      <c r="B433" s="4" t="s">
        <v>1166</v>
      </c>
    </row>
    <row r="434" spans="1:2" x14ac:dyDescent="0.25">
      <c r="A434" s="4" t="s">
        <v>1170</v>
      </c>
      <c r="B434" s="4" t="s">
        <v>1163</v>
      </c>
    </row>
    <row r="435" spans="1:2" x14ac:dyDescent="0.25">
      <c r="A435" s="4" t="s">
        <v>1173</v>
      </c>
      <c r="B435" s="4" t="s">
        <v>1163</v>
      </c>
    </row>
    <row r="436" spans="1:2" x14ac:dyDescent="0.25">
      <c r="A436" s="4" t="s">
        <v>1176</v>
      </c>
      <c r="B436" s="4" t="s">
        <v>1607</v>
      </c>
    </row>
    <row r="437" spans="1:2" x14ac:dyDescent="0.25">
      <c r="A437" s="4" t="s">
        <v>1179</v>
      </c>
      <c r="B437" s="4" t="s">
        <v>1163</v>
      </c>
    </row>
    <row r="438" spans="1:2" x14ac:dyDescent="0.25">
      <c r="A438" s="4" t="s">
        <v>1182</v>
      </c>
      <c r="B438" s="4" t="s">
        <v>1596</v>
      </c>
    </row>
    <row r="439" spans="1:2" x14ac:dyDescent="0.25">
      <c r="A439" s="4" t="s">
        <v>1184</v>
      </c>
      <c r="B439" s="4" t="s">
        <v>1134</v>
      </c>
    </row>
    <row r="440" spans="1:2" x14ac:dyDescent="0.25">
      <c r="A440" s="4" t="s">
        <v>1186</v>
      </c>
      <c r="B440" s="4" t="s">
        <v>151</v>
      </c>
    </row>
    <row r="441" spans="1:2" x14ac:dyDescent="0.25">
      <c r="A441" s="4" t="s">
        <v>1188</v>
      </c>
      <c r="B441" s="4" t="s">
        <v>151</v>
      </c>
    </row>
    <row r="442" spans="1:2" x14ac:dyDescent="0.25">
      <c r="A442" s="4" t="s">
        <v>1191</v>
      </c>
      <c r="B442" s="4" t="s">
        <v>1621</v>
      </c>
    </row>
    <row r="443" spans="1:2" x14ac:dyDescent="0.25">
      <c r="A443" s="4" t="s">
        <v>1194</v>
      </c>
      <c r="B443" s="4" t="s">
        <v>151</v>
      </c>
    </row>
    <row r="444" spans="1:2" x14ac:dyDescent="0.25">
      <c r="A444" s="4" t="s">
        <v>1197</v>
      </c>
      <c r="B444" s="4" t="s">
        <v>151</v>
      </c>
    </row>
    <row r="445" spans="1:2" x14ac:dyDescent="0.25">
      <c r="A445" s="4" t="s">
        <v>1199</v>
      </c>
      <c r="B445" s="4" t="s">
        <v>151</v>
      </c>
    </row>
    <row r="446" spans="1:2" x14ac:dyDescent="0.25">
      <c r="A446" s="4" t="s">
        <v>1202</v>
      </c>
      <c r="B446" s="4" t="s">
        <v>289</v>
      </c>
    </row>
    <row r="447" spans="1:2" x14ac:dyDescent="0.25">
      <c r="A447" s="4" t="s">
        <v>1205</v>
      </c>
      <c r="B447" s="4" t="s">
        <v>289</v>
      </c>
    </row>
    <row r="448" spans="1:2" x14ac:dyDescent="0.25">
      <c r="A448" s="4" t="s">
        <v>1208</v>
      </c>
      <c r="B448" s="4" t="s">
        <v>1622</v>
      </c>
    </row>
    <row r="449" spans="1:2" x14ac:dyDescent="0.25">
      <c r="A449" s="4" t="s">
        <v>1211</v>
      </c>
      <c r="B449" s="4" t="s">
        <v>1210</v>
      </c>
    </row>
    <row r="450" spans="1:2" x14ac:dyDescent="0.25">
      <c r="A450" s="4" t="s">
        <v>1214</v>
      </c>
      <c r="B450" s="4" t="s">
        <v>1606</v>
      </c>
    </row>
    <row r="451" spans="1:2" x14ac:dyDescent="0.25">
      <c r="A451" s="4" t="s">
        <v>1217</v>
      </c>
      <c r="B451" s="4" t="s">
        <v>1216</v>
      </c>
    </row>
    <row r="452" spans="1:2" x14ac:dyDescent="0.25">
      <c r="A452" s="4" t="s">
        <v>1219</v>
      </c>
      <c r="B452" s="4" t="s">
        <v>714</v>
      </c>
    </row>
    <row r="453" spans="1:2" x14ac:dyDescent="0.25">
      <c r="A453" s="4" t="s">
        <v>1221</v>
      </c>
      <c r="B453" s="4" t="s">
        <v>1606</v>
      </c>
    </row>
    <row r="454" spans="1:2" x14ac:dyDescent="0.25">
      <c r="A454" s="4" t="s">
        <v>1223</v>
      </c>
      <c r="B454" s="4" t="s">
        <v>1606</v>
      </c>
    </row>
    <row r="455" spans="1:2" x14ac:dyDescent="0.25">
      <c r="A455" s="4" t="s">
        <v>1224</v>
      </c>
      <c r="B455" s="4" t="s">
        <v>1606</v>
      </c>
    </row>
    <row r="456" spans="1:2" x14ac:dyDescent="0.25">
      <c r="A456" s="4" t="s">
        <v>1226</v>
      </c>
      <c r="B456" s="4" t="s">
        <v>1606</v>
      </c>
    </row>
    <row r="457" spans="1:2" x14ac:dyDescent="0.25">
      <c r="A457" s="4" t="s">
        <v>1228</v>
      </c>
      <c r="B457" s="4" t="s">
        <v>1606</v>
      </c>
    </row>
    <row r="458" spans="1:2" x14ac:dyDescent="0.25">
      <c r="A458" s="4" t="s">
        <v>1231</v>
      </c>
      <c r="B458" s="4" t="s">
        <v>1606</v>
      </c>
    </row>
    <row r="459" spans="1:2" x14ac:dyDescent="0.25">
      <c r="A459" s="4" t="s">
        <v>1233</v>
      </c>
      <c r="B459" s="4" t="s">
        <v>1606</v>
      </c>
    </row>
    <row r="460" spans="1:2" x14ac:dyDescent="0.25">
      <c r="A460" s="4" t="s">
        <v>1236</v>
      </c>
      <c r="B460" s="4" t="s">
        <v>1235</v>
      </c>
    </row>
    <row r="461" spans="1:2" x14ac:dyDescent="0.25">
      <c r="A461" s="4" t="s">
        <v>1239</v>
      </c>
      <c r="B461" s="4" t="s">
        <v>1277</v>
      </c>
    </row>
    <row r="462" spans="1:2" x14ac:dyDescent="0.25">
      <c r="A462" s="4" t="s">
        <v>1242</v>
      </c>
      <c r="B462" s="4" t="s">
        <v>1623</v>
      </c>
    </row>
    <row r="463" spans="1:2" x14ac:dyDescent="0.25">
      <c r="A463" s="4" t="s">
        <v>1245</v>
      </c>
      <c r="B463" s="4" t="s">
        <v>714</v>
      </c>
    </row>
    <row r="464" spans="1:2" x14ac:dyDescent="0.25">
      <c r="A464" s="4" t="s">
        <v>1247</v>
      </c>
      <c r="B464" s="4" t="s">
        <v>423</v>
      </c>
    </row>
    <row r="465" spans="1:2" x14ac:dyDescent="0.25">
      <c r="A465" s="4" t="s">
        <v>1250</v>
      </c>
      <c r="B465" s="4" t="s">
        <v>1277</v>
      </c>
    </row>
    <row r="466" spans="1:2" x14ac:dyDescent="0.25">
      <c r="A466" s="4" t="s">
        <v>1253</v>
      </c>
      <c r="B466" s="4" t="s">
        <v>1255</v>
      </c>
    </row>
    <row r="467" spans="1:2" x14ac:dyDescent="0.25">
      <c r="A467" s="4" t="s">
        <v>1256</v>
      </c>
      <c r="B467" s="4" t="s">
        <v>1255</v>
      </c>
    </row>
    <row r="468" spans="1:2" x14ac:dyDescent="0.25">
      <c r="A468" s="4" t="s">
        <v>1259</v>
      </c>
      <c r="B468" s="4" t="s">
        <v>1255</v>
      </c>
    </row>
    <row r="469" spans="1:2" x14ac:dyDescent="0.25">
      <c r="A469" s="4" t="s">
        <v>1261</v>
      </c>
      <c r="B469" s="4" t="s">
        <v>1255</v>
      </c>
    </row>
    <row r="470" spans="1:2" x14ac:dyDescent="0.25">
      <c r="A470" s="4" t="s">
        <v>1263</v>
      </c>
      <c r="B470" s="4" t="s">
        <v>1255</v>
      </c>
    </row>
    <row r="471" spans="1:2" x14ac:dyDescent="0.25">
      <c r="A471" s="4" t="s">
        <v>1265</v>
      </c>
      <c r="B471" s="4" t="s">
        <v>1255</v>
      </c>
    </row>
    <row r="472" spans="1:2" x14ac:dyDescent="0.25">
      <c r="A472" s="4" t="s">
        <v>1267</v>
      </c>
      <c r="B472" s="4" t="s">
        <v>1255</v>
      </c>
    </row>
    <row r="473" spans="1:2" x14ac:dyDescent="0.25">
      <c r="A473" s="4" t="s">
        <v>1270</v>
      </c>
      <c r="B473" s="4" t="s">
        <v>1255</v>
      </c>
    </row>
    <row r="474" spans="1:2" x14ac:dyDescent="0.25">
      <c r="A474" s="4" t="s">
        <v>1272</v>
      </c>
      <c r="B474" s="4" t="s">
        <v>1255</v>
      </c>
    </row>
    <row r="475" spans="1:2" x14ac:dyDescent="0.25">
      <c r="A475" s="4" t="s">
        <v>1275</v>
      </c>
      <c r="B475" s="4" t="s">
        <v>1277</v>
      </c>
    </row>
    <row r="476" spans="1:2" x14ac:dyDescent="0.25">
      <c r="A476" s="4" t="s">
        <v>1278</v>
      </c>
      <c r="B476" s="4" t="s">
        <v>1277</v>
      </c>
    </row>
    <row r="477" spans="1:2" x14ac:dyDescent="0.25">
      <c r="A477" s="4" t="s">
        <v>1281</v>
      </c>
      <c r="B477" s="4" t="s">
        <v>1216</v>
      </c>
    </row>
    <row r="478" spans="1:2" x14ac:dyDescent="0.25">
      <c r="A478" s="4" t="s">
        <v>1284</v>
      </c>
      <c r="B478" s="4" t="s">
        <v>1606</v>
      </c>
    </row>
    <row r="479" spans="1:2" x14ac:dyDescent="0.25">
      <c r="A479" s="4" t="s">
        <v>1287</v>
      </c>
      <c r="B479" s="4" t="s">
        <v>1606</v>
      </c>
    </row>
    <row r="480" spans="1:2" x14ac:dyDescent="0.25">
      <c r="A480" s="4" t="s">
        <v>1289</v>
      </c>
      <c r="B480" s="4" t="s">
        <v>1606</v>
      </c>
    </row>
    <row r="481" spans="1:2" x14ac:dyDescent="0.25">
      <c r="A481" s="4" t="s">
        <v>1291</v>
      </c>
      <c r="B481" s="4" t="s">
        <v>1606</v>
      </c>
    </row>
    <row r="482" spans="1:2" x14ac:dyDescent="0.25">
      <c r="A482" s="4" t="s">
        <v>1294</v>
      </c>
      <c r="B482" s="4" t="s">
        <v>195</v>
      </c>
    </row>
    <row r="483" spans="1:2" x14ac:dyDescent="0.25">
      <c r="A483" s="4" t="s">
        <v>1297</v>
      </c>
      <c r="B483" s="4" t="s">
        <v>195</v>
      </c>
    </row>
    <row r="484" spans="1:2" x14ac:dyDescent="0.25">
      <c r="A484" s="4" t="s">
        <v>1299</v>
      </c>
      <c r="B484" s="4" t="s">
        <v>195</v>
      </c>
    </row>
    <row r="485" spans="1:2" x14ac:dyDescent="0.25">
      <c r="A485" s="4" t="s">
        <v>1302</v>
      </c>
      <c r="B485" s="4" t="s">
        <v>772</v>
      </c>
    </row>
    <row r="486" spans="1:2" x14ac:dyDescent="0.25">
      <c r="A486" s="4" t="s">
        <v>1305</v>
      </c>
      <c r="B486" s="4" t="s">
        <v>1304</v>
      </c>
    </row>
    <row r="487" spans="1:2" x14ac:dyDescent="0.25">
      <c r="A487" s="4" t="s">
        <v>1307</v>
      </c>
      <c r="B487" s="4" t="s">
        <v>1310</v>
      </c>
    </row>
    <row r="488" spans="1:2" x14ac:dyDescent="0.25">
      <c r="A488" s="4" t="s">
        <v>1308</v>
      </c>
      <c r="B488" s="4" t="s">
        <v>1310</v>
      </c>
    </row>
    <row r="489" spans="1:2" x14ac:dyDescent="0.25">
      <c r="A489" s="4" t="s">
        <v>1311</v>
      </c>
      <c r="B489" s="4" t="s">
        <v>1310</v>
      </c>
    </row>
    <row r="490" spans="1:2" x14ac:dyDescent="0.25">
      <c r="A490" s="4" t="s">
        <v>1314</v>
      </c>
      <c r="B490" s="4" t="s">
        <v>1605</v>
      </c>
    </row>
    <row r="491" spans="1:2" x14ac:dyDescent="0.25">
      <c r="A491" s="4" t="s">
        <v>1317</v>
      </c>
      <c r="B491" s="4" t="s">
        <v>1599</v>
      </c>
    </row>
    <row r="492" spans="1:2" x14ac:dyDescent="0.25">
      <c r="A492" s="4" t="s">
        <v>1320</v>
      </c>
      <c r="B492" s="4" t="s">
        <v>1599</v>
      </c>
    </row>
    <row r="493" spans="1:2" x14ac:dyDescent="0.25">
      <c r="A493" s="4" t="s">
        <v>1323</v>
      </c>
      <c r="B493" s="4" t="s">
        <v>1599</v>
      </c>
    </row>
    <row r="494" spans="1:2" x14ac:dyDescent="0.25">
      <c r="A494" s="4" t="s">
        <v>1325</v>
      </c>
      <c r="B494" s="4" t="s">
        <v>1599</v>
      </c>
    </row>
    <row r="495" spans="1:2" x14ac:dyDescent="0.25">
      <c r="A495" s="4" t="s">
        <v>1327</v>
      </c>
      <c r="B495" s="4" t="s">
        <v>1599</v>
      </c>
    </row>
    <row r="496" spans="1:2" x14ac:dyDescent="0.25">
      <c r="A496" s="4" t="s">
        <v>1330</v>
      </c>
      <c r="B496" s="4" t="s">
        <v>1624</v>
      </c>
    </row>
    <row r="497" spans="1:3" x14ac:dyDescent="0.25">
      <c r="A497" s="4" t="s">
        <v>1333</v>
      </c>
      <c r="B497" s="4" t="s">
        <v>1599</v>
      </c>
    </row>
    <row r="498" spans="1:3" x14ac:dyDescent="0.25">
      <c r="A498" s="4" t="s">
        <v>1335</v>
      </c>
      <c r="B498" s="4" t="s">
        <v>70</v>
      </c>
      <c r="C498" s="4" t="s">
        <v>70</v>
      </c>
    </row>
    <row r="499" spans="1:3" x14ac:dyDescent="0.25">
      <c r="A499" s="4" t="s">
        <v>1338</v>
      </c>
      <c r="B499" s="4" t="s">
        <v>1337</v>
      </c>
    </row>
    <row r="500" spans="1:3" x14ac:dyDescent="0.25">
      <c r="A500" s="4" t="s">
        <v>1341</v>
      </c>
      <c r="B500" s="4" t="s">
        <v>70</v>
      </c>
    </row>
    <row r="501" spans="1:3" x14ac:dyDescent="0.25">
      <c r="A501" s="4" t="s">
        <v>1342</v>
      </c>
      <c r="B501" s="4" t="s">
        <v>70</v>
      </c>
    </row>
    <row r="502" spans="1:3" x14ac:dyDescent="0.25">
      <c r="A502" s="4" t="s">
        <v>1345</v>
      </c>
      <c r="B502" s="4" t="s">
        <v>1337</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Form Responses 1</vt:lpstr>
      <vt:lpstr>Code_book</vt:lpstr>
      <vt:lpstr>Data</vt:lpstr>
      <vt:lpstr>Sum_Certificate</vt:lpstr>
      <vt:lpstr>Certificate</vt:lpstr>
      <vt:lpstr>sort_by_com</vt:lpstr>
      <vt:lpstr>fixed_name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Quân Phạm Trường</cp:lastModifiedBy>
  <dcterms:modified xsi:type="dcterms:W3CDTF">2026-01-26T15:22:38Z</dcterms:modified>
</cp:coreProperties>
</file>